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65" windowWidth="20730" windowHeight="11760" tabRatio="359"/>
  </bookViews>
  <sheets>
    <sheet name="Input" sheetId="3" r:id="rId1"/>
    <sheet name="Code Structure" sheetId="2" state="hidden" r:id="rId2"/>
    <sheet name="RS Calc" sheetId="1" state="hidden" r:id="rId3"/>
    <sheet name="Basic Info" sheetId="22" state="hidden" r:id="rId4"/>
    <sheet name="QR Output" sheetId="21" r:id="rId5"/>
  </sheets>
  <definedNames>
    <definedName name="_xlnm.Print_Area" localSheetId="4">'QR Output'!$A$1:$CD$82</definedName>
  </definedNames>
  <calcPr calcId="125725"/>
</workbook>
</file>

<file path=xl/calcChain.xml><?xml version="1.0" encoding="utf-8"?>
<calcChain xmlns="http://schemas.openxmlformats.org/spreadsheetml/2006/main">
  <c r="A6" i="3"/>
  <c r="T33"/>
  <c r="S33" s="1"/>
  <c r="R33" s="1"/>
  <c r="N177"/>
  <c r="N178"/>
  <c r="N179"/>
  <c r="N180"/>
  <c r="N181"/>
  <c r="N182"/>
  <c r="N183"/>
  <c r="N184"/>
  <c r="N185"/>
  <c r="N186"/>
  <c r="N187"/>
  <c r="N188"/>
  <c r="N161"/>
  <c r="N162"/>
  <c r="N163"/>
  <c r="N164"/>
  <c r="N165"/>
  <c r="N166"/>
  <c r="N167"/>
  <c r="N168"/>
  <c r="N192"/>
  <c r="N191"/>
  <c r="N190"/>
  <c r="N189"/>
  <c r="N176"/>
  <c r="N175"/>
  <c r="N174"/>
  <c r="N173"/>
  <c r="N172"/>
  <c r="N171"/>
  <c r="N170"/>
  <c r="N169"/>
  <c r="N145"/>
  <c r="N146"/>
  <c r="N147"/>
  <c r="N148"/>
  <c r="N160"/>
  <c r="N159"/>
  <c r="N158"/>
  <c r="N157"/>
  <c r="N156"/>
  <c r="N155"/>
  <c r="N154"/>
  <c r="N153"/>
  <c r="N152"/>
  <c r="N151"/>
  <c r="N150"/>
  <c r="N149"/>
  <c r="N144"/>
  <c r="N143"/>
  <c r="N142"/>
  <c r="N141"/>
  <c r="N140"/>
  <c r="N139"/>
  <c r="N138"/>
  <c r="N137"/>
  <c r="N136"/>
  <c r="N135"/>
  <c r="N134"/>
  <c r="N133"/>
  <c r="N132"/>
  <c r="N131"/>
  <c r="N130"/>
  <c r="N129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93"/>
  <c r="N94"/>
  <c r="N95"/>
  <c r="N96"/>
  <c r="N97"/>
  <c r="N98"/>
  <c r="N99"/>
  <c r="N100"/>
  <c r="N101"/>
  <c r="N102"/>
  <c r="N103"/>
  <c r="N104"/>
  <c r="N105"/>
  <c r="N106"/>
  <c r="N107"/>
  <c r="N108"/>
  <c r="N81"/>
  <c r="N82"/>
  <c r="N83"/>
  <c r="N84"/>
  <c r="N85"/>
  <c r="N86"/>
  <c r="N87"/>
  <c r="N88"/>
  <c r="N89"/>
  <c r="N90"/>
  <c r="N91"/>
  <c r="N92"/>
  <c r="N69"/>
  <c r="N70"/>
  <c r="N71"/>
  <c r="N72"/>
  <c r="N73"/>
  <c r="N74"/>
  <c r="N75"/>
  <c r="N76"/>
  <c r="N77"/>
  <c r="N78"/>
  <c r="N79"/>
  <c r="N80"/>
  <c r="N61"/>
  <c r="N62"/>
  <c r="N63"/>
  <c r="N64"/>
  <c r="N65"/>
  <c r="N66"/>
  <c r="N67"/>
  <c r="N68"/>
  <c r="N53"/>
  <c r="N54"/>
  <c r="N55"/>
  <c r="N56"/>
  <c r="N57"/>
  <c r="N58"/>
  <c r="N59"/>
  <c r="N60"/>
  <c r="CK202" i="2"/>
  <c r="CL202"/>
  <c r="CK203"/>
  <c r="CL203"/>
  <c r="CK204"/>
  <c r="CL204"/>
  <c r="CK205"/>
  <c r="CL205"/>
  <c r="CL249"/>
  <c r="CK249"/>
  <c r="E249"/>
  <c r="CL248"/>
  <c r="CK248"/>
  <c r="E248"/>
  <c r="CL247"/>
  <c r="CK247"/>
  <c r="E247"/>
  <c r="CL246"/>
  <c r="CK246"/>
  <c r="E246"/>
  <c r="CL233"/>
  <c r="CK233"/>
  <c r="CL232"/>
  <c r="CK232"/>
  <c r="CL231"/>
  <c r="CK231"/>
  <c r="CL230"/>
  <c r="CK230"/>
  <c r="CL229"/>
  <c r="CK229"/>
  <c r="E229"/>
  <c r="CL228"/>
  <c r="CK228"/>
  <c r="E228"/>
  <c r="CL227"/>
  <c r="CK227"/>
  <c r="E227"/>
  <c r="CL226"/>
  <c r="CK226"/>
  <c r="E226"/>
  <c r="CL217"/>
  <c r="CK217"/>
  <c r="CL216"/>
  <c r="CK216"/>
  <c r="CL215"/>
  <c r="CK215"/>
  <c r="CL214"/>
  <c r="CK214"/>
  <c r="CL213"/>
  <c r="CK213"/>
  <c r="CL212"/>
  <c r="CK212"/>
  <c r="CL211"/>
  <c r="CK211"/>
  <c r="CL210"/>
  <c r="CK210"/>
  <c r="CL209"/>
  <c r="CK209"/>
  <c r="E209"/>
  <c r="CL208"/>
  <c r="CK208"/>
  <c r="E208"/>
  <c r="CL207"/>
  <c r="CK207"/>
  <c r="E207"/>
  <c r="CL206"/>
  <c r="CK206"/>
  <c r="E206"/>
  <c r="CL201"/>
  <c r="CK201"/>
  <c r="CL200"/>
  <c r="CK200"/>
  <c r="CL199"/>
  <c r="CK199"/>
  <c r="CL198"/>
  <c r="CK198"/>
  <c r="CL197"/>
  <c r="CK197"/>
  <c r="CL196"/>
  <c r="CK196"/>
  <c r="CL195"/>
  <c r="CK195"/>
  <c r="CL194"/>
  <c r="CK194"/>
  <c r="CL193"/>
  <c r="CK193"/>
  <c r="CL192"/>
  <c r="CK192"/>
  <c r="CL191"/>
  <c r="CK191"/>
  <c r="CL190"/>
  <c r="CK190"/>
  <c r="CL189"/>
  <c r="CK189"/>
  <c r="E189"/>
  <c r="CL188"/>
  <c r="CK188"/>
  <c r="E188"/>
  <c r="CL187"/>
  <c r="CK187"/>
  <c r="E187"/>
  <c r="CL186"/>
  <c r="CK186"/>
  <c r="E186"/>
  <c r="E166"/>
  <c r="CK166"/>
  <c r="CL166"/>
  <c r="E167"/>
  <c r="CK167"/>
  <c r="CL167"/>
  <c r="E168"/>
  <c r="CK168"/>
  <c r="CL168"/>
  <c r="E169"/>
  <c r="CK169"/>
  <c r="CL169"/>
  <c r="CK170"/>
  <c r="CL170"/>
  <c r="CK171"/>
  <c r="CL171"/>
  <c r="CK172"/>
  <c r="CL172"/>
  <c r="CK173"/>
  <c r="CL173"/>
  <c r="CK174"/>
  <c r="CL174"/>
  <c r="CK175"/>
  <c r="CL175"/>
  <c r="CK176"/>
  <c r="CL176"/>
  <c r="CK177"/>
  <c r="CL177"/>
  <c r="CK178"/>
  <c r="CL178"/>
  <c r="CK179"/>
  <c r="CL179"/>
  <c r="CK180"/>
  <c r="CL180"/>
  <c r="CK181"/>
  <c r="CL181"/>
  <c r="CK182"/>
  <c r="CL182"/>
  <c r="CK183"/>
  <c r="CL183"/>
  <c r="CK184"/>
  <c r="CL184"/>
  <c r="CK185"/>
  <c r="CL185"/>
  <c r="E150"/>
  <c r="CK150"/>
  <c r="CL150"/>
  <c r="E151"/>
  <c r="CK151"/>
  <c r="CL151"/>
  <c r="E152"/>
  <c r="CK152"/>
  <c r="CL152"/>
  <c r="E153"/>
  <c r="CK153"/>
  <c r="CL153"/>
  <c r="CK154"/>
  <c r="CL154"/>
  <c r="CK155"/>
  <c r="CL155"/>
  <c r="CK156"/>
  <c r="CL156"/>
  <c r="CK157"/>
  <c r="CL157"/>
  <c r="CK158"/>
  <c r="CL158"/>
  <c r="CK159"/>
  <c r="CL159"/>
  <c r="CK160"/>
  <c r="CL160"/>
  <c r="CK161"/>
  <c r="CL161"/>
  <c r="CK162"/>
  <c r="CL162"/>
  <c r="CK163"/>
  <c r="CL163"/>
  <c r="CK164"/>
  <c r="CL164"/>
  <c r="CK165"/>
  <c r="CL165"/>
  <c r="E138"/>
  <c r="CK138"/>
  <c r="CL138"/>
  <c r="E139"/>
  <c r="CK139"/>
  <c r="CL139"/>
  <c r="E140"/>
  <c r="CK140"/>
  <c r="CL140"/>
  <c r="E141"/>
  <c r="CK141"/>
  <c r="CL141"/>
  <c r="CK142"/>
  <c r="CL142"/>
  <c r="CK143"/>
  <c r="CL143"/>
  <c r="CK144"/>
  <c r="CL144"/>
  <c r="CK145"/>
  <c r="CL145"/>
  <c r="CK146"/>
  <c r="CL146"/>
  <c r="CK147"/>
  <c r="CL147"/>
  <c r="CK148"/>
  <c r="CL148"/>
  <c r="CK149"/>
  <c r="CL149"/>
  <c r="E126"/>
  <c r="CK126"/>
  <c r="CL126"/>
  <c r="E127"/>
  <c r="CK127"/>
  <c r="CL127"/>
  <c r="E128"/>
  <c r="CK128"/>
  <c r="CL128"/>
  <c r="E129"/>
  <c r="CK129"/>
  <c r="CL129"/>
  <c r="CK130"/>
  <c r="CL130"/>
  <c r="CK131"/>
  <c r="CL131"/>
  <c r="CK132"/>
  <c r="CL132"/>
  <c r="CK133"/>
  <c r="CL133"/>
  <c r="CK134"/>
  <c r="CL134"/>
  <c r="CK135"/>
  <c r="CL135"/>
  <c r="CK136"/>
  <c r="CL136"/>
  <c r="CK137"/>
  <c r="CL137"/>
  <c r="E118"/>
  <c r="CK118"/>
  <c r="CL118"/>
  <c r="E119"/>
  <c r="CK119"/>
  <c r="CL119"/>
  <c r="E120"/>
  <c r="CK120"/>
  <c r="CL120"/>
  <c r="E121"/>
  <c r="CK121"/>
  <c r="CL121"/>
  <c r="CK122"/>
  <c r="CL122"/>
  <c r="CK123"/>
  <c r="CL123"/>
  <c r="CK124"/>
  <c r="CL124"/>
  <c r="CK125"/>
  <c r="CL12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102"/>
  <c r="D103"/>
  <c r="D104"/>
  <c r="D105"/>
  <c r="E110"/>
  <c r="CK110"/>
  <c r="CL110"/>
  <c r="E111"/>
  <c r="CK111"/>
  <c r="CL111"/>
  <c r="E112"/>
  <c r="CK112"/>
  <c r="CL112"/>
  <c r="E113"/>
  <c r="CK113"/>
  <c r="CL113"/>
  <c r="CK114"/>
  <c r="CL114"/>
  <c r="CK115"/>
  <c r="CL115"/>
  <c r="CK116"/>
  <c r="CL116"/>
  <c r="CK117"/>
  <c r="CL117"/>
  <c r="D94"/>
  <c r="D95"/>
  <c r="D96"/>
  <c r="D97"/>
  <c r="D98"/>
  <c r="D99"/>
  <c r="D100"/>
  <c r="D101"/>
  <c r="D93"/>
  <c r="D92"/>
  <c r="D91"/>
  <c r="D90"/>
  <c r="B29" i="22"/>
  <c r="B30"/>
  <c r="B31"/>
  <c r="B32"/>
  <c r="B33"/>
  <c r="B28"/>
  <c r="B25"/>
  <c r="V26" i="3"/>
  <c r="FQ23" i="2" s="1"/>
  <c r="W26" i="3"/>
  <c r="T26"/>
  <c r="X24" i="1"/>
  <c r="X26"/>
  <c r="X28"/>
  <c r="X30"/>
  <c r="W24"/>
  <c r="W26"/>
  <c r="W28"/>
  <c r="V24"/>
  <c r="V26"/>
  <c r="U24"/>
  <c r="J34" a="1"/>
  <c r="CL91" i="2"/>
  <c r="CL92"/>
  <c r="CL93"/>
  <c r="CL94"/>
  <c r="CL95"/>
  <c r="CL96"/>
  <c r="CL97"/>
  <c r="CL98"/>
  <c r="CL99"/>
  <c r="CL100"/>
  <c r="CL101"/>
  <c r="CL102"/>
  <c r="CL103"/>
  <c r="CL104"/>
  <c r="CL105"/>
  <c r="CL106"/>
  <c r="CL107"/>
  <c r="CL108"/>
  <c r="CL109"/>
  <c r="CL90"/>
  <c r="CK91"/>
  <c r="CK92"/>
  <c r="CK93"/>
  <c r="CK94"/>
  <c r="CK95"/>
  <c r="CK96"/>
  <c r="CK97"/>
  <c r="CK98"/>
  <c r="CK99"/>
  <c r="CK100"/>
  <c r="CK101"/>
  <c r="CK102"/>
  <c r="CK103"/>
  <c r="CK104"/>
  <c r="CK105"/>
  <c r="CK106"/>
  <c r="CK107"/>
  <c r="CK108"/>
  <c r="CK109"/>
  <c r="CK90"/>
  <c r="V40" i="22"/>
  <c r="Z40"/>
  <c r="AA40"/>
  <c r="AD40"/>
  <c r="AE40"/>
  <c r="AF40"/>
  <c r="T41"/>
  <c r="W41"/>
  <c r="AA41"/>
  <c r="AC41"/>
  <c r="AE41"/>
  <c r="AF41"/>
  <c r="U42"/>
  <c r="X42"/>
  <c r="AB42"/>
  <c r="AD42"/>
  <c r="AF42"/>
  <c r="AG42"/>
  <c r="V43"/>
  <c r="Y43"/>
  <c r="AC43"/>
  <c r="AE43"/>
  <c r="AG43"/>
  <c r="S44"/>
  <c r="W44"/>
  <c r="Z44"/>
  <c r="AD44"/>
  <c r="AF44"/>
  <c r="AE44"/>
  <c r="AA44"/>
  <c r="AD43"/>
  <c r="Z43"/>
  <c r="AC42"/>
  <c r="Y42"/>
  <c r="AB41"/>
  <c r="X41"/>
  <c r="AB40"/>
  <c r="X40"/>
  <c r="T40"/>
  <c r="S41"/>
  <c r="U41"/>
  <c r="V41"/>
  <c r="Y41"/>
  <c r="Z41"/>
  <c r="AD41"/>
  <c r="AG41"/>
  <c r="S42"/>
  <c r="T42"/>
  <c r="V42"/>
  <c r="W42"/>
  <c r="Z42"/>
  <c r="AA42"/>
  <c r="AE42"/>
  <c r="S43"/>
  <c r="T43"/>
  <c r="U43"/>
  <c r="W43"/>
  <c r="X43"/>
  <c r="AA43"/>
  <c r="AB43"/>
  <c r="AF43"/>
  <c r="T44"/>
  <c r="U44"/>
  <c r="V44"/>
  <c r="X44"/>
  <c r="Y44"/>
  <c r="AB44"/>
  <c r="AG44"/>
  <c r="AC44"/>
  <c r="S40"/>
  <c r="U40"/>
  <c r="W40"/>
  <c r="Y40"/>
  <c r="AC40"/>
  <c r="AG40"/>
  <c r="N34" i="3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33"/>
  <c r="E105" i="2"/>
  <c r="E104"/>
  <c r="E103"/>
  <c r="E101"/>
  <c r="E100"/>
  <c r="E99"/>
  <c r="E98"/>
  <c r="E97"/>
  <c r="E96"/>
  <c r="E95"/>
  <c r="E94"/>
  <c r="B17" i="3"/>
  <c r="O34" i="1" a="1"/>
  <c r="B10" i="3" l="1"/>
  <c r="B24"/>
  <c r="X26"/>
  <c r="M18" i="1" s="1"/>
  <c r="M22" s="1"/>
  <c r="M34" s="1"/>
  <c r="M36" s="1"/>
  <c r="B8" i="3"/>
  <c r="B15"/>
  <c r="B13"/>
  <c r="B11"/>
  <c r="B9"/>
  <c r="B12"/>
  <c r="B7"/>
  <c r="B14"/>
  <c r="C39"/>
  <c r="J18" i="1" l="1"/>
  <c r="J22" s="1"/>
  <c r="N18"/>
  <c r="N22" s="1"/>
  <c r="N34" s="1"/>
  <c r="N36" s="1"/>
  <c r="L18"/>
  <c r="L22" s="1"/>
  <c r="L34" s="1"/>
  <c r="L36" s="1"/>
  <c r="K18"/>
  <c r="K22" s="1"/>
  <c r="K34" s="1"/>
  <c r="K36" s="1"/>
  <c r="D23" i="3"/>
  <c r="H19" s="1"/>
  <c r="I23" i="1" l="1"/>
  <c r="J34"/>
  <c r="J36" s="1"/>
  <c r="Q34" i="3"/>
  <c r="R34" s="1"/>
  <c r="S34" s="1"/>
  <c r="L23" i="1" l="1"/>
  <c r="L24" s="1"/>
  <c r="J23"/>
  <c r="J24" s="1"/>
  <c r="M23"/>
  <c r="M24" s="1"/>
  <c r="T23"/>
  <c r="T24" s="1"/>
  <c r="R23"/>
  <c r="R24" s="1"/>
  <c r="P23"/>
  <c r="P24" s="1"/>
  <c r="N23"/>
  <c r="N24" s="1"/>
  <c r="Q23"/>
  <c r="Q24" s="1"/>
  <c r="S23"/>
  <c r="S24" s="1"/>
  <c r="O23"/>
  <c r="O24" s="1"/>
  <c r="K23"/>
  <c r="K24" s="1"/>
  <c r="J25" s="1"/>
  <c r="L25" s="1"/>
  <c r="AH34" i="3"/>
  <c r="T34"/>
  <c r="AI34"/>
  <c r="L11" l="1"/>
  <c r="S25" i="1"/>
  <c r="S26" s="1"/>
  <c r="Q25"/>
  <c r="Q26" s="1"/>
  <c r="T25"/>
  <c r="T26" s="1"/>
  <c r="O25"/>
  <c r="O26" s="1"/>
  <c r="P25"/>
  <c r="P26" s="1"/>
  <c r="U25"/>
  <c r="U26" s="1"/>
  <c r="N25"/>
  <c r="N26" s="1"/>
  <c r="M25"/>
  <c r="M26" s="1"/>
  <c r="L26"/>
  <c r="K27" s="1"/>
  <c r="K25"/>
  <c r="K26" s="1"/>
  <c r="R25"/>
  <c r="R26" s="1"/>
  <c r="AJ34" i="3"/>
  <c r="U34"/>
  <c r="C38"/>
  <c r="E39" l="1"/>
  <c r="H37" s="1"/>
  <c r="G39" s="1"/>
  <c r="F39" s="1"/>
  <c r="V34"/>
  <c r="AK34"/>
  <c r="R27" i="1"/>
  <c r="R28" s="1"/>
  <c r="O27"/>
  <c r="O28" s="1"/>
  <c r="L27"/>
  <c r="L28" s="1"/>
  <c r="Q27"/>
  <c r="Q28" s="1"/>
  <c r="P27"/>
  <c r="P28" s="1"/>
  <c r="N27"/>
  <c r="N28" s="1"/>
  <c r="V27"/>
  <c r="V28" s="1"/>
  <c r="S27"/>
  <c r="S28" s="1"/>
  <c r="M27"/>
  <c r="M28" s="1"/>
  <c r="U27"/>
  <c r="U28" s="1"/>
  <c r="T27"/>
  <c r="T28" s="1"/>
  <c r="AL34" i="3" l="1"/>
  <c r="W34"/>
  <c r="L29" i="1"/>
  <c r="X34" i="3" l="1"/>
  <c r="AM34"/>
  <c r="N29" i="1"/>
  <c r="N30" s="1"/>
  <c r="V29"/>
  <c r="V30" s="1"/>
  <c r="S29"/>
  <c r="S30" s="1"/>
  <c r="Q29"/>
  <c r="Q30" s="1"/>
  <c r="P29"/>
  <c r="P30" s="1"/>
  <c r="M29"/>
  <c r="M30" s="1"/>
  <c r="U29"/>
  <c r="U30" s="1"/>
  <c r="W29"/>
  <c r="W30" s="1"/>
  <c r="R29"/>
  <c r="R30" s="1"/>
  <c r="T29"/>
  <c r="T30" s="1"/>
  <c r="O29"/>
  <c r="O30" s="1"/>
  <c r="AN34" i="3" l="1"/>
  <c r="Y34"/>
  <c r="M31" i="1"/>
  <c r="Z34" i="3" l="1"/>
  <c r="AO34"/>
  <c r="W31" i="1"/>
  <c r="W32" s="1"/>
  <c r="W34" s="1"/>
  <c r="W36" s="1"/>
  <c r="U31"/>
  <c r="U32" s="1"/>
  <c r="U34" s="1"/>
  <c r="U36" s="1"/>
  <c r="S31"/>
  <c r="S32" s="1"/>
  <c r="S34" s="1"/>
  <c r="S36" s="1"/>
  <c r="T31"/>
  <c r="T32" s="1"/>
  <c r="T34" s="1"/>
  <c r="T36" s="1"/>
  <c r="R31"/>
  <c r="R32" s="1"/>
  <c r="R34" s="1"/>
  <c r="R36" s="1"/>
  <c r="O31"/>
  <c r="O32" s="1"/>
  <c r="O34" s="1"/>
  <c r="O36" s="1"/>
  <c r="V31"/>
  <c r="V32" s="1"/>
  <c r="V34" s="1"/>
  <c r="V36" s="1"/>
  <c r="Q31"/>
  <c r="Q32" s="1"/>
  <c r="Q34" s="1"/>
  <c r="Q36" s="1"/>
  <c r="X31"/>
  <c r="X32" s="1"/>
  <c r="X34" s="1"/>
  <c r="X36" s="1"/>
  <c r="N31"/>
  <c r="N32" s="1"/>
  <c r="P31"/>
  <c r="P32" s="1"/>
  <c r="P34" s="1"/>
  <c r="P36" s="1"/>
  <c r="K19"/>
  <c r="AP34" i="3" l="1"/>
  <c r="AA34"/>
  <c r="FN23" i="2"/>
  <c r="AB34" i="3" l="1"/>
  <c r="AQ34"/>
  <c r="AR34" l="1"/>
  <c r="AC34"/>
  <c r="AD34" l="1"/>
  <c r="AS34"/>
  <c r="AT34" l="1"/>
  <c r="AE34"/>
  <c r="AF34" l="1"/>
  <c r="AU34"/>
  <c r="AV34" l="1"/>
  <c r="AG34"/>
  <c r="AW34" s="1"/>
  <c r="P34" l="1"/>
  <c r="FO23" i="2" l="1"/>
  <c r="FN27" s="1"/>
  <c r="FS25" l="1"/>
  <c r="FT25"/>
  <c r="FP23"/>
  <c r="FQ25"/>
  <c r="FR25"/>
  <c r="FO25"/>
  <c r="FN25"/>
  <c r="FP25"/>
  <c r="FQ21"/>
  <c r="FP21" s="1"/>
  <c r="H20" i="3"/>
  <c r="J39" s="1"/>
  <c r="C40" s="1"/>
  <c r="L1" i="2" l="1"/>
  <c r="E40" i="3" l="1"/>
  <c r="G41" s="1"/>
  <c r="I41" s="1"/>
  <c r="FH1" i="2"/>
  <c r="FB2"/>
  <c r="FB3"/>
  <c r="FB1"/>
  <c r="N1"/>
  <c r="H2685" i="3" l="1"/>
  <c r="I2685" s="1"/>
  <c r="H2565"/>
  <c r="I2565" s="1"/>
  <c r="H666"/>
  <c r="I666" s="1"/>
  <c r="H2069"/>
  <c r="I2069" s="1"/>
  <c r="H1874"/>
  <c r="I1874" s="1"/>
  <c r="H2801"/>
  <c r="I2801" s="1"/>
  <c r="H1714"/>
  <c r="I1714" s="1"/>
  <c r="H2973"/>
  <c r="I2973" s="1"/>
  <c r="H1958"/>
  <c r="I1958" s="1"/>
  <c r="H1774"/>
  <c r="I1774" s="1"/>
  <c r="H2079"/>
  <c r="I2079" s="1"/>
  <c r="H400"/>
  <c r="I400" s="1"/>
  <c r="H2955"/>
  <c r="I2955" s="1"/>
  <c r="H155"/>
  <c r="I155" s="1"/>
  <c r="H1457"/>
  <c r="I1457" s="1"/>
  <c r="H1049"/>
  <c r="I1049" s="1"/>
  <c r="H2602"/>
  <c r="I2602" s="1"/>
  <c r="H1999"/>
  <c r="I1999" s="1"/>
  <c r="H1836"/>
  <c r="I1836" s="1"/>
  <c r="H1009"/>
  <c r="I1009" s="1"/>
  <c r="H2869"/>
  <c r="I2869" s="1"/>
  <c r="H2005"/>
  <c r="I2005" s="1"/>
  <c r="H875"/>
  <c r="I875" s="1"/>
  <c r="H2814"/>
  <c r="I2814" s="1"/>
  <c r="H547"/>
  <c r="I547" s="1"/>
  <c r="H448"/>
  <c r="I448" s="1"/>
  <c r="H2797"/>
  <c r="I2797" s="1"/>
  <c r="H2164"/>
  <c r="I2164" s="1"/>
  <c r="H2853"/>
  <c r="I2853" s="1"/>
  <c r="H2261"/>
  <c r="I2261" s="1"/>
  <c r="H145"/>
  <c r="I145" s="1"/>
  <c r="H1692"/>
  <c r="I1692" s="1"/>
  <c r="H1082"/>
  <c r="I1082" s="1"/>
  <c r="H968"/>
  <c r="I968" s="1"/>
  <c r="H2665"/>
  <c r="I2665" s="1"/>
  <c r="H732"/>
  <c r="I732" s="1"/>
  <c r="H1268"/>
  <c r="I1268" s="1"/>
  <c r="H1469"/>
  <c r="I1469" s="1"/>
  <c r="H1974"/>
  <c r="I1974" s="1"/>
  <c r="H679"/>
  <c r="I679" s="1"/>
  <c r="H1842"/>
  <c r="I1842" s="1"/>
  <c r="H2799"/>
  <c r="I2799" s="1"/>
  <c r="H1536"/>
  <c r="I1536" s="1"/>
  <c r="H1799"/>
  <c r="I1799" s="1"/>
  <c r="H1906"/>
  <c r="I1906" s="1"/>
  <c r="H1663"/>
  <c r="I1663" s="1"/>
  <c r="H1489"/>
  <c r="I1489" s="1"/>
  <c r="H1511"/>
  <c r="I1511" s="1"/>
  <c r="H2843"/>
  <c r="I2843" s="1"/>
  <c r="H2431"/>
  <c r="I2431" s="1"/>
  <c r="H1323"/>
  <c r="I1323" s="1"/>
  <c r="H1790"/>
  <c r="I1790" s="1"/>
  <c r="H1302"/>
  <c r="I1302" s="1"/>
  <c r="H2753"/>
  <c r="I2753" s="1"/>
  <c r="H2193"/>
  <c r="I2193" s="1"/>
  <c r="H1260"/>
  <c r="I1260" s="1"/>
  <c r="H1420"/>
  <c r="I1420" s="1"/>
  <c r="H2088"/>
  <c r="I2088" s="1"/>
  <c r="H2287"/>
  <c r="I2287" s="1"/>
  <c r="H349"/>
  <c r="I349" s="1"/>
  <c r="H2563"/>
  <c r="I2563" s="1"/>
  <c r="H2219"/>
  <c r="I2219" s="1"/>
  <c r="H1392"/>
  <c r="I1392" s="1"/>
  <c r="H1669"/>
  <c r="I1669" s="1"/>
  <c r="H866"/>
  <c r="I866" s="1"/>
  <c r="H1217"/>
  <c r="I1217" s="1"/>
  <c r="H913"/>
  <c r="I913" s="1"/>
  <c r="H2902"/>
  <c r="I2902" s="1"/>
  <c r="H2051"/>
  <c r="I2051" s="1"/>
  <c r="H1794"/>
  <c r="I1794" s="1"/>
  <c r="H2646"/>
  <c r="I2646" s="1"/>
  <c r="H2339"/>
  <c r="I2339" s="1"/>
  <c r="H1961"/>
  <c r="I1961" s="1"/>
  <c r="H2254"/>
  <c r="I2254" s="1"/>
  <c r="H2000"/>
  <c r="I2000" s="1"/>
  <c r="H2707"/>
  <c r="I2707" s="1"/>
  <c r="H803"/>
  <c r="I803" s="1"/>
  <c r="H506"/>
  <c r="I506" s="1"/>
  <c r="H291"/>
  <c r="I291" s="1"/>
  <c r="H2658"/>
  <c r="I2658" s="1"/>
  <c r="H93"/>
  <c r="I93" s="1"/>
  <c r="H1342"/>
  <c r="I1342" s="1"/>
  <c r="H2131"/>
  <c r="I2131" s="1"/>
  <c r="H2039"/>
  <c r="I2039" s="1"/>
  <c r="H2915"/>
  <c r="I2915" s="1"/>
  <c r="H1196"/>
  <c r="I1196" s="1"/>
  <c r="H553"/>
  <c r="I553" s="1"/>
  <c r="H405"/>
  <c r="I405" s="1"/>
  <c r="H1095"/>
  <c r="I1095" s="1"/>
  <c r="H1786"/>
  <c r="I1786" s="1"/>
  <c r="H1930"/>
  <c r="I1930" s="1"/>
  <c r="H2375"/>
  <c r="I2375" s="1"/>
  <c r="H1092"/>
  <c r="I1092" s="1"/>
  <c r="H397"/>
  <c r="I397" s="1"/>
  <c r="H2794"/>
  <c r="I2794" s="1"/>
  <c r="H1565"/>
  <c r="I1565" s="1"/>
  <c r="H645"/>
  <c r="I645" s="1"/>
  <c r="H57"/>
  <c r="I57" s="1"/>
  <c r="H295"/>
  <c r="I295" s="1"/>
  <c r="H1281"/>
  <c r="I1281" s="1"/>
  <c r="H2508"/>
  <c r="I2508" s="1"/>
  <c r="H1221"/>
  <c r="I1221" s="1"/>
  <c r="H2786"/>
  <c r="I2786" s="1"/>
  <c r="H637"/>
  <c r="I637" s="1"/>
  <c r="H2101"/>
  <c r="I2101" s="1"/>
  <c r="H986"/>
  <c r="I986" s="1"/>
  <c r="H533"/>
  <c r="I533" s="1"/>
  <c r="H1443"/>
  <c r="I1443" s="1"/>
  <c r="H2682"/>
  <c r="I2682" s="1"/>
  <c r="H2689"/>
  <c r="I2689" s="1"/>
  <c r="H234"/>
  <c r="I234" s="1"/>
  <c r="H1012"/>
  <c r="I1012" s="1"/>
  <c r="H2084"/>
  <c r="I2084" s="1"/>
  <c r="H319"/>
  <c r="I319" s="1"/>
  <c r="H1485"/>
  <c r="I1485" s="1"/>
  <c r="H572"/>
  <c r="I572" s="1"/>
  <c r="H335"/>
  <c r="I335" s="1"/>
  <c r="H230"/>
  <c r="I230" s="1"/>
  <c r="H1318"/>
  <c r="I1318" s="1"/>
  <c r="H568"/>
  <c r="I568" s="1"/>
  <c r="H2774"/>
  <c r="I2774" s="1"/>
  <c r="H1828"/>
  <c r="I1828" s="1"/>
  <c r="H2453"/>
  <c r="I2453" s="1"/>
  <c r="H1147"/>
  <c r="I1147" s="1"/>
  <c r="H2214"/>
  <c r="I2214" s="1"/>
  <c r="H2507"/>
  <c r="I2507" s="1"/>
  <c r="H1711"/>
  <c r="I1711" s="1"/>
  <c r="H1771"/>
  <c r="I1771" s="1"/>
  <c r="H1422"/>
  <c r="I1422" s="1"/>
  <c r="H1167"/>
  <c r="I1167" s="1"/>
  <c r="H229"/>
  <c r="I229" s="1"/>
  <c r="H2879"/>
  <c r="I2879" s="1"/>
  <c r="H2961"/>
  <c r="I2961" s="1"/>
  <c r="H955"/>
  <c r="I955" s="1"/>
  <c r="H1295"/>
  <c r="I1295" s="1"/>
  <c r="H1128"/>
  <c r="I1128" s="1"/>
  <c r="H207"/>
  <c r="I207" s="1"/>
  <c r="H2674"/>
  <c r="I2674" s="1"/>
  <c r="H2527"/>
  <c r="I2527" s="1"/>
  <c r="H1727"/>
  <c r="I1727" s="1"/>
  <c r="H2497"/>
  <c r="I2497" s="1"/>
  <c r="H1848"/>
  <c r="I1848" s="1"/>
  <c r="H2360"/>
  <c r="I2360" s="1"/>
  <c r="H1431"/>
  <c r="I1431" s="1"/>
  <c r="H1846"/>
  <c r="I1846" s="1"/>
  <c r="H684"/>
  <c r="I684" s="1"/>
  <c r="H940"/>
  <c r="I940" s="1"/>
  <c r="H493"/>
  <c r="I493" s="1"/>
  <c r="H419"/>
  <c r="I419" s="1"/>
  <c r="H2120"/>
  <c r="I2120" s="1"/>
  <c r="H293"/>
  <c r="I293" s="1"/>
  <c r="H898"/>
  <c r="I898" s="1"/>
  <c r="H62"/>
  <c r="I62" s="1"/>
  <c r="H2209"/>
  <c r="I2209" s="1"/>
  <c r="H2842"/>
  <c r="I2842" s="1"/>
  <c r="H1315"/>
  <c r="I1315" s="1"/>
  <c r="H2446"/>
  <c r="I2446" s="1"/>
  <c r="H1768"/>
  <c r="I1768" s="1"/>
  <c r="H1207"/>
  <c r="I1207" s="1"/>
  <c r="H2406"/>
  <c r="I2406" s="1"/>
  <c r="H213"/>
  <c r="I213" s="1"/>
  <c r="H1942"/>
  <c r="I1942" s="1"/>
  <c r="H2169"/>
  <c r="I2169" s="1"/>
  <c r="H298"/>
  <c r="I298" s="1"/>
  <c r="H2312"/>
  <c r="I2312" s="1"/>
  <c r="H1832"/>
  <c r="I1832" s="1"/>
  <c r="H772"/>
  <c r="I772" s="1"/>
  <c r="H597"/>
  <c r="I597" s="1"/>
  <c r="H1971"/>
  <c r="I1971" s="1"/>
  <c r="H2691"/>
  <c r="I2691" s="1"/>
  <c r="H762"/>
  <c r="I762" s="1"/>
  <c r="H2809"/>
  <c r="I2809" s="1"/>
  <c r="H746"/>
  <c r="I746" s="1"/>
  <c r="H1379"/>
  <c r="I1379" s="1"/>
  <c r="H345"/>
  <c r="I345" s="1"/>
  <c r="H681"/>
  <c r="I681" s="1"/>
  <c r="H134"/>
  <c r="I134" s="1"/>
  <c r="H945"/>
  <c r="I945" s="1"/>
  <c r="H253"/>
  <c r="I253" s="1"/>
  <c r="H2699"/>
  <c r="I2699" s="1"/>
  <c r="H2336"/>
  <c r="I2336" s="1"/>
  <c r="H2525"/>
  <c r="I2525" s="1"/>
  <c r="H1006"/>
  <c r="I1006" s="1"/>
  <c r="H2091"/>
  <c r="I2091" s="1"/>
  <c r="H154"/>
  <c r="I154" s="1"/>
  <c r="H64"/>
  <c r="I64" s="1"/>
  <c r="H1865"/>
  <c r="I1865" s="1"/>
  <c r="H1559"/>
  <c r="I1559" s="1"/>
  <c r="H114"/>
  <c r="I114" s="1"/>
  <c r="H2800"/>
  <c r="I2800" s="1"/>
  <c r="H2827"/>
  <c r="I2827" s="1"/>
  <c r="H2519"/>
  <c r="I2519" s="1"/>
  <c r="H2157"/>
  <c r="I2157" s="1"/>
  <c r="H1891"/>
  <c r="I1891" s="1"/>
  <c r="H2451"/>
  <c r="I2451" s="1"/>
  <c r="H1649"/>
  <c r="I1649" s="1"/>
  <c r="H931"/>
  <c r="I931" s="1"/>
  <c r="H346"/>
  <c r="I346" s="1"/>
  <c r="H1875"/>
  <c r="I1875" s="1"/>
  <c r="H687"/>
  <c r="I687" s="1"/>
  <c r="H605"/>
  <c r="I605" s="1"/>
  <c r="H2367"/>
  <c r="I2367" s="1"/>
  <c r="H1755"/>
  <c r="I1755" s="1"/>
  <c r="H1603"/>
  <c r="I1603" s="1"/>
  <c r="H1131"/>
  <c r="I1131" s="1"/>
  <c r="H406"/>
  <c r="I406" s="1"/>
  <c r="H1653"/>
  <c r="I1653" s="1"/>
  <c r="H1114"/>
  <c r="I1114" s="1"/>
  <c r="H211"/>
  <c r="I211" s="1"/>
  <c r="H1029"/>
  <c r="I1029" s="1"/>
  <c r="H845"/>
  <c r="I845" s="1"/>
  <c r="H2681"/>
  <c r="I2681" s="1"/>
  <c r="H2465"/>
  <c r="I2465" s="1"/>
  <c r="H918"/>
  <c r="I918" s="1"/>
  <c r="H2383"/>
  <c r="I2383" s="1"/>
  <c r="H228"/>
  <c r="I228" s="1"/>
  <c r="H2031"/>
  <c r="I2031" s="1"/>
  <c r="H2513"/>
  <c r="I2513" s="1"/>
  <c r="H595"/>
  <c r="I595" s="1"/>
  <c r="H1959"/>
  <c r="I1959" s="1"/>
  <c r="H1300"/>
  <c r="I1300" s="1"/>
  <c r="H781"/>
  <c r="I781" s="1"/>
  <c r="H1582"/>
  <c r="I1582" s="1"/>
  <c r="H2290"/>
  <c r="I2290" s="1"/>
  <c r="H436"/>
  <c r="I436" s="1"/>
  <c r="H212"/>
  <c r="I212" s="1"/>
  <c r="H1014"/>
  <c r="I1014" s="1"/>
  <c r="H376"/>
  <c r="I376" s="1"/>
  <c r="H1772"/>
  <c r="I1772" s="1"/>
  <c r="H450"/>
  <c r="I450" s="1"/>
  <c r="H2798"/>
  <c r="I2798" s="1"/>
  <c r="H1235"/>
  <c r="I1235" s="1"/>
  <c r="H240"/>
  <c r="I240" s="1"/>
  <c r="H1378"/>
  <c r="I1378" s="1"/>
  <c r="H1486"/>
  <c r="I1486" s="1"/>
  <c r="H480"/>
  <c r="I480" s="1"/>
  <c r="H974"/>
  <c r="I974" s="1"/>
  <c r="H943"/>
  <c r="I943" s="1"/>
  <c r="H1042"/>
  <c r="I1042" s="1"/>
  <c r="H1562"/>
  <c r="I1562" s="1"/>
  <c r="H2569"/>
  <c r="I2569" s="1"/>
  <c r="H585"/>
  <c r="I585" s="1"/>
  <c r="H2781"/>
  <c r="I2781" s="1"/>
  <c r="H1428"/>
  <c r="I1428" s="1"/>
  <c r="H2038"/>
  <c r="I2038" s="1"/>
  <c r="H72"/>
  <c r="I72" s="1"/>
  <c r="H1053"/>
  <c r="I1053" s="1"/>
  <c r="H434"/>
  <c r="I434" s="1"/>
  <c r="H2680"/>
  <c r="I2680" s="1"/>
  <c r="H342"/>
  <c r="I342" s="1"/>
  <c r="H1524"/>
  <c r="I1524" s="1"/>
  <c r="H1106"/>
  <c r="I1106" s="1"/>
  <c r="H2718"/>
  <c r="I2718" s="1"/>
  <c r="H2382"/>
  <c r="I2382" s="1"/>
  <c r="H1560"/>
  <c r="I1560" s="1"/>
  <c r="H1732"/>
  <c r="I1732" s="1"/>
  <c r="H1754"/>
  <c r="I1754" s="1"/>
  <c r="H1533"/>
  <c r="I1533" s="1"/>
  <c r="H2834"/>
  <c r="I2834" s="1"/>
  <c r="H2644"/>
  <c r="I2644" s="1"/>
  <c r="H1725"/>
  <c r="I1725" s="1"/>
  <c r="H220"/>
  <c r="I220" s="1"/>
  <c r="H109"/>
  <c r="I109" s="1"/>
  <c r="H425"/>
  <c r="I425" s="1"/>
  <c r="H1288"/>
  <c r="I1288" s="1"/>
  <c r="H2632"/>
  <c r="I2632" s="1"/>
  <c r="H979"/>
  <c r="I979" s="1"/>
  <c r="H621"/>
  <c r="I621" s="1"/>
  <c r="H967"/>
  <c r="I967" s="1"/>
  <c r="H704"/>
  <c r="I704" s="1"/>
  <c r="H2134"/>
  <c r="I2134" s="1"/>
  <c r="H1253"/>
  <c r="I1253" s="1"/>
  <c r="H2829"/>
  <c r="I2829" s="1"/>
  <c r="H1497"/>
  <c r="I1497" s="1"/>
  <c r="H985"/>
  <c r="I985" s="1"/>
  <c r="H2747"/>
  <c r="I2747" s="1"/>
  <c r="H1662"/>
  <c r="I1662" s="1"/>
  <c r="H1652"/>
  <c r="I1652" s="1"/>
  <c r="H368"/>
  <c r="I368" s="1"/>
  <c r="H1986"/>
  <c r="I1986" s="1"/>
  <c r="H818"/>
  <c r="I818" s="1"/>
  <c r="H1164"/>
  <c r="I1164" s="1"/>
  <c r="H2645"/>
  <c r="I2645" s="1"/>
  <c r="H1919"/>
  <c r="I1919" s="1"/>
  <c r="H995"/>
  <c r="I995" s="1"/>
  <c r="H1607"/>
  <c r="I1607" s="1"/>
  <c r="H1148"/>
  <c r="I1148" s="1"/>
  <c r="H2924"/>
  <c r="I2924" s="1"/>
  <c r="H1641"/>
  <c r="I1641" s="1"/>
  <c r="H2089"/>
  <c r="I2089" s="1"/>
  <c r="H1313"/>
  <c r="I1313" s="1"/>
  <c r="H602"/>
  <c r="I602" s="1"/>
  <c r="H486"/>
  <c r="I486" s="1"/>
  <c r="H870"/>
  <c r="I870" s="1"/>
  <c r="H2730"/>
  <c r="I2730" s="1"/>
  <c r="H59"/>
  <c r="I59" s="1"/>
  <c r="H549"/>
  <c r="I549" s="1"/>
  <c r="H1544"/>
  <c r="I1544" s="1"/>
  <c r="H301"/>
  <c r="I301" s="1"/>
  <c r="H1877"/>
  <c r="I1877" s="1"/>
  <c r="H966"/>
  <c r="I966" s="1"/>
  <c r="H727"/>
  <c r="I727" s="1"/>
  <c r="H2636"/>
  <c r="I2636" s="1"/>
  <c r="H2868"/>
  <c r="I2868" s="1"/>
  <c r="H1041"/>
  <c r="I1041" s="1"/>
  <c r="H1527"/>
  <c r="I1527" s="1"/>
  <c r="H2136"/>
  <c r="I2136" s="1"/>
  <c r="H836"/>
  <c r="I836" s="1"/>
  <c r="H377"/>
  <c r="I377" s="1"/>
  <c r="H2883"/>
  <c r="I2883" s="1"/>
  <c r="H1619"/>
  <c r="I1619" s="1"/>
  <c r="H1845"/>
  <c r="I1845" s="1"/>
  <c r="H538"/>
  <c r="I538" s="1"/>
  <c r="H1407"/>
  <c r="I1407" s="1"/>
  <c r="H1800"/>
  <c r="I1800" s="1"/>
  <c r="H949"/>
  <c r="I949" s="1"/>
  <c r="H768"/>
  <c r="I768" s="1"/>
  <c r="H1390"/>
  <c r="I1390" s="1"/>
  <c r="H519"/>
  <c r="I519" s="1"/>
  <c r="H1213"/>
  <c r="I1213" s="1"/>
  <c r="H1117"/>
  <c r="I1117" s="1"/>
  <c r="H2696"/>
  <c r="I2696" s="1"/>
  <c r="H1255"/>
  <c r="I1255" s="1"/>
  <c r="H729"/>
  <c r="I729" s="1"/>
  <c r="H1062"/>
  <c r="I1062" s="1"/>
  <c r="H1976"/>
  <c r="I1976" s="1"/>
  <c r="H846"/>
  <c r="I846" s="1"/>
  <c r="H1830"/>
  <c r="I1830" s="1"/>
  <c r="H1775"/>
  <c r="I1775" s="1"/>
  <c r="H601"/>
  <c r="I601" s="1"/>
  <c r="H1615"/>
  <c r="I1615" s="1"/>
  <c r="H1445"/>
  <c r="I1445" s="1"/>
  <c r="H2746"/>
  <c r="I2746" s="1"/>
  <c r="H267"/>
  <c r="I267" s="1"/>
  <c r="H1864"/>
  <c r="I1864" s="1"/>
  <c r="H2348"/>
  <c r="I2348" s="1"/>
  <c r="H1805"/>
  <c r="I1805" s="1"/>
  <c r="H1773"/>
  <c r="I1773" s="1"/>
  <c r="H1722"/>
  <c r="I1722" s="1"/>
  <c r="H232"/>
  <c r="I232" s="1"/>
  <c r="H1138"/>
  <c r="I1138" s="1"/>
  <c r="H1678"/>
  <c r="I1678" s="1"/>
  <c r="H1398"/>
  <c r="I1398" s="1"/>
  <c r="H1215"/>
  <c r="I1215" s="1"/>
  <c r="H178"/>
  <c r="I178" s="1"/>
  <c r="H1314"/>
  <c r="I1314" s="1"/>
  <c r="H268"/>
  <c r="I268" s="1"/>
  <c r="H678"/>
  <c r="I678" s="1"/>
  <c r="H2830"/>
  <c r="I2830" s="1"/>
  <c r="H2067"/>
  <c r="I2067" s="1"/>
  <c r="H1471"/>
  <c r="I1471" s="1"/>
  <c r="H1303"/>
  <c r="I1303" s="1"/>
  <c r="H1223"/>
  <c r="I1223" s="1"/>
  <c r="H2470"/>
  <c r="I2470" s="1"/>
  <c r="H2949"/>
  <c r="I2949" s="1"/>
  <c r="H1705"/>
  <c r="I1705" s="1"/>
  <c r="H2144"/>
  <c r="I2144" s="1"/>
  <c r="H489"/>
  <c r="I489" s="1"/>
  <c r="H259"/>
  <c r="I259" s="1"/>
  <c r="H1593"/>
  <c r="I1593" s="1"/>
  <c r="H890"/>
  <c r="I890" s="1"/>
  <c r="H492"/>
  <c r="I492" s="1"/>
  <c r="H247"/>
  <c r="I247" s="1"/>
  <c r="H125"/>
  <c r="I125" s="1"/>
  <c r="H1973"/>
  <c r="I1973" s="1"/>
  <c r="H992"/>
  <c r="I992" s="1"/>
  <c r="H2545"/>
  <c r="I2545" s="1"/>
  <c r="H427"/>
  <c r="I427" s="1"/>
  <c r="H1004"/>
  <c r="I1004" s="1"/>
  <c r="H1659"/>
  <c r="I1659" s="1"/>
  <c r="H802"/>
  <c r="I802" s="1"/>
  <c r="H46"/>
  <c r="I46" s="1"/>
  <c r="H2654"/>
  <c r="I2654" s="1"/>
  <c r="H438"/>
  <c r="I438" s="1"/>
  <c r="H906"/>
  <c r="I906" s="1"/>
  <c r="H1778"/>
  <c r="I1778" s="1"/>
  <c r="H77"/>
  <c r="I77" s="1"/>
  <c r="H2744"/>
  <c r="I2744" s="1"/>
  <c r="H373"/>
  <c r="I373" s="1"/>
  <c r="H1977"/>
  <c r="I1977" s="1"/>
  <c r="H2889"/>
  <c r="I2889" s="1"/>
  <c r="H1693"/>
  <c r="I1693" s="1"/>
  <c r="H680"/>
  <c r="I680" s="1"/>
  <c r="H1954"/>
  <c r="I1954" s="1"/>
  <c r="H1822"/>
  <c r="I1822" s="1"/>
  <c r="H1448"/>
  <c r="I1448" s="1"/>
  <c r="H594"/>
  <c r="I594" s="1"/>
  <c r="H1394"/>
  <c r="I1394" s="1"/>
  <c r="H1145"/>
  <c r="I1145" s="1"/>
  <c r="H332"/>
  <c r="I332" s="1"/>
  <c r="H282"/>
  <c r="I282" s="1"/>
  <c r="H1878"/>
  <c r="I1878" s="1"/>
  <c r="H2706"/>
  <c r="I2706" s="1"/>
  <c r="H1642"/>
  <c r="I1642" s="1"/>
  <c r="H1369"/>
  <c r="I1369" s="1"/>
  <c r="H149"/>
  <c r="I149" s="1"/>
  <c r="H296"/>
  <c r="I296" s="1"/>
  <c r="H1344"/>
  <c r="I1344" s="1"/>
  <c r="H265"/>
  <c r="I265" s="1"/>
  <c r="H2171"/>
  <c r="I2171" s="1"/>
  <c r="H162"/>
  <c r="I162" s="1"/>
  <c r="H223"/>
  <c r="I223" s="1"/>
  <c r="H926"/>
  <c r="I926" s="1"/>
  <c r="H2006"/>
  <c r="I2006" s="1"/>
  <c r="H2207"/>
  <c r="I2207" s="1"/>
  <c r="H2493"/>
  <c r="I2493" s="1"/>
  <c r="H1159"/>
  <c r="I1159" s="1"/>
  <c r="H1190"/>
  <c r="I1190" s="1"/>
  <c r="H1332"/>
  <c r="I1332" s="1"/>
  <c r="H2471"/>
  <c r="I2471" s="1"/>
  <c r="H1982"/>
  <c r="I1982" s="1"/>
  <c r="H1214"/>
  <c r="I1214" s="1"/>
  <c r="H242"/>
  <c r="I242" s="1"/>
  <c r="H2668"/>
  <c r="I2668" s="1"/>
  <c r="H86"/>
  <c r="I86" s="1"/>
  <c r="H1124"/>
  <c r="I1124" s="1"/>
  <c r="H2111"/>
  <c r="I2111" s="1"/>
  <c r="H2466"/>
  <c r="I2466" s="1"/>
  <c r="H1628"/>
  <c r="I1628" s="1"/>
  <c r="H1498"/>
  <c r="I1498" s="1"/>
  <c r="H1027"/>
  <c r="I1027" s="1"/>
  <c r="H101"/>
  <c r="I101" s="1"/>
  <c r="H241"/>
  <c r="I241" s="1"/>
  <c r="H2239"/>
  <c r="I2239" s="1"/>
  <c r="H2992"/>
  <c r="I2992" s="1"/>
  <c r="H622"/>
  <c r="I622" s="1"/>
  <c r="H2791"/>
  <c r="I2791" s="1"/>
  <c r="H258"/>
  <c r="I258" s="1"/>
  <c r="H171"/>
  <c r="I171" s="1"/>
  <c r="H2100"/>
  <c r="I2100" s="1"/>
  <c r="H2615"/>
  <c r="I2615" s="1"/>
  <c r="H1309"/>
  <c r="I1309" s="1"/>
  <c r="H1571"/>
  <c r="I1571" s="1"/>
  <c r="H1589"/>
  <c r="I1589" s="1"/>
  <c r="H386"/>
  <c r="I386" s="1"/>
  <c r="H2161"/>
  <c r="I2161" s="1"/>
  <c r="H381"/>
  <c r="I381" s="1"/>
  <c r="H962"/>
  <c r="I962" s="1"/>
  <c r="H1025"/>
  <c r="I1025" s="1"/>
  <c r="H1244"/>
  <c r="I1244" s="1"/>
  <c r="H407"/>
  <c r="I407" s="1"/>
  <c r="H1264"/>
  <c r="I1264" s="1"/>
  <c r="H1499"/>
  <c r="I1499" s="1"/>
  <c r="H1208"/>
  <c r="I1208" s="1"/>
  <c r="H107"/>
  <c r="I107" s="1"/>
  <c r="H1667"/>
  <c r="I1667" s="1"/>
  <c r="H2895"/>
  <c r="I2895" s="1"/>
  <c r="H2594"/>
  <c r="I2594" s="1"/>
  <c r="H1242"/>
  <c r="I1242" s="1"/>
  <c r="H173"/>
  <c r="I173" s="1"/>
  <c r="H2198"/>
  <c r="I2198" s="1"/>
  <c r="H410"/>
  <c r="I410" s="1"/>
  <c r="H2085"/>
  <c r="I2085" s="1"/>
  <c r="H1136"/>
  <c r="I1136" s="1"/>
  <c r="H192"/>
  <c r="I192" s="1"/>
  <c r="H252"/>
  <c r="I252" s="1"/>
  <c r="H1809"/>
  <c r="I1809" s="1"/>
  <c r="H807"/>
  <c r="I807" s="1"/>
  <c r="H542"/>
  <c r="I542" s="1"/>
  <c r="H2042"/>
  <c r="I2042" s="1"/>
  <c r="H2626"/>
  <c r="I2626" s="1"/>
  <c r="H504"/>
  <c r="I504" s="1"/>
  <c r="H1640"/>
  <c r="I1640" s="1"/>
  <c r="H1306"/>
  <c r="I1306" s="1"/>
  <c r="H1359"/>
  <c r="I1359" s="1"/>
  <c r="H1909"/>
  <c r="I1909" s="1"/>
  <c r="H808"/>
  <c r="I808" s="1"/>
  <c r="H2768"/>
  <c r="I2768" s="1"/>
  <c r="H2874"/>
  <c r="I2874" s="1"/>
  <c r="H1387"/>
  <c r="I1387" s="1"/>
  <c r="H2473"/>
  <c r="I2473" s="1"/>
  <c r="H2404"/>
  <c r="I2404" s="1"/>
  <c r="H1078"/>
  <c r="I1078" s="1"/>
  <c r="H512"/>
  <c r="I512" s="1"/>
  <c r="H2285"/>
  <c r="I2285" s="1"/>
  <c r="H2553"/>
  <c r="I2553" s="1"/>
  <c r="H1787"/>
  <c r="I1787" s="1"/>
  <c r="H1066"/>
  <c r="I1066" s="1"/>
  <c r="H1316"/>
  <c r="I1316" s="1"/>
  <c r="H2127"/>
  <c r="I2127" s="1"/>
  <c r="H2010"/>
  <c r="I2010" s="1"/>
  <c r="H1886"/>
  <c r="I1886" s="1"/>
  <c r="H1108"/>
  <c r="I1108" s="1"/>
  <c r="H1201"/>
  <c r="I1201" s="1"/>
  <c r="H894"/>
  <c r="I894" s="1"/>
  <c r="H1889"/>
  <c r="I1889" s="1"/>
  <c r="H2249"/>
  <c r="I2249" s="1"/>
  <c r="H1340"/>
  <c r="I1340" s="1"/>
  <c r="H907"/>
  <c r="I907" s="1"/>
  <c r="H1059"/>
  <c r="I1059" s="1"/>
  <c r="H2456"/>
  <c r="I2456" s="1"/>
  <c r="H311"/>
  <c r="I311" s="1"/>
  <c r="H2464"/>
  <c r="I2464" s="1"/>
  <c r="H1535"/>
  <c r="I1535" s="1"/>
  <c r="H529"/>
  <c r="I529" s="1"/>
  <c r="H148"/>
  <c r="I148" s="1"/>
  <c r="H1789"/>
  <c r="I1789" s="1"/>
  <c r="H2310"/>
  <c r="I2310" s="1"/>
  <c r="H1950"/>
  <c r="I1950" s="1"/>
  <c r="H2264"/>
  <c r="I2264" s="1"/>
  <c r="H1389"/>
  <c r="I1389" s="1"/>
  <c r="H1174"/>
  <c r="I1174" s="1"/>
  <c r="H378"/>
  <c r="I378" s="1"/>
  <c r="H698"/>
  <c r="I698" s="1"/>
  <c r="H1228"/>
  <c r="I1228" s="1"/>
  <c r="H821"/>
  <c r="I821" s="1"/>
  <c r="H1503"/>
  <c r="I1503" s="1"/>
  <c r="H1922"/>
  <c r="I1922" s="1"/>
  <c r="H1736"/>
  <c r="I1736" s="1"/>
  <c r="H515"/>
  <c r="I515" s="1"/>
  <c r="H532"/>
  <c r="I532" s="1"/>
  <c r="H2220"/>
  <c r="I2220" s="1"/>
  <c r="H655"/>
  <c r="I655" s="1"/>
  <c r="H2702"/>
  <c r="I2702" s="1"/>
  <c r="H2206"/>
  <c r="I2206" s="1"/>
  <c r="H1385"/>
  <c r="I1385" s="1"/>
  <c r="H2407"/>
  <c r="I2407" s="1"/>
  <c r="H525"/>
  <c r="I525" s="1"/>
  <c r="H432"/>
  <c r="I432" s="1"/>
  <c r="H1680"/>
  <c r="I1680" s="1"/>
  <c r="H850"/>
  <c r="I850" s="1"/>
  <c r="H2597"/>
  <c r="I2597" s="1"/>
  <c r="H2224"/>
  <c r="I2224" s="1"/>
  <c r="H1351"/>
  <c r="I1351" s="1"/>
  <c r="H2187"/>
  <c r="I2187" s="1"/>
  <c r="H2793"/>
  <c r="I2793" s="1"/>
  <c r="H702"/>
  <c r="I702" s="1"/>
  <c r="H535"/>
  <c r="I535" s="1"/>
  <c r="H2728"/>
  <c r="I2728" s="1"/>
  <c r="H1616"/>
  <c r="I1616" s="1"/>
  <c r="H246"/>
  <c r="I246" s="1"/>
  <c r="H1829"/>
  <c r="I1829" s="1"/>
  <c r="H2954"/>
  <c r="I2954" s="1"/>
  <c r="H753"/>
  <c r="I753" s="1"/>
  <c r="H269"/>
  <c r="I269" s="1"/>
  <c r="H2552"/>
  <c r="I2552" s="1"/>
  <c r="H1382"/>
  <c r="I1382" s="1"/>
  <c r="H329"/>
  <c r="I329" s="1"/>
  <c r="H1618"/>
  <c r="I1618" s="1"/>
  <c r="H1627"/>
  <c r="I1627" s="1"/>
  <c r="H2993"/>
  <c r="I2993" s="1"/>
  <c r="H1748"/>
  <c r="I1748" s="1"/>
  <c r="H477"/>
  <c r="I477" s="1"/>
  <c r="H1104"/>
  <c r="I1104" s="1"/>
  <c r="H537"/>
  <c r="I537" s="1"/>
  <c r="H2945"/>
  <c r="I2945" s="1"/>
  <c r="H1924"/>
  <c r="I1924" s="1"/>
  <c r="H2358"/>
  <c r="I2358" s="1"/>
  <c r="H1007"/>
  <c r="I1007" s="1"/>
  <c r="H2990"/>
  <c r="I2990" s="1"/>
  <c r="H2851"/>
  <c r="I2851" s="1"/>
  <c r="H2137"/>
  <c r="I2137" s="1"/>
  <c r="H735"/>
  <c r="I735" s="1"/>
  <c r="H2734"/>
  <c r="I2734" s="1"/>
  <c r="H1056"/>
  <c r="I1056" s="1"/>
  <c r="H2512"/>
  <c r="I2512" s="1"/>
  <c r="H1391"/>
  <c r="I1391" s="1"/>
  <c r="H160"/>
  <c r="I160" s="1"/>
  <c r="H1979"/>
  <c r="I1979" s="1"/>
  <c r="H2787"/>
  <c r="I2787" s="1"/>
  <c r="H214"/>
  <c r="I214" s="1"/>
  <c r="H1816"/>
  <c r="I1816" s="1"/>
  <c r="H1673"/>
  <c r="I1673" s="1"/>
  <c r="H430"/>
  <c r="I430" s="1"/>
  <c r="H1160"/>
  <c r="I1160" s="1"/>
  <c r="H1896"/>
  <c r="I1896" s="1"/>
  <c r="H1028"/>
  <c r="I1028" s="1"/>
  <c r="H2424"/>
  <c r="I2424" s="1"/>
  <c r="H635"/>
  <c r="I635" s="1"/>
  <c r="H264"/>
  <c r="I264" s="1"/>
  <c r="H2106"/>
  <c r="I2106" s="1"/>
  <c r="H455"/>
  <c r="I455" s="1"/>
  <c r="H2694"/>
  <c r="I2694" s="1"/>
  <c r="H1292"/>
  <c r="I1292" s="1"/>
  <c r="H1860"/>
  <c r="I1860" s="1"/>
  <c r="H1739"/>
  <c r="I1739" s="1"/>
  <c r="H132"/>
  <c r="I132" s="1"/>
  <c r="H811"/>
  <c r="I811" s="1"/>
  <c r="H2524"/>
  <c r="I2524" s="1"/>
  <c r="H1706"/>
  <c r="I1706" s="1"/>
  <c r="H199"/>
  <c r="I199" s="1"/>
  <c r="H1071"/>
  <c r="I1071" s="1"/>
  <c r="H517"/>
  <c r="I517" s="1"/>
  <c r="H1396"/>
  <c r="I1396" s="1"/>
  <c r="H649"/>
  <c r="I649" s="1"/>
  <c r="H650"/>
  <c r="I650" s="1"/>
  <c r="H2687"/>
  <c r="I2687" s="1"/>
  <c r="H2146"/>
  <c r="I2146" s="1"/>
  <c r="H1506"/>
  <c r="I1506" s="1"/>
  <c r="H2695"/>
  <c r="I2695" s="1"/>
  <c r="H619"/>
  <c r="I619" s="1"/>
  <c r="H948"/>
  <c r="I948" s="1"/>
  <c r="H2555"/>
  <c r="I2555" s="1"/>
  <c r="H433"/>
  <c r="I433" s="1"/>
  <c r="H2327"/>
  <c r="I2327" s="1"/>
  <c r="H556"/>
  <c r="I556" s="1"/>
  <c r="H577"/>
  <c r="I577" s="1"/>
  <c r="H2618"/>
  <c r="I2618" s="1"/>
  <c r="H782"/>
  <c r="I782" s="1"/>
  <c r="H908"/>
  <c r="I908" s="1"/>
  <c r="H2449"/>
  <c r="I2449" s="1"/>
  <c r="H819"/>
  <c r="I819" s="1"/>
  <c r="H459"/>
  <c r="I459" s="1"/>
  <c r="H710"/>
  <c r="I710" s="1"/>
  <c r="H847"/>
  <c r="I847" s="1"/>
  <c r="H2905"/>
  <c r="I2905" s="1"/>
  <c r="H2748"/>
  <c r="I2748" s="1"/>
  <c r="H2619"/>
  <c r="I2619" s="1"/>
  <c r="H1317"/>
  <c r="I1317" s="1"/>
  <c r="H2962"/>
  <c r="I2962" s="1"/>
  <c r="H2028"/>
  <c r="I2028" s="1"/>
  <c r="H2740"/>
  <c r="I2740" s="1"/>
  <c r="H1084"/>
  <c r="I1084" s="1"/>
  <c r="H2505"/>
  <c r="I2505" s="1"/>
  <c r="H2318"/>
  <c r="I2318" s="1"/>
  <c r="H719"/>
  <c r="I719" s="1"/>
  <c r="H2269"/>
  <c r="I2269" s="1"/>
  <c r="H1777"/>
  <c r="I1777" s="1"/>
  <c r="H2516"/>
  <c r="I2516" s="1"/>
  <c r="H2138"/>
  <c r="I2138" s="1"/>
  <c r="H917"/>
  <c r="I917" s="1"/>
  <c r="H964"/>
  <c r="I964" s="1"/>
  <c r="H1279"/>
  <c r="I1279" s="1"/>
  <c r="H126"/>
  <c r="I126" s="1"/>
  <c r="H1639"/>
  <c r="I1639" s="1"/>
  <c r="H1134"/>
  <c r="I1134" s="1"/>
  <c r="H1821"/>
  <c r="I1821" s="1"/>
  <c r="H1026"/>
  <c r="I1026" s="1"/>
  <c r="H1116"/>
  <c r="I1116" s="1"/>
  <c r="H1675"/>
  <c r="I1675" s="1"/>
  <c r="H1532"/>
  <c r="I1532" s="1"/>
  <c r="H2129"/>
  <c r="I2129" s="1"/>
  <c r="H1024"/>
  <c r="I1024" s="1"/>
  <c r="H2581"/>
  <c r="I2581" s="1"/>
  <c r="H2697"/>
  <c r="I2697" s="1"/>
  <c r="H578"/>
  <c r="I578" s="1"/>
  <c r="H1726"/>
  <c r="I1726" s="1"/>
  <c r="H1734"/>
  <c r="I1734" s="1"/>
  <c r="H1724"/>
  <c r="I1724" s="1"/>
  <c r="H1411"/>
  <c r="I1411" s="1"/>
  <c r="H2274"/>
  <c r="I2274" s="1"/>
  <c r="H1484"/>
  <c r="I1484" s="1"/>
  <c r="H1477"/>
  <c r="I1477" s="1"/>
  <c r="H994"/>
  <c r="I994" s="1"/>
  <c r="H1275"/>
  <c r="I1275" s="1"/>
  <c r="H2811"/>
  <c r="I2811" s="1"/>
  <c r="H1363"/>
  <c r="I1363" s="1"/>
  <c r="H2864"/>
  <c r="I2864" s="1"/>
  <c r="H200"/>
  <c r="I200" s="1"/>
  <c r="H1198"/>
  <c r="I1198" s="1"/>
  <c r="H344"/>
  <c r="I344" s="1"/>
  <c r="H1925"/>
  <c r="I1925" s="1"/>
  <c r="H233"/>
  <c r="I233" s="1"/>
  <c r="H2247"/>
  <c r="I2247" s="1"/>
  <c r="H716"/>
  <c r="I716" s="1"/>
  <c r="H1487"/>
  <c r="I1487" s="1"/>
  <c r="H1224"/>
  <c r="I1224" s="1"/>
  <c r="H2104"/>
  <c r="I2104" s="1"/>
  <c r="H2386"/>
  <c r="I2386" s="1"/>
  <c r="H1626"/>
  <c r="I1626" s="1"/>
  <c r="H910"/>
  <c r="I910" s="1"/>
  <c r="H401"/>
  <c r="I401" s="1"/>
  <c r="H1841"/>
  <c r="I1841" s="1"/>
  <c r="H122"/>
  <c r="I122" s="1"/>
  <c r="H2248"/>
  <c r="I2248" s="1"/>
  <c r="H1594"/>
  <c r="I1594" s="1"/>
  <c r="H2037"/>
  <c r="I2037" s="1"/>
  <c r="H153"/>
  <c r="I153" s="1"/>
  <c r="H2059"/>
  <c r="I2059" s="1"/>
  <c r="H2035"/>
  <c r="I2035" s="1"/>
  <c r="H755"/>
  <c r="I755" s="1"/>
  <c r="H1113"/>
  <c r="I1113" s="1"/>
  <c r="H1077"/>
  <c r="I1077" s="1"/>
  <c r="H1473"/>
  <c r="I1473" s="1"/>
  <c r="H2496"/>
  <c r="I2496" s="1"/>
  <c r="H2414"/>
  <c r="I2414" s="1"/>
  <c r="H2130"/>
  <c r="I2130" s="1"/>
  <c r="H2562"/>
  <c r="I2562" s="1"/>
  <c r="H548"/>
  <c r="I548" s="1"/>
  <c r="H74"/>
  <c r="I74" s="1"/>
  <c r="H147"/>
  <c r="I147" s="1"/>
  <c r="H108"/>
  <c r="I108" s="1"/>
  <c r="H924"/>
  <c r="I924" s="1"/>
  <c r="H701"/>
  <c r="I701" s="1"/>
  <c r="H330"/>
  <c r="I330" s="1"/>
  <c r="H2296"/>
  <c r="I2296" s="1"/>
  <c r="H467"/>
  <c r="I467" s="1"/>
  <c r="H1826"/>
  <c r="I1826" s="1"/>
  <c r="H2657"/>
  <c r="I2657" s="1"/>
  <c r="H2077"/>
  <c r="I2077" s="1"/>
  <c r="H1002"/>
  <c r="I1002" s="1"/>
  <c r="H2544"/>
  <c r="I2544" s="1"/>
  <c r="H1005"/>
  <c r="I1005" s="1"/>
  <c r="H969"/>
  <c r="I969" s="1"/>
  <c r="H218"/>
  <c r="I218" s="1"/>
  <c r="H705"/>
  <c r="I705" s="1"/>
  <c r="H665"/>
  <c r="I665" s="1"/>
  <c r="H2679"/>
  <c r="I2679" s="1"/>
  <c r="H2398"/>
  <c r="I2398" s="1"/>
  <c r="H2885"/>
  <c r="I2885" s="1"/>
  <c r="H1738"/>
  <c r="I1738" s="1"/>
  <c r="H717"/>
  <c r="I717" s="1"/>
  <c r="H1018"/>
  <c r="I1018" s="1"/>
  <c r="H919"/>
  <c r="I919" s="1"/>
  <c r="H1097"/>
  <c r="I1097" s="1"/>
  <c r="H2421"/>
  <c r="I2421" s="1"/>
  <c r="H2566"/>
  <c r="I2566" s="1"/>
  <c r="H876"/>
  <c r="I876" s="1"/>
  <c r="H142"/>
  <c r="I142" s="1"/>
  <c r="H2627"/>
  <c r="I2627" s="1"/>
  <c r="H1312"/>
  <c r="I1312" s="1"/>
  <c r="H314"/>
  <c r="I314" s="1"/>
  <c r="H1850"/>
  <c r="I1850" s="1"/>
  <c r="H2892"/>
  <c r="I2892" s="1"/>
  <c r="H982"/>
  <c r="I982" s="1"/>
  <c r="H1293"/>
  <c r="I1293" s="1"/>
  <c r="H2736"/>
  <c r="I2736" s="1"/>
  <c r="H1862"/>
  <c r="I1862" s="1"/>
  <c r="H1008"/>
  <c r="I1008" s="1"/>
  <c r="H1413"/>
  <c r="I1413" s="1"/>
  <c r="H461"/>
  <c r="I461" s="1"/>
  <c r="H2605"/>
  <c r="I2605" s="1"/>
  <c r="H274"/>
  <c r="I274" s="1"/>
  <c r="H2368"/>
  <c r="I2368" s="1"/>
  <c r="H2540"/>
  <c r="I2540" s="1"/>
  <c r="H2815"/>
  <c r="I2815" s="1"/>
  <c r="H2784"/>
  <c r="I2784" s="1"/>
  <c r="H663"/>
  <c r="I663" s="1"/>
  <c r="H2182"/>
  <c r="I2182" s="1"/>
  <c r="H806"/>
  <c r="I806" s="1"/>
  <c r="H1331"/>
  <c r="I1331" s="1"/>
  <c r="H1472"/>
  <c r="I1472" s="1"/>
  <c r="H664"/>
  <c r="I664" s="1"/>
  <c r="H2754"/>
  <c r="I2754" s="1"/>
  <c r="H1324"/>
  <c r="I1324" s="1"/>
  <c r="H2828"/>
  <c r="I2828" s="1"/>
  <c r="H2780"/>
  <c r="I2780" s="1"/>
  <c r="H2659"/>
  <c r="I2659" s="1"/>
  <c r="H468"/>
  <c r="I468" s="1"/>
  <c r="H2614"/>
  <c r="I2614" s="1"/>
  <c r="H2353"/>
  <c r="I2353" s="1"/>
  <c r="H576"/>
  <c r="I576" s="1"/>
  <c r="H2356"/>
  <c r="I2356" s="1"/>
  <c r="H360"/>
  <c r="I360" s="1"/>
  <c r="H2854"/>
  <c r="I2854" s="1"/>
  <c r="H104"/>
  <c r="I104" s="1"/>
  <c r="H2686"/>
  <c r="I2686" s="1"/>
  <c r="H1100"/>
  <c r="I1100" s="1"/>
  <c r="H878"/>
  <c r="I878" s="1"/>
  <c r="H1671"/>
  <c r="I1671" s="1"/>
  <c r="H1064"/>
  <c r="I1064" s="1"/>
  <c r="H2549"/>
  <c r="I2549" s="1"/>
  <c r="H322"/>
  <c r="I322" s="1"/>
  <c r="H893"/>
  <c r="I893" s="1"/>
  <c r="H1715"/>
  <c r="I1715" s="1"/>
  <c r="H2283"/>
  <c r="I2283" s="1"/>
  <c r="H495"/>
  <c r="I495" s="1"/>
  <c r="H2537"/>
  <c r="I2537" s="1"/>
  <c r="H2580"/>
  <c r="I2580" s="1"/>
  <c r="H2070"/>
  <c r="I2070" s="1"/>
  <c r="H1143"/>
  <c r="I1143" s="1"/>
  <c r="H1596"/>
  <c r="I1596" s="1"/>
  <c r="H2170"/>
  <c r="I2170" s="1"/>
  <c r="H671"/>
  <c r="I671" s="1"/>
  <c r="H1940"/>
  <c r="I1940" s="1"/>
  <c r="H2279"/>
  <c r="I2279" s="1"/>
  <c r="H2082"/>
  <c r="I2082" s="1"/>
  <c r="H2319"/>
  <c r="I2319" s="1"/>
  <c r="H2001"/>
  <c r="I2001" s="1"/>
  <c r="H1994"/>
  <c r="I1994" s="1"/>
  <c r="H1561"/>
  <c r="I1561" s="1"/>
  <c r="H1812"/>
  <c r="I1812" s="1"/>
  <c r="H2936"/>
  <c r="I2936" s="1"/>
  <c r="H670"/>
  <c r="I670" s="1"/>
  <c r="H2440"/>
  <c r="I2440" s="1"/>
  <c r="H1222"/>
  <c r="I1222" s="1"/>
  <c r="H2840"/>
  <c r="I2840" s="1"/>
  <c r="H2242"/>
  <c r="I2242" s="1"/>
  <c r="H865"/>
  <c r="I865" s="1"/>
  <c r="H2625"/>
  <c r="I2625" s="1"/>
  <c r="H743"/>
  <c r="I743" s="1"/>
  <c r="H2937"/>
  <c r="I2937" s="1"/>
  <c r="H2649"/>
  <c r="I2649" s="1"/>
  <c r="H2573"/>
  <c r="I2573" s="1"/>
  <c r="H2435"/>
  <c r="I2435" s="1"/>
  <c r="H2420"/>
  <c r="I2420" s="1"/>
  <c r="H1296"/>
  <c r="I1296" s="1"/>
  <c r="H2844"/>
  <c r="I2844" s="1"/>
  <c r="H1112"/>
  <c r="I1112" s="1"/>
  <c r="H1505"/>
  <c r="I1505" s="1"/>
  <c r="H2848"/>
  <c r="I2848" s="1"/>
  <c r="H1620"/>
  <c r="I1620" s="1"/>
  <c r="H389"/>
  <c r="I389" s="1"/>
  <c r="H302"/>
  <c r="I302" s="1"/>
  <c r="H2350"/>
  <c r="I2350" s="1"/>
  <c r="H2808"/>
  <c r="I2808" s="1"/>
  <c r="H1405"/>
  <c r="I1405" s="1"/>
  <c r="H471"/>
  <c r="I471" s="1"/>
  <c r="H2217"/>
  <c r="I2217" s="1"/>
  <c r="H937"/>
  <c r="I937" s="1"/>
  <c r="H190"/>
  <c r="I190" s="1"/>
  <c r="H2539"/>
  <c r="I2539" s="1"/>
  <c r="H1967"/>
  <c r="I1967" s="1"/>
  <c r="H765"/>
  <c r="I765" s="1"/>
  <c r="H1055"/>
  <c r="I1055" s="1"/>
  <c r="H644"/>
  <c r="I644" s="1"/>
  <c r="H1563"/>
  <c r="I1563" s="1"/>
  <c r="H748"/>
  <c r="I748" s="1"/>
  <c r="H2850"/>
  <c r="I2850" s="1"/>
  <c r="H1299"/>
  <c r="I1299" s="1"/>
  <c r="H1154"/>
  <c r="I1154" s="1"/>
  <c r="H2369"/>
  <c r="I2369" s="1"/>
  <c r="H2855"/>
  <c r="I2855" s="1"/>
  <c r="H2726"/>
  <c r="I2726" s="1"/>
  <c r="H2957"/>
  <c r="I2957" s="1"/>
  <c r="H1610"/>
  <c r="I1610" s="1"/>
  <c r="H2584"/>
  <c r="I2584" s="1"/>
  <c r="H1151"/>
  <c r="I1151" s="1"/>
  <c r="H1595"/>
  <c r="I1595" s="1"/>
  <c r="H1451"/>
  <c r="I1451" s="1"/>
  <c r="H2956"/>
  <c r="I2956" s="1"/>
  <c r="H1729"/>
  <c r="I1729" s="1"/>
  <c r="H1354"/>
  <c r="I1354" s="1"/>
  <c r="H115"/>
  <c r="I115" s="1"/>
  <c r="H817"/>
  <c r="I817" s="1"/>
  <c r="H634"/>
  <c r="I634" s="1"/>
  <c r="H1756"/>
  <c r="I1756" s="1"/>
  <c r="H1463"/>
  <c r="I1463" s="1"/>
  <c r="H1622"/>
  <c r="I1622" s="1"/>
  <c r="H2779"/>
  <c r="I2779" s="1"/>
  <c r="H1651"/>
  <c r="I1651" s="1"/>
  <c r="H2472"/>
  <c r="I2472" s="1"/>
  <c r="H756"/>
  <c r="I756" s="1"/>
  <c r="H1423"/>
  <c r="I1423" s="1"/>
  <c r="H1813"/>
  <c r="I1813" s="1"/>
  <c r="H1744"/>
  <c r="I1744" s="1"/>
  <c r="H1447"/>
  <c r="I1447" s="1"/>
  <c r="H2918"/>
  <c r="I2918" s="1"/>
  <c r="H120"/>
  <c r="I120" s="1"/>
  <c r="H1127"/>
  <c r="I1127" s="1"/>
  <c r="H2533"/>
  <c r="I2533" s="1"/>
  <c r="H1769"/>
  <c r="I1769" s="1"/>
  <c r="H1932"/>
  <c r="I1932" s="1"/>
  <c r="H237"/>
  <c r="I237" s="1"/>
  <c r="H2365"/>
  <c r="I2365" s="1"/>
  <c r="H1921"/>
  <c r="I1921" s="1"/>
  <c r="H1470"/>
  <c r="I1470" s="1"/>
  <c r="H350"/>
  <c r="I350" s="1"/>
  <c r="H1637"/>
  <c r="I1637" s="1"/>
  <c r="H1918"/>
  <c r="I1918" s="1"/>
  <c r="H2108"/>
  <c r="I2108" s="1"/>
  <c r="H540"/>
  <c r="I540" s="1"/>
  <c r="H1988"/>
  <c r="I1988" s="1"/>
  <c r="H2341"/>
  <c r="I2341" s="1"/>
  <c r="H1795"/>
  <c r="I1795" s="1"/>
  <c r="H1791"/>
  <c r="I1791" s="1"/>
  <c r="H980"/>
  <c r="I980" s="1"/>
  <c r="H127"/>
  <c r="I127" s="1"/>
  <c r="H333"/>
  <c r="I333" s="1"/>
  <c r="H300"/>
  <c r="I300" s="1"/>
  <c r="H431"/>
  <c r="I431" s="1"/>
  <c r="H580"/>
  <c r="I580" s="1"/>
  <c r="H2974"/>
  <c r="I2974" s="1"/>
  <c r="H2778"/>
  <c r="I2778" s="1"/>
  <c r="H2237"/>
  <c r="I2237" s="1"/>
  <c r="H98"/>
  <c r="I98" s="1"/>
  <c r="H1089"/>
  <c r="I1089" s="1"/>
  <c r="H2547"/>
  <c r="I2547" s="1"/>
  <c r="H2494"/>
  <c r="I2494" s="1"/>
  <c r="H1819"/>
  <c r="I1819" s="1"/>
  <c r="H2822"/>
  <c r="I2822" s="1"/>
  <c r="H2979"/>
  <c r="I2979" s="1"/>
  <c r="H2604"/>
  <c r="I2604" s="1"/>
  <c r="H483"/>
  <c r="I483" s="1"/>
  <c r="H473"/>
  <c r="I473" s="1"/>
  <c r="H380"/>
  <c r="I380" s="1"/>
  <c r="H1098"/>
  <c r="I1098" s="1"/>
  <c r="H1770"/>
  <c r="I1770" s="1"/>
  <c r="H1956"/>
  <c r="I1956" s="1"/>
  <c r="H2302"/>
  <c r="I2302" s="1"/>
  <c r="H2826"/>
  <c r="I2826" s="1"/>
  <c r="H1538"/>
  <c r="I1538" s="1"/>
  <c r="H2370"/>
  <c r="I2370" s="1"/>
  <c r="H1133"/>
  <c r="I1133" s="1"/>
  <c r="H1581"/>
  <c r="I1581" s="1"/>
  <c r="H2998"/>
  <c r="I2998" s="1"/>
  <c r="H1741"/>
  <c r="I1741" s="1"/>
  <c r="H1483"/>
  <c r="I1483" s="1"/>
  <c r="H744"/>
  <c r="I744" s="1"/>
  <c r="H983"/>
  <c r="I983" s="1"/>
  <c r="H445"/>
  <c r="I445" s="1"/>
  <c r="H96"/>
  <c r="I96" s="1"/>
  <c r="H285"/>
  <c r="I285" s="1"/>
  <c r="H1946"/>
  <c r="I1946" s="1"/>
  <c r="H2591"/>
  <c r="I2591" s="1"/>
  <c r="H1283"/>
  <c r="I1283" s="1"/>
  <c r="H2766"/>
  <c r="I2766" s="1"/>
  <c r="H1200"/>
  <c r="I1200" s="1"/>
  <c r="H1522"/>
  <c r="I1522" s="1"/>
  <c r="H1013"/>
  <c r="I1013" s="1"/>
  <c r="H116"/>
  <c r="I116" s="1"/>
  <c r="H2014"/>
  <c r="I2014" s="1"/>
  <c r="H2882"/>
  <c r="I2882" s="1"/>
  <c r="H2995"/>
  <c r="I2995" s="1"/>
  <c r="H872"/>
  <c r="I872" s="1"/>
  <c r="H934"/>
  <c r="I934" s="1"/>
  <c r="H892"/>
  <c r="I892" s="1"/>
  <c r="H1286"/>
  <c r="I1286" s="1"/>
  <c r="H984"/>
  <c r="I984" s="1"/>
  <c r="H353"/>
  <c r="I353" s="1"/>
  <c r="H2925"/>
  <c r="I2925" s="1"/>
  <c r="H1558"/>
  <c r="I1558" s="1"/>
  <c r="H2439"/>
  <c r="I2439" s="1"/>
  <c r="H646"/>
  <c r="I646" s="1"/>
  <c r="H1751"/>
  <c r="I1751" s="1"/>
  <c r="H2719"/>
  <c r="I2719" s="1"/>
  <c r="H2745"/>
  <c r="I2745" s="1"/>
  <c r="H469"/>
  <c r="I469" s="1"/>
  <c r="H121"/>
  <c r="I121" s="1"/>
  <c r="H1347"/>
  <c r="I1347" s="1"/>
  <c r="H2977"/>
  <c r="I2977" s="1"/>
  <c r="H835"/>
  <c r="I835" s="1"/>
  <c r="H144"/>
  <c r="I144" s="1"/>
  <c r="H1107"/>
  <c r="I1107" s="1"/>
  <c r="H952"/>
  <c r="I952" s="1"/>
  <c r="H2806"/>
  <c r="I2806" s="1"/>
  <c r="H2910"/>
  <c r="I2910" s="1"/>
  <c r="H1504"/>
  <c r="I1504" s="1"/>
  <c r="H210"/>
  <c r="I210" s="1"/>
  <c r="H1187"/>
  <c r="I1187" s="1"/>
  <c r="H1333"/>
  <c r="I1333" s="1"/>
  <c r="H1435"/>
  <c r="I1435" s="1"/>
  <c r="H2256"/>
  <c r="I2256" s="1"/>
  <c r="H44"/>
  <c r="I44" s="1"/>
  <c r="H860"/>
  <c r="I860" s="1"/>
  <c r="H2149"/>
  <c r="I2149" s="1"/>
  <c r="H2166"/>
  <c r="I2166" s="1"/>
  <c r="H1488"/>
  <c r="I1488" s="1"/>
  <c r="H706"/>
  <c r="I706" s="1"/>
  <c r="H1429"/>
  <c r="I1429" s="1"/>
  <c r="H1837"/>
  <c r="I1837" s="1"/>
  <c r="H1818"/>
  <c r="I1818" s="1"/>
  <c r="H2543"/>
  <c r="I2543" s="1"/>
  <c r="H415"/>
  <c r="I415" s="1"/>
  <c r="H2994"/>
  <c r="I2994" s="1"/>
  <c r="H1414"/>
  <c r="I1414" s="1"/>
  <c r="H2233"/>
  <c r="I2233" s="1"/>
  <c r="H2514"/>
  <c r="I2514" s="1"/>
  <c r="H1781"/>
  <c r="I1781" s="1"/>
  <c r="H2374"/>
  <c r="I2374" s="1"/>
  <c r="H308"/>
  <c r="I308" s="1"/>
  <c r="H1015"/>
  <c r="I1015" s="1"/>
  <c r="H1708"/>
  <c r="I1708" s="1"/>
  <c r="H2062"/>
  <c r="I2062" s="1"/>
  <c r="H1517"/>
  <c r="I1517" s="1"/>
  <c r="H2054"/>
  <c r="I2054" s="1"/>
  <c r="H2276"/>
  <c r="I2276" s="1"/>
  <c r="H2660"/>
  <c r="I2660" s="1"/>
  <c r="H2060"/>
  <c r="I2060" s="1"/>
  <c r="H2280"/>
  <c r="I2280" s="1"/>
  <c r="H1502"/>
  <c r="I1502" s="1"/>
  <c r="H2267"/>
  <c r="I2267" s="1"/>
  <c r="H2709"/>
  <c r="I2709" s="1"/>
  <c r="H2480"/>
  <c r="I2480" s="1"/>
  <c r="H534"/>
  <c r="I534" s="1"/>
  <c r="H1386"/>
  <c r="I1386" s="1"/>
  <c r="H2586"/>
  <c r="I2586" s="1"/>
  <c r="H1171"/>
  <c r="I1171" s="1"/>
  <c r="H1088"/>
  <c r="I1088" s="1"/>
  <c r="H799"/>
  <c r="I799" s="1"/>
  <c r="H2831"/>
  <c r="I2831" s="1"/>
  <c r="H2188"/>
  <c r="I2188" s="1"/>
  <c r="H1044"/>
  <c r="I1044" s="1"/>
  <c r="H1844"/>
  <c r="I1844" s="1"/>
  <c r="H2461"/>
  <c r="I2461" s="1"/>
  <c r="H2323"/>
  <c r="I2323" s="1"/>
  <c r="H1195"/>
  <c r="I1195" s="1"/>
  <c r="H1552"/>
  <c r="I1552" s="1"/>
  <c r="H424"/>
  <c r="I424" s="1"/>
  <c r="H1972"/>
  <c r="I1972" s="1"/>
  <c r="H1855"/>
  <c r="I1855" s="1"/>
  <c r="H1415"/>
  <c r="I1415" s="1"/>
  <c r="H2447"/>
  <c r="I2447" s="1"/>
  <c r="H1375"/>
  <c r="I1375" s="1"/>
  <c r="H887"/>
  <c r="I887" s="1"/>
  <c r="H1966"/>
  <c r="I1966" s="1"/>
  <c r="H2852"/>
  <c r="I2852" s="1"/>
  <c r="H1468"/>
  <c r="I1468" s="1"/>
  <c r="H1444"/>
  <c r="I1444" s="1"/>
  <c r="H1509"/>
  <c r="I1509" s="1"/>
  <c r="H1869"/>
  <c r="I1869" s="1"/>
  <c r="H1697"/>
  <c r="I1697" s="1"/>
  <c r="H696"/>
  <c r="I696" s="1"/>
  <c r="H163"/>
  <c r="I163" s="1"/>
  <c r="H1699"/>
  <c r="I1699" s="1"/>
  <c r="H1491"/>
  <c r="I1491" s="1"/>
  <c r="H2934"/>
  <c r="I2934" s="1"/>
  <c r="H1530"/>
  <c r="I1530" s="1"/>
  <c r="H1496"/>
  <c r="I1496" s="1"/>
  <c r="H921"/>
  <c r="I921" s="1"/>
  <c r="H2177"/>
  <c r="I2177" s="1"/>
  <c r="H571"/>
  <c r="I571" s="1"/>
  <c r="H709"/>
  <c r="I709" s="1"/>
  <c r="H398"/>
  <c r="I398" s="1"/>
  <c r="H2653"/>
  <c r="I2653" s="1"/>
  <c r="H128"/>
  <c r="I128" s="1"/>
  <c r="H2638"/>
  <c r="I2638" s="1"/>
  <c r="H1189"/>
  <c r="I1189" s="1"/>
  <c r="H2411"/>
  <c r="I2411" s="1"/>
  <c r="H1035"/>
  <c r="I1035" s="1"/>
  <c r="H1843"/>
  <c r="I1843" s="1"/>
  <c r="H944"/>
  <c r="I944" s="1"/>
  <c r="H1298"/>
  <c r="I1298" s="1"/>
  <c r="H1512"/>
  <c r="I1512" s="1"/>
  <c r="H227"/>
  <c r="I227" s="1"/>
  <c r="H1001"/>
  <c r="I1001" s="1"/>
  <c r="H1307"/>
  <c r="I1307" s="1"/>
  <c r="H1430"/>
  <c r="I1430" s="1"/>
  <c r="H203"/>
  <c r="I203" s="1"/>
  <c r="H2145"/>
  <c r="I2145" s="1"/>
  <c r="H2897"/>
  <c r="I2897" s="1"/>
  <c r="H1584"/>
  <c r="I1584" s="1"/>
  <c r="H140"/>
  <c r="I140" s="1"/>
  <c r="H2316"/>
  <c r="I2316" s="1"/>
  <c r="H2758"/>
  <c r="I2758" s="1"/>
  <c r="H75"/>
  <c r="I75" s="1"/>
  <c r="H289"/>
  <c r="I289" s="1"/>
  <c r="H2271"/>
  <c r="I2271" s="1"/>
  <c r="H656"/>
  <c r="I656" s="1"/>
  <c r="H1608"/>
  <c r="I1608" s="1"/>
  <c r="H2595"/>
  <c r="I2595" s="1"/>
  <c r="H1998"/>
  <c r="I1998" s="1"/>
  <c r="H2452"/>
  <c r="I2452" s="1"/>
  <c r="H2342"/>
  <c r="I2342" s="1"/>
  <c r="H478"/>
  <c r="I478" s="1"/>
  <c r="H1482"/>
  <c r="I1482" s="1"/>
  <c r="H2401"/>
  <c r="I2401" s="1"/>
  <c r="H2410"/>
  <c r="I2410" s="1"/>
  <c r="H1184"/>
  <c r="I1184" s="1"/>
  <c r="H2359"/>
  <c r="I2359" s="1"/>
  <c r="H58"/>
  <c r="I58" s="1"/>
  <c r="H1539"/>
  <c r="I1539" s="1"/>
  <c r="H2535"/>
  <c r="I2535" s="1"/>
  <c r="H255"/>
  <c r="I255" s="1"/>
  <c r="H222"/>
  <c r="I222" s="1"/>
  <c r="H1032"/>
  <c r="I1032" s="1"/>
  <c r="H1631"/>
  <c r="I1631" s="1"/>
  <c r="H1686"/>
  <c r="I1686" s="1"/>
  <c r="H2968"/>
  <c r="I2968" s="1"/>
  <c r="H749"/>
  <c r="I749" s="1"/>
  <c r="H763"/>
  <c r="I763" s="1"/>
  <c r="H2405"/>
  <c r="I2405" s="1"/>
  <c r="H2715"/>
  <c r="I2715" s="1"/>
  <c r="H2190"/>
  <c r="I2190" s="1"/>
  <c r="H1276"/>
  <c r="I1276" s="1"/>
  <c r="H776"/>
  <c r="I776" s="1"/>
  <c r="H2315"/>
  <c r="I2315" s="1"/>
  <c r="H539"/>
  <c r="I539" s="1"/>
  <c r="H628"/>
  <c r="I628" s="1"/>
  <c r="H97"/>
  <c r="I97" s="1"/>
  <c r="H2117"/>
  <c r="I2117" s="1"/>
  <c r="H2381"/>
  <c r="I2381" s="1"/>
  <c r="H1876"/>
  <c r="I1876" s="1"/>
  <c r="H2656"/>
  <c r="I2656" s="1"/>
  <c r="H82"/>
  <c r="I82" s="1"/>
  <c r="H1458"/>
  <c r="I1458" s="1"/>
  <c r="H1259"/>
  <c r="I1259" s="1"/>
  <c r="H2258"/>
  <c r="I2258" s="1"/>
  <c r="H1557"/>
  <c r="I1557" s="1"/>
  <c r="H2620"/>
  <c r="I2620" s="1"/>
  <c r="H661"/>
  <c r="I661" s="1"/>
  <c r="H1808"/>
  <c r="I1808" s="1"/>
  <c r="H193"/>
  <c r="I193" s="1"/>
  <c r="H106"/>
  <c r="I106" s="1"/>
  <c r="H375"/>
  <c r="I375" s="1"/>
  <c r="H2313"/>
  <c r="I2313" s="1"/>
  <c r="H460"/>
  <c r="I460" s="1"/>
  <c r="H2911"/>
  <c r="I2911" s="1"/>
  <c r="H2485"/>
  <c r="I2485" s="1"/>
  <c r="H582"/>
  <c r="I582" s="1"/>
  <c r="H815"/>
  <c r="I815" s="1"/>
  <c r="H1882"/>
  <c r="I1882" s="1"/>
  <c r="H73"/>
  <c r="I73" s="1"/>
  <c r="H1209"/>
  <c r="I1209" s="1"/>
  <c r="H841"/>
  <c r="I841" s="1"/>
  <c r="H1825"/>
  <c r="I1825" s="1"/>
  <c r="H2546"/>
  <c r="I2546" s="1"/>
  <c r="H1031"/>
  <c r="I1031" s="1"/>
  <c r="H305"/>
  <c r="I305" s="1"/>
  <c r="H2560"/>
  <c r="I2560" s="1"/>
  <c r="H1567"/>
  <c r="I1567" s="1"/>
  <c r="H172"/>
  <c r="I172" s="1"/>
  <c r="H1587"/>
  <c r="I1587" s="1"/>
  <c r="H2262"/>
  <c r="I2262" s="1"/>
  <c r="H1179"/>
  <c r="I1179" s="1"/>
  <c r="H922"/>
  <c r="I922" s="1"/>
  <c r="H2008"/>
  <c r="I2008" s="1"/>
  <c r="H1767"/>
  <c r="I1767" s="1"/>
  <c r="H1163"/>
  <c r="I1163" s="1"/>
  <c r="H2123"/>
  <c r="I2123" s="1"/>
  <c r="H1968"/>
  <c r="I1968" s="1"/>
  <c r="H2881"/>
  <c r="I2881" s="1"/>
  <c r="H2115"/>
  <c r="I2115" s="1"/>
  <c r="H392"/>
  <c r="I392" s="1"/>
  <c r="H2251"/>
  <c r="I2251" s="1"/>
  <c r="H2154"/>
  <c r="I2154" s="1"/>
  <c r="H92"/>
  <c r="I92" s="1"/>
  <c r="H2662"/>
  <c r="I2662" s="1"/>
  <c r="H2900"/>
  <c r="I2900" s="1"/>
  <c r="H2711"/>
  <c r="I2711" s="1"/>
  <c r="H1368"/>
  <c r="I1368" s="1"/>
  <c r="H1280"/>
  <c r="I1280" s="1"/>
  <c r="H2195"/>
  <c r="I2195" s="1"/>
  <c r="H2399"/>
  <c r="I2399" s="1"/>
  <c r="H889"/>
  <c r="I889" s="1"/>
  <c r="H1321"/>
  <c r="I1321" s="1"/>
  <c r="H2504"/>
  <c r="I2504" s="1"/>
  <c r="H1666"/>
  <c r="I1666" s="1"/>
  <c r="H1366"/>
  <c r="I1366" s="1"/>
  <c r="H1219"/>
  <c r="I1219" s="1"/>
  <c r="H844"/>
  <c r="I844" s="1"/>
  <c r="H2919"/>
  <c r="I2919" s="1"/>
  <c r="H411"/>
  <c r="I411" s="1"/>
  <c r="H1585"/>
  <c r="I1585" s="1"/>
  <c r="H946"/>
  <c r="I946" s="1"/>
  <c r="H2388"/>
  <c r="I2388" s="1"/>
  <c r="H2890"/>
  <c r="I2890" s="1"/>
  <c r="H2501"/>
  <c r="I2501" s="1"/>
  <c r="H1989"/>
  <c r="I1989" s="1"/>
  <c r="H2373"/>
  <c r="I2373" s="1"/>
  <c r="H189"/>
  <c r="I189" s="1"/>
  <c r="H2293"/>
  <c r="I2293" s="1"/>
  <c r="H2476"/>
  <c r="I2476" s="1"/>
  <c r="H76"/>
  <c r="I76" s="1"/>
  <c r="H912"/>
  <c r="I912" s="1"/>
  <c r="H623"/>
  <c r="I623" s="1"/>
  <c r="H2607"/>
  <c r="I2607" s="1"/>
  <c r="H1464"/>
  <c r="I1464" s="1"/>
  <c r="H2727"/>
  <c r="I2727" s="1"/>
  <c r="H851"/>
  <c r="I851" s="1"/>
  <c r="H399"/>
  <c r="I399" s="1"/>
  <c r="H1452"/>
  <c r="I1452" s="1"/>
  <c r="H1712"/>
  <c r="I1712" s="1"/>
  <c r="H1240"/>
  <c r="I1240" s="1"/>
  <c r="H1158"/>
  <c r="I1158" s="1"/>
  <c r="H2194"/>
  <c r="I2194" s="1"/>
  <c r="H2467"/>
  <c r="I2467" s="1"/>
  <c r="H1668"/>
  <c r="I1668" s="1"/>
  <c r="H2173"/>
  <c r="I2173" s="1"/>
  <c r="H1803"/>
  <c r="I1803" s="1"/>
  <c r="H2498"/>
  <c r="I2498" s="1"/>
  <c r="H754"/>
  <c r="I754" s="1"/>
  <c r="H2083"/>
  <c r="I2083" s="1"/>
  <c r="H2601"/>
  <c r="I2601" s="1"/>
  <c r="H688"/>
  <c r="I688" s="1"/>
  <c r="H2066"/>
  <c r="I2066" s="1"/>
  <c r="H1613"/>
  <c r="I1613" s="1"/>
  <c r="H900"/>
  <c r="I900" s="1"/>
  <c r="H260"/>
  <c r="I260" s="1"/>
  <c r="H1319"/>
  <c r="I1319" s="1"/>
  <c r="H528"/>
  <c r="I528" s="1"/>
  <c r="H186"/>
  <c r="I186" s="1"/>
  <c r="H1267"/>
  <c r="I1267" s="1"/>
  <c r="H1282"/>
  <c r="I1282" s="1"/>
  <c r="H2168"/>
  <c r="I2168" s="1"/>
  <c r="H1728"/>
  <c r="I1728" s="1"/>
  <c r="H751"/>
  <c r="I751" s="1"/>
  <c r="H243"/>
  <c r="I243" s="1"/>
  <c r="H2018"/>
  <c r="I2018" s="1"/>
  <c r="H1272"/>
  <c r="I1272" s="1"/>
  <c r="H465"/>
  <c r="I465" s="1"/>
  <c r="H1682"/>
  <c r="I1682" s="1"/>
  <c r="H2459"/>
  <c r="I2459" s="1"/>
  <c r="H868"/>
  <c r="I868" s="1"/>
  <c r="H2438"/>
  <c r="I2438" s="1"/>
  <c r="H596"/>
  <c r="I596" s="1"/>
  <c r="H932"/>
  <c r="I932" s="1"/>
  <c r="H1912"/>
  <c r="I1912" s="1"/>
  <c r="H2613"/>
  <c r="I2613" s="1"/>
  <c r="H911"/>
  <c r="I911" s="1"/>
  <c r="H2725"/>
  <c r="I2725" s="1"/>
  <c r="H1349"/>
  <c r="I1349" s="1"/>
  <c r="H1944"/>
  <c r="I1944" s="1"/>
  <c r="H1866"/>
  <c r="I1866" s="1"/>
  <c r="H2982"/>
  <c r="I2982" s="1"/>
  <c r="H1834"/>
  <c r="I1834" s="1"/>
  <c r="H1702"/>
  <c r="I1702" s="1"/>
  <c r="H429"/>
  <c r="I429" s="1"/>
  <c r="H1481"/>
  <c r="I1481" s="1"/>
  <c r="H2846"/>
  <c r="I2846" s="1"/>
  <c r="H774"/>
  <c r="I774" s="1"/>
  <c r="H673"/>
  <c r="I673" s="1"/>
  <c r="H1647"/>
  <c r="I1647" s="1"/>
  <c r="H612"/>
  <c r="I612" s="1"/>
  <c r="H2017"/>
  <c r="I2017" s="1"/>
  <c r="H1759"/>
  <c r="I1759" s="1"/>
  <c r="H1798"/>
  <c r="I1798" s="1"/>
  <c r="H498"/>
  <c r="I498" s="1"/>
  <c r="H2340"/>
  <c r="I2340" s="1"/>
  <c r="H2151"/>
  <c r="I2151" s="1"/>
  <c r="H761"/>
  <c r="I761" s="1"/>
  <c r="H2048"/>
  <c r="I2048" s="1"/>
  <c r="H165"/>
  <c r="I165" s="1"/>
  <c r="H2257"/>
  <c r="I2257" s="1"/>
  <c r="H1696"/>
  <c r="I1696" s="1"/>
  <c r="H1833"/>
  <c r="I1833" s="1"/>
  <c r="H2640"/>
  <c r="I2640" s="1"/>
  <c r="H500"/>
  <c r="I500" s="1"/>
  <c r="H2291"/>
  <c r="I2291" s="1"/>
  <c r="H379"/>
  <c r="I379" s="1"/>
  <c r="H1203"/>
  <c r="I1203" s="1"/>
  <c r="H1575"/>
  <c r="I1575" s="1"/>
  <c r="H2557"/>
  <c r="I2557" s="1"/>
  <c r="H863"/>
  <c r="I863" s="1"/>
  <c r="H442"/>
  <c r="I442" s="1"/>
  <c r="H413"/>
  <c r="I413" s="1"/>
  <c r="H1572"/>
  <c r="I1572" s="1"/>
  <c r="H2986"/>
  <c r="I2986" s="1"/>
  <c r="H1234"/>
  <c r="I1234" s="1"/>
  <c r="H503"/>
  <c r="I503" s="1"/>
  <c r="H2140"/>
  <c r="I2140" s="1"/>
  <c r="H423"/>
  <c r="I423" s="1"/>
  <c r="H1119"/>
  <c r="I1119" s="1"/>
  <c r="H691"/>
  <c r="I691" s="1"/>
  <c r="H1528"/>
  <c r="I1528" s="1"/>
  <c r="H2357"/>
  <c r="I2357" s="1"/>
  <c r="H2612"/>
  <c r="I2612" s="1"/>
  <c r="H137"/>
  <c r="I137" s="1"/>
  <c r="H1854"/>
  <c r="I1854" s="1"/>
  <c r="H244"/>
  <c r="I244" s="1"/>
  <c r="H724"/>
  <c r="I724" s="1"/>
  <c r="H2923"/>
  <c r="I2923" s="1"/>
  <c r="H85"/>
  <c r="I85" s="1"/>
  <c r="H1685"/>
  <c r="I1685" s="1"/>
  <c r="H1311"/>
  <c r="I1311" s="1"/>
  <c r="H2175"/>
  <c r="I2175" s="1"/>
  <c r="H1920"/>
  <c r="I1920" s="1"/>
  <c r="H2355"/>
  <c r="I2355" s="1"/>
  <c r="H50"/>
  <c r="I50" s="1"/>
  <c r="H923"/>
  <c r="I923" s="1"/>
  <c r="H1949"/>
  <c r="I1949" s="1"/>
  <c r="H832"/>
  <c r="I832" s="1"/>
  <c r="H1681"/>
  <c r="I1681" s="1"/>
  <c r="H1251"/>
  <c r="I1251" s="1"/>
  <c r="H1338"/>
  <c r="I1338" s="1"/>
  <c r="H321"/>
  <c r="I321" s="1"/>
  <c r="H591"/>
  <c r="I591" s="1"/>
  <c r="H2588"/>
  <c r="I2588" s="1"/>
  <c r="H2585"/>
  <c r="I2585" s="1"/>
  <c r="H2621"/>
  <c r="I2621" s="1"/>
  <c r="H63"/>
  <c r="I63" s="1"/>
  <c r="H632"/>
  <c r="I632" s="1"/>
  <c r="H2371"/>
  <c r="I2371" s="1"/>
  <c r="H852"/>
  <c r="I852" s="1"/>
  <c r="H1239"/>
  <c r="I1239" s="1"/>
  <c r="H1636"/>
  <c r="I1636" s="1"/>
  <c r="H603"/>
  <c r="I603" s="1"/>
  <c r="H2764"/>
  <c r="I2764" s="1"/>
  <c r="H1054"/>
  <c r="I1054" s="1"/>
  <c r="H1232"/>
  <c r="I1232" s="1"/>
  <c r="H1139"/>
  <c r="I1139" s="1"/>
  <c r="H1804"/>
  <c r="I1804" s="1"/>
  <c r="H2981"/>
  <c r="I2981" s="1"/>
  <c r="H1762"/>
  <c r="I1762" s="1"/>
  <c r="H2058"/>
  <c r="I2058" s="1"/>
  <c r="H2603"/>
  <c r="I2603" s="1"/>
  <c r="H583"/>
  <c r="I583" s="1"/>
  <c r="H310"/>
  <c r="I310" s="1"/>
  <c r="H1102"/>
  <c r="I1102" s="1"/>
  <c r="H1719"/>
  <c r="I1719" s="1"/>
  <c r="H2395"/>
  <c r="I2395" s="1"/>
  <c r="H1205"/>
  <c r="I1205" s="1"/>
  <c r="H2522"/>
  <c r="I2522" s="1"/>
  <c r="H1975"/>
  <c r="I1975" s="1"/>
  <c r="H1072"/>
  <c r="I1072" s="1"/>
  <c r="H45"/>
  <c r="I45" s="1"/>
  <c r="H156"/>
  <c r="I156" s="1"/>
  <c r="H1467"/>
  <c r="I1467" s="1"/>
  <c r="H1573"/>
  <c r="I1573" s="1"/>
  <c r="H1450"/>
  <c r="I1450" s="1"/>
  <c r="H2075"/>
  <c r="I2075" s="1"/>
  <c r="H2068"/>
  <c r="I2068" s="1"/>
  <c r="H809"/>
  <c r="I809" s="1"/>
  <c r="H1815"/>
  <c r="I1815" s="1"/>
  <c r="H331"/>
  <c r="I331" s="1"/>
  <c r="H2180"/>
  <c r="I2180" s="1"/>
  <c r="H938"/>
  <c r="I938" s="1"/>
  <c r="H2124"/>
  <c r="I2124" s="1"/>
  <c r="H2174"/>
  <c r="I2174" s="1"/>
  <c r="H1857"/>
  <c r="I1857" s="1"/>
  <c r="H2769"/>
  <c r="I2769" s="1"/>
  <c r="H2450"/>
  <c r="I2450" s="1"/>
  <c r="H2418"/>
  <c r="I2418" s="1"/>
  <c r="H157"/>
  <c r="I157" s="1"/>
  <c r="H2963"/>
  <c r="I2963" s="1"/>
  <c r="H1650"/>
  <c r="I1650" s="1"/>
  <c r="H2757"/>
  <c r="I2757" s="1"/>
  <c r="H2486"/>
  <c r="I2486" s="1"/>
  <c r="H2988"/>
  <c r="I2988" s="1"/>
  <c r="H1899"/>
  <c r="I1899" s="1"/>
  <c r="H1395"/>
  <c r="I1395" s="1"/>
  <c r="H2920"/>
  <c r="I2920" s="1"/>
  <c r="H2426"/>
  <c r="I2426" s="1"/>
  <c r="H1308"/>
  <c r="I1308" s="1"/>
  <c r="H1546"/>
  <c r="I1546" s="1"/>
  <c r="H43"/>
  <c r="I43" s="1"/>
  <c r="H752"/>
  <c r="I752" s="1"/>
  <c r="H2299"/>
  <c r="I2299" s="1"/>
  <c r="H830"/>
  <c r="I830" s="1"/>
  <c r="H2376"/>
  <c r="I2376" s="1"/>
  <c r="H1237"/>
  <c r="I1237" s="1"/>
  <c r="H1478"/>
  <c r="I1478" s="1"/>
  <c r="H1173"/>
  <c r="I1173" s="1"/>
  <c r="H169"/>
  <c r="I169" s="1"/>
  <c r="H939"/>
  <c r="I939" s="1"/>
  <c r="H1045"/>
  <c r="I1045" s="1"/>
  <c r="H201"/>
  <c r="I201" s="1"/>
  <c r="H2483"/>
  <c r="I2483" s="1"/>
  <c r="H2917"/>
  <c r="I2917" s="1"/>
  <c r="H312"/>
  <c r="I312" s="1"/>
  <c r="H2457"/>
  <c r="I2457" s="1"/>
  <c r="H558"/>
  <c r="I558" s="1"/>
  <c r="H1823"/>
  <c r="I1823" s="1"/>
  <c r="H1661"/>
  <c r="I1661" s="1"/>
  <c r="H1709"/>
  <c r="I1709" s="1"/>
  <c r="H1839"/>
  <c r="I1839" s="1"/>
  <c r="H2412"/>
  <c r="I2412" s="1"/>
  <c r="H953"/>
  <c r="I953" s="1"/>
  <c r="H1335"/>
  <c r="I1335" s="1"/>
  <c r="H2927"/>
  <c r="I2927" s="1"/>
  <c r="H1370"/>
  <c r="I1370" s="1"/>
  <c r="H804"/>
  <c r="I804" s="1"/>
  <c r="H1046"/>
  <c r="I1046" s="1"/>
  <c r="H352"/>
  <c r="I352" s="1"/>
  <c r="H2390"/>
  <c r="I2390" s="1"/>
  <c r="H188"/>
  <c r="I188" s="1"/>
  <c r="H690"/>
  <c r="I690" s="1"/>
  <c r="H337"/>
  <c r="I337" s="1"/>
  <c r="H903"/>
  <c r="I903" s="1"/>
  <c r="H390"/>
  <c r="I390" s="1"/>
  <c r="H195"/>
  <c r="I195" s="1"/>
  <c r="H2425"/>
  <c r="I2425" s="1"/>
  <c r="H1569"/>
  <c r="I1569" s="1"/>
  <c r="H2762"/>
  <c r="I2762" s="1"/>
  <c r="H451"/>
  <c r="I451" s="1"/>
  <c r="H1233"/>
  <c r="I1233" s="1"/>
  <c r="H2286"/>
  <c r="I2286" s="1"/>
  <c r="H1364"/>
  <c r="I1364" s="1"/>
  <c r="H2944"/>
  <c r="I2944" s="1"/>
  <c r="H657"/>
  <c r="I657" s="1"/>
  <c r="H2887"/>
  <c r="I2887" s="1"/>
  <c r="H2423"/>
  <c r="I2423" s="1"/>
  <c r="H2633"/>
  <c r="I2633" s="1"/>
  <c r="H2970"/>
  <c r="I2970" s="1"/>
  <c r="H1290"/>
  <c r="I1290" s="1"/>
  <c r="H2181"/>
  <c r="I2181" s="1"/>
  <c r="H2103"/>
  <c r="I2103" s="1"/>
  <c r="H2807"/>
  <c r="I2807" s="1"/>
  <c r="H1955"/>
  <c r="I1955" s="1"/>
  <c r="H1760"/>
  <c r="I1760" s="1"/>
  <c r="H816"/>
  <c r="I816" s="1"/>
  <c r="H2503"/>
  <c r="I2503" s="1"/>
  <c r="H1933"/>
  <c r="I1933" s="1"/>
  <c r="H1360"/>
  <c r="I1360" s="1"/>
  <c r="H80"/>
  <c r="I80" s="1"/>
  <c r="H2063"/>
  <c r="I2063" s="1"/>
  <c r="H2534"/>
  <c r="I2534" s="1"/>
  <c r="H1914"/>
  <c r="I1914" s="1"/>
  <c r="H2119"/>
  <c r="I2119" s="1"/>
  <c r="H584"/>
  <c r="I584" s="1"/>
  <c r="H2159"/>
  <c r="I2159" s="1"/>
  <c r="H439"/>
  <c r="I439" s="1"/>
  <c r="H2200"/>
  <c r="I2200" s="1"/>
  <c r="H1677"/>
  <c r="I1677" s="1"/>
  <c r="H2770"/>
  <c r="I2770" s="1"/>
  <c r="H2880"/>
  <c r="I2880" s="1"/>
  <c r="H2583"/>
  <c r="I2583" s="1"/>
  <c r="H2072"/>
  <c r="I2072" s="1"/>
  <c r="H371"/>
  <c r="I371" s="1"/>
  <c r="H2109"/>
  <c r="I2109" s="1"/>
  <c r="H660"/>
  <c r="I660" s="1"/>
  <c r="H905"/>
  <c r="I905" s="1"/>
  <c r="H1177"/>
  <c r="I1177" s="1"/>
  <c r="H2372"/>
  <c r="I2372" s="1"/>
  <c r="H675"/>
  <c r="I675" s="1"/>
  <c r="H2901"/>
  <c r="I2901" s="1"/>
  <c r="H2488"/>
  <c r="I2488" s="1"/>
  <c r="H2610"/>
  <c r="I2610" s="1"/>
  <c r="H1410"/>
  <c r="I1410" s="1"/>
  <c r="H1947"/>
  <c r="I1947" s="1"/>
  <c r="H2309"/>
  <c r="I2309" s="1"/>
  <c r="H1149"/>
  <c r="I1149" s="1"/>
  <c r="H1859"/>
  <c r="I1859" s="1"/>
  <c r="H1960"/>
  <c r="I1960" s="1"/>
  <c r="H1230"/>
  <c r="I1230" s="1"/>
  <c r="H723"/>
  <c r="I723" s="1"/>
  <c r="H2305"/>
  <c r="I2305" s="1"/>
  <c r="H206"/>
  <c r="I206" s="1"/>
  <c r="H2966"/>
  <c r="I2966" s="1"/>
  <c r="H629"/>
  <c r="I629" s="1"/>
  <c r="H1157"/>
  <c r="I1157" s="1"/>
  <c r="H1605"/>
  <c r="I1605" s="1"/>
  <c r="H2664"/>
  <c r="I2664" s="1"/>
  <c r="H53"/>
  <c r="I53" s="1"/>
  <c r="H215"/>
  <c r="I215" s="1"/>
  <c r="H65"/>
  <c r="I65" s="1"/>
  <c r="H2278"/>
  <c r="I2278" s="1"/>
  <c r="H87"/>
  <c r="I87" s="1"/>
  <c r="H1898"/>
  <c r="I1898" s="1"/>
  <c r="H1566"/>
  <c r="I1566" s="1"/>
  <c r="H610"/>
  <c r="I610" s="1"/>
  <c r="H2179"/>
  <c r="I2179" s="1"/>
  <c r="H1534"/>
  <c r="I1534" s="1"/>
  <c r="H2270"/>
  <c r="I2270" s="1"/>
  <c r="H1176"/>
  <c r="I1176" s="1"/>
  <c r="H457"/>
  <c r="I457" s="1"/>
  <c r="H1249"/>
  <c r="I1249" s="1"/>
  <c r="H797"/>
  <c r="I797" s="1"/>
  <c r="H2531"/>
  <c r="I2531" s="1"/>
  <c r="H2532"/>
  <c r="I2532" s="1"/>
  <c r="H1602"/>
  <c r="I1602" s="1"/>
  <c r="H141"/>
  <c r="I141" s="1"/>
  <c r="H1783"/>
  <c r="I1783" s="1"/>
  <c r="H2623"/>
  <c r="I2623" s="1"/>
  <c r="H559"/>
  <c r="I559" s="1"/>
  <c r="H524"/>
  <c r="I524" s="1"/>
  <c r="H1913"/>
  <c r="I1913" s="1"/>
  <c r="H766"/>
  <c r="I766" s="1"/>
  <c r="H1938"/>
  <c r="I1938" s="1"/>
  <c r="H1231"/>
  <c r="I1231" s="1"/>
  <c r="H2946"/>
  <c r="I2946" s="1"/>
  <c r="H194"/>
  <c r="I194" s="1"/>
  <c r="H1245"/>
  <c r="I1245" s="1"/>
  <c r="H1016"/>
  <c r="I1016" s="1"/>
  <c r="H1867"/>
  <c r="I1867" s="1"/>
  <c r="H1397"/>
  <c r="I1397" s="1"/>
  <c r="H1474"/>
  <c r="I1474" s="1"/>
  <c r="H2738"/>
  <c r="I2738" s="1"/>
  <c r="H1700"/>
  <c r="I1700" s="1"/>
  <c r="H2167"/>
  <c r="I2167" s="1"/>
  <c r="H2932"/>
  <c r="I2932" s="1"/>
  <c r="H998"/>
  <c r="I998" s="1"/>
  <c r="H897"/>
  <c r="I897" s="1"/>
  <c r="H47"/>
  <c r="I47" s="1"/>
  <c r="H1310"/>
  <c r="I1310" s="1"/>
  <c r="H484"/>
  <c r="I484" s="1"/>
  <c r="H2366"/>
  <c r="I2366" s="1"/>
  <c r="H2688"/>
  <c r="I2688" s="1"/>
  <c r="H1995"/>
  <c r="I1995" s="1"/>
  <c r="H738"/>
  <c r="I738" s="1"/>
  <c r="H2928"/>
  <c r="I2928" s="1"/>
  <c r="H2284"/>
  <c r="I2284" s="1"/>
  <c r="H1547"/>
  <c r="I1547" s="1"/>
  <c r="H1810"/>
  <c r="I1810" s="1"/>
  <c r="H2432"/>
  <c r="I2432" s="1"/>
  <c r="H544"/>
  <c r="I544" s="1"/>
  <c r="H1965"/>
  <c r="I1965" s="1"/>
  <c r="H2631"/>
  <c r="I2631" s="1"/>
  <c r="H1801"/>
  <c r="I1801" s="1"/>
  <c r="H2760"/>
  <c r="I2760" s="1"/>
  <c r="H369"/>
  <c r="I369" s="1"/>
  <c r="H2436"/>
  <c r="I2436" s="1"/>
  <c r="H1120"/>
  <c r="I1120" s="1"/>
  <c r="H1690"/>
  <c r="I1690" s="1"/>
  <c r="H1352"/>
  <c r="I1352" s="1"/>
  <c r="H456"/>
  <c r="I456" s="1"/>
  <c r="H402"/>
  <c r="I402" s="1"/>
  <c r="H1061"/>
  <c r="I1061" s="1"/>
  <c r="H636"/>
  <c r="I636" s="1"/>
  <c r="H1243"/>
  <c r="I1243" s="1"/>
  <c r="H339"/>
  <c r="I339" s="1"/>
  <c r="H1480"/>
  <c r="I1480" s="1"/>
  <c r="H633"/>
  <c r="I633" s="1"/>
  <c r="H2690"/>
  <c r="I2690" s="1"/>
  <c r="H2158"/>
  <c r="I2158" s="1"/>
  <c r="H2162"/>
  <c r="I2162" s="1"/>
  <c r="H521"/>
  <c r="I521" s="1"/>
  <c r="H929"/>
  <c r="I929" s="1"/>
  <c r="H2862"/>
  <c r="I2862" s="1"/>
  <c r="H2317"/>
  <c r="I2317" s="1"/>
  <c r="H2215"/>
  <c r="I2215" s="1"/>
  <c r="H796"/>
  <c r="I796" s="1"/>
  <c r="H2716"/>
  <c r="I2716" s="1"/>
  <c r="H1137"/>
  <c r="I1137" s="1"/>
  <c r="H1273"/>
  <c r="I1273" s="1"/>
  <c r="H707"/>
  <c r="I707" s="1"/>
  <c r="H881"/>
  <c r="I881" s="1"/>
  <c r="H2223"/>
  <c r="I2223" s="1"/>
  <c r="H2211"/>
  <c r="I2211" s="1"/>
  <c r="H2861"/>
  <c r="I2861" s="1"/>
  <c r="H2344"/>
  <c r="I2344" s="1"/>
  <c r="H422"/>
  <c r="I422" s="1"/>
  <c r="H2222"/>
  <c r="I2222" s="1"/>
  <c r="H573"/>
  <c r="I573" s="1"/>
  <c r="H250"/>
  <c r="I250" s="1"/>
  <c r="H1455"/>
  <c r="I1455" s="1"/>
  <c r="H1274"/>
  <c r="I1274" s="1"/>
  <c r="H1554"/>
  <c r="I1554" s="1"/>
  <c r="H2346"/>
  <c r="I2346" s="1"/>
  <c r="H2184"/>
  <c r="I2184" s="1"/>
  <c r="H2935"/>
  <c r="I2935" s="1"/>
  <c r="H2763"/>
  <c r="I2763" s="1"/>
  <c r="H2362"/>
  <c r="I2362" s="1"/>
  <c r="H742"/>
  <c r="I742" s="1"/>
  <c r="H1888"/>
  <c r="I1888" s="1"/>
  <c r="H357"/>
  <c r="I357" s="1"/>
  <c r="H209"/>
  <c r="I209" s="1"/>
  <c r="H1579"/>
  <c r="I1579" s="1"/>
  <c r="H1588"/>
  <c r="I1588" s="1"/>
  <c r="H669"/>
  <c r="I669" s="1"/>
  <c r="H598"/>
  <c r="I598" s="1"/>
  <c r="H1625"/>
  <c r="I1625" s="1"/>
  <c r="H1348"/>
  <c r="I1348" s="1"/>
  <c r="H198"/>
  <c r="I198" s="1"/>
  <c r="H2989"/>
  <c r="I2989" s="1"/>
  <c r="H977"/>
  <c r="I977" s="1"/>
  <c r="H2865"/>
  <c r="I2865" s="1"/>
  <c r="H1941"/>
  <c r="I1941" s="1"/>
  <c r="H2332"/>
  <c r="I2332" s="1"/>
  <c r="H2574"/>
  <c r="I2574" s="1"/>
  <c r="H2940"/>
  <c r="I2940" s="1"/>
  <c r="H272"/>
  <c r="I272" s="1"/>
  <c r="H254"/>
  <c r="I254" s="1"/>
  <c r="H396"/>
  <c r="I396" s="1"/>
  <c r="H2152"/>
  <c r="I2152" s="1"/>
  <c r="H1520"/>
  <c r="I1520" s="1"/>
  <c r="H914"/>
  <c r="I914" s="1"/>
  <c r="H88"/>
  <c r="I88" s="1"/>
  <c r="H745"/>
  <c r="I745" s="1"/>
  <c r="H700"/>
  <c r="I700" s="1"/>
  <c r="H1038"/>
  <c r="I1038" s="1"/>
  <c r="H1737"/>
  <c r="I1737" s="1"/>
  <c r="H2250"/>
  <c r="I2250" s="1"/>
  <c r="H437"/>
  <c r="I437" s="1"/>
  <c r="H915"/>
  <c r="I915" s="1"/>
  <c r="H2630"/>
  <c r="I2630" s="1"/>
  <c r="H1094"/>
  <c r="I1094" s="1"/>
  <c r="H760"/>
  <c r="I760" s="1"/>
  <c r="H2199"/>
  <c r="I2199" s="1"/>
  <c r="H2047"/>
  <c r="I2047" s="1"/>
  <c r="H479"/>
  <c r="I479" s="1"/>
  <c r="H318"/>
  <c r="I318" s="1"/>
  <c r="H2118"/>
  <c r="I2118" s="1"/>
  <c r="H2444"/>
  <c r="I2444" s="1"/>
  <c r="H792"/>
  <c r="I792" s="1"/>
  <c r="H2810"/>
  <c r="I2810" s="1"/>
  <c r="H2867"/>
  <c r="I2867" s="1"/>
  <c r="H1568"/>
  <c r="I1568" s="1"/>
  <c r="H2380"/>
  <c r="I2380" s="1"/>
  <c r="H546"/>
  <c r="I546" s="1"/>
  <c r="H631"/>
  <c r="I631" s="1"/>
  <c r="H1050"/>
  <c r="I1050" s="1"/>
  <c r="H179"/>
  <c r="I179" s="1"/>
  <c r="H1086"/>
  <c r="I1086" s="1"/>
  <c r="H1271"/>
  <c r="I1271" s="1"/>
  <c r="H2055"/>
  <c r="I2055" s="1"/>
  <c r="H963"/>
  <c r="I963" s="1"/>
  <c r="H2065"/>
  <c r="I2065" s="1"/>
  <c r="H555"/>
  <c r="I555" s="1"/>
  <c r="H1252"/>
  <c r="I1252" s="1"/>
  <c r="H954"/>
  <c r="I954" s="1"/>
  <c r="H283"/>
  <c r="I283" s="1"/>
  <c r="H323"/>
  <c r="I323" s="1"/>
  <c r="H989"/>
  <c r="I989" s="1"/>
  <c r="H1141"/>
  <c r="I1141" s="1"/>
  <c r="H883"/>
  <c r="I883" s="1"/>
  <c r="H587"/>
  <c r="I587" s="1"/>
  <c r="H49"/>
  <c r="I49" s="1"/>
  <c r="H453"/>
  <c r="I453" s="1"/>
  <c r="H340"/>
  <c r="I340" s="1"/>
  <c r="H2338"/>
  <c r="I2338" s="1"/>
  <c r="H2592"/>
  <c r="I2592" s="1"/>
  <c r="H1130"/>
  <c r="I1130" s="1"/>
  <c r="H652"/>
  <c r="I652" s="1"/>
  <c r="H404"/>
  <c r="I404" s="1"/>
  <c r="H1074"/>
  <c r="I1074" s="1"/>
  <c r="H1353"/>
  <c r="I1353" s="1"/>
  <c r="H2460"/>
  <c r="I2460" s="1"/>
  <c r="H1236"/>
  <c r="I1236" s="1"/>
  <c r="H2443"/>
  <c r="I2443" s="1"/>
  <c r="H1531"/>
  <c r="I1531" s="1"/>
  <c r="H1915"/>
  <c r="I1915" s="1"/>
  <c r="H1884"/>
  <c r="I1884" s="1"/>
  <c r="H2558"/>
  <c r="I2558" s="1"/>
  <c r="H1178"/>
  <c r="I1178" s="1"/>
  <c r="H2816"/>
  <c r="I2816" s="1"/>
  <c r="H440"/>
  <c r="I440" s="1"/>
  <c r="H414"/>
  <c r="I414" s="1"/>
  <c r="H2987"/>
  <c r="I2987" s="1"/>
  <c r="H1707"/>
  <c r="I1707" s="1"/>
  <c r="H1495"/>
  <c r="I1495" s="1"/>
  <c r="H1788"/>
  <c r="I1788" s="1"/>
  <c r="H1902"/>
  <c r="I1902" s="1"/>
  <c r="H202"/>
  <c r="I202" s="1"/>
  <c r="H103"/>
  <c r="I103" s="1"/>
  <c r="H2428"/>
  <c r="I2428" s="1"/>
  <c r="H1849"/>
  <c r="I1849" s="1"/>
  <c r="H177"/>
  <c r="I177" s="1"/>
  <c r="H2823"/>
  <c r="I2823" s="1"/>
  <c r="H2629"/>
  <c r="I2629" s="1"/>
  <c r="H130"/>
  <c r="I130" s="1"/>
  <c r="H1334"/>
  <c r="I1334" s="1"/>
  <c r="H1438"/>
  <c r="I1438" s="1"/>
  <c r="H2926"/>
  <c r="I2926" s="1"/>
  <c r="H2856"/>
  <c r="I2856" s="1"/>
  <c r="H2308"/>
  <c r="I2308" s="1"/>
  <c r="H1654"/>
  <c r="I1654" s="1"/>
  <c r="H2692"/>
  <c r="I2692" s="1"/>
  <c r="H2033"/>
  <c r="I2033" s="1"/>
  <c r="H1490"/>
  <c r="I1490" s="1"/>
  <c r="H831"/>
  <c r="I831" s="1"/>
  <c r="H1515"/>
  <c r="I1515" s="1"/>
  <c r="H1817"/>
  <c r="I1817" s="1"/>
  <c r="H48"/>
  <c r="I48" s="1"/>
  <c r="H182"/>
  <c r="I182" s="1"/>
  <c r="H2529"/>
  <c r="I2529" s="1"/>
  <c r="H2510"/>
  <c r="I2510" s="1"/>
  <c r="H225"/>
  <c r="I225" s="1"/>
  <c r="H2817"/>
  <c r="I2817" s="1"/>
  <c r="H1645"/>
  <c r="I1645" s="1"/>
  <c r="H1327"/>
  <c r="I1327" s="1"/>
  <c r="H216"/>
  <c r="I216" s="1"/>
  <c r="H715"/>
  <c r="I715" s="1"/>
  <c r="H1188"/>
  <c r="I1188" s="1"/>
  <c r="H2790"/>
  <c r="I2790" s="1"/>
  <c r="H2148"/>
  <c r="I2148" s="1"/>
  <c r="H2916"/>
  <c r="I2916" s="1"/>
  <c r="H2825"/>
  <c r="I2825" s="1"/>
  <c r="H1679"/>
  <c r="I1679" s="1"/>
  <c r="H508"/>
  <c r="I508" s="1"/>
  <c r="H1540"/>
  <c r="I1540" s="1"/>
  <c r="H1611"/>
  <c r="I1611" s="1"/>
  <c r="H67"/>
  <c r="I67" s="1"/>
  <c r="H950"/>
  <c r="I950" s="1"/>
  <c r="H2225"/>
  <c r="I2225" s="1"/>
  <c r="H1402"/>
  <c r="I1402" s="1"/>
  <c r="H129"/>
  <c r="I129" s="1"/>
  <c r="H2455"/>
  <c r="I2455" s="1"/>
  <c r="H2971"/>
  <c r="I2971" s="1"/>
  <c r="H328"/>
  <c r="I328" s="1"/>
  <c r="H507"/>
  <c r="I507" s="1"/>
  <c r="H1811"/>
  <c r="I1811" s="1"/>
  <c r="H800"/>
  <c r="I800" s="1"/>
  <c r="H1068"/>
  <c r="I1068" s="1"/>
  <c r="H1270"/>
  <c r="I1270" s="1"/>
  <c r="H2093"/>
  <c r="I2093" s="1"/>
  <c r="H317"/>
  <c r="I317" s="1"/>
  <c r="H1388"/>
  <c r="I1388" s="1"/>
  <c r="H164"/>
  <c r="I164" s="1"/>
  <c r="H611"/>
  <c r="I611" s="1"/>
  <c r="H588"/>
  <c r="I588" s="1"/>
  <c r="H1873"/>
  <c r="I1873" s="1"/>
  <c r="H280"/>
  <c r="I280" s="1"/>
  <c r="H2292"/>
  <c r="I2292" s="1"/>
  <c r="H1412"/>
  <c r="I1412" s="1"/>
  <c r="H2013"/>
  <c r="I2013" s="1"/>
  <c r="H624"/>
  <c r="I624" s="1"/>
  <c r="H2282"/>
  <c r="I2282" s="1"/>
  <c r="H1441"/>
  <c r="I1441" s="1"/>
  <c r="H2985"/>
  <c r="I2985" s="1"/>
  <c r="H916"/>
  <c r="I916" s="1"/>
  <c r="H2991"/>
  <c r="I2991" s="1"/>
  <c r="H1514"/>
  <c r="I1514" s="1"/>
  <c r="H2427"/>
  <c r="I2427" s="1"/>
  <c r="H2241"/>
  <c r="I2241" s="1"/>
  <c r="H560"/>
  <c r="I560" s="1"/>
  <c r="H2469"/>
  <c r="I2469" s="1"/>
  <c r="H2275"/>
  <c r="I2275" s="1"/>
  <c r="H2684"/>
  <c r="I2684" s="1"/>
  <c r="H1011"/>
  <c r="I1011" s="1"/>
  <c r="H1063"/>
  <c r="I1063" s="1"/>
  <c r="H725"/>
  <c r="I725" s="1"/>
  <c r="H2849"/>
  <c r="I2849" s="1"/>
  <c r="H1957"/>
  <c r="I1957" s="1"/>
  <c r="H1879"/>
  <c r="I1879" s="1"/>
  <c r="H2061"/>
  <c r="I2061" s="1"/>
  <c r="H324"/>
  <c r="I324" s="1"/>
  <c r="H1118"/>
  <c r="I1118" s="1"/>
  <c r="H221"/>
  <c r="I221" s="1"/>
  <c r="H843"/>
  <c r="I843" s="1"/>
  <c r="H2669"/>
  <c r="I2669" s="1"/>
  <c r="H2624"/>
  <c r="I2624" s="1"/>
  <c r="H2094"/>
  <c r="I2094" s="1"/>
  <c r="H1017"/>
  <c r="I1017" s="1"/>
  <c r="H2297"/>
  <c r="I2297" s="1"/>
  <c r="H1193"/>
  <c r="I1193" s="1"/>
  <c r="H2474"/>
  <c r="I2474" s="1"/>
  <c r="H2238"/>
  <c r="I2238" s="1"/>
  <c r="H1069"/>
  <c r="I1069" s="1"/>
  <c r="H2903"/>
  <c r="I2903" s="1"/>
  <c r="H2837"/>
  <c r="I2837" s="1"/>
  <c r="H682"/>
  <c r="I682" s="1"/>
  <c r="H2491"/>
  <c r="I2491" s="1"/>
  <c r="H677"/>
  <c r="I677" s="1"/>
  <c r="H991"/>
  <c r="I991" s="1"/>
  <c r="H853"/>
  <c r="I853" s="1"/>
  <c r="H2307"/>
  <c r="I2307" s="1"/>
  <c r="H541"/>
  <c r="I541" s="1"/>
  <c r="H2773"/>
  <c r="I2773" s="1"/>
  <c r="H778"/>
  <c r="I778" s="1"/>
  <c r="H2090"/>
  <c r="I2090" s="1"/>
  <c r="H494"/>
  <c r="I494" s="1"/>
  <c r="H2147"/>
  <c r="I2147" s="1"/>
  <c r="H1185"/>
  <c r="I1185" s="1"/>
  <c r="H2579"/>
  <c r="I2579" s="1"/>
  <c r="H287"/>
  <c r="I287" s="1"/>
  <c r="H2125"/>
  <c r="I2125" s="1"/>
  <c r="H606"/>
  <c r="I606" s="1"/>
  <c r="H1202"/>
  <c r="I1202" s="1"/>
  <c r="H2074"/>
  <c r="I2074" s="1"/>
  <c r="H1543"/>
  <c r="I1543" s="1"/>
  <c r="H961"/>
  <c r="I961" s="1"/>
  <c r="H2105"/>
  <c r="I2105" s="1"/>
  <c r="H731"/>
  <c r="I731" s="1"/>
  <c r="H1191"/>
  <c r="I1191" s="1"/>
  <c r="H1638"/>
  <c r="I1638" s="1"/>
  <c r="H869"/>
  <c r="I869" s="1"/>
  <c r="H185"/>
  <c r="I185" s="1"/>
  <c r="H1895"/>
  <c r="I1895" s="1"/>
  <c r="H1658"/>
  <c r="I1658" s="1"/>
  <c r="H2894"/>
  <c r="I2894" s="1"/>
  <c r="H2391"/>
  <c r="I2391" s="1"/>
  <c r="H2361"/>
  <c r="I2361" s="1"/>
  <c r="H1784"/>
  <c r="I1784" s="1"/>
  <c r="H2205"/>
  <c r="I2205" s="1"/>
  <c r="H1970"/>
  <c r="I1970" s="1"/>
  <c r="H387"/>
  <c r="I387" s="1"/>
  <c r="H2593"/>
  <c r="I2593" s="1"/>
  <c r="H384"/>
  <c r="I384" s="1"/>
  <c r="H2906"/>
  <c r="I2906" s="1"/>
  <c r="H2506"/>
  <c r="I2506" s="1"/>
  <c r="H2847"/>
  <c r="I2847" s="1"/>
  <c r="H1519"/>
  <c r="I1519" s="1"/>
  <c r="H354"/>
  <c r="I354" s="1"/>
  <c r="H273"/>
  <c r="I273" s="1"/>
  <c r="H1713"/>
  <c r="I1713" s="1"/>
  <c r="H69"/>
  <c r="I69" s="1"/>
  <c r="H975"/>
  <c r="I975" s="1"/>
  <c r="H708"/>
  <c r="I708" s="1"/>
  <c r="H2530"/>
  <c r="I2530" s="1"/>
  <c r="H2320"/>
  <c r="I2320" s="1"/>
  <c r="H1365"/>
  <c r="I1365" s="1"/>
  <c r="H1945"/>
  <c r="I1945" s="1"/>
  <c r="H2655"/>
  <c r="I2655" s="1"/>
  <c r="H2550"/>
  <c r="I2550" s="1"/>
  <c r="H1345"/>
  <c r="I1345" s="1"/>
  <c r="H1847"/>
  <c r="I1847" s="1"/>
  <c r="H864"/>
  <c r="I864" s="1"/>
  <c r="H2294"/>
  <c r="I2294" s="1"/>
  <c r="H1609"/>
  <c r="I1609" s="1"/>
  <c r="H2609"/>
  <c r="I2609" s="1"/>
  <c r="H2442"/>
  <c r="I2442" s="1"/>
  <c r="H2252"/>
  <c r="I2252" s="1"/>
  <c r="H2904"/>
  <c r="I2904" s="1"/>
  <c r="H2705"/>
  <c r="I2705" s="1"/>
  <c r="H239"/>
  <c r="I239" s="1"/>
  <c r="H1266"/>
  <c r="I1266" s="1"/>
  <c r="H2788"/>
  <c r="I2788" s="1"/>
  <c r="H1153"/>
  <c r="I1153" s="1"/>
  <c r="H1355"/>
  <c r="I1355" s="1"/>
  <c r="H771"/>
  <c r="I771" s="1"/>
  <c r="H581"/>
  <c r="I581" s="1"/>
  <c r="H2185"/>
  <c r="I2185" s="1"/>
  <c r="H1883"/>
  <c r="I1883" s="1"/>
  <c r="H1211"/>
  <c r="I1211" s="1"/>
  <c r="H2959"/>
  <c r="I2959" s="1"/>
  <c r="H476"/>
  <c r="I476" s="1"/>
  <c r="H385"/>
  <c r="I385" s="1"/>
  <c r="H947"/>
  <c r="I947" s="1"/>
  <c r="H1550"/>
  <c r="I1550" s="1"/>
  <c r="H810"/>
  <c r="I810" s="1"/>
  <c r="H309"/>
  <c r="I309" s="1"/>
  <c r="H1500"/>
  <c r="I1500" s="1"/>
  <c r="H567"/>
  <c r="I567" s="1"/>
  <c r="H1929"/>
  <c r="I1929" s="1"/>
  <c r="H2551"/>
  <c r="I2551" s="1"/>
  <c r="H769"/>
  <c r="I769" s="1"/>
  <c r="H1897"/>
  <c r="I1897" s="1"/>
  <c r="H2611"/>
  <c r="I2611" s="1"/>
  <c r="H1172"/>
  <c r="I1172" s="1"/>
  <c r="H1277"/>
  <c r="I1277" s="1"/>
  <c r="H226"/>
  <c r="I226" s="1"/>
  <c r="H1761"/>
  <c r="I1761" s="1"/>
  <c r="H2724"/>
  <c r="I2724" s="1"/>
  <c r="H315"/>
  <c r="I315" s="1"/>
  <c r="H1660"/>
  <c r="I1660" s="1"/>
  <c r="H184"/>
  <c r="I184" s="1"/>
  <c r="H1409"/>
  <c r="I1409" s="1"/>
  <c r="H1689"/>
  <c r="I1689" s="1"/>
  <c r="H1433"/>
  <c r="I1433" s="1"/>
  <c r="H1704"/>
  <c r="I1704" s="1"/>
  <c r="H2663"/>
  <c r="I2663" s="1"/>
  <c r="H2378"/>
  <c r="I2378" s="1"/>
  <c r="H981"/>
  <c r="I981" s="1"/>
  <c r="H1612"/>
  <c r="I1612" s="1"/>
  <c r="H791"/>
  <c r="I791" s="1"/>
  <c r="H68"/>
  <c r="I68" s="1"/>
  <c r="H880"/>
  <c r="I880" s="1"/>
  <c r="H416"/>
  <c r="I416" s="1"/>
  <c r="H1694"/>
  <c r="I1694" s="1"/>
  <c r="H2833"/>
  <c r="I2833" s="1"/>
  <c r="H2475"/>
  <c r="I2475" s="1"/>
  <c r="H1525"/>
  <c r="I1525" s="1"/>
  <c r="H683"/>
  <c r="I683" s="1"/>
  <c r="H1851"/>
  <c r="I1851" s="1"/>
  <c r="H2542"/>
  <c r="I2542" s="1"/>
  <c r="H158"/>
  <c r="I158" s="1"/>
  <c r="H1099"/>
  <c r="I1099" s="1"/>
  <c r="H2281"/>
  <c r="I2281" s="1"/>
  <c r="H2907"/>
  <c r="I2907" s="1"/>
  <c r="H626"/>
  <c r="I626" s="1"/>
  <c r="H1701"/>
  <c r="I1701" s="1"/>
  <c r="H2804"/>
  <c r="I2804" s="1"/>
  <c r="H2046"/>
  <c r="I2046" s="1"/>
  <c r="H2576"/>
  <c r="I2576" s="1"/>
  <c r="H1297"/>
  <c r="I1297" s="1"/>
  <c r="H2324"/>
  <c r="I2324" s="1"/>
  <c r="H294"/>
  <c r="I294" s="1"/>
  <c r="H1218"/>
  <c r="I1218" s="1"/>
  <c r="H777"/>
  <c r="I777" s="1"/>
  <c r="H1570"/>
  <c r="I1570" s="1"/>
  <c r="H2500"/>
  <c r="I2500" s="1"/>
  <c r="H441"/>
  <c r="I441" s="1"/>
  <c r="H1632"/>
  <c r="I1632" s="1"/>
  <c r="H1894"/>
  <c r="I1894" s="1"/>
  <c r="H2606"/>
  <c r="I2606" s="1"/>
  <c r="H1220"/>
  <c r="I1220" s="1"/>
  <c r="H839"/>
  <c r="I839" s="1"/>
  <c r="H393"/>
  <c r="I393" s="1"/>
  <c r="H2273"/>
  <c r="I2273" s="1"/>
  <c r="H1656"/>
  <c r="I1656" s="1"/>
  <c r="H449"/>
  <c r="I449" s="1"/>
  <c r="H2528"/>
  <c r="I2528" s="1"/>
  <c r="H2352"/>
  <c r="I2352" s="1"/>
  <c r="H2713"/>
  <c r="I2713" s="1"/>
  <c r="H993"/>
  <c r="I993" s="1"/>
  <c r="H2909"/>
  <c r="I2909" s="1"/>
  <c r="H2052"/>
  <c r="I2052" s="1"/>
  <c r="H971"/>
  <c r="I971" s="1"/>
  <c r="H689"/>
  <c r="I689" s="1"/>
  <c r="H2776"/>
  <c r="I2776" s="1"/>
  <c r="H1980"/>
  <c r="I1980" s="1"/>
  <c r="H514"/>
  <c r="I514" s="1"/>
  <c r="H901"/>
  <c r="I901" s="1"/>
  <c r="H788"/>
  <c r="I788" s="1"/>
  <c r="H1460"/>
  <c r="I1460" s="1"/>
  <c r="H1123"/>
  <c r="I1123" s="1"/>
  <c r="H2178"/>
  <c r="I2178" s="1"/>
  <c r="H276"/>
  <c r="I276" s="1"/>
  <c r="H1764"/>
  <c r="I1764" s="1"/>
  <c r="H592"/>
  <c r="I592" s="1"/>
  <c r="H647"/>
  <c r="I647" s="1"/>
  <c r="H920"/>
  <c r="I920" s="1"/>
  <c r="H2785"/>
  <c r="I2785" s="1"/>
  <c r="H877"/>
  <c r="I877" s="1"/>
  <c r="H2429"/>
  <c r="I2429" s="1"/>
  <c r="H2735"/>
  <c r="I2735" s="1"/>
  <c r="H895"/>
  <c r="I895" s="1"/>
  <c r="H2387"/>
  <c r="I2387" s="1"/>
  <c r="H2526"/>
  <c r="I2526" s="1"/>
  <c r="H100"/>
  <c r="I100" s="1"/>
  <c r="H523"/>
  <c r="I523" s="1"/>
  <c r="H2113"/>
  <c r="I2113" s="1"/>
  <c r="H1555"/>
  <c r="I1555" s="1"/>
  <c r="H1904"/>
  <c r="I1904" s="1"/>
  <c r="H2559"/>
  <c r="I2559" s="1"/>
  <c r="H531"/>
  <c r="I531" s="1"/>
  <c r="H394"/>
  <c r="I394" s="1"/>
  <c r="H1462"/>
  <c r="I1462" s="1"/>
  <c r="H780"/>
  <c r="I780" s="1"/>
  <c r="H1180"/>
  <c r="I1180" s="1"/>
  <c r="H574"/>
  <c r="I574" s="1"/>
  <c r="H245"/>
  <c r="I245" s="1"/>
  <c r="H2489"/>
  <c r="I2489" s="1"/>
  <c r="H2678"/>
  <c r="I2678" s="1"/>
  <c r="H1852"/>
  <c r="I1852" s="1"/>
  <c r="H1083"/>
  <c r="I1083" s="1"/>
  <c r="H2914"/>
  <c r="I2914" s="1"/>
  <c r="H2577"/>
  <c r="I2577" s="1"/>
  <c r="H2929"/>
  <c r="I2929" s="1"/>
  <c r="H372"/>
  <c r="I372" s="1"/>
  <c r="H71"/>
  <c r="I71" s="1"/>
  <c r="H446"/>
  <c r="I446" s="1"/>
  <c r="H2477"/>
  <c r="I2477" s="1"/>
  <c r="H2189"/>
  <c r="I2189" s="1"/>
  <c r="H2666"/>
  <c r="I2666" s="1"/>
  <c r="H2213"/>
  <c r="I2213" s="1"/>
  <c r="H2899"/>
  <c r="I2899" s="1"/>
  <c r="H249"/>
  <c r="I249" s="1"/>
  <c r="H2761"/>
  <c r="I2761" s="1"/>
  <c r="H2394"/>
  <c r="I2394" s="1"/>
  <c r="H2772"/>
  <c r="I2772" s="1"/>
  <c r="H1953"/>
  <c r="I1953" s="1"/>
  <c r="H488"/>
  <c r="I488" s="1"/>
  <c r="H2021"/>
  <c r="I2021" s="1"/>
  <c r="H196"/>
  <c r="I196" s="1"/>
  <c r="H1910"/>
  <c r="I1910" s="1"/>
  <c r="H56"/>
  <c r="I56" s="1"/>
  <c r="H2673"/>
  <c r="I2673" s="1"/>
  <c r="H1401"/>
  <c r="I1401" s="1"/>
  <c r="H1408"/>
  <c r="I1408" s="1"/>
  <c r="H2389"/>
  <c r="I2389" s="1"/>
  <c r="H2393"/>
  <c r="I2393" s="1"/>
  <c r="H2517"/>
  <c r="I2517" s="1"/>
  <c r="H1294"/>
  <c r="I1294" s="1"/>
  <c r="H2952"/>
  <c r="I2952" s="1"/>
  <c r="H2025"/>
  <c r="I2025" s="1"/>
  <c r="H2795"/>
  <c r="I2795" s="1"/>
  <c r="H828"/>
  <c r="I828" s="1"/>
  <c r="H2049"/>
  <c r="I2049" s="1"/>
  <c r="H590"/>
  <c r="I590" s="1"/>
  <c r="H615"/>
  <c r="I615" s="1"/>
  <c r="H1861"/>
  <c r="I1861" s="1"/>
  <c r="H2314"/>
  <c r="I2314" s="1"/>
  <c r="H614"/>
  <c r="I614" s="1"/>
  <c r="H775"/>
  <c r="I775" s="1"/>
  <c r="H1735"/>
  <c r="I1735" s="1"/>
  <c r="H1985"/>
  <c r="I1985" s="1"/>
  <c r="H2032"/>
  <c r="I2032" s="1"/>
  <c r="H176"/>
  <c r="I176" s="1"/>
  <c r="H586"/>
  <c r="I586" s="1"/>
  <c r="H2235"/>
  <c r="I2235" s="1"/>
  <c r="H1125"/>
  <c r="I1125" s="1"/>
  <c r="H2172"/>
  <c r="I2172" s="1"/>
  <c r="H1993"/>
  <c r="I1993" s="1"/>
  <c r="H1079"/>
  <c r="I1079" s="1"/>
  <c r="H2260"/>
  <c r="I2260" s="1"/>
  <c r="H987"/>
  <c r="I987" s="1"/>
  <c r="H747"/>
  <c r="I747" s="1"/>
  <c r="H2720"/>
  <c r="I2720" s="1"/>
  <c r="H1853"/>
  <c r="I1853" s="1"/>
  <c r="H1010"/>
  <c r="I1010" s="1"/>
  <c r="H2041"/>
  <c r="I2041" s="1"/>
  <c r="H475"/>
  <c r="I475" s="1"/>
  <c r="H1598"/>
  <c r="I1598" s="1"/>
  <c r="H1646"/>
  <c r="I1646" s="1"/>
  <c r="H694"/>
  <c r="I694" s="1"/>
  <c r="H1442"/>
  <c r="I1442" s="1"/>
  <c r="H693"/>
  <c r="I693" s="1"/>
  <c r="H1183"/>
  <c r="I1183" s="1"/>
  <c r="H2796"/>
  <c r="I2796" s="1"/>
  <c r="H2204"/>
  <c r="I2204" s="1"/>
  <c r="H2693"/>
  <c r="I2693" s="1"/>
  <c r="H338"/>
  <c r="I338" s="1"/>
  <c r="H2675"/>
  <c r="I2675" s="1"/>
  <c r="H2536"/>
  <c r="I2536" s="1"/>
  <c r="H2891"/>
  <c r="I2891" s="1"/>
  <c r="H2875"/>
  <c r="I2875" s="1"/>
  <c r="H1731"/>
  <c r="I1731" s="1"/>
  <c r="H1459"/>
  <c r="I1459" s="1"/>
  <c r="H1197"/>
  <c r="I1197" s="1"/>
  <c r="H2616"/>
  <c r="I2616" s="1"/>
  <c r="H1155"/>
  <c r="I1155" s="1"/>
  <c r="H873"/>
  <c r="I873" s="1"/>
  <c r="H2263"/>
  <c r="I2263" s="1"/>
  <c r="H1951"/>
  <c r="I1951" s="1"/>
  <c r="H616"/>
  <c r="I616" s="1"/>
  <c r="H1418"/>
  <c r="I1418" s="1"/>
  <c r="H2523"/>
  <c r="I2523" s="1"/>
  <c r="H1090"/>
  <c r="I1090" s="1"/>
  <c r="H2589"/>
  <c r="I2589" s="1"/>
  <c r="H2836"/>
  <c r="I2836" s="1"/>
  <c r="H1963"/>
  <c r="I1963" s="1"/>
  <c r="H1688"/>
  <c r="I1688" s="1"/>
  <c r="H1672"/>
  <c r="I1672" s="1"/>
  <c r="H1752"/>
  <c r="I1752" s="1"/>
  <c r="H2462"/>
  <c r="I2462" s="1"/>
  <c r="H654"/>
  <c r="I654" s="1"/>
  <c r="H510"/>
  <c r="I510" s="1"/>
  <c r="H2819"/>
  <c r="I2819" s="1"/>
  <c r="H2349"/>
  <c r="I2349" s="1"/>
  <c r="H1400"/>
  <c r="I1400" s="1"/>
  <c r="H1757"/>
  <c r="I1757" s="1"/>
  <c r="H1564"/>
  <c r="I1564" s="1"/>
  <c r="H783"/>
  <c r="I783" s="1"/>
  <c r="H1022"/>
  <c r="I1022" s="1"/>
  <c r="H135"/>
  <c r="I135" s="1"/>
  <c r="H2334"/>
  <c r="I2334" s="1"/>
  <c r="H909"/>
  <c r="I909" s="1"/>
  <c r="H1814"/>
  <c r="I1814" s="1"/>
  <c r="H2743"/>
  <c r="I2743" s="1"/>
  <c r="H736"/>
  <c r="I736" s="1"/>
  <c r="H990"/>
  <c r="I990" s="1"/>
  <c r="H383"/>
  <c r="I383" s="1"/>
  <c r="H1551"/>
  <c r="I1551" s="1"/>
  <c r="H1156"/>
  <c r="I1156" s="1"/>
  <c r="H208"/>
  <c r="I208" s="1"/>
  <c r="H789"/>
  <c r="I789" s="1"/>
  <c r="H697"/>
  <c r="I697" s="1"/>
  <c r="H1358"/>
  <c r="I1358" s="1"/>
  <c r="H1556"/>
  <c r="I1556" s="1"/>
  <c r="H2947"/>
  <c r="I2947" s="1"/>
  <c r="H2397"/>
  <c r="I2397" s="1"/>
  <c r="H2092"/>
  <c r="I2092" s="1"/>
  <c r="H882"/>
  <c r="I882" s="1"/>
  <c r="H1698"/>
  <c r="I1698" s="1"/>
  <c r="H320"/>
  <c r="I320" s="1"/>
  <c r="H2288"/>
  <c r="I2288" s="1"/>
  <c r="H1529"/>
  <c r="I1529" s="1"/>
  <c r="H1289"/>
  <c r="I1289" s="1"/>
  <c r="H1928"/>
  <c r="I1928" s="1"/>
  <c r="H2732"/>
  <c r="I2732" s="1"/>
  <c r="H2007"/>
  <c r="I2007" s="1"/>
  <c r="H859"/>
  <c r="I859" s="1"/>
  <c r="H1683"/>
  <c r="I1683" s="1"/>
  <c r="H417"/>
  <c r="I417" s="1"/>
  <c r="H1437"/>
  <c r="I1437" s="1"/>
  <c r="H2495"/>
  <c r="I2495" s="1"/>
  <c r="H1048"/>
  <c r="I1048" s="1"/>
  <c r="H2759"/>
  <c r="I2759" s="1"/>
  <c r="H1036"/>
  <c r="I1036" s="1"/>
  <c r="H2417"/>
  <c r="I2417" s="1"/>
  <c r="H2228"/>
  <c r="I2228" s="1"/>
  <c r="H1051"/>
  <c r="I1051" s="1"/>
  <c r="H2634"/>
  <c r="I2634" s="1"/>
  <c r="H2023"/>
  <c r="I2023" s="1"/>
  <c r="H2802"/>
  <c r="I2802" s="1"/>
  <c r="H858"/>
  <c r="I858" s="1"/>
  <c r="H2445"/>
  <c r="I2445" s="1"/>
  <c r="H814"/>
  <c r="I814" s="1"/>
  <c r="H1165"/>
  <c r="I1165" s="1"/>
  <c r="H685"/>
  <c r="I685" s="1"/>
  <c r="H2509"/>
  <c r="I2509" s="1"/>
  <c r="H2832"/>
  <c r="I2832" s="1"/>
  <c r="H110"/>
  <c r="I110" s="1"/>
  <c r="H2960"/>
  <c r="I2960" s="1"/>
  <c r="H447"/>
  <c r="I447" s="1"/>
  <c r="H1456"/>
  <c r="I1456" s="1"/>
  <c r="H662"/>
  <c r="I662" s="1"/>
  <c r="H1406"/>
  <c r="I1406" s="1"/>
  <c r="H1634"/>
  <c r="I1634" s="1"/>
  <c r="H526"/>
  <c r="I526" s="1"/>
  <c r="H2564"/>
  <c r="I2564" s="1"/>
  <c r="H972"/>
  <c r="I972" s="1"/>
  <c r="H2347"/>
  <c r="I2347" s="1"/>
  <c r="H181"/>
  <c r="I181" s="1"/>
  <c r="H1733"/>
  <c r="I1733" s="1"/>
  <c r="H2126"/>
  <c r="I2126" s="1"/>
  <c r="H569"/>
  <c r="I569" s="1"/>
  <c r="H61"/>
  <c r="I61" s="1"/>
  <c r="H730"/>
  <c r="I730" s="1"/>
  <c r="H133"/>
  <c r="I133" s="1"/>
  <c r="H1838"/>
  <c r="I1838" s="1"/>
  <c r="H2722"/>
  <c r="I2722" s="1"/>
  <c r="H365"/>
  <c r="I365" s="1"/>
  <c r="H2642"/>
  <c r="I2642" s="1"/>
  <c r="H2434"/>
  <c r="I2434" s="1"/>
  <c r="H1541"/>
  <c r="I1541" s="1"/>
  <c r="H855"/>
  <c r="I855" s="1"/>
  <c r="H1381"/>
  <c r="I1381" s="1"/>
  <c r="H1750"/>
  <c r="I1750" s="1"/>
  <c r="H770"/>
  <c r="I770" s="1"/>
  <c r="H2511"/>
  <c r="I2511" s="1"/>
  <c r="H1887"/>
  <c r="I1887" s="1"/>
  <c r="H2888"/>
  <c r="I2888" s="1"/>
  <c r="H2400"/>
  <c r="I2400" s="1"/>
  <c r="H2415"/>
  <c r="I2415" s="1"/>
  <c r="H711"/>
  <c r="I711" s="1"/>
  <c r="H999"/>
  <c r="I999" s="1"/>
  <c r="H2272"/>
  <c r="I2272" s="1"/>
  <c r="H306"/>
  <c r="I306" s="1"/>
  <c r="H639"/>
  <c r="I639" s="1"/>
  <c r="H2499"/>
  <c r="I2499" s="1"/>
  <c r="H2416"/>
  <c r="I2416" s="1"/>
  <c r="H2268"/>
  <c r="I2268" s="1"/>
  <c r="H1996"/>
  <c r="I1996" s="1"/>
  <c r="H2931"/>
  <c r="I2931" s="1"/>
  <c r="H1304"/>
  <c r="I1304" s="1"/>
  <c r="H2419"/>
  <c r="I2419" s="1"/>
  <c r="H927"/>
  <c r="I927" s="1"/>
  <c r="H562"/>
  <c r="I562" s="1"/>
  <c r="H2218"/>
  <c r="I2218" s="1"/>
  <c r="H2216"/>
  <c r="I2216" s="1"/>
  <c r="H1516"/>
  <c r="I1516" s="1"/>
  <c r="H1831"/>
  <c r="I1831" s="1"/>
  <c r="H2871"/>
  <c r="I2871" s="1"/>
  <c r="H1990"/>
  <c r="I1990" s="1"/>
  <c r="H2133"/>
  <c r="I2133" s="1"/>
  <c r="H362"/>
  <c r="I362" s="1"/>
  <c r="H2153"/>
  <c r="I2153" s="1"/>
  <c r="H1417"/>
  <c r="I1417" s="1"/>
  <c r="H988"/>
  <c r="I988" s="1"/>
  <c r="H640"/>
  <c r="I640" s="1"/>
  <c r="H784"/>
  <c r="I784" s="1"/>
  <c r="H2717"/>
  <c r="I2717" s="1"/>
  <c r="H1033"/>
  <c r="I1033" s="1"/>
  <c r="H520"/>
  <c r="I520" s="1"/>
  <c r="H1168"/>
  <c r="I1168" s="1"/>
  <c r="H2643"/>
  <c r="I2643" s="1"/>
  <c r="H2132"/>
  <c r="I2132" s="1"/>
  <c r="H2647"/>
  <c r="I2647" s="1"/>
  <c r="H2422"/>
  <c r="I2422" s="1"/>
  <c r="H443"/>
  <c r="I443" s="1"/>
  <c r="H1225"/>
  <c r="I1225" s="1"/>
  <c r="H2596"/>
  <c r="I2596" s="1"/>
  <c r="H1326"/>
  <c r="I1326" s="1"/>
  <c r="H1081"/>
  <c r="I1081" s="1"/>
  <c r="H1034"/>
  <c r="I1034" s="1"/>
  <c r="H1403"/>
  <c r="I1403" s="1"/>
  <c r="H1676"/>
  <c r="I1676" s="1"/>
  <c r="H2984"/>
  <c r="I2984" s="1"/>
  <c r="H81"/>
  <c r="I81" s="1"/>
  <c r="H1835"/>
  <c r="I1835" s="1"/>
  <c r="H2714"/>
  <c r="I2714" s="1"/>
  <c r="H2321"/>
  <c r="I2321" s="1"/>
  <c r="H1782"/>
  <c r="I1782" s="1"/>
  <c r="H463"/>
  <c r="I463" s="1"/>
  <c r="H1890"/>
  <c r="I1890" s="1"/>
  <c r="H474"/>
  <c r="I474" s="1"/>
  <c r="H2116"/>
  <c r="I2116" s="1"/>
  <c r="H1030"/>
  <c r="I1030" s="1"/>
  <c r="H490"/>
  <c r="I490" s="1"/>
  <c r="H1416"/>
  <c r="I1416" s="1"/>
  <c r="H1339"/>
  <c r="I1339" s="1"/>
  <c r="H303"/>
  <c r="I303" s="1"/>
  <c r="H695"/>
  <c r="I695" s="1"/>
  <c r="H1060"/>
  <c r="I1060" s="1"/>
  <c r="H820"/>
  <c r="I820" s="1"/>
  <c r="H795"/>
  <c r="I795" s="1"/>
  <c r="H1892"/>
  <c r="I1892" s="1"/>
  <c r="H2782"/>
  <c r="I2782" s="1"/>
  <c r="H1792"/>
  <c r="I1792" s="1"/>
  <c r="H842"/>
  <c r="I842" s="1"/>
  <c r="H1291"/>
  <c r="I1291" s="1"/>
  <c r="H2878"/>
  <c r="I2878" s="1"/>
  <c r="H1301"/>
  <c r="I1301" s="1"/>
  <c r="H1549"/>
  <c r="I1549" s="1"/>
  <c r="H1687"/>
  <c r="I1687" s="1"/>
  <c r="H2922"/>
  <c r="I2922" s="1"/>
  <c r="H960"/>
  <c r="I960" s="1"/>
  <c r="H2004"/>
  <c r="I2004" s="1"/>
  <c r="H737"/>
  <c r="I737" s="1"/>
  <c r="H2337"/>
  <c r="I2337" s="1"/>
  <c r="H1346"/>
  <c r="I1346" s="1"/>
  <c r="H1880"/>
  <c r="I1880" s="1"/>
  <c r="H391"/>
  <c r="I391" s="1"/>
  <c r="H609"/>
  <c r="I609" s="1"/>
  <c r="H2240"/>
  <c r="I2240" s="1"/>
  <c r="H2176"/>
  <c r="I2176" s="1"/>
  <c r="H1779"/>
  <c r="I1779" s="1"/>
  <c r="H1763"/>
  <c r="I1763" s="1"/>
  <c r="H552"/>
  <c r="I552" s="1"/>
  <c r="H2521"/>
  <c r="I2521" s="1"/>
  <c r="H2490"/>
  <c r="I2490" s="1"/>
  <c r="H516"/>
  <c r="I516" s="1"/>
  <c r="H1227"/>
  <c r="I1227" s="1"/>
  <c r="H2016"/>
  <c r="I2016" s="1"/>
  <c r="H1377"/>
  <c r="I1377" s="1"/>
  <c r="H2057"/>
  <c r="I2057" s="1"/>
  <c r="H113"/>
  <c r="I113" s="1"/>
  <c r="H2351"/>
  <c r="I2351" s="1"/>
  <c r="H2121"/>
  <c r="I2121" s="1"/>
  <c r="H2965"/>
  <c r="I2965" s="1"/>
  <c r="H2408"/>
  <c r="I2408" s="1"/>
  <c r="H1580"/>
  <c r="I1580" s="1"/>
  <c r="H2751"/>
  <c r="I2751" s="1"/>
  <c r="H2641"/>
  <c r="I2641" s="1"/>
  <c r="H1657"/>
  <c r="I1657" s="1"/>
  <c r="H2672"/>
  <c r="I2672" s="1"/>
  <c r="H1981"/>
  <c r="I1981" s="1"/>
  <c r="H1934"/>
  <c r="I1934" s="1"/>
  <c r="H1574"/>
  <c r="I1574" s="1"/>
  <c r="H374"/>
  <c r="I374" s="1"/>
  <c r="H1449"/>
  <c r="I1449" s="1"/>
  <c r="H593"/>
  <c r="I593" s="1"/>
  <c r="H1105"/>
  <c r="I1105" s="1"/>
  <c r="H2756"/>
  <c r="I2756" s="1"/>
  <c r="H2484"/>
  <c r="I2484" s="1"/>
  <c r="H638"/>
  <c r="I638" s="1"/>
  <c r="H1096"/>
  <c r="I1096" s="1"/>
  <c r="H2201"/>
  <c r="I2201" s="1"/>
  <c r="H2520"/>
  <c r="I2520" s="1"/>
  <c r="H2700"/>
  <c r="I2700" s="1"/>
  <c r="H1263"/>
  <c r="I1263" s="1"/>
  <c r="H277"/>
  <c r="I277" s="1"/>
  <c r="H2739"/>
  <c r="I2739" s="1"/>
  <c r="H1721"/>
  <c r="I1721" s="1"/>
  <c r="H2053"/>
  <c r="I2053" s="1"/>
  <c r="H1169"/>
  <c r="I1169" s="1"/>
  <c r="H266"/>
  <c r="I266" s="1"/>
  <c r="H2667"/>
  <c r="I2667" s="1"/>
  <c r="H825"/>
  <c r="I825" s="1"/>
  <c r="H2775"/>
  <c r="I2775" s="1"/>
  <c r="H2034"/>
  <c r="I2034" s="1"/>
  <c r="H1710"/>
  <c r="I1710" s="1"/>
  <c r="H2196"/>
  <c r="I2196" s="1"/>
  <c r="H2548"/>
  <c r="I2548" s="1"/>
  <c r="H522"/>
  <c r="I522" s="1"/>
  <c r="H316"/>
  <c r="I316" s="1"/>
  <c r="H502"/>
  <c r="I502" s="1"/>
  <c r="H2983"/>
  <c r="I2983" s="1"/>
  <c r="H561"/>
  <c r="I561" s="1"/>
  <c r="H131"/>
  <c r="I131" s="1"/>
  <c r="H2143"/>
  <c r="I2143" s="1"/>
  <c r="H118"/>
  <c r="I118" s="1"/>
  <c r="H1720"/>
  <c r="I1720" s="1"/>
  <c r="H956"/>
  <c r="I956" s="1"/>
  <c r="H1265"/>
  <c r="I1265" s="1"/>
  <c r="H1166"/>
  <c r="I1166" s="1"/>
  <c r="H1893"/>
  <c r="I1893" s="1"/>
  <c r="H55"/>
  <c r="I55" s="1"/>
  <c r="H935"/>
  <c r="I935" s="1"/>
  <c r="H1350"/>
  <c r="I1350" s="1"/>
  <c r="H970"/>
  <c r="I970" s="1"/>
  <c r="H2043"/>
  <c r="I2043" s="1"/>
  <c r="H257"/>
  <c r="I257" s="1"/>
  <c r="H351"/>
  <c r="I351" s="1"/>
  <c r="H2582"/>
  <c r="I2582" s="1"/>
  <c r="H1393"/>
  <c r="I1393" s="1"/>
  <c r="H1863"/>
  <c r="I1863" s="1"/>
  <c r="H2598"/>
  <c r="I2598" s="1"/>
  <c r="H2208"/>
  <c r="I2208" s="1"/>
  <c r="H119"/>
  <c r="I119" s="1"/>
  <c r="H2950"/>
  <c r="I2950" s="1"/>
  <c r="H2803"/>
  <c r="I2803" s="1"/>
  <c r="H1080"/>
  <c r="I1080" s="1"/>
  <c r="H412"/>
  <c r="I412" s="1"/>
  <c r="H1664"/>
  <c r="I1664" s="1"/>
  <c r="H2328"/>
  <c r="I2328" s="1"/>
  <c r="H2160"/>
  <c r="I2160" s="1"/>
  <c r="H1320"/>
  <c r="I1320" s="1"/>
  <c r="H1997"/>
  <c r="I1997" s="1"/>
  <c r="H718"/>
  <c r="I718" s="1"/>
  <c r="H1691"/>
  <c r="I1691" s="1"/>
  <c r="H2737"/>
  <c r="I2737" s="1"/>
  <c r="H499"/>
  <c r="I499" s="1"/>
  <c r="H1426"/>
  <c r="I1426" s="1"/>
  <c r="H642"/>
  <c r="I642" s="1"/>
  <c r="H1453"/>
  <c r="I1453" s="1"/>
  <c r="H1181"/>
  <c r="I1181" s="1"/>
  <c r="H2040"/>
  <c r="I2040" s="1"/>
  <c r="H833"/>
  <c r="I833" s="1"/>
  <c r="H565"/>
  <c r="I565" s="1"/>
  <c r="H2078"/>
  <c r="I2078" s="1"/>
  <c r="H2964"/>
  <c r="I2964" s="1"/>
  <c r="H758"/>
  <c r="I758" s="1"/>
  <c r="H1521"/>
  <c r="I1521" s="1"/>
  <c r="H856"/>
  <c r="I856" s="1"/>
  <c r="H1419"/>
  <c r="I1419" s="1"/>
  <c r="H2306"/>
  <c r="I2306" s="1"/>
  <c r="H2163"/>
  <c r="I2163" s="1"/>
  <c r="H2698"/>
  <c r="I2698" s="1"/>
  <c r="H2155"/>
  <c r="I2155" s="1"/>
  <c r="H2677"/>
  <c r="I2677" s="1"/>
  <c r="H617"/>
  <c r="I617" s="1"/>
  <c r="H248"/>
  <c r="I248" s="1"/>
  <c r="H1881"/>
  <c r="I1881" s="1"/>
  <c r="H566"/>
  <c r="I566" s="1"/>
  <c r="H1597"/>
  <c r="I1597" s="1"/>
  <c r="H2941"/>
  <c r="I2941" s="1"/>
  <c r="H767"/>
  <c r="I767" s="1"/>
  <c r="H1039"/>
  <c r="I1039" s="1"/>
  <c r="H604"/>
  <c r="I604" s="1"/>
  <c r="H1937"/>
  <c r="I1937" s="1"/>
  <c r="H180"/>
  <c r="I180" s="1"/>
  <c r="H625"/>
  <c r="I625" s="1"/>
  <c r="H2026"/>
  <c r="I2026" s="1"/>
  <c r="H757"/>
  <c r="I757" s="1"/>
  <c r="H2884"/>
  <c r="I2884" s="1"/>
  <c r="H1856"/>
  <c r="I1856" s="1"/>
  <c r="H2813"/>
  <c r="I2813" s="1"/>
  <c r="H251"/>
  <c r="I251" s="1"/>
  <c r="H1802"/>
  <c r="I1802" s="1"/>
  <c r="H2403"/>
  <c r="I2403" s="1"/>
  <c r="H2978"/>
  <c r="I2978" s="1"/>
  <c r="H1872"/>
  <c r="I1872" s="1"/>
  <c r="H904"/>
  <c r="I904" s="1"/>
  <c r="H618"/>
  <c r="I618" s="1"/>
  <c r="H1075"/>
  <c r="I1075" s="1"/>
  <c r="H720"/>
  <c r="I720" s="1"/>
  <c r="H2650"/>
  <c r="I2650" s="1"/>
  <c r="H1325"/>
  <c r="I1325" s="1"/>
  <c r="H1923"/>
  <c r="I1923" s="1"/>
  <c r="H1170"/>
  <c r="I1170" s="1"/>
  <c r="H2996"/>
  <c r="I2996" s="1"/>
  <c r="H95"/>
  <c r="I95" s="1"/>
  <c r="H2805"/>
  <c r="I2805" s="1"/>
  <c r="H123"/>
  <c r="I123" s="1"/>
  <c r="H1740"/>
  <c r="I1740" s="1"/>
  <c r="H1518"/>
  <c r="I1518" s="1"/>
  <c r="H545"/>
  <c r="I545" s="1"/>
  <c r="H1617"/>
  <c r="I1617" s="1"/>
  <c r="H1648"/>
  <c r="I1648" s="1"/>
  <c r="H2097"/>
  <c r="I2097" s="1"/>
  <c r="H2402"/>
  <c r="I2402" s="1"/>
  <c r="H444"/>
  <c r="I444" s="1"/>
  <c r="H1256"/>
  <c r="I1256" s="1"/>
  <c r="H1586"/>
  <c r="I1586" s="1"/>
  <c r="H1182"/>
  <c r="I1182" s="1"/>
  <c r="H2502"/>
  <c r="I2502" s="1"/>
  <c r="H2243"/>
  <c r="I2243" s="1"/>
  <c r="H286"/>
  <c r="I286" s="1"/>
  <c r="H575"/>
  <c r="I575" s="1"/>
  <c r="H485"/>
  <c r="I485" s="1"/>
  <c r="H1087"/>
  <c r="I1087" s="1"/>
  <c r="H481"/>
  <c r="I481" s="1"/>
  <c r="H1465"/>
  <c r="I1465" s="1"/>
  <c r="H2203"/>
  <c r="I2203" s="1"/>
  <c r="H1793"/>
  <c r="I1793" s="1"/>
  <c r="H1583"/>
  <c r="I1583" s="1"/>
  <c r="H957"/>
  <c r="I957" s="1"/>
  <c r="H2948"/>
  <c r="I2948" s="1"/>
  <c r="H1241"/>
  <c r="I1241" s="1"/>
  <c r="H1356"/>
  <c r="I1356" s="1"/>
  <c r="H879"/>
  <c r="I879" s="1"/>
  <c r="H1806"/>
  <c r="I1806" s="1"/>
  <c r="H174"/>
  <c r="I174" s="1"/>
  <c r="H256"/>
  <c r="I256" s="1"/>
  <c r="H2487"/>
  <c r="I2487" s="1"/>
  <c r="H1210"/>
  <c r="I1210" s="1"/>
  <c r="H1526"/>
  <c r="I1526" s="1"/>
  <c r="H826"/>
  <c r="I826" s="1"/>
  <c r="H1132"/>
  <c r="I1132" s="1"/>
  <c r="H1717"/>
  <c r="I1717" s="1"/>
  <c r="H2463"/>
  <c r="I2463" s="1"/>
  <c r="H388"/>
  <c r="I388" s="1"/>
  <c r="H2015"/>
  <c r="I2015" s="1"/>
  <c r="H420"/>
  <c r="I420" s="1"/>
  <c r="H94"/>
  <c r="I94" s="1"/>
  <c r="H1427"/>
  <c r="I1427" s="1"/>
  <c r="H672"/>
  <c r="I672" s="1"/>
  <c r="H564"/>
  <c r="I564" s="1"/>
  <c r="H1287"/>
  <c r="I1287" s="1"/>
  <c r="H1204"/>
  <c r="I1204" s="1"/>
  <c r="H2255"/>
  <c r="I2255" s="1"/>
  <c r="H2750"/>
  <c r="I2750" s="1"/>
  <c r="H105"/>
  <c r="I105" s="1"/>
  <c r="H2608"/>
  <c r="I2608" s="1"/>
  <c r="H886"/>
  <c r="I886" s="1"/>
  <c r="H861"/>
  <c r="I861" s="1"/>
  <c r="H2518"/>
  <c r="I2518" s="1"/>
  <c r="H1162"/>
  <c r="I1162" s="1"/>
  <c r="H2767"/>
  <c r="I2767" s="1"/>
  <c r="H1952"/>
  <c r="I1952" s="1"/>
  <c r="H1578"/>
  <c r="I1578" s="1"/>
  <c r="H421"/>
  <c r="I421" s="1"/>
  <c r="H2229"/>
  <c r="I2229" s="1"/>
  <c r="H2044"/>
  <c r="I2044" s="1"/>
  <c r="H501"/>
  <c r="I501" s="1"/>
  <c r="H1466"/>
  <c r="I1466" s="1"/>
  <c r="H2933"/>
  <c r="I2933" s="1"/>
  <c r="H2135"/>
  <c r="I2135" s="1"/>
  <c r="H1510"/>
  <c r="I1510" s="1"/>
  <c r="H728"/>
  <c r="I728" s="1"/>
  <c r="H1621"/>
  <c r="I1621" s="1"/>
  <c r="H794"/>
  <c r="I794" s="1"/>
  <c r="H1644"/>
  <c r="I1644" s="1"/>
  <c r="H928"/>
  <c r="I928" s="1"/>
  <c r="H166"/>
  <c r="I166" s="1"/>
  <c r="H1926"/>
  <c r="I1926" s="1"/>
  <c r="H1766"/>
  <c r="I1766" s="1"/>
  <c r="H1703"/>
  <c r="I1703" s="1"/>
  <c r="H2392"/>
  <c r="I2392" s="1"/>
  <c r="H117"/>
  <c r="I117" s="1"/>
  <c r="H848"/>
  <c r="I848" s="1"/>
  <c r="H668"/>
  <c r="I668" s="1"/>
  <c r="H2099"/>
  <c r="I2099" s="1"/>
  <c r="H896"/>
  <c r="I896" s="1"/>
  <c r="H1758"/>
  <c r="I1758" s="1"/>
  <c r="H2020"/>
  <c r="I2020" s="1"/>
  <c r="H1742"/>
  <c r="I1742" s="1"/>
  <c r="H579"/>
  <c r="I579" s="1"/>
  <c r="H1901"/>
  <c r="I1901" s="1"/>
  <c r="H1383"/>
  <c r="I1383" s="1"/>
  <c r="H1548"/>
  <c r="I1548" s="1"/>
  <c r="H1983"/>
  <c r="I1983" s="1"/>
  <c r="H161"/>
  <c r="I161" s="1"/>
  <c r="H1425"/>
  <c r="I1425" s="1"/>
  <c r="H607"/>
  <c r="I607" s="1"/>
  <c r="H511"/>
  <c r="I511" s="1"/>
  <c r="H1434"/>
  <c r="I1434" s="1"/>
  <c r="H262"/>
  <c r="I262" s="1"/>
  <c r="H356"/>
  <c r="I356" s="1"/>
  <c r="H976"/>
  <c r="I976" s="1"/>
  <c r="H1305"/>
  <c r="I1305" s="1"/>
  <c r="H2765"/>
  <c r="I2765" s="1"/>
  <c r="H2002"/>
  <c r="I2002" s="1"/>
  <c r="H1367"/>
  <c r="I1367" s="1"/>
  <c r="H1927"/>
  <c r="I1927" s="1"/>
  <c r="H2859"/>
  <c r="I2859" s="1"/>
  <c r="H2437"/>
  <c r="I2437" s="1"/>
  <c r="H1807"/>
  <c r="I1807" s="1"/>
  <c r="H1361"/>
  <c r="I1361" s="1"/>
  <c r="H1601"/>
  <c r="I1601" s="1"/>
  <c r="H2081"/>
  <c r="I2081" s="1"/>
  <c r="H824"/>
  <c r="I824" s="1"/>
  <c r="H1111"/>
  <c r="I1111" s="1"/>
  <c r="H1212"/>
  <c r="I1212" s="1"/>
  <c r="H2022"/>
  <c r="I2022" s="1"/>
  <c r="H1150"/>
  <c r="I1150" s="1"/>
  <c r="H1144"/>
  <c r="I1144" s="1"/>
  <c r="H1935"/>
  <c r="I1935" s="1"/>
  <c r="H279"/>
  <c r="I279" s="1"/>
  <c r="H2704"/>
  <c r="I2704" s="1"/>
  <c r="H1135"/>
  <c r="I1135" s="1"/>
  <c r="H1250"/>
  <c r="I1250" s="1"/>
  <c r="H1257"/>
  <c r="I1257" s="1"/>
  <c r="H2322"/>
  <c r="I2322" s="1"/>
  <c r="H91"/>
  <c r="I91" s="1"/>
  <c r="H2942"/>
  <c r="I2942" s="1"/>
  <c r="H1508"/>
  <c r="I1508" s="1"/>
  <c r="H462"/>
  <c r="I462" s="1"/>
  <c r="H284"/>
  <c r="I284" s="1"/>
  <c r="H452"/>
  <c r="I452" s="1"/>
  <c r="H358"/>
  <c r="I358" s="1"/>
  <c r="H518"/>
  <c r="I518" s="1"/>
  <c r="H2958"/>
  <c r="I2958" s="1"/>
  <c r="H2234"/>
  <c r="I2234" s="1"/>
  <c r="H1329"/>
  <c r="I1329" s="1"/>
  <c r="H470"/>
  <c r="I470" s="1"/>
  <c r="H288"/>
  <c r="I288" s="1"/>
  <c r="H1093"/>
  <c r="I1093" s="1"/>
  <c r="H2073"/>
  <c r="I2073" s="1"/>
  <c r="H348"/>
  <c r="I348" s="1"/>
  <c r="H557"/>
  <c r="I557" s="1"/>
  <c r="H630"/>
  <c r="I630" s="1"/>
  <c r="H1021"/>
  <c r="I1021" s="1"/>
  <c r="H2571"/>
  <c r="I2571" s="1"/>
  <c r="H278"/>
  <c r="I278" s="1"/>
  <c r="H2301"/>
  <c r="I2301" s="1"/>
  <c r="H1785"/>
  <c r="I1785" s="1"/>
  <c r="H2671"/>
  <c r="I2671" s="1"/>
  <c r="H271"/>
  <c r="I271" s="1"/>
  <c r="H1670"/>
  <c r="I1670" s="1"/>
  <c r="H902"/>
  <c r="I902" s="1"/>
  <c r="H150"/>
  <c r="I150" s="1"/>
  <c r="H2639"/>
  <c r="I2639" s="1"/>
  <c r="H676"/>
  <c r="I676" s="1"/>
  <c r="H834"/>
  <c r="I834" s="1"/>
  <c r="H183"/>
  <c r="I183" s="1"/>
  <c r="H307"/>
  <c r="I307" s="1"/>
  <c r="H1439"/>
  <c r="I1439" s="1"/>
  <c r="H1126"/>
  <c r="I1126" s="1"/>
  <c r="H600"/>
  <c r="I600" s="1"/>
  <c r="H1591"/>
  <c r="I1591" s="1"/>
  <c r="H613"/>
  <c r="I613" s="1"/>
  <c r="H111"/>
  <c r="I111" s="1"/>
  <c r="H2835"/>
  <c r="I2835" s="1"/>
  <c r="H2771"/>
  <c r="I2771" s="1"/>
  <c r="H2863"/>
  <c r="I2863" s="1"/>
  <c r="H1991"/>
  <c r="I1991" s="1"/>
  <c r="H773"/>
  <c r="I773" s="1"/>
  <c r="H1577"/>
  <c r="I1577" s="1"/>
  <c r="H1695"/>
  <c r="I1695" s="1"/>
  <c r="H1969"/>
  <c r="I1969" s="1"/>
  <c r="H674"/>
  <c r="I674" s="1"/>
  <c r="H1604"/>
  <c r="I1604" s="1"/>
  <c r="H2433"/>
  <c r="I2433" s="1"/>
  <c r="H651"/>
  <c r="I651" s="1"/>
  <c r="H653"/>
  <c r="I653" s="1"/>
  <c r="H608"/>
  <c r="I608" s="1"/>
  <c r="H2468"/>
  <c r="I2468" s="1"/>
  <c r="H1630"/>
  <c r="I1630" s="1"/>
  <c r="H89"/>
  <c r="I89" s="1"/>
  <c r="H659"/>
  <c r="I659" s="1"/>
  <c r="H2197"/>
  <c r="I2197" s="1"/>
  <c r="H2232"/>
  <c r="I2232" s="1"/>
  <c r="H2003"/>
  <c r="I2003" s="1"/>
  <c r="H136"/>
  <c r="I136" s="1"/>
  <c r="H2385"/>
  <c r="I2385" s="1"/>
  <c r="H2024"/>
  <c r="I2024" s="1"/>
  <c r="H1753"/>
  <c r="I1753" s="1"/>
  <c r="H1674"/>
  <c r="I1674" s="1"/>
  <c r="H2515"/>
  <c r="I2515" s="1"/>
  <c r="H2364"/>
  <c r="I2364" s="1"/>
  <c r="H2212"/>
  <c r="I2212" s="1"/>
  <c r="H2335"/>
  <c r="I2335" s="1"/>
  <c r="H641"/>
  <c r="I641" s="1"/>
  <c r="H978"/>
  <c r="I978" s="1"/>
  <c r="H1992"/>
  <c r="I1992" s="1"/>
  <c r="H1238"/>
  <c r="I1238" s="1"/>
  <c r="H933"/>
  <c r="I933" s="1"/>
  <c r="H2857"/>
  <c r="I2857" s="1"/>
  <c r="H1194"/>
  <c r="I1194" s="1"/>
  <c r="H217"/>
  <c r="I217" s="1"/>
  <c r="H1962"/>
  <c r="I1962" s="1"/>
  <c r="H2096"/>
  <c r="I2096" s="1"/>
  <c r="H2409"/>
  <c r="I2409" s="1"/>
  <c r="H1246"/>
  <c r="I1246" s="1"/>
  <c r="H1592"/>
  <c r="I1592" s="1"/>
  <c r="H1840"/>
  <c r="I1840" s="1"/>
  <c r="H359"/>
  <c r="I359" s="1"/>
  <c r="H2877"/>
  <c r="I2877" s="1"/>
  <c r="H1152"/>
  <c r="I1152" s="1"/>
  <c r="H2648"/>
  <c r="I2648" s="1"/>
  <c r="H2789"/>
  <c r="I2789" s="1"/>
  <c r="H1362"/>
  <c r="I1362" s="1"/>
  <c r="H2839"/>
  <c r="I2839" s="1"/>
  <c r="H2298"/>
  <c r="I2298" s="1"/>
  <c r="H496"/>
  <c r="I496" s="1"/>
  <c r="H925"/>
  <c r="I925" s="1"/>
  <c r="H2331"/>
  <c r="I2331" s="1"/>
  <c r="H83"/>
  <c r="I83" s="1"/>
  <c r="H1943"/>
  <c r="I1943" s="1"/>
  <c r="H1747"/>
  <c r="I1747" s="1"/>
  <c r="H2821"/>
  <c r="I2821" s="1"/>
  <c r="H2110"/>
  <c r="I2110" s="1"/>
  <c r="H2354"/>
  <c r="I2354" s="1"/>
  <c r="H418"/>
  <c r="I418" s="1"/>
  <c r="H2997"/>
  <c r="I2997" s="1"/>
  <c r="H505"/>
  <c r="I505" s="1"/>
  <c r="H1421"/>
  <c r="I1421" s="1"/>
  <c r="H1885"/>
  <c r="I1885" s="1"/>
  <c r="H1545"/>
  <c r="I1545" s="1"/>
  <c r="H1040"/>
  <c r="I1040" s="1"/>
  <c r="H270"/>
  <c r="I270" s="1"/>
  <c r="H1931"/>
  <c r="I1931" s="1"/>
  <c r="H299"/>
  <c r="I299" s="1"/>
  <c r="H2651"/>
  <c r="I2651" s="1"/>
  <c r="H2492"/>
  <c r="I2492" s="1"/>
  <c r="H1380"/>
  <c r="I1380" s="1"/>
  <c r="H1643"/>
  <c r="I1643" s="1"/>
  <c r="H1780"/>
  <c r="I1780" s="1"/>
  <c r="H2590"/>
  <c r="I2590" s="1"/>
  <c r="H236"/>
  <c r="I236" s="1"/>
  <c r="H2792"/>
  <c r="I2792" s="1"/>
  <c r="H2967"/>
  <c r="I2967" s="1"/>
  <c r="H1328"/>
  <c r="I1328" s="1"/>
  <c r="H2345"/>
  <c r="I2345" s="1"/>
  <c r="H857"/>
  <c r="I857" s="1"/>
  <c r="H965"/>
  <c r="I965" s="1"/>
  <c r="H2866"/>
  <c r="I2866" s="1"/>
  <c r="H2858"/>
  <c r="I2858" s="1"/>
  <c r="H2064"/>
  <c r="I2064" s="1"/>
  <c r="H787"/>
  <c r="I787" s="1"/>
  <c r="H554"/>
  <c r="I554" s="1"/>
  <c r="H313"/>
  <c r="I313" s="1"/>
  <c r="H699"/>
  <c r="I699" s="1"/>
  <c r="H355"/>
  <c r="I355" s="1"/>
  <c r="H827"/>
  <c r="I827" s="1"/>
  <c r="H1146"/>
  <c r="I1146" s="1"/>
  <c r="H951"/>
  <c r="I951" s="1"/>
  <c r="H151"/>
  <c r="I151" s="1"/>
  <c r="H2266"/>
  <c r="I2266" s="1"/>
  <c r="H1373"/>
  <c r="I1373" s="1"/>
  <c r="H543"/>
  <c r="I543" s="1"/>
  <c r="H1600"/>
  <c r="I1600" s="1"/>
  <c r="H2009"/>
  <c r="I2009" s="1"/>
  <c r="H2363"/>
  <c r="I2363" s="1"/>
  <c r="H867"/>
  <c r="I867" s="1"/>
  <c r="H734"/>
  <c r="I734" s="1"/>
  <c r="H1553"/>
  <c r="I1553" s="1"/>
  <c r="H167"/>
  <c r="I167" s="1"/>
  <c r="H1070"/>
  <c r="I1070" s="1"/>
  <c r="H722"/>
  <c r="I722" s="1"/>
  <c r="H1322"/>
  <c r="I1322" s="1"/>
  <c r="H2538"/>
  <c r="I2538" s="1"/>
  <c r="H1475"/>
  <c r="I1475" s="1"/>
  <c r="H936"/>
  <c r="I936" s="1"/>
  <c r="H2637"/>
  <c r="I2637" s="1"/>
  <c r="H363"/>
  <c r="I363" s="1"/>
  <c r="H336"/>
  <c r="I336" s="1"/>
  <c r="H1336"/>
  <c r="I1336" s="1"/>
  <c r="H2114"/>
  <c r="I2114" s="1"/>
  <c r="H1199"/>
  <c r="I1199" s="1"/>
  <c r="H224"/>
  <c r="I224" s="1"/>
  <c r="H1623"/>
  <c r="I1623" s="1"/>
  <c r="H2379"/>
  <c r="I2379" s="1"/>
  <c r="H2568"/>
  <c r="I2568" s="1"/>
  <c r="H1440"/>
  <c r="I1440" s="1"/>
  <c r="H2244"/>
  <c r="I2244" s="1"/>
  <c r="H326"/>
  <c r="I326" s="1"/>
  <c r="H2165"/>
  <c r="I2165" s="1"/>
  <c r="H1461"/>
  <c r="I1461" s="1"/>
  <c r="H813"/>
  <c r="I813" s="1"/>
  <c r="H66"/>
  <c r="I66" s="1"/>
  <c r="H530"/>
  <c r="I530" s="1"/>
  <c r="H138"/>
  <c r="I138" s="1"/>
  <c r="H1905"/>
  <c r="I1905" s="1"/>
  <c r="H152"/>
  <c r="I152" s="1"/>
  <c r="H513"/>
  <c r="I513" s="1"/>
  <c r="H1175"/>
  <c r="I1175" s="1"/>
  <c r="H1122"/>
  <c r="I1122" s="1"/>
  <c r="H325"/>
  <c r="I325" s="1"/>
  <c r="H1633"/>
  <c r="I1633" s="1"/>
  <c r="H1606"/>
  <c r="I1606" s="1"/>
  <c r="H52"/>
  <c r="I52" s="1"/>
  <c r="H1057"/>
  <c r="I1057" s="1"/>
  <c r="H733"/>
  <c r="I733" s="1"/>
  <c r="H1052"/>
  <c r="I1052" s="1"/>
  <c r="H1091"/>
  <c r="I1091" s="1"/>
  <c r="H84"/>
  <c r="I84" s="1"/>
  <c r="H2396"/>
  <c r="I2396" s="1"/>
  <c r="H1110"/>
  <c r="I1110" s="1"/>
  <c r="H2230"/>
  <c r="I2230" s="1"/>
  <c r="H550"/>
  <c r="I550" s="1"/>
  <c r="H1917"/>
  <c r="I1917" s="1"/>
  <c r="H2943"/>
  <c r="I2943" s="1"/>
  <c r="H2481"/>
  <c r="I2481" s="1"/>
  <c r="H112"/>
  <c r="I112" s="1"/>
  <c r="H1101"/>
  <c r="I1101" s="1"/>
  <c r="H1948"/>
  <c r="I1948" s="1"/>
  <c r="H741"/>
  <c r="I741" s="1"/>
  <c r="H205"/>
  <c r="I205" s="1"/>
  <c r="H1446"/>
  <c r="I1446" s="1"/>
  <c r="H871"/>
  <c r="I871" s="1"/>
  <c r="H2886"/>
  <c r="I2886" s="1"/>
  <c r="H1984"/>
  <c r="I1984" s="1"/>
  <c r="H1507"/>
  <c r="I1507" s="1"/>
  <c r="H2479"/>
  <c r="I2479" s="1"/>
  <c r="H793"/>
  <c r="I793" s="1"/>
  <c r="H2731"/>
  <c r="I2731" s="1"/>
  <c r="H1262"/>
  <c r="I1262" s="1"/>
  <c r="H2246"/>
  <c r="I2246" s="1"/>
  <c r="H2676"/>
  <c r="I2676" s="1"/>
  <c r="H2076"/>
  <c r="I2076" s="1"/>
  <c r="H1376"/>
  <c r="I1376" s="1"/>
  <c r="H139"/>
  <c r="I139" s="1"/>
  <c r="H1357"/>
  <c r="I1357" s="1"/>
  <c r="H2191"/>
  <c r="I2191" s="1"/>
  <c r="H1192"/>
  <c r="I1192" s="1"/>
  <c r="H1248"/>
  <c r="I1248" s="1"/>
  <c r="H2430"/>
  <c r="I2430" s="1"/>
  <c r="H1371"/>
  <c r="I1371" s="1"/>
  <c r="H2723"/>
  <c r="I2723" s="1"/>
  <c r="H1226"/>
  <c r="I1226" s="1"/>
  <c r="H2587"/>
  <c r="I2587" s="1"/>
  <c r="H2045"/>
  <c r="I2045" s="1"/>
  <c r="H472"/>
  <c r="I472" s="1"/>
  <c r="H2572"/>
  <c r="I2572" s="1"/>
  <c r="H798"/>
  <c r="I798" s="1"/>
  <c r="H2142"/>
  <c r="I2142" s="1"/>
  <c r="H497"/>
  <c r="I497" s="1"/>
  <c r="H2311"/>
  <c r="I2311" s="1"/>
  <c r="H812"/>
  <c r="I812" s="1"/>
  <c r="H102"/>
  <c r="I102" s="1"/>
  <c r="H712"/>
  <c r="I712" s="1"/>
  <c r="H2448"/>
  <c r="I2448" s="1"/>
  <c r="H1372"/>
  <c r="I1372" s="1"/>
  <c r="H466"/>
  <c r="I466" s="1"/>
  <c r="H1900"/>
  <c r="I1900" s="1"/>
  <c r="H2304"/>
  <c r="I2304" s="1"/>
  <c r="H888"/>
  <c r="I888" s="1"/>
  <c r="H899"/>
  <c r="I899" s="1"/>
  <c r="H70"/>
  <c r="I70" s="1"/>
  <c r="H2245"/>
  <c r="I2245" s="1"/>
  <c r="H1916"/>
  <c r="I1916" s="1"/>
  <c r="H2930"/>
  <c r="I2930" s="1"/>
  <c r="H2980"/>
  <c r="I2980" s="1"/>
  <c r="H2783"/>
  <c r="I2783" s="1"/>
  <c r="H2227"/>
  <c r="I2227" s="1"/>
  <c r="H2441"/>
  <c r="I2441" s="1"/>
  <c r="H2458"/>
  <c r="I2458" s="1"/>
  <c r="H2701"/>
  <c r="I2701" s="1"/>
  <c r="H1115"/>
  <c r="I1115" s="1"/>
  <c r="H454"/>
  <c r="I454" s="1"/>
  <c r="H2841"/>
  <c r="I2841" s="1"/>
  <c r="H1655"/>
  <c r="I1655" s="1"/>
  <c r="H648"/>
  <c r="I648" s="1"/>
  <c r="H235"/>
  <c r="I235" s="1"/>
  <c r="H2710"/>
  <c r="I2710" s="1"/>
  <c r="H275"/>
  <c r="I275" s="1"/>
  <c r="H2289"/>
  <c r="I2289" s="1"/>
  <c r="H1424"/>
  <c r="I1424" s="1"/>
  <c r="H168"/>
  <c r="I168" s="1"/>
  <c r="H1384"/>
  <c r="I1384" s="1"/>
  <c r="H191"/>
  <c r="I191" s="1"/>
  <c r="H1254"/>
  <c r="I1254" s="1"/>
  <c r="H1746"/>
  <c r="I1746" s="1"/>
  <c r="H1936"/>
  <c r="I1936" s="1"/>
  <c r="H1343"/>
  <c r="I1343" s="1"/>
  <c r="H1513"/>
  <c r="I1513" s="1"/>
  <c r="H197"/>
  <c r="I197" s="1"/>
  <c r="H426"/>
  <c r="I426" s="1"/>
  <c r="H2122"/>
  <c r="I2122" s="1"/>
  <c r="H805"/>
  <c r="I805" s="1"/>
  <c r="H2599"/>
  <c r="I2599" s="1"/>
  <c r="H1020"/>
  <c r="I1020" s="1"/>
  <c r="H2128"/>
  <c r="I2128" s="1"/>
  <c r="H2236"/>
  <c r="I2236" s="1"/>
  <c r="H2186"/>
  <c r="I2186" s="1"/>
  <c r="H1964"/>
  <c r="I1964" s="1"/>
  <c r="H2876"/>
  <c r="I2876" s="1"/>
  <c r="H536"/>
  <c r="I536" s="1"/>
  <c r="H1590"/>
  <c r="I1590" s="1"/>
  <c r="H435"/>
  <c r="I435" s="1"/>
  <c r="H714"/>
  <c r="I714" s="1"/>
  <c r="H366"/>
  <c r="I366" s="1"/>
  <c r="H1987"/>
  <c r="I1987" s="1"/>
  <c r="H1907"/>
  <c r="I1907" s="1"/>
  <c r="H2300"/>
  <c r="I2300" s="1"/>
  <c r="H2080"/>
  <c r="I2080" s="1"/>
  <c r="H941"/>
  <c r="I941" s="1"/>
  <c r="H2628"/>
  <c r="I2628" s="1"/>
  <c r="H838"/>
  <c r="I838" s="1"/>
  <c r="H146"/>
  <c r="I146" s="1"/>
  <c r="H261"/>
  <c r="I261" s="1"/>
  <c r="H334"/>
  <c r="I334" s="1"/>
  <c r="H2570"/>
  <c r="I2570" s="1"/>
  <c r="H2330"/>
  <c r="I2330" s="1"/>
  <c r="H1206"/>
  <c r="I1206" s="1"/>
  <c r="H764"/>
  <c r="I764" s="1"/>
  <c r="H1161"/>
  <c r="I1161" s="1"/>
  <c r="H2482"/>
  <c r="I2482" s="1"/>
  <c r="H2011"/>
  <c r="I2011" s="1"/>
  <c r="H1765"/>
  <c r="I1765" s="1"/>
  <c r="H2333"/>
  <c r="I2333" s="1"/>
  <c r="H1797"/>
  <c r="I1797" s="1"/>
  <c r="H563"/>
  <c r="I563" s="1"/>
  <c r="H589"/>
  <c r="I589" s="1"/>
  <c r="H1599"/>
  <c r="I1599" s="1"/>
  <c r="H2617"/>
  <c r="I2617" s="1"/>
  <c r="H304"/>
  <c r="I304" s="1"/>
  <c r="H491"/>
  <c r="I491" s="1"/>
  <c r="H327"/>
  <c r="I327" s="1"/>
  <c r="H1908"/>
  <c r="I1908" s="1"/>
  <c r="H1103"/>
  <c r="I1103" s="1"/>
  <c r="H51"/>
  <c r="I51" s="1"/>
  <c r="H2721"/>
  <c r="I2721" s="1"/>
  <c r="H1043"/>
  <c r="I1043" s="1"/>
  <c r="H2112"/>
  <c r="I2112" s="1"/>
  <c r="H2192"/>
  <c r="I2192" s="1"/>
  <c r="H1978"/>
  <c r="I1978" s="1"/>
  <c r="H1216"/>
  <c r="I1216" s="1"/>
  <c r="H2661"/>
  <c r="I2661" s="1"/>
  <c r="H643"/>
  <c r="I643" s="1"/>
  <c r="H667"/>
  <c r="I667" s="1"/>
  <c r="H849"/>
  <c r="I849" s="1"/>
  <c r="H1939"/>
  <c r="I1939" s="1"/>
  <c r="H2050"/>
  <c r="I2050" s="1"/>
  <c r="H403"/>
  <c r="I403" s="1"/>
  <c r="H786"/>
  <c r="I786" s="1"/>
  <c r="H703"/>
  <c r="I703" s="1"/>
  <c r="H428"/>
  <c r="I428" s="1"/>
  <c r="H367"/>
  <c r="I367" s="1"/>
  <c r="H231"/>
  <c r="I231" s="1"/>
  <c r="H395"/>
  <c r="I395" s="1"/>
  <c r="H1285"/>
  <c r="I1285" s="1"/>
  <c r="H2071"/>
  <c r="I2071" s="1"/>
  <c r="H2951"/>
  <c r="I2951" s="1"/>
  <c r="H997"/>
  <c r="I997" s="1"/>
  <c r="H740"/>
  <c r="I740" s="1"/>
  <c r="H1047"/>
  <c r="I1047" s="1"/>
  <c r="H2221"/>
  <c r="I2221" s="1"/>
  <c r="H409"/>
  <c r="I409" s="1"/>
  <c r="H1337"/>
  <c r="I1337" s="1"/>
  <c r="H1493"/>
  <c r="I1493" s="1"/>
  <c r="H1776"/>
  <c r="I1776" s="1"/>
  <c r="H2742"/>
  <c r="I2742" s="1"/>
  <c r="H1076"/>
  <c r="I1076" s="1"/>
  <c r="H1023"/>
  <c r="I1023" s="1"/>
  <c r="H2635"/>
  <c r="I2635" s="1"/>
  <c r="H1871"/>
  <c r="I1871" s="1"/>
  <c r="H2277"/>
  <c r="I2277" s="1"/>
  <c r="H1067"/>
  <c r="I1067" s="1"/>
  <c r="H1684"/>
  <c r="I1684" s="1"/>
  <c r="H2953"/>
  <c r="I2953" s="1"/>
  <c r="H2845"/>
  <c r="I2845" s="1"/>
  <c r="H721"/>
  <c r="I721" s="1"/>
  <c r="H1269"/>
  <c r="I1269" s="1"/>
  <c r="H884"/>
  <c r="I884" s="1"/>
  <c r="H1109"/>
  <c r="I1109" s="1"/>
  <c r="H2326"/>
  <c r="I2326" s="1"/>
  <c r="H1229"/>
  <c r="I1229" s="1"/>
  <c r="H620"/>
  <c r="I620" s="1"/>
  <c r="H2478"/>
  <c r="I2478" s="1"/>
  <c r="H570"/>
  <c r="I570" s="1"/>
  <c r="H1278"/>
  <c r="I1278" s="1"/>
  <c r="H1796"/>
  <c r="I1796" s="1"/>
  <c r="H1247"/>
  <c r="I1247" s="1"/>
  <c r="H2561"/>
  <c r="I2561" s="1"/>
  <c r="H1824"/>
  <c r="I1824" s="1"/>
  <c r="H599"/>
  <c r="I599" s="1"/>
  <c r="H1261"/>
  <c r="I1261" s="1"/>
  <c r="H1404"/>
  <c r="I1404" s="1"/>
  <c r="H2860"/>
  <c r="I2860" s="1"/>
  <c r="H1258"/>
  <c r="I1258" s="1"/>
  <c r="H1399"/>
  <c r="I1399" s="1"/>
  <c r="H2377"/>
  <c r="I2377" s="1"/>
  <c r="H290"/>
  <c r="I290" s="1"/>
  <c r="H1003"/>
  <c r="I1003" s="1"/>
  <c r="H726"/>
  <c r="I726" s="1"/>
  <c r="H801"/>
  <c r="I801" s="1"/>
  <c r="H2575"/>
  <c r="I2575" s="1"/>
  <c r="H343"/>
  <c r="I343" s="1"/>
  <c r="H1330"/>
  <c r="I1330" s="1"/>
  <c r="H1037"/>
  <c r="I1037" s="1"/>
  <c r="H2752"/>
  <c r="I2752" s="1"/>
  <c r="H2183"/>
  <c r="I2183" s="1"/>
  <c r="H2755"/>
  <c r="I2755" s="1"/>
  <c r="H1614"/>
  <c r="I1614" s="1"/>
  <c r="H2741"/>
  <c r="I2741" s="1"/>
  <c r="H2036"/>
  <c r="I2036" s="1"/>
  <c r="H99"/>
  <c r="I99" s="1"/>
  <c r="H2102"/>
  <c r="I2102" s="1"/>
  <c r="H2210"/>
  <c r="I2210" s="1"/>
  <c r="H2295"/>
  <c r="I2295" s="1"/>
  <c r="H2226"/>
  <c r="I2226" s="1"/>
  <c r="H1665"/>
  <c r="I1665" s="1"/>
  <c r="H2095"/>
  <c r="I2095" s="1"/>
  <c r="H2141"/>
  <c r="I2141" s="1"/>
  <c r="H170"/>
  <c r="I170" s="1"/>
  <c r="H885"/>
  <c r="I885" s="1"/>
  <c r="H750"/>
  <c r="I750" s="1"/>
  <c r="H2893"/>
  <c r="I2893" s="1"/>
  <c r="H1058"/>
  <c r="I1058" s="1"/>
  <c r="H2896"/>
  <c r="I2896" s="1"/>
  <c r="H509"/>
  <c r="I509" s="1"/>
  <c r="H829"/>
  <c r="I829" s="1"/>
  <c r="H2325"/>
  <c r="I2325" s="1"/>
  <c r="H1341"/>
  <c r="I1341" s="1"/>
  <c r="H1629"/>
  <c r="I1629" s="1"/>
  <c r="H124"/>
  <c r="I124" s="1"/>
  <c r="H739"/>
  <c r="I739" s="1"/>
  <c r="H2600"/>
  <c r="I2600" s="1"/>
  <c r="H1454"/>
  <c r="I1454" s="1"/>
  <c r="H2818"/>
  <c r="I2818" s="1"/>
  <c r="H1000"/>
  <c r="I1000" s="1"/>
  <c r="H361"/>
  <c r="I361" s="1"/>
  <c r="H973"/>
  <c r="I973" s="1"/>
  <c r="H1542"/>
  <c r="I1542" s="1"/>
  <c r="H2253"/>
  <c r="I2253" s="1"/>
  <c r="H1374"/>
  <c r="I1374" s="1"/>
  <c r="H779"/>
  <c r="I779" s="1"/>
  <c r="H1492"/>
  <c r="I1492" s="1"/>
  <c r="H1019"/>
  <c r="I1019" s="1"/>
  <c r="H2259"/>
  <c r="I2259" s="1"/>
  <c r="H2908"/>
  <c r="I2908" s="1"/>
  <c r="H2030"/>
  <c r="I2030" s="1"/>
  <c r="H341"/>
  <c r="I341" s="1"/>
  <c r="H2454"/>
  <c r="I2454" s="1"/>
  <c r="H2541"/>
  <c r="I2541" s="1"/>
  <c r="H2413"/>
  <c r="I2413" s="1"/>
  <c r="H2202"/>
  <c r="I2202" s="1"/>
  <c r="H1537"/>
  <c r="I1537" s="1"/>
  <c r="H2975"/>
  <c r="I2975" s="1"/>
  <c r="H464"/>
  <c r="I464" s="1"/>
  <c r="H2622"/>
  <c r="I2622" s="1"/>
  <c r="H1479"/>
  <c r="I1479" s="1"/>
  <c r="H482"/>
  <c r="I482" s="1"/>
  <c r="H2777"/>
  <c r="I2777" s="1"/>
  <c r="H1858"/>
  <c r="I1858" s="1"/>
  <c r="H2749"/>
  <c r="I2749" s="1"/>
  <c r="H822"/>
  <c r="I822" s="1"/>
  <c r="H2056"/>
  <c r="I2056" s="1"/>
  <c r="H1494"/>
  <c r="I1494" s="1"/>
  <c r="H658"/>
  <c r="I658" s="1"/>
  <c r="H2303"/>
  <c r="I2303" s="1"/>
  <c r="H1827"/>
  <c r="I1827" s="1"/>
  <c r="H2150"/>
  <c r="I2150" s="1"/>
  <c r="H1186"/>
  <c r="I1186" s="1"/>
  <c r="H2670"/>
  <c r="I2670" s="1"/>
  <c r="H1436"/>
  <c r="I1436" s="1"/>
  <c r="H487"/>
  <c r="I487" s="1"/>
  <c r="H382"/>
  <c r="I382" s="1"/>
  <c r="H874"/>
  <c r="I874" s="1"/>
  <c r="H891"/>
  <c r="I891" s="1"/>
  <c r="H1065"/>
  <c r="I1065" s="1"/>
  <c r="H2087"/>
  <c r="I2087" s="1"/>
  <c r="H2265"/>
  <c r="I2265" s="1"/>
  <c r="H1129"/>
  <c r="I1129" s="1"/>
  <c r="H1073"/>
  <c r="I1073" s="1"/>
  <c r="H2384"/>
  <c r="I2384" s="1"/>
  <c r="H1730"/>
  <c r="I1730" s="1"/>
  <c r="H2703"/>
  <c r="I2703" s="1"/>
  <c r="H2824"/>
  <c r="I2824" s="1"/>
  <c r="H54"/>
  <c r="I54" s="1"/>
  <c r="H837"/>
  <c r="I837" s="1"/>
  <c r="H854"/>
  <c r="I854" s="1"/>
  <c r="H2708"/>
  <c r="I2708" s="1"/>
  <c r="H292"/>
  <c r="I292" s="1"/>
  <c r="H187"/>
  <c r="I187" s="1"/>
  <c r="H2712"/>
  <c r="I2712" s="1"/>
  <c r="H2027"/>
  <c r="I2027" s="1"/>
  <c r="H297"/>
  <c r="I297" s="1"/>
  <c r="H159"/>
  <c r="I159" s="1"/>
  <c r="H1749"/>
  <c r="I1749" s="1"/>
  <c r="H60"/>
  <c r="I60" s="1"/>
  <c r="H2969"/>
  <c r="I2969" s="1"/>
  <c r="H627"/>
  <c r="I627" s="1"/>
  <c r="H551"/>
  <c r="I551" s="1"/>
  <c r="H759"/>
  <c r="I759" s="1"/>
  <c r="H1820"/>
  <c r="I1820" s="1"/>
  <c r="H2820"/>
  <c r="I2820" s="1"/>
  <c r="H790"/>
  <c r="I790" s="1"/>
  <c r="H2873"/>
  <c r="I2873" s="1"/>
  <c r="H2231"/>
  <c r="I2231" s="1"/>
  <c r="H2329"/>
  <c r="I2329" s="1"/>
  <c r="H2913"/>
  <c r="I2913" s="1"/>
  <c r="H2812"/>
  <c r="I2812" s="1"/>
  <c r="H2019"/>
  <c r="I2019" s="1"/>
  <c r="H692"/>
  <c r="I692" s="1"/>
  <c r="H1716"/>
  <c r="I1716" s="1"/>
  <c r="H1140"/>
  <c r="I1140" s="1"/>
  <c r="H785"/>
  <c r="I785" s="1"/>
  <c r="H2578"/>
  <c r="I2578" s="1"/>
  <c r="H78"/>
  <c r="I78" s="1"/>
  <c r="H1624"/>
  <c r="I1624" s="1"/>
  <c r="H2139"/>
  <c r="I2139" s="1"/>
  <c r="H2556"/>
  <c r="I2556" s="1"/>
  <c r="H713"/>
  <c r="I713" s="1"/>
  <c r="H2921"/>
  <c r="I2921" s="1"/>
  <c r="H1121"/>
  <c r="I1121" s="1"/>
  <c r="H2870"/>
  <c r="I2870" s="1"/>
  <c r="H1085"/>
  <c r="I1085" s="1"/>
  <c r="H2872"/>
  <c r="I2872" s="1"/>
  <c r="H2086"/>
  <c r="I2086" s="1"/>
  <c r="H1576"/>
  <c r="I1576" s="1"/>
  <c r="H2156"/>
  <c r="I2156" s="1"/>
  <c r="H1743"/>
  <c r="I1743" s="1"/>
  <c r="H2343"/>
  <c r="I2343" s="1"/>
  <c r="H2733"/>
  <c r="I2733" s="1"/>
  <c r="H1718"/>
  <c r="I1718" s="1"/>
  <c r="H1745"/>
  <c r="I1745" s="1"/>
  <c r="H2898"/>
  <c r="I2898" s="1"/>
  <c r="H263"/>
  <c r="I263" s="1"/>
  <c r="H2939"/>
  <c r="I2939" s="1"/>
  <c r="H238"/>
  <c r="I238" s="1"/>
  <c r="H840"/>
  <c r="I840" s="1"/>
  <c r="H1911"/>
  <c r="I1911" s="1"/>
  <c r="H862"/>
  <c r="I862" s="1"/>
  <c r="H2729"/>
  <c r="I2729" s="1"/>
  <c r="H219"/>
  <c r="I219" s="1"/>
  <c r="H996"/>
  <c r="I996" s="1"/>
  <c r="H958"/>
  <c r="I958" s="1"/>
  <c r="H1870"/>
  <c r="I1870" s="1"/>
  <c r="H458"/>
  <c r="I458" s="1"/>
  <c r="H2972"/>
  <c r="I2972" s="1"/>
  <c r="H2554"/>
  <c r="I2554" s="1"/>
  <c r="H1903"/>
  <c r="I1903" s="1"/>
  <c r="H2912"/>
  <c r="I2912" s="1"/>
  <c r="H930"/>
  <c r="I930" s="1"/>
  <c r="H2098"/>
  <c r="I2098" s="1"/>
  <c r="H2029"/>
  <c r="I2029" s="1"/>
  <c r="H2012"/>
  <c r="I2012" s="1"/>
  <c r="H2683"/>
  <c r="I2683" s="1"/>
  <c r="H527"/>
  <c r="I527" s="1"/>
  <c r="H2107"/>
  <c r="I2107" s="1"/>
  <c r="H370"/>
  <c r="I370" s="1"/>
  <c r="H408"/>
  <c r="I408" s="1"/>
  <c r="H2652"/>
  <c r="I2652" s="1"/>
  <c r="H2976"/>
  <c r="I2976" s="1"/>
  <c r="H2838"/>
  <c r="I2838" s="1"/>
  <c r="H823"/>
  <c r="I823" s="1"/>
  <c r="H175"/>
  <c r="I175" s="1"/>
  <c r="H79"/>
  <c r="I79" s="1"/>
  <c r="H2938"/>
  <c r="I2938" s="1"/>
  <c r="H959"/>
  <c r="I959" s="1"/>
  <c r="H1284"/>
  <c r="I1284" s="1"/>
  <c r="H942"/>
  <c r="I942" s="1"/>
  <c r="H2567"/>
  <c r="I2567" s="1"/>
  <c r="H143"/>
  <c r="I143" s="1"/>
  <c r="H1501"/>
  <c r="I1501" s="1"/>
  <c r="H347"/>
  <c r="I347" s="1"/>
  <c r="H364"/>
  <c r="I364" s="1"/>
  <c r="H1868"/>
  <c r="I1868" s="1"/>
  <c r="H686"/>
  <c r="I686" s="1"/>
  <c r="H90"/>
  <c r="I90" s="1"/>
  <c r="H1523"/>
  <c r="I1523" s="1"/>
  <c r="H1476"/>
  <c r="I1476" s="1"/>
  <c r="H1432"/>
  <c r="I1432" s="1"/>
  <c r="H281"/>
  <c r="I281" s="1"/>
  <c r="H1723"/>
  <c r="I1723" s="1"/>
  <c r="H1635"/>
  <c r="I1635" s="1"/>
  <c r="H204"/>
  <c r="I204" s="1"/>
  <c r="H1142"/>
  <c r="I1142" s="1"/>
  <c r="FD972" i="2"/>
  <c r="FD1109"/>
  <c r="FD1573"/>
  <c r="FD2190"/>
  <c r="FD2462"/>
  <c r="FD1214"/>
  <c r="FD1345"/>
  <c r="FD1877"/>
  <c r="FD949"/>
  <c r="FD1253"/>
  <c r="FD2361"/>
  <c r="FD1794"/>
  <c r="FD1033"/>
  <c r="FD1767"/>
  <c r="FD948"/>
  <c r="FD466"/>
  <c r="FD325"/>
  <c r="FD1910"/>
  <c r="FD2169"/>
  <c r="FD1357"/>
  <c r="FD936"/>
  <c r="FD2214"/>
  <c r="FD1188"/>
  <c r="FD1265"/>
  <c r="FD1340"/>
  <c r="FD1420"/>
  <c r="FD970"/>
  <c r="FD2397"/>
  <c r="FD1924"/>
  <c r="FD415"/>
  <c r="FD1172"/>
  <c r="FD820"/>
  <c r="FD1874"/>
  <c r="FD1836"/>
  <c r="FD2178"/>
  <c r="FD1080"/>
  <c r="FD389"/>
  <c r="FD737"/>
  <c r="FD1846"/>
  <c r="FD7"/>
  <c r="FD1975"/>
  <c r="FD2390"/>
  <c r="FD1065"/>
  <c r="FD1875"/>
  <c r="FD2033"/>
  <c r="FD1101"/>
  <c r="FD1754"/>
  <c r="FD1991"/>
  <c r="FD2311"/>
  <c r="FD1949"/>
  <c r="FD2286"/>
  <c r="FD1749"/>
  <c r="FD1626"/>
  <c r="FD2330"/>
  <c r="FD399"/>
  <c r="FD697"/>
  <c r="FD1880"/>
  <c r="FD2152"/>
  <c r="FD2329"/>
  <c r="FD974"/>
  <c r="FD2344"/>
  <c r="FD995"/>
  <c r="FD641"/>
  <c r="FD320"/>
  <c r="FD850"/>
  <c r="FD2004"/>
  <c r="FD494"/>
  <c r="FD1394"/>
  <c r="FD1982"/>
  <c r="FD783"/>
  <c r="FD2153"/>
  <c r="FD308"/>
  <c r="FD759"/>
  <c r="FD555"/>
  <c r="FD705"/>
  <c r="FD1110"/>
  <c r="FD1517"/>
  <c r="FD1894"/>
  <c r="FD2208"/>
  <c r="FD2070"/>
  <c r="FD2340"/>
  <c r="FD872"/>
  <c r="FD1119"/>
  <c r="FD2236"/>
  <c r="FD1225"/>
  <c r="FD478"/>
  <c r="FD1051"/>
  <c r="FD1764"/>
  <c r="FD464"/>
  <c r="FD313"/>
  <c r="FD1765"/>
  <c r="FD2142"/>
  <c r="FD741"/>
  <c r="FD178"/>
  <c r="FD958"/>
  <c r="FD790"/>
  <c r="FD749"/>
  <c r="FD1819"/>
  <c r="FD83"/>
  <c r="FD282"/>
  <c r="FD280"/>
  <c r="FD2067"/>
  <c r="FD2436"/>
  <c r="FD23"/>
  <c r="FD324"/>
  <c r="FD2269"/>
  <c r="FD2457"/>
  <c r="FD1913"/>
  <c r="FD131"/>
  <c r="FD1671"/>
  <c r="FD1376"/>
  <c r="FD1107"/>
  <c r="FD1666"/>
  <c r="FD1966"/>
  <c r="FD918"/>
  <c r="FD2306"/>
  <c r="FD2384"/>
  <c r="FD1195"/>
  <c r="FD1117"/>
  <c r="FD86"/>
  <c r="FD837"/>
  <c r="FD635"/>
  <c r="FD542"/>
  <c r="FD1252"/>
  <c r="FD1026"/>
  <c r="FD1864"/>
  <c r="FD1387"/>
  <c r="FD1351"/>
  <c r="FD1301"/>
  <c r="FD201"/>
  <c r="FD896"/>
  <c r="FD491"/>
  <c r="FD382"/>
  <c r="FD977"/>
  <c r="FD1590"/>
  <c r="FD882"/>
  <c r="FD833"/>
  <c r="FD699"/>
  <c r="FD2191"/>
  <c r="FD20"/>
  <c r="FD1530"/>
  <c r="FD1259"/>
  <c r="FD1522"/>
  <c r="FD864"/>
  <c r="FD1639"/>
  <c r="FD1296"/>
  <c r="FD750"/>
  <c r="FD1322"/>
  <c r="FD1603"/>
  <c r="FD956"/>
  <c r="FD204"/>
  <c r="FD1462"/>
  <c r="FD2002"/>
  <c r="FD1546"/>
  <c r="FD906"/>
  <c r="FD336"/>
  <c r="FD698"/>
  <c r="FD629"/>
  <c r="FD1801"/>
  <c r="FD806"/>
  <c r="FD1263"/>
  <c r="FD857"/>
  <c r="FD1141"/>
  <c r="FD1315"/>
  <c r="FD2490"/>
  <c r="FD996"/>
  <c r="FD536"/>
  <c r="FD427"/>
  <c r="FD2035"/>
  <c r="FD2308"/>
  <c r="FD2387"/>
  <c r="FD2106"/>
  <c r="FD2442"/>
  <c r="FD1803"/>
  <c r="FD160"/>
  <c r="FD563"/>
  <c r="FD1130"/>
  <c r="FD36"/>
  <c r="FD2409"/>
  <c r="FD2130"/>
  <c r="FD1137"/>
  <c r="FD1467"/>
  <c r="FD437"/>
  <c r="FD1423"/>
  <c r="FD1125"/>
  <c r="FD744"/>
  <c r="FD965"/>
  <c r="FD108"/>
  <c r="FD1510"/>
  <c r="FD644"/>
  <c r="FD2201"/>
  <c r="FD477"/>
  <c r="FD964"/>
  <c r="FD677"/>
  <c r="FD350"/>
  <c r="FD581"/>
  <c r="FD1148"/>
  <c r="FD1620"/>
  <c r="FD2495"/>
  <c r="FD379"/>
  <c r="FD772"/>
  <c r="FD92"/>
  <c r="FD486"/>
  <c r="FD1366"/>
  <c r="FD1917"/>
  <c r="FD2037"/>
  <c r="FD2402"/>
  <c r="FD1470"/>
  <c r="FD1711"/>
  <c r="FD899"/>
  <c r="FD2334"/>
  <c r="FD1310"/>
  <c r="FD1032"/>
  <c r="FD1418"/>
  <c r="FD1613"/>
  <c r="FD4"/>
  <c r="FD1419"/>
  <c r="FD75"/>
  <c r="FD518"/>
  <c r="FD1558"/>
  <c r="FD1641"/>
  <c r="FD87"/>
  <c r="FD327"/>
  <c r="FD1431"/>
  <c r="FD1724"/>
  <c r="FD1822"/>
  <c r="FD499"/>
  <c r="FD2432"/>
  <c r="FD1424"/>
  <c r="FD369"/>
  <c r="FD2245"/>
  <c r="FD690"/>
  <c r="FD2322"/>
  <c r="FD418"/>
  <c r="FD715"/>
  <c r="FD2121"/>
  <c r="FD880"/>
  <c r="FD1411"/>
  <c r="FD998"/>
  <c r="FD1716"/>
  <c r="FD1514"/>
  <c r="FD2200"/>
  <c r="FD1389"/>
  <c r="FD999"/>
  <c r="FD181"/>
  <c r="FD1604"/>
  <c r="FD2352"/>
  <c r="FD1981"/>
  <c r="FD1440"/>
  <c r="FD1362"/>
  <c r="FD1588"/>
  <c r="FD333"/>
  <c r="FD1513"/>
  <c r="FD339"/>
  <c r="FD1053"/>
  <c r="FD2086"/>
  <c r="FD1284"/>
  <c r="FD2476"/>
  <c r="FD76"/>
  <c r="FD1052"/>
  <c r="FD1793"/>
  <c r="FD1228"/>
  <c r="FD955"/>
  <c r="FD1580"/>
  <c r="FD960"/>
  <c r="FD1402"/>
  <c r="FD444"/>
  <c r="FD2447"/>
  <c r="FD2485"/>
  <c r="FD2378"/>
  <c r="FD1536"/>
  <c r="FD691"/>
  <c r="FD360"/>
  <c r="FD1429"/>
  <c r="FD1145"/>
  <c r="FD355"/>
  <c r="FD363"/>
  <c r="FD1398"/>
  <c r="FD2295"/>
  <c r="FD421"/>
  <c r="FD1833"/>
  <c r="FD42"/>
  <c r="FD1581"/>
  <c r="FD1138"/>
  <c r="FD672"/>
  <c r="FD561"/>
  <c r="FD125"/>
  <c r="FD1511"/>
  <c r="FD1347"/>
  <c r="FD1131"/>
  <c r="FD1539"/>
  <c r="FD1258"/>
  <c r="FD1127"/>
  <c r="FD2219"/>
  <c r="FD513"/>
  <c r="FD2085"/>
  <c r="FD454"/>
  <c r="FD1166"/>
  <c r="FD416"/>
  <c r="FD569"/>
  <c r="FD1524"/>
  <c r="FD1506"/>
  <c r="FD1413"/>
  <c r="FD609"/>
  <c r="FD612"/>
  <c r="FD209"/>
  <c r="FD2489"/>
  <c r="FD354"/>
  <c r="FD930"/>
  <c r="FD2273"/>
  <c r="FD2254"/>
  <c r="FD1909"/>
  <c r="FD1672"/>
  <c r="FD1207"/>
  <c r="FD1533"/>
  <c r="FD770"/>
  <c r="FD1146"/>
  <c r="FD1481"/>
  <c r="FD1369"/>
  <c r="FD218"/>
  <c r="FD1216"/>
  <c r="FD887"/>
  <c r="FD1456"/>
  <c r="FD568"/>
  <c r="FD1410"/>
  <c r="FD655"/>
  <c r="FD1087"/>
  <c r="FD506"/>
  <c r="FD1124"/>
  <c r="FD124"/>
  <c r="FD1403"/>
  <c r="FD1231"/>
  <c r="FD927"/>
  <c r="FD95"/>
  <c r="FD451"/>
  <c r="FD1721"/>
  <c r="FD1450"/>
  <c r="FD2126"/>
  <c r="FD771"/>
  <c r="FD461"/>
  <c r="FD162"/>
  <c r="FD636"/>
  <c r="FD663"/>
  <c r="FD371"/>
  <c r="FD1041"/>
  <c r="FD1675"/>
  <c r="FD1070"/>
  <c r="FD2369"/>
  <c r="FD764"/>
  <c r="FD2194"/>
  <c r="FD2348"/>
  <c r="FD2482"/>
  <c r="FD1811"/>
  <c r="FD2318"/>
  <c r="FD877"/>
  <c r="FD2260"/>
  <c r="FD377"/>
  <c r="FD538"/>
  <c r="FD69"/>
  <c r="FD1838"/>
  <c r="FD1339"/>
  <c r="FD2297"/>
  <c r="FD1952"/>
  <c r="FD1770"/>
  <c r="FD224"/>
  <c r="FD1729"/>
  <c r="FD286"/>
  <c r="FD642"/>
  <c r="FD1230"/>
  <c r="FD1164"/>
  <c r="FD2466"/>
  <c r="FD2207"/>
  <c r="FD558"/>
  <c r="FD237"/>
  <c r="FD1232"/>
  <c r="FD1289"/>
  <c r="FD346"/>
  <c r="FD2473"/>
  <c r="FD2287"/>
  <c r="FD1417"/>
  <c r="FD1198"/>
  <c r="FD853"/>
  <c r="FD1629"/>
  <c r="FD1528"/>
  <c r="FD2392"/>
  <c r="FD2149"/>
  <c r="FD1445"/>
  <c r="FD1478"/>
  <c r="FD1395"/>
  <c r="FD105"/>
  <c r="FD2091"/>
  <c r="FD208"/>
  <c r="FD1550"/>
  <c r="FD649"/>
  <c r="FD185"/>
  <c r="FD51"/>
  <c r="FD1661"/>
  <c r="FD180"/>
  <c r="FD1165"/>
  <c r="FD1179"/>
  <c r="FD807"/>
  <c r="FD646"/>
  <c r="FD1726"/>
  <c r="FD866"/>
  <c r="FD2419"/>
  <c r="FD1255"/>
  <c r="FD1678"/>
  <c r="FD639"/>
  <c r="FD611"/>
  <c r="FD1330"/>
  <c r="FD1325"/>
  <c r="FD1545"/>
  <c r="FD2426"/>
  <c r="FD79"/>
  <c r="FD2221"/>
  <c r="FD2027"/>
  <c r="FD1132"/>
  <c r="FD1884"/>
  <c r="FD2383"/>
  <c r="FD1494"/>
  <c r="FD288"/>
  <c r="FD1034"/>
  <c r="FD745"/>
  <c r="FD652"/>
  <c r="FD1435"/>
  <c r="FD961"/>
  <c r="FD2278"/>
  <c r="FD2118"/>
  <c r="FD1734"/>
  <c r="FD1114"/>
  <c r="FD2238"/>
  <c r="FD2414"/>
  <c r="FD1373"/>
  <c r="FD2433"/>
  <c r="FD2488"/>
  <c r="FD1059"/>
  <c r="FD1352"/>
  <c r="FD2385"/>
  <c r="FD1103"/>
  <c r="FD1738"/>
  <c r="FD2010"/>
  <c r="FD1597"/>
  <c r="FD1457"/>
  <c r="FD1047"/>
  <c r="FD2296"/>
  <c r="FD1713"/>
  <c r="FD1271"/>
  <c r="FD326"/>
  <c r="FD2243"/>
  <c r="FD811"/>
  <c r="FD2374"/>
  <c r="FD1736"/>
  <c r="FD2497"/>
  <c r="FD720"/>
  <c r="FD2119"/>
  <c r="FD610"/>
  <c r="FD2333"/>
  <c r="FD134"/>
  <c r="FD2291"/>
  <c r="FD2428"/>
  <c r="FD1722"/>
  <c r="FD1898"/>
  <c r="FD1126"/>
  <c r="FD1380"/>
  <c r="FD1602"/>
  <c r="FD1714"/>
  <c r="FD2023"/>
  <c r="FD342"/>
  <c r="FD2346"/>
  <c r="FD393"/>
  <c r="FD1621"/>
  <c r="FD1571"/>
  <c r="FD1824"/>
  <c r="FD2326"/>
  <c r="FD937"/>
  <c r="FD1747"/>
  <c r="FD1905"/>
  <c r="FD2492"/>
  <c r="FD2154"/>
  <c r="FD778"/>
  <c r="FD1544"/>
  <c r="FD239"/>
  <c r="FD531"/>
  <c r="FD647"/>
  <c r="FD434"/>
  <c r="FD1682"/>
  <c r="FD330"/>
  <c r="FD63"/>
  <c r="FD2338"/>
  <c r="FD747"/>
  <c r="FD30"/>
  <c r="FD373"/>
  <c r="FD1168"/>
  <c r="FD1742"/>
  <c r="FD858"/>
  <c r="FD1025"/>
  <c r="FD2131"/>
  <c r="FD2268"/>
  <c r="FD1129"/>
  <c r="FD1670"/>
  <c r="FD973"/>
  <c r="FD1464"/>
  <c r="FD1191"/>
  <c r="FD107"/>
  <c r="FD249"/>
  <c r="FD592"/>
  <c r="FD608"/>
  <c r="FD2277"/>
  <c r="FD1915"/>
  <c r="FD916"/>
  <c r="FD2040"/>
  <c r="FD1282"/>
  <c r="FD832"/>
  <c r="FD710"/>
  <c r="FD1706"/>
  <c r="FD1434"/>
  <c r="FD876"/>
  <c r="FD1381"/>
  <c r="FD1873"/>
  <c r="FD1113"/>
  <c r="FD271"/>
  <c r="FD1477"/>
  <c r="FD620"/>
  <c r="FD1993"/>
  <c r="FD1229"/>
  <c r="FD2247"/>
  <c r="FD2250"/>
  <c r="FD497"/>
  <c r="FD1632"/>
  <c r="FD1578"/>
  <c r="FD600"/>
  <c r="FD1655"/>
  <c r="FD869"/>
  <c r="FD165"/>
  <c r="FD53"/>
  <c r="FD900"/>
  <c r="FD1069"/>
  <c r="FD401"/>
  <c r="FD1683"/>
  <c r="FD403"/>
  <c r="FD225"/>
  <c r="FD156"/>
  <c r="FD1167"/>
  <c r="FD456"/>
  <c r="FD153"/>
  <c r="FD120"/>
  <c r="FD2025"/>
  <c r="FD1703"/>
  <c r="FD1795"/>
  <c r="FD113"/>
  <c r="FD1936"/>
  <c r="FD119"/>
  <c r="FD1344"/>
  <c r="FD121"/>
  <c r="FD1086"/>
  <c r="FD386"/>
  <c r="FD268"/>
  <c r="FD1965"/>
  <c r="FD2425"/>
  <c r="FD856"/>
  <c r="FD1757"/>
  <c r="FD1123"/>
  <c r="FD1677"/>
  <c r="FD1543"/>
  <c r="FD1860"/>
  <c r="FD297"/>
  <c r="FD364"/>
  <c r="FD885"/>
  <c r="FD2032"/>
  <c r="FD2357"/>
  <c r="FD465"/>
  <c r="FD1412"/>
  <c r="FD847"/>
  <c r="FD1630"/>
  <c r="FD1564"/>
  <c r="FD275"/>
  <c r="FD520"/>
  <c r="FD223"/>
  <c r="FD189"/>
  <c r="FD1061"/>
  <c r="FD1459"/>
  <c r="FD2391"/>
  <c r="FD804"/>
  <c r="FD2435"/>
  <c r="FD830"/>
  <c r="FD2059"/>
  <c r="FD1619"/>
  <c r="FD2117"/>
  <c r="FD817"/>
  <c r="FD1781"/>
  <c r="FD14"/>
  <c r="FD391"/>
  <c r="FD80"/>
  <c r="FD1622"/>
  <c r="FD585"/>
  <c r="FD1326"/>
  <c r="FD889"/>
  <c r="FD1469"/>
  <c r="FD370"/>
  <c r="FD701"/>
  <c r="FD1118"/>
  <c r="FD2313"/>
  <c r="FD245"/>
  <c r="FD2013"/>
  <c r="FD1245"/>
  <c r="FD957"/>
  <c r="FD1159"/>
  <c r="FD1233"/>
  <c r="FD1547"/>
  <c r="FD469"/>
  <c r="FD1645"/>
  <c r="FD803"/>
  <c r="FD2078"/>
  <c r="FD231"/>
  <c r="FD1911"/>
  <c r="FD294"/>
  <c r="FD681"/>
  <c r="FD2237"/>
  <c r="FD2394"/>
  <c r="FD2021"/>
  <c r="FD1099"/>
  <c r="FD1308"/>
  <c r="FD1023"/>
  <c r="FD2298"/>
  <c r="FD2028"/>
  <c r="FD929"/>
  <c r="FD1194"/>
  <c r="FD142"/>
  <c r="FD1482"/>
  <c r="FD794"/>
  <c r="FD1066"/>
  <c r="FD1120"/>
  <c r="FD2242"/>
  <c r="FD480"/>
  <c r="FD675"/>
  <c r="FD2047"/>
  <c r="FD488"/>
  <c r="FD1998"/>
  <c r="FD786"/>
  <c r="FD2222"/>
  <c r="FD766"/>
  <c r="FD1382"/>
  <c r="FD2143"/>
  <c r="FD1011"/>
  <c r="FD1776"/>
  <c r="FD1174"/>
  <c r="FD2448"/>
  <c r="FD2084"/>
  <c r="FD1017"/>
  <c r="FD1664"/>
  <c r="FD1669"/>
  <c r="FD133"/>
  <c r="FD657"/>
  <c r="FD411"/>
  <c r="FD2411"/>
  <c r="FD2183"/>
  <c r="FD1292"/>
  <c r="FD1689"/>
  <c r="FD714"/>
  <c r="FD242"/>
  <c r="FD1442"/>
  <c r="FD944"/>
  <c r="FD501"/>
  <c r="FD378"/>
  <c r="FD2052"/>
  <c r="FD1156"/>
  <c r="FD1789"/>
  <c r="FD2077"/>
  <c r="FD756"/>
  <c r="FD1903"/>
  <c r="FD315"/>
  <c r="FD138"/>
  <c r="FD1735"/>
  <c r="FD1956"/>
  <c r="FD1994"/>
  <c r="FD476"/>
  <c r="FD1559"/>
  <c r="FD2415"/>
  <c r="FD658"/>
  <c r="FD1152"/>
  <c r="FD2280"/>
  <c r="FD296"/>
  <c r="FD523"/>
  <c r="FD1185"/>
  <c r="FD1950"/>
  <c r="FD1954"/>
  <c r="FD2226"/>
  <c r="FD126"/>
  <c r="FD232"/>
  <c r="FD732"/>
  <c r="FD845"/>
  <c r="FD353"/>
  <c r="FD1552"/>
  <c r="FD1288"/>
  <c r="FD829"/>
  <c r="FD1358"/>
  <c r="FD754"/>
  <c r="FD1680"/>
  <c r="FD716"/>
  <c r="FD151"/>
  <c r="FD228"/>
  <c r="FD809"/>
  <c r="FD1406"/>
  <c r="FD1644"/>
  <c r="FD570"/>
  <c r="FD1931"/>
  <c r="FD433"/>
  <c r="FD1720"/>
  <c r="FD2109"/>
  <c r="FD1331"/>
  <c r="FD200"/>
  <c r="FD1350"/>
  <c r="FD474"/>
  <c r="FD1996"/>
  <c r="FD551"/>
  <c r="FD397"/>
  <c r="FD1723"/>
  <c r="FD1766"/>
  <c r="FD2377"/>
  <c r="FD2264"/>
  <c r="FD584"/>
  <c r="FD161"/>
  <c r="FD630"/>
  <c r="FD450"/>
  <c r="FD1951"/>
  <c r="FD284"/>
  <c r="FD146"/>
  <c r="FD1591"/>
  <c r="FD1555"/>
  <c r="FD966"/>
  <c r="FD842"/>
  <c r="FD1815"/>
  <c r="FD704"/>
  <c r="FD2081"/>
  <c r="FD167"/>
  <c r="FD525"/>
  <c r="FD1958"/>
  <c r="FD2480"/>
  <c r="FD607"/>
  <c r="FD1342"/>
  <c r="FD2134"/>
  <c r="FD1341"/>
  <c r="FD2233"/>
  <c r="FD443"/>
  <c r="FD692"/>
  <c r="FD1567"/>
  <c r="FD1354"/>
  <c r="FD1804"/>
  <c r="FD815"/>
  <c r="FD365"/>
  <c r="FD1985"/>
  <c r="FD910"/>
  <c r="FD1084"/>
  <c r="FD1858"/>
  <c r="FD82"/>
  <c r="FD166"/>
  <c r="FD802"/>
  <c r="FD702"/>
  <c r="FD1078"/>
  <c r="FD430"/>
  <c r="FD707"/>
  <c r="FD1538"/>
  <c r="FD723"/>
  <c r="FD260"/>
  <c r="FD323"/>
  <c r="FD1798"/>
  <c r="FD2366"/>
  <c r="FD1095"/>
  <c r="FD1128"/>
  <c r="FD1045"/>
  <c r="FD2416"/>
  <c r="FD2173"/>
  <c r="FD1809"/>
  <c r="FD1495"/>
  <c r="FD2223"/>
  <c r="FD41"/>
  <c r="FD1243"/>
  <c r="FD2317"/>
  <c r="FD226"/>
  <c r="FD137"/>
  <c r="FD788"/>
  <c r="FD1831"/>
  <c r="FD442"/>
  <c r="FD1751"/>
  <c r="FD210"/>
  <c r="FD118"/>
  <c r="FD543"/>
  <c r="FD1848"/>
  <c r="FD361"/>
  <c r="FD98"/>
  <c r="FD244"/>
  <c r="FD1160"/>
  <c r="FD1607"/>
  <c r="FD1249"/>
  <c r="FD1144"/>
  <c r="FD533"/>
  <c r="FD1361"/>
  <c r="FD278"/>
  <c r="FD2256"/>
  <c r="FD1257"/>
  <c r="FD1414"/>
  <c r="FD1663"/>
  <c r="FD2252"/>
  <c r="FD1090"/>
  <c r="FD932"/>
  <c r="FD1650"/>
  <c r="FD839"/>
  <c r="FD2058"/>
  <c r="FD1374"/>
  <c r="FD855"/>
  <c r="FD1912"/>
  <c r="FD1422"/>
  <c r="FD307"/>
  <c r="FD508"/>
  <c r="FD97"/>
  <c r="FD2158"/>
  <c r="FD1181"/>
  <c r="FD946"/>
  <c r="FD1356"/>
  <c r="FD1211"/>
  <c r="FD1343"/>
  <c r="FD1774"/>
  <c r="FD2099"/>
  <c r="FD700"/>
  <c r="FD1451"/>
  <c r="FD2410"/>
  <c r="FD1636"/>
  <c r="FD2477"/>
  <c r="FD735"/>
  <c r="FD552"/>
  <c r="FD1390"/>
  <c r="FD483"/>
  <c r="FD969"/>
  <c r="FD923"/>
  <c r="FD400"/>
  <c r="FD591"/>
  <c r="FD1317"/>
  <c r="FD1196"/>
  <c r="FD891"/>
  <c r="FD1058"/>
  <c r="FD2036"/>
  <c r="FD1175"/>
  <c r="FD359"/>
  <c r="FD1064"/>
  <c r="FD1832"/>
  <c r="FD1739"/>
  <c r="FD593"/>
  <c r="FD2461"/>
  <c r="FD1334"/>
  <c r="FD1854"/>
  <c r="FD1676"/>
  <c r="FD1122"/>
  <c r="FD1240"/>
  <c r="FD1105"/>
  <c r="FD621"/>
  <c r="FD1060"/>
  <c r="FD942"/>
  <c r="FD2364"/>
  <c r="FD2258"/>
  <c r="FD2061"/>
  <c r="FD1213"/>
  <c r="FD1834"/>
  <c r="FD1270"/>
  <c r="FD1901"/>
  <c r="FD144"/>
  <c r="FD2172"/>
  <c r="FD884"/>
  <c r="FD56"/>
  <c r="FD109"/>
  <c r="FD871"/>
  <c r="FD761"/>
  <c r="FD2450"/>
  <c r="FD1575"/>
  <c r="FD1425"/>
  <c r="FD279"/>
  <c r="FD841"/>
  <c r="FD2463"/>
  <c r="FD1383"/>
  <c r="FD1476"/>
  <c r="FD1205"/>
  <c r="FD2116"/>
  <c r="FD306"/>
  <c r="FD251"/>
  <c r="FD1208"/>
  <c r="FD2082"/>
  <c r="FD2181"/>
  <c r="FD878"/>
  <c r="FD2056"/>
  <c r="FD2076"/>
  <c r="FD879"/>
  <c r="FD2193"/>
  <c r="FD2360"/>
  <c r="FD1863"/>
  <c r="FD1657"/>
  <c r="FD738"/>
  <c r="FD1280"/>
  <c r="FD1254"/>
  <c r="FD1392"/>
  <c r="FD1796"/>
  <c r="FD1725"/>
  <c r="FD1961"/>
  <c r="FD549"/>
  <c r="FD1979"/>
  <c r="FD1616"/>
  <c r="FD1250"/>
  <c r="FD1902"/>
  <c r="FD711"/>
  <c r="FD52"/>
  <c r="FD2381"/>
  <c r="FD187"/>
  <c r="FD305"/>
  <c r="FD727"/>
  <c r="FD1042"/>
  <c r="FD1136"/>
  <c r="FD1959"/>
  <c r="FD1685"/>
  <c r="FD40"/>
  <c r="FD16"/>
  <c r="FD782"/>
  <c r="FD1305"/>
  <c r="FD1610"/>
  <c r="FD1870"/>
  <c r="FD1485"/>
  <c r="FD1076"/>
  <c r="FD1018"/>
  <c r="FD994"/>
  <c r="FD984"/>
  <c r="FD1287"/>
  <c r="FD604"/>
  <c r="FD2008"/>
  <c r="FD2057"/>
  <c r="FD1466"/>
  <c r="FD301"/>
  <c r="FD1929"/>
  <c r="FD304"/>
  <c r="FD1857"/>
  <c r="FD1688"/>
  <c r="FD1780"/>
  <c r="FD1238"/>
  <c r="FD10"/>
  <c r="FD375"/>
  <c r="FD2393"/>
  <c r="FD127"/>
  <c r="FD1400"/>
  <c r="FD835"/>
  <c r="FD241"/>
  <c r="FD1563"/>
  <c r="FD1828"/>
  <c r="FD818"/>
  <c r="FD1746"/>
  <c r="FD1888"/>
  <c r="FD1302"/>
  <c r="FD730"/>
  <c r="FD2012"/>
  <c r="FD696"/>
  <c r="FD582"/>
  <c r="FD721"/>
  <c r="FD1251"/>
  <c r="FD515"/>
  <c r="FD1416"/>
  <c r="FD706"/>
  <c r="FD1882"/>
  <c r="FD2396"/>
  <c r="FD541"/>
  <c r="FD512"/>
  <c r="FD997"/>
  <c r="FD1561"/>
  <c r="FD2115"/>
  <c r="FD1806"/>
  <c r="FD303"/>
  <c r="FD633"/>
  <c r="FD484"/>
  <c r="FD1960"/>
  <c r="FD1203"/>
  <c r="FD1999"/>
  <c r="FD468"/>
  <c r="FD1500"/>
  <c r="FD2005"/>
  <c r="FD1760"/>
  <c r="FD1702"/>
  <c r="FD664"/>
  <c r="FD2293"/>
  <c r="FD37"/>
  <c r="FD2127"/>
  <c r="FD2483"/>
  <c r="FD1244"/>
  <c r="FD1608"/>
  <c r="FD1256"/>
  <c r="FD1237"/>
  <c r="FD1907"/>
  <c r="FD1589"/>
  <c r="FD1272"/>
  <c r="FD1201"/>
  <c r="FD1895"/>
  <c r="FD1313"/>
  <c r="FD91"/>
  <c r="FD2182"/>
  <c r="FD295"/>
  <c r="FD504"/>
  <c r="FD2465"/>
  <c r="FD1276"/>
  <c r="FD314"/>
  <c r="FD626"/>
  <c r="FD55"/>
  <c r="FD2162"/>
  <c r="FD1560"/>
  <c r="FD1063"/>
  <c r="FD47"/>
  <c r="FD2046"/>
  <c r="FD989"/>
  <c r="FD357"/>
  <c r="FD1291"/>
  <c r="FD1480"/>
  <c r="FD446"/>
  <c r="FD2292"/>
  <c r="FD1415"/>
  <c r="FD1708"/>
  <c r="FD939"/>
  <c r="FD789"/>
  <c r="FD2212"/>
  <c r="FD274"/>
  <c r="FD2088"/>
  <c r="FD625"/>
  <c r="FD2494"/>
  <c r="FD273"/>
  <c r="FD2080"/>
  <c r="FD145"/>
  <c r="FD530"/>
  <c r="FD2179"/>
  <c r="FD387"/>
  <c r="FD1044"/>
  <c r="FD777"/>
  <c r="FD199"/>
  <c r="FD1363"/>
  <c r="FD812"/>
  <c r="FD207"/>
  <c r="FD1627"/>
  <c r="FD1529"/>
  <c r="FD1977"/>
  <c r="FD844"/>
  <c r="FD255"/>
  <c r="FD1329"/>
  <c r="FD472"/>
  <c r="FD892"/>
  <c r="FD1596"/>
  <c r="FD2324"/>
  <c r="FD214"/>
  <c r="FD329"/>
  <c r="FD1433"/>
  <c r="FD347"/>
  <c r="FD2336"/>
  <c r="FD2220"/>
  <c r="FD2375"/>
  <c r="FD1161"/>
  <c r="FD2253"/>
  <c r="FD826"/>
  <c r="FD1455"/>
  <c r="FD2478"/>
  <c r="FD553"/>
  <c r="FD1294"/>
  <c r="FD18"/>
  <c r="FD380"/>
  <c r="FD1306"/>
  <c r="FD694"/>
  <c r="FD2161"/>
  <c r="FD2443"/>
  <c r="FD870"/>
  <c r="FD810"/>
  <c r="FD432"/>
  <c r="FD576"/>
  <c r="FD1710"/>
  <c r="FD2176"/>
  <c r="FD901"/>
  <c r="FD1111"/>
  <c r="FD117"/>
  <c r="FD1987"/>
  <c r="FD345"/>
  <c r="FD2185"/>
  <c r="FD238"/>
  <c r="FD2328"/>
  <c r="FD598"/>
  <c r="FD1072"/>
  <c r="FD603"/>
  <c r="FD753"/>
  <c r="FD2102"/>
  <c r="FD599"/>
  <c r="FD769"/>
  <c r="FD1388"/>
  <c r="FD1155"/>
  <c r="FD263"/>
  <c r="FD13"/>
  <c r="FD407"/>
  <c r="FD572"/>
  <c r="FD1273"/>
  <c r="FD2092"/>
  <c r="FD1577"/>
  <c r="FD174"/>
  <c r="FD230"/>
  <c r="FD980"/>
  <c r="FD760"/>
  <c r="FD1662"/>
  <c r="FD1942"/>
  <c r="FD1178"/>
  <c r="FD1908"/>
  <c r="FD503"/>
  <c r="FD1598"/>
  <c r="FD619"/>
  <c r="FD2239"/>
  <c r="FD800"/>
  <c r="FD368"/>
  <c r="FD1377"/>
  <c r="FD302"/>
  <c r="FD867"/>
  <c r="FD211"/>
  <c r="FD459"/>
  <c r="FD840"/>
  <c r="FD2471"/>
  <c r="FD1548"/>
  <c r="FD912"/>
  <c r="FD1483"/>
  <c r="FD2024"/>
  <c r="FD1827"/>
  <c r="FD471"/>
  <c r="FD1810"/>
  <c r="FD2189"/>
  <c r="FD93"/>
  <c r="FD1337"/>
  <c r="FD547"/>
  <c r="FD849"/>
  <c r="FD667"/>
  <c r="FD431"/>
  <c r="FD1761"/>
  <c r="FD971"/>
  <c r="FD2386"/>
  <c r="FD554"/>
  <c r="FD48"/>
  <c r="FD758"/>
  <c r="FD1763"/>
  <c r="FD1727"/>
  <c r="FD897"/>
  <c r="FD1624"/>
  <c r="FD1143"/>
  <c r="FD1518"/>
  <c r="FD1458"/>
  <c r="FD1974"/>
  <c r="FD1926"/>
  <c r="FD762"/>
  <c r="FD1260"/>
  <c r="FD2108"/>
  <c r="FD1695"/>
  <c r="FD1096"/>
  <c r="FD1346"/>
  <c r="FD983"/>
  <c r="FD1927"/>
  <c r="FD1820"/>
  <c r="FD1753"/>
  <c r="FD736"/>
  <c r="FD1868"/>
  <c r="FD734"/>
  <c r="FD1970"/>
  <c r="FD659"/>
  <c r="FD1186"/>
  <c r="FD2148"/>
  <c r="FD1222"/>
  <c r="FD1519"/>
  <c r="FD150"/>
  <c r="FD1502"/>
  <c r="FD1031"/>
  <c r="FD1850"/>
  <c r="FD2274"/>
  <c r="FD64"/>
  <c r="FD2257"/>
  <c r="FD2305"/>
  <c r="FD184"/>
  <c r="FD852"/>
  <c r="FD2100"/>
  <c r="FD1605"/>
  <c r="FD2440"/>
  <c r="FD447"/>
  <c r="FD2224"/>
  <c r="FD1601"/>
  <c r="FD1283"/>
  <c r="FD337"/>
  <c r="FD2198"/>
  <c r="FD1825"/>
  <c r="FD2444"/>
  <c r="FD708"/>
  <c r="FD2438"/>
  <c r="FD1054"/>
  <c r="FD827"/>
  <c r="FD449"/>
  <c r="FD2319"/>
  <c r="FD1300"/>
  <c r="FD2314"/>
  <c r="FD1938"/>
  <c r="FD1647"/>
  <c r="FD1071"/>
  <c r="FD25"/>
  <c r="FD792"/>
  <c r="FD1454"/>
  <c r="FD283"/>
  <c r="FD2186"/>
  <c r="FD1829"/>
  <c r="FD219"/>
  <c r="FD492"/>
  <c r="FD253"/>
  <c r="FD310"/>
  <c r="FD2437"/>
  <c r="FD1133"/>
  <c r="FD1916"/>
  <c r="FD2460"/>
  <c r="FD1648"/>
  <c r="FD678"/>
  <c r="FD1891"/>
  <c r="FD2180"/>
  <c r="FD2124"/>
  <c r="FE86"/>
  <c r="FE300"/>
  <c r="FE59"/>
  <c r="FE207"/>
  <c r="FE1809"/>
  <c r="FE1346"/>
  <c r="FE1088"/>
  <c r="FE725"/>
  <c r="FD1003"/>
  <c r="FD1104"/>
  <c r="FD975"/>
  <c r="FD2400"/>
  <c r="FD718"/>
  <c r="FD366"/>
  <c r="FD1199"/>
  <c r="FD1971"/>
  <c r="FD545"/>
  <c r="FD322"/>
  <c r="FD5"/>
  <c r="FD2206"/>
  <c r="FD413"/>
  <c r="FD1896"/>
  <c r="FD1778"/>
  <c r="FD1741"/>
  <c r="FD1048"/>
  <c r="FD1030"/>
  <c r="FD1002"/>
  <c r="FD1171"/>
  <c r="FD2120"/>
  <c r="FD235"/>
  <c r="FD1215"/>
  <c r="FD148"/>
  <c r="FD2145"/>
  <c r="FD409"/>
  <c r="FD328"/>
  <c r="FD423"/>
  <c r="FD2285"/>
  <c r="FD510"/>
  <c r="FD1797"/>
  <c r="FD522"/>
  <c r="FD405"/>
  <c r="FD1484"/>
  <c r="FD1490"/>
  <c r="FD1964"/>
  <c r="FD2275"/>
  <c r="FD1978"/>
  <c r="FD384"/>
  <c r="FD1465"/>
  <c r="FD774"/>
  <c r="FD372"/>
  <c r="FD733"/>
  <c r="FD1449"/>
  <c r="FD651"/>
  <c r="FD2496"/>
  <c r="FD362"/>
  <c r="FD2406"/>
  <c r="FD256"/>
  <c r="FD2055"/>
  <c r="FD1328"/>
  <c r="FD2202"/>
  <c r="FD1487"/>
  <c r="FD919"/>
  <c r="FD914"/>
  <c r="FD2231"/>
  <c r="FD2094"/>
  <c r="FD1468"/>
  <c r="FD402"/>
  <c r="FD269"/>
  <c r="FD712"/>
  <c r="FD1652"/>
  <c r="FD334"/>
  <c r="FD1988"/>
  <c r="FD33"/>
  <c r="FD264"/>
  <c r="FD2227"/>
  <c r="FD1277"/>
  <c r="FD1633"/>
  <c r="FD895"/>
  <c r="FD564"/>
  <c r="FD1364"/>
  <c r="FD637"/>
  <c r="FD529"/>
  <c r="FD1771"/>
  <c r="FD1743"/>
  <c r="FD1791"/>
  <c r="FD227"/>
  <c r="FD1656"/>
  <c r="FD2157"/>
  <c r="FD2098"/>
  <c r="FD1841"/>
  <c r="FD1212"/>
  <c r="FD344"/>
  <c r="FD2249"/>
  <c r="FD1295"/>
  <c r="FD62"/>
  <c r="FD2217"/>
  <c r="FD1068"/>
  <c r="FD776"/>
  <c r="FD171"/>
  <c r="FD1220"/>
  <c r="FD911"/>
  <c r="FD556"/>
  <c r="FD2373"/>
  <c r="FD1576"/>
  <c r="FD1792"/>
  <c r="FD527"/>
  <c r="FD1085"/>
  <c r="FD191"/>
  <c r="FD2022"/>
  <c r="FD2395"/>
  <c r="FD1474"/>
  <c r="FD765"/>
  <c r="FD1928"/>
  <c r="FD2197"/>
  <c r="FD1332"/>
  <c r="FD640"/>
  <c r="FD1444"/>
  <c r="FD452"/>
  <c r="FD132"/>
  <c r="FD1348"/>
  <c r="FD1973"/>
  <c r="FD534"/>
  <c r="FD1740"/>
  <c r="FD2175"/>
  <c r="FD746"/>
  <c r="FD2270"/>
  <c r="FD493"/>
  <c r="FD819"/>
  <c r="FD1515"/>
  <c r="FD2370"/>
  <c r="FD2139"/>
  <c r="FD686"/>
  <c r="FD638"/>
  <c r="FD8"/>
  <c r="FD1192"/>
  <c r="FD2337"/>
  <c r="FD348"/>
  <c r="FD490"/>
  <c r="FD2187"/>
  <c r="FD2071"/>
  <c r="FD1169"/>
  <c r="FD1349"/>
  <c r="FD2301"/>
  <c r="FD1859"/>
  <c r="FD102"/>
  <c r="FD1886"/>
  <c r="FD2159"/>
  <c r="FD110"/>
  <c r="FD1040"/>
  <c r="FD2095"/>
  <c r="FD1446"/>
  <c r="FD780"/>
  <c r="FD1108"/>
  <c r="FD665"/>
  <c r="FD1744"/>
  <c r="FD2038"/>
  <c r="FD1712"/>
  <c r="FD2289"/>
  <c r="FD1021"/>
  <c r="FD860"/>
  <c r="FD1000"/>
  <c r="FD1115"/>
  <c r="FD101"/>
  <c r="FD1091"/>
  <c r="FD1643"/>
  <c r="FD186"/>
  <c r="FD1584"/>
  <c r="FD289"/>
  <c r="FD1472"/>
  <c r="FD212"/>
  <c r="FD1658"/>
  <c r="FD757"/>
  <c r="FD319"/>
  <c r="FD39"/>
  <c r="FD475"/>
  <c r="FD96"/>
  <c r="FD990"/>
  <c r="FD548"/>
  <c r="FD1861"/>
  <c r="FD2259"/>
  <c r="FD838"/>
  <c r="FD631"/>
  <c r="FD1139"/>
  <c r="FD1890"/>
  <c r="FD385"/>
  <c r="FD1881"/>
  <c r="FD1097"/>
  <c r="FD539"/>
  <c r="FD685"/>
  <c r="FD1453"/>
  <c r="FD1367"/>
  <c r="FD1532"/>
  <c r="FD787"/>
  <c r="FD2251"/>
  <c r="FD1360"/>
  <c r="FD574"/>
  <c r="FD168"/>
  <c r="FD684"/>
  <c r="FD67"/>
  <c r="FD2210"/>
  <c r="FD1637"/>
  <c r="FD670"/>
  <c r="FD967"/>
  <c r="FD340"/>
  <c r="FD893"/>
  <c r="FD1772"/>
  <c r="FD2114"/>
  <c r="FD1323"/>
  <c r="FD1235"/>
  <c r="FD1056"/>
  <c r="FD673"/>
  <c r="FD650"/>
  <c r="FD17"/>
  <c r="FD2138"/>
  <c r="FD628"/>
  <c r="FD445"/>
  <c r="FD1038"/>
  <c r="FD1189"/>
  <c r="FD149"/>
  <c r="FD1221"/>
  <c r="FD2281"/>
  <c r="FD1730"/>
  <c r="FD851"/>
  <c r="FD2469"/>
  <c r="FD924"/>
  <c r="FD435"/>
  <c r="FD816"/>
  <c r="FD2079"/>
  <c r="FD577"/>
  <c r="FD831"/>
  <c r="FD2429"/>
  <c r="FD404"/>
  <c r="FD190"/>
  <c r="FD1787"/>
  <c r="FD2128"/>
  <c r="FD197"/>
  <c r="FD163"/>
  <c r="FD1206"/>
  <c r="FD343"/>
  <c r="FD1879"/>
  <c r="FD1871"/>
  <c r="FD94"/>
  <c r="FD1173"/>
  <c r="FD868"/>
  <c r="FD836"/>
  <c r="FD1176"/>
  <c r="FD2404"/>
  <c r="FD312"/>
  <c r="FD422"/>
  <c r="FD938"/>
  <c r="FD1370"/>
  <c r="FD1266"/>
  <c r="FD1037"/>
  <c r="FD1088"/>
  <c r="FD1246"/>
  <c r="FD1488"/>
  <c r="FD1475"/>
  <c r="FD116"/>
  <c r="FD341"/>
  <c r="FD70"/>
  <c r="FD1569"/>
  <c r="FD1509"/>
  <c r="FD1718"/>
  <c r="FD9"/>
  <c r="FD1758"/>
  <c r="FD595"/>
  <c r="FD1957"/>
  <c r="FD1437"/>
  <c r="FD1321"/>
  <c r="FD654"/>
  <c r="FD1057"/>
  <c r="FD755"/>
  <c r="FD2031"/>
  <c r="FD1407"/>
  <c r="FD2062"/>
  <c r="FD1840"/>
  <c r="FD2388"/>
  <c r="FD1447"/>
  <c r="FD1147"/>
  <c r="FD509"/>
  <c r="FD2165"/>
  <c r="FD1193"/>
  <c r="FD824"/>
  <c r="FD1497"/>
  <c r="FD1799"/>
  <c r="FD414"/>
  <c r="FD2455"/>
  <c r="FD2113"/>
  <c r="FD1262"/>
  <c r="FD947"/>
  <c r="FD2030"/>
  <c r="FD298"/>
  <c r="FD1015"/>
  <c r="FD1705"/>
  <c r="FD1935"/>
  <c r="FD954"/>
  <c r="FD2177"/>
  <c r="FD2129"/>
  <c r="FD1752"/>
  <c r="FD467"/>
  <c r="FD1748"/>
  <c r="FD2335"/>
  <c r="FD367"/>
  <c r="FD428"/>
  <c r="FD1904"/>
  <c r="FD1762"/>
  <c r="FD1384"/>
  <c r="FD487"/>
  <c r="FD1439"/>
  <c r="FD1396"/>
  <c r="FD963"/>
  <c r="FD1135"/>
  <c r="FD632"/>
  <c r="FD1586"/>
  <c r="FD1640"/>
  <c r="FD1556"/>
  <c r="FD1378"/>
  <c r="FD1028"/>
  <c r="FD2074"/>
  <c r="FD257"/>
  <c r="FD2403"/>
  <c r="FD299"/>
  <c r="FD669"/>
  <c r="FD1906"/>
  <c r="FD1297"/>
  <c r="FD462"/>
  <c r="FD2452"/>
  <c r="FD2000"/>
  <c r="FD834"/>
  <c r="FD2136"/>
  <c r="FD192"/>
  <c r="FD246"/>
  <c r="FD546"/>
  <c r="FD316"/>
  <c r="FD1837"/>
  <c r="FD1933"/>
  <c r="FD573"/>
  <c r="FD925"/>
  <c r="FD1290"/>
  <c r="FD1845"/>
  <c r="FD2112"/>
  <c r="FD1162"/>
  <c r="FD2458"/>
  <c r="FD1081"/>
  <c r="FD309"/>
  <c r="FD2020"/>
  <c r="FD152"/>
  <c r="FD2372"/>
  <c r="FD356"/>
  <c r="FD1264"/>
  <c r="FD742"/>
  <c r="FD1401"/>
  <c r="FD645"/>
  <c r="FD78"/>
  <c r="FD898"/>
  <c r="FD233"/>
  <c r="FD1941"/>
  <c r="FD883"/>
  <c r="FD959"/>
  <c r="FD861"/>
  <c r="FD440"/>
  <c r="FD1140"/>
  <c r="FD586"/>
  <c r="FD562"/>
  <c r="FD1823"/>
  <c r="FD45"/>
  <c r="FD795"/>
  <c r="FD59"/>
  <c r="FD2248"/>
  <c r="FD335"/>
  <c r="FD176"/>
  <c r="FD455"/>
  <c r="FD687"/>
  <c r="FD1617"/>
  <c r="FD1006"/>
  <c r="FD321"/>
  <c r="FD2371"/>
  <c r="FD648"/>
  <c r="FD1219"/>
  <c r="FD203"/>
  <c r="FD1779"/>
  <c r="FD1210"/>
  <c r="FD2141"/>
  <c r="FD1027"/>
  <c r="FD2353"/>
  <c r="FD1899"/>
  <c r="FD1826"/>
  <c r="FD521"/>
  <c r="FD905"/>
  <c r="FD848"/>
  <c r="FD2265"/>
  <c r="FD179"/>
  <c r="FD424"/>
  <c r="FD1817"/>
  <c r="FD1311"/>
  <c r="FD1983"/>
  <c r="FD2449"/>
  <c r="FD1653"/>
  <c r="FD1248"/>
  <c r="FD2225"/>
  <c r="FD262"/>
  <c r="FD381"/>
  <c r="FD1579"/>
  <c r="FD261"/>
  <c r="FD931"/>
  <c r="FD674"/>
  <c r="FD2164"/>
  <c r="FD2408"/>
  <c r="FD805"/>
  <c r="FD797"/>
  <c r="FD396"/>
  <c r="FD507"/>
  <c r="FD1955"/>
  <c r="FD1312"/>
  <c r="FD666"/>
  <c r="FD266"/>
  <c r="FD709"/>
  <c r="FD221"/>
  <c r="FD921"/>
  <c r="FD559"/>
  <c r="FD2307"/>
  <c r="FD2034"/>
  <c r="FD38"/>
  <c r="FD1852"/>
  <c r="FD1106"/>
  <c r="FD1534"/>
  <c r="FD941"/>
  <c r="FD1372"/>
  <c r="FD2493"/>
  <c r="FD571"/>
  <c r="FD1918"/>
  <c r="FD2422"/>
  <c r="FD926"/>
  <c r="FD106"/>
  <c r="FE283"/>
  <c r="FE436"/>
  <c r="FE1390"/>
  <c r="FE1710"/>
  <c r="FE578"/>
  <c r="FE1077"/>
  <c r="FE740"/>
  <c r="FE519"/>
  <c r="FE2179"/>
  <c r="FE895"/>
  <c r="FE1524"/>
  <c r="FE2221"/>
  <c r="FE1523"/>
  <c r="FE1646"/>
  <c r="FE1458"/>
  <c r="FE1826"/>
  <c r="FE1539"/>
  <c r="FE1925"/>
  <c r="FD2376"/>
  <c r="FD1557"/>
  <c r="FD376"/>
  <c r="FD1496"/>
  <c r="FD265"/>
  <c r="FD875"/>
  <c r="FD1227"/>
  <c r="FD2110"/>
  <c r="FD1022"/>
  <c r="FD1704"/>
  <c r="FD1673"/>
  <c r="FD217"/>
  <c r="FD1614"/>
  <c r="FD703"/>
  <c r="FD888"/>
  <c r="FD2019"/>
  <c r="FD392"/>
  <c r="FD1371"/>
  <c r="FD2246"/>
  <c r="FD1921"/>
  <c r="FD2204"/>
  <c r="FD81"/>
  <c r="FD981"/>
  <c r="FD1333"/>
  <c r="FD1615"/>
  <c r="FD2029"/>
  <c r="FD1241"/>
  <c r="FD2491"/>
  <c r="FD1504"/>
  <c r="FD248"/>
  <c r="FD1379"/>
  <c r="FD1010"/>
  <c r="FD1448"/>
  <c r="FD814"/>
  <c r="FD6"/>
  <c r="FD1074"/>
  <c r="FD1039"/>
  <c r="FD2486"/>
  <c r="FD159"/>
  <c r="FD784"/>
  <c r="FD1089"/>
  <c r="FD623"/>
  <c r="FD1498"/>
  <c r="FD290"/>
  <c r="FD2380"/>
  <c r="FD1405"/>
  <c r="FD317"/>
  <c r="FD2382"/>
  <c r="FD1700"/>
  <c r="FD505"/>
  <c r="FD374"/>
  <c r="FD590"/>
  <c r="FD2065"/>
  <c r="FD922"/>
  <c r="FD300"/>
  <c r="FD1808"/>
  <c r="FD2302"/>
  <c r="FD1443"/>
  <c r="FD1499"/>
  <c r="FD2310"/>
  <c r="FD1365"/>
  <c r="FD1299"/>
  <c r="FD441"/>
  <c r="FD1170"/>
  <c r="FD1014"/>
  <c r="FD1943"/>
  <c r="FD1239"/>
  <c r="FD1359"/>
  <c r="FD1628"/>
  <c r="FD2315"/>
  <c r="FD500"/>
  <c r="FD575"/>
  <c r="FD276"/>
  <c r="FD2174"/>
  <c r="FD532"/>
  <c r="FD2203"/>
  <c r="FD164"/>
  <c r="FD1190"/>
  <c r="FD985"/>
  <c r="FD1665"/>
  <c r="FD2045"/>
  <c r="FD1606"/>
  <c r="FD1940"/>
  <c r="FD2453"/>
  <c r="FD1709"/>
  <c r="FD903"/>
  <c r="FD1667"/>
  <c r="FD915"/>
  <c r="FD46"/>
  <c r="FD1541"/>
  <c r="FD594"/>
  <c r="FD908"/>
  <c r="FD1223"/>
  <c r="FD2093"/>
  <c r="FD2332"/>
  <c r="FD524"/>
  <c r="FD859"/>
  <c r="FD1012"/>
  <c r="FD1100"/>
  <c r="FD1452"/>
  <c r="FD1554"/>
  <c r="FD1777"/>
  <c r="FD1866"/>
  <c r="FD739"/>
  <c r="FD917"/>
  <c r="FD1887"/>
  <c r="FD1009"/>
  <c r="FD601"/>
  <c r="FD1773"/>
  <c r="FD519"/>
  <c r="FD24"/>
  <c r="FD58"/>
  <c r="FD2475"/>
  <c r="FD943"/>
  <c r="FD2054"/>
  <c r="FD157"/>
  <c r="FD470"/>
  <c r="FD2048"/>
  <c r="FD2362"/>
  <c r="FD1320"/>
  <c r="FD291"/>
  <c r="FD731"/>
  <c r="FD1612"/>
  <c r="FD1990"/>
  <c r="FD2468"/>
  <c r="FD222"/>
  <c r="FD1077"/>
  <c r="FD1399"/>
  <c r="FD2228"/>
  <c r="FD2101"/>
  <c r="FD169"/>
  <c r="FD717"/>
  <c r="FD2063"/>
  <c r="FD2331"/>
  <c r="FD1154"/>
  <c r="FD935"/>
  <c r="FD1093"/>
  <c r="FD2163"/>
  <c r="FD992"/>
  <c r="FD1019"/>
  <c r="FD60"/>
  <c r="FD1020"/>
  <c r="FD627"/>
  <c r="FD32"/>
  <c r="FD2140"/>
  <c r="FD2039"/>
  <c r="FD177"/>
  <c r="FD799"/>
  <c r="FD1307"/>
  <c r="FD1385"/>
  <c r="FD2351"/>
  <c r="FD2417"/>
  <c r="FD1932"/>
  <c r="FD1281"/>
  <c r="FD1461"/>
  <c r="FD419"/>
  <c r="FD537"/>
  <c r="FD34"/>
  <c r="FD1200"/>
  <c r="FD1092"/>
  <c r="FD1889"/>
  <c r="FD84"/>
  <c r="FD1285"/>
  <c r="FD2484"/>
  <c r="FD1872"/>
  <c r="FD2083"/>
  <c r="FD1430"/>
  <c r="FD128"/>
  <c r="FD1353"/>
  <c r="FD1149"/>
  <c r="FD1204"/>
  <c r="FD2026"/>
  <c r="FD2007"/>
  <c r="FD2122"/>
  <c r="FD1802"/>
  <c r="FD2001"/>
  <c r="FD909"/>
  <c r="FD1029"/>
  <c r="FD566"/>
  <c r="FD1024"/>
  <c r="FD1717"/>
  <c r="FD99"/>
  <c r="FD277"/>
  <c r="FD1919"/>
  <c r="FD1007"/>
  <c r="FD1986"/>
  <c r="FD614"/>
  <c r="FD141"/>
  <c r="FD1268"/>
  <c r="FD1813"/>
  <c r="FD498"/>
  <c r="FD112"/>
  <c r="FD1187"/>
  <c r="FD791"/>
  <c r="FD66"/>
  <c r="FD1692"/>
  <c r="FD2412"/>
  <c r="FD247"/>
  <c r="FD2263"/>
  <c r="FD240"/>
  <c r="FD258"/>
  <c r="FD808"/>
  <c r="FD1304"/>
  <c r="FD1427"/>
  <c r="FD2209"/>
  <c r="FD2341"/>
  <c r="FD1409"/>
  <c r="FD1646"/>
  <c r="FD193"/>
  <c r="FD2213"/>
  <c r="FD267"/>
  <c r="FD597"/>
  <c r="FD2276"/>
  <c r="FE153"/>
  <c r="FE124"/>
  <c r="FE810"/>
  <c r="FE487"/>
  <c r="FE2278"/>
  <c r="FE401"/>
  <c r="FE1405"/>
  <c r="FE1842"/>
  <c r="FE1136"/>
  <c r="FE948"/>
  <c r="FE1273"/>
  <c r="FE54"/>
  <c r="FE26"/>
  <c r="FE439"/>
  <c r="FE1025"/>
  <c r="FE1599"/>
  <c r="FE470"/>
  <c r="FE1987"/>
  <c r="FE813"/>
  <c r="FE2013"/>
  <c r="FE2493"/>
  <c r="FE960"/>
  <c r="FE1456"/>
  <c r="FE1619"/>
  <c r="FE2483"/>
  <c r="FE1926"/>
  <c r="FE1794"/>
  <c r="FE1923"/>
  <c r="FE1805"/>
  <c r="FE1447"/>
  <c r="FE1797"/>
  <c r="FE1334"/>
  <c r="FE2423"/>
  <c r="FE214"/>
  <c r="FE320"/>
  <c r="FE112"/>
  <c r="FE421"/>
  <c r="FD1079"/>
  <c r="FD1153"/>
  <c r="FD26"/>
  <c r="FD1269"/>
  <c r="FD1521"/>
  <c r="FD1893"/>
  <c r="FD1501"/>
  <c r="FD1800"/>
  <c r="FD986"/>
  <c r="FD1844"/>
  <c r="FD1116"/>
  <c r="FD74"/>
  <c r="FD2232"/>
  <c r="FD2342"/>
  <c r="FD550"/>
  <c r="FD679"/>
  <c r="FD31"/>
  <c r="FD1599"/>
  <c r="FD2355"/>
  <c r="FD2167"/>
  <c r="FD1972"/>
  <c r="FD1177"/>
  <c r="FD1668"/>
  <c r="FD2279"/>
  <c r="FD1690"/>
  <c r="FD2349"/>
  <c r="FD2042"/>
  <c r="FD823"/>
  <c r="FD1013"/>
  <c r="FD2399"/>
  <c r="FD1818"/>
  <c r="FD1505"/>
  <c r="FD2309"/>
  <c r="FD194"/>
  <c r="FD1274"/>
  <c r="FD1783"/>
  <c r="FD617"/>
  <c r="FD801"/>
  <c r="FD196"/>
  <c r="FD130"/>
  <c r="FD243"/>
  <c r="FD448"/>
  <c r="FD511"/>
  <c r="FD1183"/>
  <c r="FD1923"/>
  <c r="FD1784"/>
  <c r="FD1492"/>
  <c r="FD1055"/>
  <c r="FD1869"/>
  <c r="FD408"/>
  <c r="FD1035"/>
  <c r="FD2481"/>
  <c r="FD825"/>
  <c r="FD1775"/>
  <c r="FD2445"/>
  <c r="FD1600"/>
  <c r="FD412"/>
  <c r="FD259"/>
  <c r="FD460"/>
  <c r="FD2321"/>
  <c r="FD1314"/>
  <c r="FD1980"/>
  <c r="FD1574"/>
  <c r="FD1083"/>
  <c r="FD2434"/>
  <c r="FD114"/>
  <c r="FD763"/>
  <c r="FD1261"/>
  <c r="FD2379"/>
  <c r="FD1486"/>
  <c r="FD482"/>
  <c r="FD2166"/>
  <c r="FD1197"/>
  <c r="FD2229"/>
  <c r="FD2343"/>
  <c r="FD457"/>
  <c r="FD1327"/>
  <c r="FD1984"/>
  <c r="FD773"/>
  <c r="FD768"/>
  <c r="FD2405"/>
  <c r="FD2006"/>
  <c r="FD1572"/>
  <c r="FD1976"/>
  <c r="FD1542"/>
  <c r="FD1698"/>
  <c r="FD1163"/>
  <c r="FD1948"/>
  <c r="FD27"/>
  <c r="FD43"/>
  <c r="FD740"/>
  <c r="FD1995"/>
  <c r="FD987"/>
  <c r="FD2261"/>
  <c r="FD2195"/>
  <c r="FD2087"/>
  <c r="FD516"/>
  <c r="FD688"/>
  <c r="FD172"/>
  <c r="FD2192"/>
  <c r="FD1847"/>
  <c r="FD1157"/>
  <c r="FD1681"/>
  <c r="FD2312"/>
  <c r="FD2015"/>
  <c r="FD111"/>
  <c r="FD1479"/>
  <c r="FD473"/>
  <c r="FD1005"/>
  <c r="FD1278"/>
  <c r="FD1969"/>
  <c r="FD1856"/>
  <c r="FD881"/>
  <c r="FD2467"/>
  <c r="FD1687"/>
  <c r="FD1507"/>
  <c r="FD496"/>
  <c r="FD2089"/>
  <c r="FD123"/>
  <c r="FD1520"/>
  <c r="FD1737"/>
  <c r="FD195"/>
  <c r="FD1335"/>
  <c r="FD1503"/>
  <c r="FD1642"/>
  <c r="FD682"/>
  <c r="FD940"/>
  <c r="FD351"/>
  <c r="FD50"/>
  <c r="FD2009"/>
  <c r="FD785"/>
  <c r="FD1830"/>
  <c r="FD2470"/>
  <c r="FD1582"/>
  <c r="FD2241"/>
  <c r="FD1785"/>
  <c r="FD1821"/>
  <c r="FD1659"/>
  <c r="FD1180"/>
  <c r="FD1862"/>
  <c r="FD1046"/>
  <c r="FD2424"/>
  <c r="FD139"/>
  <c r="FD1067"/>
  <c r="FD1184"/>
  <c r="FD1654"/>
  <c r="FD182"/>
  <c r="FD1755"/>
  <c r="FD798"/>
  <c r="FD1892"/>
  <c r="FD2299"/>
  <c r="FD1625"/>
  <c r="FD1319"/>
  <c r="FD557"/>
  <c r="FD104"/>
  <c r="FD2320"/>
  <c r="FD285"/>
  <c r="FD726"/>
  <c r="FD1570"/>
  <c r="FD2230"/>
  <c r="FD2446"/>
  <c r="FD1992"/>
  <c r="FD979"/>
  <c r="FD1112"/>
  <c r="FD613"/>
  <c r="FD2069"/>
  <c r="FD129"/>
  <c r="FD398"/>
  <c r="FD2104"/>
  <c r="FD1768"/>
  <c r="FD2097"/>
  <c r="FD1962"/>
  <c r="FD1471"/>
  <c r="FD2413"/>
  <c r="FD352"/>
  <c r="FD2454"/>
  <c r="FD2300"/>
  <c r="FD1293"/>
  <c r="FD1631"/>
  <c r="FD1267"/>
  <c r="FD1728"/>
  <c r="FD535"/>
  <c r="FD1719"/>
  <c r="FD2358"/>
  <c r="FD1036"/>
  <c r="FD874"/>
  <c r="FD170"/>
  <c r="FD173"/>
  <c r="FD1953"/>
  <c r="FD2267"/>
  <c r="FD1316"/>
  <c r="FD2211"/>
  <c r="FD1551"/>
  <c r="FD252"/>
  <c r="FD752"/>
  <c r="FD103"/>
  <c r="FD2105"/>
  <c r="FD2151"/>
  <c r="FD1839"/>
  <c r="FD2244"/>
  <c r="FD1303"/>
  <c r="FD1275"/>
  <c r="FD843"/>
  <c r="FD2316"/>
  <c r="FD854"/>
  <c r="FD1224"/>
  <c r="FD205"/>
  <c r="FD2325"/>
  <c r="FD779"/>
  <c r="FD988"/>
  <c r="FD540"/>
  <c r="FD945"/>
  <c r="FD1391"/>
  <c r="FE364"/>
  <c r="FE127"/>
  <c r="FE595"/>
  <c r="FE1378"/>
  <c r="FE563"/>
  <c r="FE1813"/>
  <c r="FE1471"/>
  <c r="FE2121"/>
  <c r="FE1501"/>
  <c r="FE2323"/>
  <c r="FE1493"/>
  <c r="FE1367"/>
  <c r="FE313"/>
  <c r="FE351"/>
  <c r="FE780"/>
  <c r="FE1700"/>
  <c r="FE656"/>
  <c r="FE2186"/>
  <c r="FE667"/>
  <c r="FE1055"/>
  <c r="FE388"/>
  <c r="FE1595"/>
  <c r="FE1358"/>
  <c r="FE2250"/>
  <c r="FE1331"/>
  <c r="FE2363"/>
  <c r="FE1066"/>
  <c r="FE1768"/>
  <c r="FE2145"/>
  <c r="FE919"/>
  <c r="FE1975"/>
  <c r="FE2206"/>
  <c r="FE2053"/>
  <c r="FE81"/>
  <c r="FE358"/>
  <c r="FE125"/>
  <c r="FE324"/>
  <c r="FE231"/>
  <c r="FE596"/>
  <c r="FE496"/>
  <c r="FE1045"/>
  <c r="FE1064"/>
  <c r="FE1957"/>
  <c r="FE555"/>
  <c r="FE378"/>
  <c r="FE353"/>
  <c r="FE1093"/>
  <c r="FE947"/>
  <c r="FE1914"/>
  <c r="FE1079"/>
  <c r="FE1677"/>
  <c r="FE2245"/>
  <c r="FE1971"/>
  <c r="FE2288"/>
  <c r="FE248"/>
  <c r="FE82"/>
  <c r="FE507"/>
  <c r="FE624"/>
  <c r="FE1638"/>
  <c r="FE811"/>
  <c r="FE1312"/>
  <c r="FE2042"/>
  <c r="FE449"/>
  <c r="FD1788"/>
  <c r="FD1247"/>
  <c r="FD1897"/>
  <c r="FD2339"/>
  <c r="FD2043"/>
  <c r="FD2072"/>
  <c r="FD1885"/>
  <c r="FD1493"/>
  <c r="FD873"/>
  <c r="FD1583"/>
  <c r="FD1934"/>
  <c r="FD618"/>
  <c r="FD978"/>
  <c r="FD1843"/>
  <c r="FD1883"/>
  <c r="FD1242"/>
  <c r="FD583"/>
  <c r="FD2431"/>
  <c r="FD2479"/>
  <c r="FD2282"/>
  <c r="FD1732"/>
  <c r="FD1286"/>
  <c r="FD1441"/>
  <c r="FD1565"/>
  <c r="FD1512"/>
  <c r="FD580"/>
  <c r="FD2170"/>
  <c r="FD2155"/>
  <c r="FD479"/>
  <c r="FD2368"/>
  <c r="FD65"/>
  <c r="FD2018"/>
  <c r="FD660"/>
  <c r="FD567"/>
  <c r="FD951"/>
  <c r="FD61"/>
  <c r="FD2132"/>
  <c r="FD1696"/>
  <c r="FD458"/>
  <c r="FD77"/>
  <c r="FD1635"/>
  <c r="FD1016"/>
  <c r="FD1491"/>
  <c r="FD390"/>
  <c r="FD2049"/>
  <c r="FD28"/>
  <c r="FD155"/>
  <c r="FD1151"/>
  <c r="FD1004"/>
  <c r="FD1945"/>
  <c r="FD1098"/>
  <c r="FD2365"/>
  <c r="FD643"/>
  <c r="FD982"/>
  <c r="FD2284"/>
  <c r="FD602"/>
  <c r="FD89"/>
  <c r="FD578"/>
  <c r="FD88"/>
  <c r="FD463"/>
  <c r="FD1691"/>
  <c r="FD748"/>
  <c r="FD2262"/>
  <c r="FD2456"/>
  <c r="FD2144"/>
  <c r="FD2407"/>
  <c r="FD495"/>
  <c r="FD1674"/>
  <c r="FD2103"/>
  <c r="FD1835"/>
  <c r="FD526"/>
  <c r="FD2168"/>
  <c r="FD485"/>
  <c r="FD349"/>
  <c r="FD693"/>
  <c r="FD1731"/>
  <c r="FD2323"/>
  <c r="FD71"/>
  <c r="FD907"/>
  <c r="FD338"/>
  <c r="FD1527"/>
  <c r="FD143"/>
  <c r="FD1540"/>
  <c r="FD388"/>
  <c r="FD292"/>
  <c r="FD2401"/>
  <c r="FD2135"/>
  <c r="FD920"/>
  <c r="FD35"/>
  <c r="FD1914"/>
  <c r="FD1142"/>
  <c r="FD2283"/>
  <c r="FD1807"/>
  <c r="FD743"/>
  <c r="FD1562"/>
  <c r="FD953"/>
  <c r="FD751"/>
  <c r="FD661"/>
  <c r="FD2474"/>
  <c r="FD1651"/>
  <c r="FD622"/>
  <c r="FD596"/>
  <c r="FD634"/>
  <c r="FD2430"/>
  <c r="FD2464"/>
  <c r="FD234"/>
  <c r="FD2215"/>
  <c r="FE1857"/>
  <c r="FE1859"/>
  <c r="FE1913"/>
  <c r="FE2420"/>
  <c r="FE1757"/>
  <c r="FE1071"/>
  <c r="FE244"/>
  <c r="FE601"/>
  <c r="FE522"/>
  <c r="FE536"/>
  <c r="FE2318"/>
  <c r="FE1354"/>
  <c r="FE1194"/>
  <c r="FE955"/>
  <c r="FE2248"/>
  <c r="FE2249"/>
  <c r="FE1270"/>
  <c r="FE145"/>
  <c r="FE165"/>
  <c r="FE700"/>
  <c r="FE2167"/>
  <c r="FE1094"/>
  <c r="FE302"/>
  <c r="FE235"/>
  <c r="FE1718"/>
  <c r="FE2413"/>
  <c r="FE888"/>
  <c r="FE2454"/>
  <c r="FE2105"/>
  <c r="FE1621"/>
  <c r="FE2246"/>
  <c r="FE402"/>
  <c r="FE126"/>
  <c r="FE1664"/>
  <c r="FE349"/>
  <c r="FE1674"/>
  <c r="FE850"/>
  <c r="FE1170"/>
  <c r="FE2030"/>
  <c r="FE484"/>
  <c r="FE1236"/>
  <c r="FE2443"/>
  <c r="FE2161"/>
  <c r="FE1684"/>
  <c r="FE1886"/>
  <c r="FE1909"/>
  <c r="FE2485"/>
  <c r="FE2251"/>
  <c r="FE2302"/>
  <c r="FE1870"/>
  <c r="FE187"/>
  <c r="FE93"/>
  <c r="FE51"/>
  <c r="FE100"/>
  <c r="FE770"/>
  <c r="FE1291"/>
  <c r="FE831"/>
  <c r="FE789"/>
  <c r="FE540"/>
  <c r="FE790"/>
  <c r="FE644"/>
  <c r="FE1994"/>
  <c r="FE1215"/>
  <c r="FE1073"/>
  <c r="FE808"/>
  <c r="FE1119"/>
  <c r="FE2198"/>
  <c r="FE876"/>
  <c r="FE1627"/>
  <c r="FE2241"/>
  <c r="FE1156"/>
  <c r="FE1541"/>
  <c r="FE1755"/>
  <c r="FE1241"/>
  <c r="FE2076"/>
  <c r="FE687"/>
  <c r="FE1824"/>
  <c r="FE921"/>
  <c r="FE1125"/>
  <c r="FE1151"/>
  <c r="FE1949"/>
  <c r="FE860"/>
  <c r="FE944"/>
  <c r="FE326"/>
  <c r="FE171"/>
  <c r="FE287"/>
  <c r="FE128"/>
  <c r="FE478"/>
  <c r="FE718"/>
  <c r="FE242"/>
  <c r="FE2320"/>
  <c r="FE1686"/>
  <c r="FE782"/>
  <c r="FE271"/>
  <c r="FE847"/>
  <c r="FE1772"/>
  <c r="FE34"/>
  <c r="FE666"/>
  <c r="FE2410"/>
  <c r="FE2092"/>
  <c r="FE866"/>
  <c r="FE1530"/>
  <c r="FE1868"/>
  <c r="FE890"/>
  <c r="FE1643"/>
  <c r="FE1636"/>
  <c r="FE2414"/>
  <c r="FE1168"/>
  <c r="FE1353"/>
  <c r="FE1375"/>
  <c r="FE2480"/>
  <c r="FE598"/>
  <c r="FE1427"/>
  <c r="FE1831"/>
  <c r="FE1185"/>
  <c r="FE910"/>
  <c r="FE1781"/>
  <c r="FE2166"/>
  <c r="FE1052"/>
  <c r="FE1330"/>
  <c r="FE1115"/>
  <c r="FD2044"/>
  <c r="FD2051"/>
  <c r="FD1121"/>
  <c r="FD215"/>
  <c r="FD822"/>
  <c r="FD1849"/>
  <c r="FD890"/>
  <c r="FD2011"/>
  <c r="FD2150"/>
  <c r="FD2188"/>
  <c r="FD206"/>
  <c r="FD1618"/>
  <c r="FD410"/>
  <c r="FD2133"/>
  <c r="FD216"/>
  <c r="FD1989"/>
  <c r="FD1634"/>
  <c r="FD68"/>
  <c r="FD11"/>
  <c r="FD775"/>
  <c r="FD1150"/>
  <c r="FD676"/>
  <c r="FD2073"/>
  <c r="FD1750"/>
  <c r="FD2356"/>
  <c r="FD2066"/>
  <c r="FD1782"/>
  <c r="FD781"/>
  <c r="FD236"/>
  <c r="FD1202"/>
  <c r="FD1553"/>
  <c r="FD725"/>
  <c r="FD2156"/>
  <c r="FD2389"/>
  <c r="FD2266"/>
  <c r="FD2418"/>
  <c r="FD44"/>
  <c r="FD2196"/>
  <c r="FD270"/>
  <c r="FD1967"/>
  <c r="FD426"/>
  <c r="FD1525"/>
  <c r="FD2146"/>
  <c r="FD1930"/>
  <c r="FD1814"/>
  <c r="FD653"/>
  <c r="FD1697"/>
  <c r="FD2272"/>
  <c r="FD722"/>
  <c r="FD481"/>
  <c r="FD1649"/>
  <c r="FD2303"/>
  <c r="FD991"/>
  <c r="FD680"/>
  <c r="FD383"/>
  <c r="FD429"/>
  <c r="FD1526"/>
  <c r="FD719"/>
  <c r="FD2359"/>
  <c r="FD229"/>
  <c r="FD1050"/>
  <c r="FD154"/>
  <c r="FD605"/>
  <c r="FD438"/>
  <c r="FD1336"/>
  <c r="FD1508"/>
  <c r="FD1701"/>
  <c r="FD135"/>
  <c r="FD272"/>
  <c r="FD1318"/>
  <c r="FD668"/>
  <c r="FD544"/>
  <c r="FD2240"/>
  <c r="FD514"/>
  <c r="FD439"/>
  <c r="FD821"/>
  <c r="FD2068"/>
  <c r="FD1001"/>
  <c r="FD358"/>
  <c r="FD1426"/>
  <c r="FD1338"/>
  <c r="FD213"/>
  <c r="FD2003"/>
  <c r="FD913"/>
  <c r="FD293"/>
  <c r="FD968"/>
  <c r="FD1535"/>
  <c r="FD1324"/>
  <c r="FD281"/>
  <c r="FD1707"/>
  <c r="FD1733"/>
  <c r="FD1686"/>
  <c r="FD1436"/>
  <c r="FD671"/>
  <c r="FD2459"/>
  <c r="FD1182"/>
  <c r="FD2147"/>
  <c r="FD656"/>
  <c r="FD502"/>
  <c r="FD724"/>
  <c r="FD220"/>
  <c r="FD1790"/>
  <c r="FD2271"/>
  <c r="FD689"/>
  <c r="FD2107"/>
  <c r="FD1660"/>
  <c r="FD287"/>
  <c r="FE1750"/>
  <c r="FE129"/>
  <c r="FE2439"/>
  <c r="FE2209"/>
  <c r="FE1635"/>
  <c r="FE1935"/>
  <c r="FE440"/>
  <c r="FE400"/>
  <c r="FE1114"/>
  <c r="FE513"/>
  <c r="FE748"/>
  <c r="FE2124"/>
  <c r="FE2081"/>
  <c r="FE2490"/>
  <c r="FE2312"/>
  <c r="FE1027"/>
  <c r="FE215"/>
  <c r="FE299"/>
  <c r="FE196"/>
  <c r="FE260"/>
  <c r="FE833"/>
  <c r="FE258"/>
  <c r="FE2058"/>
  <c r="FE1362"/>
  <c r="FE2461"/>
  <c r="FE1786"/>
  <c r="FE2117"/>
  <c r="FE2260"/>
  <c r="FE2229"/>
  <c r="FE1445"/>
  <c r="FE1240"/>
  <c r="FE55"/>
  <c r="FE132"/>
  <c r="FE927"/>
  <c r="FE943"/>
  <c r="FE1535"/>
  <c r="FE638"/>
  <c r="FE1782"/>
  <c r="FE1004"/>
  <c r="FE1972"/>
  <c r="FE1563"/>
  <c r="FE1260"/>
  <c r="FE1545"/>
  <c r="FE1271"/>
  <c r="FE822"/>
  <c r="FE1843"/>
  <c r="FE1549"/>
  <c r="FE1538"/>
  <c r="FE1238"/>
  <c r="FE1297"/>
  <c r="FE114"/>
  <c r="FE428"/>
  <c r="FE135"/>
  <c r="FE179"/>
  <c r="FE60"/>
  <c r="FE788"/>
  <c r="FE621"/>
  <c r="FE1173"/>
  <c r="FE2468"/>
  <c r="FE163"/>
  <c r="FE557"/>
  <c r="FE505"/>
  <c r="FE963"/>
  <c r="FE692"/>
  <c r="FE1938"/>
  <c r="FE1308"/>
  <c r="FE1630"/>
  <c r="FE2160"/>
  <c r="FE1556"/>
  <c r="FE2452"/>
  <c r="FE2270"/>
  <c r="FE925"/>
  <c r="FE1068"/>
  <c r="FE1603"/>
  <c r="FE1326"/>
  <c r="FE197"/>
  <c r="FE865"/>
  <c r="FE475"/>
  <c r="FE836"/>
  <c r="FE2044"/>
  <c r="FE178"/>
  <c r="FE1074"/>
  <c r="FE1200"/>
  <c r="FE322"/>
  <c r="FE245"/>
  <c r="FE321"/>
  <c r="FE273"/>
  <c r="FE759"/>
  <c r="FE477"/>
  <c r="FE1466"/>
  <c r="FE794"/>
  <c r="FE451"/>
  <c r="FE426"/>
  <c r="FE370"/>
  <c r="FE1311"/>
  <c r="FE1321"/>
  <c r="FE849"/>
  <c r="FE335"/>
  <c r="FE1733"/>
  <c r="FE1163"/>
  <c r="FE1226"/>
  <c r="FE1499"/>
  <c r="FE2062"/>
  <c r="FE1261"/>
  <c r="FE1790"/>
  <c r="FE511"/>
  <c r="FE1495"/>
  <c r="FE1249"/>
  <c r="FE1654"/>
  <c r="FE2428"/>
  <c r="FE1574"/>
  <c r="FE1084"/>
  <c r="FE1252"/>
  <c r="FE2326"/>
  <c r="FE1351"/>
  <c r="FE1742"/>
  <c r="FE1251"/>
  <c r="FE2259"/>
  <c r="FE2075"/>
  <c r="FE2001"/>
  <c r="FE1753"/>
  <c r="FE2351"/>
  <c r="FD588"/>
  <c r="FD950"/>
  <c r="FD1386"/>
  <c r="FD1611"/>
  <c r="FD1842"/>
  <c r="FD1404"/>
  <c r="FD2347"/>
  <c r="FD1463"/>
  <c r="FD828"/>
  <c r="FD12"/>
  <c r="FD1008"/>
  <c r="FD2053"/>
  <c r="FD2123"/>
  <c r="FD2439"/>
  <c r="FD587"/>
  <c r="FD589"/>
  <c r="FD560"/>
  <c r="FD2421"/>
  <c r="FD332"/>
  <c r="FD1805"/>
  <c r="FD254"/>
  <c r="FD2216"/>
  <c r="FD1531"/>
  <c r="FD1489"/>
  <c r="FD1587"/>
  <c r="FD1421"/>
  <c r="FD1375"/>
  <c r="FD394"/>
  <c r="FD2016"/>
  <c r="FD1075"/>
  <c r="FD1438"/>
  <c r="FD1594"/>
  <c r="FD1947"/>
  <c r="FD2472"/>
  <c r="FD1217"/>
  <c r="FD417"/>
  <c r="FD2398"/>
  <c r="FD1715"/>
  <c r="FD85"/>
  <c r="FD1997"/>
  <c r="FD579"/>
  <c r="FD1158"/>
  <c r="FD2041"/>
  <c r="FD1082"/>
  <c r="FD1855"/>
  <c r="FD796"/>
  <c r="FD1816"/>
  <c r="FD728"/>
  <c r="FD1759"/>
  <c r="FD2184"/>
  <c r="FD1234"/>
  <c r="FD1878"/>
  <c r="FD2060"/>
  <c r="FE261"/>
  <c r="FE1206"/>
  <c r="FE1737"/>
  <c r="FE2127"/>
  <c r="FE2272"/>
  <c r="FE167"/>
  <c r="FE78"/>
  <c r="FE856"/>
  <c r="FE2104"/>
  <c r="FE312"/>
  <c r="FE216"/>
  <c r="FE765"/>
  <c r="FE1253"/>
  <c r="FE2418"/>
  <c r="FE1350"/>
  <c r="FE2280"/>
  <c r="FE23"/>
  <c r="FE651"/>
  <c r="FE1892"/>
  <c r="FE1437"/>
  <c r="FE1229"/>
  <c r="FE938"/>
  <c r="FE1711"/>
  <c r="FE2005"/>
  <c r="FE1428"/>
  <c r="FE1381"/>
  <c r="FE108"/>
  <c r="FE323"/>
  <c r="FE670"/>
  <c r="FE1176"/>
  <c r="FE2023"/>
  <c r="FE94"/>
  <c r="FE2456"/>
  <c r="FE821"/>
  <c r="FE1510"/>
  <c r="FE1519"/>
  <c r="FE1386"/>
  <c r="FE1698"/>
  <c r="FE688"/>
  <c r="FE631"/>
  <c r="FE916"/>
  <c r="FE368"/>
  <c r="FE227"/>
  <c r="FE49"/>
  <c r="FE783"/>
  <c r="FE620"/>
  <c r="FE1671"/>
  <c r="FE2141"/>
  <c r="FE640"/>
  <c r="FE533"/>
  <c r="FE777"/>
  <c r="FE766"/>
  <c r="FE276"/>
  <c r="FE2360"/>
  <c r="FE1203"/>
  <c r="FE1221"/>
  <c r="FE2169"/>
  <c r="FE1986"/>
  <c r="FE2222"/>
  <c r="FE2383"/>
  <c r="FE2041"/>
  <c r="FE2391"/>
  <c r="FE504"/>
  <c r="FE1565"/>
  <c r="FE2346"/>
  <c r="FE275"/>
  <c r="FE67"/>
  <c r="FE2316"/>
  <c r="FE2207"/>
  <c r="FE1227"/>
  <c r="FE1442"/>
  <c r="FE2488"/>
  <c r="FE965"/>
  <c r="FE2131"/>
  <c r="FE1232"/>
  <c r="FE1787"/>
  <c r="FE1947"/>
  <c r="FE1848"/>
  <c r="FE1061"/>
  <c r="FE787"/>
  <c r="FE702"/>
  <c r="FE1464"/>
  <c r="FE855"/>
  <c r="FE1712"/>
  <c r="FE2408"/>
  <c r="FE1365"/>
  <c r="FE1604"/>
  <c r="FE1687"/>
  <c r="FE1863"/>
  <c r="FE1096"/>
  <c r="FE154"/>
  <c r="FE121"/>
  <c r="FE159"/>
  <c r="FE405"/>
  <c r="FE327"/>
  <c r="FE812"/>
  <c r="FE2434"/>
  <c r="FE1576"/>
  <c r="FE1335"/>
  <c r="FE1597"/>
  <c r="FE1117"/>
  <c r="FE1450"/>
  <c r="FE2174"/>
  <c r="FE385"/>
  <c r="FE1257"/>
  <c r="FE1561"/>
  <c r="FE874"/>
  <c r="FE1752"/>
  <c r="FE2475"/>
  <c r="FE1663"/>
  <c r="FE2108"/>
  <c r="FE1254"/>
  <c r="FE1540"/>
  <c r="FE1575"/>
  <c r="FE878"/>
  <c r="FE1836"/>
  <c r="FE243"/>
  <c r="FE367"/>
  <c r="FE1764"/>
  <c r="FE2220"/>
  <c r="FE531"/>
  <c r="FE345"/>
  <c r="FE68"/>
  <c r="FE842"/>
  <c r="FE634"/>
  <c r="FE460"/>
  <c r="FE530"/>
  <c r="FE592"/>
  <c r="FE1478"/>
  <c r="FE2165"/>
  <c r="FE883"/>
  <c r="FE1682"/>
  <c r="FE1014"/>
  <c r="FE1399"/>
  <c r="FE305"/>
  <c r="FE2471"/>
  <c r="FE1441"/>
  <c r="FE101"/>
  <c r="FE586"/>
  <c r="FE641"/>
  <c r="FE1845"/>
  <c r="FE774"/>
  <c r="FE2244"/>
  <c r="FE1723"/>
  <c r="FE1507"/>
  <c r="FE1207"/>
  <c r="FE1821"/>
  <c r="FE1736"/>
  <c r="FE1819"/>
  <c r="FE1550"/>
  <c r="FE19"/>
  <c r="FE348"/>
  <c r="FE291"/>
  <c r="FE88"/>
  <c r="FE304"/>
  <c r="FE1625"/>
  <c r="FE343"/>
  <c r="FE817"/>
  <c r="FE2176"/>
  <c r="FE710"/>
  <c r="FE1110"/>
  <c r="FE676"/>
  <c r="FE534"/>
  <c r="FE1658"/>
  <c r="FE761"/>
  <c r="FE608"/>
  <c r="FE828"/>
  <c r="FE1685"/>
  <c r="FE1124"/>
  <c r="FE610"/>
  <c r="FE1738"/>
  <c r="FE357"/>
  <c r="FE234"/>
  <c r="FE1363"/>
  <c r="FE267"/>
  <c r="FE65"/>
  <c r="FE716"/>
  <c r="FE2083"/>
  <c r="FE2205"/>
  <c r="FE1582"/>
  <c r="FE629"/>
  <c r="FE194"/>
  <c r="FE263"/>
  <c r="FE1313"/>
  <c r="FE962"/>
  <c r="FE2218"/>
  <c r="FE1669"/>
  <c r="FE1827"/>
  <c r="FE2402"/>
  <c r="FE1816"/>
  <c r="FE1209"/>
  <c r="FE2230"/>
  <c r="FE2460"/>
  <c r="FE1135"/>
  <c r="FE1102"/>
  <c r="FE2066"/>
  <c r="FE1192"/>
  <c r="FE459"/>
  <c r="FE333"/>
  <c r="FE568"/>
  <c r="FE374"/>
  <c r="FE1426"/>
  <c r="FE1676"/>
  <c r="FE930"/>
  <c r="FE142"/>
  <c r="FE239"/>
  <c r="FE387"/>
  <c r="FE404"/>
  <c r="FE558"/>
  <c r="FE518"/>
  <c r="FE1801"/>
  <c r="FE468"/>
  <c r="FE1898"/>
  <c r="FE1655"/>
  <c r="FE730"/>
  <c r="FE906"/>
  <c r="FE1551"/>
  <c r="FE1013"/>
  <c r="FE671"/>
  <c r="FE1033"/>
  <c r="FE446"/>
  <c r="FE1844"/>
  <c r="FE2425"/>
  <c r="FE464"/>
  <c r="FE2417"/>
  <c r="FE632"/>
  <c r="FE1256"/>
  <c r="FE1529"/>
  <c r="FE1751"/>
  <c r="FE1341"/>
  <c r="FE2016"/>
  <c r="FE1511"/>
  <c r="FE2033"/>
  <c r="FE982"/>
  <c r="FE1883"/>
  <c r="FE2031"/>
  <c r="FE2299"/>
  <c r="FE2097"/>
  <c r="FE1897"/>
  <c r="FE2332"/>
  <c r="FE1854"/>
  <c r="FE2191"/>
  <c r="FE999"/>
  <c r="FE805"/>
  <c r="FE717"/>
  <c r="FE535"/>
  <c r="FE1224"/>
  <c r="FE784"/>
  <c r="FE544"/>
  <c r="FE1258"/>
  <c r="FE2202"/>
  <c r="FE900"/>
  <c r="FE1527"/>
  <c r="FE1623"/>
  <c r="FE1517"/>
  <c r="FE928"/>
  <c r="FE1457"/>
  <c r="FE1708"/>
  <c r="FE1333"/>
  <c r="FE50"/>
  <c r="FE694"/>
  <c r="FE1806"/>
  <c r="FE1003"/>
  <c r="FE2359"/>
  <c r="FE1766"/>
  <c r="FE1455"/>
  <c r="FE2102"/>
  <c r="FE2080"/>
  <c r="FE1467"/>
  <c r="FE2459"/>
  <c r="FE896"/>
  <c r="FE134"/>
  <c r="FE429"/>
  <c r="FE251"/>
  <c r="FE30"/>
  <c r="FE752"/>
  <c r="FE1613"/>
  <c r="FE630"/>
  <c r="FE1610"/>
  <c r="FE2215"/>
  <c r="FE933"/>
  <c r="FE509"/>
  <c r="FE1264"/>
  <c r="FE2265"/>
  <c r="FE1491"/>
  <c r="FE2029"/>
  <c r="FE1942"/>
  <c r="FE1586"/>
  <c r="FE2367"/>
  <c r="FE1406"/>
  <c r="FE2290"/>
  <c r="FE1394"/>
  <c r="FE2046"/>
  <c r="FE1483"/>
  <c r="FE1503"/>
  <c r="FE2283"/>
  <c r="FE1432"/>
  <c r="FE274"/>
  <c r="FE255"/>
  <c r="FE493"/>
  <c r="FE1449"/>
  <c r="FE1558"/>
  <c r="FE1075"/>
  <c r="FE417"/>
  <c r="FE1178"/>
  <c r="FE297"/>
  <c r="FE508"/>
  <c r="FE2476"/>
  <c r="FE2069"/>
  <c r="FE1861"/>
  <c r="FE1852"/>
  <c r="FE1186"/>
  <c r="FE2384"/>
  <c r="FE881"/>
  <c r="FE2494"/>
  <c r="FE2057"/>
  <c r="FE2183"/>
  <c r="FE2473"/>
  <c r="FE253"/>
  <c r="FE798"/>
  <c r="FE2407"/>
  <c r="FE524"/>
  <c r="FE1965"/>
  <c r="FE2286"/>
  <c r="FE1694"/>
  <c r="FE1320"/>
  <c r="FE1391"/>
  <c r="FE1149"/>
  <c r="FE2303"/>
  <c r="FE2462"/>
  <c r="FE937"/>
  <c r="FE157"/>
  <c r="FE213"/>
  <c r="FE280"/>
  <c r="FE36"/>
  <c r="FE727"/>
  <c r="FE763"/>
  <c r="FE1218"/>
  <c r="FE745"/>
  <c r="FE816"/>
  <c r="FE722"/>
  <c r="FE742"/>
  <c r="FE879"/>
  <c r="FE1439"/>
  <c r="FE571"/>
  <c r="FE541"/>
  <c r="FE2308"/>
  <c r="FE2212"/>
  <c r="FE1435"/>
  <c r="FE532"/>
  <c r="FE40"/>
  <c r="FE301"/>
  <c r="FE422"/>
  <c r="FE1083"/>
  <c r="FE1314"/>
  <c r="FD683"/>
  <c r="FD1593"/>
  <c r="FD15"/>
  <c r="FD1566"/>
  <c r="FD616"/>
  <c r="FD615"/>
  <c r="FD1623"/>
  <c r="FD1393"/>
  <c r="FD1094"/>
  <c r="FD2423"/>
  <c r="FD2367"/>
  <c r="FD72"/>
  <c r="FD1876"/>
  <c r="FD2171"/>
  <c r="FD406"/>
  <c r="FD453"/>
  <c r="FD713"/>
  <c r="FD2363"/>
  <c r="FD993"/>
  <c r="FD1523"/>
  <c r="FD2014"/>
  <c r="FD1944"/>
  <c r="FD1309"/>
  <c r="FD2304"/>
  <c r="FD1368"/>
  <c r="FD140"/>
  <c r="FD1428"/>
  <c r="FD202"/>
  <c r="FD2350"/>
  <c r="FD1073"/>
  <c r="FD2427"/>
  <c r="FD1279"/>
  <c r="FD1699"/>
  <c r="FD1134"/>
  <c r="FD115"/>
  <c r="FD976"/>
  <c r="FD2327"/>
  <c r="FD1922"/>
  <c r="FD1693"/>
  <c r="FD1397"/>
  <c r="FD73"/>
  <c r="FD813"/>
  <c r="FD902"/>
  <c r="FD1920"/>
  <c r="FD188"/>
  <c r="FD1609"/>
  <c r="FD863"/>
  <c r="FD1851"/>
  <c r="FD1679"/>
  <c r="FD528"/>
  <c r="FD54"/>
  <c r="FD952"/>
  <c r="FD934"/>
  <c r="FE221"/>
  <c r="FE410"/>
  <c r="FE978"/>
  <c r="FE732"/>
  <c r="FE1475"/>
  <c r="FE1317"/>
  <c r="FE1526"/>
  <c r="FE219"/>
  <c r="FE438"/>
  <c r="FE793"/>
  <c r="FE994"/>
  <c r="FE1984"/>
  <c r="FE1234"/>
  <c r="FE870"/>
  <c r="FE1085"/>
  <c r="FE183"/>
  <c r="FE249"/>
  <c r="FE482"/>
  <c r="FE1600"/>
  <c r="FE1690"/>
  <c r="FE1470"/>
  <c r="FE1196"/>
  <c r="FE1969"/>
  <c r="FE1429"/>
  <c r="FE198"/>
  <c r="FE240"/>
  <c r="FE1774"/>
  <c r="FE2087"/>
  <c r="FE804"/>
  <c r="FE1594"/>
  <c r="FE1716"/>
  <c r="FE1360"/>
  <c r="FE1016"/>
  <c r="FE1340"/>
  <c r="FE2078"/>
  <c r="FE1692"/>
  <c r="FE781"/>
  <c r="FE2333"/>
  <c r="FE2433"/>
  <c r="FE939"/>
  <c r="FE238"/>
  <c r="FE434"/>
  <c r="FE1799"/>
  <c r="FE2436"/>
  <c r="FE841"/>
  <c r="FE99"/>
  <c r="FE170"/>
  <c r="FE492"/>
  <c r="FE926"/>
  <c r="FE2458"/>
  <c r="FE1034"/>
  <c r="FE2011"/>
  <c r="FE2337"/>
  <c r="FE1017"/>
  <c r="FE1006"/>
  <c r="FE1950"/>
  <c r="FE1869"/>
  <c r="FE1413"/>
  <c r="FE1303"/>
  <c r="FE342"/>
  <c r="FE758"/>
  <c r="FE715"/>
  <c r="FE356"/>
  <c r="FE791"/>
  <c r="FE2211"/>
  <c r="FE1924"/>
  <c r="FE901"/>
  <c r="FE853"/>
  <c r="FE820"/>
  <c r="FE1212"/>
  <c r="FE1916"/>
  <c r="FE2349"/>
  <c r="FE1366"/>
  <c r="FE2481"/>
  <c r="FE1118"/>
  <c r="FE2496"/>
  <c r="FE1645"/>
  <c r="FE2338"/>
  <c r="FE1122"/>
  <c r="FE1452"/>
  <c r="FE1132"/>
  <c r="FE1133"/>
  <c r="FE1642"/>
  <c r="FE1660"/>
  <c r="FE2478"/>
  <c r="FE1019"/>
  <c r="FE924"/>
  <c r="FE2287"/>
  <c r="FE83"/>
  <c r="FE317"/>
  <c r="FE173"/>
  <c r="FE406"/>
  <c r="FE176"/>
  <c r="FE1516"/>
  <c r="FE891"/>
  <c r="FE2107"/>
  <c r="FE1259"/>
  <c r="FE1841"/>
  <c r="FE2144"/>
  <c r="FE1364"/>
  <c r="FE1301"/>
  <c r="FE1678"/>
  <c r="FE1036"/>
  <c r="FE1187"/>
  <c r="FE1323"/>
  <c r="FE2073"/>
  <c r="FE1518"/>
  <c r="FE1789"/>
  <c r="FE1468"/>
  <c r="FE1605"/>
  <c r="FE864"/>
  <c r="FE932"/>
  <c r="FE1329"/>
  <c r="FE2421"/>
  <c r="FE226"/>
  <c r="FE228"/>
  <c r="FE1338"/>
  <c r="FE309"/>
  <c r="FE1201"/>
  <c r="FE151"/>
  <c r="FE377"/>
  <c r="FE28"/>
  <c r="FE1534"/>
  <c r="FE2052"/>
  <c r="FE328"/>
  <c r="FE2378"/>
  <c r="FE1002"/>
  <c r="FE1820"/>
  <c r="FE2491"/>
  <c r="FE1639"/>
  <c r="FE2405"/>
  <c r="FE1288"/>
  <c r="FE2343"/>
  <c r="FE138"/>
  <c r="FE956"/>
  <c r="FE12"/>
  <c r="FE164"/>
  <c r="FE625"/>
  <c r="FE341"/>
  <c r="FE1488"/>
  <c r="FE1933"/>
  <c r="FE2492"/>
  <c r="FE2214"/>
  <c r="FE1659"/>
  <c r="FE2146"/>
  <c r="FE1327"/>
  <c r="FE2277"/>
  <c r="FE1653"/>
  <c r="FE166"/>
  <c r="FE117"/>
  <c r="FE177"/>
  <c r="FE200"/>
  <c r="FE528"/>
  <c r="FE262"/>
  <c r="FE2279"/>
  <c r="FE1956"/>
  <c r="FE627"/>
  <c r="FE485"/>
  <c r="FE714"/>
  <c r="FE664"/>
  <c r="FE2328"/>
  <c r="FE2330"/>
  <c r="FE760"/>
  <c r="FE339"/>
  <c r="FE2143"/>
  <c r="FE1162"/>
  <c r="FE1182"/>
  <c r="FE996"/>
  <c r="FE2291"/>
  <c r="FE1997"/>
  <c r="FE2190"/>
  <c r="FE2182"/>
  <c r="FE39"/>
  <c r="FE411"/>
  <c r="FE310"/>
  <c r="FE657"/>
  <c r="FE2386"/>
  <c r="FE693"/>
  <c r="FE1296"/>
  <c r="FE2015"/>
  <c r="FE1815"/>
  <c r="FE562"/>
  <c r="FE1608"/>
  <c r="FE1724"/>
  <c r="FE713"/>
  <c r="FE1438"/>
  <c r="FE1145"/>
  <c r="FE1239"/>
  <c r="FE1634"/>
  <c r="FE2366"/>
  <c r="FE1140"/>
  <c r="FE1171"/>
  <c r="FE2310"/>
  <c r="FE2172"/>
  <c r="FE958"/>
  <c r="FE1877"/>
  <c r="FE293"/>
  <c r="FE862"/>
  <c r="FE1307"/>
  <c r="FE997"/>
  <c r="FE1246"/>
  <c r="FE1407"/>
  <c r="FE390"/>
  <c r="FE58"/>
  <c r="FE218"/>
  <c r="FE236"/>
  <c r="FE529"/>
  <c r="FE1476"/>
  <c r="FE103"/>
  <c r="FE161"/>
  <c r="FE2079"/>
  <c r="FE753"/>
  <c r="FE1210"/>
  <c r="FE593"/>
  <c r="FE830"/>
  <c r="FE2276"/>
  <c r="FE246"/>
  <c r="FE588"/>
  <c r="FE826"/>
  <c r="FE1461"/>
  <c r="FE2077"/>
  <c r="FE1373"/>
  <c r="FE2090"/>
  <c r="FE845"/>
  <c r="FE90"/>
  <c r="FE1875"/>
  <c r="FE1743"/>
  <c r="FE1069"/>
  <c r="FE2170"/>
  <c r="FE2497"/>
  <c r="FE1993"/>
  <c r="FE2466"/>
  <c r="FE1559"/>
  <c r="FE1233"/>
  <c r="FE934"/>
  <c r="FE2233"/>
  <c r="FE1230"/>
  <c r="FE2432"/>
  <c r="FE1773"/>
  <c r="FE1547"/>
  <c r="FE2032"/>
  <c r="FE729"/>
  <c r="FE1647"/>
  <c r="FE553"/>
  <c r="FE567"/>
  <c r="FE512"/>
  <c r="FE792"/>
  <c r="FE2010"/>
  <c r="FE2486"/>
  <c r="FE2430"/>
  <c r="FE1573"/>
  <c r="FE1703"/>
  <c r="FE2300"/>
  <c r="FE2152"/>
  <c r="FE1020"/>
  <c r="FE1964"/>
  <c r="FE2341"/>
  <c r="FE306"/>
  <c r="FE2061"/>
  <c r="FE772"/>
  <c r="FE1765"/>
  <c r="FE2132"/>
  <c r="FE977"/>
  <c r="FE2382"/>
  <c r="FE902"/>
  <c r="FE2171"/>
  <c r="FE2479"/>
  <c r="FE1009"/>
  <c r="FE1001"/>
  <c r="FE375"/>
  <c r="FE334"/>
  <c r="FE288"/>
  <c r="FE140"/>
  <c r="FE589"/>
  <c r="FE1127"/>
  <c r="FE1941"/>
  <c r="FE2228"/>
  <c r="FE1279"/>
  <c r="FE1542"/>
  <c r="FE1120"/>
  <c r="FE1113"/>
  <c r="FE1811"/>
  <c r="FE1656"/>
  <c r="FE2455"/>
  <c r="FE1357"/>
  <c r="FE1000"/>
  <c r="FE915"/>
  <c r="FE1791"/>
  <c r="FE1166"/>
  <c r="FE2175"/>
  <c r="FE2153"/>
  <c r="FE1095"/>
  <c r="FE1864"/>
  <c r="FE884"/>
  <c r="FE2025"/>
  <c r="FE290"/>
  <c r="FE204"/>
  <c r="FE495"/>
  <c r="FE2116"/>
  <c r="FE254"/>
  <c r="FE363"/>
  <c r="FE113"/>
  <c r="FE819"/>
  <c r="FE648"/>
  <c r="FE480"/>
  <c r="FE642"/>
  <c r="FE2074"/>
  <c r="FE1546"/>
  <c r="FE2261"/>
  <c r="FE2239"/>
  <c r="FE2234"/>
  <c r="FE1896"/>
  <c r="FE824"/>
  <c r="FE98"/>
  <c r="FE987"/>
  <c r="FE1183"/>
  <c r="FE209"/>
  <c r="FE1293"/>
  <c r="FE1622"/>
  <c r="FE633"/>
  <c r="FE737"/>
  <c r="FE452"/>
  <c r="FE1370"/>
  <c r="FE1101"/>
  <c r="FE2133"/>
  <c r="FE2137"/>
  <c r="FE899"/>
  <c r="FE1580"/>
  <c r="FE1032"/>
  <c r="FE79"/>
  <c r="FE147"/>
  <c r="FE38"/>
  <c r="FE208"/>
  <c r="FE584"/>
  <c r="FE898"/>
  <c r="FE490"/>
  <c r="FE546"/>
  <c r="FE1834"/>
  <c r="FE1921"/>
  <c r="FE673"/>
  <c r="FE1202"/>
  <c r="FE514"/>
  <c r="FE1536"/>
  <c r="FE499"/>
  <c r="FE1021"/>
  <c r="FE637"/>
  <c r="FE2089"/>
  <c r="FE1944"/>
  <c r="FE1681"/>
  <c r="FE2028"/>
  <c r="FE1290"/>
  <c r="FE2362"/>
  <c r="FE1758"/>
  <c r="FD1786"/>
  <c r="FD1473"/>
  <c r="FD767"/>
  <c r="FD2205"/>
  <c r="FD1516"/>
  <c r="FD1209"/>
  <c r="FD2420"/>
  <c r="FD1355"/>
  <c r="FD1638"/>
  <c r="FD436"/>
  <c r="FD1946"/>
  <c r="FD624"/>
  <c r="FD318"/>
  <c r="FD2096"/>
  <c r="FD198"/>
  <c r="FD729"/>
  <c r="FD1236"/>
  <c r="FD1812"/>
  <c r="FD395"/>
  <c r="FD2125"/>
  <c r="FD2255"/>
  <c r="FD2235"/>
  <c r="FD2075"/>
  <c r="FD2294"/>
  <c r="FD1460"/>
  <c r="FD606"/>
  <c r="FE474"/>
  <c r="FE233"/>
  <c r="FE2055"/>
  <c r="FE1652"/>
  <c r="FE489"/>
  <c r="FE203"/>
  <c r="FE723"/>
  <c r="FE457"/>
  <c r="FE1053"/>
  <c r="FE743"/>
  <c r="FE1280"/>
  <c r="FE2377"/>
  <c r="FE1172"/>
  <c r="FE143"/>
  <c r="FE1434"/>
  <c r="FE1509"/>
  <c r="FE397"/>
  <c r="FE1715"/>
  <c r="FE2017"/>
  <c r="FE728"/>
  <c r="FE1890"/>
  <c r="FE311"/>
  <c r="FE1802"/>
  <c r="FE1371"/>
  <c r="FE1223"/>
  <c r="FE1901"/>
  <c r="FE708"/>
  <c r="FE913"/>
  <c r="FE1976"/>
  <c r="FE1958"/>
  <c r="FE1719"/>
  <c r="FE1744"/>
  <c r="FE1099"/>
  <c r="FE466"/>
  <c r="FE587"/>
  <c r="FE1059"/>
  <c r="FE2369"/>
  <c r="FE1620"/>
  <c r="FE2385"/>
  <c r="FE2380"/>
  <c r="FE2424"/>
  <c r="FE1746"/>
  <c r="FE1640"/>
  <c r="FE1348"/>
  <c r="FE1485"/>
  <c r="FE415"/>
  <c r="FE136"/>
  <c r="FE193"/>
  <c r="FE500"/>
  <c r="FE206"/>
  <c r="FE2111"/>
  <c r="FE1150"/>
  <c r="FE1985"/>
  <c r="FE2227"/>
  <c r="FE2204"/>
  <c r="FE2470"/>
  <c r="FE2120"/>
  <c r="FE1167"/>
  <c r="FE427"/>
  <c r="FE797"/>
  <c r="FE2045"/>
  <c r="FE398"/>
  <c r="FE1169"/>
  <c r="FE1177"/>
  <c r="FE1607"/>
  <c r="FE912"/>
  <c r="FE1396"/>
  <c r="FE894"/>
  <c r="FE991"/>
  <c r="FE97"/>
  <c r="FE1482"/>
  <c r="FE394"/>
  <c r="FE2495"/>
  <c r="FE1553"/>
  <c r="FE1138"/>
  <c r="FE259"/>
  <c r="FE217"/>
  <c r="FE340"/>
  <c r="FE1796"/>
  <c r="FE483"/>
  <c r="FE1939"/>
  <c r="FE659"/>
  <c r="FE1893"/>
  <c r="FE1086"/>
  <c r="FE771"/>
  <c r="FE1912"/>
  <c r="FE2185"/>
  <c r="FE365"/>
  <c r="FE695"/>
  <c r="FE331"/>
  <c r="FE1050"/>
  <c r="FE537"/>
  <c r="FE1098"/>
  <c r="FE2298"/>
  <c r="FE1963"/>
  <c r="FE918"/>
  <c r="FE1878"/>
  <c r="FE2223"/>
  <c r="FE954"/>
  <c r="FE672"/>
  <c r="FE2050"/>
  <c r="FE2009"/>
  <c r="FE381"/>
  <c r="FE441"/>
  <c r="FE256"/>
  <c r="FE2429"/>
  <c r="FE1154"/>
  <c r="FE212"/>
  <c r="FE2100"/>
  <c r="FE63"/>
  <c r="FE776"/>
  <c r="FE1286"/>
  <c r="FE1734"/>
  <c r="FE2321"/>
  <c r="FE2267"/>
  <c r="FE1979"/>
  <c r="FE941"/>
  <c r="FE907"/>
  <c r="FE1440"/>
  <c r="FE2197"/>
  <c r="FE1049"/>
  <c r="FE658"/>
  <c r="FE652"/>
  <c r="FE1107"/>
  <c r="FE854"/>
  <c r="FE1481"/>
  <c r="FE908"/>
  <c r="FE1959"/>
  <c r="FE1165"/>
  <c r="FE858"/>
  <c r="FE1968"/>
  <c r="FE2134"/>
  <c r="FE1492"/>
  <c r="FE1778"/>
  <c r="FE1873"/>
  <c r="FE199"/>
  <c r="FE431"/>
  <c r="FE682"/>
  <c r="FE1418"/>
  <c r="FE2444"/>
  <c r="FE1905"/>
  <c r="FE1217"/>
  <c r="FE2450"/>
  <c r="FE911"/>
  <c r="FE2344"/>
  <c r="FE1747"/>
  <c r="FE1460"/>
  <c r="FE1161"/>
  <c r="FE247"/>
  <c r="FE959"/>
  <c r="FE840"/>
  <c r="FE32"/>
  <c r="FE2026"/>
  <c r="FE647"/>
  <c r="FE2446"/>
  <c r="FE1325"/>
  <c r="FE2088"/>
  <c r="FE764"/>
  <c r="FE458"/>
  <c r="FE1281"/>
  <c r="FE800"/>
  <c r="FE2419"/>
  <c r="FE2353"/>
  <c r="FE1028"/>
  <c r="FE1204"/>
  <c r="FE107"/>
  <c r="FE71"/>
  <c r="FE767"/>
  <c r="FE1352"/>
  <c r="FE561"/>
  <c r="FE2217"/>
  <c r="FE488"/>
  <c r="FE175"/>
  <c r="FE2474"/>
  <c r="FE1858"/>
  <c r="FE1973"/>
  <c r="FE2177"/>
  <c r="FE1853"/>
  <c r="FE2022"/>
  <c r="FE2047"/>
  <c r="FE2034"/>
  <c r="FE1592"/>
  <c r="FE1029"/>
  <c r="FE1555"/>
  <c r="FE2238"/>
  <c r="FE1617"/>
  <c r="FE1214"/>
  <c r="FE1089"/>
  <c r="FE1775"/>
  <c r="FE1980"/>
  <c r="FE1423"/>
  <c r="FE983"/>
  <c r="FE352"/>
  <c r="FE779"/>
  <c r="FE677"/>
  <c r="FE432"/>
  <c r="FE2200"/>
  <c r="FE1846"/>
  <c r="FE946"/>
  <c r="FE1818"/>
  <c r="FE1319"/>
  <c r="FE2189"/>
  <c r="FD2199"/>
  <c r="FD2111"/>
  <c r="FD2090"/>
  <c r="FD2288"/>
  <c r="FD29"/>
  <c r="FD1867"/>
  <c r="FD136"/>
  <c r="FD1592"/>
  <c r="FD1963"/>
  <c r="FD1049"/>
  <c r="FD846"/>
  <c r="FD1568"/>
  <c r="FD1549"/>
  <c r="FD311"/>
  <c r="FD331"/>
  <c r="FD1937"/>
  <c r="FD962"/>
  <c r="FD183"/>
  <c r="FD1595"/>
  <c r="FD2137"/>
  <c r="FD662"/>
  <c r="FD1684"/>
  <c r="FD865"/>
  <c r="FD2064"/>
  <c r="FD1756"/>
  <c r="FD420"/>
  <c r="FE834"/>
  <c r="FE1837"/>
  <c r="FE2271"/>
  <c r="FE1011"/>
  <c r="FE61"/>
  <c r="FE1219"/>
  <c r="FE1795"/>
  <c r="FE2342"/>
  <c r="FE1222"/>
  <c r="FE2464"/>
  <c r="FE2038"/>
  <c r="FE186"/>
  <c r="FE160"/>
  <c r="FE751"/>
  <c r="FE953"/>
  <c r="FE266"/>
  <c r="FE877"/>
  <c r="FE2035"/>
  <c r="FE690"/>
  <c r="FE2164"/>
  <c r="FE139"/>
  <c r="FE2178"/>
  <c r="FE990"/>
  <c r="FE585"/>
  <c r="FE1041"/>
  <c r="FE2106"/>
  <c r="FE2375"/>
  <c r="FE988"/>
  <c r="FE872"/>
  <c r="FE749"/>
  <c r="FE1945"/>
  <c r="FE949"/>
  <c r="FE294"/>
  <c r="FE650"/>
  <c r="FE2389"/>
  <c r="FE1588"/>
  <c r="FE951"/>
  <c r="FE102"/>
  <c r="FE1022"/>
  <c r="FE1581"/>
  <c r="FE1998"/>
  <c r="FE2255"/>
  <c r="FE2393"/>
  <c r="FE314"/>
  <c r="FE318"/>
  <c r="FE572"/>
  <c r="FE885"/>
  <c r="FE950"/>
  <c r="FE1822"/>
  <c r="FE1650"/>
  <c r="FE1940"/>
  <c r="FE2063"/>
  <c r="FE1091"/>
  <c r="FE1568"/>
  <c r="FE1967"/>
  <c r="FE2094"/>
  <c r="FE383"/>
  <c r="FE661"/>
  <c r="FE2400"/>
  <c r="FE46"/>
  <c r="FE1644"/>
  <c r="FE332"/>
  <c r="FE1999"/>
  <c r="FE2284"/>
  <c r="FE2449"/>
  <c r="FE2226"/>
  <c r="FE961"/>
  <c r="FE827"/>
  <c r="FE2084"/>
  <c r="FE1159"/>
  <c r="FE1368"/>
  <c r="FE2064"/>
  <c r="FE1769"/>
  <c r="FE257"/>
  <c r="FE403"/>
  <c r="FE803"/>
  <c r="FE517"/>
  <c r="FE1602"/>
  <c r="FE734"/>
  <c r="FE701"/>
  <c r="FE1109"/>
  <c r="FE2356"/>
  <c r="FE48"/>
  <c r="FE2309"/>
  <c r="FE1754"/>
  <c r="FE192"/>
  <c r="FE549"/>
  <c r="FE502"/>
  <c r="FE1571"/>
  <c r="FE574"/>
  <c r="FE2292"/>
  <c r="FE1332"/>
  <c r="FE2051"/>
  <c r="FE1395"/>
  <c r="FE1105"/>
  <c r="FE1420"/>
  <c r="FE2275"/>
  <c r="FE2154"/>
  <c r="FE1611"/>
  <c r="FE497"/>
  <c r="FE76"/>
  <c r="FE57"/>
  <c r="FE423"/>
  <c r="FE2036"/>
  <c r="FE1981"/>
  <c r="FE1181"/>
  <c r="FE669"/>
  <c r="FE645"/>
  <c r="FE2416"/>
  <c r="FE2148"/>
  <c r="FE1344"/>
  <c r="FE1569"/>
  <c r="FE1126"/>
  <c r="FE1377"/>
  <c r="FE1713"/>
  <c r="FE1829"/>
  <c r="FE1148"/>
  <c r="FE2019"/>
  <c r="FE1632"/>
  <c r="FE430"/>
  <c r="FE526"/>
  <c r="FE501"/>
  <c r="FE1609"/>
  <c r="FE1554"/>
  <c r="FE1235"/>
  <c r="FE1572"/>
  <c r="FE1855"/>
  <c r="FE711"/>
  <c r="FE2372"/>
  <c r="FE2071"/>
  <c r="FE2440"/>
  <c r="FE2018"/>
  <c r="FE1031"/>
  <c r="FE1179"/>
  <c r="FE205"/>
  <c r="FE639"/>
  <c r="FE1902"/>
  <c r="FE265"/>
  <c r="FE2465"/>
  <c r="FE1100"/>
  <c r="FE736"/>
  <c r="FE1894"/>
  <c r="FE1504"/>
  <c r="FE1927"/>
  <c r="FE1521"/>
  <c r="FE2374"/>
  <c r="FE875"/>
  <c r="FE295"/>
  <c r="FE1199"/>
  <c r="FE25"/>
  <c r="FE1954"/>
  <c r="FE618"/>
  <c r="FE224"/>
  <c r="FE976"/>
  <c r="FE880"/>
  <c r="FE1081"/>
  <c r="FE1776"/>
  <c r="FE551"/>
  <c r="FE643"/>
  <c r="FE2067"/>
  <c r="FE2056"/>
  <c r="FE1593"/>
  <c r="FE1356"/>
  <c r="FE230"/>
  <c r="FE133"/>
  <c r="FE399"/>
  <c r="FE229"/>
  <c r="FE726"/>
  <c r="FE1318"/>
  <c r="FE807"/>
  <c r="FE1343"/>
  <c r="FE2269"/>
  <c r="FE1010"/>
  <c r="FE2296"/>
  <c r="FE848"/>
  <c r="FE11"/>
  <c r="FE2040"/>
  <c r="FE1174"/>
  <c r="FE2224"/>
  <c r="FE1661"/>
  <c r="FE973"/>
  <c r="FE1991"/>
  <c r="FE2390"/>
  <c r="FE1726"/>
  <c r="FE2142"/>
  <c r="FE1379"/>
  <c r="FE2115"/>
  <c r="FE1693"/>
  <c r="FE1532"/>
  <c r="FE1024"/>
  <c r="FE998"/>
  <c r="FE325"/>
  <c r="FE237"/>
  <c r="FE241"/>
  <c r="FE412"/>
  <c r="FE1237"/>
  <c r="FE2463"/>
  <c r="FE1304"/>
  <c r="FE1720"/>
  <c r="FE1952"/>
  <c r="FE844"/>
  <c r="FE2352"/>
  <c r="FE1601"/>
  <c r="FE2173"/>
  <c r="FE543"/>
  <c r="FE1961"/>
  <c r="FE2257"/>
  <c r="FE1414"/>
  <c r="FE277"/>
  <c r="FE64"/>
  <c r="FE838"/>
  <c r="FE655"/>
  <c r="FE712"/>
  <c r="FE527"/>
  <c r="FE617"/>
  <c r="FE628"/>
  <c r="FE1871"/>
  <c r="FE1250"/>
  <c r="FE2138"/>
  <c r="FE2112"/>
  <c r="FE1060"/>
  <c r="FE1934"/>
  <c r="FE1043"/>
  <c r="FE1707"/>
  <c r="FE1960"/>
  <c r="FE1283"/>
  <c r="FE904"/>
  <c r="FE995"/>
  <c r="FE1705"/>
  <c r="FE1160"/>
  <c r="FE279"/>
  <c r="FE433"/>
  <c r="FE778"/>
  <c r="FE56"/>
  <c r="FE721"/>
  <c r="FE1745"/>
  <c r="FE1087"/>
  <c r="FE1039"/>
  <c r="FE2445"/>
  <c r="FE1497"/>
  <c r="FE1164"/>
  <c r="FE1748"/>
  <c r="FE2008"/>
  <c r="FE867"/>
  <c r="FE1106"/>
  <c r="FD1043"/>
  <c r="FD2441"/>
  <c r="FD695"/>
  <c r="FD1865"/>
  <c r="FD1968"/>
  <c r="FD1408"/>
  <c r="FD2160"/>
  <c r="FD2017"/>
  <c r="FD894"/>
  <c r="FD1900"/>
  <c r="FD862"/>
  <c r="FD793"/>
  <c r="FD517"/>
  <c r="FE1190"/>
  <c r="FE2119"/>
  <c r="FE923"/>
  <c r="FE445"/>
  <c r="FE298"/>
  <c r="FE1722"/>
  <c r="FE1989"/>
  <c r="FE1515"/>
  <c r="FE1579"/>
  <c r="FE1477"/>
  <c r="FE29"/>
  <c r="FE832"/>
  <c r="FE1626"/>
  <c r="FE1282"/>
  <c r="FE1097"/>
  <c r="FE1463"/>
  <c r="FE180"/>
  <c r="FE1919"/>
  <c r="FE2357"/>
  <c r="FE1044"/>
  <c r="FE1299"/>
  <c r="FE1425"/>
  <c r="FE336"/>
  <c r="FE2317"/>
  <c r="FE859"/>
  <c r="FE2457"/>
  <c r="FE984"/>
  <c r="FE1448"/>
  <c r="FE69"/>
  <c r="FE1054"/>
  <c r="FE1962"/>
  <c r="FE1596"/>
  <c r="FE2441"/>
  <c r="FE278"/>
  <c r="FE707"/>
  <c r="FE1910"/>
  <c r="FE222"/>
  <c r="FE376"/>
  <c r="FE2397"/>
  <c r="FE1696"/>
  <c r="FE579"/>
  <c r="FE1336"/>
  <c r="FE162"/>
  <c r="FE1930"/>
  <c r="FE424"/>
  <c r="FE1699"/>
  <c r="FE2406"/>
  <c r="FE2043"/>
  <c r="FE1785"/>
  <c r="FE1955"/>
  <c r="FE372"/>
  <c r="FE663"/>
  <c r="FE1584"/>
  <c r="FE1278"/>
  <c r="FE380"/>
  <c r="FE2157"/>
  <c r="FE1255"/>
  <c r="FE936"/>
  <c r="FE1155"/>
  <c r="FE660"/>
  <c r="FE152"/>
  <c r="FE2388"/>
  <c r="FE1771"/>
  <c r="FE1018"/>
  <c r="FE2187"/>
  <c r="FE1123"/>
  <c r="FE189"/>
  <c r="FE709"/>
  <c r="FE801"/>
  <c r="FE1277"/>
  <c r="FE2412"/>
  <c r="FE1040"/>
  <c r="FE2354"/>
  <c r="FE516"/>
  <c r="FE408"/>
  <c r="FE606"/>
  <c r="FE1080"/>
  <c r="FE609"/>
  <c r="FE169"/>
  <c r="FE1668"/>
  <c r="FE1522"/>
  <c r="FE296"/>
  <c r="FE564"/>
  <c r="FE1808"/>
  <c r="FE1564"/>
  <c r="FE2404"/>
  <c r="FE1144"/>
  <c r="FE1008"/>
  <c r="FE1339"/>
  <c r="FE1513"/>
  <c r="FE1285"/>
  <c r="FE1995"/>
  <c r="FE2162"/>
  <c r="FE1268"/>
  <c r="FE116"/>
  <c r="FE384"/>
  <c r="FE613"/>
  <c r="FE1662"/>
  <c r="FE756"/>
  <c r="FE1424"/>
  <c r="FE2021"/>
  <c r="FE1473"/>
  <c r="FE2322"/>
  <c r="FE1936"/>
  <c r="FE1749"/>
  <c r="FE85"/>
  <c r="FE754"/>
  <c r="FE607"/>
  <c r="FE453"/>
  <c r="FE520"/>
  <c r="FE1472"/>
  <c r="FE917"/>
  <c r="FE2247"/>
  <c r="FE1401"/>
  <c r="FE1512"/>
  <c r="FE1614"/>
  <c r="FE1803"/>
  <c r="FE2294"/>
  <c r="FE74"/>
  <c r="FE1129"/>
  <c r="FE974"/>
  <c r="FE155"/>
  <c r="FE115"/>
  <c r="FE2048"/>
  <c r="FE1408"/>
  <c r="FE785"/>
  <c r="FE303"/>
  <c r="FE2195"/>
  <c r="FE1315"/>
  <c r="FE1443"/>
  <c r="FE1393"/>
  <c r="FE1263"/>
  <c r="FE1180"/>
  <c r="FE868"/>
  <c r="FE2281"/>
  <c r="FE538"/>
  <c r="FE42"/>
  <c r="FE746"/>
  <c r="FE80"/>
  <c r="FE515"/>
  <c r="FE2188"/>
  <c r="FE1359"/>
  <c r="FE986"/>
  <c r="FE1242"/>
  <c r="FE184"/>
  <c r="FE1387"/>
  <c r="FE2151"/>
  <c r="FE1409"/>
  <c r="FE1294"/>
  <c r="FE1982"/>
  <c r="FE2070"/>
  <c r="FE1763"/>
  <c r="FE945"/>
  <c r="FE1243"/>
  <c r="FE362"/>
  <c r="FE1688"/>
  <c r="FE344"/>
  <c r="FE697"/>
  <c r="FE1275"/>
  <c r="FE1670"/>
  <c r="FE1807"/>
  <c r="FE957"/>
  <c r="FE2126"/>
  <c r="FE698"/>
  <c r="FE1147"/>
  <c r="FE1444"/>
  <c r="FE706"/>
  <c r="FE2125"/>
  <c r="FE2020"/>
  <c r="FE1974"/>
  <c r="FE1731"/>
  <c r="FE2426"/>
  <c r="FE1701"/>
  <c r="FE1978"/>
  <c r="FE2401"/>
  <c r="FE1092"/>
  <c r="FE1454"/>
  <c r="FE1948"/>
  <c r="FE1506"/>
  <c r="FE1860"/>
  <c r="FE967"/>
  <c r="FE282"/>
  <c r="FE750"/>
  <c r="FE1562"/>
  <c r="FE272"/>
  <c r="FE2301"/>
  <c r="FE1929"/>
  <c r="FE1056"/>
  <c r="FE185"/>
  <c r="FE77"/>
  <c r="FE662"/>
  <c r="FE614"/>
  <c r="FE591"/>
  <c r="FE2422"/>
  <c r="FE2130"/>
  <c r="FE210"/>
  <c r="FE75"/>
  <c r="FE2314"/>
  <c r="FE1479"/>
  <c r="FE469"/>
  <c r="FE1648"/>
  <c r="FE893"/>
  <c r="FE738"/>
  <c r="FE1922"/>
  <c r="FE2285"/>
  <c r="FE1531"/>
  <c r="FE1175"/>
  <c r="FE1184"/>
  <c r="FE1911"/>
  <c r="FE1695"/>
  <c r="FE1411"/>
  <c r="FE1835"/>
  <c r="FE443"/>
  <c r="FE467"/>
  <c r="FE202"/>
  <c r="FE768"/>
  <c r="FE773"/>
  <c r="FE2000"/>
  <c r="FE1920"/>
  <c r="FE1889"/>
  <c r="FE2243"/>
  <c r="FE2398"/>
  <c r="FE1637"/>
  <c r="FE2304"/>
  <c r="FE393"/>
  <c r="FE2180"/>
  <c r="FE814"/>
  <c r="FE1798"/>
  <c r="FE1496"/>
  <c r="FE1316"/>
  <c r="FE731"/>
  <c r="FE1946"/>
  <c r="FE109"/>
  <c r="FE2122"/>
  <c r="FE769"/>
  <c r="FE1988"/>
  <c r="FE1907"/>
  <c r="FE447"/>
  <c r="FE1759"/>
  <c r="FE20"/>
  <c r="FE1035"/>
  <c r="FE1244"/>
  <c r="FE1121"/>
  <c r="FE796"/>
  <c r="FE851"/>
  <c r="FE1152"/>
  <c r="FE1305"/>
  <c r="FE1548"/>
  <c r="FE952"/>
  <c r="FE182"/>
  <c r="FE2266"/>
  <c r="FE1345"/>
  <c r="FE905"/>
  <c r="FE2324"/>
  <c r="FE1577"/>
  <c r="FE2054"/>
  <c r="FE1007"/>
  <c r="FE13"/>
  <c r="FE1287"/>
  <c r="FE471"/>
  <c r="FE456"/>
  <c r="FE2319"/>
  <c r="FE1915"/>
  <c r="FE1528"/>
  <c r="FE281"/>
  <c r="FE1996"/>
  <c r="FE775"/>
  <c r="FE174"/>
  <c r="FE2355"/>
  <c r="FE1266"/>
  <c r="FE1633"/>
  <c r="FE105"/>
  <c r="FE1606"/>
  <c r="FE168"/>
  <c r="FE2477"/>
  <c r="FE21"/>
  <c r="FE2482"/>
  <c r="FE1153"/>
  <c r="FE1928"/>
  <c r="FE1880"/>
  <c r="FE96"/>
  <c r="FE935"/>
  <c r="FE892"/>
  <c r="FE1881"/>
  <c r="FE2113"/>
  <c r="FE993"/>
  <c r="FE2065"/>
  <c r="FE2274"/>
  <c r="FE1012"/>
  <c r="FE1730"/>
  <c r="FE2099"/>
  <c r="FE2240"/>
  <c r="FE689"/>
  <c r="FE494"/>
  <c r="FE547"/>
  <c r="FE27"/>
  <c r="FE2216"/>
  <c r="FE1570"/>
  <c r="FE289"/>
  <c r="FE1865"/>
  <c r="FE473"/>
  <c r="FE2236"/>
  <c r="FE465"/>
  <c r="FE2347"/>
  <c r="FE1616"/>
  <c r="FE2114"/>
  <c r="FE1872"/>
  <c r="FE150"/>
  <c r="FE914"/>
  <c r="FE1065"/>
  <c r="FE409"/>
  <c r="FE1130"/>
  <c r="FE419"/>
  <c r="FE1618"/>
  <c r="FE87"/>
  <c r="FE359"/>
  <c r="FE2268"/>
  <c r="FE1683"/>
  <c r="FE1431"/>
  <c r="FE269"/>
  <c r="FE680"/>
  <c r="FE223"/>
  <c r="FE1189"/>
  <c r="FD1432"/>
  <c r="FD1226"/>
  <c r="FD147"/>
  <c r="FD2290"/>
  <c r="FD1585"/>
  <c r="FD1298"/>
  <c r="FD489"/>
  <c r="FD904"/>
  <c r="FD1694"/>
  <c r="FD933"/>
  <c r="FD100"/>
  <c r="FE2327"/>
  <c r="FE1385"/>
  <c r="FE1727"/>
  <c r="FE435"/>
  <c r="FE2325"/>
  <c r="FE190"/>
  <c r="FE1651"/>
  <c r="FE837"/>
  <c r="FE1624"/>
  <c r="FE2329"/>
  <c r="FE158"/>
  <c r="FE1322"/>
  <c r="FE1369"/>
  <c r="FE1388"/>
  <c r="FE852"/>
  <c r="FE2219"/>
  <c r="FE2159"/>
  <c r="FE1825"/>
  <c r="FE1469"/>
  <c r="FE1103"/>
  <c r="FE665"/>
  <c r="FE942"/>
  <c r="FE2394"/>
  <c r="FE1146"/>
  <c r="FE2181"/>
  <c r="FE1904"/>
  <c r="FE882"/>
  <c r="FE611"/>
  <c r="FE2336"/>
  <c r="FE2091"/>
  <c r="FE1430"/>
  <c r="FE1977"/>
  <c r="FE1142"/>
  <c r="FE1667"/>
  <c r="FE350"/>
  <c r="FE979"/>
  <c r="FE95"/>
  <c r="FE1494"/>
  <c r="FE1680"/>
  <c r="FE2484"/>
  <c r="FE1247"/>
  <c r="FE1400"/>
  <c r="FE975"/>
  <c r="FE1833"/>
  <c r="FE1615"/>
  <c r="FE829"/>
  <c r="FE1082"/>
  <c r="FE2331"/>
  <c r="FE252"/>
  <c r="FE1417"/>
  <c r="FE1158"/>
  <c r="FE2039"/>
  <c r="FE2435"/>
  <c r="FE1361"/>
  <c r="FE1188"/>
  <c r="FE2387"/>
  <c r="FE985"/>
  <c r="FE1111"/>
  <c r="FE329"/>
  <c r="FE1706"/>
  <c r="FE964"/>
  <c r="FE971"/>
  <c r="FE1047"/>
  <c r="FE570"/>
  <c r="FE2448"/>
  <c r="FE1490"/>
  <c r="FE1679"/>
  <c r="FE1108"/>
  <c r="FE1828"/>
  <c r="FE582"/>
  <c r="FE2252"/>
  <c r="FE2311"/>
  <c r="FE1474"/>
  <c r="FE2427"/>
  <c r="FE1917"/>
  <c r="FE1376"/>
  <c r="FE757"/>
  <c r="FE1888"/>
  <c r="FE1245"/>
  <c r="FE675"/>
  <c r="FE481"/>
  <c r="FE1070"/>
  <c r="FE2371"/>
  <c r="FE2235"/>
  <c r="FE1197"/>
  <c r="FE2193"/>
  <c r="FE1740"/>
  <c r="FE2110"/>
  <c r="FE1739"/>
  <c r="FE122"/>
  <c r="FE172"/>
  <c r="FE1817"/>
  <c r="FE1262"/>
  <c r="FE825"/>
  <c r="FE1884"/>
  <c r="FE1672"/>
  <c r="FE1552"/>
  <c r="FE286"/>
  <c r="FE809"/>
  <c r="FE2340"/>
  <c r="FE1306"/>
  <c r="FE2348"/>
  <c r="FE1717"/>
  <c r="FE2307"/>
  <c r="FE2203"/>
  <c r="FE2447"/>
  <c r="FE1225"/>
  <c r="FE968"/>
  <c r="FE369"/>
  <c r="FE922"/>
  <c r="FE1436"/>
  <c r="FE2147"/>
  <c r="FE1191"/>
  <c r="FE886"/>
  <c r="FE1756"/>
  <c r="FE181"/>
  <c r="FE503"/>
  <c r="FE2140"/>
  <c r="FE863"/>
  <c r="FE2381"/>
  <c r="FE382"/>
  <c r="FE2262"/>
  <c r="FE1629"/>
  <c r="FE1866"/>
  <c r="FE1157"/>
  <c r="FD1218"/>
  <c r="FD19"/>
  <c r="FD1939"/>
  <c r="FD1769"/>
  <c r="FD2345"/>
  <c r="FD122"/>
  <c r="FD1745"/>
  <c r="FD565"/>
  <c r="FD425"/>
  <c r="FD49"/>
  <c r="FD1925"/>
  <c r="FD1853"/>
  <c r="FD175"/>
  <c r="FE1446"/>
  <c r="FE1300"/>
  <c r="FE1735"/>
  <c r="FE545"/>
  <c r="FE1128"/>
  <c r="FE1657"/>
  <c r="FE2060"/>
  <c r="FE201"/>
  <c r="FE1544"/>
  <c r="FE2295"/>
  <c r="FE2059"/>
  <c r="FE373"/>
  <c r="FE2437"/>
  <c r="FE1502"/>
  <c r="FE1566"/>
  <c r="FE1337"/>
  <c r="FE1451"/>
  <c r="FE1015"/>
  <c r="FE2095"/>
  <c r="FE539"/>
  <c r="FE1141"/>
  <c r="FE2049"/>
  <c r="FE1931"/>
  <c r="FE1804"/>
  <c r="FE1675"/>
  <c r="FE704"/>
  <c r="FE285"/>
  <c r="FE491"/>
  <c r="FE2128"/>
  <c r="FE839"/>
  <c r="FE1416"/>
  <c r="FE548"/>
  <c r="FE2085"/>
  <c r="FE386"/>
  <c r="FE472"/>
  <c r="FE2365"/>
  <c r="FE148"/>
  <c r="FE338"/>
  <c r="FE2109"/>
  <c r="FE635"/>
  <c r="FE144"/>
  <c r="FE1213"/>
  <c r="FE2213"/>
  <c r="FE2093"/>
  <c r="FE1732"/>
  <c r="FE1208"/>
  <c r="FE211"/>
  <c r="FE747"/>
  <c r="FE622"/>
  <c r="FE1691"/>
  <c r="FE1433"/>
  <c r="FE1537"/>
  <c r="FE2431"/>
  <c r="FE1302"/>
  <c r="FE1666"/>
  <c r="FE2313"/>
  <c r="FE735"/>
  <c r="FE2136"/>
  <c r="FE873"/>
  <c r="FE1741"/>
  <c r="FE969"/>
  <c r="FE1851"/>
  <c r="FE2258"/>
  <c r="FE346"/>
  <c r="FE448"/>
  <c r="FE590"/>
  <c r="FE2438"/>
  <c r="FE1453"/>
  <c r="FE1641"/>
  <c r="FE1489"/>
  <c r="FE89"/>
  <c r="FE462"/>
  <c r="FE696"/>
  <c r="FE1505"/>
  <c r="FE1220"/>
  <c r="FE1498"/>
  <c r="FE2237"/>
  <c r="FE1389"/>
  <c r="FE137"/>
  <c r="FE2392"/>
  <c r="FE52"/>
  <c r="FE616"/>
  <c r="FE1780"/>
  <c r="FE1908"/>
  <c r="FE1030"/>
  <c r="FE1508"/>
  <c r="FE2168"/>
  <c r="FE2315"/>
  <c r="FE2086"/>
  <c r="FE1557"/>
  <c r="FE1543"/>
  <c r="FE316"/>
  <c r="FE1714"/>
  <c r="FE2396"/>
  <c r="FE1380"/>
  <c r="FE389"/>
  <c r="FE391"/>
  <c r="FE823"/>
  <c r="FE1205"/>
  <c r="FE1342"/>
  <c r="FE2135"/>
  <c r="FE118"/>
  <c r="FE521"/>
  <c r="FE225"/>
  <c r="FE600"/>
  <c r="FE1023"/>
  <c r="FE626"/>
  <c r="FE1520"/>
  <c r="FE1587"/>
  <c r="FE1847"/>
  <c r="FE1849"/>
  <c r="FE2150"/>
  <c r="FE2306"/>
  <c r="FE1131"/>
  <c r="FE1899"/>
  <c r="FE2007"/>
  <c r="FE2101"/>
  <c r="FE1195"/>
  <c r="FE1628"/>
  <c r="FE195"/>
  <c r="FE1328"/>
  <c r="FE1887"/>
  <c r="FE1422"/>
  <c r="FE566"/>
  <c r="FE1310"/>
  <c r="FE450"/>
  <c r="FE940"/>
  <c r="FE1347"/>
  <c r="FE1231"/>
  <c r="FE2297"/>
  <c r="FE1198"/>
  <c r="FE575"/>
  <c r="FE980"/>
  <c r="FE156"/>
  <c r="FE407"/>
  <c r="FE416"/>
  <c r="FE2184"/>
  <c r="FE2201"/>
  <c r="FE1355"/>
  <c r="FE1665"/>
  <c r="FE2253"/>
  <c r="FE2072"/>
  <c r="FE552"/>
  <c r="FE799"/>
  <c r="FE73"/>
  <c r="FE929"/>
  <c r="FE2399"/>
  <c r="FE1228"/>
  <c r="FE1072"/>
  <c r="FE2225"/>
  <c r="FE308"/>
  <c r="FE981"/>
  <c r="FE1838"/>
  <c r="FE24"/>
  <c r="FE559"/>
  <c r="FE66"/>
  <c r="FE871"/>
  <c r="FE1298"/>
  <c r="FE2415"/>
  <c r="FE1465"/>
  <c r="FE744"/>
  <c r="FE843"/>
  <c r="FE1578"/>
  <c r="FE395"/>
  <c r="FE970"/>
  <c r="FE70"/>
  <c r="FE1038"/>
  <c r="FE1867"/>
  <c r="FE1689"/>
  <c r="FE2289"/>
  <c r="FE1840"/>
  <c r="FE2139"/>
  <c r="FE2472"/>
  <c r="FE1276"/>
  <c r="FE1721"/>
  <c r="FE1779"/>
  <c r="FE1349"/>
  <c r="FE2192"/>
  <c r="FE41"/>
  <c r="FE479"/>
  <c r="FE62"/>
  <c r="FE565"/>
  <c r="FE1090"/>
  <c r="FE1284"/>
  <c r="FE476"/>
  <c r="FE1514"/>
  <c r="FE603"/>
  <c r="FE576"/>
  <c r="FE106"/>
  <c r="FE1832"/>
  <c r="FE1076"/>
  <c r="FE1525"/>
  <c r="FE355"/>
  <c r="FE91"/>
  <c r="FE1589"/>
  <c r="FE560"/>
  <c r="FE2335"/>
  <c r="FE703"/>
  <c r="FE1421"/>
  <c r="FE1402"/>
  <c r="FE1777"/>
  <c r="FE2373"/>
  <c r="FE1830"/>
  <c r="FE1403"/>
  <c r="FE1990"/>
  <c r="FE1134"/>
  <c r="FE2368"/>
  <c r="FE2027"/>
  <c r="FE1918"/>
  <c r="FE337"/>
  <c r="FE679"/>
  <c r="FE1193"/>
  <c r="FE897"/>
  <c r="FE1992"/>
  <c r="FE1374"/>
  <c r="FE1767"/>
  <c r="FE1891"/>
  <c r="FE2242"/>
  <c r="FE1062"/>
  <c r="FE2129"/>
  <c r="FE1598"/>
  <c r="FE972"/>
  <c r="FE636"/>
  <c r="FE646"/>
  <c r="FE1486"/>
  <c r="FE2364"/>
  <c r="FE1484"/>
  <c r="FE602"/>
  <c r="FE1729"/>
  <c r="FE2163"/>
  <c r="FE795"/>
  <c r="FE615"/>
  <c r="FE347"/>
  <c r="FE1697"/>
  <c r="FE1026"/>
  <c r="FE1412"/>
  <c r="FD2354"/>
  <c r="FD2234"/>
  <c r="FD22"/>
  <c r="FD2451"/>
  <c r="FD2218"/>
  <c r="FD928"/>
  <c r="FD2487"/>
  <c r="FD2050"/>
  <c r="FD57"/>
  <c r="FD886"/>
  <c r="FD21"/>
  <c r="FD158"/>
  <c r="FD250"/>
  <c r="FD1102"/>
  <c r="FE1067"/>
  <c r="FE594"/>
  <c r="FE1272"/>
  <c r="FE2442"/>
  <c r="FE1309"/>
  <c r="FE691"/>
  <c r="FE1784"/>
  <c r="FE1932"/>
  <c r="FE605"/>
  <c r="FE420"/>
  <c r="FE2004"/>
  <c r="FE1269"/>
  <c r="FE739"/>
  <c r="FE1761"/>
  <c r="FE1415"/>
  <c r="FE1042"/>
  <c r="FE1895"/>
  <c r="FE649"/>
  <c r="FE686"/>
  <c r="FE1900"/>
  <c r="FE1462"/>
  <c r="FE2293"/>
  <c r="FE455"/>
  <c r="FE1823"/>
  <c r="FE44"/>
  <c r="FE1793"/>
  <c r="FE1882"/>
  <c r="FE2358"/>
  <c r="FE2096"/>
  <c r="FE2379"/>
  <c r="FE903"/>
  <c r="FE654"/>
  <c r="FE292"/>
  <c r="FE623"/>
  <c r="FE1906"/>
  <c r="FE699"/>
  <c r="FE653"/>
  <c r="FE1953"/>
  <c r="FE1382"/>
  <c r="FE2024"/>
  <c r="FE250"/>
  <c r="FE510"/>
  <c r="FE678"/>
  <c r="FE454"/>
  <c r="FE366"/>
  <c r="FE1211"/>
  <c r="FE554"/>
  <c r="FE705"/>
  <c r="FE1137"/>
  <c r="FE418"/>
  <c r="FE2409"/>
  <c r="FE131"/>
  <c r="FE846"/>
  <c r="FE53"/>
  <c r="FE1760"/>
  <c r="FE1567"/>
  <c r="FE1839"/>
  <c r="FE2158"/>
  <c r="FE2453"/>
  <c r="FE1404"/>
  <c r="FE2273"/>
  <c r="FE889"/>
  <c r="FE2210"/>
  <c r="FE120"/>
  <c r="FE1397"/>
  <c r="FE1725"/>
  <c r="FE1612"/>
  <c r="FE1800"/>
  <c r="FE1810"/>
  <c r="FE2155"/>
  <c r="FE92"/>
  <c r="FE597"/>
  <c r="FE1058"/>
  <c r="FE1139"/>
  <c r="FE1862"/>
  <c r="FE1533"/>
  <c r="FE149"/>
  <c r="FE486"/>
  <c r="FE612"/>
  <c r="FE1143"/>
  <c r="FE2199"/>
  <c r="FE1943"/>
  <c r="FE1274"/>
  <c r="FE2403"/>
  <c r="FE1248"/>
  <c r="FE414"/>
  <c r="FE542"/>
  <c r="FE550"/>
  <c r="FE733"/>
  <c r="FE1112"/>
  <c r="FE1560"/>
  <c r="FE1728"/>
  <c r="FE992"/>
  <c r="FE1874"/>
  <c r="FE2411"/>
  <c r="FE130"/>
  <c r="FE1885"/>
  <c r="FE232"/>
  <c r="FE581"/>
  <c r="FE668"/>
  <c r="FE47"/>
  <c r="FE569"/>
  <c r="FE268"/>
  <c r="FE264"/>
  <c r="FE1267"/>
  <c r="FE2149"/>
  <c r="FE2118"/>
  <c r="FE45"/>
  <c r="FE1814"/>
  <c r="FE523"/>
  <c r="FE2467"/>
  <c r="FE1005"/>
  <c r="FE1324"/>
  <c r="FE1046"/>
  <c r="FE1792"/>
  <c r="FE33"/>
  <c r="FE2263"/>
  <c r="FE84"/>
  <c r="FE2345"/>
  <c r="FE684"/>
  <c r="FE806"/>
  <c r="FE1590"/>
  <c r="FE599"/>
  <c r="FE835"/>
  <c r="FE2305"/>
  <c r="FE869"/>
  <c r="FE857"/>
  <c r="FE379"/>
  <c r="FE15"/>
  <c r="FE2451"/>
  <c r="FE1295"/>
  <c r="FE1048"/>
  <c r="FE1289"/>
  <c r="FE2489"/>
  <c r="FE1104"/>
  <c r="FE1585"/>
  <c r="FE146"/>
  <c r="FE396"/>
  <c r="FE580"/>
  <c r="FE2254"/>
  <c r="FE1383"/>
  <c r="FE307"/>
  <c r="FE909"/>
  <c r="FE360"/>
  <c r="FE1812"/>
  <c r="FE330"/>
  <c r="FE2006"/>
  <c r="FE1673"/>
  <c r="FE17"/>
  <c r="FE1419"/>
  <c r="FE444"/>
  <c r="FE724"/>
  <c r="FE1649"/>
  <c r="FE989"/>
  <c r="FE1051"/>
  <c r="FE2037"/>
  <c r="FE1591"/>
  <c r="FE1903"/>
  <c r="FE1983"/>
  <c r="FE1770"/>
  <c r="FE2264"/>
  <c r="FE18"/>
  <c r="FD1537"/>
  <c r="FD90"/>
  <c r="FD1062"/>
  <c r="FE354"/>
  <c r="FE931"/>
  <c r="FE270"/>
  <c r="FE818"/>
  <c r="FE2232"/>
  <c r="FE442"/>
  <c r="FE525"/>
  <c r="FE1265"/>
  <c r="FE2082"/>
  <c r="FE1384"/>
  <c r="FE741"/>
  <c r="FE2231"/>
  <c r="FE111"/>
  <c r="FE1583"/>
  <c r="FE1372"/>
  <c r="FE619"/>
  <c r="FE556"/>
  <c r="FE2395"/>
  <c r="FE681"/>
  <c r="FE2123"/>
  <c r="FE43"/>
  <c r="FE2012"/>
  <c r="FE815"/>
  <c r="FE37"/>
  <c r="FE583"/>
  <c r="FE1410"/>
  <c r="FE2208"/>
  <c r="FE31"/>
  <c r="FE319"/>
  <c r="FE461"/>
  <c r="FE463"/>
  <c r="FE1879"/>
  <c r="FE1937"/>
  <c r="FE72"/>
  <c r="FE2103"/>
  <c r="FE2194"/>
  <c r="FE2334"/>
  <c r="FE437"/>
  <c r="FE2068"/>
  <c r="FE2469"/>
  <c r="FE786"/>
  <c r="FE506"/>
  <c r="FE573"/>
  <c r="FE425"/>
  <c r="FE1057"/>
  <c r="FE104"/>
  <c r="FE392"/>
  <c r="FE720"/>
  <c r="FE22"/>
  <c r="FE1459"/>
  <c r="FE2361"/>
  <c r="FE2370"/>
  <c r="FE861"/>
  <c r="FE498"/>
  <c r="FE1709"/>
  <c r="FE119"/>
  <c r="FE1063"/>
  <c r="FE284"/>
  <c r="FE755"/>
  <c r="FE2098"/>
  <c r="FE2282"/>
  <c r="FE604"/>
  <c r="FE2256"/>
  <c r="FE1783"/>
  <c r="FE1856"/>
  <c r="FE685"/>
  <c r="FE719"/>
  <c r="FE577"/>
  <c r="FE1480"/>
  <c r="FE2196"/>
  <c r="FE1078"/>
  <c r="FE1292"/>
  <c r="FE361"/>
  <c r="FE35"/>
  <c r="FE802"/>
  <c r="FE1631"/>
  <c r="FE123"/>
  <c r="FE315"/>
  <c r="FE762"/>
  <c r="FE220"/>
  <c r="FE14"/>
  <c r="FE920"/>
  <c r="FE1951"/>
  <c r="FE2156"/>
  <c r="FE191"/>
  <c r="FE1704"/>
  <c r="FE1392"/>
  <c r="FE2014"/>
  <c r="FE1762"/>
  <c r="FE1966"/>
  <c r="FE1500"/>
  <c r="FE1216"/>
  <c r="FE1487"/>
  <c r="FE2376"/>
  <c r="FE1970"/>
  <c r="FE1788"/>
  <c r="FE1850"/>
  <c r="FE1037"/>
  <c r="FE2339"/>
  <c r="FE887"/>
  <c r="FE141"/>
  <c r="FE371"/>
  <c r="FE1876"/>
  <c r="FE1116"/>
  <c r="FE2003"/>
  <c r="FE2002"/>
  <c r="FE110"/>
  <c r="FE188"/>
  <c r="FE966"/>
  <c r="FE2350"/>
  <c r="FE2487"/>
  <c r="FE683"/>
  <c r="FE1702"/>
  <c r="FE1398"/>
  <c r="FE674"/>
  <c r="FE413"/>
  <c r="FE16"/>
  <c r="FE4"/>
  <c r="FE9"/>
  <c r="FE6"/>
  <c r="FE8"/>
  <c r="FE7"/>
  <c r="FE5"/>
  <c r="FE10"/>
  <c r="B25"/>
  <c r="B22"/>
  <c r="B71"/>
  <c r="B49"/>
  <c r="B74"/>
  <c r="B18"/>
  <c r="B37"/>
  <c r="B56"/>
  <c r="B52"/>
  <c r="B79"/>
  <c r="B28"/>
  <c r="B35"/>
  <c r="B44"/>
  <c r="B48"/>
  <c r="B69"/>
  <c r="B50"/>
  <c r="B24"/>
  <c r="B34"/>
  <c r="B39"/>
  <c r="B62"/>
  <c r="B66"/>
  <c r="B70"/>
  <c r="B68"/>
  <c r="B73"/>
  <c r="B5"/>
  <c r="B57"/>
  <c r="B43"/>
  <c r="B63"/>
  <c r="B10"/>
  <c r="B6"/>
  <c r="B20"/>
  <c r="B8"/>
  <c r="B45"/>
  <c r="B11"/>
  <c r="B59"/>
  <c r="B19"/>
  <c r="B36"/>
  <c r="B64"/>
  <c r="B81"/>
  <c r="B72"/>
  <c r="B17"/>
  <c r="B16"/>
  <c r="B29"/>
  <c r="B55"/>
  <c r="B84"/>
  <c r="B9"/>
  <c r="B31"/>
  <c r="B40"/>
  <c r="B82"/>
  <c r="B41"/>
  <c r="B12"/>
  <c r="B26"/>
  <c r="B80"/>
  <c r="B61"/>
  <c r="B60"/>
  <c r="B21"/>
  <c r="B32"/>
  <c r="B23"/>
  <c r="B15"/>
  <c r="B42"/>
  <c r="B78"/>
  <c r="B51"/>
  <c r="B30"/>
  <c r="B77"/>
  <c r="B7"/>
  <c r="B38"/>
  <c r="B65"/>
  <c r="B14"/>
  <c r="B33"/>
  <c r="B53"/>
  <c r="B75"/>
  <c r="B27"/>
  <c r="B54"/>
  <c r="B76"/>
  <c r="B58"/>
  <c r="B46"/>
  <c r="B47"/>
  <c r="B13"/>
  <c r="B83"/>
  <c r="B67"/>
  <c r="B4"/>
  <c r="FJ2961"/>
  <c r="FJ3422"/>
  <c r="FJ2911"/>
  <c r="FJ3367"/>
  <c r="FJ3410"/>
  <c r="FJ2987"/>
  <c r="FJ3429"/>
  <c r="FJ2927"/>
  <c r="FJ2597"/>
  <c r="FJ2665"/>
  <c r="FJ3134"/>
  <c r="FJ3074"/>
  <c r="FJ2658"/>
  <c r="FJ2941"/>
  <c r="FJ3060"/>
  <c r="FJ2505"/>
  <c r="FJ2626"/>
  <c r="FJ2736"/>
  <c r="FJ3299"/>
  <c r="FJ2915"/>
  <c r="FJ3111"/>
  <c r="FJ3470"/>
  <c r="FJ2585"/>
  <c r="FJ3073"/>
  <c r="FJ3004"/>
  <c r="FJ3417"/>
  <c r="FJ3172"/>
  <c r="FJ2659"/>
  <c r="FJ3014"/>
  <c r="FJ2739"/>
  <c r="FJ3421"/>
  <c r="FJ3194"/>
  <c r="FJ2538"/>
  <c r="FJ2647"/>
  <c r="FJ2779"/>
  <c r="FJ2688"/>
  <c r="FJ2574"/>
  <c r="FJ3317"/>
  <c r="FJ3357"/>
  <c r="FJ2669"/>
  <c r="FJ3335"/>
  <c r="FJ3174"/>
  <c r="FJ3067"/>
  <c r="FJ2948"/>
  <c r="FJ2872"/>
  <c r="FJ2636"/>
  <c r="FJ2546"/>
  <c r="FJ2503"/>
  <c r="FJ3445"/>
  <c r="FJ3084"/>
  <c r="FJ3003"/>
  <c r="FJ2603"/>
  <c r="FJ2566"/>
  <c r="FJ2719"/>
  <c r="FJ3225"/>
  <c r="FJ3105"/>
  <c r="FJ3350"/>
  <c r="FJ3302"/>
  <c r="FJ3076"/>
  <c r="FJ2628"/>
  <c r="FJ2934"/>
  <c r="FJ2611"/>
  <c r="FJ2963"/>
  <c r="FJ3327"/>
  <c r="FJ3300"/>
  <c r="FJ3148"/>
  <c r="FJ3180"/>
  <c r="FJ2612"/>
  <c r="FJ2895"/>
  <c r="FJ2847"/>
  <c r="FJ2950"/>
  <c r="FJ2598"/>
  <c r="FJ2900"/>
  <c r="FJ3132"/>
  <c r="FJ2889"/>
  <c r="FJ3015"/>
  <c r="FJ2528"/>
  <c r="FJ2678"/>
  <c r="FJ3159"/>
  <c r="FJ3245"/>
  <c r="FJ3265"/>
  <c r="FJ3281"/>
  <c r="FJ2625"/>
  <c r="FJ3345"/>
  <c r="FJ2860"/>
  <c r="FJ2633"/>
  <c r="FJ3248"/>
  <c r="FJ3229"/>
  <c r="FJ2667"/>
  <c r="FJ2549"/>
  <c r="FJ3363"/>
  <c r="FJ2839"/>
  <c r="FJ2565"/>
  <c r="FJ2989"/>
  <c r="FJ2826"/>
  <c r="FJ2544"/>
  <c r="FJ2541"/>
  <c r="FJ2610"/>
  <c r="FJ2945"/>
  <c r="FJ3383"/>
  <c r="FJ2643"/>
  <c r="FJ3286"/>
  <c r="FJ2905"/>
  <c r="FJ3395"/>
  <c r="FJ2727"/>
  <c r="FJ3264"/>
  <c r="FJ3156"/>
  <c r="FJ3385"/>
  <c r="FJ3263"/>
  <c r="FJ2747"/>
  <c r="FJ2717"/>
  <c r="FJ2786"/>
  <c r="FJ3344"/>
  <c r="FJ3101"/>
  <c r="FJ3339"/>
  <c r="FJ2814"/>
  <c r="FJ2755"/>
  <c r="FJ3258"/>
  <c r="FJ3430"/>
  <c r="FJ2619"/>
  <c r="FJ2614"/>
  <c r="FJ3360"/>
  <c r="FJ3222"/>
  <c r="FJ3464"/>
  <c r="FJ2923"/>
  <c r="FJ2716"/>
  <c r="FJ3228"/>
  <c r="FJ2788"/>
  <c r="FJ3146"/>
  <c r="FJ3473"/>
  <c r="FJ3033"/>
  <c r="FJ3251"/>
  <c r="FJ3090"/>
  <c r="FJ2799"/>
  <c r="FJ3182"/>
  <c r="FJ2729"/>
  <c r="FJ3218"/>
  <c r="FJ3031"/>
  <c r="FJ3448"/>
  <c r="FJ3313"/>
  <c r="FJ3306"/>
  <c r="FJ3387"/>
  <c r="FJ2737"/>
  <c r="FJ3414"/>
  <c r="FJ3234"/>
  <c r="FJ2681"/>
  <c r="FJ3443"/>
  <c r="FJ2698"/>
  <c r="FJ2686"/>
  <c r="FJ3153"/>
  <c r="FJ3391"/>
  <c r="FJ2904"/>
  <c r="FJ3175"/>
  <c r="FJ2974"/>
  <c r="FJ2899"/>
  <c r="FJ3102"/>
  <c r="FJ3319"/>
  <c r="FJ3372"/>
  <c r="FJ3223"/>
  <c r="FJ3292"/>
  <c r="FJ2910"/>
  <c r="FJ2797"/>
  <c r="FJ3351"/>
  <c r="FJ2865"/>
  <c r="FJ2606"/>
  <c r="FJ2928"/>
  <c r="FJ3233"/>
  <c r="FJ2859"/>
  <c r="FJ2644"/>
  <c r="FJ3408"/>
  <c r="FJ2863"/>
  <c r="FJ3370"/>
  <c r="FJ3280"/>
  <c r="FJ2682"/>
  <c r="FJ3039"/>
  <c r="FJ3465"/>
  <c r="FJ3236"/>
  <c r="FJ3183"/>
  <c r="FJ2993"/>
  <c r="FJ3011"/>
  <c r="FJ3467"/>
  <c r="FJ2851"/>
  <c r="FJ3381"/>
  <c r="FJ2805"/>
  <c r="FJ3176"/>
  <c r="FJ3070"/>
  <c r="FJ2680"/>
  <c r="FJ2906"/>
  <c r="FJ2594"/>
  <c r="FJ3081"/>
  <c r="FJ3108"/>
  <c r="FJ3098"/>
  <c r="FJ3049"/>
  <c r="FJ3399"/>
  <c r="FJ2751"/>
  <c r="FJ3405"/>
  <c r="FJ3162"/>
  <c r="FJ3093"/>
  <c r="FJ3296"/>
  <c r="FJ2600"/>
  <c r="FJ2511"/>
  <c r="FJ3131"/>
  <c r="FJ3083"/>
  <c r="FJ3471"/>
  <c r="FJ3415"/>
  <c r="FJ3450"/>
  <c r="FJ2561"/>
  <c r="FJ2812"/>
  <c r="FJ2967"/>
  <c r="FJ2986"/>
  <c r="FJ3374"/>
  <c r="FJ3201"/>
  <c r="FJ3184"/>
  <c r="FJ3256"/>
  <c r="FJ3209"/>
  <c r="FJ2554"/>
  <c r="FJ2830"/>
  <c r="FJ2592"/>
  <c r="FJ2657"/>
  <c r="FJ3202"/>
  <c r="FJ3458"/>
  <c r="FJ3170"/>
  <c r="FJ2825"/>
  <c r="FJ3136"/>
  <c r="FJ2817"/>
  <c r="FJ3165"/>
  <c r="FJ3161"/>
  <c r="FJ2888"/>
  <c r="FJ3047"/>
  <c r="FJ2831"/>
  <c r="FJ2710"/>
  <c r="FJ3000"/>
  <c r="FJ2748"/>
  <c r="FJ2829"/>
  <c r="FJ2514"/>
  <c r="FJ3027"/>
  <c r="FJ2609"/>
  <c r="FJ3435"/>
  <c r="FJ2527"/>
  <c r="FJ2673"/>
  <c r="FJ2587"/>
  <c r="FJ3104"/>
  <c r="FJ3244"/>
  <c r="FJ2897"/>
  <c r="FJ2708"/>
  <c r="FJ2607"/>
  <c r="FJ2645"/>
  <c r="FJ2917"/>
  <c r="FJ2937"/>
  <c r="FJ2726"/>
  <c r="FJ2855"/>
  <c r="FJ3099"/>
  <c r="FJ2848"/>
  <c r="FJ3100"/>
  <c r="FJ3036"/>
  <c r="FJ3149"/>
  <c r="FJ3239"/>
  <c r="FJ3086"/>
  <c r="FJ2887"/>
  <c r="FJ2836"/>
  <c r="FJ3331"/>
  <c r="FJ2811"/>
  <c r="FJ2551"/>
  <c r="FJ2953"/>
  <c r="FJ2846"/>
  <c r="FJ2964"/>
  <c r="FJ2589"/>
  <c r="FJ2795"/>
  <c r="FJ2965"/>
  <c r="FJ3197"/>
  <c r="FJ2590"/>
  <c r="FJ2604"/>
  <c r="FJ3009"/>
  <c r="FJ2560"/>
  <c r="FJ2621"/>
  <c r="FJ2918"/>
  <c r="FJ2517"/>
  <c r="FJ2602"/>
  <c r="FJ2759"/>
  <c r="FJ3109"/>
  <c r="FJ2813"/>
  <c r="FJ2995"/>
  <c r="FJ2926"/>
  <c r="FJ3301"/>
  <c r="FJ3407"/>
  <c r="FJ3441"/>
  <c r="FJ2501"/>
  <c r="FJ3087"/>
  <c r="FJ2951"/>
  <c r="FJ2509"/>
  <c r="FJ2921"/>
  <c r="FJ2568"/>
  <c r="FJ2876"/>
  <c r="FJ3125"/>
  <c r="FJ2732"/>
  <c r="FJ2701"/>
  <c r="FJ3328"/>
  <c r="FJ3141"/>
  <c r="FJ3427"/>
  <c r="FJ3406"/>
  <c r="FJ3212"/>
  <c r="FJ3206"/>
  <c r="FJ3240"/>
  <c r="FJ3278"/>
  <c r="FJ3157"/>
  <c r="FJ2869"/>
  <c r="FJ2728"/>
  <c r="FJ2671"/>
  <c r="FJ3143"/>
  <c r="FJ3089"/>
  <c r="FJ2984"/>
  <c r="FJ2749"/>
  <c r="FJ2652"/>
  <c r="FJ2753"/>
  <c r="FJ3393"/>
  <c r="FJ3237"/>
  <c r="FJ3200"/>
  <c r="FJ2530"/>
  <c r="FJ2990"/>
  <c r="FJ2615"/>
  <c r="FJ2663"/>
  <c r="FJ2866"/>
  <c r="FJ3275"/>
  <c r="FJ2731"/>
  <c r="FJ2976"/>
  <c r="FJ3279"/>
  <c r="FJ3096"/>
  <c r="FJ2564"/>
  <c r="FJ3293"/>
  <c r="FJ2944"/>
  <c r="FJ3117"/>
  <c r="FJ2980"/>
  <c r="FJ2856"/>
  <c r="FJ3025"/>
  <c r="FJ3065"/>
  <c r="FJ2777"/>
  <c r="FJ2711"/>
  <c r="FJ2591"/>
  <c r="FJ2693"/>
  <c r="FJ2766"/>
  <c r="FJ2924"/>
  <c r="FJ2882"/>
  <c r="FJ3257"/>
  <c r="FJ2668"/>
  <c r="FJ3088"/>
  <c r="FJ2690"/>
  <c r="FJ2714"/>
  <c r="FJ2942"/>
  <c r="FJ2642"/>
  <c r="FJ3369"/>
  <c r="FJ3217"/>
  <c r="FJ2697"/>
  <c r="FJ2780"/>
  <c r="FJ2960"/>
  <c r="FJ2892"/>
  <c r="FJ2940"/>
  <c r="FJ2787"/>
  <c r="FJ2857"/>
  <c r="FJ3246"/>
  <c r="FJ3064"/>
  <c r="FJ2720"/>
  <c r="FJ2792"/>
  <c r="FJ2878"/>
  <c r="FJ2913"/>
  <c r="FJ3057"/>
  <c r="FJ2580"/>
  <c r="FJ2997"/>
  <c r="FJ2756"/>
  <c r="FJ2824"/>
  <c r="FJ2858"/>
  <c r="FJ2844"/>
  <c r="FJ3062"/>
  <c r="FJ3468"/>
  <c r="FJ2822"/>
  <c r="FJ3230"/>
  <c r="FJ2935"/>
  <c r="FJ3356"/>
  <c r="FJ3472"/>
  <c r="FJ3029"/>
  <c r="FJ3193"/>
  <c r="FJ3419"/>
  <c r="FJ2572"/>
  <c r="FJ2849"/>
  <c r="FJ2883"/>
  <c r="FJ3114"/>
  <c r="FJ2983"/>
  <c r="FJ3082"/>
  <c r="FJ3215"/>
  <c r="FJ3191"/>
  <c r="FJ2676"/>
  <c r="FJ3376"/>
  <c r="FJ3034"/>
  <c r="FJ3425"/>
  <c r="FJ3413"/>
  <c r="FJ2912"/>
  <c r="FJ2685"/>
  <c r="FJ3382"/>
  <c r="FJ3384"/>
  <c r="FJ3052"/>
  <c r="FJ3187"/>
  <c r="FJ3457"/>
  <c r="FJ3380"/>
  <c r="FJ2936"/>
  <c r="FJ2862"/>
  <c r="FJ2881"/>
  <c r="FJ2613"/>
  <c r="FJ2618"/>
  <c r="FJ3123"/>
  <c r="FJ3438"/>
  <c r="FJ3462"/>
  <c r="FJ2500"/>
  <c r="FJ2838"/>
  <c r="FJ3398"/>
  <c r="FJ3128"/>
  <c r="FJ2536"/>
  <c r="FJ2796"/>
  <c r="FJ2730"/>
  <c r="FJ3272"/>
  <c r="FJ3242"/>
  <c r="FJ3353"/>
  <c r="FJ2723"/>
  <c r="FJ2909"/>
  <c r="FJ2874"/>
  <c r="FJ2971"/>
  <c r="FJ3041"/>
  <c r="FJ2757"/>
  <c r="FJ2750"/>
  <c r="FJ3032"/>
  <c r="FJ3269"/>
  <c r="FJ3303"/>
  <c r="FJ3365"/>
  <c r="FJ3091"/>
  <c r="FJ2722"/>
  <c r="FJ3449"/>
  <c r="FJ2537"/>
  <c r="FJ2810"/>
  <c r="FJ2712"/>
  <c r="FJ2821"/>
  <c r="FJ2947"/>
  <c r="FJ2695"/>
  <c r="FJ2803"/>
  <c r="FJ3404"/>
  <c r="FJ3216"/>
  <c r="FJ2871"/>
  <c r="FJ3420"/>
  <c r="FJ2903"/>
  <c r="FJ2809"/>
  <c r="FJ2608"/>
  <c r="FJ3337"/>
  <c r="FJ3262"/>
  <c r="FJ2512"/>
  <c r="FJ2828"/>
  <c r="FJ2577"/>
  <c r="FJ3287"/>
  <c r="FJ2601"/>
  <c r="FJ2535"/>
  <c r="FJ2575"/>
  <c r="FJ2800"/>
  <c r="FJ2760"/>
  <c r="FJ2521"/>
  <c r="FJ3326"/>
  <c r="FJ3135"/>
  <c r="FJ2519"/>
  <c r="FJ3019"/>
  <c r="FJ3080"/>
  <c r="FJ3451"/>
  <c r="FJ3291"/>
  <c r="FJ2522"/>
  <c r="FJ3267"/>
  <c r="FJ2791"/>
  <c r="FJ3358"/>
  <c r="FJ3097"/>
  <c r="FJ3219"/>
  <c r="FJ3024"/>
  <c r="FJ3271"/>
  <c r="FJ3005"/>
  <c r="FJ2593"/>
  <c r="FJ2773"/>
  <c r="FJ2578"/>
  <c r="FJ3362"/>
  <c r="FJ3063"/>
  <c r="FJ3402"/>
  <c r="FJ3243"/>
  <c r="FJ2901"/>
  <c r="FJ2548"/>
  <c r="FJ2653"/>
  <c r="FJ2702"/>
  <c r="FJ2938"/>
  <c r="FJ3266"/>
  <c r="FJ2629"/>
  <c r="FJ2632"/>
  <c r="FJ3022"/>
  <c r="FJ2545"/>
  <c r="FJ2996"/>
  <c r="FJ3095"/>
  <c r="FJ2776"/>
  <c r="FJ2768"/>
  <c r="FJ2605"/>
  <c r="FJ2531"/>
  <c r="FJ2703"/>
  <c r="FJ2691"/>
  <c r="FJ2778"/>
  <c r="FJ2785"/>
  <c r="FJ3030"/>
  <c r="FJ3428"/>
  <c r="FJ2709"/>
  <c r="FJ2746"/>
  <c r="FJ3250"/>
  <c r="FJ3045"/>
  <c r="FJ3018"/>
  <c r="FJ2789"/>
  <c r="FJ3444"/>
  <c r="FJ3423"/>
  <c r="FJ2696"/>
  <c r="FJ2943"/>
  <c r="FJ2724"/>
  <c r="FJ3122"/>
  <c r="FJ2547"/>
  <c r="FJ3329"/>
  <c r="FJ3411"/>
  <c r="FJ3140"/>
  <c r="FJ2774"/>
  <c r="FJ2870"/>
  <c r="FJ3110"/>
  <c r="FJ3168"/>
  <c r="FJ3318"/>
  <c r="FJ3112"/>
  <c r="FJ3113"/>
  <c r="FJ3298"/>
  <c r="FJ3439"/>
  <c r="FJ2908"/>
  <c r="FJ2627"/>
  <c r="FJ2932"/>
  <c r="FJ2827"/>
  <c r="FJ2966"/>
  <c r="FJ3375"/>
  <c r="FJ2956"/>
  <c r="FJ2991"/>
  <c r="FJ3459"/>
  <c r="FJ3078"/>
  <c r="FJ3352"/>
  <c r="FJ3164"/>
  <c r="FJ2973"/>
  <c r="FJ3294"/>
  <c r="FJ2526"/>
  <c r="FJ2510"/>
  <c r="FJ2867"/>
  <c r="FJ2677"/>
  <c r="FJ2752"/>
  <c r="FJ3310"/>
  <c r="FJ3190"/>
  <c r="FJ3368"/>
  <c r="FJ3220"/>
  <c r="FJ3145"/>
  <c r="FJ2920"/>
  <c r="FJ3442"/>
  <c r="FJ2641"/>
  <c r="FJ3154"/>
  <c r="FJ2624"/>
  <c r="FJ2864"/>
  <c r="FJ2638"/>
  <c r="FJ2670"/>
  <c r="FJ3208"/>
  <c r="FJ2622"/>
  <c r="FJ3103"/>
  <c r="FJ2896"/>
  <c r="FJ2687"/>
  <c r="FJ3371"/>
  <c r="FJ2599"/>
  <c r="FJ2877"/>
  <c r="FJ3431"/>
  <c r="FJ2507"/>
  <c r="FJ3121"/>
  <c r="FJ3388"/>
  <c r="FJ2854"/>
  <c r="FJ2563"/>
  <c r="FJ2765"/>
  <c r="FJ3284"/>
  <c r="FJ3035"/>
  <c r="FJ2840"/>
  <c r="FJ3107"/>
  <c r="FJ2890"/>
  <c r="FJ3330"/>
  <c r="FJ3075"/>
  <c r="FJ3321"/>
  <c r="FJ3347"/>
  <c r="FJ3205"/>
  <c r="FJ3334"/>
  <c r="FJ3071"/>
  <c r="FJ2994"/>
  <c r="FJ2781"/>
  <c r="FJ2692"/>
  <c r="FJ2634"/>
  <c r="FJ3349"/>
  <c r="FJ2907"/>
  <c r="FJ2518"/>
  <c r="FJ3199"/>
  <c r="FJ2656"/>
  <c r="FJ2793"/>
  <c r="FJ2718"/>
  <c r="FJ2819"/>
  <c r="FJ2982"/>
  <c r="FJ3177"/>
  <c r="FJ3055"/>
  <c r="FJ2771"/>
  <c r="FJ3155"/>
  <c r="FJ2833"/>
  <c r="FJ3152"/>
  <c r="FJ3054"/>
  <c r="FJ2808"/>
  <c r="FJ2946"/>
  <c r="FJ3322"/>
  <c r="FJ3050"/>
  <c r="FJ3077"/>
  <c r="FJ3346"/>
  <c r="FJ2922"/>
  <c r="FJ3048"/>
  <c r="FJ2532"/>
  <c r="FJ2925"/>
  <c r="FJ3007"/>
  <c r="FJ3359"/>
  <c r="FJ3276"/>
  <c r="FJ3320"/>
  <c r="FJ3196"/>
  <c r="FJ2807"/>
  <c r="FJ3241"/>
  <c r="FJ3452"/>
  <c r="FJ2661"/>
  <c r="FJ3224"/>
  <c r="FJ2584"/>
  <c r="FJ2715"/>
  <c r="FJ3453"/>
  <c r="FJ3252"/>
  <c r="FJ3377"/>
  <c r="FJ2504"/>
  <c r="FJ3355"/>
  <c r="FJ3400"/>
  <c r="FJ2650"/>
  <c r="FJ3455"/>
  <c r="FJ3341"/>
  <c r="FJ2931"/>
  <c r="FJ2893"/>
  <c r="FJ2556"/>
  <c r="FJ3094"/>
  <c r="FJ2743"/>
  <c r="FJ2988"/>
  <c r="FJ2640"/>
  <c r="FJ3259"/>
  <c r="FJ2540"/>
  <c r="FJ2502"/>
  <c r="FJ3171"/>
  <c r="FJ2853"/>
  <c r="FJ2533"/>
  <c r="FJ3023"/>
  <c r="FJ3456"/>
  <c r="FJ2631"/>
  <c r="FJ2586"/>
  <c r="FJ3198"/>
  <c r="FJ3020"/>
  <c r="FJ3042"/>
  <c r="FJ2684"/>
  <c r="FJ3008"/>
  <c r="FJ2639"/>
  <c r="FJ3068"/>
  <c r="FJ3261"/>
  <c r="FJ2782"/>
  <c r="FJ2713"/>
  <c r="FJ3424"/>
  <c r="FJ3059"/>
  <c r="FJ2515"/>
  <c r="FJ3160"/>
  <c r="FJ3297"/>
  <c r="FJ2784"/>
  <c r="FJ2553"/>
  <c r="FJ3454"/>
  <c r="FJ3446"/>
  <c r="FJ3238"/>
  <c r="FJ2662"/>
  <c r="FJ2816"/>
  <c r="FJ2552"/>
  <c r="FJ2832"/>
  <c r="FJ2664"/>
  <c r="FJ2699"/>
  <c r="FJ3133"/>
  <c r="FJ2523"/>
  <c r="FJ3185"/>
  <c r="FJ3106"/>
  <c r="FJ3307"/>
  <c r="FJ2761"/>
  <c r="FJ2649"/>
  <c r="FJ3043"/>
  <c r="FJ2790"/>
  <c r="FJ2770"/>
  <c r="FJ2655"/>
  <c r="FJ3397"/>
  <c r="FJ2573"/>
  <c r="FJ3173"/>
  <c r="FJ3186"/>
  <c r="FJ3343"/>
  <c r="FJ2581"/>
  <c r="FJ2567"/>
  <c r="FJ3288"/>
  <c r="FJ3412"/>
  <c r="FJ3290"/>
  <c r="FJ2539"/>
  <c r="FJ3416"/>
  <c r="FJ3147"/>
  <c r="FJ3127"/>
  <c r="FJ2902"/>
  <c r="FJ2705"/>
  <c r="FJ3179"/>
  <c r="FJ3013"/>
  <c r="FJ3394"/>
  <c r="FJ3354"/>
  <c r="FJ3092"/>
  <c r="FJ2651"/>
  <c r="FJ3323"/>
  <c r="FJ3053"/>
  <c r="FJ3002"/>
  <c r="FJ2958"/>
  <c r="FJ3304"/>
  <c r="FJ3051"/>
  <c r="FJ3386"/>
  <c r="FJ3361"/>
  <c r="FJ3066"/>
  <c r="FJ3227"/>
  <c r="FJ2930"/>
  <c r="FJ3016"/>
  <c r="FJ3396"/>
  <c r="FJ2954"/>
  <c r="FJ3126"/>
  <c r="FJ3403"/>
  <c r="FJ2885"/>
  <c r="FJ3247"/>
  <c r="FJ3061"/>
  <c r="FJ3150"/>
  <c r="FJ3203"/>
  <c r="FJ3447"/>
  <c r="FJ2616"/>
  <c r="FJ2754"/>
  <c r="FJ3021"/>
  <c r="FJ2979"/>
  <c r="FJ2742"/>
  <c r="FJ3189"/>
  <c r="FJ3069"/>
  <c r="FJ3144"/>
  <c r="FJ3213"/>
  <c r="FJ2679"/>
  <c r="FJ2762"/>
  <c r="FJ2868"/>
  <c r="FJ2818"/>
  <c r="FJ2772"/>
  <c r="FJ2689"/>
  <c r="FJ3324"/>
  <c r="FJ3332"/>
  <c r="FJ2623"/>
  <c r="FJ2576"/>
  <c r="FJ2744"/>
  <c r="FJ2949"/>
  <c r="FJ3192"/>
  <c r="FJ3137"/>
  <c r="FJ2841"/>
  <c r="FJ2933"/>
  <c r="FJ2513"/>
  <c r="FJ3260"/>
  <c r="FJ3389"/>
  <c r="FJ3079"/>
  <c r="FJ3169"/>
  <c r="FJ3116"/>
  <c r="FJ2529"/>
  <c r="FJ3305"/>
  <c r="FJ3211"/>
  <c r="FJ2891"/>
  <c r="FJ2850"/>
  <c r="FJ2978"/>
  <c r="FJ2992"/>
  <c r="FJ3469"/>
  <c r="FJ3254"/>
  <c r="FJ2985"/>
  <c r="FJ2798"/>
  <c r="FJ3289"/>
  <c r="FJ3434"/>
  <c r="FJ2975"/>
  <c r="FJ2999"/>
  <c r="FJ3010"/>
  <c r="FJ3432"/>
  <c r="FJ2820"/>
  <c r="FJ2879"/>
  <c r="FJ3124"/>
  <c r="FJ3285"/>
  <c r="FJ2654"/>
  <c r="FJ3235"/>
  <c r="FJ3129"/>
  <c r="FJ3221"/>
  <c r="FJ3166"/>
  <c r="FJ2875"/>
  <c r="FJ3028"/>
  <c r="FJ3058"/>
  <c r="FJ2837"/>
  <c r="FJ3204"/>
  <c r="FJ3436"/>
  <c r="FJ3426"/>
  <c r="FJ2957"/>
  <c r="FJ3056"/>
  <c r="FJ3249"/>
  <c r="FJ3392"/>
  <c r="FJ2758"/>
  <c r="FJ3274"/>
  <c r="FJ2775"/>
  <c r="FJ2683"/>
  <c r="FJ3268"/>
  <c r="FJ2745"/>
  <c r="FJ3253"/>
  <c r="FJ2764"/>
  <c r="FJ2969"/>
  <c r="FJ3151"/>
  <c r="FJ2835"/>
  <c r="FJ2804"/>
  <c r="FJ3195"/>
  <c r="FJ2675"/>
  <c r="FJ3037"/>
  <c r="FJ2582"/>
  <c r="FJ2543"/>
  <c r="FJ3433"/>
  <c r="FJ2919"/>
  <c r="FJ2660"/>
  <c r="FJ2646"/>
  <c r="FJ3181"/>
  <c r="FJ2596"/>
  <c r="FJ3006"/>
  <c r="FJ2559"/>
  <c r="FJ2834"/>
  <c r="FJ3314"/>
  <c r="FJ2929"/>
  <c r="FJ3308"/>
  <c r="FJ3115"/>
  <c r="FJ2733"/>
  <c r="FJ2635"/>
  <c r="FJ3038"/>
  <c r="FJ2571"/>
  <c r="FJ2972"/>
  <c r="FJ2740"/>
  <c r="FJ3379"/>
  <c r="FJ2898"/>
  <c r="FJ2637"/>
  <c r="FJ3378"/>
  <c r="FJ2499"/>
  <c r="FJ2763"/>
  <c r="FJ2894"/>
  <c r="FJ2525"/>
  <c r="FJ2694"/>
  <c r="FJ3270"/>
  <c r="FJ3336"/>
  <c r="FJ3118"/>
  <c r="FJ2570"/>
  <c r="FJ2620"/>
  <c r="FJ2498"/>
  <c r="FJ2555"/>
  <c r="FJ3142"/>
  <c r="FJ3418"/>
  <c r="FJ2550"/>
  <c r="FJ2852"/>
  <c r="FJ3340"/>
  <c r="FJ2738"/>
  <c r="FJ3440"/>
  <c r="FJ3119"/>
  <c r="FJ3226"/>
  <c r="FJ2968"/>
  <c r="FJ2962"/>
  <c r="FJ3001"/>
  <c r="FJ2823"/>
  <c r="FJ3120"/>
  <c r="FJ2725"/>
  <c r="FJ2861"/>
  <c r="FJ3046"/>
  <c r="FJ2815"/>
  <c r="FJ2880"/>
  <c r="FJ3232"/>
  <c r="FJ2558"/>
  <c r="FJ3255"/>
  <c r="FJ3463"/>
  <c r="FJ3315"/>
  <c r="FJ3390"/>
  <c r="FJ2970"/>
  <c r="FJ3188"/>
  <c r="FJ3277"/>
  <c r="FJ2843"/>
  <c r="FJ2914"/>
  <c r="FJ2595"/>
  <c r="FJ3231"/>
  <c r="FJ2886"/>
  <c r="FJ3342"/>
  <c r="FJ2706"/>
  <c r="FJ2508"/>
  <c r="FJ3295"/>
  <c r="FJ2845"/>
  <c r="FJ2977"/>
  <c r="FJ2952"/>
  <c r="FJ2583"/>
  <c r="FJ2939"/>
  <c r="FJ3311"/>
  <c r="FJ3316"/>
  <c r="FJ3139"/>
  <c r="FJ3214"/>
  <c r="FJ2588"/>
  <c r="FJ3085"/>
  <c r="FJ2707"/>
  <c r="FJ3366"/>
  <c r="FJ2704"/>
  <c r="FJ3338"/>
  <c r="FJ2569"/>
  <c r="FJ2516"/>
  <c r="FJ2884"/>
  <c r="FJ2873"/>
  <c r="FJ3017"/>
  <c r="FJ3158"/>
  <c r="FJ2672"/>
  <c r="FJ2666"/>
  <c r="FJ2981"/>
  <c r="FJ2735"/>
  <c r="FJ3461"/>
  <c r="FJ3138"/>
  <c r="FJ3282"/>
  <c r="FJ2617"/>
  <c r="FJ3044"/>
  <c r="FJ3012"/>
  <c r="FJ2741"/>
  <c r="FJ3333"/>
  <c r="FJ3325"/>
  <c r="FJ3130"/>
  <c r="FJ3460"/>
  <c r="FJ2734"/>
  <c r="FJ2520"/>
  <c r="FJ3040"/>
  <c r="FJ2806"/>
  <c r="FJ2769"/>
  <c r="FJ3437"/>
  <c r="FJ3401"/>
  <c r="FJ3409"/>
  <c r="FJ3373"/>
  <c r="FJ2648"/>
  <c r="FJ2700"/>
  <c r="FJ2542"/>
  <c r="FJ3167"/>
  <c r="FJ3072"/>
  <c r="FJ2998"/>
  <c r="FJ2534"/>
  <c r="FJ2794"/>
  <c r="FJ2721"/>
  <c r="FJ2959"/>
  <c r="FJ3348"/>
  <c r="FJ2557"/>
  <c r="FJ2916"/>
  <c r="FJ3210"/>
  <c r="FJ3207"/>
  <c r="FJ3466"/>
  <c r="FJ3312"/>
  <c r="FJ3364"/>
  <c r="FJ2579"/>
  <c r="FJ2524"/>
  <c r="FJ3026"/>
  <c r="FJ2562"/>
  <c r="FJ2783"/>
  <c r="FJ2801"/>
  <c r="FJ2802"/>
  <c r="FJ2767"/>
  <c r="FJ3273"/>
  <c r="FJ3178"/>
  <c r="FJ3163"/>
  <c r="FJ2674"/>
  <c r="FJ3283"/>
  <c r="FJ2842"/>
  <c r="FJ2630"/>
  <c r="FJ3309"/>
  <c r="FJ2955"/>
  <c r="FJ2506"/>
  <c r="FF2158" l="1"/>
  <c r="FJ2158"/>
  <c r="FF2155"/>
  <c r="FJ2155"/>
  <c r="A16"/>
  <c r="H17" s="1"/>
  <c r="CW4"/>
  <c r="BV4"/>
  <c r="CO4"/>
  <c r="A21"/>
  <c r="AZ4"/>
  <c r="A18"/>
  <c r="Q19" s="1"/>
  <c r="AW4"/>
  <c r="DH4"/>
  <c r="DN4"/>
  <c r="A23"/>
  <c r="AS4"/>
  <c r="CL4"/>
  <c r="A37"/>
  <c r="BD4"/>
  <c r="DI4"/>
  <c r="AR4"/>
  <c r="FF394" s="1"/>
  <c r="BT4"/>
  <c r="A14"/>
  <c r="M15" s="1"/>
  <c r="BR4"/>
  <c r="A56"/>
  <c r="DJ4"/>
  <c r="A59"/>
  <c r="A28"/>
  <c r="A53"/>
  <c r="AJ4"/>
  <c r="BB4"/>
  <c r="A82"/>
  <c r="A45"/>
  <c r="BK4"/>
  <c r="CX4"/>
  <c r="DA4"/>
  <c r="A5"/>
  <c r="I6" s="1"/>
  <c r="DR4"/>
  <c r="BJ4"/>
  <c r="AX4"/>
  <c r="DO4"/>
  <c r="A33"/>
  <c r="A60"/>
  <c r="A65"/>
  <c r="AO4"/>
  <c r="CS4"/>
  <c r="AK4"/>
  <c r="CN4"/>
  <c r="A63"/>
  <c r="V4"/>
  <c r="F4"/>
  <c r="N4"/>
  <c r="O4"/>
  <c r="K4"/>
  <c r="A9"/>
  <c r="J10" s="1"/>
  <c r="DC4"/>
  <c r="A81"/>
  <c r="A39"/>
  <c r="BE4"/>
  <c r="A80"/>
  <c r="A34"/>
  <c r="CQ4"/>
  <c r="AI4"/>
  <c r="DP4"/>
  <c r="A7"/>
  <c r="N8" s="1"/>
  <c r="A52"/>
  <c r="A25"/>
  <c r="A66"/>
  <c r="BW4"/>
  <c r="A71"/>
  <c r="AN4"/>
  <c r="A17"/>
  <c r="J18" s="1"/>
  <c r="CT4"/>
  <c r="AD4"/>
  <c r="AU4"/>
  <c r="A72"/>
  <c r="AP4"/>
  <c r="FF374" s="1"/>
  <c r="DU4"/>
  <c r="A26"/>
  <c r="A55"/>
  <c r="BF4"/>
  <c r="AF4"/>
  <c r="CB4"/>
  <c r="CI4"/>
  <c r="A40"/>
  <c r="A51"/>
  <c r="A24"/>
  <c r="A49"/>
  <c r="CY4"/>
  <c r="A67"/>
  <c r="A11"/>
  <c r="K12" s="1"/>
  <c r="Y4"/>
  <c r="A48"/>
  <c r="A68"/>
  <c r="BY4"/>
  <c r="AE4"/>
  <c r="A38"/>
  <c r="DV4"/>
  <c r="CH4"/>
  <c r="BC4"/>
  <c r="U4"/>
  <c r="T4"/>
  <c r="E4"/>
  <c r="FF4" s="1"/>
  <c r="I4"/>
  <c r="CJ4"/>
  <c r="CP4"/>
  <c r="A32"/>
  <c r="CZ4"/>
  <c r="DS4"/>
  <c r="BL4"/>
  <c r="CR4"/>
  <c r="AG4"/>
  <c r="DL4"/>
  <c r="A77"/>
  <c r="DG4"/>
  <c r="A50"/>
  <c r="A69"/>
  <c r="A54"/>
  <c r="AT4"/>
  <c r="CF4"/>
  <c r="A20"/>
  <c r="L21" s="1"/>
  <c r="A12"/>
  <c r="J13" s="1"/>
  <c r="A43"/>
  <c r="Z4"/>
  <c r="AB4"/>
  <c r="BS4"/>
  <c r="A6"/>
  <c r="E7" s="1"/>
  <c r="P4"/>
  <c r="G4"/>
  <c r="Q4"/>
  <c r="A8"/>
  <c r="G9" s="1"/>
  <c r="AY4"/>
  <c r="A27"/>
  <c r="AM4"/>
  <c r="A29"/>
  <c r="BM4"/>
  <c r="A76"/>
  <c r="A47"/>
  <c r="BI4"/>
  <c r="A19"/>
  <c r="BG4"/>
  <c r="CA4"/>
  <c r="X4"/>
  <c r="A13"/>
  <c r="R14" s="1"/>
  <c r="A46"/>
  <c r="AA4"/>
  <c r="A57"/>
  <c r="A64"/>
  <c r="CG4"/>
  <c r="A61"/>
  <c r="A15"/>
  <c r="F16" s="1"/>
  <c r="AL4"/>
  <c r="CU4"/>
  <c r="R4"/>
  <c r="M4"/>
  <c r="J4"/>
  <c r="AQ4"/>
  <c r="BU4"/>
  <c r="AC4"/>
  <c r="A30"/>
  <c r="AV4"/>
  <c r="A70"/>
  <c r="A41"/>
  <c r="BQ4"/>
  <c r="BA4"/>
  <c r="DK4"/>
  <c r="AH4"/>
  <c r="BP4"/>
  <c r="W4"/>
  <c r="DD4"/>
  <c r="A83"/>
  <c r="A75"/>
  <c r="BN4"/>
  <c r="BH4"/>
  <c r="CK4"/>
  <c r="DE4"/>
  <c r="A84"/>
  <c r="A74"/>
  <c r="CD4"/>
  <c r="CE4"/>
  <c r="CM4"/>
  <c r="DQ4"/>
  <c r="DM4"/>
  <c r="A78"/>
  <c r="A36"/>
  <c r="DB4"/>
  <c r="H4"/>
  <c r="DT4"/>
  <c r="A31"/>
  <c r="DF4"/>
  <c r="A22"/>
  <c r="BX4"/>
  <c r="BO4"/>
  <c r="CC4"/>
  <c r="A62"/>
  <c r="A79"/>
  <c r="A10"/>
  <c r="J11" s="1"/>
  <c r="CV4"/>
  <c r="S4"/>
  <c r="A35"/>
  <c r="A58"/>
  <c r="A73"/>
  <c r="A42"/>
  <c r="BZ4"/>
  <c r="A44"/>
  <c r="L4"/>
  <c r="C4"/>
  <c r="A4"/>
  <c r="S5" s="1"/>
  <c r="BH47"/>
  <c r="DQ47"/>
  <c r="CV47"/>
  <c r="AM47"/>
  <c r="U47"/>
  <c r="AS47"/>
  <c r="AP47"/>
  <c r="AW47"/>
  <c r="DP47"/>
  <c r="DU47"/>
  <c r="F47"/>
  <c r="AH47"/>
  <c r="AG47"/>
  <c r="DT47"/>
  <c r="AE47"/>
  <c r="BA47"/>
  <c r="DD47"/>
  <c r="CT47"/>
  <c r="CB47"/>
  <c r="AK47"/>
  <c r="BC47"/>
  <c r="CN47"/>
  <c r="E47"/>
  <c r="DN47"/>
  <c r="CW47"/>
  <c r="BM47"/>
  <c r="CZ47"/>
  <c r="AJ47"/>
  <c r="CD47"/>
  <c r="CX47"/>
  <c r="Q47"/>
  <c r="AV47"/>
  <c r="BW47"/>
  <c r="CA47"/>
  <c r="J47"/>
  <c r="AY47"/>
  <c r="BI47"/>
  <c r="DH47"/>
  <c r="DJ47"/>
  <c r="O47"/>
  <c r="AL47"/>
  <c r="CE47"/>
  <c r="N47"/>
  <c r="CU47"/>
  <c r="BU47"/>
  <c r="DV47"/>
  <c r="BL47"/>
  <c r="BZ47"/>
  <c r="CO47"/>
  <c r="AN47"/>
  <c r="DA47"/>
  <c r="I47"/>
  <c r="AB47"/>
  <c r="CJ47"/>
  <c r="CC47"/>
  <c r="CF47"/>
  <c r="AU47"/>
  <c r="BR47"/>
  <c r="AA47"/>
  <c r="CH47"/>
  <c r="DB47"/>
  <c r="CK47"/>
  <c r="CI47"/>
  <c r="DO47"/>
  <c r="AC47"/>
  <c r="DE47"/>
  <c r="R47"/>
  <c r="BJ47"/>
  <c r="BP47"/>
  <c r="CS47"/>
  <c r="K47"/>
  <c r="BE47"/>
  <c r="X47"/>
  <c r="BF47"/>
  <c r="BT47"/>
  <c r="CL47"/>
  <c r="V47"/>
  <c r="DM47"/>
  <c r="BK47"/>
  <c r="AO47"/>
  <c r="BS47"/>
  <c r="BG47"/>
  <c r="DR47"/>
  <c r="T47"/>
  <c r="CP47"/>
  <c r="BV47"/>
  <c r="BN47"/>
  <c r="DI47"/>
  <c r="DK47"/>
  <c r="DL47"/>
  <c r="DF47"/>
  <c r="BY47"/>
  <c r="CM47"/>
  <c r="P47"/>
  <c r="AD47"/>
  <c r="DC47"/>
  <c r="W47"/>
  <c r="CY47"/>
  <c r="DS47"/>
  <c r="CQ47"/>
  <c r="CR47"/>
  <c r="Z47"/>
  <c r="DG47"/>
  <c r="BD47"/>
  <c r="BQ47"/>
  <c r="BX47"/>
  <c r="Y47"/>
  <c r="AT47"/>
  <c r="BO47"/>
  <c r="BB47"/>
  <c r="G47"/>
  <c r="AI47"/>
  <c r="M47"/>
  <c r="CG47"/>
  <c r="H47"/>
  <c r="L47"/>
  <c r="AZ47"/>
  <c r="AQ47"/>
  <c r="AX47"/>
  <c r="AF47"/>
  <c r="AR47"/>
  <c r="S47"/>
  <c r="C47"/>
  <c r="P33"/>
  <c r="CW33"/>
  <c r="AR33"/>
  <c r="DA33"/>
  <c r="AA33"/>
  <c r="Z33"/>
  <c r="CT33"/>
  <c r="AS33"/>
  <c r="CZ33"/>
  <c r="AC33"/>
  <c r="AB33"/>
  <c r="CS33"/>
  <c r="BQ33"/>
  <c r="DT33"/>
  <c r="BR33"/>
  <c r="DJ33"/>
  <c r="DI33"/>
  <c r="H33"/>
  <c r="CA33"/>
  <c r="BE33"/>
  <c r="DD33"/>
  <c r="BB33"/>
  <c r="E33"/>
  <c r="AH33"/>
  <c r="CO33"/>
  <c r="BY33"/>
  <c r="BK33"/>
  <c r="AG33"/>
  <c r="BZ33"/>
  <c r="AY33"/>
  <c r="DS33"/>
  <c r="AI33"/>
  <c r="F33"/>
  <c r="DB33"/>
  <c r="DG33"/>
  <c r="CJ33"/>
  <c r="DK33"/>
  <c r="CF33"/>
  <c r="AE33"/>
  <c r="AW33"/>
  <c r="CL33"/>
  <c r="AD33"/>
  <c r="CK33"/>
  <c r="CP33"/>
  <c r="DF33"/>
  <c r="CV33"/>
  <c r="BA33"/>
  <c r="BC33"/>
  <c r="BS33"/>
  <c r="I33"/>
  <c r="BX33"/>
  <c r="CE33"/>
  <c r="DH33"/>
  <c r="AP33"/>
  <c r="DQ33"/>
  <c r="BO33"/>
  <c r="DN33"/>
  <c r="AL33"/>
  <c r="CU33"/>
  <c r="DP33"/>
  <c r="M33"/>
  <c r="T33"/>
  <c r="V33"/>
  <c r="BU33"/>
  <c r="DC33"/>
  <c r="CI33"/>
  <c r="AJ33"/>
  <c r="BP33"/>
  <c r="AX33"/>
  <c r="BL33"/>
  <c r="O33"/>
  <c r="Q33"/>
  <c r="CG33"/>
  <c r="L33"/>
  <c r="AU33"/>
  <c r="AQ33"/>
  <c r="CC33"/>
  <c r="CR33"/>
  <c r="BF33"/>
  <c r="DO33"/>
  <c r="U33"/>
  <c r="CQ33"/>
  <c r="BT33"/>
  <c r="J33"/>
  <c r="DM33"/>
  <c r="X33"/>
  <c r="N33"/>
  <c r="DL33"/>
  <c r="G33"/>
  <c r="S33"/>
  <c r="DU33"/>
  <c r="DV33"/>
  <c r="K33"/>
  <c r="CM33"/>
  <c r="DR33"/>
  <c r="CB33"/>
  <c r="BH33"/>
  <c r="BW33"/>
  <c r="AM33"/>
  <c r="CH33"/>
  <c r="AO33"/>
  <c r="BV33"/>
  <c r="BG33"/>
  <c r="CN33"/>
  <c r="AF33"/>
  <c r="CD33"/>
  <c r="BD33"/>
  <c r="DE33"/>
  <c r="AZ33"/>
  <c r="R33"/>
  <c r="AV33"/>
  <c r="W33"/>
  <c r="BI33"/>
  <c r="AT33"/>
  <c r="Y33"/>
  <c r="CX33"/>
  <c r="AN33"/>
  <c r="AK33"/>
  <c r="BN33"/>
  <c r="BM33"/>
  <c r="BJ33"/>
  <c r="CY33"/>
  <c r="C33"/>
  <c r="N78"/>
  <c r="DL78"/>
  <c r="DR78"/>
  <c r="CQ78"/>
  <c r="BC78"/>
  <c r="CC78"/>
  <c r="BT78"/>
  <c r="G78"/>
  <c r="K78"/>
  <c r="BQ78"/>
  <c r="AK78"/>
  <c r="DS78"/>
  <c r="AO78"/>
  <c r="BD78"/>
  <c r="CV78"/>
  <c r="BI78"/>
  <c r="BV78"/>
  <c r="AN78"/>
  <c r="AF78"/>
  <c r="AM78"/>
  <c r="T78"/>
  <c r="DK78"/>
  <c r="CW78"/>
  <c r="M78"/>
  <c r="BF78"/>
  <c r="DF78"/>
  <c r="AY78"/>
  <c r="BB78"/>
  <c r="DV78"/>
  <c r="DH78"/>
  <c r="H78"/>
  <c r="CH78"/>
  <c r="DM78"/>
  <c r="CB78"/>
  <c r="CS78"/>
  <c r="BM78"/>
  <c r="AI78"/>
  <c r="E78"/>
  <c r="R78"/>
  <c r="L78"/>
  <c r="CG78"/>
  <c r="BE78"/>
  <c r="BZ78"/>
  <c r="J78"/>
  <c r="CX78"/>
  <c r="DE78"/>
  <c r="DB78"/>
  <c r="DU78"/>
  <c r="I78"/>
  <c r="AB78"/>
  <c r="BP78"/>
  <c r="AA78"/>
  <c r="AG78"/>
  <c r="X78"/>
  <c r="O78"/>
  <c r="W78"/>
  <c r="BO78"/>
  <c r="BK78"/>
  <c r="CM78"/>
  <c r="AW78"/>
  <c r="BS78"/>
  <c r="AJ78"/>
  <c r="BJ78"/>
  <c r="CP78"/>
  <c r="Y78"/>
  <c r="P78"/>
  <c r="BW78"/>
  <c r="DQ78"/>
  <c r="S78"/>
  <c r="AE78"/>
  <c r="CI78"/>
  <c r="CL78"/>
  <c r="BY78"/>
  <c r="AH78"/>
  <c r="BU78"/>
  <c r="CO78"/>
  <c r="CF78"/>
  <c r="CZ78"/>
  <c r="DT78"/>
  <c r="CK78"/>
  <c r="CA78"/>
  <c r="AL78"/>
  <c r="AU78"/>
  <c r="U78"/>
  <c r="AZ78"/>
  <c r="CT78"/>
  <c r="CU78"/>
  <c r="BH78"/>
  <c r="AD78"/>
  <c r="DN78"/>
  <c r="DP78"/>
  <c r="DI78"/>
  <c r="AP78"/>
  <c r="CJ78"/>
  <c r="AC78"/>
  <c r="BX78"/>
  <c r="CE78"/>
  <c r="BL78"/>
  <c r="CD78"/>
  <c r="DO78"/>
  <c r="AT78"/>
  <c r="AQ78"/>
  <c r="AR78"/>
  <c r="CR78"/>
  <c r="CN78"/>
  <c r="V78"/>
  <c r="DJ78"/>
  <c r="BN78"/>
  <c r="BG78"/>
  <c r="AV78"/>
  <c r="CY78"/>
  <c r="DD78"/>
  <c r="BR78"/>
  <c r="DG78"/>
  <c r="DA78"/>
  <c r="Z78"/>
  <c r="DC78"/>
  <c r="AX78"/>
  <c r="Q78"/>
  <c r="AS78"/>
  <c r="BA78"/>
  <c r="F78"/>
  <c r="C78"/>
  <c r="V80"/>
  <c r="BU80"/>
  <c r="DM80"/>
  <c r="P80"/>
  <c r="U80"/>
  <c r="AR80"/>
  <c r="CI80"/>
  <c r="CB80"/>
  <c r="Q80"/>
  <c r="DP80"/>
  <c r="H80"/>
  <c r="DG80"/>
  <c r="AA80"/>
  <c r="CS80"/>
  <c r="BG80"/>
  <c r="S80"/>
  <c r="DI80"/>
  <c r="CC80"/>
  <c r="BF80"/>
  <c r="BL80"/>
  <c r="BN80"/>
  <c r="BX80"/>
  <c r="AX80"/>
  <c r="DT80"/>
  <c r="CX80"/>
  <c r="DA80"/>
  <c r="J80"/>
  <c r="DE80"/>
  <c r="BD80"/>
  <c r="BA80"/>
  <c r="DQ80"/>
  <c r="BW80"/>
  <c r="CZ80"/>
  <c r="BZ80"/>
  <c r="CR80"/>
  <c r="DD80"/>
  <c r="CL80"/>
  <c r="X80"/>
  <c r="BK80"/>
  <c r="AH80"/>
  <c r="CF80"/>
  <c r="BO80"/>
  <c r="DU80"/>
  <c r="CP80"/>
  <c r="BV80"/>
  <c r="M80"/>
  <c r="AL80"/>
  <c r="CE80"/>
  <c r="AP80"/>
  <c r="BC80"/>
  <c r="AU80"/>
  <c r="BS80"/>
  <c r="Y80"/>
  <c r="BY80"/>
  <c r="BI80"/>
  <c r="AG80"/>
  <c r="L80"/>
  <c r="DK80"/>
  <c r="DR80"/>
  <c r="AD80"/>
  <c r="BT80"/>
  <c r="AM80"/>
  <c r="DS80"/>
  <c r="AI80"/>
  <c r="AJ80"/>
  <c r="DJ80"/>
  <c r="AE80"/>
  <c r="W80"/>
  <c r="CW80"/>
  <c r="CO80"/>
  <c r="AZ80"/>
  <c r="AN80"/>
  <c r="DV80"/>
  <c r="DH80"/>
  <c r="DO80"/>
  <c r="AQ80"/>
  <c r="CA80"/>
  <c r="CK80"/>
  <c r="CD80"/>
  <c r="E80"/>
  <c r="CT80"/>
  <c r="BP80"/>
  <c r="BM80"/>
  <c r="CM80"/>
  <c r="DN80"/>
  <c r="AB80"/>
  <c r="CY80"/>
  <c r="BH80"/>
  <c r="BB80"/>
  <c r="K80"/>
  <c r="CQ80"/>
  <c r="CH80"/>
  <c r="AW80"/>
  <c r="AC80"/>
  <c r="CN80"/>
  <c r="F80"/>
  <c r="BQ80"/>
  <c r="BE80"/>
  <c r="Z80"/>
  <c r="BJ80"/>
  <c r="O80"/>
  <c r="AV80"/>
  <c r="CU80"/>
  <c r="AS80"/>
  <c r="R80"/>
  <c r="G80"/>
  <c r="AF80"/>
  <c r="DC80"/>
  <c r="CG80"/>
  <c r="AY80"/>
  <c r="BR80"/>
  <c r="AO80"/>
  <c r="DF80"/>
  <c r="AK80"/>
  <c r="I80"/>
  <c r="DB80"/>
  <c r="N80"/>
  <c r="CJ80"/>
  <c r="AT80"/>
  <c r="T80"/>
  <c r="DL80"/>
  <c r="CV80"/>
  <c r="C80"/>
  <c r="AL82"/>
  <c r="DJ82"/>
  <c r="CK82"/>
  <c r="CW82"/>
  <c r="BZ82"/>
  <c r="T82"/>
  <c r="CS82"/>
  <c r="AD82"/>
  <c r="CN82"/>
  <c r="AV82"/>
  <c r="AC82"/>
  <c r="CD82"/>
  <c r="BF82"/>
  <c r="DH82"/>
  <c r="DE82"/>
  <c r="CV82"/>
  <c r="BV82"/>
  <c r="BN82"/>
  <c r="AT82"/>
  <c r="BU82"/>
  <c r="O82"/>
  <c r="CF82"/>
  <c r="AY82"/>
  <c r="BS82"/>
  <c r="CC82"/>
  <c r="DD82"/>
  <c r="DQ82"/>
  <c r="V82"/>
  <c r="CR82"/>
  <c r="DF82"/>
  <c r="BL82"/>
  <c r="U82"/>
  <c r="AR82"/>
  <c r="E82"/>
  <c r="F82"/>
  <c r="BM82"/>
  <c r="BB82"/>
  <c r="BH82"/>
  <c r="CU82"/>
  <c r="Y82"/>
  <c r="CE82"/>
  <c r="AM82"/>
  <c r="BK82"/>
  <c r="CQ82"/>
  <c r="DR82"/>
  <c r="J82"/>
  <c r="CB82"/>
  <c r="N82"/>
  <c r="DP82"/>
  <c r="CM82"/>
  <c r="DB82"/>
  <c r="BG82"/>
  <c r="DS82"/>
  <c r="R82"/>
  <c r="BD82"/>
  <c r="I82"/>
  <c r="DM82"/>
  <c r="P82"/>
  <c r="CH82"/>
  <c r="CP82"/>
  <c r="BC82"/>
  <c r="DK82"/>
  <c r="M82"/>
  <c r="Q82"/>
  <c r="S82"/>
  <c r="BR82"/>
  <c r="DI82"/>
  <c r="DV82"/>
  <c r="BQ82"/>
  <c r="DO82"/>
  <c r="BW82"/>
  <c r="DN82"/>
  <c r="AW82"/>
  <c r="AO82"/>
  <c r="W82"/>
  <c r="CX82"/>
  <c r="BX82"/>
  <c r="AF82"/>
  <c r="Z82"/>
  <c r="CL82"/>
  <c r="DL82"/>
  <c r="BP82"/>
  <c r="L82"/>
  <c r="DC82"/>
  <c r="AE82"/>
  <c r="CO82"/>
  <c r="H82"/>
  <c r="CA82"/>
  <c r="DU82"/>
  <c r="AG82"/>
  <c r="AU82"/>
  <c r="AP82"/>
  <c r="AX82"/>
  <c r="AZ82"/>
  <c r="AB82"/>
  <c r="K82"/>
  <c r="BY82"/>
  <c r="BA82"/>
  <c r="AN82"/>
  <c r="BI82"/>
  <c r="AQ82"/>
  <c r="X82"/>
  <c r="BO82"/>
  <c r="AA82"/>
  <c r="AJ82"/>
  <c r="BJ82"/>
  <c r="CG82"/>
  <c r="CZ82"/>
  <c r="AK82"/>
  <c r="CJ82"/>
  <c r="AS82"/>
  <c r="CT82"/>
  <c r="CY82"/>
  <c r="AH82"/>
  <c r="CI82"/>
  <c r="DG82"/>
  <c r="AI82"/>
  <c r="BE82"/>
  <c r="G82"/>
  <c r="BT82"/>
  <c r="DA82"/>
  <c r="DT82"/>
  <c r="C82"/>
  <c r="CU17"/>
  <c r="BI17"/>
  <c r="DL17"/>
  <c r="AO17"/>
  <c r="DV17"/>
  <c r="CR17"/>
  <c r="AD17"/>
  <c r="AZ17"/>
  <c r="DP17"/>
  <c r="BH17"/>
  <c r="CP17"/>
  <c r="BQ17"/>
  <c r="BF17"/>
  <c r="CK17"/>
  <c r="DO17"/>
  <c r="CJ17"/>
  <c r="AM17"/>
  <c r="DA17"/>
  <c r="V17"/>
  <c r="CH17"/>
  <c r="BN17"/>
  <c r="CY17"/>
  <c r="DT17"/>
  <c r="CM17"/>
  <c r="BJ17"/>
  <c r="AF17"/>
  <c r="DF17"/>
  <c r="AC17"/>
  <c r="BW17"/>
  <c r="CZ17"/>
  <c r="AH17"/>
  <c r="AW17"/>
  <c r="CW17"/>
  <c r="AN17"/>
  <c r="BO17"/>
  <c r="DB17"/>
  <c r="BL17"/>
  <c r="BS17"/>
  <c r="X17"/>
  <c r="CE17"/>
  <c r="BZ17"/>
  <c r="CA17"/>
  <c r="DN17"/>
  <c r="DG17"/>
  <c r="AX17"/>
  <c r="AJ17"/>
  <c r="U17"/>
  <c r="AU17"/>
  <c r="CQ17"/>
  <c r="DM17"/>
  <c r="BC17"/>
  <c r="AY17"/>
  <c r="BG17"/>
  <c r="BE17"/>
  <c r="AL17"/>
  <c r="CS17"/>
  <c r="DK17"/>
  <c r="W17"/>
  <c r="AB17"/>
  <c r="AP17"/>
  <c r="CC17"/>
  <c r="DQ17"/>
  <c r="AS17"/>
  <c r="CT17"/>
  <c r="CL17"/>
  <c r="CN17"/>
  <c r="AE17"/>
  <c r="CB17"/>
  <c r="DU17"/>
  <c r="AI17"/>
  <c r="AA17"/>
  <c r="AK17"/>
  <c r="CG17"/>
  <c r="AQ17"/>
  <c r="DS17"/>
  <c r="CF17"/>
  <c r="DR17"/>
  <c r="BM17"/>
  <c r="CO17"/>
  <c r="BT17"/>
  <c r="DD17"/>
  <c r="Y17"/>
  <c r="BY17"/>
  <c r="CX17"/>
  <c r="DC17"/>
  <c r="BP17"/>
  <c r="BU17"/>
  <c r="BR17"/>
  <c r="DI17"/>
  <c r="CD17"/>
  <c r="CV17"/>
  <c r="Z17"/>
  <c r="AV17"/>
  <c r="DE17"/>
  <c r="DH17"/>
  <c r="BX17"/>
  <c r="DJ17"/>
  <c r="AT17"/>
  <c r="BB17"/>
  <c r="BK17"/>
  <c r="BD17"/>
  <c r="AR17"/>
  <c r="BV17"/>
  <c r="AG17"/>
  <c r="CI17"/>
  <c r="BA17"/>
  <c r="C17"/>
  <c r="DN45"/>
  <c r="CR45"/>
  <c r="BH45"/>
  <c r="BC45"/>
  <c r="CJ45"/>
  <c r="BK45"/>
  <c r="BW45"/>
  <c r="DS45"/>
  <c r="CD45"/>
  <c r="Q45"/>
  <c r="AZ45"/>
  <c r="AQ45"/>
  <c r="CF45"/>
  <c r="BR45"/>
  <c r="BE45"/>
  <c r="BZ45"/>
  <c r="CG45"/>
  <c r="CE45"/>
  <c r="BY45"/>
  <c r="Z45"/>
  <c r="N45"/>
  <c r="AE45"/>
  <c r="DQ45"/>
  <c r="AO45"/>
  <c r="CC45"/>
  <c r="DD45"/>
  <c r="BL45"/>
  <c r="T45"/>
  <c r="R45"/>
  <c r="DP45"/>
  <c r="CU45"/>
  <c r="H45"/>
  <c r="DT45"/>
  <c r="BN45"/>
  <c r="AD45"/>
  <c r="CV45"/>
  <c r="BV45"/>
  <c r="CH45"/>
  <c r="I45"/>
  <c r="CI45"/>
  <c r="DI45"/>
  <c r="AV45"/>
  <c r="AP45"/>
  <c r="AL45"/>
  <c r="AN45"/>
  <c r="DL45"/>
  <c r="CQ45"/>
  <c r="AT45"/>
  <c r="DG45"/>
  <c r="BM45"/>
  <c r="F45"/>
  <c r="CP45"/>
  <c r="AS45"/>
  <c r="AJ45"/>
  <c r="BG45"/>
  <c r="CZ45"/>
  <c r="BX45"/>
  <c r="DC45"/>
  <c r="AX45"/>
  <c r="BS45"/>
  <c r="BJ45"/>
  <c r="CW45"/>
  <c r="BD45"/>
  <c r="AM45"/>
  <c r="DJ45"/>
  <c r="DE45"/>
  <c r="DM45"/>
  <c r="O45"/>
  <c r="DU45"/>
  <c r="CY45"/>
  <c r="CK45"/>
  <c r="BT45"/>
  <c r="BA45"/>
  <c r="DB45"/>
  <c r="AG45"/>
  <c r="DV45"/>
  <c r="CS45"/>
  <c r="AB45"/>
  <c r="BU45"/>
  <c r="BB45"/>
  <c r="AH45"/>
  <c r="L45"/>
  <c r="Y45"/>
  <c r="CL45"/>
  <c r="AK45"/>
  <c r="AY45"/>
  <c r="CT45"/>
  <c r="AU45"/>
  <c r="CO45"/>
  <c r="P45"/>
  <c r="DF45"/>
  <c r="W45"/>
  <c r="CX45"/>
  <c r="AA45"/>
  <c r="AW45"/>
  <c r="AR45"/>
  <c r="DA45"/>
  <c r="X45"/>
  <c r="DO45"/>
  <c r="AF45"/>
  <c r="BQ45"/>
  <c r="J45"/>
  <c r="K45"/>
  <c r="CM45"/>
  <c r="BF45"/>
  <c r="CB45"/>
  <c r="M45"/>
  <c r="S45"/>
  <c r="BI45"/>
  <c r="DR45"/>
  <c r="CN45"/>
  <c r="BO45"/>
  <c r="CA45"/>
  <c r="E45"/>
  <c r="G45"/>
  <c r="BP45"/>
  <c r="U45"/>
  <c r="DK45"/>
  <c r="DH45"/>
  <c r="AI45"/>
  <c r="AC45"/>
  <c r="V45"/>
  <c r="C45"/>
  <c r="BW10"/>
  <c r="AR10"/>
  <c r="FF400" s="1"/>
  <c r="R10"/>
  <c r="BI10"/>
  <c r="AS10"/>
  <c r="FF410" s="1"/>
  <c r="CM10"/>
  <c r="BD10"/>
  <c r="DC10"/>
  <c r="CD10"/>
  <c r="BO10"/>
  <c r="CR10"/>
  <c r="CG10"/>
  <c r="DO10"/>
  <c r="DT10"/>
  <c r="BQ10"/>
  <c r="CU10"/>
  <c r="AX10"/>
  <c r="AQ10"/>
  <c r="FF390" s="1"/>
  <c r="BF10"/>
  <c r="CE10"/>
  <c r="BB10"/>
  <c r="CW10"/>
  <c r="BT10"/>
  <c r="DK10"/>
  <c r="BV10"/>
  <c r="CT10"/>
  <c r="CA10"/>
  <c r="AY10"/>
  <c r="CV10"/>
  <c r="AV10"/>
  <c r="DL10"/>
  <c r="DR10"/>
  <c r="AW10"/>
  <c r="CY10"/>
  <c r="BC10"/>
  <c r="BX10"/>
  <c r="AP10"/>
  <c r="BS10"/>
  <c r="DU10"/>
  <c r="BK10"/>
  <c r="CK10"/>
  <c r="DA10"/>
  <c r="AU10"/>
  <c r="BP10"/>
  <c r="DN10"/>
  <c r="CS10"/>
  <c r="BM10"/>
  <c r="DD10"/>
  <c r="BL10"/>
  <c r="AF10"/>
  <c r="DM10"/>
  <c r="DE10"/>
  <c r="CJ10"/>
  <c r="DB10"/>
  <c r="DJ10"/>
  <c r="DF10"/>
  <c r="CL10"/>
  <c r="BE10"/>
  <c r="CN10"/>
  <c r="CI10"/>
  <c r="DV10"/>
  <c r="AZ10"/>
  <c r="DI10"/>
  <c r="BA10"/>
  <c r="CO10"/>
  <c r="CH10"/>
  <c r="BH10"/>
  <c r="DH10"/>
  <c r="BZ10"/>
  <c r="DS10"/>
  <c r="BJ10"/>
  <c r="CC10"/>
  <c r="CX10"/>
  <c r="BG10"/>
  <c r="DQ10"/>
  <c r="DG10"/>
  <c r="CZ10"/>
  <c r="CF10"/>
  <c r="DP10"/>
  <c r="BU10"/>
  <c r="BY10"/>
  <c r="AT10"/>
  <c r="FF415" s="1"/>
  <c r="CP10"/>
  <c r="CQ10"/>
  <c r="BN10"/>
  <c r="X10"/>
  <c r="CB10"/>
  <c r="BR10"/>
  <c r="C10"/>
  <c r="AN66"/>
  <c r="BU66"/>
  <c r="DR66"/>
  <c r="AM66"/>
  <c r="CC66"/>
  <c r="CO66"/>
  <c r="V66"/>
  <c r="AS66"/>
  <c r="BB66"/>
  <c r="BE66"/>
  <c r="DM66"/>
  <c r="AR66"/>
  <c r="DK66"/>
  <c r="K66"/>
  <c r="T66"/>
  <c r="AX66"/>
  <c r="X66"/>
  <c r="BT66"/>
  <c r="BI66"/>
  <c r="CF66"/>
  <c r="Z66"/>
  <c r="AH66"/>
  <c r="DV66"/>
  <c r="CE66"/>
  <c r="DB66"/>
  <c r="AE66"/>
  <c r="CY66"/>
  <c r="M66"/>
  <c r="CJ66"/>
  <c r="DT66"/>
  <c r="AK66"/>
  <c r="CR66"/>
  <c r="DJ66"/>
  <c r="N66"/>
  <c r="CI66"/>
  <c r="CP66"/>
  <c r="BC66"/>
  <c r="L66"/>
  <c r="AC66"/>
  <c r="AY66"/>
  <c r="BF66"/>
  <c r="AB66"/>
  <c r="AG66"/>
  <c r="G66"/>
  <c r="BD66"/>
  <c r="DH66"/>
  <c r="DA66"/>
  <c r="BO66"/>
  <c r="BS66"/>
  <c r="AD66"/>
  <c r="CL66"/>
  <c r="CH66"/>
  <c r="DU66"/>
  <c r="Q66"/>
  <c r="U66"/>
  <c r="BA66"/>
  <c r="P66"/>
  <c r="DC66"/>
  <c r="F66"/>
  <c r="DN66"/>
  <c r="W66"/>
  <c r="BJ66"/>
  <c r="CG66"/>
  <c r="CM66"/>
  <c r="CB66"/>
  <c r="BV66"/>
  <c r="BX66"/>
  <c r="CA66"/>
  <c r="R66"/>
  <c r="AO66"/>
  <c r="BQ66"/>
  <c r="BP66"/>
  <c r="BY66"/>
  <c r="CZ66"/>
  <c r="DF66"/>
  <c r="CU66"/>
  <c r="AQ66"/>
  <c r="BL66"/>
  <c r="CS66"/>
  <c r="DI66"/>
  <c r="CW66"/>
  <c r="BZ66"/>
  <c r="Y66"/>
  <c r="DQ66"/>
  <c r="DL66"/>
  <c r="CX66"/>
  <c r="AP66"/>
  <c r="S66"/>
  <c r="DS66"/>
  <c r="BR66"/>
  <c r="AI66"/>
  <c r="DD66"/>
  <c r="BG66"/>
  <c r="BN66"/>
  <c r="I66"/>
  <c r="O66"/>
  <c r="AV66"/>
  <c r="AL66"/>
  <c r="J66"/>
  <c r="CN66"/>
  <c r="CV66"/>
  <c r="AT66"/>
  <c r="DE66"/>
  <c r="AZ66"/>
  <c r="AW66"/>
  <c r="CT66"/>
  <c r="AA66"/>
  <c r="DG66"/>
  <c r="E66"/>
  <c r="DP66"/>
  <c r="BH66"/>
  <c r="BW66"/>
  <c r="AJ66"/>
  <c r="AU66"/>
  <c r="AF66"/>
  <c r="CQ66"/>
  <c r="CK66"/>
  <c r="BK66"/>
  <c r="BM66"/>
  <c r="CD66"/>
  <c r="DO66"/>
  <c r="H66"/>
  <c r="C66"/>
  <c r="AS24"/>
  <c r="R24"/>
  <c r="AF24"/>
  <c r="DO24"/>
  <c r="BY24"/>
  <c r="O24"/>
  <c r="CD24"/>
  <c r="BN24"/>
  <c r="AA24"/>
  <c r="CP24"/>
  <c r="DA24"/>
  <c r="BL24"/>
  <c r="CW24"/>
  <c r="BU24"/>
  <c r="AV24"/>
  <c r="DV24"/>
  <c r="BX24"/>
  <c r="X24"/>
  <c r="K24"/>
  <c r="DD24"/>
  <c r="BA24"/>
  <c r="DU24"/>
  <c r="AZ24"/>
  <c r="AG24"/>
  <c r="BW24"/>
  <c r="AY24"/>
  <c r="BC24"/>
  <c r="DC24"/>
  <c r="AK24"/>
  <c r="AC24"/>
  <c r="BH24"/>
  <c r="DL24"/>
  <c r="L24"/>
  <c r="S24"/>
  <c r="CS24"/>
  <c r="AU24"/>
  <c r="BK24"/>
  <c r="BG24"/>
  <c r="DR24"/>
  <c r="T24"/>
  <c r="CL24"/>
  <c r="CY24"/>
  <c r="H24"/>
  <c r="DS24"/>
  <c r="Y24"/>
  <c r="AN24"/>
  <c r="AE24"/>
  <c r="CK24"/>
  <c r="P24"/>
  <c r="AT24"/>
  <c r="W24"/>
  <c r="CB24"/>
  <c r="DM24"/>
  <c r="BT24"/>
  <c r="J24"/>
  <c r="CQ24"/>
  <c r="BP24"/>
  <c r="BE24"/>
  <c r="Z24"/>
  <c r="AL24"/>
  <c r="CH24"/>
  <c r="U24"/>
  <c r="E24"/>
  <c r="DG24"/>
  <c r="V24"/>
  <c r="F24"/>
  <c r="CO24"/>
  <c r="AD24"/>
  <c r="DF24"/>
  <c r="CA24"/>
  <c r="CE24"/>
  <c r="DJ24"/>
  <c r="BJ24"/>
  <c r="CX24"/>
  <c r="AI24"/>
  <c r="DK24"/>
  <c r="DB24"/>
  <c r="BS24"/>
  <c r="AW24"/>
  <c r="DI24"/>
  <c r="CI24"/>
  <c r="M24"/>
  <c r="BO24"/>
  <c r="AR24"/>
  <c r="AX24"/>
  <c r="DE24"/>
  <c r="BD24"/>
  <c r="CN24"/>
  <c r="BV24"/>
  <c r="BF24"/>
  <c r="CF24"/>
  <c r="BI24"/>
  <c r="DT24"/>
  <c r="CJ24"/>
  <c r="G24"/>
  <c r="CU24"/>
  <c r="AQ24"/>
  <c r="AJ24"/>
  <c r="DP24"/>
  <c r="I24"/>
  <c r="DH24"/>
  <c r="AP24"/>
  <c r="CR24"/>
  <c r="Q24"/>
  <c r="AB24"/>
  <c r="AH24"/>
  <c r="CZ24"/>
  <c r="DN24"/>
  <c r="CG24"/>
  <c r="BZ24"/>
  <c r="AM24"/>
  <c r="CM24"/>
  <c r="BM24"/>
  <c r="DQ24"/>
  <c r="CT24"/>
  <c r="AO24"/>
  <c r="CV24"/>
  <c r="CC24"/>
  <c r="BB24"/>
  <c r="BR24"/>
  <c r="N24"/>
  <c r="BQ24"/>
  <c r="C24"/>
  <c r="BX52"/>
  <c r="R52"/>
  <c r="V52"/>
  <c r="E52"/>
  <c r="AC52"/>
  <c r="M52"/>
  <c r="CE52"/>
  <c r="AH52"/>
  <c r="O52"/>
  <c r="S52"/>
  <c r="CM52"/>
  <c r="DK52"/>
  <c r="AG52"/>
  <c r="BB52"/>
  <c r="BN52"/>
  <c r="AQ52"/>
  <c r="X52"/>
  <c r="Y52"/>
  <c r="BI52"/>
  <c r="L52"/>
  <c r="BA52"/>
  <c r="DO52"/>
  <c r="BF52"/>
  <c r="AL52"/>
  <c r="DM52"/>
  <c r="W52"/>
  <c r="N52"/>
  <c r="CZ52"/>
  <c r="CD52"/>
  <c r="BM52"/>
  <c r="AB52"/>
  <c r="AE52"/>
  <c r="CG52"/>
  <c r="BY52"/>
  <c r="BS52"/>
  <c r="I52"/>
  <c r="DF52"/>
  <c r="DA52"/>
  <c r="CO52"/>
  <c r="J52"/>
  <c r="AP52"/>
  <c r="DR52"/>
  <c r="Q52"/>
  <c r="BU52"/>
  <c r="DC52"/>
  <c r="AM52"/>
  <c r="DE52"/>
  <c r="DP52"/>
  <c r="DB52"/>
  <c r="G52"/>
  <c r="BQ52"/>
  <c r="AI52"/>
  <c r="AU52"/>
  <c r="DN52"/>
  <c r="CN52"/>
  <c r="AZ52"/>
  <c r="BV52"/>
  <c r="DT52"/>
  <c r="BE52"/>
  <c r="BH52"/>
  <c r="DV52"/>
  <c r="CJ52"/>
  <c r="CH52"/>
  <c r="DU52"/>
  <c r="CB52"/>
  <c r="DS52"/>
  <c r="BK52"/>
  <c r="CT52"/>
  <c r="BW52"/>
  <c r="BC52"/>
  <c r="AJ52"/>
  <c r="AT52"/>
  <c r="P52"/>
  <c r="AS52"/>
  <c r="CL52"/>
  <c r="BR52"/>
  <c r="CR52"/>
  <c r="CF52"/>
  <c r="AO52"/>
  <c r="AY52"/>
  <c r="AF52"/>
  <c r="BT52"/>
  <c r="BD52"/>
  <c r="U52"/>
  <c r="AW52"/>
  <c r="AN52"/>
  <c r="AA52"/>
  <c r="CU52"/>
  <c r="AR52"/>
  <c r="DG52"/>
  <c r="CS52"/>
  <c r="DQ52"/>
  <c r="AV52"/>
  <c r="CC52"/>
  <c r="BO52"/>
  <c r="BJ52"/>
  <c r="CK52"/>
  <c r="CW52"/>
  <c r="Z52"/>
  <c r="CI52"/>
  <c r="AX52"/>
  <c r="K52"/>
  <c r="AD52"/>
  <c r="H52"/>
  <c r="DH52"/>
  <c r="DL52"/>
  <c r="CQ52"/>
  <c r="BG52"/>
  <c r="DI52"/>
  <c r="AK52"/>
  <c r="CY52"/>
  <c r="DD52"/>
  <c r="BP52"/>
  <c r="BL52"/>
  <c r="F52"/>
  <c r="CX52"/>
  <c r="CP52"/>
  <c r="T52"/>
  <c r="CA52"/>
  <c r="CV52"/>
  <c r="BZ52"/>
  <c r="DJ52"/>
  <c r="C52"/>
  <c r="CE74"/>
  <c r="CP74"/>
  <c r="CM74"/>
  <c r="I74"/>
  <c r="BP74"/>
  <c r="DU74"/>
  <c r="AB74"/>
  <c r="L74"/>
  <c r="BJ74"/>
  <c r="BG74"/>
  <c r="P74"/>
  <c r="BZ74"/>
  <c r="DR74"/>
  <c r="CW74"/>
  <c r="AZ74"/>
  <c r="AG74"/>
  <c r="BU74"/>
  <c r="DE74"/>
  <c r="U74"/>
  <c r="AM74"/>
  <c r="DG74"/>
  <c r="BL74"/>
  <c r="DQ74"/>
  <c r="DH74"/>
  <c r="BF74"/>
  <c r="Y74"/>
  <c r="CO74"/>
  <c r="BK74"/>
  <c r="H74"/>
  <c r="DV74"/>
  <c r="AO74"/>
  <c r="AJ74"/>
  <c r="AY74"/>
  <c r="DT74"/>
  <c r="AU74"/>
  <c r="AP74"/>
  <c r="BO74"/>
  <c r="BN74"/>
  <c r="E74"/>
  <c r="AA74"/>
  <c r="AW74"/>
  <c r="AT74"/>
  <c r="BT74"/>
  <c r="DO74"/>
  <c r="BI74"/>
  <c r="DJ74"/>
  <c r="O74"/>
  <c r="T74"/>
  <c r="CQ74"/>
  <c r="AE74"/>
  <c r="BR74"/>
  <c r="AH74"/>
  <c r="CA74"/>
  <c r="DB74"/>
  <c r="AD74"/>
  <c r="BC74"/>
  <c r="AS74"/>
  <c r="AX74"/>
  <c r="DF74"/>
  <c r="AF74"/>
  <c r="DS74"/>
  <c r="AC74"/>
  <c r="CL74"/>
  <c r="DL74"/>
  <c r="K74"/>
  <c r="DM74"/>
  <c r="DN74"/>
  <c r="CC74"/>
  <c r="BB74"/>
  <c r="AQ74"/>
  <c r="M74"/>
  <c r="DP74"/>
  <c r="BH74"/>
  <c r="CU74"/>
  <c r="CZ74"/>
  <c r="BM74"/>
  <c r="BD74"/>
  <c r="BA74"/>
  <c r="S74"/>
  <c r="J74"/>
  <c r="X74"/>
  <c r="W74"/>
  <c r="AV74"/>
  <c r="DC74"/>
  <c r="CJ74"/>
  <c r="DI74"/>
  <c r="CN74"/>
  <c r="BS74"/>
  <c r="Q74"/>
  <c r="DK74"/>
  <c r="AN74"/>
  <c r="CV74"/>
  <c r="CG74"/>
  <c r="BV74"/>
  <c r="DD74"/>
  <c r="AR74"/>
  <c r="AK74"/>
  <c r="DA74"/>
  <c r="CX74"/>
  <c r="Z74"/>
  <c r="CD74"/>
  <c r="BW74"/>
  <c r="CY74"/>
  <c r="BQ74"/>
  <c r="CI74"/>
  <c r="CH74"/>
  <c r="AI74"/>
  <c r="CR74"/>
  <c r="F74"/>
  <c r="CT74"/>
  <c r="AL74"/>
  <c r="BE74"/>
  <c r="BX74"/>
  <c r="CB74"/>
  <c r="V74"/>
  <c r="N74"/>
  <c r="CF74"/>
  <c r="BY74"/>
  <c r="CS74"/>
  <c r="G74"/>
  <c r="R74"/>
  <c r="CK74"/>
  <c r="C74"/>
  <c r="FJ1702"/>
  <c r="FF1702"/>
  <c r="FF2003"/>
  <c r="FJ2003"/>
  <c r="FF1850"/>
  <c r="FJ1850"/>
  <c r="FJ1762"/>
  <c r="FF1762"/>
  <c r="FJ1480"/>
  <c r="FF1480"/>
  <c r="FJ1856"/>
  <c r="FF1856"/>
  <c r="FF2282"/>
  <c r="FJ2282"/>
  <c r="FF1063"/>
  <c r="FJ1063"/>
  <c r="FJ1057"/>
  <c r="FF1057"/>
  <c r="FJ786"/>
  <c r="FF786"/>
  <c r="FF2334"/>
  <c r="FJ2334"/>
  <c r="FF1937"/>
  <c r="FJ1937"/>
  <c r="FJ583"/>
  <c r="FF583"/>
  <c r="FJ556"/>
  <c r="FF556"/>
  <c r="FJ2232"/>
  <c r="FF2232"/>
  <c r="FJ1903"/>
  <c r="FF1903"/>
  <c r="FJ989"/>
  <c r="FF989"/>
  <c r="FF1419"/>
  <c r="FJ1419"/>
  <c r="FF2489"/>
  <c r="FJ2489"/>
  <c r="FJ2451"/>
  <c r="FF2451"/>
  <c r="FF869"/>
  <c r="FJ869"/>
  <c r="FJ1590"/>
  <c r="FF1590"/>
  <c r="FF1046"/>
  <c r="FJ1046"/>
  <c r="FF523"/>
  <c r="FJ523"/>
  <c r="FJ2149"/>
  <c r="FF2149"/>
  <c r="FJ569"/>
  <c r="FF569"/>
  <c r="FJ1874"/>
  <c r="FF1874"/>
  <c r="FF1112"/>
  <c r="FJ1112"/>
  <c r="FJ1943"/>
  <c r="FF1943"/>
  <c r="FJ486"/>
  <c r="FF486"/>
  <c r="FF1139"/>
  <c r="FJ1139"/>
  <c r="FF1725"/>
  <c r="FJ1725"/>
  <c r="AB54"/>
  <c r="AK54"/>
  <c r="DL54"/>
  <c r="AS54"/>
  <c r="F54"/>
  <c r="CR54"/>
  <c r="N54"/>
  <c r="BU54"/>
  <c r="CH54"/>
  <c r="H54"/>
  <c r="BZ54"/>
  <c r="CF54"/>
  <c r="G54"/>
  <c r="Q54"/>
  <c r="CX54"/>
  <c r="CK54"/>
  <c r="CV54"/>
  <c r="AG54"/>
  <c r="BB54"/>
  <c r="BR54"/>
  <c r="AA54"/>
  <c r="U54"/>
  <c r="K54"/>
  <c r="BQ54"/>
  <c r="CU54"/>
  <c r="BS54"/>
  <c r="J54"/>
  <c r="X54"/>
  <c r="CM54"/>
  <c r="CZ54"/>
  <c r="AC54"/>
  <c r="BO54"/>
  <c r="E54"/>
  <c r="W54"/>
  <c r="AO54"/>
  <c r="AF54"/>
  <c r="DM54"/>
  <c r="AD54"/>
  <c r="DR54"/>
  <c r="AJ54"/>
  <c r="AM54"/>
  <c r="BW54"/>
  <c r="CQ54"/>
  <c r="CP54"/>
  <c r="BN54"/>
  <c r="BH54"/>
  <c r="L54"/>
  <c r="CJ54"/>
  <c r="DT54"/>
  <c r="R54"/>
  <c r="CS54"/>
  <c r="BE54"/>
  <c r="DG54"/>
  <c r="AZ54"/>
  <c r="CO54"/>
  <c r="AI54"/>
  <c r="BD54"/>
  <c r="AV54"/>
  <c r="DA54"/>
  <c r="BC54"/>
  <c r="CT54"/>
  <c r="DE54"/>
  <c r="DI54"/>
  <c r="AP54"/>
  <c r="CN54"/>
  <c r="CG54"/>
  <c r="AY54"/>
  <c r="BA54"/>
  <c r="DV54"/>
  <c r="DD54"/>
  <c r="AW54"/>
  <c r="BI54"/>
  <c r="DO54"/>
  <c r="CB54"/>
  <c r="DN54"/>
  <c r="AT54"/>
  <c r="DC54"/>
  <c r="I54"/>
  <c r="DS54"/>
  <c r="BF54"/>
  <c r="BJ54"/>
  <c r="AL54"/>
  <c r="AE54"/>
  <c r="Z54"/>
  <c r="BL54"/>
  <c r="DU54"/>
  <c r="Y54"/>
  <c r="CA54"/>
  <c r="BY54"/>
  <c r="CD54"/>
  <c r="CE54"/>
  <c r="CC54"/>
  <c r="T54"/>
  <c r="CI54"/>
  <c r="BP54"/>
  <c r="CL54"/>
  <c r="BT54"/>
  <c r="BM54"/>
  <c r="BX54"/>
  <c r="BV54"/>
  <c r="DB54"/>
  <c r="AH54"/>
  <c r="AU54"/>
  <c r="S54"/>
  <c r="DQ54"/>
  <c r="AQ54"/>
  <c r="P54"/>
  <c r="M54"/>
  <c r="DJ54"/>
  <c r="O54"/>
  <c r="CW54"/>
  <c r="BK54"/>
  <c r="DP54"/>
  <c r="V54"/>
  <c r="CY54"/>
  <c r="DF54"/>
  <c r="AN54"/>
  <c r="BG54"/>
  <c r="DK54"/>
  <c r="AX54"/>
  <c r="AR54"/>
  <c r="DH54"/>
  <c r="C54"/>
  <c r="DC7"/>
  <c r="DA7"/>
  <c r="BK7"/>
  <c r="DH7"/>
  <c r="DU7"/>
  <c r="BN7"/>
  <c r="CC7"/>
  <c r="CZ7"/>
  <c r="AT7"/>
  <c r="CB7"/>
  <c r="CL7"/>
  <c r="BI7"/>
  <c r="DR7"/>
  <c r="CY7"/>
  <c r="CH7"/>
  <c r="BA7"/>
  <c r="AP7"/>
  <c r="FF340" s="1"/>
  <c r="BG7"/>
  <c r="DD7"/>
  <c r="DL7"/>
  <c r="AN7"/>
  <c r="DJ7"/>
  <c r="AZ7"/>
  <c r="BP7"/>
  <c r="DM7"/>
  <c r="BV7"/>
  <c r="BW7"/>
  <c r="CA7"/>
  <c r="U7"/>
  <c r="BT7"/>
  <c r="BJ7"/>
  <c r="DP7"/>
  <c r="CX7"/>
  <c r="DS7"/>
  <c r="BQ7"/>
  <c r="BU7"/>
  <c r="DG7"/>
  <c r="DO7"/>
  <c r="CS7"/>
  <c r="CW7"/>
  <c r="CK7"/>
  <c r="CI7"/>
  <c r="DN7"/>
  <c r="CF7"/>
  <c r="DQ7"/>
  <c r="BL7"/>
  <c r="AV7"/>
  <c r="Y7"/>
  <c r="DE7"/>
  <c r="BC7"/>
  <c r="CE7"/>
  <c r="BS7"/>
  <c r="AY7"/>
  <c r="BD7"/>
  <c r="CU7"/>
  <c r="AU7"/>
  <c r="CM7"/>
  <c r="BB7"/>
  <c r="DF7"/>
  <c r="CJ7"/>
  <c r="CR7"/>
  <c r="DT7"/>
  <c r="CQ7"/>
  <c r="DB7"/>
  <c r="AX7"/>
  <c r="BY7"/>
  <c r="BX7"/>
  <c r="CP7"/>
  <c r="BM7"/>
  <c r="BO7"/>
  <c r="AS7"/>
  <c r="CG7"/>
  <c r="CO7"/>
  <c r="BF7"/>
  <c r="DV7"/>
  <c r="AW7"/>
  <c r="BH7"/>
  <c r="CT7"/>
  <c r="BE7"/>
  <c r="DK7"/>
  <c r="DI7"/>
  <c r="CD7"/>
  <c r="BZ7"/>
  <c r="CV7"/>
  <c r="CN7"/>
  <c r="BR7"/>
  <c r="C7"/>
  <c r="DK32"/>
  <c r="DA32"/>
  <c r="DI32"/>
  <c r="CI32"/>
  <c r="R32"/>
  <c r="CV32"/>
  <c r="BN32"/>
  <c r="BE32"/>
  <c r="AD32"/>
  <c r="CA32"/>
  <c r="AM32"/>
  <c r="AR32"/>
  <c r="CB32"/>
  <c r="CJ32"/>
  <c r="BB32"/>
  <c r="DS32"/>
  <c r="CS32"/>
  <c r="AT32"/>
  <c r="W32"/>
  <c r="Y32"/>
  <c r="CO32"/>
  <c r="Z32"/>
  <c r="BP32"/>
  <c r="AJ32"/>
  <c r="AQ32"/>
  <c r="CL32"/>
  <c r="BZ32"/>
  <c r="N32"/>
  <c r="BG32"/>
  <c r="BO32"/>
  <c r="CC32"/>
  <c r="DF32"/>
  <c r="AV32"/>
  <c r="I32"/>
  <c r="DG32"/>
  <c r="X32"/>
  <c r="DM32"/>
  <c r="BA32"/>
  <c r="DO32"/>
  <c r="DQ32"/>
  <c r="H32"/>
  <c r="CP32"/>
  <c r="CY32"/>
  <c r="DE32"/>
  <c r="BQ32"/>
  <c r="CD32"/>
  <c r="BL32"/>
  <c r="AP32"/>
  <c r="P32"/>
  <c r="DD32"/>
  <c r="DL32"/>
  <c r="CZ32"/>
  <c r="AS32"/>
  <c r="CU32"/>
  <c r="DC32"/>
  <c r="S32"/>
  <c r="L32"/>
  <c r="BY32"/>
  <c r="AG32"/>
  <c r="M32"/>
  <c r="CM32"/>
  <c r="T32"/>
  <c r="BR32"/>
  <c r="CH32"/>
  <c r="DB32"/>
  <c r="BX32"/>
  <c r="AX32"/>
  <c r="DR32"/>
  <c r="AH32"/>
  <c r="AU32"/>
  <c r="CG32"/>
  <c r="BI32"/>
  <c r="CF32"/>
  <c r="BC32"/>
  <c r="BS32"/>
  <c r="V32"/>
  <c r="BM32"/>
  <c r="BU32"/>
  <c r="DJ32"/>
  <c r="AW32"/>
  <c r="AZ32"/>
  <c r="CR32"/>
  <c r="AN32"/>
  <c r="U32"/>
  <c r="DU32"/>
  <c r="DV32"/>
  <c r="AL32"/>
  <c r="AF32"/>
  <c r="AB32"/>
  <c r="O32"/>
  <c r="CK32"/>
  <c r="BV32"/>
  <c r="CQ32"/>
  <c r="AY32"/>
  <c r="BH32"/>
  <c r="DN32"/>
  <c r="Q32"/>
  <c r="CW32"/>
  <c r="G32"/>
  <c r="CE32"/>
  <c r="BD32"/>
  <c r="DP32"/>
  <c r="DH32"/>
  <c r="BJ32"/>
  <c r="J32"/>
  <c r="BF32"/>
  <c r="E32"/>
  <c r="F32"/>
  <c r="BK32"/>
  <c r="DT32"/>
  <c r="AI32"/>
  <c r="AE32"/>
  <c r="AO32"/>
  <c r="AK32"/>
  <c r="BT32"/>
  <c r="CN32"/>
  <c r="K32"/>
  <c r="AA32"/>
  <c r="BW32"/>
  <c r="AC32"/>
  <c r="CT32"/>
  <c r="CX32"/>
  <c r="C32"/>
  <c r="DG84"/>
  <c r="BY84"/>
  <c r="BE84"/>
  <c r="DC84"/>
  <c r="BW84"/>
  <c r="CF84"/>
  <c r="Y84"/>
  <c r="CJ84"/>
  <c r="BO84"/>
  <c r="BM84"/>
  <c r="S84"/>
  <c r="DE84"/>
  <c r="BJ84"/>
  <c r="CL84"/>
  <c r="BF84"/>
  <c r="AM84"/>
  <c r="AT84"/>
  <c r="AH84"/>
  <c r="DO84"/>
  <c r="BA84"/>
  <c r="BV84"/>
  <c r="AY84"/>
  <c r="AU84"/>
  <c r="DV84"/>
  <c r="CA84"/>
  <c r="AR84"/>
  <c r="AL84"/>
  <c r="DU84"/>
  <c r="AF84"/>
  <c r="CZ84"/>
  <c r="CS84"/>
  <c r="Z84"/>
  <c r="CV84"/>
  <c r="DA84"/>
  <c r="AP84"/>
  <c r="AX84"/>
  <c r="G84"/>
  <c r="DH84"/>
  <c r="BI84"/>
  <c r="AB84"/>
  <c r="BH84"/>
  <c r="DF84"/>
  <c r="AE84"/>
  <c r="T84"/>
  <c r="DR84"/>
  <c r="BX84"/>
  <c r="CK84"/>
  <c r="BP84"/>
  <c r="AQ84"/>
  <c r="X84"/>
  <c r="AW84"/>
  <c r="AK84"/>
  <c r="DI84"/>
  <c r="CR84"/>
  <c r="W84"/>
  <c r="BS84"/>
  <c r="DM84"/>
  <c r="O84"/>
  <c r="BB84"/>
  <c r="V84"/>
  <c r="CT84"/>
  <c r="AD84"/>
  <c r="DB84"/>
  <c r="BK84"/>
  <c r="CU84"/>
  <c r="L84"/>
  <c r="J84"/>
  <c r="AJ84"/>
  <c r="AS84"/>
  <c r="DN84"/>
  <c r="CN84"/>
  <c r="M84"/>
  <c r="CO84"/>
  <c r="BZ84"/>
  <c r="AC84"/>
  <c r="AG84"/>
  <c r="CW84"/>
  <c r="BG84"/>
  <c r="BN84"/>
  <c r="DQ84"/>
  <c r="BC84"/>
  <c r="DJ84"/>
  <c r="U84"/>
  <c r="CG84"/>
  <c r="BT84"/>
  <c r="P84"/>
  <c r="CP84"/>
  <c r="DP84"/>
  <c r="BR84"/>
  <c r="CX84"/>
  <c r="BQ84"/>
  <c r="AN84"/>
  <c r="BU84"/>
  <c r="CH84"/>
  <c r="DT84"/>
  <c r="CE84"/>
  <c r="DS84"/>
  <c r="DL84"/>
  <c r="N84"/>
  <c r="BL84"/>
  <c r="AV84"/>
  <c r="R84"/>
  <c r="AO84"/>
  <c r="CM84"/>
  <c r="AA84"/>
  <c r="K84"/>
  <c r="CC84"/>
  <c r="CB84"/>
  <c r="E84"/>
  <c r="CI84"/>
  <c r="DD84"/>
  <c r="CD84"/>
  <c r="CY84"/>
  <c r="DK84"/>
  <c r="AI84"/>
  <c r="H84"/>
  <c r="Q84"/>
  <c r="AZ84"/>
  <c r="CQ84"/>
  <c r="BD84"/>
  <c r="I84"/>
  <c r="F84"/>
  <c r="C84"/>
  <c r="CJ36"/>
  <c r="X36"/>
  <c r="Z36"/>
  <c r="BA36"/>
  <c r="BO36"/>
  <c r="AK36"/>
  <c r="AX36"/>
  <c r="AU36"/>
  <c r="AD36"/>
  <c r="BK36"/>
  <c r="AJ36"/>
  <c r="CU36"/>
  <c r="J36"/>
  <c r="BR36"/>
  <c r="AQ36"/>
  <c r="DK36"/>
  <c r="L36"/>
  <c r="AT36"/>
  <c r="AH36"/>
  <c r="AS36"/>
  <c r="H36"/>
  <c r="DE36"/>
  <c r="DL36"/>
  <c r="DR36"/>
  <c r="DB36"/>
  <c r="BJ36"/>
  <c r="BF36"/>
  <c r="CF36"/>
  <c r="N36"/>
  <c r="K36"/>
  <c r="F36"/>
  <c r="BW36"/>
  <c r="CK36"/>
  <c r="AE36"/>
  <c r="R36"/>
  <c r="S36"/>
  <c r="CG36"/>
  <c r="CI36"/>
  <c r="BS36"/>
  <c r="DT36"/>
  <c r="CT36"/>
  <c r="DO36"/>
  <c r="AG36"/>
  <c r="BU36"/>
  <c r="CR36"/>
  <c r="BQ36"/>
  <c r="BY36"/>
  <c r="AI36"/>
  <c r="BZ36"/>
  <c r="Y36"/>
  <c r="P36"/>
  <c r="AM36"/>
  <c r="BB36"/>
  <c r="DU36"/>
  <c r="CA36"/>
  <c r="CS36"/>
  <c r="BP36"/>
  <c r="CY36"/>
  <c r="CO36"/>
  <c r="AL36"/>
  <c r="DJ36"/>
  <c r="Q36"/>
  <c r="W36"/>
  <c r="CE36"/>
  <c r="BI36"/>
  <c r="DF36"/>
  <c r="BE36"/>
  <c r="CW36"/>
  <c r="CC36"/>
  <c r="AB36"/>
  <c r="AC36"/>
  <c r="BC36"/>
  <c r="G36"/>
  <c r="BN36"/>
  <c r="V36"/>
  <c r="DN36"/>
  <c r="AA36"/>
  <c r="AZ36"/>
  <c r="DI36"/>
  <c r="BM36"/>
  <c r="DA36"/>
  <c r="CD36"/>
  <c r="CV36"/>
  <c r="CB36"/>
  <c r="CQ36"/>
  <c r="CX36"/>
  <c r="I36"/>
  <c r="AV36"/>
  <c r="CP36"/>
  <c r="BT36"/>
  <c r="O36"/>
  <c r="BV36"/>
  <c r="AO36"/>
  <c r="DH36"/>
  <c r="DG36"/>
  <c r="CH36"/>
  <c r="U36"/>
  <c r="AN36"/>
  <c r="DP36"/>
  <c r="DD36"/>
  <c r="DS36"/>
  <c r="CM36"/>
  <c r="AR36"/>
  <c r="BX36"/>
  <c r="CN36"/>
  <c r="DV36"/>
  <c r="AP36"/>
  <c r="AY36"/>
  <c r="BL36"/>
  <c r="E36"/>
  <c r="DM36"/>
  <c r="T36"/>
  <c r="AF36"/>
  <c r="BG36"/>
  <c r="CZ36"/>
  <c r="BD36"/>
  <c r="DC36"/>
  <c r="AW36"/>
  <c r="CL36"/>
  <c r="M36"/>
  <c r="BH36"/>
  <c r="DQ36"/>
  <c r="C36"/>
  <c r="CS5"/>
  <c r="DK5"/>
  <c r="DT5"/>
  <c r="CF5"/>
  <c r="CY5"/>
  <c r="DS5"/>
  <c r="DV5"/>
  <c r="CX5"/>
  <c r="DJ5"/>
  <c r="DQ5"/>
  <c r="DP5"/>
  <c r="DM5"/>
  <c r="DC5"/>
  <c r="DH5"/>
  <c r="DL5"/>
  <c r="CH5"/>
  <c r="DU5"/>
  <c r="DE5"/>
  <c r="DF5"/>
  <c r="DI5"/>
  <c r="DO5"/>
  <c r="DN5"/>
  <c r="DR5"/>
  <c r="DB5"/>
  <c r="DA5"/>
  <c r="DG5"/>
  <c r="CZ5"/>
  <c r="DD5"/>
  <c r="C5"/>
  <c r="AT44"/>
  <c r="DH44"/>
  <c r="AZ44"/>
  <c r="BY44"/>
  <c r="BD44"/>
  <c r="I44"/>
  <c r="DO44"/>
  <c r="CI44"/>
  <c r="DC44"/>
  <c r="AB44"/>
  <c r="E44"/>
  <c r="DT44"/>
  <c r="CQ44"/>
  <c r="BF44"/>
  <c r="AF44"/>
  <c r="CP44"/>
  <c r="CV44"/>
  <c r="BB44"/>
  <c r="CG44"/>
  <c r="BN44"/>
  <c r="P44"/>
  <c r="AP44"/>
  <c r="CH44"/>
  <c r="CT44"/>
  <c r="H44"/>
  <c r="DM44"/>
  <c r="BH44"/>
  <c r="BK44"/>
  <c r="CS44"/>
  <c r="CZ44"/>
  <c r="T44"/>
  <c r="CR44"/>
  <c r="K44"/>
  <c r="AO44"/>
  <c r="AL44"/>
  <c r="AW44"/>
  <c r="J44"/>
  <c r="L44"/>
  <c r="CF44"/>
  <c r="CC44"/>
  <c r="DJ44"/>
  <c r="BS44"/>
  <c r="BX44"/>
  <c r="BV44"/>
  <c r="M44"/>
  <c r="AR44"/>
  <c r="S44"/>
  <c r="BI44"/>
  <c r="BW44"/>
  <c r="BT44"/>
  <c r="AQ44"/>
  <c r="CM44"/>
  <c r="DS44"/>
  <c r="CN44"/>
  <c r="AY44"/>
  <c r="BU44"/>
  <c r="N44"/>
  <c r="F44"/>
  <c r="DU44"/>
  <c r="BL44"/>
  <c r="BZ44"/>
  <c r="CW44"/>
  <c r="AN44"/>
  <c r="CE44"/>
  <c r="O44"/>
  <c r="CD44"/>
  <c r="DD44"/>
  <c r="DR44"/>
  <c r="R44"/>
  <c r="DB44"/>
  <c r="U44"/>
  <c r="CA44"/>
  <c r="DE44"/>
  <c r="AJ44"/>
  <c r="AD44"/>
  <c r="BJ44"/>
  <c r="DG44"/>
  <c r="BA44"/>
  <c r="AM44"/>
  <c r="DN44"/>
  <c r="V44"/>
  <c r="AX44"/>
  <c r="Z44"/>
  <c r="DL44"/>
  <c r="G44"/>
  <c r="BP44"/>
  <c r="X44"/>
  <c r="DP44"/>
  <c r="DV44"/>
  <c r="Q44"/>
  <c r="W44"/>
  <c r="BR44"/>
  <c r="AI44"/>
  <c r="BM44"/>
  <c r="CX44"/>
  <c r="CK44"/>
  <c r="AC44"/>
  <c r="AU44"/>
  <c r="AH44"/>
  <c r="DQ44"/>
  <c r="DI44"/>
  <c r="CL44"/>
  <c r="BG44"/>
  <c r="CY44"/>
  <c r="AS44"/>
  <c r="Y44"/>
  <c r="DF44"/>
  <c r="DA44"/>
  <c r="AV44"/>
  <c r="CB44"/>
  <c r="BQ44"/>
  <c r="CU44"/>
  <c r="CO44"/>
  <c r="CJ44"/>
  <c r="AA44"/>
  <c r="BC44"/>
  <c r="BO44"/>
  <c r="DK44"/>
  <c r="AE44"/>
  <c r="BE44"/>
  <c r="AK44"/>
  <c r="AG44"/>
  <c r="C44"/>
  <c r="DM25"/>
  <c r="BL25"/>
  <c r="CK25"/>
  <c r="DQ25"/>
  <c r="CV25"/>
  <c r="AM25"/>
  <c r="CZ25"/>
  <c r="BR25"/>
  <c r="W25"/>
  <c r="BN25"/>
  <c r="DN25"/>
  <c r="CB25"/>
  <c r="DP25"/>
  <c r="CC25"/>
  <c r="CY25"/>
  <c r="CU25"/>
  <c r="AU25"/>
  <c r="BG25"/>
  <c r="AT25"/>
  <c r="AP25"/>
  <c r="BT25"/>
  <c r="BE25"/>
  <c r="CH25"/>
  <c r="BO25"/>
  <c r="DA25"/>
  <c r="Q25"/>
  <c r="CE25"/>
  <c r="BH25"/>
  <c r="DE25"/>
  <c r="BD25"/>
  <c r="BM25"/>
  <c r="CI25"/>
  <c r="BQ25"/>
  <c r="BJ25"/>
  <c r="AC25"/>
  <c r="CP25"/>
  <c r="K25"/>
  <c r="AK25"/>
  <c r="S25"/>
  <c r="BB25"/>
  <c r="DB25"/>
  <c r="BY25"/>
  <c r="AN25"/>
  <c r="DH25"/>
  <c r="CO25"/>
  <c r="X25"/>
  <c r="R25"/>
  <c r="F25"/>
  <c r="H25"/>
  <c r="BV25"/>
  <c r="DL25"/>
  <c r="AZ25"/>
  <c r="O25"/>
  <c r="L25"/>
  <c r="DR25"/>
  <c r="AH25"/>
  <c r="AS25"/>
  <c r="CD25"/>
  <c r="AY25"/>
  <c r="AL25"/>
  <c r="DD25"/>
  <c r="G25"/>
  <c r="DS25"/>
  <c r="AI25"/>
  <c r="V25"/>
  <c r="AG25"/>
  <c r="AJ25"/>
  <c r="BA25"/>
  <c r="BK25"/>
  <c r="AR25"/>
  <c r="DG25"/>
  <c r="CT25"/>
  <c r="CF25"/>
  <c r="AE25"/>
  <c r="BX25"/>
  <c r="BU25"/>
  <c r="BC25"/>
  <c r="DU25"/>
  <c r="AV25"/>
  <c r="CX25"/>
  <c r="U25"/>
  <c r="CR25"/>
  <c r="J25"/>
  <c r="AF25"/>
  <c r="CN25"/>
  <c r="DK25"/>
  <c r="DT25"/>
  <c r="BP25"/>
  <c r="CQ25"/>
  <c r="DJ25"/>
  <c r="M25"/>
  <c r="CJ25"/>
  <c r="AA25"/>
  <c r="CA25"/>
  <c r="AD25"/>
  <c r="T25"/>
  <c r="BF25"/>
  <c r="AW25"/>
  <c r="CM25"/>
  <c r="AX25"/>
  <c r="AO25"/>
  <c r="BI25"/>
  <c r="Z25"/>
  <c r="AQ25"/>
  <c r="DI25"/>
  <c r="E25"/>
  <c r="I25"/>
  <c r="CW25"/>
  <c r="DC25"/>
  <c r="BZ25"/>
  <c r="BS25"/>
  <c r="Y25"/>
  <c r="AB25"/>
  <c r="CG25"/>
  <c r="DO25"/>
  <c r="P25"/>
  <c r="DV25"/>
  <c r="DF25"/>
  <c r="BW25"/>
  <c r="N25"/>
  <c r="C25"/>
  <c r="CL25"/>
  <c r="CS25"/>
  <c r="FF966"/>
  <c r="FJ966"/>
  <c r="FF1487"/>
  <c r="FJ1487"/>
  <c r="FF861"/>
  <c r="FJ861"/>
  <c r="FJ2082"/>
  <c r="FF2082"/>
  <c r="FJ889"/>
  <c r="FF889"/>
  <c r="FJ1211"/>
  <c r="FF1211"/>
  <c r="FF1953"/>
  <c r="FJ1953"/>
  <c r="FJ2379"/>
  <c r="FF2379"/>
  <c r="FJ2293"/>
  <c r="FF2293"/>
  <c r="FJ1761"/>
  <c r="FF1761"/>
  <c r="FF691"/>
  <c r="FJ691"/>
  <c r="FF602"/>
  <c r="FJ602"/>
  <c r="FF2129"/>
  <c r="FJ2129"/>
  <c r="FF1193"/>
  <c r="FJ1193"/>
  <c r="FF1403"/>
  <c r="FJ1403"/>
  <c r="FJ1525"/>
  <c r="FF1525"/>
  <c r="FJ1284"/>
  <c r="FF1284"/>
  <c r="FJ1779"/>
  <c r="FF1779"/>
  <c r="FF1867"/>
  <c r="FJ1867"/>
  <c r="FF1228"/>
  <c r="FJ1228"/>
  <c r="FF1347"/>
  <c r="FJ1347"/>
  <c r="FJ2150"/>
  <c r="FF2150"/>
  <c r="FF1908"/>
  <c r="FJ1908"/>
  <c r="FJ1498"/>
  <c r="FF1498"/>
  <c r="FJ1453"/>
  <c r="FF1453"/>
  <c r="FF1741"/>
  <c r="FJ1741"/>
  <c r="FF1537"/>
  <c r="FJ1537"/>
  <c r="FJ2093"/>
  <c r="FF2093"/>
  <c r="FF548"/>
  <c r="FJ548"/>
  <c r="FF1804"/>
  <c r="FJ1804"/>
  <c r="FF1337"/>
  <c r="FJ1337"/>
  <c r="FF2262"/>
  <c r="FJ2262"/>
  <c r="FF922"/>
  <c r="FJ922"/>
  <c r="FJ2348"/>
  <c r="FF2348"/>
  <c r="FF825"/>
  <c r="FJ825"/>
  <c r="FJ2193"/>
  <c r="FF2193"/>
  <c r="FJ1888"/>
  <c r="FF1888"/>
  <c r="FJ582"/>
  <c r="FF582"/>
  <c r="FJ1111"/>
  <c r="FF1111"/>
  <c r="FF1417"/>
  <c r="FJ1417"/>
  <c r="FF1400"/>
  <c r="FJ1400"/>
  <c r="FF1667"/>
  <c r="FJ1667"/>
  <c r="FF1904"/>
  <c r="FJ1904"/>
  <c r="FJ1825"/>
  <c r="FF1825"/>
  <c r="FF2329"/>
  <c r="FJ2329"/>
  <c r="FJ2274"/>
  <c r="FF2274"/>
  <c r="FF1880"/>
  <c r="FJ1880"/>
  <c r="FF471"/>
  <c r="FF1345"/>
  <c r="FJ1345"/>
  <c r="FF796"/>
  <c r="FJ796"/>
  <c r="FJ1988"/>
  <c r="FF1988"/>
  <c r="FF1798"/>
  <c r="FJ1798"/>
  <c r="FF1889"/>
  <c r="FJ1889"/>
  <c r="FJ1835"/>
  <c r="FF1835"/>
  <c r="FF1922"/>
  <c r="FJ1922"/>
  <c r="FF1056"/>
  <c r="FJ1056"/>
  <c r="FF1860"/>
  <c r="FJ1860"/>
  <c r="FJ2426"/>
  <c r="FF2426"/>
  <c r="FJ698"/>
  <c r="FF698"/>
  <c r="FF1688"/>
  <c r="FJ1688"/>
  <c r="FJ1409"/>
  <c r="FF1409"/>
  <c r="FJ538"/>
  <c r="FF538"/>
  <c r="FJ2195"/>
  <c r="FF2195"/>
  <c r="FF1129"/>
  <c r="FJ1129"/>
  <c r="FF607"/>
  <c r="FJ607"/>
  <c r="FJ1424"/>
  <c r="FF1424"/>
  <c r="FF1995"/>
  <c r="FJ1995"/>
  <c r="FJ1808"/>
  <c r="FF1808"/>
  <c r="FF606"/>
  <c r="FJ606"/>
  <c r="FJ709"/>
  <c r="FF709"/>
  <c r="FF660"/>
  <c r="FJ660"/>
  <c r="FJ663"/>
  <c r="FF663"/>
  <c r="FF1930"/>
  <c r="FJ1930"/>
  <c r="FF1910"/>
  <c r="FJ1910"/>
  <c r="FJ1448"/>
  <c r="FF1448"/>
  <c r="FJ1044"/>
  <c r="FF1044"/>
  <c r="FJ832"/>
  <c r="FF832"/>
  <c r="FF445"/>
  <c r="FF1039"/>
  <c r="FJ1039"/>
  <c r="FJ1160"/>
  <c r="FF1160"/>
  <c r="FJ1250"/>
  <c r="FF1250"/>
  <c r="FJ2352"/>
  <c r="FF2352"/>
  <c r="FF1379"/>
  <c r="FJ1379"/>
  <c r="FJ1174"/>
  <c r="FF1174"/>
  <c r="FF807"/>
  <c r="FJ807"/>
  <c r="FJ1593"/>
  <c r="FF1593"/>
  <c r="FJ976"/>
  <c r="FF976"/>
  <c r="FJ2374"/>
  <c r="FF2374"/>
  <c r="FF1572"/>
  <c r="FJ1572"/>
  <c r="FF2019"/>
  <c r="FJ2019"/>
  <c r="FF2148"/>
  <c r="FJ2148"/>
  <c r="FJ1395"/>
  <c r="FF1395"/>
  <c r="FF1602"/>
  <c r="FJ1602"/>
  <c r="FJ1159"/>
  <c r="FF1159"/>
  <c r="FF661"/>
  <c r="FJ661"/>
  <c r="FJ1650"/>
  <c r="FF1650"/>
  <c r="FJ2255"/>
  <c r="FF2255"/>
  <c r="FJ650"/>
  <c r="FF650"/>
  <c r="FJ2106"/>
  <c r="FF2106"/>
  <c r="FF751"/>
  <c r="FJ751"/>
  <c r="FJ1219"/>
  <c r="FF1219"/>
  <c r="FJ1846"/>
  <c r="FF1846"/>
  <c r="FJ1980"/>
  <c r="FF1980"/>
  <c r="FJ1592"/>
  <c r="FF1592"/>
  <c r="FF2474"/>
  <c r="FJ2474"/>
  <c r="FF764"/>
  <c r="FJ764"/>
  <c r="FF1747"/>
  <c r="FJ1747"/>
  <c r="FF682"/>
  <c r="FJ682"/>
  <c r="FJ858"/>
  <c r="FF858"/>
  <c r="FF658"/>
  <c r="FJ658"/>
  <c r="FF2009"/>
  <c r="FJ2009"/>
  <c r="FJ2298"/>
  <c r="FF2298"/>
  <c r="FJ1912"/>
  <c r="FF1912"/>
  <c r="FJ2227"/>
  <c r="FF2227"/>
  <c r="FF1746"/>
  <c r="FJ1746"/>
  <c r="FF466"/>
  <c r="FJ1901"/>
  <c r="FF1901"/>
  <c r="FF1715"/>
  <c r="FJ1715"/>
  <c r="FJ1681"/>
  <c r="FF1681"/>
  <c r="FJ1202"/>
  <c r="FF1202"/>
  <c r="FJ2133"/>
  <c r="FF2133"/>
  <c r="FJ2261"/>
  <c r="FF2261"/>
  <c r="FF1166"/>
  <c r="FJ1166"/>
  <c r="FJ1113"/>
  <c r="FF1113"/>
  <c r="FF902"/>
  <c r="FJ902"/>
  <c r="FJ2341"/>
  <c r="FF2341"/>
  <c r="FF567"/>
  <c r="FJ567"/>
  <c r="FF1230"/>
  <c r="FJ1230"/>
  <c r="FF1634"/>
  <c r="FJ1634"/>
  <c r="FF1815"/>
  <c r="FJ1815"/>
  <c r="FJ2291"/>
  <c r="FF2291"/>
  <c r="FJ2328"/>
  <c r="FF2328"/>
  <c r="FF528"/>
  <c r="FJ528"/>
  <c r="FJ1933"/>
  <c r="FF1933"/>
  <c r="FJ2343"/>
  <c r="FF2343"/>
  <c r="FF377"/>
  <c r="FJ1329"/>
  <c r="FF1329"/>
  <c r="FF1323"/>
  <c r="FJ1323"/>
  <c r="FJ1259"/>
  <c r="FF1259"/>
  <c r="FJ1645"/>
  <c r="FF1645"/>
  <c r="FJ2211"/>
  <c r="FF2211"/>
  <c r="FF1869"/>
  <c r="FJ1869"/>
  <c r="FF926"/>
  <c r="FJ926"/>
  <c r="FF1016"/>
  <c r="FJ1016"/>
  <c r="FJ1470"/>
  <c r="FF1470"/>
  <c r="FJ1234"/>
  <c r="FF1234"/>
  <c r="FF1475"/>
  <c r="FJ1475"/>
  <c r="FF422"/>
  <c r="FJ722"/>
  <c r="FF722"/>
  <c r="FF2407"/>
  <c r="FJ2407"/>
  <c r="FF2384"/>
  <c r="FJ2384"/>
  <c r="FJ1178"/>
  <c r="FF1178"/>
  <c r="FF1432"/>
  <c r="FJ1432"/>
  <c r="FF2367"/>
  <c r="FJ2367"/>
  <c r="FF933"/>
  <c r="FJ933"/>
  <c r="FF1467"/>
  <c r="FJ1467"/>
  <c r="FF694"/>
  <c r="FJ694"/>
  <c r="FJ1527"/>
  <c r="FF1527"/>
  <c r="FF717"/>
  <c r="FJ717"/>
  <c r="FJ2033"/>
  <c r="FF2033"/>
  <c r="FJ2417"/>
  <c r="FF2417"/>
  <c r="FJ1551"/>
  <c r="FF1551"/>
  <c r="FJ558"/>
  <c r="FF558"/>
  <c r="FF1192"/>
  <c r="FJ1192"/>
  <c r="FF962"/>
  <c r="FJ962"/>
  <c r="FF716"/>
  <c r="FJ716"/>
  <c r="FJ1124"/>
  <c r="FF1124"/>
  <c r="FF1110"/>
  <c r="FJ1110"/>
  <c r="FJ1819"/>
  <c r="FF1819"/>
  <c r="FF1845"/>
  <c r="FJ1845"/>
  <c r="FJ1478"/>
  <c r="FF1478"/>
  <c r="FJ2475"/>
  <c r="FF2475"/>
  <c r="FF1117"/>
  <c r="FJ1117"/>
  <c r="FF1863"/>
  <c r="FJ1863"/>
  <c r="FF702"/>
  <c r="FJ702"/>
  <c r="FJ965"/>
  <c r="FF965"/>
  <c r="FJ2346"/>
  <c r="FF2346"/>
  <c r="FF783"/>
  <c r="FJ783"/>
  <c r="FJ1386"/>
  <c r="FF1386"/>
  <c r="FJ670"/>
  <c r="FF670"/>
  <c r="FF1229"/>
  <c r="FJ1229"/>
  <c r="FJ1253"/>
  <c r="FF1253"/>
  <c r="FJ2001"/>
  <c r="FF2001"/>
  <c r="FJ1249"/>
  <c r="FF1249"/>
  <c r="FJ1163"/>
  <c r="FF1163"/>
  <c r="FF451"/>
  <c r="FJ925"/>
  <c r="FF925"/>
  <c r="FJ692"/>
  <c r="FF692"/>
  <c r="FF428"/>
  <c r="FF1271"/>
  <c r="FJ1271"/>
  <c r="FJ1362"/>
  <c r="FF1362"/>
  <c r="FJ1027"/>
  <c r="FF1027"/>
  <c r="FJ2209"/>
  <c r="FF2209"/>
  <c r="FJ910"/>
  <c r="FF910"/>
  <c r="FJ890"/>
  <c r="FF890"/>
  <c r="FF1772"/>
  <c r="FJ1772"/>
  <c r="FF478"/>
  <c r="FF1151"/>
  <c r="FJ1151"/>
  <c r="FJ1541"/>
  <c r="FF1541"/>
  <c r="FJ790"/>
  <c r="FF790"/>
  <c r="FJ484"/>
  <c r="FF484"/>
  <c r="FF700"/>
  <c r="FJ700"/>
  <c r="FF1354"/>
  <c r="FJ1354"/>
  <c r="FJ2420"/>
  <c r="FF2420"/>
  <c r="FF624"/>
  <c r="FJ624"/>
  <c r="FJ1079"/>
  <c r="FF1079"/>
  <c r="FF919"/>
  <c r="FJ919"/>
  <c r="FF1595"/>
  <c r="FJ1595"/>
  <c r="FJ2323"/>
  <c r="FF2323"/>
  <c r="FJ1334"/>
  <c r="FF1334"/>
  <c r="FJ1619"/>
  <c r="FF1619"/>
  <c r="FF1599"/>
  <c r="FJ1599"/>
  <c r="FF1842"/>
  <c r="FJ1842"/>
  <c r="FF1458"/>
  <c r="FJ1458"/>
  <c r="FF1390"/>
  <c r="FJ1390"/>
  <c r="FF2497"/>
  <c r="FJ2497"/>
  <c r="FJ1233"/>
  <c r="FF1233"/>
  <c r="FF510"/>
  <c r="FJ510"/>
  <c r="FF623"/>
  <c r="FJ623"/>
  <c r="FF1793"/>
  <c r="FJ1793"/>
  <c r="FJ649"/>
  <c r="FF649"/>
  <c r="FF594"/>
  <c r="FJ594"/>
  <c r="FJ1412"/>
  <c r="FF1412"/>
  <c r="FF615"/>
  <c r="FJ615"/>
  <c r="FF646"/>
  <c r="FJ646"/>
  <c r="FF1767"/>
  <c r="FJ1767"/>
  <c r="FJ2027"/>
  <c r="FF2027"/>
  <c r="FF1402"/>
  <c r="FJ1402"/>
  <c r="FJ560"/>
  <c r="FF560"/>
  <c r="FJ576"/>
  <c r="FF576"/>
  <c r="FF479"/>
  <c r="FJ2139"/>
  <c r="FF2139"/>
  <c r="FF1465"/>
  <c r="FJ1465"/>
  <c r="FF981"/>
  <c r="FJ981"/>
  <c r="FF799"/>
  <c r="FJ799"/>
  <c r="FF1665"/>
  <c r="FJ1665"/>
  <c r="FJ575"/>
  <c r="FF575"/>
  <c r="FJ566"/>
  <c r="FF566"/>
  <c r="FJ2007"/>
  <c r="FF2007"/>
  <c r="FF1520"/>
  <c r="FJ1520"/>
  <c r="FF1342"/>
  <c r="FJ1342"/>
  <c r="FJ2315"/>
  <c r="FF2315"/>
  <c r="FJ2392"/>
  <c r="FF2392"/>
  <c r="FF462"/>
  <c r="FJ2313"/>
  <c r="FF2313"/>
  <c r="FF747"/>
  <c r="FJ747"/>
  <c r="FJ635"/>
  <c r="FF635"/>
  <c r="FF2365"/>
  <c r="FJ2365"/>
  <c r="FF491"/>
  <c r="FJ491"/>
  <c r="FF539"/>
  <c r="FJ539"/>
  <c r="FJ545"/>
  <c r="FF545"/>
  <c r="FF2140"/>
  <c r="FJ2140"/>
  <c r="FJ886"/>
  <c r="FF886"/>
  <c r="FJ2447"/>
  <c r="FF2447"/>
  <c r="FJ1070"/>
  <c r="FF1070"/>
  <c r="FF2427"/>
  <c r="FJ2427"/>
  <c r="FJ1490"/>
  <c r="FF1490"/>
  <c r="FF971"/>
  <c r="FJ971"/>
  <c r="FJ1361"/>
  <c r="FF1361"/>
  <c r="FJ829"/>
  <c r="FF829"/>
  <c r="FJ1494"/>
  <c r="FF1494"/>
  <c r="FJ2091"/>
  <c r="FF2091"/>
  <c r="FF942"/>
  <c r="FJ942"/>
  <c r="FF1388"/>
  <c r="FJ1388"/>
  <c r="FF1385"/>
  <c r="FJ1385"/>
  <c r="FF1130"/>
  <c r="FJ1130"/>
  <c r="FJ2347"/>
  <c r="FF2347"/>
  <c r="FJ1865"/>
  <c r="FF1865"/>
  <c r="FF2240"/>
  <c r="FJ2240"/>
  <c r="FF1881"/>
  <c r="FJ1881"/>
  <c r="FF1528"/>
  <c r="FJ1528"/>
  <c r="FF2054"/>
  <c r="FJ2054"/>
  <c r="FJ1548"/>
  <c r="FF1548"/>
  <c r="FJ1946"/>
  <c r="FF1946"/>
  <c r="FF2304"/>
  <c r="FJ2304"/>
  <c r="FJ768"/>
  <c r="FF768"/>
  <c r="FJ1184"/>
  <c r="FF1184"/>
  <c r="FF469"/>
  <c r="FJ614"/>
  <c r="FF614"/>
  <c r="FF1562"/>
  <c r="FJ1562"/>
  <c r="FF1092"/>
  <c r="FJ1092"/>
  <c r="FJ2125"/>
  <c r="FF2125"/>
  <c r="FJ1670"/>
  <c r="FF1670"/>
  <c r="FJ1763"/>
  <c r="FF1763"/>
  <c r="FF1242"/>
  <c r="FJ1242"/>
  <c r="FJ515"/>
  <c r="FF515"/>
  <c r="FJ1263"/>
  <c r="FF1263"/>
  <c r="FF2048"/>
  <c r="FJ2048"/>
  <c r="FF1614"/>
  <c r="FJ1614"/>
  <c r="FF917"/>
  <c r="FJ917"/>
  <c r="FF1936"/>
  <c r="FJ1936"/>
  <c r="FF384"/>
  <c r="FJ1008"/>
  <c r="FF1008"/>
  <c r="FJ1668"/>
  <c r="FF1668"/>
  <c r="FJ1040"/>
  <c r="FF1040"/>
  <c r="FF1018"/>
  <c r="FJ1018"/>
  <c r="FJ2157"/>
  <c r="FF2157"/>
  <c r="FJ2043"/>
  <c r="FF2043"/>
  <c r="FF1696"/>
  <c r="FJ1696"/>
  <c r="FJ1596"/>
  <c r="FF1596"/>
  <c r="FJ2317"/>
  <c r="FF2317"/>
  <c r="FJ1463"/>
  <c r="FF1463"/>
  <c r="FF1515"/>
  <c r="FJ1515"/>
  <c r="FF1748"/>
  <c r="FJ1748"/>
  <c r="FJ1283"/>
  <c r="FF1283"/>
  <c r="FJ1934"/>
  <c r="FF1934"/>
  <c r="FF527"/>
  <c r="FJ527"/>
  <c r="FJ1961"/>
  <c r="FF1961"/>
  <c r="FJ1304"/>
  <c r="FF1304"/>
  <c r="FF1024"/>
  <c r="FJ1024"/>
  <c r="FF1991"/>
  <c r="FJ1991"/>
  <c r="FJ2296"/>
  <c r="FF2296"/>
  <c r="FF551"/>
  <c r="FJ551"/>
  <c r="FF1894"/>
  <c r="FJ1894"/>
  <c r="FF1179"/>
  <c r="FJ1179"/>
  <c r="FJ2071"/>
  <c r="FF2071"/>
  <c r="FJ501"/>
  <c r="FF501"/>
  <c r="FJ1377"/>
  <c r="FF1377"/>
  <c r="FF1181"/>
  <c r="FJ1181"/>
  <c r="FF2154"/>
  <c r="FJ2154"/>
  <c r="FJ574"/>
  <c r="FF574"/>
  <c r="FF2356"/>
  <c r="FJ2356"/>
  <c r="FF2226"/>
  <c r="FJ2226"/>
  <c r="FJ1568"/>
  <c r="FF1568"/>
  <c r="FF572"/>
  <c r="FJ572"/>
  <c r="FF749"/>
  <c r="FJ749"/>
  <c r="FJ2178"/>
  <c r="FF2178"/>
  <c r="FF2035"/>
  <c r="FJ2035"/>
  <c r="FF2464"/>
  <c r="FJ2464"/>
  <c r="FJ1837"/>
  <c r="FF1837"/>
  <c r="FJ2189"/>
  <c r="FF2189"/>
  <c r="FJ779"/>
  <c r="FF779"/>
  <c r="FJ1617"/>
  <c r="FF1617"/>
  <c r="FJ1853"/>
  <c r="FF1853"/>
  <c r="FJ561"/>
  <c r="FF561"/>
  <c r="FF2419"/>
  <c r="FJ2419"/>
  <c r="FF647"/>
  <c r="FJ647"/>
  <c r="FJ959"/>
  <c r="FF959"/>
  <c r="FJ1217"/>
  <c r="FF1217"/>
  <c r="FF1778"/>
  <c r="FJ1778"/>
  <c r="FJ1481"/>
  <c r="FF1481"/>
  <c r="FF907"/>
  <c r="FJ907"/>
  <c r="FF2321"/>
  <c r="FJ2321"/>
  <c r="FF2429"/>
  <c r="FJ2429"/>
  <c r="FJ2223"/>
  <c r="FF2223"/>
  <c r="FF659"/>
  <c r="FJ659"/>
  <c r="FJ1553"/>
  <c r="FF1553"/>
  <c r="FJ912"/>
  <c r="FF912"/>
  <c r="FJ1167"/>
  <c r="FF1167"/>
  <c r="FJ1620"/>
  <c r="FF1620"/>
  <c r="FF1958"/>
  <c r="FJ1958"/>
  <c r="FJ743"/>
  <c r="FF743"/>
  <c r="FJ1758"/>
  <c r="FF1758"/>
  <c r="FF1021"/>
  <c r="FJ1021"/>
  <c r="FJ546"/>
  <c r="FF546"/>
  <c r="FF1032"/>
  <c r="FJ1032"/>
  <c r="FF737"/>
  <c r="FJ737"/>
  <c r="FF824"/>
  <c r="FJ824"/>
  <c r="FF480"/>
  <c r="FF1864"/>
  <c r="FJ1864"/>
  <c r="FF1357"/>
  <c r="FJ1357"/>
  <c r="FF2228"/>
  <c r="FJ2228"/>
  <c r="FF1001"/>
  <c r="FJ1001"/>
  <c r="FF1765"/>
  <c r="FJ1765"/>
  <c r="FJ2300"/>
  <c r="FF2300"/>
  <c r="FF2486"/>
  <c r="FJ2486"/>
  <c r="FJ2032"/>
  <c r="FF2032"/>
  <c r="FF1559"/>
  <c r="FJ1559"/>
  <c r="FF2170"/>
  <c r="FJ2170"/>
  <c r="FF2077"/>
  <c r="FJ2077"/>
  <c r="FJ1210"/>
  <c r="FF1210"/>
  <c r="FJ1246"/>
  <c r="FF1246"/>
  <c r="FF2310"/>
  <c r="FJ2310"/>
  <c r="FJ713"/>
  <c r="FF713"/>
  <c r="FJ2386"/>
  <c r="FF2386"/>
  <c r="FF2143"/>
  <c r="FJ2143"/>
  <c r="FJ627"/>
  <c r="FF627"/>
  <c r="FJ2146"/>
  <c r="FF2146"/>
  <c r="FJ2491"/>
  <c r="FF2491"/>
  <c r="FF1338"/>
  <c r="FJ1338"/>
  <c r="FF1468"/>
  <c r="FJ1468"/>
  <c r="FF1301"/>
  <c r="FJ1301"/>
  <c r="FF2478"/>
  <c r="FJ2478"/>
  <c r="FJ1132"/>
  <c r="FF1132"/>
  <c r="FF1366"/>
  <c r="FJ1366"/>
  <c r="FF820"/>
  <c r="FJ820"/>
  <c r="FF758"/>
  <c r="FJ758"/>
  <c r="FJ2337"/>
  <c r="FF2337"/>
  <c r="FJ841"/>
  <c r="FF841"/>
  <c r="FJ781"/>
  <c r="FF781"/>
  <c r="FF804"/>
  <c r="FJ804"/>
  <c r="FF438"/>
  <c r="FF1435"/>
  <c r="FJ1435"/>
  <c r="FF571"/>
  <c r="FJ571"/>
  <c r="FJ763"/>
  <c r="FF763"/>
  <c r="FJ2303"/>
  <c r="FF2303"/>
  <c r="FJ1694"/>
  <c r="FF1694"/>
  <c r="FF2183"/>
  <c r="FJ2183"/>
  <c r="FJ2069"/>
  <c r="FF2069"/>
  <c r="FF1449"/>
  <c r="FJ1449"/>
  <c r="FJ2046"/>
  <c r="FF2046"/>
  <c r="FF1491"/>
  <c r="FJ1491"/>
  <c r="FF1613"/>
  <c r="FJ1613"/>
  <c r="FF429"/>
  <c r="FF1766"/>
  <c r="FJ1766"/>
  <c r="FF1457"/>
  <c r="FJ1457"/>
  <c r="FF544"/>
  <c r="FJ544"/>
  <c r="FF1854"/>
  <c r="FJ1854"/>
  <c r="FJ2299"/>
  <c r="FF2299"/>
  <c r="FF1751"/>
  <c r="FJ1751"/>
  <c r="FF446"/>
  <c r="FF1898"/>
  <c r="FJ1898"/>
  <c r="FJ2460"/>
  <c r="FF2460"/>
  <c r="FF2402"/>
  <c r="FJ2402"/>
  <c r="FF629"/>
  <c r="FJ629"/>
  <c r="FF761"/>
  <c r="FJ761"/>
  <c r="FF1507"/>
  <c r="FJ1507"/>
  <c r="FJ1441"/>
  <c r="FF1441"/>
  <c r="FF1014"/>
  <c r="FJ1014"/>
  <c r="FF634"/>
  <c r="FJ634"/>
  <c r="FJ531"/>
  <c r="FF531"/>
  <c r="FF1540"/>
  <c r="FJ1540"/>
  <c r="FF1257"/>
  <c r="FJ1257"/>
  <c r="FF2434"/>
  <c r="FJ2434"/>
  <c r="FJ2408"/>
  <c r="FF2408"/>
  <c r="FJ1947"/>
  <c r="FF1947"/>
  <c r="FJ2207"/>
  <c r="FF2207"/>
  <c r="FF2041"/>
  <c r="FJ2041"/>
  <c r="FJ2169"/>
  <c r="FF2169"/>
  <c r="FJ640"/>
  <c r="FF640"/>
  <c r="FJ916"/>
  <c r="FF916"/>
  <c r="FJ2456"/>
  <c r="FF2456"/>
  <c r="FJ1428"/>
  <c r="FF1428"/>
  <c r="FF2104"/>
  <c r="FJ2104"/>
  <c r="FJ2272"/>
  <c r="FF2272"/>
  <c r="FF1742"/>
  <c r="FJ1742"/>
  <c r="FF1084"/>
  <c r="FJ1084"/>
  <c r="FF1261"/>
  <c r="FJ1261"/>
  <c r="FF1321"/>
  <c r="FJ1321"/>
  <c r="FF759"/>
  <c r="FJ759"/>
  <c r="FF2044"/>
  <c r="FJ2044"/>
  <c r="FF2160"/>
  <c r="FJ2160"/>
  <c r="FJ788"/>
  <c r="FF788"/>
  <c r="FJ1538"/>
  <c r="FF1538"/>
  <c r="FF1972"/>
  <c r="FJ1972"/>
  <c r="FF1535"/>
  <c r="FJ1535"/>
  <c r="FJ2260"/>
  <c r="FF2260"/>
  <c r="FF2124"/>
  <c r="FJ2124"/>
  <c r="FJ1330"/>
  <c r="FF1330"/>
  <c r="FF598"/>
  <c r="FJ598"/>
  <c r="FF1168"/>
  <c r="FJ1168"/>
  <c r="FJ2092"/>
  <c r="FF2092"/>
  <c r="FF1686"/>
  <c r="FJ1686"/>
  <c r="FF687"/>
  <c r="FJ687"/>
  <c r="FF876"/>
  <c r="FJ876"/>
  <c r="FF1073"/>
  <c r="FJ1073"/>
  <c r="FF1291"/>
  <c r="FJ1291"/>
  <c r="FF2251"/>
  <c r="FJ2251"/>
  <c r="FJ1684"/>
  <c r="FF1684"/>
  <c r="FJ1674"/>
  <c r="FF1674"/>
  <c r="FF2454"/>
  <c r="FJ2454"/>
  <c r="FF2249"/>
  <c r="FJ2249"/>
  <c r="FF601"/>
  <c r="FJ601"/>
  <c r="FF2042"/>
  <c r="FJ2042"/>
  <c r="FJ2288"/>
  <c r="FF2288"/>
  <c r="FF1064"/>
  <c r="FJ1064"/>
  <c r="FJ2363"/>
  <c r="FF2363"/>
  <c r="FF2186"/>
  <c r="FJ2186"/>
  <c r="FJ1813"/>
  <c r="FF1813"/>
  <c r="FJ1923"/>
  <c r="FF1923"/>
  <c r="FF2013"/>
  <c r="FJ2013"/>
  <c r="FJ487"/>
  <c r="FF487"/>
  <c r="FJ1524"/>
  <c r="FF1524"/>
  <c r="FJ740"/>
  <c r="FF740"/>
  <c r="FF1809"/>
  <c r="FJ1809"/>
  <c r="BG13"/>
  <c r="AC13"/>
  <c r="AF13"/>
  <c r="BA13"/>
  <c r="CY13"/>
  <c r="CO13"/>
  <c r="DQ13"/>
  <c r="BF13"/>
  <c r="BE13"/>
  <c r="DM13"/>
  <c r="DH13"/>
  <c r="DL13"/>
  <c r="BM13"/>
  <c r="DT13"/>
  <c r="CJ13"/>
  <c r="BH13"/>
  <c r="DF13"/>
  <c r="BL13"/>
  <c r="CA13"/>
  <c r="AS13"/>
  <c r="FF413" s="1"/>
  <c r="BT13"/>
  <c r="DN13"/>
  <c r="BB13"/>
  <c r="CX13"/>
  <c r="BY13"/>
  <c r="CV13"/>
  <c r="BR13"/>
  <c r="DC13"/>
  <c r="CQ13"/>
  <c r="CC13"/>
  <c r="CL13"/>
  <c r="CZ13"/>
  <c r="DR13"/>
  <c r="CM13"/>
  <c r="CG13"/>
  <c r="DJ13"/>
  <c r="DE13"/>
  <c r="CU13"/>
  <c r="BC13"/>
  <c r="CI13"/>
  <c r="DI13"/>
  <c r="BW13"/>
  <c r="BV13"/>
  <c r="CE13"/>
  <c r="AR13"/>
  <c r="FF403" s="1"/>
  <c r="BK13"/>
  <c r="AX13"/>
  <c r="AV13"/>
  <c r="DO13"/>
  <c r="DK13"/>
  <c r="CB13"/>
  <c r="AH13"/>
  <c r="DU13"/>
  <c r="CW13"/>
  <c r="AP13"/>
  <c r="BJ13"/>
  <c r="AN13"/>
  <c r="CS13"/>
  <c r="BX13"/>
  <c r="BQ13"/>
  <c r="CP13"/>
  <c r="AO13"/>
  <c r="FF373" s="1"/>
  <c r="BU13"/>
  <c r="AY13"/>
  <c r="CR13"/>
  <c r="CK13"/>
  <c r="AU13"/>
  <c r="DS13"/>
  <c r="BO13"/>
  <c r="CF13"/>
  <c r="DD13"/>
  <c r="BN13"/>
  <c r="CD13"/>
  <c r="CN13"/>
  <c r="CT13"/>
  <c r="DP13"/>
  <c r="CH13"/>
  <c r="DA13"/>
  <c r="DG13"/>
  <c r="AG13"/>
  <c r="BZ13"/>
  <c r="AT13"/>
  <c r="FF418" s="1"/>
  <c r="AZ13"/>
  <c r="BS13"/>
  <c r="DV13"/>
  <c r="BD13"/>
  <c r="AW13"/>
  <c r="DB13"/>
  <c r="BI13"/>
  <c r="BP13"/>
  <c r="C13"/>
  <c r="BD76"/>
  <c r="AH76"/>
  <c r="CT76"/>
  <c r="AI76"/>
  <c r="J76"/>
  <c r="BS76"/>
  <c r="DG76"/>
  <c r="BN76"/>
  <c r="AV76"/>
  <c r="CL76"/>
  <c r="V76"/>
  <c r="CQ76"/>
  <c r="CS76"/>
  <c r="AE76"/>
  <c r="BF76"/>
  <c r="CI76"/>
  <c r="R76"/>
  <c r="AK76"/>
  <c r="DK76"/>
  <c r="BC76"/>
  <c r="T76"/>
  <c r="BB76"/>
  <c r="CJ76"/>
  <c r="CZ76"/>
  <c r="DP76"/>
  <c r="CD76"/>
  <c r="DI76"/>
  <c r="DJ76"/>
  <c r="CX76"/>
  <c r="AR76"/>
  <c r="CH76"/>
  <c r="G76"/>
  <c r="BG76"/>
  <c r="AU76"/>
  <c r="F76"/>
  <c r="AW76"/>
  <c r="CY76"/>
  <c r="CE76"/>
  <c r="AD76"/>
  <c r="BV76"/>
  <c r="BK76"/>
  <c r="AS76"/>
  <c r="AX76"/>
  <c r="AJ76"/>
  <c r="BP76"/>
  <c r="U76"/>
  <c r="BI76"/>
  <c r="CO76"/>
  <c r="P76"/>
  <c r="DL76"/>
  <c r="BE76"/>
  <c r="AL76"/>
  <c r="BM76"/>
  <c r="CP76"/>
  <c r="BX76"/>
  <c r="CN76"/>
  <c r="DF76"/>
  <c r="DE76"/>
  <c r="CF76"/>
  <c r="CW76"/>
  <c r="DS76"/>
  <c r="Y76"/>
  <c r="BR76"/>
  <c r="BT76"/>
  <c r="DB76"/>
  <c r="BQ76"/>
  <c r="M76"/>
  <c r="CB76"/>
  <c r="I76"/>
  <c r="DD76"/>
  <c r="AN76"/>
  <c r="DM76"/>
  <c r="DA76"/>
  <c r="AA76"/>
  <c r="O76"/>
  <c r="AC76"/>
  <c r="H76"/>
  <c r="BZ76"/>
  <c r="CR76"/>
  <c r="DU76"/>
  <c r="Z76"/>
  <c r="CU76"/>
  <c r="BU76"/>
  <c r="X76"/>
  <c r="AM76"/>
  <c r="DV76"/>
  <c r="DO76"/>
  <c r="DT76"/>
  <c r="DN76"/>
  <c r="AP76"/>
  <c r="DR76"/>
  <c r="AT76"/>
  <c r="K76"/>
  <c r="BW76"/>
  <c r="AO76"/>
  <c r="BH76"/>
  <c r="BY76"/>
  <c r="BA76"/>
  <c r="AY76"/>
  <c r="Q76"/>
  <c r="AG76"/>
  <c r="S76"/>
  <c r="DH76"/>
  <c r="L76"/>
  <c r="AQ76"/>
  <c r="BL76"/>
  <c r="CA76"/>
  <c r="AB76"/>
  <c r="BJ76"/>
  <c r="N76"/>
  <c r="CK76"/>
  <c r="AF76"/>
  <c r="CV76"/>
  <c r="DQ76"/>
  <c r="DC76"/>
  <c r="E76"/>
  <c r="W76"/>
  <c r="BO76"/>
  <c r="CC76"/>
  <c r="CG76"/>
  <c r="CM76"/>
  <c r="AZ76"/>
  <c r="C76"/>
  <c r="AY53"/>
  <c r="DF53"/>
  <c r="DI53"/>
  <c r="DV53"/>
  <c r="CM53"/>
  <c r="BZ53"/>
  <c r="CA53"/>
  <c r="AK53"/>
  <c r="CW53"/>
  <c r="BQ53"/>
  <c r="AN53"/>
  <c r="CI53"/>
  <c r="AO53"/>
  <c r="BR53"/>
  <c r="BW53"/>
  <c r="CG53"/>
  <c r="CN53"/>
  <c r="BS53"/>
  <c r="Y53"/>
  <c r="CX53"/>
  <c r="Z53"/>
  <c r="DL53"/>
  <c r="CE53"/>
  <c r="AH53"/>
  <c r="CR53"/>
  <c r="BP53"/>
  <c r="AF53"/>
  <c r="AA53"/>
  <c r="AV53"/>
  <c r="H53"/>
  <c r="G53"/>
  <c r="BU53"/>
  <c r="BD53"/>
  <c r="CS53"/>
  <c r="I53"/>
  <c r="DS53"/>
  <c r="DH53"/>
  <c r="AX53"/>
  <c r="AS53"/>
  <c r="AL53"/>
  <c r="S53"/>
  <c r="AI53"/>
  <c r="BB53"/>
  <c r="DE53"/>
  <c r="DM53"/>
  <c r="DT53"/>
  <c r="U53"/>
  <c r="CL53"/>
  <c r="CC53"/>
  <c r="CU53"/>
  <c r="AR53"/>
  <c r="CZ53"/>
  <c r="AP53"/>
  <c r="AZ53"/>
  <c r="X53"/>
  <c r="P53"/>
  <c r="CK53"/>
  <c r="CD53"/>
  <c r="CQ53"/>
  <c r="AM53"/>
  <c r="DO53"/>
  <c r="BJ53"/>
  <c r="BT53"/>
  <c r="DU53"/>
  <c r="AB53"/>
  <c r="L53"/>
  <c r="DC53"/>
  <c r="CH53"/>
  <c r="T53"/>
  <c r="DR53"/>
  <c r="CB53"/>
  <c r="M53"/>
  <c r="AT53"/>
  <c r="F53"/>
  <c r="DG53"/>
  <c r="AD53"/>
  <c r="AE53"/>
  <c r="CT53"/>
  <c r="BO53"/>
  <c r="BC53"/>
  <c r="BF53"/>
  <c r="BX53"/>
  <c r="AU53"/>
  <c r="V53"/>
  <c r="AJ53"/>
  <c r="BK53"/>
  <c r="AC53"/>
  <c r="DA53"/>
  <c r="DB53"/>
  <c r="CP53"/>
  <c r="N53"/>
  <c r="E53"/>
  <c r="CO53"/>
  <c r="AW53"/>
  <c r="J53"/>
  <c r="Q53"/>
  <c r="BH53"/>
  <c r="DD53"/>
  <c r="BE53"/>
  <c r="BY53"/>
  <c r="R53"/>
  <c r="DJ53"/>
  <c r="K53"/>
  <c r="AG53"/>
  <c r="CF53"/>
  <c r="DN53"/>
  <c r="O53"/>
  <c r="BA53"/>
  <c r="DK53"/>
  <c r="W53"/>
  <c r="DP53"/>
  <c r="DQ53"/>
  <c r="BN53"/>
  <c r="AQ53"/>
  <c r="BV53"/>
  <c r="BM53"/>
  <c r="BL53"/>
  <c r="CV53"/>
  <c r="BI53"/>
  <c r="CY53"/>
  <c r="BG53"/>
  <c r="CJ53"/>
  <c r="C53"/>
  <c r="V38"/>
  <c r="BU38"/>
  <c r="BW38"/>
  <c r="AY38"/>
  <c r="DM38"/>
  <c r="N38"/>
  <c r="BH38"/>
  <c r="CG38"/>
  <c r="BT38"/>
  <c r="CZ38"/>
  <c r="I38"/>
  <c r="AU38"/>
  <c r="CS38"/>
  <c r="BM38"/>
  <c r="BL38"/>
  <c r="DT38"/>
  <c r="AK38"/>
  <c r="DG38"/>
  <c r="BO38"/>
  <c r="DH38"/>
  <c r="J38"/>
  <c r="AZ38"/>
  <c r="U38"/>
  <c r="BS38"/>
  <c r="AS38"/>
  <c r="BJ38"/>
  <c r="AP38"/>
  <c r="CA38"/>
  <c r="CQ38"/>
  <c r="DR38"/>
  <c r="BK38"/>
  <c r="AJ38"/>
  <c r="AR38"/>
  <c r="CR38"/>
  <c r="Y38"/>
  <c r="F38"/>
  <c r="T38"/>
  <c r="DJ38"/>
  <c r="BI38"/>
  <c r="K38"/>
  <c r="CM38"/>
  <c r="L38"/>
  <c r="CN38"/>
  <c r="DA38"/>
  <c r="DI38"/>
  <c r="BE38"/>
  <c r="BG38"/>
  <c r="AH38"/>
  <c r="AB38"/>
  <c r="R38"/>
  <c r="CW38"/>
  <c r="CD38"/>
  <c r="AE38"/>
  <c r="CH38"/>
  <c r="BY38"/>
  <c r="CI38"/>
  <c r="AC38"/>
  <c r="M38"/>
  <c r="DF38"/>
  <c r="P38"/>
  <c r="H38"/>
  <c r="DB38"/>
  <c r="AX38"/>
  <c r="DU38"/>
  <c r="CK38"/>
  <c r="DV38"/>
  <c r="DN38"/>
  <c r="CT38"/>
  <c r="CO38"/>
  <c r="CB38"/>
  <c r="Z38"/>
  <c r="DD38"/>
  <c r="AI38"/>
  <c r="BQ38"/>
  <c r="AL38"/>
  <c r="BZ38"/>
  <c r="AO38"/>
  <c r="CV38"/>
  <c r="BB38"/>
  <c r="BC38"/>
  <c r="DE38"/>
  <c r="AF38"/>
  <c r="CU38"/>
  <c r="BA38"/>
  <c r="CY38"/>
  <c r="CE38"/>
  <c r="CX38"/>
  <c r="AD38"/>
  <c r="AA38"/>
  <c r="DO38"/>
  <c r="AG38"/>
  <c r="CF38"/>
  <c r="S38"/>
  <c r="AT38"/>
  <c r="Q38"/>
  <c r="X38"/>
  <c r="BD38"/>
  <c r="BV38"/>
  <c r="BF38"/>
  <c r="DL38"/>
  <c r="DS38"/>
  <c r="CC38"/>
  <c r="AW38"/>
  <c r="BN38"/>
  <c r="CJ38"/>
  <c r="CP38"/>
  <c r="AM38"/>
  <c r="W38"/>
  <c r="E38"/>
  <c r="AQ38"/>
  <c r="BR38"/>
  <c r="DQ38"/>
  <c r="DC38"/>
  <c r="BX38"/>
  <c r="DK38"/>
  <c r="AV38"/>
  <c r="BP38"/>
  <c r="DP38"/>
  <c r="O38"/>
  <c r="CL38"/>
  <c r="G38"/>
  <c r="AN38"/>
  <c r="C38"/>
  <c r="AY51"/>
  <c r="CL51"/>
  <c r="BY51"/>
  <c r="CF51"/>
  <c r="CH51"/>
  <c r="DA51"/>
  <c r="BD51"/>
  <c r="H51"/>
  <c r="BE51"/>
  <c r="CN51"/>
  <c r="BI51"/>
  <c r="CE51"/>
  <c r="DR51"/>
  <c r="DO51"/>
  <c r="DI51"/>
  <c r="BF51"/>
  <c r="BT51"/>
  <c r="BX51"/>
  <c r="DP51"/>
  <c r="AF51"/>
  <c r="CY51"/>
  <c r="BR51"/>
  <c r="DB51"/>
  <c r="DE51"/>
  <c r="CW51"/>
  <c r="J51"/>
  <c r="CT51"/>
  <c r="CR51"/>
  <c r="AB51"/>
  <c r="BC51"/>
  <c r="BZ51"/>
  <c r="AT51"/>
  <c r="AC51"/>
  <c r="DK51"/>
  <c r="BJ51"/>
  <c r="S51"/>
  <c r="DU51"/>
  <c r="F51"/>
  <c r="I51"/>
  <c r="CD51"/>
  <c r="BS51"/>
  <c r="CJ51"/>
  <c r="AQ51"/>
  <c r="BQ51"/>
  <c r="AA51"/>
  <c r="W51"/>
  <c r="L51"/>
  <c r="Q51"/>
  <c r="DF51"/>
  <c r="DJ51"/>
  <c r="U51"/>
  <c r="BV51"/>
  <c r="CQ51"/>
  <c r="CS51"/>
  <c r="CX51"/>
  <c r="AN51"/>
  <c r="AL51"/>
  <c r="AG51"/>
  <c r="CO51"/>
  <c r="CI51"/>
  <c r="AP51"/>
  <c r="DS51"/>
  <c r="BN51"/>
  <c r="V51"/>
  <c r="AV51"/>
  <c r="CG51"/>
  <c r="CV51"/>
  <c r="AZ51"/>
  <c r="P51"/>
  <c r="CK51"/>
  <c r="BM51"/>
  <c r="DH51"/>
  <c r="X51"/>
  <c r="AM51"/>
  <c r="DQ51"/>
  <c r="M51"/>
  <c r="AU51"/>
  <c r="DN51"/>
  <c r="AJ51"/>
  <c r="BO51"/>
  <c r="DM51"/>
  <c r="E51"/>
  <c r="R51"/>
  <c r="T51"/>
  <c r="CU51"/>
  <c r="N51"/>
  <c r="AI51"/>
  <c r="BA51"/>
  <c r="AO51"/>
  <c r="AH51"/>
  <c r="AE51"/>
  <c r="CM51"/>
  <c r="CP51"/>
  <c r="Y51"/>
  <c r="BK51"/>
  <c r="BH51"/>
  <c r="K51"/>
  <c r="AX51"/>
  <c r="AR51"/>
  <c r="O51"/>
  <c r="CA51"/>
  <c r="BG51"/>
  <c r="CZ51"/>
  <c r="BL51"/>
  <c r="DD51"/>
  <c r="AW51"/>
  <c r="DL51"/>
  <c r="CB51"/>
  <c r="DV51"/>
  <c r="AS51"/>
  <c r="G51"/>
  <c r="AD51"/>
  <c r="DT51"/>
  <c r="DC51"/>
  <c r="BU51"/>
  <c r="CC51"/>
  <c r="BB51"/>
  <c r="DG51"/>
  <c r="BW51"/>
  <c r="BP51"/>
  <c r="Z51"/>
  <c r="AK51"/>
  <c r="C51"/>
  <c r="CW23"/>
  <c r="DL23"/>
  <c r="CF23"/>
  <c r="CP23"/>
  <c r="CG23"/>
  <c r="DB23"/>
  <c r="AB23"/>
  <c r="BV23"/>
  <c r="P23"/>
  <c r="F23"/>
  <c r="CH23"/>
  <c r="CY23"/>
  <c r="DO23"/>
  <c r="AF23"/>
  <c r="V23"/>
  <c r="BM23"/>
  <c r="BI23"/>
  <c r="Z23"/>
  <c r="I23"/>
  <c r="BZ23"/>
  <c r="CA23"/>
  <c r="AV23"/>
  <c r="DS23"/>
  <c r="BE23"/>
  <c r="L23"/>
  <c r="BR23"/>
  <c r="BN23"/>
  <c r="DN23"/>
  <c r="AU23"/>
  <c r="CI23"/>
  <c r="CU23"/>
  <c r="S23"/>
  <c r="AZ23"/>
  <c r="DC23"/>
  <c r="AD23"/>
  <c r="CR23"/>
  <c r="AP23"/>
  <c r="CS23"/>
  <c r="CT23"/>
  <c r="BW23"/>
  <c r="AO23"/>
  <c r="BF23"/>
  <c r="CK23"/>
  <c r="AM23"/>
  <c r="DE23"/>
  <c r="DG23"/>
  <c r="AL23"/>
  <c r="DQ23"/>
  <c r="DV23"/>
  <c r="Q23"/>
  <c r="AY23"/>
  <c r="BS23"/>
  <c r="BB23"/>
  <c r="DT23"/>
  <c r="CC23"/>
  <c r="H23"/>
  <c r="CE23"/>
  <c r="BP23"/>
  <c r="CJ23"/>
  <c r="G23"/>
  <c r="BQ23"/>
  <c r="CD23"/>
  <c r="E23"/>
  <c r="AC23"/>
  <c r="DI23"/>
  <c r="T23"/>
  <c r="BG23"/>
  <c r="Y23"/>
  <c r="AH23"/>
  <c r="AS23"/>
  <c r="DF23"/>
  <c r="CB23"/>
  <c r="X23"/>
  <c r="CL23"/>
  <c r="DM23"/>
  <c r="BD23"/>
  <c r="W23"/>
  <c r="CM23"/>
  <c r="BA23"/>
  <c r="AW23"/>
  <c r="BJ23"/>
  <c r="J23"/>
  <c r="AA23"/>
  <c r="O23"/>
  <c r="CV23"/>
  <c r="DA23"/>
  <c r="BY23"/>
  <c r="CZ23"/>
  <c r="DH23"/>
  <c r="BT23"/>
  <c r="BL23"/>
  <c r="CN23"/>
  <c r="M23"/>
  <c r="AK23"/>
  <c r="BO23"/>
  <c r="AI23"/>
  <c r="CQ23"/>
  <c r="BH23"/>
  <c r="AR23"/>
  <c r="CX23"/>
  <c r="K23"/>
  <c r="AX23"/>
  <c r="AN23"/>
  <c r="AG23"/>
  <c r="CO23"/>
  <c r="BC23"/>
  <c r="DU23"/>
  <c r="AQ23"/>
  <c r="BX23"/>
  <c r="DJ23"/>
  <c r="U23"/>
  <c r="N23"/>
  <c r="AE23"/>
  <c r="R23"/>
  <c r="DP23"/>
  <c r="DD23"/>
  <c r="BU23"/>
  <c r="DR23"/>
  <c r="AT23"/>
  <c r="BK23"/>
  <c r="DK23"/>
  <c r="AJ23"/>
  <c r="C23"/>
  <c r="CQ61"/>
  <c r="DM61"/>
  <c r="DG61"/>
  <c r="CE61"/>
  <c r="CV61"/>
  <c r="BN61"/>
  <c r="BU61"/>
  <c r="CY61"/>
  <c r="BQ61"/>
  <c r="AD61"/>
  <c r="CB61"/>
  <c r="BY61"/>
  <c r="Z61"/>
  <c r="DE61"/>
  <c r="BA61"/>
  <c r="AO61"/>
  <c r="AR61"/>
  <c r="DA61"/>
  <c r="BC61"/>
  <c r="BT61"/>
  <c r="BO61"/>
  <c r="AP61"/>
  <c r="F61"/>
  <c r="CH61"/>
  <c r="DB61"/>
  <c r="BB61"/>
  <c r="BD61"/>
  <c r="BK61"/>
  <c r="T61"/>
  <c r="AE61"/>
  <c r="CI61"/>
  <c r="G61"/>
  <c r="X61"/>
  <c r="BG61"/>
  <c r="DC61"/>
  <c r="AA61"/>
  <c r="AH61"/>
  <c r="CX61"/>
  <c r="CG61"/>
  <c r="AK61"/>
  <c r="BM61"/>
  <c r="AX61"/>
  <c r="AQ61"/>
  <c r="AM61"/>
  <c r="W61"/>
  <c r="CO61"/>
  <c r="DK61"/>
  <c r="CZ61"/>
  <c r="AS61"/>
  <c r="M61"/>
  <c r="BH61"/>
  <c r="DR61"/>
  <c r="CK61"/>
  <c r="DT61"/>
  <c r="BL61"/>
  <c r="AF61"/>
  <c r="DO61"/>
  <c r="AN61"/>
  <c r="AU61"/>
  <c r="BW61"/>
  <c r="CC61"/>
  <c r="L61"/>
  <c r="DJ61"/>
  <c r="DV61"/>
  <c r="DI61"/>
  <c r="H61"/>
  <c r="AW61"/>
  <c r="CL61"/>
  <c r="BE61"/>
  <c r="CT61"/>
  <c r="DL61"/>
  <c r="AV61"/>
  <c r="AB61"/>
  <c r="V61"/>
  <c r="BV61"/>
  <c r="CP61"/>
  <c r="DP61"/>
  <c r="R61"/>
  <c r="I61"/>
  <c r="AT61"/>
  <c r="K61"/>
  <c r="J61"/>
  <c r="AG61"/>
  <c r="CS61"/>
  <c r="BZ61"/>
  <c r="U61"/>
  <c r="CD61"/>
  <c r="BR61"/>
  <c r="O61"/>
  <c r="BJ61"/>
  <c r="Y61"/>
  <c r="CU61"/>
  <c r="BS61"/>
  <c r="DQ61"/>
  <c r="DS61"/>
  <c r="DU61"/>
  <c r="CJ61"/>
  <c r="DD61"/>
  <c r="BI61"/>
  <c r="AC61"/>
  <c r="CM61"/>
  <c r="DF61"/>
  <c r="CF61"/>
  <c r="S61"/>
  <c r="CA61"/>
  <c r="CR61"/>
  <c r="DN61"/>
  <c r="E61"/>
  <c r="N61"/>
  <c r="BX61"/>
  <c r="AJ61"/>
  <c r="AI61"/>
  <c r="BF61"/>
  <c r="AZ61"/>
  <c r="BP61"/>
  <c r="AL61"/>
  <c r="AY61"/>
  <c r="CW61"/>
  <c r="DH61"/>
  <c r="P61"/>
  <c r="Q61"/>
  <c r="CN61"/>
  <c r="C61"/>
  <c r="BA41"/>
  <c r="DQ41"/>
  <c r="AW41"/>
  <c r="AT41"/>
  <c r="BN41"/>
  <c r="M41"/>
  <c r="CF41"/>
  <c r="T41"/>
  <c r="CA41"/>
  <c r="CT41"/>
  <c r="CQ41"/>
  <c r="DS41"/>
  <c r="BP41"/>
  <c r="AF41"/>
  <c r="AJ41"/>
  <c r="AO41"/>
  <c r="AV41"/>
  <c r="CH41"/>
  <c r="BT41"/>
  <c r="AN41"/>
  <c r="BM41"/>
  <c r="BR41"/>
  <c r="AA41"/>
  <c r="DR41"/>
  <c r="DJ41"/>
  <c r="DV41"/>
  <c r="Y41"/>
  <c r="BJ41"/>
  <c r="CZ41"/>
  <c r="AQ41"/>
  <c r="O41"/>
  <c r="BF41"/>
  <c r="DI41"/>
  <c r="CN41"/>
  <c r="U41"/>
  <c r="AR41"/>
  <c r="CR41"/>
  <c r="DL41"/>
  <c r="P41"/>
  <c r="S41"/>
  <c r="AL41"/>
  <c r="BV41"/>
  <c r="AX41"/>
  <c r="AK41"/>
  <c r="N41"/>
  <c r="AB41"/>
  <c r="AU41"/>
  <c r="DN41"/>
  <c r="AM41"/>
  <c r="CC41"/>
  <c r="DH41"/>
  <c r="BO41"/>
  <c r="J41"/>
  <c r="BL41"/>
  <c r="AC41"/>
  <c r="BU41"/>
  <c r="CO41"/>
  <c r="AP41"/>
  <c r="G41"/>
  <c r="CK41"/>
  <c r="BB41"/>
  <c r="CE41"/>
  <c r="CS41"/>
  <c r="L41"/>
  <c r="DF41"/>
  <c r="Z41"/>
  <c r="AZ41"/>
  <c r="CY41"/>
  <c r="CW41"/>
  <c r="K41"/>
  <c r="BQ41"/>
  <c r="DA41"/>
  <c r="DD41"/>
  <c r="DK41"/>
  <c r="DM41"/>
  <c r="DT41"/>
  <c r="CG41"/>
  <c r="W41"/>
  <c r="DG41"/>
  <c r="BY41"/>
  <c r="R41"/>
  <c r="BX41"/>
  <c r="BD41"/>
  <c r="BZ41"/>
  <c r="BH41"/>
  <c r="CB41"/>
  <c r="CV41"/>
  <c r="AD41"/>
  <c r="V41"/>
  <c r="CX41"/>
  <c r="DU41"/>
  <c r="X41"/>
  <c r="DE41"/>
  <c r="BC41"/>
  <c r="BK41"/>
  <c r="DP41"/>
  <c r="CJ41"/>
  <c r="AY41"/>
  <c r="CI41"/>
  <c r="CU41"/>
  <c r="DC41"/>
  <c r="BG41"/>
  <c r="BE41"/>
  <c r="DO41"/>
  <c r="AH41"/>
  <c r="I41"/>
  <c r="AE41"/>
  <c r="CL41"/>
  <c r="BS41"/>
  <c r="BI41"/>
  <c r="CD41"/>
  <c r="CP41"/>
  <c r="E41"/>
  <c r="F41"/>
  <c r="H41"/>
  <c r="AG41"/>
  <c r="AS41"/>
  <c r="DB41"/>
  <c r="Q41"/>
  <c r="CM41"/>
  <c r="AI41"/>
  <c r="BW41"/>
  <c r="C41"/>
  <c r="CI9"/>
  <c r="CF9"/>
  <c r="DQ9"/>
  <c r="DG9"/>
  <c r="BA9"/>
  <c r="CH9"/>
  <c r="CE9"/>
  <c r="CL9"/>
  <c r="BV9"/>
  <c r="DA9"/>
  <c r="BN9"/>
  <c r="DM9"/>
  <c r="DL9"/>
  <c r="AX9"/>
  <c r="DC9"/>
  <c r="DP9"/>
  <c r="CV9"/>
  <c r="CZ9"/>
  <c r="DB9"/>
  <c r="DT9"/>
  <c r="CM9"/>
  <c r="DD9"/>
  <c r="DU9"/>
  <c r="AY9"/>
  <c r="CQ9"/>
  <c r="AE9"/>
  <c r="P9"/>
  <c r="BP9"/>
  <c r="BH9"/>
  <c r="BL9"/>
  <c r="DK9"/>
  <c r="BM9"/>
  <c r="AB9"/>
  <c r="DS9"/>
  <c r="BI9"/>
  <c r="CT9"/>
  <c r="BG9"/>
  <c r="CD9"/>
  <c r="DI9"/>
  <c r="CB9"/>
  <c r="BO9"/>
  <c r="DF9"/>
  <c r="DO9"/>
  <c r="AW9"/>
  <c r="BF9"/>
  <c r="CJ9"/>
  <c r="BU9"/>
  <c r="DV9"/>
  <c r="CG9"/>
  <c r="DN9"/>
  <c r="AP9"/>
  <c r="V9"/>
  <c r="CX9"/>
  <c r="CW9"/>
  <c r="CY9"/>
  <c r="DJ9"/>
  <c r="DH9"/>
  <c r="DE9"/>
  <c r="BX9"/>
  <c r="DR9"/>
  <c r="BR9"/>
  <c r="BC9"/>
  <c r="AJ9"/>
  <c r="FF319" s="1"/>
  <c r="AI9"/>
  <c r="CP9"/>
  <c r="BS9"/>
  <c r="CS9"/>
  <c r="CU9"/>
  <c r="BW9"/>
  <c r="CC9"/>
  <c r="AK9"/>
  <c r="BD9"/>
  <c r="AZ9"/>
  <c r="AU9"/>
  <c r="CR9"/>
  <c r="W9"/>
  <c r="AQ9"/>
  <c r="AT9"/>
  <c r="FF414" s="1"/>
  <c r="BK9"/>
  <c r="BB9"/>
  <c r="CN9"/>
  <c r="AS9"/>
  <c r="FF409" s="1"/>
  <c r="CK9"/>
  <c r="CA9"/>
  <c r="BQ9"/>
  <c r="BY9"/>
  <c r="BZ9"/>
  <c r="BJ9"/>
  <c r="AO9"/>
  <c r="BT9"/>
  <c r="AR9"/>
  <c r="FF399" s="1"/>
  <c r="CO9"/>
  <c r="BE9"/>
  <c r="AV9"/>
  <c r="C9"/>
  <c r="DE16"/>
  <c r="BI16"/>
  <c r="AE16"/>
  <c r="AI16"/>
  <c r="BV16"/>
  <c r="P16"/>
  <c r="BD16"/>
  <c r="CT16"/>
  <c r="CZ16"/>
  <c r="S16"/>
  <c r="BS16"/>
  <c r="BJ16"/>
  <c r="DN16"/>
  <c r="AB16"/>
  <c r="DS16"/>
  <c r="E16"/>
  <c r="CQ16"/>
  <c r="BA16"/>
  <c r="BG16"/>
  <c r="BH16"/>
  <c r="CY16"/>
  <c r="DJ16"/>
  <c r="DL16"/>
  <c r="CA16"/>
  <c r="AZ16"/>
  <c r="AS16"/>
  <c r="DD16"/>
  <c r="CJ16"/>
  <c r="BN16"/>
  <c r="BY16"/>
  <c r="Z16"/>
  <c r="BP16"/>
  <c r="CP16"/>
  <c r="CO16"/>
  <c r="BB16"/>
  <c r="CK16"/>
  <c r="BL16"/>
  <c r="AC16"/>
  <c r="BE16"/>
  <c r="DQ16"/>
  <c r="AA16"/>
  <c r="CN16"/>
  <c r="BR16"/>
  <c r="M16"/>
  <c r="BW16"/>
  <c r="DU16"/>
  <c r="DG16"/>
  <c r="T16"/>
  <c r="CR16"/>
  <c r="AN16"/>
  <c r="DB16"/>
  <c r="CU16"/>
  <c r="AP16"/>
  <c r="BZ16"/>
  <c r="DR16"/>
  <c r="BQ16"/>
  <c r="CD16"/>
  <c r="R16"/>
  <c r="AY16"/>
  <c r="I16"/>
  <c r="AH16"/>
  <c r="DC16"/>
  <c r="CB16"/>
  <c r="AD16"/>
  <c r="AV16"/>
  <c r="CM16"/>
  <c r="CW16"/>
  <c r="CS16"/>
  <c r="DK16"/>
  <c r="DP16"/>
  <c r="AQ16"/>
  <c r="AU16"/>
  <c r="AL16"/>
  <c r="CL16"/>
  <c r="BU16"/>
  <c r="BF16"/>
  <c r="AK16"/>
  <c r="AO16"/>
  <c r="BK16"/>
  <c r="DF16"/>
  <c r="Y16"/>
  <c r="BC16"/>
  <c r="CH16"/>
  <c r="DV16"/>
  <c r="CV16"/>
  <c r="DH16"/>
  <c r="U16"/>
  <c r="K16"/>
  <c r="AM16"/>
  <c r="BM16"/>
  <c r="CI16"/>
  <c r="DM16"/>
  <c r="DT16"/>
  <c r="DA16"/>
  <c r="X16"/>
  <c r="BO16"/>
  <c r="CX16"/>
  <c r="J16"/>
  <c r="V16"/>
  <c r="CC16"/>
  <c r="AR16"/>
  <c r="G16"/>
  <c r="AW16"/>
  <c r="CE16"/>
  <c r="AT16"/>
  <c r="AJ16"/>
  <c r="BX16"/>
  <c r="DO16"/>
  <c r="AX16"/>
  <c r="DI16"/>
  <c r="CF16"/>
  <c r="AF16"/>
  <c r="AG16"/>
  <c r="CG16"/>
  <c r="W16"/>
  <c r="BT16"/>
  <c r="C16"/>
  <c r="M64"/>
  <c r="BM64"/>
  <c r="BO64"/>
  <c r="BQ64"/>
  <c r="AJ64"/>
  <c r="BH64"/>
  <c r="CW64"/>
  <c r="BD64"/>
  <c r="BW64"/>
  <c r="CI64"/>
  <c r="AV64"/>
  <c r="CA64"/>
  <c r="CC64"/>
  <c r="DP64"/>
  <c r="BP64"/>
  <c r="AF64"/>
  <c r="K64"/>
  <c r="DL64"/>
  <c r="AZ64"/>
  <c r="CT64"/>
  <c r="DB64"/>
  <c r="CN64"/>
  <c r="CO64"/>
  <c r="AG64"/>
  <c r="CD64"/>
  <c r="DT64"/>
  <c r="CG64"/>
  <c r="AR64"/>
  <c r="CM64"/>
  <c r="R64"/>
  <c r="CQ64"/>
  <c r="CR64"/>
  <c r="CP64"/>
  <c r="E64"/>
  <c r="AY64"/>
  <c r="DD64"/>
  <c r="BF64"/>
  <c r="BY64"/>
  <c r="DG64"/>
  <c r="CB64"/>
  <c r="AI64"/>
  <c r="CH64"/>
  <c r="DE64"/>
  <c r="BJ64"/>
  <c r="F64"/>
  <c r="BI64"/>
  <c r="DR64"/>
  <c r="AB64"/>
  <c r="AT64"/>
  <c r="T64"/>
  <c r="BU64"/>
  <c r="BA64"/>
  <c r="S64"/>
  <c r="DM64"/>
  <c r="G64"/>
  <c r="DS64"/>
  <c r="AU64"/>
  <c r="CS64"/>
  <c r="AX64"/>
  <c r="CJ64"/>
  <c r="DJ64"/>
  <c r="DI64"/>
  <c r="AM64"/>
  <c r="CF64"/>
  <c r="DC64"/>
  <c r="AA64"/>
  <c r="CL64"/>
  <c r="BR64"/>
  <c r="DO64"/>
  <c r="Y64"/>
  <c r="BS64"/>
  <c r="AL64"/>
  <c r="DU64"/>
  <c r="AO64"/>
  <c r="AK64"/>
  <c r="CX64"/>
  <c r="H64"/>
  <c r="DH64"/>
  <c r="BK64"/>
  <c r="DF64"/>
  <c r="AE64"/>
  <c r="X64"/>
  <c r="O64"/>
  <c r="I64"/>
  <c r="Q64"/>
  <c r="BE64"/>
  <c r="BV64"/>
  <c r="Z64"/>
  <c r="AC64"/>
  <c r="DQ64"/>
  <c r="AS64"/>
  <c r="BT64"/>
  <c r="BC64"/>
  <c r="AQ64"/>
  <c r="W64"/>
  <c r="L64"/>
  <c r="CY64"/>
  <c r="BL64"/>
  <c r="J64"/>
  <c r="DV64"/>
  <c r="BB64"/>
  <c r="DN64"/>
  <c r="AN64"/>
  <c r="BG64"/>
  <c r="N64"/>
  <c r="BX64"/>
  <c r="AH64"/>
  <c r="BZ64"/>
  <c r="CE64"/>
  <c r="DA64"/>
  <c r="CK64"/>
  <c r="AW64"/>
  <c r="CZ64"/>
  <c r="DK64"/>
  <c r="V64"/>
  <c r="CU64"/>
  <c r="U64"/>
  <c r="BN64"/>
  <c r="AD64"/>
  <c r="CV64"/>
  <c r="P64"/>
  <c r="AP64"/>
  <c r="C64"/>
  <c r="BR11"/>
  <c r="CV11"/>
  <c r="CH11"/>
  <c r="BE11"/>
  <c r="BK11"/>
  <c r="DB11"/>
  <c r="AU11"/>
  <c r="CW11"/>
  <c r="BT11"/>
  <c r="AV11"/>
  <c r="CG11"/>
  <c r="CU11"/>
  <c r="DA11"/>
  <c r="BB11"/>
  <c r="CB11"/>
  <c r="BY11"/>
  <c r="BA11"/>
  <c r="CC11"/>
  <c r="AY11"/>
  <c r="DC11"/>
  <c r="CQ11"/>
  <c r="BN11"/>
  <c r="CE11"/>
  <c r="BO11"/>
  <c r="DI11"/>
  <c r="AW11"/>
  <c r="CK11"/>
  <c r="CL11"/>
  <c r="DJ11"/>
  <c r="BU11"/>
  <c r="DF11"/>
  <c r="CF11"/>
  <c r="CI11"/>
  <c r="BJ11"/>
  <c r="BH11"/>
  <c r="DO11"/>
  <c r="DR11"/>
  <c r="DM11"/>
  <c r="BQ11"/>
  <c r="BW11"/>
  <c r="CD11"/>
  <c r="BM11"/>
  <c r="BI11"/>
  <c r="DV11"/>
  <c r="DK11"/>
  <c r="BS11"/>
  <c r="CX11"/>
  <c r="BZ11"/>
  <c r="CR11"/>
  <c r="DE11"/>
  <c r="CY11"/>
  <c r="BC11"/>
  <c r="CT11"/>
  <c r="DN11"/>
  <c r="CA11"/>
  <c r="DP11"/>
  <c r="CP11"/>
  <c r="AZ11"/>
  <c r="DD11"/>
  <c r="DS11"/>
  <c r="DG11"/>
  <c r="CS11"/>
  <c r="CN11"/>
  <c r="BL11"/>
  <c r="DU11"/>
  <c r="CO11"/>
  <c r="DH11"/>
  <c r="CJ11"/>
  <c r="BV11"/>
  <c r="DT11"/>
  <c r="DQ11"/>
  <c r="CM11"/>
  <c r="DL11"/>
  <c r="BF11"/>
  <c r="BG11"/>
  <c r="AX11"/>
  <c r="BP11"/>
  <c r="BX11"/>
  <c r="BD11"/>
  <c r="CZ11"/>
  <c r="C11"/>
  <c r="CW6"/>
  <c r="BO6"/>
  <c r="CS6"/>
  <c r="DD6"/>
  <c r="CT6"/>
  <c r="CJ6"/>
  <c r="DI6"/>
  <c r="BJ6"/>
  <c r="DP6"/>
  <c r="DK6"/>
  <c r="DO6"/>
  <c r="CC6"/>
  <c r="BG6"/>
  <c r="BP6"/>
  <c r="BL6"/>
  <c r="CK6"/>
  <c r="DA6"/>
  <c r="CQ6"/>
  <c r="BR6"/>
  <c r="DJ6"/>
  <c r="AY6"/>
  <c r="BI6"/>
  <c r="CM6"/>
  <c r="DT6"/>
  <c r="BM6"/>
  <c r="BD6"/>
  <c r="CF6"/>
  <c r="DL6"/>
  <c r="DR6"/>
  <c r="CA6"/>
  <c r="DB6"/>
  <c r="BT6"/>
  <c r="CH6"/>
  <c r="CL6"/>
  <c r="BV6"/>
  <c r="DS6"/>
  <c r="CZ6"/>
  <c r="CB6"/>
  <c r="DF6"/>
  <c r="CO6"/>
  <c r="DU6"/>
  <c r="CD6"/>
  <c r="BY6"/>
  <c r="DM6"/>
  <c r="CV6"/>
  <c r="DC6"/>
  <c r="CN6"/>
  <c r="CU6"/>
  <c r="BH6"/>
  <c r="BU6"/>
  <c r="CX6"/>
  <c r="DG6"/>
  <c r="BN6"/>
  <c r="BW6"/>
  <c r="BX6"/>
  <c r="CG6"/>
  <c r="BE6"/>
  <c r="BK6"/>
  <c r="DQ6"/>
  <c r="CY6"/>
  <c r="BQ6"/>
  <c r="CR6"/>
  <c r="BF6"/>
  <c r="DH6"/>
  <c r="BZ6"/>
  <c r="DE6"/>
  <c r="CP6"/>
  <c r="BS6"/>
  <c r="CI6"/>
  <c r="DV6"/>
  <c r="CE6"/>
  <c r="DN6"/>
  <c r="C6"/>
  <c r="DO57"/>
  <c r="DJ57"/>
  <c r="O57"/>
  <c r="BK57"/>
  <c r="DC57"/>
  <c r="CC57"/>
  <c r="DA57"/>
  <c r="AO57"/>
  <c r="BA57"/>
  <c r="AD57"/>
  <c r="J57"/>
  <c r="AL57"/>
  <c r="AT57"/>
  <c r="AW57"/>
  <c r="Y57"/>
  <c r="BF57"/>
  <c r="BV57"/>
  <c r="CK57"/>
  <c r="DE57"/>
  <c r="BU57"/>
  <c r="Z57"/>
  <c r="CM57"/>
  <c r="AY57"/>
  <c r="W57"/>
  <c r="DV57"/>
  <c r="BG57"/>
  <c r="AV57"/>
  <c r="DL57"/>
  <c r="X57"/>
  <c r="CV57"/>
  <c r="R57"/>
  <c r="CB57"/>
  <c r="AC57"/>
  <c r="DB57"/>
  <c r="V57"/>
  <c r="AU57"/>
  <c r="AP57"/>
  <c r="AM57"/>
  <c r="BE57"/>
  <c r="CW57"/>
  <c r="BM57"/>
  <c r="CG57"/>
  <c r="CR57"/>
  <c r="AA57"/>
  <c r="CH57"/>
  <c r="CU57"/>
  <c r="DH57"/>
  <c r="CO57"/>
  <c r="DI57"/>
  <c r="BZ57"/>
  <c r="AH57"/>
  <c r="AJ57"/>
  <c r="CF57"/>
  <c r="BW57"/>
  <c r="BL57"/>
  <c r="CY57"/>
  <c r="BD57"/>
  <c r="K57"/>
  <c r="DQ57"/>
  <c r="BO57"/>
  <c r="DS57"/>
  <c r="AS57"/>
  <c r="BX57"/>
  <c r="P57"/>
  <c r="DU57"/>
  <c r="AR57"/>
  <c r="H57"/>
  <c r="AI57"/>
  <c r="CZ57"/>
  <c r="CE57"/>
  <c r="Q57"/>
  <c r="DK57"/>
  <c r="BY57"/>
  <c r="DG57"/>
  <c r="BN57"/>
  <c r="DN57"/>
  <c r="BP57"/>
  <c r="DF57"/>
  <c r="AG57"/>
  <c r="DM57"/>
  <c r="AB57"/>
  <c r="L57"/>
  <c r="S57"/>
  <c r="CD57"/>
  <c r="AE57"/>
  <c r="AF57"/>
  <c r="AN57"/>
  <c r="F57"/>
  <c r="BT57"/>
  <c r="AK57"/>
  <c r="CA57"/>
  <c r="BC57"/>
  <c r="AQ57"/>
  <c r="G57"/>
  <c r="CT57"/>
  <c r="DR57"/>
  <c r="AZ57"/>
  <c r="DD57"/>
  <c r="CL57"/>
  <c r="DP57"/>
  <c r="CS57"/>
  <c r="BQ57"/>
  <c r="CN57"/>
  <c r="BJ57"/>
  <c r="CX57"/>
  <c r="CI57"/>
  <c r="BI57"/>
  <c r="BB57"/>
  <c r="BS57"/>
  <c r="E57"/>
  <c r="CQ57"/>
  <c r="CP57"/>
  <c r="BH57"/>
  <c r="U57"/>
  <c r="BR57"/>
  <c r="AX57"/>
  <c r="T57"/>
  <c r="DT57"/>
  <c r="I57"/>
  <c r="N57"/>
  <c r="CJ57"/>
  <c r="M57"/>
  <c r="C57"/>
  <c r="J70"/>
  <c r="AM70"/>
  <c r="DD70"/>
  <c r="M70"/>
  <c r="BK70"/>
  <c r="DJ70"/>
  <c r="Q70"/>
  <c r="H70"/>
  <c r="BH70"/>
  <c r="AK70"/>
  <c r="CP70"/>
  <c r="CE70"/>
  <c r="Y70"/>
  <c r="AR70"/>
  <c r="DM70"/>
  <c r="BV70"/>
  <c r="AB70"/>
  <c r="AU70"/>
  <c r="AO70"/>
  <c r="DC70"/>
  <c r="T70"/>
  <c r="DU70"/>
  <c r="AH70"/>
  <c r="AP70"/>
  <c r="AC70"/>
  <c r="BU70"/>
  <c r="CD70"/>
  <c r="AY70"/>
  <c r="DN70"/>
  <c r="N70"/>
  <c r="BS70"/>
  <c r="CK70"/>
  <c r="CT70"/>
  <c r="CJ70"/>
  <c r="I70"/>
  <c r="R70"/>
  <c r="E70"/>
  <c r="CM70"/>
  <c r="AF70"/>
  <c r="L70"/>
  <c r="CU70"/>
  <c r="AJ70"/>
  <c r="CR70"/>
  <c r="DI70"/>
  <c r="DO70"/>
  <c r="DB70"/>
  <c r="CN70"/>
  <c r="BL70"/>
  <c r="CA70"/>
  <c r="BP70"/>
  <c r="U70"/>
  <c r="BA70"/>
  <c r="CS70"/>
  <c r="BN70"/>
  <c r="CW70"/>
  <c r="W70"/>
  <c r="BO70"/>
  <c r="BX70"/>
  <c r="X70"/>
  <c r="AL70"/>
  <c r="DP70"/>
  <c r="G70"/>
  <c r="AN70"/>
  <c r="AA70"/>
  <c r="DV70"/>
  <c r="AS70"/>
  <c r="AE70"/>
  <c r="DT70"/>
  <c r="AI70"/>
  <c r="BW70"/>
  <c r="DF70"/>
  <c r="DG70"/>
  <c r="BT70"/>
  <c r="AD70"/>
  <c r="V70"/>
  <c r="BQ70"/>
  <c r="Z70"/>
  <c r="BE70"/>
  <c r="AT70"/>
  <c r="DH70"/>
  <c r="K70"/>
  <c r="BJ70"/>
  <c r="CO70"/>
  <c r="AX70"/>
  <c r="DQ70"/>
  <c r="CX70"/>
  <c r="CY70"/>
  <c r="BI70"/>
  <c r="CQ70"/>
  <c r="AW70"/>
  <c r="P70"/>
  <c r="CL70"/>
  <c r="AG70"/>
  <c r="DA70"/>
  <c r="CI70"/>
  <c r="BC70"/>
  <c r="BD70"/>
  <c r="BM70"/>
  <c r="BB70"/>
  <c r="CV70"/>
  <c r="CC70"/>
  <c r="BY70"/>
  <c r="S70"/>
  <c r="BR70"/>
  <c r="CZ70"/>
  <c r="DK70"/>
  <c r="CH70"/>
  <c r="DS70"/>
  <c r="AQ70"/>
  <c r="DE70"/>
  <c r="AZ70"/>
  <c r="F70"/>
  <c r="DR70"/>
  <c r="CB70"/>
  <c r="O70"/>
  <c r="CF70"/>
  <c r="BZ70"/>
  <c r="BF70"/>
  <c r="BG70"/>
  <c r="DL70"/>
  <c r="AV70"/>
  <c r="CG70"/>
  <c r="C70"/>
  <c r="CI34"/>
  <c r="N34"/>
  <c r="DK34"/>
  <c r="AD34"/>
  <c r="P34"/>
  <c r="BC34"/>
  <c r="BV34"/>
  <c r="CB34"/>
  <c r="AP34"/>
  <c r="CO34"/>
  <c r="AN34"/>
  <c r="BO34"/>
  <c r="BN34"/>
  <c r="BF34"/>
  <c r="I34"/>
  <c r="T34"/>
  <c r="DG34"/>
  <c r="CX34"/>
  <c r="H34"/>
  <c r="BM34"/>
  <c r="DU34"/>
  <c r="AH34"/>
  <c r="AZ34"/>
  <c r="AX34"/>
  <c r="CT34"/>
  <c r="BD34"/>
  <c r="U34"/>
  <c r="BG34"/>
  <c r="BH34"/>
  <c r="CF34"/>
  <c r="DD34"/>
  <c r="DL34"/>
  <c r="AL34"/>
  <c r="R34"/>
  <c r="CR34"/>
  <c r="BL34"/>
  <c r="CN34"/>
  <c r="DE34"/>
  <c r="CS34"/>
  <c r="BT34"/>
  <c r="DN34"/>
  <c r="BY34"/>
  <c r="DS34"/>
  <c r="AJ34"/>
  <c r="BU34"/>
  <c r="BQ34"/>
  <c r="DA34"/>
  <c r="DJ34"/>
  <c r="BP34"/>
  <c r="CW34"/>
  <c r="AB34"/>
  <c r="AM34"/>
  <c r="DR34"/>
  <c r="CD34"/>
  <c r="AI34"/>
  <c r="E34"/>
  <c r="CE34"/>
  <c r="CG34"/>
  <c r="AS34"/>
  <c r="DV34"/>
  <c r="AT34"/>
  <c r="M34"/>
  <c r="DM34"/>
  <c r="BB34"/>
  <c r="AE34"/>
  <c r="CV34"/>
  <c r="CU34"/>
  <c r="AK34"/>
  <c r="S34"/>
  <c r="DQ34"/>
  <c r="DC34"/>
  <c r="V34"/>
  <c r="BA34"/>
  <c r="L34"/>
  <c r="CP34"/>
  <c r="F34"/>
  <c r="Z34"/>
  <c r="DB34"/>
  <c r="BK34"/>
  <c r="BW34"/>
  <c r="DH34"/>
  <c r="AW34"/>
  <c r="DO34"/>
  <c r="CH34"/>
  <c r="CA34"/>
  <c r="AC34"/>
  <c r="AV34"/>
  <c r="AG34"/>
  <c r="G34"/>
  <c r="BX34"/>
  <c r="DP34"/>
  <c r="AF34"/>
  <c r="BJ34"/>
  <c r="CM34"/>
  <c r="AU34"/>
  <c r="BZ34"/>
  <c r="Q34"/>
  <c r="DF34"/>
  <c r="BI34"/>
  <c r="CK34"/>
  <c r="W34"/>
  <c r="CQ34"/>
  <c r="Y34"/>
  <c r="AR34"/>
  <c r="DT34"/>
  <c r="CL34"/>
  <c r="CC34"/>
  <c r="AY34"/>
  <c r="J34"/>
  <c r="AO34"/>
  <c r="X34"/>
  <c r="K34"/>
  <c r="O34"/>
  <c r="CJ34"/>
  <c r="BE34"/>
  <c r="DI34"/>
  <c r="AA34"/>
  <c r="BS34"/>
  <c r="BR34"/>
  <c r="CY34"/>
  <c r="CZ34"/>
  <c r="AQ34"/>
  <c r="C34"/>
  <c r="AY48"/>
  <c r="O48"/>
  <c r="CN48"/>
  <c r="DS48"/>
  <c r="L48"/>
  <c r="Q48"/>
  <c r="DV48"/>
  <c r="BM48"/>
  <c r="AA48"/>
  <c r="BO48"/>
  <c r="BX48"/>
  <c r="AC48"/>
  <c r="DI48"/>
  <c r="AQ48"/>
  <c r="DC48"/>
  <c r="BL48"/>
  <c r="AM48"/>
  <c r="BU48"/>
  <c r="AU48"/>
  <c r="J48"/>
  <c r="CX48"/>
  <c r="DE48"/>
  <c r="DN48"/>
  <c r="CV48"/>
  <c r="CB48"/>
  <c r="AK48"/>
  <c r="AT48"/>
  <c r="BQ48"/>
  <c r="K48"/>
  <c r="Y48"/>
  <c r="CC48"/>
  <c r="BP48"/>
  <c r="AL48"/>
  <c r="BR48"/>
  <c r="S48"/>
  <c r="DR48"/>
  <c r="BJ48"/>
  <c r="AE48"/>
  <c r="I48"/>
  <c r="DB48"/>
  <c r="CA48"/>
  <c r="R48"/>
  <c r="CD48"/>
  <c r="BH48"/>
  <c r="BE48"/>
  <c r="AG48"/>
  <c r="BG48"/>
  <c r="DU48"/>
  <c r="CL48"/>
  <c r="CE48"/>
  <c r="CR48"/>
  <c r="BB48"/>
  <c r="BK48"/>
  <c r="DF48"/>
  <c r="AZ48"/>
  <c r="AV48"/>
  <c r="CU48"/>
  <c r="Z48"/>
  <c r="AR48"/>
  <c r="BD48"/>
  <c r="BY48"/>
  <c r="BS48"/>
  <c r="M48"/>
  <c r="U48"/>
  <c r="DH48"/>
  <c r="AN48"/>
  <c r="CT48"/>
  <c r="CK48"/>
  <c r="BV48"/>
  <c r="BA48"/>
  <c r="X48"/>
  <c r="BN48"/>
  <c r="BW48"/>
  <c r="AF48"/>
  <c r="H48"/>
  <c r="AS48"/>
  <c r="AO48"/>
  <c r="DD48"/>
  <c r="CQ48"/>
  <c r="E48"/>
  <c r="CM48"/>
  <c r="DT48"/>
  <c r="DJ48"/>
  <c r="CY48"/>
  <c r="CW48"/>
  <c r="DQ48"/>
  <c r="AH48"/>
  <c r="AD48"/>
  <c r="DA48"/>
  <c r="N48"/>
  <c r="V48"/>
  <c r="G48"/>
  <c r="BF48"/>
  <c r="AW48"/>
  <c r="BI48"/>
  <c r="AJ48"/>
  <c r="CO48"/>
  <c r="BT48"/>
  <c r="CG48"/>
  <c r="CI48"/>
  <c r="DM48"/>
  <c r="DG48"/>
  <c r="DP48"/>
  <c r="BZ48"/>
  <c r="DL48"/>
  <c r="CZ48"/>
  <c r="CF48"/>
  <c r="W48"/>
  <c r="CJ48"/>
  <c r="AP48"/>
  <c r="F48"/>
  <c r="AX48"/>
  <c r="AB48"/>
  <c r="BC48"/>
  <c r="P48"/>
  <c r="CH48"/>
  <c r="CP48"/>
  <c r="DO48"/>
  <c r="CS48"/>
  <c r="DK48"/>
  <c r="T48"/>
  <c r="AI48"/>
  <c r="C48"/>
  <c r="CM79"/>
  <c r="DP79"/>
  <c r="AG79"/>
  <c r="AC79"/>
  <c r="AN79"/>
  <c r="T79"/>
  <c r="AD79"/>
  <c r="AR79"/>
  <c r="CO79"/>
  <c r="AO79"/>
  <c r="CA79"/>
  <c r="BD79"/>
  <c r="BW79"/>
  <c r="AQ79"/>
  <c r="AX79"/>
  <c r="CD79"/>
  <c r="J79"/>
  <c r="AL79"/>
  <c r="AI79"/>
  <c r="W79"/>
  <c r="O79"/>
  <c r="BF79"/>
  <c r="CB79"/>
  <c r="CL79"/>
  <c r="AS79"/>
  <c r="DE79"/>
  <c r="BI79"/>
  <c r="DN79"/>
  <c r="CG79"/>
  <c r="CK79"/>
  <c r="BO79"/>
  <c r="DH79"/>
  <c r="CJ79"/>
  <c r="K79"/>
  <c r="DG79"/>
  <c r="AB79"/>
  <c r="CN79"/>
  <c r="DU79"/>
  <c r="CW79"/>
  <c r="DR79"/>
  <c r="DM79"/>
  <c r="Y79"/>
  <c r="BR79"/>
  <c r="BV79"/>
  <c r="AM79"/>
  <c r="AW79"/>
  <c r="BH79"/>
  <c r="CP79"/>
  <c r="S79"/>
  <c r="DI79"/>
  <c r="CU79"/>
  <c r="AY79"/>
  <c r="BX79"/>
  <c r="BJ79"/>
  <c r="Z79"/>
  <c r="DO79"/>
  <c r="Q79"/>
  <c r="BK79"/>
  <c r="AT79"/>
  <c r="CY79"/>
  <c r="CF79"/>
  <c r="I79"/>
  <c r="BG79"/>
  <c r="AZ79"/>
  <c r="BE79"/>
  <c r="AV79"/>
  <c r="V79"/>
  <c r="H79"/>
  <c r="R79"/>
  <c r="CX79"/>
  <c r="DK79"/>
  <c r="L79"/>
  <c r="AP79"/>
  <c r="DJ79"/>
  <c r="DD79"/>
  <c r="BL79"/>
  <c r="CR79"/>
  <c r="BY79"/>
  <c r="DB79"/>
  <c r="E79"/>
  <c r="BT79"/>
  <c r="P79"/>
  <c r="CZ79"/>
  <c r="AH79"/>
  <c r="DC79"/>
  <c r="DF79"/>
  <c r="BN79"/>
  <c r="BQ79"/>
  <c r="BM79"/>
  <c r="CI79"/>
  <c r="CV79"/>
  <c r="G79"/>
  <c r="CS79"/>
  <c r="BP79"/>
  <c r="M79"/>
  <c r="BZ79"/>
  <c r="DL79"/>
  <c r="BB79"/>
  <c r="AJ79"/>
  <c r="CH79"/>
  <c r="CT79"/>
  <c r="CC79"/>
  <c r="AE79"/>
  <c r="DQ79"/>
  <c r="DT79"/>
  <c r="N79"/>
  <c r="U79"/>
  <c r="DS79"/>
  <c r="AF79"/>
  <c r="BS79"/>
  <c r="DV79"/>
  <c r="F79"/>
  <c r="AU79"/>
  <c r="AA79"/>
  <c r="BA79"/>
  <c r="DA79"/>
  <c r="X79"/>
  <c r="BU79"/>
  <c r="CE79"/>
  <c r="CQ79"/>
  <c r="AK79"/>
  <c r="BC79"/>
  <c r="C79"/>
  <c r="AB18"/>
  <c r="BA18"/>
  <c r="DP18"/>
  <c r="AK18"/>
  <c r="DA18"/>
  <c r="AX18"/>
  <c r="Z18"/>
  <c r="AS18"/>
  <c r="DM18"/>
  <c r="X18"/>
  <c r="BJ18"/>
  <c r="BK18"/>
  <c r="DG18"/>
  <c r="BL18"/>
  <c r="DB18"/>
  <c r="AJ18"/>
  <c r="CP18"/>
  <c r="CB18"/>
  <c r="BX18"/>
  <c r="CV18"/>
  <c r="BZ18"/>
  <c r="DE18"/>
  <c r="BM18"/>
  <c r="BI18"/>
  <c r="DS18"/>
  <c r="CG18"/>
  <c r="AD18"/>
  <c r="CK18"/>
  <c r="AL18"/>
  <c r="CH18"/>
  <c r="CE18"/>
  <c r="DK18"/>
  <c r="DD18"/>
  <c r="AR18"/>
  <c r="CC18"/>
  <c r="BT18"/>
  <c r="DC18"/>
  <c r="BP18"/>
  <c r="BN18"/>
  <c r="DQ18"/>
  <c r="Y18"/>
  <c r="AU18"/>
  <c r="CU18"/>
  <c r="L18"/>
  <c r="BH18"/>
  <c r="CJ18"/>
  <c r="CO18"/>
  <c r="DT18"/>
  <c r="CD18"/>
  <c r="DV18"/>
  <c r="W18"/>
  <c r="DH18"/>
  <c r="CM18"/>
  <c r="BC18"/>
  <c r="CT18"/>
  <c r="CW18"/>
  <c r="DF18"/>
  <c r="AQ18"/>
  <c r="BB18"/>
  <c r="BQ18"/>
  <c r="BR18"/>
  <c r="N18"/>
  <c r="AW18"/>
  <c r="DN18"/>
  <c r="AH18"/>
  <c r="CL18"/>
  <c r="DR18"/>
  <c r="T18"/>
  <c r="DU18"/>
  <c r="AN18"/>
  <c r="AG18"/>
  <c r="AC18"/>
  <c r="BS18"/>
  <c r="BG18"/>
  <c r="AE18"/>
  <c r="CS18"/>
  <c r="BW18"/>
  <c r="DL18"/>
  <c r="BE18"/>
  <c r="CZ18"/>
  <c r="V18"/>
  <c r="CN18"/>
  <c r="CY18"/>
  <c r="AM18"/>
  <c r="AP18"/>
  <c r="AY18"/>
  <c r="R18"/>
  <c r="CR18"/>
  <c r="S18"/>
  <c r="AA18"/>
  <c r="DO18"/>
  <c r="BO18"/>
  <c r="AZ18"/>
  <c r="AT18"/>
  <c r="FF423" s="1"/>
  <c r="DJ18"/>
  <c r="U18"/>
  <c r="BU18"/>
  <c r="CQ18"/>
  <c r="CX18"/>
  <c r="CI18"/>
  <c r="BD18"/>
  <c r="AI18"/>
  <c r="BF18"/>
  <c r="CA18"/>
  <c r="AO18"/>
  <c r="DI18"/>
  <c r="BV18"/>
  <c r="AF18"/>
  <c r="CF18"/>
  <c r="BY18"/>
  <c r="AV18"/>
  <c r="C18"/>
  <c r="AH22"/>
  <c r="CF22"/>
  <c r="AU22"/>
  <c r="AG22"/>
  <c r="CI22"/>
  <c r="CT22"/>
  <c r="DC22"/>
  <c r="CP22"/>
  <c r="BG22"/>
  <c r="BZ22"/>
  <c r="CM22"/>
  <c r="DI22"/>
  <c r="CW22"/>
  <c r="CV22"/>
  <c r="CB22"/>
  <c r="O22"/>
  <c r="BM22"/>
  <c r="AZ22"/>
  <c r="H22"/>
  <c r="I22"/>
  <c r="AL22"/>
  <c r="V22"/>
  <c r="M22"/>
  <c r="BE22"/>
  <c r="T22"/>
  <c r="AC22"/>
  <c r="DE22"/>
  <c r="DR22"/>
  <c r="AX22"/>
  <c r="DL22"/>
  <c r="Y22"/>
  <c r="AP22"/>
  <c r="BV22"/>
  <c r="DG22"/>
  <c r="AK22"/>
  <c r="X22"/>
  <c r="AA22"/>
  <c r="CK22"/>
  <c r="CE22"/>
  <c r="CC22"/>
  <c r="BP22"/>
  <c r="BY22"/>
  <c r="DO22"/>
  <c r="AO22"/>
  <c r="BF22"/>
  <c r="CH22"/>
  <c r="AS22"/>
  <c r="AI22"/>
  <c r="AM22"/>
  <c r="BB22"/>
  <c r="CS22"/>
  <c r="AB22"/>
  <c r="U22"/>
  <c r="BH22"/>
  <c r="CU22"/>
  <c r="BR22"/>
  <c r="Z22"/>
  <c r="DK22"/>
  <c r="K22"/>
  <c r="BX22"/>
  <c r="AD22"/>
  <c r="DJ22"/>
  <c r="F22"/>
  <c r="BU22"/>
  <c r="DF22"/>
  <c r="BD22"/>
  <c r="CG22"/>
  <c r="AE22"/>
  <c r="BA22"/>
  <c r="S22"/>
  <c r="CO22"/>
  <c r="BJ22"/>
  <c r="Q22"/>
  <c r="BK22"/>
  <c r="CQ22"/>
  <c r="CA22"/>
  <c r="R22"/>
  <c r="CR22"/>
  <c r="DD22"/>
  <c r="DU22"/>
  <c r="AR22"/>
  <c r="AQ22"/>
  <c r="DP22"/>
  <c r="L22"/>
  <c r="CD22"/>
  <c r="J22"/>
  <c r="BS22"/>
  <c r="BI22"/>
  <c r="AY22"/>
  <c r="AN22"/>
  <c r="N22"/>
  <c r="G22"/>
  <c r="CJ22"/>
  <c r="W22"/>
  <c r="AV22"/>
  <c r="E22"/>
  <c r="CX22"/>
  <c r="BW22"/>
  <c r="DQ22"/>
  <c r="BO22"/>
  <c r="BC22"/>
  <c r="CZ22"/>
  <c r="CY22"/>
  <c r="BN22"/>
  <c r="CL22"/>
  <c r="AT22"/>
  <c r="AW22"/>
  <c r="DV22"/>
  <c r="BT22"/>
  <c r="DB22"/>
  <c r="DH22"/>
  <c r="BQ22"/>
  <c r="BL22"/>
  <c r="AJ22"/>
  <c r="DT22"/>
  <c r="DN22"/>
  <c r="CN22"/>
  <c r="DS22"/>
  <c r="AF22"/>
  <c r="DM22"/>
  <c r="DA22"/>
  <c r="P22"/>
  <c r="C22"/>
  <c r="FF1398"/>
  <c r="FJ1398"/>
  <c r="FJ2350"/>
  <c r="FF2350"/>
  <c r="FJ2002"/>
  <c r="FF2002"/>
  <c r="FF1037"/>
  <c r="FJ1037"/>
  <c r="FF2376"/>
  <c r="FJ2376"/>
  <c r="FF1966"/>
  <c r="FJ1966"/>
  <c r="FJ1704"/>
  <c r="FF1704"/>
  <c r="FF920"/>
  <c r="FJ920"/>
  <c r="FJ2196"/>
  <c r="FF2196"/>
  <c r="FJ685"/>
  <c r="FF685"/>
  <c r="FF604"/>
  <c r="FJ604"/>
  <c r="FJ498"/>
  <c r="FF498"/>
  <c r="FF1459"/>
  <c r="FJ1459"/>
  <c r="FF506"/>
  <c r="FJ506"/>
  <c r="FF437"/>
  <c r="FF461"/>
  <c r="FF1410"/>
  <c r="FJ1410"/>
  <c r="FF2012"/>
  <c r="FJ2012"/>
  <c r="FF2395"/>
  <c r="FJ2395"/>
  <c r="FJ1583"/>
  <c r="FF1583"/>
  <c r="FJ1384"/>
  <c r="FF1384"/>
  <c r="FF442"/>
  <c r="FJ931"/>
  <c r="FF931"/>
  <c r="FF1983"/>
  <c r="FJ1983"/>
  <c r="FF1051"/>
  <c r="FJ1051"/>
  <c r="FF444"/>
  <c r="FJ2006"/>
  <c r="FF2006"/>
  <c r="FF909"/>
  <c r="FJ909"/>
  <c r="FJ580"/>
  <c r="FF580"/>
  <c r="FJ1104"/>
  <c r="FF1104"/>
  <c r="FJ1295"/>
  <c r="FF1295"/>
  <c r="FF857"/>
  <c r="FJ857"/>
  <c r="FJ599"/>
  <c r="FF599"/>
  <c r="FJ2345"/>
  <c r="FF2345"/>
  <c r="FJ1792"/>
  <c r="FF1792"/>
  <c r="FF2467"/>
  <c r="FJ2467"/>
  <c r="FF2118"/>
  <c r="FJ2118"/>
  <c r="FJ581"/>
  <c r="FF581"/>
  <c r="FF2411"/>
  <c r="FJ2411"/>
  <c r="FJ1560"/>
  <c r="FF1560"/>
  <c r="FF542"/>
  <c r="FJ542"/>
  <c r="FF1274"/>
  <c r="FJ1274"/>
  <c r="FF612"/>
  <c r="FJ612"/>
  <c r="FJ1862"/>
  <c r="FF1862"/>
  <c r="FF1612"/>
  <c r="FJ1612"/>
  <c r="FF2210"/>
  <c r="FJ2210"/>
  <c r="FJ2453"/>
  <c r="FF2453"/>
  <c r="FJ1760"/>
  <c r="FF1760"/>
  <c r="FF2409"/>
  <c r="FJ2409"/>
  <c r="FF554"/>
  <c r="FJ554"/>
  <c r="FF678"/>
  <c r="FJ678"/>
  <c r="FF1382"/>
  <c r="FJ1382"/>
  <c r="FJ1906"/>
  <c r="FF1906"/>
  <c r="FJ903"/>
  <c r="FF903"/>
  <c r="FF1882"/>
  <c r="FJ1882"/>
  <c r="FF455"/>
  <c r="FF686"/>
  <c r="FJ686"/>
  <c r="FF1415"/>
  <c r="FJ1415"/>
  <c r="FJ2004"/>
  <c r="FF2004"/>
  <c r="FF1784"/>
  <c r="FJ1784"/>
  <c r="FJ1272"/>
  <c r="FF1272"/>
  <c r="FF1729"/>
  <c r="FJ1729"/>
  <c r="FF1486"/>
  <c r="FJ1486"/>
  <c r="FF1598"/>
  <c r="FJ1598"/>
  <c r="FJ1891"/>
  <c r="FF1891"/>
  <c r="FF897"/>
  <c r="FJ897"/>
  <c r="FJ1918"/>
  <c r="FF1918"/>
  <c r="FJ1990"/>
  <c r="FF1990"/>
  <c r="FJ1777"/>
  <c r="FF1777"/>
  <c r="FJ2335"/>
  <c r="FF2335"/>
  <c r="FF476"/>
  <c r="FF1349"/>
  <c r="FJ1349"/>
  <c r="FJ2472"/>
  <c r="FF2472"/>
  <c r="FF1689"/>
  <c r="FJ1689"/>
  <c r="FF970"/>
  <c r="FJ970"/>
  <c r="FJ744"/>
  <c r="FF744"/>
  <c r="FF871"/>
  <c r="FJ871"/>
  <c r="FF1838"/>
  <c r="FJ1838"/>
  <c r="FJ1072"/>
  <c r="FF1072"/>
  <c r="FJ2253"/>
  <c r="FF2253"/>
  <c r="FJ2184"/>
  <c r="FF2184"/>
  <c r="FF980"/>
  <c r="FJ980"/>
  <c r="FJ1231"/>
  <c r="FF1231"/>
  <c r="FF1310"/>
  <c r="FJ1310"/>
  <c r="FF1328"/>
  <c r="FJ1328"/>
  <c r="FF2101"/>
  <c r="FJ2101"/>
  <c r="FJ2306"/>
  <c r="FF2306"/>
  <c r="FJ1587"/>
  <c r="FF1587"/>
  <c r="FJ600"/>
  <c r="FF600"/>
  <c r="FJ2135"/>
  <c r="FF2135"/>
  <c r="FJ1714"/>
  <c r="FF1714"/>
  <c r="FF2086"/>
  <c r="FJ2086"/>
  <c r="FJ1030"/>
  <c r="FF1030"/>
  <c r="FJ2237"/>
  <c r="FF2237"/>
  <c r="FJ696"/>
  <c r="FF696"/>
  <c r="FJ1641"/>
  <c r="FF1641"/>
  <c r="FF448"/>
  <c r="FJ969"/>
  <c r="FF969"/>
  <c r="FJ735"/>
  <c r="FF735"/>
  <c r="FF2431"/>
  <c r="FJ2431"/>
  <c r="FF622"/>
  <c r="FJ622"/>
  <c r="FF1732"/>
  <c r="FJ1732"/>
  <c r="FF2085"/>
  <c r="FJ2085"/>
  <c r="FF2128"/>
  <c r="FJ2128"/>
  <c r="FF1675"/>
  <c r="FJ1675"/>
  <c r="FF1141"/>
  <c r="FJ1141"/>
  <c r="FF1451"/>
  <c r="FJ1451"/>
  <c r="FF2437"/>
  <c r="FJ2437"/>
  <c r="FF1544"/>
  <c r="FJ1544"/>
  <c r="FF1128"/>
  <c r="FJ1128"/>
  <c r="FF1446"/>
  <c r="FJ1446"/>
  <c r="FF1629"/>
  <c r="FJ1629"/>
  <c r="FJ863"/>
  <c r="FF863"/>
  <c r="FF1756"/>
  <c r="FJ1756"/>
  <c r="FJ1436"/>
  <c r="FF1436"/>
  <c r="FF1225"/>
  <c r="FJ1225"/>
  <c r="FJ1717"/>
  <c r="FF1717"/>
  <c r="FJ809"/>
  <c r="FF809"/>
  <c r="FF1884"/>
  <c r="FJ1884"/>
  <c r="FJ1740"/>
  <c r="FF1740"/>
  <c r="FF2371"/>
  <c r="FJ2371"/>
  <c r="FJ1245"/>
  <c r="FF1245"/>
  <c r="FJ1917"/>
  <c r="FF1917"/>
  <c r="FF2252"/>
  <c r="FJ2252"/>
  <c r="FF1679"/>
  <c r="FJ1679"/>
  <c r="FJ1047"/>
  <c r="FF1047"/>
  <c r="FJ1188"/>
  <c r="FF1188"/>
  <c r="FF1158"/>
  <c r="FJ1158"/>
  <c r="FF1082"/>
  <c r="FJ1082"/>
  <c r="FF975"/>
  <c r="FJ975"/>
  <c r="FF1680"/>
  <c r="FJ1680"/>
  <c r="FF1430"/>
  <c r="FJ1430"/>
  <c r="FF882"/>
  <c r="FJ882"/>
  <c r="FJ2394"/>
  <c r="FF2394"/>
  <c r="FJ1469"/>
  <c r="FF1469"/>
  <c r="FF852"/>
  <c r="FJ852"/>
  <c r="FJ1651"/>
  <c r="FF1651"/>
  <c r="FF1727"/>
  <c r="FJ1727"/>
  <c r="FJ680"/>
  <c r="FF680"/>
  <c r="FF2268"/>
  <c r="FJ2268"/>
  <c r="FJ914"/>
  <c r="FF914"/>
  <c r="FJ1616"/>
  <c r="FF1616"/>
  <c r="FF473"/>
  <c r="FJ2216"/>
  <c r="FF2216"/>
  <c r="FJ689"/>
  <c r="FF689"/>
  <c r="FF1012"/>
  <c r="FJ1012"/>
  <c r="FF2113"/>
  <c r="FJ2113"/>
  <c r="FJ2482"/>
  <c r="FF2482"/>
  <c r="FF1606"/>
  <c r="FJ1606"/>
  <c r="FJ2355"/>
  <c r="FF2355"/>
  <c r="FF456"/>
  <c r="FF1007"/>
  <c r="FJ1007"/>
  <c r="FF905"/>
  <c r="FJ905"/>
  <c r="FJ952"/>
  <c r="FF952"/>
  <c r="FF851"/>
  <c r="FJ851"/>
  <c r="FF1035"/>
  <c r="FJ1035"/>
  <c r="FF1907"/>
  <c r="FJ1907"/>
  <c r="FF1496"/>
  <c r="FJ1496"/>
  <c r="FF2243"/>
  <c r="FJ2243"/>
  <c r="FJ773"/>
  <c r="FF773"/>
  <c r="FF443"/>
  <c r="FJ1911"/>
  <c r="FF1911"/>
  <c r="FJ2285"/>
  <c r="FF2285"/>
  <c r="FJ1648"/>
  <c r="FF1648"/>
  <c r="FJ591"/>
  <c r="FF591"/>
  <c r="FJ967"/>
  <c r="FF967"/>
  <c r="FJ1454"/>
  <c r="FF1454"/>
  <c r="FF1701"/>
  <c r="FJ1701"/>
  <c r="FF2020"/>
  <c r="FJ2020"/>
  <c r="FJ1147"/>
  <c r="FF1147"/>
  <c r="FF1807"/>
  <c r="FJ1807"/>
  <c r="FJ945"/>
  <c r="FF945"/>
  <c r="FF1294"/>
  <c r="FJ1294"/>
  <c r="FF2188"/>
  <c r="FJ2188"/>
  <c r="FF1180"/>
  <c r="FJ1180"/>
  <c r="FF1315"/>
  <c r="FJ1315"/>
  <c r="FF1408"/>
  <c r="FJ1408"/>
  <c r="FJ974"/>
  <c r="FF974"/>
  <c r="FJ1803"/>
  <c r="FF1803"/>
  <c r="FJ2247"/>
  <c r="FF2247"/>
  <c r="FF453"/>
  <c r="FJ1749"/>
  <c r="FF1749"/>
  <c r="FF2021"/>
  <c r="FJ2021"/>
  <c r="FJ613"/>
  <c r="FF613"/>
  <c r="FJ2162"/>
  <c r="FF2162"/>
  <c r="FJ1339"/>
  <c r="FF1339"/>
  <c r="FF1564"/>
  <c r="FJ1564"/>
  <c r="FJ1522"/>
  <c r="FF1522"/>
  <c r="FJ1080"/>
  <c r="FF1080"/>
  <c r="FJ2354"/>
  <c r="FF2354"/>
  <c r="FJ801"/>
  <c r="FF801"/>
  <c r="FJ2187"/>
  <c r="FF2187"/>
  <c r="FJ1255"/>
  <c r="FF1255"/>
  <c r="FJ1584"/>
  <c r="FF1584"/>
  <c r="FJ1785"/>
  <c r="FF1785"/>
  <c r="FF424"/>
  <c r="FF579"/>
  <c r="FJ579"/>
  <c r="FJ2441"/>
  <c r="FF2441"/>
  <c r="FJ859"/>
  <c r="FF859"/>
  <c r="FF1299"/>
  <c r="FJ1299"/>
  <c r="FJ1626"/>
  <c r="FF1626"/>
  <c r="FJ1579"/>
  <c r="FF1579"/>
  <c r="FJ1190"/>
  <c r="FF1190"/>
  <c r="FJ2008"/>
  <c r="FF2008"/>
  <c r="FJ2445"/>
  <c r="FF2445"/>
  <c r="FJ721"/>
  <c r="FF721"/>
  <c r="FJ904"/>
  <c r="FF904"/>
  <c r="FF1043"/>
  <c r="FJ1043"/>
  <c r="FJ2138"/>
  <c r="FF2138"/>
  <c r="FF617"/>
  <c r="FJ617"/>
  <c r="FJ838"/>
  <c r="FF838"/>
  <c r="FJ2257"/>
  <c r="FF2257"/>
  <c r="FJ1601"/>
  <c r="FF1601"/>
  <c r="FF1720"/>
  <c r="FJ1720"/>
  <c r="FJ998"/>
  <c r="FF998"/>
  <c r="FF2115"/>
  <c r="FJ2115"/>
  <c r="FF2390"/>
  <c r="FJ2390"/>
  <c r="FF2224"/>
  <c r="FJ2224"/>
  <c r="FF848"/>
  <c r="FJ848"/>
  <c r="FF1343"/>
  <c r="FJ1343"/>
  <c r="FF1356"/>
  <c r="FJ1356"/>
  <c r="FF643"/>
  <c r="FJ643"/>
  <c r="FF880"/>
  <c r="FJ880"/>
  <c r="FJ1954"/>
  <c r="FF1954"/>
  <c r="FJ875"/>
  <c r="FF875"/>
  <c r="FJ1504"/>
  <c r="FF1504"/>
  <c r="FF2465"/>
  <c r="FJ2465"/>
  <c r="FF2440"/>
  <c r="FJ2440"/>
  <c r="FF1855"/>
  <c r="FJ1855"/>
  <c r="FF1609"/>
  <c r="FJ1609"/>
  <c r="FF1632"/>
  <c r="FJ1632"/>
  <c r="FF1713"/>
  <c r="FJ1713"/>
  <c r="FJ1344"/>
  <c r="FF1344"/>
  <c r="FF669"/>
  <c r="FJ669"/>
  <c r="FF1611"/>
  <c r="FJ1611"/>
  <c r="FJ1105"/>
  <c r="FF1105"/>
  <c r="FJ2292"/>
  <c r="FF2292"/>
  <c r="FJ549"/>
  <c r="FF549"/>
  <c r="FF734"/>
  <c r="FJ734"/>
  <c r="FF1368"/>
  <c r="FJ1368"/>
  <c r="FF961"/>
  <c r="FJ961"/>
  <c r="FF1999"/>
  <c r="FJ1999"/>
  <c r="FF2400"/>
  <c r="FJ2400"/>
  <c r="FF1967"/>
  <c r="FJ1967"/>
  <c r="FF1940"/>
  <c r="FJ1940"/>
  <c r="FJ885"/>
  <c r="FF885"/>
  <c r="FF2393"/>
  <c r="FJ2393"/>
  <c r="FF1022"/>
  <c r="FJ1022"/>
  <c r="FF2389"/>
  <c r="FJ2389"/>
  <c r="FF1945"/>
  <c r="FJ1945"/>
  <c r="FJ2375"/>
  <c r="FF2375"/>
  <c r="FF990"/>
  <c r="FJ990"/>
  <c r="FF690"/>
  <c r="FJ690"/>
  <c r="FJ953"/>
  <c r="FF953"/>
  <c r="FF2038"/>
  <c r="FJ2038"/>
  <c r="FJ1795"/>
  <c r="FF1795"/>
  <c r="FF2271"/>
  <c r="FJ2271"/>
  <c r="FJ946"/>
  <c r="FF946"/>
  <c r="FJ677"/>
  <c r="FF677"/>
  <c r="FF1423"/>
  <c r="FJ1423"/>
  <c r="FJ1214"/>
  <c r="FF1214"/>
  <c r="FF1029"/>
  <c r="FJ1029"/>
  <c r="FF2022"/>
  <c r="FJ2022"/>
  <c r="FF1858"/>
  <c r="FJ1858"/>
  <c r="FF2217"/>
  <c r="FJ2217"/>
  <c r="FF2353"/>
  <c r="FJ2353"/>
  <c r="FF458"/>
  <c r="FJ2446"/>
  <c r="FF2446"/>
  <c r="FF840"/>
  <c r="FJ840"/>
  <c r="FF1460"/>
  <c r="FJ1460"/>
  <c r="FF2450"/>
  <c r="FJ2450"/>
  <c r="FF1418"/>
  <c r="FJ1418"/>
  <c r="FF1873"/>
  <c r="FJ1873"/>
  <c r="FF1968"/>
  <c r="FJ1968"/>
  <c r="FF908"/>
  <c r="FJ908"/>
  <c r="FJ652"/>
  <c r="FF652"/>
  <c r="FJ1440"/>
  <c r="FF1440"/>
  <c r="FJ2267"/>
  <c r="FF2267"/>
  <c r="FJ776"/>
  <c r="FF776"/>
  <c r="FJ1154"/>
  <c r="FF1154"/>
  <c r="FJ954"/>
  <c r="FF954"/>
  <c r="FJ1963"/>
  <c r="FF1963"/>
  <c r="FF1050"/>
  <c r="FJ1050"/>
  <c r="FJ2185"/>
  <c r="FF2185"/>
  <c r="FJ1893"/>
  <c r="FF1893"/>
  <c r="FF1796"/>
  <c r="FJ1796"/>
  <c r="FF1138"/>
  <c r="FJ1138"/>
  <c r="FF1482"/>
  <c r="FJ1482"/>
  <c r="FJ1396"/>
  <c r="FF1396"/>
  <c r="FF1169"/>
  <c r="FJ1169"/>
  <c r="FF427"/>
  <c r="FF2204"/>
  <c r="FJ2204"/>
  <c r="FF2111"/>
  <c r="FJ2111"/>
  <c r="FF1640"/>
  <c r="FJ1640"/>
  <c r="FJ2385"/>
  <c r="FF2385"/>
  <c r="FF587"/>
  <c r="FJ587"/>
  <c r="FF1719"/>
  <c r="FJ1719"/>
  <c r="FF708"/>
  <c r="FJ708"/>
  <c r="FF1802"/>
  <c r="FJ1802"/>
  <c r="FF2017"/>
  <c r="FJ2017"/>
  <c r="FJ1434"/>
  <c r="FF1434"/>
  <c r="FF1280"/>
  <c r="FJ1280"/>
  <c r="FJ723"/>
  <c r="FF723"/>
  <c r="FJ2055"/>
  <c r="FF2055"/>
  <c r="FF2028"/>
  <c r="FJ2028"/>
  <c r="FJ637"/>
  <c r="FF637"/>
  <c r="FJ514"/>
  <c r="FF514"/>
  <c r="FF1834"/>
  <c r="FJ1834"/>
  <c r="FF584"/>
  <c r="FJ584"/>
  <c r="FJ2137"/>
  <c r="FF2137"/>
  <c r="FF452"/>
  <c r="FF1293"/>
  <c r="FJ1293"/>
  <c r="FJ2239"/>
  <c r="FF2239"/>
  <c r="FF642"/>
  <c r="FJ642"/>
  <c r="FJ495"/>
  <c r="FF495"/>
  <c r="FF884"/>
  <c r="FJ884"/>
  <c r="FF2175"/>
  <c r="FJ2175"/>
  <c r="FF1000"/>
  <c r="FJ1000"/>
  <c r="FF1811"/>
  <c r="FJ1811"/>
  <c r="FF1279"/>
  <c r="FJ1279"/>
  <c r="FF589"/>
  <c r="FJ589"/>
  <c r="FF2171"/>
  <c r="FJ2171"/>
  <c r="FJ2132"/>
  <c r="FF2132"/>
  <c r="FF2152"/>
  <c r="FJ2152"/>
  <c r="FF2430"/>
  <c r="FJ2430"/>
  <c r="FF512"/>
  <c r="FJ512"/>
  <c r="FF729"/>
  <c r="FJ729"/>
  <c r="FJ2432"/>
  <c r="FF2432"/>
  <c r="FF1875"/>
  <c r="FJ1875"/>
  <c r="FF1373"/>
  <c r="FJ1373"/>
  <c r="FF593"/>
  <c r="FJ593"/>
  <c r="FJ862"/>
  <c r="FF862"/>
  <c r="FF2366"/>
  <c r="FJ2366"/>
  <c r="FJ562"/>
  <c r="FF562"/>
  <c r="FJ1162"/>
  <c r="FF1162"/>
  <c r="FF485"/>
  <c r="FJ485"/>
  <c r="FF2492"/>
  <c r="FJ2492"/>
  <c r="FF2378"/>
  <c r="FJ2378"/>
  <c r="FJ1605"/>
  <c r="FF1605"/>
  <c r="FF1678"/>
  <c r="FJ1678"/>
  <c r="FF1133"/>
  <c r="FJ1133"/>
  <c r="FF2481"/>
  <c r="FJ2481"/>
  <c r="FJ1212"/>
  <c r="FF1212"/>
  <c r="FF715"/>
  <c r="FJ715"/>
  <c r="FJ1017"/>
  <c r="FF1017"/>
  <c r="FF2333"/>
  <c r="FJ2333"/>
  <c r="FJ1594"/>
  <c r="FF1594"/>
  <c r="FJ1196"/>
  <c r="FF1196"/>
  <c r="FJ870"/>
  <c r="FF870"/>
  <c r="FJ1317"/>
  <c r="FF1317"/>
  <c r="FF532"/>
  <c r="FJ532"/>
  <c r="FF742"/>
  <c r="FJ742"/>
  <c r="FF2462"/>
  <c r="FJ2462"/>
  <c r="FF524"/>
  <c r="FJ524"/>
  <c r="FF881"/>
  <c r="FJ881"/>
  <c r="FJ1406"/>
  <c r="FF1406"/>
  <c r="FF509"/>
  <c r="FJ509"/>
  <c r="FJ1806"/>
  <c r="FF1806"/>
  <c r="FF1623"/>
  <c r="FJ1623"/>
  <c r="FJ535"/>
  <c r="FF535"/>
  <c r="FF2097"/>
  <c r="FJ2097"/>
  <c r="FF1341"/>
  <c r="FJ1341"/>
  <c r="FJ1013"/>
  <c r="FF1013"/>
  <c r="FJ518"/>
  <c r="FF518"/>
  <c r="FJ1426"/>
  <c r="FF1426"/>
  <c r="FF1135"/>
  <c r="FJ1135"/>
  <c r="FF1363"/>
  <c r="FJ1363"/>
  <c r="FF608"/>
  <c r="FJ608"/>
  <c r="FJ817"/>
  <c r="FF817"/>
  <c r="FF1550"/>
  <c r="FJ1550"/>
  <c r="FJ774"/>
  <c r="FF774"/>
  <c r="FF1399"/>
  <c r="FJ1399"/>
  <c r="FF460"/>
  <c r="FJ1663"/>
  <c r="FF1663"/>
  <c r="FF1450"/>
  <c r="FJ1450"/>
  <c r="FF1464"/>
  <c r="FJ1464"/>
  <c r="FF2131"/>
  <c r="FJ2131"/>
  <c r="FJ1986"/>
  <c r="FF1986"/>
  <c r="FF533"/>
  <c r="FJ533"/>
  <c r="FF821"/>
  <c r="FJ821"/>
  <c r="FF1381"/>
  <c r="FJ1381"/>
  <c r="FF651"/>
  <c r="FJ651"/>
  <c r="FF1206"/>
  <c r="FJ1206"/>
  <c r="FF1753"/>
  <c r="FJ1753"/>
  <c r="FF1252"/>
  <c r="FJ1252"/>
  <c r="FJ1790"/>
  <c r="FF1790"/>
  <c r="FJ849"/>
  <c r="FF849"/>
  <c r="FF477"/>
  <c r="FJ1068"/>
  <c r="FF1068"/>
  <c r="FJ1938"/>
  <c r="FF1938"/>
  <c r="FF621"/>
  <c r="FJ621"/>
  <c r="FF1238"/>
  <c r="FJ1238"/>
  <c r="FJ1563"/>
  <c r="FF1563"/>
  <c r="FF833"/>
  <c r="FJ833"/>
  <c r="FJ2081"/>
  <c r="FF2081"/>
  <c r="FF1635"/>
  <c r="FJ1635"/>
  <c r="FJ1115"/>
  <c r="FF1115"/>
  <c r="FF1427"/>
  <c r="FJ1427"/>
  <c r="FF1643"/>
  <c r="FJ1643"/>
  <c r="FF718"/>
  <c r="FJ718"/>
  <c r="FF1949"/>
  <c r="FJ1949"/>
  <c r="FJ1627"/>
  <c r="FF1627"/>
  <c r="FF644"/>
  <c r="FJ644"/>
  <c r="FF1886"/>
  <c r="FJ1886"/>
  <c r="FF850"/>
  <c r="FJ850"/>
  <c r="FJ2105"/>
  <c r="FF2105"/>
  <c r="FJ1270"/>
  <c r="FF1270"/>
  <c r="FJ522"/>
  <c r="FF522"/>
  <c r="FF1857"/>
  <c r="FJ1857"/>
  <c r="FF449"/>
  <c r="FJ1093"/>
  <c r="FF1093"/>
  <c r="FJ596"/>
  <c r="FF596"/>
  <c r="FF1066"/>
  <c r="FJ1066"/>
  <c r="FJ667"/>
  <c r="FF667"/>
  <c r="FF1493"/>
  <c r="FJ1493"/>
  <c r="FF595"/>
  <c r="FJ595"/>
  <c r="FF421"/>
  <c r="FF1805"/>
  <c r="FJ1805"/>
  <c r="FJ2493"/>
  <c r="FF2493"/>
  <c r="FJ2278"/>
  <c r="FF2278"/>
  <c r="FJ1826"/>
  <c r="FF1826"/>
  <c r="FJ519"/>
  <c r="FF519"/>
  <c r="FF588"/>
  <c r="FJ588"/>
  <c r="FF1407"/>
  <c r="FJ1407"/>
  <c r="FF2172"/>
  <c r="FJ2172"/>
  <c r="FF1438"/>
  <c r="FJ1438"/>
  <c r="FJ693"/>
  <c r="FF693"/>
  <c r="FF1997"/>
  <c r="FJ1997"/>
  <c r="FF2330"/>
  <c r="FJ2330"/>
  <c r="FF1327"/>
  <c r="FJ1327"/>
  <c r="FF625"/>
  <c r="FJ625"/>
  <c r="FF1639"/>
  <c r="FJ1639"/>
  <c r="FJ2421"/>
  <c r="FF2421"/>
  <c r="FJ2073"/>
  <c r="FF2073"/>
  <c r="FF1841"/>
  <c r="FJ1841"/>
  <c r="FJ1516"/>
  <c r="FF1516"/>
  <c r="FF1019"/>
  <c r="FJ1019"/>
  <c r="FJ2338"/>
  <c r="FF2338"/>
  <c r="FF1924"/>
  <c r="FJ1924"/>
  <c r="FF1413"/>
  <c r="FJ1413"/>
  <c r="FJ2458"/>
  <c r="FF2458"/>
  <c r="FF434"/>
  <c r="FJ1340"/>
  <c r="FF1340"/>
  <c r="FF482"/>
  <c r="FF793"/>
  <c r="FJ793"/>
  <c r="FJ1083"/>
  <c r="FF1083"/>
  <c r="FJ541"/>
  <c r="FF541"/>
  <c r="FJ1218"/>
  <c r="FF1218"/>
  <c r="FJ1320"/>
  <c r="FF1320"/>
  <c r="FF2473"/>
  <c r="FJ2473"/>
  <c r="FF1861"/>
  <c r="FJ1861"/>
  <c r="FJ1558"/>
  <c r="FF1558"/>
  <c r="FJ1483"/>
  <c r="FF1483"/>
  <c r="FJ2029"/>
  <c r="FF2029"/>
  <c r="FJ630"/>
  <c r="FF630"/>
  <c r="FF2459"/>
  <c r="FJ2459"/>
  <c r="FJ1455"/>
  <c r="FF1455"/>
  <c r="FJ1708"/>
  <c r="FF1708"/>
  <c r="FJ1258"/>
  <c r="FF1258"/>
  <c r="FJ2191"/>
  <c r="FF2191"/>
  <c r="FJ982"/>
  <c r="FF982"/>
  <c r="FF632"/>
  <c r="FJ632"/>
  <c r="FF1844"/>
  <c r="FJ1844"/>
  <c r="FF1655"/>
  <c r="FJ1655"/>
  <c r="FF459"/>
  <c r="FF1816"/>
  <c r="FJ1816"/>
  <c r="FJ2218"/>
  <c r="FF2218"/>
  <c r="FF2083"/>
  <c r="FJ2083"/>
  <c r="FJ610"/>
  <c r="FF610"/>
  <c r="FF676"/>
  <c r="FJ676"/>
  <c r="FF1207"/>
  <c r="FJ1207"/>
  <c r="FJ2165"/>
  <c r="FF2165"/>
  <c r="FJ1575"/>
  <c r="FF1575"/>
  <c r="FF1561"/>
  <c r="FJ1561"/>
  <c r="FF1576"/>
  <c r="FJ1576"/>
  <c r="FJ1096"/>
  <c r="FF1096"/>
  <c r="FF1365"/>
  <c r="FJ1365"/>
  <c r="FF1848"/>
  <c r="FJ1848"/>
  <c r="FJ1227"/>
  <c r="FF1227"/>
  <c r="FJ2391"/>
  <c r="FF2391"/>
  <c r="FJ2360"/>
  <c r="FF2360"/>
  <c r="FJ620"/>
  <c r="FF620"/>
  <c r="FJ1698"/>
  <c r="FF1698"/>
  <c r="FJ1176"/>
  <c r="FF1176"/>
  <c r="FJ938"/>
  <c r="FF938"/>
  <c r="FJ2418"/>
  <c r="FF2418"/>
  <c r="FF1251"/>
  <c r="FJ1251"/>
  <c r="FF1654"/>
  <c r="FJ1654"/>
  <c r="FJ1226"/>
  <c r="FF1226"/>
  <c r="FF426"/>
  <c r="FJ865"/>
  <c r="FF865"/>
  <c r="FJ1556"/>
  <c r="FF1556"/>
  <c r="FJ557"/>
  <c r="FF557"/>
  <c r="FF822"/>
  <c r="FJ822"/>
  <c r="FF638"/>
  <c r="FJ638"/>
  <c r="FJ2229"/>
  <c r="FF2229"/>
  <c r="FJ2461"/>
  <c r="FF2461"/>
  <c r="FJ1114"/>
  <c r="FF1114"/>
  <c r="FJ1750"/>
  <c r="FF1750"/>
  <c r="FJ1781"/>
  <c r="FF1781"/>
  <c r="FF1353"/>
  <c r="FJ1353"/>
  <c r="FJ866"/>
  <c r="FF866"/>
  <c r="FF782"/>
  <c r="FJ782"/>
  <c r="FJ1824"/>
  <c r="FF1824"/>
  <c r="FJ1755"/>
  <c r="FF1755"/>
  <c r="FJ808"/>
  <c r="FF808"/>
  <c r="FF831"/>
  <c r="FJ831"/>
  <c r="FF2302"/>
  <c r="FJ2302"/>
  <c r="FF1236"/>
  <c r="FJ1236"/>
  <c r="FF1718"/>
  <c r="FJ1718"/>
  <c r="FF2167"/>
  <c r="FJ2167"/>
  <c r="FF1194"/>
  <c r="FJ1194"/>
  <c r="FF1757"/>
  <c r="FJ1757"/>
  <c r="FF1638"/>
  <c r="FJ1638"/>
  <c r="FF1677"/>
  <c r="FJ1677"/>
  <c r="FJ1957"/>
  <c r="FF1957"/>
  <c r="FJ1975"/>
  <c r="FF1975"/>
  <c r="FJ1358"/>
  <c r="FF1358"/>
  <c r="FF780"/>
  <c r="FJ780"/>
  <c r="FF1471"/>
  <c r="FJ1471"/>
  <c r="FF2423"/>
  <c r="FJ2423"/>
  <c r="FF2483"/>
  <c r="FJ2483"/>
  <c r="FF470"/>
  <c r="FF1136"/>
  <c r="FJ1136"/>
  <c r="FJ2221"/>
  <c r="FF2221"/>
  <c r="FF1710"/>
  <c r="FJ1710"/>
  <c r="FF1346"/>
  <c r="FJ1346"/>
  <c r="AA67"/>
  <c r="AV67"/>
  <c r="BB67"/>
  <c r="F67"/>
  <c r="CV67"/>
  <c r="DO67"/>
  <c r="BC67"/>
  <c r="BO67"/>
  <c r="CE67"/>
  <c r="BX67"/>
  <c r="T67"/>
  <c r="BH67"/>
  <c r="DD67"/>
  <c r="W67"/>
  <c r="AM67"/>
  <c r="DC67"/>
  <c r="AH67"/>
  <c r="CJ67"/>
  <c r="CP67"/>
  <c r="DN67"/>
  <c r="AE67"/>
  <c r="CR67"/>
  <c r="DP67"/>
  <c r="AP67"/>
  <c r="P67"/>
  <c r="N67"/>
  <c r="CZ67"/>
  <c r="BJ67"/>
  <c r="AS67"/>
  <c r="AX67"/>
  <c r="BG67"/>
  <c r="AK67"/>
  <c r="AY67"/>
  <c r="CG67"/>
  <c r="DG67"/>
  <c r="CC67"/>
  <c r="DS67"/>
  <c r="H67"/>
  <c r="DJ67"/>
  <c r="AZ67"/>
  <c r="DR67"/>
  <c r="CI67"/>
  <c r="CN67"/>
  <c r="M67"/>
  <c r="Y67"/>
  <c r="G67"/>
  <c r="DB67"/>
  <c r="CY67"/>
  <c r="V67"/>
  <c r="BU67"/>
  <c r="BI67"/>
  <c r="BS67"/>
  <c r="AI67"/>
  <c r="AL67"/>
  <c r="K67"/>
  <c r="BK67"/>
  <c r="S67"/>
  <c r="CO67"/>
  <c r="Z67"/>
  <c r="AD67"/>
  <c r="L67"/>
  <c r="O67"/>
  <c r="DM67"/>
  <c r="DU67"/>
  <c r="DF67"/>
  <c r="AC67"/>
  <c r="E67"/>
  <c r="DA67"/>
  <c r="R67"/>
  <c r="BQ67"/>
  <c r="CQ67"/>
  <c r="CW67"/>
  <c r="BY67"/>
  <c r="DL67"/>
  <c r="AJ67"/>
  <c r="CU67"/>
  <c r="CX67"/>
  <c r="AN67"/>
  <c r="CT67"/>
  <c r="AQ67"/>
  <c r="BW67"/>
  <c r="CL67"/>
  <c r="BP67"/>
  <c r="Q67"/>
  <c r="AT67"/>
  <c r="AR67"/>
  <c r="DT67"/>
  <c r="CA67"/>
  <c r="BT67"/>
  <c r="AB67"/>
  <c r="I67"/>
  <c r="AF67"/>
  <c r="AW67"/>
  <c r="CK67"/>
  <c r="DE67"/>
  <c r="X67"/>
  <c r="DH67"/>
  <c r="CS67"/>
  <c r="BR67"/>
  <c r="U67"/>
  <c r="AU67"/>
  <c r="BL67"/>
  <c r="DV67"/>
  <c r="BM67"/>
  <c r="CM67"/>
  <c r="DQ67"/>
  <c r="DK67"/>
  <c r="BE67"/>
  <c r="BN67"/>
  <c r="CD67"/>
  <c r="BF67"/>
  <c r="DI67"/>
  <c r="CF67"/>
  <c r="AG67"/>
  <c r="BV67"/>
  <c r="BA67"/>
  <c r="AO67"/>
  <c r="BZ67"/>
  <c r="CB67"/>
  <c r="BD67"/>
  <c r="J67"/>
  <c r="CH67"/>
  <c r="C67"/>
  <c r="AD46"/>
  <c r="DE46"/>
  <c r="J46"/>
  <c r="AG46"/>
  <c r="O46"/>
  <c r="AQ46"/>
  <c r="DD46"/>
  <c r="Z46"/>
  <c r="AI46"/>
  <c r="CD46"/>
  <c r="BO46"/>
  <c r="BZ46"/>
  <c r="BE46"/>
  <c r="DT46"/>
  <c r="CB46"/>
  <c r="AP46"/>
  <c r="T46"/>
  <c r="X46"/>
  <c r="BX46"/>
  <c r="BW46"/>
  <c r="BT46"/>
  <c r="CN46"/>
  <c r="CP46"/>
  <c r="BA46"/>
  <c r="U46"/>
  <c r="DH46"/>
  <c r="AN46"/>
  <c r="AO46"/>
  <c r="Y46"/>
  <c r="AZ46"/>
  <c r="AM46"/>
  <c r="BJ46"/>
  <c r="AB46"/>
  <c r="DM46"/>
  <c r="W46"/>
  <c r="DP46"/>
  <c r="CE46"/>
  <c r="CZ46"/>
  <c r="DC46"/>
  <c r="CG46"/>
  <c r="AH46"/>
  <c r="CJ46"/>
  <c r="CS46"/>
  <c r="AX46"/>
  <c r="S46"/>
  <c r="CO46"/>
  <c r="DR46"/>
  <c r="CC46"/>
  <c r="CI46"/>
  <c r="AE46"/>
  <c r="Q46"/>
  <c r="DL46"/>
  <c r="L46"/>
  <c r="DN46"/>
  <c r="BQ46"/>
  <c r="BD46"/>
  <c r="DS46"/>
  <c r="BC46"/>
  <c r="BF46"/>
  <c r="BR46"/>
  <c r="E46"/>
  <c r="CK46"/>
  <c r="BK46"/>
  <c r="CA46"/>
  <c r="AV46"/>
  <c r="CM46"/>
  <c r="G46"/>
  <c r="AT46"/>
  <c r="BU46"/>
  <c r="CR46"/>
  <c r="CU46"/>
  <c r="CF46"/>
  <c r="DF46"/>
  <c r="H46"/>
  <c r="CT46"/>
  <c r="F46"/>
  <c r="AW46"/>
  <c r="P46"/>
  <c r="BL46"/>
  <c r="AA46"/>
  <c r="DQ46"/>
  <c r="V46"/>
  <c r="AU46"/>
  <c r="AY46"/>
  <c r="DV46"/>
  <c r="N46"/>
  <c r="AL46"/>
  <c r="AC46"/>
  <c r="BM46"/>
  <c r="DA46"/>
  <c r="AK46"/>
  <c r="BN46"/>
  <c r="CV46"/>
  <c r="AR46"/>
  <c r="BI46"/>
  <c r="BS46"/>
  <c r="CW46"/>
  <c r="BP46"/>
  <c r="CY46"/>
  <c r="DO46"/>
  <c r="AJ46"/>
  <c r="DB46"/>
  <c r="CL46"/>
  <c r="BY46"/>
  <c r="R46"/>
  <c r="DJ46"/>
  <c r="I46"/>
  <c r="AF46"/>
  <c r="CH46"/>
  <c r="DU46"/>
  <c r="BH46"/>
  <c r="K46"/>
  <c r="CX46"/>
  <c r="DK46"/>
  <c r="CQ46"/>
  <c r="AS46"/>
  <c r="BV46"/>
  <c r="BG46"/>
  <c r="M46"/>
  <c r="DI46"/>
  <c r="BB46"/>
  <c r="DG46"/>
  <c r="C46"/>
  <c r="CG27"/>
  <c r="BM27"/>
  <c r="CF27"/>
  <c r="K27"/>
  <c r="BQ27"/>
  <c r="AQ27"/>
  <c r="CU27"/>
  <c r="BK27"/>
  <c r="BP27"/>
  <c r="AJ27"/>
  <c r="BI27"/>
  <c r="AS27"/>
  <c r="BX27"/>
  <c r="I27"/>
  <c r="DQ27"/>
  <c r="BT27"/>
  <c r="CY27"/>
  <c r="DF27"/>
  <c r="F27"/>
  <c r="CN27"/>
  <c r="BW27"/>
  <c r="BB27"/>
  <c r="DJ27"/>
  <c r="CC27"/>
  <c r="BO27"/>
  <c r="DK27"/>
  <c r="CM27"/>
  <c r="DL27"/>
  <c r="AR27"/>
  <c r="BA27"/>
  <c r="DI27"/>
  <c r="AU27"/>
  <c r="CP27"/>
  <c r="AD27"/>
  <c r="BL27"/>
  <c r="AW27"/>
  <c r="AH27"/>
  <c r="DV27"/>
  <c r="BJ27"/>
  <c r="AG27"/>
  <c r="G27"/>
  <c r="S27"/>
  <c r="AY27"/>
  <c r="DM27"/>
  <c r="J27"/>
  <c r="DO27"/>
  <c r="CJ27"/>
  <c r="AZ27"/>
  <c r="AP27"/>
  <c r="CK27"/>
  <c r="DG27"/>
  <c r="R27"/>
  <c r="BN27"/>
  <c r="DP27"/>
  <c r="M27"/>
  <c r="V27"/>
  <c r="DS27"/>
  <c r="AV27"/>
  <c r="CR27"/>
  <c r="CT27"/>
  <c r="BZ27"/>
  <c r="T27"/>
  <c r="AT27"/>
  <c r="AO27"/>
  <c r="W27"/>
  <c r="L27"/>
  <c r="BD27"/>
  <c r="CA27"/>
  <c r="CD27"/>
  <c r="CB27"/>
  <c r="DT27"/>
  <c r="AF27"/>
  <c r="DC27"/>
  <c r="DU27"/>
  <c r="AB27"/>
  <c r="Q27"/>
  <c r="N27"/>
  <c r="X27"/>
  <c r="CH27"/>
  <c r="DN27"/>
  <c r="Z27"/>
  <c r="BC27"/>
  <c r="E27"/>
  <c r="AC27"/>
  <c r="O27"/>
  <c r="BG27"/>
  <c r="AK27"/>
  <c r="CQ27"/>
  <c r="CL27"/>
  <c r="AE27"/>
  <c r="CZ27"/>
  <c r="DD27"/>
  <c r="DH27"/>
  <c r="DE27"/>
  <c r="AI27"/>
  <c r="AA27"/>
  <c r="DR27"/>
  <c r="CS27"/>
  <c r="AL27"/>
  <c r="CW27"/>
  <c r="CE27"/>
  <c r="Y27"/>
  <c r="BF27"/>
  <c r="CO27"/>
  <c r="P27"/>
  <c r="AN27"/>
  <c r="DA27"/>
  <c r="BH27"/>
  <c r="BU27"/>
  <c r="BS27"/>
  <c r="U27"/>
  <c r="CI27"/>
  <c r="BY27"/>
  <c r="BE27"/>
  <c r="CX27"/>
  <c r="DB27"/>
  <c r="AX27"/>
  <c r="BR27"/>
  <c r="AM27"/>
  <c r="H27"/>
  <c r="BV27"/>
  <c r="CV27"/>
  <c r="C27"/>
  <c r="AW14"/>
  <c r="DK14"/>
  <c r="BE14"/>
  <c r="BQ14"/>
  <c r="BK14"/>
  <c r="DL14"/>
  <c r="AI14"/>
  <c r="CL14"/>
  <c r="CH14"/>
  <c r="BV14"/>
  <c r="AD14"/>
  <c r="DE14"/>
  <c r="DA14"/>
  <c r="CU14"/>
  <c r="S14"/>
  <c r="DT14"/>
  <c r="CE14"/>
  <c r="AA14"/>
  <c r="T14"/>
  <c r="DS14"/>
  <c r="DU14"/>
  <c r="DV14"/>
  <c r="AP14"/>
  <c r="CO14"/>
  <c r="CK14"/>
  <c r="V14"/>
  <c r="BG14"/>
  <c r="CY14"/>
  <c r="BR14"/>
  <c r="CB14"/>
  <c r="CM14"/>
  <c r="CD14"/>
  <c r="AS14"/>
  <c r="AE14"/>
  <c r="BH14"/>
  <c r="DB14"/>
  <c r="BP14"/>
  <c r="CI14"/>
  <c r="DH14"/>
  <c r="O14"/>
  <c r="DG14"/>
  <c r="BF14"/>
  <c r="AG14"/>
  <c r="AT14"/>
  <c r="FF419" s="1"/>
  <c r="AN14"/>
  <c r="CP14"/>
  <c r="CJ14"/>
  <c r="CZ14"/>
  <c r="DI14"/>
  <c r="AX14"/>
  <c r="AB14"/>
  <c r="DC14"/>
  <c r="AQ14"/>
  <c r="DP14"/>
  <c r="BI14"/>
  <c r="AM14"/>
  <c r="BA14"/>
  <c r="BB14"/>
  <c r="DJ14"/>
  <c r="CG14"/>
  <c r="DN14"/>
  <c r="CS14"/>
  <c r="CT14"/>
  <c r="BT14"/>
  <c r="BZ14"/>
  <c r="DM14"/>
  <c r="Z14"/>
  <c r="AU14"/>
  <c r="BW14"/>
  <c r="AO14"/>
  <c r="BJ14"/>
  <c r="BX14"/>
  <c r="DD14"/>
  <c r="CW14"/>
  <c r="AF14"/>
  <c r="AH14"/>
  <c r="CR14"/>
  <c r="AJ14"/>
  <c r="CV14"/>
  <c r="CA14"/>
  <c r="AV14"/>
  <c r="BL14"/>
  <c r="X14"/>
  <c r="BY14"/>
  <c r="DR14"/>
  <c r="AL14"/>
  <c r="BD14"/>
  <c r="Y14"/>
  <c r="AZ14"/>
  <c r="CC14"/>
  <c r="CX14"/>
  <c r="CN14"/>
  <c r="BS14"/>
  <c r="W14"/>
  <c r="BO14"/>
  <c r="CQ14"/>
  <c r="U14"/>
  <c r="AY14"/>
  <c r="AK14"/>
  <c r="DF14"/>
  <c r="AC14"/>
  <c r="BU14"/>
  <c r="CF14"/>
  <c r="DO14"/>
  <c r="DQ14"/>
  <c r="AR14"/>
  <c r="BM14"/>
  <c r="BN14"/>
  <c r="BC14"/>
  <c r="C14"/>
  <c r="AD77"/>
  <c r="BP77"/>
  <c r="U77"/>
  <c r="CR77"/>
  <c r="CC77"/>
  <c r="S77"/>
  <c r="CO77"/>
  <c r="CG77"/>
  <c r="BQ77"/>
  <c r="BX77"/>
  <c r="BN77"/>
  <c r="AY77"/>
  <c r="CM77"/>
  <c r="BJ77"/>
  <c r="AQ77"/>
  <c r="AK77"/>
  <c r="BY77"/>
  <c r="P77"/>
  <c r="M77"/>
  <c r="AB77"/>
  <c r="DA77"/>
  <c r="AN77"/>
  <c r="BZ77"/>
  <c r="AU77"/>
  <c r="DF77"/>
  <c r="DR77"/>
  <c r="AC77"/>
  <c r="CB77"/>
  <c r="CY77"/>
  <c r="BT77"/>
  <c r="X77"/>
  <c r="AE77"/>
  <c r="BD77"/>
  <c r="CV77"/>
  <c r="BL77"/>
  <c r="E77"/>
  <c r="DL77"/>
  <c r="BW77"/>
  <c r="CU77"/>
  <c r="CL77"/>
  <c r="H77"/>
  <c r="AV77"/>
  <c r="AX77"/>
  <c r="DC77"/>
  <c r="Z77"/>
  <c r="BK77"/>
  <c r="J77"/>
  <c r="CH77"/>
  <c r="DD77"/>
  <c r="G77"/>
  <c r="CF77"/>
  <c r="CN77"/>
  <c r="T77"/>
  <c r="DN77"/>
  <c r="AS77"/>
  <c r="DU77"/>
  <c r="CP77"/>
  <c r="DJ77"/>
  <c r="DS77"/>
  <c r="CK77"/>
  <c r="BR77"/>
  <c r="AO77"/>
  <c r="L77"/>
  <c r="K77"/>
  <c r="I77"/>
  <c r="BF77"/>
  <c r="BS77"/>
  <c r="CD77"/>
  <c r="R77"/>
  <c r="BE77"/>
  <c r="DV77"/>
  <c r="BB77"/>
  <c r="CS77"/>
  <c r="BI77"/>
  <c r="DO77"/>
  <c r="DP77"/>
  <c r="V77"/>
  <c r="Y77"/>
  <c r="DI77"/>
  <c r="O77"/>
  <c r="BV77"/>
  <c r="BG77"/>
  <c r="AT77"/>
  <c r="DT77"/>
  <c r="CQ77"/>
  <c r="AL77"/>
  <c r="BU77"/>
  <c r="Q77"/>
  <c r="AA77"/>
  <c r="CE77"/>
  <c r="DQ77"/>
  <c r="CZ77"/>
  <c r="DH77"/>
  <c r="DM77"/>
  <c r="CT77"/>
  <c r="DE77"/>
  <c r="AH77"/>
  <c r="W77"/>
  <c r="AP77"/>
  <c r="DK77"/>
  <c r="AF77"/>
  <c r="BA77"/>
  <c r="AR77"/>
  <c r="AJ77"/>
  <c r="CI77"/>
  <c r="AZ77"/>
  <c r="CX77"/>
  <c r="BH77"/>
  <c r="CJ77"/>
  <c r="F77"/>
  <c r="DB77"/>
  <c r="DG77"/>
  <c r="AM77"/>
  <c r="CA77"/>
  <c r="AG77"/>
  <c r="AW77"/>
  <c r="AI77"/>
  <c r="BO77"/>
  <c r="BM77"/>
  <c r="CW77"/>
  <c r="N77"/>
  <c r="BC77"/>
  <c r="C77"/>
  <c r="Z42"/>
  <c r="CQ42"/>
  <c r="AV42"/>
  <c r="AO42"/>
  <c r="DH42"/>
  <c r="BY42"/>
  <c r="I42"/>
  <c r="DA42"/>
  <c r="BG42"/>
  <c r="BP42"/>
  <c r="CY42"/>
  <c r="DF42"/>
  <c r="BL42"/>
  <c r="DN42"/>
  <c r="AP42"/>
  <c r="BE42"/>
  <c r="AE42"/>
  <c r="DE42"/>
  <c r="DM42"/>
  <c r="DT42"/>
  <c r="DK42"/>
  <c r="BA42"/>
  <c r="BI42"/>
  <c r="AN42"/>
  <c r="F42"/>
  <c r="DP42"/>
  <c r="CF42"/>
  <c r="BZ42"/>
  <c r="CS42"/>
  <c r="CX42"/>
  <c r="BQ42"/>
  <c r="BH42"/>
  <c r="AW42"/>
  <c r="DB42"/>
  <c r="CA42"/>
  <c r="AH42"/>
  <c r="P42"/>
  <c r="BN42"/>
  <c r="CR42"/>
  <c r="BS42"/>
  <c r="L42"/>
  <c r="AJ42"/>
  <c r="BO42"/>
  <c r="AT42"/>
  <c r="DI42"/>
  <c r="AX42"/>
  <c r="DL42"/>
  <c r="DO42"/>
  <c r="AM42"/>
  <c r="AQ42"/>
  <c r="CD42"/>
  <c r="AG42"/>
  <c r="BK42"/>
  <c r="T42"/>
  <c r="AL42"/>
  <c r="CE42"/>
  <c r="DR42"/>
  <c r="AB42"/>
  <c r="G42"/>
  <c r="CH42"/>
  <c r="DD42"/>
  <c r="BF42"/>
  <c r="BU42"/>
  <c r="CL42"/>
  <c r="AC42"/>
  <c r="AD42"/>
  <c r="AA42"/>
  <c r="CV42"/>
  <c r="CZ42"/>
  <c r="J42"/>
  <c r="S42"/>
  <c r="AR42"/>
  <c r="BC42"/>
  <c r="BX42"/>
  <c r="CO42"/>
  <c r="BW42"/>
  <c r="CG42"/>
  <c r="AZ42"/>
  <c r="DQ42"/>
  <c r="CJ42"/>
  <c r="V42"/>
  <c r="Q42"/>
  <c r="O42"/>
  <c r="AI42"/>
  <c r="R42"/>
  <c r="DG42"/>
  <c r="U42"/>
  <c r="BJ42"/>
  <c r="AS42"/>
  <c r="BT42"/>
  <c r="CU42"/>
  <c r="AU42"/>
  <c r="BV42"/>
  <c r="CP42"/>
  <c r="E42"/>
  <c r="DJ42"/>
  <c r="BB42"/>
  <c r="W42"/>
  <c r="CT42"/>
  <c r="AK42"/>
  <c r="BR42"/>
  <c r="K42"/>
  <c r="DS42"/>
  <c r="DV42"/>
  <c r="CB42"/>
  <c r="CN42"/>
  <c r="DC42"/>
  <c r="DU42"/>
  <c r="CK42"/>
  <c r="BM42"/>
  <c r="CW42"/>
  <c r="M42"/>
  <c r="CI42"/>
  <c r="BD42"/>
  <c r="AF42"/>
  <c r="N42"/>
  <c r="X42"/>
  <c r="Y42"/>
  <c r="H42"/>
  <c r="CM42"/>
  <c r="AY42"/>
  <c r="CC42"/>
  <c r="C42"/>
  <c r="BU21"/>
  <c r="CE21"/>
  <c r="CI21"/>
  <c r="DG21"/>
  <c r="AQ21"/>
  <c r="AZ21"/>
  <c r="DS21"/>
  <c r="AR21"/>
  <c r="AP21"/>
  <c r="CZ21"/>
  <c r="CG21"/>
  <c r="W21"/>
  <c r="CP21"/>
  <c r="AF21"/>
  <c r="AY21"/>
  <c r="AS21"/>
  <c r="BN21"/>
  <c r="DA21"/>
  <c r="CV21"/>
  <c r="BG21"/>
  <c r="DF21"/>
  <c r="CS21"/>
  <c r="DC21"/>
  <c r="AX21"/>
  <c r="AI21"/>
  <c r="DB21"/>
  <c r="CK21"/>
  <c r="CN21"/>
  <c r="DD21"/>
  <c r="R21"/>
  <c r="CT21"/>
  <c r="CU21"/>
  <c r="Y21"/>
  <c r="DR21"/>
  <c r="AW21"/>
  <c r="CF21"/>
  <c r="AK21"/>
  <c r="BL21"/>
  <c r="U21"/>
  <c r="CX21"/>
  <c r="BR21"/>
  <c r="DM21"/>
  <c r="V21"/>
  <c r="DH21"/>
  <c r="DU21"/>
  <c r="AO21"/>
  <c r="BY21"/>
  <c r="AJ21"/>
  <c r="AG21"/>
  <c r="AL21"/>
  <c r="CR21"/>
  <c r="AC21"/>
  <c r="X21"/>
  <c r="CM21"/>
  <c r="DV21"/>
  <c r="CB21"/>
  <c r="DI21"/>
  <c r="AE21"/>
  <c r="DN21"/>
  <c r="AH21"/>
  <c r="CL21"/>
  <c r="DO21"/>
  <c r="CD21"/>
  <c r="BH21"/>
  <c r="CC21"/>
  <c r="AM21"/>
  <c r="BD21"/>
  <c r="BJ21"/>
  <c r="AV21"/>
  <c r="DQ21"/>
  <c r="CQ21"/>
  <c r="AT21"/>
  <c r="CJ21"/>
  <c r="BC21"/>
  <c r="BI21"/>
  <c r="BQ21"/>
  <c r="BP21"/>
  <c r="AA21"/>
  <c r="Z21"/>
  <c r="CH21"/>
  <c r="DK21"/>
  <c r="BX21"/>
  <c r="BS21"/>
  <c r="AD21"/>
  <c r="BZ21"/>
  <c r="DP21"/>
  <c r="S21"/>
  <c r="BV21"/>
  <c r="DJ21"/>
  <c r="DL21"/>
  <c r="CY21"/>
  <c r="DE21"/>
  <c r="T21"/>
  <c r="CO21"/>
  <c r="DT21"/>
  <c r="AN21"/>
  <c r="BW21"/>
  <c r="BA21"/>
  <c r="BB21"/>
  <c r="CW21"/>
  <c r="BF21"/>
  <c r="BK21"/>
  <c r="BM21"/>
  <c r="AU21"/>
  <c r="CA21"/>
  <c r="BT21"/>
  <c r="AB21"/>
  <c r="BO21"/>
  <c r="BE21"/>
  <c r="C21"/>
  <c r="DD26"/>
  <c r="BW26"/>
  <c r="AC26"/>
  <c r="CM26"/>
  <c r="CA26"/>
  <c r="CL26"/>
  <c r="BI26"/>
  <c r="AO26"/>
  <c r="CG26"/>
  <c r="AY26"/>
  <c r="CY26"/>
  <c r="AU26"/>
  <c r="S26"/>
  <c r="CD26"/>
  <c r="BD26"/>
  <c r="V26"/>
  <c r="BF26"/>
  <c r="AF26"/>
  <c r="L26"/>
  <c r="CW26"/>
  <c r="AS26"/>
  <c r="BE26"/>
  <c r="O26"/>
  <c r="BZ26"/>
  <c r="CJ26"/>
  <c r="CK26"/>
  <c r="DT26"/>
  <c r="I26"/>
  <c r="AL26"/>
  <c r="CI26"/>
  <c r="AG26"/>
  <c r="BA26"/>
  <c r="DF26"/>
  <c r="CP26"/>
  <c r="DN26"/>
  <c r="BU26"/>
  <c r="BM26"/>
  <c r="AR26"/>
  <c r="CB26"/>
  <c r="AV26"/>
  <c r="BO26"/>
  <c r="DJ26"/>
  <c r="AN26"/>
  <c r="DV26"/>
  <c r="AK26"/>
  <c r="X26"/>
  <c r="BS26"/>
  <c r="BL26"/>
  <c r="Z26"/>
  <c r="BG26"/>
  <c r="DU26"/>
  <c r="DI26"/>
  <c r="AB26"/>
  <c r="CS26"/>
  <c r="AQ26"/>
  <c r="DG26"/>
  <c r="DA26"/>
  <c r="AP26"/>
  <c r="DK26"/>
  <c r="AW26"/>
  <c r="DH26"/>
  <c r="N26"/>
  <c r="AT26"/>
  <c r="P26"/>
  <c r="AZ26"/>
  <c r="Y26"/>
  <c r="U26"/>
  <c r="DO26"/>
  <c r="BC26"/>
  <c r="AA26"/>
  <c r="BB26"/>
  <c r="DS26"/>
  <c r="CC26"/>
  <c r="T26"/>
  <c r="CE26"/>
  <c r="F26"/>
  <c r="AM26"/>
  <c r="CX26"/>
  <c r="K26"/>
  <c r="CU26"/>
  <c r="CF26"/>
  <c r="BQ26"/>
  <c r="BK26"/>
  <c r="BV26"/>
  <c r="DE26"/>
  <c r="CR26"/>
  <c r="DR26"/>
  <c r="DQ26"/>
  <c r="CH26"/>
  <c r="AE26"/>
  <c r="BJ26"/>
  <c r="J26"/>
  <c r="M26"/>
  <c r="AJ26"/>
  <c r="BR26"/>
  <c r="R26"/>
  <c r="G26"/>
  <c r="DM26"/>
  <c r="BT26"/>
  <c r="BP26"/>
  <c r="DB26"/>
  <c r="DL26"/>
  <c r="AX26"/>
  <c r="Q26"/>
  <c r="AD26"/>
  <c r="H26"/>
  <c r="DC26"/>
  <c r="W26"/>
  <c r="CZ26"/>
  <c r="CQ26"/>
  <c r="CV26"/>
  <c r="BH26"/>
  <c r="BY26"/>
  <c r="CO26"/>
  <c r="CN26"/>
  <c r="AH26"/>
  <c r="DP26"/>
  <c r="AI26"/>
  <c r="CT26"/>
  <c r="BX26"/>
  <c r="BN26"/>
  <c r="E26"/>
  <c r="C26"/>
  <c r="AY40"/>
  <c r="AH40"/>
  <c r="F40"/>
  <c r="DK40"/>
  <c r="BW40"/>
  <c r="CM40"/>
  <c r="N40"/>
  <c r="M40"/>
  <c r="CT40"/>
  <c r="AD40"/>
  <c r="BC40"/>
  <c r="Z40"/>
  <c r="AC40"/>
  <c r="DL40"/>
  <c r="AK40"/>
  <c r="DJ40"/>
  <c r="CP40"/>
  <c r="CF40"/>
  <c r="BD40"/>
  <c r="CZ40"/>
  <c r="DE40"/>
  <c r="CQ40"/>
  <c r="CR40"/>
  <c r="CD40"/>
  <c r="CO40"/>
  <c r="G40"/>
  <c r="DV40"/>
  <c r="CH40"/>
  <c r="BP40"/>
  <c r="CK40"/>
  <c r="AQ40"/>
  <c r="BV40"/>
  <c r="AX40"/>
  <c r="AR40"/>
  <c r="CB40"/>
  <c r="L40"/>
  <c r="I40"/>
  <c r="Y40"/>
  <c r="BZ40"/>
  <c r="BQ40"/>
  <c r="CI40"/>
  <c r="AB40"/>
  <c r="DQ40"/>
  <c r="BI40"/>
  <c r="DU40"/>
  <c r="AV40"/>
  <c r="AA40"/>
  <c r="BF40"/>
  <c r="BR40"/>
  <c r="BY40"/>
  <c r="AI40"/>
  <c r="BU40"/>
  <c r="DF40"/>
  <c r="O40"/>
  <c r="Q40"/>
  <c r="DR40"/>
  <c r="J40"/>
  <c r="AG40"/>
  <c r="DC40"/>
  <c r="AO40"/>
  <c r="S40"/>
  <c r="BK40"/>
  <c r="BH40"/>
  <c r="DA40"/>
  <c r="BM40"/>
  <c r="CX40"/>
  <c r="AN40"/>
  <c r="H40"/>
  <c r="DN40"/>
  <c r="CC40"/>
  <c r="CW40"/>
  <c r="BA40"/>
  <c r="AF40"/>
  <c r="BJ40"/>
  <c r="AU40"/>
  <c r="AJ40"/>
  <c r="DI40"/>
  <c r="CA40"/>
  <c r="DG40"/>
  <c r="AT40"/>
  <c r="K40"/>
  <c r="DD40"/>
  <c r="R40"/>
  <c r="BN40"/>
  <c r="U40"/>
  <c r="DO40"/>
  <c r="CS40"/>
  <c r="AP40"/>
  <c r="CJ40"/>
  <c r="V40"/>
  <c r="CV40"/>
  <c r="BL40"/>
  <c r="BG40"/>
  <c r="DS40"/>
  <c r="AM40"/>
  <c r="BE40"/>
  <c r="BT40"/>
  <c r="DT40"/>
  <c r="AS40"/>
  <c r="DB40"/>
  <c r="AL40"/>
  <c r="CL40"/>
  <c r="P40"/>
  <c r="CN40"/>
  <c r="DM40"/>
  <c r="BS40"/>
  <c r="CG40"/>
  <c r="DP40"/>
  <c r="CU40"/>
  <c r="BX40"/>
  <c r="BB40"/>
  <c r="X40"/>
  <c r="AZ40"/>
  <c r="BO40"/>
  <c r="CE40"/>
  <c r="AW40"/>
  <c r="AE40"/>
  <c r="E40"/>
  <c r="DH40"/>
  <c r="W40"/>
  <c r="CY40"/>
  <c r="T40"/>
  <c r="C40"/>
  <c r="DK55"/>
  <c r="AI55"/>
  <c r="AQ55"/>
  <c r="CU55"/>
  <c r="AL55"/>
  <c r="BP55"/>
  <c r="DI55"/>
  <c r="CV55"/>
  <c r="AN55"/>
  <c r="AJ55"/>
  <c r="AE55"/>
  <c r="CN55"/>
  <c r="W55"/>
  <c r="AS55"/>
  <c r="P55"/>
  <c r="CY55"/>
  <c r="CR55"/>
  <c r="BN55"/>
  <c r="BY55"/>
  <c r="BW55"/>
  <c r="DC55"/>
  <c r="CS55"/>
  <c r="CF55"/>
  <c r="BV55"/>
  <c r="BX55"/>
  <c r="CQ55"/>
  <c r="O55"/>
  <c r="V55"/>
  <c r="CL55"/>
  <c r="BU55"/>
  <c r="R55"/>
  <c r="Q55"/>
  <c r="BD55"/>
  <c r="CW55"/>
  <c r="CH55"/>
  <c r="T55"/>
  <c r="H55"/>
  <c r="AX55"/>
  <c r="BJ55"/>
  <c r="CK55"/>
  <c r="AA55"/>
  <c r="BF55"/>
  <c r="CD55"/>
  <c r="BC55"/>
  <c r="DQ55"/>
  <c r="DU55"/>
  <c r="AV55"/>
  <c r="BI55"/>
  <c r="J55"/>
  <c r="CI55"/>
  <c r="AC55"/>
  <c r="L55"/>
  <c r="BL55"/>
  <c r="CZ55"/>
  <c r="DJ55"/>
  <c r="DG55"/>
  <c r="Y55"/>
  <c r="AM55"/>
  <c r="I55"/>
  <c r="BH55"/>
  <c r="G55"/>
  <c r="DB55"/>
  <c r="CX55"/>
  <c r="AY55"/>
  <c r="DA55"/>
  <c r="AP55"/>
  <c r="AW55"/>
  <c r="CO55"/>
  <c r="BS55"/>
  <c r="DS55"/>
  <c r="CE55"/>
  <c r="BG55"/>
  <c r="M55"/>
  <c r="BE55"/>
  <c r="CC55"/>
  <c r="DV55"/>
  <c r="CM55"/>
  <c r="DD55"/>
  <c r="AZ55"/>
  <c r="DL55"/>
  <c r="CT55"/>
  <c r="AH55"/>
  <c r="E55"/>
  <c r="AR55"/>
  <c r="N55"/>
  <c r="BZ55"/>
  <c r="Z55"/>
  <c r="BR55"/>
  <c r="CA55"/>
  <c r="AU55"/>
  <c r="AF55"/>
  <c r="AO55"/>
  <c r="CJ55"/>
  <c r="BK55"/>
  <c r="DO55"/>
  <c r="BQ55"/>
  <c r="F55"/>
  <c r="DF55"/>
  <c r="BA55"/>
  <c r="DP55"/>
  <c r="S55"/>
  <c r="DE55"/>
  <c r="DT55"/>
  <c r="AG55"/>
  <c r="BB55"/>
  <c r="DH55"/>
  <c r="CB55"/>
  <c r="AD55"/>
  <c r="BT55"/>
  <c r="AT55"/>
  <c r="AK55"/>
  <c r="BO55"/>
  <c r="DN55"/>
  <c r="CP55"/>
  <c r="X55"/>
  <c r="DR55"/>
  <c r="CG55"/>
  <c r="BM55"/>
  <c r="U55"/>
  <c r="AB55"/>
  <c r="K55"/>
  <c r="DM55"/>
  <c r="C55"/>
  <c r="AY72"/>
  <c r="CN72"/>
  <c r="M72"/>
  <c r="DB72"/>
  <c r="F72"/>
  <c r="CH72"/>
  <c r="BC72"/>
  <c r="CM72"/>
  <c r="W72"/>
  <c r="AJ72"/>
  <c r="H72"/>
  <c r="AC72"/>
  <c r="BO72"/>
  <c r="DC72"/>
  <c r="S72"/>
  <c r="CV72"/>
  <c r="DH72"/>
  <c r="AG72"/>
  <c r="N72"/>
  <c r="AH72"/>
  <c r="DU72"/>
  <c r="BM72"/>
  <c r="AI72"/>
  <c r="CD72"/>
  <c r="K72"/>
  <c r="Z72"/>
  <c r="L72"/>
  <c r="DD72"/>
  <c r="CJ72"/>
  <c r="BZ72"/>
  <c r="BS72"/>
  <c r="CG72"/>
  <c r="T72"/>
  <c r="V72"/>
  <c r="I72"/>
  <c r="BB72"/>
  <c r="CZ72"/>
  <c r="AN72"/>
  <c r="CQ72"/>
  <c r="DA72"/>
  <c r="DO72"/>
  <c r="CT72"/>
  <c r="O72"/>
  <c r="Y72"/>
  <c r="AS72"/>
  <c r="DL72"/>
  <c r="R72"/>
  <c r="BQ72"/>
  <c r="BW72"/>
  <c r="DG72"/>
  <c r="CB72"/>
  <c r="CY72"/>
  <c r="BY72"/>
  <c r="G72"/>
  <c r="BK72"/>
  <c r="AT72"/>
  <c r="DM72"/>
  <c r="DV72"/>
  <c r="J72"/>
  <c r="AA72"/>
  <c r="AK72"/>
  <c r="BA72"/>
  <c r="BG72"/>
  <c r="CK72"/>
  <c r="AM72"/>
  <c r="CC72"/>
  <c r="CL72"/>
  <c r="AX72"/>
  <c r="CE72"/>
  <c r="DJ72"/>
  <c r="DS72"/>
  <c r="CW72"/>
  <c r="AF72"/>
  <c r="BR72"/>
  <c r="AZ72"/>
  <c r="DI72"/>
  <c r="CI72"/>
  <c r="BX72"/>
  <c r="CF72"/>
  <c r="BT72"/>
  <c r="DK72"/>
  <c r="BF72"/>
  <c r="AE72"/>
  <c r="AR72"/>
  <c r="CX72"/>
  <c r="BP72"/>
  <c r="DR72"/>
  <c r="BU72"/>
  <c r="E72"/>
  <c r="DF72"/>
  <c r="BD72"/>
  <c r="X72"/>
  <c r="BH72"/>
  <c r="CS72"/>
  <c r="DP72"/>
  <c r="CA72"/>
  <c r="DN72"/>
  <c r="AW72"/>
  <c r="AV72"/>
  <c r="AU72"/>
  <c r="CO72"/>
  <c r="U72"/>
  <c r="AP72"/>
  <c r="AD72"/>
  <c r="CR72"/>
  <c r="AL72"/>
  <c r="BE72"/>
  <c r="P72"/>
  <c r="AB72"/>
  <c r="BV72"/>
  <c r="BN72"/>
  <c r="AO72"/>
  <c r="CP72"/>
  <c r="BI72"/>
  <c r="DT72"/>
  <c r="Q72"/>
  <c r="DQ72"/>
  <c r="AQ72"/>
  <c r="DE72"/>
  <c r="BJ72"/>
  <c r="CU72"/>
  <c r="BL72"/>
  <c r="C72"/>
  <c r="AU19"/>
  <c r="BL19"/>
  <c r="BK19"/>
  <c r="H19"/>
  <c r="DK19"/>
  <c r="AP19"/>
  <c r="CZ19"/>
  <c r="CC19"/>
  <c r="AR19"/>
  <c r="AO19"/>
  <c r="DF19"/>
  <c r="CY19"/>
  <c r="AV19"/>
  <c r="BE19"/>
  <c r="CU19"/>
  <c r="BN19"/>
  <c r="BM19"/>
  <c r="CI19"/>
  <c r="DI19"/>
  <c r="AT19"/>
  <c r="AY19"/>
  <c r="CF19"/>
  <c r="Y19"/>
  <c r="DH19"/>
  <c r="AD19"/>
  <c r="W19"/>
  <c r="CX19"/>
  <c r="CE19"/>
  <c r="AX19"/>
  <c r="CL19"/>
  <c r="CP19"/>
  <c r="DD19"/>
  <c r="AA19"/>
  <c r="CQ19"/>
  <c r="DT19"/>
  <c r="BG19"/>
  <c r="AW19"/>
  <c r="CD19"/>
  <c r="BH19"/>
  <c r="F19"/>
  <c r="BI19"/>
  <c r="E19"/>
  <c r="AQ19"/>
  <c r="AE19"/>
  <c r="BO19"/>
  <c r="BV19"/>
  <c r="DV19"/>
  <c r="BC19"/>
  <c r="AB19"/>
  <c r="DM19"/>
  <c r="BR19"/>
  <c r="N19"/>
  <c r="X19"/>
  <c r="BJ19"/>
  <c r="BA19"/>
  <c r="CN19"/>
  <c r="AJ19"/>
  <c r="L19"/>
  <c r="BY19"/>
  <c r="CO19"/>
  <c r="BQ19"/>
  <c r="V19"/>
  <c r="AZ19"/>
  <c r="AS19"/>
  <c r="S19"/>
  <c r="AK19"/>
  <c r="DC19"/>
  <c r="DE19"/>
  <c r="CH19"/>
  <c r="BB19"/>
  <c r="AM19"/>
  <c r="CS19"/>
  <c r="BW19"/>
  <c r="T19"/>
  <c r="BP19"/>
  <c r="AF19"/>
  <c r="DQ19"/>
  <c r="DA19"/>
  <c r="DO19"/>
  <c r="G19"/>
  <c r="Z19"/>
  <c r="DL19"/>
  <c r="BU19"/>
  <c r="BX19"/>
  <c r="BF19"/>
  <c r="AL19"/>
  <c r="DU19"/>
  <c r="U19"/>
  <c r="AG19"/>
  <c r="DS19"/>
  <c r="BS19"/>
  <c r="CV19"/>
  <c r="R19"/>
  <c r="DJ19"/>
  <c r="AI19"/>
  <c r="AC19"/>
  <c r="DR19"/>
  <c r="CG19"/>
  <c r="CW19"/>
  <c r="BZ19"/>
  <c r="BD19"/>
  <c r="AH19"/>
  <c r="BT19"/>
  <c r="CM19"/>
  <c r="AN19"/>
  <c r="CA19"/>
  <c r="DN19"/>
  <c r="CT19"/>
  <c r="CK19"/>
  <c r="CB19"/>
  <c r="CJ19"/>
  <c r="CR19"/>
  <c r="DG19"/>
  <c r="DB19"/>
  <c r="DP19"/>
  <c r="C19"/>
  <c r="CO8"/>
  <c r="BS8"/>
  <c r="BG8"/>
  <c r="BQ8"/>
  <c r="CC8"/>
  <c r="CZ8"/>
  <c r="DG8"/>
  <c r="BL8"/>
  <c r="BT8"/>
  <c r="DJ8"/>
  <c r="CK8"/>
  <c r="CT8"/>
  <c r="CR8"/>
  <c r="CG8"/>
  <c r="CA8"/>
  <c r="BE8"/>
  <c r="BN8"/>
  <c r="CL8"/>
  <c r="CY8"/>
  <c r="CQ8"/>
  <c r="CJ8"/>
  <c r="DB8"/>
  <c r="CS8"/>
  <c r="BX8"/>
  <c r="DT8"/>
  <c r="CI8"/>
  <c r="BI8"/>
  <c r="DU8"/>
  <c r="BU8"/>
  <c r="DC8"/>
  <c r="DN8"/>
  <c r="DR8"/>
  <c r="DI8"/>
  <c r="DS8"/>
  <c r="DM8"/>
  <c r="CU8"/>
  <c r="BR8"/>
  <c r="DV8"/>
  <c r="DD8"/>
  <c r="CW8"/>
  <c r="BH8"/>
  <c r="CM8"/>
  <c r="BV8"/>
  <c r="CH8"/>
  <c r="CX8"/>
  <c r="CE8"/>
  <c r="BJ8"/>
  <c r="BZ8"/>
  <c r="DL8"/>
  <c r="DP8"/>
  <c r="DQ8"/>
  <c r="BW8"/>
  <c r="DO8"/>
  <c r="CN8"/>
  <c r="CF8"/>
  <c r="DH8"/>
  <c r="DE8"/>
  <c r="BY8"/>
  <c r="CV8"/>
  <c r="DF8"/>
  <c r="CB8"/>
  <c r="BK8"/>
  <c r="BD8"/>
  <c r="CD8"/>
  <c r="BP8"/>
  <c r="DK8"/>
  <c r="BO8"/>
  <c r="BM8"/>
  <c r="BF8"/>
  <c r="DA8"/>
  <c r="CP8"/>
  <c r="C8"/>
  <c r="DL63"/>
  <c r="DV63"/>
  <c r="CW63"/>
  <c r="AB63"/>
  <c r="AZ63"/>
  <c r="BH63"/>
  <c r="DC63"/>
  <c r="BK63"/>
  <c r="CN63"/>
  <c r="DI63"/>
  <c r="U63"/>
  <c r="X63"/>
  <c r="DB63"/>
  <c r="DA63"/>
  <c r="W63"/>
  <c r="N63"/>
  <c r="DR63"/>
  <c r="CJ63"/>
  <c r="Q63"/>
  <c r="CC63"/>
  <c r="BR63"/>
  <c r="L63"/>
  <c r="BI63"/>
  <c r="AG63"/>
  <c r="CI63"/>
  <c r="CZ63"/>
  <c r="DE63"/>
  <c r="CX63"/>
  <c r="S63"/>
  <c r="BW63"/>
  <c r="BY63"/>
  <c r="DP63"/>
  <c r="DN63"/>
  <c r="DT63"/>
  <c r="F63"/>
  <c r="AU63"/>
  <c r="AA63"/>
  <c r="CF63"/>
  <c r="E63"/>
  <c r="H63"/>
  <c r="CE63"/>
  <c r="AI63"/>
  <c r="BP63"/>
  <c r="BS63"/>
  <c r="CS63"/>
  <c r="AC63"/>
  <c r="BJ63"/>
  <c r="Y63"/>
  <c r="DM63"/>
  <c r="CD63"/>
  <c r="AS63"/>
  <c r="CB63"/>
  <c r="AX63"/>
  <c r="DO63"/>
  <c r="CR63"/>
  <c r="P63"/>
  <c r="BD63"/>
  <c r="K63"/>
  <c r="BO63"/>
  <c r="DS63"/>
  <c r="CQ63"/>
  <c r="BV63"/>
  <c r="CY63"/>
  <c r="T63"/>
  <c r="DH63"/>
  <c r="AR63"/>
  <c r="BT63"/>
  <c r="BE63"/>
  <c r="R63"/>
  <c r="Z63"/>
  <c r="DD63"/>
  <c r="AL63"/>
  <c r="CM63"/>
  <c r="BF63"/>
  <c r="CA63"/>
  <c r="M63"/>
  <c r="BL63"/>
  <c r="AF63"/>
  <c r="AV63"/>
  <c r="BX63"/>
  <c r="BG63"/>
  <c r="DF63"/>
  <c r="AE63"/>
  <c r="CG63"/>
  <c r="AQ63"/>
  <c r="CP63"/>
  <c r="DQ63"/>
  <c r="DU63"/>
  <c r="BA63"/>
  <c r="BB63"/>
  <c r="AD63"/>
  <c r="G63"/>
  <c r="BU63"/>
  <c r="CH63"/>
  <c r="BC63"/>
  <c r="CU63"/>
  <c r="AW63"/>
  <c r="BN63"/>
  <c r="DK63"/>
  <c r="AT63"/>
  <c r="I63"/>
  <c r="AJ63"/>
  <c r="DJ63"/>
  <c r="O63"/>
  <c r="BM63"/>
  <c r="BQ63"/>
  <c r="CV63"/>
  <c r="AM63"/>
  <c r="CK63"/>
  <c r="J63"/>
  <c r="AO63"/>
  <c r="AH63"/>
  <c r="CL63"/>
  <c r="AN63"/>
  <c r="DG63"/>
  <c r="CO63"/>
  <c r="AY63"/>
  <c r="AP63"/>
  <c r="AK63"/>
  <c r="CT63"/>
  <c r="V63"/>
  <c r="BZ63"/>
  <c r="C63"/>
  <c r="AE73"/>
  <c r="AV73"/>
  <c r="AY73"/>
  <c r="DP73"/>
  <c r="F73"/>
  <c r="BV73"/>
  <c r="N73"/>
  <c r="AO73"/>
  <c r="BE73"/>
  <c r="S73"/>
  <c r="DB73"/>
  <c r="DE73"/>
  <c r="AT73"/>
  <c r="BU73"/>
  <c r="AR73"/>
  <c r="AI73"/>
  <c r="BH73"/>
  <c r="BX73"/>
  <c r="L73"/>
  <c r="CH73"/>
  <c r="CP73"/>
  <c r="M73"/>
  <c r="T73"/>
  <c r="I73"/>
  <c r="BR73"/>
  <c r="DR73"/>
  <c r="DT73"/>
  <c r="CJ73"/>
  <c r="CF73"/>
  <c r="CZ73"/>
  <c r="AA73"/>
  <c r="CK73"/>
  <c r="Q73"/>
  <c r="BJ73"/>
  <c r="DK73"/>
  <c r="CU73"/>
  <c r="O73"/>
  <c r="DF73"/>
  <c r="CY73"/>
  <c r="AM73"/>
  <c r="Y73"/>
  <c r="K73"/>
  <c r="AP73"/>
  <c r="J73"/>
  <c r="CE73"/>
  <c r="AD73"/>
  <c r="DS73"/>
  <c r="U73"/>
  <c r="BD73"/>
  <c r="BB73"/>
  <c r="AN73"/>
  <c r="CG73"/>
  <c r="AB73"/>
  <c r="DJ73"/>
  <c r="BS73"/>
  <c r="CL73"/>
  <c r="AZ73"/>
  <c r="R73"/>
  <c r="CT73"/>
  <c r="BN73"/>
  <c r="AU73"/>
  <c r="BF73"/>
  <c r="E73"/>
  <c r="BZ73"/>
  <c r="BT73"/>
  <c r="AC73"/>
  <c r="AG73"/>
  <c r="W73"/>
  <c r="DV73"/>
  <c r="BY73"/>
  <c r="CN73"/>
  <c r="DD73"/>
  <c r="CX73"/>
  <c r="DC73"/>
  <c r="BA73"/>
  <c r="BC73"/>
  <c r="CO73"/>
  <c r="H73"/>
  <c r="DA73"/>
  <c r="AQ73"/>
  <c r="AF73"/>
  <c r="AX73"/>
  <c r="CR73"/>
  <c r="CI73"/>
  <c r="V73"/>
  <c r="AL73"/>
  <c r="Z73"/>
  <c r="CB73"/>
  <c r="CA73"/>
  <c r="BO73"/>
  <c r="BP73"/>
  <c r="DL73"/>
  <c r="BL73"/>
  <c r="BK73"/>
  <c r="X73"/>
  <c r="AJ73"/>
  <c r="BG73"/>
  <c r="DH73"/>
  <c r="CQ73"/>
  <c r="DU73"/>
  <c r="AS73"/>
  <c r="AK73"/>
  <c r="BI73"/>
  <c r="CC73"/>
  <c r="DN73"/>
  <c r="BQ73"/>
  <c r="DM73"/>
  <c r="CS73"/>
  <c r="G73"/>
  <c r="BW73"/>
  <c r="AW73"/>
  <c r="DO73"/>
  <c r="P73"/>
  <c r="CW73"/>
  <c r="DG73"/>
  <c r="BM73"/>
  <c r="CM73"/>
  <c r="DI73"/>
  <c r="CV73"/>
  <c r="CD73"/>
  <c r="AH73"/>
  <c r="DQ73"/>
  <c r="C73"/>
  <c r="I62"/>
  <c r="CK62"/>
  <c r="U62"/>
  <c r="CU62"/>
  <c r="AW62"/>
  <c r="Q62"/>
  <c r="AN62"/>
  <c r="BR62"/>
  <c r="BO62"/>
  <c r="Y62"/>
  <c r="DR62"/>
  <c r="DS62"/>
  <c r="DL62"/>
  <c r="AF62"/>
  <c r="DC62"/>
  <c r="CP62"/>
  <c r="DN62"/>
  <c r="AZ62"/>
  <c r="BV62"/>
  <c r="BS62"/>
  <c r="AU62"/>
  <c r="BY62"/>
  <c r="O62"/>
  <c r="AR62"/>
  <c r="AC62"/>
  <c r="N62"/>
  <c r="CY62"/>
  <c r="S62"/>
  <c r="CI62"/>
  <c r="Z62"/>
  <c r="BE62"/>
  <c r="BJ62"/>
  <c r="CE62"/>
  <c r="DI62"/>
  <c r="CR62"/>
  <c r="AV62"/>
  <c r="BA62"/>
  <c r="CS62"/>
  <c r="DF62"/>
  <c r="H62"/>
  <c r="AD62"/>
  <c r="CM62"/>
  <c r="CC62"/>
  <c r="CB62"/>
  <c r="CH62"/>
  <c r="BX62"/>
  <c r="DV62"/>
  <c r="AS62"/>
  <c r="DD62"/>
  <c r="CX62"/>
  <c r="CA62"/>
  <c r="CZ62"/>
  <c r="E62"/>
  <c r="BH62"/>
  <c r="CG62"/>
  <c r="DK62"/>
  <c r="BQ62"/>
  <c r="AB62"/>
  <c r="BI62"/>
  <c r="AI62"/>
  <c r="BB62"/>
  <c r="BG62"/>
  <c r="AJ62"/>
  <c r="J62"/>
  <c r="DE62"/>
  <c r="CJ62"/>
  <c r="DP62"/>
  <c r="BF62"/>
  <c r="CQ62"/>
  <c r="AQ62"/>
  <c r="AH62"/>
  <c r="BW62"/>
  <c r="AK62"/>
  <c r="BK62"/>
  <c r="BT62"/>
  <c r="G62"/>
  <c r="R62"/>
  <c r="CT62"/>
  <c r="AA62"/>
  <c r="DU62"/>
  <c r="DT62"/>
  <c r="M62"/>
  <c r="AX62"/>
  <c r="DA62"/>
  <c r="BU62"/>
  <c r="AY62"/>
  <c r="DB62"/>
  <c r="CN62"/>
  <c r="BN62"/>
  <c r="DH62"/>
  <c r="DG62"/>
  <c r="DJ62"/>
  <c r="BZ62"/>
  <c r="CW62"/>
  <c r="CD62"/>
  <c r="CO62"/>
  <c r="DO62"/>
  <c r="X62"/>
  <c r="AG62"/>
  <c r="AM62"/>
  <c r="DM62"/>
  <c r="L62"/>
  <c r="BM62"/>
  <c r="AL62"/>
  <c r="F62"/>
  <c r="CV62"/>
  <c r="AO62"/>
  <c r="CF62"/>
  <c r="AE62"/>
  <c r="BL62"/>
  <c r="CL62"/>
  <c r="DQ62"/>
  <c r="V62"/>
  <c r="BC62"/>
  <c r="W62"/>
  <c r="AT62"/>
  <c r="K62"/>
  <c r="BP62"/>
  <c r="BD62"/>
  <c r="AP62"/>
  <c r="T62"/>
  <c r="P62"/>
  <c r="C62"/>
  <c r="DP50"/>
  <c r="S50"/>
  <c r="BZ50"/>
  <c r="CJ50"/>
  <c r="CI50"/>
  <c r="CK50"/>
  <c r="BL50"/>
  <c r="AD50"/>
  <c r="BQ50"/>
  <c r="CW50"/>
  <c r="AI50"/>
  <c r="BH50"/>
  <c r="BD50"/>
  <c r="Q50"/>
  <c r="K50"/>
  <c r="DR50"/>
  <c r="AP50"/>
  <c r="BT50"/>
  <c r="BP50"/>
  <c r="G50"/>
  <c r="BJ50"/>
  <c r="BI50"/>
  <c r="CN50"/>
  <c r="AY50"/>
  <c r="DB50"/>
  <c r="CO50"/>
  <c r="BO50"/>
  <c r="AW50"/>
  <c r="CX50"/>
  <c r="CD50"/>
  <c r="DU50"/>
  <c r="CS50"/>
  <c r="AS50"/>
  <c r="N50"/>
  <c r="BS50"/>
  <c r="AQ50"/>
  <c r="BY50"/>
  <c r="AG50"/>
  <c r="DD50"/>
  <c r="DT50"/>
  <c r="CH50"/>
  <c r="DE50"/>
  <c r="DF50"/>
  <c r="O50"/>
  <c r="BA50"/>
  <c r="BX50"/>
  <c r="DK50"/>
  <c r="AZ50"/>
  <c r="BV50"/>
  <c r="H50"/>
  <c r="DM50"/>
  <c r="CM50"/>
  <c r="DN50"/>
  <c r="CZ50"/>
  <c r="DA50"/>
  <c r="CE50"/>
  <c r="DV50"/>
  <c r="CC50"/>
  <c r="BF50"/>
  <c r="BB50"/>
  <c r="AU50"/>
  <c r="BR50"/>
  <c r="DJ50"/>
  <c r="U50"/>
  <c r="DQ50"/>
  <c r="AO50"/>
  <c r="AJ50"/>
  <c r="T50"/>
  <c r="CP50"/>
  <c r="CU50"/>
  <c r="BW50"/>
  <c r="AR50"/>
  <c r="Y50"/>
  <c r="E50"/>
  <c r="Z50"/>
  <c r="P50"/>
  <c r="AL50"/>
  <c r="DL50"/>
  <c r="AB50"/>
  <c r="BM50"/>
  <c r="DS50"/>
  <c r="BN50"/>
  <c r="AV50"/>
  <c r="AC50"/>
  <c r="BK50"/>
  <c r="AM50"/>
  <c r="V50"/>
  <c r="X50"/>
  <c r="AT50"/>
  <c r="M50"/>
  <c r="AN50"/>
  <c r="DG50"/>
  <c r="DI50"/>
  <c r="AE50"/>
  <c r="AH50"/>
  <c r="F50"/>
  <c r="BE50"/>
  <c r="BG50"/>
  <c r="BC50"/>
  <c r="CY50"/>
  <c r="J50"/>
  <c r="CT50"/>
  <c r="CR50"/>
  <c r="CA50"/>
  <c r="CF50"/>
  <c r="R50"/>
  <c r="I50"/>
  <c r="L50"/>
  <c r="BU50"/>
  <c r="DO50"/>
  <c r="DH50"/>
  <c r="CL50"/>
  <c r="CV50"/>
  <c r="CB50"/>
  <c r="AF50"/>
  <c r="W50"/>
  <c r="AK50"/>
  <c r="CQ50"/>
  <c r="AA50"/>
  <c r="DC50"/>
  <c r="AX50"/>
  <c r="CG50"/>
  <c r="C50"/>
  <c r="CQ35"/>
  <c r="DQ35"/>
  <c r="CY35"/>
  <c r="DB35"/>
  <c r="AG35"/>
  <c r="CV35"/>
  <c r="CU35"/>
  <c r="DH35"/>
  <c r="DI35"/>
  <c r="H35"/>
  <c r="BU35"/>
  <c r="DN35"/>
  <c r="CS35"/>
  <c r="AA35"/>
  <c r="AV35"/>
  <c r="J35"/>
  <c r="CX35"/>
  <c r="CZ35"/>
  <c r="R35"/>
  <c r="Z35"/>
  <c r="DM35"/>
  <c r="BB35"/>
  <c r="CA35"/>
  <c r="P35"/>
  <c r="T35"/>
  <c r="W35"/>
  <c r="AD35"/>
  <c r="DF35"/>
  <c r="CD35"/>
  <c r="CB35"/>
  <c r="DU35"/>
  <c r="AO35"/>
  <c r="BI35"/>
  <c r="AP35"/>
  <c r="CR35"/>
  <c r="I35"/>
  <c r="BQ35"/>
  <c r="U35"/>
  <c r="K35"/>
  <c r="AM35"/>
  <c r="G35"/>
  <c r="CC35"/>
  <c r="DJ35"/>
  <c r="S35"/>
  <c r="CN35"/>
  <c r="AL35"/>
  <c r="CH35"/>
  <c r="DS35"/>
  <c r="AI35"/>
  <c r="DT35"/>
  <c r="BH35"/>
  <c r="BA35"/>
  <c r="DP35"/>
  <c r="CG35"/>
  <c r="BW35"/>
  <c r="AR35"/>
  <c r="BC35"/>
  <c r="CF35"/>
  <c r="BJ35"/>
  <c r="BL35"/>
  <c r="DR35"/>
  <c r="CL35"/>
  <c r="V35"/>
  <c r="BO35"/>
  <c r="AS35"/>
  <c r="L35"/>
  <c r="BK35"/>
  <c r="AX35"/>
  <c r="CT35"/>
  <c r="AZ35"/>
  <c r="BV35"/>
  <c r="BP35"/>
  <c r="DL35"/>
  <c r="AU35"/>
  <c r="CO35"/>
  <c r="BG35"/>
  <c r="X35"/>
  <c r="AJ35"/>
  <c r="AY35"/>
  <c r="AE35"/>
  <c r="DV35"/>
  <c r="DD35"/>
  <c r="BM35"/>
  <c r="CP35"/>
  <c r="DC35"/>
  <c r="BF35"/>
  <c r="AN35"/>
  <c r="BR35"/>
  <c r="AB35"/>
  <c r="AW35"/>
  <c r="DK35"/>
  <c r="N35"/>
  <c r="F35"/>
  <c r="BT35"/>
  <c r="Q35"/>
  <c r="DE35"/>
  <c r="CW35"/>
  <c r="E35"/>
  <c r="M35"/>
  <c r="AF35"/>
  <c r="DA35"/>
  <c r="Y35"/>
  <c r="AQ35"/>
  <c r="CM35"/>
  <c r="O35"/>
  <c r="BY35"/>
  <c r="AC35"/>
  <c r="CE35"/>
  <c r="CI35"/>
  <c r="BS35"/>
  <c r="BN35"/>
  <c r="DO35"/>
  <c r="DG35"/>
  <c r="CJ35"/>
  <c r="AK35"/>
  <c r="BE35"/>
  <c r="AH35"/>
  <c r="AT35"/>
  <c r="BX35"/>
  <c r="BD35"/>
  <c r="CK35"/>
  <c r="BZ35"/>
  <c r="C35"/>
  <c r="CW56"/>
  <c r="AU56"/>
  <c r="G56"/>
  <c r="CN56"/>
  <c r="BR56"/>
  <c r="AW56"/>
  <c r="BT56"/>
  <c r="CG56"/>
  <c r="CK56"/>
  <c r="DO56"/>
  <c r="DI56"/>
  <c r="BV56"/>
  <c r="J56"/>
  <c r="CD56"/>
  <c r="BI56"/>
  <c r="BW56"/>
  <c r="W56"/>
  <c r="BM56"/>
  <c r="BP56"/>
  <c r="Y56"/>
  <c r="DE56"/>
  <c r="F56"/>
  <c r="AD56"/>
  <c r="DS56"/>
  <c r="BO56"/>
  <c r="CQ56"/>
  <c r="AP56"/>
  <c r="BQ56"/>
  <c r="DP56"/>
  <c r="CJ56"/>
  <c r="Q56"/>
  <c r="K56"/>
  <c r="DC56"/>
  <c r="AI56"/>
  <c r="U56"/>
  <c r="DL56"/>
  <c r="DA56"/>
  <c r="CE56"/>
  <c r="BA56"/>
  <c r="BD56"/>
  <c r="DD56"/>
  <c r="BH56"/>
  <c r="BZ56"/>
  <c r="T56"/>
  <c r="AM56"/>
  <c r="L56"/>
  <c r="BL56"/>
  <c r="BN56"/>
  <c r="M56"/>
  <c r="DU56"/>
  <c r="BY56"/>
  <c r="CC56"/>
  <c r="DN56"/>
  <c r="DK56"/>
  <c r="CA56"/>
  <c r="CS56"/>
  <c r="AN56"/>
  <c r="AF56"/>
  <c r="BS56"/>
  <c r="AL56"/>
  <c r="DG56"/>
  <c r="DM56"/>
  <c r="O56"/>
  <c r="CI56"/>
  <c r="AQ56"/>
  <c r="AX56"/>
  <c r="CZ56"/>
  <c r="AC56"/>
  <c r="CB56"/>
  <c r="CL56"/>
  <c r="P56"/>
  <c r="X56"/>
  <c r="BG56"/>
  <c r="CF56"/>
  <c r="CP56"/>
  <c r="AJ56"/>
  <c r="E56"/>
  <c r="DR56"/>
  <c r="BE56"/>
  <c r="AV56"/>
  <c r="CY56"/>
  <c r="AO56"/>
  <c r="Z56"/>
  <c r="AA56"/>
  <c r="CH56"/>
  <c r="AT56"/>
  <c r="AH56"/>
  <c r="AK56"/>
  <c r="CM56"/>
  <c r="CO56"/>
  <c r="DT56"/>
  <c r="CX56"/>
  <c r="CU56"/>
  <c r="N56"/>
  <c r="CV56"/>
  <c r="BF56"/>
  <c r="DF56"/>
  <c r="DJ56"/>
  <c r="DQ56"/>
  <c r="I56"/>
  <c r="BJ56"/>
  <c r="AR56"/>
  <c r="BU56"/>
  <c r="AY56"/>
  <c r="AG56"/>
  <c r="AZ56"/>
  <c r="R56"/>
  <c r="S56"/>
  <c r="AB56"/>
  <c r="AS56"/>
  <c r="H56"/>
  <c r="BB56"/>
  <c r="CR56"/>
  <c r="BX56"/>
  <c r="CT56"/>
  <c r="AE56"/>
  <c r="DV56"/>
  <c r="DB56"/>
  <c r="DH56"/>
  <c r="BK56"/>
  <c r="V56"/>
  <c r="BC56"/>
  <c r="C56"/>
  <c r="CH49"/>
  <c r="CA49"/>
  <c r="BI49"/>
  <c r="CZ49"/>
  <c r="DK49"/>
  <c r="BS49"/>
  <c r="BO49"/>
  <c r="DT49"/>
  <c r="AK49"/>
  <c r="CW49"/>
  <c r="CR49"/>
  <c r="CC49"/>
  <c r="X49"/>
  <c r="DV49"/>
  <c r="Y49"/>
  <c r="CV49"/>
  <c r="BE49"/>
  <c r="CJ49"/>
  <c r="I49"/>
  <c r="M49"/>
  <c r="AS49"/>
  <c r="BR49"/>
  <c r="DU49"/>
  <c r="P49"/>
  <c r="DD49"/>
  <c r="DR49"/>
  <c r="DG49"/>
  <c r="AM49"/>
  <c r="CD49"/>
  <c r="S49"/>
  <c r="BD49"/>
  <c r="BK49"/>
  <c r="J49"/>
  <c r="BH49"/>
  <c r="BG49"/>
  <c r="CG49"/>
  <c r="AP49"/>
  <c r="BW49"/>
  <c r="DQ49"/>
  <c r="BP49"/>
  <c r="CB49"/>
  <c r="DC49"/>
  <c r="DA49"/>
  <c r="BA49"/>
  <c r="AR49"/>
  <c r="N49"/>
  <c r="BC49"/>
  <c r="AD49"/>
  <c r="Z49"/>
  <c r="AL49"/>
  <c r="CO49"/>
  <c r="CQ49"/>
  <c r="O49"/>
  <c r="CF49"/>
  <c r="AO49"/>
  <c r="AE49"/>
  <c r="CL49"/>
  <c r="AW49"/>
  <c r="CX49"/>
  <c r="AY49"/>
  <c r="W49"/>
  <c r="AB49"/>
  <c r="DH49"/>
  <c r="DP49"/>
  <c r="AA49"/>
  <c r="DI49"/>
  <c r="CK49"/>
  <c r="CN49"/>
  <c r="AZ49"/>
  <c r="AJ49"/>
  <c r="DL49"/>
  <c r="R49"/>
  <c r="DJ49"/>
  <c r="CY49"/>
  <c r="BT49"/>
  <c r="CU49"/>
  <c r="DB49"/>
  <c r="AU49"/>
  <c r="BJ49"/>
  <c r="DM49"/>
  <c r="AN49"/>
  <c r="BF49"/>
  <c r="CP49"/>
  <c r="BZ49"/>
  <c r="BM49"/>
  <c r="H49"/>
  <c r="DF49"/>
  <c r="BV49"/>
  <c r="AF49"/>
  <c r="AV49"/>
  <c r="V49"/>
  <c r="U49"/>
  <c r="AI49"/>
  <c r="BU49"/>
  <c r="G49"/>
  <c r="CS49"/>
  <c r="L49"/>
  <c r="BX49"/>
  <c r="AG49"/>
  <c r="DS49"/>
  <c r="F49"/>
  <c r="CM49"/>
  <c r="E49"/>
  <c r="BL49"/>
  <c r="Q49"/>
  <c r="AT49"/>
  <c r="CE49"/>
  <c r="DE49"/>
  <c r="DO49"/>
  <c r="BQ49"/>
  <c r="DN49"/>
  <c r="AH49"/>
  <c r="BB49"/>
  <c r="CT49"/>
  <c r="AQ49"/>
  <c r="K49"/>
  <c r="AX49"/>
  <c r="BN49"/>
  <c r="BY49"/>
  <c r="CI49"/>
  <c r="T49"/>
  <c r="AC49"/>
  <c r="C49"/>
  <c r="FF683"/>
  <c r="FJ683"/>
  <c r="FJ1116"/>
  <c r="FF1116"/>
  <c r="FJ887"/>
  <c r="FF887"/>
  <c r="FF1788"/>
  <c r="FJ1788"/>
  <c r="FF1216"/>
  <c r="FJ1216"/>
  <c r="FJ2014"/>
  <c r="FF2014"/>
  <c r="FF2156"/>
  <c r="FJ2156"/>
  <c r="FJ1631"/>
  <c r="FF1631"/>
  <c r="FJ1292"/>
  <c r="FF1292"/>
  <c r="FJ577"/>
  <c r="FF577"/>
  <c r="FF1783"/>
  <c r="FJ1783"/>
  <c r="FF2098"/>
  <c r="FJ2098"/>
  <c r="FF2370"/>
  <c r="FJ2370"/>
  <c r="FF720"/>
  <c r="FJ720"/>
  <c r="FF425"/>
  <c r="FJ2469"/>
  <c r="FF2469"/>
  <c r="FF2194"/>
  <c r="FJ2194"/>
  <c r="FF1879"/>
  <c r="FJ1879"/>
  <c r="FF2123"/>
  <c r="FJ2123"/>
  <c r="FJ619"/>
  <c r="FF619"/>
  <c r="FF2231"/>
  <c r="FJ2231"/>
  <c r="FJ1265"/>
  <c r="FF1265"/>
  <c r="FF818"/>
  <c r="FJ818"/>
  <c r="FJ2264"/>
  <c r="FF2264"/>
  <c r="FF1591"/>
  <c r="FJ1591"/>
  <c r="FJ1649"/>
  <c r="FF1649"/>
  <c r="FJ1812"/>
  <c r="FF1812"/>
  <c r="FF1383"/>
  <c r="FJ1383"/>
  <c r="FJ1289"/>
  <c r="FF1289"/>
  <c r="FF2305"/>
  <c r="FJ2305"/>
  <c r="FF806"/>
  <c r="FJ806"/>
  <c r="FJ2263"/>
  <c r="FF2263"/>
  <c r="FJ1324"/>
  <c r="FF1324"/>
  <c r="FF1814"/>
  <c r="FJ1814"/>
  <c r="FF1267"/>
  <c r="FJ1267"/>
  <c r="FJ1885"/>
  <c r="FF1885"/>
  <c r="FF992"/>
  <c r="FJ992"/>
  <c r="FF733"/>
  <c r="FJ733"/>
  <c r="FJ1248"/>
  <c r="FF1248"/>
  <c r="FJ2199"/>
  <c r="FF2199"/>
  <c r="FJ1058"/>
  <c r="FF1058"/>
  <c r="FF1810"/>
  <c r="FJ1810"/>
  <c r="FF1397"/>
  <c r="FJ1397"/>
  <c r="FJ2273"/>
  <c r="FF2273"/>
  <c r="FJ1839"/>
  <c r="FF1839"/>
  <c r="FF846"/>
  <c r="FJ846"/>
  <c r="FJ1137"/>
  <c r="FF1137"/>
  <c r="FF653"/>
  <c r="FJ653"/>
  <c r="FJ2096"/>
  <c r="FF2096"/>
  <c r="FF1462"/>
  <c r="FJ1462"/>
  <c r="FF1895"/>
  <c r="FJ1895"/>
  <c r="FF739"/>
  <c r="FJ739"/>
  <c r="FJ605"/>
  <c r="FF605"/>
  <c r="FF1309"/>
  <c r="FJ1309"/>
  <c r="FF1067"/>
  <c r="FJ1067"/>
  <c r="FJ1026"/>
  <c r="FF1026"/>
  <c r="FF795"/>
  <c r="FJ795"/>
  <c r="FJ1484"/>
  <c r="FF1484"/>
  <c r="FJ636"/>
  <c r="FF636"/>
  <c r="FJ1062"/>
  <c r="FF1062"/>
  <c r="FJ1374"/>
  <c r="FF1374"/>
  <c r="FJ679"/>
  <c r="FF679"/>
  <c r="FJ2368"/>
  <c r="FF2368"/>
  <c r="FF1830"/>
  <c r="FJ1830"/>
  <c r="FF1421"/>
  <c r="FJ1421"/>
  <c r="FF1589"/>
  <c r="FJ1589"/>
  <c r="FF1076"/>
  <c r="FJ1076"/>
  <c r="FF603"/>
  <c r="FJ603"/>
  <c r="FF1090"/>
  <c r="FJ1090"/>
  <c r="FF1721"/>
  <c r="FJ1721"/>
  <c r="FF1840"/>
  <c r="FJ1840"/>
  <c r="FF1038"/>
  <c r="FJ1038"/>
  <c r="FF1578"/>
  <c r="FJ1578"/>
  <c r="FF2415"/>
  <c r="FJ2415"/>
  <c r="FF559"/>
  <c r="FJ559"/>
  <c r="FF2399"/>
  <c r="FJ2399"/>
  <c r="FJ552"/>
  <c r="FF552"/>
  <c r="FJ1355"/>
  <c r="FF1355"/>
  <c r="FF407"/>
  <c r="FF1198"/>
  <c r="FJ1198"/>
  <c r="FJ940"/>
  <c r="FF940"/>
  <c r="FF1422"/>
  <c r="FJ1422"/>
  <c r="FJ1628"/>
  <c r="FF1628"/>
  <c r="FF1899"/>
  <c r="FJ1899"/>
  <c r="FJ1849"/>
  <c r="FF1849"/>
  <c r="FJ626"/>
  <c r="FF626"/>
  <c r="FF521"/>
  <c r="FJ521"/>
  <c r="FJ1205"/>
  <c r="FF1205"/>
  <c r="FF1380"/>
  <c r="FJ1380"/>
  <c r="FF1543"/>
  <c r="FJ1543"/>
  <c r="FF2168"/>
  <c r="FJ2168"/>
  <c r="FJ1780"/>
  <c r="FF1780"/>
  <c r="FF1220"/>
  <c r="FJ1220"/>
  <c r="FF2438"/>
  <c r="FJ2438"/>
  <c r="FF2258"/>
  <c r="FJ2258"/>
  <c r="FF873"/>
  <c r="FJ873"/>
  <c r="FJ1666"/>
  <c r="FF1666"/>
  <c r="FF1433"/>
  <c r="FJ1433"/>
  <c r="FJ2213"/>
  <c r="FF2213"/>
  <c r="FJ2109"/>
  <c r="FF2109"/>
  <c r="FF472"/>
  <c r="FJ1416"/>
  <c r="FF1416"/>
  <c r="FF1931"/>
  <c r="FJ1931"/>
  <c r="FF2095"/>
  <c r="FJ2095"/>
  <c r="FJ1566"/>
  <c r="FF1566"/>
  <c r="FJ2059"/>
  <c r="FF2059"/>
  <c r="FF2060"/>
  <c r="FJ2060"/>
  <c r="FJ1735"/>
  <c r="FF1735"/>
  <c r="FJ1157"/>
  <c r="FF1157"/>
  <c r="FF503"/>
  <c r="FJ503"/>
  <c r="FF1191"/>
  <c r="FJ1191"/>
  <c r="FJ2203"/>
  <c r="FF2203"/>
  <c r="FF1306"/>
  <c r="FJ1306"/>
  <c r="FF1552"/>
  <c r="FJ1552"/>
  <c r="FJ1262"/>
  <c r="FF1262"/>
  <c r="FF1739"/>
  <c r="FJ1739"/>
  <c r="FF1197"/>
  <c r="FJ1197"/>
  <c r="FF481"/>
  <c r="FF757"/>
  <c r="FJ757"/>
  <c r="FF1474"/>
  <c r="FJ1474"/>
  <c r="FJ1828"/>
  <c r="FF1828"/>
  <c r="FJ2448"/>
  <c r="FF2448"/>
  <c r="FJ964"/>
  <c r="FF964"/>
  <c r="FJ985"/>
  <c r="FF985"/>
  <c r="FJ2435"/>
  <c r="FF2435"/>
  <c r="FJ1615"/>
  <c r="FF1615"/>
  <c r="FF1247"/>
  <c r="FJ1247"/>
  <c r="FF1142"/>
  <c r="FJ1142"/>
  <c r="FF2336"/>
  <c r="FJ2336"/>
  <c r="FJ2181"/>
  <c r="FF2181"/>
  <c r="FJ665"/>
  <c r="FF665"/>
  <c r="FJ2159"/>
  <c r="FF2159"/>
  <c r="FJ1369"/>
  <c r="FF1369"/>
  <c r="FJ1624"/>
  <c r="FF1624"/>
  <c r="FJ2325"/>
  <c r="FF2325"/>
  <c r="FJ2327"/>
  <c r="FF2327"/>
  <c r="FF1189"/>
  <c r="FJ1189"/>
  <c r="FJ1431"/>
  <c r="FF1431"/>
  <c r="FJ1872"/>
  <c r="FF1872"/>
  <c r="FF465"/>
  <c r="FF547"/>
  <c r="FJ547"/>
  <c r="FF2099"/>
  <c r="FJ2099"/>
  <c r="FJ2065"/>
  <c r="FF2065"/>
  <c r="FF892"/>
  <c r="FJ892"/>
  <c r="FJ1928"/>
  <c r="FF1928"/>
  <c r="FJ2477"/>
  <c r="FF2477"/>
  <c r="FF1633"/>
  <c r="FJ1633"/>
  <c r="FJ775"/>
  <c r="FF775"/>
  <c r="FJ1915"/>
  <c r="FF1915"/>
  <c r="FJ1287"/>
  <c r="FF1287"/>
  <c r="FF1577"/>
  <c r="FJ1577"/>
  <c r="FJ2266"/>
  <c r="FF2266"/>
  <c r="FF1305"/>
  <c r="FJ1305"/>
  <c r="FJ1121"/>
  <c r="FF1121"/>
  <c r="FF1759"/>
  <c r="FJ1759"/>
  <c r="FJ769"/>
  <c r="FF769"/>
  <c r="FF731"/>
  <c r="FJ731"/>
  <c r="FJ814"/>
  <c r="FF814"/>
  <c r="FF1637"/>
  <c r="FJ1637"/>
  <c r="FF1920"/>
  <c r="FJ1920"/>
  <c r="FF1411"/>
  <c r="FJ1411"/>
  <c r="FF1175"/>
  <c r="FJ1175"/>
  <c r="FF738"/>
  <c r="FJ738"/>
  <c r="FJ1479"/>
  <c r="FF1479"/>
  <c r="FF2130"/>
  <c r="FJ2130"/>
  <c r="FJ662"/>
  <c r="FF662"/>
  <c r="FF1929"/>
  <c r="FJ1929"/>
  <c r="FJ750"/>
  <c r="FF750"/>
  <c r="FJ1506"/>
  <c r="FF1506"/>
  <c r="FJ2401"/>
  <c r="FF2401"/>
  <c r="FF1731"/>
  <c r="FJ1731"/>
  <c r="FJ706"/>
  <c r="FF706"/>
  <c r="FJ2126"/>
  <c r="FF2126"/>
  <c r="FF1275"/>
  <c r="FJ1275"/>
  <c r="FJ2070"/>
  <c r="FF2070"/>
  <c r="FF2151"/>
  <c r="FJ2151"/>
  <c r="FF986"/>
  <c r="FJ986"/>
  <c r="FF2281"/>
  <c r="FJ2281"/>
  <c r="FJ1393"/>
  <c r="FF1393"/>
  <c r="FF1512"/>
  <c r="FJ1512"/>
  <c r="FF1472"/>
  <c r="FJ1472"/>
  <c r="FF754"/>
  <c r="FJ754"/>
  <c r="FF2322"/>
  <c r="FJ2322"/>
  <c r="FF756"/>
  <c r="FJ756"/>
  <c r="FF1285"/>
  <c r="FJ1285"/>
  <c r="FF1144"/>
  <c r="FJ1144"/>
  <c r="FF564"/>
  <c r="FJ564"/>
  <c r="FF2412"/>
  <c r="FJ2412"/>
  <c r="FJ1771"/>
  <c r="FF1771"/>
  <c r="FF1155"/>
  <c r="FJ1155"/>
  <c r="FF380"/>
  <c r="FJ2406"/>
  <c r="FF2406"/>
  <c r="FJ2397"/>
  <c r="FF2397"/>
  <c r="FJ707"/>
  <c r="FF707"/>
  <c r="FJ1962"/>
  <c r="FF1962"/>
  <c r="FJ984"/>
  <c r="FF984"/>
  <c r="FJ2357"/>
  <c r="FF2357"/>
  <c r="FJ1097"/>
  <c r="FF1097"/>
  <c r="FJ1989"/>
  <c r="FF1989"/>
  <c r="FJ923"/>
  <c r="FF923"/>
  <c r="FJ1106"/>
  <c r="FF1106"/>
  <c r="FF1164"/>
  <c r="FJ1164"/>
  <c r="FJ1087"/>
  <c r="FF1087"/>
  <c r="FF778"/>
  <c r="FJ778"/>
  <c r="FF1705"/>
  <c r="FJ1705"/>
  <c r="FJ1960"/>
  <c r="FF1960"/>
  <c r="FJ1060"/>
  <c r="FF1060"/>
  <c r="FF1871"/>
  <c r="FJ1871"/>
  <c r="FJ712"/>
  <c r="FF712"/>
  <c r="FF543"/>
  <c r="FJ543"/>
  <c r="FF844"/>
  <c r="FJ844"/>
  <c r="FF2463"/>
  <c r="FJ2463"/>
  <c r="FJ1532"/>
  <c r="FF1532"/>
  <c r="FJ2142"/>
  <c r="FF2142"/>
  <c r="FF973"/>
  <c r="FJ973"/>
  <c r="FJ2040"/>
  <c r="FF2040"/>
  <c r="FF1010"/>
  <c r="FJ1010"/>
  <c r="FJ1318"/>
  <c r="FF1318"/>
  <c r="FJ2056"/>
  <c r="FF2056"/>
  <c r="FF1776"/>
  <c r="FJ1776"/>
  <c r="FJ1199"/>
  <c r="FF1199"/>
  <c r="FF1521"/>
  <c r="FJ1521"/>
  <c r="FJ736"/>
  <c r="FF736"/>
  <c r="FJ1902"/>
  <c r="FF1902"/>
  <c r="FF1031"/>
  <c r="FJ1031"/>
  <c r="FJ2372"/>
  <c r="FF2372"/>
  <c r="FF1235"/>
  <c r="FJ1235"/>
  <c r="FF526"/>
  <c r="FJ526"/>
  <c r="FJ1148"/>
  <c r="FF1148"/>
  <c r="FF1126"/>
  <c r="FJ1126"/>
  <c r="FJ2416"/>
  <c r="FF2416"/>
  <c r="FJ1981"/>
  <c r="FF1981"/>
  <c r="FF2275"/>
  <c r="FJ2275"/>
  <c r="FJ2051"/>
  <c r="FF2051"/>
  <c r="FF1571"/>
  <c r="FJ1571"/>
  <c r="FJ1754"/>
  <c r="FF1754"/>
  <c r="FF1109"/>
  <c r="FJ1109"/>
  <c r="FF517"/>
  <c r="FJ517"/>
  <c r="FF1769"/>
  <c r="FJ1769"/>
  <c r="FF2084"/>
  <c r="FJ2084"/>
  <c r="FJ2449"/>
  <c r="FF2449"/>
  <c r="FJ1644"/>
  <c r="FF1644"/>
  <c r="FF383"/>
  <c r="FJ1091"/>
  <c r="FF1091"/>
  <c r="FJ1822"/>
  <c r="FF1822"/>
  <c r="FJ1998"/>
  <c r="FF1998"/>
  <c r="FF951"/>
  <c r="FJ951"/>
  <c r="FF872"/>
  <c r="FJ872"/>
  <c r="FF1041"/>
  <c r="FJ1041"/>
  <c r="FF877"/>
  <c r="FJ877"/>
  <c r="FF1222"/>
  <c r="FJ1222"/>
  <c r="FF834"/>
  <c r="FJ834"/>
  <c r="FF1319"/>
  <c r="FJ1319"/>
  <c r="FF2200"/>
  <c r="FJ2200"/>
  <c r="FF1775"/>
  <c r="FJ1775"/>
  <c r="FJ2238"/>
  <c r="FF2238"/>
  <c r="FF2034"/>
  <c r="FJ2034"/>
  <c r="FJ2177"/>
  <c r="FF2177"/>
  <c r="FJ1352"/>
  <c r="FF1352"/>
  <c r="FJ1204"/>
  <c r="FF1204"/>
  <c r="FF800"/>
  <c r="FJ800"/>
  <c r="FJ2088"/>
  <c r="FF2088"/>
  <c r="FJ2026"/>
  <c r="FF2026"/>
  <c r="FF2344"/>
  <c r="FJ2344"/>
  <c r="FF1905"/>
  <c r="FJ1905"/>
  <c r="FF431"/>
  <c r="FJ1492"/>
  <c r="FF1492"/>
  <c r="FF1165"/>
  <c r="FJ1165"/>
  <c r="FJ854"/>
  <c r="FF854"/>
  <c r="FJ1049"/>
  <c r="FF1049"/>
  <c r="FJ941"/>
  <c r="FF941"/>
  <c r="FJ1734"/>
  <c r="FF1734"/>
  <c r="FJ2100"/>
  <c r="FF2100"/>
  <c r="FJ2050"/>
  <c r="FF2050"/>
  <c r="FJ1878"/>
  <c r="FF1878"/>
  <c r="FF1098"/>
  <c r="FJ1098"/>
  <c r="FF695"/>
  <c r="FJ695"/>
  <c r="FJ771"/>
  <c r="FF771"/>
  <c r="FJ1939"/>
  <c r="FF1939"/>
  <c r="FF2495"/>
  <c r="FJ2495"/>
  <c r="FJ991"/>
  <c r="FF991"/>
  <c r="FF1607"/>
  <c r="FJ1607"/>
  <c r="FF2045"/>
  <c r="FJ2045"/>
  <c r="FF2120"/>
  <c r="FJ2120"/>
  <c r="FJ1985"/>
  <c r="FF1985"/>
  <c r="FF500"/>
  <c r="FJ500"/>
  <c r="FJ1485"/>
  <c r="FF1485"/>
  <c r="FF2424"/>
  <c r="FJ2424"/>
  <c r="FJ2369"/>
  <c r="FF2369"/>
  <c r="FF1099"/>
  <c r="FJ1099"/>
  <c r="FJ1976"/>
  <c r="FF1976"/>
  <c r="FF1223"/>
  <c r="FJ1223"/>
  <c r="FJ1890"/>
  <c r="FF1890"/>
  <c r="FF397"/>
  <c r="FJ1172"/>
  <c r="FF1172"/>
  <c r="FJ1053"/>
  <c r="FF1053"/>
  <c r="FJ489"/>
  <c r="FF489"/>
  <c r="FF474"/>
  <c r="FF2362"/>
  <c r="FJ2362"/>
  <c r="FF1944"/>
  <c r="FJ1944"/>
  <c r="FF499"/>
  <c r="FJ499"/>
  <c r="FF673"/>
  <c r="FJ673"/>
  <c r="FJ490"/>
  <c r="FF490"/>
  <c r="FJ1580"/>
  <c r="FF1580"/>
  <c r="FJ1101"/>
  <c r="FF1101"/>
  <c r="FJ633"/>
  <c r="FF633"/>
  <c r="FF1183"/>
  <c r="FJ1183"/>
  <c r="FF1896"/>
  <c r="FJ1896"/>
  <c r="FJ1546"/>
  <c r="FF1546"/>
  <c r="AY83"/>
  <c r="CT83"/>
  <c r="AK83"/>
  <c r="AM83"/>
  <c r="DC83"/>
  <c r="BI83"/>
  <c r="R83"/>
  <c r="DU83"/>
  <c r="AZ83"/>
  <c r="AX83"/>
  <c r="P83"/>
  <c r="H83"/>
  <c r="AL83"/>
  <c r="AR83"/>
  <c r="AC83"/>
  <c r="DK83"/>
  <c r="F83"/>
  <c r="CX83"/>
  <c r="BV83"/>
  <c r="CC83"/>
  <c r="CS83"/>
  <c r="CM83"/>
  <c r="CW83"/>
  <c r="AT83"/>
  <c r="AH83"/>
  <c r="CU83"/>
  <c r="AJ83"/>
  <c r="BU83"/>
  <c r="CD83"/>
  <c r="AF83"/>
  <c r="DT83"/>
  <c r="CE83"/>
  <c r="BK83"/>
  <c r="U83"/>
  <c r="S83"/>
  <c r="BJ83"/>
  <c r="CZ83"/>
  <c r="BF83"/>
  <c r="X83"/>
  <c r="G83"/>
  <c r="DI83"/>
  <c r="BN83"/>
  <c r="N83"/>
  <c r="DD83"/>
  <c r="AA83"/>
  <c r="M83"/>
  <c r="BZ83"/>
  <c r="DS83"/>
  <c r="DV83"/>
  <c r="AB83"/>
  <c r="Z83"/>
  <c r="CL83"/>
  <c r="T83"/>
  <c r="BB83"/>
  <c r="AG83"/>
  <c r="W83"/>
  <c r="DN83"/>
  <c r="BX83"/>
  <c r="CA83"/>
  <c r="AI83"/>
  <c r="BR83"/>
  <c r="CK83"/>
  <c r="BQ83"/>
  <c r="CP83"/>
  <c r="I83"/>
  <c r="K83"/>
  <c r="AW83"/>
  <c r="DB83"/>
  <c r="AD83"/>
  <c r="DP83"/>
  <c r="E83"/>
  <c r="DO83"/>
  <c r="Y83"/>
  <c r="BP83"/>
  <c r="CY83"/>
  <c r="AU83"/>
  <c r="CH83"/>
  <c r="DG83"/>
  <c r="CO83"/>
  <c r="DR83"/>
  <c r="V83"/>
  <c r="CR83"/>
  <c r="CN83"/>
  <c r="BS83"/>
  <c r="BL83"/>
  <c r="L83"/>
  <c r="AS83"/>
  <c r="DJ83"/>
  <c r="CF83"/>
  <c r="BO83"/>
  <c r="DL83"/>
  <c r="DM83"/>
  <c r="DQ83"/>
  <c r="DA83"/>
  <c r="AV83"/>
  <c r="CQ83"/>
  <c r="Q83"/>
  <c r="BE83"/>
  <c r="BH83"/>
  <c r="BY83"/>
  <c r="DE83"/>
  <c r="DH83"/>
  <c r="AQ83"/>
  <c r="DF83"/>
  <c r="O83"/>
  <c r="AN83"/>
  <c r="AE83"/>
  <c r="BC83"/>
  <c r="BG83"/>
  <c r="BT83"/>
  <c r="CV83"/>
  <c r="CJ83"/>
  <c r="CI83"/>
  <c r="BD83"/>
  <c r="BA83"/>
  <c r="BW83"/>
  <c r="CB83"/>
  <c r="J83"/>
  <c r="AP83"/>
  <c r="BM83"/>
  <c r="AO83"/>
  <c r="CG83"/>
  <c r="C83"/>
  <c r="BA58"/>
  <c r="CO58"/>
  <c r="BR58"/>
  <c r="CG58"/>
  <c r="BT58"/>
  <c r="CH58"/>
  <c r="I58"/>
  <c r="CV58"/>
  <c r="BE58"/>
  <c r="AM58"/>
  <c r="AF58"/>
  <c r="CC58"/>
  <c r="AD58"/>
  <c r="L58"/>
  <c r="AA58"/>
  <c r="DR58"/>
  <c r="S58"/>
  <c r="M58"/>
  <c r="CB58"/>
  <c r="CD58"/>
  <c r="BW58"/>
  <c r="R58"/>
  <c r="BJ58"/>
  <c r="DM58"/>
  <c r="AQ58"/>
  <c r="CU58"/>
  <c r="N58"/>
  <c r="DN58"/>
  <c r="BX58"/>
  <c r="BM58"/>
  <c r="AU58"/>
  <c r="CJ58"/>
  <c r="AK58"/>
  <c r="P58"/>
  <c r="BS58"/>
  <c r="CP58"/>
  <c r="DB58"/>
  <c r="CI58"/>
  <c r="CY58"/>
  <c r="DI58"/>
  <c r="BG58"/>
  <c r="DS58"/>
  <c r="DD58"/>
  <c r="DC58"/>
  <c r="DL58"/>
  <c r="E58"/>
  <c r="BD58"/>
  <c r="AW58"/>
  <c r="H58"/>
  <c r="O58"/>
  <c r="AC58"/>
  <c r="BB58"/>
  <c r="DV58"/>
  <c r="CM58"/>
  <c r="AH58"/>
  <c r="AB58"/>
  <c r="AR58"/>
  <c r="BK58"/>
  <c r="CX58"/>
  <c r="K58"/>
  <c r="AO58"/>
  <c r="AT58"/>
  <c r="CN58"/>
  <c r="W58"/>
  <c r="T58"/>
  <c r="DO58"/>
  <c r="CR58"/>
  <c r="G58"/>
  <c r="CQ58"/>
  <c r="DE58"/>
  <c r="BC58"/>
  <c r="AX58"/>
  <c r="CT58"/>
  <c r="Y58"/>
  <c r="BI58"/>
  <c r="BN58"/>
  <c r="AI58"/>
  <c r="U58"/>
  <c r="Z58"/>
  <c r="CK58"/>
  <c r="BL58"/>
  <c r="CE58"/>
  <c r="DH58"/>
  <c r="BZ58"/>
  <c r="AV58"/>
  <c r="DQ58"/>
  <c r="BF58"/>
  <c r="DK58"/>
  <c r="BY58"/>
  <c r="AZ58"/>
  <c r="CW58"/>
  <c r="DA58"/>
  <c r="J58"/>
  <c r="CA58"/>
  <c r="BO58"/>
  <c r="CZ58"/>
  <c r="BH58"/>
  <c r="AJ58"/>
  <c r="DU58"/>
  <c r="BV58"/>
  <c r="DG58"/>
  <c r="V58"/>
  <c r="BP58"/>
  <c r="DP58"/>
  <c r="AN58"/>
  <c r="AE58"/>
  <c r="F58"/>
  <c r="AY58"/>
  <c r="CF58"/>
  <c r="AL58"/>
  <c r="AS58"/>
  <c r="Q58"/>
  <c r="DJ58"/>
  <c r="DF58"/>
  <c r="CL58"/>
  <c r="X58"/>
  <c r="AG58"/>
  <c r="CS58"/>
  <c r="BQ58"/>
  <c r="DT58"/>
  <c r="AP58"/>
  <c r="BU58"/>
  <c r="C58"/>
  <c r="BZ75"/>
  <c r="X75"/>
  <c r="DK75"/>
  <c r="BG75"/>
  <c r="CU75"/>
  <c r="H75"/>
  <c r="BW75"/>
  <c r="BO75"/>
  <c r="BT75"/>
  <c r="R75"/>
  <c r="Y75"/>
  <c r="Q75"/>
  <c r="AJ75"/>
  <c r="AL75"/>
  <c r="AS75"/>
  <c r="DN75"/>
  <c r="AA75"/>
  <c r="BN75"/>
  <c r="K75"/>
  <c r="CV75"/>
  <c r="CM75"/>
  <c r="Z75"/>
  <c r="DH75"/>
  <c r="DA75"/>
  <c r="AC75"/>
  <c r="BI75"/>
  <c r="DQ75"/>
  <c r="DC75"/>
  <c r="BQ75"/>
  <c r="BM75"/>
  <c r="AR75"/>
  <c r="BV75"/>
  <c r="AD75"/>
  <c r="V75"/>
  <c r="AH75"/>
  <c r="DO75"/>
  <c r="CH75"/>
  <c r="CI75"/>
  <c r="AI75"/>
  <c r="BJ75"/>
  <c r="BX75"/>
  <c r="CB75"/>
  <c r="N75"/>
  <c r="CP75"/>
  <c r="CZ75"/>
  <c r="DP75"/>
  <c r="F75"/>
  <c r="P75"/>
  <c r="CK75"/>
  <c r="AV75"/>
  <c r="CR75"/>
  <c r="I75"/>
  <c r="DV75"/>
  <c r="AZ75"/>
  <c r="AM75"/>
  <c r="DG75"/>
  <c r="DT75"/>
  <c r="CL75"/>
  <c r="BH75"/>
  <c r="AY75"/>
  <c r="T75"/>
  <c r="AB75"/>
  <c r="AG75"/>
  <c r="CA75"/>
  <c r="AQ75"/>
  <c r="CJ75"/>
  <c r="AO75"/>
  <c r="M75"/>
  <c r="AT75"/>
  <c r="AE75"/>
  <c r="DS75"/>
  <c r="AX75"/>
  <c r="CE75"/>
  <c r="CC75"/>
  <c r="BL75"/>
  <c r="DM75"/>
  <c r="BK75"/>
  <c r="DI75"/>
  <c r="AF75"/>
  <c r="CQ75"/>
  <c r="BP75"/>
  <c r="BE75"/>
  <c r="AW75"/>
  <c r="AK75"/>
  <c r="CW75"/>
  <c r="CY75"/>
  <c r="BA75"/>
  <c r="L75"/>
  <c r="CG75"/>
  <c r="DD75"/>
  <c r="CS75"/>
  <c r="CD75"/>
  <c r="O75"/>
  <c r="E75"/>
  <c r="G75"/>
  <c r="BR75"/>
  <c r="AU75"/>
  <c r="BC75"/>
  <c r="CN75"/>
  <c r="U75"/>
  <c r="DF75"/>
  <c r="DR75"/>
  <c r="DE75"/>
  <c r="DU75"/>
  <c r="AN75"/>
  <c r="W75"/>
  <c r="CO75"/>
  <c r="CF75"/>
  <c r="BS75"/>
  <c r="AP75"/>
  <c r="CX75"/>
  <c r="BY75"/>
  <c r="BF75"/>
  <c r="J75"/>
  <c r="DJ75"/>
  <c r="S75"/>
  <c r="BD75"/>
  <c r="CT75"/>
  <c r="DB75"/>
  <c r="DL75"/>
  <c r="BB75"/>
  <c r="BU75"/>
  <c r="C75"/>
  <c r="BC65"/>
  <c r="DV65"/>
  <c r="V65"/>
  <c r="AA65"/>
  <c r="BB65"/>
  <c r="AW65"/>
  <c r="CT65"/>
  <c r="CQ65"/>
  <c r="P65"/>
  <c r="W65"/>
  <c r="AF65"/>
  <c r="DH65"/>
  <c r="BL65"/>
  <c r="Z65"/>
  <c r="AD65"/>
  <c r="CS65"/>
  <c r="DG65"/>
  <c r="AP65"/>
  <c r="DE65"/>
  <c r="DK65"/>
  <c r="CY65"/>
  <c r="DP65"/>
  <c r="K65"/>
  <c r="O65"/>
  <c r="DR65"/>
  <c r="R65"/>
  <c r="CB65"/>
  <c r="AC65"/>
  <c r="AN65"/>
  <c r="AZ65"/>
  <c r="BZ65"/>
  <c r="AO65"/>
  <c r="AS65"/>
  <c r="DO65"/>
  <c r="DF65"/>
  <c r="CJ65"/>
  <c r="DD65"/>
  <c r="BY65"/>
  <c r="AK65"/>
  <c r="CV65"/>
  <c r="CF65"/>
  <c r="AX65"/>
  <c r="CG65"/>
  <c r="U65"/>
  <c r="BD65"/>
  <c r="CR65"/>
  <c r="AI65"/>
  <c r="M65"/>
  <c r="I65"/>
  <c r="DJ65"/>
  <c r="S65"/>
  <c r="DQ65"/>
  <c r="DA65"/>
  <c r="BA65"/>
  <c r="BH65"/>
  <c r="AJ65"/>
  <c r="CD65"/>
  <c r="CH65"/>
  <c r="AH65"/>
  <c r="CK65"/>
  <c r="AB65"/>
  <c r="G65"/>
  <c r="CN65"/>
  <c r="BU65"/>
  <c r="CE65"/>
  <c r="DL65"/>
  <c r="CZ65"/>
  <c r="CM65"/>
  <c r="AQ65"/>
  <c r="T65"/>
  <c r="BQ65"/>
  <c r="BW65"/>
  <c r="Q65"/>
  <c r="AL65"/>
  <c r="AE65"/>
  <c r="DB65"/>
  <c r="CU65"/>
  <c r="BT65"/>
  <c r="BS65"/>
  <c r="Y65"/>
  <c r="AY65"/>
  <c r="AR65"/>
  <c r="L65"/>
  <c r="DS65"/>
  <c r="CX65"/>
  <c r="DC65"/>
  <c r="BO65"/>
  <c r="X65"/>
  <c r="F65"/>
  <c r="CA65"/>
  <c r="DI65"/>
  <c r="N65"/>
  <c r="CI65"/>
  <c r="E65"/>
  <c r="CW65"/>
  <c r="CO65"/>
  <c r="BN65"/>
  <c r="BG65"/>
  <c r="AT65"/>
  <c r="CP65"/>
  <c r="AV65"/>
  <c r="DU65"/>
  <c r="DN65"/>
  <c r="BE65"/>
  <c r="DM65"/>
  <c r="BF65"/>
  <c r="AM65"/>
  <c r="BK65"/>
  <c r="BR65"/>
  <c r="BP65"/>
  <c r="BI65"/>
  <c r="BM65"/>
  <c r="H65"/>
  <c r="BX65"/>
  <c r="CL65"/>
  <c r="CC65"/>
  <c r="J65"/>
  <c r="BJ65"/>
  <c r="BV65"/>
  <c r="AG65"/>
  <c r="AU65"/>
  <c r="DT65"/>
  <c r="C65"/>
  <c r="Q30"/>
  <c r="I30"/>
  <c r="DU30"/>
  <c r="AM30"/>
  <c r="AE30"/>
  <c r="CQ30"/>
  <c r="BB30"/>
  <c r="CU30"/>
  <c r="X30"/>
  <c r="CZ30"/>
  <c r="AR30"/>
  <c r="CM30"/>
  <c r="DD30"/>
  <c r="J30"/>
  <c r="AP30"/>
  <c r="CK30"/>
  <c r="CD30"/>
  <c r="CS30"/>
  <c r="R30"/>
  <c r="BH30"/>
  <c r="AN30"/>
  <c r="AS30"/>
  <c r="AL30"/>
  <c r="CJ30"/>
  <c r="DC30"/>
  <c r="CG30"/>
  <c r="BD30"/>
  <c r="AV30"/>
  <c r="CO30"/>
  <c r="BG30"/>
  <c r="DB30"/>
  <c r="O30"/>
  <c r="DG30"/>
  <c r="DE30"/>
  <c r="AI30"/>
  <c r="BR30"/>
  <c r="Z30"/>
  <c r="DT30"/>
  <c r="DF30"/>
  <c r="BY30"/>
  <c r="DK30"/>
  <c r="CE30"/>
  <c r="CB30"/>
  <c r="AT30"/>
  <c r="BK30"/>
  <c r="BZ30"/>
  <c r="E30"/>
  <c r="CN30"/>
  <c r="BA30"/>
  <c r="CL30"/>
  <c r="DQ30"/>
  <c r="DP30"/>
  <c r="CP30"/>
  <c r="DM30"/>
  <c r="AY30"/>
  <c r="CR30"/>
  <c r="DL30"/>
  <c r="CI30"/>
  <c r="AQ30"/>
  <c r="BO30"/>
  <c r="BE30"/>
  <c r="AK30"/>
  <c r="CC30"/>
  <c r="M30"/>
  <c r="AJ30"/>
  <c r="AA30"/>
  <c r="BU30"/>
  <c r="CF30"/>
  <c r="BQ30"/>
  <c r="DJ30"/>
  <c r="AG30"/>
  <c r="L30"/>
  <c r="DN30"/>
  <c r="AW30"/>
  <c r="AC30"/>
  <c r="W30"/>
  <c r="AD30"/>
  <c r="BW30"/>
  <c r="K30"/>
  <c r="DS30"/>
  <c r="BV30"/>
  <c r="AO30"/>
  <c r="CV30"/>
  <c r="CW30"/>
  <c r="BT30"/>
  <c r="U30"/>
  <c r="BL30"/>
  <c r="DI30"/>
  <c r="DO30"/>
  <c r="DH30"/>
  <c r="N30"/>
  <c r="BN30"/>
  <c r="BM30"/>
  <c r="BF30"/>
  <c r="BI30"/>
  <c r="CY30"/>
  <c r="CT30"/>
  <c r="Y30"/>
  <c r="BX30"/>
  <c r="F30"/>
  <c r="AU30"/>
  <c r="DV30"/>
  <c r="DA30"/>
  <c r="AB30"/>
  <c r="DR30"/>
  <c r="BC30"/>
  <c r="S30"/>
  <c r="BJ30"/>
  <c r="CA30"/>
  <c r="CX30"/>
  <c r="AF30"/>
  <c r="V30"/>
  <c r="CH30"/>
  <c r="T30"/>
  <c r="AZ30"/>
  <c r="P30"/>
  <c r="BP30"/>
  <c r="AH30"/>
  <c r="H30"/>
  <c r="BS30"/>
  <c r="G30"/>
  <c r="AX30"/>
  <c r="C30"/>
  <c r="CJ15"/>
  <c r="DM15"/>
  <c r="AO15"/>
  <c r="S15"/>
  <c r="DN15"/>
  <c r="T15"/>
  <c r="DQ15"/>
  <c r="DC15"/>
  <c r="R15"/>
  <c r="AA15"/>
  <c r="DG15"/>
  <c r="AI15"/>
  <c r="F15"/>
  <c r="CQ15"/>
  <c r="DT15"/>
  <c r="CU15"/>
  <c r="CX15"/>
  <c r="DB15"/>
  <c r="AH15"/>
  <c r="BP15"/>
  <c r="BF15"/>
  <c r="CE15"/>
  <c r="DU15"/>
  <c r="P15"/>
  <c r="DR15"/>
  <c r="BJ15"/>
  <c r="BA15"/>
  <c r="CP15"/>
  <c r="DK15"/>
  <c r="BM15"/>
  <c r="AW15"/>
  <c r="CI15"/>
  <c r="BN15"/>
  <c r="AJ15"/>
  <c r="DE15"/>
  <c r="DS15"/>
  <c r="BO15"/>
  <c r="AN15"/>
  <c r="AX15"/>
  <c r="CM15"/>
  <c r="BT15"/>
  <c r="AL15"/>
  <c r="BG15"/>
  <c r="BC15"/>
  <c r="H15"/>
  <c r="AE15"/>
  <c r="CZ15"/>
  <c r="BR15"/>
  <c r="AV15"/>
  <c r="DL15"/>
  <c r="CY15"/>
  <c r="CN15"/>
  <c r="CW15"/>
  <c r="Q15"/>
  <c r="CB15"/>
  <c r="AQ15"/>
  <c r="N15"/>
  <c r="BY15"/>
  <c r="BD15"/>
  <c r="AP15"/>
  <c r="DV15"/>
  <c r="CL15"/>
  <c r="BE15"/>
  <c r="W15"/>
  <c r="O15"/>
  <c r="AB15"/>
  <c r="CH15"/>
  <c r="DA15"/>
  <c r="AK15"/>
  <c r="BW15"/>
  <c r="DO15"/>
  <c r="AC15"/>
  <c r="G15"/>
  <c r="AY15"/>
  <c r="Y15"/>
  <c r="BH15"/>
  <c r="CG15"/>
  <c r="BV15"/>
  <c r="DP15"/>
  <c r="AM15"/>
  <c r="J15"/>
  <c r="BI15"/>
  <c r="BL15"/>
  <c r="BS15"/>
  <c r="CS15"/>
  <c r="AU15"/>
  <c r="AZ15"/>
  <c r="BK15"/>
  <c r="BX15"/>
  <c r="CA15"/>
  <c r="CD15"/>
  <c r="U15"/>
  <c r="CV15"/>
  <c r="BZ15"/>
  <c r="E15"/>
  <c r="DF15"/>
  <c r="CR15"/>
  <c r="Z15"/>
  <c r="AR15"/>
  <c r="AD15"/>
  <c r="BU15"/>
  <c r="CK15"/>
  <c r="CT15"/>
  <c r="AG15"/>
  <c r="DD15"/>
  <c r="DH15"/>
  <c r="BB15"/>
  <c r="BQ15"/>
  <c r="AS15"/>
  <c r="X15"/>
  <c r="CC15"/>
  <c r="V15"/>
  <c r="DI15"/>
  <c r="AF15"/>
  <c r="CO15"/>
  <c r="AT15"/>
  <c r="FF420" s="1"/>
  <c r="DJ15"/>
  <c r="CF15"/>
  <c r="C15"/>
  <c r="DH60"/>
  <c r="DD60"/>
  <c r="DV60"/>
  <c r="AX60"/>
  <c r="CY60"/>
  <c r="AA60"/>
  <c r="AM60"/>
  <c r="AK60"/>
  <c r="DK60"/>
  <c r="BE60"/>
  <c r="G60"/>
  <c r="DT60"/>
  <c r="BR60"/>
  <c r="R60"/>
  <c r="BU60"/>
  <c r="AF60"/>
  <c r="BT60"/>
  <c r="AH60"/>
  <c r="S60"/>
  <c r="AR60"/>
  <c r="CI60"/>
  <c r="T60"/>
  <c r="L60"/>
  <c r="BP60"/>
  <c r="U60"/>
  <c r="AS60"/>
  <c r="N60"/>
  <c r="DI60"/>
  <c r="DF60"/>
  <c r="BY60"/>
  <c r="DU60"/>
  <c r="BS60"/>
  <c r="DP60"/>
  <c r="AJ60"/>
  <c r="BQ60"/>
  <c r="CP60"/>
  <c r="Q60"/>
  <c r="CB60"/>
  <c r="DS60"/>
  <c r="AE60"/>
  <c r="BC60"/>
  <c r="BG60"/>
  <c r="AB60"/>
  <c r="CZ60"/>
  <c r="DC60"/>
  <c r="E60"/>
  <c r="DQ60"/>
  <c r="CG60"/>
  <c r="AT60"/>
  <c r="AI60"/>
  <c r="BK60"/>
  <c r="CE60"/>
  <c r="BZ60"/>
  <c r="BN60"/>
  <c r="CF60"/>
  <c r="AQ60"/>
  <c r="CC60"/>
  <c r="AY60"/>
  <c r="CM60"/>
  <c r="M60"/>
  <c r="AG60"/>
  <c r="CA60"/>
  <c r="BM60"/>
  <c r="W60"/>
  <c r="X60"/>
  <c r="BJ60"/>
  <c r="H60"/>
  <c r="AZ60"/>
  <c r="CU60"/>
  <c r="DJ60"/>
  <c r="AL60"/>
  <c r="AU60"/>
  <c r="CL60"/>
  <c r="BX60"/>
  <c r="BW60"/>
  <c r="CR60"/>
  <c r="BH60"/>
  <c r="AP60"/>
  <c r="AV60"/>
  <c r="CS60"/>
  <c r="AN60"/>
  <c r="BF60"/>
  <c r="DR60"/>
  <c r="DE60"/>
  <c r="BL60"/>
  <c r="K60"/>
  <c r="BB60"/>
  <c r="CT60"/>
  <c r="DA60"/>
  <c r="BI60"/>
  <c r="BV60"/>
  <c r="Y60"/>
  <c r="CN60"/>
  <c r="AO60"/>
  <c r="BD60"/>
  <c r="CK60"/>
  <c r="CX60"/>
  <c r="AW60"/>
  <c r="CO60"/>
  <c r="CV60"/>
  <c r="CQ60"/>
  <c r="DO60"/>
  <c r="DM60"/>
  <c r="DB60"/>
  <c r="BA60"/>
  <c r="CD60"/>
  <c r="J60"/>
  <c r="CH60"/>
  <c r="BO60"/>
  <c r="V60"/>
  <c r="CW60"/>
  <c r="AD60"/>
  <c r="DL60"/>
  <c r="AC60"/>
  <c r="CJ60"/>
  <c r="F60"/>
  <c r="DG60"/>
  <c r="O60"/>
  <c r="I60"/>
  <c r="P60"/>
  <c r="DN60"/>
  <c r="Z60"/>
  <c r="C60"/>
  <c r="AL12"/>
  <c r="FF309" s="1"/>
  <c r="F12"/>
  <c r="BH12"/>
  <c r="CT12"/>
  <c r="DO12"/>
  <c r="W12"/>
  <c r="AK12"/>
  <c r="BB12"/>
  <c r="Z12"/>
  <c r="BS12"/>
  <c r="AX12"/>
  <c r="DJ12"/>
  <c r="DU12"/>
  <c r="BW12"/>
  <c r="BF12"/>
  <c r="CC12"/>
  <c r="BK12"/>
  <c r="CG12"/>
  <c r="DL12"/>
  <c r="H12"/>
  <c r="DA12"/>
  <c r="DP12"/>
  <c r="T12"/>
  <c r="AY12"/>
  <c r="AC12"/>
  <c r="CD12"/>
  <c r="BZ12"/>
  <c r="BQ12"/>
  <c r="BV12"/>
  <c r="AU12"/>
  <c r="CW12"/>
  <c r="CJ12"/>
  <c r="DD12"/>
  <c r="DT12"/>
  <c r="CV12"/>
  <c r="DI12"/>
  <c r="AO12"/>
  <c r="FF336" s="1"/>
  <c r="AH12"/>
  <c r="BD12"/>
  <c r="DE12"/>
  <c r="BU12"/>
  <c r="DB12"/>
  <c r="DM12"/>
  <c r="CZ12"/>
  <c r="DN12"/>
  <c r="BT12"/>
  <c r="AA12"/>
  <c r="AG12"/>
  <c r="BJ12"/>
  <c r="CX12"/>
  <c r="CS12"/>
  <c r="U12"/>
  <c r="P12"/>
  <c r="CQ12"/>
  <c r="Y12"/>
  <c r="BN12"/>
  <c r="G12"/>
  <c r="DF12"/>
  <c r="BL12"/>
  <c r="AZ12"/>
  <c r="BX12"/>
  <c r="DS12"/>
  <c r="CB12"/>
  <c r="BA12"/>
  <c r="AW12"/>
  <c r="BI12"/>
  <c r="AR12"/>
  <c r="CM12"/>
  <c r="AV12"/>
  <c r="AI12"/>
  <c r="CI12"/>
  <c r="AE12"/>
  <c r="DG12"/>
  <c r="CK12"/>
  <c r="CU12"/>
  <c r="CE12"/>
  <c r="AT12"/>
  <c r="AF12"/>
  <c r="CO12"/>
  <c r="DQ12"/>
  <c r="CL12"/>
  <c r="AN12"/>
  <c r="BP12"/>
  <c r="BR12"/>
  <c r="BC12"/>
  <c r="CR12"/>
  <c r="DR12"/>
  <c r="CY12"/>
  <c r="V12"/>
  <c r="BM12"/>
  <c r="AQ12"/>
  <c r="FF354" s="1"/>
  <c r="AD12"/>
  <c r="BE12"/>
  <c r="CA12"/>
  <c r="CF12"/>
  <c r="CH12"/>
  <c r="DK12"/>
  <c r="BG12"/>
  <c r="CP12"/>
  <c r="BY12"/>
  <c r="AB12"/>
  <c r="DH12"/>
  <c r="DC12"/>
  <c r="AS12"/>
  <c r="AP12"/>
  <c r="AM12"/>
  <c r="DV12"/>
  <c r="CN12"/>
  <c r="AJ12"/>
  <c r="X12"/>
  <c r="BO12"/>
  <c r="C12"/>
  <c r="BO31"/>
  <c r="CI31"/>
  <c r="DJ31"/>
  <c r="E31"/>
  <c r="CH31"/>
  <c r="CE31"/>
  <c r="CN31"/>
  <c r="AW31"/>
  <c r="U31"/>
  <c r="BU31"/>
  <c r="DP31"/>
  <c r="BV31"/>
  <c r="BP31"/>
  <c r="AS31"/>
  <c r="BJ31"/>
  <c r="CS31"/>
  <c r="AC31"/>
  <c r="BA31"/>
  <c r="DN31"/>
  <c r="CG31"/>
  <c r="AR31"/>
  <c r="BK31"/>
  <c r="DT31"/>
  <c r="AE31"/>
  <c r="CT31"/>
  <c r="CC31"/>
  <c r="BS31"/>
  <c r="DS31"/>
  <c r="BD31"/>
  <c r="CQ31"/>
  <c r="V31"/>
  <c r="CA31"/>
  <c r="DO31"/>
  <c r="AX31"/>
  <c r="CR31"/>
  <c r="F31"/>
  <c r="AN31"/>
  <c r="BH31"/>
  <c r="AJ31"/>
  <c r="K31"/>
  <c r="BZ31"/>
  <c r="BY31"/>
  <c r="P31"/>
  <c r="BL31"/>
  <c r="AO31"/>
  <c r="DH31"/>
  <c r="DL31"/>
  <c r="CU31"/>
  <c r="AQ31"/>
  <c r="DK31"/>
  <c r="AA31"/>
  <c r="DB31"/>
  <c r="CY31"/>
  <c r="Q31"/>
  <c r="DF31"/>
  <c r="H31"/>
  <c r="Z31"/>
  <c r="CX31"/>
  <c r="CZ31"/>
  <c r="CK31"/>
  <c r="AV31"/>
  <c r="CL31"/>
  <c r="CF31"/>
  <c r="BX31"/>
  <c r="BC31"/>
  <c r="AH31"/>
  <c r="X31"/>
  <c r="T31"/>
  <c r="W31"/>
  <c r="CP31"/>
  <c r="BI31"/>
  <c r="G31"/>
  <c r="CJ31"/>
  <c r="DU31"/>
  <c r="AI31"/>
  <c r="R31"/>
  <c r="DG31"/>
  <c r="BB31"/>
  <c r="BM31"/>
  <c r="N31"/>
  <c r="M31"/>
  <c r="DR31"/>
  <c r="AT31"/>
  <c r="AU31"/>
  <c r="BN31"/>
  <c r="DA31"/>
  <c r="BF31"/>
  <c r="CV31"/>
  <c r="DE31"/>
  <c r="AF31"/>
  <c r="CO31"/>
  <c r="BW31"/>
  <c r="S31"/>
  <c r="AP31"/>
  <c r="AY31"/>
  <c r="CW31"/>
  <c r="DI31"/>
  <c r="AZ31"/>
  <c r="DV31"/>
  <c r="DQ31"/>
  <c r="BR31"/>
  <c r="AM31"/>
  <c r="AG31"/>
  <c r="Y31"/>
  <c r="L31"/>
  <c r="CD31"/>
  <c r="AD31"/>
  <c r="DM31"/>
  <c r="J31"/>
  <c r="DC31"/>
  <c r="CM31"/>
  <c r="BT31"/>
  <c r="DD31"/>
  <c r="BQ31"/>
  <c r="AL31"/>
  <c r="CB31"/>
  <c r="AB31"/>
  <c r="BG31"/>
  <c r="O31"/>
  <c r="BE31"/>
  <c r="I31"/>
  <c r="AK31"/>
  <c r="C31"/>
  <c r="DP29"/>
  <c r="CT29"/>
  <c r="DU29"/>
  <c r="AE29"/>
  <c r="R29"/>
  <c r="AT29"/>
  <c r="DQ29"/>
  <c r="AK29"/>
  <c r="CH29"/>
  <c r="P29"/>
  <c r="W29"/>
  <c r="CD29"/>
  <c r="BB29"/>
  <c r="DR29"/>
  <c r="BJ29"/>
  <c r="BH29"/>
  <c r="BR29"/>
  <c r="AV29"/>
  <c r="BG29"/>
  <c r="BD29"/>
  <c r="AO29"/>
  <c r="CY29"/>
  <c r="DN29"/>
  <c r="AH29"/>
  <c r="CI29"/>
  <c r="CQ29"/>
  <c r="DG29"/>
  <c r="BP29"/>
  <c r="AW29"/>
  <c r="I29"/>
  <c r="BM29"/>
  <c r="BV29"/>
  <c r="CR29"/>
  <c r="AR29"/>
  <c r="DC29"/>
  <c r="BX29"/>
  <c r="DJ29"/>
  <c r="V29"/>
  <c r="DA29"/>
  <c r="T29"/>
  <c r="CC29"/>
  <c r="Z29"/>
  <c r="AC29"/>
  <c r="CV29"/>
  <c r="G29"/>
  <c r="DS29"/>
  <c r="DD29"/>
  <c r="CU29"/>
  <c r="BE29"/>
  <c r="L29"/>
  <c r="BA29"/>
  <c r="CO29"/>
  <c r="Y29"/>
  <c r="DB29"/>
  <c r="CF29"/>
  <c r="AZ29"/>
  <c r="O29"/>
  <c r="BU29"/>
  <c r="X29"/>
  <c r="DH29"/>
  <c r="BK29"/>
  <c r="BC29"/>
  <c r="DM29"/>
  <c r="CG29"/>
  <c r="BL29"/>
  <c r="DE29"/>
  <c r="CJ29"/>
  <c r="N29"/>
  <c r="AQ29"/>
  <c r="CE29"/>
  <c r="AA29"/>
  <c r="CS29"/>
  <c r="AU29"/>
  <c r="BO29"/>
  <c r="CA29"/>
  <c r="U29"/>
  <c r="AI29"/>
  <c r="AF29"/>
  <c r="AD29"/>
  <c r="BW29"/>
  <c r="DT29"/>
  <c r="K29"/>
  <c r="AB29"/>
  <c r="AP29"/>
  <c r="M29"/>
  <c r="BT29"/>
  <c r="AX29"/>
  <c r="Q29"/>
  <c r="CM29"/>
  <c r="AJ29"/>
  <c r="CW29"/>
  <c r="DL29"/>
  <c r="CB29"/>
  <c r="AG29"/>
  <c r="DI29"/>
  <c r="BZ29"/>
  <c r="DF29"/>
  <c r="J29"/>
  <c r="BF29"/>
  <c r="E29"/>
  <c r="DK29"/>
  <c r="CK29"/>
  <c r="AN29"/>
  <c r="AS29"/>
  <c r="CL29"/>
  <c r="CP29"/>
  <c r="AL29"/>
  <c r="F29"/>
  <c r="BS29"/>
  <c r="CZ29"/>
  <c r="DO29"/>
  <c r="S29"/>
  <c r="H29"/>
  <c r="CX29"/>
  <c r="BQ29"/>
  <c r="DV29"/>
  <c r="BN29"/>
  <c r="AM29"/>
  <c r="CN29"/>
  <c r="BY29"/>
  <c r="AY29"/>
  <c r="BI29"/>
  <c r="C29"/>
  <c r="BC81"/>
  <c r="DB81"/>
  <c r="CB81"/>
  <c r="BL81"/>
  <c r="CX81"/>
  <c r="BW81"/>
  <c r="AR81"/>
  <c r="AG81"/>
  <c r="AE81"/>
  <c r="AW81"/>
  <c r="DK81"/>
  <c r="AF81"/>
  <c r="AL81"/>
  <c r="BF81"/>
  <c r="O81"/>
  <c r="BT81"/>
  <c r="DR81"/>
  <c r="W81"/>
  <c r="CZ81"/>
  <c r="CC81"/>
  <c r="E81"/>
  <c r="DE81"/>
  <c r="V81"/>
  <c r="BJ81"/>
  <c r="AT81"/>
  <c r="CI81"/>
  <c r="AH81"/>
  <c r="BG81"/>
  <c r="AZ81"/>
  <c r="AM81"/>
  <c r="BX81"/>
  <c r="H81"/>
  <c r="CF81"/>
  <c r="AO81"/>
  <c r="BH81"/>
  <c r="CT81"/>
  <c r="G81"/>
  <c r="DU81"/>
  <c r="K81"/>
  <c r="CM81"/>
  <c r="DL81"/>
  <c r="DD81"/>
  <c r="CN81"/>
  <c r="CP81"/>
  <c r="BO81"/>
  <c r="DT81"/>
  <c r="DP81"/>
  <c r="CQ81"/>
  <c r="AK81"/>
  <c r="AX81"/>
  <c r="DN81"/>
  <c r="DC81"/>
  <c r="AV81"/>
  <c r="T81"/>
  <c r="CU81"/>
  <c r="BD81"/>
  <c r="AC81"/>
  <c r="BA81"/>
  <c r="DH81"/>
  <c r="L81"/>
  <c r="BS81"/>
  <c r="U81"/>
  <c r="CY81"/>
  <c r="X81"/>
  <c r="AJ81"/>
  <c r="DJ81"/>
  <c r="BU81"/>
  <c r="F81"/>
  <c r="AS81"/>
  <c r="DQ81"/>
  <c r="BQ81"/>
  <c r="N81"/>
  <c r="BP81"/>
  <c r="DV81"/>
  <c r="M81"/>
  <c r="DS81"/>
  <c r="CO81"/>
  <c r="I81"/>
  <c r="DO81"/>
  <c r="CE81"/>
  <c r="BM81"/>
  <c r="AD81"/>
  <c r="DI81"/>
  <c r="CJ81"/>
  <c r="CH81"/>
  <c r="CS81"/>
  <c r="P81"/>
  <c r="Y81"/>
  <c r="BY81"/>
  <c r="DG81"/>
  <c r="CR81"/>
  <c r="CW81"/>
  <c r="AP81"/>
  <c r="CD81"/>
  <c r="BR81"/>
  <c r="AA81"/>
  <c r="AQ81"/>
  <c r="BN81"/>
  <c r="AB81"/>
  <c r="AI81"/>
  <c r="DM81"/>
  <c r="AN81"/>
  <c r="BI81"/>
  <c r="BV81"/>
  <c r="R81"/>
  <c r="Q81"/>
  <c r="DA81"/>
  <c r="BK81"/>
  <c r="J81"/>
  <c r="S81"/>
  <c r="AY81"/>
  <c r="CG81"/>
  <c r="BE81"/>
  <c r="BB81"/>
  <c r="CK81"/>
  <c r="Z81"/>
  <c r="CA81"/>
  <c r="AU81"/>
  <c r="BZ81"/>
  <c r="CL81"/>
  <c r="CV81"/>
  <c r="DF81"/>
  <c r="C81"/>
  <c r="CM59"/>
  <c r="CQ59"/>
  <c r="DS59"/>
  <c r="BA59"/>
  <c r="BJ59"/>
  <c r="BO59"/>
  <c r="AT59"/>
  <c r="DR59"/>
  <c r="CK59"/>
  <c r="M59"/>
  <c r="CG59"/>
  <c r="BY59"/>
  <c r="Y59"/>
  <c r="CA59"/>
  <c r="BP59"/>
  <c r="AC59"/>
  <c r="BS59"/>
  <c r="DT59"/>
  <c r="CP59"/>
  <c r="CL59"/>
  <c r="BM59"/>
  <c r="DC59"/>
  <c r="DU59"/>
  <c r="W59"/>
  <c r="L59"/>
  <c r="CS59"/>
  <c r="K59"/>
  <c r="AR59"/>
  <c r="AF59"/>
  <c r="DD59"/>
  <c r="DI59"/>
  <c r="AX59"/>
  <c r="BL59"/>
  <c r="DP59"/>
  <c r="BG59"/>
  <c r="CI59"/>
  <c r="CJ59"/>
  <c r="Z59"/>
  <c r="N59"/>
  <c r="AB59"/>
  <c r="CC59"/>
  <c r="CZ59"/>
  <c r="CD59"/>
  <c r="DL59"/>
  <c r="G59"/>
  <c r="BD59"/>
  <c r="BW59"/>
  <c r="CB59"/>
  <c r="DM59"/>
  <c r="CW59"/>
  <c r="BT59"/>
  <c r="BB59"/>
  <c r="BZ59"/>
  <c r="AU59"/>
  <c r="CO59"/>
  <c r="Q59"/>
  <c r="AG59"/>
  <c r="AP59"/>
  <c r="DH59"/>
  <c r="CY59"/>
  <c r="BC59"/>
  <c r="DE59"/>
  <c r="R59"/>
  <c r="CR59"/>
  <c r="E59"/>
  <c r="DG59"/>
  <c r="DV59"/>
  <c r="AS59"/>
  <c r="AH59"/>
  <c r="J59"/>
  <c r="AJ59"/>
  <c r="CE59"/>
  <c r="DB59"/>
  <c r="O59"/>
  <c r="BV59"/>
  <c r="CN59"/>
  <c r="AI59"/>
  <c r="T59"/>
  <c r="CU59"/>
  <c r="DK59"/>
  <c r="BN59"/>
  <c r="U59"/>
  <c r="F59"/>
  <c r="DQ59"/>
  <c r="CV59"/>
  <c r="AQ59"/>
  <c r="AM59"/>
  <c r="S59"/>
  <c r="BI59"/>
  <c r="DA59"/>
  <c r="AW59"/>
  <c r="BE59"/>
  <c r="AK59"/>
  <c r="AD59"/>
  <c r="AY59"/>
  <c r="CF59"/>
  <c r="H59"/>
  <c r="P59"/>
  <c r="DN59"/>
  <c r="CT59"/>
  <c r="CX59"/>
  <c r="AZ59"/>
  <c r="AA59"/>
  <c r="BK59"/>
  <c r="AN59"/>
  <c r="DO59"/>
  <c r="X59"/>
  <c r="BR59"/>
  <c r="I59"/>
  <c r="AO59"/>
  <c r="BX59"/>
  <c r="BU59"/>
  <c r="AL59"/>
  <c r="AE59"/>
  <c r="BF59"/>
  <c r="CH59"/>
  <c r="DJ59"/>
  <c r="BQ59"/>
  <c r="AV59"/>
  <c r="V59"/>
  <c r="DF59"/>
  <c r="BH59"/>
  <c r="C59"/>
  <c r="BI20"/>
  <c r="DA20"/>
  <c r="CR20"/>
  <c r="DR20"/>
  <c r="BC20"/>
  <c r="N20"/>
  <c r="AR20"/>
  <c r="CW20"/>
  <c r="CA20"/>
  <c r="DK20"/>
  <c r="CE20"/>
  <c r="AL20"/>
  <c r="CD20"/>
  <c r="DU20"/>
  <c r="BV20"/>
  <c r="AB20"/>
  <c r="AF20"/>
  <c r="BU20"/>
  <c r="AC20"/>
  <c r="DQ20"/>
  <c r="CH20"/>
  <c r="DT20"/>
  <c r="CP20"/>
  <c r="BZ20"/>
  <c r="BY20"/>
  <c r="AV20"/>
  <c r="V20"/>
  <c r="DN20"/>
  <c r="BW20"/>
  <c r="CY20"/>
  <c r="W20"/>
  <c r="BN20"/>
  <c r="AO20"/>
  <c r="BS20"/>
  <c r="CC20"/>
  <c r="T20"/>
  <c r="I20"/>
  <c r="BM20"/>
  <c r="F20"/>
  <c r="L20"/>
  <c r="CB20"/>
  <c r="BP20"/>
  <c r="BR20"/>
  <c r="DP20"/>
  <c r="BJ20"/>
  <c r="AW20"/>
  <c r="DC20"/>
  <c r="CS20"/>
  <c r="Y20"/>
  <c r="BL20"/>
  <c r="AX20"/>
  <c r="CI20"/>
  <c r="AH20"/>
  <c r="DO20"/>
  <c r="G20"/>
  <c r="AJ20"/>
  <c r="DS20"/>
  <c r="DB20"/>
  <c r="CM20"/>
  <c r="CV20"/>
  <c r="CN20"/>
  <c r="BH20"/>
  <c r="CU20"/>
  <c r="BO20"/>
  <c r="AQ20"/>
  <c r="Q20"/>
  <c r="DE20"/>
  <c r="BA20"/>
  <c r="J20"/>
  <c r="AY20"/>
  <c r="DG20"/>
  <c r="DJ20"/>
  <c r="AN20"/>
  <c r="CJ20"/>
  <c r="X20"/>
  <c r="DV20"/>
  <c r="AP20"/>
  <c r="BX20"/>
  <c r="CG20"/>
  <c r="U20"/>
  <c r="AS20"/>
  <c r="CZ20"/>
  <c r="CT20"/>
  <c r="AE20"/>
  <c r="DL20"/>
  <c r="AG20"/>
  <c r="CX20"/>
  <c r="AI20"/>
  <c r="DD20"/>
  <c r="AM20"/>
  <c r="CO20"/>
  <c r="AU20"/>
  <c r="AK20"/>
  <c r="CQ20"/>
  <c r="AD20"/>
  <c r="BB20"/>
  <c r="DI20"/>
  <c r="S20"/>
  <c r="P20"/>
  <c r="BT20"/>
  <c r="BD20"/>
  <c r="AT20"/>
  <c r="K20"/>
  <c r="BF20"/>
  <c r="AA20"/>
  <c r="CK20"/>
  <c r="DF20"/>
  <c r="O20"/>
  <c r="BE20"/>
  <c r="BG20"/>
  <c r="E20"/>
  <c r="Z20"/>
  <c r="H20"/>
  <c r="DH20"/>
  <c r="R20"/>
  <c r="AZ20"/>
  <c r="BQ20"/>
  <c r="CL20"/>
  <c r="M20"/>
  <c r="BK20"/>
  <c r="DM20"/>
  <c r="CF20"/>
  <c r="C20"/>
  <c r="DG43"/>
  <c r="AC43"/>
  <c r="X43"/>
  <c r="BP43"/>
  <c r="BL43"/>
  <c r="G43"/>
  <c r="CU43"/>
  <c r="CA43"/>
  <c r="AL43"/>
  <c r="CW43"/>
  <c r="F43"/>
  <c r="AK43"/>
  <c r="Y43"/>
  <c r="CI43"/>
  <c r="BG43"/>
  <c r="BR43"/>
  <c r="CG43"/>
  <c r="O43"/>
  <c r="I43"/>
  <c r="U43"/>
  <c r="AN43"/>
  <c r="BW43"/>
  <c r="CT43"/>
  <c r="AZ43"/>
  <c r="W43"/>
  <c r="Q43"/>
  <c r="DT43"/>
  <c r="CE43"/>
  <c r="DN43"/>
  <c r="AO43"/>
  <c r="DQ43"/>
  <c r="CD43"/>
  <c r="DO43"/>
  <c r="BD43"/>
  <c r="AH43"/>
  <c r="BT43"/>
  <c r="AB43"/>
  <c r="CJ43"/>
  <c r="CQ43"/>
  <c r="BE43"/>
  <c r="AW43"/>
  <c r="CY43"/>
  <c r="CR43"/>
  <c r="BI43"/>
  <c r="AT43"/>
  <c r="BZ43"/>
  <c r="CN43"/>
  <c r="DA43"/>
  <c r="BU43"/>
  <c r="BH43"/>
  <c r="BS43"/>
  <c r="BJ43"/>
  <c r="DB43"/>
  <c r="CM43"/>
  <c r="DM43"/>
  <c r="BA43"/>
  <c r="CC43"/>
  <c r="AA43"/>
  <c r="N43"/>
  <c r="AX43"/>
  <c r="DJ43"/>
  <c r="Z43"/>
  <c r="L43"/>
  <c r="DF43"/>
  <c r="AS43"/>
  <c r="DR43"/>
  <c r="AE43"/>
  <c r="BM43"/>
  <c r="DE43"/>
  <c r="AP43"/>
  <c r="DU43"/>
  <c r="V43"/>
  <c r="K43"/>
  <c r="BQ43"/>
  <c r="CL43"/>
  <c r="S43"/>
  <c r="P43"/>
  <c r="BX43"/>
  <c r="CK43"/>
  <c r="M43"/>
  <c r="CV43"/>
  <c r="CS43"/>
  <c r="AY43"/>
  <c r="BO43"/>
  <c r="CX43"/>
  <c r="BK43"/>
  <c r="AM43"/>
  <c r="DP43"/>
  <c r="AV43"/>
  <c r="CP43"/>
  <c r="DI43"/>
  <c r="AF43"/>
  <c r="CF43"/>
  <c r="BF43"/>
  <c r="BB43"/>
  <c r="AQ43"/>
  <c r="AD43"/>
  <c r="DH43"/>
  <c r="CH43"/>
  <c r="DK43"/>
  <c r="DV43"/>
  <c r="AG43"/>
  <c r="BC43"/>
  <c r="BY43"/>
  <c r="J43"/>
  <c r="CB43"/>
  <c r="T43"/>
  <c r="DS43"/>
  <c r="DL43"/>
  <c r="AR43"/>
  <c r="DC43"/>
  <c r="DD43"/>
  <c r="BN43"/>
  <c r="AU43"/>
  <c r="E43"/>
  <c r="AI43"/>
  <c r="BV43"/>
  <c r="H43"/>
  <c r="R43"/>
  <c r="CZ43"/>
  <c r="CO43"/>
  <c r="AJ43"/>
  <c r="C43"/>
  <c r="AH68"/>
  <c r="AN68"/>
  <c r="DV68"/>
  <c r="AM68"/>
  <c r="DD68"/>
  <c r="AW68"/>
  <c r="L68"/>
  <c r="E68"/>
  <c r="CB68"/>
  <c r="P68"/>
  <c r="BF68"/>
  <c r="DM68"/>
  <c r="AC68"/>
  <c r="AB68"/>
  <c r="AF68"/>
  <c r="CH68"/>
  <c r="BY68"/>
  <c r="AG68"/>
  <c r="T68"/>
  <c r="AI68"/>
  <c r="AV68"/>
  <c r="CK68"/>
  <c r="AA68"/>
  <c r="CQ68"/>
  <c r="BS68"/>
  <c r="W68"/>
  <c r="BO68"/>
  <c r="CA68"/>
  <c r="AQ68"/>
  <c r="S68"/>
  <c r="BW68"/>
  <c r="CR68"/>
  <c r="CW68"/>
  <c r="CF68"/>
  <c r="BU68"/>
  <c r="AY68"/>
  <c r="BA68"/>
  <c r="BL68"/>
  <c r="DB68"/>
  <c r="AO68"/>
  <c r="BV68"/>
  <c r="BP68"/>
  <c r="Q68"/>
  <c r="DN68"/>
  <c r="BG68"/>
  <c r="AD68"/>
  <c r="O68"/>
  <c r="DL68"/>
  <c r="F68"/>
  <c r="BT68"/>
  <c r="X68"/>
  <c r="BH68"/>
  <c r="AT68"/>
  <c r="CZ68"/>
  <c r="DI68"/>
  <c r="CG68"/>
  <c r="DJ68"/>
  <c r="AZ68"/>
  <c r="DR68"/>
  <c r="BM68"/>
  <c r="AL68"/>
  <c r="BR68"/>
  <c r="CJ68"/>
  <c r="DA68"/>
  <c r="CX68"/>
  <c r="AS68"/>
  <c r="AU68"/>
  <c r="BI68"/>
  <c r="M68"/>
  <c r="DH68"/>
  <c r="DQ68"/>
  <c r="AR68"/>
  <c r="I68"/>
  <c r="CL68"/>
  <c r="J68"/>
  <c r="H68"/>
  <c r="DS68"/>
  <c r="CM68"/>
  <c r="DF68"/>
  <c r="CP68"/>
  <c r="BC68"/>
  <c r="DU68"/>
  <c r="CC68"/>
  <c r="DO68"/>
  <c r="DT68"/>
  <c r="N68"/>
  <c r="G68"/>
  <c r="R68"/>
  <c r="BJ68"/>
  <c r="AE68"/>
  <c r="BX68"/>
  <c r="DP68"/>
  <c r="BD68"/>
  <c r="CS68"/>
  <c r="CO68"/>
  <c r="K68"/>
  <c r="BB68"/>
  <c r="DK68"/>
  <c r="AP68"/>
  <c r="CU68"/>
  <c r="BK68"/>
  <c r="AK68"/>
  <c r="CT68"/>
  <c r="BZ68"/>
  <c r="V68"/>
  <c r="Z68"/>
  <c r="DG68"/>
  <c r="BN68"/>
  <c r="AJ68"/>
  <c r="CD68"/>
  <c r="CN68"/>
  <c r="AX68"/>
  <c r="CI68"/>
  <c r="CV68"/>
  <c r="CY68"/>
  <c r="DC68"/>
  <c r="Y68"/>
  <c r="U68"/>
  <c r="BQ68"/>
  <c r="BE68"/>
  <c r="DE68"/>
  <c r="CE68"/>
  <c r="C68"/>
  <c r="DM39"/>
  <c r="DH39"/>
  <c r="AJ39"/>
  <c r="BV39"/>
  <c r="BJ39"/>
  <c r="P39"/>
  <c r="AO39"/>
  <c r="U39"/>
  <c r="T39"/>
  <c r="E39"/>
  <c r="BC39"/>
  <c r="DL39"/>
  <c r="BK39"/>
  <c r="BZ39"/>
  <c r="DG39"/>
  <c r="BY39"/>
  <c r="AZ39"/>
  <c r="BG39"/>
  <c r="DU39"/>
  <c r="CH39"/>
  <c r="J39"/>
  <c r="N39"/>
  <c r="AG39"/>
  <c r="CL39"/>
  <c r="CM39"/>
  <c r="CC39"/>
  <c r="AH39"/>
  <c r="Q39"/>
  <c r="AL39"/>
  <c r="BA39"/>
  <c r="AY39"/>
  <c r="AI39"/>
  <c r="CJ39"/>
  <c r="BT39"/>
  <c r="BL39"/>
  <c r="I39"/>
  <c r="CQ39"/>
  <c r="DI39"/>
  <c r="CI39"/>
  <c r="L39"/>
  <c r="CV39"/>
  <c r="AX39"/>
  <c r="CE39"/>
  <c r="DO39"/>
  <c r="CB39"/>
  <c r="BH39"/>
  <c r="CF39"/>
  <c r="CT39"/>
  <c r="AP39"/>
  <c r="CW39"/>
  <c r="BS39"/>
  <c r="BE39"/>
  <c r="DF39"/>
  <c r="M39"/>
  <c r="CA39"/>
  <c r="BI39"/>
  <c r="DJ39"/>
  <c r="DR39"/>
  <c r="CP39"/>
  <c r="AB39"/>
  <c r="AE39"/>
  <c r="BU39"/>
  <c r="AN39"/>
  <c r="AV39"/>
  <c r="DV39"/>
  <c r="Z39"/>
  <c r="AR39"/>
  <c r="AK39"/>
  <c r="BD39"/>
  <c r="CX39"/>
  <c r="BQ39"/>
  <c r="BF39"/>
  <c r="Y39"/>
  <c r="F39"/>
  <c r="DD39"/>
  <c r="AT39"/>
  <c r="BW39"/>
  <c r="BP39"/>
  <c r="DK39"/>
  <c r="W39"/>
  <c r="AF39"/>
  <c r="AS39"/>
  <c r="BN39"/>
  <c r="DP39"/>
  <c r="BR39"/>
  <c r="CR39"/>
  <c r="DA39"/>
  <c r="CN39"/>
  <c r="DQ39"/>
  <c r="DS39"/>
  <c r="AM39"/>
  <c r="X39"/>
  <c r="DT39"/>
  <c r="BB39"/>
  <c r="CY39"/>
  <c r="AU39"/>
  <c r="CZ39"/>
  <c r="R39"/>
  <c r="BX39"/>
  <c r="DC39"/>
  <c r="DN39"/>
  <c r="BO39"/>
  <c r="BM39"/>
  <c r="CG39"/>
  <c r="CD39"/>
  <c r="AA39"/>
  <c r="AW39"/>
  <c r="O39"/>
  <c r="AQ39"/>
  <c r="K39"/>
  <c r="G39"/>
  <c r="V39"/>
  <c r="DB39"/>
  <c r="AC39"/>
  <c r="DE39"/>
  <c r="CU39"/>
  <c r="H39"/>
  <c r="CS39"/>
  <c r="S39"/>
  <c r="CO39"/>
  <c r="AD39"/>
  <c r="CK39"/>
  <c r="C39"/>
  <c r="CN69"/>
  <c r="AM69"/>
  <c r="CC69"/>
  <c r="BJ69"/>
  <c r="CI69"/>
  <c r="DO69"/>
  <c r="I69"/>
  <c r="CX69"/>
  <c r="L69"/>
  <c r="V69"/>
  <c r="CO69"/>
  <c r="AK69"/>
  <c r="DS69"/>
  <c r="AV69"/>
  <c r="CZ69"/>
  <c r="DV69"/>
  <c r="AQ69"/>
  <c r="U69"/>
  <c r="AF69"/>
  <c r="Y69"/>
  <c r="AT69"/>
  <c r="CE69"/>
  <c r="BN69"/>
  <c r="DK69"/>
  <c r="CY69"/>
  <c r="AB69"/>
  <c r="CA69"/>
  <c r="N69"/>
  <c r="BH69"/>
  <c r="BS69"/>
  <c r="BL69"/>
  <c r="DA69"/>
  <c r="BO69"/>
  <c r="CH69"/>
  <c r="CT69"/>
  <c r="AH69"/>
  <c r="DM69"/>
  <c r="AE69"/>
  <c r="BV69"/>
  <c r="CW69"/>
  <c r="M69"/>
  <c r="BI69"/>
  <c r="DN69"/>
  <c r="DU69"/>
  <c r="K69"/>
  <c r="DT69"/>
  <c r="AR69"/>
  <c r="X69"/>
  <c r="DG69"/>
  <c r="CB69"/>
  <c r="BU69"/>
  <c r="CF69"/>
  <c r="CP69"/>
  <c r="R69"/>
  <c r="AP69"/>
  <c r="BY69"/>
  <c r="AO69"/>
  <c r="AY69"/>
  <c r="BX69"/>
  <c r="Q69"/>
  <c r="CJ69"/>
  <c r="BK69"/>
  <c r="BE69"/>
  <c r="DJ69"/>
  <c r="CS69"/>
  <c r="BP69"/>
  <c r="AA69"/>
  <c r="CQ69"/>
  <c r="H69"/>
  <c r="BQ69"/>
  <c r="AX69"/>
  <c r="BM69"/>
  <c r="CD69"/>
  <c r="CK69"/>
  <c r="BC69"/>
  <c r="AL69"/>
  <c r="P69"/>
  <c r="CL69"/>
  <c r="AU69"/>
  <c r="F69"/>
  <c r="CM69"/>
  <c r="BB69"/>
  <c r="O69"/>
  <c r="DR69"/>
  <c r="BT69"/>
  <c r="BR69"/>
  <c r="BG69"/>
  <c r="AW69"/>
  <c r="AC69"/>
  <c r="DQ69"/>
  <c r="AD69"/>
  <c r="AS69"/>
  <c r="AN69"/>
  <c r="DL69"/>
  <c r="BA69"/>
  <c r="BW69"/>
  <c r="AI69"/>
  <c r="CV69"/>
  <c r="BD69"/>
  <c r="DH69"/>
  <c r="T69"/>
  <c r="W69"/>
  <c r="DD69"/>
  <c r="S69"/>
  <c r="DE69"/>
  <c r="DB69"/>
  <c r="BZ69"/>
  <c r="DP69"/>
  <c r="DC69"/>
  <c r="G69"/>
  <c r="J69"/>
  <c r="Z69"/>
  <c r="AZ69"/>
  <c r="CR69"/>
  <c r="DF69"/>
  <c r="BF69"/>
  <c r="CU69"/>
  <c r="DI69"/>
  <c r="AJ69"/>
  <c r="AG69"/>
  <c r="E69"/>
  <c r="CG69"/>
  <c r="C69"/>
  <c r="K28"/>
  <c r="DG28"/>
  <c r="BH28"/>
  <c r="CR28"/>
  <c r="BD28"/>
  <c r="X28"/>
  <c r="BW28"/>
  <c r="CY28"/>
  <c r="AK28"/>
  <c r="DE28"/>
  <c r="AQ28"/>
  <c r="BO28"/>
  <c r="CH28"/>
  <c r="CL28"/>
  <c r="BB28"/>
  <c r="AU28"/>
  <c r="F28"/>
  <c r="DO28"/>
  <c r="CC28"/>
  <c r="V28"/>
  <c r="DA28"/>
  <c r="S28"/>
  <c r="DT28"/>
  <c r="DS28"/>
  <c r="DJ28"/>
  <c r="DH28"/>
  <c r="AO28"/>
  <c r="CV28"/>
  <c r="BV28"/>
  <c r="CW28"/>
  <c r="AX28"/>
  <c r="AV28"/>
  <c r="DP28"/>
  <c r="AF28"/>
  <c r="CG28"/>
  <c r="L28"/>
  <c r="CQ28"/>
  <c r="DN28"/>
  <c r="Z28"/>
  <c r="CO28"/>
  <c r="AP28"/>
  <c r="BS28"/>
  <c r="AY28"/>
  <c r="DR28"/>
  <c r="DI28"/>
  <c r="Q28"/>
  <c r="M28"/>
  <c r="CD28"/>
  <c r="AH28"/>
  <c r="DM28"/>
  <c r="BQ28"/>
  <c r="AG28"/>
  <c r="P28"/>
  <c r="AB28"/>
  <c r="BM28"/>
  <c r="BA28"/>
  <c r="CU28"/>
  <c r="U28"/>
  <c r="DF28"/>
  <c r="T28"/>
  <c r="W28"/>
  <c r="BR28"/>
  <c r="CE28"/>
  <c r="CB28"/>
  <c r="AI28"/>
  <c r="BC28"/>
  <c r="CF28"/>
  <c r="AW28"/>
  <c r="I28"/>
  <c r="AL28"/>
  <c r="BU28"/>
  <c r="DL28"/>
  <c r="CI28"/>
  <c r="BG28"/>
  <c r="BJ28"/>
  <c r="CM28"/>
  <c r="AE28"/>
  <c r="Y28"/>
  <c r="DQ28"/>
  <c r="AS28"/>
  <c r="CZ28"/>
  <c r="BE28"/>
  <c r="DB28"/>
  <c r="N28"/>
  <c r="CS28"/>
  <c r="CJ28"/>
  <c r="CP28"/>
  <c r="AR28"/>
  <c r="DV28"/>
  <c r="O28"/>
  <c r="AM28"/>
  <c r="AJ28"/>
  <c r="CN28"/>
  <c r="CK28"/>
  <c r="BZ28"/>
  <c r="DD28"/>
  <c r="CA28"/>
  <c r="BL28"/>
  <c r="DK28"/>
  <c r="CT28"/>
  <c r="J28"/>
  <c r="BY28"/>
  <c r="AZ28"/>
  <c r="AA28"/>
  <c r="BI28"/>
  <c r="E28"/>
  <c r="BN28"/>
  <c r="AC28"/>
  <c r="R28"/>
  <c r="BP28"/>
  <c r="AT28"/>
  <c r="BT28"/>
  <c r="AN28"/>
  <c r="CX28"/>
  <c r="BX28"/>
  <c r="BK28"/>
  <c r="BF28"/>
  <c r="H28"/>
  <c r="G28"/>
  <c r="AD28"/>
  <c r="DC28"/>
  <c r="DU28"/>
  <c r="C28"/>
  <c r="AD37"/>
  <c r="AB37"/>
  <c r="AQ37"/>
  <c r="AR37"/>
  <c r="CW37"/>
  <c r="AI37"/>
  <c r="DT37"/>
  <c r="AE37"/>
  <c r="X37"/>
  <c r="BF37"/>
  <c r="BZ37"/>
  <c r="DA37"/>
  <c r="DS37"/>
  <c r="DR37"/>
  <c r="CB37"/>
  <c r="BK37"/>
  <c r="S37"/>
  <c r="CA37"/>
  <c r="AU37"/>
  <c r="CV37"/>
  <c r="Y37"/>
  <c r="Z37"/>
  <c r="CX37"/>
  <c r="BS37"/>
  <c r="BI37"/>
  <c r="BT37"/>
  <c r="AX37"/>
  <c r="DV37"/>
  <c r="CJ37"/>
  <c r="BP37"/>
  <c r="CK37"/>
  <c r="V37"/>
  <c r="I37"/>
  <c r="DC37"/>
  <c r="BY37"/>
  <c r="BN37"/>
  <c r="DN37"/>
  <c r="CL37"/>
  <c r="AY37"/>
  <c r="K37"/>
  <c r="BV37"/>
  <c r="DJ37"/>
  <c r="BW37"/>
  <c r="CC37"/>
  <c r="AA37"/>
  <c r="AJ37"/>
  <c r="BA37"/>
  <c r="AS37"/>
  <c r="CM37"/>
  <c r="CE37"/>
  <c r="CG37"/>
  <c r="CP37"/>
  <c r="BB37"/>
  <c r="AP37"/>
  <c r="CD37"/>
  <c r="T37"/>
  <c r="BX37"/>
  <c r="BC37"/>
  <c r="N37"/>
  <c r="J37"/>
  <c r="DD37"/>
  <c r="DQ37"/>
  <c r="R37"/>
  <c r="CZ37"/>
  <c r="BG37"/>
  <c r="AK37"/>
  <c r="CO37"/>
  <c r="AV37"/>
  <c r="CQ37"/>
  <c r="DK37"/>
  <c r="AM37"/>
  <c r="AO37"/>
  <c r="AL37"/>
  <c r="DE37"/>
  <c r="AC37"/>
  <c r="AG37"/>
  <c r="BM37"/>
  <c r="CS37"/>
  <c r="DU37"/>
  <c r="BR37"/>
  <c r="DO37"/>
  <c r="E37"/>
  <c r="BH37"/>
  <c r="BE37"/>
  <c r="BL37"/>
  <c r="P37"/>
  <c r="AH37"/>
  <c r="CR37"/>
  <c r="G37"/>
  <c r="AZ37"/>
  <c r="H37"/>
  <c r="AN37"/>
  <c r="DI37"/>
  <c r="CF37"/>
  <c r="AW37"/>
  <c r="W37"/>
  <c r="M37"/>
  <c r="BO37"/>
  <c r="DP37"/>
  <c r="BJ37"/>
  <c r="AF37"/>
  <c r="DF37"/>
  <c r="DB37"/>
  <c r="DM37"/>
  <c r="CU37"/>
  <c r="BD37"/>
  <c r="F37"/>
  <c r="DH37"/>
  <c r="CN37"/>
  <c r="CH37"/>
  <c r="DG37"/>
  <c r="O37"/>
  <c r="BQ37"/>
  <c r="AT37"/>
  <c r="U37"/>
  <c r="CT37"/>
  <c r="Q37"/>
  <c r="CY37"/>
  <c r="DL37"/>
  <c r="CI37"/>
  <c r="BU37"/>
  <c r="L37"/>
  <c r="C37"/>
  <c r="E71"/>
  <c r="DU71"/>
  <c r="CT71"/>
  <c r="CX71"/>
  <c r="DJ71"/>
  <c r="BD71"/>
  <c r="AM71"/>
  <c r="AR71"/>
  <c r="T71"/>
  <c r="R71"/>
  <c r="BN71"/>
  <c r="S71"/>
  <c r="AK71"/>
  <c r="J71"/>
  <c r="AP71"/>
  <c r="BL71"/>
  <c r="Y71"/>
  <c r="V71"/>
  <c r="CG71"/>
  <c r="BO71"/>
  <c r="DF71"/>
  <c r="AF71"/>
  <c r="CJ71"/>
  <c r="X71"/>
  <c r="CI71"/>
  <c r="AZ71"/>
  <c r="DM71"/>
  <c r="CO71"/>
  <c r="CL71"/>
  <c r="CQ71"/>
  <c r="N71"/>
  <c r="DB71"/>
  <c r="AH71"/>
  <c r="CV71"/>
  <c r="AS71"/>
  <c r="CN71"/>
  <c r="CP71"/>
  <c r="DO71"/>
  <c r="BM71"/>
  <c r="L71"/>
  <c r="BZ71"/>
  <c r="BJ71"/>
  <c r="DH71"/>
  <c r="BC71"/>
  <c r="DQ71"/>
  <c r="DD71"/>
  <c r="CD71"/>
  <c r="DS71"/>
  <c r="AU71"/>
  <c r="BU71"/>
  <c r="AB71"/>
  <c r="P71"/>
  <c r="AN71"/>
  <c r="CW71"/>
  <c r="DN71"/>
  <c r="CA71"/>
  <c r="G71"/>
  <c r="AL71"/>
  <c r="CM71"/>
  <c r="BB71"/>
  <c r="BQ71"/>
  <c r="DP71"/>
  <c r="F71"/>
  <c r="AQ71"/>
  <c r="BG71"/>
  <c r="BA71"/>
  <c r="CK71"/>
  <c r="DA71"/>
  <c r="AD71"/>
  <c r="CB71"/>
  <c r="M71"/>
  <c r="AG71"/>
  <c r="AT71"/>
  <c r="BH71"/>
  <c r="AX71"/>
  <c r="AV71"/>
  <c r="DK71"/>
  <c r="AO71"/>
  <c r="BY71"/>
  <c r="U71"/>
  <c r="BR71"/>
  <c r="BE71"/>
  <c r="DG71"/>
  <c r="O71"/>
  <c r="AI71"/>
  <c r="CU71"/>
  <c r="AE71"/>
  <c r="W71"/>
  <c r="BX71"/>
  <c r="CC71"/>
  <c r="CZ71"/>
  <c r="CS71"/>
  <c r="BF71"/>
  <c r="BT71"/>
  <c r="BW71"/>
  <c r="DV71"/>
  <c r="BP71"/>
  <c r="CY71"/>
  <c r="AC71"/>
  <c r="CR71"/>
  <c r="K71"/>
  <c r="CE71"/>
  <c r="AJ71"/>
  <c r="DE71"/>
  <c r="CF71"/>
  <c r="H71"/>
  <c r="DT71"/>
  <c r="BI71"/>
  <c r="DL71"/>
  <c r="DC71"/>
  <c r="BK71"/>
  <c r="DR71"/>
  <c r="AY71"/>
  <c r="BV71"/>
  <c r="BS71"/>
  <c r="AW71"/>
  <c r="CH71"/>
  <c r="DI71"/>
  <c r="Q71"/>
  <c r="I71"/>
  <c r="Z71"/>
  <c r="AA71"/>
  <c r="C71"/>
  <c r="FF674"/>
  <c r="FJ674"/>
  <c r="FF2487"/>
  <c r="FJ2487"/>
  <c r="FJ1876"/>
  <c r="FF1876"/>
  <c r="FJ2339"/>
  <c r="FF2339"/>
  <c r="FJ1970"/>
  <c r="FF1970"/>
  <c r="FF1500"/>
  <c r="FJ1500"/>
  <c r="FJ1392"/>
  <c r="FF1392"/>
  <c r="FF1951"/>
  <c r="FJ1951"/>
  <c r="FJ762"/>
  <c r="FF762"/>
  <c r="FF802"/>
  <c r="FJ802"/>
  <c r="FJ1078"/>
  <c r="FF1078"/>
  <c r="FJ719"/>
  <c r="FF719"/>
  <c r="FJ2256"/>
  <c r="FF2256"/>
  <c r="FF755"/>
  <c r="FJ755"/>
  <c r="FF1709"/>
  <c r="FJ1709"/>
  <c r="FJ2361"/>
  <c r="FF2361"/>
  <c r="FF392"/>
  <c r="FF573"/>
  <c r="FJ573"/>
  <c r="FJ2068"/>
  <c r="FF2068"/>
  <c r="FJ2103"/>
  <c r="FF2103"/>
  <c r="FF463"/>
  <c r="FF2208"/>
  <c r="FJ2208"/>
  <c r="FF815"/>
  <c r="FJ815"/>
  <c r="FJ681"/>
  <c r="FF681"/>
  <c r="FF1372"/>
  <c r="FJ1372"/>
  <c r="FJ741"/>
  <c r="FF741"/>
  <c r="FJ525"/>
  <c r="FF525"/>
  <c r="FF1770"/>
  <c r="FJ1770"/>
  <c r="FF2037"/>
  <c r="FJ2037"/>
  <c r="FJ724"/>
  <c r="FF724"/>
  <c r="FF1673"/>
  <c r="FJ1673"/>
  <c r="FF2254"/>
  <c r="FJ2254"/>
  <c r="FF1585"/>
  <c r="FJ1585"/>
  <c r="FF1048"/>
  <c r="FJ1048"/>
  <c r="FF379"/>
  <c r="FF835"/>
  <c r="FJ835"/>
  <c r="FF684"/>
  <c r="FJ684"/>
  <c r="FF1005"/>
  <c r="FJ1005"/>
  <c r="FF668"/>
  <c r="FJ668"/>
  <c r="FF1728"/>
  <c r="FJ1728"/>
  <c r="FJ550"/>
  <c r="FF550"/>
  <c r="FF2403"/>
  <c r="FJ2403"/>
  <c r="FF1143"/>
  <c r="FJ1143"/>
  <c r="FF1533"/>
  <c r="FJ1533"/>
  <c r="FF597"/>
  <c r="FJ597"/>
  <c r="FJ1800"/>
  <c r="FF1800"/>
  <c r="FF1404"/>
  <c r="FJ1404"/>
  <c r="FJ1567"/>
  <c r="FF1567"/>
  <c r="FF705"/>
  <c r="FJ705"/>
  <c r="FF454"/>
  <c r="FF2024"/>
  <c r="FJ2024"/>
  <c r="FJ699"/>
  <c r="FF699"/>
  <c r="FF654"/>
  <c r="FJ654"/>
  <c r="FJ2358"/>
  <c r="FF2358"/>
  <c r="FF1823"/>
  <c r="FJ1823"/>
  <c r="FJ1900"/>
  <c r="FF1900"/>
  <c r="FF1042"/>
  <c r="FJ1042"/>
  <c r="FJ1269"/>
  <c r="FF1269"/>
  <c r="FF1932"/>
  <c r="FJ1932"/>
  <c r="FF2442"/>
  <c r="FJ2442"/>
  <c r="FJ1697"/>
  <c r="FF1697"/>
  <c r="FJ2163"/>
  <c r="FF2163"/>
  <c r="FF2364"/>
  <c r="FJ2364"/>
  <c r="FJ972"/>
  <c r="FF972"/>
  <c r="FF2242"/>
  <c r="FJ2242"/>
  <c r="FJ1992"/>
  <c r="FF1992"/>
  <c r="FF1134"/>
  <c r="FJ1134"/>
  <c r="FJ2373"/>
  <c r="FF2373"/>
  <c r="FJ703"/>
  <c r="FF703"/>
  <c r="FJ1832"/>
  <c r="FF1832"/>
  <c r="FF1514"/>
  <c r="FJ1514"/>
  <c r="FJ565"/>
  <c r="FF565"/>
  <c r="FJ2192"/>
  <c r="FF2192"/>
  <c r="FF1276"/>
  <c r="FJ1276"/>
  <c r="FF2289"/>
  <c r="FJ2289"/>
  <c r="FF843"/>
  <c r="FJ843"/>
  <c r="FF1298"/>
  <c r="FJ1298"/>
  <c r="FF2225"/>
  <c r="FJ2225"/>
  <c r="FF929"/>
  <c r="FJ929"/>
  <c r="FJ2072"/>
  <c r="FF2072"/>
  <c r="FJ2201"/>
  <c r="FF2201"/>
  <c r="FJ2297"/>
  <c r="FF2297"/>
  <c r="FF450"/>
  <c r="FF1887"/>
  <c r="FJ1887"/>
  <c r="FJ1195"/>
  <c r="FF1195"/>
  <c r="FF1131"/>
  <c r="FJ1131"/>
  <c r="FF1847"/>
  <c r="FJ1847"/>
  <c r="FF1023"/>
  <c r="FJ1023"/>
  <c r="FJ823"/>
  <c r="FF823"/>
  <c r="FF2396"/>
  <c r="FJ2396"/>
  <c r="FJ1557"/>
  <c r="FF1557"/>
  <c r="FF1508"/>
  <c r="FJ1508"/>
  <c r="FJ616"/>
  <c r="FF616"/>
  <c r="FF1389"/>
  <c r="FJ1389"/>
  <c r="FF1505"/>
  <c r="FJ1505"/>
  <c r="FF1489"/>
  <c r="FJ1489"/>
  <c r="FJ590"/>
  <c r="FF590"/>
  <c r="FJ1851"/>
  <c r="FF1851"/>
  <c r="FJ2136"/>
  <c r="FF2136"/>
  <c r="FF1302"/>
  <c r="FJ1302"/>
  <c r="FF1691"/>
  <c r="FJ1691"/>
  <c r="FJ1208"/>
  <c r="FF1208"/>
  <c r="FJ1213"/>
  <c r="FF1213"/>
  <c r="FF839"/>
  <c r="FJ839"/>
  <c r="FF704"/>
  <c r="FJ704"/>
  <c r="FF2049"/>
  <c r="FJ2049"/>
  <c r="FJ1015"/>
  <c r="FF1015"/>
  <c r="FJ1502"/>
  <c r="FF1502"/>
  <c r="FF2295"/>
  <c r="FJ2295"/>
  <c r="FF1657"/>
  <c r="FJ1657"/>
  <c r="FF1300"/>
  <c r="FJ1300"/>
  <c r="FJ1866"/>
  <c r="FF1866"/>
  <c r="FF2381"/>
  <c r="FJ2381"/>
  <c r="FJ2147"/>
  <c r="FF2147"/>
  <c r="FF968"/>
  <c r="FJ968"/>
  <c r="FJ2307"/>
  <c r="FF2307"/>
  <c r="FJ2340"/>
  <c r="FF2340"/>
  <c r="FF1672"/>
  <c r="FJ1672"/>
  <c r="FJ1817"/>
  <c r="FF1817"/>
  <c r="FF2110"/>
  <c r="FJ2110"/>
  <c r="FF2235"/>
  <c r="FJ2235"/>
  <c r="FF675"/>
  <c r="FJ675"/>
  <c r="FF1376"/>
  <c r="FJ1376"/>
  <c r="FF2311"/>
  <c r="FJ2311"/>
  <c r="FJ1108"/>
  <c r="FF1108"/>
  <c r="FF570"/>
  <c r="FJ570"/>
  <c r="FF1706"/>
  <c r="FJ1706"/>
  <c r="FJ2387"/>
  <c r="FF2387"/>
  <c r="FF2039"/>
  <c r="FJ2039"/>
  <c r="FJ2331"/>
  <c r="FF2331"/>
  <c r="FJ1833"/>
  <c r="FF1833"/>
  <c r="FF2484"/>
  <c r="FJ2484"/>
  <c r="FF979"/>
  <c r="FJ979"/>
  <c r="FJ1977"/>
  <c r="FF1977"/>
  <c r="FJ611"/>
  <c r="FF611"/>
  <c r="FF1146"/>
  <c r="FJ1146"/>
  <c r="FJ1103"/>
  <c r="FF1103"/>
  <c r="FJ2219"/>
  <c r="FF2219"/>
  <c r="FF1322"/>
  <c r="FJ1322"/>
  <c r="FJ837"/>
  <c r="FF837"/>
  <c r="FF435"/>
  <c r="FJ1683"/>
  <c r="FF1683"/>
  <c r="FF1618"/>
  <c r="FJ1618"/>
  <c r="FJ1065"/>
  <c r="FF1065"/>
  <c r="FJ2114"/>
  <c r="FF2114"/>
  <c r="FF2236"/>
  <c r="FJ2236"/>
  <c r="FJ1570"/>
  <c r="FF1570"/>
  <c r="FF494"/>
  <c r="FJ494"/>
  <c r="FJ1730"/>
  <c r="FF1730"/>
  <c r="FF993"/>
  <c r="FJ993"/>
  <c r="FJ935"/>
  <c r="FF935"/>
  <c r="FF1153"/>
  <c r="FJ1153"/>
  <c r="FF1266"/>
  <c r="FJ1266"/>
  <c r="FF1996"/>
  <c r="FJ1996"/>
  <c r="FF2319"/>
  <c r="FJ2319"/>
  <c r="FF2324"/>
  <c r="FJ2324"/>
  <c r="FJ1152"/>
  <c r="FF1152"/>
  <c r="FJ1244"/>
  <c r="FF1244"/>
  <c r="FF447"/>
  <c r="FJ2122"/>
  <c r="FF2122"/>
  <c r="FF1316"/>
  <c r="FJ1316"/>
  <c r="FF2180"/>
  <c r="FJ2180"/>
  <c r="FJ2398"/>
  <c r="FF2398"/>
  <c r="FF2000"/>
  <c r="FJ2000"/>
  <c r="FF467"/>
  <c r="FJ1695"/>
  <c r="FF1695"/>
  <c r="FJ1531"/>
  <c r="FF1531"/>
  <c r="FF893"/>
  <c r="FJ893"/>
  <c r="FF2314"/>
  <c r="FJ2314"/>
  <c r="FJ2422"/>
  <c r="FF2422"/>
  <c r="FF2301"/>
  <c r="FJ2301"/>
  <c r="FF1948"/>
  <c r="FJ1948"/>
  <c r="FF1978"/>
  <c r="FJ1978"/>
  <c r="FF1974"/>
  <c r="FJ1974"/>
  <c r="FJ1444"/>
  <c r="FF1444"/>
  <c r="FJ957"/>
  <c r="FF957"/>
  <c r="FF697"/>
  <c r="FJ697"/>
  <c r="FF1243"/>
  <c r="FJ1243"/>
  <c r="FJ1982"/>
  <c r="FF1982"/>
  <c r="FJ1387"/>
  <c r="FF1387"/>
  <c r="FF1359"/>
  <c r="FJ1359"/>
  <c r="FJ746"/>
  <c r="FF746"/>
  <c r="FF868"/>
  <c r="FJ868"/>
  <c r="FJ1443"/>
  <c r="FF1443"/>
  <c r="FJ785"/>
  <c r="FF785"/>
  <c r="FJ2294"/>
  <c r="FF2294"/>
  <c r="FJ1401"/>
  <c r="FF1401"/>
  <c r="FJ520"/>
  <c r="FF520"/>
  <c r="FF1473"/>
  <c r="FJ1473"/>
  <c r="FF1662"/>
  <c r="FJ1662"/>
  <c r="FF1268"/>
  <c r="FJ1268"/>
  <c r="FF1513"/>
  <c r="FJ1513"/>
  <c r="FF2404"/>
  <c r="FJ2404"/>
  <c r="FF609"/>
  <c r="FJ609"/>
  <c r="FJ516"/>
  <c r="FF516"/>
  <c r="FJ1277"/>
  <c r="FF1277"/>
  <c r="FJ1123"/>
  <c r="FF1123"/>
  <c r="FF2388"/>
  <c r="FJ2388"/>
  <c r="FF936"/>
  <c r="FJ936"/>
  <c r="FF1278"/>
  <c r="FJ1278"/>
  <c r="FF1955"/>
  <c r="FJ1955"/>
  <c r="FF1699"/>
  <c r="FJ1699"/>
  <c r="FJ1336"/>
  <c r="FF1336"/>
  <c r="FJ1054"/>
  <c r="FF1054"/>
  <c r="FJ2457"/>
  <c r="FF2457"/>
  <c r="FJ1425"/>
  <c r="FF1425"/>
  <c r="FF1919"/>
  <c r="FJ1919"/>
  <c r="FF1282"/>
  <c r="FJ1282"/>
  <c r="FJ1477"/>
  <c r="FF1477"/>
  <c r="FJ1722"/>
  <c r="FF1722"/>
  <c r="FF2119"/>
  <c r="FJ2119"/>
  <c r="FJ867"/>
  <c r="FF867"/>
  <c r="FF1497"/>
  <c r="FJ1497"/>
  <c r="FF1745"/>
  <c r="FJ1745"/>
  <c r="FF433"/>
  <c r="FJ995"/>
  <c r="FF995"/>
  <c r="FJ1707"/>
  <c r="FF1707"/>
  <c r="FJ2112"/>
  <c r="FF2112"/>
  <c r="FJ628"/>
  <c r="FF628"/>
  <c r="FJ655"/>
  <c r="FF655"/>
  <c r="FF1414"/>
  <c r="FJ1414"/>
  <c r="FJ2173"/>
  <c r="FF2173"/>
  <c r="FF1952"/>
  <c r="FJ1952"/>
  <c r="FF1237"/>
  <c r="FJ1237"/>
  <c r="FF1693"/>
  <c r="FJ1693"/>
  <c r="FJ1726"/>
  <c r="FF1726"/>
  <c r="FJ1661"/>
  <c r="FF1661"/>
  <c r="FF2269"/>
  <c r="FJ2269"/>
  <c r="FF726"/>
  <c r="FJ726"/>
  <c r="FF2067"/>
  <c r="FJ2067"/>
  <c r="FJ1081"/>
  <c r="FF1081"/>
  <c r="FF618"/>
  <c r="FJ618"/>
  <c r="FF1927"/>
  <c r="FJ1927"/>
  <c r="FF1100"/>
  <c r="FJ1100"/>
  <c r="FF639"/>
  <c r="FJ639"/>
  <c r="FF2018"/>
  <c r="FJ2018"/>
  <c r="FJ711"/>
  <c r="FF711"/>
  <c r="FF1554"/>
  <c r="FJ1554"/>
  <c r="FF430"/>
  <c r="FF1829"/>
  <c r="FJ1829"/>
  <c r="FF1569"/>
  <c r="FJ1569"/>
  <c r="FF645"/>
  <c r="FJ645"/>
  <c r="FF2036"/>
  <c r="FJ2036"/>
  <c r="FJ497"/>
  <c r="FF497"/>
  <c r="FJ1420"/>
  <c r="FF1420"/>
  <c r="FF1332"/>
  <c r="FJ1332"/>
  <c r="FJ502"/>
  <c r="FF502"/>
  <c r="FJ2309"/>
  <c r="FF2309"/>
  <c r="FF701"/>
  <c r="FJ701"/>
  <c r="FJ803"/>
  <c r="FF803"/>
  <c r="FF2064"/>
  <c r="FJ2064"/>
  <c r="FJ827"/>
  <c r="FF827"/>
  <c r="FJ2284"/>
  <c r="FF2284"/>
  <c r="FF2094"/>
  <c r="FJ2094"/>
  <c r="FJ2063"/>
  <c r="FF2063"/>
  <c r="FF950"/>
  <c r="FJ950"/>
  <c r="FF1581"/>
  <c r="FJ1581"/>
  <c r="FJ1588"/>
  <c r="FF1588"/>
  <c r="FF949"/>
  <c r="FJ949"/>
  <c r="FJ988"/>
  <c r="FF988"/>
  <c r="FJ585"/>
  <c r="FF585"/>
  <c r="FF2164"/>
  <c r="FJ2164"/>
  <c r="FF2342"/>
  <c r="FJ2342"/>
  <c r="FJ1011"/>
  <c r="FF1011"/>
  <c r="FJ1818"/>
  <c r="FF1818"/>
  <c r="FF432"/>
  <c r="FF983"/>
  <c r="FJ983"/>
  <c r="FJ1089"/>
  <c r="FF1089"/>
  <c r="FF1555"/>
  <c r="FJ1555"/>
  <c r="FF2047"/>
  <c r="FJ2047"/>
  <c r="FJ1973"/>
  <c r="FF1973"/>
  <c r="FJ488"/>
  <c r="FF488"/>
  <c r="FJ767"/>
  <c r="FF767"/>
  <c r="FJ1028"/>
  <c r="FF1028"/>
  <c r="FJ1281"/>
  <c r="FF1281"/>
  <c r="FF1325"/>
  <c r="FJ1325"/>
  <c r="FF1161"/>
  <c r="FJ1161"/>
  <c r="FJ911"/>
  <c r="FF911"/>
  <c r="FJ2444"/>
  <c r="FF2444"/>
  <c r="FJ2134"/>
  <c r="FF2134"/>
  <c r="FJ1959"/>
  <c r="FF1959"/>
  <c r="FF1107"/>
  <c r="FJ1107"/>
  <c r="FJ2197"/>
  <c r="FF2197"/>
  <c r="FJ1979"/>
  <c r="FF1979"/>
  <c r="FJ1286"/>
  <c r="FF1286"/>
  <c r="FF441"/>
  <c r="FF672"/>
  <c r="FJ672"/>
  <c r="FJ918"/>
  <c r="FF918"/>
  <c r="FJ537"/>
  <c r="FF537"/>
  <c r="FF1086"/>
  <c r="FJ1086"/>
  <c r="FF483"/>
  <c r="FF894"/>
  <c r="FJ894"/>
  <c r="FJ1177"/>
  <c r="FF1177"/>
  <c r="FF797"/>
  <c r="FJ797"/>
  <c r="FJ2470"/>
  <c r="FF2470"/>
  <c r="FF1150"/>
  <c r="FJ1150"/>
  <c r="FJ1348"/>
  <c r="FF1348"/>
  <c r="FF2380"/>
  <c r="FJ2380"/>
  <c r="FJ1059"/>
  <c r="FF1059"/>
  <c r="FJ1744"/>
  <c r="FF1744"/>
  <c r="FJ913"/>
  <c r="FF913"/>
  <c r="FF1371"/>
  <c r="FJ1371"/>
  <c r="FJ728"/>
  <c r="FF728"/>
  <c r="FJ1509"/>
  <c r="FF1509"/>
  <c r="FJ2377"/>
  <c r="FF2377"/>
  <c r="FF457"/>
  <c r="FJ1652"/>
  <c r="FF1652"/>
  <c r="FJ1290"/>
  <c r="FF1290"/>
  <c r="FF2089"/>
  <c r="FJ2089"/>
  <c r="FF1536"/>
  <c r="FJ1536"/>
  <c r="FJ1921"/>
  <c r="FF1921"/>
  <c r="FJ898"/>
  <c r="FF898"/>
  <c r="FF899"/>
  <c r="FJ899"/>
  <c r="FJ1370"/>
  <c r="FF1370"/>
  <c r="FF1622"/>
  <c r="FJ1622"/>
  <c r="FJ987"/>
  <c r="FF987"/>
  <c r="FJ2234"/>
  <c r="FF2234"/>
  <c r="FJ2074"/>
  <c r="FF2074"/>
  <c r="FF819"/>
  <c r="FJ819"/>
  <c r="FF648"/>
  <c r="FJ648"/>
  <c r="FJ1095"/>
  <c r="FF1095"/>
  <c r="FF1791"/>
  <c r="FJ1791"/>
  <c r="FJ2455"/>
  <c r="FF2455"/>
  <c r="FJ1120"/>
  <c r="FF1120"/>
  <c r="FF1941"/>
  <c r="FJ1941"/>
  <c r="FJ1009"/>
  <c r="FF1009"/>
  <c r="FF2382"/>
  <c r="FJ2382"/>
  <c r="FJ772"/>
  <c r="FF772"/>
  <c r="FF1964"/>
  <c r="FJ1964"/>
  <c r="FJ1703"/>
  <c r="FF1703"/>
  <c r="FJ2010"/>
  <c r="FF2010"/>
  <c r="FJ553"/>
  <c r="FF553"/>
  <c r="FF1547"/>
  <c r="FJ1547"/>
  <c r="FF2233"/>
  <c r="FJ2233"/>
  <c r="FJ2466"/>
  <c r="FF2466"/>
  <c r="FJ1069"/>
  <c r="FF1069"/>
  <c r="FF845"/>
  <c r="FJ845"/>
  <c r="FJ1461"/>
  <c r="FF1461"/>
  <c r="FF2276"/>
  <c r="FJ2276"/>
  <c r="FJ753"/>
  <c r="FF753"/>
  <c r="FF1476"/>
  <c r="FJ1476"/>
  <c r="FJ997"/>
  <c r="FF997"/>
  <c r="FJ1877"/>
  <c r="FF1877"/>
  <c r="FF1171"/>
  <c r="FJ1171"/>
  <c r="FJ1239"/>
  <c r="FF1239"/>
  <c r="FJ1724"/>
  <c r="FF1724"/>
  <c r="FF2015"/>
  <c r="FJ2015"/>
  <c r="FF657"/>
  <c r="FJ657"/>
  <c r="FJ2182"/>
  <c r="FF2182"/>
  <c r="FF996"/>
  <c r="FJ996"/>
  <c r="FJ664"/>
  <c r="FF664"/>
  <c r="FF1956"/>
  <c r="FJ1956"/>
  <c r="FF1653"/>
  <c r="FJ1653"/>
  <c r="FJ1659"/>
  <c r="FF1659"/>
  <c r="FJ1488"/>
  <c r="FF1488"/>
  <c r="FJ1288"/>
  <c r="FF1288"/>
  <c r="FJ1820"/>
  <c r="FF1820"/>
  <c r="FJ2052"/>
  <c r="FF2052"/>
  <c r="FF932"/>
  <c r="FJ932"/>
  <c r="FJ1789"/>
  <c r="FF1789"/>
  <c r="FF1187"/>
  <c r="FJ1187"/>
  <c r="FJ1364"/>
  <c r="FF1364"/>
  <c r="FF2107"/>
  <c r="FJ2107"/>
  <c r="FF2287"/>
  <c r="FJ2287"/>
  <c r="FJ1660"/>
  <c r="FF1660"/>
  <c r="FF1452"/>
  <c r="FJ1452"/>
  <c r="FF2496"/>
  <c r="FJ2496"/>
  <c r="FJ2349"/>
  <c r="FF2349"/>
  <c r="FJ853"/>
  <c r="FF853"/>
  <c r="FF791"/>
  <c r="FJ791"/>
  <c r="FJ1950"/>
  <c r="FF1950"/>
  <c r="FF2011"/>
  <c r="FJ2011"/>
  <c r="FF492"/>
  <c r="FJ492"/>
  <c r="FJ2436"/>
  <c r="FF2436"/>
  <c r="FF939"/>
  <c r="FJ939"/>
  <c r="FJ1692"/>
  <c r="FF1692"/>
  <c r="FJ1360"/>
  <c r="FF1360"/>
  <c r="FJ2087"/>
  <c r="FF2087"/>
  <c r="FJ1429"/>
  <c r="FF1429"/>
  <c r="FJ1690"/>
  <c r="FF1690"/>
  <c r="FF1984"/>
  <c r="FJ1984"/>
  <c r="FJ732"/>
  <c r="FF732"/>
  <c r="FJ2212"/>
  <c r="FF2212"/>
  <c r="FJ1439"/>
  <c r="FF1439"/>
  <c r="FF816"/>
  <c r="FJ816"/>
  <c r="FF727"/>
  <c r="FJ727"/>
  <c r="FF1149"/>
  <c r="FJ1149"/>
  <c r="FF2286"/>
  <c r="FJ2286"/>
  <c r="FJ798"/>
  <c r="FF798"/>
  <c r="FF2057"/>
  <c r="FJ2057"/>
  <c r="FF1186"/>
  <c r="FJ1186"/>
  <c r="FF2476"/>
  <c r="FJ2476"/>
  <c r="FF417"/>
  <c r="FF493"/>
  <c r="FJ493"/>
  <c r="FF2283"/>
  <c r="FJ2283"/>
  <c r="FJ1394"/>
  <c r="FF1394"/>
  <c r="FJ1586"/>
  <c r="FF1586"/>
  <c r="FJ2265"/>
  <c r="FF2265"/>
  <c r="FJ2215"/>
  <c r="FF2215"/>
  <c r="FJ752"/>
  <c r="FF752"/>
  <c r="FJ2080"/>
  <c r="FF2080"/>
  <c r="FF2359"/>
  <c r="FJ2359"/>
  <c r="FF928"/>
  <c r="FJ928"/>
  <c r="FJ900"/>
  <c r="FF900"/>
  <c r="FJ784"/>
  <c r="FF784"/>
  <c r="FF805"/>
  <c r="FJ805"/>
  <c r="FJ2332"/>
  <c r="FF2332"/>
  <c r="FF2031"/>
  <c r="FJ2031"/>
  <c r="FJ1511"/>
  <c r="FF1511"/>
  <c r="FF1529"/>
  <c r="FJ1529"/>
  <c r="FF464"/>
  <c r="FF1033"/>
  <c r="FJ1033"/>
  <c r="FF906"/>
  <c r="FJ906"/>
  <c r="FF468"/>
  <c r="FF404"/>
  <c r="FJ930"/>
  <c r="FF930"/>
  <c r="FJ568"/>
  <c r="FF568"/>
  <c r="FF2066"/>
  <c r="FJ2066"/>
  <c r="FJ2230"/>
  <c r="FF2230"/>
  <c r="FJ1827"/>
  <c r="FF1827"/>
  <c r="FF1313"/>
  <c r="FJ1313"/>
  <c r="FF1582"/>
  <c r="FJ1582"/>
  <c r="FJ1685"/>
  <c r="FF1685"/>
  <c r="FJ1658"/>
  <c r="FF1658"/>
  <c r="FF710"/>
  <c r="FJ710"/>
  <c r="FF1625"/>
  <c r="FJ1625"/>
  <c r="FJ1736"/>
  <c r="FF1736"/>
  <c r="FF1723"/>
  <c r="FJ1723"/>
  <c r="FF641"/>
  <c r="FJ641"/>
  <c r="FF2471"/>
  <c r="FJ2471"/>
  <c r="FF1682"/>
  <c r="FJ1682"/>
  <c r="FF592"/>
  <c r="FJ592"/>
  <c r="FJ842"/>
  <c r="FF842"/>
  <c r="FF2220"/>
  <c r="FJ2220"/>
  <c r="FJ1836"/>
  <c r="FF1836"/>
  <c r="FF1254"/>
  <c r="FJ1254"/>
  <c r="FF1752"/>
  <c r="FJ1752"/>
  <c r="FF1597"/>
  <c r="FJ1597"/>
  <c r="FJ812"/>
  <c r="FF812"/>
  <c r="FJ1687"/>
  <c r="FF1687"/>
  <c r="FJ1712"/>
  <c r="FF1712"/>
  <c r="FJ787"/>
  <c r="FF787"/>
  <c r="FJ1787"/>
  <c r="FF1787"/>
  <c r="FJ2488"/>
  <c r="FF2488"/>
  <c r="FJ2316"/>
  <c r="FF2316"/>
  <c r="FJ1565"/>
  <c r="FF1565"/>
  <c r="FJ2383"/>
  <c r="FF2383"/>
  <c r="FJ1221"/>
  <c r="FF1221"/>
  <c r="FF766"/>
  <c r="FJ766"/>
  <c r="FF2141"/>
  <c r="FJ2141"/>
  <c r="FJ631"/>
  <c r="FF631"/>
  <c r="FJ1519"/>
  <c r="FF1519"/>
  <c r="FJ2005"/>
  <c r="FF2005"/>
  <c r="FF1437"/>
  <c r="FJ1437"/>
  <c r="FJ2280"/>
  <c r="FF2280"/>
  <c r="FJ765"/>
  <c r="FF765"/>
  <c r="FF856"/>
  <c r="FJ856"/>
  <c r="FJ2127"/>
  <c r="FF2127"/>
  <c r="FF2075"/>
  <c r="FJ2075"/>
  <c r="FF1351"/>
  <c r="FJ1351"/>
  <c r="FJ1574"/>
  <c r="FF1574"/>
  <c r="FJ1495"/>
  <c r="FF1495"/>
  <c r="FJ2062"/>
  <c r="FF2062"/>
  <c r="FJ1733"/>
  <c r="FF1733"/>
  <c r="FF1311"/>
  <c r="FJ1311"/>
  <c r="FJ794"/>
  <c r="FF794"/>
  <c r="FF1200"/>
  <c r="FJ1200"/>
  <c r="FJ836"/>
  <c r="FF836"/>
  <c r="FJ1326"/>
  <c r="FF1326"/>
  <c r="FF2270"/>
  <c r="FJ2270"/>
  <c r="FF1630"/>
  <c r="FJ1630"/>
  <c r="FJ963"/>
  <c r="FF963"/>
  <c r="FF2468"/>
  <c r="FJ2468"/>
  <c r="FJ1549"/>
  <c r="FF1549"/>
  <c r="FJ1545"/>
  <c r="FF1545"/>
  <c r="FJ1004"/>
  <c r="FF1004"/>
  <c r="FF943"/>
  <c r="FJ943"/>
  <c r="FJ1240"/>
  <c r="FF1240"/>
  <c r="FF2117"/>
  <c r="FJ2117"/>
  <c r="FF2058"/>
  <c r="FJ2058"/>
  <c r="FJ2312"/>
  <c r="FF2312"/>
  <c r="FJ748"/>
  <c r="FF748"/>
  <c r="FF440"/>
  <c r="FF2439"/>
  <c r="FJ2439"/>
  <c r="FJ1052"/>
  <c r="FF1052"/>
  <c r="FJ1185"/>
  <c r="FF1185"/>
  <c r="FJ2480"/>
  <c r="FF2480"/>
  <c r="FF2414"/>
  <c r="FJ2414"/>
  <c r="FJ1868"/>
  <c r="FF1868"/>
  <c r="FJ2410"/>
  <c r="FF2410"/>
  <c r="FJ847"/>
  <c r="FF847"/>
  <c r="FF2320"/>
  <c r="FJ2320"/>
  <c r="FF944"/>
  <c r="FJ944"/>
  <c r="FF1125"/>
  <c r="FJ1125"/>
  <c r="FF2076"/>
  <c r="FJ2076"/>
  <c r="FF1156"/>
  <c r="FJ1156"/>
  <c r="FJ2198"/>
  <c r="FF2198"/>
  <c r="FF1215"/>
  <c r="FJ1215"/>
  <c r="FJ540"/>
  <c r="FF540"/>
  <c r="FJ770"/>
  <c r="FF770"/>
  <c r="FJ2485"/>
  <c r="FF2485"/>
  <c r="FJ2161"/>
  <c r="FF2161"/>
  <c r="FJ2030"/>
  <c r="FF2030"/>
  <c r="FF2246"/>
  <c r="FJ2246"/>
  <c r="FJ888"/>
  <c r="FF888"/>
  <c r="FF2248"/>
  <c r="FJ2248"/>
  <c r="FF2318"/>
  <c r="FJ2318"/>
  <c r="FF1913"/>
  <c r="FJ1913"/>
  <c r="FJ1312"/>
  <c r="FF1312"/>
  <c r="FF507"/>
  <c r="FJ507"/>
  <c r="FF1971"/>
  <c r="FJ1971"/>
  <c r="FJ1914"/>
  <c r="FF1914"/>
  <c r="FF1045"/>
  <c r="FJ1045"/>
  <c r="FJ2053"/>
  <c r="FF2053"/>
  <c r="FJ2145"/>
  <c r="FF2145"/>
  <c r="FJ1331"/>
  <c r="FF1331"/>
  <c r="FJ656"/>
  <c r="FF656"/>
  <c r="FF1501"/>
  <c r="FJ1501"/>
  <c r="FJ563"/>
  <c r="FF563"/>
  <c r="FF1797"/>
  <c r="FJ1797"/>
  <c r="FJ1794"/>
  <c r="FF1794"/>
  <c r="FF1456"/>
  <c r="FJ1456"/>
  <c r="FJ813"/>
  <c r="FF813"/>
  <c r="FF1025"/>
  <c r="FJ1025"/>
  <c r="FJ1273"/>
  <c r="FF1273"/>
  <c r="FF1405"/>
  <c r="FJ1405"/>
  <c r="FJ810"/>
  <c r="FF810"/>
  <c r="FF1925"/>
  <c r="FJ1925"/>
  <c r="FJ1646"/>
  <c r="FF1646"/>
  <c r="FF895"/>
  <c r="FJ895"/>
  <c r="FJ1077"/>
  <c r="FF1077"/>
  <c r="FF436"/>
  <c r="FJ725"/>
  <c r="FF725"/>
  <c r="FF2116"/>
  <c r="FJ2116"/>
  <c r="FJ2025"/>
  <c r="FF2025"/>
  <c r="FF2153"/>
  <c r="FJ2153"/>
  <c r="FJ915"/>
  <c r="FF915"/>
  <c r="FF1656"/>
  <c r="FJ1656"/>
  <c r="FF1542"/>
  <c r="FJ1542"/>
  <c r="FJ1127"/>
  <c r="FF1127"/>
  <c r="FJ2479"/>
  <c r="FF2479"/>
  <c r="FJ977"/>
  <c r="FF977"/>
  <c r="FJ2061"/>
  <c r="FF2061"/>
  <c r="FJ1020"/>
  <c r="FF1020"/>
  <c r="FF1573"/>
  <c r="FJ1573"/>
  <c r="FF792"/>
  <c r="FJ792"/>
  <c r="FJ1647"/>
  <c r="FF1647"/>
  <c r="FF1773"/>
  <c r="FJ1773"/>
  <c r="FJ934"/>
  <c r="FF934"/>
  <c r="FJ1993"/>
  <c r="FF1993"/>
  <c r="FF1743"/>
  <c r="FJ1743"/>
  <c r="FF2090"/>
  <c r="FJ2090"/>
  <c r="FJ826"/>
  <c r="FF826"/>
  <c r="FJ830"/>
  <c r="FF830"/>
  <c r="FF2079"/>
  <c r="FJ2079"/>
  <c r="FJ529"/>
  <c r="FF529"/>
  <c r="FJ1307"/>
  <c r="FF1307"/>
  <c r="FF958"/>
  <c r="FJ958"/>
  <c r="FF1140"/>
  <c r="FJ1140"/>
  <c r="FF1145"/>
  <c r="FJ1145"/>
  <c r="FJ1608"/>
  <c r="FF1608"/>
  <c r="FJ1296"/>
  <c r="FF1296"/>
  <c r="FF2190"/>
  <c r="FJ2190"/>
  <c r="FJ1182"/>
  <c r="FF1182"/>
  <c r="FJ760"/>
  <c r="FF760"/>
  <c r="FJ714"/>
  <c r="FF714"/>
  <c r="FJ2279"/>
  <c r="FF2279"/>
  <c r="FF2277"/>
  <c r="FJ2277"/>
  <c r="FJ2214"/>
  <c r="FF2214"/>
  <c r="FF956"/>
  <c r="FJ956"/>
  <c r="FJ2405"/>
  <c r="FF2405"/>
  <c r="FJ1002"/>
  <c r="FF1002"/>
  <c r="FF1534"/>
  <c r="FJ1534"/>
  <c r="FJ1201"/>
  <c r="FF1201"/>
  <c r="FJ864"/>
  <c r="FF864"/>
  <c r="FF1518"/>
  <c r="FJ1518"/>
  <c r="FF1036"/>
  <c r="FJ1036"/>
  <c r="FF2144"/>
  <c r="FJ2144"/>
  <c r="FJ891"/>
  <c r="FF891"/>
  <c r="FF924"/>
  <c r="FJ924"/>
  <c r="FJ1642"/>
  <c r="FF1642"/>
  <c r="FF1122"/>
  <c r="FJ1122"/>
  <c r="FF1118"/>
  <c r="FJ1118"/>
  <c r="FF1916"/>
  <c r="FJ1916"/>
  <c r="FF901"/>
  <c r="FJ901"/>
  <c r="FJ1303"/>
  <c r="FF1303"/>
  <c r="FF1006"/>
  <c r="FJ1006"/>
  <c r="FF1034"/>
  <c r="FJ1034"/>
  <c r="FF1799"/>
  <c r="FJ1799"/>
  <c r="FJ2433"/>
  <c r="FF2433"/>
  <c r="FJ2078"/>
  <c r="FF2078"/>
  <c r="FF1716"/>
  <c r="FJ1716"/>
  <c r="FF1774"/>
  <c r="FJ1774"/>
  <c r="FJ1969"/>
  <c r="FF1969"/>
  <c r="FJ1600"/>
  <c r="FF1600"/>
  <c r="FF1085"/>
  <c r="FJ1085"/>
  <c r="FF994"/>
  <c r="FJ994"/>
  <c r="FF1526"/>
  <c r="FJ1526"/>
  <c r="FF978"/>
  <c r="FJ978"/>
  <c r="FJ1314"/>
  <c r="FF1314"/>
  <c r="FJ2308"/>
  <c r="FF2308"/>
  <c r="FF879"/>
  <c r="FJ879"/>
  <c r="FF745"/>
  <c r="FJ745"/>
  <c r="FJ937"/>
  <c r="FF937"/>
  <c r="FF1391"/>
  <c r="FJ1391"/>
  <c r="FF1965"/>
  <c r="FJ1965"/>
  <c r="FJ2494"/>
  <c r="FF2494"/>
  <c r="FJ1852"/>
  <c r="FF1852"/>
  <c r="FF508"/>
  <c r="FJ508"/>
  <c r="FF1075"/>
  <c r="FJ1075"/>
  <c r="FJ1503"/>
  <c r="FF1503"/>
  <c r="FJ2290"/>
  <c r="FF2290"/>
  <c r="FF1942"/>
  <c r="FJ1942"/>
  <c r="FJ1264"/>
  <c r="FF1264"/>
  <c r="FF1610"/>
  <c r="FJ1610"/>
  <c r="FF896"/>
  <c r="FJ896"/>
  <c r="FF2102"/>
  <c r="FJ2102"/>
  <c r="FJ1003"/>
  <c r="FF1003"/>
  <c r="FF1333"/>
  <c r="FJ1333"/>
  <c r="FF1517"/>
  <c r="FJ1517"/>
  <c r="FF2202"/>
  <c r="FJ2202"/>
  <c r="FJ1224"/>
  <c r="FF1224"/>
  <c r="FJ999"/>
  <c r="FF999"/>
  <c r="FJ1897"/>
  <c r="FF1897"/>
  <c r="FF1883"/>
  <c r="FJ1883"/>
  <c r="FF2016"/>
  <c r="FJ2016"/>
  <c r="FJ1256"/>
  <c r="FF1256"/>
  <c r="FF2425"/>
  <c r="FJ2425"/>
  <c r="FJ671"/>
  <c r="FF671"/>
  <c r="FJ730"/>
  <c r="FF730"/>
  <c r="FF1801"/>
  <c r="FJ1801"/>
  <c r="FF1676"/>
  <c r="FJ1676"/>
  <c r="FF1102"/>
  <c r="FJ1102"/>
  <c r="FF1209"/>
  <c r="FJ1209"/>
  <c r="FF1669"/>
  <c r="FJ1669"/>
  <c r="FJ2205"/>
  <c r="FF2205"/>
  <c r="FJ1738"/>
  <c r="FF1738"/>
  <c r="FF828"/>
  <c r="FJ828"/>
  <c r="FF534"/>
  <c r="FJ534"/>
  <c r="FF2176"/>
  <c r="FJ2176"/>
  <c r="FF1821"/>
  <c r="FJ1821"/>
  <c r="FF2244"/>
  <c r="FJ2244"/>
  <c r="FF586"/>
  <c r="FJ586"/>
  <c r="FF883"/>
  <c r="FJ883"/>
  <c r="FF530"/>
  <c r="FJ530"/>
  <c r="FF1764"/>
  <c r="FJ1764"/>
  <c r="FF878"/>
  <c r="FJ878"/>
  <c r="FF2108"/>
  <c r="FJ2108"/>
  <c r="FJ874"/>
  <c r="FF874"/>
  <c r="FF2174"/>
  <c r="FJ2174"/>
  <c r="FF1335"/>
  <c r="FJ1335"/>
  <c r="FF1604"/>
  <c r="FJ1604"/>
  <c r="FJ855"/>
  <c r="FF855"/>
  <c r="FJ1061"/>
  <c r="FF1061"/>
  <c r="FJ1232"/>
  <c r="FF1232"/>
  <c r="FF1442"/>
  <c r="FJ1442"/>
  <c r="FJ504"/>
  <c r="FF504"/>
  <c r="FF2222"/>
  <c r="FJ2222"/>
  <c r="FF1203"/>
  <c r="FJ1203"/>
  <c r="FJ777"/>
  <c r="FF777"/>
  <c r="FJ1671"/>
  <c r="FF1671"/>
  <c r="FF688"/>
  <c r="FJ688"/>
  <c r="FF1510"/>
  <c r="FJ1510"/>
  <c r="FJ2023"/>
  <c r="FF2023"/>
  <c r="FF1711"/>
  <c r="FJ1711"/>
  <c r="FJ1892"/>
  <c r="FF1892"/>
  <c r="FF1350"/>
  <c r="FJ1350"/>
  <c r="FF1737"/>
  <c r="FJ1737"/>
  <c r="FJ2351"/>
  <c r="FF2351"/>
  <c r="FF2259"/>
  <c r="FJ2259"/>
  <c r="FJ2326"/>
  <c r="FF2326"/>
  <c r="FF2428"/>
  <c r="FJ2428"/>
  <c r="FJ511"/>
  <c r="FF511"/>
  <c r="FJ1499"/>
  <c r="FF1499"/>
  <c r="FJ1466"/>
  <c r="FF1466"/>
  <c r="FJ1074"/>
  <c r="FF1074"/>
  <c r="FF475"/>
  <c r="FJ1603"/>
  <c r="FF1603"/>
  <c r="FF2452"/>
  <c r="FJ2452"/>
  <c r="FJ1308"/>
  <c r="FF1308"/>
  <c r="FF505"/>
  <c r="FJ505"/>
  <c r="FF1173"/>
  <c r="FJ1173"/>
  <c r="FJ1297"/>
  <c r="FF1297"/>
  <c r="FF1843"/>
  <c r="FJ1843"/>
  <c r="FJ1260"/>
  <c r="FF1260"/>
  <c r="FJ1782"/>
  <c r="FF1782"/>
  <c r="FJ927"/>
  <c r="FF927"/>
  <c r="FJ1445"/>
  <c r="FF1445"/>
  <c r="FJ1786"/>
  <c r="FF1786"/>
  <c r="FF2490"/>
  <c r="FJ2490"/>
  <c r="FJ513"/>
  <c r="FF513"/>
  <c r="FJ1935"/>
  <c r="FF1935"/>
  <c r="FJ2166"/>
  <c r="FF2166"/>
  <c r="FJ1831"/>
  <c r="FF1831"/>
  <c r="FF1375"/>
  <c r="FJ1375"/>
  <c r="FF1636"/>
  <c r="FJ1636"/>
  <c r="FF1530"/>
  <c r="FJ1530"/>
  <c r="FF666"/>
  <c r="FJ666"/>
  <c r="FF860"/>
  <c r="FJ860"/>
  <c r="FJ921"/>
  <c r="FF921"/>
  <c r="FF1241"/>
  <c r="FJ1241"/>
  <c r="FJ2241"/>
  <c r="FF2241"/>
  <c r="FF1119"/>
  <c r="FJ1119"/>
  <c r="FJ1994"/>
  <c r="FF1994"/>
  <c r="FJ789"/>
  <c r="FF789"/>
  <c r="FJ1870"/>
  <c r="FF1870"/>
  <c r="FF1909"/>
  <c r="FJ1909"/>
  <c r="FJ2443"/>
  <c r="FF2443"/>
  <c r="FF1170"/>
  <c r="FJ1170"/>
  <c r="FJ1664"/>
  <c r="FF1664"/>
  <c r="FF1621"/>
  <c r="FJ1621"/>
  <c r="FF2413"/>
  <c r="FJ2413"/>
  <c r="FJ1094"/>
  <c r="FF1094"/>
  <c r="FJ955"/>
  <c r="FF955"/>
  <c r="FF536"/>
  <c r="FJ536"/>
  <c r="FJ1071"/>
  <c r="FF1071"/>
  <c r="FF1859"/>
  <c r="FJ1859"/>
  <c r="FF811"/>
  <c r="FJ811"/>
  <c r="FJ2245"/>
  <c r="FF2245"/>
  <c r="FJ947"/>
  <c r="FF947"/>
  <c r="FJ555"/>
  <c r="FF555"/>
  <c r="FF496"/>
  <c r="FJ496"/>
  <c r="FJ2206"/>
  <c r="FF2206"/>
  <c r="FF1768"/>
  <c r="FJ1768"/>
  <c r="FF2250"/>
  <c r="FJ2250"/>
  <c r="FF1055"/>
  <c r="FJ1055"/>
  <c r="FJ1700"/>
  <c r="FF1700"/>
  <c r="FF1367"/>
  <c r="FJ1367"/>
  <c r="FF2121"/>
  <c r="FJ2121"/>
  <c r="FJ1378"/>
  <c r="FF1378"/>
  <c r="FF1447"/>
  <c r="FJ1447"/>
  <c r="FF1926"/>
  <c r="FJ1926"/>
  <c r="FF960"/>
  <c r="FJ960"/>
  <c r="FF1987"/>
  <c r="FJ1987"/>
  <c r="FF439"/>
  <c r="FJ948"/>
  <c r="FF948"/>
  <c r="FJ1539"/>
  <c r="FF1539"/>
  <c r="FJ1523"/>
  <c r="FF1523"/>
  <c r="FJ2179"/>
  <c r="FF2179"/>
  <c r="FJ578"/>
  <c r="FF578"/>
  <c r="FF1088"/>
  <c r="FJ1088"/>
  <c r="DW42" a="1"/>
  <c r="DW34" a="1"/>
  <c r="DW22" a="1"/>
  <c r="DW24" a="1"/>
  <c r="DW50" a="1"/>
  <c r="DW46" a="1"/>
  <c r="DW32" a="1"/>
  <c r="DW26" a="1"/>
  <c r="DW69" a="1"/>
  <c r="DW30" a="1"/>
  <c r="DW52" a="1"/>
  <c r="DW37" a="1"/>
  <c r="DW38" a="1"/>
  <c r="DW41" a="1"/>
  <c r="DW77" a="1"/>
  <c r="DW63" a="1"/>
  <c r="DW56" a="1"/>
  <c r="DW40" a="1"/>
  <c r="DW48" a="1"/>
  <c r="DW54" a="1"/>
  <c r="DW81" a="1"/>
  <c r="DW44" a="1"/>
  <c r="DW33" a="1"/>
  <c r="DW53" a="1"/>
  <c r="DW82" a="1"/>
  <c r="DW29" a="1"/>
  <c r="DW27" a="1"/>
  <c r="DW28" a="1"/>
  <c r="DW43" a="1"/>
  <c r="DW47" a="1"/>
  <c r="DW70" a="1"/>
  <c r="DW64" a="1"/>
  <c r="DW75" a="1"/>
  <c r="DW35" a="1"/>
  <c r="DW58" a="1"/>
  <c r="DW83" a="1"/>
  <c r="DW61" a="1"/>
  <c r="DW62" a="1"/>
  <c r="DW80" a="1"/>
  <c r="DW72" a="1"/>
  <c r="DW51" a="1"/>
  <c r="DW36" a="1"/>
  <c r="DW31" a="1"/>
  <c r="DW71" a="1"/>
  <c r="DW73" a="1"/>
  <c r="DW76" a="1"/>
  <c r="DW23" a="1"/>
  <c r="DW57" a="1"/>
  <c r="DW79" a="1"/>
  <c r="DW67" a="1"/>
  <c r="DW49" a="1"/>
  <c r="DW65" a="1"/>
  <c r="DW59" a="1"/>
  <c r="DW39" a="1"/>
  <c r="DW74" a="1"/>
  <c r="DW84" a="1"/>
  <c r="DW25" a="1"/>
  <c r="DW78" a="1"/>
  <c r="DW45" a="1"/>
  <c r="DW66" a="1"/>
  <c r="DW55" a="1"/>
  <c r="DW60" a="1"/>
  <c r="DW68" a="1"/>
  <c r="I12" l="1"/>
  <c r="L15"/>
  <c r="M19"/>
  <c r="K19"/>
  <c r="J19"/>
  <c r="I19"/>
  <c r="L16"/>
  <c r="N16"/>
  <c r="O16"/>
  <c r="Q16"/>
  <c r="L12"/>
  <c r="FF124" s="1"/>
  <c r="O12"/>
  <c r="I15"/>
  <c r="K15"/>
  <c r="P19"/>
  <c r="O19"/>
  <c r="H16"/>
  <c r="Y13"/>
  <c r="Q18"/>
  <c r="E18"/>
  <c r="O18"/>
  <c r="H14"/>
  <c r="F14"/>
  <c r="P14"/>
  <c r="I18"/>
  <c r="P18"/>
  <c r="I14"/>
  <c r="M14"/>
  <c r="J14"/>
  <c r="F18"/>
  <c r="L14"/>
  <c r="M18"/>
  <c r="H18"/>
  <c r="AC7"/>
  <c r="AJ7"/>
  <c r="AO7"/>
  <c r="AQ7"/>
  <c r="FF387" s="1"/>
  <c r="Z7"/>
  <c r="K21"/>
  <c r="G21"/>
  <c r="F21"/>
  <c r="Q21"/>
  <c r="O21"/>
  <c r="N21"/>
  <c r="M21"/>
  <c r="E21"/>
  <c r="J21"/>
  <c r="I21"/>
  <c r="H21"/>
  <c r="P21"/>
  <c r="L7"/>
  <c r="K14"/>
  <c r="Q14"/>
  <c r="N14"/>
  <c r="E14"/>
  <c r="G14"/>
  <c r="G18"/>
  <c r="K18"/>
  <c r="T17"/>
  <c r="G7"/>
  <c r="M17"/>
  <c r="S17"/>
  <c r="P17"/>
  <c r="G17"/>
  <c r="J17"/>
  <c r="R17"/>
  <c r="AX6"/>
  <c r="AW8"/>
  <c r="BB8"/>
  <c r="AV8"/>
  <c r="BC6"/>
  <c r="AX8"/>
  <c r="AW6"/>
  <c r="AU6"/>
  <c r="AZ8"/>
  <c r="BA6"/>
  <c r="FF244"/>
  <c r="BC8"/>
  <c r="AT8"/>
  <c r="BA8"/>
  <c r="BB6"/>
  <c r="AZ6"/>
  <c r="AV6"/>
  <c r="AY8"/>
  <c r="AU8"/>
  <c r="AT6"/>
  <c r="AA9"/>
  <c r="AG9"/>
  <c r="Y9"/>
  <c r="AE10"/>
  <c r="V10"/>
  <c r="S10"/>
  <c r="K9"/>
  <c r="L9"/>
  <c r="AD7"/>
  <c r="AN10"/>
  <c r="AC10"/>
  <c r="X9"/>
  <c r="AM9"/>
  <c r="AC9"/>
  <c r="AF9"/>
  <c r="S9"/>
  <c r="AD9"/>
  <c r="X7"/>
  <c r="AB7"/>
  <c r="W7"/>
  <c r="AA10"/>
  <c r="U10"/>
  <c r="AL10"/>
  <c r="FF274" s="1"/>
  <c r="M10"/>
  <c r="AM10"/>
  <c r="G10"/>
  <c r="AH10"/>
  <c r="FF300" s="1"/>
  <c r="AO10"/>
  <c r="FF292" s="1"/>
  <c r="T9"/>
  <c r="AN9"/>
  <c r="FF324" s="1"/>
  <c r="N9"/>
  <c r="AH9"/>
  <c r="Z9"/>
  <c r="J9"/>
  <c r="U9"/>
  <c r="AL9"/>
  <c r="I7"/>
  <c r="AK7"/>
  <c r="AI7"/>
  <c r="FF247" s="1"/>
  <c r="AF7"/>
  <c r="O7"/>
  <c r="T10"/>
  <c r="K10"/>
  <c r="AG10"/>
  <c r="FF234" s="1"/>
  <c r="N10"/>
  <c r="FF297"/>
  <c r="FF370"/>
  <c r="AO8"/>
  <c r="AB8"/>
  <c r="FF192" s="1"/>
  <c r="AH8"/>
  <c r="FF307"/>
  <c r="FF360"/>
  <c r="FF282"/>
  <c r="AJ11"/>
  <c r="FF290" s="1"/>
  <c r="FF352"/>
  <c r="FF252"/>
  <c r="X8"/>
  <c r="N7"/>
  <c r="V7"/>
  <c r="T7"/>
  <c r="AE7"/>
  <c r="AL7"/>
  <c r="FF304" s="1"/>
  <c r="AM7"/>
  <c r="FF313" s="1"/>
  <c r="R7"/>
  <c r="AA7"/>
  <c r="AR7"/>
  <c r="K7"/>
  <c r="AH7"/>
  <c r="F7"/>
  <c r="S7"/>
  <c r="H7"/>
  <c r="AG7"/>
  <c r="L10"/>
  <c r="Z10"/>
  <c r="AJ10"/>
  <c r="W10"/>
  <c r="AK10"/>
  <c r="FF298" s="1"/>
  <c r="Y10"/>
  <c r="E10"/>
  <c r="AD10"/>
  <c r="AI10"/>
  <c r="AB10"/>
  <c r="AL6"/>
  <c r="FF303" s="1"/>
  <c r="Z11"/>
  <c r="AS11"/>
  <c r="FF367" s="1"/>
  <c r="AD11"/>
  <c r="AC11"/>
  <c r="FF327"/>
  <c r="U8"/>
  <c r="FF337"/>
  <c r="V8"/>
  <c r="AD8"/>
  <c r="S8"/>
  <c r="AH11"/>
  <c r="FF301" s="1"/>
  <c r="FF349"/>
  <c r="FF334"/>
  <c r="FF332"/>
  <c r="Y8"/>
  <c r="AG6"/>
  <c r="FF258" s="1"/>
  <c r="R11"/>
  <c r="AP11"/>
  <c r="FF344" s="1"/>
  <c r="AE8"/>
  <c r="AL8"/>
  <c r="W8"/>
  <c r="AG8"/>
  <c r="FF232" s="1"/>
  <c r="AS6"/>
  <c r="FF406" s="1"/>
  <c r="AE11"/>
  <c r="X11"/>
  <c r="AG11"/>
  <c r="FF368"/>
  <c r="AM8"/>
  <c r="AA8"/>
  <c r="AR8"/>
  <c r="FF359" s="1"/>
  <c r="AN8"/>
  <c r="FF358" s="1"/>
  <c r="AK8"/>
  <c r="AC8"/>
  <c r="AQ8"/>
  <c r="AP8"/>
  <c r="FF378" s="1"/>
  <c r="FF411"/>
  <c r="FF381"/>
  <c r="AR6"/>
  <c r="AK6"/>
  <c r="FF294" s="1"/>
  <c r="T6"/>
  <c r="AD6"/>
  <c r="Q6"/>
  <c r="AE6"/>
  <c r="AI6"/>
  <c r="FF306" s="1"/>
  <c r="T11"/>
  <c r="AQ11"/>
  <c r="FF391" s="1"/>
  <c r="W11"/>
  <c r="I11"/>
  <c r="AL11"/>
  <c r="AO11"/>
  <c r="AI11"/>
  <c r="AF11"/>
  <c r="AT11"/>
  <c r="FF416" s="1"/>
  <c r="AB13"/>
  <c r="U13"/>
  <c r="AL13"/>
  <c r="FF343" s="1"/>
  <c r="AA13"/>
  <c r="AQ13"/>
  <c r="FF393" s="1"/>
  <c r="AM13"/>
  <c r="Z13"/>
  <c r="W13"/>
  <c r="V13"/>
  <c r="X13"/>
  <c r="FF342"/>
  <c r="FF371"/>
  <c r="AI8"/>
  <c r="FF308" s="1"/>
  <c r="AF8"/>
  <c r="T8"/>
  <c r="AM6"/>
  <c r="FF346" s="1"/>
  <c r="V11"/>
  <c r="AR11"/>
  <c r="FF401" s="1"/>
  <c r="AB11"/>
  <c r="FF363"/>
  <c r="FF372"/>
  <c r="Z8"/>
  <c r="AS8"/>
  <c r="FF408" s="1"/>
  <c r="R8"/>
  <c r="AJ8"/>
  <c r="FF318" s="1"/>
  <c r="AH6"/>
  <c r="V6"/>
  <c r="AQ6"/>
  <c r="FF386" s="1"/>
  <c r="Y11"/>
  <c r="S11"/>
  <c r="AM11"/>
  <c r="FF317" s="1"/>
  <c r="AK11"/>
  <c r="U11"/>
  <c r="AA11"/>
  <c r="AN11"/>
  <c r="FF326" s="1"/>
  <c r="AE13"/>
  <c r="FF273" s="1"/>
  <c r="AK13"/>
  <c r="FF333" s="1"/>
  <c r="T13"/>
  <c r="AJ13"/>
  <c r="FF323" s="1"/>
  <c r="AD13"/>
  <c r="AI13"/>
  <c r="FF351"/>
  <c r="FF412"/>
  <c r="FF402"/>
  <c r="FF322"/>
  <c r="FF310"/>
  <c r="FF382"/>
  <c r="FF369"/>
  <c r="FF389"/>
  <c r="FF305"/>
  <c r="FF361"/>
  <c r="FF268"/>
  <c r="AJ6"/>
  <c r="FF316" s="1"/>
  <c r="AA6"/>
  <c r="Y6"/>
  <c r="AP6"/>
  <c r="FF376" s="1"/>
  <c r="AB6"/>
  <c r="S6"/>
  <c r="X6"/>
  <c r="R6"/>
  <c r="AN6"/>
  <c r="FF286" s="1"/>
  <c r="Z6"/>
  <c r="AO6"/>
  <c r="FF330" s="1"/>
  <c r="U6"/>
  <c r="AC6"/>
  <c r="W6"/>
  <c r="AF6"/>
  <c r="FF249" s="1"/>
  <c r="E12"/>
  <c r="M12"/>
  <c r="Q12"/>
  <c r="N12"/>
  <c r="J12"/>
  <c r="S12"/>
  <c r="Q9"/>
  <c r="M9"/>
  <c r="H9"/>
  <c r="F9"/>
  <c r="O9"/>
  <c r="S13"/>
  <c r="J7"/>
  <c r="M7"/>
  <c r="P7"/>
  <c r="F10"/>
  <c r="H10"/>
  <c r="P10"/>
  <c r="I10"/>
  <c r="O10"/>
  <c r="R12"/>
  <c r="E9"/>
  <c r="R9"/>
  <c r="I9"/>
  <c r="R13"/>
  <c r="G13"/>
  <c r="Q7"/>
  <c r="Q10"/>
  <c r="N17"/>
  <c r="F17"/>
  <c r="L17"/>
  <c r="E17"/>
  <c r="K17"/>
  <c r="N13"/>
  <c r="Q17"/>
  <c r="I17"/>
  <c r="O17"/>
  <c r="FF162"/>
  <c r="CV5"/>
  <c r="CM5"/>
  <c r="CC5"/>
  <c r="BZ5"/>
  <c r="BX5"/>
  <c r="BY5"/>
  <c r="CG5"/>
  <c r="CR5"/>
  <c r="CQ5"/>
  <c r="CJ5"/>
  <c r="BU5"/>
  <c r="CE5"/>
  <c r="CK5"/>
  <c r="BV5"/>
  <c r="CI5"/>
  <c r="CU5"/>
  <c r="CD5"/>
  <c r="CN5"/>
  <c r="CT5"/>
  <c r="CB5"/>
  <c r="CA5"/>
  <c r="CW5"/>
  <c r="BW5"/>
  <c r="CL5"/>
  <c r="CO5"/>
  <c r="CP5"/>
  <c r="AR5"/>
  <c r="BO5"/>
  <c r="I5"/>
  <c r="BE5"/>
  <c r="AT5"/>
  <c r="BG5"/>
  <c r="AK5"/>
  <c r="BC5"/>
  <c r="BK5"/>
  <c r="BP5"/>
  <c r="J8"/>
  <c r="J6"/>
  <c r="E8"/>
  <c r="FF8" s="1"/>
  <c r="Q11"/>
  <c r="M8"/>
  <c r="Q8"/>
  <c r="E6"/>
  <c r="FF6" s="1"/>
  <c r="M13"/>
  <c r="F6"/>
  <c r="N11"/>
  <c r="L11"/>
  <c r="L8"/>
  <c r="P8"/>
  <c r="I8"/>
  <c r="L6"/>
  <c r="H11"/>
  <c r="O11"/>
  <c r="E11"/>
  <c r="G11"/>
  <c r="K11"/>
  <c r="P11"/>
  <c r="E13"/>
  <c r="F13"/>
  <c r="K13"/>
  <c r="O13"/>
  <c r="K8"/>
  <c r="M6"/>
  <c r="P6"/>
  <c r="F11"/>
  <c r="F8"/>
  <c r="O8"/>
  <c r="G8"/>
  <c r="H8"/>
  <c r="G6"/>
  <c r="O6"/>
  <c r="N6"/>
  <c r="H6"/>
  <c r="K6"/>
  <c r="M11"/>
  <c r="H13"/>
  <c r="I13"/>
  <c r="Q13"/>
  <c r="L13"/>
  <c r="P13"/>
  <c r="BH5"/>
  <c r="BI5"/>
  <c r="BT5"/>
  <c r="BB5"/>
  <c r="Z5"/>
  <c r="N5"/>
  <c r="AH5"/>
  <c r="V5"/>
  <c r="W5"/>
  <c r="AD5"/>
  <c r="AY5"/>
  <c r="BJ5"/>
  <c r="AP5"/>
  <c r="P5"/>
  <c r="BQ5"/>
  <c r="AU5"/>
  <c r="BS5"/>
  <c r="AO5"/>
  <c r="FF329" s="1"/>
  <c r="BD5"/>
  <c r="AW5"/>
  <c r="AE5"/>
  <c r="H5"/>
  <c r="K5"/>
  <c r="BA5"/>
  <c r="AJ5"/>
  <c r="Y5"/>
  <c r="T5"/>
  <c r="M5"/>
  <c r="O5"/>
  <c r="R5"/>
  <c r="BL5"/>
  <c r="J5"/>
  <c r="AS5"/>
  <c r="FF405" s="1"/>
  <c r="AZ5"/>
  <c r="G5"/>
  <c r="BR5"/>
  <c r="L5"/>
  <c r="F5"/>
  <c r="FF7" s="1"/>
  <c r="AL5"/>
  <c r="U5"/>
  <c r="BN5"/>
  <c r="BM5"/>
  <c r="X5"/>
  <c r="AI5"/>
  <c r="BF5"/>
  <c r="Q5"/>
  <c r="AM5"/>
  <c r="FF345" s="1"/>
  <c r="AC5"/>
  <c r="AV5"/>
  <c r="FF220" s="1"/>
  <c r="AA5"/>
  <c r="E5"/>
  <c r="FF5" s="1"/>
  <c r="AN5"/>
  <c r="FF355" s="1"/>
  <c r="AG5"/>
  <c r="FF257" s="1"/>
  <c r="AQ5"/>
  <c r="FF385" s="1"/>
  <c r="AF5"/>
  <c r="AX5"/>
  <c r="AB5"/>
  <c r="EY37"/>
  <c r="EL37"/>
  <c r="EU37"/>
  <c r="EN37"/>
  <c r="ET37"/>
  <c r="EV37"/>
  <c r="EE37"/>
  <c r="EO37"/>
  <c r="DW37"/>
  <c r="DX37"/>
  <c r="DY37"/>
  <c r="EG37"/>
  <c r="ED37"/>
  <c r="ES37"/>
  <c r="EI37"/>
  <c r="EX37"/>
  <c r="EF37"/>
  <c r="EA37"/>
  <c r="EB37"/>
  <c r="ER37"/>
  <c r="EQ37"/>
  <c r="DZ37"/>
  <c r="EP37"/>
  <c r="EH37"/>
  <c r="EK37"/>
  <c r="EC37"/>
  <c r="EJ37"/>
  <c r="EM37"/>
  <c r="EZ37"/>
  <c r="EW37"/>
  <c r="EY68"/>
  <c r="ET68"/>
  <c r="ER68"/>
  <c r="EO68"/>
  <c r="EG68"/>
  <c r="EL68"/>
  <c r="DX68"/>
  <c r="EB68"/>
  <c r="EX68"/>
  <c r="EV68"/>
  <c r="EF68"/>
  <c r="EP68"/>
  <c r="DW68"/>
  <c r="DZ68"/>
  <c r="EN68"/>
  <c r="EW68"/>
  <c r="ES68"/>
  <c r="EI68"/>
  <c r="EE68"/>
  <c r="EM68"/>
  <c r="EZ68"/>
  <c r="EK68"/>
  <c r="EU68"/>
  <c r="EJ68"/>
  <c r="EA68"/>
  <c r="EQ68"/>
  <c r="DY68"/>
  <c r="EH68"/>
  <c r="ED68"/>
  <c r="EC68"/>
  <c r="EM75"/>
  <c r="EL75"/>
  <c r="EI75"/>
  <c r="EC75"/>
  <c r="DW75"/>
  <c r="EX75"/>
  <c r="EJ75"/>
  <c r="ET75"/>
  <c r="EQ75"/>
  <c r="ER75"/>
  <c r="EY75"/>
  <c r="ED75"/>
  <c r="EU75"/>
  <c r="EG75"/>
  <c r="EF75"/>
  <c r="EB75"/>
  <c r="DZ75"/>
  <c r="EZ75"/>
  <c r="EN75"/>
  <c r="EE75"/>
  <c r="DX75"/>
  <c r="EK75"/>
  <c r="EP75"/>
  <c r="EA75"/>
  <c r="DY75"/>
  <c r="EV75"/>
  <c r="ES75"/>
  <c r="EW75"/>
  <c r="EO75"/>
  <c r="EH75"/>
  <c r="EO67"/>
  <c r="ET67"/>
  <c r="EV67"/>
  <c r="EX67"/>
  <c r="EK67"/>
  <c r="EI67"/>
  <c r="EN67"/>
  <c r="EE67"/>
  <c r="EL67"/>
  <c r="EM67"/>
  <c r="EG67"/>
  <c r="DY67"/>
  <c r="ER67"/>
  <c r="EH67"/>
  <c r="ED67"/>
  <c r="EW67"/>
  <c r="EQ67"/>
  <c r="EB67"/>
  <c r="EF67"/>
  <c r="DZ67"/>
  <c r="EA67"/>
  <c r="EJ67"/>
  <c r="EY67"/>
  <c r="DW67"/>
  <c r="ES67"/>
  <c r="EP67"/>
  <c r="EZ67"/>
  <c r="EC67"/>
  <c r="EU67"/>
  <c r="DX67"/>
  <c r="EZ54"/>
  <c r="EY54"/>
  <c r="DZ54"/>
  <c r="EW54"/>
  <c r="EH54"/>
  <c r="DY54"/>
  <c r="EC54"/>
  <c r="EV54"/>
  <c r="EX54"/>
  <c r="EP54"/>
  <c r="EN54"/>
  <c r="EO54"/>
  <c r="EA54"/>
  <c r="EB54"/>
  <c r="ER54"/>
  <c r="EM54"/>
  <c r="EK54"/>
  <c r="EI54"/>
  <c r="DW54"/>
  <c r="EQ54"/>
  <c r="EU54"/>
  <c r="EL54"/>
  <c r="EJ54"/>
  <c r="EF54"/>
  <c r="ES54"/>
  <c r="ET54"/>
  <c r="DX54"/>
  <c r="EG54"/>
  <c r="EE54"/>
  <c r="ED54"/>
  <c r="EE52"/>
  <c r="EF52"/>
  <c r="EO52"/>
  <c r="EJ52"/>
  <c r="EY52"/>
  <c r="EV52"/>
  <c r="DZ52"/>
  <c r="ET52"/>
  <c r="DX52"/>
  <c r="EB52"/>
  <c r="EG52"/>
  <c r="EM52"/>
  <c r="EC52"/>
  <c r="DY52"/>
  <c r="EP52"/>
  <c r="EI52"/>
  <c r="EN52"/>
  <c r="EX52"/>
  <c r="ES52"/>
  <c r="ED52"/>
  <c r="EU52"/>
  <c r="EL52"/>
  <c r="EW52"/>
  <c r="EQ52"/>
  <c r="ER52"/>
  <c r="DW52"/>
  <c r="EH52"/>
  <c r="EZ52"/>
  <c r="EK52"/>
  <c r="EA52"/>
  <c r="DW78"/>
  <c r="EQ78"/>
  <c r="EX78"/>
  <c r="EU78"/>
  <c r="EH78"/>
  <c r="EC78"/>
  <c r="EP78"/>
  <c r="EF78"/>
  <c r="EL78"/>
  <c r="EA78"/>
  <c r="EG78"/>
  <c r="ER78"/>
  <c r="EV78"/>
  <c r="DY78"/>
  <c r="ED78"/>
  <c r="ET78"/>
  <c r="EO78"/>
  <c r="DX78"/>
  <c r="EN78"/>
  <c r="ES78"/>
  <c r="EW78"/>
  <c r="EK78"/>
  <c r="EB78"/>
  <c r="EI78"/>
  <c r="EM78"/>
  <c r="EJ78"/>
  <c r="DZ78"/>
  <c r="EZ78"/>
  <c r="EE78"/>
  <c r="EY78"/>
  <c r="ES43"/>
  <c r="ET43"/>
  <c r="ED43"/>
  <c r="EP43"/>
  <c r="DW43"/>
  <c r="EU43"/>
  <c r="EQ43"/>
  <c r="EH43"/>
  <c r="ER43"/>
  <c r="EB43"/>
  <c r="EF43"/>
  <c r="EX43"/>
  <c r="EY43"/>
  <c r="EL43"/>
  <c r="EA43"/>
  <c r="DX43"/>
  <c r="DY43"/>
  <c r="EZ43"/>
  <c r="EN43"/>
  <c r="EO43"/>
  <c r="EV43"/>
  <c r="EG43"/>
  <c r="EE43"/>
  <c r="EW43"/>
  <c r="EM43"/>
  <c r="EJ43"/>
  <c r="DZ43"/>
  <c r="EK43"/>
  <c r="EI43"/>
  <c r="EC43"/>
  <c r="EJ29"/>
  <c r="ER29"/>
  <c r="ED29"/>
  <c r="EX29"/>
  <c r="EH29"/>
  <c r="EQ29"/>
  <c r="EV29"/>
  <c r="ES29"/>
  <c r="EL29"/>
  <c r="EP29"/>
  <c r="EE29"/>
  <c r="EN29"/>
  <c r="DY29"/>
  <c r="EC29"/>
  <c r="EA29"/>
  <c r="EW29"/>
  <c r="EZ29"/>
  <c r="EB29"/>
  <c r="EI29"/>
  <c r="EU29"/>
  <c r="DW29"/>
  <c r="EM29"/>
  <c r="EF29"/>
  <c r="EK29"/>
  <c r="EO29"/>
  <c r="EG29"/>
  <c r="DX29"/>
  <c r="DZ29"/>
  <c r="ET29"/>
  <c r="EY29"/>
  <c r="EF58"/>
  <c r="EA58"/>
  <c r="EG58"/>
  <c r="DY58"/>
  <c r="EB58"/>
  <c r="EN58"/>
  <c r="EQ58"/>
  <c r="EP58"/>
  <c r="EM58"/>
  <c r="EW58"/>
  <c r="DW58"/>
  <c r="EH58"/>
  <c r="DX58"/>
  <c r="ER58"/>
  <c r="EU58"/>
  <c r="EO58"/>
  <c r="EL58"/>
  <c r="ET58"/>
  <c r="EY58"/>
  <c r="EX58"/>
  <c r="EZ58"/>
  <c r="EK58"/>
  <c r="EI58"/>
  <c r="EJ58"/>
  <c r="EE58"/>
  <c r="ED58"/>
  <c r="EC58"/>
  <c r="ES58"/>
  <c r="DZ58"/>
  <c r="EV58"/>
  <c r="EW26"/>
  <c r="EM26"/>
  <c r="EA26"/>
  <c r="EX26"/>
  <c r="DX26"/>
  <c r="EN26"/>
  <c r="EZ26"/>
  <c r="DY26"/>
  <c r="EO26"/>
  <c r="EG26"/>
  <c r="EQ26"/>
  <c r="EJ26"/>
  <c r="ES26"/>
  <c r="EP26"/>
  <c r="EB26"/>
  <c r="EK26"/>
  <c r="DZ26"/>
  <c r="EH26"/>
  <c r="EF26"/>
  <c r="EE26"/>
  <c r="ED26"/>
  <c r="DW26"/>
  <c r="EI26"/>
  <c r="EL26"/>
  <c r="ER26"/>
  <c r="EV26"/>
  <c r="EU26"/>
  <c r="EY26"/>
  <c r="ET26"/>
  <c r="EC26"/>
  <c r="DY22"/>
  <c r="EV22"/>
  <c r="ET22"/>
  <c r="EI22"/>
  <c r="EJ22"/>
  <c r="EB22"/>
  <c r="EH22"/>
  <c r="EM22"/>
  <c r="EC22"/>
  <c r="EP22"/>
  <c r="ER22"/>
  <c r="EA22"/>
  <c r="EU22"/>
  <c r="EL22"/>
  <c r="EG22"/>
  <c r="EF22"/>
  <c r="EQ22"/>
  <c r="ES22"/>
  <c r="EZ22"/>
  <c r="EN22"/>
  <c r="EK22"/>
  <c r="EO22"/>
  <c r="DX22"/>
  <c r="EY22"/>
  <c r="DZ22"/>
  <c r="ED22"/>
  <c r="DW22"/>
  <c r="EX22"/>
  <c r="EW22"/>
  <c r="EE22"/>
  <c r="EV34"/>
  <c r="ED34"/>
  <c r="DX34"/>
  <c r="EN34"/>
  <c r="EI34"/>
  <c r="EO34"/>
  <c r="EC34"/>
  <c r="EJ34"/>
  <c r="ET34"/>
  <c r="ES34"/>
  <c r="EQ34"/>
  <c r="EY34"/>
  <c r="EA34"/>
  <c r="DZ34"/>
  <c r="EH34"/>
  <c r="EX34"/>
  <c r="DY34"/>
  <c r="EB34"/>
  <c r="EM34"/>
  <c r="DW34"/>
  <c r="EK34"/>
  <c r="EF34"/>
  <c r="EW34"/>
  <c r="ER34"/>
  <c r="EU34"/>
  <c r="EL34"/>
  <c r="EG34"/>
  <c r="EP34"/>
  <c r="EZ34"/>
  <c r="EE34"/>
  <c r="ED38"/>
  <c r="EH38"/>
  <c r="EE38"/>
  <c r="DW38"/>
  <c r="EN38"/>
  <c r="EX38"/>
  <c r="EL38"/>
  <c r="EZ38"/>
  <c r="EP38"/>
  <c r="EF38"/>
  <c r="DY38"/>
  <c r="EA38"/>
  <c r="EI38"/>
  <c r="DX38"/>
  <c r="EB38"/>
  <c r="DZ38"/>
  <c r="EU38"/>
  <c r="EO38"/>
  <c r="EG38"/>
  <c r="EW38"/>
  <c r="EK38"/>
  <c r="ET38"/>
  <c r="EJ38"/>
  <c r="EM38"/>
  <c r="ES38"/>
  <c r="EC38"/>
  <c r="EV38"/>
  <c r="EQ38"/>
  <c r="EY38"/>
  <c r="ER38"/>
  <c r="ER24"/>
  <c r="EV24"/>
  <c r="EY24"/>
  <c r="EF24"/>
  <c r="DY24"/>
  <c r="EX24"/>
  <c r="EB24"/>
  <c r="EI24"/>
  <c r="EW24"/>
  <c r="DW24"/>
  <c r="ET24"/>
  <c r="EQ24"/>
  <c r="DZ24"/>
  <c r="EU24"/>
  <c r="EK24"/>
  <c r="EH24"/>
  <c r="EN24"/>
  <c r="EA24"/>
  <c r="EE24"/>
  <c r="EJ24"/>
  <c r="DX24"/>
  <c r="EO24"/>
  <c r="EZ24"/>
  <c r="EG24"/>
  <c r="ED24"/>
  <c r="ES24"/>
  <c r="EC24"/>
  <c r="EL24"/>
  <c r="EM24"/>
  <c r="EP24"/>
  <c r="EX69"/>
  <c r="EI69"/>
  <c r="EN69"/>
  <c r="ET69"/>
  <c r="EL69"/>
  <c r="EZ69"/>
  <c r="DZ69"/>
  <c r="EJ69"/>
  <c r="EC69"/>
  <c r="EA69"/>
  <c r="DX69"/>
  <c r="EO69"/>
  <c r="EQ69"/>
  <c r="EF69"/>
  <c r="ES69"/>
  <c r="EW69"/>
  <c r="ED69"/>
  <c r="EK69"/>
  <c r="EB69"/>
  <c r="EV69"/>
  <c r="EU69"/>
  <c r="EP69"/>
  <c r="EM69"/>
  <c r="DW69"/>
  <c r="DY69"/>
  <c r="EH69"/>
  <c r="EE69"/>
  <c r="ER69"/>
  <c r="EY69"/>
  <c r="EG69"/>
  <c r="EY31"/>
  <c r="EB31"/>
  <c r="EG31"/>
  <c r="ET31"/>
  <c r="EW31"/>
  <c r="DW31"/>
  <c r="EM31"/>
  <c r="EF31"/>
  <c r="DX31"/>
  <c r="EH31"/>
  <c r="EN31"/>
  <c r="EO31"/>
  <c r="EJ31"/>
  <c r="DY31"/>
  <c r="EQ31"/>
  <c r="EE31"/>
  <c r="EA31"/>
  <c r="EI31"/>
  <c r="EU31"/>
  <c r="DZ31"/>
  <c r="ED31"/>
  <c r="EV31"/>
  <c r="ER31"/>
  <c r="EK31"/>
  <c r="EL31"/>
  <c r="EX31"/>
  <c r="EP31"/>
  <c r="ES31"/>
  <c r="EZ31"/>
  <c r="EC31"/>
  <c r="ET30"/>
  <c r="EN30"/>
  <c r="EK30"/>
  <c r="EH30"/>
  <c r="EE30"/>
  <c r="ER30"/>
  <c r="EL30"/>
  <c r="EG30"/>
  <c r="EI30"/>
  <c r="EQ30"/>
  <c r="EM30"/>
  <c r="DW30"/>
  <c r="EA30"/>
  <c r="EX30"/>
  <c r="DY30"/>
  <c r="EF30"/>
  <c r="EC30"/>
  <c r="EZ30"/>
  <c r="ED30"/>
  <c r="EV30"/>
  <c r="EU30"/>
  <c r="EY30"/>
  <c r="DX30"/>
  <c r="EO30"/>
  <c r="EP30"/>
  <c r="ES30"/>
  <c r="EJ30"/>
  <c r="EB30"/>
  <c r="EW30"/>
  <c r="DZ30"/>
  <c r="EQ83"/>
  <c r="EI83"/>
  <c r="EM83"/>
  <c r="ED83"/>
  <c r="EA83"/>
  <c r="EG83"/>
  <c r="DY83"/>
  <c r="ET83"/>
  <c r="EZ83"/>
  <c r="EV83"/>
  <c r="ES83"/>
  <c r="EH83"/>
  <c r="DW83"/>
  <c r="EJ83"/>
  <c r="DZ83"/>
  <c r="EE83"/>
  <c r="EL83"/>
  <c r="EN83"/>
  <c r="ER83"/>
  <c r="EO83"/>
  <c r="EX83"/>
  <c r="EB83"/>
  <c r="EK83"/>
  <c r="EF83"/>
  <c r="EU83"/>
  <c r="EP83"/>
  <c r="EW83"/>
  <c r="DX83"/>
  <c r="EY83"/>
  <c r="EC83"/>
  <c r="EE56"/>
  <c r="EJ56"/>
  <c r="EP56"/>
  <c r="EN56"/>
  <c r="EI56"/>
  <c r="EB56"/>
  <c r="EQ56"/>
  <c r="EL56"/>
  <c r="DX56"/>
  <c r="EK56"/>
  <c r="DY56"/>
  <c r="ET56"/>
  <c r="EA56"/>
  <c r="ER56"/>
  <c r="ED56"/>
  <c r="EH56"/>
  <c r="EV56"/>
  <c r="DZ56"/>
  <c r="EU56"/>
  <c r="EF56"/>
  <c r="EG56"/>
  <c r="EW56"/>
  <c r="EO56"/>
  <c r="DW56"/>
  <c r="EZ56"/>
  <c r="EC56"/>
  <c r="EX56"/>
  <c r="EM56"/>
  <c r="EY56"/>
  <c r="ES56"/>
  <c r="ED73"/>
  <c r="DW73"/>
  <c r="ES73"/>
  <c r="EI73"/>
  <c r="EL73"/>
  <c r="ER73"/>
  <c r="EX73"/>
  <c r="EH73"/>
  <c r="EC73"/>
  <c r="EA73"/>
  <c r="EM73"/>
  <c r="EW73"/>
  <c r="DY73"/>
  <c r="EN73"/>
  <c r="EF73"/>
  <c r="EK73"/>
  <c r="EV73"/>
  <c r="EZ73"/>
  <c r="EB73"/>
  <c r="EO73"/>
  <c r="EU73"/>
  <c r="ET73"/>
  <c r="DX73"/>
  <c r="EP73"/>
  <c r="EE73"/>
  <c r="EJ73"/>
  <c r="EG73"/>
  <c r="EY73"/>
  <c r="EQ73"/>
  <c r="DZ73"/>
  <c r="EZ72"/>
  <c r="EY72"/>
  <c r="DX72"/>
  <c r="EX72"/>
  <c r="EK72"/>
  <c r="EP72"/>
  <c r="EO72"/>
  <c r="DZ72"/>
  <c r="ES72"/>
  <c r="EM72"/>
  <c r="EN72"/>
  <c r="EU72"/>
  <c r="EL72"/>
  <c r="EI72"/>
  <c r="EE72"/>
  <c r="EA72"/>
  <c r="EG72"/>
  <c r="ED72"/>
  <c r="EF72"/>
  <c r="EC72"/>
  <c r="EW72"/>
  <c r="ER72"/>
  <c r="ET72"/>
  <c r="EB72"/>
  <c r="EH72"/>
  <c r="EJ72"/>
  <c r="EV72"/>
  <c r="DY72"/>
  <c r="DW72"/>
  <c r="EQ72"/>
  <c r="EQ27"/>
  <c r="EI27"/>
  <c r="EO27"/>
  <c r="EL27"/>
  <c r="EZ27"/>
  <c r="EV27"/>
  <c r="EE27"/>
  <c r="EC27"/>
  <c r="EK27"/>
  <c r="ED27"/>
  <c r="EG27"/>
  <c r="EY27"/>
  <c r="EF27"/>
  <c r="EJ27"/>
  <c r="EA27"/>
  <c r="EN27"/>
  <c r="ET27"/>
  <c r="ER27"/>
  <c r="ES27"/>
  <c r="DY27"/>
  <c r="EH27"/>
  <c r="EP27"/>
  <c r="DX27"/>
  <c r="EU27"/>
  <c r="DW27"/>
  <c r="EW27"/>
  <c r="EX27"/>
  <c r="DZ27"/>
  <c r="EB27"/>
  <c r="EM27"/>
  <c r="EJ70"/>
  <c r="ED70"/>
  <c r="EH70"/>
  <c r="EE70"/>
  <c r="ER70"/>
  <c r="EW70"/>
  <c r="EL70"/>
  <c r="EV70"/>
  <c r="EF70"/>
  <c r="EN70"/>
  <c r="ET70"/>
  <c r="EX70"/>
  <c r="EO70"/>
  <c r="EA70"/>
  <c r="EQ70"/>
  <c r="DZ70"/>
  <c r="EB70"/>
  <c r="EC70"/>
  <c r="EK70"/>
  <c r="EM70"/>
  <c r="EP70"/>
  <c r="EG70"/>
  <c r="ES70"/>
  <c r="EY70"/>
  <c r="EU70"/>
  <c r="EI70"/>
  <c r="DY70"/>
  <c r="EZ70"/>
  <c r="DW70"/>
  <c r="DX70"/>
  <c r="EE64"/>
  <c r="EN64"/>
  <c r="EU64"/>
  <c r="EG64"/>
  <c r="EX64"/>
  <c r="EB64"/>
  <c r="EJ64"/>
  <c r="ED64"/>
  <c r="EZ64"/>
  <c r="EF64"/>
  <c r="DX64"/>
  <c r="ET64"/>
  <c r="DY64"/>
  <c r="EL64"/>
  <c r="EK64"/>
  <c r="EV64"/>
  <c r="DZ64"/>
  <c r="EO64"/>
  <c r="EA64"/>
  <c r="EH64"/>
  <c r="EM64"/>
  <c r="DW64"/>
  <c r="EC64"/>
  <c r="ES64"/>
  <c r="EW64"/>
  <c r="EP64"/>
  <c r="EI64"/>
  <c r="EY64"/>
  <c r="EQ64"/>
  <c r="ER64"/>
  <c r="EH61"/>
  <c r="EM61"/>
  <c r="EQ61"/>
  <c r="EX61"/>
  <c r="DX61"/>
  <c r="ED61"/>
  <c r="EO61"/>
  <c r="EV61"/>
  <c r="ET61"/>
  <c r="DY61"/>
  <c r="ES61"/>
  <c r="EA61"/>
  <c r="EL61"/>
  <c r="EZ61"/>
  <c r="DZ61"/>
  <c r="EG61"/>
  <c r="EJ61"/>
  <c r="EB61"/>
  <c r="EU61"/>
  <c r="EC61"/>
  <c r="EI61"/>
  <c r="EK61"/>
  <c r="EF61"/>
  <c r="EE61"/>
  <c r="EW61"/>
  <c r="EY61"/>
  <c r="EP61"/>
  <c r="EN61"/>
  <c r="DW61"/>
  <c r="ER61"/>
  <c r="EZ53"/>
  <c r="ER53"/>
  <c r="ET53"/>
  <c r="EI53"/>
  <c r="EL53"/>
  <c r="DX53"/>
  <c r="EM53"/>
  <c r="EQ53"/>
  <c r="DW53"/>
  <c r="ED53"/>
  <c r="EX53"/>
  <c r="EK53"/>
  <c r="EU53"/>
  <c r="EY53"/>
  <c r="EN53"/>
  <c r="EW53"/>
  <c r="EA53"/>
  <c r="EC53"/>
  <c r="EG53"/>
  <c r="DZ53"/>
  <c r="EJ53"/>
  <c r="EP53"/>
  <c r="EH53"/>
  <c r="EV53"/>
  <c r="EB53"/>
  <c r="EO53"/>
  <c r="EE53"/>
  <c r="DY53"/>
  <c r="ES53"/>
  <c r="EF53"/>
  <c r="EO44"/>
  <c r="EE44"/>
  <c r="EU44"/>
  <c r="EN44"/>
  <c r="EG44"/>
  <c r="ER44"/>
  <c r="EM44"/>
  <c r="EH44"/>
  <c r="ET44"/>
  <c r="EB44"/>
  <c r="DZ44"/>
  <c r="ED44"/>
  <c r="EV44"/>
  <c r="ES44"/>
  <c r="EX44"/>
  <c r="EL44"/>
  <c r="DW44"/>
  <c r="EJ44"/>
  <c r="EY44"/>
  <c r="EW44"/>
  <c r="EC44"/>
  <c r="EI44"/>
  <c r="EK44"/>
  <c r="EA44"/>
  <c r="DY44"/>
  <c r="DX44"/>
  <c r="EQ44"/>
  <c r="EF44"/>
  <c r="EP44"/>
  <c r="EZ44"/>
  <c r="EZ32"/>
  <c r="EE32"/>
  <c r="ER32"/>
  <c r="EJ32"/>
  <c r="EM32"/>
  <c r="DW32"/>
  <c r="ED32"/>
  <c r="DY32"/>
  <c r="EH32"/>
  <c r="DZ32"/>
  <c r="EK32"/>
  <c r="EY32"/>
  <c r="ES32"/>
  <c r="EV32"/>
  <c r="EG32"/>
  <c r="EC32"/>
  <c r="EL32"/>
  <c r="EX32"/>
  <c r="EQ32"/>
  <c r="EN32"/>
  <c r="EW32"/>
  <c r="DX32"/>
  <c r="ET32"/>
  <c r="EI32"/>
  <c r="EF32"/>
  <c r="EB32"/>
  <c r="EO32"/>
  <c r="EA32"/>
  <c r="EP32"/>
  <c r="EU32"/>
  <c r="EB66"/>
  <c r="EW66"/>
  <c r="EI66"/>
  <c r="EO66"/>
  <c r="ER66"/>
  <c r="DZ66"/>
  <c r="EM66"/>
  <c r="ED66"/>
  <c r="EE66"/>
  <c r="DW66"/>
  <c r="DX66"/>
  <c r="EK66"/>
  <c r="ET66"/>
  <c r="EC66"/>
  <c r="EU66"/>
  <c r="DY66"/>
  <c r="EY66"/>
  <c r="EN66"/>
  <c r="EJ66"/>
  <c r="EL66"/>
  <c r="EV66"/>
  <c r="EX66"/>
  <c r="EA66"/>
  <c r="EG66"/>
  <c r="EP66"/>
  <c r="ES66"/>
  <c r="EZ66"/>
  <c r="EF66"/>
  <c r="EQ66"/>
  <c r="EH66"/>
  <c r="DZ82"/>
  <c r="ED82"/>
  <c r="EH82"/>
  <c r="EN82"/>
  <c r="EX82"/>
  <c r="EZ82"/>
  <c r="EC82"/>
  <c r="EF82"/>
  <c r="ET82"/>
  <c r="EQ82"/>
  <c r="EO82"/>
  <c r="ES82"/>
  <c r="EA82"/>
  <c r="DX82"/>
  <c r="EK82"/>
  <c r="EE82"/>
  <c r="EG82"/>
  <c r="EY82"/>
  <c r="EL82"/>
  <c r="DY82"/>
  <c r="DW82"/>
  <c r="EP82"/>
  <c r="EW82"/>
  <c r="EV82"/>
  <c r="EM82"/>
  <c r="ER82"/>
  <c r="EJ82"/>
  <c r="EB82"/>
  <c r="EI82"/>
  <c r="EU82"/>
  <c r="EP47"/>
  <c r="EZ47"/>
  <c r="EY47"/>
  <c r="ET47"/>
  <c r="DW47"/>
  <c r="EW47"/>
  <c r="EU47"/>
  <c r="ES47"/>
  <c r="EX47"/>
  <c r="EQ47"/>
  <c r="EB47"/>
  <c r="EI47"/>
  <c r="EK47"/>
  <c r="EM47"/>
  <c r="EC47"/>
  <c r="EF47"/>
  <c r="DX47"/>
  <c r="DZ47"/>
  <c r="EE47"/>
  <c r="EV47"/>
  <c r="EG47"/>
  <c r="ER47"/>
  <c r="EH47"/>
  <c r="EN47"/>
  <c r="EJ47"/>
  <c r="EO47"/>
  <c r="ED47"/>
  <c r="EA47"/>
  <c r="EL47"/>
  <c r="DY47"/>
  <c r="EK81"/>
  <c r="EE81"/>
  <c r="EP81"/>
  <c r="EB81"/>
  <c r="ER81"/>
  <c r="EY81"/>
  <c r="DZ81"/>
  <c r="EG81"/>
  <c r="DX81"/>
  <c r="EV81"/>
  <c r="EH81"/>
  <c r="EL81"/>
  <c r="EZ81"/>
  <c r="EC81"/>
  <c r="DY81"/>
  <c r="DW81"/>
  <c r="EF81"/>
  <c r="EA81"/>
  <c r="ET81"/>
  <c r="EU81"/>
  <c r="ES81"/>
  <c r="EO81"/>
  <c r="EW81"/>
  <c r="ED81"/>
  <c r="EN81"/>
  <c r="EI81"/>
  <c r="EX81"/>
  <c r="EJ81"/>
  <c r="EM81"/>
  <c r="EQ81"/>
  <c r="EL60"/>
  <c r="EW60"/>
  <c r="EH60"/>
  <c r="EF60"/>
  <c r="EU60"/>
  <c r="EJ60"/>
  <c r="EM60"/>
  <c r="EA60"/>
  <c r="EN60"/>
  <c r="ET60"/>
  <c r="EV60"/>
  <c r="DX60"/>
  <c r="DW60"/>
  <c r="EP60"/>
  <c r="EO60"/>
  <c r="EG60"/>
  <c r="EE60"/>
  <c r="EI60"/>
  <c r="ES60"/>
  <c r="EC60"/>
  <c r="DY60"/>
  <c r="EZ60"/>
  <c r="ER60"/>
  <c r="EK60"/>
  <c r="EB60"/>
  <c r="EX60"/>
  <c r="DZ60"/>
  <c r="ED60"/>
  <c r="EQ60"/>
  <c r="EY60"/>
  <c r="EK50"/>
  <c r="ED50"/>
  <c r="DX50"/>
  <c r="EL50"/>
  <c r="EW50"/>
  <c r="DY50"/>
  <c r="EF50"/>
  <c r="EN50"/>
  <c r="DZ50"/>
  <c r="EH50"/>
  <c r="EP50"/>
  <c r="EM50"/>
  <c r="EV50"/>
  <c r="EI50"/>
  <c r="ER50"/>
  <c r="EU50"/>
  <c r="EJ50"/>
  <c r="EY50"/>
  <c r="EA50"/>
  <c r="EC50"/>
  <c r="EO50"/>
  <c r="DW50"/>
  <c r="EZ50"/>
  <c r="ET50"/>
  <c r="EB50"/>
  <c r="EE50"/>
  <c r="ES50"/>
  <c r="EQ50"/>
  <c r="EG50"/>
  <c r="EX50"/>
  <c r="EK40"/>
  <c r="DY40"/>
  <c r="ER40"/>
  <c r="EB40"/>
  <c r="EG40"/>
  <c r="EV40"/>
  <c r="DZ40"/>
  <c r="EU40"/>
  <c r="EF40"/>
  <c r="EQ40"/>
  <c r="EX40"/>
  <c r="EO40"/>
  <c r="EJ40"/>
  <c r="DW40"/>
  <c r="EI40"/>
  <c r="EE40"/>
  <c r="EA40"/>
  <c r="EP40"/>
  <c r="EL40"/>
  <c r="DX40"/>
  <c r="ED40"/>
  <c r="EY40"/>
  <c r="ET40"/>
  <c r="EM40"/>
  <c r="EH40"/>
  <c r="ES40"/>
  <c r="EZ40"/>
  <c r="EC40"/>
  <c r="EN40"/>
  <c r="EW40"/>
  <c r="ET77"/>
  <c r="EV77"/>
  <c r="ER77"/>
  <c r="EF77"/>
  <c r="EO77"/>
  <c r="ES77"/>
  <c r="EH77"/>
  <c r="EW77"/>
  <c r="EB77"/>
  <c r="EZ77"/>
  <c r="EM77"/>
  <c r="ED77"/>
  <c r="EJ77"/>
  <c r="DZ77"/>
  <c r="EC77"/>
  <c r="DX77"/>
  <c r="EL77"/>
  <c r="EX77"/>
  <c r="EP77"/>
  <c r="EI77"/>
  <c r="EA77"/>
  <c r="EN77"/>
  <c r="EG77"/>
  <c r="EQ77"/>
  <c r="DY77"/>
  <c r="DW77"/>
  <c r="EU77"/>
  <c r="EY77"/>
  <c r="EE77"/>
  <c r="EK77"/>
  <c r="EH48"/>
  <c r="EG48"/>
  <c r="EV48"/>
  <c r="EM48"/>
  <c r="EW48"/>
  <c r="EC48"/>
  <c r="DZ48"/>
  <c r="EK48"/>
  <c r="ET48"/>
  <c r="EL48"/>
  <c r="ER48"/>
  <c r="ED48"/>
  <c r="EB48"/>
  <c r="ES48"/>
  <c r="EO48"/>
  <c r="EY48"/>
  <c r="EF48"/>
  <c r="EP48"/>
  <c r="EA48"/>
  <c r="EI48"/>
  <c r="EX48"/>
  <c r="EQ48"/>
  <c r="EZ48"/>
  <c r="EU48"/>
  <c r="EE48"/>
  <c r="DX48"/>
  <c r="EN48"/>
  <c r="EJ48"/>
  <c r="DY48"/>
  <c r="DW48"/>
  <c r="EK51"/>
  <c r="EP51"/>
  <c r="EJ51"/>
  <c r="DW51"/>
  <c r="EM51"/>
  <c r="EG51"/>
  <c r="EE51"/>
  <c r="EO51"/>
  <c r="EV51"/>
  <c r="DY51"/>
  <c r="EA51"/>
  <c r="EC51"/>
  <c r="ER51"/>
  <c r="EL51"/>
  <c r="EZ51"/>
  <c r="DX51"/>
  <c r="EI51"/>
  <c r="EN51"/>
  <c r="EB51"/>
  <c r="ED51"/>
  <c r="EQ51"/>
  <c r="EU51"/>
  <c r="ET51"/>
  <c r="EH51"/>
  <c r="EW51"/>
  <c r="EY51"/>
  <c r="DZ51"/>
  <c r="EF51"/>
  <c r="ES51"/>
  <c r="EX51"/>
  <c r="EG36"/>
  <c r="EF36"/>
  <c r="DX36"/>
  <c r="EY36"/>
  <c r="EH36"/>
  <c r="EV36"/>
  <c r="EA36"/>
  <c r="ED36"/>
  <c r="EE36"/>
  <c r="EU36"/>
  <c r="EX36"/>
  <c r="EM36"/>
  <c r="EQ36"/>
  <c r="EL36"/>
  <c r="EN36"/>
  <c r="EP36"/>
  <c r="EJ36"/>
  <c r="EO36"/>
  <c r="EC36"/>
  <c r="ES36"/>
  <c r="EK36"/>
  <c r="EZ36"/>
  <c r="EB36"/>
  <c r="EW36"/>
  <c r="DZ36"/>
  <c r="EI36"/>
  <c r="DW36"/>
  <c r="ER36"/>
  <c r="DY36"/>
  <c r="ET36"/>
  <c r="EN45"/>
  <c r="ES45"/>
  <c r="EZ45"/>
  <c r="EA45"/>
  <c r="EP45"/>
  <c r="EF45"/>
  <c r="DZ45"/>
  <c r="EB45"/>
  <c r="EX45"/>
  <c r="EK45"/>
  <c r="EE45"/>
  <c r="EO45"/>
  <c r="EU45"/>
  <c r="ER45"/>
  <c r="EI45"/>
  <c r="EM45"/>
  <c r="DX45"/>
  <c r="DW45"/>
  <c r="EL45"/>
  <c r="DY45"/>
  <c r="EW45"/>
  <c r="EJ45"/>
  <c r="ED45"/>
  <c r="EH45"/>
  <c r="EC45"/>
  <c r="EQ45"/>
  <c r="EY45"/>
  <c r="EV45"/>
  <c r="ET45"/>
  <c r="EG45"/>
  <c r="ES28"/>
  <c r="EE28"/>
  <c r="EB28"/>
  <c r="EP28"/>
  <c r="EU28"/>
  <c r="ET28"/>
  <c r="EM28"/>
  <c r="EA28"/>
  <c r="EK28"/>
  <c r="DW28"/>
  <c r="EW28"/>
  <c r="EV28"/>
  <c r="DX28"/>
  <c r="EH28"/>
  <c r="EI28"/>
  <c r="EL28"/>
  <c r="EC28"/>
  <c r="EX28"/>
  <c r="EG28"/>
  <c r="ED28"/>
  <c r="EZ28"/>
  <c r="EJ28"/>
  <c r="EY28"/>
  <c r="DY28"/>
  <c r="EO28"/>
  <c r="EF28"/>
  <c r="EQ28"/>
  <c r="ER28"/>
  <c r="DZ28"/>
  <c r="EN28"/>
  <c r="EX49"/>
  <c r="EZ49"/>
  <c r="ED49"/>
  <c r="EI49"/>
  <c r="EM49"/>
  <c r="ET49"/>
  <c r="ES49"/>
  <c r="DX49"/>
  <c r="DW49"/>
  <c r="EQ49"/>
  <c r="EK49"/>
  <c r="DZ49"/>
  <c r="EH49"/>
  <c r="EY49"/>
  <c r="ER49"/>
  <c r="EW49"/>
  <c r="EE49"/>
  <c r="EO49"/>
  <c r="EB49"/>
  <c r="EF49"/>
  <c r="EL49"/>
  <c r="EP49"/>
  <c r="EG49"/>
  <c r="EC49"/>
  <c r="EN49"/>
  <c r="EJ49"/>
  <c r="EU49"/>
  <c r="DY49"/>
  <c r="EA49"/>
  <c r="EV49"/>
  <c r="EF62"/>
  <c r="EQ62"/>
  <c r="EB62"/>
  <c r="ED62"/>
  <c r="EH62"/>
  <c r="ES62"/>
  <c r="EI62"/>
  <c r="ER62"/>
  <c r="EU62"/>
  <c r="DY62"/>
  <c r="EA62"/>
  <c r="EP62"/>
  <c r="ET62"/>
  <c r="EV62"/>
  <c r="EE62"/>
  <c r="EN62"/>
  <c r="EC62"/>
  <c r="EW62"/>
  <c r="DW62"/>
  <c r="DX62"/>
  <c r="EY62"/>
  <c r="EO62"/>
  <c r="EG62"/>
  <c r="EL62"/>
  <c r="DZ62"/>
  <c r="EJ62"/>
  <c r="EM62"/>
  <c r="EK62"/>
  <c r="EZ62"/>
  <c r="EX62"/>
  <c r="EG41"/>
  <c r="DX41"/>
  <c r="DY41"/>
  <c r="EI41"/>
  <c r="EO41"/>
  <c r="EX41"/>
  <c r="EJ41"/>
  <c r="DZ41"/>
  <c r="DW41"/>
  <c r="EF41"/>
  <c r="ER41"/>
  <c r="EA41"/>
  <c r="EL41"/>
  <c r="EQ41"/>
  <c r="EU41"/>
  <c r="EW41"/>
  <c r="ET41"/>
  <c r="EH41"/>
  <c r="ED41"/>
  <c r="EK41"/>
  <c r="EY41"/>
  <c r="EE41"/>
  <c r="EZ41"/>
  <c r="EM41"/>
  <c r="EB41"/>
  <c r="EN41"/>
  <c r="EP41"/>
  <c r="ES41"/>
  <c r="EV41"/>
  <c r="EC41"/>
  <c r="EQ84"/>
  <c r="EN84"/>
  <c r="DY84"/>
  <c r="ES84"/>
  <c r="EB84"/>
  <c r="EY84"/>
  <c r="EX84"/>
  <c r="EL84"/>
  <c r="EK84"/>
  <c r="EF84"/>
  <c r="EJ84"/>
  <c r="EW84"/>
  <c r="EO84"/>
  <c r="EM84"/>
  <c r="EU84"/>
  <c r="EE84"/>
  <c r="DW84"/>
  <c r="EG84"/>
  <c r="EH84"/>
  <c r="EZ84"/>
  <c r="DX84"/>
  <c r="EV84"/>
  <c r="EC84"/>
  <c r="ER84"/>
  <c r="EA84"/>
  <c r="DZ84"/>
  <c r="ET84"/>
  <c r="EP84"/>
  <c r="EI84"/>
  <c r="ED84"/>
  <c r="EE33"/>
  <c r="EC33"/>
  <c r="EA33"/>
  <c r="ED33"/>
  <c r="EV33"/>
  <c r="EX33"/>
  <c r="EF33"/>
  <c r="EZ33"/>
  <c r="EO33"/>
  <c r="ER33"/>
  <c r="EM33"/>
  <c r="EG33"/>
  <c r="EQ33"/>
  <c r="EP33"/>
  <c r="EJ33"/>
  <c r="EW33"/>
  <c r="EI33"/>
  <c r="EY33"/>
  <c r="EK33"/>
  <c r="DX33"/>
  <c r="EU33"/>
  <c r="ES33"/>
  <c r="EH33"/>
  <c r="DY33"/>
  <c r="EB33"/>
  <c r="DW33"/>
  <c r="DZ33"/>
  <c r="EN33"/>
  <c r="ET33"/>
  <c r="EL33"/>
  <c r="EP71"/>
  <c r="EQ71"/>
  <c r="EO71"/>
  <c r="EM71"/>
  <c r="EV71"/>
  <c r="DX71"/>
  <c r="DW71"/>
  <c r="EC71"/>
  <c r="EG71"/>
  <c r="EZ71"/>
  <c r="DZ71"/>
  <c r="EU71"/>
  <c r="EB71"/>
  <c r="ER71"/>
  <c r="EI71"/>
  <c r="EY71"/>
  <c r="DY71"/>
  <c r="EF71"/>
  <c r="ED71"/>
  <c r="ES71"/>
  <c r="ET71"/>
  <c r="EA71"/>
  <c r="EK71"/>
  <c r="EN71"/>
  <c r="EE71"/>
  <c r="EL71"/>
  <c r="EJ71"/>
  <c r="EX71"/>
  <c r="EW71"/>
  <c r="EH71"/>
  <c r="DW39"/>
  <c r="DY39"/>
  <c r="EK39"/>
  <c r="EO39"/>
  <c r="EY39"/>
  <c r="EQ39"/>
  <c r="EP39"/>
  <c r="EL39"/>
  <c r="EN39"/>
  <c r="EB39"/>
  <c r="ET39"/>
  <c r="EU39"/>
  <c r="EV39"/>
  <c r="EI39"/>
  <c r="ER39"/>
  <c r="EM39"/>
  <c r="DZ39"/>
  <c r="EH39"/>
  <c r="EG39"/>
  <c r="ED39"/>
  <c r="EC39"/>
  <c r="ES39"/>
  <c r="EX39"/>
  <c r="EF39"/>
  <c r="DX39"/>
  <c r="EA39"/>
  <c r="EE39"/>
  <c r="EZ39"/>
  <c r="EW39"/>
  <c r="EJ39"/>
  <c r="DZ59"/>
  <c r="DX59"/>
  <c r="EC59"/>
  <c r="EQ59"/>
  <c r="ET59"/>
  <c r="EU59"/>
  <c r="EP59"/>
  <c r="ES59"/>
  <c r="DW59"/>
  <c r="EX59"/>
  <c r="EY59"/>
  <c r="EV59"/>
  <c r="EW59"/>
  <c r="EB59"/>
  <c r="DY59"/>
  <c r="EL59"/>
  <c r="EG59"/>
  <c r="EO59"/>
  <c r="EJ59"/>
  <c r="EF59"/>
  <c r="ED59"/>
  <c r="EH59"/>
  <c r="ER59"/>
  <c r="EI59"/>
  <c r="EM59"/>
  <c r="EN59"/>
  <c r="EA59"/>
  <c r="EZ59"/>
  <c r="EE59"/>
  <c r="EK59"/>
  <c r="EN65"/>
  <c r="EE65"/>
  <c r="ER65"/>
  <c r="ES65"/>
  <c r="EP65"/>
  <c r="DW65"/>
  <c r="DY65"/>
  <c r="EZ65"/>
  <c r="EF65"/>
  <c r="EA65"/>
  <c r="EJ65"/>
  <c r="DZ65"/>
  <c r="EL65"/>
  <c r="EH65"/>
  <c r="EC65"/>
  <c r="EI65"/>
  <c r="EY65"/>
  <c r="EW65"/>
  <c r="EG65"/>
  <c r="DX65"/>
  <c r="ET65"/>
  <c r="EM65"/>
  <c r="EO65"/>
  <c r="EQ65"/>
  <c r="EV65"/>
  <c r="EK65"/>
  <c r="EB65"/>
  <c r="EX65"/>
  <c r="EU65"/>
  <c r="ED65"/>
  <c r="EK35"/>
  <c r="EJ35"/>
  <c r="EC35"/>
  <c r="EM35"/>
  <c r="DY35"/>
  <c r="EF35"/>
  <c r="EN35"/>
  <c r="DX35"/>
  <c r="EA35"/>
  <c r="EY35"/>
  <c r="EH35"/>
  <c r="EW35"/>
  <c r="EE35"/>
  <c r="EI35"/>
  <c r="EV35"/>
  <c r="ES35"/>
  <c r="EZ35"/>
  <c r="DW35"/>
  <c r="EQ35"/>
  <c r="EO35"/>
  <c r="EB35"/>
  <c r="EP35"/>
  <c r="ER35"/>
  <c r="DZ35"/>
  <c r="EL35"/>
  <c r="EU35"/>
  <c r="EX35"/>
  <c r="EG35"/>
  <c r="ET35"/>
  <c r="ED35"/>
  <c r="ES63"/>
  <c r="EX63"/>
  <c r="ED63"/>
  <c r="EO63"/>
  <c r="EC63"/>
  <c r="EF63"/>
  <c r="DZ63"/>
  <c r="EB63"/>
  <c r="EW63"/>
  <c r="EN63"/>
  <c r="ET63"/>
  <c r="EK63"/>
  <c r="EP63"/>
  <c r="EU63"/>
  <c r="DX63"/>
  <c r="EA63"/>
  <c r="EV63"/>
  <c r="DY63"/>
  <c r="EE63"/>
  <c r="EI63"/>
  <c r="DW63"/>
  <c r="EL63"/>
  <c r="ER63"/>
  <c r="EJ63"/>
  <c r="EM63"/>
  <c r="EY63"/>
  <c r="EH63"/>
  <c r="EG63"/>
  <c r="EQ63"/>
  <c r="EZ63"/>
  <c r="EJ55"/>
  <c r="EN55"/>
  <c r="ER55"/>
  <c r="EZ55"/>
  <c r="ES55"/>
  <c r="EC55"/>
  <c r="EY55"/>
  <c r="EP55"/>
  <c r="DZ55"/>
  <c r="ET55"/>
  <c r="EG55"/>
  <c r="EV55"/>
  <c r="DX55"/>
  <c r="EI55"/>
  <c r="EK55"/>
  <c r="DW55"/>
  <c r="EL55"/>
  <c r="ED55"/>
  <c r="EQ55"/>
  <c r="EE55"/>
  <c r="EW55"/>
  <c r="EA55"/>
  <c r="EF55"/>
  <c r="EO55"/>
  <c r="EM55"/>
  <c r="EH55"/>
  <c r="EU55"/>
  <c r="DY55"/>
  <c r="EX55"/>
  <c r="EB55"/>
  <c r="EC42"/>
  <c r="EH42"/>
  <c r="ED42"/>
  <c r="ES42"/>
  <c r="EN42"/>
  <c r="EE42"/>
  <c r="EB42"/>
  <c r="EW42"/>
  <c r="EJ42"/>
  <c r="DX42"/>
  <c r="ER42"/>
  <c r="EY42"/>
  <c r="EX42"/>
  <c r="EU42"/>
  <c r="EK42"/>
  <c r="EQ42"/>
  <c r="DW42"/>
  <c r="EI42"/>
  <c r="EF42"/>
  <c r="DY42"/>
  <c r="EP42"/>
  <c r="EV42"/>
  <c r="EA42"/>
  <c r="EG42"/>
  <c r="DZ42"/>
  <c r="EL42"/>
  <c r="EO42"/>
  <c r="EM42"/>
  <c r="EZ42"/>
  <c r="ET42"/>
  <c r="DZ46"/>
  <c r="EK46"/>
  <c r="EJ46"/>
  <c r="EA46"/>
  <c r="EM46"/>
  <c r="EZ46"/>
  <c r="EC46"/>
  <c r="EP46"/>
  <c r="EH46"/>
  <c r="DW46"/>
  <c r="EF46"/>
  <c r="EB46"/>
  <c r="EN46"/>
  <c r="EI46"/>
  <c r="EX46"/>
  <c r="EQ46"/>
  <c r="ED46"/>
  <c r="ET46"/>
  <c r="ES46"/>
  <c r="EE46"/>
  <c r="EV46"/>
  <c r="EW46"/>
  <c r="DX46"/>
  <c r="ER46"/>
  <c r="EL46"/>
  <c r="EY46"/>
  <c r="DY46"/>
  <c r="EO46"/>
  <c r="EU46"/>
  <c r="EG46"/>
  <c r="EG79"/>
  <c r="EC79"/>
  <c r="ED79"/>
  <c r="EO79"/>
  <c r="EU79"/>
  <c r="EE79"/>
  <c r="EK79"/>
  <c r="DY79"/>
  <c r="DW79"/>
  <c r="EL79"/>
  <c r="ET79"/>
  <c r="EH79"/>
  <c r="ER79"/>
  <c r="EX79"/>
  <c r="EP79"/>
  <c r="EA79"/>
  <c r="ES79"/>
  <c r="EY79"/>
  <c r="EJ79"/>
  <c r="EI79"/>
  <c r="EV79"/>
  <c r="EN79"/>
  <c r="EW79"/>
  <c r="DX79"/>
  <c r="EM79"/>
  <c r="EF79"/>
  <c r="DZ79"/>
  <c r="EQ79"/>
  <c r="EB79"/>
  <c r="EZ79"/>
  <c r="EC57"/>
  <c r="DX57"/>
  <c r="EB57"/>
  <c r="EU57"/>
  <c r="EG57"/>
  <c r="EV57"/>
  <c r="EW57"/>
  <c r="EN57"/>
  <c r="EO57"/>
  <c r="EL57"/>
  <c r="DY57"/>
  <c r="EF57"/>
  <c r="DZ57"/>
  <c r="EJ57"/>
  <c r="DW57"/>
  <c r="EA57"/>
  <c r="EE57"/>
  <c r="ER57"/>
  <c r="EP57"/>
  <c r="ES57"/>
  <c r="EZ57"/>
  <c r="ED57"/>
  <c r="EI57"/>
  <c r="EY57"/>
  <c r="ET57"/>
  <c r="EX57"/>
  <c r="EM57"/>
  <c r="EH57"/>
  <c r="EQ57"/>
  <c r="EK57"/>
  <c r="DZ23"/>
  <c r="EH23"/>
  <c r="EL23"/>
  <c r="EV23"/>
  <c r="DW23"/>
  <c r="ES23"/>
  <c r="EQ23"/>
  <c r="EW23"/>
  <c r="EO23"/>
  <c r="EZ23"/>
  <c r="EA23"/>
  <c r="EM23"/>
  <c r="ER23"/>
  <c r="DY23"/>
  <c r="EB23"/>
  <c r="ET23"/>
  <c r="DX23"/>
  <c r="EC23"/>
  <c r="EP23"/>
  <c r="EG23"/>
  <c r="EI23"/>
  <c r="EX23"/>
  <c r="ED23"/>
  <c r="EJ23"/>
  <c r="EE23"/>
  <c r="EY23"/>
  <c r="EK23"/>
  <c r="EF23"/>
  <c r="EN23"/>
  <c r="EU23"/>
  <c r="EN76"/>
  <c r="EJ76"/>
  <c r="ED76"/>
  <c r="EO76"/>
  <c r="DW76"/>
  <c r="EF76"/>
  <c r="EI76"/>
  <c r="DX76"/>
  <c r="EG76"/>
  <c r="EH76"/>
  <c r="EE76"/>
  <c r="EQ76"/>
  <c r="EY76"/>
  <c r="EL76"/>
  <c r="ES76"/>
  <c r="EC76"/>
  <c r="EA76"/>
  <c r="EB76"/>
  <c r="EP76"/>
  <c r="EU76"/>
  <c r="EK76"/>
  <c r="EW76"/>
  <c r="DZ76"/>
  <c r="EZ76"/>
  <c r="ER76"/>
  <c r="DY76"/>
  <c r="EX76"/>
  <c r="EM76"/>
  <c r="EV76"/>
  <c r="ET76"/>
  <c r="EX25"/>
  <c r="ES25"/>
  <c r="ED25"/>
  <c r="EM25"/>
  <c r="EN25"/>
  <c r="EY25"/>
  <c r="ET25"/>
  <c r="EB25"/>
  <c r="EF25"/>
  <c r="DW25"/>
  <c r="EO25"/>
  <c r="EL25"/>
  <c r="EG25"/>
  <c r="EK25"/>
  <c r="EI25"/>
  <c r="DZ25"/>
  <c r="EP25"/>
  <c r="EU25"/>
  <c r="EA25"/>
  <c r="EE25"/>
  <c r="EJ25"/>
  <c r="DX25"/>
  <c r="EV25"/>
  <c r="EQ25"/>
  <c r="EC25"/>
  <c r="EW25"/>
  <c r="EH25"/>
  <c r="EZ25"/>
  <c r="DY25"/>
  <c r="ER25"/>
  <c r="ET74"/>
  <c r="EU74"/>
  <c r="EP74"/>
  <c r="EL74"/>
  <c r="EO74"/>
  <c r="EK74"/>
  <c r="EE74"/>
  <c r="DX74"/>
  <c r="EZ74"/>
  <c r="EN74"/>
  <c r="EB74"/>
  <c r="EV74"/>
  <c r="ED74"/>
  <c r="EX74"/>
  <c r="EI74"/>
  <c r="EC74"/>
  <c r="EH74"/>
  <c r="EJ74"/>
  <c r="EQ74"/>
  <c r="EG74"/>
  <c r="ER74"/>
  <c r="EY74"/>
  <c r="DZ74"/>
  <c r="DW74"/>
  <c r="ES74"/>
  <c r="EF74"/>
  <c r="EM74"/>
  <c r="EW74"/>
  <c r="DY74"/>
  <c r="EA74"/>
  <c r="EJ80"/>
  <c r="DX80"/>
  <c r="EW80"/>
  <c r="EQ80"/>
  <c r="EX80"/>
  <c r="ET80"/>
  <c r="DZ80"/>
  <c r="ED80"/>
  <c r="EO80"/>
  <c r="EA80"/>
  <c r="EF80"/>
  <c r="EG80"/>
  <c r="EB80"/>
  <c r="EI80"/>
  <c r="EH80"/>
  <c r="EM80"/>
  <c r="EC80"/>
  <c r="EP80"/>
  <c r="DY80"/>
  <c r="DW80"/>
  <c r="ER80"/>
  <c r="ES80"/>
  <c r="EK80"/>
  <c r="EZ80"/>
  <c r="EE80"/>
  <c r="EL80"/>
  <c r="EV80"/>
  <c r="EU80"/>
  <c r="EY80"/>
  <c r="EN80"/>
  <c r="FH3"/>
  <c r="P1"/>
  <c r="FH2"/>
  <c r="FF64" l="1"/>
  <c r="FF207"/>
  <c r="FF164"/>
  <c r="FF76"/>
  <c r="FF211"/>
  <c r="FF114"/>
  <c r="FF42"/>
  <c r="FF237"/>
  <c r="FF204"/>
  <c r="FF217"/>
  <c r="FF199"/>
  <c r="FF228"/>
  <c r="FF202"/>
  <c r="FF231"/>
  <c r="FF97"/>
  <c r="FF80"/>
  <c r="FF188"/>
  <c r="FF196"/>
  <c r="FF253"/>
  <c r="FF235"/>
  <c r="FF167"/>
  <c r="FF122"/>
  <c r="FF223"/>
  <c r="FF250"/>
  <c r="FF12"/>
  <c r="FK12" s="1"/>
  <c r="FL12" s="1"/>
  <c r="FF201"/>
  <c r="FF172"/>
  <c r="FF193"/>
  <c r="FF180"/>
  <c r="FF200"/>
  <c r="FF163"/>
  <c r="FF210"/>
  <c r="FF218"/>
  <c r="FF138"/>
  <c r="FF263"/>
  <c r="FF233"/>
  <c r="FF243"/>
  <c r="FF82"/>
  <c r="FF177"/>
  <c r="FF169"/>
  <c r="FF131"/>
  <c r="FF151"/>
  <c r="FF209"/>
  <c r="FF289"/>
  <c r="FF293"/>
  <c r="FF147"/>
  <c r="FF242"/>
  <c r="FF225"/>
  <c r="FF191"/>
  <c r="FF283"/>
  <c r="FF246"/>
  <c r="FF279"/>
  <c r="FF158"/>
  <c r="FF106"/>
  <c r="FF168"/>
  <c r="FF216"/>
  <c r="FF184"/>
  <c r="FF179"/>
  <c r="FF112"/>
  <c r="FF206"/>
  <c r="FF66"/>
  <c r="FF197"/>
  <c r="FF171"/>
  <c r="FF240"/>
  <c r="FF248"/>
  <c r="FF105"/>
  <c r="FF182"/>
  <c r="FF70"/>
  <c r="FF136"/>
  <c r="FF259"/>
  <c r="FF261"/>
  <c r="FF48"/>
  <c r="FK48" s="1"/>
  <c r="FL48" s="1"/>
  <c r="FF183"/>
  <c r="FF174"/>
  <c r="FF190"/>
  <c r="FF32"/>
  <c r="FF157"/>
  <c r="FF277"/>
  <c r="FF271"/>
  <c r="FF219"/>
  <c r="FF328"/>
  <c r="FF264"/>
  <c r="FF56"/>
  <c r="FK56" s="1"/>
  <c r="FL56" s="1"/>
  <c r="FF40"/>
  <c r="FF214"/>
  <c r="FF178"/>
  <c r="FF213"/>
  <c r="FF229"/>
  <c r="FF170"/>
  <c r="FF227"/>
  <c r="FF238"/>
  <c r="FF34"/>
  <c r="FF139"/>
  <c r="FF189"/>
  <c r="FF46"/>
  <c r="FF30"/>
  <c r="FF187"/>
  <c r="FF54"/>
  <c r="FK54" s="1"/>
  <c r="FL54" s="1"/>
  <c r="FF144"/>
  <c r="FF291"/>
  <c r="FF256"/>
  <c r="FF224"/>
  <c r="FF269"/>
  <c r="FF208"/>
  <c r="FF262"/>
  <c r="FF270"/>
  <c r="FF280"/>
  <c r="FF198"/>
  <c r="FF60"/>
  <c r="FK60" s="1"/>
  <c r="FL60" s="1"/>
  <c r="FF10"/>
  <c r="FK10" s="1"/>
  <c r="FL10" s="1"/>
  <c r="FF160"/>
  <c r="FF296"/>
  <c r="FF161"/>
  <c r="FF47"/>
  <c r="FF74"/>
  <c r="FF92"/>
  <c r="FF44"/>
  <c r="FF272"/>
  <c r="FF241"/>
  <c r="FF287"/>
  <c r="FF362"/>
  <c r="FF205"/>
  <c r="FF24"/>
  <c r="FF267"/>
  <c r="FF396"/>
  <c r="FF357"/>
  <c r="FF331"/>
  <c r="FF299"/>
  <c r="FF203"/>
  <c r="FF353"/>
  <c r="FF364"/>
  <c r="FF335"/>
  <c r="FF194"/>
  <c r="FF312"/>
  <c r="FF281"/>
  <c r="FF348"/>
  <c r="FF254"/>
  <c r="FF84"/>
  <c r="FF18"/>
  <c r="FK18" s="1"/>
  <c r="FL18" s="1"/>
  <c r="FF186"/>
  <c r="FF62"/>
  <c r="FK62" s="1"/>
  <c r="FL62" s="1"/>
  <c r="FF341"/>
  <c r="FF314"/>
  <c r="FF350"/>
  <c r="FF388"/>
  <c r="FF251"/>
  <c r="FF278"/>
  <c r="FF260"/>
  <c r="FF288"/>
  <c r="FF43"/>
  <c r="FF132"/>
  <c r="FF366"/>
  <c r="FF276"/>
  <c r="FF89"/>
  <c r="FF28"/>
  <c r="FF88"/>
  <c r="FF175"/>
  <c r="FF36"/>
  <c r="FF398"/>
  <c r="FF78"/>
  <c r="FF153"/>
  <c r="FF156"/>
  <c r="FF230"/>
  <c r="FF255"/>
  <c r="FF356"/>
  <c r="FF395"/>
  <c r="FF266"/>
  <c r="FF295"/>
  <c r="FF221"/>
  <c r="FF245"/>
  <c r="FF284"/>
  <c r="FF315"/>
  <c r="FF239"/>
  <c r="FF265"/>
  <c r="FF338"/>
  <c r="FF375"/>
  <c r="FF125"/>
  <c r="FF118"/>
  <c r="FF108"/>
  <c r="FF113"/>
  <c r="FF236"/>
  <c r="FF95"/>
  <c r="FF275"/>
  <c r="FF135"/>
  <c r="FF103"/>
  <c r="FF68"/>
  <c r="FF128"/>
  <c r="FF91"/>
  <c r="FF86"/>
  <c r="FF152"/>
  <c r="FF120"/>
  <c r="FF58"/>
  <c r="FK58" s="1"/>
  <c r="FL58" s="1"/>
  <c r="FF226"/>
  <c r="FF325"/>
  <c r="FF365"/>
  <c r="FF215"/>
  <c r="FF73"/>
  <c r="FF311"/>
  <c r="FF71"/>
  <c r="FF302"/>
  <c r="FF154"/>
  <c r="FF339"/>
  <c r="FF75"/>
  <c r="FF320"/>
  <c r="FF102"/>
  <c r="FF222"/>
  <c r="FF146"/>
  <c r="FF321"/>
  <c r="FF130"/>
  <c r="FF285"/>
  <c r="FF51"/>
  <c r="FK51" s="1"/>
  <c r="FL51" s="1"/>
  <c r="FF212"/>
  <c r="FF81"/>
  <c r="FF347"/>
  <c r="FF96"/>
  <c r="FF87"/>
  <c r="FF100"/>
  <c r="FF110"/>
  <c r="FF20"/>
  <c r="FF29"/>
  <c r="FF126"/>
  <c r="FF23"/>
  <c r="FF52"/>
  <c r="FK52" s="1"/>
  <c r="FL52" s="1"/>
  <c r="FF98"/>
  <c r="FF185"/>
  <c r="FF195"/>
  <c r="FF176"/>
  <c r="FF50"/>
  <c r="FK50" s="1"/>
  <c r="FL50" s="1"/>
  <c r="FF121"/>
  <c r="FF69"/>
  <c r="FF65"/>
  <c r="FF26"/>
  <c r="FF25"/>
  <c r="FF13"/>
  <c r="FK13" s="1"/>
  <c r="FL13" s="1"/>
  <c r="FF109"/>
  <c r="FF14"/>
  <c r="FK14" s="1"/>
  <c r="FL14" s="1"/>
  <c r="FF45"/>
  <c r="FF55"/>
  <c r="FK55" s="1"/>
  <c r="FL55" s="1"/>
  <c r="FF90"/>
  <c r="FF94"/>
  <c r="FF49"/>
  <c r="FK49" s="1"/>
  <c r="FL49" s="1"/>
  <c r="FF22"/>
  <c r="FF159"/>
  <c r="FF145"/>
  <c r="FF53"/>
  <c r="FK53" s="1"/>
  <c r="FL53" s="1"/>
  <c r="FF67"/>
  <c r="FF142"/>
  <c r="FF9"/>
  <c r="FK9" s="1"/>
  <c r="FL9" s="1"/>
  <c r="FF21"/>
  <c r="FF143"/>
  <c r="FF35"/>
  <c r="FF63"/>
  <c r="FK63" s="1"/>
  <c r="FL63" s="1"/>
  <c r="FF33"/>
  <c r="FF31"/>
  <c r="FF148"/>
  <c r="FF119"/>
  <c r="FF137"/>
  <c r="FF115"/>
  <c r="FF111"/>
  <c r="FF127"/>
  <c r="FF134"/>
  <c r="FF140"/>
  <c r="FF83"/>
  <c r="FF116"/>
  <c r="FF166"/>
  <c r="FF117"/>
  <c r="FF72"/>
  <c r="FF181"/>
  <c r="FF149"/>
  <c r="FF11"/>
  <c r="FK11" s="1"/>
  <c r="FL11" s="1"/>
  <c r="FF107"/>
  <c r="FF133"/>
  <c r="FF141"/>
  <c r="FF165"/>
  <c r="FF150"/>
  <c r="FF59"/>
  <c r="FK59" s="1"/>
  <c r="FL59" s="1"/>
  <c r="FF37"/>
  <c r="FF101"/>
  <c r="FF155"/>
  <c r="FF173"/>
  <c r="FF15"/>
  <c r="FK15" s="1"/>
  <c r="FL15" s="1"/>
  <c r="FF129"/>
  <c r="FF41"/>
  <c r="FF19"/>
  <c r="FK19" s="1"/>
  <c r="FL19" s="1"/>
  <c r="FF79"/>
  <c r="FF27"/>
  <c r="FF61"/>
  <c r="FK61" s="1"/>
  <c r="FL61" s="1"/>
  <c r="FF99"/>
  <c r="FF57"/>
  <c r="FK57" s="1"/>
  <c r="FL57" s="1"/>
  <c r="FF38"/>
  <c r="FF85"/>
  <c r="FF77"/>
  <c r="FF123"/>
  <c r="FF17"/>
  <c r="FK17" s="1"/>
  <c r="FL17" s="1"/>
  <c r="FF93"/>
  <c r="FF39"/>
  <c r="FF104"/>
  <c r="FF16"/>
  <c r="FK16" s="1"/>
  <c r="FL16" s="1"/>
  <c r="AK2"/>
  <c r="AN2"/>
  <c r="AD2"/>
  <c r="V2"/>
  <c r="AJ2"/>
  <c r="AF2"/>
  <c r="AB2"/>
  <c r="S2"/>
  <c r="Z2"/>
  <c r="AC2"/>
  <c r="AI2"/>
  <c r="AG2"/>
  <c r="R2"/>
  <c r="W2"/>
  <c r="AA2"/>
  <c r="Q2"/>
  <c r="T2"/>
  <c r="O2"/>
  <c r="AH2"/>
  <c r="AM2"/>
  <c r="AS2"/>
  <c r="AO2"/>
  <c r="AE2"/>
  <c r="U2"/>
  <c r="X2"/>
  <c r="AL2"/>
  <c r="AR2"/>
  <c r="P2"/>
  <c r="AQ2"/>
  <c r="Y2"/>
  <c r="AP2"/>
  <c r="FK5"/>
  <c r="FL5" s="1"/>
  <c r="FK7"/>
  <c r="FL7" s="1"/>
  <c r="FK943"/>
  <c r="FL943" s="1"/>
  <c r="FK1216"/>
  <c r="FL1216" s="1"/>
  <c r="FK1176"/>
  <c r="FL1176" s="1"/>
  <c r="FK1052"/>
  <c r="FL1052" s="1"/>
  <c r="FK1148"/>
  <c r="FL1148" s="1"/>
  <c r="FK1249"/>
  <c r="FL1249" s="1"/>
  <c r="FK1016"/>
  <c r="FL1016" s="1"/>
  <c r="FK1080"/>
  <c r="FL1080" s="1"/>
  <c r="FK1209"/>
  <c r="FL1209" s="1"/>
  <c r="FK1113"/>
  <c r="FL1113" s="1"/>
  <c r="FK2960"/>
  <c r="FL2960" s="1"/>
  <c r="FK2990"/>
  <c r="FL2990" s="1"/>
  <c r="FK888"/>
  <c r="FL888" s="1"/>
  <c r="FK1317"/>
  <c r="FL1317" s="1"/>
  <c r="FK2341"/>
  <c r="FL2341" s="1"/>
  <c r="FK2004"/>
  <c r="FL2004" s="1"/>
  <c r="FK3249"/>
  <c r="FL3249" s="1"/>
  <c r="FK2531"/>
  <c r="FL2531" s="1"/>
  <c r="FK2060"/>
  <c r="FL2060" s="1"/>
  <c r="FK2208"/>
  <c r="FL2208" s="1"/>
  <c r="FK2354"/>
  <c r="FL2354" s="1"/>
  <c r="FK3398"/>
  <c r="FL3398" s="1"/>
  <c r="FK2381"/>
  <c r="FL2381" s="1"/>
  <c r="FK3257"/>
  <c r="FL3257" s="1"/>
  <c r="FK2082"/>
  <c r="FL2082" s="1"/>
  <c r="FK2162"/>
  <c r="FL2162" s="1"/>
  <c r="FK1705"/>
  <c r="FL1705" s="1"/>
  <c r="FK2458"/>
  <c r="FL2458" s="1"/>
  <c r="FK2880"/>
  <c r="FL2880" s="1"/>
  <c r="FK2882"/>
  <c r="FL2882" s="1"/>
  <c r="FK2598"/>
  <c r="FL2598" s="1"/>
  <c r="FK2177"/>
  <c r="FL2177" s="1"/>
  <c r="FK1786"/>
  <c r="FL1786" s="1"/>
  <c r="FK3069"/>
  <c r="FL3069" s="1"/>
  <c r="FK2270"/>
  <c r="FL2270" s="1"/>
  <c r="FK1538"/>
  <c r="FL1538" s="1"/>
  <c r="FK1686"/>
  <c r="FL1686" s="1"/>
  <c r="FK1831"/>
  <c r="FL1831" s="1"/>
  <c r="FK2630"/>
  <c r="FL2630" s="1"/>
  <c r="FK1837"/>
  <c r="FL1837" s="1"/>
  <c r="FK2655"/>
  <c r="FL2655" s="1"/>
  <c r="FK3028"/>
  <c r="FL3028" s="1"/>
  <c r="FK3336"/>
  <c r="FL3336" s="1"/>
  <c r="FK3426"/>
  <c r="FL3426" s="1"/>
  <c r="FK1967"/>
  <c r="FL1967" s="1"/>
  <c r="FK2536"/>
  <c r="FL2536" s="1"/>
  <c r="FK2262"/>
  <c r="FL2262" s="1"/>
  <c r="FK3278"/>
  <c r="FL3278" s="1"/>
  <c r="FK861"/>
  <c r="FL861" s="1"/>
  <c r="FK854"/>
  <c r="FL854" s="1"/>
  <c r="FK815"/>
  <c r="FL815" s="1"/>
  <c r="FK848"/>
  <c r="FL848" s="1"/>
  <c r="FK1557"/>
  <c r="FL1557" s="1"/>
  <c r="FK2324"/>
  <c r="FL2324" s="1"/>
  <c r="FK2844"/>
  <c r="FL2844" s="1"/>
  <c r="FK2842"/>
  <c r="FL2842" s="1"/>
  <c r="FK2416"/>
  <c r="FL2416" s="1"/>
  <c r="FK1795"/>
  <c r="FL1795" s="1"/>
  <c r="FK3287"/>
  <c r="FL3287" s="1"/>
  <c r="FK3013"/>
  <c r="FL3013" s="1"/>
  <c r="FK1724"/>
  <c r="FL1724" s="1"/>
  <c r="FK2417"/>
  <c r="FL2417" s="1"/>
  <c r="FK3309"/>
  <c r="FL3309" s="1"/>
  <c r="FK2178"/>
  <c r="FL2178" s="1"/>
  <c r="FK2471"/>
  <c r="FL2471" s="1"/>
  <c r="FK2269"/>
  <c r="FL2269" s="1"/>
  <c r="FK1783"/>
  <c r="FL1783" s="1"/>
  <c r="FK1721"/>
  <c r="FL1721" s="1"/>
  <c r="FK3152"/>
  <c r="FL3152" s="1"/>
  <c r="FK2421"/>
  <c r="FL2421" s="1"/>
  <c r="FK1567"/>
  <c r="FL1567" s="1"/>
  <c r="FK2455"/>
  <c r="FL2455" s="1"/>
  <c r="FK2898"/>
  <c r="FL2898" s="1"/>
  <c r="FK3125"/>
  <c r="FL3125" s="1"/>
  <c r="FK2211"/>
  <c r="FL2211" s="1"/>
  <c r="FK2384"/>
  <c r="FL2384" s="1"/>
  <c r="FK3356"/>
  <c r="FL3356" s="1"/>
  <c r="FK1664"/>
  <c r="FL1664" s="1"/>
  <c r="FK2829"/>
  <c r="FL2829" s="1"/>
  <c r="FK3440"/>
  <c r="FL3440" s="1"/>
  <c r="FK2478"/>
  <c r="FL2478" s="1"/>
  <c r="FK1832"/>
  <c r="FL1832" s="1"/>
  <c r="FK3143"/>
  <c r="FL3143" s="1"/>
  <c r="FK1323"/>
  <c r="FL1323" s="1"/>
  <c r="FK3154"/>
  <c r="FL3154" s="1"/>
  <c r="FK1320"/>
  <c r="FL1320" s="1"/>
  <c r="FK3358"/>
  <c r="FL3358" s="1"/>
  <c r="FK2485"/>
  <c r="FL2485" s="1"/>
  <c r="FK1738"/>
  <c r="FL1738" s="1"/>
  <c r="FK2065"/>
  <c r="FL2065" s="1"/>
  <c r="FK2077"/>
  <c r="FL2077" s="1"/>
  <c r="FK2808"/>
  <c r="FL2808" s="1"/>
  <c r="FK2718"/>
  <c r="FL2718" s="1"/>
  <c r="FK2437"/>
  <c r="FL2437" s="1"/>
  <c r="FK2658"/>
  <c r="FL2658" s="1"/>
  <c r="FK1610"/>
  <c r="FL1610" s="1"/>
  <c r="FK1690"/>
  <c r="FL1690" s="1"/>
  <c r="FK1889"/>
  <c r="FL1889" s="1"/>
  <c r="FK3016"/>
  <c r="FL3016" s="1"/>
  <c r="FK1293"/>
  <c r="FL1293" s="1"/>
  <c r="FK3318"/>
  <c r="FL3318" s="1"/>
  <c r="FK1830"/>
  <c r="FL1830" s="1"/>
  <c r="FK2254"/>
  <c r="FL2254" s="1"/>
  <c r="FK2418"/>
  <c r="FL2418" s="1"/>
  <c r="FK3117"/>
  <c r="FL3117" s="1"/>
  <c r="FK3124"/>
  <c r="FL3124" s="1"/>
  <c r="FK1364"/>
  <c r="FL1364" s="1"/>
  <c r="FK1891"/>
  <c r="FL1891" s="1"/>
  <c r="FK3338"/>
  <c r="FL3338" s="1"/>
  <c r="FK3451"/>
  <c r="FL3451" s="1"/>
  <c r="FK2100"/>
  <c r="FL2100" s="1"/>
  <c r="FK2230"/>
  <c r="FL2230" s="1"/>
  <c r="FK2745"/>
  <c r="FL2745" s="1"/>
  <c r="FK2867"/>
  <c r="FL2867" s="1"/>
  <c r="FK1697"/>
  <c r="FL1697" s="1"/>
  <c r="FK2511"/>
  <c r="FL2511" s="1"/>
  <c r="FK2952"/>
  <c r="FL2952" s="1"/>
  <c r="FK3058"/>
  <c r="FL3058" s="1"/>
  <c r="FK2958"/>
  <c r="FL2958" s="1"/>
  <c r="FK1859"/>
  <c r="FL1859" s="1"/>
  <c r="FK1371"/>
  <c r="FL1371" s="1"/>
  <c r="FK3285"/>
  <c r="FL3285" s="1"/>
  <c r="FK2492"/>
  <c r="FL2492" s="1"/>
  <c r="FK820"/>
  <c r="FL820" s="1"/>
  <c r="FK779"/>
  <c r="FL779" s="1"/>
  <c r="FK1400"/>
  <c r="FL1400" s="1"/>
  <c r="FK2823"/>
  <c r="FL2823" s="1"/>
  <c r="FK2939"/>
  <c r="FL2939" s="1"/>
  <c r="FK3216"/>
  <c r="FL3216" s="1"/>
  <c r="FK2020"/>
  <c r="FL2020" s="1"/>
  <c r="FK2155"/>
  <c r="FL2155" s="1"/>
  <c r="FK3049"/>
  <c r="FL3049" s="1"/>
  <c r="FK2436"/>
  <c r="FL2436" s="1"/>
  <c r="FK2615"/>
  <c r="FL2615" s="1"/>
  <c r="FK1790"/>
  <c r="FL1790" s="1"/>
  <c r="FK1657"/>
  <c r="FL1657" s="1"/>
  <c r="FK1372"/>
  <c r="FL1372" s="1"/>
  <c r="FK2837"/>
  <c r="FL2837" s="1"/>
  <c r="FK3320"/>
  <c r="FL3320" s="1"/>
  <c r="FK2438"/>
  <c r="FL2438" s="1"/>
  <c r="FK1368"/>
  <c r="FL1368" s="1"/>
  <c r="FK1741"/>
  <c r="FL1741" s="1"/>
  <c r="FK2474"/>
  <c r="FL2474" s="1"/>
  <c r="FK3066"/>
  <c r="FL3066" s="1"/>
  <c r="FK1411"/>
  <c r="FL1411" s="1"/>
  <c r="FK2010"/>
  <c r="FL2010" s="1"/>
  <c r="FK2017"/>
  <c r="FL2017" s="1"/>
  <c r="FK1452"/>
  <c r="FL1452" s="1"/>
  <c r="FK1517"/>
  <c r="FL1517" s="1"/>
  <c r="FK2022"/>
  <c r="FL2022" s="1"/>
  <c r="FK3279"/>
  <c r="FL3279" s="1"/>
  <c r="FK1912"/>
  <c r="FL1912" s="1"/>
  <c r="FK2380"/>
  <c r="FL2380" s="1"/>
  <c r="FK2191"/>
  <c r="FL2191" s="1"/>
  <c r="FK3305"/>
  <c r="FL3305" s="1"/>
  <c r="FK963"/>
  <c r="FL963" s="1"/>
  <c r="FK1267"/>
  <c r="FL1267" s="1"/>
  <c r="FK1130"/>
  <c r="FL1130" s="1"/>
  <c r="FK1133"/>
  <c r="FL1133" s="1"/>
  <c r="FK884"/>
  <c r="FL884" s="1"/>
  <c r="FK999"/>
  <c r="FL999" s="1"/>
  <c r="FK991"/>
  <c r="FL991" s="1"/>
  <c r="FK853"/>
  <c r="FL853" s="1"/>
  <c r="FK1231"/>
  <c r="FL1231" s="1"/>
  <c r="FK990"/>
  <c r="FL990" s="1"/>
  <c r="FK887"/>
  <c r="FL887" s="1"/>
  <c r="FK1102"/>
  <c r="FL1102" s="1"/>
  <c r="FK987"/>
  <c r="FL987" s="1"/>
  <c r="FK954"/>
  <c r="FL954" s="1"/>
  <c r="FK965"/>
  <c r="FL965" s="1"/>
  <c r="FK759"/>
  <c r="FL759" s="1"/>
  <c r="FK1261"/>
  <c r="FL1261" s="1"/>
  <c r="FK1008"/>
  <c r="FL1008" s="1"/>
  <c r="FK1184"/>
  <c r="FL1184" s="1"/>
  <c r="FK1120"/>
  <c r="FL1120" s="1"/>
  <c r="FK1116"/>
  <c r="FL1116" s="1"/>
  <c r="FK1048"/>
  <c r="FL1048" s="1"/>
  <c r="FK2725"/>
  <c r="FL2725" s="1"/>
  <c r="FK2019"/>
  <c r="FL2019" s="1"/>
  <c r="FK1867"/>
  <c r="FL1867" s="1"/>
  <c r="FK2942"/>
  <c r="FL2942" s="1"/>
  <c r="FK1475"/>
  <c r="FL1475" s="1"/>
  <c r="FK2839"/>
  <c r="FL2839" s="1"/>
  <c r="FK3301"/>
  <c r="FL3301" s="1"/>
  <c r="FK2450"/>
  <c r="FL2450" s="1"/>
  <c r="FK2561"/>
  <c r="FL2561" s="1"/>
  <c r="FK1416"/>
  <c r="FL1416" s="1"/>
  <c r="FK2562"/>
  <c r="FL2562" s="1"/>
  <c r="FK2847"/>
  <c r="FL2847" s="1"/>
  <c r="FK2589"/>
  <c r="FL2589" s="1"/>
  <c r="FK2508"/>
  <c r="FL2508" s="1"/>
  <c r="FK2521"/>
  <c r="FL2521" s="1"/>
  <c r="FK1388"/>
  <c r="FL1388" s="1"/>
  <c r="FK2687"/>
  <c r="FL2687" s="1"/>
  <c r="FK3347"/>
  <c r="FL3347" s="1"/>
  <c r="FK2499"/>
  <c r="FL2499" s="1"/>
  <c r="FK1534"/>
  <c r="FL1534" s="1"/>
  <c r="FK1764"/>
  <c r="FL1764" s="1"/>
  <c r="FK1643"/>
  <c r="FL1643" s="1"/>
  <c r="FK1731"/>
  <c r="FL1731" s="1"/>
  <c r="FK3189"/>
  <c r="FL3189" s="1"/>
  <c r="FK3382"/>
  <c r="FL3382" s="1"/>
  <c r="FK2895"/>
  <c r="FL2895" s="1"/>
  <c r="FK2185"/>
  <c r="FL2185" s="1"/>
  <c r="FK3015"/>
  <c r="FL3015" s="1"/>
  <c r="FK3077"/>
  <c r="FL3077" s="1"/>
  <c r="FK2632"/>
  <c r="FL2632" s="1"/>
  <c r="FK1911"/>
  <c r="FL1911" s="1"/>
  <c r="FK2910"/>
  <c r="FL2910" s="1"/>
  <c r="FK1503"/>
  <c r="FL1503" s="1"/>
  <c r="FK3004"/>
  <c r="FL3004" s="1"/>
  <c r="FK2462"/>
  <c r="FL2462" s="1"/>
  <c r="FK3444"/>
  <c r="FL3444" s="1"/>
  <c r="FK1450"/>
  <c r="FL1450" s="1"/>
  <c r="FK2301"/>
  <c r="FL2301" s="1"/>
  <c r="FK2401"/>
  <c r="FL2401" s="1"/>
  <c r="FK2509"/>
  <c r="FL2509" s="1"/>
  <c r="FK1801"/>
  <c r="FL1801" s="1"/>
  <c r="FK3436"/>
  <c r="FL3436" s="1"/>
  <c r="FK1706"/>
  <c r="FL1706" s="1"/>
  <c r="FK2938"/>
  <c r="FL2938" s="1"/>
  <c r="FK2783"/>
  <c r="FL2783" s="1"/>
  <c r="FK1839"/>
  <c r="FL1839" s="1"/>
  <c r="FK1953"/>
  <c r="FL1953" s="1"/>
  <c r="FK3208"/>
  <c r="FL3208" s="1"/>
  <c r="FK1373"/>
  <c r="FL1373" s="1"/>
  <c r="FK1382"/>
  <c r="FL1382" s="1"/>
  <c r="FK1312"/>
  <c r="FL1312" s="1"/>
  <c r="FK1982"/>
  <c r="FL1982" s="1"/>
  <c r="FK3235"/>
  <c r="FL3235" s="1"/>
  <c r="FK2617"/>
  <c r="FL2617" s="1"/>
  <c r="FK2887"/>
  <c r="FL2887" s="1"/>
  <c r="FK3431"/>
  <c r="FL3431" s="1"/>
  <c r="FK2826"/>
  <c r="FL2826" s="1"/>
  <c r="FK2356"/>
  <c r="FL2356" s="1"/>
  <c r="FK3021"/>
  <c r="FL3021" s="1"/>
  <c r="FK1292"/>
  <c r="FL1292" s="1"/>
  <c r="FK2571"/>
  <c r="FL2571" s="1"/>
  <c r="FK1544"/>
  <c r="FL1544" s="1"/>
  <c r="FK3220"/>
  <c r="FL3220" s="1"/>
  <c r="FK2023"/>
  <c r="FL2023" s="1"/>
  <c r="FK1474"/>
  <c r="FL1474" s="1"/>
  <c r="FK1198"/>
  <c r="FL1198" s="1"/>
  <c r="FK1066"/>
  <c r="FL1066" s="1"/>
  <c r="FK1035"/>
  <c r="FL1035" s="1"/>
  <c r="FK1157"/>
  <c r="FL1157" s="1"/>
  <c r="FK1260"/>
  <c r="FL1260" s="1"/>
  <c r="FK758"/>
  <c r="FL758" s="1"/>
  <c r="FK1020"/>
  <c r="FL1020" s="1"/>
  <c r="FK976"/>
  <c r="FL976" s="1"/>
  <c r="FK974"/>
  <c r="FL974" s="1"/>
  <c r="FK1256"/>
  <c r="FL1256" s="1"/>
  <c r="FK3232"/>
  <c r="FL3232" s="1"/>
  <c r="FK923"/>
  <c r="FL923" s="1"/>
  <c r="FK750"/>
  <c r="FL750" s="1"/>
  <c r="FK1381"/>
  <c r="FL1381" s="1"/>
  <c r="FK2090"/>
  <c r="FL2090" s="1"/>
  <c r="FK2616"/>
  <c r="FL2616" s="1"/>
  <c r="FK1696"/>
  <c r="FL1696" s="1"/>
  <c r="FK2651"/>
  <c r="FL2651" s="1"/>
  <c r="FK2857"/>
  <c r="FL2857" s="1"/>
  <c r="FK1285"/>
  <c r="FL1285" s="1"/>
  <c r="FK3173"/>
  <c r="FL3173" s="1"/>
  <c r="FK3359"/>
  <c r="FL3359" s="1"/>
  <c r="FK2497"/>
  <c r="FL2497" s="1"/>
  <c r="FK1672"/>
  <c r="FL1672" s="1"/>
  <c r="FK3011"/>
  <c r="FL3011" s="1"/>
  <c r="FK1616"/>
  <c r="FL1616" s="1"/>
  <c r="FK2164"/>
  <c r="FL2164" s="1"/>
  <c r="FK1308"/>
  <c r="FL1308" s="1"/>
  <c r="FK2820"/>
  <c r="FL2820" s="1"/>
  <c r="FK1298"/>
  <c r="FL1298" s="1"/>
  <c r="FK835"/>
  <c r="FL835" s="1"/>
  <c r="FK744"/>
  <c r="FL744" s="1"/>
  <c r="FK1656"/>
  <c r="FL1656" s="1"/>
  <c r="FK3207"/>
  <c r="FL3207" s="1"/>
  <c r="FK1291"/>
  <c r="FL1291" s="1"/>
  <c r="FK2134"/>
  <c r="FL2134" s="1"/>
  <c r="FK2276"/>
  <c r="FL2276" s="1"/>
  <c r="FK2667"/>
  <c r="FL2667" s="1"/>
  <c r="FK1390"/>
  <c r="FL1390" s="1"/>
  <c r="FK1562"/>
  <c r="FL1562" s="1"/>
  <c r="FK1428"/>
  <c r="FL1428" s="1"/>
  <c r="FK1906"/>
  <c r="FL1906" s="1"/>
  <c r="FK2932"/>
  <c r="FL2932" s="1"/>
  <c r="FK2251"/>
  <c r="FL2251" s="1"/>
  <c r="FK2500"/>
  <c r="FL2500" s="1"/>
  <c r="FK1580"/>
  <c r="FL1580" s="1"/>
  <c r="FK2031"/>
  <c r="FL2031" s="1"/>
  <c r="FK2650"/>
  <c r="FL2650" s="1"/>
  <c r="FK2366"/>
  <c r="FL2366" s="1"/>
  <c r="FK2257"/>
  <c r="FL2257" s="1"/>
  <c r="FK3333"/>
  <c r="FL3333" s="1"/>
  <c r="FK2293"/>
  <c r="FL2293" s="1"/>
  <c r="FK1929"/>
  <c r="FL1929" s="1"/>
  <c r="FK1488"/>
  <c r="FL1488" s="1"/>
  <c r="FK2731"/>
  <c r="FL2731" s="1"/>
  <c r="FK1746"/>
  <c r="FL1746" s="1"/>
  <c r="FK2814"/>
  <c r="FL2814" s="1"/>
  <c r="FK790"/>
  <c r="FL790" s="1"/>
  <c r="FK1339"/>
  <c r="FL1339" s="1"/>
  <c r="FK3199"/>
  <c r="FL3199" s="1"/>
  <c r="FK2591"/>
  <c r="FL2591" s="1"/>
  <c r="FK1989"/>
  <c r="FL1989" s="1"/>
  <c r="FK3276"/>
  <c r="FL3276" s="1"/>
  <c r="FK2669"/>
  <c r="FL2669" s="1"/>
  <c r="FK2009"/>
  <c r="FL2009" s="1"/>
  <c r="FK1584"/>
  <c r="FL1584" s="1"/>
  <c r="FK1800"/>
  <c r="FL1800" s="1"/>
  <c r="FK3383"/>
  <c r="FL3383" s="1"/>
  <c r="FK1675"/>
  <c r="FL1675" s="1"/>
  <c r="FK2931"/>
  <c r="FL2931" s="1"/>
  <c r="FK924"/>
  <c r="FL924" s="1"/>
  <c r="FK2602"/>
  <c r="FL2602" s="1"/>
  <c r="FK2328"/>
  <c r="FL2328" s="1"/>
  <c r="FK2609"/>
  <c r="FL2609" s="1"/>
  <c r="FK2685"/>
  <c r="FL2685" s="1"/>
  <c r="FK3170"/>
  <c r="FL3170" s="1"/>
  <c r="FK775"/>
  <c r="FL775" s="1"/>
  <c r="FK2738"/>
  <c r="FL2738" s="1"/>
  <c r="FK2604"/>
  <c r="FL2604" s="1"/>
  <c r="FK3044"/>
  <c r="FL3044" s="1"/>
  <c r="FK2833"/>
  <c r="FL2833" s="1"/>
  <c r="FK2094"/>
  <c r="FL2094" s="1"/>
  <c r="FK2273"/>
  <c r="FL2273" s="1"/>
  <c r="FK1997"/>
  <c r="FL1997" s="1"/>
  <c r="FK2950"/>
  <c r="FL2950" s="1"/>
  <c r="FK2315"/>
  <c r="FL2315" s="1"/>
  <c r="FK2542"/>
  <c r="FL2542" s="1"/>
  <c r="FK1269"/>
  <c r="FL1269" s="1"/>
  <c r="FK1166"/>
  <c r="FL1166" s="1"/>
  <c r="FK1203"/>
  <c r="FL1203" s="1"/>
  <c r="FK1058"/>
  <c r="FL1058" s="1"/>
  <c r="FK850"/>
  <c r="FL850" s="1"/>
  <c r="FK1121"/>
  <c r="FL1121" s="1"/>
  <c r="FK1228"/>
  <c r="FL1228" s="1"/>
  <c r="FK1046"/>
  <c r="FL1046" s="1"/>
  <c r="FK1141"/>
  <c r="FL1141" s="1"/>
  <c r="FK1252"/>
  <c r="FL1252" s="1"/>
  <c r="FK1003"/>
  <c r="FL1003" s="1"/>
  <c r="FK1247"/>
  <c r="FL1247" s="1"/>
  <c r="FK1118"/>
  <c r="FL1118" s="1"/>
  <c r="FK1111"/>
  <c r="FL1111" s="1"/>
  <c r="FK1214"/>
  <c r="FL1214" s="1"/>
  <c r="FK1009"/>
  <c r="FL1009" s="1"/>
  <c r="FK2518"/>
  <c r="FL2518" s="1"/>
  <c r="FK808"/>
  <c r="FL808" s="1"/>
  <c r="FK1765"/>
  <c r="FL1765" s="1"/>
  <c r="FK2789"/>
  <c r="FL2789" s="1"/>
  <c r="FK2623"/>
  <c r="FL2623" s="1"/>
  <c r="FK1763"/>
  <c r="FL1763" s="1"/>
  <c r="FK3052"/>
  <c r="FL3052" s="1"/>
  <c r="FK3147"/>
  <c r="FL3147" s="1"/>
  <c r="FK3258"/>
  <c r="FL3258" s="1"/>
  <c r="FK3355"/>
  <c r="FL3355" s="1"/>
  <c r="FK3350"/>
  <c r="FL3350" s="1"/>
  <c r="FK1844"/>
  <c r="FL1844" s="1"/>
  <c r="FK2371"/>
  <c r="FL2371" s="1"/>
  <c r="FK1718"/>
  <c r="FL1718" s="1"/>
  <c r="FK2694"/>
  <c r="FL2694" s="1"/>
  <c r="FK2601"/>
  <c r="FL2601" s="1"/>
  <c r="FK1406"/>
  <c r="FL1406" s="1"/>
  <c r="FK2370"/>
  <c r="FL2370" s="1"/>
  <c r="FK2831"/>
  <c r="FL2831" s="1"/>
  <c r="FK1601"/>
  <c r="FL1601" s="1"/>
  <c r="FK2625"/>
  <c r="FL2625" s="1"/>
  <c r="FK2383"/>
  <c r="FL2383" s="1"/>
  <c r="FK1502"/>
  <c r="FL1502" s="1"/>
  <c r="FK2856"/>
  <c r="FL2856" s="1"/>
  <c r="FK2732"/>
  <c r="FL2732" s="1"/>
  <c r="FK2866"/>
  <c r="FL2866" s="1"/>
  <c r="FK2975"/>
  <c r="FL2975" s="1"/>
  <c r="FK2470"/>
  <c r="FL2470" s="1"/>
  <c r="FK2701"/>
  <c r="FL2701" s="1"/>
  <c r="FK1603"/>
  <c r="FL1603" s="1"/>
  <c r="FK2875"/>
  <c r="FL2875" s="1"/>
  <c r="FK3255"/>
  <c r="FL3255" s="1"/>
  <c r="FK2153"/>
  <c r="FL2153" s="1"/>
  <c r="FK3093"/>
  <c r="FL3093" s="1"/>
  <c r="FK1772"/>
  <c r="FL1772" s="1"/>
  <c r="FK1980"/>
  <c r="FL1980" s="1"/>
  <c r="FK862"/>
  <c r="FL862" s="1"/>
  <c r="FK845"/>
  <c r="FL845" s="1"/>
  <c r="FK792"/>
  <c r="FL792" s="1"/>
  <c r="FK2453"/>
  <c r="FL2453" s="1"/>
  <c r="FK1315"/>
  <c r="FL1315" s="1"/>
  <c r="FK2359"/>
  <c r="FL2359" s="1"/>
  <c r="FK2652"/>
  <c r="FL2652" s="1"/>
  <c r="FK2573"/>
  <c r="FL2573" s="1"/>
  <c r="FK2722"/>
  <c r="FL2722" s="1"/>
  <c r="FK1913"/>
  <c r="FL1913" s="1"/>
  <c r="FK3088"/>
  <c r="FL3088" s="1"/>
  <c r="FK1284"/>
  <c r="FL1284" s="1"/>
  <c r="FK1935"/>
  <c r="FL1935" s="1"/>
  <c r="FK2419"/>
  <c r="FL2419" s="1"/>
  <c r="FK1984"/>
  <c r="FL1984" s="1"/>
  <c r="FK3118"/>
  <c r="FL3118" s="1"/>
  <c r="FK2937"/>
  <c r="FL2937" s="1"/>
  <c r="FK1564"/>
  <c r="FL1564" s="1"/>
  <c r="FK2266"/>
  <c r="FL2266" s="1"/>
  <c r="FK3370"/>
  <c r="FL3370" s="1"/>
  <c r="FK1932"/>
  <c r="FL1932" s="1"/>
  <c r="FK1303"/>
  <c r="FL1303" s="1"/>
  <c r="FK894"/>
  <c r="FL894" s="1"/>
  <c r="FK816"/>
  <c r="FL816" s="1"/>
  <c r="FK2235"/>
  <c r="FL2235" s="1"/>
  <c r="FK1722"/>
  <c r="FL1722" s="1"/>
  <c r="FK2506"/>
  <c r="FL2506" s="1"/>
  <c r="FK1343"/>
  <c r="FL1343" s="1"/>
  <c r="FK3307"/>
  <c r="FL3307" s="1"/>
  <c r="FK2058"/>
  <c r="FL2058" s="1"/>
  <c r="FK2729"/>
  <c r="FL2729" s="1"/>
  <c r="FK1681"/>
  <c r="FL1681" s="1"/>
  <c r="FK2936"/>
  <c r="FL2936" s="1"/>
  <c r="FK2894"/>
  <c r="FL2894" s="1"/>
  <c r="FK3459"/>
  <c r="FL3459" s="1"/>
  <c r="FK3201"/>
  <c r="FL3201" s="1"/>
  <c r="FK2551"/>
  <c r="FL2551" s="1"/>
  <c r="FK1892"/>
  <c r="FL1892" s="1"/>
  <c r="FK2873"/>
  <c r="FL2873" s="1"/>
  <c r="FK2386"/>
  <c r="FL2386" s="1"/>
  <c r="FK1762"/>
  <c r="FL1762" s="1"/>
  <c r="FK1977"/>
  <c r="FL1977" s="1"/>
  <c r="FK3064"/>
  <c r="FL3064" s="1"/>
  <c r="FK2619"/>
  <c r="FL2619" s="1"/>
  <c r="FK1456"/>
  <c r="FL1456" s="1"/>
  <c r="FK2295"/>
  <c r="FL2295" s="1"/>
  <c r="FK3217"/>
  <c r="FL3217" s="1"/>
  <c r="FK2268"/>
  <c r="FL2268" s="1"/>
  <c r="FK3067"/>
  <c r="FL3067" s="1"/>
  <c r="FK2540"/>
  <c r="FL2540" s="1"/>
  <c r="FK2426"/>
  <c r="FL2426" s="1"/>
  <c r="FK2930"/>
  <c r="FL2930" s="1"/>
  <c r="FK2350"/>
  <c r="FL2350" s="1"/>
  <c r="FK1363"/>
  <c r="FL1363" s="1"/>
  <c r="FK833"/>
  <c r="FL833" s="1"/>
  <c r="FK2482"/>
  <c r="FL2482" s="1"/>
  <c r="FK2995"/>
  <c r="FL2995" s="1"/>
  <c r="FK3090"/>
  <c r="FL3090" s="1"/>
  <c r="FK3317"/>
  <c r="FL3317" s="1"/>
  <c r="FK3324"/>
  <c r="FL3324" s="1"/>
  <c r="FK1733"/>
  <c r="FL1733" s="1"/>
  <c r="FK2580"/>
  <c r="FL2580" s="1"/>
  <c r="FK3020"/>
  <c r="FL3020" s="1"/>
  <c r="FK3194"/>
  <c r="FL3194" s="1"/>
  <c r="FK3230"/>
  <c r="FL3230" s="1"/>
  <c r="FK2264"/>
  <c r="FL2264" s="1"/>
  <c r="FK2267"/>
  <c r="FL2267" s="1"/>
  <c r="FK1299"/>
  <c r="FL1299" s="1"/>
  <c r="FK2663"/>
  <c r="FL2663" s="1"/>
  <c r="FK2593"/>
  <c r="FL2593" s="1"/>
  <c r="FK1459"/>
  <c r="FL1459" s="1"/>
  <c r="FK2647"/>
  <c r="FL2647" s="1"/>
  <c r="FK2911"/>
  <c r="FL2911" s="1"/>
  <c r="FK2653"/>
  <c r="FL2653" s="1"/>
  <c r="FK2679"/>
  <c r="FL2679" s="1"/>
  <c r="FK2089"/>
  <c r="FL2089" s="1"/>
  <c r="FK1602"/>
  <c r="FL1602" s="1"/>
  <c r="FK897"/>
  <c r="FL897" s="1"/>
  <c r="FK870"/>
  <c r="FL870" s="1"/>
  <c r="FK2261"/>
  <c r="FL2261" s="1"/>
  <c r="FK1847"/>
  <c r="FL1847" s="1"/>
  <c r="FK2221"/>
  <c r="FL2221" s="1"/>
  <c r="FK1561"/>
  <c r="FL1561" s="1"/>
  <c r="FK1819"/>
  <c r="FL1819" s="1"/>
  <c r="FK2163"/>
  <c r="FL2163" s="1"/>
  <c r="FK2203"/>
  <c r="FL2203" s="1"/>
  <c r="FK3050"/>
  <c r="FL3050" s="1"/>
  <c r="FK2991"/>
  <c r="FL2991" s="1"/>
  <c r="FK3091"/>
  <c r="FL3091" s="1"/>
  <c r="FK2176"/>
  <c r="FL2176" s="1"/>
  <c r="FK749"/>
  <c r="FL749" s="1"/>
  <c r="FK3128"/>
  <c r="FL3128" s="1"/>
  <c r="FK2559"/>
  <c r="FL2559" s="1"/>
  <c r="FK1518"/>
  <c r="FL1518" s="1"/>
  <c r="FK1809"/>
  <c r="FL1809" s="1"/>
  <c r="FK2214"/>
  <c r="FL2214" s="1"/>
  <c r="FK1770"/>
  <c r="FL1770" s="1"/>
  <c r="FK2171"/>
  <c r="FL2171" s="1"/>
  <c r="FK1413"/>
  <c r="FL1413" s="1"/>
  <c r="FK2488"/>
  <c r="FL2488" s="1"/>
  <c r="FK3326"/>
  <c r="FL3326" s="1"/>
  <c r="FK3178"/>
  <c r="FL3178" s="1"/>
  <c r="FK3187"/>
  <c r="FL3187" s="1"/>
  <c r="FK2596"/>
  <c r="FL2596" s="1"/>
  <c r="FK3186"/>
  <c r="FL3186" s="1"/>
  <c r="FK1347"/>
  <c r="FL1347" s="1"/>
  <c r="FK3157"/>
  <c r="FL3157" s="1"/>
  <c r="FK902"/>
  <c r="FL902" s="1"/>
  <c r="FK3079"/>
  <c r="FL3079" s="1"/>
  <c r="FK2344"/>
  <c r="FL2344" s="1"/>
  <c r="FK3417"/>
  <c r="FL3417" s="1"/>
  <c r="FK1391"/>
  <c r="FL1391" s="1"/>
  <c r="FK1955"/>
  <c r="FL1955" s="1"/>
  <c r="FK964"/>
  <c r="FL964" s="1"/>
  <c r="FK1062"/>
  <c r="FL1062" s="1"/>
  <c r="FK1240"/>
  <c r="FL1240" s="1"/>
  <c r="FK784"/>
  <c r="FL784" s="1"/>
  <c r="FK1233"/>
  <c r="FL1233" s="1"/>
  <c r="FK756"/>
  <c r="FL756" s="1"/>
  <c r="FK1103"/>
  <c r="FL1103" s="1"/>
  <c r="FK877"/>
  <c r="FL877" s="1"/>
  <c r="FK953"/>
  <c r="FL953" s="1"/>
  <c r="FK1189"/>
  <c r="FL1189" s="1"/>
  <c r="FK1195"/>
  <c r="FL1195" s="1"/>
  <c r="FK959"/>
  <c r="FL959" s="1"/>
  <c r="FK774"/>
  <c r="FL774" s="1"/>
  <c r="FK1239"/>
  <c r="FL1239" s="1"/>
  <c r="FK881"/>
  <c r="FL881" s="1"/>
  <c r="FK1061"/>
  <c r="FL1061" s="1"/>
  <c r="FK1022"/>
  <c r="FL1022" s="1"/>
  <c r="FK768"/>
  <c r="FL768" s="1"/>
  <c r="FK950"/>
  <c r="FL950" s="1"/>
  <c r="FK980"/>
  <c r="FL980" s="1"/>
  <c r="FK983"/>
  <c r="FL983" s="1"/>
  <c r="FK1183"/>
  <c r="FL1183" s="1"/>
  <c r="FK1254"/>
  <c r="FL1254" s="1"/>
  <c r="FK2469"/>
  <c r="FL2469" s="1"/>
  <c r="FK3121"/>
  <c r="FL3121" s="1"/>
  <c r="FK3244"/>
  <c r="FL3244" s="1"/>
  <c r="FK1330"/>
  <c r="FL1330" s="1"/>
  <c r="FK3102"/>
  <c r="FL3102" s="1"/>
  <c r="FK2179"/>
  <c r="FL2179" s="1"/>
  <c r="FK1926"/>
  <c r="FL1926" s="1"/>
  <c r="FK2778"/>
  <c r="FL2778" s="1"/>
  <c r="FK3400"/>
  <c r="FL3400" s="1"/>
  <c r="FK2305"/>
  <c r="FL2305" s="1"/>
  <c r="FK3197"/>
  <c r="FL3197" s="1"/>
  <c r="FK1879"/>
  <c r="FL1879" s="1"/>
  <c r="FK2172"/>
  <c r="FL2172" s="1"/>
  <c r="FK2045"/>
  <c r="FL2045" s="1"/>
  <c r="FK3284"/>
  <c r="FL3284" s="1"/>
  <c r="FK2448"/>
  <c r="FL2448" s="1"/>
  <c r="FK2152"/>
  <c r="FL2152" s="1"/>
  <c r="FK2927"/>
  <c r="FL2927" s="1"/>
  <c r="FK826"/>
  <c r="FL826" s="1"/>
  <c r="FK836"/>
  <c r="FL836" s="1"/>
  <c r="FK3233"/>
  <c r="FL3233" s="1"/>
  <c r="FK3403"/>
  <c r="FL3403" s="1"/>
  <c r="FK1996"/>
  <c r="FL1996" s="1"/>
  <c r="FK2832"/>
  <c r="FL2832" s="1"/>
  <c r="FK2673"/>
  <c r="FL2673" s="1"/>
  <c r="FK2851"/>
  <c r="FL2851" s="1"/>
  <c r="FK1805"/>
  <c r="FL1805" s="1"/>
  <c r="FK3366"/>
  <c r="FL3366" s="1"/>
  <c r="FK2850"/>
  <c r="FL2850" s="1"/>
  <c r="FK791"/>
  <c r="FL791" s="1"/>
  <c r="FK2641"/>
  <c r="FL2641" s="1"/>
  <c r="FK2367"/>
  <c r="FL2367" s="1"/>
  <c r="FK1880"/>
  <c r="FL1880" s="1"/>
  <c r="FK3341"/>
  <c r="FL3341" s="1"/>
  <c r="FK2460"/>
  <c r="FL2460" s="1"/>
  <c r="FK2051"/>
  <c r="FL2051" s="1"/>
  <c r="FK3263"/>
  <c r="FL3263" s="1"/>
  <c r="FK2196"/>
  <c r="FL2196" s="1"/>
  <c r="FK1636"/>
  <c r="FL1636" s="1"/>
  <c r="FK3413"/>
  <c r="FL3413" s="1"/>
  <c r="FK2961"/>
  <c r="FL2961" s="1"/>
  <c r="FK2674"/>
  <c r="FL2674" s="1"/>
  <c r="FK2084"/>
  <c r="FL2084" s="1"/>
  <c r="FK1688"/>
  <c r="FL1688" s="1"/>
  <c r="FK915"/>
  <c r="FL915" s="1"/>
  <c r="FK2976"/>
  <c r="FL2976" s="1"/>
  <c r="FK2095"/>
  <c r="FL2095" s="1"/>
  <c r="FK2388"/>
  <c r="FL2388" s="1"/>
  <c r="FK1611"/>
  <c r="FL1611" s="1"/>
  <c r="FK1923"/>
  <c r="FL1923" s="1"/>
  <c r="FK3109"/>
  <c r="FL3109" s="1"/>
  <c r="FK2465"/>
  <c r="FL2465" s="1"/>
  <c r="FK2306"/>
  <c r="FL2306" s="1"/>
  <c r="FK2365"/>
  <c r="FL2365" s="1"/>
  <c r="FK1833"/>
  <c r="FL1833" s="1"/>
  <c r="FK3455"/>
  <c r="FL3455" s="1"/>
  <c r="FK806"/>
  <c r="FL806" s="1"/>
  <c r="FK2913"/>
  <c r="FL2913" s="1"/>
  <c r="FK2527"/>
  <c r="FL2527" s="1"/>
  <c r="FK1841"/>
  <c r="FL1841" s="1"/>
  <c r="FK3438"/>
  <c r="FL3438" s="1"/>
  <c r="FK1858"/>
  <c r="FL1858" s="1"/>
  <c r="FK763"/>
  <c r="FL763" s="1"/>
  <c r="FK3453"/>
  <c r="FL3453" s="1"/>
  <c r="FK2120"/>
  <c r="FL2120" s="1"/>
  <c r="FK1520"/>
  <c r="FL1520" s="1"/>
  <c r="FK1962"/>
  <c r="FL1962" s="1"/>
  <c r="FK2819"/>
  <c r="FL2819" s="1"/>
  <c r="FK1505"/>
  <c r="FL1505" s="1"/>
  <c r="FK1947"/>
  <c r="FL1947" s="1"/>
  <c r="FK3302"/>
  <c r="FL3302" s="1"/>
  <c r="FK3443"/>
  <c r="FL3443" s="1"/>
  <c r="FK2413"/>
  <c r="FL2413" s="1"/>
  <c r="FK1659"/>
  <c r="FL1659" s="1"/>
  <c r="FK997"/>
  <c r="FL997" s="1"/>
  <c r="FK960"/>
  <c r="FL960" s="1"/>
  <c r="FK754"/>
  <c r="FL754" s="1"/>
  <c r="FK1033"/>
  <c r="FL1033" s="1"/>
  <c r="FK1192"/>
  <c r="FL1192" s="1"/>
  <c r="FK883"/>
  <c r="FL883" s="1"/>
  <c r="FK1024"/>
  <c r="FL1024" s="1"/>
  <c r="FK1105"/>
  <c r="FL1105" s="1"/>
  <c r="FK988"/>
  <c r="FL988" s="1"/>
  <c r="FK1119"/>
  <c r="FL1119" s="1"/>
  <c r="FK1115"/>
  <c r="FL1115" s="1"/>
  <c r="FK1018"/>
  <c r="FL1018" s="1"/>
  <c r="FK1219"/>
  <c r="FL1219" s="1"/>
  <c r="FK1114"/>
  <c r="FL1114" s="1"/>
  <c r="FK3409"/>
  <c r="FL3409" s="1"/>
  <c r="FK1637"/>
  <c r="FL1637" s="1"/>
  <c r="FK2431"/>
  <c r="FL2431" s="1"/>
  <c r="FK2924"/>
  <c r="FL2924" s="1"/>
  <c r="FK3428"/>
  <c r="FL3428" s="1"/>
  <c r="FK1453"/>
  <c r="FL1453" s="1"/>
  <c r="FK2734"/>
  <c r="FL2734" s="1"/>
  <c r="FK2546"/>
  <c r="FL2546" s="1"/>
  <c r="FK2607"/>
  <c r="FL2607" s="1"/>
  <c r="FK3202"/>
  <c r="FL3202" s="1"/>
  <c r="FK2241"/>
  <c r="FL2241" s="1"/>
  <c r="FK2877"/>
  <c r="FL2877" s="1"/>
  <c r="FK3240"/>
  <c r="FL3240" s="1"/>
  <c r="FK3122"/>
  <c r="FL3122" s="1"/>
  <c r="FK3086"/>
  <c r="FL3086" s="1"/>
  <c r="FK3337"/>
  <c r="FL3337" s="1"/>
  <c r="FK2716"/>
  <c r="FL2716" s="1"/>
  <c r="FK2138"/>
  <c r="FL2138" s="1"/>
  <c r="FK2603"/>
  <c r="FL2603" s="1"/>
  <c r="FK746"/>
  <c r="FL746" s="1"/>
  <c r="FK1812"/>
  <c r="FL1812" s="1"/>
  <c r="FK1824"/>
  <c r="FL1824" s="1"/>
  <c r="FK2953"/>
  <c r="FL2953" s="1"/>
  <c r="FK2441"/>
  <c r="FL2441" s="1"/>
  <c r="FK2033"/>
  <c r="FL2033" s="1"/>
  <c r="FK3288"/>
  <c r="FL3288" s="1"/>
  <c r="FK1549"/>
  <c r="FL1549" s="1"/>
  <c r="FK1993"/>
  <c r="FL1993" s="1"/>
  <c r="FK863"/>
  <c r="FL863" s="1"/>
  <c r="FK2296"/>
  <c r="FL2296" s="1"/>
  <c r="FK1915"/>
  <c r="FL1915" s="1"/>
  <c r="FK782"/>
  <c r="FL782" s="1"/>
  <c r="FK3256"/>
  <c r="FL3256" s="1"/>
  <c r="FK3265"/>
  <c r="FL3265" s="1"/>
  <c r="FK2167"/>
  <c r="FL2167" s="1"/>
  <c r="FK1807"/>
  <c r="FL1807" s="1"/>
  <c r="FK2698"/>
  <c r="FL2698" s="1"/>
  <c r="FK2467"/>
  <c r="FL2467" s="1"/>
  <c r="FK3277"/>
  <c r="FL3277" s="1"/>
  <c r="FK3340"/>
  <c r="FL3340" s="1"/>
  <c r="FK1751"/>
  <c r="FL1751" s="1"/>
  <c r="FK2998"/>
  <c r="FL2998" s="1"/>
  <c r="FK3171"/>
  <c r="FL3171" s="1"/>
  <c r="FK1448"/>
  <c r="FL1448" s="1"/>
  <c r="FK3212"/>
  <c r="FL3212" s="1"/>
  <c r="FK1401"/>
  <c r="FL1401" s="1"/>
  <c r="FK2056"/>
  <c r="FL2056" s="1"/>
  <c r="FK2204"/>
  <c r="FL2204" s="1"/>
  <c r="FK2410"/>
  <c r="FL2410" s="1"/>
  <c r="FK2737"/>
  <c r="FL2737" s="1"/>
  <c r="FK766"/>
  <c r="FL766" s="1"/>
  <c r="FK1379"/>
  <c r="FL1379" s="1"/>
  <c r="FK1415"/>
  <c r="FL1415" s="1"/>
  <c r="FK2948"/>
  <c r="FL2948" s="1"/>
  <c r="FK1960"/>
  <c r="FL1960" s="1"/>
  <c r="FK1999"/>
  <c r="FL1999" s="1"/>
  <c r="FK2112"/>
  <c r="FL2112" s="1"/>
  <c r="FK3017"/>
  <c r="FL3017" s="1"/>
  <c r="FK2394"/>
  <c r="FL2394" s="1"/>
  <c r="FK3115"/>
  <c r="FL3115" s="1"/>
  <c r="FK2569"/>
  <c r="FL2569" s="1"/>
  <c r="FK2840"/>
  <c r="FL2840" s="1"/>
  <c r="FK3159"/>
  <c r="FL3159" s="1"/>
  <c r="FK1940"/>
  <c r="FL1940" s="1"/>
  <c r="FK3129"/>
  <c r="FL3129" s="1"/>
  <c r="FK2637"/>
  <c r="FL2637" s="1"/>
  <c r="FK2879"/>
  <c r="FL2879" s="1"/>
  <c r="FK2750"/>
  <c r="FL2750" s="1"/>
  <c r="FK1806"/>
  <c r="FL1806" s="1"/>
  <c r="FK3445"/>
  <c r="FL3445" s="1"/>
  <c r="FK1914"/>
  <c r="FL1914" s="1"/>
  <c r="FK2548"/>
  <c r="FL2548" s="1"/>
  <c r="FK1882"/>
  <c r="FL1882" s="1"/>
  <c r="FK1478"/>
  <c r="FL1478" s="1"/>
  <c r="FK1266"/>
  <c r="FL1266" s="1"/>
  <c r="FK967"/>
  <c r="FL967" s="1"/>
  <c r="FK1057"/>
  <c r="FL1057" s="1"/>
  <c r="FK1071"/>
  <c r="FL1071" s="1"/>
  <c r="FK1158"/>
  <c r="FL1158" s="1"/>
  <c r="FK1089"/>
  <c r="FL1089" s="1"/>
  <c r="FK1768"/>
  <c r="FL1768" s="1"/>
  <c r="FK1715"/>
  <c r="FL1715" s="1"/>
  <c r="FK1410"/>
  <c r="FL1410" s="1"/>
  <c r="FK1050"/>
  <c r="FL1050" s="1"/>
  <c r="FK3312"/>
  <c r="FL3312" s="1"/>
  <c r="FK1059"/>
  <c r="FL1059" s="1"/>
  <c r="FK3372"/>
  <c r="FL3372" s="1"/>
  <c r="FK1014"/>
  <c r="FL1014" s="1"/>
  <c r="FK1854"/>
  <c r="FL1854" s="1"/>
  <c r="FK3332"/>
  <c r="FL3332" s="1"/>
  <c r="FK1145"/>
  <c r="FL1145" s="1"/>
  <c r="FK1441"/>
  <c r="FL1441" s="1"/>
  <c r="FK929"/>
  <c r="FL929" s="1"/>
  <c r="FK2377"/>
  <c r="FL2377" s="1"/>
  <c r="FK1153"/>
  <c r="FL1153" s="1"/>
  <c r="FK1174"/>
  <c r="FL1174" s="1"/>
  <c r="FK1243"/>
  <c r="FL1243" s="1"/>
  <c r="FK2597"/>
  <c r="FL2597" s="1"/>
  <c r="FK2743"/>
  <c r="FL2743" s="1"/>
  <c r="FK1354"/>
  <c r="FL1354" s="1"/>
  <c r="FK2217"/>
  <c r="FL2217" s="1"/>
  <c r="FK1409"/>
  <c r="FL1409" s="1"/>
  <c r="FK2611"/>
  <c r="FL2611" s="1"/>
  <c r="FK1403"/>
  <c r="FL1403" s="1"/>
  <c r="FK2375"/>
  <c r="FL2375" s="1"/>
  <c r="FK3352"/>
  <c r="FL3352" s="1"/>
  <c r="FK830"/>
  <c r="FL830" s="1"/>
  <c r="FK2977"/>
  <c r="FL2977" s="1"/>
  <c r="FK3108"/>
  <c r="FL3108" s="1"/>
  <c r="FK1423"/>
  <c r="FL1423" s="1"/>
  <c r="FK1930"/>
  <c r="FL1930" s="1"/>
  <c r="FK858"/>
  <c r="FL858" s="1"/>
  <c r="FK1862"/>
  <c r="FL1862" s="1"/>
  <c r="FK3462"/>
  <c r="FL3462" s="1"/>
  <c r="FK2272"/>
  <c r="FL2272" s="1"/>
  <c r="FK1280"/>
  <c r="FL1280" s="1"/>
  <c r="FK1358"/>
  <c r="FL1358" s="1"/>
  <c r="FK1709"/>
  <c r="FL1709" s="1"/>
  <c r="FK2456"/>
  <c r="FL2456" s="1"/>
  <c r="FK2250"/>
  <c r="FL2250" s="1"/>
  <c r="FK1305"/>
  <c r="FL1305" s="1"/>
  <c r="FK2047"/>
  <c r="FL2047" s="1"/>
  <c r="FK3321"/>
  <c r="FL3321" s="1"/>
  <c r="FK2209"/>
  <c r="FL2209" s="1"/>
  <c r="FK1901"/>
  <c r="FL1901" s="1"/>
  <c r="FK1360"/>
  <c r="FL1360" s="1"/>
  <c r="FK3031"/>
  <c r="FL3031" s="1"/>
  <c r="FK1399"/>
  <c r="FL1399" s="1"/>
  <c r="FK1380"/>
  <c r="FL1380" s="1"/>
  <c r="FK1532"/>
  <c r="FL1532" s="1"/>
  <c r="FK1635"/>
  <c r="FL1635" s="1"/>
  <c r="FK1572"/>
  <c r="FL1572" s="1"/>
  <c r="FK2313"/>
  <c r="FL2313" s="1"/>
  <c r="FK878"/>
  <c r="FL878" s="1"/>
  <c r="FK1204"/>
  <c r="FL1204" s="1"/>
  <c r="FK1191"/>
  <c r="FL1191" s="1"/>
  <c r="FK2988"/>
  <c r="FL2988" s="1"/>
  <c r="FK2192"/>
  <c r="FL2192" s="1"/>
  <c r="FK2099"/>
  <c r="FL2099" s="1"/>
  <c r="FK2858"/>
  <c r="FL2858" s="1"/>
  <c r="FK1827"/>
  <c r="FL1827" s="1"/>
  <c r="FK3053"/>
  <c r="FL3053" s="1"/>
  <c r="FK825"/>
  <c r="FL825" s="1"/>
  <c r="FK2613"/>
  <c r="FL2613" s="1"/>
  <c r="FK1785"/>
  <c r="FL1785" s="1"/>
  <c r="FK3158"/>
  <c r="FL3158" s="1"/>
  <c r="FK1954"/>
  <c r="FL1954" s="1"/>
  <c r="FK2133"/>
  <c r="FL2133" s="1"/>
  <c r="FK3025"/>
  <c r="FL3025" s="1"/>
  <c r="FK1487"/>
  <c r="FL1487" s="1"/>
  <c r="FK1744"/>
  <c r="FL1744" s="1"/>
  <c r="FK767"/>
  <c r="FL767" s="1"/>
  <c r="FK2553"/>
  <c r="FL2553" s="1"/>
  <c r="FK2476"/>
  <c r="FL2476" s="1"/>
  <c r="FK1310"/>
  <c r="FL1310" s="1"/>
  <c r="FK962"/>
  <c r="FL962" s="1"/>
  <c r="FK1027"/>
  <c r="FL1027" s="1"/>
  <c r="FK821"/>
  <c r="FL821" s="1"/>
  <c r="FK3002"/>
  <c r="FL3002" s="1"/>
  <c r="FK2387"/>
  <c r="FL2387" s="1"/>
  <c r="FK1856"/>
  <c r="FL1856" s="1"/>
  <c r="FK2003"/>
  <c r="FL2003" s="1"/>
  <c r="FK828"/>
  <c r="FL828" s="1"/>
  <c r="FK3038"/>
  <c r="FL3038" s="1"/>
  <c r="FK2812"/>
  <c r="FL2812" s="1"/>
  <c r="FK2080"/>
  <c r="FL2080" s="1"/>
  <c r="FK3430"/>
  <c r="FL3430" s="1"/>
  <c r="FK2385"/>
  <c r="FL2385" s="1"/>
  <c r="FK2228"/>
  <c r="FL2228" s="1"/>
  <c r="FK1773"/>
  <c r="FL1773" s="1"/>
  <c r="FK3381"/>
  <c r="FL3381" s="1"/>
  <c r="FK1560"/>
  <c r="FL1560" s="1"/>
  <c r="FK3402"/>
  <c r="FL3402" s="1"/>
  <c r="FK2807"/>
  <c r="FL2807" s="1"/>
  <c r="FK3123"/>
  <c r="FL3123" s="1"/>
  <c r="FK3084"/>
  <c r="FL3084" s="1"/>
  <c r="FK891"/>
  <c r="FL891" s="1"/>
  <c r="FK1272"/>
  <c r="FL1272" s="1"/>
  <c r="FK741"/>
  <c r="FL741" s="1"/>
  <c r="FK910"/>
  <c r="FL910" s="1"/>
  <c r="FK1242"/>
  <c r="FL1242" s="1"/>
  <c r="FK2021"/>
  <c r="FL2021" s="1"/>
  <c r="FK3308"/>
  <c r="FL3308" s="1"/>
  <c r="FK1693"/>
  <c r="FL1693" s="1"/>
  <c r="FK2878"/>
  <c r="FL2878" s="1"/>
  <c r="FK2000"/>
  <c r="FL2000" s="1"/>
  <c r="FK1843"/>
  <c r="FL1843" s="1"/>
  <c r="FK3415"/>
  <c r="FL3415" s="1"/>
  <c r="FK1846"/>
  <c r="FL1846" s="1"/>
  <c r="FK3027"/>
  <c r="FL3027" s="1"/>
  <c r="FK1471"/>
  <c r="FL1471" s="1"/>
  <c r="FK2335"/>
  <c r="FL2335" s="1"/>
  <c r="FK1777"/>
  <c r="FL1777" s="1"/>
  <c r="FK3270"/>
  <c r="FL3270" s="1"/>
  <c r="FK1511"/>
  <c r="FL1511" s="1"/>
  <c r="FK2035"/>
  <c r="FL2035" s="1"/>
  <c r="FK2606"/>
  <c r="FL2606" s="1"/>
  <c r="FK1332"/>
  <c r="FL1332" s="1"/>
  <c r="FK2547"/>
  <c r="FL2547" s="1"/>
  <c r="FK1931"/>
  <c r="FL1931" s="1"/>
  <c r="FK2195"/>
  <c r="FL2195" s="1"/>
  <c r="FK1627"/>
  <c r="FL1627" s="1"/>
  <c r="FK3039"/>
  <c r="FL3039" s="1"/>
  <c r="FK3022"/>
  <c r="FL3022" s="1"/>
  <c r="FK2245"/>
  <c r="FL2245" s="1"/>
  <c r="FK2189"/>
  <c r="FL2189" s="1"/>
  <c r="FK1648"/>
  <c r="FL1648" s="1"/>
  <c r="FK2118"/>
  <c r="FL2118" s="1"/>
  <c r="FK1707"/>
  <c r="FL1707" s="1"/>
  <c r="FK3097"/>
  <c r="FL3097" s="1"/>
  <c r="FK1677"/>
  <c r="FL1677" s="1"/>
  <c r="FK3215"/>
  <c r="FL3215" s="1"/>
  <c r="FK2660"/>
  <c r="FL2660" s="1"/>
  <c r="FK2565"/>
  <c r="FL2565" s="1"/>
  <c r="FK3407"/>
  <c r="FL3407" s="1"/>
  <c r="FK1943"/>
  <c r="FL1943" s="1"/>
  <c r="FK1933"/>
  <c r="FL1933" s="1"/>
  <c r="FK3280"/>
  <c r="FL3280" s="1"/>
  <c r="FK1167"/>
  <c r="FL1167" s="1"/>
  <c r="FK1077"/>
  <c r="FL1077" s="1"/>
  <c r="FK979"/>
  <c r="FL979" s="1"/>
  <c r="FK1492"/>
  <c r="FL1492" s="1"/>
  <c r="FK2125"/>
  <c r="FL2125" s="1"/>
  <c r="FK3471"/>
  <c r="FL3471" s="1"/>
  <c r="FK3351"/>
  <c r="FL3351" s="1"/>
  <c r="FK2835"/>
  <c r="FL2835" s="1"/>
  <c r="FK3362"/>
  <c r="FL3362" s="1"/>
  <c r="FK2962"/>
  <c r="FL2962" s="1"/>
  <c r="FK2282"/>
  <c r="FL2282" s="1"/>
  <c r="FK2876"/>
  <c r="FL2876" s="1"/>
  <c r="FK2067"/>
  <c r="FL2067" s="1"/>
  <c r="FK3246"/>
  <c r="FL3246" s="1"/>
  <c r="FK2398"/>
  <c r="FL2398" s="1"/>
  <c r="FK1850"/>
  <c r="FL1850" s="1"/>
  <c r="FK1756"/>
  <c r="FL1756" s="1"/>
  <c r="FK2454"/>
  <c r="FL2454" s="1"/>
  <c r="FK2703"/>
  <c r="FL2703" s="1"/>
  <c r="FK2006"/>
  <c r="FL2006" s="1"/>
  <c r="FK3161"/>
  <c r="FL3161" s="1"/>
  <c r="FK1865"/>
  <c r="FL1865" s="1"/>
  <c r="FK1106"/>
  <c r="FL1106" s="1"/>
  <c r="FK920"/>
  <c r="FL920" s="1"/>
  <c r="FK906"/>
  <c r="FL906" s="1"/>
  <c r="FK907"/>
  <c r="FL907" s="1"/>
  <c r="FK2524"/>
  <c r="FL2524" s="1"/>
  <c r="FK1747"/>
  <c r="FL1747" s="1"/>
  <c r="FK2391"/>
  <c r="FL2391" s="1"/>
  <c r="FK1670"/>
  <c r="FL1670" s="1"/>
  <c r="FK3105"/>
  <c r="FL3105" s="1"/>
  <c r="FK1594"/>
  <c r="FL1594" s="1"/>
  <c r="FK1485"/>
  <c r="FL1485" s="1"/>
  <c r="FK3060"/>
  <c r="FL3060" s="1"/>
  <c r="FK1866"/>
  <c r="FL1866" s="1"/>
  <c r="FK3322"/>
  <c r="FL3322" s="1"/>
  <c r="FK1477"/>
  <c r="FL1477" s="1"/>
  <c r="FK3464"/>
  <c r="FL3464" s="1"/>
  <c r="FK2928"/>
  <c r="FL2928" s="1"/>
  <c r="FK3335"/>
  <c r="FL3335" s="1"/>
  <c r="FK3040"/>
  <c r="FL3040" s="1"/>
  <c r="FK1497"/>
  <c r="FL1497" s="1"/>
  <c r="FK2137"/>
  <c r="FL2137" s="1"/>
  <c r="FK2068"/>
  <c r="FL2068" s="1"/>
  <c r="FK1135"/>
  <c r="FL1135" s="1"/>
  <c r="FK1185"/>
  <c r="FL1185" s="1"/>
  <c r="FK1250"/>
  <c r="FL1250" s="1"/>
  <c r="FK3119"/>
  <c r="FL3119" s="1"/>
  <c r="FK2993"/>
  <c r="FL2993" s="1"/>
  <c r="FK1671"/>
  <c r="FL1671" s="1"/>
  <c r="FK3140"/>
  <c r="FL3140" s="1"/>
  <c r="FK2216"/>
  <c r="FL2216" s="1"/>
  <c r="FK1444"/>
  <c r="FL1444" s="1"/>
  <c r="FK3369"/>
  <c r="FL3369" s="1"/>
  <c r="FK1994"/>
  <c r="FL1994" s="1"/>
  <c r="FK1281"/>
  <c r="FL1281" s="1"/>
  <c r="FK1483"/>
  <c r="FL1483" s="1"/>
  <c r="FK1711"/>
  <c r="FL1711" s="1"/>
  <c r="FK3160"/>
  <c r="FL3160" s="1"/>
  <c r="FK3294"/>
  <c r="FL3294" s="1"/>
  <c r="FK798"/>
  <c r="FL798" s="1"/>
  <c r="FK3009"/>
  <c r="FL3009" s="1"/>
  <c r="FK1466"/>
  <c r="FL1466" s="1"/>
  <c r="FK2923"/>
  <c r="FL2923" s="1"/>
  <c r="FK2304"/>
  <c r="FL2304" s="1"/>
  <c r="FK1541"/>
  <c r="FL1541" s="1"/>
  <c r="FK2331"/>
  <c r="FL2331" s="1"/>
  <c r="FK1408"/>
  <c r="FL1408" s="1"/>
  <c r="FK1966"/>
  <c r="FL1966" s="1"/>
  <c r="FK2688"/>
  <c r="FL2688" s="1"/>
  <c r="FK2146"/>
  <c r="FL2146" s="1"/>
  <c r="FK1769"/>
  <c r="FL1769" s="1"/>
  <c r="FK2312"/>
  <c r="FL2312" s="1"/>
  <c r="FK3404"/>
  <c r="FL3404" s="1"/>
  <c r="FK2239"/>
  <c r="FL2239" s="1"/>
  <c r="FK2353"/>
  <c r="FL2353" s="1"/>
  <c r="FK898"/>
  <c r="FL898" s="1"/>
  <c r="FK903"/>
  <c r="FL903" s="1"/>
  <c r="FK3260"/>
  <c r="FL3260" s="1"/>
  <c r="FK2422"/>
  <c r="FL2422" s="1"/>
  <c r="FK2813"/>
  <c r="FL2813" s="1"/>
  <c r="FK1787"/>
  <c r="FL1787" s="1"/>
  <c r="FK1691"/>
  <c r="FL1691" s="1"/>
  <c r="FK968"/>
  <c r="FL968" s="1"/>
  <c r="FK751"/>
  <c r="FL751" s="1"/>
  <c r="FK1190"/>
  <c r="FL1190" s="1"/>
  <c r="FK1156"/>
  <c r="FL1156" s="1"/>
  <c r="FK1181"/>
  <c r="FL1181" s="1"/>
  <c r="FK869"/>
  <c r="FL869" s="1"/>
  <c r="FK3239"/>
  <c r="FL3239" s="1"/>
  <c r="FK2219"/>
  <c r="FL2219" s="1"/>
  <c r="FK1490"/>
  <c r="FL1490" s="1"/>
  <c r="FK2864"/>
  <c r="FL2864" s="1"/>
  <c r="FK795"/>
  <c r="FL795" s="1"/>
  <c r="FK1972"/>
  <c r="FL1972" s="1"/>
  <c r="FK2797"/>
  <c r="FL2797" s="1"/>
  <c r="FK2249"/>
  <c r="FL2249" s="1"/>
  <c r="FK3299"/>
  <c r="FL3299" s="1"/>
  <c r="FK2997"/>
  <c r="FL2997" s="1"/>
  <c r="FK2428"/>
  <c r="FL2428" s="1"/>
  <c r="FK2854"/>
  <c r="FL2854" s="1"/>
  <c r="FK1885"/>
  <c r="FL1885" s="1"/>
  <c r="FK1467"/>
  <c r="FL1467" s="1"/>
  <c r="FK847"/>
  <c r="FL847" s="1"/>
  <c r="FK1760"/>
  <c r="FL1760" s="1"/>
  <c r="FK1694"/>
  <c r="FL1694" s="1"/>
  <c r="FK3089"/>
  <c r="FL3089" s="1"/>
  <c r="FK3234"/>
  <c r="FL3234" s="1"/>
  <c r="FK1170"/>
  <c r="FL1170" s="1"/>
  <c r="FK737"/>
  <c r="FL737" s="1"/>
  <c r="FK1043"/>
  <c r="FL1043" s="1"/>
  <c r="FK1407"/>
  <c r="FL1407" s="1"/>
  <c r="FK1546"/>
  <c r="FL1546" s="1"/>
  <c r="FK1985"/>
  <c r="FL1985" s="1"/>
  <c r="FK2445"/>
  <c r="FL2445" s="1"/>
  <c r="FK2515"/>
  <c r="FL2515" s="1"/>
  <c r="FK2278"/>
  <c r="FL2278" s="1"/>
  <c r="FK3085"/>
  <c r="FL3085" s="1"/>
  <c r="FK3211"/>
  <c r="FL3211" s="1"/>
  <c r="FK3393"/>
  <c r="FL3393" s="1"/>
  <c r="FK1512"/>
  <c r="FL1512" s="1"/>
  <c r="FK3286"/>
  <c r="FL3286" s="1"/>
  <c r="FK2763"/>
  <c r="FL2763" s="1"/>
  <c r="FK1295"/>
  <c r="FL1295" s="1"/>
  <c r="FK3330"/>
  <c r="FL3330" s="1"/>
  <c r="FK2768"/>
  <c r="FL2768" s="1"/>
  <c r="FK998"/>
  <c r="FL998" s="1"/>
  <c r="FK1188"/>
  <c r="FL1188" s="1"/>
  <c r="FK1245"/>
  <c r="FL1245" s="1"/>
  <c r="FK2412"/>
  <c r="FL2412" s="1"/>
  <c r="FK2260"/>
  <c r="FL2260" s="1"/>
  <c r="FK2720"/>
  <c r="FL2720" s="1"/>
  <c r="FK1667"/>
  <c r="FL1667" s="1"/>
  <c r="FK2933"/>
  <c r="FL2933" s="1"/>
  <c r="FK2369"/>
  <c r="FL2369" s="1"/>
  <c r="FK2050"/>
  <c r="FL2050" s="1"/>
  <c r="FK2173"/>
  <c r="FL2173" s="1"/>
  <c r="FK1609"/>
  <c r="FL1609" s="1"/>
  <c r="FK3054"/>
  <c r="FL3054" s="1"/>
  <c r="FK3228"/>
  <c r="FL3228" s="1"/>
  <c r="FK2011"/>
  <c r="FL2011" s="1"/>
  <c r="FK1736"/>
  <c r="FL1736" s="1"/>
  <c r="FK1462"/>
  <c r="FL1462" s="1"/>
  <c r="FK762"/>
  <c r="FL762" s="1"/>
  <c r="FK1845"/>
  <c r="FL1845" s="1"/>
  <c r="FK3151"/>
  <c r="FL3151" s="1"/>
  <c r="FK2549"/>
  <c r="FL2549" s="1"/>
  <c r="FK3219"/>
  <c r="FL3219" s="1"/>
  <c r="FK1527"/>
  <c r="FL1527" s="1"/>
  <c r="FK2727"/>
  <c r="FL2727" s="1"/>
  <c r="FK1491"/>
  <c r="FL1491" s="1"/>
  <c r="FK2761"/>
  <c r="FL2761" s="1"/>
  <c r="FK2188"/>
  <c r="FL2188" s="1"/>
  <c r="FK2403"/>
  <c r="FL2403" s="1"/>
  <c r="FK1650"/>
  <c r="FL1650" s="1"/>
  <c r="FK2973"/>
  <c r="FL2973" s="1"/>
  <c r="FK2836"/>
  <c r="FL2836" s="1"/>
  <c r="FK2475"/>
  <c r="FL2475" s="1"/>
  <c r="FK2280"/>
  <c r="FL2280" s="1"/>
  <c r="FK1717"/>
  <c r="FL1717" s="1"/>
  <c r="FK2351"/>
  <c r="FL2351" s="1"/>
  <c r="FK2610"/>
  <c r="FL2610" s="1"/>
  <c r="FK3075"/>
  <c r="FL3075" s="1"/>
  <c r="FK1992"/>
  <c r="FL1992" s="1"/>
  <c r="FK1270"/>
  <c r="FL1270" s="1"/>
  <c r="FK1268"/>
  <c r="FL1268" s="1"/>
  <c r="FK1127"/>
  <c r="FL1127" s="1"/>
  <c r="FK1155"/>
  <c r="FL1155" s="1"/>
  <c r="FK1006"/>
  <c r="FL1006" s="1"/>
  <c r="FK1125"/>
  <c r="FL1125" s="1"/>
  <c r="FK1101"/>
  <c r="FL1101" s="1"/>
  <c r="FK1251"/>
  <c r="FL1251" s="1"/>
  <c r="FK2702"/>
  <c r="FL2702" s="1"/>
  <c r="FK1522"/>
  <c r="FL1522" s="1"/>
  <c r="FK2639"/>
  <c r="FL2639" s="1"/>
  <c r="FK2115"/>
  <c r="FL2115" s="1"/>
  <c r="FK2415"/>
  <c r="FL2415" s="1"/>
  <c r="FK3274"/>
  <c r="FL3274" s="1"/>
  <c r="FK1425"/>
  <c r="FL1425" s="1"/>
  <c r="FK1925"/>
  <c r="FL1925" s="1"/>
  <c r="FK1468"/>
  <c r="FL1468" s="1"/>
  <c r="FK1904"/>
  <c r="FL1904" s="1"/>
  <c r="FK2265"/>
  <c r="FL2265" s="1"/>
  <c r="FK2503"/>
  <c r="FL2503" s="1"/>
  <c r="FK2005"/>
  <c r="FL2005" s="1"/>
  <c r="FK1555"/>
  <c r="FL1555" s="1"/>
  <c r="FK1855"/>
  <c r="FL1855" s="1"/>
  <c r="FK1757"/>
  <c r="FL1757" s="1"/>
  <c r="FK1202"/>
  <c r="FL1202" s="1"/>
  <c r="FK740"/>
  <c r="FL740" s="1"/>
  <c r="FK992"/>
  <c r="FL992" s="1"/>
  <c r="FK1177"/>
  <c r="FL1177" s="1"/>
  <c r="FK1049"/>
  <c r="FL1049" s="1"/>
  <c r="FK1748"/>
  <c r="FL1748" s="1"/>
  <c r="FK1326"/>
  <c r="FL1326" s="1"/>
  <c r="FK1473"/>
  <c r="FL1473" s="1"/>
  <c r="FK2918"/>
  <c r="FL2918" s="1"/>
  <c r="FK2498"/>
  <c r="FL2498" s="1"/>
  <c r="FK2093"/>
  <c r="FL2093" s="1"/>
  <c r="FK1872"/>
  <c r="FL1872" s="1"/>
  <c r="FK1494"/>
  <c r="FL1494" s="1"/>
  <c r="FK2397"/>
  <c r="FL2397" s="1"/>
  <c r="FK3266"/>
  <c r="FL3266" s="1"/>
  <c r="FK2577"/>
  <c r="FL2577" s="1"/>
  <c r="FK1743"/>
  <c r="FL1743" s="1"/>
  <c r="FK1704"/>
  <c r="FL1704" s="1"/>
  <c r="FK3469"/>
  <c r="FL3469" s="1"/>
  <c r="FK3203"/>
  <c r="FL3203" s="1"/>
  <c r="FK2362"/>
  <c r="FL2362" s="1"/>
  <c r="FK2494"/>
  <c r="FL2494" s="1"/>
  <c r="FK2567"/>
  <c r="FL2567" s="1"/>
  <c r="FK3046"/>
  <c r="FL3046" s="1"/>
  <c r="FK1405"/>
  <c r="FL1405" s="1"/>
  <c r="FK1262"/>
  <c r="FL1262" s="1"/>
  <c r="FK1087"/>
  <c r="FL1087" s="1"/>
  <c r="FK1244"/>
  <c r="FL1244" s="1"/>
  <c r="FK1220"/>
  <c r="FL1220" s="1"/>
  <c r="FK2963"/>
  <c r="FL2963" s="1"/>
  <c r="FK2346"/>
  <c r="FL2346" s="1"/>
  <c r="FK2874"/>
  <c r="FL2874" s="1"/>
  <c r="FK1838"/>
  <c r="FL1838" s="1"/>
  <c r="FK3045"/>
  <c r="FL3045" s="1"/>
  <c r="FK2433"/>
  <c r="FL2433" s="1"/>
  <c r="FK2220"/>
  <c r="FL2220" s="1"/>
  <c r="FK2317"/>
  <c r="FL2317" s="1"/>
  <c r="FK1753"/>
  <c r="FL1753" s="1"/>
  <c r="FK3454"/>
  <c r="FL3454" s="1"/>
  <c r="FK1335"/>
  <c r="FL1335" s="1"/>
  <c r="FK3254"/>
  <c r="FL3254" s="1"/>
  <c r="FK1907"/>
  <c r="FL1907" s="1"/>
  <c r="FK2102"/>
  <c r="FL2102" s="1"/>
  <c r="FK799"/>
  <c r="FL799" s="1"/>
  <c r="FK2101"/>
  <c r="FL2101" s="1"/>
  <c r="FK2886"/>
  <c r="FL2886" s="1"/>
  <c r="FK1599"/>
  <c r="FL1599" s="1"/>
  <c r="FK3298"/>
  <c r="FL3298" s="1"/>
  <c r="FK1419"/>
  <c r="FL1419" s="1"/>
  <c r="FK2555"/>
  <c r="FL2555" s="1"/>
  <c r="FK2110"/>
  <c r="FL2110" s="1"/>
  <c r="FK1519"/>
  <c r="FL1519" s="1"/>
  <c r="FK3357"/>
  <c r="FL3357" s="1"/>
  <c r="FK2574"/>
  <c r="FL2574" s="1"/>
  <c r="FK2332"/>
  <c r="FL2332" s="1"/>
  <c r="FK3101"/>
  <c r="FL3101" s="1"/>
  <c r="FK3092"/>
  <c r="FL3092" s="1"/>
  <c r="FK1493"/>
  <c r="FL1493" s="1"/>
  <c r="FK1340"/>
  <c r="FL1340" s="1"/>
  <c r="FK2896"/>
  <c r="FL2896" s="1"/>
  <c r="FK2229"/>
  <c r="FL2229" s="1"/>
  <c r="FK1470"/>
  <c r="FL1470" s="1"/>
  <c r="FK2919"/>
  <c r="FL2919" s="1"/>
  <c r="FK3465"/>
  <c r="FL3465" s="1"/>
  <c r="FK2675"/>
  <c r="FL2675" s="1"/>
  <c r="FK1032"/>
  <c r="FL1032" s="1"/>
  <c r="FK1164"/>
  <c r="FL1164" s="1"/>
  <c r="FK1161"/>
  <c r="FL1161" s="1"/>
  <c r="FK951"/>
  <c r="FL951" s="1"/>
  <c r="FK1072"/>
  <c r="FL1072" s="1"/>
  <c r="FK989"/>
  <c r="FL989" s="1"/>
  <c r="FK1137"/>
  <c r="FL1137" s="1"/>
  <c r="FK1082"/>
  <c r="FL1082" s="1"/>
  <c r="FK3130"/>
  <c r="FL3130" s="1"/>
  <c r="FK2558"/>
  <c r="FL2558" s="1"/>
  <c r="FK1344"/>
  <c r="FL1344" s="1"/>
  <c r="FK2308"/>
  <c r="FL2308" s="1"/>
  <c r="FK876"/>
  <c r="FL876" s="1"/>
  <c r="FK2311"/>
  <c r="FL2311" s="1"/>
  <c r="FK1788"/>
  <c r="FL1788" s="1"/>
  <c r="FK2848"/>
  <c r="FL2848" s="1"/>
  <c r="FK1375"/>
  <c r="FL1375" s="1"/>
  <c r="FK1755"/>
  <c r="FL1755" s="1"/>
  <c r="FK2070"/>
  <c r="FL2070" s="1"/>
  <c r="FK3165"/>
  <c r="FL3165" s="1"/>
  <c r="FK3110"/>
  <c r="FL3110" s="1"/>
  <c r="FK3047"/>
  <c r="FL3047" s="1"/>
  <c r="FK3401"/>
  <c r="FL3401" s="1"/>
  <c r="FK3399"/>
  <c r="FL3399" s="1"/>
  <c r="FK2648"/>
  <c r="FL2648" s="1"/>
  <c r="FK1479"/>
  <c r="FL1479" s="1"/>
  <c r="FK1246"/>
  <c r="FL1246" s="1"/>
  <c r="FK1893"/>
  <c r="FL1893" s="1"/>
  <c r="FK2846"/>
  <c r="FL2846" s="1"/>
  <c r="FK3238"/>
  <c r="FL3238" s="1"/>
  <c r="FK1776"/>
  <c r="FL1776" s="1"/>
  <c r="FK1510"/>
  <c r="FL1510" s="1"/>
  <c r="FK1766"/>
  <c r="FL1766" s="1"/>
  <c r="FK2712"/>
  <c r="FL2712" s="1"/>
  <c r="FK2946"/>
  <c r="FL2946" s="1"/>
  <c r="FK2693"/>
  <c r="FL2693" s="1"/>
  <c r="FK2086"/>
  <c r="FL2086" s="1"/>
  <c r="FK2869"/>
  <c r="FL2869" s="1"/>
  <c r="FK2608"/>
  <c r="FL2608" s="1"/>
  <c r="FK3036"/>
  <c r="FL3036" s="1"/>
  <c r="FK2843"/>
  <c r="FL2843" s="1"/>
  <c r="FK3223"/>
  <c r="FL3223" s="1"/>
  <c r="FK1365"/>
  <c r="FL1365" s="1"/>
  <c r="FK1098"/>
  <c r="FL1098" s="1"/>
  <c r="FK946"/>
  <c r="FL946" s="1"/>
  <c r="FK1187"/>
  <c r="FL1187" s="1"/>
  <c r="FK1076"/>
  <c r="FL1076" s="1"/>
  <c r="FK1578"/>
  <c r="FL1578" s="1"/>
  <c r="FK1355"/>
  <c r="FL1355" s="1"/>
  <c r="FK2570"/>
  <c r="FL2570" s="1"/>
  <c r="FK1626"/>
  <c r="FL1626" s="1"/>
  <c r="FK1857"/>
  <c r="FL1857" s="1"/>
  <c r="FK3112"/>
  <c r="FL3112" s="1"/>
  <c r="FK3470"/>
  <c r="FL3470" s="1"/>
  <c r="FK2902"/>
  <c r="FL2902" s="1"/>
  <c r="FK3183"/>
  <c r="FL3183" s="1"/>
  <c r="FK874"/>
  <c r="FL874" s="1"/>
  <c r="FK1998"/>
  <c r="FL1998" s="1"/>
  <c r="FK2656"/>
  <c r="FL2656" s="1"/>
  <c r="FK2618"/>
  <c r="FL2618" s="1"/>
  <c r="FK2072"/>
  <c r="FL2072" s="1"/>
  <c r="FK3146"/>
  <c r="FL3146" s="1"/>
  <c r="FK1619"/>
  <c r="FL1619" s="1"/>
  <c r="FK2297"/>
  <c r="FL2297" s="1"/>
  <c r="FK1394"/>
  <c r="FL1394" s="1"/>
  <c r="FK2055"/>
  <c r="FL2055" s="1"/>
  <c r="FK2194"/>
  <c r="FL2194" s="1"/>
  <c r="FK1595"/>
  <c r="FL1595" s="1"/>
  <c r="FK2016"/>
  <c r="FL2016" s="1"/>
  <c r="FK2645"/>
  <c r="FL2645" s="1"/>
  <c r="FK3153"/>
  <c r="FL3153" s="1"/>
  <c r="FK1612"/>
  <c r="FL1612" s="1"/>
  <c r="FK1658"/>
  <c r="FL1658" s="1"/>
  <c r="FK2399"/>
  <c r="FL2399" s="1"/>
  <c r="FK2244"/>
  <c r="FL2244" s="1"/>
  <c r="FK2934"/>
  <c r="FL2934" s="1"/>
  <c r="FK3142"/>
  <c r="FL3142" s="1"/>
  <c r="FK1496"/>
  <c r="FL1496" s="1"/>
  <c r="FK1975"/>
  <c r="FL1975" s="1"/>
  <c r="FK1886"/>
  <c r="FL1886" s="1"/>
  <c r="FK866"/>
  <c r="FL866" s="1"/>
  <c r="FK3078"/>
  <c r="FL3078" s="1"/>
  <c r="FK1236"/>
  <c r="FL1236" s="1"/>
  <c r="FK1230"/>
  <c r="FL1230" s="1"/>
  <c r="FK1227"/>
  <c r="FL1227" s="1"/>
  <c r="FK1079"/>
  <c r="FL1079" s="1"/>
  <c r="FK1678"/>
  <c r="FL1678" s="1"/>
  <c r="FK1442"/>
  <c r="FL1442" s="1"/>
  <c r="FK2817"/>
  <c r="FL2817" s="1"/>
  <c r="FK1631"/>
  <c r="FL1631" s="1"/>
  <c r="FK2512"/>
  <c r="FL2512" s="1"/>
  <c r="FK813"/>
  <c r="FL813" s="1"/>
  <c r="FK2076"/>
  <c r="FL2076" s="1"/>
  <c r="FK2612"/>
  <c r="FL2612" s="1"/>
  <c r="FK2342"/>
  <c r="FL2342" s="1"/>
  <c r="FK3379"/>
  <c r="FL3379" s="1"/>
  <c r="FK3461"/>
  <c r="FL3461" s="1"/>
  <c r="FK2234"/>
  <c r="FL2234" s="1"/>
  <c r="FK3363"/>
  <c r="FL3363" s="1"/>
  <c r="FK3323"/>
  <c r="FL3323" s="1"/>
  <c r="FK3273"/>
  <c r="FL3273" s="1"/>
  <c r="FK2243"/>
  <c r="FL2243" s="1"/>
  <c r="FK3375"/>
  <c r="FL3375" s="1"/>
  <c r="FK2147"/>
  <c r="FL2147" s="1"/>
  <c r="FK860"/>
  <c r="FL860" s="1"/>
  <c r="FK1171"/>
  <c r="FL1171" s="1"/>
  <c r="FK1081"/>
  <c r="FL1081" s="1"/>
  <c r="FK1213"/>
  <c r="FL1213" s="1"/>
  <c r="FK2149"/>
  <c r="FL2149" s="1"/>
  <c r="FK2493"/>
  <c r="FL2493" s="1"/>
  <c r="FK2108"/>
  <c r="FL2108" s="1"/>
  <c r="FK2002"/>
  <c r="FL2002" s="1"/>
  <c r="FK3349"/>
  <c r="FL3349" s="1"/>
  <c r="FK1970"/>
  <c r="FL1970" s="1"/>
  <c r="FK1302"/>
  <c r="FL1302" s="1"/>
  <c r="FK3262"/>
  <c r="FL3262" s="1"/>
  <c r="FK2103"/>
  <c r="FL2103" s="1"/>
  <c r="FK2726"/>
  <c r="FL2726" s="1"/>
  <c r="FK1607"/>
  <c r="FL1607" s="1"/>
  <c r="FK2792"/>
  <c r="FL2792" s="1"/>
  <c r="FK2336"/>
  <c r="FL2336" s="1"/>
  <c r="FK2744"/>
  <c r="FL2744" s="1"/>
  <c r="FK3229"/>
  <c r="FL3229" s="1"/>
  <c r="FK2284"/>
  <c r="FL2284" s="1"/>
  <c r="FK817"/>
  <c r="FL817" s="1"/>
  <c r="FK2594"/>
  <c r="FL2594" s="1"/>
  <c r="FK2568"/>
  <c r="FL2568" s="1"/>
  <c r="FK1969"/>
  <c r="FL1969" s="1"/>
  <c r="FK1030"/>
  <c r="FL1030" s="1"/>
  <c r="FK1095"/>
  <c r="FL1095" s="1"/>
  <c r="FK1041"/>
  <c r="FL1041" s="1"/>
  <c r="FK1526"/>
  <c r="FL1526" s="1"/>
  <c r="FK3176"/>
  <c r="FL3176" s="1"/>
  <c r="FK2788"/>
  <c r="FL2788" s="1"/>
  <c r="FK3319"/>
  <c r="FL3319" s="1"/>
  <c r="FK3271"/>
  <c r="FL3271" s="1"/>
  <c r="FK1727"/>
  <c r="FL1727" s="1"/>
  <c r="FK1828"/>
  <c r="FL1828" s="1"/>
  <c r="FK2901"/>
  <c r="FL2901" s="1"/>
  <c r="FK2798"/>
  <c r="FL2798" s="1"/>
  <c r="FK1457"/>
  <c r="FL1457" s="1"/>
  <c r="FK1159"/>
  <c r="FL1159" s="1"/>
  <c r="FK1163"/>
  <c r="FL1163" s="1"/>
  <c r="FK1455"/>
  <c r="FL1455" s="1"/>
  <c r="FK3243"/>
  <c r="FL3243" s="1"/>
  <c r="FK2940"/>
  <c r="FL2940" s="1"/>
  <c r="FK1463"/>
  <c r="FL1463" s="1"/>
  <c r="FK2028"/>
  <c r="FL2028" s="1"/>
  <c r="FK905"/>
  <c r="FL905" s="1"/>
  <c r="FK2684"/>
  <c r="FL2684" s="1"/>
  <c r="FK2557"/>
  <c r="FL2557" s="1"/>
  <c r="FK2775"/>
  <c r="FL2775" s="1"/>
  <c r="FK2200"/>
  <c r="FL2200" s="1"/>
  <c r="FK3410"/>
  <c r="FL3410" s="1"/>
  <c r="FK1208"/>
  <c r="FL1208" s="1"/>
  <c r="FK2733"/>
  <c r="FL2733" s="1"/>
  <c r="FK3386"/>
  <c r="FL3386" s="1"/>
  <c r="FK745"/>
  <c r="FL745" s="1"/>
  <c r="FK1588"/>
  <c r="FL1588" s="1"/>
  <c r="FK3344"/>
  <c r="FL3344" s="1"/>
  <c r="FK1414"/>
  <c r="FL1414" s="1"/>
  <c r="FK1531"/>
  <c r="FL1531" s="1"/>
  <c r="FK1629"/>
  <c r="FL1629" s="1"/>
  <c r="FK2884"/>
  <c r="FL2884" s="1"/>
  <c r="FK3345"/>
  <c r="FL3345" s="1"/>
  <c r="FK928"/>
  <c r="FL928" s="1"/>
  <c r="FK777"/>
  <c r="FL777" s="1"/>
  <c r="FK940"/>
  <c r="FL940" s="1"/>
  <c r="FK1793"/>
  <c r="FL1793" s="1"/>
  <c r="FK3225"/>
  <c r="FL3225" s="1"/>
  <c r="FK1864"/>
  <c r="FL1864" s="1"/>
  <c r="FK1418"/>
  <c r="FL1418" s="1"/>
  <c r="FK939"/>
  <c r="FL939" s="1"/>
  <c r="FK2539"/>
  <c r="FL2539" s="1"/>
  <c r="FK2078"/>
  <c r="FL2078" s="1"/>
  <c r="FK2040"/>
  <c r="FL2040" s="1"/>
  <c r="FK2337"/>
  <c r="FL2337" s="1"/>
  <c r="FK1779"/>
  <c r="FL1779" s="1"/>
  <c r="FK3424"/>
  <c r="FL3424" s="1"/>
  <c r="FK3408"/>
  <c r="FL3408" s="1"/>
  <c r="FK2225"/>
  <c r="FL2225" s="1"/>
  <c r="FK2007"/>
  <c r="FL2007" s="1"/>
  <c r="FK1073"/>
  <c r="FL1073" s="1"/>
  <c r="FK1275"/>
  <c r="FL1275" s="1"/>
  <c r="FK933"/>
  <c r="FL933" s="1"/>
  <c r="FK927"/>
  <c r="FL927" s="1"/>
  <c r="FK3081"/>
  <c r="FL3081" s="1"/>
  <c r="FK2489"/>
  <c r="FL2489" s="1"/>
  <c r="FK1883"/>
  <c r="FL1883" s="1"/>
  <c r="FK921"/>
  <c r="FL921" s="1"/>
  <c r="FK1005"/>
  <c r="FL1005" s="1"/>
  <c r="FK2109"/>
  <c r="FL2109" s="1"/>
  <c r="FK1210"/>
  <c r="FL1210" s="1"/>
  <c r="FK2190"/>
  <c r="FL2190" s="1"/>
  <c r="FK2810"/>
  <c r="FL2810" s="1"/>
  <c r="FK1451"/>
  <c r="FL1451" s="1"/>
  <c r="FK2633"/>
  <c r="FL2633" s="1"/>
  <c r="FK2105"/>
  <c r="FL2105" s="1"/>
  <c r="FK2944"/>
  <c r="FL2944" s="1"/>
  <c r="FK2678"/>
  <c r="FL2678" s="1"/>
  <c r="FK2374"/>
  <c r="FL2374" s="1"/>
  <c r="FK1386"/>
  <c r="FL1386" s="1"/>
  <c r="FK2378"/>
  <c r="FL2378" s="1"/>
  <c r="FK2148"/>
  <c r="FL2148" s="1"/>
  <c r="FK2579"/>
  <c r="FL2579" s="1"/>
  <c r="FK1234"/>
  <c r="FL1234" s="1"/>
  <c r="FK1221"/>
  <c r="FL1221" s="1"/>
  <c r="FK3133"/>
  <c r="FL3133" s="1"/>
  <c r="FK2545"/>
  <c r="FL2545" s="1"/>
  <c r="FK3033"/>
  <c r="FL3033" s="1"/>
  <c r="FK2682"/>
  <c r="FL2682" s="1"/>
  <c r="FK2126"/>
  <c r="FL2126" s="1"/>
  <c r="FK1223"/>
  <c r="FL1223" s="1"/>
  <c r="FK1110"/>
  <c r="FL1110" s="1"/>
  <c r="FK2855"/>
  <c r="FL2855" s="1"/>
  <c r="FK2198"/>
  <c r="FL2198" s="1"/>
  <c r="FK3107"/>
  <c r="FL3107" s="1"/>
  <c r="FK3132"/>
  <c r="FL3132" s="1"/>
  <c r="FK2319"/>
  <c r="FL2319" s="1"/>
  <c r="FK2777"/>
  <c r="FL2777" s="1"/>
  <c r="FK1277"/>
  <c r="FL1277" s="1"/>
  <c r="FK2989"/>
  <c r="FL2989" s="1"/>
  <c r="FK1385"/>
  <c r="FL1385" s="1"/>
  <c r="FK2443"/>
  <c r="FL2443" s="1"/>
  <c r="FK1056"/>
  <c r="FL1056" s="1"/>
  <c r="FK2116"/>
  <c r="FL2116" s="1"/>
  <c r="FK1983"/>
  <c r="FL1983" s="1"/>
  <c r="FK3241"/>
  <c r="FL3241" s="1"/>
  <c r="FK2629"/>
  <c r="FL2629" s="1"/>
  <c r="FK3329"/>
  <c r="FL3329" s="1"/>
  <c r="FK1100"/>
  <c r="FL1100" s="1"/>
  <c r="FK2554"/>
  <c r="FL2554" s="1"/>
  <c r="FK1433"/>
  <c r="FL1433" s="1"/>
  <c r="FK1369"/>
  <c r="FL1369" s="1"/>
  <c r="FK2484"/>
  <c r="FL2484" s="1"/>
  <c r="FK2575"/>
  <c r="FL2575" s="1"/>
  <c r="FK1034"/>
  <c r="FL1034" s="1"/>
  <c r="FK1579"/>
  <c r="FL1579" s="1"/>
  <c r="FK1714"/>
  <c r="FL1714" s="1"/>
  <c r="FK1771"/>
  <c r="FL1771" s="1"/>
  <c r="FK2049"/>
  <c r="FL2049" s="1"/>
  <c r="FK2083"/>
  <c r="FL2083" s="1"/>
  <c r="FK2516"/>
  <c r="FL2516" s="1"/>
  <c r="FK2971"/>
  <c r="FL2971" s="1"/>
  <c r="FK2202"/>
  <c r="FL2202" s="1"/>
  <c r="FK3048"/>
  <c r="FL3048" s="1"/>
  <c r="FK1661"/>
  <c r="FL1661" s="1"/>
  <c r="FK2841"/>
  <c r="FL2841" s="1"/>
  <c r="FK1582"/>
  <c r="FL1582" s="1"/>
  <c r="FK945"/>
  <c r="FL945" s="1"/>
  <c r="FK1663"/>
  <c r="FL1663" s="1"/>
  <c r="FK1921"/>
  <c r="FL1921" s="1"/>
  <c r="FK3391"/>
  <c r="FL3391" s="1"/>
  <c r="FK3242"/>
  <c r="FL3242" s="1"/>
  <c r="FK1851"/>
  <c r="FL1851" s="1"/>
  <c r="FK3210"/>
  <c r="FL3210" s="1"/>
  <c r="FK2252"/>
  <c r="FL2252" s="1"/>
  <c r="FK2205"/>
  <c r="FL2205" s="1"/>
  <c r="FK890"/>
  <c r="FL890" s="1"/>
  <c r="FK1094"/>
  <c r="FL1094" s="1"/>
  <c r="FK3019"/>
  <c r="FL3019" s="1"/>
  <c r="FK2786"/>
  <c r="FL2786" s="1"/>
  <c r="FK2461"/>
  <c r="FL2461" s="1"/>
  <c r="FK1822"/>
  <c r="FL1822" s="1"/>
  <c r="FK2124"/>
  <c r="FL2124" s="1"/>
  <c r="FK970"/>
  <c r="FL970" s="1"/>
  <c r="FK1920"/>
  <c r="FL1920" s="1"/>
  <c r="FK2136"/>
  <c r="FL2136" s="1"/>
  <c r="FK1981"/>
  <c r="FL1981" s="1"/>
  <c r="FK2967"/>
  <c r="FL2967" s="1"/>
  <c r="FK2741"/>
  <c r="FL2741" s="1"/>
  <c r="FK755"/>
  <c r="FL755" s="1"/>
  <c r="FK978"/>
  <c r="FL978" s="1"/>
  <c r="FK2572"/>
  <c r="FL2572" s="1"/>
  <c r="FK2526"/>
  <c r="FL2526" s="1"/>
  <c r="FK2801"/>
  <c r="FL2801" s="1"/>
  <c r="FK1702"/>
  <c r="FL1702" s="1"/>
  <c r="FK2881"/>
  <c r="FL2881" s="1"/>
  <c r="FK2081"/>
  <c r="FL2081" s="1"/>
  <c r="FK1735"/>
  <c r="FL1735" s="1"/>
  <c r="FK2752"/>
  <c r="FL2752" s="1"/>
  <c r="FK1321"/>
  <c r="FL1321" s="1"/>
  <c r="FK771"/>
  <c r="FL771" s="1"/>
  <c r="FK2985"/>
  <c r="FL2985" s="1"/>
  <c r="FK2576"/>
  <c r="FL2576" s="1"/>
  <c r="FK2804"/>
  <c r="FL2804" s="1"/>
  <c r="FK3342"/>
  <c r="FL3342" s="1"/>
  <c r="FK2677"/>
  <c r="FL2677" s="1"/>
  <c r="FK1045"/>
  <c r="FL1045" s="1"/>
  <c r="FK3059"/>
  <c r="FL3059" s="1"/>
  <c r="FK1676"/>
  <c r="FL1676" s="1"/>
  <c r="FK1525"/>
  <c r="FL1525" s="1"/>
  <c r="FK2218"/>
  <c r="FL2218" s="1"/>
  <c r="FK961"/>
  <c r="FL961" s="1"/>
  <c r="FK941"/>
  <c r="FL941" s="1"/>
  <c r="FK1507"/>
  <c r="FL1507" s="1"/>
  <c r="FK3163"/>
  <c r="FL3163" s="1"/>
  <c r="FK2127"/>
  <c r="FL2127" s="1"/>
  <c r="FK3209"/>
  <c r="FL3209" s="1"/>
  <c r="FK937"/>
  <c r="FL937" s="1"/>
  <c r="FK2174"/>
  <c r="FL2174" s="1"/>
  <c r="FK2793"/>
  <c r="FL2793" s="1"/>
  <c r="FK803"/>
  <c r="FL803" s="1"/>
  <c r="FK1950"/>
  <c r="FL1950" s="1"/>
  <c r="FK780"/>
  <c r="FL780" s="1"/>
  <c r="FK2132"/>
  <c r="FL2132" s="1"/>
  <c r="FK2522"/>
  <c r="FL2522" s="1"/>
  <c r="FK1289"/>
  <c r="FL1289" s="1"/>
  <c r="FK2766"/>
  <c r="FL2766" s="1"/>
  <c r="FK796"/>
  <c r="FL796" s="1"/>
  <c r="FK1597"/>
  <c r="FL1597" s="1"/>
  <c r="FK2636"/>
  <c r="FL2636" s="1"/>
  <c r="FK1132"/>
  <c r="FL1132" s="1"/>
  <c r="FK753"/>
  <c r="FL753" s="1"/>
  <c r="FK1565"/>
  <c r="FL1565" s="1"/>
  <c r="FK1958"/>
  <c r="FL1958" s="1"/>
  <c r="FK3195"/>
  <c r="FL3195" s="1"/>
  <c r="FK1895"/>
  <c r="FL1895" s="1"/>
  <c r="FK1815"/>
  <c r="FL1815" s="1"/>
  <c r="FK2246"/>
  <c r="FL2246" s="1"/>
  <c r="FK2079"/>
  <c r="FL2079" s="1"/>
  <c r="FK2978"/>
  <c r="FL2978" s="1"/>
  <c r="FK1927"/>
  <c r="FL1927" s="1"/>
  <c r="FK770"/>
  <c r="FL770" s="1"/>
  <c r="FK977"/>
  <c r="FL977" s="1"/>
  <c r="FK2794"/>
  <c r="FL2794" s="1"/>
  <c r="FK1530"/>
  <c r="FL1530" s="1"/>
  <c r="FK2364"/>
  <c r="FL2364" s="1"/>
  <c r="FK2646"/>
  <c r="FL2646" s="1"/>
  <c r="FK2713"/>
  <c r="FL2713" s="1"/>
  <c r="FK1825"/>
  <c r="FL1825" s="1"/>
  <c r="FK2523"/>
  <c r="FL2523" s="1"/>
  <c r="FK2621"/>
  <c r="FL2621" s="1"/>
  <c r="FK1835"/>
  <c r="FL1835" s="1"/>
  <c r="FK1225"/>
  <c r="FL1225" s="1"/>
  <c r="FK1207"/>
  <c r="FL1207" s="1"/>
  <c r="FK789"/>
  <c r="FL789" s="1"/>
  <c r="FK1500"/>
  <c r="FL1500" s="1"/>
  <c r="FK2024"/>
  <c r="FL2024" s="1"/>
  <c r="FK3267"/>
  <c r="FL3267" s="1"/>
  <c r="FK2681"/>
  <c r="FL2681" s="1"/>
  <c r="FK3421"/>
  <c r="FL3421" s="1"/>
  <c r="FK3032"/>
  <c r="FL3032" s="1"/>
  <c r="FK2730"/>
  <c r="FL2730" s="1"/>
  <c r="FK1591"/>
  <c r="FL1591" s="1"/>
  <c r="FK2156"/>
  <c r="FL2156" s="1"/>
  <c r="FK2959"/>
  <c r="FL2959" s="1"/>
  <c r="FK2825"/>
  <c r="FL2825" s="1"/>
  <c r="FK1804"/>
  <c r="FL1804" s="1"/>
  <c r="FK2142"/>
  <c r="FL2142" s="1"/>
  <c r="FK2097"/>
  <c r="FL2097" s="1"/>
  <c r="FK807"/>
  <c r="FL807" s="1"/>
  <c r="FK3389"/>
  <c r="FL3389" s="1"/>
  <c r="FK3295"/>
  <c r="FL3295" s="1"/>
  <c r="FK1552"/>
  <c r="FL1552" s="1"/>
  <c r="FK1054"/>
  <c r="FL1054" s="1"/>
  <c r="FK1258"/>
  <c r="FL1258" s="1"/>
  <c r="FK969"/>
  <c r="FL969" s="1"/>
  <c r="FK1465"/>
  <c r="FL1465" s="1"/>
  <c r="FK1504"/>
  <c r="FL1504" s="1"/>
  <c r="FK1301"/>
  <c r="FL1301" s="1"/>
  <c r="FK1946"/>
  <c r="FL1946" s="1"/>
  <c r="FK2411"/>
  <c r="FL2411" s="1"/>
  <c r="FK1634"/>
  <c r="FL1634" s="1"/>
  <c r="FK805"/>
  <c r="FL805" s="1"/>
  <c r="FK1348"/>
  <c r="FL1348" s="1"/>
  <c r="FK2966"/>
  <c r="FL2966" s="1"/>
  <c r="FK1064"/>
  <c r="FL1064" s="1"/>
  <c r="FK1085"/>
  <c r="FL1085" s="1"/>
  <c r="FK3057"/>
  <c r="FL3057" s="1"/>
  <c r="FK2753"/>
  <c r="FL2753" s="1"/>
  <c r="FK2620"/>
  <c r="FL2620" s="1"/>
  <c r="FK1356"/>
  <c r="FL1356" s="1"/>
  <c r="FK2044"/>
  <c r="FL2044" s="1"/>
  <c r="FK1600"/>
  <c r="FL1600" s="1"/>
  <c r="FK1808"/>
  <c r="FL1808" s="1"/>
  <c r="FK824"/>
  <c r="FL824" s="1"/>
  <c r="FK823"/>
  <c r="FL823" s="1"/>
  <c r="FK2699"/>
  <c r="FL2699" s="1"/>
  <c r="FK1011"/>
  <c r="FL1011" s="1"/>
  <c r="FK2085"/>
  <c r="FL2085" s="1"/>
  <c r="FK1821"/>
  <c r="FL1821" s="1"/>
  <c r="FK2736"/>
  <c r="FL2736" s="1"/>
  <c r="FK1307"/>
  <c r="FL1307" s="1"/>
  <c r="FK3283"/>
  <c r="FL3283" s="1"/>
  <c r="FK2676"/>
  <c r="FL2676" s="1"/>
  <c r="FK1309"/>
  <c r="FL1309" s="1"/>
  <c r="FK2863"/>
  <c r="FL2863" s="1"/>
  <c r="FK3172"/>
  <c r="FL3172" s="1"/>
  <c r="FK3000"/>
  <c r="FL3000" s="1"/>
  <c r="FK1397"/>
  <c r="FL1397" s="1"/>
  <c r="FK3447"/>
  <c r="FL3447" s="1"/>
  <c r="FK1917"/>
  <c r="FL1917" s="1"/>
  <c r="FK2429"/>
  <c r="FL2429" s="1"/>
  <c r="FK2779"/>
  <c r="FL2779" s="1"/>
  <c r="FK938"/>
  <c r="FL938" s="1"/>
  <c r="FK2141"/>
  <c r="FL2141" s="1"/>
  <c r="FK814"/>
  <c r="FL814" s="1"/>
  <c r="FK2821"/>
  <c r="FL2821" s="1"/>
  <c r="FK3155"/>
  <c r="FL3155" s="1"/>
  <c r="FK3473"/>
  <c r="FL3473" s="1"/>
  <c r="FK1067"/>
  <c r="FL1067" s="1"/>
  <c r="FK1178"/>
  <c r="FL1178" s="1"/>
  <c r="FK1336"/>
  <c r="FL1336" s="1"/>
  <c r="FK2941"/>
  <c r="FL2941" s="1"/>
  <c r="FK917"/>
  <c r="FL917" s="1"/>
  <c r="FK2161"/>
  <c r="FL2161" s="1"/>
  <c r="FK2749"/>
  <c r="FL2749" s="1"/>
  <c r="FK1461"/>
  <c r="FL1461" s="1"/>
  <c r="FK872"/>
  <c r="FL872" s="1"/>
  <c r="FK3014"/>
  <c r="FL3014" s="1"/>
  <c r="FK2715"/>
  <c r="FL2715" s="1"/>
  <c r="FK1387"/>
  <c r="FL1387" s="1"/>
  <c r="FK1278"/>
  <c r="FL1278" s="1"/>
  <c r="FK873"/>
  <c r="FL873" s="1"/>
  <c r="FK1924"/>
  <c r="FL1924" s="1"/>
  <c r="FK1434"/>
  <c r="FL1434" s="1"/>
  <c r="FK3098"/>
  <c r="FL3098" s="1"/>
  <c r="FK2889"/>
  <c r="FL2889" s="1"/>
  <c r="FK3272"/>
  <c r="FL3272" s="1"/>
  <c r="FK1968"/>
  <c r="FL1968" s="1"/>
  <c r="FK2451"/>
  <c r="FL2451" s="1"/>
  <c r="FK1083"/>
  <c r="FL1083" s="1"/>
  <c r="FK2787"/>
  <c r="FL2787" s="1"/>
  <c r="FK3095"/>
  <c r="FL3095" s="1"/>
  <c r="FK3261"/>
  <c r="FL3261" s="1"/>
  <c r="FK1484"/>
  <c r="FL1484" s="1"/>
  <c r="FK879"/>
  <c r="FL879" s="1"/>
  <c r="FK1941"/>
  <c r="FL1941" s="1"/>
  <c r="FK3439"/>
  <c r="FL3439" s="1"/>
  <c r="FK2347"/>
  <c r="FL2347" s="1"/>
  <c r="FK2160"/>
  <c r="FL2160" s="1"/>
  <c r="FK3135"/>
  <c r="FL3135" s="1"/>
  <c r="FK3149"/>
  <c r="FL3149" s="1"/>
  <c r="FK2123"/>
  <c r="FL2123" s="1"/>
  <c r="FK787"/>
  <c r="FL787" s="1"/>
  <c r="FK2390"/>
  <c r="FL2390" s="1"/>
  <c r="FK2238"/>
  <c r="FL2238" s="1"/>
  <c r="FK3134"/>
  <c r="FL3134" s="1"/>
  <c r="FK1469"/>
  <c r="FL1469" s="1"/>
  <c r="FK3361"/>
  <c r="FL3361" s="1"/>
  <c r="FK1811"/>
  <c r="FL1811" s="1"/>
  <c r="FK2859"/>
  <c r="FL2859" s="1"/>
  <c r="FK773"/>
  <c r="FL773" s="1"/>
  <c r="FK1001"/>
  <c r="FL1001" s="1"/>
  <c r="FK1010"/>
  <c r="FL1010" s="1"/>
  <c r="FK1798"/>
  <c r="FL1798" s="1"/>
  <c r="FK3250"/>
  <c r="FL3250" s="1"/>
  <c r="FK2904"/>
  <c r="FL2904" s="1"/>
  <c r="FK1589"/>
  <c r="FL1589" s="1"/>
  <c r="FK2600"/>
  <c r="FL2600" s="1"/>
  <c r="FK3365"/>
  <c r="FL3365" s="1"/>
  <c r="FK2654"/>
  <c r="FL2654" s="1"/>
  <c r="FK3425"/>
  <c r="FL3425" s="1"/>
  <c r="FK2805"/>
  <c r="FL2805" s="1"/>
  <c r="FK2348"/>
  <c r="FL2348" s="1"/>
  <c r="FK986"/>
  <c r="FL986" s="1"/>
  <c r="FK1053"/>
  <c r="FL1053" s="1"/>
  <c r="FK2809"/>
  <c r="FL2809" s="1"/>
  <c r="FK2528"/>
  <c r="FL2528" s="1"/>
  <c r="FK2197"/>
  <c r="FL2197" s="1"/>
  <c r="FK2704"/>
  <c r="FL2704" s="1"/>
  <c r="FK2666"/>
  <c r="FL2666" s="1"/>
  <c r="FK1545"/>
  <c r="FL1545" s="1"/>
  <c r="FK1951"/>
  <c r="FL1951" s="1"/>
  <c r="FK1031"/>
  <c r="FL1031" s="1"/>
  <c r="FK908"/>
  <c r="FL908" s="1"/>
  <c r="FK1013"/>
  <c r="FL1013" s="1"/>
  <c r="FK1573"/>
  <c r="FL1573" s="1"/>
  <c r="FK2491"/>
  <c r="FL2491" s="1"/>
  <c r="FK1810"/>
  <c r="FL1810" s="1"/>
  <c r="FK2514"/>
  <c r="FL2514" s="1"/>
  <c r="FK3136"/>
  <c r="FL3136" s="1"/>
  <c r="FK1789"/>
  <c r="FL1789" s="1"/>
  <c r="FK3463"/>
  <c r="FL3463" s="1"/>
  <c r="FK3035"/>
  <c r="FL3035" s="1"/>
  <c r="FK1853"/>
  <c r="FL1853" s="1"/>
  <c r="FK1873"/>
  <c r="FL1873" s="1"/>
  <c r="FK3316"/>
  <c r="FL3316" s="1"/>
  <c r="FK3331"/>
  <c r="FL3331" s="1"/>
  <c r="FK1666"/>
  <c r="FL1666" s="1"/>
  <c r="FK3458"/>
  <c r="FL3458" s="1"/>
  <c r="FK1916"/>
  <c r="FL1916" s="1"/>
  <c r="FK786"/>
  <c r="FL786" s="1"/>
  <c r="FK2300"/>
  <c r="FL2300" s="1"/>
  <c r="FK1936"/>
  <c r="FL1936" s="1"/>
  <c r="FK2457"/>
  <c r="FL2457" s="1"/>
  <c r="FK1143"/>
  <c r="FL1143" s="1"/>
  <c r="FK2175"/>
  <c r="FL2175" s="1"/>
  <c r="FK1615"/>
  <c r="FL1615" s="1"/>
  <c r="FK2626"/>
  <c r="FL2626" s="1"/>
  <c r="FK1352"/>
  <c r="FL1352" s="1"/>
  <c r="FK3024"/>
  <c r="FL3024" s="1"/>
  <c r="FK2302"/>
  <c r="FL2302" s="1"/>
  <c r="FK1894"/>
  <c r="FL1894" s="1"/>
  <c r="FK3168"/>
  <c r="FL3168" s="1"/>
  <c r="FK2772"/>
  <c r="FL2772" s="1"/>
  <c r="FK1353"/>
  <c r="FL1353" s="1"/>
  <c r="FK1680"/>
  <c r="FL1680" s="1"/>
  <c r="FK2972"/>
  <c r="FL2972" s="1"/>
  <c r="FK2111"/>
  <c r="FL2111" s="1"/>
  <c r="FK2145"/>
  <c r="FL2145" s="1"/>
  <c r="FK2635"/>
  <c r="FL2635" s="1"/>
  <c r="FK2670"/>
  <c r="FL2670" s="1"/>
  <c r="FK982"/>
  <c r="FL982" s="1"/>
  <c r="FK2104"/>
  <c r="FL2104" s="1"/>
  <c r="FK3018"/>
  <c r="FL3018" s="1"/>
  <c r="FK2724"/>
  <c r="FL2724" s="1"/>
  <c r="FK2286"/>
  <c r="FL2286" s="1"/>
  <c r="FK934"/>
  <c r="FL934" s="1"/>
  <c r="FK3251"/>
  <c r="FL3251" s="1"/>
  <c r="FK1384"/>
  <c r="FL1384" s="1"/>
  <c r="FK1625"/>
  <c r="FL1625" s="1"/>
  <c r="FK2915"/>
  <c r="FL2915" s="1"/>
  <c r="FK3191"/>
  <c r="FL3191" s="1"/>
  <c r="FK2659"/>
  <c r="FL2659" s="1"/>
  <c r="FK856"/>
  <c r="FL856" s="1"/>
  <c r="FK812"/>
  <c r="FL812" s="1"/>
  <c r="FK2643"/>
  <c r="FL2643" s="1"/>
  <c r="FK1732"/>
  <c r="FL1732" s="1"/>
  <c r="FK1995"/>
  <c r="FL1995" s="1"/>
  <c r="FK797"/>
  <c r="FL797" s="1"/>
  <c r="FK2903"/>
  <c r="FL2903" s="1"/>
  <c r="FK3126"/>
  <c r="FL3126" s="1"/>
  <c r="FK2389"/>
  <c r="FL2389" s="1"/>
  <c r="FK994"/>
  <c r="FL994" s="1"/>
  <c r="FK1015"/>
  <c r="FL1015" s="1"/>
  <c r="FK2695"/>
  <c r="FL2695" s="1"/>
  <c r="FK3139"/>
  <c r="FL3139" s="1"/>
  <c r="FK2447"/>
  <c r="FL2447" s="1"/>
  <c r="FK2434"/>
  <c r="FL2434" s="1"/>
  <c r="FK3162"/>
  <c r="FL3162" s="1"/>
  <c r="FK3041"/>
  <c r="FL3041" s="1"/>
  <c r="FK2170"/>
  <c r="FL2170" s="1"/>
  <c r="FK2954"/>
  <c r="FL2954" s="1"/>
  <c r="FK2043"/>
  <c r="FL2043" s="1"/>
  <c r="FK3141"/>
  <c r="FL3141" s="1"/>
  <c r="FK955"/>
  <c r="FL955" s="1"/>
  <c r="FK1574"/>
  <c r="FL1574" s="1"/>
  <c r="FK2584"/>
  <c r="FL2584" s="1"/>
  <c r="FK778"/>
  <c r="FL778" s="1"/>
  <c r="FK2917"/>
  <c r="FL2917" s="1"/>
  <c r="FK2291"/>
  <c r="FL2291" s="1"/>
  <c r="FK2477"/>
  <c r="FL2477" s="1"/>
  <c r="FK1653"/>
  <c r="FL1653" s="1"/>
  <c r="FK1314"/>
  <c r="FL1314" s="1"/>
  <c r="FK2899"/>
  <c r="FL2899" s="1"/>
  <c r="FK3405"/>
  <c r="FL3405" s="1"/>
  <c r="FK760"/>
  <c r="FL760" s="1"/>
  <c r="FK3378"/>
  <c r="FL3378" s="1"/>
  <c r="FK1840"/>
  <c r="FL1840" s="1"/>
  <c r="FK2227"/>
  <c r="FL2227" s="1"/>
  <c r="FK1481"/>
  <c r="FL1481" s="1"/>
  <c r="FK1639"/>
  <c r="FL1639" s="1"/>
  <c r="FK2237"/>
  <c r="FL2237" s="1"/>
  <c r="FK3111"/>
  <c r="FL3111" s="1"/>
  <c r="FK2247"/>
  <c r="FL2247" s="1"/>
  <c r="FK3061"/>
  <c r="FL3061" s="1"/>
  <c r="FK1144"/>
  <c r="FL1144" s="1"/>
  <c r="FK1345"/>
  <c r="FL1345" s="1"/>
  <c r="FK2852"/>
  <c r="FL2852" s="1"/>
  <c r="FK3422"/>
  <c r="FL3422" s="1"/>
  <c r="FK3065"/>
  <c r="FL3065" s="1"/>
  <c r="FK1745"/>
  <c r="FL1745" s="1"/>
  <c r="FK1238"/>
  <c r="FL1238" s="1"/>
  <c r="FK2538"/>
  <c r="FL2538" s="1"/>
  <c r="FK2414"/>
  <c r="FL2414" s="1"/>
  <c r="FK2143"/>
  <c r="FL2143" s="1"/>
  <c r="FK2224"/>
  <c r="FL2224" s="1"/>
  <c r="FK2439"/>
  <c r="FL2439" s="1"/>
  <c r="FK2213"/>
  <c r="FL2213" s="1"/>
  <c r="FK794"/>
  <c r="FL794" s="1"/>
  <c r="FK2062"/>
  <c r="FL2062" s="1"/>
  <c r="FK1422"/>
  <c r="FL1422" s="1"/>
  <c r="FK1200"/>
  <c r="FL1200" s="1"/>
  <c r="FK2307"/>
  <c r="FL2307" s="1"/>
  <c r="FK3452"/>
  <c r="FL3452" s="1"/>
  <c r="FK1620"/>
  <c r="FL1620" s="1"/>
  <c r="FK893"/>
  <c r="FL893" s="1"/>
  <c r="FK2435"/>
  <c r="FL2435" s="1"/>
  <c r="FK1726"/>
  <c r="FL1726" s="1"/>
  <c r="FK2956"/>
  <c r="FL2956" s="1"/>
  <c r="FK2074"/>
  <c r="FL2074" s="1"/>
  <c r="FK1641"/>
  <c r="FL1641" s="1"/>
  <c r="FK1581"/>
  <c r="FL1581" s="1"/>
  <c r="FK2853"/>
  <c r="FL2853" s="1"/>
  <c r="FK2634"/>
  <c r="FL2634" s="1"/>
  <c r="FK1934"/>
  <c r="FL1934" s="1"/>
  <c r="FK1703"/>
  <c r="FL1703" s="1"/>
  <c r="FK2748"/>
  <c r="FL2748" s="1"/>
  <c r="FK1193"/>
  <c r="FL1193" s="1"/>
  <c r="FK3248"/>
  <c r="FL3248" s="1"/>
  <c r="FK1286"/>
  <c r="FL1286" s="1"/>
  <c r="FK2285"/>
  <c r="FL2285" s="1"/>
  <c r="FK1952"/>
  <c r="FL1952" s="1"/>
  <c r="FK882"/>
  <c r="FL882" s="1"/>
  <c r="FK3423"/>
  <c r="FL3423" s="1"/>
  <c r="FK3377"/>
  <c r="FL3377" s="1"/>
  <c r="FK2905"/>
  <c r="FL2905" s="1"/>
  <c r="FK2091"/>
  <c r="FL2091" s="1"/>
  <c r="FK2372"/>
  <c r="FL2372" s="1"/>
  <c r="FK3205"/>
  <c r="FL3205" s="1"/>
  <c r="FK2790"/>
  <c r="FL2790" s="1"/>
  <c r="FK2719"/>
  <c r="FL2719" s="1"/>
  <c r="FK2259"/>
  <c r="FL2259" s="1"/>
  <c r="FK914"/>
  <c r="FL914" s="1"/>
  <c r="FK1577"/>
  <c r="FL1577" s="1"/>
  <c r="FK935"/>
  <c r="FL935" s="1"/>
  <c r="FK1047"/>
  <c r="FL1047" s="1"/>
  <c r="FK1495"/>
  <c r="FL1495" s="1"/>
  <c r="FK1971"/>
  <c r="FL1971" s="1"/>
  <c r="FK1092"/>
  <c r="FL1092" s="1"/>
  <c r="FK3441"/>
  <c r="FL3441" s="1"/>
  <c r="FK1689"/>
  <c r="FL1689" s="1"/>
  <c r="FK916"/>
  <c r="FL916" s="1"/>
  <c r="FK2034"/>
  <c r="FL2034" s="1"/>
  <c r="FK1752"/>
  <c r="FL1752" s="1"/>
  <c r="FK2406"/>
  <c r="FL2406" s="1"/>
  <c r="FK2785"/>
  <c r="FL2785" s="1"/>
  <c r="FK3339"/>
  <c r="FL3339" s="1"/>
  <c r="FK2452"/>
  <c r="FL2452" s="1"/>
  <c r="FK2046"/>
  <c r="FL2046" s="1"/>
  <c r="FK2862"/>
  <c r="FL2862" s="1"/>
  <c r="FK4"/>
  <c r="FL4" s="1"/>
  <c r="FK2983"/>
  <c r="FL2983" s="1"/>
  <c r="FK2368"/>
  <c r="FL2368" s="1"/>
  <c r="FK3353"/>
  <c r="FL3353" s="1"/>
  <c r="FK1420"/>
  <c r="FL1420" s="1"/>
  <c r="FK2957"/>
  <c r="FL2957" s="1"/>
  <c r="FK2564"/>
  <c r="FL2564" s="1"/>
  <c r="FK1623"/>
  <c r="FL1623" s="1"/>
  <c r="FK3245"/>
  <c r="FL3245" s="1"/>
  <c r="FK1988"/>
  <c r="FL1988" s="1"/>
  <c r="FK2588"/>
  <c r="FL2588" s="1"/>
  <c r="FK1124"/>
  <c r="FL1124" s="1"/>
  <c r="FK1253"/>
  <c r="FL1253" s="1"/>
  <c r="FK3466"/>
  <c r="FL3466" s="1"/>
  <c r="FK1974"/>
  <c r="FL1974" s="1"/>
  <c r="FK2425"/>
  <c r="FL2425" s="1"/>
  <c r="FK3099"/>
  <c r="FL3099" s="1"/>
  <c r="FK809"/>
  <c r="FL809" s="1"/>
  <c r="FK2008"/>
  <c r="FL2008" s="1"/>
  <c r="FK1685"/>
  <c r="FL1685" s="1"/>
  <c r="FK1874"/>
  <c r="FL1874" s="1"/>
  <c r="FK1535"/>
  <c r="FL1535" s="1"/>
  <c r="FK1173"/>
  <c r="FL1173" s="1"/>
  <c r="FK2929"/>
  <c r="FL2929" s="1"/>
  <c r="FK1823"/>
  <c r="FL1823" s="1"/>
  <c r="FK2182"/>
  <c r="FL2182" s="1"/>
  <c r="FK2705"/>
  <c r="FL2705" s="1"/>
  <c r="FK1282"/>
  <c r="FL1282" s="1"/>
  <c r="FK2583"/>
  <c r="FL2583" s="1"/>
  <c r="FK2986"/>
  <c r="FL2986" s="1"/>
  <c r="FK2061"/>
  <c r="FL2061" s="1"/>
  <c r="FK1128"/>
  <c r="FL1128" s="1"/>
  <c r="FK1084"/>
  <c r="FL1084" s="1"/>
  <c r="FK1758"/>
  <c r="FL1758" s="1"/>
  <c r="FK2816"/>
  <c r="FL2816" s="1"/>
  <c r="FK1826"/>
  <c r="FL1826" s="1"/>
  <c r="FK3292"/>
  <c r="FL3292" s="1"/>
  <c r="FK2420"/>
  <c r="FL2420" s="1"/>
  <c r="FK1350"/>
  <c r="FL1350" s="1"/>
  <c r="FK1949"/>
  <c r="FL1949" s="1"/>
  <c r="FK1737"/>
  <c r="FL1737" s="1"/>
  <c r="FK2979"/>
  <c r="FL2979" s="1"/>
  <c r="FK2834"/>
  <c r="FL2834" s="1"/>
  <c r="FK1051"/>
  <c r="FL1051" s="1"/>
  <c r="FK1378"/>
  <c r="FL1378" s="1"/>
  <c r="FK1928"/>
  <c r="FL1928" s="1"/>
  <c r="FK1905"/>
  <c r="FL1905" s="1"/>
  <c r="FK2872"/>
  <c r="FL2872" s="1"/>
  <c r="FK3030"/>
  <c r="FL3030" s="1"/>
  <c r="FK804"/>
  <c r="FL804" s="1"/>
  <c r="FK2926"/>
  <c r="FL2926" s="1"/>
  <c r="FK2432"/>
  <c r="FL2432" s="1"/>
  <c r="FK2822"/>
  <c r="FL2822" s="1"/>
  <c r="FK3406"/>
  <c r="FL3406" s="1"/>
  <c r="FK996"/>
  <c r="FL996" s="1"/>
  <c r="FK2587"/>
  <c r="FL2587" s="1"/>
  <c r="FK2742"/>
  <c r="FL2742" s="1"/>
  <c r="FK1300"/>
  <c r="FL1300" s="1"/>
  <c r="FK2333"/>
  <c r="FL2333" s="1"/>
  <c r="FK2117"/>
  <c r="FL2117" s="1"/>
  <c r="FK1029"/>
  <c r="FL1029" s="1"/>
  <c r="FK1708"/>
  <c r="FL1708" s="1"/>
  <c r="FK2519"/>
  <c r="FL2519" s="1"/>
  <c r="FK1590"/>
  <c r="FL1590" s="1"/>
  <c r="FK3314"/>
  <c r="FL3314" s="1"/>
  <c r="FK2053"/>
  <c r="FL2053" s="1"/>
  <c r="FK948"/>
  <c r="FL948" s="1"/>
  <c r="FK1509"/>
  <c r="FL1509" s="1"/>
  <c r="FK1426"/>
  <c r="FL1426" s="1"/>
  <c r="FK2992"/>
  <c r="FL2992" s="1"/>
  <c r="FK1533"/>
  <c r="FL1533" s="1"/>
  <c r="FK3300"/>
  <c r="FL3300" s="1"/>
  <c r="FK1361"/>
  <c r="FL1361" s="1"/>
  <c r="FK2818"/>
  <c r="FL2818" s="1"/>
  <c r="FK3062"/>
  <c r="FL3062" s="1"/>
  <c r="FK1961"/>
  <c r="FL1961" s="1"/>
  <c r="FK1957"/>
  <c r="FL1957" s="1"/>
  <c r="FK2965"/>
  <c r="FL2965" s="1"/>
  <c r="FK1377"/>
  <c r="FL1377" s="1"/>
  <c r="FK1199"/>
  <c r="FL1199" s="1"/>
  <c r="FK1217"/>
  <c r="FL1217" s="1"/>
  <c r="FK2696"/>
  <c r="FL2696" s="1"/>
  <c r="FK3434"/>
  <c r="FL3434" s="1"/>
  <c r="FK2949"/>
  <c r="FL2949" s="1"/>
  <c r="FK1540"/>
  <c r="FL1540" s="1"/>
  <c r="FK2444"/>
  <c r="FL2444" s="1"/>
  <c r="FK757"/>
  <c r="FL757" s="1"/>
  <c r="FK1117"/>
  <c r="FL1117" s="1"/>
  <c r="FK3346"/>
  <c r="FL3346" s="1"/>
  <c r="FK1868"/>
  <c r="FL1868" s="1"/>
  <c r="FK2069"/>
  <c r="FL2069" s="1"/>
  <c r="FK1489"/>
  <c r="FL1489" s="1"/>
  <c r="FK2806"/>
  <c r="FL2806" s="1"/>
  <c r="FK1349"/>
  <c r="FL1349" s="1"/>
  <c r="FK2622"/>
  <c r="FL2622" s="1"/>
  <c r="FK2776"/>
  <c r="FL2776" s="1"/>
  <c r="FK2472"/>
  <c r="FL2472" s="1"/>
  <c r="FK1134"/>
  <c r="FL1134" s="1"/>
  <c r="FK1060"/>
  <c r="FL1060" s="1"/>
  <c r="FK949"/>
  <c r="FL949" s="1"/>
  <c r="FK2314"/>
  <c r="FL2314" s="1"/>
  <c r="FK3343"/>
  <c r="FL3343" s="1"/>
  <c r="FK2318"/>
  <c r="FL2318" s="1"/>
  <c r="FK2756"/>
  <c r="FL2756" s="1"/>
  <c r="FK2649"/>
  <c r="FL2649" s="1"/>
  <c r="FK1237"/>
  <c r="FL1237" s="1"/>
  <c r="FK3180"/>
  <c r="FL3180" s="1"/>
  <c r="FK1395"/>
  <c r="FL1395" s="1"/>
  <c r="FK1438"/>
  <c r="FL1438" s="1"/>
  <c r="FK3080"/>
  <c r="FL3080" s="1"/>
  <c r="FK1551"/>
  <c r="FL1551" s="1"/>
  <c r="FK1090"/>
  <c r="FL1090" s="1"/>
  <c r="FK1140"/>
  <c r="FL1140" s="1"/>
  <c r="FK1979"/>
  <c r="FL1979" s="1"/>
  <c r="FK3360"/>
  <c r="FL3360" s="1"/>
  <c r="FK3218"/>
  <c r="FL3218" s="1"/>
  <c r="FK3380"/>
  <c r="FL3380" s="1"/>
  <c r="FK3282"/>
  <c r="FL3282" s="1"/>
  <c r="FK1713"/>
  <c r="FL1713" s="1"/>
  <c r="FK1430"/>
  <c r="FL1430" s="1"/>
  <c r="FK1324"/>
  <c r="FL1324" s="1"/>
  <c r="FK2206"/>
  <c r="FL2206" s="1"/>
  <c r="FK1682"/>
  <c r="FL1682" s="1"/>
  <c r="FK1107"/>
  <c r="FL1107" s="1"/>
  <c r="FK1875"/>
  <c r="FL1875" s="1"/>
  <c r="FK2510"/>
  <c r="FL2510" s="1"/>
  <c r="FK2714"/>
  <c r="FL2714" s="1"/>
  <c r="FK1550"/>
  <c r="FL1550" s="1"/>
  <c r="FK1146"/>
  <c r="FL1146" s="1"/>
  <c r="FK1331"/>
  <c r="FL1331" s="1"/>
  <c r="FK3269"/>
  <c r="FL3269" s="1"/>
  <c r="FK2890"/>
  <c r="FL2890" s="1"/>
  <c r="FK2543"/>
  <c r="FL2543" s="1"/>
  <c r="FK1025"/>
  <c r="FL1025" s="1"/>
  <c r="FK2168"/>
  <c r="FL2168" s="1"/>
  <c r="FK3281"/>
  <c r="FL3281" s="1"/>
  <c r="FK1036"/>
  <c r="FL1036" s="1"/>
  <c r="FK3068"/>
  <c r="FL3068" s="1"/>
  <c r="FK1108"/>
  <c r="FL1108" s="1"/>
  <c r="FK1168"/>
  <c r="FL1168" s="1"/>
  <c r="FK3138"/>
  <c r="FL3138" s="1"/>
  <c r="FK1524"/>
  <c r="FL1524" s="1"/>
  <c r="FK3450"/>
  <c r="FL3450" s="1"/>
  <c r="FK1424"/>
  <c r="FL1424" s="1"/>
  <c r="FK1632"/>
  <c r="FL1632" s="1"/>
  <c r="FK837"/>
  <c r="FL837" s="1"/>
  <c r="FK1334"/>
  <c r="FL1334" s="1"/>
  <c r="FK2400"/>
  <c r="FL2400" s="1"/>
  <c r="FK834"/>
  <c r="FL834" s="1"/>
  <c r="FK2811"/>
  <c r="FL2811" s="1"/>
  <c r="FK1297"/>
  <c r="FL1297" s="1"/>
  <c r="FK3306"/>
  <c r="FL3306" s="1"/>
  <c r="FK3385"/>
  <c r="FL3385" s="1"/>
  <c r="FK2165"/>
  <c r="FL2165" s="1"/>
  <c r="FK984"/>
  <c r="FL984" s="1"/>
  <c r="FK2233"/>
  <c r="FL2233" s="1"/>
  <c r="FK2595"/>
  <c r="FL2595" s="1"/>
  <c r="FK3073"/>
  <c r="FL3073" s="1"/>
  <c r="FK1038"/>
  <c r="FL1038" s="1"/>
  <c r="FK3193"/>
  <c r="FL3193" s="1"/>
  <c r="FK2275"/>
  <c r="FL2275" s="1"/>
  <c r="FK2215"/>
  <c r="FL2215" s="1"/>
  <c r="FK752"/>
  <c r="FL752" s="1"/>
  <c r="FK1791"/>
  <c r="FL1791" s="1"/>
  <c r="FK1325"/>
  <c r="FL1325" s="1"/>
  <c r="FK1617"/>
  <c r="FL1617" s="1"/>
  <c r="FK2955"/>
  <c r="FL2955" s="1"/>
  <c r="FK3304"/>
  <c r="FL3304" s="1"/>
  <c r="FK3468"/>
  <c r="FL3468" s="1"/>
  <c r="FK957"/>
  <c r="FL957" s="1"/>
  <c r="FK2849"/>
  <c r="FL2849" s="1"/>
  <c r="FK1876"/>
  <c r="FL1876" s="1"/>
  <c r="FK2747"/>
  <c r="FL2747" s="1"/>
  <c r="FK1037"/>
  <c r="FL1037" s="1"/>
  <c r="FK3076"/>
  <c r="FL3076" s="1"/>
  <c r="FK1139"/>
  <c r="FL1139" s="1"/>
  <c r="FK942"/>
  <c r="FL942" s="1"/>
  <c r="FK1241"/>
  <c r="FL1241" s="1"/>
  <c r="FK1848"/>
  <c r="FL1848" s="1"/>
  <c r="FK3419"/>
  <c r="FL3419" s="1"/>
  <c r="FK2015"/>
  <c r="FL2015" s="1"/>
  <c r="FK2697"/>
  <c r="FL2697" s="1"/>
  <c r="FK1665"/>
  <c r="FL1665" s="1"/>
  <c r="FK2920"/>
  <c r="FL2920" s="1"/>
  <c r="FK2994"/>
  <c r="FL2994" s="1"/>
  <c r="FK1774"/>
  <c r="FL1774" s="1"/>
  <c r="FK3221"/>
  <c r="FL3221" s="1"/>
  <c r="FK899"/>
  <c r="FL899" s="1"/>
  <c r="FK801"/>
  <c r="FL801" s="1"/>
  <c r="FK2951"/>
  <c r="FL2951" s="1"/>
  <c r="FK3131"/>
  <c r="FL3131" s="1"/>
  <c r="FK2106"/>
  <c r="FL2106" s="1"/>
  <c r="FK3177"/>
  <c r="FL3177" s="1"/>
  <c r="FK892"/>
  <c r="FL892" s="1"/>
  <c r="FK1646"/>
  <c r="FL1646" s="1"/>
  <c r="FK1796"/>
  <c r="FL1796" s="1"/>
  <c r="FK3442"/>
  <c r="FL3442" s="1"/>
  <c r="FK2486"/>
  <c r="FL2486" s="1"/>
  <c r="FK868"/>
  <c r="FL868" s="1"/>
  <c r="FK1922"/>
  <c r="FL1922" s="1"/>
  <c r="FK1888"/>
  <c r="FL1888" s="1"/>
  <c r="FK2964"/>
  <c r="FL2964" s="1"/>
  <c r="FK1294"/>
  <c r="FL1294" s="1"/>
  <c r="FK2751"/>
  <c r="FL2751" s="1"/>
  <c r="FK2627"/>
  <c r="FL2627" s="1"/>
  <c r="FK2721"/>
  <c r="FL2721" s="1"/>
  <c r="FK2947"/>
  <c r="FL2947" s="1"/>
  <c r="FK2329"/>
  <c r="FL2329" s="1"/>
  <c r="FK2530"/>
  <c r="FL2530" s="1"/>
  <c r="FK2504"/>
  <c r="FL2504" s="1"/>
  <c r="FK2236"/>
  <c r="FL2236" s="1"/>
  <c r="FK2900"/>
  <c r="FL2900" s="1"/>
  <c r="FK2129"/>
  <c r="FL2129" s="1"/>
  <c r="FK1991"/>
  <c r="FL1991" s="1"/>
  <c r="FK2030"/>
  <c r="FL2030" s="1"/>
  <c r="FK2799"/>
  <c r="FL2799" s="1"/>
  <c r="FK1028"/>
  <c r="FL1028" s="1"/>
  <c r="FK1040"/>
  <c r="FL1040" s="1"/>
  <c r="FK912"/>
  <c r="FL912" s="1"/>
  <c r="FK1154"/>
  <c r="FL1154" s="1"/>
  <c r="FK1701"/>
  <c r="FL1701" s="1"/>
  <c r="FK2605"/>
  <c r="FL2605" s="1"/>
  <c r="FK1945"/>
  <c r="FL1945" s="1"/>
  <c r="FK2782"/>
  <c r="FL2782" s="1"/>
  <c r="FK2999"/>
  <c r="FL2999" s="1"/>
  <c r="FK2075"/>
  <c r="FL2075" s="1"/>
  <c r="FK3094"/>
  <c r="FL3094" s="1"/>
  <c r="FK3395"/>
  <c r="FL3395" s="1"/>
  <c r="FK1528"/>
  <c r="FL1528" s="1"/>
  <c r="FK2037"/>
  <c r="FL2037" s="1"/>
  <c r="FK2096"/>
  <c r="FL2096" s="1"/>
  <c r="FK1881"/>
  <c r="FL1881" s="1"/>
  <c r="FK3164"/>
  <c r="FL3164" s="1"/>
  <c r="FK2232"/>
  <c r="FL2232" s="1"/>
  <c r="FK2845"/>
  <c r="FL2845" s="1"/>
  <c r="FK852"/>
  <c r="FL852" s="1"/>
  <c r="FK1338"/>
  <c r="FL1338" s="1"/>
  <c r="FK2382"/>
  <c r="FL2382" s="1"/>
  <c r="FK2139"/>
  <c r="FL2139" s="1"/>
  <c r="FK1070"/>
  <c r="FL1070" s="1"/>
  <c r="FK1000"/>
  <c r="FL1000" s="1"/>
  <c r="FK911"/>
  <c r="FL911" s="1"/>
  <c r="FK1842"/>
  <c r="FL1842" s="1"/>
  <c r="FK1730"/>
  <c r="FL1730" s="1"/>
  <c r="FK1319"/>
  <c r="FL1319" s="1"/>
  <c r="FK3264"/>
  <c r="FL3264" s="1"/>
  <c r="FK2709"/>
  <c r="FL2709" s="1"/>
  <c r="FK1521"/>
  <c r="FL1521" s="1"/>
  <c r="FK2407"/>
  <c r="FL2407" s="1"/>
  <c r="FK2893"/>
  <c r="FL2893" s="1"/>
  <c r="FK3289"/>
  <c r="FL3289" s="1"/>
  <c r="FK2092"/>
  <c r="FL2092" s="1"/>
  <c r="FK2513"/>
  <c r="FL2513" s="1"/>
  <c r="FK1655"/>
  <c r="FL1655" s="1"/>
  <c r="FK1622"/>
  <c r="FL1622" s="1"/>
  <c r="FK2907"/>
  <c r="FL2907" s="1"/>
  <c r="FK1716"/>
  <c r="FL1716" s="1"/>
  <c r="FK2121"/>
  <c r="FL2121" s="1"/>
  <c r="FK1513"/>
  <c r="FL1513" s="1"/>
  <c r="FK2135"/>
  <c r="FL2135" s="1"/>
  <c r="FK2861"/>
  <c r="FL2861" s="1"/>
  <c r="FK818"/>
  <c r="FL818" s="1"/>
  <c r="FK1026"/>
  <c r="FL1026" s="1"/>
  <c r="FK1023"/>
  <c r="FL1023" s="1"/>
  <c r="FK1055"/>
  <c r="FL1055" s="1"/>
  <c r="FK947"/>
  <c r="FL947" s="1"/>
  <c r="FK1086"/>
  <c r="FL1086" s="1"/>
  <c r="FK973"/>
  <c r="FL973" s="1"/>
  <c r="FK2277"/>
  <c r="FL2277" s="1"/>
  <c r="FK1890"/>
  <c r="FL1890" s="1"/>
  <c r="FK2253"/>
  <c r="FL2253" s="1"/>
  <c r="FK1593"/>
  <c r="FL1593" s="1"/>
  <c r="FK1990"/>
  <c r="FL1990" s="1"/>
  <c r="FK2184"/>
  <c r="FL2184" s="1"/>
  <c r="FK2288"/>
  <c r="FL2288" s="1"/>
  <c r="FK3082"/>
  <c r="FL3082" s="1"/>
  <c r="FK1878"/>
  <c r="FL1878" s="1"/>
  <c r="FK2507"/>
  <c r="FL2507" s="1"/>
  <c r="FK2735"/>
  <c r="FL2735" s="1"/>
  <c r="FK1836"/>
  <c r="FL1836" s="1"/>
  <c r="FK1449"/>
  <c r="FL1449" s="1"/>
  <c r="FK1909"/>
  <c r="FL1909" s="1"/>
  <c r="FK3449"/>
  <c r="FL3449" s="1"/>
  <c r="FK2144"/>
  <c r="FL2144" s="1"/>
  <c r="FK1816"/>
  <c r="FL1816" s="1"/>
  <c r="FK2240"/>
  <c r="FL2240" s="1"/>
  <c r="FK1973"/>
  <c r="FL1973" s="1"/>
  <c r="FK1443"/>
  <c r="FL1443" s="1"/>
  <c r="FK2541"/>
  <c r="FL2541" s="1"/>
  <c r="FK2640"/>
  <c r="FL2640" s="1"/>
  <c r="FK781"/>
  <c r="FL781" s="1"/>
  <c r="FK1902"/>
  <c r="FL1902" s="1"/>
  <c r="FK2757"/>
  <c r="FL2757" s="1"/>
  <c r="FK1780"/>
  <c r="FL1780" s="1"/>
  <c r="FK1569"/>
  <c r="FL1569" s="1"/>
  <c r="FK2299"/>
  <c r="FL2299" s="1"/>
  <c r="FK3169"/>
  <c r="FL3169" s="1"/>
  <c r="FK1679"/>
  <c r="FL1679" s="1"/>
  <c r="FK2592"/>
  <c r="FL2592" s="1"/>
  <c r="FK2765"/>
  <c r="FL2765" s="1"/>
  <c r="FK2921"/>
  <c r="FL2921" s="1"/>
  <c r="FK3214"/>
  <c r="FL3214" s="1"/>
  <c r="FK788"/>
  <c r="FL788" s="1"/>
  <c r="FK2691"/>
  <c r="FL2691" s="1"/>
  <c r="FK6"/>
  <c r="FL6" s="1"/>
  <c r="FK1232"/>
  <c r="FL1232" s="1"/>
  <c r="FK1271"/>
  <c r="FL1271" s="1"/>
  <c r="FK1142"/>
  <c r="FL1142" s="1"/>
  <c r="FK936"/>
  <c r="FL936" s="1"/>
  <c r="FK3437"/>
  <c r="FL3437" s="1"/>
  <c r="FK2473"/>
  <c r="FL2473" s="1"/>
  <c r="FK2440"/>
  <c r="FL2440" s="1"/>
  <c r="FK1692"/>
  <c r="FL1692" s="1"/>
  <c r="FK2325"/>
  <c r="FL2325" s="1"/>
  <c r="FK3023"/>
  <c r="FL3023" s="1"/>
  <c r="FK2408"/>
  <c r="FL2408" s="1"/>
  <c r="FK1499"/>
  <c r="FL1499" s="1"/>
  <c r="FK2063"/>
  <c r="FL2063" s="1"/>
  <c r="FK1586"/>
  <c r="FL1586" s="1"/>
  <c r="FK2480"/>
  <c r="FL2480" s="1"/>
  <c r="FK2599"/>
  <c r="FL2599" s="1"/>
  <c r="FK3096"/>
  <c r="FL3096" s="1"/>
  <c r="FK904"/>
  <c r="FL904" s="1"/>
  <c r="FK2505"/>
  <c r="FL2505" s="1"/>
  <c r="FK3237"/>
  <c r="FL3237" s="1"/>
  <c r="FK1506"/>
  <c r="FL1506" s="1"/>
  <c r="FK1165"/>
  <c r="FL1165" s="1"/>
  <c r="FK846"/>
  <c r="FL846" s="1"/>
  <c r="FK1273"/>
  <c r="FL1273" s="1"/>
  <c r="FK1592"/>
  <c r="FL1592" s="1"/>
  <c r="FK3397"/>
  <c r="FL3397" s="1"/>
  <c r="FK1871"/>
  <c r="FL1871" s="1"/>
  <c r="FK1482"/>
  <c r="FL1482" s="1"/>
  <c r="FK1734"/>
  <c r="FL1734" s="1"/>
  <c r="FK1436"/>
  <c r="FL1436" s="1"/>
  <c r="FK2423"/>
  <c r="FL2423" s="1"/>
  <c r="FK2912"/>
  <c r="FL2912" s="1"/>
  <c r="FK3188"/>
  <c r="FL3188" s="1"/>
  <c r="FK1647"/>
  <c r="FL1647" s="1"/>
  <c r="FK2459"/>
  <c r="FL2459" s="1"/>
  <c r="FK1439"/>
  <c r="FL1439" s="1"/>
  <c r="FK1645"/>
  <c r="FL1645" s="1"/>
  <c r="FK3310"/>
  <c r="FL3310" s="1"/>
  <c r="FK783"/>
  <c r="FL783" s="1"/>
  <c r="FK2395"/>
  <c r="FL2395" s="1"/>
  <c r="FK2525"/>
  <c r="FL2525" s="1"/>
  <c r="FK1476"/>
  <c r="FL1476" s="1"/>
  <c r="FK1903"/>
  <c r="FL1903" s="1"/>
  <c r="FK748"/>
  <c r="FL748" s="1"/>
  <c r="FK972"/>
  <c r="FL972" s="1"/>
  <c r="FK886"/>
  <c r="FL886" s="1"/>
  <c r="FK2310"/>
  <c r="FL2310" s="1"/>
  <c r="FK2665"/>
  <c r="FL2665" s="1"/>
  <c r="FK2042"/>
  <c r="FL2042" s="1"/>
  <c r="FK1649"/>
  <c r="FL1649" s="1"/>
  <c r="FK1109"/>
  <c r="FL1109" s="1"/>
  <c r="FK1175"/>
  <c r="FL1175" s="1"/>
  <c r="FK1211"/>
  <c r="FL1211" s="1"/>
  <c r="FK8"/>
  <c r="FL8" s="1"/>
  <c r="FK3074"/>
  <c r="FL3074" s="1"/>
  <c r="FK859"/>
  <c r="FL859" s="1"/>
  <c r="FK810"/>
  <c r="FL810" s="1"/>
  <c r="FK1829"/>
  <c r="FL1829" s="1"/>
  <c r="FK2708"/>
  <c r="FL2708" s="1"/>
  <c r="FK3116"/>
  <c r="FL3116" s="1"/>
  <c r="FK3364"/>
  <c r="FL3364" s="1"/>
  <c r="FK1279"/>
  <c r="FL1279" s="1"/>
  <c r="FK2563"/>
  <c r="FL2563" s="1"/>
  <c r="FK3222"/>
  <c r="FL3222" s="1"/>
  <c r="FK1576"/>
  <c r="FL1576" s="1"/>
  <c r="FK3087"/>
  <c r="FL3087" s="1"/>
  <c r="FK2689"/>
  <c r="FL2689" s="1"/>
  <c r="FK1587"/>
  <c r="FL1587" s="1"/>
  <c r="FK2883"/>
  <c r="FL2883" s="1"/>
  <c r="FK3103"/>
  <c r="FL3103" s="1"/>
  <c r="FK1290"/>
  <c r="FL1290" s="1"/>
  <c r="FK3259"/>
  <c r="FL3259" s="1"/>
  <c r="FK2281"/>
  <c r="FL2281" s="1"/>
  <c r="FK2114"/>
  <c r="FL2114" s="1"/>
  <c r="FK932"/>
  <c r="FL932" s="1"/>
  <c r="FK2581"/>
  <c r="FL2581" s="1"/>
  <c r="FK2700"/>
  <c r="FL2700" s="1"/>
  <c r="FK1311"/>
  <c r="FL1311" s="1"/>
  <c r="FK2169"/>
  <c r="FL2169" s="1"/>
  <c r="FK1393"/>
  <c r="FL1393" s="1"/>
  <c r="FK2590"/>
  <c r="FL2590" s="1"/>
  <c r="FK1318"/>
  <c r="FL1318" s="1"/>
  <c r="FK2290"/>
  <c r="FL2290" s="1"/>
  <c r="FK2754"/>
  <c r="FL2754" s="1"/>
  <c r="FK2404"/>
  <c r="FL2404" s="1"/>
  <c r="FK1684"/>
  <c r="FL1684" s="1"/>
  <c r="FK2740"/>
  <c r="FL2740" s="1"/>
  <c r="FK1937"/>
  <c r="FL1937" s="1"/>
  <c r="FK1341"/>
  <c r="FL1341" s="1"/>
  <c r="FK1784"/>
  <c r="FL1784" s="1"/>
  <c r="FK2746"/>
  <c r="FL2746" s="1"/>
  <c r="FK2982"/>
  <c r="FL2982" s="1"/>
  <c r="FK1498"/>
  <c r="FL1498" s="1"/>
  <c r="FK2057"/>
  <c r="FL2057" s="1"/>
  <c r="FK2802"/>
  <c r="FL2802" s="1"/>
  <c r="FK3175"/>
  <c r="FL3175" s="1"/>
  <c r="FK1366"/>
  <c r="FL1366" s="1"/>
  <c r="FK3392"/>
  <c r="FL3392" s="1"/>
  <c r="FK2088"/>
  <c r="FL2088" s="1"/>
  <c r="FK3467"/>
  <c r="FL3467" s="1"/>
  <c r="FK1959"/>
  <c r="FL1959" s="1"/>
  <c r="FK1543"/>
  <c r="FL1543" s="1"/>
  <c r="FK1861"/>
  <c r="FL1861" s="1"/>
  <c r="FK3148"/>
  <c r="FL3148" s="1"/>
  <c r="FK1389"/>
  <c r="FL1389" s="1"/>
  <c r="FK3414"/>
  <c r="FL3414" s="1"/>
  <c r="FK3247"/>
  <c r="FL3247" s="1"/>
  <c r="FK1630"/>
  <c r="FL1630" s="1"/>
  <c r="FK3167"/>
  <c r="FL3167" s="1"/>
  <c r="FK3348"/>
  <c r="FL3348" s="1"/>
  <c r="FK2327"/>
  <c r="FL2327" s="1"/>
  <c r="FK2517"/>
  <c r="FL2517" s="1"/>
  <c r="FK2717"/>
  <c r="FL2717" s="1"/>
  <c r="FK1329"/>
  <c r="FL1329" s="1"/>
  <c r="FK3354"/>
  <c r="FL3354" s="1"/>
  <c r="FK2683"/>
  <c r="FL2683" s="1"/>
  <c r="FK1963"/>
  <c r="FL1963" s="1"/>
  <c r="FK838"/>
  <c r="FL838" s="1"/>
  <c r="FK3137"/>
  <c r="FL3137" s="1"/>
  <c r="FK2321"/>
  <c r="FL2321" s="1"/>
  <c r="FK2945"/>
  <c r="FL2945" s="1"/>
  <c r="FK1797"/>
  <c r="FL1797" s="1"/>
  <c r="FK2320"/>
  <c r="FL2320" s="1"/>
  <c r="FK2048"/>
  <c r="FL2048" s="1"/>
  <c r="FK1404"/>
  <c r="FL1404" s="1"/>
  <c r="FK1683"/>
  <c r="FL1683" s="1"/>
  <c r="FK819"/>
  <c r="FL819" s="1"/>
  <c r="FK2566"/>
  <c r="FL2566" s="1"/>
  <c r="FK2496"/>
  <c r="FL2496" s="1"/>
  <c r="FK1398"/>
  <c r="FL1398" s="1"/>
  <c r="FK1138"/>
  <c r="FL1138" s="1"/>
  <c r="FK1206"/>
  <c r="FL1206" s="1"/>
  <c r="FK1097"/>
  <c r="FL1097" s="1"/>
  <c r="FK871"/>
  <c r="FL871" s="1"/>
  <c r="FK1224"/>
  <c r="FL1224" s="1"/>
  <c r="FK1229"/>
  <c r="FL1229" s="1"/>
  <c r="FK985"/>
  <c r="FL985" s="1"/>
  <c r="FK1263"/>
  <c r="FL1263" s="1"/>
  <c r="FK1152"/>
  <c r="FL1152" s="1"/>
  <c r="FK1017"/>
  <c r="FL1017" s="1"/>
  <c r="FK1792"/>
  <c r="FL1792" s="1"/>
  <c r="FK2865"/>
  <c r="FL2865" s="1"/>
  <c r="FK2012"/>
  <c r="FL2012" s="1"/>
  <c r="FK2764"/>
  <c r="FL2764" s="1"/>
  <c r="FK2071"/>
  <c r="FL2071" s="1"/>
  <c r="FK2298"/>
  <c r="FL2298" s="1"/>
  <c r="FK2710"/>
  <c r="FL2710" s="1"/>
  <c r="FK1454"/>
  <c r="FL1454" s="1"/>
  <c r="FK1427"/>
  <c r="FL1427" s="1"/>
  <c r="FK1813"/>
  <c r="FL1813" s="1"/>
  <c r="FK3446"/>
  <c r="FL3446" s="1"/>
  <c r="FK2427"/>
  <c r="FL2427" s="1"/>
  <c r="FK2544"/>
  <c r="FL2544" s="1"/>
  <c r="FK3007"/>
  <c r="FL3007" s="1"/>
  <c r="FK3227"/>
  <c r="FL3227" s="1"/>
  <c r="FK2556"/>
  <c r="FL2556" s="1"/>
  <c r="FK2769"/>
  <c r="FL2769" s="1"/>
  <c r="FK1899"/>
  <c r="FL1899" s="1"/>
  <c r="FK3001"/>
  <c r="FL3001" s="1"/>
  <c r="FK1440"/>
  <c r="FL1440" s="1"/>
  <c r="FK1794"/>
  <c r="FL1794" s="1"/>
  <c r="FK2334"/>
  <c r="FL2334" s="1"/>
  <c r="FK2662"/>
  <c r="FL2662" s="1"/>
  <c r="FK1750"/>
  <c r="FL1750" s="1"/>
  <c r="FK3456"/>
  <c r="FL3456" s="1"/>
  <c r="FK3184"/>
  <c r="FL3184" s="1"/>
  <c r="FK2980"/>
  <c r="FL2980" s="1"/>
  <c r="FK1759"/>
  <c r="FL1759" s="1"/>
  <c r="FK3006"/>
  <c r="FL3006" s="1"/>
  <c r="FK1978"/>
  <c r="FL1978" s="1"/>
  <c r="FK2309"/>
  <c r="FL2309" s="1"/>
  <c r="FK1900"/>
  <c r="FL1900" s="1"/>
  <c r="FK2586"/>
  <c r="FL2586" s="1"/>
  <c r="FK1799"/>
  <c r="FL1799" s="1"/>
  <c r="FK1803"/>
  <c r="FL1803" s="1"/>
  <c r="FK1065"/>
  <c r="FL1065" s="1"/>
  <c r="FK785"/>
  <c r="FL785" s="1"/>
  <c r="FK958"/>
  <c r="FL958" s="1"/>
  <c r="FK1004"/>
  <c r="FL1004" s="1"/>
  <c r="FK1123"/>
  <c r="FL1123" s="1"/>
  <c r="FK901"/>
  <c r="FL901" s="1"/>
  <c r="FK981"/>
  <c r="FL981" s="1"/>
  <c r="FK1215"/>
  <c r="FL1215" s="1"/>
  <c r="FK2405"/>
  <c r="FL2405" s="1"/>
  <c r="FK2231"/>
  <c r="FL2231" s="1"/>
  <c r="FK1965"/>
  <c r="FL1965" s="1"/>
  <c r="FK2345"/>
  <c r="FL2345" s="1"/>
  <c r="FK1729"/>
  <c r="FL1729" s="1"/>
  <c r="FK2984"/>
  <c r="FL2984" s="1"/>
  <c r="FK1437"/>
  <c r="FL1437" s="1"/>
  <c r="FK1337"/>
  <c r="FL1337" s="1"/>
  <c r="FK2987"/>
  <c r="FL2987" s="1"/>
  <c r="FK2052"/>
  <c r="FL2052" s="1"/>
  <c r="FK2760"/>
  <c r="FL2760" s="1"/>
  <c r="FK2784"/>
  <c r="FL2784" s="1"/>
  <c r="FK2026"/>
  <c r="FL2026" s="1"/>
  <c r="FK2193"/>
  <c r="FL2193" s="1"/>
  <c r="FK1739"/>
  <c r="FL1739" s="1"/>
  <c r="FK769"/>
  <c r="FL769" s="1"/>
  <c r="FK3367"/>
  <c r="FL3367" s="1"/>
  <c r="FK1976"/>
  <c r="FL1976" s="1"/>
  <c r="FK3037"/>
  <c r="FL3037" s="1"/>
  <c r="FK3311"/>
  <c r="FL3311" s="1"/>
  <c r="FK2780"/>
  <c r="FL2780" s="1"/>
  <c r="FK3200"/>
  <c r="FL3200" s="1"/>
  <c r="FK1964"/>
  <c r="FL1964" s="1"/>
  <c r="FK2585"/>
  <c r="FL2585" s="1"/>
  <c r="FK3226"/>
  <c r="FL3226" s="1"/>
  <c r="FK2690"/>
  <c r="FL2690" s="1"/>
  <c r="FK3150"/>
  <c r="FL3150" s="1"/>
  <c r="FK1918"/>
  <c r="FL1918" s="1"/>
  <c r="FK2207"/>
  <c r="FL2207" s="1"/>
  <c r="FK2692"/>
  <c r="FL2692" s="1"/>
  <c r="FK2107"/>
  <c r="FL2107" s="1"/>
  <c r="FK2908"/>
  <c r="FL2908" s="1"/>
  <c r="FK995"/>
  <c r="FL995" s="1"/>
  <c r="FK739"/>
  <c r="FL739" s="1"/>
  <c r="FK966"/>
  <c r="FL966" s="1"/>
  <c r="FK1255"/>
  <c r="FL1255" s="1"/>
  <c r="FK1179"/>
  <c r="FL1179" s="1"/>
  <c r="FK909"/>
  <c r="FL909" s="1"/>
  <c r="FK1075"/>
  <c r="FL1075" s="1"/>
  <c r="FK1078"/>
  <c r="FL1078" s="1"/>
  <c r="FK2664"/>
  <c r="FL2664" s="1"/>
  <c r="FK747"/>
  <c r="FL747" s="1"/>
  <c r="FK1919"/>
  <c r="FL1919" s="1"/>
  <c r="FK2446"/>
  <c r="FL2446" s="1"/>
  <c r="FK2038"/>
  <c r="FL2038" s="1"/>
  <c r="FK3190"/>
  <c r="FL3190" s="1"/>
  <c r="FK3113"/>
  <c r="FL3113" s="1"/>
  <c r="FK1820"/>
  <c r="FL1820" s="1"/>
  <c r="FK2287"/>
  <c r="FL2287" s="1"/>
  <c r="FK2560"/>
  <c r="FL2560" s="1"/>
  <c r="FK2113"/>
  <c r="FL2113" s="1"/>
  <c r="FK3005"/>
  <c r="FL3005" s="1"/>
  <c r="FK1367"/>
  <c r="FL1367" s="1"/>
  <c r="FK1660"/>
  <c r="FL1660" s="1"/>
  <c r="FK1725"/>
  <c r="FL1725" s="1"/>
  <c r="FK2916"/>
  <c r="FL2916" s="1"/>
  <c r="FK3070"/>
  <c r="FL3070" s="1"/>
  <c r="FK2323"/>
  <c r="FL2323" s="1"/>
  <c r="FK2672"/>
  <c r="FL2672" s="1"/>
  <c r="FK885"/>
  <c r="FL885" s="1"/>
  <c r="FK831"/>
  <c r="FL831" s="1"/>
  <c r="FK1429"/>
  <c r="FL1429" s="1"/>
  <c r="FK2680"/>
  <c r="FL2680" s="1"/>
  <c r="FK1712"/>
  <c r="FL1712" s="1"/>
  <c r="FK2759"/>
  <c r="FL2759" s="1"/>
  <c r="FK3368"/>
  <c r="FL3368" s="1"/>
  <c r="FK3181"/>
  <c r="FL3181" s="1"/>
  <c r="FK2130"/>
  <c r="FL2130" s="1"/>
  <c r="FK3252"/>
  <c r="FL3252" s="1"/>
  <c r="FK2771"/>
  <c r="FL2771" s="1"/>
  <c r="FK800"/>
  <c r="FL800" s="1"/>
  <c r="FK2013"/>
  <c r="FL2013" s="1"/>
  <c r="FK2430"/>
  <c r="FL2430" s="1"/>
  <c r="FK1860"/>
  <c r="FL1860" s="1"/>
  <c r="FK3435"/>
  <c r="FL3435" s="1"/>
  <c r="FK2796"/>
  <c r="FL2796" s="1"/>
  <c r="FK3026"/>
  <c r="FL3026" s="1"/>
  <c r="FK3253"/>
  <c r="FL3253" s="1"/>
  <c r="FK3296"/>
  <c r="FL3296" s="1"/>
  <c r="FK2180"/>
  <c r="FL2180" s="1"/>
  <c r="FK1554"/>
  <c r="FL1554" s="1"/>
  <c r="FK2157"/>
  <c r="FL2157" s="1"/>
  <c r="FK3374"/>
  <c r="FL3374" s="1"/>
  <c r="FK1523"/>
  <c r="FL1523" s="1"/>
  <c r="FK2316"/>
  <c r="FL2316" s="1"/>
  <c r="FK2409"/>
  <c r="FL2409" s="1"/>
  <c r="FK2739"/>
  <c r="FL2739" s="1"/>
  <c r="FK3166"/>
  <c r="FL3166" s="1"/>
  <c r="FK1571"/>
  <c r="FL1571" s="1"/>
  <c r="FK2532"/>
  <c r="FL2532" s="1"/>
  <c r="FK1720"/>
  <c r="FL1720" s="1"/>
  <c r="FK3303"/>
  <c r="FL3303" s="1"/>
  <c r="FK1547"/>
  <c r="FL1547" s="1"/>
  <c r="FK2242"/>
  <c r="FL2242" s="1"/>
  <c r="FK2340"/>
  <c r="FL2340" s="1"/>
  <c r="FK2795"/>
  <c r="FL2795" s="1"/>
  <c r="FK1539"/>
  <c r="FL1539" s="1"/>
  <c r="FK3029"/>
  <c r="FL3029" s="1"/>
  <c r="FK811"/>
  <c r="FL811" s="1"/>
  <c r="FK2140"/>
  <c r="FL2140" s="1"/>
  <c r="FK2686"/>
  <c r="FL2686" s="1"/>
  <c r="FK1472"/>
  <c r="FL1472" s="1"/>
  <c r="FK1775"/>
  <c r="FL1775" s="1"/>
  <c r="FK2638"/>
  <c r="FL2638" s="1"/>
  <c r="FK896"/>
  <c r="FL896" s="1"/>
  <c r="FK2119"/>
  <c r="FL2119" s="1"/>
  <c r="FK2159"/>
  <c r="FL2159" s="1"/>
  <c r="FK1778"/>
  <c r="FL1778" s="1"/>
  <c r="FK2363"/>
  <c r="FL2363" s="1"/>
  <c r="FK2464"/>
  <c r="FL2464" s="1"/>
  <c r="FK1370"/>
  <c r="FL1370" s="1"/>
  <c r="FK3144"/>
  <c r="FL3144" s="1"/>
  <c r="FK2871"/>
  <c r="FL2871" s="1"/>
  <c r="FK3297"/>
  <c r="FL3297" s="1"/>
  <c r="FK1508"/>
  <c r="FL1508" s="1"/>
  <c r="FK1063"/>
  <c r="FL1063" s="1"/>
  <c r="FK1201"/>
  <c r="FL1201" s="1"/>
  <c r="FK1196"/>
  <c r="FL1196" s="1"/>
  <c r="FK1197"/>
  <c r="FL1197" s="1"/>
  <c r="FK1068"/>
  <c r="FL1068" s="1"/>
  <c r="FK1091"/>
  <c r="FL1091" s="1"/>
  <c r="FK1150"/>
  <c r="FL1150" s="1"/>
  <c r="FK1212"/>
  <c r="FL1212" s="1"/>
  <c r="FK1445"/>
  <c r="FL1445" s="1"/>
  <c r="FK2360"/>
  <c r="FL2360" s="1"/>
  <c r="FK1638"/>
  <c r="FL1638" s="1"/>
  <c r="FK1376"/>
  <c r="FL1376" s="1"/>
  <c r="FK3120"/>
  <c r="FL3120" s="1"/>
  <c r="FK1956"/>
  <c r="FL1956" s="1"/>
  <c r="FK2027"/>
  <c r="FL2027" s="1"/>
  <c r="FK2969"/>
  <c r="FL2969" s="1"/>
  <c r="FK1604"/>
  <c r="FL1604" s="1"/>
  <c r="FK2018"/>
  <c r="FL2018" s="1"/>
  <c r="FK1673"/>
  <c r="FL1673" s="1"/>
  <c r="FK1566"/>
  <c r="FL1566" s="1"/>
  <c r="FK2996"/>
  <c r="FL2996" s="1"/>
  <c r="FK765"/>
  <c r="FL765" s="1"/>
  <c r="FK889"/>
  <c r="FL889" s="1"/>
  <c r="FK3003"/>
  <c r="FL3003" s="1"/>
  <c r="FK1516"/>
  <c r="FL1516" s="1"/>
  <c r="FK2815"/>
  <c r="FL2815" s="1"/>
  <c r="FK3104"/>
  <c r="FL3104" s="1"/>
  <c r="FK2222"/>
  <c r="FL2222" s="1"/>
  <c r="FK1304"/>
  <c r="FL1304" s="1"/>
  <c r="FK3328"/>
  <c r="FL3328" s="1"/>
  <c r="FK2885"/>
  <c r="FL2885" s="1"/>
  <c r="FK3412"/>
  <c r="FL3412" s="1"/>
  <c r="FK2644"/>
  <c r="FL2644" s="1"/>
  <c r="FK2892"/>
  <c r="FL2892" s="1"/>
  <c r="FK3411"/>
  <c r="FL3411" s="1"/>
  <c r="FK1287"/>
  <c r="FL1287" s="1"/>
  <c r="FK2039"/>
  <c r="FL2039" s="1"/>
  <c r="FK865"/>
  <c r="FL865" s="1"/>
  <c r="FK1583"/>
  <c r="FL1583" s="1"/>
  <c r="FK2758"/>
  <c r="FL2758" s="1"/>
  <c r="FK1570"/>
  <c r="FL1570" s="1"/>
  <c r="FK2922"/>
  <c r="FL2922" s="1"/>
  <c r="FK1782"/>
  <c r="FL1782" s="1"/>
  <c r="FK2888"/>
  <c r="FL2888" s="1"/>
  <c r="FK2481"/>
  <c r="FL2481" s="1"/>
  <c r="FK1172"/>
  <c r="FL1172" s="1"/>
  <c r="FK1264"/>
  <c r="FL1264" s="1"/>
  <c r="FK1265"/>
  <c r="FL1265" s="1"/>
  <c r="FK1021"/>
  <c r="FL1021" s="1"/>
  <c r="FK1169"/>
  <c r="FL1169" s="1"/>
  <c r="FK1126"/>
  <c r="FL1126" s="1"/>
  <c r="FK1182"/>
  <c r="FL1182" s="1"/>
  <c r="FK1147"/>
  <c r="FL1147" s="1"/>
  <c r="FK975"/>
  <c r="FL975" s="1"/>
  <c r="FK2661"/>
  <c r="FL2661" s="1"/>
  <c r="FK3373"/>
  <c r="FL3373" s="1"/>
  <c r="FK2186"/>
  <c r="FL2186" s="1"/>
  <c r="FK1817"/>
  <c r="FL1817" s="1"/>
  <c r="FK3206"/>
  <c r="FL3206" s="1"/>
  <c r="FK2014"/>
  <c r="FL2014" s="1"/>
  <c r="FK3231"/>
  <c r="FL3231" s="1"/>
  <c r="FK2210"/>
  <c r="FL2210" s="1"/>
  <c r="FK2707"/>
  <c r="FL2707" s="1"/>
  <c r="FK2870"/>
  <c r="FL2870" s="1"/>
  <c r="FK1986"/>
  <c r="FL1986" s="1"/>
  <c r="FK1447"/>
  <c r="FL1447" s="1"/>
  <c r="FK2199"/>
  <c r="FL2199" s="1"/>
  <c r="FK3145"/>
  <c r="FL3145" s="1"/>
  <c r="FK2330"/>
  <c r="FL2330" s="1"/>
  <c r="FK2396"/>
  <c r="FL2396" s="1"/>
  <c r="FK1728"/>
  <c r="FL1728" s="1"/>
  <c r="FK2631"/>
  <c r="FL2631" s="1"/>
  <c r="FK2578"/>
  <c r="FL2578" s="1"/>
  <c r="FK1669"/>
  <c r="FL1669" s="1"/>
  <c r="FK2256"/>
  <c r="FL2256" s="1"/>
  <c r="FK2774"/>
  <c r="FL2774" s="1"/>
  <c r="FK3236"/>
  <c r="FL3236" s="1"/>
  <c r="FK2706"/>
  <c r="FL2706" s="1"/>
  <c r="FK2487"/>
  <c r="FL2487" s="1"/>
  <c r="FK2534"/>
  <c r="FL2534" s="1"/>
  <c r="FK2483"/>
  <c r="FL2483" s="1"/>
  <c r="FK1863"/>
  <c r="FL1863" s="1"/>
  <c r="FK864"/>
  <c r="FL864" s="1"/>
  <c r="FK2773"/>
  <c r="FL2773" s="1"/>
  <c r="FK1585"/>
  <c r="FL1585" s="1"/>
  <c r="FK930"/>
  <c r="FL930" s="1"/>
  <c r="FK1699"/>
  <c r="FL1699" s="1"/>
  <c r="FK1781"/>
  <c r="FL1781" s="1"/>
  <c r="FK3387"/>
  <c r="FL3387" s="1"/>
  <c r="FK1942"/>
  <c r="FL1942" s="1"/>
  <c r="FK3224"/>
  <c r="FL3224" s="1"/>
  <c r="FK1002"/>
  <c r="FL1002" s="1"/>
  <c r="FK1122"/>
  <c r="FL1122" s="1"/>
  <c r="FK971"/>
  <c r="FL971" s="1"/>
  <c r="FK993"/>
  <c r="FL993" s="1"/>
  <c r="FK1088"/>
  <c r="FL1088" s="1"/>
  <c r="FK3371"/>
  <c r="FL3371" s="1"/>
  <c r="FK1723"/>
  <c r="FL1723" s="1"/>
  <c r="FK2087"/>
  <c r="FL2087" s="1"/>
  <c r="FK1608"/>
  <c r="FL1608" s="1"/>
  <c r="FK1421"/>
  <c r="FL1421" s="1"/>
  <c r="FK1383"/>
  <c r="FL1383" s="1"/>
  <c r="FK944"/>
  <c r="FL944" s="1"/>
  <c r="FK1431"/>
  <c r="FL1431" s="1"/>
  <c r="FK2671"/>
  <c r="FL2671" s="1"/>
  <c r="FK1628"/>
  <c r="FL1628" s="1"/>
  <c r="FK1614"/>
  <c r="FL1614" s="1"/>
  <c r="FK1908"/>
  <c r="FL1908" s="1"/>
  <c r="FK1402"/>
  <c r="FL1402" s="1"/>
  <c r="FK2294"/>
  <c r="FL2294" s="1"/>
  <c r="FK1887"/>
  <c r="FL1887" s="1"/>
  <c r="FK1039"/>
  <c r="FL1039" s="1"/>
  <c r="FK880"/>
  <c r="FL880" s="1"/>
  <c r="FK1596"/>
  <c r="FL1596" s="1"/>
  <c r="FK839"/>
  <c r="FL839" s="1"/>
  <c r="FK3204"/>
  <c r="FL3204" s="1"/>
  <c r="FK1640"/>
  <c r="FL1640" s="1"/>
  <c r="FK1093"/>
  <c r="FL1093" s="1"/>
  <c r="FK3448"/>
  <c r="FL3448" s="1"/>
  <c r="FK1944"/>
  <c r="FL1944" s="1"/>
  <c r="FK2131"/>
  <c r="FL2131" s="1"/>
  <c r="FK2271"/>
  <c r="FL2271" s="1"/>
  <c r="FK3055"/>
  <c r="FL3055" s="1"/>
  <c r="FK3293"/>
  <c r="FL3293" s="1"/>
  <c r="FK2535"/>
  <c r="FL2535" s="1"/>
  <c r="FK3012"/>
  <c r="FL3012" s="1"/>
  <c r="FK1359"/>
  <c r="FL1359" s="1"/>
  <c r="FK1412"/>
  <c r="FL1412" s="1"/>
  <c r="FK841"/>
  <c r="FL841" s="1"/>
  <c r="FK857"/>
  <c r="FL857" s="1"/>
  <c r="FK2668"/>
  <c r="FL2668" s="1"/>
  <c r="FK1529"/>
  <c r="FL1529" s="1"/>
  <c r="FK1898"/>
  <c r="FL1898" s="1"/>
  <c r="FK2723"/>
  <c r="FL2723" s="1"/>
  <c r="FK1274"/>
  <c r="FL1274" s="1"/>
  <c r="FK2402"/>
  <c r="FL2402" s="1"/>
  <c r="FK1559"/>
  <c r="FL1559" s="1"/>
  <c r="FK1877"/>
  <c r="FL1877" s="1"/>
  <c r="FK3268"/>
  <c r="FL3268" s="1"/>
  <c r="FK793"/>
  <c r="FL793" s="1"/>
  <c r="FK2292"/>
  <c r="FL2292" s="1"/>
  <c r="FK1674"/>
  <c r="FL1674" s="1"/>
  <c r="FK2258"/>
  <c r="FL2258" s="1"/>
  <c r="FK1558"/>
  <c r="FL1558" s="1"/>
  <c r="FK3394"/>
  <c r="FL3394" s="1"/>
  <c r="FK2187"/>
  <c r="FL2187" s="1"/>
  <c r="FK1642"/>
  <c r="FL1642" s="1"/>
  <c r="FK2036"/>
  <c r="FL2036" s="1"/>
  <c r="FK2974"/>
  <c r="FL2974" s="1"/>
  <c r="FK2373"/>
  <c r="FL2373" s="1"/>
  <c r="FK1624"/>
  <c r="FL1624" s="1"/>
  <c r="FK3213"/>
  <c r="FL3213" s="1"/>
  <c r="FK1460"/>
  <c r="FL1460" s="1"/>
  <c r="FK851"/>
  <c r="FL851" s="1"/>
  <c r="FK2755"/>
  <c r="FL2755" s="1"/>
  <c r="FK2800"/>
  <c r="FL2800" s="1"/>
  <c r="FK3416"/>
  <c r="FL3416" s="1"/>
  <c r="FK2529"/>
  <c r="FL2529" s="1"/>
  <c r="FK875"/>
  <c r="FL875" s="1"/>
  <c r="FK2891"/>
  <c r="FL2891" s="1"/>
  <c r="FK2552"/>
  <c r="FL2552" s="1"/>
  <c r="FK1651"/>
  <c r="FL1651" s="1"/>
  <c r="FK2943"/>
  <c r="FL2943" s="1"/>
  <c r="FK2064"/>
  <c r="FL2064" s="1"/>
  <c r="FK925"/>
  <c r="FL925" s="1"/>
  <c r="FK2150"/>
  <c r="FL2150" s="1"/>
  <c r="FK2343"/>
  <c r="FL2343" s="1"/>
  <c r="FK827"/>
  <c r="FL827" s="1"/>
  <c r="FK3327"/>
  <c r="FL3327" s="1"/>
  <c r="FK1357"/>
  <c r="FL1357" s="1"/>
  <c r="FK2158"/>
  <c r="FL2158" s="1"/>
  <c r="FK2968"/>
  <c r="FL2968" s="1"/>
  <c r="FK1575"/>
  <c r="FL1575" s="1"/>
  <c r="FK1618"/>
  <c r="FL1618" s="1"/>
  <c r="FK2614"/>
  <c r="FL2614" s="1"/>
  <c r="FK802"/>
  <c r="FL802" s="1"/>
  <c r="FK3315"/>
  <c r="FL3315" s="1"/>
  <c r="FK2166"/>
  <c r="FL2166" s="1"/>
  <c r="FK3034"/>
  <c r="FL3034" s="1"/>
  <c r="FK2827"/>
  <c r="FL2827" s="1"/>
  <c r="FK2624"/>
  <c r="FL2624" s="1"/>
  <c r="FK952"/>
  <c r="FL952" s="1"/>
  <c r="FK2379"/>
  <c r="FL2379" s="1"/>
  <c r="FK926"/>
  <c r="FL926" s="1"/>
  <c r="FK2001"/>
  <c r="FL2001" s="1"/>
  <c r="FK1742"/>
  <c r="FL1742" s="1"/>
  <c r="FK743"/>
  <c r="FL743" s="1"/>
  <c r="FK1205"/>
  <c r="FL1205" s="1"/>
  <c r="FK931"/>
  <c r="FL931" s="1"/>
  <c r="FK2860"/>
  <c r="FL2860" s="1"/>
  <c r="FK3325"/>
  <c r="FL3325" s="1"/>
  <c r="FK900"/>
  <c r="FL900" s="1"/>
  <c r="FK2502"/>
  <c r="FL2502" s="1"/>
  <c r="FK3384"/>
  <c r="FL3384" s="1"/>
  <c r="FK1392"/>
  <c r="FL1392" s="1"/>
  <c r="FK2376"/>
  <c r="FL2376" s="1"/>
  <c r="FK3010"/>
  <c r="FL3010" s="1"/>
  <c r="FK2054"/>
  <c r="FL2054" s="1"/>
  <c r="FK3432"/>
  <c r="FL3432" s="1"/>
  <c r="FK1654"/>
  <c r="FL1654" s="1"/>
  <c r="FK1257"/>
  <c r="FL1257" s="1"/>
  <c r="FK2868"/>
  <c r="FL2868" s="1"/>
  <c r="FK844"/>
  <c r="FL844" s="1"/>
  <c r="FK2263"/>
  <c r="FL2263" s="1"/>
  <c r="FK2066"/>
  <c r="FL2066" s="1"/>
  <c r="FK918"/>
  <c r="FL918" s="1"/>
  <c r="FK2355"/>
  <c r="FL2355" s="1"/>
  <c r="FK1333"/>
  <c r="FL1333" s="1"/>
  <c r="FK1296"/>
  <c r="FL1296" s="1"/>
  <c r="FK1480"/>
  <c r="FL1480" s="1"/>
  <c r="FK1939"/>
  <c r="FL1939" s="1"/>
  <c r="FK1149"/>
  <c r="FL1149" s="1"/>
  <c r="FK842"/>
  <c r="FL842" s="1"/>
  <c r="FK3457"/>
  <c r="FL3457" s="1"/>
  <c r="FK1598"/>
  <c r="FL1598" s="1"/>
  <c r="FK1563"/>
  <c r="FL1563" s="1"/>
  <c r="FK2226"/>
  <c r="FL2226" s="1"/>
  <c r="FK1849"/>
  <c r="FL1849" s="1"/>
  <c r="FK1374"/>
  <c r="FL1374" s="1"/>
  <c r="FK2098"/>
  <c r="FL2098" s="1"/>
  <c r="FK2338"/>
  <c r="FL2338" s="1"/>
  <c r="FK1074"/>
  <c r="FL1074" s="1"/>
  <c r="FK2025"/>
  <c r="FL2025" s="1"/>
  <c r="FK2981"/>
  <c r="FL2981" s="1"/>
  <c r="FK2255"/>
  <c r="FL2255" s="1"/>
  <c r="FK742"/>
  <c r="FL742" s="1"/>
  <c r="FK1548"/>
  <c r="FL1548" s="1"/>
  <c r="FK919"/>
  <c r="FL919" s="1"/>
  <c r="FK843"/>
  <c r="FL843" s="1"/>
  <c r="FK2223"/>
  <c r="FL2223" s="1"/>
  <c r="FK1754"/>
  <c r="FL1754" s="1"/>
  <c r="FK1306"/>
  <c r="FL1306" s="1"/>
  <c r="FK776"/>
  <c r="FL776" s="1"/>
  <c r="FK2533"/>
  <c r="FL2533" s="1"/>
  <c r="FK913"/>
  <c r="FL913" s="1"/>
  <c r="FK2914"/>
  <c r="FL2914" s="1"/>
  <c r="FK3056"/>
  <c r="FL3056" s="1"/>
  <c r="FK2357"/>
  <c r="FL2357" s="1"/>
  <c r="FK1194"/>
  <c r="FL1194" s="1"/>
  <c r="FK1327"/>
  <c r="FL1327" s="1"/>
  <c r="FK2838"/>
  <c r="FL2838" s="1"/>
  <c r="FK1096"/>
  <c r="FL1096" s="1"/>
  <c r="FK2550"/>
  <c r="FL2550" s="1"/>
  <c r="FK2274"/>
  <c r="FL2274" s="1"/>
  <c r="FK1131"/>
  <c r="FL1131" s="1"/>
  <c r="FK2358"/>
  <c r="FL2358" s="1"/>
  <c r="FK3472"/>
  <c r="FL3472" s="1"/>
  <c r="FK2479"/>
  <c r="FL2479" s="1"/>
  <c r="FK2657"/>
  <c r="FL2657" s="1"/>
  <c r="FK2781"/>
  <c r="FL2781" s="1"/>
  <c r="FK2352"/>
  <c r="FL2352" s="1"/>
  <c r="FK2279"/>
  <c r="FL2279" s="1"/>
  <c r="FK1044"/>
  <c r="FL1044" s="1"/>
  <c r="FK956"/>
  <c r="FL956" s="1"/>
  <c r="FK1012"/>
  <c r="FL1012" s="1"/>
  <c r="FK2392"/>
  <c r="FL2392" s="1"/>
  <c r="FK2762"/>
  <c r="FL2762" s="1"/>
  <c r="FK1446"/>
  <c r="FL1446" s="1"/>
  <c r="FK1749"/>
  <c r="FL1749" s="1"/>
  <c r="FK2073"/>
  <c r="FL2073" s="1"/>
  <c r="FK3291"/>
  <c r="FL3291" s="1"/>
  <c r="FK895"/>
  <c r="FL895" s="1"/>
  <c r="FK1852"/>
  <c r="FL1852" s="1"/>
  <c r="FK1606"/>
  <c r="FL1606" s="1"/>
  <c r="FK2393"/>
  <c r="FL2393" s="1"/>
  <c r="FK3418"/>
  <c r="FL3418" s="1"/>
  <c r="FK1042"/>
  <c r="FL1042" s="1"/>
  <c r="FK1151"/>
  <c r="FL1151" s="1"/>
  <c r="FK1007"/>
  <c r="FL1007" s="1"/>
  <c r="FK1322"/>
  <c r="FL1322" s="1"/>
  <c r="FK3275"/>
  <c r="FL3275" s="1"/>
  <c r="FK2059"/>
  <c r="FL2059" s="1"/>
  <c r="FK2711"/>
  <c r="FL2711" s="1"/>
  <c r="FK2468"/>
  <c r="FL2468" s="1"/>
  <c r="FK2830"/>
  <c r="FL2830" s="1"/>
  <c r="FK3427"/>
  <c r="FL3427" s="1"/>
  <c r="FK2322"/>
  <c r="FL2322" s="1"/>
  <c r="FK832"/>
  <c r="FL832" s="1"/>
  <c r="FK1486"/>
  <c r="FL1486" s="1"/>
  <c r="FK1346"/>
  <c r="FL1346" s="1"/>
  <c r="FK2326"/>
  <c r="FL2326" s="1"/>
  <c r="FK2628"/>
  <c r="FL2628" s="1"/>
  <c r="FK3179"/>
  <c r="FL3179" s="1"/>
  <c r="FK1710"/>
  <c r="FL1710" s="1"/>
  <c r="FK1568"/>
  <c r="FL1568" s="1"/>
  <c r="FK3192"/>
  <c r="FL3192" s="1"/>
  <c r="FK1987"/>
  <c r="FL1987" s="1"/>
  <c r="FK3051"/>
  <c r="FL3051" s="1"/>
  <c r="FK2361"/>
  <c r="FL2361" s="1"/>
  <c r="FK1464"/>
  <c r="FL1464" s="1"/>
  <c r="FK2767"/>
  <c r="FL2767" s="1"/>
  <c r="FK3106"/>
  <c r="FL3106" s="1"/>
  <c r="FK3396"/>
  <c r="FL3396" s="1"/>
  <c r="FK1662"/>
  <c r="FL1662" s="1"/>
  <c r="FK1396"/>
  <c r="FL1396" s="1"/>
  <c r="FK2041"/>
  <c r="FL2041" s="1"/>
  <c r="FK1948"/>
  <c r="FL1948" s="1"/>
  <c r="FK3043"/>
  <c r="FL3043" s="1"/>
  <c r="FK1613"/>
  <c r="FL1613" s="1"/>
  <c r="FK2828"/>
  <c r="FL2828" s="1"/>
  <c r="FK2909"/>
  <c r="FL2909" s="1"/>
  <c r="FK1644"/>
  <c r="FL1644" s="1"/>
  <c r="FK1069"/>
  <c r="FL1069" s="1"/>
  <c r="FK1259"/>
  <c r="FL1259" s="1"/>
  <c r="FK772"/>
  <c r="FL772" s="1"/>
  <c r="FK1112"/>
  <c r="FL1112" s="1"/>
  <c r="FK1719"/>
  <c r="FL1719" s="1"/>
  <c r="FK1537"/>
  <c r="FL1537" s="1"/>
  <c r="FK2128"/>
  <c r="FL2128" s="1"/>
  <c r="FK3100"/>
  <c r="FL3100" s="1"/>
  <c r="FK2248"/>
  <c r="FL2248" s="1"/>
  <c r="FK1288"/>
  <c r="FL1288" s="1"/>
  <c r="FK2449"/>
  <c r="FL2449" s="1"/>
  <c r="FK3390"/>
  <c r="FL3390" s="1"/>
  <c r="FK2582"/>
  <c r="FL2582" s="1"/>
  <c r="FK2201"/>
  <c r="FL2201" s="1"/>
  <c r="FK764"/>
  <c r="FL764" s="1"/>
  <c r="FK3388"/>
  <c r="FL3388" s="1"/>
  <c r="FK2520"/>
  <c r="FL2520" s="1"/>
  <c r="FK1556"/>
  <c r="FL1556" s="1"/>
  <c r="FK761"/>
  <c r="FL761" s="1"/>
  <c r="FK3196"/>
  <c r="FL3196" s="1"/>
  <c r="FK2770"/>
  <c r="FL2770" s="1"/>
  <c r="FK2642"/>
  <c r="FL2642" s="1"/>
  <c r="FK1019"/>
  <c r="FL1019" s="1"/>
  <c r="FK1129"/>
  <c r="FL1129" s="1"/>
  <c r="FK1248"/>
  <c r="FL1248" s="1"/>
  <c r="FK3313"/>
  <c r="FL3313" s="1"/>
  <c r="FK2466"/>
  <c r="FL2466" s="1"/>
  <c r="FK2212"/>
  <c r="FL2212" s="1"/>
  <c r="FK3156"/>
  <c r="FL3156" s="1"/>
  <c r="FK1652"/>
  <c r="FL1652" s="1"/>
  <c r="FK2032"/>
  <c r="FL2032" s="1"/>
  <c r="FK3114"/>
  <c r="FL3114" s="1"/>
  <c r="FK1869"/>
  <c r="FL1869" s="1"/>
  <c r="FK1910"/>
  <c r="FL1910" s="1"/>
  <c r="FK1351"/>
  <c r="FL1351" s="1"/>
  <c r="FK1621"/>
  <c r="FL1621" s="1"/>
  <c r="FK2897"/>
  <c r="FL2897" s="1"/>
  <c r="FK1316"/>
  <c r="FL1316" s="1"/>
  <c r="FK1342"/>
  <c r="FL1342" s="1"/>
  <c r="FK3376"/>
  <c r="FL3376" s="1"/>
  <c r="FK3460"/>
  <c r="FL3460" s="1"/>
  <c r="FK1104"/>
  <c r="FL1104" s="1"/>
  <c r="FK738"/>
  <c r="FL738" s="1"/>
  <c r="FK1136"/>
  <c r="FL1136" s="1"/>
  <c r="FK922"/>
  <c r="FL922" s="1"/>
  <c r="FK1218"/>
  <c r="FL1218" s="1"/>
  <c r="FK1542"/>
  <c r="FL1542" s="1"/>
  <c r="FK3185"/>
  <c r="FL3185" s="1"/>
  <c r="FK2183"/>
  <c r="FL2183" s="1"/>
  <c r="FK1740"/>
  <c r="FL1740" s="1"/>
  <c r="FK2728"/>
  <c r="FL2728" s="1"/>
  <c r="FK1700"/>
  <c r="FL1700" s="1"/>
  <c r="FK1515"/>
  <c r="FL1515" s="1"/>
  <c r="FK2463"/>
  <c r="FL2463" s="1"/>
  <c r="FK1818"/>
  <c r="FL1818" s="1"/>
  <c r="FK849"/>
  <c r="FL849" s="1"/>
  <c r="FK2154"/>
  <c r="FL2154" s="1"/>
  <c r="FK1432"/>
  <c r="FL1432" s="1"/>
  <c r="FK2289"/>
  <c r="FL2289" s="1"/>
  <c r="FK2029"/>
  <c r="FL2029" s="1"/>
  <c r="FK1870"/>
  <c r="FL1870" s="1"/>
  <c r="FK2490"/>
  <c r="FL2490" s="1"/>
  <c r="FK1884"/>
  <c r="FL1884" s="1"/>
  <c r="FK1553"/>
  <c r="FL1553" s="1"/>
  <c r="FK2181"/>
  <c r="FL2181" s="1"/>
  <c r="FK1633"/>
  <c r="FL1633" s="1"/>
  <c r="FK2791"/>
  <c r="FL2791" s="1"/>
  <c r="FK3420"/>
  <c r="FL3420" s="1"/>
  <c r="FK3083"/>
  <c r="FL3083" s="1"/>
  <c r="FK2537"/>
  <c r="FL2537" s="1"/>
  <c r="FK2824"/>
  <c r="FL2824" s="1"/>
  <c r="FK3127"/>
  <c r="FL3127" s="1"/>
  <c r="FK1767"/>
  <c r="FL1767" s="1"/>
  <c r="FK829"/>
  <c r="FL829" s="1"/>
  <c r="FK1698"/>
  <c r="FL1698" s="1"/>
  <c r="FK2442"/>
  <c r="FL2442" s="1"/>
  <c r="FK1668"/>
  <c r="FL1668" s="1"/>
  <c r="FK2803"/>
  <c r="FL2803" s="1"/>
  <c r="FK2303"/>
  <c r="FL2303" s="1"/>
  <c r="FK1761"/>
  <c r="FL1761" s="1"/>
  <c r="FK2151"/>
  <c r="FL2151" s="1"/>
  <c r="FK2122"/>
  <c r="FL2122" s="1"/>
  <c r="FK1099"/>
  <c r="FL1099" s="1"/>
  <c r="FK1160"/>
  <c r="FL1160" s="1"/>
  <c r="FK1226"/>
  <c r="FL1226" s="1"/>
  <c r="FK1222"/>
  <c r="FL1222" s="1"/>
  <c r="FK1687"/>
  <c r="FL1687" s="1"/>
  <c r="FK1834"/>
  <c r="FL1834" s="1"/>
  <c r="FK1695"/>
  <c r="FL1695" s="1"/>
  <c r="FK1283"/>
  <c r="FL1283" s="1"/>
  <c r="FK3182"/>
  <c r="FL3182" s="1"/>
  <c r="FK1536"/>
  <c r="FL1536" s="1"/>
  <c r="FK840"/>
  <c r="FL840" s="1"/>
  <c r="FK2349"/>
  <c r="FL2349" s="1"/>
  <c r="FK3071"/>
  <c r="FL3071" s="1"/>
  <c r="FK3290"/>
  <c r="FL3290" s="1"/>
  <c r="FK2906"/>
  <c r="FL2906" s="1"/>
  <c r="FK3334"/>
  <c r="FL3334" s="1"/>
  <c r="FK3063"/>
  <c r="FL3063" s="1"/>
  <c r="FK2283"/>
  <c r="FL2283" s="1"/>
  <c r="FK1814"/>
  <c r="FL1814" s="1"/>
  <c r="FK1605"/>
  <c r="FL1605" s="1"/>
  <c r="FK1938"/>
  <c r="FL1938" s="1"/>
  <c r="FK1896"/>
  <c r="FL1896" s="1"/>
  <c r="FK1458"/>
  <c r="FL1458" s="1"/>
  <c r="FK1362"/>
  <c r="FL1362" s="1"/>
  <c r="FK1417"/>
  <c r="FL1417" s="1"/>
  <c r="FK855"/>
  <c r="FL855" s="1"/>
  <c r="FK1180"/>
  <c r="FL1180" s="1"/>
  <c r="FK1186"/>
  <c r="FL1186" s="1"/>
  <c r="FK1328"/>
  <c r="FL1328" s="1"/>
  <c r="FK3008"/>
  <c r="FL3008" s="1"/>
  <c r="FK3433"/>
  <c r="FL3433" s="1"/>
  <c r="FK1897"/>
  <c r="FL1897" s="1"/>
  <c r="FK2339"/>
  <c r="FL2339" s="1"/>
  <c r="FK2925"/>
  <c r="FL2925" s="1"/>
  <c r="FK867"/>
  <c r="FL867" s="1"/>
  <c r="FK3198"/>
  <c r="FL3198" s="1"/>
  <c r="FK1276"/>
  <c r="FL1276" s="1"/>
  <c r="FK1514"/>
  <c r="FL1514" s="1"/>
  <c r="FK1501"/>
  <c r="FL1501" s="1"/>
  <c r="FK822"/>
  <c r="FL822" s="1"/>
  <c r="FK2501"/>
  <c r="FL2501" s="1"/>
  <c r="FK1313"/>
  <c r="FL1313" s="1"/>
  <c r="FK3042"/>
  <c r="FL3042" s="1"/>
  <c r="FK1802"/>
  <c r="FL1802" s="1"/>
  <c r="FK3174"/>
  <c r="FL3174" s="1"/>
  <c r="FK1435"/>
  <c r="FL1435" s="1"/>
  <c r="FK3072"/>
  <c r="FL3072" s="1"/>
  <c r="FK2970"/>
  <c r="FL2970" s="1"/>
  <c r="FK1235"/>
  <c r="FL1235" s="1"/>
  <c r="FK1162"/>
  <c r="FL1162" s="1"/>
  <c r="FK3429"/>
  <c r="FL3429" s="1"/>
  <c r="FK2424"/>
  <c r="FL2424" s="1"/>
  <c r="FK2935"/>
  <c r="FL2935" s="1"/>
  <c r="FK2495"/>
  <c r="FL2495" s="1"/>
  <c r="DW21" a="1"/>
  <c r="DW11" a="1"/>
  <c r="DW10" a="1"/>
  <c r="DW4" a="1"/>
  <c r="DW14" a="1"/>
  <c r="DW20" a="1"/>
  <c r="DW9" a="1"/>
  <c r="DW7" a="1"/>
  <c r="DW6" a="1"/>
  <c r="DW13" a="1"/>
  <c r="DW15" a="1"/>
  <c r="DW16" a="1"/>
  <c r="DW12" a="1"/>
  <c r="DW18" a="1"/>
  <c r="DW5" a="1"/>
  <c r="DW8" a="1"/>
  <c r="DW17" a="1"/>
  <c r="DW19" a="1"/>
  <c r="EJ21" l="1"/>
  <c r="EW21"/>
  <c r="EH21"/>
  <c r="EC21"/>
  <c r="ED21"/>
  <c r="EN21"/>
  <c r="ET21"/>
  <c r="EX21"/>
  <c r="EK21"/>
  <c r="EB21"/>
  <c r="EP21"/>
  <c r="ER21"/>
  <c r="DY21"/>
  <c r="EO21"/>
  <c r="EM21"/>
  <c r="EZ21"/>
  <c r="EF21"/>
  <c r="EU21"/>
  <c r="EA21"/>
  <c r="DW21"/>
  <c r="EG21"/>
  <c r="EI21"/>
  <c r="EL21"/>
  <c r="EQ21"/>
  <c r="ES21"/>
  <c r="EE21"/>
  <c r="DX21"/>
  <c r="DZ21"/>
  <c r="EY21"/>
  <c r="EV21"/>
  <c r="EJ20"/>
  <c r="DW20"/>
  <c r="EN20"/>
  <c r="EF20"/>
  <c r="EE20"/>
  <c r="EA20"/>
  <c r="ES20"/>
  <c r="ED20"/>
  <c r="EC20"/>
  <c r="EQ20"/>
  <c r="EB20"/>
  <c r="EG20"/>
  <c r="DY20"/>
  <c r="EZ20"/>
  <c r="EY20"/>
  <c r="EP20"/>
  <c r="EU20"/>
  <c r="ET20"/>
  <c r="EV20"/>
  <c r="ER20"/>
  <c r="DZ20"/>
  <c r="DX20"/>
  <c r="EX20"/>
  <c r="EK20"/>
  <c r="EM20"/>
  <c r="EH20"/>
  <c r="EW20"/>
  <c r="EL20"/>
  <c r="EI20"/>
  <c r="EO20"/>
  <c r="EV18"/>
  <c r="EX18"/>
  <c r="FJ450" s="1"/>
  <c r="FK703" s="1"/>
  <c r="FL703" s="1"/>
  <c r="EI18"/>
  <c r="EH18"/>
  <c r="EL18"/>
  <c r="EM18"/>
  <c r="EQ18"/>
  <c r="FJ338" s="1"/>
  <c r="EB18"/>
  <c r="EP18"/>
  <c r="EJ18"/>
  <c r="EE18"/>
  <c r="ER18"/>
  <c r="DX18"/>
  <c r="DW18"/>
  <c r="DY18"/>
  <c r="ET18"/>
  <c r="EU18"/>
  <c r="EC18"/>
  <c r="EY18"/>
  <c r="FJ466" s="1"/>
  <c r="FK719" s="1"/>
  <c r="FL719" s="1"/>
  <c r="EW18"/>
  <c r="FJ434" s="1"/>
  <c r="FK687" s="1"/>
  <c r="FL687" s="1"/>
  <c r="EN18"/>
  <c r="EZ18"/>
  <c r="FJ482" s="1"/>
  <c r="FK735" s="1"/>
  <c r="FL735" s="1"/>
  <c r="DZ18"/>
  <c r="EG18"/>
  <c r="ES18"/>
  <c r="EO18"/>
  <c r="EF18"/>
  <c r="ED18"/>
  <c r="EA18"/>
  <c r="EK18"/>
  <c r="EU16"/>
  <c r="FJ400" s="1"/>
  <c r="EH16"/>
  <c r="EY16"/>
  <c r="FJ464" s="1"/>
  <c r="FK717" s="1"/>
  <c r="FL717" s="1"/>
  <c r="EL16"/>
  <c r="EI16"/>
  <c r="EO16"/>
  <c r="EC16"/>
  <c r="EQ16"/>
  <c r="EM16"/>
  <c r="DX16"/>
  <c r="EB16"/>
  <c r="EJ16"/>
  <c r="EP16"/>
  <c r="FJ320" s="1"/>
  <c r="EG16"/>
  <c r="ER16"/>
  <c r="DZ16"/>
  <c r="EZ16"/>
  <c r="FJ480" s="1"/>
  <c r="FK733" s="1"/>
  <c r="FL733" s="1"/>
  <c r="EF16"/>
  <c r="EW16"/>
  <c r="FJ432" s="1"/>
  <c r="FK685" s="1"/>
  <c r="FL685" s="1"/>
  <c r="EV16"/>
  <c r="DW16"/>
  <c r="EE16"/>
  <c r="ED16"/>
  <c r="EN16"/>
  <c r="DY16"/>
  <c r="ET16"/>
  <c r="EX16"/>
  <c r="FJ448" s="1"/>
  <c r="FK701" s="1"/>
  <c r="FL701" s="1"/>
  <c r="EA16"/>
  <c r="EK16"/>
  <c r="ES16"/>
  <c r="EL19"/>
  <c r="ES19"/>
  <c r="DX19"/>
  <c r="EB19"/>
  <c r="EU19"/>
  <c r="EM19"/>
  <c r="ED19"/>
  <c r="EC19"/>
  <c r="DZ19"/>
  <c r="EA19"/>
  <c r="EV19"/>
  <c r="EF19"/>
  <c r="EN19"/>
  <c r="EY19"/>
  <c r="FJ467" s="1"/>
  <c r="FK720" s="1"/>
  <c r="FL720" s="1"/>
  <c r="DW19"/>
  <c r="EZ19"/>
  <c r="FJ483" s="1"/>
  <c r="FK736" s="1"/>
  <c r="FL736" s="1"/>
  <c r="EW19"/>
  <c r="EQ19"/>
  <c r="EK19"/>
  <c r="EO19"/>
  <c r="EP19"/>
  <c r="EE19"/>
  <c r="EJ19"/>
  <c r="ER19"/>
  <c r="EG19"/>
  <c r="EX19"/>
  <c r="FJ451" s="1"/>
  <c r="FK704" s="1"/>
  <c r="FL704" s="1"/>
  <c r="DY19"/>
  <c r="EH19"/>
  <c r="EI19"/>
  <c r="ET19"/>
  <c r="DZ17"/>
  <c r="EO17"/>
  <c r="EJ17"/>
  <c r="EU17"/>
  <c r="EH17"/>
  <c r="EQ17"/>
  <c r="ER17"/>
  <c r="EA17"/>
  <c r="EE17"/>
  <c r="EP17"/>
  <c r="ET17"/>
  <c r="EC17"/>
  <c r="DX17"/>
  <c r="EY17"/>
  <c r="FJ465" s="1"/>
  <c r="FK718" s="1"/>
  <c r="FL718" s="1"/>
  <c r="ED17"/>
  <c r="ES17"/>
  <c r="EK17"/>
  <c r="EV17"/>
  <c r="EI17"/>
  <c r="EN17"/>
  <c r="DY17"/>
  <c r="EF17"/>
  <c r="EL17"/>
  <c r="EB17"/>
  <c r="EZ17"/>
  <c r="FJ481" s="1"/>
  <c r="FK734" s="1"/>
  <c r="FL734" s="1"/>
  <c r="EX17"/>
  <c r="FJ449" s="1"/>
  <c r="FK702" s="1"/>
  <c r="FL702" s="1"/>
  <c r="EW17"/>
  <c r="EM17"/>
  <c r="DW17"/>
  <c r="EG17"/>
  <c r="EH15"/>
  <c r="DZ15"/>
  <c r="EY15"/>
  <c r="FJ463" s="1"/>
  <c r="FK716" s="1"/>
  <c r="FL716" s="1"/>
  <c r="DX15"/>
  <c r="ED15"/>
  <c r="EL15"/>
  <c r="ER15"/>
  <c r="EO15"/>
  <c r="ET15"/>
  <c r="EU15"/>
  <c r="FJ399" s="1"/>
  <c r="EI15"/>
  <c r="DW15"/>
  <c r="EW15"/>
  <c r="FJ431" s="1"/>
  <c r="FK684" s="1"/>
  <c r="FL684" s="1"/>
  <c r="EJ15"/>
  <c r="EB15"/>
  <c r="EX15"/>
  <c r="FJ447" s="1"/>
  <c r="FK700" s="1"/>
  <c r="FL700" s="1"/>
  <c r="EC15"/>
  <c r="EZ15"/>
  <c r="FJ479" s="1"/>
  <c r="FK732" s="1"/>
  <c r="FL732" s="1"/>
  <c r="ES15"/>
  <c r="EK15"/>
  <c r="EN15"/>
  <c r="EF15"/>
  <c r="DY15"/>
  <c r="EG15"/>
  <c r="EM15"/>
  <c r="EE15"/>
  <c r="EA15"/>
  <c r="EV15"/>
  <c r="EP15"/>
  <c r="EQ15"/>
  <c r="EP10"/>
  <c r="EL10"/>
  <c r="EN10"/>
  <c r="EQ10"/>
  <c r="DX10"/>
  <c r="EW10"/>
  <c r="EJ10"/>
  <c r="EC10"/>
  <c r="EA10"/>
  <c r="EH10"/>
  <c r="EG10"/>
  <c r="EK10"/>
  <c r="DZ10"/>
  <c r="ER10"/>
  <c r="EX10"/>
  <c r="FJ442" s="1"/>
  <c r="FK695" s="1"/>
  <c r="FL695" s="1"/>
  <c r="EO10"/>
  <c r="EM10"/>
  <c r="EE10"/>
  <c r="EU10"/>
  <c r="FJ394" s="1"/>
  <c r="EI10"/>
  <c r="EZ10"/>
  <c r="FJ474" s="1"/>
  <c r="FK727" s="1"/>
  <c r="FL727" s="1"/>
  <c r="EF10"/>
  <c r="DW10"/>
  <c r="EY10"/>
  <c r="FJ458" s="1"/>
  <c r="FK711" s="1"/>
  <c r="FL711" s="1"/>
  <c r="EV10"/>
  <c r="ED10"/>
  <c r="ET10"/>
  <c r="DY10"/>
  <c r="ES10"/>
  <c r="EB10"/>
  <c r="EQ11"/>
  <c r="DX11"/>
  <c r="EZ11"/>
  <c r="FJ475" s="1"/>
  <c r="FK728" s="1"/>
  <c r="FL728" s="1"/>
  <c r="EN11"/>
  <c r="EE11"/>
  <c r="EJ11"/>
  <c r="EH11"/>
  <c r="ED11"/>
  <c r="DW11"/>
  <c r="EM11"/>
  <c r="EY11"/>
  <c r="FJ459" s="1"/>
  <c r="FK712" s="1"/>
  <c r="FL712" s="1"/>
  <c r="EL11"/>
  <c r="EI11"/>
  <c r="ER11"/>
  <c r="ES11"/>
  <c r="FJ363" s="1"/>
  <c r="EG11"/>
  <c r="EP11"/>
  <c r="DY11"/>
  <c r="ET11"/>
  <c r="EU11"/>
  <c r="EX11"/>
  <c r="FJ443" s="1"/>
  <c r="FK696" s="1"/>
  <c r="FL696" s="1"/>
  <c r="EB11"/>
  <c r="EK11"/>
  <c r="EW11"/>
  <c r="EO11"/>
  <c r="EA11"/>
  <c r="EF11"/>
  <c r="EC11"/>
  <c r="DZ11"/>
  <c r="EV11"/>
  <c r="ES14"/>
  <c r="EG14"/>
  <c r="EH14"/>
  <c r="DZ14"/>
  <c r="DY14"/>
  <c r="EW14"/>
  <c r="FJ430" s="1"/>
  <c r="FK683" s="1"/>
  <c r="FL683" s="1"/>
  <c r="ED14"/>
  <c r="EZ14"/>
  <c r="FJ478" s="1"/>
  <c r="FK731" s="1"/>
  <c r="FL731" s="1"/>
  <c r="DX14"/>
  <c r="EY14"/>
  <c r="FJ462" s="1"/>
  <c r="FK715" s="1"/>
  <c r="FL715" s="1"/>
  <c r="EU14"/>
  <c r="EQ14"/>
  <c r="EP14"/>
  <c r="EA14"/>
  <c r="EF14"/>
  <c r="EE14"/>
  <c r="EI14"/>
  <c r="ER14"/>
  <c r="EO14"/>
  <c r="EK14"/>
  <c r="DW14"/>
  <c r="ET14"/>
  <c r="EN14"/>
  <c r="EX14"/>
  <c r="FJ446" s="1"/>
  <c r="FK699" s="1"/>
  <c r="FL699" s="1"/>
  <c r="EV14"/>
  <c r="FJ414" s="1"/>
  <c r="FK667" s="1"/>
  <c r="FL667" s="1"/>
  <c r="EM14"/>
  <c r="EL14"/>
  <c r="EJ14"/>
  <c r="EC14"/>
  <c r="EB14"/>
  <c r="EP8"/>
  <c r="EN8"/>
  <c r="EJ8"/>
  <c r="EB8"/>
  <c r="EC8"/>
  <c r="EZ8"/>
  <c r="FJ472" s="1"/>
  <c r="FK725" s="1"/>
  <c r="FL725" s="1"/>
  <c r="ET8"/>
  <c r="ER8"/>
  <c r="DW8"/>
  <c r="ED8"/>
  <c r="EY8"/>
  <c r="FJ456" s="1"/>
  <c r="FK709" s="1"/>
  <c r="FL709" s="1"/>
  <c r="EQ8"/>
  <c r="EV8"/>
  <c r="EX8"/>
  <c r="FJ440" s="1"/>
  <c r="FK693" s="1"/>
  <c r="FL693" s="1"/>
  <c r="EK8"/>
  <c r="DX8"/>
  <c r="EH8"/>
  <c r="DZ8"/>
  <c r="EM8"/>
  <c r="EW8"/>
  <c r="EU8"/>
  <c r="FJ392" s="1"/>
  <c r="EO8"/>
  <c r="DY8"/>
  <c r="EE8"/>
  <c r="EG8"/>
  <c r="EF8"/>
  <c r="EL8"/>
  <c r="EA8"/>
  <c r="EI8"/>
  <c r="ES8"/>
  <c r="DW6"/>
  <c r="EA6"/>
  <c r="ED6"/>
  <c r="EE6"/>
  <c r="EN6"/>
  <c r="EW6"/>
  <c r="ER6"/>
  <c r="EU6"/>
  <c r="EC6"/>
  <c r="EH6"/>
  <c r="ET6"/>
  <c r="EL6"/>
  <c r="DX6"/>
  <c r="DZ6"/>
  <c r="EX6"/>
  <c r="FJ438" s="1"/>
  <c r="FK691" s="1"/>
  <c r="FL691" s="1"/>
  <c r="EY6"/>
  <c r="FJ454" s="1"/>
  <c r="FK707" s="1"/>
  <c r="FL707" s="1"/>
  <c r="EP6"/>
  <c r="EG6"/>
  <c r="EZ6"/>
  <c r="FJ470" s="1"/>
  <c r="FK723" s="1"/>
  <c r="FL723" s="1"/>
  <c r="EJ6"/>
  <c r="EB6"/>
  <c r="ES6"/>
  <c r="EI6"/>
  <c r="EO6"/>
  <c r="EV6"/>
  <c r="FJ406" s="1"/>
  <c r="FK659" s="1"/>
  <c r="FL659" s="1"/>
  <c r="EM6"/>
  <c r="EK6"/>
  <c r="EF6"/>
  <c r="EQ6"/>
  <c r="DY6"/>
  <c r="EP7"/>
  <c r="EX7"/>
  <c r="FJ439" s="1"/>
  <c r="FK692" s="1"/>
  <c r="FL692" s="1"/>
  <c r="EY7"/>
  <c r="FJ455" s="1"/>
  <c r="FK708" s="1"/>
  <c r="FL708" s="1"/>
  <c r="EB7"/>
  <c r="DZ7"/>
  <c r="DY7"/>
  <c r="EU7"/>
  <c r="FJ391" s="1"/>
  <c r="EW7"/>
  <c r="ES7"/>
  <c r="EO7"/>
  <c r="EL7"/>
  <c r="EE7"/>
  <c r="EC7"/>
  <c r="EA7"/>
  <c r="ER7"/>
  <c r="EV7"/>
  <c r="EH7"/>
  <c r="EQ7"/>
  <c r="EJ7"/>
  <c r="EK7"/>
  <c r="EI7"/>
  <c r="ED7"/>
  <c r="DX7"/>
  <c r="EZ7"/>
  <c r="FJ471" s="1"/>
  <c r="FK724" s="1"/>
  <c r="FL724" s="1"/>
  <c r="EM7"/>
  <c r="ET7"/>
  <c r="EF7"/>
  <c r="DW7"/>
  <c r="EN7"/>
  <c r="EG7"/>
  <c r="EU9"/>
  <c r="FJ393" s="1"/>
  <c r="DX9"/>
  <c r="EQ9"/>
  <c r="EO9"/>
  <c r="DY9"/>
  <c r="EH9"/>
  <c r="EF9"/>
  <c r="DW9"/>
  <c r="EY9"/>
  <c r="FJ457" s="1"/>
  <c r="FK710" s="1"/>
  <c r="FL710" s="1"/>
  <c r="EZ9"/>
  <c r="FJ473" s="1"/>
  <c r="FK726" s="1"/>
  <c r="FL726" s="1"/>
  <c r="DZ9"/>
  <c r="EI9"/>
  <c r="EP9"/>
  <c r="ED9"/>
  <c r="ES9"/>
  <c r="EM9"/>
  <c r="EX9"/>
  <c r="FJ441" s="1"/>
  <c r="FK694" s="1"/>
  <c r="FL694" s="1"/>
  <c r="EA9"/>
  <c r="EW9"/>
  <c r="EL9"/>
  <c r="EC9"/>
  <c r="ET9"/>
  <c r="EG9"/>
  <c r="ER9"/>
  <c r="EV9"/>
  <c r="EE9"/>
  <c r="EJ9"/>
  <c r="EB9"/>
  <c r="EK9"/>
  <c r="EN9"/>
  <c r="ED12"/>
  <c r="EI12"/>
  <c r="EX12"/>
  <c r="FJ444" s="1"/>
  <c r="FK697" s="1"/>
  <c r="FL697" s="1"/>
  <c r="DY12"/>
  <c r="EB12"/>
  <c r="EZ12"/>
  <c r="FJ476" s="1"/>
  <c r="FK729" s="1"/>
  <c r="FL729" s="1"/>
  <c r="ET12"/>
  <c r="FJ380" s="1"/>
  <c r="EP12"/>
  <c r="EM12"/>
  <c r="EL12"/>
  <c r="EJ12"/>
  <c r="ER12"/>
  <c r="DW12"/>
  <c r="EF12"/>
  <c r="ES12"/>
  <c r="FJ364" s="1"/>
  <c r="EK12"/>
  <c r="EY12"/>
  <c r="FJ460" s="1"/>
  <c r="FK713" s="1"/>
  <c r="FL713" s="1"/>
  <c r="EO12"/>
  <c r="EE12"/>
  <c r="EV12"/>
  <c r="FJ412" s="1"/>
  <c r="FK665" s="1"/>
  <c r="FL665" s="1"/>
  <c r="DX12"/>
  <c r="EH12"/>
  <c r="EQ12"/>
  <c r="EN12"/>
  <c r="EU12"/>
  <c r="FJ396" s="1"/>
  <c r="EW12"/>
  <c r="DZ12"/>
  <c r="EA12"/>
  <c r="EC12"/>
  <c r="EG12"/>
  <c r="EJ13"/>
  <c r="DY13"/>
  <c r="ER13"/>
  <c r="EH13"/>
  <c r="DW13"/>
  <c r="EV13"/>
  <c r="EU13"/>
  <c r="FJ397" s="1"/>
  <c r="EC13"/>
  <c r="EN13"/>
  <c r="EL13"/>
  <c r="DZ13"/>
  <c r="EX13"/>
  <c r="FJ445" s="1"/>
  <c r="FK698" s="1"/>
  <c r="FL698" s="1"/>
  <c r="ES13"/>
  <c r="FJ365" s="1"/>
  <c r="ET13"/>
  <c r="EW13"/>
  <c r="FJ429" s="1"/>
  <c r="FK682" s="1"/>
  <c r="FL682" s="1"/>
  <c r="EG13"/>
  <c r="EQ13"/>
  <c r="EK13"/>
  <c r="EE13"/>
  <c r="DX13"/>
  <c r="EZ13"/>
  <c r="FJ477" s="1"/>
  <c r="FK730" s="1"/>
  <c r="FL730" s="1"/>
  <c r="EP13"/>
  <c r="EO13"/>
  <c r="EA13"/>
  <c r="EY13"/>
  <c r="FJ461" s="1"/>
  <c r="FK714" s="1"/>
  <c r="FL714" s="1"/>
  <c r="EM13"/>
  <c r="EI13"/>
  <c r="EB13"/>
  <c r="ED13"/>
  <c r="EF13"/>
  <c r="DZ5"/>
  <c r="EC5"/>
  <c r="ED5"/>
  <c r="ER5"/>
  <c r="EI5"/>
  <c r="EE5"/>
  <c r="EM5"/>
  <c r="EP5"/>
  <c r="EO5"/>
  <c r="DW5"/>
  <c r="DY5"/>
  <c r="DX5"/>
  <c r="EX5"/>
  <c r="FJ437" s="1"/>
  <c r="FK690" s="1"/>
  <c r="FL690" s="1"/>
  <c r="EN5"/>
  <c r="EF5"/>
  <c r="EU5"/>
  <c r="EG5"/>
  <c r="EV5"/>
  <c r="EA5"/>
  <c r="EZ5"/>
  <c r="FJ469" s="1"/>
  <c r="FK722" s="1"/>
  <c r="FL722" s="1"/>
  <c r="EW5"/>
  <c r="ET5"/>
  <c r="EL5"/>
  <c r="EB5"/>
  <c r="EQ5"/>
  <c r="EJ5"/>
  <c r="EY5"/>
  <c r="FJ453" s="1"/>
  <c r="FK706" s="1"/>
  <c r="FL706" s="1"/>
  <c r="EK5"/>
  <c r="EH5"/>
  <c r="ES5"/>
  <c r="EU4"/>
  <c r="FJ388" s="1"/>
  <c r="ER4"/>
  <c r="ET4"/>
  <c r="EL4"/>
  <c r="EP4"/>
  <c r="EC4"/>
  <c r="EE4"/>
  <c r="ED4"/>
  <c r="DZ4"/>
  <c r="EY4"/>
  <c r="FJ452" s="1"/>
  <c r="FK705" s="1"/>
  <c r="FL705" s="1"/>
  <c r="EZ4"/>
  <c r="FJ468" s="1"/>
  <c r="FK721" s="1"/>
  <c r="FL721" s="1"/>
  <c r="EI4"/>
  <c r="EN4"/>
  <c r="EQ4"/>
  <c r="ES4"/>
  <c r="EG4"/>
  <c r="EM4"/>
  <c r="EW4"/>
  <c r="EF4"/>
  <c r="EB4"/>
  <c r="DX4"/>
  <c r="DY4"/>
  <c r="EJ4"/>
  <c r="EH4"/>
  <c r="EA4"/>
  <c r="EO4"/>
  <c r="EV4"/>
  <c r="EX4"/>
  <c r="FJ436" s="1"/>
  <c r="FK689" s="1"/>
  <c r="FL689" s="1"/>
  <c r="EK4"/>
  <c r="DW4"/>
  <c r="FJ4" s="1"/>
  <c r="FK64" s="1"/>
  <c r="FL64" s="1"/>
  <c r="FJ376" l="1"/>
  <c r="FJ379"/>
  <c r="FJ367"/>
  <c r="FJ419"/>
  <c r="FK672" s="1"/>
  <c r="FL672" s="1"/>
  <c r="FJ404"/>
  <c r="FJ421"/>
  <c r="FK674" s="1"/>
  <c r="FL674" s="1"/>
  <c r="FJ398"/>
  <c r="FJ383"/>
  <c r="FJ433"/>
  <c r="FK686" s="1"/>
  <c r="FL686" s="1"/>
  <c r="FJ323"/>
  <c r="FJ370"/>
  <c r="FJ402"/>
  <c r="FJ322"/>
  <c r="FJ362"/>
  <c r="FJ389"/>
  <c r="FJ413"/>
  <c r="FK666" s="1"/>
  <c r="FL666" s="1"/>
  <c r="FJ415"/>
  <c r="FK668" s="1"/>
  <c r="FL668" s="1"/>
  <c r="FJ409"/>
  <c r="FK662" s="1"/>
  <c r="FL662" s="1"/>
  <c r="FJ366"/>
  <c r="FJ351"/>
  <c r="FJ425"/>
  <c r="FK678" s="1"/>
  <c r="FL678" s="1"/>
  <c r="FJ408"/>
  <c r="FK661" s="1"/>
  <c r="FL661" s="1"/>
  <c r="FJ378"/>
  <c r="FJ319"/>
  <c r="FJ385"/>
  <c r="FJ353"/>
  <c r="FJ435"/>
  <c r="FK688" s="1"/>
  <c r="FL688" s="1"/>
  <c r="FJ403"/>
  <c r="FJ352"/>
  <c r="FJ418"/>
  <c r="FK671" s="1"/>
  <c r="FL671" s="1"/>
  <c r="FJ373"/>
  <c r="FJ405"/>
  <c r="FJ428"/>
  <c r="FK681" s="1"/>
  <c r="FL681" s="1"/>
  <c r="FJ390"/>
  <c r="FJ411"/>
  <c r="FK664" s="1"/>
  <c r="FL664" s="1"/>
  <c r="FJ335"/>
  <c r="FJ369"/>
  <c r="FJ401"/>
  <c r="FJ387"/>
  <c r="FJ339"/>
  <c r="FJ371"/>
  <c r="FJ416"/>
  <c r="FK669" s="1"/>
  <c r="FL669" s="1"/>
  <c r="FJ336"/>
  <c r="FJ410"/>
  <c r="FK663" s="1"/>
  <c r="FL663" s="1"/>
  <c r="FJ420"/>
  <c r="FK673" s="1"/>
  <c r="FL673" s="1"/>
  <c r="FJ407"/>
  <c r="FK660" s="1"/>
  <c r="FL660" s="1"/>
  <c r="FJ423"/>
  <c r="FK676" s="1"/>
  <c r="FL676" s="1"/>
  <c r="FJ422"/>
  <c r="FK675" s="1"/>
  <c r="FL675" s="1"/>
  <c r="FJ424"/>
  <c r="FK677" s="1"/>
  <c r="FL677" s="1"/>
  <c r="FJ382"/>
  <c r="FJ427"/>
  <c r="FK680" s="1"/>
  <c r="FL680" s="1"/>
  <c r="FJ395"/>
  <c r="FJ426"/>
  <c r="FK679" s="1"/>
  <c r="FL679" s="1"/>
  <c r="FJ417"/>
  <c r="FK670" s="1"/>
  <c r="FL670" s="1"/>
  <c r="FJ321"/>
  <c r="FJ337"/>
  <c r="FJ355"/>
  <c r="FJ368"/>
  <c r="FJ384"/>
  <c r="FJ386"/>
  <c r="FJ354"/>
  <c r="FJ257"/>
  <c r="FJ372"/>
  <c r="FJ251"/>
  <c r="FJ361"/>
  <c r="FJ249"/>
  <c r="FJ359"/>
  <c r="FJ259"/>
  <c r="FJ374"/>
  <c r="FJ246"/>
  <c r="FJ356"/>
  <c r="FJ247"/>
  <c r="FJ357"/>
  <c r="FJ260"/>
  <c r="FJ375"/>
  <c r="FJ250"/>
  <c r="FJ360"/>
  <c r="FJ266"/>
  <c r="FJ381"/>
  <c r="FJ262"/>
  <c r="FJ377"/>
  <c r="FJ248"/>
  <c r="FJ358"/>
  <c r="FJ144"/>
  <c r="FJ136"/>
  <c r="FJ123"/>
  <c r="FJ92"/>
  <c r="FJ126"/>
  <c r="FJ137"/>
  <c r="FJ149"/>
  <c r="FJ101"/>
  <c r="FJ73"/>
  <c r="FJ157"/>
  <c r="FJ183"/>
  <c r="FJ147"/>
  <c r="FJ145"/>
  <c r="FJ152"/>
  <c r="FJ119"/>
  <c r="FJ114"/>
  <c r="FJ79"/>
  <c r="FK139" s="1"/>
  <c r="FL139" s="1"/>
  <c r="FJ115"/>
  <c r="FJ134"/>
  <c r="FJ163"/>
  <c r="FJ125"/>
  <c r="FJ93"/>
  <c r="FJ177"/>
  <c r="FK592" s="1"/>
  <c r="FL592" s="1"/>
  <c r="FJ185"/>
  <c r="FJ105"/>
  <c r="FJ107"/>
  <c r="FJ154"/>
  <c r="FJ178"/>
  <c r="FJ130"/>
  <c r="FJ182"/>
  <c r="FJ103"/>
  <c r="FJ78"/>
  <c r="FK138" s="1"/>
  <c r="FL138" s="1"/>
  <c r="FJ67"/>
  <c r="FJ89"/>
  <c r="FJ139"/>
  <c r="FJ128"/>
  <c r="FJ160"/>
  <c r="FJ138"/>
  <c r="FJ140"/>
  <c r="FJ129"/>
  <c r="FJ179"/>
  <c r="FJ113"/>
  <c r="FJ135"/>
  <c r="FJ143"/>
  <c r="FJ99"/>
  <c r="FJ120"/>
  <c r="FJ117"/>
  <c r="FJ94"/>
  <c r="FJ102"/>
  <c r="FJ155"/>
  <c r="FJ162"/>
  <c r="FJ146"/>
  <c r="FJ122"/>
  <c r="FJ174"/>
  <c r="FJ171"/>
  <c r="FJ187"/>
  <c r="FJ70"/>
  <c r="FJ166"/>
  <c r="FJ97"/>
  <c r="FJ161"/>
  <c r="FJ95"/>
  <c r="FJ58"/>
  <c r="FJ176"/>
  <c r="FK591" s="1"/>
  <c r="FL591" s="1"/>
  <c r="FJ98"/>
  <c r="FJ131"/>
  <c r="FJ175"/>
  <c r="FK590" s="1"/>
  <c r="FL590" s="1"/>
  <c r="FJ83"/>
  <c r="FJ74"/>
  <c r="FJ91"/>
  <c r="FJ81"/>
  <c r="FJ71"/>
  <c r="FJ68"/>
  <c r="FJ64"/>
  <c r="FJ85"/>
  <c r="FJ66"/>
  <c r="FJ76"/>
  <c r="FJ49"/>
  <c r="FK109" s="1"/>
  <c r="FL109" s="1"/>
  <c r="FJ86"/>
  <c r="FJ69"/>
  <c r="FJ65"/>
  <c r="FJ287"/>
  <c r="FJ290"/>
  <c r="FJ308"/>
  <c r="FJ271"/>
  <c r="FJ291"/>
  <c r="FJ277"/>
  <c r="FJ273"/>
  <c r="FJ289"/>
  <c r="FJ275"/>
  <c r="FJ288"/>
  <c r="FJ306"/>
  <c r="FJ274"/>
  <c r="FJ272"/>
  <c r="FJ303"/>
  <c r="FJ305"/>
  <c r="FJ307"/>
  <c r="FJ304"/>
  <c r="FJ203"/>
  <c r="FK618" s="1"/>
  <c r="FL618" s="1"/>
  <c r="FJ293"/>
  <c r="FJ188"/>
  <c r="FJ268"/>
  <c r="FJ237"/>
  <c r="FK652" s="1"/>
  <c r="FL652" s="1"/>
  <c r="FJ342"/>
  <c r="FJ217"/>
  <c r="FJ312"/>
  <c r="FJ209"/>
  <c r="FJ299"/>
  <c r="FJ220"/>
  <c r="FK635" s="1"/>
  <c r="FL635" s="1"/>
  <c r="FJ315"/>
  <c r="FJ240"/>
  <c r="FK655" s="1"/>
  <c r="FL655" s="1"/>
  <c r="FJ345"/>
  <c r="FJ207"/>
  <c r="FJ297"/>
  <c r="FJ205"/>
  <c r="FK620" s="1"/>
  <c r="FL620" s="1"/>
  <c r="FJ295"/>
  <c r="FJ195"/>
  <c r="FK610" s="1"/>
  <c r="FL610" s="1"/>
  <c r="FJ280"/>
  <c r="FJ234"/>
  <c r="FK649" s="1"/>
  <c r="FL649" s="1"/>
  <c r="FJ334"/>
  <c r="FJ242"/>
  <c r="FK657" s="1"/>
  <c r="FL657" s="1"/>
  <c r="FJ347"/>
  <c r="FJ118"/>
  <c r="FJ141"/>
  <c r="FJ84"/>
  <c r="FJ168"/>
  <c r="FJ164"/>
  <c r="FJ225"/>
  <c r="FK640" s="1"/>
  <c r="FL640" s="1"/>
  <c r="FJ325"/>
  <c r="FJ201"/>
  <c r="FK616" s="1"/>
  <c r="FL616" s="1"/>
  <c r="FJ286"/>
  <c r="FJ212"/>
  <c r="FJ302"/>
  <c r="FJ231"/>
  <c r="FJ331"/>
  <c r="FJ197"/>
  <c r="FJ282"/>
  <c r="FJ204"/>
  <c r="FJ294"/>
  <c r="FJ208"/>
  <c r="FJ298"/>
  <c r="FJ230"/>
  <c r="FK645" s="1"/>
  <c r="FL645" s="1"/>
  <c r="FJ330"/>
  <c r="FJ191"/>
  <c r="FJ276"/>
  <c r="FJ233"/>
  <c r="FK648" s="1"/>
  <c r="FL648" s="1"/>
  <c r="FJ333"/>
  <c r="FJ200"/>
  <c r="FK615" s="1"/>
  <c r="FL615" s="1"/>
  <c r="FJ285"/>
  <c r="FJ232"/>
  <c r="FK647" s="1"/>
  <c r="FL647" s="1"/>
  <c r="FJ332"/>
  <c r="FJ218"/>
  <c r="FJ313"/>
  <c r="FJ238"/>
  <c r="FK653" s="1"/>
  <c r="FL653" s="1"/>
  <c r="FJ343"/>
  <c r="FJ226"/>
  <c r="FK641" s="1"/>
  <c r="FL641" s="1"/>
  <c r="FJ326"/>
  <c r="FJ215"/>
  <c r="FJ310"/>
  <c r="FJ193"/>
  <c r="FK608" s="1"/>
  <c r="FL608" s="1"/>
  <c r="FJ278"/>
  <c r="FJ223"/>
  <c r="FK638" s="1"/>
  <c r="FL638" s="1"/>
  <c r="FJ318"/>
  <c r="FJ219"/>
  <c r="FJ314"/>
  <c r="FJ263"/>
  <c r="FJ153"/>
  <c r="FJ169"/>
  <c r="FJ148"/>
  <c r="FJ111"/>
  <c r="FJ142"/>
  <c r="FJ158"/>
  <c r="FJ180"/>
  <c r="FJ104"/>
  <c r="FJ82"/>
  <c r="FJ90"/>
  <c r="FJ255"/>
  <c r="FJ156"/>
  <c r="FJ100"/>
  <c r="FJ254"/>
  <c r="FJ265"/>
  <c r="FJ75"/>
  <c r="FJ106"/>
  <c r="FJ150"/>
  <c r="FJ172"/>
  <c r="FJ72"/>
  <c r="FJ173"/>
  <c r="FJ184"/>
  <c r="FJ261"/>
  <c r="FJ151"/>
  <c r="FJ80"/>
  <c r="FJ256"/>
  <c r="FJ110"/>
  <c r="FJ165"/>
  <c r="FJ264"/>
  <c r="FJ253"/>
  <c r="FJ132"/>
  <c r="FJ252"/>
  <c r="FJ186"/>
  <c r="FJ54"/>
  <c r="FJ211"/>
  <c r="FJ301"/>
  <c r="FJ244"/>
  <c r="FJ349"/>
  <c r="FJ229"/>
  <c r="FJ329"/>
  <c r="FJ194"/>
  <c r="FJ279"/>
  <c r="FJ216"/>
  <c r="FJ311"/>
  <c r="FJ210"/>
  <c r="FJ300"/>
  <c r="FJ227"/>
  <c r="FK642" s="1"/>
  <c r="FL642" s="1"/>
  <c r="FJ327"/>
  <c r="FJ206"/>
  <c r="FK621" s="1"/>
  <c r="FL621" s="1"/>
  <c r="FJ296"/>
  <c r="FJ202"/>
  <c r="FJ292"/>
  <c r="FJ224"/>
  <c r="FJ324"/>
  <c r="FJ235"/>
  <c r="FK650" s="1"/>
  <c r="FL650" s="1"/>
  <c r="FJ340"/>
  <c r="FJ214"/>
  <c r="FJ309"/>
  <c r="FJ236"/>
  <c r="FK651" s="1"/>
  <c r="FL651" s="1"/>
  <c r="FJ341"/>
  <c r="FJ189"/>
  <c r="FJ269"/>
  <c r="FJ222"/>
  <c r="FK637" s="1"/>
  <c r="FL637" s="1"/>
  <c r="FJ317"/>
  <c r="FJ199"/>
  <c r="FJ284"/>
  <c r="FJ243"/>
  <c r="FK658" s="1"/>
  <c r="FL658" s="1"/>
  <c r="FJ348"/>
  <c r="FJ221"/>
  <c r="FK636" s="1"/>
  <c r="FL636" s="1"/>
  <c r="FJ316"/>
  <c r="FJ196"/>
  <c r="FK611" s="1"/>
  <c r="FL611" s="1"/>
  <c r="FJ281"/>
  <c r="FJ228"/>
  <c r="FK643" s="1"/>
  <c r="FL643" s="1"/>
  <c r="FJ328"/>
  <c r="FJ239"/>
  <c r="FK654" s="1"/>
  <c r="FL654" s="1"/>
  <c r="FJ344"/>
  <c r="FJ190"/>
  <c r="FJ270"/>
  <c r="FJ245"/>
  <c r="FJ350"/>
  <c r="FJ198"/>
  <c r="FJ283"/>
  <c r="FJ241"/>
  <c r="FK656" s="1"/>
  <c r="FL656" s="1"/>
  <c r="FJ346"/>
  <c r="FJ108"/>
  <c r="FJ59"/>
  <c r="FJ258"/>
  <c r="FJ133"/>
  <c r="FJ112"/>
  <c r="FJ167"/>
  <c r="FJ62"/>
  <c r="FJ116"/>
  <c r="FJ127"/>
  <c r="FJ96"/>
  <c r="FJ267"/>
  <c r="FJ124"/>
  <c r="FJ77"/>
  <c r="FJ121"/>
  <c r="FJ88"/>
  <c r="FJ87"/>
  <c r="FJ109"/>
  <c r="FJ45"/>
  <c r="FK105" s="1"/>
  <c r="FL105" s="1"/>
  <c r="FJ43"/>
  <c r="FJ50"/>
  <c r="FK110" s="1"/>
  <c r="FL110" s="1"/>
  <c r="FJ60"/>
  <c r="FJ52"/>
  <c r="FK112" s="1"/>
  <c r="FL112" s="1"/>
  <c r="FJ63"/>
  <c r="FJ46"/>
  <c r="FK106" s="1"/>
  <c r="FL106" s="1"/>
  <c r="FJ42"/>
  <c r="FJ40"/>
  <c r="FJ44"/>
  <c r="FK104" s="1"/>
  <c r="FL104" s="1"/>
  <c r="FJ61"/>
  <c r="FJ56"/>
  <c r="FJ53"/>
  <c r="FJ57"/>
  <c r="FJ51"/>
  <c r="FJ41"/>
  <c r="FJ47"/>
  <c r="FK107" s="1"/>
  <c r="FL107" s="1"/>
  <c r="FJ55"/>
  <c r="FK20"/>
  <c r="FL20" s="1"/>
  <c r="FJ8"/>
  <c r="FJ48"/>
  <c r="FK108" s="1"/>
  <c r="FL108" s="1"/>
  <c r="FJ23"/>
  <c r="FJ213"/>
  <c r="FJ35"/>
  <c r="FJ170"/>
  <c r="FJ37"/>
  <c r="FJ181"/>
  <c r="FJ7"/>
  <c r="FJ33"/>
  <c r="FK93" s="1"/>
  <c r="FL93" s="1"/>
  <c r="FJ159"/>
  <c r="FJ39"/>
  <c r="FJ192"/>
  <c r="FJ13"/>
  <c r="FK73" s="1"/>
  <c r="FL73" s="1"/>
  <c r="FJ27"/>
  <c r="FJ25"/>
  <c r="FK133" s="1"/>
  <c r="FL133" s="1"/>
  <c r="FJ29"/>
  <c r="FJ31"/>
  <c r="FJ12"/>
  <c r="FJ9"/>
  <c r="FJ17"/>
  <c r="FJ30"/>
  <c r="FJ15"/>
  <c r="FK75" s="1"/>
  <c r="FL75" s="1"/>
  <c r="FJ26"/>
  <c r="FK89"/>
  <c r="FL89" s="1"/>
  <c r="FJ14"/>
  <c r="FJ24"/>
  <c r="FK132" s="1"/>
  <c r="FL132" s="1"/>
  <c r="FJ16"/>
  <c r="FJ28"/>
  <c r="FK88" s="1"/>
  <c r="FL88" s="1"/>
  <c r="FJ19"/>
  <c r="FJ34"/>
  <c r="FJ18"/>
  <c r="FJ32"/>
  <c r="FJ20"/>
  <c r="FJ36"/>
  <c r="FJ21"/>
  <c r="FJ38"/>
  <c r="FK87"/>
  <c r="FL87" s="1"/>
  <c r="FK84"/>
  <c r="FL84" s="1"/>
  <c r="FK140"/>
  <c r="FL140" s="1"/>
  <c r="FJ11"/>
  <c r="FJ5"/>
  <c r="FK65" s="1"/>
  <c r="FL65" s="1"/>
  <c r="FJ22"/>
  <c r="FJ6"/>
  <c r="FJ10"/>
  <c r="FK92"/>
  <c r="FL92" s="1"/>
  <c r="FK91"/>
  <c r="FL91" s="1"/>
  <c r="FK41"/>
  <c r="FL41" s="1"/>
  <c r="FK540" l="1"/>
  <c r="FL540" s="1"/>
  <c r="FK541"/>
  <c r="FL541" s="1"/>
  <c r="FK221"/>
  <c r="FL221" s="1"/>
  <c r="FK639"/>
  <c r="FL639" s="1"/>
  <c r="FK644"/>
  <c r="FL644" s="1"/>
  <c r="FK251"/>
  <c r="FL251" s="1"/>
  <c r="FK516"/>
  <c r="FL516" s="1"/>
  <c r="FK254"/>
  <c r="FL254" s="1"/>
  <c r="FK646"/>
  <c r="FL646" s="1"/>
  <c r="FK533"/>
  <c r="FL533" s="1"/>
  <c r="FK237"/>
  <c r="FL237" s="1"/>
  <c r="FK544"/>
  <c r="FL544" s="1"/>
  <c r="FK607"/>
  <c r="FL607" s="1"/>
  <c r="FK604"/>
  <c r="FL604" s="1"/>
  <c r="FK589"/>
  <c r="FL589" s="1"/>
  <c r="FK294"/>
  <c r="FL294" s="1"/>
  <c r="FK547"/>
  <c r="FL547" s="1"/>
  <c r="FK587"/>
  <c r="FL587" s="1"/>
  <c r="FK595"/>
  <c r="FL595" s="1"/>
  <c r="FK593"/>
  <c r="FL593" s="1"/>
  <c r="FK600"/>
  <c r="FL600" s="1"/>
  <c r="FK548"/>
  <c r="FL548" s="1"/>
  <c r="FK513"/>
  <c r="FL513" s="1"/>
  <c r="FK536"/>
  <c r="FL536" s="1"/>
  <c r="FK523"/>
  <c r="FL523" s="1"/>
  <c r="FK507"/>
  <c r="FL507" s="1"/>
  <c r="FK519"/>
  <c r="FL519" s="1"/>
  <c r="FK292"/>
  <c r="FL292" s="1"/>
  <c r="FK253"/>
  <c r="FL253" s="1"/>
  <c r="FK81"/>
  <c r="FL81" s="1"/>
  <c r="FK249"/>
  <c r="FL249" s="1"/>
  <c r="FK77"/>
  <c r="FL77" s="1"/>
  <c r="FK260"/>
  <c r="FL260" s="1"/>
  <c r="FK66"/>
  <c r="FL66" s="1"/>
  <c r="FK47"/>
  <c r="FL47" s="1"/>
  <c r="FK79"/>
  <c r="FL79" s="1"/>
  <c r="FK42"/>
  <c r="FL42" s="1"/>
  <c r="FK74"/>
  <c r="FL74" s="1"/>
  <c r="FK247"/>
  <c r="FL247" s="1"/>
  <c r="FK111"/>
  <c r="FL111" s="1"/>
  <c r="FK130"/>
  <c r="FL130" s="1"/>
  <c r="FK82"/>
  <c r="FL82" s="1"/>
  <c r="FK115"/>
  <c r="FL115" s="1"/>
  <c r="FK67"/>
  <c r="FL67" s="1"/>
  <c r="FK24"/>
  <c r="FL24" s="1"/>
  <c r="FK68"/>
  <c r="FL68" s="1"/>
  <c r="FK38"/>
  <c r="FL38" s="1"/>
  <c r="FK70"/>
  <c r="FL70" s="1"/>
  <c r="FK119"/>
  <c r="FL119" s="1"/>
  <c r="FK71"/>
  <c r="FL71" s="1"/>
  <c r="FK252"/>
  <c r="FL252" s="1"/>
  <c r="FK80"/>
  <c r="FL80" s="1"/>
  <c r="FK120"/>
  <c r="FL120" s="1"/>
  <c r="FK72"/>
  <c r="FL72" s="1"/>
  <c r="FK131"/>
  <c r="FL131" s="1"/>
  <c r="FK83"/>
  <c r="FL83" s="1"/>
  <c r="FK250"/>
  <c r="FL250" s="1"/>
  <c r="FK78"/>
  <c r="FL78" s="1"/>
  <c r="FK248"/>
  <c r="FL248" s="1"/>
  <c r="FK76"/>
  <c r="FL76" s="1"/>
  <c r="FK117"/>
  <c r="FL117" s="1"/>
  <c r="FK69"/>
  <c r="FL69" s="1"/>
  <c r="FK103"/>
  <c r="FL103" s="1"/>
  <c r="FK134"/>
  <c r="FL134" s="1"/>
  <c r="FK534"/>
  <c r="FL534" s="1"/>
  <c r="FK612"/>
  <c r="FL612" s="1"/>
  <c r="FK491"/>
  <c r="FL491" s="1"/>
  <c r="FK586"/>
  <c r="FL586" s="1"/>
  <c r="FK598"/>
  <c r="FL598" s="1"/>
  <c r="FK266"/>
  <c r="FL266" s="1"/>
  <c r="FK488"/>
  <c r="FL488" s="1"/>
  <c r="FK517"/>
  <c r="FL517" s="1"/>
  <c r="FK594"/>
  <c r="FL594" s="1"/>
  <c r="FK609"/>
  <c r="FL609" s="1"/>
  <c r="FK529"/>
  <c r="FL529" s="1"/>
  <c r="FK484"/>
  <c r="FL484" s="1"/>
  <c r="FK597"/>
  <c r="FL597" s="1"/>
  <c r="FK45"/>
  <c r="FL45" s="1"/>
  <c r="FK39"/>
  <c r="FL39" s="1"/>
  <c r="FK44"/>
  <c r="FL44" s="1"/>
  <c r="FK46"/>
  <c r="FL46" s="1"/>
  <c r="FK303"/>
  <c r="FL303" s="1"/>
  <c r="FK271"/>
  <c r="FL271" s="1"/>
  <c r="FK322"/>
  <c r="FL322" s="1"/>
  <c r="FK318"/>
  <c r="FL318" s="1"/>
  <c r="FK286"/>
  <c r="FL286" s="1"/>
  <c r="FK273"/>
  <c r="FL273" s="1"/>
  <c r="FK267"/>
  <c r="FL267" s="1"/>
  <c r="FK277"/>
  <c r="FL277" s="1"/>
  <c r="FK295"/>
  <c r="FL295" s="1"/>
  <c r="FK278"/>
  <c r="FL278" s="1"/>
  <c r="FK279"/>
  <c r="FL279" s="1"/>
  <c r="FK281"/>
  <c r="FL281" s="1"/>
  <c r="FK265"/>
  <c r="FL265" s="1"/>
  <c r="FK280"/>
  <c r="FL280" s="1"/>
  <c r="FK259"/>
  <c r="FL259" s="1"/>
  <c r="FK269"/>
  <c r="FL269" s="1"/>
  <c r="FK263"/>
  <c r="FL263" s="1"/>
  <c r="FK288"/>
  <c r="FL288" s="1"/>
  <c r="FK272"/>
  <c r="FL272" s="1"/>
  <c r="FK275"/>
  <c r="FL275" s="1"/>
  <c r="FK261"/>
  <c r="FL261" s="1"/>
  <c r="FK282"/>
  <c r="FL282" s="1"/>
  <c r="FK274"/>
  <c r="FL274" s="1"/>
  <c r="FK23"/>
  <c r="FL23" s="1"/>
  <c r="FK29"/>
  <c r="FL29" s="1"/>
  <c r="FK444"/>
  <c r="FL444" s="1"/>
  <c r="FK323"/>
  <c r="FL323" s="1"/>
  <c r="FK301"/>
  <c r="FL301" s="1"/>
  <c r="FK311"/>
  <c r="FL311" s="1"/>
  <c r="FK315"/>
  <c r="FL315" s="1"/>
  <c r="FK302"/>
  <c r="FL302" s="1"/>
  <c r="FK298"/>
  <c r="FL298" s="1"/>
  <c r="FK319"/>
  <c r="FL319" s="1"/>
  <c r="FK299"/>
  <c r="FL299" s="1"/>
  <c r="FK406"/>
  <c r="FL406" s="1"/>
  <c r="FK307"/>
  <c r="FL307" s="1"/>
  <c r="FK297"/>
  <c r="FL297" s="1"/>
  <c r="FK314"/>
  <c r="FL314" s="1"/>
  <c r="FK496"/>
  <c r="FL496" s="1"/>
  <c r="FK500"/>
  <c r="FL500" s="1"/>
  <c r="FK537"/>
  <c r="FL537" s="1"/>
  <c r="FK497"/>
  <c r="FL497" s="1"/>
  <c r="FK479"/>
  <c r="FL479" s="1"/>
  <c r="FK543"/>
  <c r="FL543" s="1"/>
  <c r="FK550"/>
  <c r="FL550" s="1"/>
  <c r="FK514"/>
  <c r="FL514" s="1"/>
  <c r="FK453"/>
  <c r="FL453" s="1"/>
  <c r="FK480"/>
  <c r="FL480" s="1"/>
  <c r="FK520"/>
  <c r="FL520" s="1"/>
  <c r="FK510"/>
  <c r="FL510" s="1"/>
  <c r="FK485"/>
  <c r="FL485" s="1"/>
  <c r="FK564"/>
  <c r="FL564" s="1"/>
  <c r="FK614"/>
  <c r="FL614" s="1"/>
  <c r="FK579"/>
  <c r="FL579" s="1"/>
  <c r="FK629"/>
  <c r="FL629" s="1"/>
  <c r="FK575"/>
  <c r="FL575" s="1"/>
  <c r="FK625"/>
  <c r="FL625" s="1"/>
  <c r="FK551"/>
  <c r="FL551" s="1"/>
  <c r="FK601"/>
  <c r="FL601" s="1"/>
  <c r="FK313"/>
  <c r="FL313" s="1"/>
  <c r="FK588"/>
  <c r="FL588" s="1"/>
  <c r="FK584"/>
  <c r="FL584" s="1"/>
  <c r="FK634"/>
  <c r="FL634" s="1"/>
  <c r="FK583"/>
  <c r="FL583" s="1"/>
  <c r="FK633"/>
  <c r="FL633" s="1"/>
  <c r="FK556"/>
  <c r="FL556" s="1"/>
  <c r="FK606"/>
  <c r="FL606" s="1"/>
  <c r="FK573"/>
  <c r="FL573" s="1"/>
  <c r="FK623"/>
  <c r="FL623" s="1"/>
  <c r="FK577"/>
  <c r="FL577" s="1"/>
  <c r="FK627"/>
  <c r="FL627" s="1"/>
  <c r="FK572"/>
  <c r="FL572" s="1"/>
  <c r="FK622"/>
  <c r="FL622" s="1"/>
  <c r="FK582"/>
  <c r="FL582" s="1"/>
  <c r="FK632"/>
  <c r="FL632" s="1"/>
  <c r="FK553"/>
  <c r="FL553" s="1"/>
  <c r="FK603"/>
  <c r="FL603" s="1"/>
  <c r="FK310"/>
  <c r="FL310" s="1"/>
  <c r="FK585"/>
  <c r="FL585" s="1"/>
  <c r="FK563"/>
  <c r="FL563" s="1"/>
  <c r="FK613"/>
  <c r="FL613" s="1"/>
  <c r="FK555"/>
  <c r="FL555" s="1"/>
  <c r="FK605"/>
  <c r="FL605" s="1"/>
  <c r="FK324"/>
  <c r="FL324" s="1"/>
  <c r="FK599"/>
  <c r="FL599" s="1"/>
  <c r="FK552"/>
  <c r="FL552" s="1"/>
  <c r="FK602"/>
  <c r="FL602" s="1"/>
  <c r="FK542"/>
  <c r="FL542" s="1"/>
  <c r="FK503"/>
  <c r="FL503" s="1"/>
  <c r="FK470"/>
  <c r="FL470" s="1"/>
  <c r="FK512"/>
  <c r="FL512" s="1"/>
  <c r="FK505"/>
  <c r="FL505" s="1"/>
  <c r="FK475"/>
  <c r="FL475" s="1"/>
  <c r="FK515"/>
  <c r="FL515" s="1"/>
  <c r="FK522"/>
  <c r="FL522" s="1"/>
  <c r="FK509"/>
  <c r="FL509" s="1"/>
  <c r="FK472"/>
  <c r="FL472" s="1"/>
  <c r="FK478"/>
  <c r="FL478" s="1"/>
  <c r="FK567"/>
  <c r="FL567" s="1"/>
  <c r="FK617"/>
  <c r="FL617" s="1"/>
  <c r="FK581"/>
  <c r="FL581" s="1"/>
  <c r="FK631"/>
  <c r="FL631" s="1"/>
  <c r="FK576"/>
  <c r="FL576" s="1"/>
  <c r="FK626"/>
  <c r="FL626" s="1"/>
  <c r="FK580"/>
  <c r="FL580" s="1"/>
  <c r="FK630"/>
  <c r="FL630" s="1"/>
  <c r="FK569"/>
  <c r="FL569" s="1"/>
  <c r="FK619"/>
  <c r="FL619" s="1"/>
  <c r="FK574"/>
  <c r="FL574" s="1"/>
  <c r="FK624"/>
  <c r="FL624" s="1"/>
  <c r="FK499"/>
  <c r="FL499" s="1"/>
  <c r="FK321"/>
  <c r="FL321" s="1"/>
  <c r="FK596"/>
  <c r="FL596" s="1"/>
  <c r="FK578"/>
  <c r="FL578" s="1"/>
  <c r="FK628"/>
  <c r="FL628" s="1"/>
  <c r="FK525"/>
  <c r="FL525" s="1"/>
  <c r="FK506"/>
  <c r="FL506" s="1"/>
  <c r="FK539"/>
  <c r="FL539" s="1"/>
  <c r="FK528"/>
  <c r="FL528" s="1"/>
  <c r="FK526"/>
  <c r="FL526" s="1"/>
  <c r="FK490"/>
  <c r="FL490" s="1"/>
  <c r="FK527"/>
  <c r="FL527" s="1"/>
  <c r="FK495"/>
  <c r="FL495" s="1"/>
  <c r="FK501"/>
  <c r="FL501" s="1"/>
  <c r="FK502"/>
  <c r="FL502" s="1"/>
  <c r="FK504"/>
  <c r="FL504" s="1"/>
  <c r="FK531"/>
  <c r="FL531" s="1"/>
  <c r="FK387"/>
  <c r="FL387" s="1"/>
  <c r="FK482"/>
  <c r="FL482" s="1"/>
  <c r="FK530"/>
  <c r="FL530" s="1"/>
  <c r="FK538"/>
  <c r="FL538" s="1"/>
  <c r="FK489"/>
  <c r="FL489" s="1"/>
  <c r="FK518"/>
  <c r="FL518" s="1"/>
  <c r="FK336"/>
  <c r="FL336" s="1"/>
  <c r="FK561"/>
  <c r="FL561" s="1"/>
  <c r="FK333"/>
  <c r="FL333" s="1"/>
  <c r="FK558"/>
  <c r="FL558" s="1"/>
  <c r="FK340"/>
  <c r="FL340" s="1"/>
  <c r="FK565"/>
  <c r="FL565" s="1"/>
  <c r="FK337"/>
  <c r="FL337" s="1"/>
  <c r="FK562"/>
  <c r="FL562" s="1"/>
  <c r="FK335"/>
  <c r="FL335" s="1"/>
  <c r="FK560"/>
  <c r="FL560" s="1"/>
  <c r="FK524"/>
  <c r="FL524" s="1"/>
  <c r="FK400"/>
  <c r="FL400" s="1"/>
  <c r="FK535"/>
  <c r="FL535" s="1"/>
  <c r="FK549"/>
  <c r="FL549" s="1"/>
  <c r="FK329"/>
  <c r="FL329" s="1"/>
  <c r="FK554"/>
  <c r="FL554" s="1"/>
  <c r="FK346"/>
  <c r="FL346" s="1"/>
  <c r="FK571"/>
  <c r="FL571" s="1"/>
  <c r="FK334"/>
  <c r="FL334" s="1"/>
  <c r="FK559"/>
  <c r="FL559" s="1"/>
  <c r="FK399"/>
  <c r="FL399" s="1"/>
  <c r="FK397"/>
  <c r="FL397" s="1"/>
  <c r="FK477"/>
  <c r="FL477" s="1"/>
  <c r="FK474"/>
  <c r="FL474" s="1"/>
  <c r="FK481"/>
  <c r="FL481" s="1"/>
  <c r="FK494"/>
  <c r="FL494" s="1"/>
  <c r="FK498"/>
  <c r="FL498" s="1"/>
  <c r="FK521"/>
  <c r="FL521" s="1"/>
  <c r="FK476"/>
  <c r="FL476" s="1"/>
  <c r="FK493"/>
  <c r="FL493" s="1"/>
  <c r="FK511"/>
  <c r="FL511" s="1"/>
  <c r="FK508"/>
  <c r="FL508" s="1"/>
  <c r="FK471"/>
  <c r="FL471" s="1"/>
  <c r="FK487"/>
  <c r="FL487" s="1"/>
  <c r="FK483"/>
  <c r="FL483" s="1"/>
  <c r="FK532"/>
  <c r="FL532" s="1"/>
  <c r="FK332"/>
  <c r="FL332" s="1"/>
  <c r="FK557"/>
  <c r="FL557" s="1"/>
  <c r="FK341"/>
  <c r="FL341" s="1"/>
  <c r="FK566"/>
  <c r="FL566" s="1"/>
  <c r="FK345"/>
  <c r="FL345" s="1"/>
  <c r="FK570"/>
  <c r="FL570" s="1"/>
  <c r="FK343"/>
  <c r="FL343" s="1"/>
  <c r="FK568"/>
  <c r="FL568" s="1"/>
  <c r="FK546"/>
  <c r="FL546" s="1"/>
  <c r="FK492"/>
  <c r="FL492" s="1"/>
  <c r="FK545"/>
  <c r="FL545" s="1"/>
  <c r="FK391"/>
  <c r="FL391" s="1"/>
  <c r="FK388"/>
  <c r="FL388" s="1"/>
  <c r="FK389"/>
  <c r="FL389" s="1"/>
  <c r="FK473"/>
  <c r="FL473" s="1"/>
  <c r="FK486"/>
  <c r="FL486" s="1"/>
  <c r="FK445"/>
  <c r="FL445" s="1"/>
  <c r="FK465"/>
  <c r="FL465" s="1"/>
  <c r="FK209"/>
  <c r="FL209" s="1"/>
  <c r="FK316"/>
  <c r="FL316" s="1"/>
  <c r="FK447"/>
  <c r="FL447" s="1"/>
  <c r="FK268"/>
  <c r="FL268" s="1"/>
  <c r="FK462"/>
  <c r="FL462" s="1"/>
  <c r="FK456"/>
  <c r="FL456" s="1"/>
  <c r="FK443"/>
  <c r="FL443" s="1"/>
  <c r="FK446"/>
  <c r="FL446" s="1"/>
  <c r="FK198"/>
  <c r="FL198" s="1"/>
  <c r="FK330"/>
  <c r="FL330" s="1"/>
  <c r="FK351"/>
  <c r="FL351" s="1"/>
  <c r="FK467"/>
  <c r="FL467" s="1"/>
  <c r="FK466"/>
  <c r="FL466" s="1"/>
  <c r="FK290"/>
  <c r="FL290" s="1"/>
  <c r="FK469"/>
  <c r="FL469" s="1"/>
  <c r="FK270"/>
  <c r="FL270" s="1"/>
  <c r="FK306"/>
  <c r="FL306" s="1"/>
  <c r="FK300"/>
  <c r="FL300" s="1"/>
  <c r="FK455"/>
  <c r="FL455" s="1"/>
  <c r="FK325"/>
  <c r="FL325" s="1"/>
  <c r="FK338"/>
  <c r="FL338" s="1"/>
  <c r="FK291"/>
  <c r="FL291" s="1"/>
  <c r="FK309"/>
  <c r="FL309" s="1"/>
  <c r="FK331"/>
  <c r="FL331" s="1"/>
  <c r="FK348"/>
  <c r="FL348" s="1"/>
  <c r="FK468"/>
  <c r="FL468" s="1"/>
  <c r="FK317"/>
  <c r="FL317" s="1"/>
  <c r="FK458"/>
  <c r="FL458" s="1"/>
  <c r="FK339"/>
  <c r="FL339" s="1"/>
  <c r="FK342"/>
  <c r="FL342" s="1"/>
  <c r="FK350"/>
  <c r="FL350" s="1"/>
  <c r="FK326"/>
  <c r="FL326" s="1"/>
  <c r="FK464"/>
  <c r="FL464" s="1"/>
  <c r="FK442"/>
  <c r="FL442" s="1"/>
  <c r="FK327"/>
  <c r="FL327" s="1"/>
  <c r="FK393"/>
  <c r="FL393" s="1"/>
  <c r="FK449"/>
  <c r="FL449" s="1"/>
  <c r="FK396"/>
  <c r="FL396" s="1"/>
  <c r="FK452"/>
  <c r="FL452" s="1"/>
  <c r="FK401"/>
  <c r="FL401" s="1"/>
  <c r="FK457"/>
  <c r="FL457" s="1"/>
  <c r="FK359"/>
  <c r="FL359" s="1"/>
  <c r="FK415"/>
  <c r="FL415" s="1"/>
  <c r="FK366"/>
  <c r="FL366" s="1"/>
  <c r="FK422"/>
  <c r="FL422" s="1"/>
  <c r="FK358"/>
  <c r="FL358" s="1"/>
  <c r="FK414"/>
  <c r="FL414" s="1"/>
  <c r="FK352"/>
  <c r="FL352" s="1"/>
  <c r="FK408"/>
  <c r="FL408" s="1"/>
  <c r="FK365"/>
  <c r="FL365" s="1"/>
  <c r="FK421"/>
  <c r="FL421" s="1"/>
  <c r="FK382"/>
  <c r="FL382" s="1"/>
  <c r="FK438"/>
  <c r="FL438" s="1"/>
  <c r="FK380"/>
  <c r="FL380" s="1"/>
  <c r="FK436"/>
  <c r="FL436" s="1"/>
  <c r="FK377"/>
  <c r="FL377" s="1"/>
  <c r="FK433"/>
  <c r="FL433" s="1"/>
  <c r="FK349"/>
  <c r="FL349" s="1"/>
  <c r="FK328"/>
  <c r="FL328" s="1"/>
  <c r="FK386"/>
  <c r="FL386" s="1"/>
  <c r="FK398"/>
  <c r="FL398" s="1"/>
  <c r="FK454"/>
  <c r="FL454" s="1"/>
  <c r="FK383"/>
  <c r="FL383" s="1"/>
  <c r="FK439"/>
  <c r="FL439" s="1"/>
  <c r="FK384"/>
  <c r="FL384" s="1"/>
  <c r="FK440"/>
  <c r="FL440" s="1"/>
  <c r="FK392"/>
  <c r="FL392" s="1"/>
  <c r="FK448"/>
  <c r="FL448" s="1"/>
  <c r="FK405"/>
  <c r="FL405" s="1"/>
  <c r="FK461"/>
  <c r="FL461" s="1"/>
  <c r="FK395"/>
  <c r="FL395" s="1"/>
  <c r="FK451"/>
  <c r="FL451" s="1"/>
  <c r="FK403"/>
  <c r="FL403" s="1"/>
  <c r="FK459"/>
  <c r="FL459" s="1"/>
  <c r="FK363"/>
  <c r="FL363" s="1"/>
  <c r="FK419"/>
  <c r="FL419" s="1"/>
  <c r="FK355"/>
  <c r="FL355" s="1"/>
  <c r="FK411"/>
  <c r="FL411" s="1"/>
  <c r="FK378"/>
  <c r="FL378" s="1"/>
  <c r="FK434"/>
  <c r="FL434" s="1"/>
  <c r="FK372"/>
  <c r="FL372" s="1"/>
  <c r="FK428"/>
  <c r="FL428" s="1"/>
  <c r="FK373"/>
  <c r="FL373" s="1"/>
  <c r="FK429"/>
  <c r="FL429" s="1"/>
  <c r="FK370"/>
  <c r="FL370" s="1"/>
  <c r="FK426"/>
  <c r="FL426" s="1"/>
  <c r="FK371"/>
  <c r="FL371" s="1"/>
  <c r="FK427"/>
  <c r="FL427" s="1"/>
  <c r="FK374"/>
  <c r="FL374" s="1"/>
  <c r="FK430"/>
  <c r="FL430" s="1"/>
  <c r="FK360"/>
  <c r="FL360" s="1"/>
  <c r="FK416"/>
  <c r="FL416" s="1"/>
  <c r="FK357"/>
  <c r="FL357" s="1"/>
  <c r="FK413"/>
  <c r="FL413" s="1"/>
  <c r="FK223"/>
  <c r="FL223" s="1"/>
  <c r="FK305"/>
  <c r="FL305" s="1"/>
  <c r="FK320"/>
  <c r="FL320" s="1"/>
  <c r="FK344"/>
  <c r="FL344" s="1"/>
  <c r="FK308"/>
  <c r="FL308" s="1"/>
  <c r="FK390"/>
  <c r="FL390" s="1"/>
  <c r="FK347"/>
  <c r="FL347" s="1"/>
  <c r="FK353"/>
  <c r="FL353" s="1"/>
  <c r="FK409"/>
  <c r="FL409" s="1"/>
  <c r="FK381"/>
  <c r="FL381" s="1"/>
  <c r="FK437"/>
  <c r="FL437" s="1"/>
  <c r="FK385"/>
  <c r="FL385" s="1"/>
  <c r="FK441"/>
  <c r="FL441" s="1"/>
  <c r="FK379"/>
  <c r="FL379" s="1"/>
  <c r="FK435"/>
  <c r="FL435" s="1"/>
  <c r="FK354"/>
  <c r="FL354" s="1"/>
  <c r="FK410"/>
  <c r="FL410" s="1"/>
  <c r="FK364"/>
  <c r="FL364" s="1"/>
  <c r="FK420"/>
  <c r="FL420" s="1"/>
  <c r="FK369"/>
  <c r="FL369" s="1"/>
  <c r="FK425"/>
  <c r="FL425" s="1"/>
  <c r="FK394"/>
  <c r="FL394" s="1"/>
  <c r="FK450"/>
  <c r="FL450" s="1"/>
  <c r="FK407"/>
  <c r="FL407" s="1"/>
  <c r="FK463"/>
  <c r="FL463" s="1"/>
  <c r="FK368"/>
  <c r="FL368" s="1"/>
  <c r="FK424"/>
  <c r="FL424" s="1"/>
  <c r="FK361"/>
  <c r="FL361" s="1"/>
  <c r="FK417"/>
  <c r="FL417" s="1"/>
  <c r="FK362"/>
  <c r="FL362" s="1"/>
  <c r="FK418"/>
  <c r="FL418" s="1"/>
  <c r="FK376"/>
  <c r="FL376" s="1"/>
  <c r="FK432"/>
  <c r="FL432" s="1"/>
  <c r="FK375"/>
  <c r="FL375" s="1"/>
  <c r="FK431"/>
  <c r="FL431" s="1"/>
  <c r="FK367"/>
  <c r="FL367" s="1"/>
  <c r="FK423"/>
  <c r="FL423" s="1"/>
  <c r="FK356"/>
  <c r="FL356" s="1"/>
  <c r="FK412"/>
  <c r="FL412" s="1"/>
  <c r="FK404"/>
  <c r="FL404" s="1"/>
  <c r="FK460"/>
  <c r="FL460" s="1"/>
  <c r="FK222"/>
  <c r="FL222" s="1"/>
  <c r="FK213"/>
  <c r="FL213" s="1"/>
  <c r="FK246"/>
  <c r="FL246" s="1"/>
  <c r="FK225"/>
  <c r="FL225" s="1"/>
  <c r="FK227"/>
  <c r="FL227" s="1"/>
  <c r="FK402"/>
  <c r="FL402" s="1"/>
  <c r="FK312"/>
  <c r="FL312" s="1"/>
  <c r="FK296"/>
  <c r="FL296" s="1"/>
  <c r="FK304"/>
  <c r="FL304" s="1"/>
  <c r="FK238"/>
  <c r="FL238" s="1"/>
  <c r="FK196"/>
  <c r="FL196" s="1"/>
  <c r="FK199"/>
  <c r="FL199" s="1"/>
  <c r="FK168"/>
  <c r="FL168" s="1"/>
  <c r="FK171"/>
  <c r="FL171" s="1"/>
  <c r="FK191"/>
  <c r="FL191" s="1"/>
  <c r="FK185"/>
  <c r="FL185" s="1"/>
  <c r="FK194"/>
  <c r="FL194" s="1"/>
  <c r="FK143"/>
  <c r="FL143" s="1"/>
  <c r="FK187"/>
  <c r="FL187" s="1"/>
  <c r="FK183"/>
  <c r="FL183" s="1"/>
  <c r="FK242"/>
  <c r="FL242" s="1"/>
  <c r="FK240"/>
  <c r="FL240" s="1"/>
  <c r="FK218"/>
  <c r="FL218" s="1"/>
  <c r="FK202"/>
  <c r="FL202" s="1"/>
  <c r="FK206"/>
  <c r="FL206" s="1"/>
  <c r="FK217"/>
  <c r="FL217" s="1"/>
  <c r="FK232"/>
  <c r="FL232" s="1"/>
  <c r="FK182"/>
  <c r="FL182" s="1"/>
  <c r="FK166"/>
  <c r="FL166" s="1"/>
  <c r="FK167"/>
  <c r="FL167" s="1"/>
  <c r="FK188"/>
  <c r="FL188" s="1"/>
  <c r="FK181"/>
  <c r="FL181" s="1"/>
  <c r="FK197"/>
  <c r="FL197" s="1"/>
  <c r="FK193"/>
  <c r="FL193" s="1"/>
  <c r="FK186"/>
  <c r="FL186" s="1"/>
  <c r="FK192"/>
  <c r="FL192" s="1"/>
  <c r="FK190"/>
  <c r="FL190" s="1"/>
  <c r="FK195"/>
  <c r="FL195" s="1"/>
  <c r="FK184"/>
  <c r="FL184" s="1"/>
  <c r="FK180"/>
  <c r="FL180" s="1"/>
  <c r="FK189"/>
  <c r="FL189" s="1"/>
  <c r="FK204"/>
  <c r="FL204" s="1"/>
  <c r="FK233"/>
  <c r="FL233" s="1"/>
  <c r="FK245"/>
  <c r="FL245" s="1"/>
  <c r="FK201"/>
  <c r="FL201" s="1"/>
  <c r="FK236"/>
  <c r="FL236" s="1"/>
  <c r="FK216"/>
  <c r="FL216" s="1"/>
  <c r="FK224"/>
  <c r="FL224" s="1"/>
  <c r="FK211"/>
  <c r="FL211" s="1"/>
  <c r="FK220"/>
  <c r="FL220" s="1"/>
  <c r="FK214"/>
  <c r="FL214" s="1"/>
  <c r="FK207"/>
  <c r="FL207" s="1"/>
  <c r="FK228"/>
  <c r="FL228" s="1"/>
  <c r="FK226"/>
  <c r="FL226" s="1"/>
  <c r="FK219"/>
  <c r="FL219" s="1"/>
  <c r="FK230"/>
  <c r="FL230" s="1"/>
  <c r="FK212"/>
  <c r="FL212" s="1"/>
  <c r="FK215"/>
  <c r="FL215" s="1"/>
  <c r="FK203"/>
  <c r="FL203" s="1"/>
  <c r="FK200"/>
  <c r="FL200" s="1"/>
  <c r="FK234"/>
  <c r="FL234" s="1"/>
  <c r="FK208"/>
  <c r="FL208" s="1"/>
  <c r="FK210"/>
  <c r="FL210" s="1"/>
  <c r="FK231"/>
  <c r="FL231" s="1"/>
  <c r="FK229"/>
  <c r="FL229" s="1"/>
  <c r="FK205"/>
  <c r="FL205" s="1"/>
  <c r="FK235"/>
  <c r="FL235" s="1"/>
  <c r="FK287"/>
  <c r="FL287" s="1"/>
  <c r="FK293"/>
  <c r="FL293" s="1"/>
  <c r="FK243"/>
  <c r="FL243" s="1"/>
  <c r="FK289"/>
  <c r="FL289" s="1"/>
  <c r="FK262"/>
  <c r="FL262" s="1"/>
  <c r="FK264"/>
  <c r="FL264" s="1"/>
  <c r="FK239"/>
  <c r="FL239" s="1"/>
  <c r="FK255"/>
  <c r="FL255" s="1"/>
  <c r="FK256"/>
  <c r="FL256" s="1"/>
  <c r="FK257"/>
  <c r="FL257" s="1"/>
  <c r="FK258"/>
  <c r="FL258" s="1"/>
  <c r="FK285"/>
  <c r="FL285" s="1"/>
  <c r="FK284"/>
  <c r="FL284" s="1"/>
  <c r="FK276"/>
  <c r="FL276" s="1"/>
  <c r="FK244"/>
  <c r="FL244" s="1"/>
  <c r="FK283"/>
  <c r="FL283" s="1"/>
  <c r="FK241"/>
  <c r="FL241" s="1"/>
  <c r="FK37"/>
  <c r="FL37" s="1"/>
  <c r="FK129"/>
  <c r="FL129" s="1"/>
  <c r="FK36"/>
  <c r="FL36" s="1"/>
  <c r="FK128"/>
  <c r="FL128" s="1"/>
  <c r="FK31"/>
  <c r="FL31" s="1"/>
  <c r="FK123"/>
  <c r="FL123" s="1"/>
  <c r="FK163"/>
  <c r="FL163" s="1"/>
  <c r="FK135"/>
  <c r="FL135" s="1"/>
  <c r="FK21"/>
  <c r="FL21" s="1"/>
  <c r="FK113"/>
  <c r="FL113" s="1"/>
  <c r="FK164"/>
  <c r="FL164" s="1"/>
  <c r="FK136"/>
  <c r="FL136" s="1"/>
  <c r="FK33"/>
  <c r="FL33" s="1"/>
  <c r="FK125"/>
  <c r="FL125" s="1"/>
  <c r="FK144"/>
  <c r="FL144" s="1"/>
  <c r="FK116"/>
  <c r="FL116" s="1"/>
  <c r="FK22"/>
  <c r="FL22" s="1"/>
  <c r="FK114"/>
  <c r="FL114" s="1"/>
  <c r="FK26"/>
  <c r="FL26" s="1"/>
  <c r="FK118"/>
  <c r="FL118" s="1"/>
  <c r="FK34"/>
  <c r="FL34" s="1"/>
  <c r="FK126"/>
  <c r="FL126" s="1"/>
  <c r="FK32"/>
  <c r="FL32" s="1"/>
  <c r="FK124"/>
  <c r="FL124" s="1"/>
  <c r="FK165"/>
  <c r="FL165" s="1"/>
  <c r="FK137"/>
  <c r="FL137" s="1"/>
  <c r="FK35"/>
  <c r="FL35" s="1"/>
  <c r="FK127"/>
  <c r="FL127" s="1"/>
  <c r="FK30"/>
  <c r="FL30" s="1"/>
  <c r="FK122"/>
  <c r="FL122" s="1"/>
  <c r="FK149"/>
  <c r="FL149" s="1"/>
  <c r="FK121"/>
  <c r="FL121" s="1"/>
  <c r="FK172"/>
  <c r="FL172" s="1"/>
  <c r="FK176"/>
  <c r="FL176" s="1"/>
  <c r="FK174"/>
  <c r="FL174" s="1"/>
  <c r="FK178"/>
  <c r="FL178" s="1"/>
  <c r="FK173"/>
  <c r="FL173" s="1"/>
  <c r="FK177"/>
  <c r="FL177" s="1"/>
  <c r="FK147"/>
  <c r="FL147" s="1"/>
  <c r="FK159"/>
  <c r="FL159" s="1"/>
  <c r="FK170"/>
  <c r="FL170" s="1"/>
  <c r="FK160"/>
  <c r="FL160" s="1"/>
  <c r="FK148"/>
  <c r="FL148" s="1"/>
  <c r="FK175"/>
  <c r="FL175" s="1"/>
  <c r="FK179"/>
  <c r="FL179" s="1"/>
  <c r="FK169"/>
  <c r="FL169" s="1"/>
  <c r="FK162"/>
  <c r="FL162" s="1"/>
  <c r="FK145"/>
  <c r="FL145" s="1"/>
  <c r="FK161"/>
  <c r="FL161" s="1"/>
  <c r="FK28"/>
  <c r="FL28" s="1"/>
  <c r="FK25"/>
  <c r="FL25" s="1"/>
  <c r="FK27"/>
  <c r="FL27" s="1"/>
  <c r="FK43"/>
  <c r="FL43" s="1"/>
  <c r="FK40"/>
  <c r="FL40" s="1"/>
  <c r="FK102"/>
  <c r="FL102" s="1"/>
  <c r="FK158"/>
  <c r="FL158" s="1"/>
  <c r="FK100"/>
  <c r="FL100" s="1"/>
  <c r="FK156"/>
  <c r="FL156" s="1"/>
  <c r="FK98"/>
  <c r="FL98" s="1"/>
  <c r="FK154"/>
  <c r="FL154" s="1"/>
  <c r="FK96"/>
  <c r="FL96" s="1"/>
  <c r="FK152"/>
  <c r="FL152" s="1"/>
  <c r="FK97"/>
  <c r="FL97" s="1"/>
  <c r="FK153"/>
  <c r="FL153" s="1"/>
  <c r="FK86"/>
  <c r="FL86" s="1"/>
  <c r="FK142"/>
  <c r="FL142" s="1"/>
  <c r="FK90"/>
  <c r="FL90" s="1"/>
  <c r="FK146"/>
  <c r="FL146" s="1"/>
  <c r="FK101"/>
  <c r="FL101" s="1"/>
  <c r="FK157"/>
  <c r="FL157" s="1"/>
  <c r="FK99"/>
  <c r="FL99" s="1"/>
  <c r="FK155"/>
  <c r="FL155" s="1"/>
  <c r="FK94"/>
  <c r="FL94" s="1"/>
  <c r="FK150"/>
  <c r="FL150" s="1"/>
  <c r="FK95"/>
  <c r="FL95" s="1"/>
  <c r="FK151"/>
  <c r="FL151" s="1"/>
  <c r="FK85"/>
  <c r="FL85" s="1"/>
  <c r="FK141"/>
  <c r="FL141" s="1"/>
  <c r="FN21"/>
  <c r="B2" i="21" s="1" a="1"/>
  <c r="DJ45" l="1"/>
  <c r="FM128"/>
  <c r="FJ22"/>
  <c r="EJ48"/>
  <c r="FD7"/>
  <c r="AS152"/>
  <c r="AT96"/>
  <c r="K104"/>
  <c r="Z68"/>
  <c r="BU25"/>
  <c r="FO46"/>
  <c r="BT70"/>
  <c r="AC87"/>
  <c r="AB160"/>
  <c r="EJ86"/>
  <c r="DD171"/>
  <c r="BP69"/>
  <c r="BD7"/>
  <c r="ED158"/>
  <c r="EC68"/>
  <c r="BB42"/>
  <c r="AN27"/>
  <c r="FV31"/>
  <c r="ER55"/>
  <c r="FR73"/>
  <c r="DR86"/>
  <c r="FQ100"/>
  <c r="EJ56"/>
  <c r="EV62"/>
  <c r="AT144"/>
  <c r="DG139"/>
  <c r="EN16"/>
  <c r="CX75"/>
  <c r="EN162"/>
  <c r="BJ46"/>
  <c r="EB151"/>
  <c r="CB127"/>
  <c r="FE46"/>
  <c r="FT7"/>
  <c r="BF79"/>
  <c r="FT119"/>
  <c r="M19"/>
  <c r="FJ140"/>
  <c r="CU10"/>
  <c r="AD69"/>
  <c r="O108"/>
  <c r="AO98"/>
  <c r="CK101"/>
  <c r="P79"/>
  <c r="AI62"/>
  <c r="T110"/>
  <c r="FN159"/>
  <c r="FF120"/>
  <c r="EG151"/>
  <c r="DS125"/>
  <c r="EC60"/>
  <c r="FU130"/>
  <c r="N55"/>
  <c r="T165"/>
  <c r="EC87"/>
  <c r="DG108"/>
  <c r="I112"/>
  <c r="AG24"/>
  <c r="DR20"/>
  <c r="G100"/>
  <c r="AB148"/>
  <c r="AM51"/>
  <c r="DL95"/>
  <c r="CW26"/>
  <c r="AV13"/>
  <c r="EK26"/>
  <c r="EP48"/>
  <c r="AB31"/>
  <c r="FR97"/>
  <c r="Q67"/>
  <c r="FM165"/>
  <c r="F159"/>
  <c r="BU162"/>
  <c r="DS164"/>
  <c r="AB127"/>
  <c r="T46"/>
  <c r="DT39"/>
  <c r="CC21"/>
  <c r="EL4"/>
  <c r="DH176"/>
  <c r="CR144"/>
  <c r="BT115"/>
  <c r="BJ102"/>
  <c r="DG19"/>
  <c r="FR72"/>
  <c r="BU150"/>
  <c r="BA147"/>
  <c r="FL60"/>
  <c r="FV55"/>
  <c r="BK37"/>
  <c r="EA161"/>
  <c r="CB163"/>
  <c r="I44"/>
  <c r="CS89"/>
  <c r="W98"/>
  <c r="BH104"/>
  <c r="G152"/>
  <c r="DQ70"/>
  <c r="CQ96"/>
  <c r="DP164"/>
  <c r="DJ46"/>
  <c r="EP137"/>
  <c r="DT86"/>
  <c r="DC65"/>
  <c r="EQ140"/>
  <c r="B19"/>
  <c r="EU65"/>
  <c r="FB108"/>
  <c r="DV150"/>
  <c r="CA124"/>
  <c r="FM109"/>
  <c r="DC35"/>
  <c r="ED9"/>
  <c r="DW154"/>
  <c r="CH127"/>
  <c r="AF3"/>
  <c r="DR132"/>
  <c r="FI117"/>
  <c r="BQ128"/>
  <c r="AA88"/>
  <c r="DL132"/>
  <c r="DQ94"/>
  <c r="Z38"/>
  <c r="DQ102"/>
  <c r="FG25"/>
  <c r="CX74"/>
  <c r="CB103"/>
  <c r="DU59"/>
  <c r="CI93"/>
  <c r="BE92"/>
  <c r="BP96"/>
  <c r="FK30"/>
  <c r="FP52"/>
  <c r="FN64"/>
  <c r="AM88"/>
  <c r="DU58"/>
  <c r="EB35"/>
  <c r="BD24"/>
  <c r="AF44"/>
  <c r="FT77"/>
  <c r="J31"/>
  <c r="FO88"/>
  <c r="CA139"/>
  <c r="CB132"/>
  <c r="AZ59"/>
  <c r="BM98"/>
  <c r="BY176"/>
  <c r="FL171"/>
  <c r="CY85"/>
  <c r="DM125"/>
  <c r="DR128"/>
  <c r="BZ14"/>
  <c r="EZ45"/>
  <c r="FK141"/>
  <c r="FR6"/>
  <c r="EU97"/>
  <c r="CK60"/>
  <c r="K74"/>
  <c r="S20"/>
  <c r="FT41"/>
  <c r="AT33"/>
  <c r="R173"/>
  <c r="T141"/>
  <c r="EN130"/>
  <c r="CE157"/>
  <c r="AY88"/>
  <c r="FE166"/>
  <c r="ET152"/>
  <c r="AD104"/>
  <c r="CX85"/>
  <c r="CY109"/>
  <c r="AU10"/>
  <c r="DP119"/>
  <c r="EG109"/>
  <c r="FH106"/>
  <c r="EU74"/>
  <c r="CQ19"/>
  <c r="BU155"/>
  <c r="S140"/>
  <c r="EV163"/>
  <c r="AR138"/>
  <c r="CO7"/>
  <c r="AH96"/>
  <c r="FD87"/>
  <c r="EJ78"/>
  <c r="AO91"/>
  <c r="EB65"/>
  <c r="CA161"/>
  <c r="AN142"/>
  <c r="DT102"/>
  <c r="BE40"/>
  <c r="I148"/>
  <c r="CZ103"/>
  <c r="FT75"/>
  <c r="CV101"/>
  <c r="BG66"/>
  <c r="N113"/>
  <c r="DF83"/>
  <c r="BM115"/>
  <c r="EX17"/>
  <c r="CY166"/>
  <c r="BR178"/>
  <c r="EG48"/>
  <c r="CU60"/>
  <c r="DQ45"/>
  <c r="BS174"/>
  <c r="F32"/>
  <c r="CH75"/>
  <c r="DD105"/>
  <c r="T150"/>
  <c r="AZ138"/>
  <c r="DT124"/>
  <c r="Q141"/>
  <c r="EJ30"/>
  <c r="DB128"/>
  <c r="EC128"/>
  <c r="DO149"/>
  <c r="AW2"/>
  <c r="EG32"/>
  <c r="CQ91"/>
  <c r="CF161"/>
  <c r="FA147"/>
  <c r="BE30"/>
  <c r="BG51"/>
  <c r="AN111"/>
  <c r="Y77"/>
  <c r="BU143"/>
  <c r="DZ167"/>
  <c r="DH55"/>
  <c r="B138"/>
  <c r="FC69"/>
  <c r="CB174"/>
  <c r="DB111"/>
  <c r="CR97"/>
  <c r="CO165"/>
  <c r="CZ100"/>
  <c r="L128"/>
  <c r="CN36"/>
  <c r="EE69"/>
  <c r="EN157"/>
  <c r="EM5"/>
  <c r="FJ67"/>
  <c r="CS154"/>
  <c r="V72"/>
  <c r="F139"/>
  <c r="EG41"/>
  <c r="N36"/>
  <c r="DP153"/>
  <c r="BP173"/>
  <c r="CT74"/>
  <c r="ED82"/>
  <c r="BQ170"/>
  <c r="FS93"/>
  <c r="FQ69"/>
  <c r="EK93"/>
  <c r="EK28"/>
  <c r="DI8"/>
  <c r="CI67"/>
  <c r="FA33"/>
  <c r="AN68"/>
  <c r="BM63"/>
  <c r="BE50"/>
  <c r="AH94"/>
  <c r="BZ139"/>
  <c r="H141"/>
  <c r="AA26"/>
  <c r="BD67"/>
  <c r="AT23"/>
  <c r="L168"/>
  <c r="EE76"/>
  <c r="O50"/>
  <c r="Z48"/>
  <c r="BB44"/>
  <c r="DD8"/>
  <c r="X153"/>
  <c r="BA57"/>
  <c r="DJ92"/>
  <c r="EJ10"/>
  <c r="T26"/>
  <c r="BP110"/>
  <c r="BH72"/>
  <c r="BK176"/>
  <c r="BN98"/>
  <c r="P178"/>
  <c r="J87"/>
  <c r="BW120"/>
  <c r="AZ112"/>
  <c r="CE87"/>
  <c r="CW168"/>
  <c r="DC141"/>
  <c r="DT109"/>
  <c r="CN17"/>
  <c r="BY76"/>
  <c r="AD135"/>
  <c r="DF125"/>
  <c r="DD101"/>
  <c r="BH172"/>
  <c r="CA36"/>
  <c r="BB14"/>
  <c r="AT56"/>
  <c r="AC2"/>
  <c r="AL12"/>
  <c r="BA61"/>
  <c r="CC112"/>
  <c r="BG78"/>
  <c r="O14"/>
  <c r="BB132"/>
  <c r="AV34"/>
  <c r="BF68"/>
  <c r="FM13"/>
  <c r="EJ21"/>
  <c r="EF58"/>
  <c r="N18"/>
  <c r="R127"/>
  <c r="AH63"/>
  <c r="AK96"/>
  <c r="X96"/>
  <c r="DH64"/>
  <c r="EJ139"/>
  <c r="EU82"/>
  <c r="BP18"/>
  <c r="AC169"/>
  <c r="FM71"/>
  <c r="AE138"/>
  <c r="DF135"/>
  <c r="V162"/>
  <c r="EZ69"/>
  <c r="BH122"/>
  <c r="BR138"/>
  <c r="FR10"/>
  <c r="BT97"/>
  <c r="CF13"/>
  <c r="CH149"/>
  <c r="BM33"/>
  <c r="AS33"/>
  <c r="EF86"/>
  <c r="AC68"/>
  <c r="BN81"/>
  <c r="BQ3"/>
  <c r="BT133"/>
  <c r="CF30"/>
  <c r="DO108"/>
  <c r="BY8"/>
  <c r="CK62"/>
  <c r="FE137"/>
  <c r="BE13"/>
  <c r="CD37"/>
  <c r="EA14"/>
  <c r="EV58"/>
  <c r="EB50"/>
  <c r="CB50"/>
  <c r="BH68"/>
  <c r="EM178"/>
  <c r="FL22"/>
  <c r="AB32"/>
  <c r="CL30"/>
  <c r="FK177"/>
  <c r="BY83"/>
  <c r="AL28"/>
  <c r="BE151"/>
  <c r="EH47"/>
  <c r="FT168"/>
  <c r="AV120"/>
  <c r="FG134"/>
  <c r="EU2"/>
  <c r="CN83"/>
  <c r="K90"/>
  <c r="FE150"/>
  <c r="CO52"/>
  <c r="DN145"/>
  <c r="CM17"/>
  <c r="DD140"/>
  <c r="L174"/>
  <c r="H110"/>
  <c r="BY50"/>
  <c r="CL158"/>
  <c r="DD24"/>
  <c r="EN173"/>
  <c r="CN131"/>
  <c r="EL126"/>
  <c r="F130"/>
  <c r="BZ89"/>
  <c r="FG148"/>
  <c r="DP60"/>
  <c r="DS53"/>
  <c r="EF168"/>
  <c r="BR144"/>
  <c r="AF108"/>
  <c r="FU3"/>
  <c r="AW72"/>
  <c r="FM10"/>
  <c r="FI165"/>
  <c r="DS102"/>
  <c r="DP150"/>
  <c r="FR79"/>
  <c r="CG110"/>
  <c r="CY134"/>
  <c r="FM2"/>
  <c r="V136"/>
  <c r="N115"/>
  <c r="EC55"/>
  <c r="BW92"/>
  <c r="AI6"/>
  <c r="CG31"/>
  <c r="CD51"/>
  <c r="CO39"/>
  <c r="FH39"/>
  <c r="Y49"/>
  <c r="FF72"/>
  <c r="DB75"/>
  <c r="DK157"/>
  <c r="DW66"/>
  <c r="BY65"/>
  <c r="BB100"/>
  <c r="CX158"/>
  <c r="EC43"/>
  <c r="BF20"/>
  <c r="CQ173"/>
  <c r="FV108"/>
  <c r="FI127"/>
  <c r="DW26"/>
  <c r="AN161"/>
  <c r="DF110"/>
  <c r="AM115"/>
  <c r="CZ102"/>
  <c r="DM35"/>
  <c r="AA115"/>
  <c r="AK20"/>
  <c r="T101"/>
  <c r="FT108"/>
  <c r="EZ167"/>
  <c r="FM130"/>
  <c r="DU75"/>
  <c r="FO86"/>
  <c r="EQ39"/>
  <c r="Y22"/>
  <c r="F83"/>
  <c r="FH35"/>
  <c r="CW8"/>
  <c r="DI59"/>
  <c r="CG9"/>
  <c r="BJ8"/>
  <c r="CT2"/>
  <c r="BD54"/>
  <c r="AR172"/>
  <c r="I125"/>
  <c r="CM123"/>
  <c r="AQ70"/>
  <c r="W139"/>
  <c r="K86"/>
  <c r="FE10"/>
  <c r="FC141"/>
  <c r="CK162"/>
  <c r="EH62"/>
  <c r="DB41"/>
  <c r="CS136"/>
  <c r="CN71"/>
  <c r="DL18"/>
  <c r="EV26"/>
  <c r="FF57"/>
  <c r="DP67"/>
  <c r="EB137"/>
  <c r="DO53"/>
  <c r="B130"/>
  <c r="EL147"/>
  <c r="Q34"/>
  <c r="BV121"/>
  <c r="EF116"/>
  <c r="AG98"/>
  <c r="AJ126"/>
  <c r="BM17"/>
  <c r="EK16"/>
  <c r="BF8"/>
  <c r="CY113"/>
  <c r="AO3"/>
  <c r="BW99"/>
  <c r="BL69"/>
  <c r="CC61"/>
  <c r="AI78"/>
  <c r="E131"/>
  <c r="EO55"/>
  <c r="AF174"/>
  <c r="AG78"/>
  <c r="AC102"/>
  <c r="CQ7"/>
  <c r="DB93"/>
  <c r="BT44"/>
  <c r="FV135"/>
  <c r="CF15"/>
  <c r="EA62"/>
  <c r="E102"/>
  <c r="EE57"/>
  <c r="DP27"/>
  <c r="AY127"/>
  <c r="FN40"/>
  <c r="FM16"/>
  <c r="ER102"/>
  <c r="AX176"/>
  <c r="BK88"/>
  <c r="CT89"/>
  <c r="T43"/>
  <c r="DQ16"/>
  <c r="FC109"/>
  <c r="T178"/>
  <c r="ES104"/>
  <c r="DO152"/>
  <c r="J160"/>
  <c r="BQ122"/>
  <c r="AW145"/>
  <c r="BN143"/>
  <c r="K68"/>
  <c r="CD60"/>
  <c r="CU73"/>
  <c r="DG129"/>
  <c r="FO64"/>
  <c r="AH27"/>
  <c r="G63"/>
  <c r="AB137"/>
  <c r="AU12"/>
  <c r="FF90"/>
  <c r="DT80"/>
  <c r="DP98"/>
  <c r="Z77"/>
  <c r="CK129"/>
  <c r="FG5"/>
  <c r="BZ88"/>
  <c r="J56"/>
  <c r="DJ162"/>
  <c r="ER94"/>
  <c r="BH15"/>
  <c r="AI76"/>
  <c r="CU147"/>
  <c r="CK87"/>
  <c r="CP24"/>
  <c r="DA174"/>
  <c r="FG65"/>
  <c r="D37"/>
  <c r="BN125"/>
  <c r="EL95"/>
  <c r="FB132"/>
  <c r="AZ75"/>
  <c r="FB102"/>
  <c r="DO103"/>
  <c r="DM100"/>
  <c r="AD142"/>
  <c r="BO73"/>
  <c r="FD127"/>
  <c r="FI167"/>
  <c r="AE117"/>
  <c r="FV109"/>
  <c r="DE47"/>
  <c r="CR70"/>
  <c r="EY61"/>
  <c r="L107"/>
  <c r="CB156"/>
  <c r="FF75"/>
  <c r="EH33"/>
  <c r="C130"/>
  <c r="AK166"/>
  <c r="AD77"/>
  <c r="AW99"/>
  <c r="O25"/>
  <c r="FC43"/>
  <c r="EA32"/>
  <c r="AP10"/>
  <c r="EC166"/>
  <c r="EK106"/>
  <c r="BP142"/>
  <c r="DC15"/>
  <c r="C45"/>
  <c r="DH137"/>
  <c r="CE83"/>
  <c r="I64"/>
  <c r="CH35"/>
  <c r="AC29"/>
  <c r="FF54"/>
  <c r="DL17"/>
  <c r="BI3"/>
  <c r="I77"/>
  <c r="EA41"/>
  <c r="DG74"/>
  <c r="AL59"/>
  <c r="EC75"/>
  <c r="AA11"/>
  <c r="Z104"/>
  <c r="G7"/>
  <c r="Y125"/>
  <c r="N77"/>
  <c r="CQ4"/>
  <c r="AN16"/>
  <c r="EJ154"/>
  <c r="BW165"/>
  <c r="AM50"/>
  <c r="EK47"/>
  <c r="CS62"/>
  <c r="FI43"/>
  <c r="F40"/>
  <c r="N80"/>
  <c r="EA148"/>
  <c r="BP71"/>
  <c r="AA168"/>
  <c r="EZ117"/>
  <c r="EK63"/>
  <c r="DI176"/>
  <c r="EL132"/>
  <c r="EM100"/>
  <c r="CA37"/>
  <c r="CQ76"/>
  <c r="V125"/>
  <c r="CA22"/>
  <c r="AT8"/>
  <c r="DN8"/>
  <c r="EM117"/>
  <c r="BJ23"/>
  <c r="CP124"/>
  <c r="BM4"/>
  <c r="FH74"/>
  <c r="BJ113"/>
  <c r="DY14"/>
  <c r="EZ92"/>
  <c r="CK104"/>
  <c r="S172"/>
  <c r="EU35"/>
  <c r="EV155"/>
  <c r="AG115"/>
  <c r="FV40"/>
  <c r="BO107"/>
  <c r="CB87"/>
  <c r="CI97"/>
  <c r="AP36"/>
  <c r="EI37"/>
  <c r="DW126"/>
  <c r="EJ74"/>
  <c r="FI10"/>
  <c r="FR173"/>
  <c r="DY110"/>
  <c r="FA5"/>
  <c r="AD27"/>
  <c r="EA21"/>
  <c r="CM62"/>
  <c r="AL158"/>
  <c r="CB99"/>
  <c r="K61"/>
  <c r="FO55"/>
  <c r="AP140"/>
  <c r="AJ86"/>
  <c r="EU135"/>
  <c r="FE123"/>
  <c r="AY2"/>
  <c r="EN27"/>
  <c r="DW166"/>
  <c r="BF107"/>
  <c r="EL54"/>
  <c r="W14"/>
  <c r="R67"/>
  <c r="BF76"/>
  <c r="EC178"/>
  <c r="DN53"/>
  <c r="CP166"/>
  <c r="DY20"/>
  <c r="EZ101"/>
  <c r="BP87"/>
  <c r="U83"/>
  <c r="BQ149"/>
  <c r="EO159"/>
  <c r="AR117"/>
  <c r="FC25"/>
  <c r="AH131"/>
  <c r="FS2"/>
  <c r="AO32"/>
  <c r="FQ97"/>
  <c r="AX145"/>
  <c r="DT139"/>
  <c r="CN166"/>
  <c r="U154"/>
  <c r="CP122"/>
  <c r="CR163"/>
  <c r="CI31"/>
  <c r="BS60"/>
  <c r="FA76"/>
  <c r="AS96"/>
  <c r="E178"/>
  <c r="FJ97"/>
  <c r="AW61"/>
  <c r="AY90"/>
  <c r="AT97"/>
  <c r="BA142"/>
  <c r="EV12"/>
  <c r="FC76"/>
  <c r="AX22"/>
  <c r="DS147"/>
  <c r="EC65"/>
  <c r="CA55"/>
  <c r="DI47"/>
  <c r="N12"/>
  <c r="BZ96"/>
  <c r="FC32"/>
  <c r="AX29"/>
  <c r="N151"/>
  <c r="CT55"/>
  <c r="DD120"/>
  <c r="J21"/>
  <c r="BP73"/>
  <c r="DL2"/>
  <c r="CX91"/>
  <c r="EV112"/>
  <c r="EA167"/>
  <c r="BD42"/>
  <c r="AZ32"/>
  <c r="Q56"/>
  <c r="AG40"/>
  <c r="AK29"/>
  <c r="CN150"/>
  <c r="EN170"/>
  <c r="BW28"/>
  <c r="EK137"/>
  <c r="DN74"/>
  <c r="EE175"/>
  <c r="EY33"/>
  <c r="BM162"/>
  <c r="DQ20"/>
  <c r="CB153"/>
  <c r="H65"/>
  <c r="DO173"/>
  <c r="CE174"/>
  <c r="DB44"/>
  <c r="DP41"/>
  <c r="DV10"/>
  <c r="CC104"/>
  <c r="FJ120"/>
  <c r="DC18"/>
  <c r="DQ125"/>
  <c r="CU148"/>
  <c r="FT170"/>
  <c r="X140"/>
  <c r="AG94"/>
  <c r="EA37"/>
  <c r="AD153"/>
  <c r="AN57"/>
  <c r="DI40"/>
  <c r="R143"/>
  <c r="ES117"/>
  <c r="AH156"/>
  <c r="FH65"/>
  <c r="P12"/>
  <c r="AS15"/>
  <c r="EE125"/>
  <c r="AY107"/>
  <c r="EV32"/>
  <c r="AS126"/>
  <c r="L164"/>
  <c r="CP163"/>
  <c r="P67"/>
  <c r="CK153"/>
  <c r="AF155"/>
  <c r="BE136"/>
  <c r="EA2"/>
  <c r="FO152"/>
  <c r="CU151"/>
  <c r="BT46"/>
  <c r="DA119"/>
  <c r="EH38"/>
  <c r="BD165"/>
  <c r="AK146"/>
  <c r="DH92"/>
  <c r="FE24"/>
  <c r="CQ41"/>
  <c r="CK161"/>
  <c r="AI170"/>
  <c r="ED113"/>
  <c r="AF34"/>
  <c r="DZ25"/>
  <c r="BS23"/>
  <c r="FO49"/>
  <c r="DJ174"/>
  <c r="BG97"/>
  <c r="Z159"/>
  <c r="BV39"/>
  <c r="U21"/>
  <c r="BL74"/>
  <c r="BZ53"/>
  <c r="AC24"/>
  <c r="AI100"/>
  <c r="BU53"/>
  <c r="Q86"/>
  <c r="AK7"/>
  <c r="FP87"/>
  <c r="AU129"/>
  <c r="CS53"/>
  <c r="BO126"/>
  <c r="K149"/>
  <c r="CM82"/>
  <c r="CY169"/>
  <c r="FH7"/>
  <c r="FL156"/>
  <c r="N93"/>
  <c r="DJ149"/>
  <c r="BW24"/>
  <c r="BS130"/>
  <c r="CB49"/>
  <c r="S119"/>
  <c r="FC53"/>
  <c r="G94"/>
  <c r="DV52"/>
  <c r="BW137"/>
  <c r="CR171"/>
  <c r="CN10"/>
  <c r="EU81"/>
  <c r="AH95"/>
  <c r="AR61"/>
  <c r="EO79"/>
  <c r="DB59"/>
  <c r="DZ92"/>
  <c r="ET144"/>
  <c r="FJ124"/>
  <c r="DS141"/>
  <c r="DE143"/>
  <c r="FO155"/>
  <c r="DO26"/>
  <c r="CA165"/>
  <c r="ET153"/>
  <c r="FJ175"/>
  <c r="EH134"/>
  <c r="AX69"/>
  <c r="C20"/>
  <c r="BV135"/>
  <c r="DC125"/>
  <c r="X63"/>
  <c r="ET53"/>
  <c r="AN167"/>
  <c r="AT88"/>
  <c r="FK144"/>
  <c r="DX37"/>
  <c r="ES112"/>
  <c r="BV55"/>
  <c r="FQ91"/>
  <c r="CU170"/>
  <c r="FL110"/>
  <c r="AN112"/>
  <c r="AJ129"/>
  <c r="EF62"/>
  <c r="AP117"/>
  <c r="DV80"/>
  <c r="FM120"/>
  <c r="DS7"/>
  <c r="AM156"/>
  <c r="EG25"/>
  <c r="BN19"/>
  <c r="CT143"/>
  <c r="CO43"/>
  <c r="D168"/>
  <c r="FK12"/>
  <c r="Y48"/>
  <c r="EI98"/>
  <c r="Y93"/>
  <c r="AH165"/>
  <c r="BX112"/>
  <c r="ET97"/>
  <c r="Q9"/>
  <c r="DB24"/>
  <c r="AS143"/>
  <c r="R139"/>
  <c r="DK15"/>
  <c r="EA7"/>
  <c r="V135"/>
  <c r="BT52"/>
  <c r="FU26"/>
  <c r="FN151"/>
  <c r="ES19"/>
  <c r="O8"/>
  <c r="CM37"/>
  <c r="F27"/>
  <c r="BD137"/>
  <c r="Z151"/>
  <c r="Y102"/>
  <c r="AZ125"/>
  <c r="Q102"/>
  <c r="DD78"/>
  <c r="DK177"/>
  <c r="AP149"/>
  <c r="FB18"/>
  <c r="AQ12"/>
  <c r="EV106"/>
  <c r="FV29"/>
  <c r="EX100"/>
  <c r="R79"/>
  <c r="BP59"/>
  <c r="P97"/>
  <c r="FJ161"/>
  <c r="AD126"/>
  <c r="CU93"/>
  <c r="H35"/>
  <c r="DW115"/>
  <c r="FD72"/>
  <c r="CM79"/>
  <c r="N159"/>
  <c r="DB32"/>
  <c r="EB61"/>
  <c r="AA71"/>
  <c r="AZ163"/>
  <c r="FI105"/>
  <c r="EM27"/>
  <c r="BZ173"/>
  <c r="CK31"/>
  <c r="CY42"/>
  <c r="DX24"/>
  <c r="BZ25"/>
  <c r="CB138"/>
  <c r="BG73"/>
  <c r="FG23"/>
  <c r="DX167"/>
  <c r="DD112"/>
  <c r="FM166"/>
  <c r="AH33"/>
  <c r="FN137"/>
  <c r="ED19"/>
  <c r="E112"/>
  <c r="FH51"/>
  <c r="AN3"/>
  <c r="R121"/>
  <c r="BX16"/>
  <c r="DL116"/>
  <c r="CA126"/>
  <c r="Q58"/>
  <c r="CB150"/>
  <c r="CP67"/>
  <c r="Q25"/>
  <c r="DD151"/>
  <c r="EU8"/>
  <c r="EU43"/>
  <c r="AB71"/>
  <c r="BZ144"/>
  <c r="EA120"/>
  <c r="AR56"/>
  <c r="BQ58"/>
  <c r="AN157"/>
  <c r="EC153"/>
  <c r="EA150"/>
  <c r="BS153"/>
  <c r="FQ165"/>
  <c r="FV122"/>
  <c r="J93"/>
  <c r="DP87"/>
  <c r="CP41"/>
  <c r="AJ33"/>
  <c r="BE96"/>
  <c r="CT173"/>
  <c r="DK69"/>
  <c r="AN109"/>
  <c r="CO60"/>
  <c r="EL78"/>
  <c r="BK101"/>
  <c r="AN17"/>
  <c r="Z59"/>
  <c r="BM176"/>
  <c r="ER160"/>
  <c r="AC124"/>
  <c r="D178"/>
  <c r="CI144"/>
  <c r="FP45"/>
  <c r="DM178"/>
  <c r="T30"/>
  <c r="DP106"/>
  <c r="AE120"/>
  <c r="BV144"/>
  <c r="CW16"/>
  <c r="P51"/>
  <c r="EQ82"/>
  <c r="EP55"/>
  <c r="AQ62"/>
  <c r="DK88"/>
  <c r="AB29"/>
  <c r="FK45"/>
  <c r="Z15"/>
  <c r="DP114"/>
  <c r="Q128"/>
  <c r="DR36"/>
  <c r="EP54"/>
  <c r="AA79"/>
  <c r="CV169"/>
  <c r="CW68"/>
  <c r="EH34"/>
  <c r="EY94"/>
  <c r="BA158"/>
  <c r="CZ73"/>
  <c r="G123"/>
  <c r="EL129"/>
  <c r="BW38"/>
  <c r="G121"/>
  <c r="DT6"/>
  <c r="FL19"/>
  <c r="AZ145"/>
  <c r="FK48"/>
  <c r="AU154"/>
  <c r="FG149"/>
  <c r="BD161"/>
  <c r="CJ106"/>
  <c r="AD120"/>
  <c r="W50"/>
  <c r="BX33"/>
  <c r="AV144"/>
  <c r="DQ87"/>
  <c r="EM128"/>
  <c r="ET168"/>
  <c r="DN4"/>
  <c r="AF42"/>
  <c r="BU141"/>
  <c r="FB39"/>
  <c r="FH8"/>
  <c r="F129"/>
  <c r="FT69"/>
  <c r="BB121"/>
  <c r="DC80"/>
  <c r="AM128"/>
  <c r="F46"/>
  <c r="DY21"/>
  <c r="FQ26"/>
  <c r="EI153"/>
  <c r="DY115"/>
  <c r="EC103"/>
  <c r="BN121"/>
  <c r="BY134"/>
  <c r="BT19"/>
  <c r="DQ130"/>
  <c r="CE143"/>
  <c r="U160"/>
  <c r="AS85"/>
  <c r="CS151"/>
  <c r="AF139"/>
  <c r="EN161"/>
  <c r="AJ60"/>
  <c r="DX153"/>
  <c r="DE58"/>
  <c r="DW69"/>
  <c r="BZ158"/>
  <c r="P100"/>
  <c r="BP178"/>
  <c r="AE48"/>
  <c r="DM76"/>
  <c r="CQ133"/>
  <c r="BL143"/>
  <c r="BR121"/>
  <c r="BU26"/>
  <c r="AU37"/>
  <c r="AI59"/>
  <c r="AY120"/>
  <c r="EI119"/>
  <c r="AK72"/>
  <c r="FB47"/>
  <c r="ER84"/>
  <c r="EC83"/>
  <c r="AB8"/>
  <c r="FT127"/>
  <c r="EO178"/>
  <c r="EZ38"/>
  <c r="DP133"/>
  <c r="DT92"/>
  <c r="AY117"/>
  <c r="CS143"/>
  <c r="O148"/>
  <c r="BF69"/>
  <c r="CX66"/>
  <c r="AO61"/>
  <c r="EW59"/>
  <c r="EF119"/>
  <c r="BB165"/>
  <c r="DX55"/>
  <c r="DU26"/>
  <c r="FN163"/>
  <c r="DP73"/>
  <c r="G71"/>
  <c r="DS44"/>
  <c r="DY4"/>
  <c r="X17"/>
  <c r="W56"/>
  <c r="EM71"/>
  <c r="EB153"/>
  <c r="BA17"/>
  <c r="FQ104"/>
  <c r="CO129"/>
  <c r="FK60"/>
  <c r="EL22"/>
  <c r="BP146"/>
  <c r="CC9"/>
  <c r="FP162"/>
  <c r="AV129"/>
  <c r="BM86"/>
  <c r="BU45"/>
  <c r="EI56"/>
  <c r="CF48"/>
  <c r="DH84"/>
  <c r="DO147"/>
  <c r="AT11"/>
  <c r="EY42"/>
  <c r="FJ115"/>
  <c r="CT60"/>
  <c r="T82"/>
  <c r="CG95"/>
  <c r="DW78"/>
  <c r="EX41"/>
  <c r="I104"/>
  <c r="AQ165"/>
  <c r="FE113"/>
  <c r="BM69"/>
  <c r="CI116"/>
  <c r="FD55"/>
  <c r="K125"/>
  <c r="FM93"/>
  <c r="BP177"/>
  <c r="DA134"/>
  <c r="CX139"/>
  <c r="AK145"/>
  <c r="CR160"/>
  <c r="BD158"/>
  <c r="EG82"/>
  <c r="CY150"/>
  <c r="AY112"/>
  <c r="EJ152"/>
  <c r="AD164"/>
  <c r="DE126"/>
  <c r="EH54"/>
  <c r="DV45"/>
  <c r="M39"/>
  <c r="DS18"/>
  <c r="D39"/>
  <c r="EL157"/>
  <c r="B84"/>
  <c r="H101"/>
  <c r="EH98"/>
  <c r="BB80"/>
  <c r="AL176"/>
  <c r="DL54"/>
  <c r="CZ56"/>
  <c r="AN124"/>
  <c r="FI26"/>
  <c r="G31"/>
  <c r="CA70"/>
  <c r="BD9"/>
  <c r="DS167"/>
  <c r="EK102"/>
  <c r="N132"/>
  <c r="AM131"/>
  <c r="EA109"/>
  <c r="AD118"/>
  <c r="EI31"/>
  <c r="DO153"/>
  <c r="FP70"/>
  <c r="AM89"/>
  <c r="DK70"/>
  <c r="AS142"/>
  <c r="J176"/>
  <c r="FC162"/>
  <c r="EC110"/>
  <c r="B153"/>
  <c r="FL39"/>
  <c r="CL165"/>
  <c r="DB91"/>
  <c r="O163"/>
  <c r="CU51"/>
  <c r="AC113"/>
  <c r="S5"/>
  <c r="DS35"/>
  <c r="CV72"/>
  <c r="BD114"/>
  <c r="EX132"/>
  <c r="DB130"/>
  <c r="BZ120"/>
  <c r="CB85"/>
  <c r="FI53"/>
  <c r="L167"/>
  <c r="BK157"/>
  <c r="Q81"/>
  <c r="CE171"/>
  <c r="CH92"/>
  <c r="FS152"/>
  <c r="X32"/>
  <c r="AR163"/>
  <c r="EP98"/>
  <c r="BW131"/>
  <c r="AL58"/>
  <c r="DX146"/>
  <c r="FI115"/>
  <c r="FA117"/>
  <c r="BK177"/>
  <c r="AB76"/>
  <c r="DT70"/>
  <c r="EO133"/>
  <c r="FM8"/>
  <c r="S19"/>
  <c r="BM105"/>
  <c r="EM54"/>
  <c r="EP3"/>
  <c r="DJ145"/>
  <c r="BY107"/>
  <c r="BD45"/>
  <c r="AF40"/>
  <c r="AW175"/>
  <c r="AC118"/>
  <c r="BW58"/>
  <c r="DS76"/>
  <c r="DZ77"/>
  <c r="AF172"/>
  <c r="FC41"/>
  <c r="EZ170"/>
  <c r="BN96"/>
  <c r="AP172"/>
  <c r="CF174"/>
  <c r="G143"/>
  <c r="DX38"/>
  <c r="BG82"/>
  <c r="CA155"/>
  <c r="G173"/>
  <c r="AV106"/>
  <c r="AF63"/>
  <c r="AW162"/>
  <c r="P2"/>
  <c r="EE72"/>
  <c r="EZ127"/>
  <c r="BK32"/>
  <c r="FU12"/>
  <c r="BS59"/>
  <c r="K171"/>
  <c r="FA127"/>
  <c r="DR24"/>
  <c r="EI175"/>
  <c r="AV22"/>
  <c r="FQ167"/>
  <c r="DE166"/>
  <c r="EC54"/>
  <c r="FR95"/>
  <c r="FT68"/>
  <c r="I157"/>
  <c r="DB172"/>
  <c r="CH73"/>
  <c r="DF68"/>
  <c r="FL174"/>
  <c r="ED70"/>
  <c r="DG59"/>
  <c r="AO13"/>
  <c r="AL89"/>
  <c r="EJ150"/>
  <c r="CK144"/>
  <c r="AA8"/>
  <c r="W6"/>
  <c r="FJ93"/>
  <c r="BC80"/>
  <c r="DS127"/>
  <c r="E58"/>
  <c r="DM138"/>
  <c r="DX19"/>
  <c r="BZ168"/>
  <c r="EF32"/>
  <c r="I124"/>
  <c r="FM126"/>
  <c r="N166"/>
  <c r="AC164"/>
  <c r="H36"/>
  <c r="CH133"/>
  <c r="EM113"/>
  <c r="CM106"/>
  <c r="BE139"/>
  <c r="CB40"/>
  <c r="H79"/>
  <c r="DQ91"/>
  <c r="Q92"/>
  <c r="CV142"/>
  <c r="BB64"/>
  <c r="FS165"/>
  <c r="EI141"/>
  <c r="AE72"/>
  <c r="CE117"/>
  <c r="EZ173"/>
  <c r="EM23"/>
  <c r="FU81"/>
  <c r="G137"/>
  <c r="FF135"/>
  <c r="EO134"/>
  <c r="BK6"/>
  <c r="CO10"/>
  <c r="EL106"/>
  <c r="DE108"/>
  <c r="DJ94"/>
  <c r="BT41"/>
  <c r="Q145"/>
  <c r="FH96"/>
  <c r="FK79"/>
  <c r="BC175"/>
  <c r="CH71"/>
  <c r="Z92"/>
  <c r="DC101"/>
  <c r="EO171"/>
  <c r="CM146"/>
  <c r="BW5"/>
  <c r="DS59"/>
  <c r="ET175"/>
  <c r="EN46"/>
  <c r="DW7"/>
  <c r="CV172"/>
  <c r="BO105"/>
  <c r="BU111"/>
  <c r="BW128"/>
  <c r="CI32"/>
  <c r="DJ19"/>
  <c r="EQ46"/>
  <c r="CX25"/>
  <c r="ER74"/>
  <c r="DP92"/>
  <c r="O173"/>
  <c r="BP151"/>
  <c r="F75"/>
  <c r="DP129"/>
  <c r="CB46"/>
  <c r="B11"/>
  <c r="CS38"/>
  <c r="ET64"/>
  <c r="ES74"/>
  <c r="FF138"/>
  <c r="DS117"/>
  <c r="DX86"/>
  <c r="CN148"/>
  <c r="EA155"/>
  <c r="BS26"/>
  <c r="J102"/>
  <c r="CX126"/>
  <c r="CO117"/>
  <c r="DQ162"/>
  <c r="AC5"/>
  <c r="BY138"/>
  <c r="L83"/>
  <c r="BX6"/>
  <c r="BN107"/>
  <c r="EC70"/>
  <c r="EP4"/>
  <c r="U143"/>
  <c r="BW18"/>
  <c r="CX162"/>
  <c r="EB161"/>
  <c r="EP149"/>
  <c r="FO105"/>
  <c r="AP57"/>
  <c r="EC109"/>
  <c r="CQ11"/>
  <c r="R118"/>
  <c r="DO40"/>
  <c r="DQ24"/>
  <c r="U20"/>
  <c r="FT5"/>
  <c r="CF10"/>
  <c r="CA24"/>
  <c r="AB19"/>
  <c r="AF130"/>
  <c r="CG144"/>
  <c r="EN150"/>
  <c r="BZ109"/>
  <c r="S122"/>
  <c r="CV113"/>
  <c r="FM30"/>
  <c r="BP65"/>
  <c r="DF34"/>
  <c r="FO21"/>
  <c r="EV2"/>
  <c r="AU57"/>
  <c r="BQ24"/>
  <c r="Z145"/>
  <c r="AF80"/>
  <c r="T21"/>
  <c r="CQ121"/>
  <c r="FE68"/>
  <c r="CA32"/>
  <c r="AP25"/>
  <c r="B123"/>
  <c r="FD42"/>
  <c r="F58"/>
  <c r="CX64"/>
  <c r="FD125"/>
  <c r="DK127"/>
  <c r="V142"/>
  <c r="BA104"/>
  <c r="AI91"/>
  <c r="CW133"/>
  <c r="DF128"/>
  <c r="BK99"/>
  <c r="AO67"/>
  <c r="CP178"/>
  <c r="EW24"/>
  <c r="DY7"/>
  <c r="EO164"/>
  <c r="AL60"/>
  <c r="EI168"/>
  <c r="O7"/>
  <c r="AN94"/>
  <c r="AW125"/>
  <c r="EG101"/>
  <c r="DZ33"/>
  <c r="CF117"/>
  <c r="FU60"/>
  <c r="EQ37"/>
  <c r="FT177"/>
  <c r="FQ164"/>
  <c r="T61"/>
  <c r="EB83"/>
  <c r="DA44"/>
  <c r="H13"/>
  <c r="DF159"/>
  <c r="FF84"/>
  <c r="DM65"/>
  <c r="EM15"/>
  <c r="EU63"/>
  <c r="EP111"/>
  <c r="BD132"/>
  <c r="BC65"/>
  <c r="DF137"/>
  <c r="CV157"/>
  <c r="ED87"/>
  <c r="ET48"/>
  <c r="CR49"/>
  <c r="CX116"/>
  <c r="FB5"/>
  <c r="EI26"/>
  <c r="ES97"/>
  <c r="FN11"/>
  <c r="BE48"/>
  <c r="EX149"/>
  <c r="BY139"/>
  <c r="EN166"/>
  <c r="EQ69"/>
  <c r="EZ67"/>
  <c r="FE66"/>
  <c r="I2"/>
  <c r="FQ37"/>
  <c r="AL154"/>
  <c r="V95"/>
  <c r="DM43"/>
  <c r="BD49"/>
  <c r="K20"/>
  <c r="CT149"/>
  <c r="AS80"/>
  <c r="DE130"/>
  <c r="EJ120"/>
  <c r="CF51"/>
  <c r="E12"/>
  <c r="Q119"/>
  <c r="EX146"/>
  <c r="F101"/>
  <c r="H130"/>
  <c r="B96"/>
  <c r="AF162"/>
  <c r="DJ95"/>
  <c r="AH67"/>
  <c r="Q55"/>
  <c r="FG170"/>
  <c r="EE31"/>
  <c r="FF133"/>
  <c r="O101"/>
  <c r="FP57"/>
  <c r="FT133"/>
  <c r="CU11"/>
  <c r="FO171"/>
  <c r="EI144"/>
  <c r="CH85"/>
  <c r="ED65"/>
  <c r="AR148"/>
  <c r="CX79"/>
  <c r="CD146"/>
  <c r="O95"/>
  <c r="CC13"/>
  <c r="DO71"/>
  <c r="BY173"/>
  <c r="BR93"/>
  <c r="FJ159"/>
  <c r="BD11"/>
  <c r="CF18"/>
  <c r="AW34"/>
  <c r="CR154"/>
  <c r="CA98"/>
  <c r="DY54"/>
  <c r="AN85"/>
  <c r="ED77"/>
  <c r="CW98"/>
  <c r="AW122"/>
  <c r="BM177"/>
  <c r="DL98"/>
  <c r="DW42"/>
  <c r="BB173"/>
  <c r="CM87"/>
  <c r="AD86"/>
  <c r="AB130"/>
  <c r="AW147"/>
  <c r="EL165"/>
  <c r="DI41"/>
  <c r="BA13"/>
  <c r="E60"/>
  <c r="BY36"/>
  <c r="BM118"/>
  <c r="EJ165"/>
  <c r="AG88"/>
  <c r="H100"/>
  <c r="EO62"/>
  <c r="AZ158"/>
  <c r="FQ93"/>
  <c r="BN159"/>
  <c r="W143"/>
  <c r="DU159"/>
  <c r="J95"/>
  <c r="BM64"/>
  <c r="FS106"/>
  <c r="X66"/>
  <c r="BE60"/>
  <c r="ER24"/>
  <c r="CL100"/>
  <c r="AA122"/>
  <c r="FN39"/>
  <c r="P146"/>
  <c r="BK80"/>
  <c r="BJ105"/>
  <c r="AV109"/>
  <c r="AM70"/>
  <c r="ED147"/>
  <c r="AE135"/>
  <c r="L44"/>
  <c r="DM8"/>
  <c r="CB66"/>
  <c r="FB110"/>
  <c r="ES159"/>
  <c r="EW38"/>
  <c r="DW128"/>
  <c r="AW115"/>
  <c r="BI131"/>
  <c r="K37"/>
  <c r="CL155"/>
  <c r="DH32"/>
  <c r="BX38"/>
  <c r="AU150"/>
  <c r="B27"/>
  <c r="CY83"/>
  <c r="DU83"/>
  <c r="AT127"/>
  <c r="DZ79"/>
  <c r="EX65"/>
  <c r="EB133"/>
  <c r="FP33"/>
  <c r="E150"/>
  <c r="FB176"/>
  <c r="AM92"/>
  <c r="CT84"/>
  <c r="AD56"/>
  <c r="Y53"/>
  <c r="DY174"/>
  <c r="BI98"/>
  <c r="P166"/>
  <c r="FN12"/>
  <c r="AE87"/>
  <c r="EC173"/>
  <c r="FB40"/>
  <c r="BJ43"/>
  <c r="DI102"/>
  <c r="DL173"/>
  <c r="AG33"/>
  <c r="DU80"/>
  <c r="AC131"/>
  <c r="EU176"/>
  <c r="BW94"/>
  <c r="AY121"/>
  <c r="CK110"/>
  <c r="CR178"/>
  <c r="FC75"/>
  <c r="FL121"/>
  <c r="Q96"/>
  <c r="FO89"/>
  <c r="AY132"/>
  <c r="AM144"/>
  <c r="AE38"/>
  <c r="R65"/>
  <c r="BV71"/>
  <c r="EG81"/>
  <c r="ER43"/>
  <c r="EZ154"/>
  <c r="CR137"/>
  <c r="X48"/>
  <c r="CK7"/>
  <c r="CK175"/>
  <c r="FM17"/>
  <c r="DY17"/>
  <c r="ES108"/>
  <c r="AV161"/>
  <c r="EP121"/>
  <c r="FK64"/>
  <c r="EC137"/>
  <c r="CP73"/>
  <c r="DC122"/>
  <c r="I34"/>
  <c r="EB105"/>
  <c r="U176"/>
  <c r="FH157"/>
  <c r="D116"/>
  <c r="EP152"/>
  <c r="BA126"/>
  <c r="ED63"/>
  <c r="CA91"/>
  <c r="AK2"/>
  <c r="DV174"/>
  <c r="AK15"/>
  <c r="DJ78"/>
  <c r="X76"/>
  <c r="AQ82"/>
  <c r="DV13"/>
  <c r="AX98"/>
  <c r="DR83"/>
  <c r="EQ151"/>
  <c r="CU9"/>
  <c r="CY60"/>
  <c r="E48"/>
  <c r="AG39"/>
  <c r="AN33"/>
  <c r="FJ113"/>
  <c r="X136"/>
  <c r="EM10"/>
  <c r="CF63"/>
  <c r="DB113"/>
  <c r="DY132"/>
  <c r="AZ89"/>
  <c r="M78"/>
  <c r="DB51"/>
  <c r="AN127"/>
  <c r="CA152"/>
  <c r="CD52"/>
  <c r="BA83"/>
  <c r="CX65"/>
  <c r="CK61"/>
  <c r="CC146"/>
  <c r="DR145"/>
  <c r="EX35"/>
  <c r="FD165"/>
  <c r="CM144"/>
  <c r="Z116"/>
  <c r="FS114"/>
  <c r="DT74"/>
  <c r="AO105"/>
  <c r="EV65"/>
  <c r="FJ31"/>
  <c r="FF178"/>
  <c r="BX133"/>
  <c r="DT77"/>
  <c r="CY81"/>
  <c r="DD142"/>
  <c r="FH25"/>
  <c r="DR14"/>
  <c r="CJ174"/>
  <c r="FO73"/>
  <c r="BW169"/>
  <c r="EY7"/>
  <c r="AI162"/>
  <c r="BW119"/>
  <c r="CG147"/>
  <c r="AI108"/>
  <c r="EA74"/>
  <c r="BS114"/>
  <c r="DJ126"/>
  <c r="CC57"/>
  <c r="AW92"/>
  <c r="DT68"/>
  <c r="BD145"/>
  <c r="CD4"/>
  <c r="C171"/>
  <c r="EP115"/>
  <c r="FQ49"/>
  <c r="BM83"/>
  <c r="AO26"/>
  <c r="AG113"/>
  <c r="AW51"/>
  <c r="CH162"/>
  <c r="CI38"/>
  <c r="CH18"/>
  <c r="CC154"/>
  <c r="EP20"/>
  <c r="CQ177"/>
  <c r="EK9"/>
  <c r="U51"/>
  <c r="J25"/>
  <c r="AR47"/>
  <c r="CF160"/>
  <c r="BM97"/>
  <c r="CC156"/>
  <c r="U129"/>
  <c r="DE81"/>
  <c r="FR178"/>
  <c r="V34"/>
  <c r="BL105"/>
  <c r="AG54"/>
  <c r="BA38"/>
  <c r="DC164"/>
  <c r="AL153"/>
  <c r="EG30"/>
  <c r="N43"/>
  <c r="DA13"/>
  <c r="FK62"/>
  <c r="FG108"/>
  <c r="CJ34"/>
  <c r="AU33"/>
  <c r="W116"/>
  <c r="S150"/>
  <c r="V98"/>
  <c r="BS70"/>
  <c r="CX163"/>
  <c r="B24"/>
  <c r="CO148"/>
  <c r="CF115"/>
  <c r="EF160"/>
  <c r="DH58"/>
  <c r="AP148"/>
  <c r="G120"/>
  <c r="FV54"/>
  <c r="G119"/>
  <c r="EM86"/>
  <c r="EX120"/>
  <c r="AR158"/>
  <c r="FG21"/>
  <c r="EU171"/>
  <c r="BL163"/>
  <c r="G65"/>
  <c r="CM65"/>
  <c r="DG99"/>
  <c r="AI113"/>
  <c r="FF117"/>
  <c r="CX155"/>
  <c r="DR166"/>
  <c r="EA35"/>
  <c r="DF7"/>
  <c r="EQ15"/>
  <c r="DR160"/>
  <c r="DN148"/>
  <c r="AT7"/>
  <c r="AM113"/>
  <c r="EZ150"/>
  <c r="DK100"/>
  <c r="BT64"/>
  <c r="FH66"/>
  <c r="CQ73"/>
  <c r="DT128"/>
  <c r="AE96"/>
  <c r="CL31"/>
  <c r="EH115"/>
  <c r="X148"/>
  <c r="CM124"/>
  <c r="EE152"/>
  <c r="N70"/>
  <c r="EI157"/>
  <c r="BP134"/>
  <c r="FM54"/>
  <c r="DQ40"/>
  <c r="DF130"/>
  <c r="CJ129"/>
  <c r="AN178"/>
  <c r="AL23"/>
  <c r="CA20"/>
  <c r="BL112"/>
  <c r="AH127"/>
  <c r="BX161"/>
  <c r="DW118"/>
  <c r="P83"/>
  <c r="BL86"/>
  <c r="BR125"/>
  <c r="Y123"/>
  <c r="C43"/>
  <c r="CP19"/>
  <c r="EV120"/>
  <c r="EX28"/>
  <c r="BU104"/>
  <c r="AS73"/>
  <c r="FJ11"/>
  <c r="AA100"/>
  <c r="BF121"/>
  <c r="BU102"/>
  <c r="BW132"/>
  <c r="DM121"/>
  <c r="Q40"/>
  <c r="P151"/>
  <c r="CP74"/>
  <c r="B124"/>
  <c r="EY2"/>
  <c r="DH7"/>
  <c r="AO174"/>
  <c r="DG72"/>
  <c r="AC171"/>
  <c r="AL149"/>
  <c r="AN79"/>
  <c r="CY68"/>
  <c r="DX6"/>
  <c r="FG157"/>
  <c r="EW82"/>
  <c r="BO7"/>
  <c r="BN173"/>
  <c r="FG26"/>
  <c r="AD165"/>
  <c r="BU66"/>
  <c r="AB88"/>
  <c r="BA103"/>
  <c r="BZ152"/>
  <c r="FI29"/>
  <c r="BJ138"/>
  <c r="BL158"/>
  <c r="AP59"/>
  <c r="DR37"/>
  <c r="CU164"/>
  <c r="BZ141"/>
  <c r="FI95"/>
  <c r="EU88"/>
  <c r="FP54"/>
  <c r="CI145"/>
  <c r="BW148"/>
  <c r="FE93"/>
  <c r="FU103"/>
  <c r="AO64"/>
  <c r="BC84"/>
  <c r="BB141"/>
  <c r="BR105"/>
  <c r="BJ48"/>
  <c r="FL47"/>
  <c r="X119"/>
  <c r="DJ71"/>
  <c r="EF153"/>
  <c r="ET58"/>
  <c r="AT165"/>
  <c r="BU148"/>
  <c r="EN69"/>
  <c r="BR133"/>
  <c r="DQ79"/>
  <c r="DD88"/>
  <c r="FD148"/>
  <c r="DF86"/>
  <c r="B120"/>
  <c r="DO110"/>
  <c r="BW105"/>
  <c r="BR55"/>
  <c r="EB5"/>
  <c r="EP85"/>
  <c r="FH141"/>
  <c r="AW177"/>
  <c r="N140"/>
  <c r="N125"/>
  <c r="C150"/>
  <c r="FE110"/>
  <c r="L79"/>
  <c r="FN89"/>
  <c r="DT116"/>
  <c r="AZ85"/>
  <c r="FQ110"/>
  <c r="T57"/>
  <c r="DW131"/>
  <c r="AA4"/>
  <c r="EW7"/>
  <c r="AD71"/>
  <c r="EX154"/>
  <c r="FO108"/>
  <c r="EL55"/>
  <c r="DF37"/>
  <c r="DQ30"/>
  <c r="EV35"/>
  <c r="EO154"/>
  <c r="EB66"/>
  <c r="DE111"/>
  <c r="AC42"/>
  <c r="CH27"/>
  <c r="EE132"/>
  <c r="L154"/>
  <c r="EP110"/>
  <c r="AA124"/>
  <c r="CQ148"/>
  <c r="AW95"/>
  <c r="N127"/>
  <c r="CY145"/>
  <c r="AP93"/>
  <c r="H62"/>
  <c r="EY47"/>
  <c r="FE7"/>
  <c r="EE9"/>
  <c r="AF48"/>
  <c r="AG101"/>
  <c r="FO23"/>
  <c r="BU64"/>
  <c r="BA21"/>
  <c r="ED154"/>
  <c r="AU169"/>
  <c r="EE49"/>
  <c r="CH21"/>
  <c r="CW178"/>
  <c r="DY127"/>
  <c r="DJ65"/>
  <c r="AB22"/>
  <c r="AR119"/>
  <c r="BZ112"/>
  <c r="C170"/>
  <c r="FM162"/>
  <c r="EJ58"/>
  <c r="BM36"/>
  <c r="DY42"/>
  <c r="CJ131"/>
  <c r="N83"/>
  <c r="Y121"/>
  <c r="AG12"/>
  <c r="ER49"/>
  <c r="FC56"/>
  <c r="CW100"/>
  <c r="BQ118"/>
  <c r="CO102"/>
  <c r="BK139"/>
  <c r="AN119"/>
  <c r="FE6"/>
  <c r="EX144"/>
  <c r="AP175"/>
  <c r="BD117"/>
  <c r="EE56"/>
  <c r="DC135"/>
  <c r="FB158"/>
  <c r="AO34"/>
  <c r="EP37"/>
  <c r="FD17"/>
  <c r="FU111"/>
  <c r="AX141"/>
  <c r="E5"/>
  <c r="M27"/>
  <c r="FF55"/>
  <c r="DL32"/>
  <c r="AF163"/>
  <c r="BD27"/>
  <c r="BS2"/>
  <c r="AY169"/>
  <c r="EL15"/>
  <c r="BW15"/>
  <c r="BY112"/>
  <c r="CU159"/>
  <c r="EV101"/>
  <c r="CY120"/>
  <c r="DA155"/>
  <c r="CE108"/>
  <c r="DY76"/>
  <c r="CP177"/>
  <c r="AP109"/>
  <c r="ET140"/>
  <c r="CE25"/>
  <c r="BC110"/>
  <c r="FV65"/>
  <c r="EZ82"/>
  <c r="R28"/>
  <c r="AH77"/>
  <c r="EJ39"/>
  <c r="DA74"/>
  <c r="DZ91"/>
  <c r="I136"/>
  <c r="BB82"/>
  <c r="FO71"/>
  <c r="AO150"/>
  <c r="EI108"/>
  <c r="DK47"/>
  <c r="DW27"/>
  <c r="Z117"/>
  <c r="DE80"/>
  <c r="I102"/>
  <c r="BV66"/>
  <c r="AD156"/>
  <c r="EJ109"/>
  <c r="DV129"/>
  <c r="AK109"/>
  <c r="FG97"/>
  <c r="DK74"/>
  <c r="FU80"/>
  <c r="P62"/>
  <c r="AQ42"/>
  <c r="DH177"/>
  <c r="BB28"/>
  <c r="ET19"/>
  <c r="B29"/>
  <c r="BD12"/>
  <c r="EF146"/>
  <c r="EZ30"/>
  <c r="T167"/>
  <c r="AT24"/>
  <c r="AF83"/>
  <c r="AH13"/>
  <c r="BT171"/>
  <c r="EB79"/>
  <c r="CW176"/>
  <c r="X7"/>
  <c r="V172"/>
  <c r="DN127"/>
  <c r="F168"/>
  <c r="BW56"/>
  <c r="DB54"/>
  <c r="FH83"/>
  <c r="DX26"/>
  <c r="AK34"/>
  <c r="I161"/>
  <c r="O4"/>
  <c r="EO77"/>
  <c r="AE36"/>
  <c r="CI103"/>
  <c r="EC91"/>
  <c r="DP147"/>
  <c r="B39"/>
  <c r="AA102"/>
  <c r="BS178"/>
  <c r="DJ24"/>
  <c r="F77"/>
  <c r="DH125"/>
  <c r="EV64"/>
  <c r="CT136"/>
  <c r="Q167"/>
  <c r="FP147"/>
  <c r="J138"/>
  <c r="DJ97"/>
  <c r="BU21"/>
  <c r="FP80"/>
  <c r="DM46"/>
  <c r="AI134"/>
  <c r="FP40"/>
  <c r="I171"/>
  <c r="F107"/>
  <c r="CO97"/>
  <c r="FK28"/>
  <c r="FU16"/>
  <c r="G160"/>
  <c r="AL117"/>
  <c r="FJ48"/>
  <c r="BX159"/>
  <c r="EW126"/>
  <c r="BJ114"/>
  <c r="BR60"/>
  <c r="CW82"/>
  <c r="BK25"/>
  <c r="AR100"/>
  <c r="EA125"/>
  <c r="FD138"/>
  <c r="CZ105"/>
  <c r="DY16"/>
  <c r="DB52"/>
  <c r="BF62"/>
  <c r="EC92"/>
  <c r="AQ129"/>
  <c r="J7"/>
  <c r="BE161"/>
  <c r="CZ43"/>
  <c r="FK6"/>
  <c r="AD44"/>
  <c r="H78"/>
  <c r="FM41"/>
  <c r="EV109"/>
  <c r="X137"/>
  <c r="AG13"/>
  <c r="CK53"/>
  <c r="CK121"/>
  <c r="BG43"/>
  <c r="EG94"/>
  <c r="AV14"/>
  <c r="DQ123"/>
  <c r="CO130"/>
  <c r="AI53"/>
  <c r="CH41"/>
  <c r="DC90"/>
  <c r="BE89"/>
  <c r="AY21"/>
  <c r="DZ151"/>
  <c r="DS149"/>
  <c r="DU153"/>
  <c r="CD80"/>
  <c r="DO133"/>
  <c r="DR5"/>
  <c r="DT171"/>
  <c r="FQ75"/>
  <c r="AJ24"/>
  <c r="AB28"/>
  <c r="CT5"/>
  <c r="FE52"/>
  <c r="T171"/>
  <c r="AN46"/>
  <c r="FG125"/>
  <c r="CN65"/>
  <c r="V178"/>
  <c r="BN172"/>
  <c r="Y101"/>
  <c r="FK81"/>
  <c r="EY13"/>
  <c r="BQ96"/>
  <c r="DI51"/>
  <c r="CF149"/>
  <c r="FJ78"/>
  <c r="FM158"/>
  <c r="BR165"/>
  <c r="DR142"/>
  <c r="CT28"/>
  <c r="FA64"/>
  <c r="DS11"/>
  <c r="FT32"/>
  <c r="P49"/>
  <c r="DS103"/>
  <c r="EW60"/>
  <c r="EQ101"/>
  <c r="AU162"/>
  <c r="DO98"/>
  <c r="AE69"/>
  <c r="CM125"/>
  <c r="CJ6"/>
  <c r="BG126"/>
  <c r="DZ52"/>
  <c r="S147"/>
  <c r="BV91"/>
  <c r="AF35"/>
  <c r="K160"/>
  <c r="FN24"/>
  <c r="Z40"/>
  <c r="AS99"/>
  <c r="AS68"/>
  <c r="ES51"/>
  <c r="CN80"/>
  <c r="DQ150"/>
  <c r="CC42"/>
  <c r="C119"/>
  <c r="CO128"/>
  <c r="BU4"/>
  <c r="CX134"/>
  <c r="CC73"/>
  <c r="U150"/>
  <c r="BD68"/>
  <c r="BA140"/>
  <c r="FG136"/>
  <c r="BE66"/>
  <c r="AZ3"/>
  <c r="BK72"/>
  <c r="EQ135"/>
  <c r="EJ155"/>
  <c r="EW96"/>
  <c r="EQ20"/>
  <c r="EN34"/>
  <c r="FT122"/>
  <c r="D154"/>
  <c r="BA47"/>
  <c r="DE149"/>
  <c r="FG16"/>
  <c r="BH35"/>
  <c r="DM56"/>
  <c r="P56"/>
  <c r="AV82"/>
  <c r="DH124"/>
  <c r="CG10"/>
  <c r="DX117"/>
  <c r="BD60"/>
  <c r="L141"/>
  <c r="CO99"/>
  <c r="AK37"/>
  <c r="BV52"/>
  <c r="CA64"/>
  <c r="U169"/>
  <c r="N53"/>
  <c r="CH87"/>
  <c r="BU159"/>
  <c r="CW3"/>
  <c r="FA89"/>
  <c r="BF56"/>
  <c r="CW138"/>
  <c r="BL35"/>
  <c r="BX60"/>
  <c r="AT160"/>
  <c r="J153"/>
  <c r="AG117"/>
  <c r="CG48"/>
  <c r="CZ136"/>
  <c r="BG45"/>
  <c r="BP139"/>
  <c r="AJ114"/>
  <c r="FG70"/>
  <c r="BI109"/>
  <c r="BW4"/>
  <c r="DD85"/>
  <c r="EH55"/>
  <c r="AD155"/>
  <c r="FB4"/>
  <c r="DY135"/>
  <c r="L78"/>
  <c r="C100"/>
  <c r="CW106"/>
  <c r="BO178"/>
  <c r="BT11"/>
  <c r="W173"/>
  <c r="AE170"/>
  <c r="FD31"/>
  <c r="EE32"/>
  <c r="C29"/>
  <c r="DQ151"/>
  <c r="BH23"/>
  <c r="CR56"/>
  <c r="EL151"/>
  <c r="FL115"/>
  <c r="EU138"/>
  <c r="BA112"/>
  <c r="CJ167"/>
  <c r="DE44"/>
  <c r="BL131"/>
  <c r="EY135"/>
  <c r="DX73"/>
  <c r="I4"/>
  <c r="N94"/>
  <c r="CH114"/>
  <c r="AX89"/>
  <c r="AN104"/>
  <c r="FB50"/>
  <c r="FL34"/>
  <c r="DH167"/>
  <c r="CY116"/>
  <c r="FF112"/>
  <c r="N92"/>
  <c r="BC40"/>
  <c r="DU61"/>
  <c r="DS123"/>
  <c r="DI94"/>
  <c r="BY141"/>
  <c r="FT151"/>
  <c r="CK28"/>
  <c r="DO112"/>
  <c r="FS23"/>
  <c r="DZ163"/>
  <c r="FF4"/>
  <c r="BJ84"/>
  <c r="F9"/>
  <c r="DN41"/>
  <c r="AD76"/>
  <c r="EF157"/>
  <c r="FF61"/>
  <c r="DD84"/>
  <c r="I42"/>
  <c r="BF135"/>
  <c r="FG15"/>
  <c r="CI15"/>
  <c r="CJ64"/>
  <c r="BU101"/>
  <c r="CO17"/>
  <c r="CK84"/>
  <c r="FI132"/>
  <c r="DO9"/>
  <c r="BI36"/>
  <c r="X47"/>
  <c r="CF88"/>
  <c r="H126"/>
  <c r="CV17"/>
  <c r="DC69"/>
  <c r="DB81"/>
  <c r="M173"/>
  <c r="BJ119"/>
  <c r="BY165"/>
  <c r="CG25"/>
  <c r="DY138"/>
  <c r="FP178"/>
  <c r="FM153"/>
  <c r="CM86"/>
  <c r="BX148"/>
  <c r="DU166"/>
  <c r="CF164"/>
  <c r="ED167"/>
  <c r="EN144"/>
  <c r="CG43"/>
  <c r="CW94"/>
  <c r="ET72"/>
  <c r="BB32"/>
  <c r="FN128"/>
  <c r="CA111"/>
  <c r="DZ89"/>
  <c r="CH72"/>
  <c r="AV4"/>
  <c r="BN138"/>
  <c r="ES79"/>
  <c r="BY66"/>
  <c r="EC72"/>
  <c r="AT34"/>
  <c r="AD60"/>
  <c r="AI19"/>
  <c r="BE83"/>
  <c r="H48"/>
  <c r="EN11"/>
  <c r="EX148"/>
  <c r="BC62"/>
  <c r="CQ175"/>
  <c r="AH144"/>
  <c r="U135"/>
  <c r="BT168"/>
  <c r="AV133"/>
  <c r="DS108"/>
  <c r="DZ15"/>
  <c r="FF17"/>
  <c r="BE16"/>
  <c r="U155"/>
  <c r="BQ55"/>
  <c r="AR83"/>
  <c r="ED122"/>
  <c r="D127"/>
  <c r="AD106"/>
  <c r="CD42"/>
  <c r="BC133"/>
  <c r="ES41"/>
  <c r="BZ136"/>
  <c r="FA77"/>
  <c r="FI162"/>
  <c r="CR46"/>
  <c r="FD101"/>
  <c r="EP24"/>
  <c r="AZ79"/>
  <c r="DW113"/>
  <c r="CG86"/>
  <c r="FH85"/>
  <c r="EF51"/>
  <c r="FO132"/>
  <c r="EA144"/>
  <c r="BJ58"/>
  <c r="AM119"/>
  <c r="AT49"/>
  <c r="EG152"/>
  <c r="AD62"/>
  <c r="EK85"/>
  <c r="BL169"/>
  <c r="EN158"/>
  <c r="CT90"/>
  <c r="CG68"/>
  <c r="CR65"/>
  <c r="EC27"/>
  <c r="ET171"/>
  <c r="FO26"/>
  <c r="DQ165"/>
  <c r="AK43"/>
  <c r="Y178"/>
  <c r="BC50"/>
  <c r="CT69"/>
  <c r="FI75"/>
  <c r="FS56"/>
  <c r="AN38"/>
  <c r="BC55"/>
  <c r="FQ3"/>
  <c r="FN126"/>
  <c r="EM95"/>
  <c r="EI72"/>
  <c r="P135"/>
  <c r="AT27"/>
  <c r="DE92"/>
  <c r="AA150"/>
  <c r="CN119"/>
  <c r="FT19"/>
  <c r="BF26"/>
  <c r="BV154"/>
  <c r="EC77"/>
  <c r="DU36"/>
  <c r="DJ5"/>
  <c r="EI136"/>
  <c r="CJ63"/>
  <c r="S105"/>
  <c r="DT43"/>
  <c r="CQ150"/>
  <c r="AX57"/>
  <c r="Y52"/>
  <c r="I121"/>
  <c r="CN136"/>
  <c r="AE153"/>
  <c r="BZ24"/>
  <c r="AX93"/>
  <c r="DH147"/>
  <c r="BN31"/>
  <c r="AN35"/>
  <c r="DD114"/>
  <c r="FU106"/>
  <c r="EU32"/>
  <c r="EB170"/>
  <c r="AC13"/>
  <c r="FH104"/>
  <c r="CT10"/>
  <c r="FV87"/>
  <c r="EX30"/>
  <c r="EI140"/>
  <c r="DJ103"/>
  <c r="DM171"/>
  <c r="EX143"/>
  <c r="DG77"/>
  <c r="CL3"/>
  <c r="CT178"/>
  <c r="CS28"/>
  <c r="FE2"/>
  <c r="DX23"/>
  <c r="D61"/>
  <c r="AK117"/>
  <c r="FT39"/>
  <c r="EK25"/>
  <c r="EI14"/>
  <c r="FL45"/>
  <c r="EU34"/>
  <c r="DA46"/>
  <c r="DA137"/>
  <c r="BN170"/>
  <c r="AQ56"/>
  <c r="CP85"/>
  <c r="CR78"/>
  <c r="DF84"/>
  <c r="AR87"/>
  <c r="FM161"/>
  <c r="EV114"/>
  <c r="BF44"/>
  <c r="DS140"/>
  <c r="CU53"/>
  <c r="EO108"/>
  <c r="EA69"/>
  <c r="EZ57"/>
  <c r="FK176"/>
  <c r="C61"/>
  <c r="AJ117"/>
  <c r="EN52"/>
  <c r="CS12"/>
  <c r="CU63"/>
  <c r="BL139"/>
  <c r="E107"/>
  <c r="DR93"/>
  <c r="DU164"/>
  <c r="CQ158"/>
  <c r="DR102"/>
  <c r="S125"/>
  <c r="EW105"/>
  <c r="CO78"/>
  <c r="BB117"/>
  <c r="AI88"/>
  <c r="AH18"/>
  <c r="BM32"/>
  <c r="AH124"/>
  <c r="FI50"/>
  <c r="CB83"/>
  <c r="AA5"/>
  <c r="CN8"/>
  <c r="DT159"/>
  <c r="DR55"/>
  <c r="FA74"/>
  <c r="FS113"/>
  <c r="AH4"/>
  <c r="CG40"/>
  <c r="AA144"/>
  <c r="FC59"/>
  <c r="CZ13"/>
  <c r="EJ176"/>
  <c r="R46"/>
  <c r="CT24"/>
  <c r="AO50"/>
  <c r="I91"/>
  <c r="ED99"/>
  <c r="FV35"/>
  <c r="M92"/>
  <c r="DH8"/>
  <c r="EL85"/>
  <c r="EM171"/>
  <c r="CX151"/>
  <c r="AW33"/>
  <c r="FP107"/>
  <c r="CT126"/>
  <c r="W126"/>
  <c r="BO109"/>
  <c r="G118"/>
  <c r="DQ124"/>
  <c r="AK128"/>
  <c r="CE89"/>
  <c r="AE20"/>
  <c r="AT45"/>
  <c r="BO171"/>
  <c r="AD144"/>
  <c r="DY100"/>
  <c r="BG60"/>
  <c r="CV103"/>
  <c r="FM133"/>
  <c r="BY10"/>
  <c r="H77"/>
  <c r="CR16"/>
  <c r="FK103"/>
  <c r="EF3"/>
  <c r="FS136"/>
  <c r="FK24"/>
  <c r="FC12"/>
  <c r="EW11"/>
  <c r="ES173"/>
  <c r="BG176"/>
  <c r="DQ25"/>
  <c r="AE9"/>
  <c r="D38"/>
  <c r="FT8"/>
  <c r="DA11"/>
  <c r="EO143"/>
  <c r="AY163"/>
  <c r="AY171"/>
  <c r="BC32"/>
  <c r="DQ38"/>
  <c r="DT87"/>
  <c r="FV157"/>
  <c r="FH80"/>
  <c r="O155"/>
  <c r="J110"/>
  <c r="CN30"/>
  <c r="EX170"/>
  <c r="DO97"/>
  <c r="DW125"/>
  <c r="R23"/>
  <c r="FM101"/>
  <c r="FN134"/>
  <c r="AH98"/>
  <c r="DW87"/>
  <c r="CQ126"/>
  <c r="AU173"/>
  <c r="DR147"/>
  <c r="O146"/>
  <c r="N74"/>
  <c r="AT19"/>
  <c r="AP110"/>
  <c r="CI129"/>
  <c r="EB11"/>
  <c r="EQ168"/>
  <c r="BT22"/>
  <c r="AO76"/>
  <c r="DE95"/>
  <c r="AE28"/>
  <c r="FS38"/>
  <c r="CX24"/>
  <c r="EO2"/>
  <c r="EG71"/>
  <c r="EX24"/>
  <c r="FJ107"/>
  <c r="AS54"/>
  <c r="EF171"/>
  <c r="CK159"/>
  <c r="DW61"/>
  <c r="BT77"/>
  <c r="CE65"/>
  <c r="C49"/>
  <c r="BT23"/>
  <c r="DN136"/>
  <c r="Y9"/>
  <c r="T63"/>
  <c r="BI151"/>
  <c r="BR18"/>
  <c r="AD5"/>
  <c r="EQ80"/>
  <c r="BN40"/>
  <c r="M49"/>
  <c r="DW167"/>
  <c r="AK106"/>
  <c r="AU41"/>
  <c r="EL12"/>
  <c r="DS20"/>
  <c r="CU145"/>
  <c r="CQ168"/>
  <c r="ES172"/>
  <c r="BJ145"/>
  <c r="CO3"/>
  <c r="CB31"/>
  <c r="BG166"/>
  <c r="CX33"/>
  <c r="DO20"/>
  <c r="BB59"/>
  <c r="EG21"/>
  <c r="AF105"/>
  <c r="AI142"/>
  <c r="AL27"/>
  <c r="BC172"/>
  <c r="AX125"/>
  <c r="DG79"/>
  <c r="FU65"/>
  <c r="EB145"/>
  <c r="BK43"/>
  <c r="AJ63"/>
  <c r="BO41"/>
  <c r="Y18"/>
  <c r="DO35"/>
  <c r="EK90"/>
  <c r="AR52"/>
  <c r="Q15"/>
  <c r="FK83"/>
  <c r="FI64"/>
  <c r="BU119"/>
  <c r="CP63"/>
  <c r="DD35"/>
  <c r="EC6"/>
  <c r="AS111"/>
  <c r="EX123"/>
  <c r="CI95"/>
  <c r="L166"/>
  <c r="C34"/>
  <c r="CU44"/>
  <c r="Y27"/>
  <c r="FP136"/>
  <c r="BP39"/>
  <c r="M167"/>
  <c r="FV52"/>
  <c r="K8"/>
  <c r="EK128"/>
  <c r="AH58"/>
  <c r="BL9"/>
  <c r="L161"/>
  <c r="DD17"/>
  <c r="F56"/>
  <c r="G122"/>
  <c r="AI44"/>
  <c r="CD150"/>
  <c r="DG39"/>
  <c r="EO47"/>
  <c r="BH163"/>
  <c r="BW96"/>
  <c r="FG73"/>
  <c r="EF24"/>
  <c r="AU55"/>
  <c r="CH125"/>
  <c r="FI58"/>
  <c r="DP23"/>
  <c r="D26"/>
  <c r="DU37"/>
  <c r="FQ13"/>
  <c r="EF20"/>
  <c r="AJ95"/>
  <c r="BA43"/>
  <c r="FB137"/>
  <c r="BH93"/>
  <c r="AN20"/>
  <c r="F141"/>
  <c r="J83"/>
  <c r="FF111"/>
  <c r="EY109"/>
  <c r="BT30"/>
  <c r="BL97"/>
  <c r="CG46"/>
  <c r="FB113"/>
  <c r="U146"/>
  <c r="BN24"/>
  <c r="CZ82"/>
  <c r="DA29"/>
  <c r="BL27"/>
  <c r="BH100"/>
  <c r="BC34"/>
  <c r="CA97"/>
  <c r="DF151"/>
  <c r="Q19"/>
  <c r="DM150"/>
  <c r="EX140"/>
  <c r="EO34"/>
  <c r="BW154"/>
  <c r="ER65"/>
  <c r="U97"/>
  <c r="CR101"/>
  <c r="EX32"/>
  <c r="T158"/>
  <c r="DM92"/>
  <c r="CO18"/>
  <c r="EP96"/>
  <c r="CN135"/>
  <c r="W169"/>
  <c r="CU106"/>
  <c r="EQ142"/>
  <c r="K69"/>
  <c r="P157"/>
  <c r="DV135"/>
  <c r="BD37"/>
  <c r="FU25"/>
  <c r="AK116"/>
  <c r="DO23"/>
  <c r="EW114"/>
  <c r="CJ74"/>
  <c r="DW163"/>
  <c r="EW92"/>
  <c r="DV104"/>
  <c r="W81"/>
  <c r="CT97"/>
  <c r="AO111"/>
  <c r="AD58"/>
  <c r="FP53"/>
  <c r="EH80"/>
  <c r="FR32"/>
  <c r="CP40"/>
  <c r="BV150"/>
  <c r="AD162"/>
  <c r="L149"/>
  <c r="CQ146"/>
  <c r="DS126"/>
  <c r="Y163"/>
  <c r="FB160"/>
  <c r="X35"/>
  <c r="DU33"/>
  <c r="DA80"/>
  <c r="BO167"/>
  <c r="EY6"/>
  <c r="BS57"/>
  <c r="BY75"/>
  <c r="EI134"/>
  <c r="DH136"/>
  <c r="DL40"/>
  <c r="V20"/>
  <c r="DK54"/>
  <c r="CD23"/>
  <c r="FG104"/>
  <c r="DJ50"/>
  <c r="I21"/>
  <c r="EJ172"/>
  <c r="EM149"/>
  <c r="FR68"/>
  <c r="DX30"/>
  <c r="BD25"/>
  <c r="AN37"/>
  <c r="AI23"/>
  <c r="DA55"/>
  <c r="BY170"/>
  <c r="DJ115"/>
  <c r="DA38"/>
  <c r="FQ132"/>
  <c r="CL67"/>
  <c r="ET12"/>
  <c r="AU175"/>
  <c r="Z114"/>
  <c r="R37"/>
  <c r="EX73"/>
  <c r="FS59"/>
  <c r="FI90"/>
  <c r="BX81"/>
  <c r="EQ176"/>
  <c r="DY86"/>
  <c r="EN176"/>
  <c r="AO120"/>
  <c r="DQ134"/>
  <c r="CE4"/>
  <c r="H42"/>
  <c r="CY21"/>
  <c r="ER27"/>
  <c r="CJ60"/>
  <c r="BN176"/>
  <c r="W103"/>
  <c r="FF118"/>
  <c r="FU160"/>
  <c r="EF25"/>
  <c r="DB46"/>
  <c r="CV89"/>
  <c r="DH85"/>
  <c r="BS172"/>
  <c r="DM29"/>
  <c r="B80"/>
  <c r="J151"/>
  <c r="BI21"/>
  <c r="FS98"/>
  <c r="AB58"/>
  <c r="BV63"/>
  <c r="FQ46"/>
  <c r="ED46"/>
  <c r="DF70"/>
  <c r="M51"/>
  <c r="BS8"/>
  <c r="DG85"/>
  <c r="AB150"/>
  <c r="EK83"/>
  <c r="AU76"/>
  <c r="Y24"/>
  <c r="FI36"/>
  <c r="EY38"/>
  <c r="EK84"/>
  <c r="AC145"/>
  <c r="AM37"/>
  <c r="DO156"/>
  <c r="C59"/>
  <c r="DA112"/>
  <c r="AM157"/>
  <c r="DC168"/>
  <c r="ES158"/>
  <c r="DP12"/>
  <c r="DE127"/>
  <c r="F144"/>
  <c r="R44"/>
  <c r="U13"/>
  <c r="CO93"/>
  <c r="DL139"/>
  <c r="AO135"/>
  <c r="ED44"/>
  <c r="AU123"/>
  <c r="BV112"/>
  <c r="CK3"/>
  <c r="DH149"/>
  <c r="EM115"/>
  <c r="D45"/>
  <c r="AN8"/>
  <c r="V39"/>
  <c r="EQ72"/>
  <c r="FD32"/>
  <c r="Z83"/>
  <c r="CO67"/>
  <c r="BK5"/>
  <c r="DS68"/>
  <c r="EE98"/>
  <c r="BH106"/>
  <c r="W130"/>
  <c r="BZ108"/>
  <c r="I47"/>
  <c r="DG106"/>
  <c r="BL33"/>
  <c r="DJ117"/>
  <c r="BN73"/>
  <c r="BY150"/>
  <c r="BL12"/>
  <c r="EJ37"/>
  <c r="EP11"/>
  <c r="CJ173"/>
  <c r="FS130"/>
  <c r="BK108"/>
  <c r="AH174"/>
  <c r="EZ52"/>
  <c r="CZ23"/>
  <c r="DJ151"/>
  <c r="EX129"/>
  <c r="EN111"/>
  <c r="DX47"/>
  <c r="AG103"/>
  <c r="CT83"/>
  <c r="CQ68"/>
  <c r="ES118"/>
  <c r="AE107"/>
  <c r="AD11"/>
  <c r="FI28"/>
  <c r="Q49"/>
  <c r="DP138"/>
  <c r="CC135"/>
  <c r="CH138"/>
  <c r="D175"/>
  <c r="BH2"/>
  <c r="FC67"/>
  <c r="EB80"/>
  <c r="BK165"/>
  <c r="T31"/>
  <c r="AR140"/>
  <c r="AD33"/>
  <c r="AT92"/>
  <c r="EB17"/>
  <c r="H53"/>
  <c r="DI26"/>
  <c r="DV32"/>
  <c r="AJ166"/>
  <c r="EJ81"/>
  <c r="CY39"/>
  <c r="BV89"/>
  <c r="AA148"/>
  <c r="W40"/>
  <c r="BJ178"/>
  <c r="DR139"/>
  <c r="DN122"/>
  <c r="BO152"/>
  <c r="AQ68"/>
  <c r="AJ165"/>
  <c r="DM110"/>
  <c r="CN64"/>
  <c r="BR6"/>
  <c r="BI58"/>
  <c r="BE146"/>
  <c r="FA40"/>
  <c r="BI141"/>
  <c r="AX35"/>
  <c r="ES138"/>
  <c r="BC44"/>
  <c r="DJ67"/>
  <c r="EM51"/>
  <c r="BL150"/>
  <c r="CN111"/>
  <c r="DV159"/>
  <c r="FA155"/>
  <c r="CW30"/>
  <c r="BB72"/>
  <c r="DJ82"/>
  <c r="AM164"/>
  <c r="EM18"/>
  <c r="Z78"/>
  <c r="FB2"/>
  <c r="ET148"/>
  <c r="V75"/>
  <c r="BH139"/>
  <c r="AS94"/>
  <c r="BG171"/>
  <c r="BC10"/>
  <c r="CO19"/>
  <c r="EM112"/>
  <c r="AH157"/>
  <c r="EL37"/>
  <c r="BW93"/>
  <c r="BT5"/>
  <c r="P112"/>
  <c r="EK125"/>
  <c r="AW32"/>
  <c r="BL122"/>
  <c r="DW36"/>
  <c r="DO132"/>
  <c r="I19"/>
  <c r="BB147"/>
  <c r="FK153"/>
  <c r="BG47"/>
  <c r="EB47"/>
  <c r="BQ176"/>
  <c r="B136"/>
  <c r="AD159"/>
  <c r="AP158"/>
  <c r="K13"/>
  <c r="DA75"/>
  <c r="B59"/>
  <c r="BC106"/>
  <c r="Y166"/>
  <c r="D132"/>
  <c r="R174"/>
  <c r="BK66"/>
  <c r="FD103"/>
  <c r="BH137"/>
  <c r="EO123"/>
  <c r="BM108"/>
  <c r="Y156"/>
  <c r="FM136"/>
  <c r="F103"/>
  <c r="DX174"/>
  <c r="AD36"/>
  <c r="DN34"/>
  <c r="BR150"/>
  <c r="FH91"/>
  <c r="FO80"/>
  <c r="CV55"/>
  <c r="EQ97"/>
  <c r="EI64"/>
  <c r="DR35"/>
  <c r="AP53"/>
  <c r="DO160"/>
  <c r="DP177"/>
  <c r="T133"/>
  <c r="L68"/>
  <c r="AI136"/>
  <c r="BQ126"/>
  <c r="FE120"/>
  <c r="BK161"/>
  <c r="FN23"/>
  <c r="EX173"/>
  <c r="DU43"/>
  <c r="EJ169"/>
  <c r="EG142"/>
  <c r="EJ96"/>
  <c r="FF67"/>
  <c r="AU142"/>
  <c r="DT64"/>
  <c r="ES45"/>
  <c r="CM9"/>
  <c r="FR46"/>
  <c r="FO48"/>
  <c r="BH113"/>
  <c r="N155"/>
  <c r="AZ67"/>
  <c r="BD16"/>
  <c r="DQ66"/>
  <c r="AD54"/>
  <c r="V134"/>
  <c r="EI3"/>
  <c r="BO146"/>
  <c r="P44"/>
  <c r="DZ63"/>
  <c r="J84"/>
  <c r="DQ21"/>
  <c r="AU61"/>
  <c r="O177"/>
  <c r="ED106"/>
  <c r="EI142"/>
  <c r="EW171"/>
  <c r="DS136"/>
  <c r="EY175"/>
  <c r="AC3"/>
  <c r="Z57"/>
  <c r="Z28"/>
  <c r="AW93"/>
  <c r="FE162"/>
  <c r="BQ168"/>
  <c r="FL62"/>
  <c r="FT23"/>
  <c r="CM76"/>
  <c r="BV128"/>
  <c r="DS43"/>
  <c r="AX14"/>
  <c r="DM107"/>
  <c r="E19"/>
  <c r="BV11"/>
  <c r="DW93"/>
  <c r="M26"/>
  <c r="AA64"/>
  <c r="J2"/>
  <c r="BS80"/>
  <c r="CK152"/>
  <c r="K98"/>
  <c r="DL57"/>
  <c r="EH77"/>
  <c r="DB92"/>
  <c r="BA79"/>
  <c r="G108"/>
  <c r="AE57"/>
  <c r="CP121"/>
  <c r="EY177"/>
  <c r="Y36"/>
  <c r="BG110"/>
  <c r="EN70"/>
  <c r="FA168"/>
  <c r="FP61"/>
  <c r="EH73"/>
  <c r="EQ56"/>
  <c r="U118"/>
  <c r="DO59"/>
  <c r="EZ36"/>
  <c r="ER121"/>
  <c r="CW97"/>
  <c r="EV60"/>
  <c r="FK157"/>
  <c r="Q8"/>
  <c r="AQ2"/>
  <c r="AD30"/>
  <c r="BG146"/>
  <c r="AA17"/>
  <c r="Z149"/>
  <c r="DO105"/>
  <c r="AX133"/>
  <c r="EK39"/>
  <c r="BF58"/>
  <c r="I167"/>
  <c r="T38"/>
  <c r="DQ57"/>
  <c r="FO7"/>
  <c r="EO120"/>
  <c r="FL23"/>
  <c r="CI173"/>
  <c r="DA103"/>
  <c r="O175"/>
  <c r="EB10"/>
  <c r="AB2"/>
  <c r="FM58"/>
  <c r="FK52"/>
  <c r="FV84"/>
  <c r="FT84"/>
  <c r="CO89"/>
  <c r="FQ158"/>
  <c r="CD155"/>
  <c r="AM170"/>
  <c r="FC54"/>
  <c r="DC13"/>
  <c r="AE100"/>
  <c r="AA9"/>
  <c r="FI144"/>
  <c r="EQ171"/>
  <c r="J100"/>
  <c r="AX86"/>
  <c r="EV161"/>
  <c r="EE168"/>
  <c r="J23"/>
  <c r="DJ177"/>
  <c r="AM111"/>
  <c r="DI138"/>
  <c r="CK69"/>
  <c r="CB74"/>
  <c r="FF157"/>
  <c r="BK121"/>
  <c r="EK10"/>
  <c r="DO155"/>
  <c r="BJ134"/>
  <c r="AW106"/>
  <c r="AP16"/>
  <c r="D56"/>
  <c r="DZ88"/>
  <c r="I134"/>
  <c r="T151"/>
  <c r="G98"/>
  <c r="DA4"/>
  <c r="CS135"/>
  <c r="DE49"/>
  <c r="BQ116"/>
  <c r="AF117"/>
  <c r="EH174"/>
  <c r="EY64"/>
  <c r="DO38"/>
  <c r="CJ127"/>
  <c r="CB149"/>
  <c r="AJ79"/>
  <c r="I110"/>
  <c r="BO49"/>
  <c r="AR23"/>
  <c r="DM85"/>
  <c r="BU146"/>
  <c r="AU17"/>
  <c r="EH91"/>
  <c r="EW140"/>
  <c r="CT140"/>
  <c r="FC138"/>
  <c r="BQ27"/>
  <c r="AH55"/>
  <c r="FD81"/>
  <c r="H159"/>
  <c r="N51"/>
  <c r="AG6"/>
  <c r="BT124"/>
  <c r="X156"/>
  <c r="BC141"/>
  <c r="AN83"/>
  <c r="CC160"/>
  <c r="FB66"/>
  <c r="D82"/>
  <c r="CS98"/>
  <c r="DT40"/>
  <c r="CR143"/>
  <c r="U34"/>
  <c r="FN70"/>
  <c r="X130"/>
  <c r="I79"/>
  <c r="AG21"/>
  <c r="BB49"/>
  <c r="DV106"/>
  <c r="B40"/>
  <c r="AQ161"/>
  <c r="Q6"/>
  <c r="CP96"/>
  <c r="FE29"/>
  <c r="BN29"/>
  <c r="FI143"/>
  <c r="EU38"/>
  <c r="BY18"/>
  <c r="FA60"/>
  <c r="CH58"/>
  <c r="BN144"/>
  <c r="EU87"/>
  <c r="F163"/>
  <c r="EQ165"/>
  <c r="DQ145"/>
  <c r="BK63"/>
  <c r="DM33"/>
  <c r="AS160"/>
  <c r="EW9"/>
  <c r="E72"/>
  <c r="FU92"/>
  <c r="BK61"/>
  <c r="CR20"/>
  <c r="G79"/>
  <c r="EH36"/>
  <c r="AP118"/>
  <c r="X134"/>
  <c r="DL138"/>
  <c r="BV152"/>
  <c r="BX56"/>
  <c r="FI98"/>
  <c r="BZ59"/>
  <c r="CF49"/>
  <c r="BJ133"/>
  <c r="AI72"/>
  <c r="AQ160"/>
  <c r="BU78"/>
  <c r="V83"/>
  <c r="I62"/>
  <c r="Y134"/>
  <c r="FK90"/>
  <c r="EF129"/>
  <c r="AO60"/>
  <c r="AA163"/>
  <c r="L150"/>
  <c r="CJ24"/>
  <c r="FT58"/>
  <c r="BX160"/>
  <c r="FO141"/>
  <c r="CB19"/>
  <c r="AF55"/>
  <c r="DN155"/>
  <c r="E171"/>
  <c r="CD77"/>
  <c r="BM13"/>
  <c r="AC27"/>
  <c r="FO12"/>
  <c r="BM111"/>
  <c r="R26"/>
  <c r="FT147"/>
  <c r="CU144"/>
  <c r="CI27"/>
  <c r="BX41"/>
  <c r="FS15"/>
  <c r="AL41"/>
  <c r="CJ21"/>
  <c r="ED22"/>
  <c r="CQ15"/>
  <c r="AI119"/>
  <c r="D74"/>
  <c r="C46"/>
  <c r="CQ149"/>
  <c r="EE80"/>
  <c r="DY92"/>
  <c r="AQ41"/>
  <c r="FR132"/>
  <c r="DF81"/>
  <c r="F8"/>
  <c r="I10"/>
  <c r="AM55"/>
  <c r="FQ119"/>
  <c r="EH131"/>
  <c r="EF56"/>
  <c r="W10"/>
  <c r="U4"/>
  <c r="EY174"/>
  <c r="CW27"/>
  <c r="H114"/>
  <c r="EF29"/>
  <c r="BS28"/>
  <c r="FU143"/>
  <c r="AV167"/>
  <c r="CE123"/>
  <c r="J42"/>
  <c r="AH46"/>
  <c r="DO28"/>
  <c r="BW171"/>
  <c r="AW170"/>
  <c r="F97"/>
  <c r="FK67"/>
  <c r="ER36"/>
  <c r="DE87"/>
  <c r="EI104"/>
  <c r="AW73"/>
  <c r="AH29"/>
  <c r="DX100"/>
  <c r="AL71"/>
  <c r="CK14"/>
  <c r="BC171"/>
  <c r="S66"/>
  <c r="FG24"/>
  <c r="CT115"/>
  <c r="DW49"/>
  <c r="CT86"/>
  <c r="BJ110"/>
  <c r="AA21"/>
  <c r="BL36"/>
  <c r="FH143"/>
  <c r="FV102"/>
  <c r="W9"/>
  <c r="FA73"/>
  <c r="Z102"/>
  <c r="FR109"/>
  <c r="O118"/>
  <c r="EZ95"/>
  <c r="AY47"/>
  <c r="AE159"/>
  <c r="CJ42"/>
  <c r="DZ37"/>
  <c r="CY52"/>
  <c r="CX144"/>
  <c r="AL161"/>
  <c r="FQ170"/>
  <c r="FB140"/>
  <c r="AF79"/>
  <c r="EY95"/>
  <c r="EI83"/>
  <c r="BI25"/>
  <c r="ED56"/>
  <c r="EO12"/>
  <c r="AZ131"/>
  <c r="CW124"/>
  <c r="C127"/>
  <c r="I50"/>
  <c r="EM25"/>
  <c r="AE131"/>
  <c r="Y71"/>
  <c r="BK78"/>
  <c r="AC38"/>
  <c r="AC77"/>
  <c r="EZ162"/>
  <c r="D128"/>
  <c r="EY105"/>
  <c r="BF57"/>
  <c r="BZ4"/>
  <c r="BE142"/>
  <c r="R103"/>
  <c r="CR100"/>
  <c r="W27"/>
  <c r="R29"/>
  <c r="AG28"/>
  <c r="DW160"/>
  <c r="H153"/>
  <c r="CW114"/>
  <c r="DZ22"/>
  <c r="FK2"/>
  <c r="CD127"/>
  <c r="BZ83"/>
  <c r="T6"/>
  <c r="CN78"/>
  <c r="FG57"/>
  <c r="CE13"/>
  <c r="AT154"/>
  <c r="G75"/>
  <c r="AL6"/>
  <c r="BR143"/>
  <c r="EW165"/>
  <c r="AX62"/>
  <c r="FG127"/>
  <c r="EK163"/>
  <c r="CG2"/>
  <c r="CI153"/>
  <c r="DP116"/>
  <c r="BK74"/>
  <c r="AC119"/>
  <c r="DY173"/>
  <c r="CG160"/>
  <c r="CX51"/>
  <c r="T94"/>
  <c r="E30"/>
  <c r="DQ168"/>
  <c r="DK103"/>
  <c r="W127"/>
  <c r="R55"/>
  <c r="BA124"/>
  <c r="EJ97"/>
  <c r="DE102"/>
  <c r="CW146"/>
  <c r="AD107"/>
  <c r="T50"/>
  <c r="BW35"/>
  <c r="FR106"/>
  <c r="AL130"/>
  <c r="AM149"/>
  <c r="BU39"/>
  <c r="EL18"/>
  <c r="BM53"/>
  <c r="FC58"/>
  <c r="CQ134"/>
  <c r="BV13"/>
  <c r="BF31"/>
  <c r="BC112"/>
  <c r="DK102"/>
  <c r="EY143"/>
  <c r="FS171"/>
  <c r="Y11"/>
  <c r="BN150"/>
  <c r="AQ3"/>
  <c r="EK142"/>
  <c r="DV89"/>
  <c r="EX97"/>
  <c r="AK152"/>
  <c r="AI140"/>
  <c r="FK11"/>
  <c r="BV29"/>
  <c r="AU158"/>
  <c r="EQ158"/>
  <c r="U158"/>
  <c r="CR105"/>
  <c r="CJ112"/>
  <c r="EK103"/>
  <c r="FN44"/>
  <c r="P55"/>
  <c r="I146"/>
  <c r="CT102"/>
  <c r="CN58"/>
  <c r="EU167"/>
  <c r="CK80"/>
  <c r="C42"/>
  <c r="AL129"/>
  <c r="CP146"/>
  <c r="BV114"/>
  <c r="DN62"/>
  <c r="AE102"/>
  <c r="K78"/>
  <c r="U24"/>
  <c r="FR67"/>
  <c r="FU9"/>
  <c r="FT141"/>
  <c r="AO100"/>
  <c r="AK10"/>
  <c r="AT174"/>
  <c r="DH53"/>
  <c r="CC63"/>
  <c r="EX60"/>
  <c r="M4"/>
  <c r="BO91"/>
  <c r="DV139"/>
  <c r="DF158"/>
  <c r="FA35"/>
  <c r="AO54"/>
  <c r="BI169"/>
  <c r="EE59"/>
  <c r="EL97"/>
  <c r="U50"/>
  <c r="CL28"/>
  <c r="EM102"/>
  <c r="CU100"/>
  <c r="EI4"/>
  <c r="AB47"/>
  <c r="AS60"/>
  <c r="AI28"/>
  <c r="J24"/>
  <c r="DO158"/>
  <c r="BT15"/>
  <c r="CH101"/>
  <c r="V58"/>
  <c r="FB86"/>
  <c r="FG121"/>
  <c r="AK115"/>
  <c r="EA81"/>
  <c r="FE87"/>
  <c r="EM124"/>
  <c r="F13"/>
  <c r="FU165"/>
  <c r="EF49"/>
  <c r="CH104"/>
  <c r="AX160"/>
  <c r="FS79"/>
  <c r="FJ32"/>
  <c r="AS50"/>
  <c r="E157"/>
  <c r="AE130"/>
  <c r="AH90"/>
  <c r="EQ87"/>
  <c r="DP49"/>
  <c r="FO39"/>
  <c r="CQ46"/>
  <c r="CO116"/>
  <c r="CY158"/>
  <c r="CY138"/>
  <c r="FJ147"/>
  <c r="FN54"/>
  <c r="H162"/>
  <c r="CN115"/>
  <c r="BY102"/>
  <c r="V5"/>
  <c r="CS173"/>
  <c r="FN118"/>
  <c r="L74"/>
  <c r="EW49"/>
  <c r="FJ89"/>
  <c r="DU162"/>
  <c r="EN154"/>
  <c r="CO163"/>
  <c r="K101"/>
  <c r="FA177"/>
  <c r="EH13"/>
  <c r="AP119"/>
  <c r="ET157"/>
  <c r="AA49"/>
  <c r="FD137"/>
  <c r="BZ172"/>
  <c r="FQ148"/>
  <c r="V128"/>
  <c r="EN36"/>
  <c r="EO129"/>
  <c r="ES164"/>
  <c r="BP10"/>
  <c r="AS102"/>
  <c r="FU90"/>
  <c r="FB146"/>
  <c r="BB170"/>
  <c r="DX98"/>
  <c r="CJ150"/>
  <c r="CI16"/>
  <c r="CC62"/>
  <c r="FE38"/>
  <c r="AH112"/>
  <c r="CP147"/>
  <c r="EH106"/>
  <c r="BG30"/>
  <c r="CV34"/>
  <c r="BA44"/>
  <c r="G44"/>
  <c r="BU19"/>
  <c r="CP83"/>
  <c r="FF23"/>
  <c r="FN50"/>
  <c r="CO167"/>
  <c r="AM173"/>
  <c r="N149"/>
  <c r="CT36"/>
  <c r="BZ97"/>
  <c r="BO130"/>
  <c r="AU115"/>
  <c r="AX23"/>
  <c r="DE57"/>
  <c r="CG93"/>
  <c r="DD116"/>
  <c r="DZ158"/>
  <c r="S92"/>
  <c r="C139"/>
  <c r="E130"/>
  <c r="BI90"/>
  <c r="DG29"/>
  <c r="R169"/>
  <c r="M113"/>
  <c r="B114"/>
  <c r="K110"/>
  <c r="BA178"/>
  <c r="AF89"/>
  <c r="J170"/>
  <c r="FD60"/>
  <c r="CY146"/>
  <c r="EZ25"/>
  <c r="BR154"/>
  <c r="CW77"/>
  <c r="AL72"/>
  <c r="BE64"/>
  <c r="FL140"/>
  <c r="BX123"/>
  <c r="BV38"/>
  <c r="P16"/>
  <c r="AK162"/>
  <c r="D150"/>
  <c r="CI72"/>
  <c r="DR149"/>
  <c r="BH33"/>
  <c r="CB161"/>
  <c r="AT80"/>
  <c r="BV5"/>
  <c r="ED36"/>
  <c r="DV99"/>
  <c r="DO129"/>
  <c r="DT170"/>
  <c r="CZ149"/>
  <c r="EN90"/>
  <c r="P94"/>
  <c r="DV124"/>
  <c r="EK144"/>
  <c r="BG54"/>
  <c r="EN39"/>
  <c r="EQ166"/>
  <c r="AI153"/>
  <c r="Y98"/>
  <c r="BW26"/>
  <c r="CE22"/>
  <c r="C11"/>
  <c r="EO96"/>
  <c r="DW177"/>
  <c r="E40"/>
  <c r="CG44"/>
  <c r="FV38"/>
  <c r="DM104"/>
  <c r="BQ60"/>
  <c r="BT2"/>
  <c r="FI111"/>
  <c r="BN109"/>
  <c r="EF176"/>
  <c r="EB69"/>
  <c r="FD143"/>
  <c r="BD22"/>
  <c r="CG22"/>
  <c r="DA150"/>
  <c r="FF53"/>
  <c r="DG147"/>
  <c r="DK64"/>
  <c r="CE121"/>
  <c r="DL83"/>
  <c r="BF166"/>
  <c r="AU138"/>
  <c r="DG9"/>
  <c r="Z81"/>
  <c r="EG135"/>
  <c r="C22"/>
  <c r="FT47"/>
  <c r="AM27"/>
  <c r="V150"/>
  <c r="I78"/>
  <c r="FE117"/>
  <c r="AM84"/>
  <c r="FD46"/>
  <c r="U30"/>
  <c r="EI74"/>
  <c r="CS126"/>
  <c r="BM6"/>
  <c r="BX158"/>
  <c r="DP139"/>
  <c r="BT93"/>
  <c r="EQ132"/>
  <c r="EN67"/>
  <c r="M32"/>
  <c r="BW145"/>
  <c r="FA12"/>
  <c r="AE119"/>
  <c r="DW141"/>
  <c r="FQ38"/>
  <c r="FA136"/>
  <c r="X116"/>
  <c r="O162"/>
  <c r="FU113"/>
  <c r="AR91"/>
  <c r="BC16"/>
  <c r="CN18"/>
  <c r="FF158"/>
  <c r="F177"/>
  <c r="DE68"/>
  <c r="DO86"/>
  <c r="CG35"/>
  <c r="DH44"/>
  <c r="BY26"/>
  <c r="FG156"/>
  <c r="FA101"/>
  <c r="EL100"/>
  <c r="AV156"/>
  <c r="EH5"/>
  <c r="CS15"/>
  <c r="AD99"/>
  <c r="EU66"/>
  <c r="AJ69"/>
  <c r="DL8"/>
  <c r="FO69"/>
  <c r="EO95"/>
  <c r="AV85"/>
  <c r="DL58"/>
  <c r="AW13"/>
  <c r="EJ34"/>
  <c r="DO128"/>
  <c r="DB23"/>
  <c r="AD139"/>
  <c r="AW39"/>
  <c r="AX58"/>
  <c r="Z95"/>
  <c r="BP109"/>
  <c r="DW35"/>
  <c r="EY18"/>
  <c r="CN46"/>
  <c r="L138"/>
  <c r="FU35"/>
  <c r="FF45"/>
  <c r="EJ42"/>
  <c r="DA143"/>
  <c r="FO6"/>
  <c r="DL34"/>
  <c r="CQ119"/>
  <c r="AN4"/>
  <c r="EW175"/>
  <c r="V111"/>
  <c r="FG146"/>
  <c r="AJ35"/>
  <c r="EM151"/>
  <c r="AZ156"/>
  <c r="DW91"/>
  <c r="R178"/>
  <c r="EY148"/>
  <c r="AE114"/>
  <c r="EG39"/>
  <c r="X174"/>
  <c r="CV99"/>
  <c r="DA93"/>
  <c r="BF101"/>
  <c r="BK148"/>
  <c r="Z108"/>
  <c r="CF134"/>
  <c r="FU108"/>
  <c r="DW98"/>
  <c r="ET177"/>
  <c r="CB29"/>
  <c r="I153"/>
  <c r="CF156"/>
  <c r="EM93"/>
  <c r="DB87"/>
  <c r="S56"/>
  <c r="CD142"/>
  <c r="EQ137"/>
  <c r="DB30"/>
  <c r="DQ78"/>
  <c r="BS168"/>
  <c r="CI82"/>
  <c r="D119"/>
  <c r="FR86"/>
  <c r="BZ171"/>
  <c r="FN141"/>
  <c r="FT153"/>
  <c r="FO68"/>
  <c r="EA101"/>
  <c r="FD3"/>
  <c r="BX30"/>
  <c r="AJ73"/>
  <c r="DT113"/>
  <c r="AU107"/>
  <c r="DO93"/>
  <c r="DB131"/>
  <c r="H175"/>
  <c r="J131"/>
  <c r="EM33"/>
  <c r="DI20"/>
  <c r="AV32"/>
  <c r="EX95"/>
  <c r="FJ73"/>
  <c r="ET143"/>
  <c r="S28"/>
  <c r="K40"/>
  <c r="AQ69"/>
  <c r="BK69"/>
  <c r="CC76"/>
  <c r="BK147"/>
  <c r="FA78"/>
  <c r="DT52"/>
  <c r="CD117"/>
  <c r="FT93"/>
  <c r="CF70"/>
  <c r="AM86"/>
  <c r="AV145"/>
  <c r="ER79"/>
  <c r="BY52"/>
  <c r="DV117"/>
  <c r="DH146"/>
  <c r="CL113"/>
  <c r="X72"/>
  <c r="DK126"/>
  <c r="BK30"/>
  <c r="CK136"/>
  <c r="BI164"/>
  <c r="DE161"/>
  <c r="BC74"/>
  <c r="EA175"/>
  <c r="W134"/>
  <c r="CC2"/>
  <c r="DP103"/>
  <c r="D55"/>
  <c r="S107"/>
  <c r="FC123"/>
  <c r="P70"/>
  <c r="W4"/>
  <c r="EM91"/>
  <c r="BB159"/>
  <c r="AQ128"/>
  <c r="J49"/>
  <c r="FB55"/>
  <c r="CO30"/>
  <c r="DD39"/>
  <c r="BN142"/>
  <c r="CA42"/>
  <c r="BS88"/>
  <c r="CR150"/>
  <c r="BE164"/>
  <c r="FC177"/>
  <c r="DD23"/>
  <c r="CJ155"/>
  <c r="EP90"/>
  <c r="BH60"/>
  <c r="CW162"/>
  <c r="BU76"/>
  <c r="EQ77"/>
  <c r="F135"/>
  <c r="AW105"/>
  <c r="DS56"/>
  <c r="BX80"/>
  <c r="BQ77"/>
  <c r="EV31"/>
  <c r="CM42"/>
  <c r="D21"/>
  <c r="AG43"/>
  <c r="CE45"/>
  <c r="BR80"/>
  <c r="AH84"/>
  <c r="DB80"/>
  <c r="EQ58"/>
  <c r="E7"/>
  <c r="AU32"/>
  <c r="EH42"/>
  <c r="FE18"/>
  <c r="BN117"/>
  <c r="EN30"/>
  <c r="AP78"/>
  <c r="BO22"/>
  <c r="FV143"/>
  <c r="AJ2"/>
  <c r="EF113"/>
  <c r="EA45"/>
  <c r="AW40"/>
  <c r="BH177"/>
  <c r="EN82"/>
  <c r="AT134"/>
  <c r="L84"/>
  <c r="EN35"/>
  <c r="Q60"/>
  <c r="CL16"/>
  <c r="DT134"/>
  <c r="DP159"/>
  <c r="FA15"/>
  <c r="BC138"/>
  <c r="P108"/>
  <c r="BI46"/>
  <c r="BK158"/>
  <c r="CK112"/>
  <c r="FV27"/>
  <c r="AS174"/>
  <c r="EJ130"/>
  <c r="EL128"/>
  <c r="EJ92"/>
  <c r="AG150"/>
  <c r="AB100"/>
  <c r="EO105"/>
  <c r="EQ19"/>
  <c r="CY170"/>
  <c r="FM69"/>
  <c r="O115"/>
  <c r="AD169"/>
  <c r="CB12"/>
  <c r="V152"/>
  <c r="BU50"/>
  <c r="X51"/>
  <c r="BG22"/>
  <c r="CB82"/>
  <c r="DS4"/>
  <c r="G85"/>
  <c r="EX103"/>
  <c r="CT25"/>
  <c r="EU164"/>
  <c r="I105"/>
  <c r="Q158"/>
  <c r="BA77"/>
  <c r="DT20"/>
  <c r="BX48"/>
  <c r="EK154"/>
  <c r="DP24"/>
  <c r="Y61"/>
  <c r="EJ115"/>
  <c r="DH122"/>
  <c r="I48"/>
  <c r="EW125"/>
  <c r="DQ97"/>
  <c r="I29"/>
  <c r="AT106"/>
  <c r="AY140"/>
  <c r="ES30"/>
  <c r="AV101"/>
  <c r="AQ170"/>
  <c r="CG124"/>
  <c r="BC59"/>
  <c r="CS31"/>
  <c r="FM20"/>
  <c r="DJ161"/>
  <c r="AE134"/>
  <c r="EH107"/>
  <c r="DQ15"/>
  <c r="CS6"/>
  <c r="FJ72"/>
  <c r="FN14"/>
  <c r="ET138"/>
  <c r="CY61"/>
  <c r="T130"/>
  <c r="CW120"/>
  <c r="BC46"/>
  <c r="FV11"/>
  <c r="CN105"/>
  <c r="AB80"/>
  <c r="AC58"/>
  <c r="BT62"/>
  <c r="BM75"/>
  <c r="DL111"/>
  <c r="DN144"/>
  <c r="BU170"/>
  <c r="CI19"/>
  <c r="AY125"/>
  <c r="AL122"/>
  <c r="E111"/>
  <c r="EY59"/>
  <c r="BS93"/>
  <c r="DZ142"/>
  <c r="EH178"/>
  <c r="EQ21"/>
  <c r="AZ55"/>
  <c r="DX145"/>
  <c r="BQ95"/>
  <c r="DX16"/>
  <c r="CO141"/>
  <c r="EY78"/>
  <c r="EV110"/>
  <c r="FH159"/>
  <c r="BW127"/>
  <c r="CB11"/>
  <c r="CA81"/>
  <c r="AV171"/>
  <c r="CV35"/>
  <c r="EU11"/>
  <c r="BF71"/>
  <c r="CY4"/>
  <c r="BQ15"/>
  <c r="FQ71"/>
  <c r="DJ100"/>
  <c r="CE58"/>
  <c r="FG89"/>
  <c r="EC32"/>
  <c r="DR153"/>
  <c r="FO118"/>
  <c r="FL65"/>
  <c r="EW166"/>
  <c r="BX67"/>
  <c r="BN93"/>
  <c r="EN164"/>
  <c r="EI115"/>
  <c r="BG129"/>
  <c r="BD47"/>
  <c r="B102"/>
  <c r="EU155"/>
  <c r="BP101"/>
  <c r="BI129"/>
  <c r="BM123"/>
  <c r="AW135"/>
  <c r="EF154"/>
  <c r="CO53"/>
  <c r="S12"/>
  <c r="F89"/>
  <c r="AP84"/>
  <c r="EH11"/>
  <c r="AU81"/>
  <c r="FD35"/>
  <c r="FJ122"/>
  <c r="EC56"/>
  <c r="BJ75"/>
  <c r="CY47"/>
  <c r="FL91"/>
  <c r="FE101"/>
  <c r="X84"/>
  <c r="EB36"/>
  <c r="C156"/>
  <c r="AQ175"/>
  <c r="DC5"/>
  <c r="CI45"/>
  <c r="CV81"/>
  <c r="DO171"/>
  <c r="DP113"/>
  <c r="EU40"/>
  <c r="AD25"/>
  <c r="D81"/>
  <c r="CD114"/>
  <c r="EN155"/>
  <c r="ET135"/>
  <c r="CL104"/>
  <c r="E47"/>
  <c r="FS40"/>
  <c r="DR47"/>
  <c r="AY176"/>
  <c r="AB175"/>
  <c r="FA18"/>
  <c r="FU166"/>
  <c r="DS171"/>
  <c r="DR135"/>
  <c r="FV22"/>
  <c r="BB158"/>
  <c r="ET46"/>
  <c r="FB73"/>
  <c r="FF151"/>
  <c r="DO142"/>
  <c r="DO174"/>
  <c r="FN9"/>
  <c r="FH9"/>
  <c r="G57"/>
  <c r="R35"/>
  <c r="DO165"/>
  <c r="U7"/>
  <c r="CH106"/>
  <c r="DS39"/>
  <c r="CM13"/>
  <c r="Q17"/>
  <c r="EX83"/>
  <c r="BR131"/>
  <c r="DB124"/>
  <c r="CM25"/>
  <c r="CN89"/>
  <c r="DT135"/>
  <c r="EU3"/>
  <c r="CV74"/>
  <c r="DG95"/>
  <c r="BF84"/>
  <c r="CK160"/>
  <c r="FS145"/>
  <c r="FC83"/>
  <c r="BG72"/>
  <c r="AC51"/>
  <c r="BS127"/>
  <c r="M103"/>
  <c r="AF22"/>
  <c r="AY150"/>
  <c r="CF130"/>
  <c r="FB23"/>
  <c r="BZ127"/>
  <c r="AS114"/>
  <c r="N48"/>
  <c r="I41"/>
  <c r="BF36"/>
  <c r="CL54"/>
  <c r="DO14"/>
  <c r="EO35"/>
  <c r="BF104"/>
  <c r="BF127"/>
  <c r="AY67"/>
  <c r="C88"/>
  <c r="EO173"/>
  <c r="AP3"/>
  <c r="DB94"/>
  <c r="FK164"/>
  <c r="DG67"/>
  <c r="FR157"/>
  <c r="FS158"/>
  <c r="DL77"/>
  <c r="FQ144"/>
  <c r="DD128"/>
  <c r="BT61"/>
  <c r="DG27"/>
  <c r="DW62"/>
  <c r="FJ63"/>
  <c r="AG110"/>
  <c r="ER107"/>
  <c r="H155"/>
  <c r="DI90"/>
  <c r="BF171"/>
  <c r="CV7"/>
  <c r="FH120"/>
  <c r="DM142"/>
  <c r="CT151"/>
  <c r="FH167"/>
  <c r="AH34"/>
  <c r="CH6"/>
  <c r="EP16"/>
  <c r="CJ44"/>
  <c r="DX48"/>
  <c r="EA83"/>
  <c r="AT14"/>
  <c r="M52"/>
  <c r="BU32"/>
  <c r="AO74"/>
  <c r="CK122"/>
  <c r="DF123"/>
  <c r="D85"/>
  <c r="FT66"/>
  <c r="FN124"/>
  <c r="DQ49"/>
  <c r="BQ112"/>
  <c r="K58"/>
  <c r="AP164"/>
  <c r="FS122"/>
  <c r="FK124"/>
  <c r="CK77"/>
  <c r="CX19"/>
  <c r="CH163"/>
  <c r="I36"/>
  <c r="BD103"/>
  <c r="FO151"/>
  <c r="AB106"/>
  <c r="AG144"/>
  <c r="BH168"/>
  <c r="EC131"/>
  <c r="CV109"/>
  <c r="EH164"/>
  <c r="CT49"/>
  <c r="W78"/>
  <c r="ED118"/>
  <c r="DV165"/>
  <c r="DK93"/>
  <c r="AZ95"/>
  <c r="DJ13"/>
  <c r="FT149"/>
  <c r="DA24"/>
  <c r="DV70"/>
  <c r="BZ44"/>
  <c r="DX3"/>
  <c r="EF137"/>
  <c r="J158"/>
  <c r="CI55"/>
  <c r="AV91"/>
  <c r="AI51"/>
  <c r="EJ28"/>
  <c r="X91"/>
  <c r="AB6"/>
  <c r="BU6"/>
  <c r="AW30"/>
  <c r="AM178"/>
  <c r="EF82"/>
  <c r="AK21"/>
  <c r="V28"/>
  <c r="FO130"/>
  <c r="BM91"/>
  <c r="FF71"/>
  <c r="DX106"/>
  <c r="EZ12"/>
  <c r="DT81"/>
  <c r="CA21"/>
  <c r="FH119"/>
  <c r="U22"/>
  <c r="BJ81"/>
  <c r="I114"/>
  <c r="AF118"/>
  <c r="DA139"/>
  <c r="DZ13"/>
  <c r="L27"/>
  <c r="FG67"/>
  <c r="DC155"/>
  <c r="W96"/>
  <c r="AY130"/>
  <c r="BS13"/>
  <c r="FL172"/>
  <c r="DZ23"/>
  <c r="EQ139"/>
  <c r="BJ11"/>
  <c r="EH160"/>
  <c r="BE140"/>
  <c r="EY63"/>
  <c r="DZ175"/>
  <c r="CJ41"/>
  <c r="CT153"/>
  <c r="EJ69"/>
  <c r="CX150"/>
  <c r="CE79"/>
  <c r="BI128"/>
  <c r="CY40"/>
  <c r="H163"/>
  <c r="ER165"/>
  <c r="FR18"/>
  <c r="Y17"/>
  <c r="X73"/>
  <c r="BE46"/>
  <c r="CZ126"/>
  <c r="DB12"/>
  <c r="EF21"/>
  <c r="CH155"/>
  <c r="DT69"/>
  <c r="BK163"/>
  <c r="AA24"/>
  <c r="BA99"/>
  <c r="FR33"/>
  <c r="EG3"/>
  <c r="AF170"/>
  <c r="AU86"/>
  <c r="CT92"/>
  <c r="DI84"/>
  <c r="FN178"/>
  <c r="FS19"/>
  <c r="CX32"/>
  <c r="AM105"/>
  <c r="BZ77"/>
  <c r="FM111"/>
  <c r="T22"/>
  <c r="CW57"/>
  <c r="FB88"/>
  <c r="BQ104"/>
  <c r="BX109"/>
  <c r="AU42"/>
  <c r="CR76"/>
  <c r="AZ172"/>
  <c r="DG112"/>
  <c r="BO5"/>
  <c r="AP7"/>
  <c r="CB115"/>
  <c r="Q14"/>
  <c r="BT131"/>
  <c r="S17"/>
  <c r="ES136"/>
  <c r="AJ92"/>
  <c r="DR50"/>
  <c r="BN119"/>
  <c r="EH24"/>
  <c r="DO140"/>
  <c r="CS54"/>
  <c r="FE42"/>
  <c r="L76"/>
  <c r="DQ131"/>
  <c r="DB39"/>
  <c r="CO153"/>
  <c r="BX110"/>
  <c r="EK129"/>
  <c r="CU126"/>
  <c r="CF89"/>
  <c r="CM169"/>
  <c r="BE58"/>
  <c r="AX102"/>
  <c r="EM16"/>
  <c r="FJ3"/>
  <c r="FV139"/>
  <c r="I123"/>
  <c r="AE99"/>
  <c r="AP124"/>
  <c r="CG121"/>
  <c r="FE61"/>
  <c r="FU136"/>
  <c r="AI55"/>
  <c r="DW79"/>
  <c r="DL176"/>
  <c r="EC11"/>
  <c r="FI74"/>
  <c r="U38"/>
  <c r="DE135"/>
  <c r="Z125"/>
  <c r="CL161"/>
  <c r="FV9"/>
  <c r="FR150"/>
  <c r="EW40"/>
  <c r="AS72"/>
  <c r="J152"/>
  <c r="EV169"/>
  <c r="AT41"/>
  <c r="FT166"/>
  <c r="DU91"/>
  <c r="N4"/>
  <c r="BL113"/>
  <c r="BD150"/>
  <c r="DG109"/>
  <c r="M31"/>
  <c r="AC9"/>
  <c r="BN13"/>
  <c r="FR156"/>
  <c r="AO65"/>
  <c r="AX50"/>
  <c r="FK122"/>
  <c r="EG105"/>
  <c r="I129"/>
  <c r="AF27"/>
  <c r="BG79"/>
  <c r="FP163"/>
  <c r="DP58"/>
  <c r="S178"/>
  <c r="DD155"/>
  <c r="G135"/>
  <c r="EW150"/>
  <c r="EF14"/>
  <c r="DL115"/>
  <c r="DG50"/>
  <c r="Y172"/>
  <c r="BR50"/>
  <c r="AU27"/>
  <c r="CV170"/>
  <c r="AC99"/>
  <c r="AJ12"/>
  <c r="FE74"/>
  <c r="T106"/>
  <c r="EA129"/>
  <c r="Z58"/>
  <c r="FV17"/>
  <c r="O39"/>
  <c r="BA72"/>
  <c r="AQ40"/>
  <c r="EL175"/>
  <c r="L56"/>
  <c r="BB68"/>
  <c r="EI90"/>
  <c r="EI49"/>
  <c r="EA163"/>
  <c r="CF20"/>
  <c r="CX73"/>
  <c r="EO60"/>
  <c r="CV108"/>
  <c r="EC98"/>
  <c r="DB68"/>
  <c r="AQ150"/>
  <c r="EK41"/>
  <c r="F78"/>
  <c r="BI139"/>
  <c r="DZ9"/>
  <c r="CI78"/>
  <c r="W71"/>
  <c r="CX172"/>
  <c r="P37"/>
  <c r="BZ153"/>
  <c r="T100"/>
  <c r="ED23"/>
  <c r="AA110"/>
  <c r="W7"/>
  <c r="AX177"/>
  <c r="BX94"/>
  <c r="ES60"/>
  <c r="DN112"/>
  <c r="CA157"/>
  <c r="AJ135"/>
  <c r="BV141"/>
  <c r="BL148"/>
  <c r="ES166"/>
  <c r="CO105"/>
  <c r="CL151"/>
  <c r="G96"/>
  <c r="BO3"/>
  <c r="DZ11"/>
  <c r="EK122"/>
  <c r="EE83"/>
  <c r="I11"/>
  <c r="CK89"/>
  <c r="EC21"/>
  <c r="P101"/>
  <c r="FV150"/>
  <c r="EO68"/>
  <c r="DW47"/>
  <c r="FO146"/>
  <c r="AT178"/>
  <c r="FU126"/>
  <c r="CH130"/>
  <c r="EQ169"/>
  <c r="FQ115"/>
  <c r="Y114"/>
  <c r="FH47"/>
  <c r="BO65"/>
  <c r="CW127"/>
  <c r="AQ96"/>
  <c r="BL82"/>
  <c r="BB70"/>
  <c r="DU137"/>
  <c r="EX90"/>
  <c r="BA19"/>
  <c r="BC87"/>
  <c r="FE94"/>
  <c r="R119"/>
  <c r="BN146"/>
  <c r="EP159"/>
  <c r="EW111"/>
  <c r="DW175"/>
  <c r="U71"/>
  <c r="AK108"/>
  <c r="AX12"/>
  <c r="AG141"/>
  <c r="CO36"/>
  <c r="CH36"/>
  <c r="G23"/>
  <c r="EA68"/>
  <c r="K82"/>
  <c r="FP38"/>
  <c r="FP66"/>
  <c r="CD49"/>
  <c r="DX122"/>
  <c r="I12"/>
  <c r="CI7"/>
  <c r="FR7"/>
  <c r="BD159"/>
  <c r="CP142"/>
  <c r="BV85"/>
  <c r="AJ164"/>
  <c r="FJ111"/>
  <c r="CH156"/>
  <c r="BC86"/>
  <c r="AK62"/>
  <c r="FQ146"/>
  <c r="H131"/>
  <c r="EP125"/>
  <c r="EY9"/>
  <c r="FR164"/>
  <c r="CE144"/>
  <c r="BI88"/>
  <c r="W15"/>
  <c r="DL157"/>
  <c r="BU93"/>
  <c r="AZ134"/>
  <c r="DB125"/>
  <c r="FB165"/>
  <c r="CC106"/>
  <c r="EM83"/>
  <c r="T28"/>
  <c r="BI125"/>
  <c r="CN34"/>
  <c r="FK119"/>
  <c r="AT50"/>
  <c r="AE65"/>
  <c r="DM136"/>
  <c r="V139"/>
  <c r="Y153"/>
  <c r="DF46"/>
  <c r="DP18"/>
  <c r="FV91"/>
  <c r="DO48"/>
  <c r="AM69"/>
  <c r="BV64"/>
  <c r="EZ26"/>
  <c r="AE59"/>
  <c r="BJ60"/>
  <c r="AE18"/>
  <c r="FB44"/>
  <c r="FV82"/>
  <c r="BI104"/>
  <c r="EI53"/>
  <c r="ED74"/>
  <c r="AV151"/>
  <c r="CU39"/>
  <c r="EE108"/>
  <c r="EC100"/>
  <c r="L49"/>
  <c r="DR95"/>
  <c r="BP145"/>
  <c r="BP80"/>
  <c r="CP89"/>
  <c r="EZ18"/>
  <c r="EU120"/>
  <c r="BO117"/>
  <c r="DP42"/>
  <c r="BS66"/>
  <c r="AM26"/>
  <c r="CF11"/>
  <c r="FC21"/>
  <c r="FR39"/>
  <c r="C14"/>
  <c r="DD77"/>
  <c r="AQ153"/>
  <c r="CT177"/>
  <c r="R24"/>
  <c r="AB4"/>
  <c r="AX131"/>
  <c r="AM163"/>
  <c r="AI86"/>
  <c r="DY150"/>
  <c r="Y117"/>
  <c r="E164"/>
  <c r="DH38"/>
  <c r="BB34"/>
  <c r="BV53"/>
  <c r="W133"/>
  <c r="AA51"/>
  <c r="Q89"/>
  <c r="EV86"/>
  <c r="CC121"/>
  <c r="AT150"/>
  <c r="AN102"/>
  <c r="K72"/>
  <c r="K140"/>
  <c r="AI56"/>
  <c r="EZ153"/>
  <c r="ER9"/>
  <c r="BJ65"/>
  <c r="DJ62"/>
  <c r="BQ87"/>
  <c r="BQ47"/>
  <c r="FV104"/>
  <c r="FR158"/>
  <c r="BK112"/>
  <c r="S42"/>
  <c r="FL165"/>
  <c r="CO79"/>
  <c r="CX57"/>
  <c r="DK41"/>
  <c r="ED11"/>
  <c r="AI169"/>
  <c r="EM47"/>
  <c r="EQ34"/>
  <c r="BY172"/>
  <c r="AM15"/>
  <c r="EG169"/>
  <c r="FT33"/>
  <c r="CE164"/>
  <c r="AZ136"/>
  <c r="ET15"/>
  <c r="DI105"/>
  <c r="AA37"/>
  <c r="AC78"/>
  <c r="EK34"/>
  <c r="AY142"/>
  <c r="CK58"/>
  <c r="B142"/>
  <c r="K112"/>
  <c r="FT113"/>
  <c r="DE88"/>
  <c r="FB33"/>
  <c r="DY73"/>
  <c r="BI54"/>
  <c r="DW94"/>
  <c r="BL160"/>
  <c r="CQ161"/>
  <c r="CB131"/>
  <c r="AH44"/>
  <c r="BC176"/>
  <c r="FQ54"/>
  <c r="BC60"/>
  <c r="DG127"/>
  <c r="FI130"/>
  <c r="AE12"/>
  <c r="FK35"/>
  <c r="Q147"/>
  <c r="AN90"/>
  <c r="BR113"/>
  <c r="DN32"/>
  <c r="G19"/>
  <c r="BD127"/>
  <c r="BD126"/>
  <c r="EW83"/>
  <c r="BN128"/>
  <c r="FU131"/>
  <c r="B5"/>
  <c r="FV89"/>
  <c r="CF85"/>
  <c r="EL133"/>
  <c r="CG168"/>
  <c r="EM166"/>
  <c r="CW50"/>
  <c r="BT28"/>
  <c r="BS47"/>
  <c r="CQ171"/>
  <c r="CP6"/>
  <c r="FM62"/>
  <c r="DG103"/>
  <c r="Z46"/>
  <c r="ER21"/>
  <c r="BS35"/>
  <c r="BT38"/>
  <c r="CJ70"/>
  <c r="N178"/>
  <c r="DC27"/>
  <c r="DB177"/>
  <c r="AV138"/>
  <c r="BA148"/>
  <c r="EV122"/>
  <c r="Z4"/>
  <c r="CS55"/>
  <c r="BS96"/>
  <c r="FV147"/>
  <c r="W12"/>
  <c r="AP134"/>
  <c r="CG60"/>
  <c r="FO82"/>
  <c r="K52"/>
  <c r="BN95"/>
  <c r="BQ120"/>
  <c r="O147"/>
  <c r="EC51"/>
  <c r="CU152"/>
  <c r="BP112"/>
  <c r="BW32"/>
  <c r="DF31"/>
  <c r="EZ110"/>
  <c r="CE14"/>
  <c r="CA77"/>
  <c r="C136"/>
  <c r="AC94"/>
  <c r="DO58"/>
  <c r="FP24"/>
  <c r="N169"/>
  <c r="S50"/>
  <c r="DG94"/>
  <c r="FH4"/>
  <c r="DW86"/>
  <c r="AX152"/>
  <c r="AV38"/>
  <c r="FE69"/>
  <c r="AX92"/>
  <c r="EA123"/>
  <c r="ET110"/>
  <c r="Q78"/>
  <c r="ET92"/>
  <c r="CC33"/>
  <c r="V177"/>
  <c r="M83"/>
  <c r="CX115"/>
  <c r="DM7"/>
  <c r="Q21"/>
  <c r="DE52"/>
  <c r="CE86"/>
  <c r="BX42"/>
  <c r="AW139"/>
  <c r="DU150"/>
  <c r="EH111"/>
  <c r="DG14"/>
  <c r="BR100"/>
  <c r="ED30"/>
  <c r="AA22"/>
  <c r="F102"/>
  <c r="U136"/>
  <c r="DD34"/>
  <c r="DH105"/>
  <c r="G177"/>
  <c r="DZ103"/>
  <c r="FS81"/>
  <c r="EA13"/>
  <c r="CB14"/>
  <c r="CD82"/>
  <c r="EI61"/>
  <c r="AQ13"/>
  <c r="AQ24"/>
  <c r="P126"/>
  <c r="AB131"/>
  <c r="BC56"/>
  <c r="DD135"/>
  <c r="FQ124"/>
  <c r="AE129"/>
  <c r="EJ117"/>
  <c r="CL4"/>
  <c r="DM74"/>
  <c r="CB69"/>
  <c r="FL138"/>
  <c r="K22"/>
  <c r="BH157"/>
  <c r="BQ40"/>
  <c r="BV3"/>
  <c r="EB103"/>
  <c r="DA64"/>
  <c r="DP16"/>
  <c r="BB35"/>
  <c r="AS146"/>
  <c r="DQ109"/>
  <c r="FE140"/>
  <c r="EP59"/>
  <c r="DB82"/>
  <c r="AQ159"/>
  <c r="EH124"/>
  <c r="BD142"/>
  <c r="AE172"/>
  <c r="DZ139"/>
  <c r="Z122"/>
  <c r="DE151"/>
  <c r="T153"/>
  <c r="CM74"/>
  <c r="X93"/>
  <c r="EF167"/>
  <c r="EV165"/>
  <c r="FT103"/>
  <c r="EB107"/>
  <c r="CU67"/>
  <c r="ER136"/>
  <c r="FD16"/>
  <c r="AC56"/>
  <c r="CN110"/>
  <c r="CL127"/>
  <c r="CL63"/>
  <c r="CG109"/>
  <c r="FU110"/>
  <c r="FS168"/>
  <c r="AM24"/>
  <c r="V4"/>
  <c r="EM85"/>
  <c r="S63"/>
  <c r="AI87"/>
  <c r="BV26"/>
  <c r="CW171"/>
  <c r="EW177"/>
  <c r="DC140"/>
  <c r="CS33"/>
  <c r="AB75"/>
  <c r="F50"/>
  <c r="J29"/>
  <c r="CT172"/>
  <c r="AC90"/>
  <c r="DM144"/>
  <c r="DV34"/>
  <c r="CY67"/>
  <c r="EF52"/>
  <c r="EP27"/>
  <c r="FG56"/>
  <c r="BC33"/>
  <c r="FT71"/>
  <c r="P22"/>
  <c r="EH119"/>
  <c r="AI131"/>
  <c r="BT96"/>
  <c r="FC112"/>
  <c r="CK128"/>
  <c r="G30"/>
  <c r="DY131"/>
  <c r="EN75"/>
  <c r="CP71"/>
  <c r="CC166"/>
  <c r="CE131"/>
  <c r="S13"/>
  <c r="R109"/>
  <c r="AI160"/>
  <c r="C113"/>
  <c r="BD112"/>
  <c r="AU63"/>
  <c r="AA56"/>
  <c r="BH107"/>
  <c r="P45"/>
  <c r="I170"/>
  <c r="CU25"/>
  <c r="AF32"/>
  <c r="AU102"/>
  <c r="CQ21"/>
  <c r="AY62"/>
  <c r="DG135"/>
  <c r="DK149"/>
  <c r="CX175"/>
  <c r="CZ46"/>
  <c r="CZ110"/>
  <c r="EN24"/>
  <c r="CY75"/>
  <c r="Z35"/>
  <c r="AK139"/>
  <c r="BO114"/>
  <c r="CY129"/>
  <c r="FM70"/>
  <c r="AJ65"/>
  <c r="EU19"/>
  <c r="DW22"/>
  <c r="FH162"/>
  <c r="B106"/>
  <c r="EI126"/>
  <c r="AF85"/>
  <c r="DC48"/>
  <c r="AW116"/>
  <c r="AH123"/>
  <c r="ES110"/>
  <c r="EM34"/>
  <c r="FJ177"/>
  <c r="FU62"/>
  <c r="D60"/>
  <c r="EK124"/>
  <c r="U165"/>
  <c r="BO129"/>
  <c r="AR74"/>
  <c r="FL75"/>
  <c r="AP123"/>
  <c r="ED138"/>
  <c r="AA165"/>
  <c r="ET65"/>
  <c r="CY160"/>
  <c r="H142"/>
  <c r="CQ86"/>
  <c r="CR60"/>
  <c r="FV5"/>
  <c r="DM44"/>
  <c r="FJ172"/>
  <c r="DQ64"/>
  <c r="CW61"/>
  <c r="AC96"/>
  <c r="CL60"/>
  <c r="DB53"/>
  <c r="CO66"/>
  <c r="FJ105"/>
  <c r="U148"/>
  <c r="ET119"/>
  <c r="BY144"/>
  <c r="DR43"/>
  <c r="Z157"/>
  <c r="BK137"/>
  <c r="EH157"/>
  <c r="EQ18"/>
  <c r="FC143"/>
  <c r="FG12"/>
  <c r="DJ109"/>
  <c r="DX169"/>
  <c r="EU110"/>
  <c r="BM170"/>
  <c r="CU40"/>
  <c r="AR36"/>
  <c r="EJ123"/>
  <c r="CU160"/>
  <c r="FM168"/>
  <c r="CU6"/>
  <c r="ED85"/>
  <c r="BG84"/>
  <c r="ET91"/>
  <c r="ED96"/>
  <c r="FQ41"/>
  <c r="DC127"/>
  <c r="BI149"/>
  <c r="CU87"/>
  <c r="DI101"/>
  <c r="EH108"/>
  <c r="FO77"/>
  <c r="ET17"/>
  <c r="CD172"/>
  <c r="FC116"/>
  <c r="AV94"/>
  <c r="Q120"/>
  <c r="M29"/>
  <c r="DV138"/>
  <c r="FC169"/>
  <c r="BF14"/>
  <c r="CB157"/>
  <c r="BF152"/>
  <c r="FP97"/>
  <c r="AE173"/>
  <c r="AE110"/>
  <c r="AR68"/>
  <c r="EG100"/>
  <c r="AC175"/>
  <c r="DC148"/>
  <c r="AS95"/>
  <c r="DV101"/>
  <c r="BU56"/>
  <c r="DC6"/>
  <c r="DU53"/>
  <c r="C126"/>
  <c r="DL148"/>
  <c r="Q80"/>
  <c r="FS17"/>
  <c r="AR57"/>
  <c r="DE115"/>
  <c r="AA78"/>
  <c r="Z85"/>
  <c r="DX175"/>
  <c r="DZ153"/>
  <c r="U40"/>
  <c r="R51"/>
  <c r="CZ25"/>
  <c r="CD2"/>
  <c r="BB18"/>
  <c r="AK119"/>
  <c r="EZ44"/>
  <c r="Y154"/>
  <c r="D135"/>
  <c r="BX53"/>
  <c r="CI26"/>
  <c r="CB68"/>
  <c r="AK99"/>
  <c r="BN2"/>
  <c r="DF148"/>
  <c r="DB169"/>
  <c r="FI37"/>
  <c r="EU23"/>
  <c r="CE112"/>
  <c r="AL150"/>
  <c r="FC174"/>
  <c r="AP38"/>
  <c r="AW26"/>
  <c r="FN63"/>
  <c r="X117"/>
  <c r="DM9"/>
  <c r="AA142"/>
  <c r="BS150"/>
  <c r="CT32"/>
  <c r="AC161"/>
  <c r="B76"/>
  <c r="EU104"/>
  <c r="FA30"/>
  <c r="BD59"/>
  <c r="CE9"/>
  <c r="BP55"/>
  <c r="F138"/>
  <c r="BF102"/>
  <c r="DY170"/>
  <c r="DJ176"/>
  <c r="CT98"/>
  <c r="BS169"/>
  <c r="AY154"/>
  <c r="CL81"/>
  <c r="BT59"/>
  <c r="EZ100"/>
  <c r="CZ156"/>
  <c r="AY175"/>
  <c r="B176"/>
  <c r="CL88"/>
  <c r="BX165"/>
  <c r="CY90"/>
  <c r="CG20"/>
  <c r="DP90"/>
  <c r="C176"/>
  <c r="FG11"/>
  <c r="BJ25"/>
  <c r="AC159"/>
  <c r="CD93"/>
  <c r="CE20"/>
  <c r="DL97"/>
  <c r="AY17"/>
  <c r="AB9"/>
  <c r="CB168"/>
  <c r="CN28"/>
  <c r="AF169"/>
  <c r="N108"/>
  <c r="AM132"/>
  <c r="BI68"/>
  <c r="FI63"/>
  <c r="CP4"/>
  <c r="DQ14"/>
  <c r="B10"/>
  <c r="DU29"/>
  <c r="AO167"/>
  <c r="CF14"/>
  <c r="DX112"/>
  <c r="S10"/>
  <c r="AT120"/>
  <c r="FS7"/>
  <c r="BT49"/>
  <c r="AU132"/>
  <c r="DA84"/>
  <c r="FV34"/>
  <c r="AG170"/>
  <c r="FH57"/>
  <c r="EZ145"/>
  <c r="DH155"/>
  <c r="BY162"/>
  <c r="CV2"/>
  <c r="EY69"/>
  <c r="BC126"/>
  <c r="P53"/>
  <c r="CL27"/>
  <c r="BI85"/>
  <c r="AV152"/>
  <c r="EY90"/>
  <c r="AS56"/>
  <c r="AU157"/>
  <c r="FK137"/>
  <c r="W153"/>
  <c r="BH105"/>
  <c r="AU16"/>
  <c r="E70"/>
  <c r="DI86"/>
  <c r="EG99"/>
  <c r="BU12"/>
  <c r="BM168"/>
  <c r="AR78"/>
  <c r="EF71"/>
  <c r="AL145"/>
  <c r="F11"/>
  <c r="CG17"/>
  <c r="EK17"/>
  <c r="AP89"/>
  <c r="CV153"/>
  <c r="AZ99"/>
  <c r="FF136"/>
  <c r="BO52"/>
  <c r="O67"/>
  <c r="FE173"/>
  <c r="BP117"/>
  <c r="CA175"/>
  <c r="EW118"/>
  <c r="AW63"/>
  <c r="Q111"/>
  <c r="DI11"/>
  <c r="DM123"/>
  <c r="AH171"/>
  <c r="AV59"/>
  <c r="FT142"/>
  <c r="AZ76"/>
  <c r="FD47"/>
  <c r="FU135"/>
  <c r="CJ31"/>
  <c r="R70"/>
  <c r="L45"/>
  <c r="T155"/>
  <c r="CP86"/>
  <c r="CZ108"/>
  <c r="EX49"/>
  <c r="CH111"/>
  <c r="FM74"/>
  <c r="I97"/>
  <c r="EI46"/>
  <c r="DG82"/>
  <c r="AK47"/>
  <c r="EY157"/>
  <c r="W123"/>
  <c r="AI20"/>
  <c r="FA65"/>
  <c r="U17"/>
  <c r="ED27"/>
  <c r="AX44"/>
  <c r="EI57"/>
  <c r="EX59"/>
  <c r="BU17"/>
  <c r="Z55"/>
  <c r="DP111"/>
  <c r="BO75"/>
  <c r="FD52"/>
  <c r="BV54"/>
  <c r="Z44"/>
  <c r="ES47"/>
  <c r="CH129"/>
  <c r="BA40"/>
  <c r="CY103"/>
  <c r="BN89"/>
  <c r="AO46"/>
  <c r="V88"/>
  <c r="DA111"/>
  <c r="AG56"/>
  <c r="CT37"/>
  <c r="BC118"/>
  <c r="FQ60"/>
  <c r="X37"/>
  <c r="DS111"/>
  <c r="BH79"/>
  <c r="CY30"/>
  <c r="DS78"/>
  <c r="BN20"/>
  <c r="ES42"/>
  <c r="DO17"/>
  <c r="BF161"/>
  <c r="CA119"/>
  <c r="CI111"/>
  <c r="BK166"/>
  <c r="FO24"/>
  <c r="K115"/>
  <c r="BL58"/>
  <c r="EA154"/>
  <c r="AI102"/>
  <c r="CL94"/>
  <c r="CR44"/>
  <c r="CY114"/>
  <c r="FL28"/>
  <c r="CS67"/>
  <c r="FL134"/>
  <c r="ET26"/>
  <c r="CM118"/>
  <c r="EA111"/>
  <c r="EJ107"/>
  <c r="G80"/>
  <c r="CF64"/>
  <c r="BP104"/>
  <c r="AI96"/>
  <c r="AN171"/>
  <c r="DF93"/>
  <c r="FG152"/>
  <c r="BF72"/>
  <c r="DD31"/>
  <c r="BS27"/>
  <c r="EP168"/>
  <c r="BI111"/>
  <c r="BJ40"/>
  <c r="AB14"/>
  <c r="BG177"/>
  <c r="DM99"/>
  <c r="CJ46"/>
  <c r="J178"/>
  <c r="DG36"/>
  <c r="DK42"/>
  <c r="N25"/>
  <c r="EP99"/>
  <c r="FL63"/>
  <c r="EB109"/>
  <c r="AP71"/>
  <c r="CT127"/>
  <c r="AM44"/>
  <c r="BT6"/>
  <c r="EC19"/>
  <c r="CW148"/>
  <c r="AO170"/>
  <c r="FQ44"/>
  <c r="CI156"/>
  <c r="FT40"/>
  <c r="FM127"/>
  <c r="CM162"/>
  <c r="W58"/>
  <c r="DV50"/>
  <c r="AY26"/>
  <c r="AH172"/>
  <c r="AC88"/>
  <c r="BQ86"/>
  <c r="CV126"/>
  <c r="EU170"/>
  <c r="AT75"/>
  <c r="BO147"/>
  <c r="Y120"/>
  <c r="D6"/>
  <c r="DD176"/>
  <c r="DM160"/>
  <c r="C109"/>
  <c r="AU74"/>
  <c r="AW123"/>
  <c r="EY141"/>
  <c r="FN82"/>
  <c r="BC18"/>
  <c r="CD35"/>
  <c r="ET158"/>
  <c r="T4"/>
  <c r="AG140"/>
  <c r="Q114"/>
  <c r="CQ85"/>
  <c r="EU58"/>
  <c r="EO111"/>
  <c r="EC167"/>
  <c r="AO172"/>
  <c r="FP25"/>
  <c r="FK14"/>
  <c r="E36"/>
  <c r="AL17"/>
  <c r="CJ122"/>
  <c r="BU27"/>
  <c r="EK46"/>
  <c r="BB136"/>
  <c r="ES93"/>
  <c r="C89"/>
  <c r="DI58"/>
  <c r="FB91"/>
  <c r="EX92"/>
  <c r="DA152"/>
  <c r="CO131"/>
  <c r="BD6"/>
  <c r="DI43"/>
  <c r="CG84"/>
  <c r="DZ119"/>
  <c r="CU119"/>
  <c r="EA100"/>
  <c r="AK6"/>
  <c r="AO131"/>
  <c r="DB160"/>
  <c r="FN84"/>
  <c r="DD170"/>
  <c r="T48"/>
  <c r="FJ50"/>
  <c r="CU22"/>
  <c r="DM66"/>
  <c r="EY39"/>
  <c r="CV6"/>
  <c r="BE65"/>
  <c r="CP9"/>
  <c r="AZ154"/>
  <c r="P167"/>
  <c r="EG47"/>
  <c r="CF175"/>
  <c r="N168"/>
  <c r="DS145"/>
  <c r="EP60"/>
  <c r="FU52"/>
  <c r="AJ32"/>
  <c r="BZ17"/>
  <c r="EX150"/>
  <c r="DO69"/>
  <c r="ED97"/>
  <c r="FO147"/>
  <c r="O134"/>
  <c r="CB51"/>
  <c r="E166"/>
  <c r="AL50"/>
  <c r="FA29"/>
  <c r="DN165"/>
  <c r="EC50"/>
  <c r="FE163"/>
  <c r="BE156"/>
  <c r="EM92"/>
  <c r="AW76"/>
  <c r="FS41"/>
  <c r="BB149"/>
  <c r="CN120"/>
  <c r="AF156"/>
  <c r="ES77"/>
  <c r="FN112"/>
  <c r="BC148"/>
  <c r="FA20"/>
  <c r="T111"/>
  <c r="FV78"/>
  <c r="L5"/>
  <c r="FJ21"/>
  <c r="FE88"/>
  <c r="CL129"/>
  <c r="EI71"/>
  <c r="BJ52"/>
  <c r="AZ110"/>
  <c r="AN159"/>
  <c r="CM170"/>
  <c r="EO37"/>
  <c r="FT110"/>
  <c r="AM47"/>
  <c r="EI67"/>
  <c r="BI83"/>
  <c r="B38"/>
  <c r="BP116"/>
  <c r="CU116"/>
  <c r="BH44"/>
  <c r="BZ156"/>
  <c r="CI142"/>
  <c r="AP60"/>
  <c r="I169"/>
  <c r="U88"/>
  <c r="Y142"/>
  <c r="FJ28"/>
  <c r="EX126"/>
  <c r="DW10"/>
  <c r="FR71"/>
  <c r="DE144"/>
  <c r="J113"/>
  <c r="K154"/>
  <c r="AF157"/>
  <c r="AL106"/>
  <c r="G126"/>
  <c r="BX83"/>
  <c r="FT6"/>
  <c r="BB115"/>
  <c r="BO27"/>
  <c r="BR49"/>
  <c r="DX5"/>
  <c r="E55"/>
  <c r="AX107"/>
  <c r="BZ35"/>
  <c r="D40"/>
  <c r="CM63"/>
  <c r="EP83"/>
  <c r="W80"/>
  <c r="X12"/>
  <c r="FL82"/>
  <c r="BZ115"/>
  <c r="FJ170"/>
  <c r="CZ63"/>
  <c r="FO2"/>
  <c r="AC127"/>
  <c r="R161"/>
  <c r="FP68"/>
  <c r="CA38"/>
  <c r="BO79"/>
  <c r="CP77"/>
  <c r="CJ68"/>
  <c r="BE101"/>
  <c r="DQ110"/>
  <c r="BH138"/>
  <c r="ES57"/>
  <c r="CZ130"/>
  <c r="EZ141"/>
  <c r="CJ158"/>
  <c r="ES107"/>
  <c r="AX130"/>
  <c r="AE91"/>
  <c r="DY70"/>
  <c r="AH153"/>
  <c r="CN85"/>
  <c r="AG102"/>
  <c r="FR66"/>
  <c r="DF139"/>
  <c r="AQ33"/>
  <c r="FE96"/>
  <c r="AQ15"/>
  <c r="V120"/>
  <c r="FR15"/>
  <c r="CF2"/>
  <c r="EU72"/>
  <c r="FS71"/>
  <c r="DP178"/>
  <c r="FB63"/>
  <c r="EQ105"/>
  <c r="BJ16"/>
  <c r="DI64"/>
  <c r="BX19"/>
  <c r="EI135"/>
  <c r="H116"/>
  <c r="CL144"/>
  <c r="CW85"/>
  <c r="E118"/>
  <c r="EQ109"/>
  <c r="CD161"/>
  <c r="CN108"/>
  <c r="F155"/>
  <c r="CR6"/>
  <c r="BS118"/>
  <c r="U114"/>
  <c r="CX40"/>
  <c r="AC10"/>
  <c r="EU95"/>
  <c r="T65"/>
  <c r="FN35"/>
  <c r="CB122"/>
  <c r="EO124"/>
  <c r="DW112"/>
  <c r="AS158"/>
  <c r="I49"/>
  <c r="CL157"/>
  <c r="H23"/>
  <c r="AJ176"/>
  <c r="AE98"/>
  <c r="U76"/>
  <c r="BG20"/>
  <c r="FC172"/>
  <c r="CX35"/>
  <c r="BO95"/>
  <c r="CU123"/>
  <c r="DQ176"/>
  <c r="BB24"/>
  <c r="CO33"/>
  <c r="DJ56"/>
  <c r="CO44"/>
  <c r="DE13"/>
  <c r="EP157"/>
  <c r="ED155"/>
  <c r="BR19"/>
  <c r="AB46"/>
  <c r="DT3"/>
  <c r="Z13"/>
  <c r="AQ176"/>
  <c r="BU164"/>
  <c r="DI91"/>
  <c r="DH17"/>
  <c r="BM71"/>
  <c r="EA97"/>
  <c r="DB73"/>
  <c r="FS150"/>
  <c r="EN117"/>
  <c r="EP31"/>
  <c r="P73"/>
  <c r="AJ77"/>
  <c r="DS146"/>
  <c r="BI53"/>
  <c r="FN115"/>
  <c r="FK50"/>
  <c r="AD89"/>
  <c r="BZ178"/>
  <c r="CX100"/>
  <c r="AY95"/>
  <c r="DV141"/>
  <c r="DD159"/>
  <c r="BS72"/>
  <c r="AQ11"/>
  <c r="EQ119"/>
  <c r="FC153"/>
  <c r="F170"/>
  <c r="FH124"/>
  <c r="BJ63"/>
  <c r="AG154"/>
  <c r="DE4"/>
  <c r="CL119"/>
  <c r="BB22"/>
  <c r="BO104"/>
  <c r="DX96"/>
  <c r="J108"/>
  <c r="AM32"/>
  <c r="DJ125"/>
  <c r="EH168"/>
  <c r="DQ118"/>
  <c r="EI164"/>
  <c r="AN137"/>
  <c r="DC132"/>
  <c r="CY84"/>
  <c r="CC171"/>
  <c r="DC161"/>
  <c r="CX92"/>
  <c r="BY137"/>
  <c r="B149"/>
  <c r="BR166"/>
  <c r="F100"/>
  <c r="CF97"/>
  <c r="C3"/>
  <c r="DL43"/>
  <c r="ER144"/>
  <c r="CK59"/>
  <c r="I152"/>
  <c r="BR134"/>
  <c r="DX59"/>
  <c r="CM16"/>
  <c r="FS57"/>
  <c r="CP109"/>
  <c r="CC68"/>
  <c r="AP139"/>
  <c r="H30"/>
  <c r="DI55"/>
  <c r="DK152"/>
  <c r="BA16"/>
  <c r="CT80"/>
  <c r="CE21"/>
  <c r="T138"/>
  <c r="EB96"/>
  <c r="BZ31"/>
  <c r="AK157"/>
  <c r="BF147"/>
  <c r="AH37"/>
  <c r="FP11"/>
  <c r="EY124"/>
  <c r="BG105"/>
  <c r="CK46"/>
  <c r="BD108"/>
  <c r="DY45"/>
  <c r="BA152"/>
  <c r="EQ85"/>
  <c r="FN167"/>
  <c r="FC170"/>
  <c r="CF9"/>
  <c r="CB43"/>
  <c r="CO63"/>
  <c r="CL114"/>
  <c r="DS36"/>
  <c r="BR126"/>
  <c r="AK12"/>
  <c r="AJ49"/>
  <c r="BB163"/>
  <c r="BV76"/>
  <c r="FK127"/>
  <c r="DN65"/>
  <c r="DD12"/>
  <c r="FO140"/>
  <c r="EE160"/>
  <c r="BG16"/>
  <c r="AI16"/>
  <c r="DJ29"/>
  <c r="EZ15"/>
  <c r="BR16"/>
  <c r="DT152"/>
  <c r="BF45"/>
  <c r="DY137"/>
  <c r="K107"/>
  <c r="W65"/>
  <c r="L88"/>
  <c r="BB26"/>
  <c r="AD72"/>
  <c r="EI131"/>
  <c r="DE110"/>
  <c r="DL172"/>
  <c r="W140"/>
  <c r="AB172"/>
  <c r="BY149"/>
  <c r="DO30"/>
  <c r="DU125"/>
  <c r="C26"/>
  <c r="DN117"/>
  <c r="EW155"/>
  <c r="EY24"/>
  <c r="AL156"/>
  <c r="AI35"/>
  <c r="BZ148"/>
  <c r="AL13"/>
  <c r="AD123"/>
  <c r="EG164"/>
  <c r="BB150"/>
  <c r="BM138"/>
  <c r="EO145"/>
  <c r="N156"/>
  <c r="DE129"/>
  <c r="FV73"/>
  <c r="EM80"/>
  <c r="M151"/>
  <c r="EC118"/>
  <c r="BV134"/>
  <c r="AT91"/>
  <c r="DK89"/>
  <c r="DT34"/>
  <c r="BR29"/>
  <c r="FC142"/>
  <c r="DA57"/>
  <c r="FP152"/>
  <c r="B25"/>
  <c r="CO11"/>
  <c r="FG94"/>
  <c r="EV66"/>
  <c r="DN36"/>
  <c r="FG145"/>
  <c r="DI37"/>
  <c r="EZ33"/>
  <c r="CV80"/>
  <c r="FL2"/>
  <c r="BC161"/>
  <c r="CR89"/>
  <c r="CL139"/>
  <c r="DL19"/>
  <c r="BW71"/>
  <c r="CR135"/>
  <c r="DM51"/>
  <c r="S33"/>
  <c r="EN116"/>
  <c r="BQ160"/>
  <c r="CQ20"/>
  <c r="CV173"/>
  <c r="DO12"/>
  <c r="FG158"/>
  <c r="CX46"/>
  <c r="AV68"/>
  <c r="CM155"/>
  <c r="FB139"/>
  <c r="DN103"/>
  <c r="AL119"/>
  <c r="BS89"/>
  <c r="BD44"/>
  <c r="R64"/>
  <c r="P93"/>
  <c r="Q151"/>
  <c r="BW178"/>
  <c r="FP51"/>
  <c r="EQ57"/>
  <c r="DT98"/>
  <c r="AM175"/>
  <c r="CG11"/>
  <c r="FO162"/>
  <c r="EL8"/>
  <c r="CP21"/>
  <c r="FB148"/>
  <c r="AX32"/>
  <c r="CA96"/>
  <c r="DA16"/>
  <c r="EW20"/>
  <c r="T97"/>
  <c r="DR116"/>
  <c r="EV69"/>
  <c r="DU154"/>
  <c r="FS167"/>
  <c r="EP169"/>
  <c r="DO27"/>
  <c r="FO97"/>
  <c r="FV62"/>
  <c r="FD63"/>
  <c r="DG145"/>
  <c r="EN103"/>
  <c r="O85"/>
  <c r="CI136"/>
  <c r="CX71"/>
  <c r="DP117"/>
  <c r="AR73"/>
  <c r="U124"/>
  <c r="BQ7"/>
  <c r="AX106"/>
  <c r="CV96"/>
  <c r="DV33"/>
  <c r="DI44"/>
  <c r="DT21"/>
  <c r="O33"/>
  <c r="FC156"/>
  <c r="FN62"/>
  <c r="M158"/>
  <c r="R93"/>
  <c r="BP138"/>
  <c r="FK115"/>
  <c r="ER168"/>
  <c r="EC52"/>
  <c r="S103"/>
  <c r="ER156"/>
  <c r="CB91"/>
  <c r="Y100"/>
  <c r="EK115"/>
  <c r="DU60"/>
  <c r="CG111"/>
  <c r="CX81"/>
  <c r="U134"/>
  <c r="CF92"/>
  <c r="BX169"/>
  <c r="DS92"/>
  <c r="EF165"/>
  <c r="AG107"/>
  <c r="CE75"/>
  <c r="EM72"/>
  <c r="EY140"/>
  <c r="DS90"/>
  <c r="CP138"/>
  <c r="B72"/>
  <c r="L47"/>
  <c r="AJ115"/>
  <c r="EJ52"/>
  <c r="L59"/>
  <c r="EJ159"/>
  <c r="FS65"/>
  <c r="G149"/>
  <c r="N50"/>
  <c r="R71"/>
  <c r="DI16"/>
  <c r="V155"/>
  <c r="AH163"/>
  <c r="FQ162"/>
  <c r="FU39"/>
  <c r="FH150"/>
  <c r="EI68"/>
  <c r="AV25"/>
  <c r="DB132"/>
  <c r="R74"/>
  <c r="DY146"/>
  <c r="V26"/>
  <c r="BS124"/>
  <c r="EQ47"/>
  <c r="DS152"/>
  <c r="BS74"/>
  <c r="B58"/>
  <c r="EJ178"/>
  <c r="AU114"/>
  <c r="DW97"/>
  <c r="BO88"/>
  <c r="CQ48"/>
  <c r="DX34"/>
  <c r="AK155"/>
  <c r="EY32"/>
  <c r="BP2"/>
  <c r="R10"/>
  <c r="FM115"/>
  <c r="W31"/>
  <c r="Y58"/>
  <c r="DR46"/>
  <c r="DS70"/>
  <c r="O15"/>
  <c r="CO8"/>
  <c r="DN105"/>
  <c r="CL49"/>
  <c r="CE114"/>
  <c r="AL162"/>
  <c r="FO3"/>
  <c r="BA128"/>
  <c r="DR113"/>
  <c r="EN107"/>
  <c r="CP47"/>
  <c r="AD145"/>
  <c r="EL102"/>
  <c r="CY57"/>
  <c r="BI174"/>
  <c r="H149"/>
  <c r="CZ154"/>
  <c r="DL108"/>
  <c r="EI62"/>
  <c r="EL96"/>
  <c r="AZ152"/>
  <c r="DY66"/>
  <c r="FJ144"/>
  <c r="CH50"/>
  <c r="L23"/>
  <c r="FO85"/>
  <c r="BB142"/>
  <c r="O30"/>
  <c r="FK178"/>
  <c r="BN87"/>
  <c r="BF156"/>
  <c r="BL88"/>
  <c r="P35"/>
  <c r="E16"/>
  <c r="Q30"/>
  <c r="CK100"/>
  <c r="AH11"/>
  <c r="DO76"/>
  <c r="ET105"/>
  <c r="FR49"/>
  <c r="DI34"/>
  <c r="DL12"/>
  <c r="DT131"/>
  <c r="AG3"/>
  <c r="CV70"/>
  <c r="DF146"/>
  <c r="DL107"/>
  <c r="FP35"/>
  <c r="P9"/>
  <c r="CE153"/>
  <c r="V64"/>
  <c r="BC143"/>
  <c r="FB32"/>
  <c r="DX158"/>
  <c r="FG169"/>
  <c r="CL175"/>
  <c r="AG121"/>
  <c r="BL121"/>
  <c r="FB57"/>
  <c r="G115"/>
  <c r="DU131"/>
  <c r="CN162"/>
  <c r="S47"/>
  <c r="I83"/>
  <c r="EN12"/>
  <c r="AH168"/>
  <c r="CG101"/>
  <c r="W21"/>
  <c r="D97"/>
  <c r="AB40"/>
  <c r="DE34"/>
  <c r="FU101"/>
  <c r="BR140"/>
  <c r="EL69"/>
  <c r="FC163"/>
  <c r="AH28"/>
  <c r="AU112"/>
  <c r="EN115"/>
  <c r="CP162"/>
  <c r="DF51"/>
  <c r="AR170"/>
  <c r="FC105"/>
  <c r="AW41"/>
  <c r="BK172"/>
  <c r="BQ31"/>
  <c r="AU72"/>
  <c r="AW98"/>
  <c r="CW139"/>
  <c r="FT16"/>
  <c r="DM19"/>
  <c r="AZ13"/>
  <c r="CU127"/>
  <c r="CS148"/>
  <c r="FF177"/>
  <c r="EF87"/>
  <c r="EU46"/>
  <c r="BK93"/>
  <c r="CB110"/>
  <c r="AG118"/>
  <c r="FK133"/>
  <c r="BN71"/>
  <c r="BD85"/>
  <c r="EJ153"/>
  <c r="FE130"/>
  <c r="AM154"/>
  <c r="FP123"/>
  <c r="EK77"/>
  <c r="BN88"/>
  <c r="BG112"/>
  <c r="BI112"/>
  <c r="CA11"/>
  <c r="CZ120"/>
  <c r="AL133"/>
  <c r="G93"/>
  <c r="I17"/>
  <c r="AK92"/>
  <c r="DS30"/>
  <c r="AI176"/>
  <c r="CO49"/>
  <c r="EV27"/>
  <c r="CB139"/>
  <c r="AH100"/>
  <c r="DH60"/>
  <c r="DI146"/>
  <c r="BB39"/>
  <c r="CX135"/>
  <c r="DI25"/>
  <c r="CO108"/>
  <c r="FG88"/>
  <c r="CZ157"/>
  <c r="AO93"/>
  <c r="AA66"/>
  <c r="BQ105"/>
  <c r="DQ142"/>
  <c r="BM113"/>
  <c r="BO97"/>
  <c r="DZ127"/>
  <c r="J27"/>
  <c r="FB71"/>
  <c r="EP23"/>
  <c r="BH102"/>
  <c r="FF104"/>
  <c r="CA23"/>
  <c r="EM134"/>
  <c r="DW149"/>
  <c r="EU12"/>
  <c r="FK147"/>
  <c r="X25"/>
  <c r="AJ61"/>
  <c r="T143"/>
  <c r="FB163"/>
  <c r="DU168"/>
  <c r="FJ59"/>
  <c r="AG106"/>
  <c r="BE104"/>
  <c r="BQ54"/>
  <c r="CY118"/>
  <c r="CD54"/>
  <c r="DT169"/>
  <c r="EN73"/>
  <c r="FN67"/>
  <c r="BN44"/>
  <c r="DY88"/>
  <c r="CY76"/>
  <c r="G127"/>
  <c r="B117"/>
  <c r="CQ103"/>
  <c r="DM105"/>
  <c r="CG135"/>
  <c r="BP56"/>
  <c r="EE101"/>
  <c r="EU111"/>
  <c r="D163"/>
  <c r="AJ120"/>
  <c r="AQ58"/>
  <c r="CB71"/>
  <c r="BY133"/>
  <c r="CM128"/>
  <c r="CM160"/>
  <c r="BF22"/>
  <c r="FH6"/>
  <c r="FJ74"/>
  <c r="FD170"/>
  <c r="AT13"/>
  <c r="BL138"/>
  <c r="CW166"/>
  <c r="FJ82"/>
  <c r="EY25"/>
  <c r="AI75"/>
  <c r="FD76"/>
  <c r="AQ57"/>
  <c r="FA133"/>
  <c r="FE129"/>
  <c r="BR35"/>
  <c r="CS26"/>
  <c r="AR94"/>
  <c r="BG12"/>
  <c r="BN91"/>
  <c r="Y87"/>
  <c r="FP69"/>
  <c r="DM167"/>
  <c r="BK94"/>
  <c r="EJ132"/>
  <c r="EM157"/>
  <c r="CL146"/>
  <c r="DW32"/>
  <c r="R5"/>
  <c r="B82"/>
  <c r="DW135"/>
  <c r="DX84"/>
  <c r="R163"/>
  <c r="DN172"/>
  <c r="CY23"/>
  <c r="DC22"/>
  <c r="DJ39"/>
  <c r="DY67"/>
  <c r="BH112"/>
  <c r="ER81"/>
  <c r="BX141"/>
  <c r="BN39"/>
  <c r="FK57"/>
  <c r="CK12"/>
  <c r="CM122"/>
  <c r="CN143"/>
  <c r="AN177"/>
  <c r="BP121"/>
  <c r="I117"/>
  <c r="DX12"/>
  <c r="FD172"/>
  <c r="BK162"/>
  <c r="AZ107"/>
  <c r="FK97"/>
  <c r="EX37"/>
  <c r="BF137"/>
  <c r="FJ43"/>
  <c r="N42"/>
  <c r="AA141"/>
  <c r="DI108"/>
  <c r="CZ72"/>
  <c r="FK170"/>
  <c r="BP42"/>
  <c r="CQ87"/>
  <c r="FS6"/>
  <c r="DG152"/>
  <c r="F152"/>
  <c r="BI94"/>
  <c r="DX42"/>
  <c r="DC102"/>
  <c r="CC70"/>
  <c r="DH21"/>
  <c r="BH73"/>
  <c r="AO55"/>
  <c r="Q36"/>
  <c r="F90"/>
  <c r="BW69"/>
  <c r="BD34"/>
  <c r="CR142"/>
  <c r="FO92"/>
  <c r="F91"/>
  <c r="FF99"/>
  <c r="FL133"/>
  <c r="D93"/>
  <c r="ED139"/>
  <c r="CM70"/>
  <c r="CV149"/>
  <c r="BN80"/>
  <c r="L105"/>
  <c r="CW10"/>
  <c r="BP76"/>
  <c r="EP82"/>
  <c r="BT135"/>
  <c r="DN114"/>
  <c r="CL39"/>
  <c r="DU103"/>
  <c r="EQ60"/>
  <c r="FN80"/>
  <c r="AS125"/>
  <c r="CB155"/>
  <c r="CZ132"/>
  <c r="BW101"/>
  <c r="CE170"/>
  <c r="CP55"/>
  <c r="AC112"/>
  <c r="X71"/>
  <c r="DJ21"/>
  <c r="R21"/>
  <c r="P38"/>
  <c r="FU105"/>
  <c r="EE145"/>
  <c r="EE73"/>
  <c r="G165"/>
  <c r="BD176"/>
  <c r="EV142"/>
  <c r="AF137"/>
  <c r="DU7"/>
  <c r="Q127"/>
  <c r="AC165"/>
  <c r="AO138"/>
  <c r="AY28"/>
  <c r="BL106"/>
  <c r="FD70"/>
  <c r="AL171"/>
  <c r="EB177"/>
  <c r="BM55"/>
  <c r="EA115"/>
  <c r="BZ30"/>
  <c r="EJ47"/>
  <c r="DB20"/>
  <c r="BV96"/>
  <c r="BZ147"/>
  <c r="BZ40"/>
  <c r="BG140"/>
  <c r="BV139"/>
  <c r="X58"/>
  <c r="CD36"/>
  <c r="AP166"/>
  <c r="F82"/>
  <c r="FL132"/>
  <c r="EX5"/>
  <c r="P58"/>
  <c r="L17"/>
  <c r="BM74"/>
  <c r="DJ152"/>
  <c r="FG161"/>
  <c r="EJ3"/>
  <c r="C70"/>
  <c r="EI156"/>
  <c r="DZ65"/>
  <c r="EA51"/>
  <c r="CO91"/>
  <c r="DO44"/>
  <c r="AB104"/>
  <c r="CN109"/>
  <c r="DL69"/>
  <c r="DK95"/>
  <c r="CL176"/>
  <c r="AF109"/>
  <c r="CS24"/>
  <c r="ER82"/>
  <c r="CQ16"/>
  <c r="CI73"/>
  <c r="DD121"/>
  <c r="O56"/>
  <c r="CV45"/>
  <c r="BE106"/>
  <c r="DI132"/>
  <c r="EN47"/>
  <c r="Z53"/>
  <c r="DH24"/>
  <c r="DY168"/>
  <c r="AP5"/>
  <c r="DZ118"/>
  <c r="BI79"/>
  <c r="DR174"/>
  <c r="CV163"/>
  <c r="CF139"/>
  <c r="CM177"/>
  <c r="EH6"/>
  <c r="DR23"/>
  <c r="DR94"/>
  <c r="EQ29"/>
  <c r="BP115"/>
  <c r="BY167"/>
  <c r="EB41"/>
  <c r="AI48"/>
  <c r="DB173"/>
  <c r="AW81"/>
  <c r="J5"/>
  <c r="C33"/>
  <c r="CP33"/>
  <c r="BV110"/>
  <c r="CR104"/>
  <c r="DC75"/>
  <c r="ES66"/>
  <c r="DD152"/>
  <c r="EV87"/>
  <c r="DP26"/>
  <c r="DV43"/>
  <c r="FE85"/>
  <c r="FA38"/>
  <c r="D2"/>
  <c r="H41"/>
  <c r="CY16"/>
  <c r="CJ56"/>
  <c r="AV43"/>
  <c r="FJ178"/>
  <c r="CH128"/>
  <c r="FC107"/>
  <c r="Y106"/>
  <c r="BI159"/>
  <c r="CG145"/>
  <c r="J57"/>
  <c r="CT71"/>
  <c r="BL72"/>
  <c r="L97"/>
  <c r="L109"/>
  <c r="EK49"/>
  <c r="CD67"/>
  <c r="F131"/>
  <c r="ED8"/>
  <c r="BS69"/>
  <c r="BC11"/>
  <c r="BZ107"/>
  <c r="CU166"/>
  <c r="FP110"/>
  <c r="BX166"/>
  <c r="CG126"/>
  <c r="CA66"/>
  <c r="BT108"/>
  <c r="DX170"/>
  <c r="AJ145"/>
  <c r="CF53"/>
  <c r="O65"/>
  <c r="EA33"/>
  <c r="BL38"/>
  <c r="EI52"/>
  <c r="FT106"/>
  <c r="ES140"/>
  <c r="AE41"/>
  <c r="FI119"/>
  <c r="EP32"/>
  <c r="BP103"/>
  <c r="FH70"/>
  <c r="L173"/>
  <c r="Z7"/>
  <c r="E52"/>
  <c r="BZ43"/>
  <c r="DG54"/>
  <c r="EA19"/>
  <c r="V24"/>
  <c r="EE24"/>
  <c r="BW27"/>
  <c r="FE139"/>
  <c r="FL135"/>
  <c r="W136"/>
  <c r="EP29"/>
  <c r="Q169"/>
  <c r="FH118"/>
  <c r="CB37"/>
  <c r="EF128"/>
  <c r="AC19"/>
  <c r="DE89"/>
  <c r="BQ121"/>
  <c r="U145"/>
  <c r="AV165"/>
  <c r="CT64"/>
  <c r="DU39"/>
  <c r="W142"/>
  <c r="B100"/>
  <c r="BH42"/>
  <c r="BC95"/>
  <c r="DQ22"/>
  <c r="FN155"/>
  <c r="Q155"/>
  <c r="P107"/>
  <c r="AA44"/>
  <c r="AR65"/>
  <c r="CD10"/>
  <c r="FA173"/>
  <c r="I35"/>
  <c r="CA80"/>
  <c r="CD164"/>
  <c r="CC127"/>
  <c r="EE48"/>
  <c r="CV158"/>
  <c r="DD22"/>
  <c r="AV99"/>
  <c r="FS104"/>
  <c r="EP81"/>
  <c r="AS119"/>
  <c r="EE103"/>
  <c r="P39"/>
  <c r="DI3"/>
  <c r="AW24"/>
  <c r="Y12"/>
  <c r="DF136"/>
  <c r="EW13"/>
  <c r="AB12"/>
  <c r="CJ86"/>
  <c r="FI102"/>
  <c r="FH20"/>
  <c r="BH155"/>
  <c r="CJ116"/>
  <c r="CI138"/>
  <c r="DJ33"/>
  <c r="BD163"/>
  <c r="DS151"/>
  <c r="DI173"/>
  <c r="EN136"/>
  <c r="BC17"/>
  <c r="DJ51"/>
  <c r="DE147"/>
  <c r="FI134"/>
  <c r="BG91"/>
  <c r="BG2"/>
  <c r="AP48"/>
  <c r="CG142"/>
  <c r="FO17"/>
  <c r="FL68"/>
  <c r="BN175"/>
  <c r="AI63"/>
  <c r="AX48"/>
  <c r="BX14"/>
  <c r="EA22"/>
  <c r="CF152"/>
  <c r="DD46"/>
  <c r="EH79"/>
  <c r="DO72"/>
  <c r="AD24"/>
  <c r="CA143"/>
  <c r="CC138"/>
  <c r="AQ31"/>
  <c r="AQ39"/>
  <c r="EW33"/>
  <c r="AX159"/>
  <c r="CS107"/>
  <c r="CU62"/>
  <c r="FP173"/>
  <c r="CB141"/>
  <c r="DA154"/>
  <c r="EF9"/>
  <c r="FN122"/>
  <c r="BX126"/>
  <c r="N141"/>
  <c r="DE14"/>
  <c r="FH128"/>
  <c r="DE116"/>
  <c r="CL14"/>
  <c r="EH156"/>
  <c r="CU43"/>
  <c r="EU80"/>
  <c r="FF96"/>
  <c r="EX101"/>
  <c r="EO119"/>
  <c r="CZ159"/>
  <c r="AE30"/>
  <c r="Z163"/>
  <c r="FI122"/>
  <c r="CW9"/>
  <c r="I168"/>
  <c r="BN162"/>
  <c r="AF93"/>
  <c r="DM22"/>
  <c r="CV120"/>
  <c r="CT169"/>
  <c r="H172"/>
  <c r="DH65"/>
  <c r="CP118"/>
  <c r="BE69"/>
  <c r="EC73"/>
  <c r="CZ151"/>
  <c r="I90"/>
  <c r="AS63"/>
  <c r="DI155"/>
  <c r="S148"/>
  <c r="BJ80"/>
  <c r="BH50"/>
  <c r="BW86"/>
  <c r="CX107"/>
  <c r="ES121"/>
  <c r="FL130"/>
  <c r="CM64"/>
  <c r="EG73"/>
  <c r="V171"/>
  <c r="EM55"/>
  <c r="CE177"/>
  <c r="FL120"/>
  <c r="EB168"/>
  <c r="DC92"/>
  <c r="AY91"/>
  <c r="FV153"/>
  <c r="CP50"/>
  <c r="DH114"/>
  <c r="BG142"/>
  <c r="FA104"/>
  <c r="AN107"/>
  <c r="BO85"/>
  <c r="EE60"/>
  <c r="BT104"/>
  <c r="CX131"/>
  <c r="DG160"/>
  <c r="BS104"/>
  <c r="EU153"/>
  <c r="DC109"/>
  <c r="ET39"/>
  <c r="FH11"/>
  <c r="O58"/>
  <c r="M152"/>
  <c r="C50"/>
  <c r="AR168"/>
  <c r="BS90"/>
  <c r="BS10"/>
  <c r="AG124"/>
  <c r="U168"/>
  <c r="S23"/>
  <c r="EG49"/>
  <c r="FO37"/>
  <c r="BI26"/>
  <c r="EE151"/>
  <c r="EY161"/>
  <c r="Y63"/>
  <c r="DC106"/>
  <c r="AO44"/>
  <c r="CP129"/>
  <c r="F94"/>
  <c r="FV94"/>
  <c r="FN27"/>
  <c r="AW50"/>
  <c r="BN129"/>
  <c r="BN78"/>
  <c r="BP44"/>
  <c r="FO51"/>
  <c r="AH140"/>
  <c r="DZ3"/>
  <c r="FR113"/>
  <c r="BU3"/>
  <c r="BV98"/>
  <c r="AI123"/>
  <c r="AF94"/>
  <c r="DT133"/>
  <c r="EK118"/>
  <c r="FL126"/>
  <c r="CC149"/>
  <c r="DU34"/>
  <c r="CJ29"/>
  <c r="AJ8"/>
  <c r="N26"/>
  <c r="Z37"/>
  <c r="CB92"/>
  <c r="BJ144"/>
  <c r="K63"/>
  <c r="FS174"/>
  <c r="EV44"/>
  <c r="AK100"/>
  <c r="CP54"/>
  <c r="CA168"/>
  <c r="CZ143"/>
  <c r="DR27"/>
  <c r="FD152"/>
  <c r="DU117"/>
  <c r="Y4"/>
  <c r="B6"/>
  <c r="BZ165"/>
  <c r="FU144"/>
  <c r="ER54"/>
  <c r="U110"/>
  <c r="FF139"/>
  <c r="EB23"/>
  <c r="CN123"/>
  <c r="AI144"/>
  <c r="BZ48"/>
  <c r="E38"/>
  <c r="CK27"/>
  <c r="BW114"/>
  <c r="DY134"/>
  <c r="AZ84"/>
  <c r="CL168"/>
  <c r="R33"/>
  <c r="FE100"/>
  <c r="ES14"/>
  <c r="M97"/>
  <c r="CC90"/>
  <c r="X46"/>
  <c r="FA81"/>
  <c r="AF39"/>
  <c r="CU33"/>
  <c r="FQ106"/>
  <c r="FU88"/>
  <c r="AZ78"/>
  <c r="AA81"/>
  <c r="AR76"/>
  <c r="EL119"/>
  <c r="FA3"/>
  <c r="DD2"/>
  <c r="AC170"/>
  <c r="AT73"/>
  <c r="BY30"/>
  <c r="CI61"/>
  <c r="N148"/>
  <c r="H3"/>
  <c r="EH133"/>
  <c r="DA56"/>
  <c r="CN146"/>
  <c r="S145"/>
  <c r="CL124"/>
  <c r="BR88"/>
  <c r="BT87"/>
  <c r="EZ22"/>
  <c r="CX138"/>
  <c r="DY72"/>
  <c r="FG84"/>
  <c r="EY30"/>
  <c r="DX163"/>
  <c r="BQ69"/>
  <c r="CW29"/>
  <c r="ES155"/>
  <c r="BD148"/>
  <c r="DX120"/>
  <c r="DR178"/>
  <c r="AD115"/>
  <c r="ER125"/>
  <c r="DG144"/>
  <c r="DT9"/>
  <c r="EM7"/>
  <c r="BF159"/>
  <c r="AP165"/>
  <c r="CW18"/>
  <c r="FM7"/>
  <c r="N109"/>
  <c r="BF3"/>
  <c r="DA129"/>
  <c r="BN158"/>
  <c r="CP93"/>
  <c r="BX138"/>
  <c r="BZ155"/>
  <c r="ET137"/>
  <c r="CQ56"/>
  <c r="CK85"/>
  <c r="BT98"/>
  <c r="BF11"/>
  <c r="EG4"/>
  <c r="AU11"/>
  <c r="CR73"/>
  <c r="FQ109"/>
  <c r="EE20"/>
  <c r="CV68"/>
  <c r="FQ169"/>
  <c r="FJ55"/>
  <c r="DC152"/>
  <c r="CQ169"/>
  <c r="FP56"/>
  <c r="CH31"/>
  <c r="BO83"/>
  <c r="DX87"/>
  <c r="AL11"/>
  <c r="AA43"/>
  <c r="DX80"/>
  <c r="EU20"/>
  <c r="CR86"/>
  <c r="EG111"/>
  <c r="FG79"/>
  <c r="CJ151"/>
  <c r="BF80"/>
  <c r="EB126"/>
  <c r="CZ78"/>
  <c r="DL175"/>
  <c r="C51"/>
  <c r="DF165"/>
  <c r="FH133"/>
  <c r="FI47"/>
  <c r="S116"/>
  <c r="P103"/>
  <c r="FK145"/>
  <c r="FN25"/>
  <c r="BC165"/>
  <c r="BX7"/>
  <c r="BJ130"/>
  <c r="CG41"/>
  <c r="BV166"/>
  <c r="CQ135"/>
  <c r="FS128"/>
  <c r="BG11"/>
  <c r="CD19"/>
  <c r="CZ109"/>
  <c r="EK4"/>
  <c r="FG78"/>
  <c r="DT82"/>
  <c r="C65"/>
  <c r="CC4"/>
  <c r="DL16"/>
  <c r="DG163"/>
  <c r="BT107"/>
  <c r="EF69"/>
  <c r="EW52"/>
  <c r="BQ131"/>
  <c r="CI57"/>
  <c r="CX152"/>
  <c r="Y44"/>
  <c r="BD43"/>
  <c r="CL112"/>
  <c r="FN52"/>
  <c r="EN129"/>
  <c r="AX68"/>
  <c r="DB47"/>
  <c r="AQ112"/>
  <c r="C6"/>
  <c r="CS130"/>
  <c r="AV52"/>
  <c r="EL108"/>
  <c r="AQ138"/>
  <c r="C143"/>
  <c r="CO28"/>
  <c r="I61"/>
  <c r="FR21"/>
  <c r="F174"/>
  <c r="EC111"/>
  <c r="E117"/>
  <c r="FI67"/>
  <c r="DV23"/>
  <c r="CQ71"/>
  <c r="DP169"/>
  <c r="BF21"/>
  <c r="BG19"/>
  <c r="DB90"/>
  <c r="FP76"/>
  <c r="FT44"/>
  <c r="Q110"/>
  <c r="BI136"/>
  <c r="CW119"/>
  <c r="CZ128"/>
  <c r="CD175"/>
  <c r="EK62"/>
  <c r="M96"/>
  <c r="B159"/>
  <c r="BD14"/>
  <c r="FS111"/>
  <c r="ES83"/>
  <c r="BV93"/>
  <c r="EL125"/>
  <c r="V63"/>
  <c r="CP108"/>
  <c r="BE93"/>
  <c r="FE89"/>
  <c r="EE15"/>
  <c r="FE171"/>
  <c r="EW88"/>
  <c r="FJ94"/>
  <c r="DS34"/>
  <c r="AY8"/>
  <c r="DI168"/>
  <c r="O131"/>
  <c r="CA170"/>
  <c r="EF70"/>
  <c r="DF21"/>
  <c r="BK58"/>
  <c r="FA23"/>
  <c r="CB158"/>
  <c r="EX77"/>
  <c r="BJ33"/>
  <c r="DG97"/>
  <c r="AH42"/>
  <c r="CC36"/>
  <c r="BG111"/>
  <c r="V73"/>
  <c r="EK164"/>
  <c r="DP5"/>
  <c r="M175"/>
  <c r="FG53"/>
  <c r="DJ12"/>
  <c r="D42"/>
  <c r="BX96"/>
  <c r="Y145"/>
  <c r="EB125"/>
  <c r="FH75"/>
  <c r="R48"/>
  <c r="EZ147"/>
  <c r="R77"/>
  <c r="Z36"/>
  <c r="FT81"/>
  <c r="CB175"/>
  <c r="AO124"/>
  <c r="FP177"/>
  <c r="EB58"/>
  <c r="P52"/>
  <c r="S128"/>
  <c r="CN7"/>
  <c r="EH16"/>
  <c r="CS117"/>
  <c r="FB92"/>
  <c r="CS118"/>
  <c r="FK125"/>
  <c r="EN22"/>
  <c r="FB8"/>
  <c r="EO142"/>
  <c r="EF111"/>
  <c r="EI162"/>
  <c r="CO51"/>
  <c r="EY41"/>
  <c r="DF162"/>
  <c r="EI63"/>
  <c r="CQ66"/>
  <c r="BI123"/>
  <c r="BV125"/>
  <c r="EV34"/>
  <c r="CS116"/>
  <c r="Q161"/>
  <c r="AV92"/>
  <c r="EY166"/>
  <c r="P41"/>
  <c r="AG91"/>
  <c r="DZ6"/>
  <c r="ES98"/>
  <c r="BX150"/>
  <c r="DU102"/>
  <c r="EH44"/>
  <c r="ER133"/>
  <c r="F118"/>
  <c r="BF178"/>
  <c r="BV133"/>
  <c r="EB73"/>
  <c r="AZ175"/>
  <c r="FH68"/>
  <c r="Z93"/>
  <c r="AB126"/>
  <c r="DZ169"/>
  <c r="BS112"/>
  <c r="BV42"/>
  <c r="EI21"/>
  <c r="DE41"/>
  <c r="CQ141"/>
  <c r="DS162"/>
  <c r="AK110"/>
  <c r="FR57"/>
  <c r="DU126"/>
  <c r="FO20"/>
  <c r="EX80"/>
  <c r="AI103"/>
  <c r="FN148"/>
  <c r="BM81"/>
  <c r="FF145"/>
  <c r="DU71"/>
  <c r="EM120"/>
  <c r="D41"/>
  <c r="DY114"/>
  <c r="L131"/>
  <c r="AJ83"/>
  <c r="AT83"/>
  <c r="CT133"/>
  <c r="DW39"/>
  <c r="CV71"/>
  <c r="Y108"/>
  <c r="FO138"/>
  <c r="S113"/>
  <c r="CL74"/>
  <c r="FV134"/>
  <c r="EP65"/>
  <c r="CR132"/>
  <c r="AU69"/>
  <c r="DK22"/>
  <c r="EA142"/>
  <c r="FE71"/>
  <c r="AI47"/>
  <c r="CO57"/>
  <c r="BX55"/>
  <c r="L124"/>
  <c r="EJ102"/>
  <c r="CW44"/>
  <c r="CR110"/>
  <c r="CH3"/>
  <c r="FR153"/>
  <c r="CJ79"/>
  <c r="CD158"/>
  <c r="AU100"/>
  <c r="DH145"/>
  <c r="AR19"/>
  <c r="AY71"/>
  <c r="CQ14"/>
  <c r="BQ115"/>
  <c r="BQ129"/>
  <c r="AW29"/>
  <c r="CF83"/>
  <c r="BC153"/>
  <c r="DW132"/>
  <c r="AS177"/>
  <c r="O6"/>
  <c r="AB30"/>
  <c r="FE159"/>
  <c r="DH78"/>
  <c r="K4"/>
  <c r="DU69"/>
  <c r="BO166"/>
  <c r="FJ87"/>
  <c r="CB65"/>
  <c r="FU156"/>
  <c r="FN125"/>
  <c r="BE120"/>
  <c r="FP116"/>
  <c r="CI58"/>
  <c r="FI99"/>
  <c r="EN89"/>
  <c r="CY77"/>
  <c r="DS178"/>
  <c r="AI83"/>
  <c r="BA62"/>
  <c r="DC126"/>
  <c r="BD129"/>
  <c r="DT144"/>
  <c r="E68"/>
  <c r="FA44"/>
  <c r="BD87"/>
  <c r="R146"/>
  <c r="EG53"/>
  <c r="M122"/>
  <c r="CJ77"/>
  <c r="FF163"/>
  <c r="BD170"/>
  <c r="DA130"/>
  <c r="BM80"/>
  <c r="FN114"/>
  <c r="CR21"/>
  <c r="CX160"/>
  <c r="R152"/>
  <c r="FF92"/>
  <c r="EI145"/>
  <c r="AO164"/>
  <c r="AD109"/>
  <c r="EY10"/>
  <c r="DY93"/>
  <c r="C63"/>
  <c r="DX58"/>
  <c r="EV176"/>
  <c r="DD55"/>
  <c r="BQ4"/>
  <c r="EL121"/>
  <c r="DM78"/>
  <c r="DE177"/>
  <c r="ER99"/>
  <c r="AS168"/>
  <c r="F59"/>
  <c r="AF177"/>
  <c r="EX29"/>
  <c r="DA54"/>
  <c r="Z133"/>
  <c r="V49"/>
  <c r="CD163"/>
  <c r="EQ153"/>
  <c r="BA115"/>
  <c r="BN6"/>
  <c r="C76"/>
  <c r="CB134"/>
  <c r="FL99"/>
  <c r="BM19"/>
  <c r="AS134"/>
  <c r="V157"/>
  <c r="ED38"/>
  <c r="J39"/>
  <c r="EZ106"/>
  <c r="CH112"/>
  <c r="EA63"/>
  <c r="AH39"/>
  <c r="T8"/>
  <c r="BQ93"/>
  <c r="EB59"/>
  <c r="BR174"/>
  <c r="EZ78"/>
  <c r="FO172"/>
  <c r="BJ90"/>
  <c r="CX99"/>
  <c r="FD147"/>
  <c r="CN165"/>
  <c r="CQ118"/>
  <c r="EJ43"/>
  <c r="AO152"/>
  <c r="AW31"/>
  <c r="AU14"/>
  <c r="I135"/>
  <c r="FV175"/>
  <c r="V38"/>
  <c r="E103"/>
  <c r="DD6"/>
  <c r="FH164"/>
  <c r="CV26"/>
  <c r="P18"/>
  <c r="BK119"/>
  <c r="O102"/>
  <c r="FU99"/>
  <c r="S37"/>
  <c r="AJ146"/>
  <c r="AJ118"/>
  <c r="AE90"/>
  <c r="BU174"/>
  <c r="AI60"/>
  <c r="DG91"/>
  <c r="FF29"/>
  <c r="FC45"/>
  <c r="BF151"/>
  <c r="ER170"/>
  <c r="DT55"/>
  <c r="BC27"/>
  <c r="BY86"/>
  <c r="CH63"/>
  <c r="EE81"/>
  <c r="H151"/>
  <c r="FH102"/>
  <c r="FB116"/>
  <c r="DN55"/>
  <c r="DK16"/>
  <c r="FI176"/>
  <c r="DT115"/>
  <c r="I55"/>
  <c r="BV16"/>
  <c r="CZ80"/>
  <c r="DA28"/>
  <c r="AZ174"/>
  <c r="FA160"/>
  <c r="FS110"/>
  <c r="EE122"/>
  <c r="EJ60"/>
  <c r="U174"/>
  <c r="EO63"/>
  <c r="CW37"/>
  <c r="CA177"/>
  <c r="BE149"/>
  <c r="FU118"/>
  <c r="EG89"/>
  <c r="Z61"/>
  <c r="CY108"/>
  <c r="BT132"/>
  <c r="EU109"/>
  <c r="DI174"/>
  <c r="I115"/>
  <c r="CV19"/>
  <c r="R45"/>
  <c r="FV172"/>
  <c r="FV113"/>
  <c r="BI22"/>
  <c r="CW109"/>
  <c r="F15"/>
  <c r="AX15"/>
  <c r="EC4"/>
  <c r="AE162"/>
  <c r="BF139"/>
  <c r="FC10"/>
  <c r="DQ133"/>
  <c r="N46"/>
  <c r="W163"/>
  <c r="AM6"/>
  <c r="DN131"/>
  <c r="AY119"/>
  <c r="BS38"/>
  <c r="FQ150"/>
  <c r="CX13"/>
  <c r="CL141"/>
  <c r="DQ96"/>
  <c r="ES156"/>
  <c r="AC8"/>
  <c r="CF157"/>
  <c r="AA106"/>
  <c r="I51"/>
  <c r="CX93"/>
  <c r="EB102"/>
  <c r="T49"/>
  <c r="CS5"/>
  <c r="EE94"/>
  <c r="EF148"/>
  <c r="DP11"/>
  <c r="DX127"/>
  <c r="K124"/>
  <c r="AX21"/>
  <c r="AC133"/>
  <c r="EQ134"/>
  <c r="AD176"/>
  <c r="D52"/>
  <c r="FI164"/>
  <c r="AS51"/>
  <c r="AZ5"/>
  <c r="FG177"/>
  <c r="EK156"/>
  <c r="CO26"/>
  <c r="BQ75"/>
  <c r="EO160"/>
  <c r="DR7"/>
  <c r="EE34"/>
  <c r="DC46"/>
  <c r="FG151"/>
  <c r="CA47"/>
  <c r="CI151"/>
  <c r="CR67"/>
  <c r="W152"/>
  <c r="AT9"/>
  <c r="ED34"/>
  <c r="FE142"/>
  <c r="AP47"/>
  <c r="FB34"/>
  <c r="BS111"/>
  <c r="EN172"/>
  <c r="H76"/>
  <c r="EO16"/>
  <c r="BA91"/>
  <c r="EA141"/>
  <c r="AE155"/>
  <c r="DF59"/>
  <c r="EQ146"/>
  <c r="J28"/>
  <c r="BJ30"/>
  <c r="BP144"/>
  <c r="E153"/>
  <c r="DD13"/>
  <c r="ER139"/>
  <c r="AD9"/>
  <c r="BT150"/>
  <c r="EE74"/>
  <c r="DB176"/>
  <c r="EN15"/>
  <c r="EL155"/>
  <c r="BT71"/>
  <c r="EN49"/>
  <c r="DP14"/>
  <c r="CK13"/>
  <c r="DW23"/>
  <c r="FD136"/>
  <c r="AE43"/>
  <c r="Y132"/>
  <c r="BT10"/>
  <c r="CG115"/>
  <c r="EO121"/>
  <c r="BU118"/>
  <c r="DR49"/>
  <c r="EX45"/>
  <c r="DA76"/>
  <c r="EU100"/>
  <c r="DC47"/>
  <c r="EO70"/>
  <c r="Q84"/>
  <c r="CY142"/>
  <c r="AY83"/>
  <c r="CG33"/>
  <c r="AU108"/>
  <c r="CG23"/>
  <c r="BY33"/>
  <c r="CW7"/>
  <c r="AJ174"/>
  <c r="BR61"/>
  <c r="CW164"/>
  <c r="DV155"/>
  <c r="CC93"/>
  <c r="AQ43"/>
  <c r="O116"/>
  <c r="FE11"/>
  <c r="FM137"/>
  <c r="Y109"/>
  <c r="DW139"/>
  <c r="AS58"/>
  <c r="FB59"/>
  <c r="BE78"/>
  <c r="AW14"/>
  <c r="EN18"/>
  <c r="CI158"/>
  <c r="FQ140"/>
  <c r="FU104"/>
  <c r="DP46"/>
  <c r="BY122"/>
  <c r="FQ137"/>
  <c r="CV140"/>
  <c r="FV178"/>
  <c r="DD133"/>
  <c r="DA69"/>
  <c r="EY139"/>
  <c r="BT143"/>
  <c r="AZ87"/>
  <c r="Z124"/>
  <c r="CD102"/>
  <c r="FR115"/>
  <c r="FI112"/>
  <c r="CG112"/>
  <c r="FM6"/>
  <c r="DE5"/>
  <c r="FO63"/>
  <c r="BI66"/>
  <c r="DX129"/>
  <c r="H88"/>
  <c r="DT95"/>
  <c r="AR132"/>
  <c r="DJ124"/>
  <c r="DQ61"/>
  <c r="AC98"/>
  <c r="FI142"/>
  <c r="CY73"/>
  <c r="EZ23"/>
  <c r="EP77"/>
  <c r="BV176"/>
  <c r="FC137"/>
  <c r="AQ83"/>
  <c r="CQ72"/>
  <c r="CZ172"/>
  <c r="AR11"/>
  <c r="AY84"/>
  <c r="DE100"/>
  <c r="P170"/>
  <c r="EE43"/>
  <c r="G148"/>
  <c r="EM48"/>
  <c r="FL166"/>
  <c r="AQ92"/>
  <c r="H9"/>
  <c r="DB55"/>
  <c r="BX131"/>
  <c r="AV162"/>
  <c r="ER59"/>
  <c r="EG170"/>
  <c r="DF175"/>
  <c r="AF56"/>
  <c r="DI46"/>
  <c r="ET94"/>
  <c r="EW86"/>
  <c r="CY112"/>
  <c r="EJ114"/>
  <c r="M145"/>
  <c r="E106"/>
  <c r="N64"/>
  <c r="DJ106"/>
  <c r="N171"/>
  <c r="EL57"/>
  <c r="CI100"/>
  <c r="CR10"/>
  <c r="DV31"/>
  <c r="CP84"/>
  <c r="CT78"/>
  <c r="BZ166"/>
  <c r="EX4"/>
  <c r="DI17"/>
  <c r="EV25"/>
  <c r="I71"/>
  <c r="AA91"/>
  <c r="B20"/>
  <c r="AW21"/>
  <c r="DD139"/>
  <c r="CT128"/>
  <c r="FC88"/>
  <c r="U100"/>
  <c r="CM105"/>
  <c r="CD104"/>
  <c r="DD80"/>
  <c r="AK91"/>
  <c r="X129"/>
  <c r="EW124"/>
  <c r="ER10"/>
  <c r="AY110"/>
  <c r="DU161"/>
  <c r="EZ177"/>
  <c r="E44"/>
  <c r="BC125"/>
  <c r="FJ125"/>
  <c r="Q87"/>
  <c r="AC157"/>
  <c r="DJ7"/>
  <c r="FI151"/>
  <c r="CZ30"/>
  <c r="M166"/>
  <c r="AS81"/>
  <c r="BB16"/>
  <c r="M34"/>
  <c r="AY82"/>
  <c r="EL67"/>
  <c r="BJ21"/>
  <c r="AS163"/>
  <c r="AK17"/>
  <c r="AH116"/>
  <c r="AY24"/>
  <c r="EH3"/>
  <c r="FI148"/>
  <c r="AU28"/>
  <c r="CP27"/>
  <c r="ED170"/>
  <c r="FM57"/>
  <c r="BI95"/>
  <c r="C5"/>
  <c r="AG162"/>
  <c r="EL33"/>
  <c r="AL15"/>
  <c r="BA173"/>
  <c r="DY152"/>
  <c r="EB14"/>
  <c r="C84"/>
  <c r="B36"/>
  <c r="DX155"/>
  <c r="CB18"/>
  <c r="M84"/>
  <c r="FI13"/>
  <c r="BM30"/>
  <c r="FE111"/>
  <c r="AY144"/>
  <c r="DR58"/>
  <c r="CE118"/>
  <c r="BR130"/>
  <c r="AG30"/>
  <c r="CA158"/>
  <c r="CL70"/>
  <c r="EI109"/>
  <c r="EH37"/>
  <c r="BU62"/>
  <c r="DN149"/>
  <c r="U75"/>
  <c r="H20"/>
  <c r="DJ89"/>
  <c r="DV77"/>
  <c r="FF21"/>
  <c r="AV61"/>
  <c r="DL91"/>
  <c r="ES111"/>
  <c r="FU174"/>
  <c r="FO134"/>
  <c r="X6"/>
  <c r="BR51"/>
  <c r="AI112"/>
  <c r="EG29"/>
  <c r="CS152"/>
  <c r="CY140"/>
  <c r="BM20"/>
  <c r="DZ76"/>
  <c r="FT173"/>
  <c r="DT106"/>
  <c r="DN164"/>
  <c r="CN178"/>
  <c r="W92"/>
  <c r="FP141"/>
  <c r="FP42"/>
  <c r="R84"/>
  <c r="BX43"/>
  <c r="FE26"/>
  <c r="AX81"/>
  <c r="AE164"/>
  <c r="FF88"/>
  <c r="CI164"/>
  <c r="DI140"/>
  <c r="BX113"/>
  <c r="FQ147"/>
  <c r="FO32"/>
  <c r="CE160"/>
  <c r="CF22"/>
  <c r="CQ32"/>
  <c r="FR81"/>
  <c r="DT73"/>
  <c r="CO71"/>
  <c r="P54"/>
  <c r="AF26"/>
  <c r="FO165"/>
  <c r="E76"/>
  <c r="W73"/>
  <c r="AW156"/>
  <c r="BC3"/>
  <c r="BL98"/>
  <c r="X80"/>
  <c r="BV126"/>
  <c r="BF85"/>
  <c r="CJ57"/>
  <c r="EI48"/>
  <c r="FM63"/>
  <c r="CS149"/>
  <c r="AY59"/>
  <c r="BS85"/>
  <c r="DC59"/>
  <c r="CI150"/>
  <c r="EL139"/>
  <c r="BV2"/>
  <c r="EH15"/>
  <c r="ED10"/>
  <c r="BL51"/>
  <c r="FQ40"/>
  <c r="AN69"/>
  <c r="DA113"/>
  <c r="BU157"/>
  <c r="AR80"/>
  <c r="W114"/>
  <c r="DD145"/>
  <c r="AT99"/>
  <c r="Y23"/>
  <c r="FU114"/>
  <c r="CM78"/>
  <c r="BY82"/>
  <c r="AH137"/>
  <c r="BD76"/>
  <c r="BR47"/>
  <c r="CM173"/>
  <c r="CR158"/>
  <c r="K93"/>
  <c r="CW6"/>
  <c r="CP3"/>
  <c r="AC172"/>
  <c r="DE84"/>
  <c r="J36"/>
  <c r="DM71"/>
  <c r="DC131"/>
  <c r="ER51"/>
  <c r="DL88"/>
  <c r="CC128"/>
  <c r="BS18"/>
  <c r="AI93"/>
  <c r="FI155"/>
  <c r="CM81"/>
  <c r="CG27"/>
  <c r="I3"/>
  <c r="F36"/>
  <c r="AN47"/>
  <c r="DS154"/>
  <c r="AY123"/>
  <c r="DH175"/>
  <c r="AV28"/>
  <c r="BP155"/>
  <c r="AX147"/>
  <c r="DG124"/>
  <c r="CS97"/>
  <c r="BM119"/>
  <c r="EG143"/>
  <c r="X123"/>
  <c r="CZ148"/>
  <c r="AV33"/>
  <c r="BU85"/>
  <c r="CQ151"/>
  <c r="R7"/>
  <c r="FP154"/>
  <c r="CW41"/>
  <c r="AU174"/>
  <c r="AN32"/>
  <c r="T39"/>
  <c r="CN160"/>
  <c r="E86"/>
  <c r="BE175"/>
  <c r="BG17"/>
  <c r="AM20"/>
  <c r="CP111"/>
  <c r="CJ132"/>
  <c r="BS42"/>
  <c r="CU74"/>
  <c r="FK134"/>
  <c r="DU135"/>
  <c r="EB173"/>
  <c r="EE93"/>
  <c r="DM154"/>
  <c r="EF30"/>
  <c r="BL15"/>
  <c r="V127"/>
  <c r="AY155"/>
  <c r="BU5"/>
  <c r="DM58"/>
  <c r="BJ87"/>
  <c r="AP137"/>
  <c r="FE103"/>
  <c r="B9"/>
  <c r="EG158"/>
  <c r="DA120"/>
  <c r="BH21"/>
  <c r="AC92"/>
  <c r="BJ9"/>
  <c r="AQ162"/>
  <c r="DV157"/>
  <c r="L94"/>
  <c r="AY22"/>
  <c r="BY120"/>
  <c r="N138"/>
  <c r="BO115"/>
  <c r="AW172"/>
  <c r="BH152"/>
  <c r="DI126"/>
  <c r="EL83"/>
  <c r="DB129"/>
  <c r="P116"/>
  <c r="BT57"/>
  <c r="BG56"/>
  <c r="FI70"/>
  <c r="AY74"/>
  <c r="FP155"/>
  <c r="BD93"/>
  <c r="BG65"/>
  <c r="S135"/>
  <c r="EY51"/>
  <c r="CC118"/>
  <c r="BJ116"/>
  <c r="DM175"/>
  <c r="EY102"/>
  <c r="I23"/>
  <c r="C123"/>
  <c r="AG111"/>
  <c r="FQ128"/>
  <c r="B154"/>
  <c r="AN166"/>
  <c r="DG96"/>
  <c r="BK128"/>
  <c r="F146"/>
  <c r="BQ79"/>
  <c r="DF116"/>
  <c r="M40"/>
  <c r="CS11"/>
  <c r="ER33"/>
  <c r="FS4"/>
  <c r="W3"/>
  <c r="DO87"/>
  <c r="CK123"/>
  <c r="AA146"/>
  <c r="EH163"/>
  <c r="CP43"/>
  <c r="FL106"/>
  <c r="FS116"/>
  <c r="CP127"/>
  <c r="AQ151"/>
  <c r="O62"/>
  <c r="DP34"/>
  <c r="EM142"/>
  <c r="G8"/>
  <c r="EV19"/>
  <c r="FR174"/>
  <c r="EZ122"/>
  <c r="DL68"/>
  <c r="BJ12"/>
  <c r="EK160"/>
  <c r="K138"/>
  <c r="AS91"/>
  <c r="AC101"/>
  <c r="BA34"/>
  <c r="FP106"/>
  <c r="FS97"/>
  <c r="CF169"/>
  <c r="FF159"/>
  <c r="DS88"/>
  <c r="FF64"/>
  <c r="CS78"/>
  <c r="E51"/>
  <c r="CY107"/>
  <c r="FT160"/>
  <c r="BP147"/>
  <c r="V54"/>
  <c r="DA125"/>
  <c r="DR8"/>
  <c r="BK31"/>
  <c r="EF8"/>
  <c r="EP2"/>
  <c r="AA82"/>
  <c r="FQ70"/>
  <c r="BV177"/>
  <c r="CJ176"/>
  <c r="DM161"/>
  <c r="AI125"/>
  <c r="DS169"/>
  <c r="BP38"/>
  <c r="AJ52"/>
  <c r="CU95"/>
  <c r="CW96"/>
  <c r="FI97"/>
  <c r="I70"/>
  <c r="AL56"/>
  <c r="CN116"/>
  <c r="CZ142"/>
  <c r="FT31"/>
  <c r="DO157"/>
  <c r="BT142"/>
  <c r="CX145"/>
  <c r="CA34"/>
  <c r="EA164"/>
  <c r="DY40"/>
  <c r="BJ95"/>
  <c r="Z10"/>
  <c r="FS103"/>
  <c r="DW31"/>
  <c r="P71"/>
  <c r="FT138"/>
  <c r="EM84"/>
  <c r="BA92"/>
  <c r="AH86"/>
  <c r="BT105"/>
  <c r="DP64"/>
  <c r="BB157"/>
  <c r="CL59"/>
  <c r="CV5"/>
  <c r="CR121"/>
  <c r="EX139"/>
  <c r="BX58"/>
  <c r="H132"/>
  <c r="AM99"/>
  <c r="FB123"/>
  <c r="EI154"/>
  <c r="CM41"/>
  <c r="DE20"/>
  <c r="CW103"/>
  <c r="DY176"/>
  <c r="CA110"/>
  <c r="CU149"/>
  <c r="DZ80"/>
  <c r="BZ177"/>
  <c r="FG43"/>
  <c r="BZ32"/>
  <c r="AT90"/>
  <c r="AX74"/>
  <c r="BJ111"/>
  <c r="FT79"/>
  <c r="H60"/>
  <c r="CS160"/>
  <c r="FJ106"/>
  <c r="BJ153"/>
  <c r="U96"/>
  <c r="DV152"/>
  <c r="EG172"/>
  <c r="EL38"/>
  <c r="BP100"/>
  <c r="DB174"/>
  <c r="CU113"/>
  <c r="EB154"/>
  <c r="CT21"/>
  <c r="AK130"/>
  <c r="BV138"/>
  <c r="FD34"/>
  <c r="EE166"/>
  <c r="FO115"/>
  <c r="DY60"/>
  <c r="CA46"/>
  <c r="BT144"/>
  <c r="FE143"/>
  <c r="FD23"/>
  <c r="CP92"/>
  <c r="S52"/>
  <c r="ER45"/>
  <c r="AB105"/>
  <c r="DU8"/>
  <c r="EP41"/>
  <c r="FV6"/>
  <c r="DT141"/>
  <c r="DB156"/>
  <c r="BY12"/>
  <c r="EL44"/>
  <c r="W19"/>
  <c r="I141"/>
  <c r="EI100"/>
  <c r="CV148"/>
  <c r="EJ50"/>
  <c r="C27"/>
  <c r="BZ12"/>
  <c r="DT66"/>
  <c r="BI142"/>
  <c r="EN33"/>
  <c r="BE110"/>
  <c r="BT141"/>
  <c r="K102"/>
  <c r="BE4"/>
  <c r="CZ162"/>
  <c r="CO162"/>
  <c r="BE63"/>
  <c r="X41"/>
  <c r="CR63"/>
  <c r="FC151"/>
  <c r="EH40"/>
  <c r="P110"/>
  <c r="EQ155"/>
  <c r="AH114"/>
  <c r="FL117"/>
  <c r="DR134"/>
  <c r="FN17"/>
  <c r="S80"/>
  <c r="AB74"/>
  <c r="DH82"/>
  <c r="CC124"/>
  <c r="DD164"/>
  <c r="FF170"/>
  <c r="N139"/>
  <c r="S175"/>
  <c r="DD29"/>
  <c r="AR66"/>
  <c r="R32"/>
  <c r="AC84"/>
  <c r="BY71"/>
  <c r="I111"/>
  <c r="CX161"/>
  <c r="CM142"/>
  <c r="FT178"/>
  <c r="ER109"/>
  <c r="R133"/>
  <c r="EB71"/>
  <c r="CI51"/>
  <c r="EN101"/>
  <c r="L108"/>
  <c r="DA133"/>
  <c r="BF17"/>
  <c r="FI48"/>
  <c r="AG82"/>
  <c r="CA95"/>
  <c r="CQ140"/>
  <c r="DO42"/>
  <c r="DU171"/>
  <c r="FS102"/>
  <c r="AX43"/>
  <c r="G91"/>
  <c r="BW173"/>
  <c r="DB103"/>
  <c r="BG159"/>
  <c r="CF168"/>
  <c r="BT88"/>
  <c r="CS69"/>
  <c r="BY175"/>
  <c r="BD113"/>
  <c r="ES4"/>
  <c r="EZ115"/>
  <c r="C47"/>
  <c r="EQ23"/>
  <c r="CW131"/>
  <c r="DI6"/>
  <c r="M57"/>
  <c r="AP143"/>
  <c r="AU56"/>
  <c r="CL171"/>
  <c r="EC5"/>
  <c r="AX37"/>
  <c r="CW62"/>
  <c r="EM50"/>
  <c r="CP56"/>
  <c r="DK137"/>
  <c r="P123"/>
  <c r="W69"/>
  <c r="CP98"/>
  <c r="DZ123"/>
  <c r="CP107"/>
  <c r="ED51"/>
  <c r="FS117"/>
  <c r="K67"/>
  <c r="BX132"/>
  <c r="FR151"/>
  <c r="EP150"/>
  <c r="R159"/>
  <c r="DL36"/>
  <c r="EQ174"/>
  <c r="R160"/>
  <c r="CK150"/>
  <c r="BK116"/>
  <c r="CI147"/>
  <c r="DM156"/>
  <c r="BW170"/>
  <c r="EP164"/>
  <c r="EW131"/>
  <c r="FB172"/>
  <c r="DA131"/>
  <c r="H21"/>
  <c r="EE177"/>
  <c r="CW78"/>
  <c r="FH151"/>
  <c r="DT31"/>
  <c r="CE92"/>
  <c r="EW3"/>
  <c r="AD134"/>
  <c r="ER167"/>
  <c r="EA24"/>
  <c r="BK127"/>
  <c r="FC34"/>
  <c r="BQ140"/>
  <c r="BL50"/>
  <c r="FQ86"/>
  <c r="CD157"/>
  <c r="EN125"/>
  <c r="FU121"/>
  <c r="DZ159"/>
  <c r="FE83"/>
  <c r="CP161"/>
  <c r="EF38"/>
  <c r="DF69"/>
  <c r="DB107"/>
  <c r="CC144"/>
  <c r="DZ160"/>
  <c r="EE33"/>
  <c r="CW160"/>
  <c r="DQ33"/>
  <c r="J103"/>
  <c r="AO117"/>
  <c r="EJ174"/>
  <c r="BS170"/>
  <c r="AM100"/>
  <c r="AS9"/>
  <c r="AL20"/>
  <c r="ER52"/>
  <c r="AL26"/>
  <c r="FL113"/>
  <c r="EW41"/>
  <c r="FC114"/>
  <c r="CJ82"/>
  <c r="BO93"/>
  <c r="AH119"/>
  <c r="FC37"/>
  <c r="DD130"/>
  <c r="CT22"/>
  <c r="BD63"/>
  <c r="FI91"/>
  <c r="CB165"/>
  <c r="DC49"/>
  <c r="AW60"/>
  <c r="ES139"/>
  <c r="BD52"/>
  <c r="CQ36"/>
  <c r="CN173"/>
  <c r="DO82"/>
  <c r="BK20"/>
  <c r="DH57"/>
  <c r="EV113"/>
  <c r="G17"/>
  <c r="DE97"/>
  <c r="DJ111"/>
  <c r="CM89"/>
  <c r="CQ174"/>
  <c r="DC108"/>
  <c r="DU151"/>
  <c r="BQ83"/>
  <c r="DF129"/>
  <c r="C124"/>
  <c r="AL104"/>
  <c r="C122"/>
  <c r="DW84"/>
  <c r="W49"/>
  <c r="CS57"/>
  <c r="DU16"/>
  <c r="BD2"/>
  <c r="AD61"/>
  <c r="FB118"/>
  <c r="DH130"/>
  <c r="BE77"/>
  <c r="AO173"/>
  <c r="ED3"/>
  <c r="M77"/>
  <c r="DR122"/>
  <c r="AQ67"/>
  <c r="Y6"/>
  <c r="B43"/>
  <c r="DT101"/>
  <c r="N137"/>
  <c r="EB19"/>
  <c r="DV4"/>
  <c r="EA124"/>
  <c r="CC134"/>
  <c r="CX173"/>
  <c r="DD73"/>
  <c r="FQ65"/>
  <c r="EN38"/>
  <c r="CX130"/>
  <c r="B26"/>
  <c r="DD86"/>
  <c r="EE53"/>
  <c r="BJ13"/>
  <c r="K165"/>
  <c r="CE113"/>
  <c r="F166"/>
  <c r="DB166"/>
  <c r="AW5"/>
  <c r="EU157"/>
  <c r="AH79"/>
  <c r="AW4"/>
  <c r="FA71"/>
  <c r="DU88"/>
  <c r="CF68"/>
  <c r="FU53"/>
  <c r="AR50"/>
  <c r="FD77"/>
  <c r="EK119"/>
  <c r="AS121"/>
  <c r="EL130"/>
  <c r="AF46"/>
  <c r="BX157"/>
  <c r="AO52"/>
  <c r="DH170"/>
  <c r="AP113"/>
  <c r="BT152"/>
  <c r="Q48"/>
  <c r="AB165"/>
  <c r="BC166"/>
  <c r="EE89"/>
  <c r="CP23"/>
  <c r="AW57"/>
  <c r="DR123"/>
  <c r="FV158"/>
  <c r="BW37"/>
  <c r="BT85"/>
  <c r="EM31"/>
  <c r="CA117"/>
  <c r="BX45"/>
  <c r="P158"/>
  <c r="EY172"/>
  <c r="CB48"/>
  <c r="Q79"/>
  <c r="FB117"/>
  <c r="L66"/>
  <c r="EA98"/>
  <c r="CL133"/>
  <c r="AJ119"/>
  <c r="ED24"/>
  <c r="EP101"/>
  <c r="B21"/>
  <c r="D63"/>
  <c r="D107"/>
  <c r="AA92"/>
  <c r="J142"/>
  <c r="AQ74"/>
  <c r="DF101"/>
  <c r="EU99"/>
  <c r="FD37"/>
  <c r="AD8"/>
  <c r="E84"/>
  <c r="EI7"/>
  <c r="BQ155"/>
  <c r="CJ4"/>
  <c r="DV87"/>
  <c r="BZ94"/>
  <c r="EQ65"/>
  <c r="FH63"/>
  <c r="BI59"/>
  <c r="BD168"/>
  <c r="CL173"/>
  <c r="DZ178"/>
  <c r="CV46"/>
  <c r="FD90"/>
  <c r="CF31"/>
  <c r="G83"/>
  <c r="S146"/>
  <c r="BH28"/>
  <c r="CO98"/>
  <c r="E53"/>
  <c r="EL158"/>
  <c r="FL11"/>
  <c r="BE33"/>
  <c r="CA57"/>
  <c r="EM65"/>
  <c r="FE97"/>
  <c r="FG96"/>
  <c r="EB92"/>
  <c r="BA66"/>
  <c r="EB51"/>
  <c r="CI169"/>
  <c r="CN2"/>
  <c r="CB151"/>
  <c r="DU142"/>
  <c r="EY100"/>
  <c r="CS18"/>
  <c r="CQ55"/>
  <c r="BJ61"/>
  <c r="DU15"/>
  <c r="EU129"/>
  <c r="BL6"/>
  <c r="CZ88"/>
  <c r="CZ6"/>
  <c r="CW167"/>
  <c r="EU51"/>
  <c r="BB145"/>
  <c r="BA52"/>
  <c r="DZ138"/>
  <c r="EK27"/>
  <c r="ES59"/>
  <c r="F67"/>
  <c r="CP135"/>
  <c r="EH2"/>
  <c r="Y21"/>
  <c r="J172"/>
  <c r="DJ127"/>
  <c r="EH28"/>
  <c r="EZ55"/>
  <c r="EU64"/>
  <c r="D103"/>
  <c r="AR88"/>
  <c r="BY17"/>
  <c r="DN63"/>
  <c r="CZ34"/>
  <c r="DT85"/>
  <c r="DJ166"/>
  <c r="DX130"/>
  <c r="EZ89"/>
  <c r="AU124"/>
  <c r="FF3"/>
  <c r="CK55"/>
  <c r="CP88"/>
  <c r="CG159"/>
  <c r="DM69"/>
  <c r="BW22"/>
  <c r="DO61"/>
  <c r="L178"/>
  <c r="EM6"/>
  <c r="EC124"/>
  <c r="FK138"/>
  <c r="BU140"/>
  <c r="DF168"/>
  <c r="AB103"/>
  <c r="FU119"/>
  <c r="AS71"/>
  <c r="EH60"/>
  <c r="AK8"/>
  <c r="ER67"/>
  <c r="AR53"/>
  <c r="DK167"/>
  <c r="DY50"/>
  <c r="EZ40"/>
  <c r="ES23"/>
  <c r="CC115"/>
  <c r="AY108"/>
  <c r="H16"/>
  <c r="AO6"/>
  <c r="CT18"/>
  <c r="I85"/>
  <c r="G68"/>
  <c r="Q32"/>
  <c r="FV165"/>
  <c r="R142"/>
  <c r="BG165"/>
  <c r="AR90"/>
  <c r="CY178"/>
  <c r="EA172"/>
  <c r="DP101"/>
  <c r="CI91"/>
  <c r="EV128"/>
  <c r="DQ113"/>
  <c r="AM61"/>
  <c r="L93"/>
  <c r="AA164"/>
  <c r="FL4"/>
  <c r="AQ177"/>
  <c r="FE19"/>
  <c r="DB99"/>
  <c r="EC119"/>
  <c r="BL114"/>
  <c r="BN114"/>
  <c r="J112"/>
  <c r="AM7"/>
  <c r="BI64"/>
  <c r="EO168"/>
  <c r="Q27"/>
  <c r="DC41"/>
  <c r="S74"/>
  <c r="EC168"/>
  <c r="DM49"/>
  <c r="EK68"/>
  <c r="FD132"/>
  <c r="FQ122"/>
  <c r="W84"/>
  <c r="DK37"/>
  <c r="AI80"/>
  <c r="AM121"/>
  <c r="FT29"/>
  <c r="K156"/>
  <c r="FD88"/>
  <c r="DN44"/>
  <c r="BK123"/>
  <c r="AN48"/>
  <c r="AD116"/>
  <c r="AJ51"/>
  <c r="DW159"/>
  <c r="CE156"/>
  <c r="DP74"/>
  <c r="CK118"/>
  <c r="CU120"/>
  <c r="EK108"/>
  <c r="CH132"/>
  <c r="ED17"/>
  <c r="CK78"/>
  <c r="DG120"/>
  <c r="AN135"/>
  <c r="EK136"/>
  <c r="N129"/>
  <c r="BL109"/>
  <c r="BP143"/>
  <c r="EU84"/>
  <c r="DM3"/>
  <c r="BU116"/>
  <c r="R167"/>
  <c r="EU6"/>
  <c r="BA49"/>
  <c r="CT77"/>
  <c r="EI50"/>
  <c r="P133"/>
  <c r="BU131"/>
  <c r="DR151"/>
  <c r="EL35"/>
  <c r="CV65"/>
  <c r="BZ142"/>
  <c r="U120"/>
  <c r="CI29"/>
  <c r="M76"/>
  <c r="CS141"/>
  <c r="DN23"/>
  <c r="BR173"/>
  <c r="FH115"/>
  <c r="FM23"/>
  <c r="DR3"/>
  <c r="Q117"/>
  <c r="BM149"/>
  <c r="FS10"/>
  <c r="CT121"/>
  <c r="BW167"/>
  <c r="AB42"/>
  <c r="FI44"/>
  <c r="R69"/>
  <c r="BT58"/>
  <c r="AW101"/>
  <c r="BI52"/>
  <c r="BV48"/>
  <c r="CZ173"/>
  <c r="DL126"/>
  <c r="DV56"/>
  <c r="CD166"/>
  <c r="CC169"/>
  <c r="E152"/>
  <c r="M67"/>
  <c r="BO56"/>
  <c r="AW11"/>
  <c r="DU146"/>
  <c r="EJ72"/>
  <c r="BB47"/>
  <c r="DW168"/>
  <c r="AD78"/>
  <c r="FL98"/>
  <c r="AD17"/>
  <c r="AE176"/>
  <c r="H145"/>
  <c r="ES37"/>
  <c r="EU149"/>
  <c r="AI13"/>
  <c r="K76"/>
  <c r="AC52"/>
  <c r="EQ50"/>
  <c r="AK103"/>
  <c r="BE81"/>
  <c r="EP135"/>
  <c r="FG153"/>
  <c r="BW48"/>
  <c r="DD4"/>
  <c r="FJ92"/>
  <c r="DZ162"/>
  <c r="EE105"/>
  <c r="BF2"/>
  <c r="N30"/>
  <c r="BL115"/>
  <c r="ED20"/>
  <c r="B131"/>
  <c r="DU46"/>
  <c r="DP171"/>
  <c r="CN153"/>
  <c r="F55"/>
  <c r="DO24"/>
  <c r="BP30"/>
  <c r="DQ174"/>
  <c r="AW69"/>
  <c r="DM60"/>
  <c r="AQ103"/>
  <c r="BQ68"/>
  <c r="CY45"/>
  <c r="DP70"/>
  <c r="L60"/>
  <c r="CF7"/>
  <c r="BU97"/>
  <c r="AW173"/>
  <c r="DQ95"/>
  <c r="EW112"/>
  <c r="O43"/>
  <c r="X36"/>
  <c r="CC130"/>
  <c r="AO7"/>
  <c r="AZ165"/>
  <c r="AC46"/>
  <c r="EI124"/>
  <c r="DC7"/>
  <c r="DB2"/>
  <c r="ES86"/>
  <c r="ES76"/>
  <c r="DR168"/>
  <c r="CK50"/>
  <c r="BN168"/>
  <c r="BM171"/>
  <c r="EQ121"/>
  <c r="EH169"/>
  <c r="CV37"/>
  <c r="ET81"/>
  <c r="FB147"/>
  <c r="CC110"/>
  <c r="EB2"/>
  <c r="BM25"/>
  <c r="DU45"/>
  <c r="EA36"/>
  <c r="DX51"/>
  <c r="CB47"/>
  <c r="DX107"/>
  <c r="EH112"/>
  <c r="DU25"/>
  <c r="AB97"/>
  <c r="AH139"/>
  <c r="DH104"/>
  <c r="FC158"/>
  <c r="DS86"/>
  <c r="FL153"/>
  <c r="L171"/>
  <c r="FM61"/>
  <c r="EG177"/>
  <c r="W107"/>
  <c r="O2"/>
  <c r="S84"/>
  <c r="FG175"/>
  <c r="EG149"/>
  <c r="AN133"/>
  <c r="CY50"/>
  <c r="AY148"/>
  <c r="BC155"/>
  <c r="AH19"/>
  <c r="DK34"/>
  <c r="BM136"/>
  <c r="DM5"/>
  <c r="DM70"/>
  <c r="BQ174"/>
  <c r="FQ141"/>
  <c r="EK169"/>
  <c r="L137"/>
  <c r="T135"/>
  <c r="DZ174"/>
  <c r="FE76"/>
  <c r="X173"/>
  <c r="DS2"/>
  <c r="X9"/>
  <c r="BJ142"/>
  <c r="CB177"/>
  <c r="H95"/>
  <c r="CK66"/>
  <c r="BO26"/>
  <c r="BV105"/>
  <c r="AG49"/>
  <c r="EP166"/>
  <c r="FM90"/>
  <c r="FK23"/>
  <c r="V114"/>
  <c r="DY74"/>
  <c r="Z51"/>
  <c r="FL111"/>
  <c r="FP39"/>
  <c r="S32"/>
  <c r="CD43"/>
  <c r="DY123"/>
  <c r="AS157"/>
  <c r="BQ146"/>
  <c r="DR121"/>
  <c r="DP59"/>
  <c r="CZ99"/>
  <c r="BX97"/>
  <c r="L39"/>
  <c r="AF143"/>
  <c r="FA55"/>
  <c r="FB61"/>
  <c r="FG18"/>
  <c r="EN86"/>
  <c r="FI72"/>
  <c r="FH23"/>
  <c r="DF163"/>
  <c r="BK173"/>
  <c r="CH98"/>
  <c r="BC167"/>
  <c r="S155"/>
  <c r="P23"/>
  <c r="BK129"/>
  <c r="EY16"/>
  <c r="BW47"/>
  <c r="R83"/>
  <c r="BZ138"/>
  <c r="T168"/>
  <c r="DO83"/>
  <c r="AI111"/>
  <c r="FB99"/>
  <c r="AF112"/>
  <c r="CQ116"/>
  <c r="CE41"/>
  <c r="EN148"/>
  <c r="EA40"/>
  <c r="DW107"/>
  <c r="I74"/>
  <c r="DU40"/>
  <c r="C24"/>
  <c r="FD38"/>
  <c r="CY94"/>
  <c r="EP12"/>
  <c r="AR160"/>
  <c r="FC7"/>
  <c r="FS163"/>
  <c r="CP13"/>
  <c r="CK157"/>
  <c r="DQ160"/>
  <c r="AY131"/>
  <c r="BV178"/>
  <c r="Y89"/>
  <c r="DE169"/>
  <c r="J137"/>
  <c r="BU129"/>
  <c r="CF8"/>
  <c r="FM27"/>
  <c r="DY10"/>
  <c r="AT30"/>
  <c r="DZ165"/>
  <c r="AM74"/>
  <c r="Y131"/>
  <c r="CE34"/>
  <c r="L48"/>
  <c r="DQ169"/>
  <c r="G4"/>
  <c r="AB62"/>
  <c r="DP56"/>
  <c r="FR41"/>
  <c r="EK171"/>
  <c r="BN59"/>
  <c r="EO64"/>
  <c r="EG22"/>
  <c r="D77"/>
  <c r="CV67"/>
  <c r="FE9"/>
  <c r="BY95"/>
  <c r="BJ146"/>
  <c r="AH40"/>
  <c r="AP169"/>
  <c r="P149"/>
  <c r="CE36"/>
  <c r="BB122"/>
  <c r="DX91"/>
  <c r="B42"/>
  <c r="CV91"/>
  <c r="AM71"/>
  <c r="S112"/>
  <c r="BW20"/>
  <c r="CN76"/>
  <c r="H28"/>
  <c r="AJ34"/>
  <c r="DN54"/>
  <c r="AX79"/>
  <c r="EZ91"/>
  <c r="CV171"/>
  <c r="CH103"/>
  <c r="AI164"/>
  <c r="Q72"/>
  <c r="CM6"/>
  <c r="BE152"/>
  <c r="L102"/>
  <c r="FH130"/>
  <c r="EA133"/>
  <c r="CS81"/>
  <c r="EM143"/>
  <c r="BB135"/>
  <c r="CS14"/>
  <c r="BF145"/>
  <c r="DZ122"/>
  <c r="CI160"/>
  <c r="EO136"/>
  <c r="EW136"/>
  <c r="BC109"/>
  <c r="DP94"/>
  <c r="G47"/>
  <c r="BM67"/>
  <c r="BD167"/>
  <c r="DA88"/>
  <c r="P80"/>
  <c r="BM110"/>
  <c r="AB93"/>
  <c r="FG69"/>
  <c r="EN106"/>
  <c r="AL73"/>
  <c r="FG128"/>
  <c r="FO5"/>
  <c r="FM45"/>
  <c r="FK88"/>
  <c r="AL19"/>
  <c r="FI21"/>
  <c r="M144"/>
  <c r="S54"/>
  <c r="EW103"/>
  <c r="BI157"/>
  <c r="EP7"/>
  <c r="AF14"/>
  <c r="CY102"/>
  <c r="CU173"/>
  <c r="CI161"/>
  <c r="DK3"/>
  <c r="AJ137"/>
  <c r="FO104"/>
  <c r="EY56"/>
  <c r="AX168"/>
  <c r="CB129"/>
  <c r="AS147"/>
  <c r="BP167"/>
  <c r="EV72"/>
  <c r="FE104"/>
  <c r="AF69"/>
  <c r="DN143"/>
  <c r="EE147"/>
  <c r="EI111"/>
  <c r="DB151"/>
  <c r="BH29"/>
  <c r="R81"/>
  <c r="EZ49"/>
  <c r="EN113"/>
  <c r="Q41"/>
  <c r="E176"/>
  <c r="EL49"/>
  <c r="FR54"/>
  <c r="AL33"/>
  <c r="AM5"/>
  <c r="DV54"/>
  <c r="Q95"/>
  <c r="BC162"/>
  <c r="FK110"/>
  <c r="FH165"/>
  <c r="AX104"/>
  <c r="CX20"/>
  <c r="BI118"/>
  <c r="BI93"/>
  <c r="EN147"/>
  <c r="ES106"/>
  <c r="AB92"/>
  <c r="CD78"/>
  <c r="DO68"/>
  <c r="AI52"/>
  <c r="T177"/>
  <c r="DX105"/>
  <c r="DP9"/>
  <c r="DR63"/>
  <c r="DG16"/>
  <c r="S158"/>
  <c r="CY101"/>
  <c r="AQ156"/>
  <c r="EB15"/>
  <c r="G67"/>
  <c r="EA127"/>
  <c r="CX113"/>
  <c r="FF113"/>
  <c r="FA169"/>
  <c r="CN132"/>
  <c r="EL39"/>
  <c r="EE135"/>
  <c r="FH121"/>
  <c r="BN57"/>
  <c r="EF67"/>
  <c r="DS42"/>
  <c r="FB120"/>
  <c r="AW16"/>
  <c r="DP91"/>
  <c r="DQ178"/>
  <c r="AX94"/>
  <c r="EC59"/>
  <c r="AK46"/>
  <c r="EU61"/>
  <c r="CZ124"/>
  <c r="DZ97"/>
  <c r="T70"/>
  <c r="BS16"/>
  <c r="EK32"/>
  <c r="AN76"/>
  <c r="Q124"/>
  <c r="AD51"/>
  <c r="EH26"/>
  <c r="DQ58"/>
  <c r="BL91"/>
  <c r="CN152"/>
  <c r="FO159"/>
  <c r="EH122"/>
  <c r="FD82"/>
  <c r="CL53"/>
  <c r="BC21"/>
  <c r="BB92"/>
  <c r="EH149"/>
  <c r="EF117"/>
  <c r="DA122"/>
  <c r="FP19"/>
  <c r="FG139"/>
  <c r="CH139"/>
  <c r="EG126"/>
  <c r="AP9"/>
  <c r="I39"/>
  <c r="BA60"/>
  <c r="BF141"/>
  <c r="BA98"/>
  <c r="CS85"/>
  <c r="FT36"/>
  <c r="BL110"/>
  <c r="CI120"/>
  <c r="AJ154"/>
  <c r="AF7"/>
  <c r="AV46"/>
  <c r="BJ108"/>
  <c r="EJ77"/>
  <c r="AA68"/>
  <c r="BQ30"/>
  <c r="AQ47"/>
  <c r="FU162"/>
  <c r="AW64"/>
  <c r="BB43"/>
  <c r="DE50"/>
  <c r="BK54"/>
  <c r="BX153"/>
  <c r="BC105"/>
  <c r="FI69"/>
  <c r="AB113"/>
  <c r="AK11"/>
  <c r="EO72"/>
  <c r="DN152"/>
  <c r="CE129"/>
  <c r="DC62"/>
  <c r="CT168"/>
  <c r="CJ139"/>
  <c r="O73"/>
  <c r="BT7"/>
  <c r="R94"/>
  <c r="AW37"/>
  <c r="EV7"/>
  <c r="BV80"/>
  <c r="DR131"/>
  <c r="DL113"/>
  <c r="FQ59"/>
  <c r="H2"/>
  <c r="K162"/>
  <c r="DR126"/>
  <c r="DP167"/>
  <c r="DK8"/>
  <c r="FV36"/>
  <c r="AU18"/>
  <c r="EA90"/>
  <c r="L64"/>
  <c r="EW130"/>
  <c r="CO35"/>
  <c r="FB105"/>
  <c r="J169"/>
  <c r="X138"/>
  <c r="EF7"/>
  <c r="EG150"/>
  <c r="CN14"/>
  <c r="CH124"/>
  <c r="Y55"/>
  <c r="AS4"/>
  <c r="EX118"/>
  <c r="M93"/>
  <c r="BQ150"/>
  <c r="BB164"/>
  <c r="FG86"/>
  <c r="BH53"/>
  <c r="ED60"/>
  <c r="CH32"/>
  <c r="I119"/>
  <c r="T174"/>
  <c r="DD103"/>
  <c r="T145"/>
  <c r="EV117"/>
  <c r="BY146"/>
  <c r="AD103"/>
  <c r="EM159"/>
  <c r="FE98"/>
  <c r="CT146"/>
  <c r="DH72"/>
  <c r="CO175"/>
  <c r="CC159"/>
  <c r="FB112"/>
  <c r="E126"/>
  <c r="BZ46"/>
  <c r="CK137"/>
  <c r="X102"/>
  <c r="CC136"/>
  <c r="AM153"/>
  <c r="BI108"/>
  <c r="BA171"/>
  <c r="DE75"/>
  <c r="EW129"/>
  <c r="DY164"/>
  <c r="EF134"/>
  <c r="CB6"/>
  <c r="EE37"/>
  <c r="AT112"/>
  <c r="FC136"/>
  <c r="CC174"/>
  <c r="CH62"/>
  <c r="FE45"/>
  <c r="BW133"/>
  <c r="AZ86"/>
  <c r="EE123"/>
  <c r="EF107"/>
  <c r="AR62"/>
  <c r="FA68"/>
  <c r="EV39"/>
  <c r="AJ38"/>
  <c r="BH14"/>
  <c r="DP175"/>
  <c r="CN41"/>
  <c r="D151"/>
  <c r="FL71"/>
  <c r="BW8"/>
  <c r="CD165"/>
  <c r="ET74"/>
  <c r="BF25"/>
  <c r="CN122"/>
  <c r="V47"/>
  <c r="BO84"/>
  <c r="EP154"/>
  <c r="EZ130"/>
  <c r="ER50"/>
  <c r="AH83"/>
  <c r="AH12"/>
  <c r="Y19"/>
  <c r="FJ153"/>
  <c r="FV10"/>
  <c r="BT75"/>
  <c r="DB106"/>
  <c r="BJ83"/>
  <c r="BP159"/>
  <c r="FK76"/>
  <c r="DU176"/>
  <c r="AX119"/>
  <c r="DH162"/>
  <c r="FD96"/>
  <c r="EE130"/>
  <c r="CE42"/>
  <c r="AV5"/>
  <c r="EJ151"/>
  <c r="K46"/>
  <c r="BV69"/>
  <c r="DR167"/>
  <c r="CB95"/>
  <c r="FB75"/>
  <c r="FT124"/>
  <c r="BW102"/>
  <c r="DL121"/>
  <c r="CV64"/>
  <c r="AF23"/>
  <c r="FV8"/>
  <c r="EL77"/>
  <c r="DZ109"/>
  <c r="DY48"/>
  <c r="AT166"/>
  <c r="CD154"/>
  <c r="AH126"/>
  <c r="AT59"/>
  <c r="ED25"/>
  <c r="EO66"/>
  <c r="BQ56"/>
  <c r="CO150"/>
  <c r="BU35"/>
  <c r="DP29"/>
  <c r="DN156"/>
  <c r="AG83"/>
  <c r="CK99"/>
  <c r="EQ63"/>
  <c r="X172"/>
  <c r="FM11"/>
  <c r="Z47"/>
  <c r="AQ132"/>
  <c r="CF142"/>
  <c r="BI19"/>
  <c r="FK172"/>
  <c r="BO153"/>
  <c r="BJ36"/>
  <c r="BB5"/>
  <c r="G20"/>
  <c r="DU63"/>
  <c r="FF164"/>
  <c r="EJ133"/>
  <c r="B49"/>
  <c r="BY57"/>
  <c r="Q135"/>
  <c r="FQ39"/>
  <c r="AZ160"/>
  <c r="AC89"/>
  <c r="DT140"/>
  <c r="H4"/>
  <c r="BC6"/>
  <c r="CJ7"/>
  <c r="CE138"/>
  <c r="Q47"/>
  <c r="CK19"/>
  <c r="I160"/>
  <c r="BX173"/>
  <c r="FC29"/>
  <c r="CO114"/>
  <c r="BD143"/>
  <c r="BP15"/>
  <c r="FS101"/>
  <c r="FG17"/>
  <c r="CU81"/>
  <c r="BL67"/>
  <c r="EI17"/>
  <c r="AG50"/>
  <c r="EP178"/>
  <c r="EK155"/>
  <c r="CH26"/>
  <c r="BM52"/>
  <c r="R176"/>
  <c r="Z153"/>
  <c r="BN169"/>
  <c r="AP133"/>
  <c r="DL25"/>
  <c r="EI9"/>
  <c r="AU20"/>
  <c r="BB148"/>
  <c r="CU2"/>
  <c r="FN168"/>
  <c r="DG125"/>
  <c r="BW83"/>
  <c r="EP114"/>
  <c r="DI30"/>
  <c r="FI51"/>
  <c r="K77"/>
  <c r="C112"/>
  <c r="FN169"/>
  <c r="DH36"/>
  <c r="DO125"/>
  <c r="DX49"/>
  <c r="AG26"/>
  <c r="EM104"/>
  <c r="DB34"/>
  <c r="L132"/>
  <c r="DO41"/>
  <c r="DF35"/>
  <c r="EZ161"/>
  <c r="BG174"/>
  <c r="AY79"/>
  <c r="K131"/>
  <c r="BX18"/>
  <c r="CV59"/>
  <c r="FQ53"/>
  <c r="FF7"/>
  <c r="ET22"/>
  <c r="EB68"/>
  <c r="DE9"/>
  <c r="H29"/>
  <c r="AC71"/>
  <c r="FA26"/>
  <c r="G2"/>
  <c r="DO92"/>
  <c r="V133"/>
  <c r="AY65"/>
  <c r="EK131"/>
  <c r="CM53"/>
  <c r="CH174"/>
  <c r="DD26"/>
  <c r="DV172"/>
  <c r="DK55"/>
  <c r="CS75"/>
  <c r="AS132"/>
  <c r="BO89"/>
  <c r="EW57"/>
  <c r="EU91"/>
  <c r="DK73"/>
  <c r="EN163"/>
  <c r="B2"/>
  <c r="CL19"/>
  <c r="FF35"/>
  <c r="V102"/>
  <c r="EO110"/>
  <c r="DS64"/>
  <c r="BB172"/>
  <c r="AX7"/>
  <c r="BV45"/>
  <c r="DG25"/>
  <c r="U33"/>
  <c r="CW129"/>
  <c r="Y45"/>
  <c r="FD74"/>
  <c r="J19"/>
  <c r="AW102"/>
  <c r="AF175"/>
  <c r="BB146"/>
  <c r="DZ172"/>
  <c r="EM126"/>
  <c r="FT136"/>
  <c r="AA138"/>
  <c r="D123"/>
  <c r="Y57"/>
  <c r="DY87"/>
  <c r="DM55"/>
  <c r="ET2"/>
  <c r="CY119"/>
  <c r="DC16"/>
  <c r="EK165"/>
  <c r="AN60"/>
  <c r="BG173"/>
  <c r="N84"/>
  <c r="AV155"/>
  <c r="CX102"/>
  <c r="DC156"/>
  <c r="S83"/>
  <c r="AR28"/>
  <c r="CE167"/>
  <c r="BZ157"/>
  <c r="CG146"/>
  <c r="DQ148"/>
  <c r="K158"/>
  <c r="CV10"/>
  <c r="BB143"/>
  <c r="K35"/>
  <c r="EE39"/>
  <c r="L176"/>
  <c r="W131"/>
  <c r="BI42"/>
  <c r="FJ39"/>
  <c r="F2"/>
  <c r="S164"/>
  <c r="CD111"/>
  <c r="T10"/>
  <c r="DV25"/>
  <c r="Q103"/>
  <c r="CT58"/>
  <c r="BE85"/>
  <c r="BV72"/>
  <c r="M163"/>
  <c r="O72"/>
  <c r="BE7"/>
  <c r="CU85"/>
  <c r="DT151"/>
  <c r="J128"/>
  <c r="EJ22"/>
  <c r="FV53"/>
  <c r="ES175"/>
  <c r="ER146"/>
  <c r="AU135"/>
  <c r="EC76"/>
  <c r="DD111"/>
  <c r="DU12"/>
  <c r="BR26"/>
  <c r="FJ56"/>
  <c r="DU157"/>
  <c r="AB10"/>
  <c r="EL72"/>
  <c r="DO7"/>
  <c r="FI27"/>
  <c r="CT170"/>
  <c r="AS98"/>
  <c r="EU13"/>
  <c r="FL114"/>
  <c r="EF133"/>
  <c r="U39"/>
  <c r="K155"/>
  <c r="DZ108"/>
  <c r="AM83"/>
  <c r="AW138"/>
  <c r="DR18"/>
  <c r="CA127"/>
  <c r="Y88"/>
  <c r="DM90"/>
  <c r="EM96"/>
  <c r="AP51"/>
  <c r="BR162"/>
  <c r="EY159"/>
  <c r="T108"/>
  <c r="FN79"/>
  <c r="DN130"/>
  <c r="Y25"/>
  <c r="U161"/>
  <c r="BN7"/>
  <c r="BY70"/>
  <c r="BZ33"/>
  <c r="BD128"/>
  <c r="AN71"/>
  <c r="DO18"/>
  <c r="CQ29"/>
  <c r="FP168"/>
  <c r="CI170"/>
  <c r="CI126"/>
  <c r="AN163"/>
  <c r="DK2"/>
  <c r="BX130"/>
  <c r="CD118"/>
  <c r="G66"/>
  <c r="EI44"/>
  <c r="BG141"/>
  <c r="EJ88"/>
  <c r="DO134"/>
  <c r="CR68"/>
  <c r="CG5"/>
  <c r="T99"/>
  <c r="EH70"/>
  <c r="EE164"/>
  <c r="DL168"/>
  <c r="BE157"/>
  <c r="AN140"/>
  <c r="AT163"/>
  <c r="D47"/>
  <c r="FT140"/>
  <c r="BS113"/>
  <c r="EN21"/>
  <c r="CA60"/>
  <c r="X155"/>
  <c r="H5"/>
  <c r="FL107"/>
  <c r="DH143"/>
  <c r="FJ173"/>
  <c r="CT11"/>
  <c r="Q157"/>
  <c r="BV158"/>
  <c r="AE23"/>
  <c r="CP64"/>
  <c r="CI90"/>
  <c r="FM174"/>
  <c r="AG32"/>
  <c r="BC177"/>
  <c r="FG122"/>
  <c r="DO25"/>
  <c r="DR45"/>
  <c r="CH55"/>
  <c r="DB65"/>
  <c r="BE144"/>
  <c r="BS76"/>
  <c r="FU102"/>
  <c r="DV44"/>
  <c r="AR14"/>
  <c r="EX63"/>
  <c r="CR71"/>
  <c r="DP62"/>
  <c r="DP157"/>
  <c r="CB172"/>
  <c r="ED35"/>
  <c r="DW169"/>
  <c r="M131"/>
  <c r="Y84"/>
  <c r="BZ146"/>
  <c r="CH134"/>
  <c r="ES11"/>
  <c r="EO69"/>
  <c r="FO70"/>
  <c r="CQ79"/>
  <c r="DA41"/>
  <c r="EJ171"/>
  <c r="EW48"/>
  <c r="DE15"/>
  <c r="O133"/>
  <c r="V85"/>
  <c r="DF58"/>
  <c r="AY135"/>
  <c r="FK156"/>
  <c r="CL12"/>
  <c r="AM40"/>
  <c r="DO51"/>
  <c r="BR27"/>
  <c r="FG165"/>
  <c r="AU90"/>
  <c r="DL163"/>
  <c r="DE8"/>
  <c r="CY44"/>
  <c r="CU50"/>
  <c r="CK156"/>
  <c r="BQ148"/>
  <c r="X26"/>
  <c r="DL171"/>
  <c r="AR106"/>
  <c r="CP35"/>
  <c r="ES53"/>
  <c r="EK134"/>
  <c r="BY49"/>
  <c r="BD94"/>
  <c r="DT46"/>
  <c r="EH94"/>
  <c r="BS92"/>
  <c r="AR5"/>
  <c r="DL48"/>
  <c r="K130"/>
  <c r="DS115"/>
  <c r="EM135"/>
  <c r="AK60"/>
  <c r="EO144"/>
  <c r="P155"/>
  <c r="BS140"/>
  <c r="X122"/>
  <c r="I178"/>
  <c r="CN124"/>
  <c r="CE29"/>
  <c r="DW4"/>
  <c r="AO27"/>
  <c r="DS133"/>
  <c r="AZ12"/>
  <c r="FE90"/>
  <c r="BK8"/>
  <c r="BC68"/>
  <c r="DV143"/>
  <c r="CD96"/>
  <c r="U5"/>
  <c r="CO76"/>
  <c r="FN121"/>
  <c r="AZ27"/>
  <c r="BM148"/>
  <c r="DS129"/>
  <c r="DY171"/>
  <c r="AK53"/>
  <c r="FP82"/>
  <c r="X161"/>
  <c r="BJ6"/>
  <c r="FT121"/>
  <c r="EL98"/>
  <c r="DB96"/>
  <c r="CK134"/>
  <c r="FS46"/>
  <c r="EB135"/>
  <c r="DD20"/>
  <c r="AH87"/>
  <c r="EK44"/>
  <c r="BM21"/>
  <c r="EB25"/>
  <c r="CM131"/>
  <c r="EO103"/>
  <c r="DQ37"/>
  <c r="FK92"/>
  <c r="BB155"/>
  <c r="BC100"/>
  <c r="EU168"/>
  <c r="K163"/>
  <c r="DM172"/>
  <c r="AW80"/>
  <c r="FA59"/>
  <c r="BX134"/>
  <c r="L104"/>
  <c r="DM42"/>
  <c r="CW40"/>
  <c r="CX146"/>
  <c r="BA145"/>
  <c r="BU151"/>
  <c r="AD35"/>
  <c r="DA25"/>
  <c r="CQ98"/>
  <c r="FF76"/>
  <c r="CM101"/>
  <c r="AK174"/>
  <c r="BJ154"/>
  <c r="EG103"/>
  <c r="CC165"/>
  <c r="CC46"/>
  <c r="EU146"/>
  <c r="FT49"/>
  <c r="AL113"/>
  <c r="DM97"/>
  <c r="EJ53"/>
  <c r="BN161"/>
  <c r="DU169"/>
  <c r="DZ59"/>
  <c r="CS60"/>
  <c r="BI55"/>
  <c r="CO149"/>
  <c r="EK48"/>
  <c r="BQ143"/>
  <c r="FQ56"/>
  <c r="AG95"/>
  <c r="BK12"/>
  <c r="BG71"/>
  <c r="DO176"/>
  <c r="BL177"/>
  <c r="BU177"/>
  <c r="FT86"/>
  <c r="BL49"/>
  <c r="BF19"/>
  <c r="AJ45"/>
  <c r="CV28"/>
  <c r="FL73"/>
  <c r="EZ8"/>
  <c r="E148"/>
  <c r="DA166"/>
  <c r="EU68"/>
  <c r="Z132"/>
  <c r="DY108"/>
  <c r="BL89"/>
  <c r="FJ79"/>
  <c r="AP70"/>
  <c r="CT94"/>
  <c r="CI13"/>
  <c r="BS139"/>
  <c r="CW108"/>
  <c r="EU62"/>
  <c r="AZ115"/>
  <c r="AX56"/>
  <c r="AC143"/>
  <c r="DZ73"/>
  <c r="EL73"/>
  <c r="BM28"/>
  <c r="CV114"/>
  <c r="CT171"/>
  <c r="DY91"/>
  <c r="EF162"/>
  <c r="FQ4"/>
  <c r="BB17"/>
  <c r="BH86"/>
  <c r="FD117"/>
  <c r="J69"/>
  <c r="D80"/>
  <c r="FJ103"/>
  <c r="EJ122"/>
  <c r="EH145"/>
  <c r="CU41"/>
  <c r="AP120"/>
  <c r="CR37"/>
  <c r="FA141"/>
  <c r="T34"/>
  <c r="FT126"/>
  <c r="DB127"/>
  <c r="DI167"/>
  <c r="BK159"/>
  <c r="CW36"/>
  <c r="EB37"/>
  <c r="EQ53"/>
  <c r="AU145"/>
  <c r="EM74"/>
  <c r="CC148"/>
  <c r="DO45"/>
  <c r="AZ94"/>
  <c r="DS46"/>
  <c r="BE43"/>
  <c r="FM112"/>
  <c r="EQ114"/>
  <c r="V59"/>
  <c r="EI54"/>
  <c r="DU108"/>
  <c r="N72"/>
  <c r="EZ99"/>
  <c r="CF118"/>
  <c r="FS176"/>
  <c r="AT122"/>
  <c r="U10"/>
  <c r="FA51"/>
  <c r="AC62"/>
  <c r="BH117"/>
  <c r="W162"/>
  <c r="DD143"/>
  <c r="DG134"/>
  <c r="BG152"/>
  <c r="CS96"/>
  <c r="BP158"/>
  <c r="J98"/>
  <c r="DR146"/>
  <c r="EE63"/>
  <c r="AW150"/>
  <c r="EB169"/>
  <c r="FV19"/>
  <c r="DZ120"/>
  <c r="B167"/>
  <c r="K50"/>
  <c r="CR102"/>
  <c r="BG14"/>
  <c r="BO145"/>
  <c r="EH143"/>
  <c r="AY114"/>
  <c r="CX174"/>
  <c r="DW129"/>
  <c r="CM154"/>
  <c r="FH86"/>
  <c r="CE2"/>
  <c r="CJ152"/>
  <c r="DA175"/>
  <c r="DB89"/>
  <c r="ER130"/>
  <c r="EE16"/>
  <c r="DF29"/>
  <c r="H161"/>
  <c r="BU123"/>
  <c r="EX76"/>
  <c r="D72"/>
  <c r="FG36"/>
  <c r="EF112"/>
  <c r="EI45"/>
  <c r="C80"/>
  <c r="ER151"/>
  <c r="DR67"/>
  <c r="FV83"/>
  <c r="DL134"/>
  <c r="BC122"/>
  <c r="DO177"/>
  <c r="BZ58"/>
  <c r="EY70"/>
  <c r="FF94"/>
  <c r="EE62"/>
  <c r="DX140"/>
  <c r="CZ150"/>
  <c r="EF156"/>
  <c r="FD66"/>
  <c r="FG31"/>
  <c r="ER177"/>
  <c r="P81"/>
  <c r="DL27"/>
  <c r="DY121"/>
  <c r="N79"/>
  <c r="FS75"/>
  <c r="EV158"/>
  <c r="BA100"/>
  <c r="DC107"/>
  <c r="AP99"/>
  <c r="F145"/>
  <c r="EZ105"/>
  <c r="Y37"/>
  <c r="W18"/>
  <c r="FB48"/>
  <c r="ER60"/>
  <c r="EL174"/>
  <c r="BS165"/>
  <c r="ET173"/>
  <c r="CO12"/>
  <c r="CI64"/>
  <c r="FS42"/>
  <c r="EC66"/>
  <c r="DI2"/>
  <c r="BE8"/>
  <c r="AG69"/>
  <c r="BE57"/>
  <c r="FH174"/>
  <c r="BE70"/>
  <c r="G141"/>
  <c r="AZ31"/>
  <c r="F76"/>
  <c r="FV111"/>
  <c r="CT111"/>
  <c r="BS135"/>
  <c r="DV48"/>
  <c r="S6"/>
  <c r="DV81"/>
  <c r="CX30"/>
  <c r="DC19"/>
  <c r="BA37"/>
  <c r="DT178"/>
  <c r="FA28"/>
  <c r="AQ80"/>
  <c r="FR155"/>
  <c r="DY47"/>
  <c r="FM76"/>
  <c r="BO170"/>
  <c r="FI177"/>
  <c r="AB158"/>
  <c r="FI62"/>
  <c r="DK92"/>
  <c r="BB71"/>
  <c r="EK6"/>
  <c r="DV5"/>
  <c r="C21"/>
  <c r="ES68"/>
  <c r="BL162"/>
  <c r="AR92"/>
  <c r="H72"/>
  <c r="AV116"/>
  <c r="DJ77"/>
  <c r="CS110"/>
  <c r="FG130"/>
  <c r="S62"/>
  <c r="EQ162"/>
  <c r="DM4"/>
  <c r="EX81"/>
  <c r="W174"/>
  <c r="BI148"/>
  <c r="CS79"/>
  <c r="FC4"/>
  <c r="FK99"/>
  <c r="DP145"/>
  <c r="BK160"/>
  <c r="DR79"/>
  <c r="AM104"/>
  <c r="AB7"/>
  <c r="FR47"/>
  <c r="FK37"/>
  <c r="W113"/>
  <c r="EE2"/>
  <c r="G170"/>
  <c r="AQ88"/>
  <c r="DO73"/>
  <c r="FB126"/>
  <c r="CT135"/>
  <c r="EV36"/>
  <c r="AV130"/>
  <c r="FK149"/>
  <c r="CM3"/>
  <c r="BW70"/>
  <c r="DU49"/>
  <c r="FV112"/>
  <c r="BR44"/>
  <c r="FB79"/>
  <c r="BO70"/>
  <c r="FU164"/>
  <c r="DB37"/>
  <c r="EV138"/>
  <c r="EX2"/>
  <c r="BF148"/>
  <c r="AY20"/>
  <c r="EL16"/>
  <c r="BL142"/>
  <c r="O93"/>
  <c r="DF172"/>
  <c r="EC28"/>
  <c r="EB28"/>
  <c r="EN66"/>
  <c r="DG40"/>
  <c r="CM93"/>
  <c r="H173"/>
  <c r="AB161"/>
  <c r="AV113"/>
  <c r="BL125"/>
  <c r="BT79"/>
  <c r="AS105"/>
  <c r="BL2"/>
  <c r="BN28"/>
  <c r="BF105"/>
  <c r="AJ56"/>
  <c r="DF47"/>
  <c r="AL116"/>
  <c r="DE65"/>
  <c r="DE72"/>
  <c r="D53"/>
  <c r="DA85"/>
  <c r="EY153"/>
  <c r="K134"/>
  <c r="AJ122"/>
  <c r="R128"/>
  <c r="CH157"/>
  <c r="BA51"/>
  <c r="AZ66"/>
  <c r="FI154"/>
  <c r="AK40"/>
  <c r="EY53"/>
  <c r="FS61"/>
  <c r="W79"/>
  <c r="AP26"/>
  <c r="AK153"/>
  <c r="AK16"/>
  <c r="CO54"/>
  <c r="ET162"/>
  <c r="DU14"/>
  <c r="BG169"/>
  <c r="CL95"/>
  <c r="DP118"/>
  <c r="BF13"/>
  <c r="BB60"/>
  <c r="CP97"/>
  <c r="FH29"/>
  <c r="FU21"/>
  <c r="BD17"/>
  <c r="EK53"/>
  <c r="BK143"/>
  <c r="DF156"/>
  <c r="CZ8"/>
  <c r="AL78"/>
  <c r="FA72"/>
  <c r="CQ89"/>
  <c r="W74"/>
  <c r="FR4"/>
  <c r="BU55"/>
  <c r="BB62"/>
  <c r="AV87"/>
  <c r="EW144"/>
  <c r="ER48"/>
  <c r="FI103"/>
  <c r="FE134"/>
  <c r="DV160"/>
  <c r="CR27"/>
  <c r="W166"/>
  <c r="AQ137"/>
  <c r="CG151"/>
  <c r="L40"/>
  <c r="AY63"/>
  <c r="CT134"/>
  <c r="BH32"/>
  <c r="Z5"/>
  <c r="CA52"/>
  <c r="AO86"/>
  <c r="DL31"/>
  <c r="N154"/>
  <c r="EV115"/>
  <c r="BT8"/>
  <c r="F92"/>
  <c r="CF52"/>
  <c r="DA5"/>
  <c r="EL47"/>
  <c r="FP55"/>
  <c r="FS88"/>
  <c r="FC120"/>
  <c r="EV92"/>
  <c r="FS170"/>
  <c r="DD107"/>
  <c r="ET89"/>
  <c r="AR178"/>
  <c r="AF110"/>
  <c r="Q3"/>
  <c r="EF92"/>
  <c r="DV11"/>
  <c r="E89"/>
  <c r="BL84"/>
  <c r="Q46"/>
  <c r="F12"/>
  <c r="R56"/>
  <c r="C108"/>
  <c r="BR31"/>
  <c r="CK5"/>
  <c r="FI4"/>
  <c r="AK137"/>
  <c r="J114"/>
  <c r="FV119"/>
  <c r="BG64"/>
  <c r="BY159"/>
  <c r="P139"/>
  <c r="CM156"/>
  <c r="DC56"/>
  <c r="DK115"/>
  <c r="AS34"/>
  <c r="DP130"/>
  <c r="EW162"/>
  <c r="AO38"/>
  <c r="DJ102"/>
  <c r="DA3"/>
  <c r="BI16"/>
  <c r="CO96"/>
  <c r="AC72"/>
  <c r="AG52"/>
  <c r="BE91"/>
  <c r="E24"/>
  <c r="DY136"/>
  <c r="CN9"/>
  <c r="DP137"/>
  <c r="DO19"/>
  <c r="EG18"/>
  <c r="CP117"/>
  <c r="FC113"/>
  <c r="CF78"/>
  <c r="DH2"/>
  <c r="CJ72"/>
  <c r="BW33"/>
  <c r="BG46"/>
  <c r="CA144"/>
  <c r="CO142"/>
  <c r="EV18"/>
  <c r="FI106"/>
  <c r="ER12"/>
  <c r="AY168"/>
  <c r="CZ145"/>
  <c r="DZ156"/>
  <c r="U14"/>
  <c r="EW161"/>
  <c r="EZ73"/>
  <c r="DJ52"/>
  <c r="ES31"/>
  <c r="BO121"/>
  <c r="BW36"/>
  <c r="DK36"/>
  <c r="BL25"/>
  <c r="X97"/>
  <c r="AV126"/>
  <c r="CZ165"/>
  <c r="CJ146"/>
  <c r="BN113"/>
  <c r="AL85"/>
  <c r="B170"/>
  <c r="AT108"/>
  <c r="CX14"/>
  <c r="CQ159"/>
  <c r="DR52"/>
  <c r="CD22"/>
  <c r="CP76"/>
  <c r="BV47"/>
  <c r="BE90"/>
  <c r="FO58"/>
  <c r="AF104"/>
  <c r="FF16"/>
  <c r="CC49"/>
  <c r="O125"/>
  <c r="DF79"/>
  <c r="DC66"/>
  <c r="AK68"/>
  <c r="X13"/>
  <c r="CM99"/>
  <c r="G151"/>
  <c r="BY37"/>
  <c r="BX89"/>
  <c r="BO42"/>
  <c r="FE80"/>
  <c r="EU96"/>
  <c r="DU52"/>
  <c r="BM54"/>
  <c r="X22"/>
  <c r="EV14"/>
  <c r="ET56"/>
  <c r="DY61"/>
  <c r="X139"/>
  <c r="EN48"/>
  <c r="FF12"/>
  <c r="BA160"/>
  <c r="CV51"/>
  <c r="CN38"/>
  <c r="EU131"/>
  <c r="DL61"/>
  <c r="BM92"/>
  <c r="FM5"/>
  <c r="CU65"/>
  <c r="EC163"/>
  <c r="DF17"/>
  <c r="J88"/>
  <c r="CG59"/>
  <c r="DF62"/>
  <c r="DH41"/>
  <c r="DZ40"/>
  <c r="DC170"/>
  <c r="FJ37"/>
  <c r="CW170"/>
  <c r="DN48"/>
  <c r="FA7"/>
  <c r="FE151"/>
  <c r="AW100"/>
  <c r="CJ28"/>
  <c r="FD49"/>
  <c r="FQ76"/>
  <c r="CZ94"/>
  <c r="F151"/>
  <c r="S8"/>
  <c r="DW54"/>
  <c r="BC66"/>
  <c r="EG156"/>
  <c r="CR106"/>
  <c r="K2"/>
  <c r="FF103"/>
  <c r="FG37"/>
  <c r="C30"/>
  <c r="FD26"/>
  <c r="AR41"/>
  <c r="EQ74"/>
  <c r="FN154"/>
  <c r="DB62"/>
  <c r="FR159"/>
  <c r="FI76"/>
  <c r="BM101"/>
  <c r="BB85"/>
  <c r="C141"/>
  <c r="U64"/>
  <c r="AO90"/>
  <c r="AH72"/>
  <c r="DF91"/>
  <c r="AV73"/>
  <c r="BH87"/>
  <c r="EW168"/>
  <c r="W87"/>
  <c r="AI114"/>
  <c r="BN70"/>
  <c r="AZ17"/>
  <c r="DB144"/>
  <c r="FV75"/>
  <c r="AH130"/>
  <c r="C140"/>
  <c r="U81"/>
  <c r="BG128"/>
  <c r="CF176"/>
  <c r="DI121"/>
  <c r="DR17"/>
  <c r="DR88"/>
  <c r="C54"/>
  <c r="EZ174"/>
  <c r="BZ93"/>
  <c r="AC138"/>
  <c r="DB29"/>
  <c r="FV12"/>
  <c r="T42"/>
  <c r="ER72"/>
  <c r="CY151"/>
  <c r="BV62"/>
  <c r="EY82"/>
  <c r="CN114"/>
  <c r="CG74"/>
  <c r="BX21"/>
  <c r="BW115"/>
  <c r="FI108"/>
  <c r="CQ78"/>
  <c r="AF47"/>
  <c r="CC77"/>
  <c r="BM77"/>
  <c r="DO2"/>
  <c r="BK33"/>
  <c r="CO31"/>
  <c r="EX6"/>
  <c r="AU47"/>
  <c r="DL106"/>
  <c r="AZ69"/>
  <c r="DH63"/>
  <c r="EO113"/>
  <c r="EX22"/>
  <c r="EO27"/>
  <c r="BB78"/>
  <c r="BA39"/>
  <c r="DM21"/>
  <c r="AO37"/>
  <c r="CV36"/>
  <c r="EE162"/>
  <c r="EX151"/>
  <c r="BW49"/>
  <c r="FC46"/>
  <c r="AO132"/>
  <c r="AL36"/>
  <c r="DB148"/>
  <c r="O47"/>
  <c r="FV137"/>
  <c r="DJ55"/>
  <c r="AT143"/>
  <c r="ES36"/>
  <c r="AJ17"/>
  <c r="CX105"/>
  <c r="FA43"/>
  <c r="FT94"/>
  <c r="T12"/>
  <c r="DZ16"/>
  <c r="BF130"/>
  <c r="AL42"/>
  <c r="DW174"/>
  <c r="DN16"/>
  <c r="AB169"/>
  <c r="BS56"/>
  <c r="AD21"/>
  <c r="AP44"/>
  <c r="FE37"/>
  <c r="AK70"/>
  <c r="BL99"/>
  <c r="Z120"/>
  <c r="DF117"/>
  <c r="AK13"/>
  <c r="FG123"/>
  <c r="P174"/>
  <c r="AV39"/>
  <c r="AX84"/>
  <c r="AX129"/>
  <c r="CF120"/>
  <c r="N17"/>
  <c r="AX34"/>
  <c r="FN19"/>
  <c r="CQ18"/>
  <c r="FQ159"/>
  <c r="AG158"/>
  <c r="AS35"/>
  <c r="FG106"/>
  <c r="BH84"/>
  <c r="AG96"/>
  <c r="CP11"/>
  <c r="CG80"/>
  <c r="BA116"/>
  <c r="CH168"/>
  <c r="CS34"/>
  <c r="FI86"/>
  <c r="DW20"/>
  <c r="EH118"/>
  <c r="BI127"/>
  <c r="EL46"/>
  <c r="AT151"/>
  <c r="ED26"/>
  <c r="EI10"/>
  <c r="EC93"/>
  <c r="EQ68"/>
  <c r="CK79"/>
  <c r="BB151"/>
  <c r="J33"/>
  <c r="DI149"/>
  <c r="H14"/>
  <c r="FD128"/>
  <c r="BW84"/>
  <c r="AV141"/>
  <c r="DS110"/>
  <c r="R43"/>
  <c r="EE176"/>
  <c r="BC72"/>
  <c r="FQ47"/>
  <c r="DZ115"/>
  <c r="CC162"/>
  <c r="BV119"/>
  <c r="ES70"/>
  <c r="AX65"/>
  <c r="G35"/>
  <c r="DS116"/>
  <c r="AQ93"/>
  <c r="CG106"/>
  <c r="CL80"/>
  <c r="AN145"/>
  <c r="AJ173"/>
  <c r="FJ18"/>
  <c r="B37"/>
  <c r="FA58"/>
  <c r="BC145"/>
  <c r="FM56"/>
  <c r="I25"/>
  <c r="AR48"/>
  <c r="CG170"/>
  <c r="EL80"/>
  <c r="BA9"/>
  <c r="FH166"/>
  <c r="DN135"/>
  <c r="FB25"/>
  <c r="BB176"/>
  <c r="DO139"/>
  <c r="AS10"/>
  <c r="EX106"/>
  <c r="CE149"/>
  <c r="AJ25"/>
  <c r="BP176"/>
  <c r="DW85"/>
  <c r="DC74"/>
  <c r="FG8"/>
  <c r="S88"/>
  <c r="DX165"/>
  <c r="DE36"/>
  <c r="AQ90"/>
  <c r="BA167"/>
  <c r="CY153"/>
  <c r="EM76"/>
  <c r="ET42"/>
  <c r="AI104"/>
  <c r="CN73"/>
  <c r="Y146"/>
  <c r="DR119"/>
  <c r="BH148"/>
  <c r="AC37"/>
  <c r="CA45"/>
  <c r="AP104"/>
  <c r="BF87"/>
  <c r="V169"/>
  <c r="EA113"/>
  <c r="N82"/>
  <c r="BW13"/>
  <c r="EG34"/>
  <c r="FD14"/>
  <c r="BY118"/>
  <c r="BR127"/>
  <c r="FH44"/>
  <c r="FC80"/>
  <c r="X128"/>
  <c r="BE109"/>
  <c r="ET98"/>
  <c r="BV122"/>
  <c r="DJ122"/>
  <c r="FQ133"/>
  <c r="EJ135"/>
  <c r="AC60"/>
  <c r="BJ126"/>
  <c r="FF46"/>
  <c r="CX101"/>
  <c r="AA39"/>
  <c r="DA26"/>
  <c r="BB27"/>
  <c r="FS129"/>
  <c r="FE59"/>
  <c r="BK45"/>
  <c r="EK78"/>
  <c r="AR72"/>
  <c r="EI138"/>
  <c r="AZ132"/>
  <c r="U73"/>
  <c r="EZ88"/>
  <c r="BN64"/>
  <c r="BI122"/>
  <c r="DI103"/>
  <c r="AW107"/>
  <c r="DC163"/>
  <c r="FK3"/>
  <c r="BG94"/>
  <c r="EX25"/>
  <c r="M38"/>
  <c r="DJ107"/>
  <c r="EG67"/>
  <c r="FN32"/>
  <c r="BZ100"/>
  <c r="AN96"/>
  <c r="DG154"/>
  <c r="DF38"/>
  <c r="ES177"/>
  <c r="CJ103"/>
  <c r="CV52"/>
  <c r="CQ108"/>
  <c r="CM34"/>
  <c r="CI75"/>
  <c r="BM152"/>
  <c r="CP37"/>
  <c r="DR56"/>
  <c r="DT63"/>
  <c r="DO11"/>
  <c r="F54"/>
  <c r="AE34"/>
  <c r="BE27"/>
  <c r="FV66"/>
  <c r="AR7"/>
  <c r="BE24"/>
  <c r="DV142"/>
  <c r="G174"/>
  <c r="AW52"/>
  <c r="BU84"/>
  <c r="DU3"/>
  <c r="BE15"/>
  <c r="BW113"/>
  <c r="AA137"/>
  <c r="CF44"/>
  <c r="AU73"/>
  <c r="AD47"/>
  <c r="BS29"/>
  <c r="AT42"/>
  <c r="CD28"/>
  <c r="DT105"/>
  <c r="FV14"/>
  <c r="AT52"/>
  <c r="BR119"/>
  <c r="DJ173"/>
  <c r="EK113"/>
  <c r="K21"/>
  <c r="EE66"/>
  <c r="DI21"/>
  <c r="DW16"/>
  <c r="Z84"/>
  <c r="BV82"/>
  <c r="FO123"/>
  <c r="AR109"/>
  <c r="EB112"/>
  <c r="AJ125"/>
  <c r="DX94"/>
  <c r="BP12"/>
  <c r="BV24"/>
  <c r="DY81"/>
  <c r="DM130"/>
  <c r="BP7"/>
  <c r="F52"/>
  <c r="CT174"/>
  <c r="J109"/>
  <c r="DA36"/>
  <c r="BA80"/>
  <c r="DZ82"/>
  <c r="AU106"/>
  <c r="B169"/>
  <c r="DF6"/>
  <c r="CM134"/>
  <c r="DP151"/>
  <c r="CZ87"/>
  <c r="EW64"/>
  <c r="CH165"/>
  <c r="EH78"/>
  <c r="P27"/>
  <c r="EA5"/>
  <c r="CP94"/>
  <c r="EH170"/>
  <c r="DM6"/>
  <c r="AI128"/>
  <c r="BC52"/>
  <c r="J177"/>
  <c r="FH36"/>
  <c r="CN72"/>
  <c r="AT32"/>
  <c r="J126"/>
  <c r="AX25"/>
  <c r="AG164"/>
  <c r="DM103"/>
  <c r="CY143"/>
  <c r="O63"/>
  <c r="H91"/>
  <c r="BY79"/>
  <c r="ED50"/>
  <c r="K66"/>
  <c r="FQ43"/>
  <c r="AM65"/>
  <c r="EU145"/>
  <c r="FH149"/>
  <c r="FK167"/>
  <c r="I26"/>
  <c r="DC162"/>
  <c r="BL153"/>
  <c r="FK44"/>
  <c r="EZ132"/>
  <c r="EX86"/>
  <c r="FS26"/>
  <c r="EQ124"/>
  <c r="DM67"/>
  <c r="DH156"/>
  <c r="FE105"/>
  <c r="DG22"/>
  <c r="BW90"/>
  <c r="DR101"/>
  <c r="CK41"/>
  <c r="B57"/>
  <c r="ET54"/>
  <c r="O127"/>
  <c r="BK92"/>
  <c r="BA150"/>
  <c r="CT6"/>
  <c r="FD64"/>
  <c r="M121"/>
  <c r="CE122"/>
  <c r="BP66"/>
  <c r="CR174"/>
  <c r="U159"/>
  <c r="AK63"/>
  <c r="DA156"/>
  <c r="FP71"/>
  <c r="CF24"/>
  <c r="BS128"/>
  <c r="BM46"/>
  <c r="ED37"/>
  <c r="EH87"/>
  <c r="FT100"/>
  <c r="BH110"/>
  <c r="DF12"/>
  <c r="BS116"/>
  <c r="BP156"/>
  <c r="DF138"/>
  <c r="FU132"/>
  <c r="FU129"/>
  <c r="EK12"/>
  <c r="BE155"/>
  <c r="DC45"/>
  <c r="P145"/>
  <c r="J60"/>
  <c r="EP122"/>
  <c r="DC99"/>
  <c r="DR60"/>
  <c r="BJ73"/>
  <c r="CY96"/>
  <c r="ED41"/>
  <c r="W146"/>
  <c r="BX76"/>
  <c r="CV176"/>
  <c r="BX54"/>
  <c r="DU174"/>
  <c r="T76"/>
  <c r="DW41"/>
  <c r="BQ92"/>
  <c r="DG64"/>
  <c r="AU167"/>
  <c r="CP34"/>
  <c r="EF121"/>
  <c r="DU81"/>
  <c r="L15"/>
  <c r="D167"/>
  <c r="DE120"/>
  <c r="AS84"/>
  <c r="AQ107"/>
  <c r="DY165"/>
  <c r="BT170"/>
  <c r="AN41"/>
  <c r="BN8"/>
  <c r="AK121"/>
  <c r="N152"/>
  <c r="DO89"/>
  <c r="DS104"/>
  <c r="EM98"/>
  <c r="C168"/>
  <c r="D22"/>
  <c r="CT107"/>
  <c r="DN88"/>
  <c r="EK33"/>
  <c r="CD27"/>
  <c r="BJ172"/>
  <c r="M13"/>
  <c r="DH168"/>
  <c r="AG29"/>
  <c r="BQ137"/>
  <c r="CT48"/>
  <c r="BD31"/>
  <c r="BF119"/>
  <c r="CW55"/>
  <c r="FS125"/>
  <c r="BF146"/>
  <c r="CU15"/>
  <c r="AE84"/>
  <c r="DV73"/>
  <c r="M50"/>
  <c r="AU92"/>
  <c r="O70"/>
  <c r="O19"/>
  <c r="EC99"/>
  <c r="DP110"/>
  <c r="BR20"/>
  <c r="FO45"/>
  <c r="EW37"/>
  <c r="ER61"/>
  <c r="FR139"/>
  <c r="BV127"/>
  <c r="DY68"/>
  <c r="EQ100"/>
  <c r="O174"/>
  <c r="EJ126"/>
  <c r="FI128"/>
  <c r="DP48"/>
  <c r="CT73"/>
  <c r="AO25"/>
  <c r="BR176"/>
  <c r="EF120"/>
  <c r="AH71"/>
  <c r="EF115"/>
  <c r="DJ141"/>
  <c r="CV105"/>
  <c r="AA19"/>
  <c r="CP174"/>
  <c r="BB13"/>
  <c r="FF38"/>
  <c r="FF146"/>
  <c r="F127"/>
  <c r="AI97"/>
  <c r="DT90"/>
  <c r="EQ110"/>
  <c r="BL10"/>
  <c r="AE142"/>
  <c r="FE118"/>
  <c r="DQ65"/>
  <c r="FM138"/>
  <c r="DZ26"/>
  <c r="AC155"/>
  <c r="AP55"/>
  <c r="DB58"/>
  <c r="DC51"/>
  <c r="BP64"/>
  <c r="AF77"/>
  <c r="CV53"/>
  <c r="FP20"/>
  <c r="EL43"/>
  <c r="DZ85"/>
  <c r="FK53"/>
  <c r="EM101"/>
  <c r="AN55"/>
  <c r="CB128"/>
  <c r="DJ47"/>
  <c r="CX141"/>
  <c r="FP28"/>
  <c r="EE19"/>
  <c r="F7"/>
  <c r="FF66"/>
  <c r="AG31"/>
  <c r="FB95"/>
  <c r="CS168"/>
  <c r="BH129"/>
  <c r="U57"/>
  <c r="BH40"/>
  <c r="H19"/>
  <c r="CF81"/>
  <c r="FQ85"/>
  <c r="AS101"/>
  <c r="EK117"/>
  <c r="AR102"/>
  <c r="EH109"/>
  <c r="DF24"/>
  <c r="W121"/>
  <c r="DH3"/>
  <c r="FS51"/>
  <c r="AY16"/>
  <c r="FL58"/>
  <c r="CE148"/>
  <c r="FU45"/>
  <c r="FM4"/>
  <c r="S130"/>
  <c r="AC18"/>
  <c r="FU57"/>
  <c r="D105"/>
  <c r="BR67"/>
  <c r="CH99"/>
  <c r="BE169"/>
  <c r="CP176"/>
  <c r="DG15"/>
  <c r="S110"/>
  <c r="I164"/>
  <c r="FB80"/>
  <c r="CN138"/>
  <c r="ES34"/>
  <c r="Q64"/>
  <c r="O150"/>
  <c r="EQ164"/>
  <c r="BX127"/>
  <c r="O54"/>
  <c r="BQ29"/>
  <c r="EN79"/>
  <c r="ES99"/>
  <c r="FE124"/>
  <c r="CL11"/>
  <c r="C79"/>
  <c r="Q130"/>
  <c r="N120"/>
  <c r="EC117"/>
  <c r="FS155"/>
  <c r="M68"/>
  <c r="FL131"/>
  <c r="AY51"/>
  <c r="C82"/>
  <c r="DI178"/>
  <c r="BS163"/>
  <c r="BP37"/>
  <c r="N147"/>
  <c r="DI151"/>
  <c r="CL34"/>
  <c r="CB33"/>
  <c r="EJ158"/>
  <c r="FP94"/>
  <c r="CF105"/>
  <c r="CQ51"/>
  <c r="BZ29"/>
  <c r="DU42"/>
  <c r="EB77"/>
  <c r="DW53"/>
  <c r="BK70"/>
  <c r="CZ58"/>
  <c r="CO155"/>
  <c r="BM38"/>
  <c r="BQ21"/>
  <c r="FP134"/>
  <c r="CZ11"/>
  <c r="DS97"/>
  <c r="AL24"/>
  <c r="O172"/>
  <c r="AE51"/>
  <c r="CP62"/>
  <c r="W41"/>
  <c r="W90"/>
  <c r="S169"/>
  <c r="CQ42"/>
  <c r="FN145"/>
  <c r="B68"/>
  <c r="DL86"/>
  <c r="FC155"/>
  <c r="EI169"/>
  <c r="FO126"/>
  <c r="BP52"/>
  <c r="EX93"/>
  <c r="CA39"/>
  <c r="CN63"/>
  <c r="F57"/>
  <c r="DN17"/>
  <c r="AD101"/>
  <c r="DE139"/>
  <c r="FE73"/>
  <c r="EA59"/>
  <c r="EZ148"/>
  <c r="EQ61"/>
  <c r="T56"/>
  <c r="FN120"/>
  <c r="FA34"/>
  <c r="CC67"/>
  <c r="AU149"/>
  <c r="DT23"/>
  <c r="AH142"/>
  <c r="BN25"/>
  <c r="BT101"/>
  <c r="AQ38"/>
  <c r="FG55"/>
  <c r="DS9"/>
  <c r="ER148"/>
  <c r="ET167"/>
  <c r="EN65"/>
  <c r="DS73"/>
  <c r="EQ48"/>
  <c r="O141"/>
  <c r="AS75"/>
  <c r="BC75"/>
  <c r="AG17"/>
  <c r="CV97"/>
  <c r="BA12"/>
  <c r="FL66"/>
  <c r="BE38"/>
  <c r="Z138"/>
  <c r="FE44"/>
  <c r="H33"/>
  <c r="BW66"/>
  <c r="CM52"/>
  <c r="AJ139"/>
  <c r="L158"/>
  <c r="EE150"/>
  <c r="CJ126"/>
  <c r="EZ155"/>
  <c r="BH142"/>
  <c r="AS37"/>
  <c r="BA65"/>
  <c r="BF78"/>
  <c r="AA97"/>
  <c r="CG79"/>
  <c r="E108"/>
  <c r="EK20"/>
  <c r="BX178"/>
  <c r="CJ130"/>
  <c r="K54"/>
  <c r="FO81"/>
  <c r="E15"/>
  <c r="BU144"/>
  <c r="CC81"/>
  <c r="BS109"/>
  <c r="DG26"/>
  <c r="FB173"/>
  <c r="U144"/>
  <c r="FC95"/>
  <c r="ET66"/>
  <c r="FL54"/>
  <c r="CR103"/>
  <c r="BX118"/>
  <c r="AS103"/>
  <c r="AL18"/>
  <c r="I37"/>
  <c r="AQ77"/>
  <c r="U74"/>
  <c r="DF63"/>
  <c r="ER18"/>
  <c r="DO88"/>
  <c r="DC166"/>
  <c r="CO73"/>
  <c r="CJ53"/>
  <c r="EO46"/>
  <c r="AN70"/>
  <c r="W83"/>
  <c r="Y70"/>
  <c r="S51"/>
  <c r="BE54"/>
  <c r="FG164"/>
  <c r="CR151"/>
  <c r="AK57"/>
  <c r="AK122"/>
  <c r="E33"/>
  <c r="CE78"/>
  <c r="H86"/>
  <c r="CG51"/>
  <c r="DD43"/>
  <c r="BF43"/>
  <c r="M61"/>
  <c r="EM53"/>
  <c r="DK4"/>
  <c r="BD19"/>
  <c r="BU108"/>
  <c r="DN24"/>
  <c r="E100"/>
  <c r="BA166"/>
  <c r="EO61"/>
  <c r="L25"/>
  <c r="DZ144"/>
  <c r="CK171"/>
  <c r="AP127"/>
  <c r="BL32"/>
  <c r="FP4"/>
  <c r="BS30"/>
  <c r="FA178"/>
  <c r="FH13"/>
  <c r="U18"/>
  <c r="BX152"/>
  <c r="S18"/>
  <c r="H115"/>
  <c r="FD100"/>
  <c r="DD90"/>
  <c r="BK144"/>
  <c r="DY105"/>
  <c r="FS76"/>
  <c r="FR48"/>
  <c r="CG154"/>
  <c r="FI107"/>
  <c r="FJ33"/>
  <c r="BD57"/>
  <c r="AZ113"/>
  <c r="DQ72"/>
  <c r="EU158"/>
  <c r="DO94"/>
  <c r="AW153"/>
  <c r="FM102"/>
  <c r="BH174"/>
  <c r="R101"/>
  <c r="EU73"/>
  <c r="F81"/>
  <c r="BW146"/>
  <c r="DK11"/>
  <c r="FO31"/>
  <c r="CG16"/>
  <c r="AG97"/>
  <c r="FR64"/>
  <c r="B151"/>
  <c r="CM43"/>
  <c r="DC2"/>
  <c r="BP13"/>
  <c r="AD131"/>
  <c r="ER62"/>
  <c r="FT50"/>
  <c r="BY63"/>
  <c r="S143"/>
  <c r="DI39"/>
  <c r="EM88"/>
  <c r="FA4"/>
  <c r="BT99"/>
  <c r="DI52"/>
  <c r="EC94"/>
  <c r="AH7"/>
  <c r="CP52"/>
  <c r="CO140"/>
  <c r="DU143"/>
  <c r="AZ45"/>
  <c r="FP127"/>
  <c r="FB178"/>
  <c r="FT123"/>
  <c r="AU176"/>
  <c r="FA27"/>
  <c r="DI81"/>
  <c r="B81"/>
  <c r="L21"/>
  <c r="EC17"/>
  <c r="DK86"/>
  <c r="L43"/>
  <c r="Q69"/>
  <c r="EK130"/>
  <c r="FK33"/>
  <c r="BE76"/>
  <c r="DL94"/>
  <c r="Y68"/>
  <c r="DX156"/>
  <c r="FO78"/>
  <c r="EG86"/>
  <c r="BH154"/>
  <c r="AX167"/>
  <c r="R60"/>
  <c r="AS109"/>
  <c r="DJ112"/>
  <c r="EU174"/>
  <c r="FA164"/>
  <c r="FK18"/>
  <c r="FG176"/>
  <c r="FF131"/>
  <c r="EJ90"/>
  <c r="ES153"/>
  <c r="AI106"/>
  <c r="S168"/>
  <c r="BB116"/>
  <c r="DL158"/>
  <c r="FB72"/>
  <c r="EX159"/>
  <c r="DQ115"/>
  <c r="DX72"/>
  <c r="T154"/>
  <c r="DJ148"/>
  <c r="DG92"/>
  <c r="AP85"/>
  <c r="DP37"/>
  <c r="ET108"/>
  <c r="FK152"/>
  <c r="AK4"/>
  <c r="EB138"/>
  <c r="AY97"/>
  <c r="EW142"/>
  <c r="CH178"/>
  <c r="AD81"/>
  <c r="FK49"/>
  <c r="EM136"/>
  <c r="FH95"/>
  <c r="AL46"/>
  <c r="BE17"/>
  <c r="EW137"/>
  <c r="CC123"/>
  <c r="CQ152"/>
  <c r="FF121"/>
  <c r="T33"/>
  <c r="BW74"/>
  <c r="FC14"/>
  <c r="EN96"/>
  <c r="BH176"/>
  <c r="AE171"/>
  <c r="CE94"/>
  <c r="P153"/>
  <c r="FF106"/>
  <c r="BO76"/>
  <c r="CL57"/>
  <c r="CY15"/>
  <c r="DR92"/>
  <c r="AV121"/>
  <c r="DR73"/>
  <c r="EO118"/>
  <c r="CP82"/>
  <c r="BH36"/>
  <c r="FA111"/>
  <c r="BD102"/>
  <c r="Z22"/>
  <c r="AZ38"/>
  <c r="BB95"/>
  <c r="DI14"/>
  <c r="U108"/>
  <c r="H70"/>
  <c r="DH113"/>
  <c r="EG116"/>
  <c r="CY165"/>
  <c r="ED40"/>
  <c r="CK135"/>
  <c r="EV134"/>
  <c r="DW88"/>
  <c r="FI68"/>
  <c r="DX4"/>
  <c r="CF144"/>
  <c r="DN169"/>
  <c r="DL143"/>
  <c r="FL102"/>
  <c r="CO134"/>
  <c r="BU139"/>
  <c r="U70"/>
  <c r="EM125"/>
  <c r="BX3"/>
  <c r="DD118"/>
  <c r="ER26"/>
  <c r="F178"/>
  <c r="V14"/>
  <c r="CQ45"/>
  <c r="CA101"/>
  <c r="DT89"/>
  <c r="ES55"/>
  <c r="FL139"/>
  <c r="CM111"/>
  <c r="EF149"/>
  <c r="M114"/>
  <c r="U59"/>
  <c r="AR24"/>
  <c r="DT78"/>
  <c r="AD85"/>
  <c r="DZ136"/>
  <c r="CS9"/>
  <c r="FI145"/>
  <c r="CY26"/>
  <c r="FQ51"/>
  <c r="N99"/>
  <c r="K44"/>
  <c r="CB8"/>
  <c r="FF81"/>
  <c r="BJ44"/>
  <c r="M82"/>
  <c r="AD108"/>
  <c r="EN62"/>
  <c r="AC107"/>
  <c r="CK154"/>
  <c r="DH40"/>
  <c r="EY37"/>
  <c r="CX12"/>
  <c r="EH110"/>
  <c r="BD120"/>
  <c r="FR24"/>
  <c r="CT114"/>
  <c r="AV77"/>
  <c r="AC22"/>
  <c r="BY55"/>
  <c r="FP169"/>
  <c r="CQ114"/>
  <c r="CM176"/>
  <c r="BA67"/>
  <c r="BD70"/>
  <c r="CV84"/>
  <c r="DG123"/>
  <c r="FS94"/>
  <c r="FS67"/>
  <c r="FD110"/>
  <c r="DB18"/>
  <c r="DH158"/>
  <c r="AW96"/>
  <c r="L85"/>
  <c r="FT130"/>
  <c r="BZ135"/>
  <c r="AU103"/>
  <c r="BR23"/>
  <c r="FQ117"/>
  <c r="CO41"/>
  <c r="FV101"/>
  <c r="FH156"/>
  <c r="EN98"/>
  <c r="BT3"/>
  <c r="EL76"/>
  <c r="EZ98"/>
  <c r="EU125"/>
  <c r="CB70"/>
  <c r="BH170"/>
  <c r="S70"/>
  <c r="K169"/>
  <c r="CS105"/>
  <c r="EJ23"/>
  <c r="BK102"/>
  <c r="DC55"/>
  <c r="BF32"/>
  <c r="AY151"/>
  <c r="FE167"/>
  <c r="CI49"/>
  <c r="DO21"/>
  <c r="CR43"/>
  <c r="BJ168"/>
  <c r="BE35"/>
  <c r="CJ75"/>
  <c r="FQ102"/>
  <c r="EP71"/>
  <c r="ED130"/>
  <c r="EF78"/>
  <c r="AX17"/>
  <c r="DL160"/>
  <c r="CY35"/>
  <c r="K118"/>
  <c r="EQ28"/>
  <c r="BS7"/>
  <c r="BY5"/>
  <c r="O135"/>
  <c r="DP61"/>
  <c r="DB60"/>
  <c r="C48"/>
  <c r="T18"/>
  <c r="CL163"/>
  <c r="FP102"/>
  <c r="EB90"/>
  <c r="O21"/>
  <c r="BC98"/>
  <c r="AV44"/>
  <c r="CE162"/>
  <c r="EZ146"/>
  <c r="FN28"/>
  <c r="DL49"/>
  <c r="FS68"/>
  <c r="AA117"/>
  <c r="M153"/>
  <c r="P11"/>
  <c r="FH45"/>
  <c r="BV131"/>
  <c r="BC4"/>
  <c r="DV168"/>
  <c r="AX166"/>
  <c r="AN75"/>
  <c r="AR121"/>
  <c r="FI5"/>
  <c r="FN152"/>
  <c r="CC59"/>
  <c r="DG162"/>
  <c r="DQ5"/>
  <c r="BH135"/>
  <c r="Y149"/>
  <c r="FG20"/>
  <c r="FI125"/>
  <c r="EM17"/>
  <c r="CW117"/>
  <c r="CR112"/>
  <c r="AF151"/>
  <c r="DG71"/>
  <c r="BU114"/>
  <c r="AY36"/>
  <c r="EE165"/>
  <c r="EW55"/>
  <c r="EX158"/>
  <c r="DC149"/>
  <c r="CW102"/>
  <c r="BO96"/>
  <c r="AS108"/>
  <c r="CA10"/>
  <c r="AH36"/>
  <c r="CQ93"/>
  <c r="BS45"/>
  <c r="AR144"/>
  <c r="BM173"/>
  <c r="CB55"/>
  <c r="CN52"/>
  <c r="DA99"/>
  <c r="EG13"/>
  <c r="BM14"/>
  <c r="CQ128"/>
  <c r="CK158"/>
  <c r="FJ135"/>
  <c r="FV93"/>
  <c r="FO72"/>
  <c r="DA45"/>
  <c r="FM154"/>
  <c r="U104"/>
  <c r="CG156"/>
  <c r="FJ9"/>
  <c r="CJ145"/>
  <c r="AL139"/>
  <c r="U105"/>
  <c r="DB36"/>
  <c r="EQ26"/>
  <c r="FT30"/>
  <c r="V168"/>
  <c r="C52"/>
  <c r="BO92"/>
  <c r="BL120"/>
  <c r="EC58"/>
  <c r="Y140"/>
  <c r="DC124"/>
  <c r="DX110"/>
  <c r="G59"/>
  <c r="FV145"/>
  <c r="EO24"/>
  <c r="DF61"/>
  <c r="AD37"/>
  <c r="AG108"/>
  <c r="FA88"/>
  <c r="O113"/>
  <c r="DS99"/>
  <c r="FC93"/>
  <c r="EX153"/>
  <c r="BM29"/>
  <c r="CU105"/>
  <c r="AG155"/>
  <c r="T115"/>
  <c r="AM91"/>
  <c r="H150"/>
  <c r="BA24"/>
  <c r="CE64"/>
  <c r="AR176"/>
  <c r="DF39"/>
  <c r="M22"/>
  <c r="DR26"/>
  <c r="AL155"/>
  <c r="FA37"/>
  <c r="BO150"/>
  <c r="AD105"/>
  <c r="CD91"/>
  <c r="AH24"/>
  <c r="DO90"/>
  <c r="EC104"/>
  <c r="AO169"/>
  <c r="EN50"/>
  <c r="AA169"/>
  <c r="EZ37"/>
  <c r="BB65"/>
  <c r="FP7"/>
  <c r="ER161"/>
  <c r="AD168"/>
  <c r="EH88"/>
  <c r="BC70"/>
  <c r="AT76"/>
  <c r="R156"/>
  <c r="EO74"/>
  <c r="H147"/>
  <c r="U25"/>
  <c r="BE176"/>
  <c r="CE55"/>
  <c r="DO13"/>
  <c r="BJ156"/>
  <c r="C107"/>
  <c r="DD57"/>
  <c r="DK68"/>
  <c r="ET174"/>
  <c r="DG31"/>
  <c r="CI76"/>
  <c r="FA110"/>
  <c r="EC133"/>
  <c r="CJ71"/>
  <c r="O38"/>
  <c r="DH153"/>
  <c r="ET116"/>
  <c r="DP69"/>
  <c r="CQ167"/>
  <c r="EG174"/>
  <c r="CX2"/>
  <c r="L156"/>
  <c r="AJ150"/>
  <c r="CH15"/>
  <c r="BV70"/>
  <c r="EI129"/>
  <c r="AK45"/>
  <c r="CN60"/>
  <c r="J71"/>
  <c r="N60"/>
  <c r="BZ124"/>
  <c r="CP172"/>
  <c r="CN43"/>
  <c r="FD98"/>
  <c r="FA108"/>
  <c r="ET60"/>
  <c r="CN61"/>
  <c r="L155"/>
  <c r="FQ84"/>
  <c r="CH164"/>
  <c r="BS15"/>
  <c r="DR32"/>
  <c r="V130"/>
  <c r="DA110"/>
  <c r="CU143"/>
  <c r="Y5"/>
  <c r="AJ64"/>
  <c r="FQ160"/>
  <c r="D92"/>
  <c r="DT150"/>
  <c r="DI98"/>
  <c r="AX117"/>
  <c r="DE53"/>
  <c r="CF136"/>
  <c r="FB170"/>
  <c r="O9"/>
  <c r="AX28"/>
  <c r="F10"/>
  <c r="K176"/>
  <c r="DQ73"/>
  <c r="BN5"/>
  <c r="DQ101"/>
  <c r="EX23"/>
  <c r="CN15"/>
  <c r="DS143"/>
  <c r="EX127"/>
  <c r="EX26"/>
  <c r="AO140"/>
  <c r="DI141"/>
  <c r="AW128"/>
  <c r="EM168"/>
  <c r="EW134"/>
  <c r="AX165"/>
  <c r="AN77"/>
  <c r="EO7"/>
  <c r="AS14"/>
  <c r="AI166"/>
  <c r="DJ81"/>
  <c r="AI118"/>
  <c r="AC140"/>
  <c r="DU111"/>
  <c r="CQ100"/>
  <c r="DA141"/>
  <c r="DI118"/>
  <c r="FS85"/>
  <c r="CW22"/>
  <c r="FM12"/>
  <c r="AC75"/>
  <c r="FV155"/>
  <c r="ER110"/>
  <c r="BZ38"/>
  <c r="BD106"/>
  <c r="CG28"/>
  <c r="Y30"/>
  <c r="EJ11"/>
  <c r="EV103"/>
  <c r="CF19"/>
  <c r="DA61"/>
  <c r="DZ45"/>
  <c r="BO164"/>
  <c r="FP73"/>
  <c r="Z101"/>
  <c r="AS57"/>
  <c r="CC55"/>
  <c r="EO30"/>
  <c r="BH153"/>
  <c r="FT155"/>
  <c r="V18"/>
  <c r="DA15"/>
  <c r="FP37"/>
  <c r="AD57"/>
  <c r="EW8"/>
  <c r="CR39"/>
  <c r="DN69"/>
  <c r="EN126"/>
  <c r="BL173"/>
  <c r="BX52"/>
  <c r="CN66"/>
  <c r="CI177"/>
  <c r="CX120"/>
  <c r="M64"/>
  <c r="FO59"/>
  <c r="EB167"/>
  <c r="J12"/>
  <c r="CW80"/>
  <c r="BT17"/>
  <c r="DN30"/>
  <c r="BH78"/>
  <c r="BZ28"/>
  <c r="CV12"/>
  <c r="CS123"/>
  <c r="FF62"/>
  <c r="EO22"/>
  <c r="CG143"/>
  <c r="AK118"/>
  <c r="AV60"/>
  <c r="F104"/>
  <c r="FM148"/>
  <c r="AT16"/>
  <c r="V61"/>
  <c r="AU143"/>
  <c r="AA18"/>
  <c r="Z86"/>
  <c r="FB104"/>
  <c r="BQ113"/>
  <c r="FV167"/>
  <c r="FK39"/>
  <c r="CN100"/>
  <c r="CT38"/>
  <c r="BX128"/>
  <c r="ES154"/>
  <c r="CK145"/>
  <c r="DS172"/>
  <c r="BB41"/>
  <c r="CG178"/>
  <c r="CR119"/>
  <c r="AD113"/>
  <c r="AL178"/>
  <c r="DC128"/>
  <c r="CB154"/>
  <c r="AC35"/>
  <c r="EX128"/>
  <c r="Z156"/>
  <c r="DS113"/>
  <c r="FK109"/>
  <c r="AU62"/>
  <c r="ED148"/>
  <c r="J16"/>
  <c r="BA139"/>
  <c r="P21"/>
  <c r="EM165"/>
  <c r="CJ159"/>
  <c r="C172"/>
  <c r="DG107"/>
  <c r="T127"/>
  <c r="EY85"/>
  <c r="CD173"/>
  <c r="BA172"/>
  <c r="AK105"/>
  <c r="EC33"/>
  <c r="G42"/>
  <c r="FC166"/>
  <c r="FI57"/>
  <c r="FG101"/>
  <c r="BB87"/>
  <c r="AI141"/>
  <c r="BD26"/>
  <c r="CA49"/>
  <c r="AX120"/>
  <c r="AS38"/>
  <c r="DV19"/>
  <c r="AF122"/>
  <c r="ER58"/>
  <c r="BJ171"/>
  <c r="BX85"/>
  <c r="N135"/>
  <c r="DB110"/>
  <c r="CT62"/>
  <c r="DF115"/>
  <c r="AA47"/>
  <c r="AM85"/>
  <c r="DE150"/>
  <c r="BT122"/>
  <c r="CN3"/>
  <c r="BY128"/>
  <c r="AF53"/>
  <c r="BA90"/>
  <c r="BP85"/>
  <c r="R72"/>
  <c r="FD39"/>
  <c r="P105"/>
  <c r="FS124"/>
  <c r="CC131"/>
  <c r="FT89"/>
  <c r="CJ111"/>
  <c r="CF50"/>
  <c r="EJ166"/>
  <c r="DL159"/>
  <c r="AT70"/>
  <c r="AZ93"/>
  <c r="EB162"/>
  <c r="ES3"/>
  <c r="AJ149"/>
  <c r="BN55"/>
  <c r="DL85"/>
  <c r="CS158"/>
  <c r="BT140"/>
  <c r="FC103"/>
  <c r="ED92"/>
  <c r="Y85"/>
  <c r="AV114"/>
  <c r="BP130"/>
  <c r="BS9"/>
  <c r="CI154"/>
  <c r="EW45"/>
  <c r="CG148"/>
  <c r="CT125"/>
  <c r="AX174"/>
  <c r="FD121"/>
  <c r="EB155"/>
  <c r="CE6"/>
  <c r="EM167"/>
  <c r="Z87"/>
  <c r="B107"/>
  <c r="CB67"/>
  <c r="DH42"/>
  <c r="O84"/>
  <c r="AM25"/>
  <c r="EN56"/>
  <c r="DP65"/>
  <c r="EL68"/>
  <c r="CY53"/>
  <c r="DJ105"/>
  <c r="ET111"/>
  <c r="DG78"/>
  <c r="AS171"/>
  <c r="BC104"/>
  <c r="FG115"/>
  <c r="DX136"/>
  <c r="EH39"/>
  <c r="CZ127"/>
  <c r="AW68"/>
  <c r="AH173"/>
  <c r="BD122"/>
  <c r="BY47"/>
  <c r="FT73"/>
  <c r="AL168"/>
  <c r="CL36"/>
  <c r="AN154"/>
  <c r="DJ57"/>
  <c r="BH19"/>
  <c r="FR28"/>
  <c r="AM167"/>
  <c r="BQ109"/>
  <c r="Y97"/>
  <c r="BM95"/>
  <c r="DV114"/>
  <c r="EM122"/>
  <c r="BI103"/>
  <c r="BW110"/>
  <c r="BI161"/>
  <c r="EQ73"/>
  <c r="AF59"/>
  <c r="DZ86"/>
  <c r="FU168"/>
  <c r="EN61"/>
  <c r="CE31"/>
  <c r="AH177"/>
  <c r="DJ10"/>
  <c r="CO154"/>
  <c r="FJ110"/>
  <c r="BY111"/>
  <c r="EP50"/>
  <c r="CG13"/>
  <c r="EK172"/>
  <c r="CH13"/>
  <c r="T163"/>
  <c r="AO80"/>
  <c r="DD15"/>
  <c r="AO83"/>
  <c r="BM3"/>
  <c r="BM57"/>
  <c r="AV150"/>
  <c r="BN12"/>
  <c r="H127"/>
  <c r="FR31"/>
  <c r="EV164"/>
  <c r="EL42"/>
  <c r="EN5"/>
  <c r="AB38"/>
  <c r="DV6"/>
  <c r="G107"/>
  <c r="D8"/>
  <c r="DX159"/>
  <c r="CC82"/>
  <c r="CX104"/>
  <c r="BP94"/>
  <c r="Q176"/>
  <c r="B137"/>
  <c r="DD144"/>
  <c r="K174"/>
  <c r="EO51"/>
  <c r="DX90"/>
  <c r="R58"/>
  <c r="CU162"/>
  <c r="FN34"/>
  <c r="BU2"/>
  <c r="DT24"/>
  <c r="J125"/>
  <c r="O90"/>
  <c r="BI35"/>
  <c r="FQ129"/>
  <c r="EW70"/>
  <c r="DG73"/>
  <c r="EX40"/>
  <c r="CL153"/>
  <c r="CM4"/>
  <c r="FN110"/>
  <c r="EL56"/>
  <c r="BR68"/>
  <c r="AA121"/>
  <c r="EF99"/>
  <c r="CI92"/>
  <c r="AX39"/>
  <c r="DG113"/>
  <c r="AY122"/>
  <c r="H178"/>
  <c r="CQ31"/>
  <c r="CF100"/>
  <c r="AE169"/>
  <c r="CI124"/>
  <c r="X87"/>
  <c r="DV3"/>
  <c r="CZ36"/>
  <c r="DV136"/>
  <c r="L80"/>
  <c r="CC16"/>
  <c r="FN37"/>
  <c r="DC136"/>
  <c r="CE47"/>
  <c r="DJ32"/>
  <c r="BO66"/>
  <c r="CH56"/>
  <c r="AK133"/>
  <c r="CV66"/>
  <c r="BR98"/>
  <c r="CF145"/>
  <c r="EO107"/>
  <c r="BE79"/>
  <c r="B110"/>
  <c r="CI110"/>
  <c r="CD20"/>
  <c r="DK50"/>
  <c r="R107"/>
  <c r="AX96"/>
  <c r="J130"/>
  <c r="EE144"/>
  <c r="Q74"/>
  <c r="CS44"/>
  <c r="FB89"/>
  <c r="FQ105"/>
  <c r="AB78"/>
  <c r="AV9"/>
  <c r="AE75"/>
  <c r="EG6"/>
  <c r="EL148"/>
  <c r="BI73"/>
  <c r="R57"/>
  <c r="EL58"/>
  <c r="AE113"/>
  <c r="DB67"/>
  <c r="E141"/>
  <c r="BI153"/>
  <c r="S68"/>
  <c r="S78"/>
  <c r="ER70"/>
  <c r="BT51"/>
  <c r="EM163"/>
  <c r="FL147"/>
  <c r="BG42"/>
  <c r="G26"/>
  <c r="AJ131"/>
  <c r="BP79"/>
  <c r="EI86"/>
  <c r="EP130"/>
  <c r="EM41"/>
  <c r="AG59"/>
  <c r="M102"/>
  <c r="BL172"/>
  <c r="D137"/>
  <c r="AV24"/>
  <c r="FQ80"/>
  <c r="AI12"/>
  <c r="AF61"/>
  <c r="V78"/>
  <c r="FH67"/>
  <c r="BP154"/>
  <c r="FM73"/>
  <c r="AK94"/>
  <c r="CW2"/>
  <c r="AG99"/>
  <c r="BD72"/>
  <c r="V166"/>
  <c r="E125"/>
  <c r="CA50"/>
  <c r="DM134"/>
  <c r="DJ91"/>
  <c r="EH150"/>
  <c r="AG161"/>
  <c r="BC140"/>
  <c r="FK13"/>
  <c r="EJ104"/>
  <c r="AG142"/>
  <c r="CP30"/>
  <c r="AQ55"/>
  <c r="CD21"/>
  <c r="BM88"/>
  <c r="FL141"/>
  <c r="DA82"/>
  <c r="EI143"/>
  <c r="AP19"/>
  <c r="AO119"/>
  <c r="FK96"/>
  <c r="BM90"/>
  <c r="FO38"/>
  <c r="BV17"/>
  <c r="FD175"/>
  <c r="DB79"/>
  <c r="DE172"/>
  <c r="AV119"/>
  <c r="DH144"/>
  <c r="S139"/>
  <c r="M112"/>
  <c r="AP178"/>
  <c r="W51"/>
  <c r="DK144"/>
  <c r="AZ14"/>
  <c r="AW104"/>
  <c r="N52"/>
  <c r="FI60"/>
  <c r="AV37"/>
  <c r="T164"/>
  <c r="AV163"/>
  <c r="AE39"/>
  <c r="AL70"/>
  <c r="AR150"/>
  <c r="DD108"/>
  <c r="EO158"/>
  <c r="EH102"/>
  <c r="Z131"/>
  <c r="H118"/>
  <c r="CW141"/>
  <c r="DK33"/>
  <c r="DX17"/>
  <c r="DZ60"/>
  <c r="EY98"/>
  <c r="EB117"/>
  <c r="DK84"/>
  <c r="H89"/>
  <c r="CD106"/>
  <c r="FN107"/>
  <c r="BW125"/>
  <c r="DK154"/>
  <c r="DC138"/>
  <c r="CD178"/>
  <c r="CL65"/>
  <c r="CM120"/>
  <c r="EF94"/>
  <c r="CJ95"/>
  <c r="BH6"/>
  <c r="E11"/>
  <c r="AF164"/>
  <c r="DA165"/>
  <c r="CJ55"/>
  <c r="DV164"/>
  <c r="AV176"/>
  <c r="BV90"/>
  <c r="K36"/>
  <c r="EP63"/>
  <c r="FF165"/>
  <c r="DU66"/>
  <c r="H82"/>
  <c r="T5"/>
  <c r="DY106"/>
  <c r="CJ30"/>
  <c r="CD152"/>
  <c r="V35"/>
  <c r="FG93"/>
  <c r="BH127"/>
  <c r="AP31"/>
  <c r="CJ9"/>
  <c r="B14"/>
  <c r="DG21"/>
  <c r="AW151"/>
  <c r="AY70"/>
  <c r="BY11"/>
  <c r="AJ37"/>
  <c r="BP164"/>
  <c r="CM61"/>
  <c r="O10"/>
  <c r="AQ121"/>
  <c r="V30"/>
  <c r="BF117"/>
  <c r="EE14"/>
  <c r="AK132"/>
  <c r="AN174"/>
  <c r="FM94"/>
  <c r="EH59"/>
  <c r="EQ129"/>
  <c r="FP5"/>
  <c r="V161"/>
  <c r="CM69"/>
  <c r="AQ50"/>
  <c r="AA53"/>
  <c r="CD109"/>
  <c r="DZ154"/>
  <c r="CX140"/>
  <c r="DK165"/>
  <c r="Z146"/>
  <c r="DC176"/>
  <c r="AR82"/>
  <c r="CQ112"/>
  <c r="CR116"/>
  <c r="BW67"/>
  <c r="CK155"/>
  <c r="N174"/>
  <c r="BR85"/>
  <c r="AW83"/>
  <c r="EX167"/>
  <c r="FL31"/>
  <c r="BY20"/>
  <c r="FT18"/>
  <c r="CI143"/>
  <c r="BF173"/>
  <c r="FB60"/>
  <c r="AS55"/>
  <c r="CE53"/>
  <c r="P127"/>
  <c r="DJ119"/>
  <c r="CC170"/>
  <c r="AK147"/>
  <c r="F149"/>
  <c r="FV105"/>
  <c r="CP104"/>
  <c r="DG128"/>
  <c r="FH169"/>
  <c r="EA88"/>
  <c r="EI173"/>
  <c r="BL73"/>
  <c r="EJ44"/>
  <c r="DO49"/>
  <c r="CM166"/>
  <c r="FS25"/>
  <c r="CZ32"/>
  <c r="EN40"/>
  <c r="AQ174"/>
  <c r="DP97"/>
  <c r="DQ86"/>
  <c r="CD120"/>
  <c r="FE153"/>
  <c r="CN23"/>
  <c r="CR52"/>
  <c r="BM68"/>
  <c r="BQ153"/>
  <c r="AZ141"/>
  <c r="FE168"/>
  <c r="AO39"/>
  <c r="CW54"/>
  <c r="DM57"/>
  <c r="AF38"/>
  <c r="CE119"/>
  <c r="EG115"/>
  <c r="EF97"/>
  <c r="DE25"/>
  <c r="CF12"/>
  <c r="CD59"/>
  <c r="DI163"/>
  <c r="H140"/>
  <c r="CX18"/>
  <c r="AO110"/>
  <c r="BV147"/>
  <c r="AF123"/>
  <c r="CF27"/>
  <c r="FJ169"/>
  <c r="DT132"/>
  <c r="DB116"/>
  <c r="CL45"/>
  <c r="FA171"/>
  <c r="AV71"/>
  <c r="BV137"/>
  <c r="ED109"/>
  <c r="DK124"/>
  <c r="FG135"/>
  <c r="EB43"/>
  <c r="CQ129"/>
  <c r="EZ46"/>
  <c r="EC81"/>
  <c r="DA169"/>
  <c r="DY158"/>
  <c r="B83"/>
  <c r="DD71"/>
  <c r="AG16"/>
  <c r="DI129"/>
  <c r="BS103"/>
  <c r="BW156"/>
  <c r="FH42"/>
  <c r="EA160"/>
  <c r="DD72"/>
  <c r="AU125"/>
  <c r="CP110"/>
  <c r="CX70"/>
  <c r="EJ84"/>
  <c r="BN163"/>
  <c r="FM155"/>
  <c r="U85"/>
  <c r="AZ129"/>
  <c r="BR116"/>
  <c r="CH171"/>
  <c r="CE57"/>
  <c r="DT84"/>
  <c r="EH135"/>
  <c r="DU24"/>
  <c r="Z74"/>
  <c r="BM169"/>
  <c r="DA109"/>
  <c r="DJ168"/>
  <c r="AK154"/>
  <c r="FB49"/>
  <c r="ET139"/>
  <c r="AH93"/>
  <c r="DE99"/>
  <c r="DY162"/>
  <c r="FB30"/>
  <c r="CC99"/>
  <c r="DQ28"/>
  <c r="EJ149"/>
  <c r="CG107"/>
  <c r="EM75"/>
  <c r="CP131"/>
  <c r="C104"/>
  <c r="AS138"/>
  <c r="FC149"/>
  <c r="CW56"/>
  <c r="BL5"/>
  <c r="CE62"/>
  <c r="BA123"/>
  <c r="DO80"/>
  <c r="CB170"/>
  <c r="CC117"/>
  <c r="FC97"/>
  <c r="EW19"/>
  <c r="AQ166"/>
  <c r="DJ20"/>
  <c r="CH54"/>
  <c r="CJ123"/>
  <c r="BW23"/>
  <c r="AD167"/>
  <c r="AF84"/>
  <c r="BG104"/>
  <c r="CJ40"/>
  <c r="EM32"/>
  <c r="FG6"/>
  <c r="ER164"/>
  <c r="FR16"/>
  <c r="EV132"/>
  <c r="BJ176"/>
  <c r="BR157"/>
  <c r="BF114"/>
  <c r="AE140"/>
  <c r="DH31"/>
  <c r="CE139"/>
  <c r="EW58"/>
  <c r="DL152"/>
  <c r="EO175"/>
  <c r="EM28"/>
  <c r="T144"/>
  <c r="J15"/>
  <c r="FC122"/>
  <c r="DN121"/>
  <c r="L113"/>
  <c r="BK19"/>
  <c r="CQ37"/>
  <c r="DO39"/>
  <c r="CV128"/>
  <c r="BI30"/>
  <c r="CB93"/>
  <c r="AX109"/>
  <c r="CL48"/>
  <c r="EK2"/>
  <c r="DZ121"/>
  <c r="CG12"/>
  <c r="CZ171"/>
  <c r="CC97"/>
  <c r="EA132"/>
  <c r="EQ22"/>
  <c r="AT95"/>
  <c r="AW12"/>
  <c r="CI47"/>
  <c r="I27"/>
  <c r="AY55"/>
  <c r="AZ35"/>
  <c r="CK57"/>
  <c r="CU14"/>
  <c r="M16"/>
  <c r="BC159"/>
  <c r="DN12"/>
  <c r="AK76"/>
  <c r="CS25"/>
  <c r="BM78"/>
  <c r="L70"/>
  <c r="EL30"/>
  <c r="CN22"/>
  <c r="FL32"/>
  <c r="BM120"/>
  <c r="FV86"/>
  <c r="BG40"/>
  <c r="AY129"/>
  <c r="ET170"/>
  <c r="AG131"/>
  <c r="FH72"/>
  <c r="CQ74"/>
  <c r="FH117"/>
  <c r="BM137"/>
  <c r="BD18"/>
  <c r="BW166"/>
  <c r="EI33"/>
  <c r="FB78"/>
  <c r="AU93"/>
  <c r="DA91"/>
  <c r="EF141"/>
  <c r="AL95"/>
  <c r="H138"/>
  <c r="AO99"/>
  <c r="CP80"/>
  <c r="CE165"/>
  <c r="AR63"/>
  <c r="BA84"/>
  <c r="BL127"/>
  <c r="BG23"/>
  <c r="EM56"/>
  <c r="CM5"/>
  <c r="EX94"/>
  <c r="EE106"/>
  <c r="FC61"/>
  <c r="DL135"/>
  <c r="BA25"/>
  <c r="FJ65"/>
  <c r="EM107"/>
  <c r="FC118"/>
  <c r="CW65"/>
  <c r="CL169"/>
  <c r="EN68"/>
  <c r="S34"/>
  <c r="FA150"/>
  <c r="AI31"/>
  <c r="BI84"/>
  <c r="J149"/>
  <c r="CI48"/>
  <c r="AC137"/>
  <c r="BV37"/>
  <c r="AB142"/>
  <c r="AA89"/>
  <c r="AK158"/>
  <c r="BB166"/>
  <c r="CN113"/>
  <c r="O55"/>
  <c r="CK131"/>
  <c r="EZ138"/>
  <c r="BA31"/>
  <c r="CM140"/>
  <c r="F25"/>
  <c r="BR124"/>
  <c r="AG156"/>
  <c r="AB168"/>
  <c r="DX57"/>
  <c r="BY130"/>
  <c r="DO32"/>
  <c r="AK149"/>
  <c r="BL59"/>
  <c r="DI142"/>
  <c r="DP63"/>
  <c r="CY97"/>
  <c r="BN61"/>
  <c r="BT43"/>
  <c r="CR115"/>
  <c r="EO4"/>
  <c r="ES13"/>
  <c r="EG119"/>
  <c r="AI145"/>
  <c r="DE11"/>
  <c r="CS108"/>
  <c r="AG8"/>
  <c r="AT87"/>
  <c r="EH120"/>
  <c r="EG65"/>
  <c r="FM139"/>
  <c r="FK123"/>
  <c r="DB56"/>
  <c r="AN31"/>
  <c r="FQ143"/>
  <c r="FJ38"/>
  <c r="AV118"/>
  <c r="S129"/>
  <c r="AK95"/>
  <c r="DS175"/>
  <c r="ET25"/>
  <c r="AJ128"/>
  <c r="FG54"/>
  <c r="CI81"/>
  <c r="EN41"/>
  <c r="EL19"/>
  <c r="G164"/>
  <c r="L13"/>
  <c r="G117"/>
  <c r="BC7"/>
  <c r="FU176"/>
  <c r="AN113"/>
  <c r="EQ7"/>
  <c r="CU132"/>
  <c r="AF33"/>
  <c r="FV72"/>
  <c r="E25"/>
  <c r="N3"/>
  <c r="AH30"/>
  <c r="CR58"/>
  <c r="AS161"/>
  <c r="S99"/>
  <c r="CB159"/>
  <c r="M133"/>
  <c r="CU136"/>
  <c r="BS136"/>
  <c r="AP130"/>
  <c r="AG127"/>
  <c r="CH82"/>
  <c r="AB167"/>
  <c r="U54"/>
  <c r="AO123"/>
  <c r="F69"/>
  <c r="FV125"/>
  <c r="EV13"/>
  <c r="DI157"/>
  <c r="BH34"/>
  <c r="AW171"/>
  <c r="AR156"/>
  <c r="AK178"/>
  <c r="EC170"/>
  <c r="FP93"/>
  <c r="E83"/>
  <c r="AU58"/>
  <c r="DO161"/>
  <c r="CM2"/>
  <c r="F126"/>
  <c r="ET49"/>
  <c r="EB156"/>
  <c r="AT65"/>
  <c r="BB4"/>
  <c r="DI62"/>
  <c r="CO171"/>
  <c r="EX116"/>
  <c r="FD159"/>
  <c r="EY122"/>
  <c r="AJ112"/>
  <c r="DX108"/>
  <c r="AT102"/>
  <c r="Y81"/>
  <c r="DN76"/>
  <c r="FP145"/>
  <c r="BP8"/>
  <c r="O98"/>
  <c r="V100"/>
  <c r="AS110"/>
  <c r="U72"/>
  <c r="AV96"/>
  <c r="BB23"/>
  <c r="K84"/>
  <c r="DA43"/>
  <c r="EW65"/>
  <c r="EA53"/>
  <c r="DJ25"/>
  <c r="G48"/>
  <c r="DL33"/>
  <c r="DA176"/>
  <c r="BD141"/>
  <c r="AJ76"/>
  <c r="CD141"/>
  <c r="AL44"/>
  <c r="DK76"/>
  <c r="FN158"/>
  <c r="BR59"/>
  <c r="BI67"/>
  <c r="BB84"/>
  <c r="EZ9"/>
  <c r="FK61"/>
  <c r="CR117"/>
  <c r="FO176"/>
  <c r="EV70"/>
  <c r="FD58"/>
  <c r="BJ76"/>
  <c r="EU136"/>
  <c r="EE7"/>
  <c r="CS165"/>
  <c r="BS175"/>
  <c r="AQ133"/>
  <c r="M139"/>
  <c r="CW113"/>
  <c r="I127"/>
  <c r="AL115"/>
  <c r="CK111"/>
  <c r="EZ121"/>
  <c r="DY145"/>
  <c r="M7"/>
  <c r="EA169"/>
  <c r="CT67"/>
  <c r="EN54"/>
  <c r="FB56"/>
  <c r="Z174"/>
  <c r="EH25"/>
  <c r="BX9"/>
  <c r="BX143"/>
  <c r="DD54"/>
  <c r="EN88"/>
  <c r="FU157"/>
  <c r="EN59"/>
  <c r="CX61"/>
  <c r="U67"/>
  <c r="BO53"/>
  <c r="CX122"/>
  <c r="DG118"/>
  <c r="AA50"/>
  <c r="DS101"/>
  <c r="FG72"/>
  <c r="DA10"/>
  <c r="CB39"/>
  <c r="BI38"/>
  <c r="BV104"/>
  <c r="DL141"/>
  <c r="CU110"/>
  <c r="FE84"/>
  <c r="BB36"/>
  <c r="B22"/>
  <c r="CA4"/>
  <c r="AY4"/>
  <c r="BE95"/>
  <c r="BG55"/>
  <c r="AU101"/>
  <c r="I144"/>
  <c r="BB111"/>
  <c r="CM129"/>
  <c r="BR84"/>
  <c r="EH7"/>
  <c r="DC88"/>
  <c r="AH47"/>
  <c r="BY59"/>
  <c r="DJ30"/>
  <c r="CX121"/>
  <c r="CY176"/>
  <c r="BY109"/>
  <c r="CH25"/>
  <c r="EW156"/>
  <c r="AY105"/>
  <c r="BR11"/>
  <c r="FD28"/>
  <c r="EC7"/>
  <c r="EJ57"/>
  <c r="AH70"/>
  <c r="CB108"/>
  <c r="DF36"/>
  <c r="DP21"/>
  <c r="EF118"/>
  <c r="CT19"/>
  <c r="BZ16"/>
  <c r="DO50"/>
  <c r="EJ157"/>
  <c r="EY43"/>
  <c r="V29"/>
  <c r="DV156"/>
  <c r="N10"/>
  <c r="AZ171"/>
  <c r="FC110"/>
  <c r="DU140"/>
  <c r="DS159"/>
  <c r="BM37"/>
  <c r="CV13"/>
  <c r="CF140"/>
  <c r="AG159"/>
  <c r="BU173"/>
  <c r="R14"/>
  <c r="CM44"/>
  <c r="CL149"/>
  <c r="W57"/>
  <c r="FE56"/>
  <c r="EG167"/>
  <c r="BI124"/>
  <c r="BL100"/>
  <c r="EJ146"/>
  <c r="Z105"/>
  <c r="DK38"/>
  <c r="CV24"/>
  <c r="H71"/>
  <c r="DT145"/>
  <c r="DE86"/>
  <c r="FJ40"/>
  <c r="O160"/>
  <c r="AL109"/>
  <c r="AK71"/>
  <c r="EX3"/>
  <c r="DA149"/>
  <c r="G3"/>
  <c r="BS3"/>
  <c r="R95"/>
  <c r="BZ125"/>
  <c r="U116"/>
  <c r="ER162"/>
  <c r="EO117"/>
  <c r="BO77"/>
  <c r="AL52"/>
  <c r="DD76"/>
  <c r="BD33"/>
  <c r="CO37"/>
  <c r="EC82"/>
  <c r="CQ123"/>
  <c r="AC121"/>
  <c r="Q100"/>
  <c r="FV74"/>
  <c r="EO25"/>
  <c r="BY110"/>
  <c r="ER5"/>
  <c r="BX10"/>
  <c r="FO33"/>
  <c r="DZ113"/>
  <c r="AO5"/>
  <c r="FN164"/>
  <c r="CD24"/>
  <c r="FR161"/>
  <c r="BO25"/>
  <c r="CT138"/>
  <c r="EF57"/>
  <c r="AQ97"/>
  <c r="FE57"/>
  <c r="DM115"/>
  <c r="AQ44"/>
  <c r="EU47"/>
  <c r="EQ2"/>
  <c r="AC166"/>
  <c r="BP3"/>
  <c r="CU69"/>
  <c r="B89"/>
  <c r="D54"/>
  <c r="FU98"/>
  <c r="BK151"/>
  <c r="DI23"/>
  <c r="AL177"/>
  <c r="EB52"/>
  <c r="J150"/>
  <c r="EM61"/>
  <c r="DA62"/>
  <c r="ER76"/>
  <c r="AF20"/>
  <c r="EB85"/>
  <c r="CD119"/>
  <c r="CO111"/>
  <c r="EC169"/>
  <c r="FI104"/>
  <c r="FF142"/>
  <c r="Y2"/>
  <c r="AF115"/>
  <c r="FR42"/>
  <c r="BI113"/>
  <c r="BL76"/>
  <c r="AM166"/>
  <c r="J46"/>
  <c r="EV125"/>
  <c r="BM153"/>
  <c r="FG10"/>
  <c r="EP84"/>
  <c r="BL44"/>
  <c r="Q57"/>
  <c r="CH45"/>
  <c r="CQ80"/>
  <c r="EM155"/>
  <c r="EC67"/>
  <c r="AT39"/>
  <c r="AW90"/>
  <c r="BE102"/>
  <c r="BC150"/>
  <c r="Z119"/>
  <c r="J70"/>
  <c r="FE108"/>
  <c r="FS13"/>
  <c r="DE173"/>
  <c r="K48"/>
  <c r="EP9"/>
  <c r="EA128"/>
  <c r="AQ72"/>
  <c r="EL9"/>
  <c r="Q105"/>
  <c r="AE2"/>
  <c r="Z32"/>
  <c r="DK145"/>
  <c r="CJ140"/>
  <c r="CW45"/>
  <c r="FI166"/>
  <c r="CW137"/>
  <c r="FS33"/>
  <c r="FM132"/>
  <c r="AV173"/>
  <c r="EO41"/>
  <c r="EG20"/>
  <c r="AR40"/>
  <c r="ET121"/>
  <c r="EK178"/>
  <c r="FA17"/>
  <c r="V17"/>
  <c r="BY114"/>
  <c r="BW177"/>
  <c r="AB24"/>
  <c r="FR149"/>
  <c r="BQ23"/>
  <c r="P130"/>
  <c r="DW171"/>
  <c r="AI173"/>
  <c r="BX129"/>
  <c r="AB70"/>
  <c r="DD58"/>
  <c r="ES134"/>
  <c r="DF28"/>
  <c r="DS139"/>
  <c r="DC28"/>
  <c r="BM73"/>
  <c r="EF158"/>
  <c r="BD8"/>
  <c r="CS163"/>
  <c r="DM25"/>
  <c r="AI43"/>
  <c r="CS23"/>
  <c r="FV114"/>
  <c r="DS14"/>
  <c r="BZ91"/>
  <c r="Y59"/>
  <c r="X50"/>
  <c r="V57"/>
  <c r="BW138"/>
  <c r="EK60"/>
  <c r="BF34"/>
  <c r="EM40"/>
  <c r="DB61"/>
  <c r="EH128"/>
  <c r="CA54"/>
  <c r="DR96"/>
  <c r="AT138"/>
  <c r="DN104"/>
  <c r="Z141"/>
  <c r="O104"/>
  <c r="AA171"/>
  <c r="E120"/>
  <c r="DC37"/>
  <c r="S108"/>
  <c r="AH101"/>
  <c r="BR12"/>
  <c r="M43"/>
  <c r="BO176"/>
  <c r="M101"/>
  <c r="BP35"/>
  <c r="C147"/>
  <c r="FJ164"/>
  <c r="FF114"/>
  <c r="CB10"/>
  <c r="BY23"/>
  <c r="Q165"/>
  <c r="CG82"/>
  <c r="AV72"/>
  <c r="BB156"/>
  <c r="FM26"/>
  <c r="N175"/>
  <c r="P89"/>
  <c r="CP133"/>
  <c r="CA74"/>
  <c r="FJ85"/>
  <c r="FL56"/>
  <c r="CN171"/>
  <c r="AW88"/>
  <c r="DH37"/>
  <c r="DK120"/>
  <c r="BC114"/>
  <c r="AQ8"/>
  <c r="AS70"/>
  <c r="FS28"/>
  <c r="CE175"/>
  <c r="AX70"/>
  <c r="FM121"/>
  <c r="CH160"/>
  <c r="ED144"/>
  <c r="BF89"/>
  <c r="CU23"/>
  <c r="FJ76"/>
  <c r="C154"/>
  <c r="BX11"/>
  <c r="BV172"/>
  <c r="BI135"/>
  <c r="FB168"/>
  <c r="DA32"/>
  <c r="CC108"/>
  <c r="DT42"/>
  <c r="FQ66"/>
  <c r="DZ87"/>
  <c r="EF85"/>
  <c r="AN6"/>
  <c r="EJ175"/>
  <c r="CB21"/>
  <c r="EG132"/>
  <c r="BL151"/>
  <c r="I60"/>
  <c r="CK65"/>
  <c r="DQ152"/>
  <c r="FP160"/>
  <c r="BJ139"/>
  <c r="BY54"/>
  <c r="BB168"/>
  <c r="EC80"/>
  <c r="O31"/>
  <c r="FH14"/>
  <c r="CA169"/>
  <c r="BE88"/>
  <c r="EJ89"/>
  <c r="AY124"/>
  <c r="DG140"/>
  <c r="DF103"/>
  <c r="DL70"/>
  <c r="BN16"/>
  <c r="DF104"/>
  <c r="AG116"/>
  <c r="N126"/>
  <c r="D100"/>
  <c r="FM59"/>
  <c r="CJ17"/>
  <c r="CC28"/>
  <c r="BR24"/>
  <c r="FK73"/>
  <c r="DT62"/>
  <c r="FH170"/>
  <c r="CB111"/>
  <c r="DX148"/>
  <c r="DZ114"/>
  <c r="CG131"/>
  <c r="AM145"/>
  <c r="AU99"/>
  <c r="CY24"/>
  <c r="DE32"/>
  <c r="CA71"/>
  <c r="J147"/>
  <c r="FD33"/>
  <c r="EG145"/>
  <c r="BB79"/>
  <c r="AT60"/>
  <c r="K111"/>
  <c r="EU44"/>
  <c r="EL11"/>
  <c r="EQ177"/>
  <c r="FI152"/>
  <c r="I177"/>
  <c r="CV4"/>
  <c r="CQ17"/>
  <c r="T93"/>
  <c r="CN59"/>
  <c r="AA135"/>
  <c r="CL140"/>
  <c r="CZ29"/>
  <c r="AV102"/>
  <c r="EC36"/>
  <c r="BZ3"/>
  <c r="CJ92"/>
  <c r="D46"/>
  <c r="M109"/>
  <c r="AA104"/>
  <c r="CU42"/>
  <c r="EW42"/>
  <c r="EQ12"/>
  <c r="EE85"/>
  <c r="DU148"/>
  <c r="BD172"/>
  <c r="DZ50"/>
  <c r="F134"/>
  <c r="AK169"/>
  <c r="CO145"/>
  <c r="AC41"/>
  <c r="BD53"/>
  <c r="DB123"/>
  <c r="ET80"/>
  <c r="CG102"/>
  <c r="CD113"/>
  <c r="X164"/>
  <c r="DQ48"/>
  <c r="O121"/>
  <c r="K89"/>
  <c r="X31"/>
  <c r="FI131"/>
  <c r="BT123"/>
  <c r="AU67"/>
  <c r="AB16"/>
  <c r="R151"/>
  <c r="DB146"/>
  <c r="U125"/>
  <c r="AY29"/>
  <c r="DB10"/>
  <c r="FH168"/>
  <c r="DW44"/>
  <c r="FP79"/>
  <c r="EL161"/>
  <c r="AV36"/>
  <c r="CK54"/>
  <c r="FH40"/>
  <c r="J123"/>
  <c r="FA91"/>
  <c r="V163"/>
  <c r="BM159"/>
  <c r="H152"/>
  <c r="BM31"/>
  <c r="FA45"/>
  <c r="AO130"/>
  <c r="AJ127"/>
  <c r="BM87"/>
  <c r="CA167"/>
  <c r="F60"/>
  <c r="BX170"/>
  <c r="N19"/>
  <c r="FS105"/>
  <c r="CF55"/>
  <c r="AL22"/>
  <c r="M25"/>
  <c r="FC27"/>
  <c r="K173"/>
  <c r="DI76"/>
  <c r="AO63"/>
  <c r="FR5"/>
  <c r="FH146"/>
  <c r="CL105"/>
  <c r="FQ32"/>
  <c r="FQ78"/>
  <c r="DK40"/>
  <c r="AC79"/>
  <c r="CT110"/>
  <c r="AZ10"/>
  <c r="EZ129"/>
  <c r="CR2"/>
  <c r="CJ18"/>
  <c r="DI112"/>
  <c r="FI160"/>
  <c r="FG137"/>
  <c r="DY163"/>
  <c r="FB24"/>
  <c r="AH169"/>
  <c r="B144"/>
  <c r="AV50"/>
  <c r="FI45"/>
  <c r="CZ35"/>
  <c r="AT173"/>
  <c r="AT170"/>
  <c r="J175"/>
  <c r="W178"/>
  <c r="CM39"/>
  <c r="DQ80"/>
  <c r="AG172"/>
  <c r="AM29"/>
  <c r="EE87"/>
  <c r="CK164"/>
  <c r="CG53"/>
  <c r="DW99"/>
  <c r="DX144"/>
  <c r="CO48"/>
  <c r="CI106"/>
  <c r="Q132"/>
  <c r="FM39"/>
  <c r="BT56"/>
  <c r="BX20"/>
  <c r="FM64"/>
  <c r="AJ81"/>
  <c r="EI28"/>
  <c r="FA97"/>
  <c r="V144"/>
  <c r="CP145"/>
  <c r="DD137"/>
  <c r="AW18"/>
  <c r="AB136"/>
  <c r="EY17"/>
  <c r="FV41"/>
  <c r="AN54"/>
  <c r="AM176"/>
  <c r="AG2"/>
  <c r="FD57"/>
  <c r="FL88"/>
  <c r="AD26"/>
  <c r="BC42"/>
  <c r="EV96"/>
  <c r="EP80"/>
  <c r="FU19"/>
  <c r="CX112"/>
  <c r="H27"/>
  <c r="FU59"/>
  <c r="CF96"/>
  <c r="EW67"/>
  <c r="FI77"/>
  <c r="EY58"/>
  <c r="FC127"/>
  <c r="BG8"/>
  <c r="O123"/>
  <c r="DG98"/>
  <c r="AB94"/>
  <c r="CE16"/>
  <c r="CR175"/>
  <c r="FS120"/>
  <c r="FJ16"/>
  <c r="AS16"/>
  <c r="DE146"/>
  <c r="BH88"/>
  <c r="EN42"/>
  <c r="Z168"/>
  <c r="FC91"/>
  <c r="AB135"/>
  <c r="ED151"/>
  <c r="DB155"/>
  <c r="EZ139"/>
  <c r="DG56"/>
  <c r="DT65"/>
  <c r="FE155"/>
  <c r="FO27"/>
  <c r="EJ95"/>
  <c r="DZ116"/>
  <c r="AQ149"/>
  <c r="BW144"/>
  <c r="BW155"/>
  <c r="EV129"/>
  <c r="FT28"/>
  <c r="FI89"/>
  <c r="FD144"/>
  <c r="Q136"/>
  <c r="Y79"/>
  <c r="BW43"/>
  <c r="CS95"/>
  <c r="DB35"/>
  <c r="CC125"/>
  <c r="BQ133"/>
  <c r="L111"/>
  <c r="EO165"/>
  <c r="O82"/>
  <c r="CC7"/>
  <c r="X167"/>
  <c r="Z144"/>
  <c r="AV30"/>
  <c r="AL69"/>
  <c r="CT164"/>
  <c r="AX164"/>
  <c r="BA156"/>
  <c r="DT48"/>
  <c r="K105"/>
  <c r="AC63"/>
  <c r="EV151"/>
  <c r="EM174"/>
  <c r="EX52"/>
  <c r="CA164"/>
  <c r="B75"/>
  <c r="EM9"/>
  <c r="DY3"/>
  <c r="BT145"/>
  <c r="CL92"/>
  <c r="BE56"/>
  <c r="EP91"/>
  <c r="AC142"/>
  <c r="CA31"/>
  <c r="C56"/>
  <c r="DN42"/>
  <c r="DW162"/>
  <c r="EA85"/>
  <c r="BU149"/>
  <c r="BP119"/>
  <c r="CC3"/>
  <c r="CX47"/>
  <c r="CQ83"/>
  <c r="CH16"/>
  <c r="EG85"/>
  <c r="K157"/>
  <c r="CD88"/>
  <c r="DQ140"/>
  <c r="BV61"/>
  <c r="BF108"/>
  <c r="AH120"/>
  <c r="BV123"/>
  <c r="FG80"/>
  <c r="AT63"/>
  <c r="EP141"/>
  <c r="DU175"/>
  <c r="EE95"/>
  <c r="DE136"/>
  <c r="BJ51"/>
  <c r="Q150"/>
  <c r="EP57"/>
  <c r="DB126"/>
  <c r="AW15"/>
  <c r="CU89"/>
  <c r="AG120"/>
  <c r="EW117"/>
  <c r="FT76"/>
  <c r="N81"/>
  <c r="CV18"/>
  <c r="EM156"/>
  <c r="EP162"/>
  <c r="BZ11"/>
  <c r="CF167"/>
  <c r="I81"/>
  <c r="DK21"/>
  <c r="BB123"/>
  <c r="L50"/>
  <c r="M55"/>
  <c r="BH151"/>
  <c r="X133"/>
  <c r="CF72"/>
  <c r="BQ89"/>
  <c r="EE68"/>
  <c r="FO113"/>
  <c r="BJ136"/>
  <c r="AR134"/>
  <c r="AV172"/>
  <c r="AU168"/>
  <c r="DT177"/>
  <c r="BE128"/>
  <c r="Q43"/>
  <c r="FC52"/>
  <c r="CW105"/>
  <c r="BN105"/>
  <c r="U2"/>
  <c r="BH66"/>
  <c r="BS149"/>
  <c r="FR45"/>
  <c r="BW153"/>
  <c r="CG122"/>
  <c r="H169"/>
  <c r="U3"/>
  <c r="FM176"/>
  <c r="DN77"/>
  <c r="DE134"/>
  <c r="DO84"/>
  <c r="BP86"/>
  <c r="CN33"/>
  <c r="CA25"/>
  <c r="FO164"/>
  <c r="I40"/>
  <c r="CW149"/>
  <c r="EM60"/>
  <c r="BX104"/>
  <c r="S174"/>
  <c r="BA55"/>
  <c r="Y65"/>
  <c r="U162"/>
  <c r="AM63"/>
  <c r="AM76"/>
  <c r="CG153"/>
  <c r="DC86"/>
  <c r="DJ60"/>
  <c r="FM46"/>
  <c r="FQ152"/>
  <c r="BH43"/>
  <c r="FO125"/>
  <c r="BZ65"/>
  <c r="CB76"/>
  <c r="FA159"/>
  <c r="EL163"/>
  <c r="EB40"/>
  <c r="DR138"/>
  <c r="FJ163"/>
  <c r="EX42"/>
  <c r="DK162"/>
  <c r="CX54"/>
  <c r="CS39"/>
  <c r="FA140"/>
  <c r="AN43"/>
  <c r="DB9"/>
  <c r="AA23"/>
  <c r="AM143"/>
  <c r="FO30"/>
  <c r="BX12"/>
  <c r="DQ88"/>
  <c r="D129"/>
  <c r="X81"/>
  <c r="EV149"/>
  <c r="AZ51"/>
  <c r="EP34"/>
  <c r="AG109"/>
  <c r="AG76"/>
  <c r="FG138"/>
  <c r="EY34"/>
  <c r="ET127"/>
  <c r="AJ42"/>
  <c r="FM152"/>
  <c r="FR120"/>
  <c r="DV132"/>
  <c r="BH9"/>
  <c r="CW75"/>
  <c r="CY137"/>
  <c r="FM146"/>
  <c r="DX161"/>
  <c r="EW94"/>
  <c r="CZ37"/>
  <c r="FH111"/>
  <c r="DY156"/>
  <c r="C78"/>
  <c r="ED54"/>
  <c r="AY106"/>
  <c r="Q109"/>
  <c r="FR44"/>
  <c r="BY136"/>
  <c r="EP21"/>
  <c r="F116"/>
  <c r="DL90"/>
  <c r="CG88"/>
  <c r="EE136"/>
  <c r="CP59"/>
  <c r="AA120"/>
  <c r="DK123"/>
  <c r="AF95"/>
  <c r="ES61"/>
  <c r="I156"/>
  <c r="EK76"/>
  <c r="EF143"/>
  <c r="FD25"/>
  <c r="EA110"/>
  <c r="EN81"/>
  <c r="CM137"/>
  <c r="BX100"/>
  <c r="FS141"/>
  <c r="AZ54"/>
  <c r="EP70"/>
  <c r="DO85"/>
  <c r="BZ95"/>
  <c r="AQ168"/>
  <c r="S127"/>
  <c r="FM51"/>
  <c r="AK42"/>
  <c r="DR6"/>
  <c r="AM103"/>
  <c r="CY98"/>
  <c r="EM129"/>
  <c r="CP153"/>
  <c r="EM97"/>
  <c r="N123"/>
  <c r="P132"/>
  <c r="DA14"/>
  <c r="EI25"/>
  <c r="AG34"/>
  <c r="AE55"/>
  <c r="DF173"/>
  <c r="EB63"/>
  <c r="AN51"/>
  <c r="BO161"/>
  <c r="AB17"/>
  <c r="U101"/>
  <c r="FT54"/>
  <c r="F175"/>
  <c r="EE64"/>
  <c r="AM134"/>
  <c r="CX7"/>
  <c r="ET100"/>
  <c r="AC81"/>
  <c r="O168"/>
  <c r="BJ166"/>
  <c r="FK91"/>
  <c r="DO4"/>
  <c r="EW68"/>
  <c r="CS115"/>
  <c r="DH81"/>
  <c r="DM18"/>
  <c r="FO163"/>
  <c r="AS150"/>
  <c r="BP123"/>
  <c r="V8"/>
  <c r="FD71"/>
  <c r="D157"/>
  <c r="AA160"/>
  <c r="B177"/>
  <c r="DX121"/>
  <c r="CL96"/>
  <c r="BM139"/>
  <c r="DH89"/>
  <c r="DF90"/>
  <c r="ED61"/>
  <c r="FA134"/>
  <c r="AP115"/>
  <c r="DC150"/>
  <c r="EZ85"/>
  <c r="BN154"/>
  <c r="BX72"/>
  <c r="FK160"/>
  <c r="DK164"/>
  <c r="BG150"/>
  <c r="AV63"/>
  <c r="AA12"/>
  <c r="BB140"/>
  <c r="DD178"/>
  <c r="DB104"/>
  <c r="FV45"/>
  <c r="CZ75"/>
  <c r="AV29"/>
  <c r="EX36"/>
  <c r="EK147"/>
  <c r="AF178"/>
  <c r="CC45"/>
  <c r="CT31"/>
  <c r="BZ34"/>
  <c r="R89"/>
  <c r="BS41"/>
  <c r="EN19"/>
  <c r="FL149"/>
  <c r="DF145"/>
  <c r="BQ163"/>
  <c r="CT139"/>
  <c r="FR59"/>
  <c r="AF97"/>
  <c r="FS54"/>
  <c r="BG162"/>
  <c r="AI130"/>
  <c r="BR110"/>
  <c r="BE23"/>
  <c r="S16"/>
  <c r="CY59"/>
  <c r="DP32"/>
  <c r="EL66"/>
  <c r="K10"/>
  <c r="EM79"/>
  <c r="CR15"/>
  <c r="EC105"/>
  <c r="BS24"/>
  <c r="T40"/>
  <c r="DT19"/>
  <c r="AH80"/>
  <c r="BD28"/>
  <c r="FL119"/>
  <c r="DY149"/>
  <c r="BK155"/>
  <c r="DW134"/>
  <c r="CE134"/>
  <c r="EQ111"/>
  <c r="CH14"/>
  <c r="EA60"/>
  <c r="FV177"/>
  <c r="DI148"/>
  <c r="FA25"/>
  <c r="M71"/>
  <c r="CR141"/>
  <c r="DU113"/>
  <c r="DS67"/>
  <c r="AY13"/>
  <c r="FG129"/>
  <c r="FI114"/>
  <c r="FU43"/>
  <c r="BO46"/>
  <c r="V156"/>
  <c r="J105"/>
  <c r="Z79"/>
  <c r="FM107"/>
  <c r="BQ147"/>
  <c r="BA143"/>
  <c r="CN169"/>
  <c r="DS60"/>
  <c r="AO151"/>
  <c r="DQ8"/>
  <c r="DM88"/>
  <c r="P138"/>
  <c r="BX144"/>
  <c r="C40"/>
  <c r="BL62"/>
  <c r="EJ29"/>
  <c r="AP67"/>
  <c r="BW54"/>
  <c r="EF131"/>
  <c r="AX132"/>
  <c r="AU136"/>
  <c r="EG9"/>
  <c r="FH55"/>
  <c r="EG108"/>
  <c r="BL47"/>
  <c r="DE46"/>
  <c r="BK87"/>
  <c r="DI100"/>
  <c r="AG27"/>
  <c r="EX19"/>
  <c r="DJ131"/>
  <c r="DM82"/>
  <c r="BX15"/>
  <c r="CH113"/>
  <c r="BE171"/>
  <c r="EL90"/>
  <c r="AO118"/>
  <c r="AQ9"/>
  <c r="AE126"/>
  <c r="BZ67"/>
  <c r="BA27"/>
  <c r="AA101"/>
  <c r="DO54"/>
  <c r="N103"/>
  <c r="FP9"/>
  <c r="BR41"/>
  <c r="EC71"/>
  <c r="FB68"/>
  <c r="BO44"/>
  <c r="EZ71"/>
  <c r="ET104"/>
  <c r="FL154"/>
  <c r="U112"/>
  <c r="DM30"/>
  <c r="DV144"/>
  <c r="FM79"/>
  <c r="FH160"/>
  <c r="FC85"/>
  <c r="Z136"/>
  <c r="BS55"/>
  <c r="EA140"/>
  <c r="EI122"/>
  <c r="S166"/>
  <c r="DL6"/>
  <c r="DQ10"/>
  <c r="DV76"/>
  <c r="DV128"/>
  <c r="M81"/>
  <c r="AJ46"/>
  <c r="FS135"/>
  <c r="J18"/>
  <c r="CY127"/>
  <c r="BV140"/>
  <c r="CL61"/>
  <c r="P33"/>
  <c r="ES84"/>
  <c r="U94"/>
  <c r="FV95"/>
  <c r="CT124"/>
  <c r="EK167"/>
  <c r="BK110"/>
  <c r="X54"/>
  <c r="DW11"/>
  <c r="AO35"/>
  <c r="FN136"/>
  <c r="AW6"/>
  <c r="AU60"/>
  <c r="DV86"/>
  <c r="AK78"/>
  <c r="BE82"/>
  <c r="EB57"/>
  <c r="N68"/>
  <c r="AD7"/>
  <c r="DP31"/>
  <c r="BA30"/>
  <c r="DU152"/>
  <c r="AU13"/>
  <c r="BJ34"/>
  <c r="BH144"/>
  <c r="DU118"/>
  <c r="EL25"/>
  <c r="AN80"/>
  <c r="M132"/>
  <c r="FG112"/>
  <c r="EW53"/>
  <c r="AP50"/>
  <c r="AW174"/>
  <c r="BO128"/>
  <c r="ET125"/>
  <c r="DJ22"/>
  <c r="CR138"/>
  <c r="CK133"/>
  <c r="S24"/>
  <c r="BR156"/>
  <c r="DE91"/>
  <c r="EH10"/>
  <c r="EH100"/>
  <c r="EV46"/>
  <c r="FN46"/>
  <c r="DO66"/>
  <c r="ET78"/>
  <c r="CA151"/>
  <c r="BG123"/>
  <c r="CA92"/>
  <c r="DN58"/>
  <c r="FE30"/>
  <c r="BV46"/>
  <c r="DH26"/>
  <c r="DE33"/>
  <c r="EP25"/>
  <c r="DC118"/>
  <c r="L125"/>
  <c r="BZ113"/>
  <c r="FO142"/>
  <c r="S40"/>
  <c r="CC18"/>
  <c r="AY6"/>
  <c r="CN92"/>
  <c r="BK135"/>
  <c r="CR13"/>
  <c r="DT8"/>
  <c r="CT163"/>
  <c r="D36"/>
  <c r="CO127"/>
  <c r="P140"/>
  <c r="W76"/>
  <c r="CE101"/>
  <c r="G10"/>
  <c r="BN135"/>
  <c r="EZ109"/>
  <c r="FO173"/>
  <c r="J144"/>
  <c r="DX168"/>
  <c r="CA120"/>
  <c r="DJ140"/>
  <c r="DZ55"/>
  <c r="DB88"/>
  <c r="AY27"/>
  <c r="DH76"/>
  <c r="DQ105"/>
  <c r="DQ23"/>
  <c r="FP164"/>
  <c r="AT169"/>
  <c r="Q156"/>
  <c r="FH64"/>
  <c r="EO150"/>
  <c r="CT142"/>
  <c r="H57"/>
  <c r="AE166"/>
  <c r="V174"/>
  <c r="FK29"/>
  <c r="CF121"/>
  <c r="ER132"/>
  <c r="AU24"/>
  <c r="EH104"/>
  <c r="BS54"/>
  <c r="BH166"/>
  <c r="DJ137"/>
  <c r="X78"/>
  <c r="BE138"/>
  <c r="E39"/>
  <c r="DW3"/>
  <c r="CJ14"/>
  <c r="BL19"/>
  <c r="I151"/>
  <c r="CF148"/>
  <c r="EZ175"/>
  <c r="CW49"/>
  <c r="B174"/>
  <c r="FU147"/>
  <c r="DV108"/>
  <c r="EC3"/>
  <c r="AZ147"/>
  <c r="EN26"/>
  <c r="AJ14"/>
  <c r="FV67"/>
  <c r="AE8"/>
  <c r="P78"/>
  <c r="J67"/>
  <c r="AA172"/>
  <c r="DQ59"/>
  <c r="AL83"/>
  <c r="AO70"/>
  <c r="CM115"/>
  <c r="EA162"/>
  <c r="CV98"/>
  <c r="AK86"/>
  <c r="L28"/>
  <c r="DL140"/>
  <c r="AF6"/>
  <c r="FH110"/>
  <c r="BU40"/>
  <c r="FN56"/>
  <c r="BH57"/>
  <c r="CO22"/>
  <c r="AZ161"/>
  <c r="DI161"/>
  <c r="BD69"/>
  <c r="CJ105"/>
  <c r="EB171"/>
  <c r="FL25"/>
  <c r="C118"/>
  <c r="BF49"/>
  <c r="CT113"/>
  <c r="BJ91"/>
  <c r="FT90"/>
  <c r="CR33"/>
  <c r="CG64"/>
  <c r="CX50"/>
  <c r="AO75"/>
  <c r="DF42"/>
  <c r="DE56"/>
  <c r="M10"/>
  <c r="E165"/>
  <c r="CC29"/>
  <c r="BW6"/>
  <c r="DH157"/>
  <c r="G58"/>
  <c r="CF141"/>
  <c r="AN58"/>
  <c r="DU70"/>
  <c r="AJ178"/>
  <c r="AC14"/>
  <c r="DV133"/>
  <c r="BP124"/>
  <c r="AF127"/>
  <c r="DK150"/>
  <c r="E149"/>
  <c r="ET115"/>
  <c r="BH24"/>
  <c r="DI61"/>
  <c r="AE22"/>
  <c r="H160"/>
  <c r="ET18"/>
  <c r="CB79"/>
  <c r="BE20"/>
  <c r="FC99"/>
  <c r="AL142"/>
  <c r="AF168"/>
  <c r="DA136"/>
  <c r="DC134"/>
  <c r="EC150"/>
  <c r="EA38"/>
  <c r="CV178"/>
  <c r="DZ8"/>
  <c r="FJ151"/>
  <c r="EK168"/>
  <c r="AY109"/>
  <c r="FR123"/>
  <c r="AF116"/>
  <c r="BT55"/>
  <c r="ER150"/>
  <c r="AG173"/>
  <c r="V94"/>
  <c r="AZ11"/>
  <c r="BR2"/>
  <c r="K170"/>
  <c r="EZ136"/>
  <c r="CX28"/>
  <c r="B147"/>
  <c r="DT97"/>
  <c r="T66"/>
  <c r="Q7"/>
  <c r="FT46"/>
  <c r="FC157"/>
  <c r="BZ49"/>
  <c r="BP175"/>
  <c r="ED81"/>
  <c r="CZ49"/>
  <c r="DC81"/>
  <c r="AB51"/>
  <c r="EF155"/>
  <c r="V106"/>
  <c r="FA116"/>
  <c r="EC29"/>
  <c r="BR106"/>
  <c r="Q45"/>
  <c r="EE171"/>
  <c r="FA149"/>
  <c r="BI140"/>
  <c r="EE18"/>
  <c r="CI59"/>
  <c r="FD122"/>
  <c r="CV87"/>
  <c r="BZ130"/>
  <c r="AO43"/>
  <c r="DX150"/>
  <c r="CJ121"/>
  <c r="C17"/>
  <c r="CT129"/>
  <c r="CU96"/>
  <c r="CB25"/>
  <c r="BL21"/>
  <c r="K39"/>
  <c r="AO141"/>
  <c r="DI136"/>
  <c r="FA36"/>
  <c r="BM106"/>
  <c r="BT54"/>
  <c r="AB144"/>
  <c r="DY97"/>
  <c r="B65"/>
  <c r="DD104"/>
  <c r="V36"/>
  <c r="BO40"/>
  <c r="EE141"/>
  <c r="AJ6"/>
  <c r="CE155"/>
  <c r="K26"/>
  <c r="AW56"/>
  <c r="BX40"/>
  <c r="BY116"/>
  <c r="CT34"/>
  <c r="EL74"/>
  <c r="EZ83"/>
  <c r="Q112"/>
  <c r="EV172"/>
  <c r="AA86"/>
  <c r="DO163"/>
  <c r="AL51"/>
  <c r="AY39"/>
  <c r="EN131"/>
  <c r="BY100"/>
  <c r="R61"/>
  <c r="EH96"/>
  <c r="C39"/>
  <c r="DB6"/>
  <c r="DJ120"/>
  <c r="AI14"/>
  <c r="FB130"/>
  <c r="D58"/>
  <c r="AU8"/>
  <c r="AN160"/>
  <c r="CR122"/>
  <c r="CZ163"/>
  <c r="AJ70"/>
  <c r="BW121"/>
  <c r="AO149"/>
  <c r="FV164"/>
  <c r="CQ8"/>
  <c r="J4"/>
  <c r="DS19"/>
  <c r="ES176"/>
  <c r="AR155"/>
  <c r="G55"/>
  <c r="T98"/>
  <c r="EU150"/>
  <c r="DF144"/>
  <c r="DB63"/>
  <c r="BD139"/>
  <c r="EG148"/>
  <c r="EA67"/>
  <c r="DW56"/>
  <c r="CI148"/>
  <c r="BH141"/>
  <c r="AP32"/>
  <c r="BM56"/>
  <c r="CY171"/>
  <c r="BJ147"/>
  <c r="DV2"/>
  <c r="EN74"/>
  <c r="AC160"/>
  <c r="AI69"/>
  <c r="EP128"/>
  <c r="CE69"/>
  <c r="EE159"/>
  <c r="EQ154"/>
  <c r="BP122"/>
  <c r="BW130"/>
  <c r="CF17"/>
  <c r="N22"/>
  <c r="CO2"/>
  <c r="CJ143"/>
  <c r="BJ35"/>
  <c r="Z54"/>
  <c r="FB69"/>
  <c r="BU120"/>
  <c r="DQ47"/>
  <c r="ET178"/>
  <c r="BW51"/>
  <c r="CU30"/>
  <c r="DU38"/>
  <c r="DV59"/>
  <c r="CO144"/>
  <c r="CH119"/>
  <c r="DZ129"/>
  <c r="AZ39"/>
  <c r="N14"/>
  <c r="FB124"/>
  <c r="AI3"/>
  <c r="Z106"/>
  <c r="Q97"/>
  <c r="FC70"/>
  <c r="CV42"/>
  <c r="BA15"/>
  <c r="CF170"/>
  <c r="DS100"/>
  <c r="AI70"/>
  <c r="CI30"/>
  <c r="EB91"/>
  <c r="CL178"/>
  <c r="EM90"/>
  <c r="DC32"/>
  <c r="CB26"/>
  <c r="EH41"/>
  <c r="FI39"/>
  <c r="ET165"/>
  <c r="DY79"/>
  <c r="FR84"/>
  <c r="DO75"/>
  <c r="DA142"/>
  <c r="EI27"/>
  <c r="FA62"/>
  <c r="CN101"/>
  <c r="EV63"/>
  <c r="DK106"/>
  <c r="BV169"/>
  <c r="BD134"/>
  <c r="DA117"/>
  <c r="EA166"/>
  <c r="CT14"/>
  <c r="AV159"/>
  <c r="AJ89"/>
  <c r="CL84"/>
  <c r="BL165"/>
  <c r="FB169"/>
  <c r="FO90"/>
  <c r="EJ87"/>
  <c r="CA135"/>
  <c r="BP16"/>
  <c r="BT139"/>
  <c r="FF20"/>
  <c r="FF152"/>
  <c r="ER174"/>
  <c r="CP53"/>
  <c r="BY43"/>
  <c r="AL30"/>
  <c r="CI43"/>
  <c r="AA29"/>
  <c r="AE77"/>
  <c r="FT112"/>
  <c r="G50"/>
  <c r="EC121"/>
  <c r="AE45"/>
  <c r="AT172"/>
  <c r="I86"/>
  <c r="DQ18"/>
  <c r="FF14"/>
  <c r="FG28"/>
  <c r="FR105"/>
  <c r="BY106"/>
  <c r="CK70"/>
  <c r="FE21"/>
  <c r="B118"/>
  <c r="DX56"/>
  <c r="DJ49"/>
  <c r="O23"/>
  <c r="EK18"/>
  <c r="EM57"/>
  <c r="DZ35"/>
  <c r="AC114"/>
  <c r="AI18"/>
  <c r="CN127"/>
  <c r="CM108"/>
  <c r="AZ4"/>
  <c r="AX163"/>
  <c r="DP93"/>
  <c r="Q174"/>
  <c r="L96"/>
  <c r="CK173"/>
  <c r="ER31"/>
  <c r="DH126"/>
  <c r="EI84"/>
  <c r="CF39"/>
  <c r="AB166"/>
  <c r="EG104"/>
  <c r="DW19"/>
  <c r="EO161"/>
  <c r="FG51"/>
  <c r="DN61"/>
  <c r="DG165"/>
  <c r="EI149"/>
  <c r="DX52"/>
  <c r="BR175"/>
  <c r="EZ81"/>
  <c r="BR163"/>
  <c r="DA47"/>
  <c r="DG86"/>
  <c r="CE48"/>
  <c r="DF111"/>
  <c r="BN47"/>
  <c r="DK111"/>
  <c r="DY129"/>
  <c r="BS21"/>
  <c r="FV77"/>
  <c r="U98"/>
  <c r="ES80"/>
  <c r="DT35"/>
  <c r="EF100"/>
  <c r="FH125"/>
  <c r="BH133"/>
  <c r="DU158"/>
  <c r="O18"/>
  <c r="BG124"/>
  <c r="FO158"/>
  <c r="CN137"/>
  <c r="DY169"/>
  <c r="DW6"/>
  <c r="F172"/>
  <c r="AD18"/>
  <c r="BK11"/>
  <c r="AK27"/>
  <c r="CQ52"/>
  <c r="EE84"/>
  <c r="FP90"/>
  <c r="BZ69"/>
  <c r="CY168"/>
  <c r="BU46"/>
  <c r="BE132"/>
  <c r="BJ32"/>
  <c r="FH171"/>
  <c r="DW59"/>
  <c r="FE36"/>
  <c r="EG88"/>
  <c r="AT104"/>
  <c r="AU4"/>
  <c r="DE40"/>
  <c r="BA6"/>
  <c r="BN66"/>
  <c r="DI169"/>
  <c r="BV27"/>
  <c r="AB54"/>
  <c r="O48"/>
  <c r="CI123"/>
  <c r="AA125"/>
  <c r="CA141"/>
  <c r="CS119"/>
  <c r="CX44"/>
  <c r="ER69"/>
  <c r="FD69"/>
  <c r="EU27"/>
  <c r="BU95"/>
  <c r="BB177"/>
  <c r="AV27"/>
  <c r="FU7"/>
  <c r="CO61"/>
  <c r="BH45"/>
  <c r="DY34"/>
  <c r="K32"/>
  <c r="EY119"/>
  <c r="Z89"/>
  <c r="AN78"/>
  <c r="X100"/>
  <c r="DJ130"/>
  <c r="AV75"/>
  <c r="DJ175"/>
  <c r="FQ107"/>
  <c r="CD162"/>
  <c r="CS102"/>
  <c r="CX170"/>
  <c r="E74"/>
  <c r="FS134"/>
  <c r="DT111"/>
  <c r="BI75"/>
  <c r="BQ41"/>
  <c r="Y126"/>
  <c r="Y138"/>
  <c r="AF126"/>
  <c r="CO86"/>
  <c r="EH117"/>
  <c r="DI106"/>
  <c r="AA111"/>
  <c r="FC79"/>
  <c r="BZ126"/>
  <c r="FN139"/>
  <c r="FC8"/>
  <c r="DM102"/>
  <c r="FR69"/>
  <c r="AK151"/>
  <c r="D113"/>
  <c r="EA27"/>
  <c r="CL79"/>
  <c r="DB178"/>
  <c r="EG141"/>
  <c r="AC154"/>
  <c r="CR99"/>
  <c r="ED31"/>
  <c r="AJ171"/>
  <c r="CV132"/>
  <c r="BA146"/>
  <c r="AC153"/>
  <c r="BL39"/>
  <c r="H144"/>
  <c r="FH138"/>
  <c r="BV173"/>
  <c r="DD141"/>
  <c r="DE51"/>
  <c r="BY156"/>
  <c r="FE27"/>
  <c r="CW156"/>
  <c r="CA131"/>
  <c r="EG52"/>
  <c r="EJ106"/>
  <c r="FC73"/>
  <c r="EU163"/>
  <c r="ER169"/>
  <c r="BW53"/>
  <c r="EV3"/>
  <c r="FK128"/>
  <c r="AA15"/>
  <c r="BR97"/>
  <c r="BL171"/>
  <c r="CO135"/>
  <c r="CL135"/>
  <c r="DO167"/>
  <c r="BG50"/>
  <c r="BC67"/>
  <c r="L46"/>
  <c r="FJ131"/>
  <c r="AV23"/>
  <c r="EI36"/>
  <c r="CR133"/>
  <c r="BF167"/>
  <c r="AY157"/>
  <c r="BD66"/>
  <c r="CI24"/>
  <c r="CH123"/>
  <c r="W85"/>
  <c r="CC176"/>
  <c r="AG85"/>
  <c r="CP151"/>
  <c r="DF10"/>
  <c r="Y135"/>
  <c r="AS116"/>
  <c r="EB81"/>
  <c r="CW60"/>
  <c r="BV35"/>
  <c r="AV108"/>
  <c r="CV144"/>
  <c r="CO58"/>
  <c r="FL168"/>
  <c r="EV55"/>
  <c r="R113"/>
  <c r="W68"/>
  <c r="AZ70"/>
  <c r="FN103"/>
  <c r="AF121"/>
  <c r="FD161"/>
  <c r="T89"/>
  <c r="AY137"/>
  <c r="BY38"/>
  <c r="EK114"/>
  <c r="AR147"/>
  <c r="CG34"/>
  <c r="EI47"/>
  <c r="FQ176"/>
  <c r="AG45"/>
  <c r="CV79"/>
  <c r="FI22"/>
  <c r="BI107"/>
  <c r="DS63"/>
  <c r="EI146"/>
  <c r="DF124"/>
  <c r="BN23"/>
  <c r="EY152"/>
  <c r="ER56"/>
  <c r="EN8"/>
  <c r="CU59"/>
  <c r="EL156"/>
  <c r="CU72"/>
  <c r="X110"/>
  <c r="E66"/>
  <c r="FG83"/>
  <c r="DJ133"/>
  <c r="FS5"/>
  <c r="N32"/>
  <c r="CD15"/>
  <c r="AI115"/>
  <c r="BQ167"/>
  <c r="BV10"/>
  <c r="BL65"/>
  <c r="O83"/>
  <c r="AB83"/>
  <c r="CQ130"/>
  <c r="FR62"/>
  <c r="CB42"/>
  <c r="EY91"/>
  <c r="EJ141"/>
  <c r="DW133"/>
  <c r="BP40"/>
  <c r="DS173"/>
  <c r="DR39"/>
  <c r="BD35"/>
  <c r="CX176"/>
  <c r="FL167"/>
  <c r="EN25"/>
  <c r="BB174"/>
  <c r="BR171"/>
  <c r="CR9"/>
  <c r="DX60"/>
  <c r="CO80"/>
  <c r="CQ162"/>
  <c r="FS95"/>
  <c r="AM45"/>
  <c r="BP166"/>
  <c r="EJ75"/>
  <c r="DY166"/>
  <c r="BP88"/>
  <c r="EI42"/>
  <c r="DH62"/>
  <c r="DR64"/>
  <c r="DF8"/>
  <c r="CI159"/>
  <c r="FJ139"/>
  <c r="EB121"/>
  <c r="FR118"/>
  <c r="E46"/>
  <c r="FL85"/>
  <c r="EY72"/>
  <c r="ED79"/>
  <c r="BV9"/>
  <c r="DE30"/>
  <c r="AH26"/>
  <c r="I142"/>
  <c r="DS122"/>
  <c r="BC97"/>
  <c r="DA158"/>
  <c r="AF91"/>
  <c r="CK143"/>
  <c r="EM169"/>
  <c r="CE8"/>
  <c r="DN175"/>
  <c r="FT48"/>
  <c r="DV67"/>
  <c r="DK67"/>
  <c r="CB142"/>
  <c r="R40"/>
  <c r="FC94"/>
  <c r="EE25"/>
  <c r="CO94"/>
  <c r="DT174"/>
  <c r="C41"/>
  <c r="AM14"/>
  <c r="BL11"/>
  <c r="EX82"/>
  <c r="CT137"/>
  <c r="FC100"/>
  <c r="CR36"/>
  <c r="DU5"/>
  <c r="AF132"/>
  <c r="BS157"/>
  <c r="EK152"/>
  <c r="BH69"/>
  <c r="G146"/>
  <c r="N21"/>
  <c r="AU26"/>
  <c r="K117"/>
  <c r="ER104"/>
  <c r="AO42"/>
  <c r="EI13"/>
  <c r="DY175"/>
  <c r="EO155"/>
  <c r="DS80"/>
  <c r="O138"/>
  <c r="EV6"/>
  <c r="EU37"/>
  <c r="EY149"/>
  <c r="DQ112"/>
  <c r="EF11"/>
  <c r="BG7"/>
  <c r="DL119"/>
  <c r="EU119"/>
  <c r="AK33"/>
  <c r="DF126"/>
  <c r="EI163"/>
  <c r="FA102"/>
  <c r="CW107"/>
  <c r="FJ77"/>
  <c r="O66"/>
  <c r="CG47"/>
  <c r="BK146"/>
  <c r="CV167"/>
  <c r="AY73"/>
  <c r="FP114"/>
  <c r="BK28"/>
  <c r="AD122"/>
  <c r="DF100"/>
  <c r="DM106"/>
  <c r="CK138"/>
  <c r="CQ92"/>
  <c r="EQ44"/>
  <c r="AW129"/>
  <c r="EJ13"/>
  <c r="X23"/>
  <c r="EP35"/>
  <c r="BT33"/>
  <c r="EG110"/>
  <c r="F173"/>
  <c r="BO120"/>
  <c r="AO19"/>
  <c r="BN48"/>
  <c r="G104"/>
  <c r="BR118"/>
  <c r="CE52"/>
  <c r="L69"/>
  <c r="CE30"/>
  <c r="EL79"/>
  <c r="DM64"/>
  <c r="F35"/>
  <c r="FC49"/>
  <c r="BP97"/>
  <c r="DB57"/>
  <c r="CF132"/>
  <c r="FH176"/>
  <c r="EL94"/>
  <c r="AX36"/>
  <c r="AZ151"/>
  <c r="FS77"/>
  <c r="BE21"/>
  <c r="EE42"/>
  <c r="FC152"/>
  <c r="W59"/>
  <c r="EX70"/>
  <c r="AY141"/>
  <c r="BG100"/>
  <c r="CF125"/>
  <c r="AE141"/>
  <c r="AR174"/>
  <c r="CB45"/>
  <c r="EY117"/>
  <c r="DA92"/>
  <c r="DO117"/>
  <c r="AS107"/>
  <c r="DQ71"/>
  <c r="AT4"/>
  <c r="EJ163"/>
  <c r="CZ91"/>
  <c r="Z70"/>
  <c r="DY24"/>
  <c r="CR28"/>
  <c r="BL92"/>
  <c r="CM117"/>
  <c r="BI65"/>
  <c r="S93"/>
  <c r="AM67"/>
  <c r="DF73"/>
  <c r="BU80"/>
  <c r="AI40"/>
  <c r="CP152"/>
  <c r="FG27"/>
  <c r="DE24"/>
  <c r="ER3"/>
  <c r="CG114"/>
  <c r="AJ55"/>
  <c r="BJ137"/>
  <c r="T44"/>
  <c r="FC18"/>
  <c r="U119"/>
  <c r="K80"/>
  <c r="BA71"/>
  <c r="Z90"/>
  <c r="AW48"/>
  <c r="FD48"/>
  <c r="EQ36"/>
  <c r="L110"/>
  <c r="EG44"/>
  <c r="DP22"/>
  <c r="DA72"/>
  <c r="CT118"/>
  <c r="FV138"/>
  <c r="CH158"/>
  <c r="CU88"/>
  <c r="DG167"/>
  <c r="AE101"/>
  <c r="AD49"/>
  <c r="AA31"/>
  <c r="AM36"/>
  <c r="FS78"/>
  <c r="ED103"/>
  <c r="Z9"/>
  <c r="BJ120"/>
  <c r="BX108"/>
  <c r="CM31"/>
  <c r="AK69"/>
  <c r="EV73"/>
  <c r="DJ63"/>
  <c r="Z14"/>
  <c r="BT69"/>
  <c r="AK85"/>
  <c r="BH134"/>
  <c r="DG161"/>
  <c r="BH62"/>
  <c r="FA92"/>
  <c r="E37"/>
  <c r="BW42"/>
  <c r="CN54"/>
  <c r="AN25"/>
  <c r="BS148"/>
  <c r="AC65"/>
  <c r="ER127"/>
  <c r="F63"/>
  <c r="EJ20"/>
  <c r="X82"/>
  <c r="CV82"/>
  <c r="CD176"/>
  <c r="DX14"/>
  <c r="BA23"/>
  <c r="ES27"/>
  <c r="DX123"/>
  <c r="X3"/>
  <c r="EH64"/>
  <c r="DQ83"/>
  <c r="FG42"/>
  <c r="CP132"/>
  <c r="AK129"/>
  <c r="C9"/>
  <c r="AP11"/>
  <c r="AK112"/>
  <c r="FI78"/>
  <c r="CL111"/>
  <c r="AU87"/>
  <c r="BI100"/>
  <c r="CT72"/>
  <c r="AL61"/>
  <c r="CZ89"/>
  <c r="EY88"/>
  <c r="DY71"/>
  <c r="AE148"/>
  <c r="U175"/>
  <c r="AZ169"/>
  <c r="DI80"/>
  <c r="CD167"/>
  <c r="AP141"/>
  <c r="E135"/>
  <c r="CF128"/>
  <c r="CV129"/>
  <c r="CF80"/>
  <c r="DH6"/>
  <c r="EG113"/>
  <c r="FL79"/>
  <c r="BO54"/>
  <c r="DQ13"/>
  <c r="AM19"/>
  <c r="BF41"/>
  <c r="AT123"/>
  <c r="DU155"/>
  <c r="FP46"/>
  <c r="CZ68"/>
  <c r="CI155"/>
  <c r="EZ74"/>
  <c r="EB39"/>
  <c r="W155"/>
  <c r="FU51"/>
  <c r="FQ19"/>
  <c r="CW88"/>
  <c r="EM139"/>
  <c r="CZ61"/>
  <c r="BR101"/>
  <c r="AG123"/>
  <c r="BZ98"/>
  <c r="CI108"/>
  <c r="AP18"/>
  <c r="FL5"/>
  <c r="AI64"/>
  <c r="BD20"/>
  <c r="FR98"/>
  <c r="DO34"/>
  <c r="Q33"/>
  <c r="O166"/>
  <c r="AK18"/>
  <c r="CD3"/>
  <c r="FQ9"/>
  <c r="CJ110"/>
  <c r="AB41"/>
  <c r="DA34"/>
  <c r="AP177"/>
  <c r="DE148"/>
  <c r="CV123"/>
  <c r="DY53"/>
  <c r="ED91"/>
  <c r="DW109"/>
  <c r="DZ94"/>
  <c r="DC159"/>
  <c r="AQ21"/>
  <c r="DD157"/>
  <c r="AE161"/>
  <c r="FU14"/>
  <c r="AK32"/>
  <c r="DA20"/>
  <c r="U123"/>
  <c r="CV119"/>
  <c r="AR59"/>
  <c r="P177"/>
  <c r="DD14"/>
  <c r="BW9"/>
  <c r="DE137"/>
  <c r="DX53"/>
  <c r="AM3"/>
  <c r="BI37"/>
  <c r="AC36"/>
  <c r="ET159"/>
  <c r="BG172"/>
  <c r="EE153"/>
  <c r="AJ53"/>
  <c r="AX71"/>
  <c r="FN123"/>
  <c r="EZ158"/>
  <c r="ER143"/>
  <c r="FF44"/>
  <c r="H34"/>
  <c r="EX57"/>
  <c r="BH12"/>
  <c r="BS121"/>
  <c r="CQ176"/>
  <c r="BG24"/>
  <c r="AV80"/>
  <c r="BA7"/>
  <c r="AL79"/>
  <c r="DN70"/>
  <c r="CB171"/>
  <c r="BV142"/>
  <c r="CC12"/>
  <c r="AB154"/>
  <c r="AW94"/>
  <c r="DI172"/>
  <c r="FR34"/>
  <c r="AU68"/>
  <c r="CT17"/>
  <c r="AC177"/>
  <c r="Q50"/>
  <c r="AQ108"/>
  <c r="O105"/>
  <c r="DQ127"/>
  <c r="CI134"/>
  <c r="I101"/>
  <c r="CC126"/>
  <c r="BB162"/>
  <c r="FE176"/>
  <c r="ED108"/>
  <c r="AS175"/>
  <c r="R111"/>
  <c r="DZ106"/>
  <c r="AF102"/>
  <c r="FA105"/>
  <c r="CV86"/>
  <c r="W35"/>
  <c r="CO68"/>
  <c r="ER57"/>
  <c r="R19"/>
  <c r="FA39"/>
  <c r="N66"/>
  <c r="FM53"/>
  <c r="BX119"/>
  <c r="ER88"/>
  <c r="AO73"/>
  <c r="EK37"/>
  <c r="CE152"/>
  <c r="DV115"/>
  <c r="DZ38"/>
  <c r="EB144"/>
  <c r="EE121"/>
  <c r="J117"/>
  <c r="BM58"/>
  <c r="BO127"/>
  <c r="DT127"/>
  <c r="AW46"/>
  <c r="BG36"/>
  <c r="EQ172"/>
  <c r="DT120"/>
  <c r="EQ13"/>
  <c r="Q23"/>
  <c r="EU30"/>
  <c r="FF116"/>
  <c r="AS151"/>
  <c r="FU34"/>
  <c r="AB59"/>
  <c r="CB98"/>
  <c r="EX162"/>
  <c r="DG169"/>
  <c r="BV97"/>
  <c r="BZ62"/>
  <c r="EV148"/>
  <c r="AL102"/>
  <c r="CE44"/>
  <c r="EC16"/>
  <c r="AC163"/>
  <c r="AK123"/>
  <c r="S46"/>
  <c r="EB98"/>
  <c r="G38"/>
  <c r="D94"/>
  <c r="DV82"/>
  <c r="CP148"/>
  <c r="AM168"/>
  <c r="CJ124"/>
  <c r="DQ144"/>
  <c r="DT91"/>
  <c r="EX135"/>
  <c r="EI158"/>
  <c r="CT15"/>
  <c r="EQ143"/>
  <c r="BT78"/>
  <c r="N34"/>
  <c r="M142"/>
  <c r="Q144"/>
  <c r="BU121"/>
  <c r="DC143"/>
  <c r="DY38"/>
  <c r="FI100"/>
  <c r="CB63"/>
  <c r="EC90"/>
  <c r="FT176"/>
  <c r="BR136"/>
  <c r="BB108"/>
  <c r="CZ76"/>
  <c r="BB133"/>
  <c r="N100"/>
  <c r="DE131"/>
  <c r="BI20"/>
  <c r="DL127"/>
  <c r="EV56"/>
  <c r="DP10"/>
  <c r="AC141"/>
  <c r="DW68"/>
  <c r="CN79"/>
  <c r="DZ166"/>
  <c r="CY32"/>
  <c r="FB82"/>
  <c r="FN20"/>
  <c r="ER41"/>
  <c r="BK40"/>
  <c r="FJ46"/>
  <c r="DS27"/>
  <c r="DQ154"/>
  <c r="DM145"/>
  <c r="EX174"/>
  <c r="AU152"/>
  <c r="FV170"/>
  <c r="AE94"/>
  <c r="CW53"/>
  <c r="EF140"/>
  <c r="CK83"/>
  <c r="CP28"/>
  <c r="EL36"/>
  <c r="CZ155"/>
  <c r="CL120"/>
  <c r="FO52"/>
  <c r="CV122"/>
  <c r="CL50"/>
  <c r="G61"/>
  <c r="FK26"/>
  <c r="BU73"/>
  <c r="AS39"/>
  <c r="AK104"/>
  <c r="DD166"/>
  <c r="R20"/>
  <c r="BO143"/>
  <c r="DS174"/>
  <c r="BG156"/>
  <c r="AC53"/>
  <c r="AU161"/>
  <c r="CV78"/>
  <c r="FS20"/>
  <c r="FR65"/>
  <c r="AH103"/>
  <c r="FA129"/>
  <c r="AJ158"/>
  <c r="BR177"/>
  <c r="FT27"/>
  <c r="DZ96"/>
  <c r="U37"/>
  <c r="DU78"/>
  <c r="W124"/>
  <c r="EQ17"/>
  <c r="CR18"/>
  <c r="EQ150"/>
  <c r="AO104"/>
  <c r="FK66"/>
  <c r="Y80"/>
  <c r="H158"/>
  <c r="DJ171"/>
  <c r="R158"/>
  <c r="AO4"/>
  <c r="CH80"/>
  <c r="DO33"/>
  <c r="AR27"/>
  <c r="CV60"/>
  <c r="AK127"/>
  <c r="EZ11"/>
  <c r="FO107"/>
  <c r="BG74"/>
  <c r="BP168"/>
  <c r="CW87"/>
  <c r="EH43"/>
  <c r="D158"/>
  <c r="EM45"/>
  <c r="W111"/>
  <c r="BW162"/>
  <c r="CE159"/>
  <c r="CV164"/>
  <c r="P68"/>
  <c r="BY163"/>
  <c r="DC112"/>
  <c r="AY147"/>
  <c r="AE115"/>
  <c r="I80"/>
  <c r="BE127"/>
  <c r="EK162"/>
  <c r="AW17"/>
  <c r="DZ145"/>
  <c r="AS59"/>
  <c r="BV30"/>
  <c r="BB137"/>
  <c r="FP108"/>
  <c r="BV4"/>
  <c r="DB84"/>
  <c r="FL103"/>
  <c r="D95"/>
  <c r="T62"/>
  <c r="AY133"/>
  <c r="W16"/>
  <c r="M130"/>
  <c r="K108"/>
  <c r="EF66"/>
  <c r="DR152"/>
  <c r="DG18"/>
  <c r="BI145"/>
  <c r="BM43"/>
  <c r="FU44"/>
  <c r="EJ7"/>
  <c r="EW100"/>
  <c r="BN58"/>
  <c r="CS29"/>
  <c r="BT27"/>
  <c r="FJ12"/>
  <c r="EN167"/>
  <c r="Y173"/>
  <c r="BB46"/>
  <c r="DY59"/>
  <c r="ED177"/>
  <c r="BV56"/>
  <c r="J73"/>
  <c r="FD95"/>
  <c r="CJ169"/>
  <c r="B101"/>
  <c r="CD132"/>
  <c r="AR149"/>
  <c r="FH79"/>
  <c r="DI18"/>
  <c r="G54"/>
  <c r="AR98"/>
  <c r="EC9"/>
  <c r="G95"/>
  <c r="AW131"/>
  <c r="FD65"/>
  <c r="CN56"/>
  <c r="FA10"/>
  <c r="EU49"/>
  <c r="BT13"/>
  <c r="CD133"/>
  <c r="FV85"/>
  <c r="CX58"/>
  <c r="Q90"/>
  <c r="BU172"/>
  <c r="O57"/>
  <c r="CC96"/>
  <c r="AN126"/>
  <c r="K109"/>
  <c r="BM141"/>
  <c r="EB7"/>
  <c r="EZ165"/>
  <c r="CH9"/>
  <c r="AF78"/>
  <c r="AM66"/>
  <c r="FS156"/>
  <c r="BF110"/>
  <c r="AD173"/>
  <c r="AS104"/>
  <c r="FV96"/>
  <c r="BD38"/>
  <c r="EF108"/>
  <c r="BV132"/>
  <c r="CU35"/>
  <c r="FT9"/>
  <c r="W46"/>
  <c r="CX124"/>
  <c r="AL94"/>
  <c r="L89"/>
  <c r="EE21"/>
  <c r="DB143"/>
  <c r="DX39"/>
  <c r="ES71"/>
  <c r="BS95"/>
  <c r="AB67"/>
  <c r="M170"/>
  <c r="DX99"/>
  <c r="DD60"/>
  <c r="DI122"/>
  <c r="ES91"/>
  <c r="J50"/>
  <c r="BD174"/>
  <c r="CJ15"/>
  <c r="BC108"/>
  <c r="FB133"/>
  <c r="CJ22"/>
  <c r="FE115"/>
  <c r="EH74"/>
  <c r="FQ36"/>
  <c r="AF159"/>
  <c r="O37"/>
  <c r="FD73"/>
  <c r="CU112"/>
  <c r="AR146"/>
  <c r="DG38"/>
  <c r="FF129"/>
  <c r="BE6"/>
  <c r="DP15"/>
  <c r="BM147"/>
  <c r="ES21"/>
  <c r="W159"/>
  <c r="AA52"/>
  <c r="BQ114"/>
  <c r="BK90"/>
  <c r="CA3"/>
  <c r="CU47"/>
  <c r="DT45"/>
  <c r="FE4"/>
  <c r="CU38"/>
  <c r="CD57"/>
  <c r="BV25"/>
  <c r="O87"/>
  <c r="AZ124"/>
  <c r="ET38"/>
  <c r="AL140"/>
  <c r="DH132"/>
  <c r="BE113"/>
  <c r="BI77"/>
  <c r="FU67"/>
  <c r="EU25"/>
  <c r="Q99"/>
  <c r="CQ156"/>
  <c r="FE62"/>
  <c r="AC50"/>
  <c r="BV12"/>
  <c r="M176"/>
  <c r="BW31"/>
  <c r="AD152"/>
  <c r="CQ165"/>
  <c r="DP142"/>
  <c r="AC73"/>
  <c r="EX85"/>
  <c r="DT27"/>
  <c r="DJ159"/>
  <c r="AL86"/>
  <c r="AK80"/>
  <c r="CX4"/>
  <c r="U95"/>
  <c r="CC8"/>
  <c r="CZ5"/>
  <c r="DX97"/>
  <c r="EL178"/>
  <c r="DE29"/>
  <c r="F73"/>
  <c r="C35"/>
  <c r="E115"/>
  <c r="Y110"/>
  <c r="B139"/>
  <c r="BP162"/>
  <c r="AP81"/>
  <c r="DD66"/>
  <c r="CJ47"/>
  <c r="DO102"/>
  <c r="CJ171"/>
  <c r="FC159"/>
  <c r="DP72"/>
  <c r="BV78"/>
  <c r="CN5"/>
  <c r="DG131"/>
  <c r="CT66"/>
  <c r="CH95"/>
  <c r="AS26"/>
  <c r="U77"/>
  <c r="FC39"/>
  <c r="DT2"/>
  <c r="BK126"/>
  <c r="BT165"/>
  <c r="DF9"/>
  <c r="T53"/>
  <c r="DG32"/>
  <c r="CT103"/>
  <c r="FO99"/>
  <c r="BY96"/>
  <c r="EI147"/>
  <c r="AX67"/>
  <c r="CE110"/>
  <c r="DS165"/>
  <c r="ET79"/>
  <c r="FV26"/>
  <c r="I139"/>
  <c r="EB82"/>
  <c r="Z154"/>
  <c r="T156"/>
  <c r="FJ35"/>
  <c r="CW64"/>
  <c r="CZ79"/>
  <c r="EK43"/>
  <c r="B31"/>
  <c r="J53"/>
  <c r="CH38"/>
  <c r="CV56"/>
  <c r="CM7"/>
  <c r="DN108"/>
  <c r="CQ77"/>
  <c r="AS83"/>
  <c r="EO44"/>
  <c r="AQ75"/>
  <c r="CI69"/>
  <c r="EE67"/>
  <c r="DA68"/>
  <c r="AZ34"/>
  <c r="CR17"/>
  <c r="BK22"/>
  <c r="Z34"/>
  <c r="BX147"/>
  <c r="FI32"/>
  <c r="CV118"/>
  <c r="AP125"/>
  <c r="Z3"/>
  <c r="Y28"/>
  <c r="BX73"/>
  <c r="BM42"/>
  <c r="CC137"/>
  <c r="DX79"/>
  <c r="DX35"/>
  <c r="E20"/>
  <c r="AY80"/>
  <c r="BO133"/>
  <c r="R82"/>
  <c r="BY115"/>
  <c r="EG84"/>
  <c r="FL78"/>
  <c r="AF71"/>
  <c r="D9"/>
  <c r="BE103"/>
  <c r="N170"/>
  <c r="EF23"/>
  <c r="AT126"/>
  <c r="AJ4"/>
  <c r="ED114"/>
  <c r="AU137"/>
  <c r="BX105"/>
  <c r="DD127"/>
  <c r="BE52"/>
  <c r="BO158"/>
  <c r="BQ127"/>
  <c r="FQ74"/>
  <c r="DR34"/>
  <c r="CK170"/>
  <c r="FN92"/>
  <c r="I75"/>
  <c r="AT3"/>
  <c r="AX60"/>
  <c r="EG54"/>
  <c r="BZ64"/>
  <c r="FA107"/>
  <c r="AB84"/>
  <c r="BU134"/>
  <c r="FM147"/>
  <c r="DC157"/>
  <c r="EE13"/>
  <c r="CJ67"/>
  <c r="W2"/>
  <c r="AJ160"/>
  <c r="V126"/>
  <c r="CF137"/>
  <c r="BM10"/>
  <c r="FT85"/>
  <c r="EI148"/>
  <c r="AX113"/>
  <c r="DF87"/>
  <c r="DJ146"/>
  <c r="P26"/>
  <c r="W72"/>
  <c r="AL7"/>
  <c r="BN126"/>
  <c r="BB37"/>
  <c r="CY115"/>
  <c r="FD131"/>
  <c r="BY154"/>
  <c r="CM174"/>
  <c r="FU10"/>
  <c r="BE141"/>
  <c r="D18"/>
  <c r="AH105"/>
  <c r="AT86"/>
  <c r="AX80"/>
  <c r="EK143"/>
  <c r="ET136"/>
  <c r="AC17"/>
  <c r="CU171"/>
  <c r="BG67"/>
  <c r="AF45"/>
  <c r="BF6"/>
  <c r="EV67"/>
  <c r="DR117"/>
  <c r="M23"/>
  <c r="EU122"/>
  <c r="BI99"/>
  <c r="EX176"/>
  <c r="BL79"/>
  <c r="DB165"/>
  <c r="S132"/>
  <c r="FU109"/>
  <c r="DP161"/>
  <c r="CQ166"/>
  <c r="CD137"/>
  <c r="DP123"/>
  <c r="AU127"/>
  <c r="BY91"/>
  <c r="J62"/>
  <c r="FA83"/>
  <c r="FS160"/>
  <c r="DI77"/>
  <c r="BR142"/>
  <c r="BB107"/>
  <c r="BT63"/>
  <c r="BO174"/>
  <c r="DH68"/>
  <c r="EA11"/>
  <c r="DS66"/>
  <c r="EQ130"/>
  <c r="AT137"/>
  <c r="AE154"/>
  <c r="V91"/>
  <c r="DP6"/>
  <c r="L134"/>
  <c r="DR170"/>
  <c r="EP177"/>
  <c r="DO78"/>
  <c r="AK81"/>
  <c r="EF46"/>
  <c r="AL45"/>
  <c r="EV175"/>
  <c r="FD164"/>
  <c r="DS96"/>
  <c r="AB87"/>
  <c r="FL125"/>
  <c r="FO131"/>
  <c r="R145"/>
  <c r="G14"/>
  <c r="DH10"/>
  <c r="J155"/>
  <c r="EO167"/>
  <c r="EP66"/>
  <c r="CP90"/>
  <c r="EV131"/>
  <c r="CH166"/>
  <c r="EP92"/>
  <c r="AC139"/>
  <c r="BP161"/>
  <c r="CN29"/>
  <c r="AQ139"/>
  <c r="BC69"/>
  <c r="FP74"/>
  <c r="DC97"/>
  <c r="BF97"/>
  <c r="EU128"/>
  <c r="AU35"/>
  <c r="FR100"/>
  <c r="BI17"/>
  <c r="T84"/>
  <c r="AP21"/>
  <c r="AE27"/>
  <c r="FD155"/>
  <c r="B50"/>
  <c r="DF78"/>
  <c r="FN127"/>
  <c r="EJ138"/>
  <c r="CA18"/>
  <c r="CC23"/>
  <c r="CZ117"/>
  <c r="DF82"/>
  <c r="DD19"/>
  <c r="FR168"/>
  <c r="CX80"/>
  <c r="FD62"/>
  <c r="AU50"/>
  <c r="CM143"/>
  <c r="V141"/>
  <c r="BX95"/>
  <c r="DC67"/>
  <c r="X20"/>
  <c r="CK6"/>
  <c r="DC39"/>
  <c r="W43"/>
  <c r="BK4"/>
  <c r="FQ103"/>
  <c r="W117"/>
  <c r="EC8"/>
  <c r="DV68"/>
  <c r="DG119"/>
  <c r="FL41"/>
  <c r="EU78"/>
  <c r="DL13"/>
  <c r="Q94"/>
  <c r="D78"/>
  <c r="FG63"/>
  <c r="ES54"/>
  <c r="BA113"/>
  <c r="BI152"/>
  <c r="FN22"/>
  <c r="EA103"/>
  <c r="DQ119"/>
  <c r="K25"/>
  <c r="Z20"/>
  <c r="W36"/>
  <c r="CI36"/>
  <c r="T85"/>
  <c r="X94"/>
  <c r="Y40"/>
  <c r="FU28"/>
  <c r="DK134"/>
  <c r="FS138"/>
  <c r="EV173"/>
  <c r="J43"/>
  <c r="ED117"/>
  <c r="FK148"/>
  <c r="BP150"/>
  <c r="AC80"/>
  <c r="CC92"/>
  <c r="EF164"/>
  <c r="DE155"/>
  <c r="EB131"/>
  <c r="P10"/>
  <c r="EU59"/>
  <c r="AP52"/>
  <c r="FT3"/>
  <c r="BN50"/>
  <c r="BY51"/>
  <c r="ET16"/>
  <c r="AO88"/>
  <c r="CS13"/>
  <c r="DY142"/>
  <c r="DO101"/>
  <c r="AC11"/>
  <c r="DK169"/>
  <c r="CC41"/>
  <c r="BN149"/>
  <c r="BB11"/>
  <c r="AQ89"/>
  <c r="FK15"/>
  <c r="FR75"/>
  <c r="M126"/>
  <c r="Z118"/>
  <c r="CZ53"/>
  <c r="M125"/>
  <c r="AO153"/>
  <c r="BH52"/>
  <c r="CN51"/>
  <c r="H174"/>
  <c r="K83"/>
  <c r="EM152"/>
  <c r="DF43"/>
  <c r="EA136"/>
  <c r="CU130"/>
  <c r="DD173"/>
  <c r="AB63"/>
  <c r="DI130"/>
  <c r="AW157"/>
  <c r="CL108"/>
  <c r="P82"/>
  <c r="EO100"/>
  <c r="Q18"/>
  <c r="AH69"/>
  <c r="AO125"/>
  <c r="FO167"/>
  <c r="EB100"/>
  <c r="AX46"/>
  <c r="CK151"/>
  <c r="EP131"/>
  <c r="U80"/>
  <c r="FD109"/>
  <c r="EJ31"/>
  <c r="G103"/>
  <c r="EI172"/>
  <c r="DM86"/>
  <c r="DG148"/>
  <c r="EC18"/>
  <c r="BQ34"/>
  <c r="EV68"/>
  <c r="EM81"/>
  <c r="AE19"/>
  <c r="EO89"/>
  <c r="DW5"/>
  <c r="AE16"/>
  <c r="BS144"/>
  <c r="AN15"/>
  <c r="EQ16"/>
  <c r="DK18"/>
  <c r="CL143"/>
  <c r="FK173"/>
  <c r="R39"/>
  <c r="EB164"/>
  <c r="BR86"/>
  <c r="DJ178"/>
  <c r="CF37"/>
  <c r="EM131"/>
  <c r="FT104"/>
  <c r="BR34"/>
  <c r="DH108"/>
  <c r="CJ120"/>
  <c r="AX114"/>
  <c r="FP172"/>
  <c r="AH20"/>
  <c r="EN71"/>
  <c r="DL122"/>
  <c r="BZ160"/>
  <c r="FT129"/>
  <c r="EE38"/>
  <c r="CW74"/>
  <c r="H83"/>
  <c r="BN75"/>
  <c r="BH71"/>
  <c r="FQ55"/>
  <c r="CQ178"/>
  <c r="CJ138"/>
  <c r="EI5"/>
  <c r="K99"/>
  <c r="FC165"/>
  <c r="CY99"/>
  <c r="EX50"/>
  <c r="CY141"/>
  <c r="AI89"/>
  <c r="BB3"/>
  <c r="FQ57"/>
  <c r="CG100"/>
  <c r="DD132"/>
  <c r="L114"/>
  <c r="ES92"/>
  <c r="AT147"/>
  <c r="DA73"/>
  <c r="K172"/>
  <c r="EQ90"/>
  <c r="EH83"/>
  <c r="DF120"/>
  <c r="AP41"/>
  <c r="L116"/>
  <c r="EB6"/>
  <c r="CL13"/>
  <c r="FB90"/>
  <c r="BZ128"/>
  <c r="BM112"/>
  <c r="BF140"/>
  <c r="FS119"/>
  <c r="S101"/>
  <c r="CX156"/>
  <c r="BD88"/>
  <c r="J92"/>
  <c r="EM119"/>
  <c r="I138"/>
  <c r="CI68"/>
  <c r="DK48"/>
  <c r="CI157"/>
  <c r="BD133"/>
  <c r="CL132"/>
  <c r="DJ14"/>
  <c r="FM83"/>
  <c r="EQ88"/>
  <c r="W167"/>
  <c r="V90"/>
  <c r="F143"/>
  <c r="EC146"/>
  <c r="DB33"/>
  <c r="EO137"/>
  <c r="EX163"/>
  <c r="CZ104"/>
  <c r="L142"/>
  <c r="CT155"/>
  <c r="CC152"/>
  <c r="ED136"/>
  <c r="FE60"/>
  <c r="DO91"/>
  <c r="DX149"/>
  <c r="BE147"/>
  <c r="J139"/>
  <c r="FL64"/>
  <c r="FO10"/>
  <c r="CS156"/>
  <c r="DE6"/>
  <c r="FQ138"/>
  <c r="DM83"/>
  <c r="FF148"/>
  <c r="ES49"/>
  <c r="EZ41"/>
  <c r="AU104"/>
  <c r="AM81"/>
  <c r="AN117"/>
  <c r="CX42"/>
  <c r="DM165"/>
  <c r="EZ93"/>
  <c r="CN134"/>
  <c r="AD112"/>
  <c r="CW73"/>
  <c r="FN143"/>
  <c r="AY101"/>
  <c r="EG173"/>
  <c r="FN2"/>
  <c r="CV151"/>
  <c r="AS17"/>
  <c r="Z43"/>
  <c r="ER142"/>
  <c r="FP109"/>
  <c r="CO124"/>
  <c r="CD50"/>
  <c r="DZ44"/>
  <c r="CE17"/>
  <c r="CY128"/>
  <c r="CC164"/>
  <c r="R144"/>
  <c r="DO37"/>
  <c r="X125"/>
  <c r="AU66"/>
  <c r="DN128"/>
  <c r="AV137"/>
  <c r="DD99"/>
  <c r="EP104"/>
  <c r="DK32"/>
  <c r="X52"/>
  <c r="C68"/>
  <c r="FH50"/>
  <c r="BG157"/>
  <c r="CS169"/>
  <c r="EL109"/>
  <c r="BL156"/>
  <c r="EP47"/>
  <c r="DG153"/>
  <c r="FV28"/>
  <c r="D73"/>
  <c r="S115"/>
  <c r="AX51"/>
  <c r="FC160"/>
  <c r="DP19"/>
  <c r="W100"/>
  <c r="DA160"/>
  <c r="CB146"/>
  <c r="BE59"/>
  <c r="AQ102"/>
  <c r="AJ103"/>
  <c r="DW33"/>
  <c r="FD5"/>
  <c r="AI177"/>
  <c r="FH177"/>
  <c r="FR107"/>
  <c r="U43"/>
  <c r="FG64"/>
  <c r="BB160"/>
  <c r="CE109"/>
  <c r="AD34"/>
  <c r="CY17"/>
  <c r="CJ156"/>
  <c r="DZ39"/>
  <c r="FK51"/>
  <c r="DT58"/>
  <c r="AT119"/>
  <c r="BC129"/>
  <c r="EG75"/>
  <c r="BO137"/>
  <c r="EK58"/>
  <c r="EH144"/>
  <c r="EM147"/>
  <c r="FU83"/>
  <c r="FJ96"/>
  <c r="AV140"/>
  <c r="B8"/>
  <c r="EX171"/>
  <c r="EK59"/>
  <c r="AR33"/>
  <c r="AN14"/>
  <c r="I24"/>
  <c r="BN152"/>
  <c r="CS93"/>
  <c r="FP23"/>
  <c r="CI42"/>
  <c r="AK9"/>
  <c r="CT152"/>
  <c r="P148"/>
  <c r="BE45"/>
  <c r="DU133"/>
  <c r="D91"/>
  <c r="CY38"/>
  <c r="DS22"/>
  <c r="CW92"/>
  <c r="BM114"/>
  <c r="FA84"/>
  <c r="DW110"/>
  <c r="BO15"/>
  <c r="DV12"/>
  <c r="AN65"/>
  <c r="DN51"/>
  <c r="EH18"/>
  <c r="FC17"/>
  <c r="FR60"/>
  <c r="DA172"/>
  <c r="AR34"/>
  <c r="DM113"/>
  <c r="FO15"/>
  <c r="V145"/>
  <c r="ER63"/>
  <c r="CL156"/>
  <c r="ES33"/>
  <c r="BL13"/>
  <c r="FN7"/>
  <c r="EV107"/>
  <c r="BP20"/>
  <c r="C162"/>
  <c r="AR32"/>
  <c r="DA52"/>
  <c r="P163"/>
  <c r="EF17"/>
  <c r="EO141"/>
  <c r="CF65"/>
  <c r="AU163"/>
  <c r="EC130"/>
  <c r="CR126"/>
  <c r="DW65"/>
  <c r="EY44"/>
  <c r="F153"/>
  <c r="EC112"/>
  <c r="AQ146"/>
  <c r="CC65"/>
  <c r="CQ65"/>
  <c r="AZ52"/>
  <c r="FJ6"/>
  <c r="DO57"/>
  <c r="DP163"/>
  <c r="DA39"/>
  <c r="J17"/>
  <c r="X147"/>
  <c r="CP99"/>
  <c r="BZ145"/>
  <c r="N47"/>
  <c r="EB26"/>
  <c r="AP76"/>
  <c r="L117"/>
  <c r="FJ51"/>
  <c r="ES44"/>
  <c r="J165"/>
  <c r="FP124"/>
  <c r="CG8"/>
  <c r="AT110"/>
  <c r="AM122"/>
  <c r="EG26"/>
  <c r="DP132"/>
  <c r="CG69"/>
  <c r="FN48"/>
  <c r="BI137"/>
  <c r="CM96"/>
  <c r="CA26"/>
  <c r="BT31"/>
  <c r="CX132"/>
  <c r="BG135"/>
  <c r="BO142"/>
  <c r="K41"/>
  <c r="CQ106"/>
  <c r="DV111"/>
  <c r="U164"/>
  <c r="FR121"/>
  <c r="FH161"/>
  <c r="BV153"/>
  <c r="AL4"/>
  <c r="EJ79"/>
  <c r="W115"/>
  <c r="FP92"/>
  <c r="CU91"/>
  <c r="EM24"/>
  <c r="BY14"/>
  <c r="AB155"/>
  <c r="CG127"/>
  <c r="M95"/>
  <c r="EL116"/>
  <c r="P142"/>
  <c r="DV88"/>
  <c r="CA6"/>
  <c r="BS34"/>
  <c r="DJ104"/>
  <c r="EB116"/>
  <c r="N86"/>
  <c r="EJ99"/>
  <c r="CH172"/>
  <c r="FR154"/>
  <c r="BF7"/>
  <c r="CH29"/>
  <c r="CU13"/>
  <c r="DU124"/>
  <c r="EL91"/>
  <c r="W44"/>
  <c r="DC154"/>
  <c r="AB134"/>
  <c r="DT14"/>
  <c r="CW132"/>
  <c r="CQ131"/>
  <c r="EK66"/>
  <c r="CY135"/>
  <c r="DI113"/>
  <c r="T15"/>
  <c r="O44"/>
  <c r="BL46"/>
  <c r="FU17"/>
  <c r="BO169"/>
  <c r="BA3"/>
  <c r="DN142"/>
  <c r="FU36"/>
  <c r="BL8"/>
  <c r="DV92"/>
  <c r="AY149"/>
  <c r="FV88"/>
  <c r="FN165"/>
  <c r="DY120"/>
  <c r="K62"/>
  <c r="BS37"/>
  <c r="DN123"/>
  <c r="EO54"/>
  <c r="BJ38"/>
  <c r="EG122"/>
  <c r="CB162"/>
  <c r="DH142"/>
  <c r="CQ95"/>
  <c r="DL14"/>
  <c r="FH28"/>
  <c r="CB124"/>
  <c r="CJ172"/>
  <c r="EU89"/>
  <c r="FG81"/>
  <c r="CG167"/>
  <c r="EZ16"/>
  <c r="DD28"/>
  <c r="C77"/>
  <c r="W160"/>
  <c r="AX103"/>
  <c r="FA98"/>
  <c r="DF64"/>
  <c r="FM104"/>
  <c r="DL169"/>
  <c r="J76"/>
  <c r="DE28"/>
  <c r="K147"/>
  <c r="CA150"/>
  <c r="CA147"/>
  <c r="DY112"/>
  <c r="CT57"/>
  <c r="EQ49"/>
  <c r="V70"/>
  <c r="CZ81"/>
  <c r="FK89"/>
  <c r="FF27"/>
  <c r="CM145"/>
  <c r="M156"/>
  <c r="AQ136"/>
  <c r="AC67"/>
  <c r="BA162"/>
  <c r="DN125"/>
  <c r="BA86"/>
  <c r="BE121"/>
  <c r="DR137"/>
  <c r="ES149"/>
  <c r="DI33"/>
  <c r="FS70"/>
  <c r="AH107"/>
  <c r="W82"/>
  <c r="S35"/>
  <c r="BG119"/>
  <c r="CW111"/>
  <c r="BM41"/>
  <c r="BF154"/>
  <c r="AN34"/>
  <c r="AE67"/>
  <c r="FD30"/>
  <c r="N153"/>
  <c r="EO93"/>
  <c r="EC108"/>
  <c r="FJ14"/>
  <c r="CC38"/>
  <c r="EO169"/>
  <c r="DA145"/>
  <c r="BT129"/>
  <c r="DB157"/>
  <c r="O103"/>
  <c r="DE7"/>
  <c r="DI48"/>
  <c r="CJ90"/>
  <c r="CF40"/>
  <c r="EW158"/>
  <c r="FB15"/>
  <c r="EJ93"/>
  <c r="BV106"/>
  <c r="D64"/>
  <c r="DT168"/>
  <c r="DD126"/>
  <c r="H94"/>
  <c r="EC57"/>
  <c r="BQ165"/>
  <c r="BW72"/>
  <c r="ES46"/>
  <c r="V79"/>
  <c r="CF58"/>
  <c r="Y113"/>
  <c r="O153"/>
  <c r="FH46"/>
  <c r="BQ35"/>
  <c r="FS74"/>
  <c r="CM72"/>
  <c r="FH48"/>
  <c r="CP61"/>
  <c r="EF101"/>
  <c r="BK100"/>
  <c r="EO139"/>
  <c r="DD74"/>
  <c r="CF77"/>
  <c r="DC9"/>
  <c r="BQ36"/>
  <c r="BA107"/>
  <c r="DP168"/>
  <c r="EO10"/>
  <c r="BY44"/>
  <c r="EE55"/>
  <c r="FA2"/>
  <c r="AJ58"/>
  <c r="DS62"/>
  <c r="AB43"/>
  <c r="EQ157"/>
  <c r="BL20"/>
  <c r="DN107"/>
  <c r="L135"/>
  <c r="CL167"/>
  <c r="FE33"/>
  <c r="BP149"/>
  <c r="EO149"/>
  <c r="BP81"/>
  <c r="FS29"/>
  <c r="FN173"/>
  <c r="BG53"/>
  <c r="AT38"/>
  <c r="B116"/>
  <c r="CA149"/>
  <c r="EG17"/>
  <c r="DN79"/>
  <c r="FH135"/>
  <c r="FQ96"/>
  <c r="AW158"/>
  <c r="DX9"/>
  <c r="CP68"/>
  <c r="AF36"/>
  <c r="CV33"/>
  <c r="FI150"/>
  <c r="FD169"/>
  <c r="EX134"/>
  <c r="CY139"/>
  <c r="EN92"/>
  <c r="K28"/>
  <c r="FQ145"/>
  <c r="CI131"/>
  <c r="BX149"/>
  <c r="FA126"/>
  <c r="BR66"/>
  <c r="CQ6"/>
  <c r="EP170"/>
  <c r="DG51"/>
  <c r="EK11"/>
  <c r="AV158"/>
  <c r="D171"/>
  <c r="CC94"/>
  <c r="AB23"/>
  <c r="I109"/>
  <c r="L118"/>
  <c r="CE77"/>
  <c r="EP172"/>
  <c r="BE39"/>
  <c r="DE93"/>
  <c r="CG117"/>
  <c r="DW25"/>
  <c r="BM178"/>
  <c r="FJ7"/>
  <c r="EX115"/>
  <c r="H125"/>
  <c r="CH97"/>
  <c r="EK97"/>
  <c r="AN9"/>
  <c r="DI145"/>
  <c r="BX25"/>
  <c r="AN56"/>
  <c r="CK30"/>
  <c r="Q140"/>
  <c r="AQ119"/>
  <c r="DN120"/>
  <c r="CN19"/>
  <c r="EX10"/>
  <c r="I59"/>
  <c r="AO78"/>
  <c r="BB120"/>
  <c r="BN51"/>
  <c r="AO89"/>
  <c r="EQ31"/>
  <c r="AU45"/>
  <c r="CK56"/>
  <c r="DL99"/>
  <c r="EF64"/>
  <c r="EX136"/>
  <c r="FF41"/>
  <c r="P69"/>
  <c r="ED88"/>
  <c r="BO141"/>
  <c r="FO35"/>
  <c r="DR78"/>
  <c r="FM82"/>
  <c r="V3"/>
  <c r="CY69"/>
  <c r="EQ152"/>
  <c r="EH92"/>
  <c r="DY8"/>
  <c r="BJ104"/>
  <c r="CH118"/>
  <c r="BI69"/>
  <c r="FI170"/>
  <c r="EC158"/>
  <c r="BB2"/>
  <c r="FT116"/>
  <c r="DK28"/>
  <c r="DM36"/>
  <c r="DO29"/>
  <c r="AI167"/>
  <c r="DB19"/>
  <c r="EE169"/>
  <c r="FL104"/>
  <c r="X165"/>
  <c r="EW110"/>
  <c r="CY54"/>
  <c r="AL131"/>
  <c r="CY117"/>
  <c r="FF60"/>
  <c r="DH16"/>
  <c r="FO122"/>
  <c r="FM22"/>
  <c r="AD163"/>
  <c r="EL86"/>
  <c r="EY19"/>
  <c r="CN90"/>
  <c r="BX32"/>
  <c r="FQ134"/>
  <c r="DU120"/>
  <c r="FH155"/>
  <c r="AQ52"/>
  <c r="BF63"/>
  <c r="AQ101"/>
  <c r="FH122"/>
  <c r="EN63"/>
  <c r="BS141"/>
  <c r="EC157"/>
  <c r="F30"/>
  <c r="BO2"/>
  <c r="CP15"/>
  <c r="DX141"/>
  <c r="CN154"/>
  <c r="BN115"/>
  <c r="EW14"/>
  <c r="DF4"/>
  <c r="O45"/>
  <c r="BG59"/>
  <c r="CL166"/>
  <c r="DB72"/>
  <c r="AM109"/>
  <c r="AM114"/>
  <c r="DV145"/>
  <c r="EX56"/>
  <c r="BF65"/>
  <c r="E167"/>
  <c r="AY81"/>
  <c r="BI154"/>
  <c r="CK40"/>
  <c r="F29"/>
  <c r="BT91"/>
  <c r="EI51"/>
  <c r="EU17"/>
  <c r="CK74"/>
  <c r="DB77"/>
  <c r="AC91"/>
  <c r="CO90"/>
  <c r="CL87"/>
  <c r="T83"/>
  <c r="DX10"/>
  <c r="CN145"/>
  <c r="DT36"/>
  <c r="BY177"/>
  <c r="DQ50"/>
  <c r="DF176"/>
  <c r="DJ31"/>
  <c r="AL163"/>
  <c r="FJ166"/>
  <c r="AY178"/>
  <c r="BK141"/>
  <c r="BL178"/>
  <c r="I176"/>
  <c r="BU86"/>
  <c r="DK39"/>
  <c r="C69"/>
  <c r="V19"/>
  <c r="EM30"/>
  <c r="EI87"/>
  <c r="CI176"/>
  <c r="BO80"/>
  <c r="CO158"/>
  <c r="FR128"/>
  <c r="CZ62"/>
  <c r="P131"/>
  <c r="FU11"/>
  <c r="Z69"/>
  <c r="AI159"/>
  <c r="DL136"/>
  <c r="FM52"/>
  <c r="DN115"/>
  <c r="CW79"/>
  <c r="CA27"/>
  <c r="Q164"/>
  <c r="AQ86"/>
  <c r="G161"/>
  <c r="CC40"/>
  <c r="CD121"/>
  <c r="O161"/>
  <c r="EH121"/>
  <c r="BL132"/>
  <c r="CG98"/>
  <c r="Y139"/>
  <c r="AH51"/>
  <c r="DN82"/>
  <c r="CJ109"/>
  <c r="AX97"/>
  <c r="BW82"/>
  <c r="BH39"/>
  <c r="CO84"/>
  <c r="CS175"/>
  <c r="FP12"/>
  <c r="C62"/>
  <c r="Q104"/>
  <c r="FF10"/>
  <c r="CG155"/>
  <c r="FJ60"/>
  <c r="CG116"/>
  <c r="AL80"/>
  <c r="DY77"/>
  <c r="CN39"/>
  <c r="FP112"/>
  <c r="U93"/>
  <c r="AB109"/>
  <c r="BI33"/>
  <c r="FI82"/>
  <c r="CD79"/>
  <c r="C53"/>
  <c r="Y127"/>
  <c r="ER124"/>
  <c r="FG77"/>
  <c r="DQ29"/>
  <c r="EH58"/>
  <c r="AX18"/>
  <c r="DC172"/>
  <c r="CW38"/>
  <c r="AP37"/>
  <c r="BI147"/>
  <c r="AT37"/>
  <c r="DL161"/>
  <c r="EC45"/>
  <c r="Z50"/>
  <c r="CQ143"/>
  <c r="BE119"/>
  <c r="E97"/>
  <c r="F156"/>
  <c r="CW150"/>
  <c r="CN95"/>
  <c r="AE33"/>
  <c r="N41"/>
  <c r="AQ14"/>
  <c r="EJ85"/>
  <c r="DV140"/>
  <c r="J63"/>
  <c r="AT47"/>
  <c r="DP107"/>
  <c r="BP83"/>
  <c r="CY152"/>
  <c r="BA58"/>
  <c r="BT158"/>
  <c r="AS148"/>
  <c r="AO92"/>
  <c r="CO100"/>
  <c r="EI77"/>
  <c r="BS32"/>
  <c r="DC50"/>
  <c r="EB24"/>
  <c r="CR31"/>
  <c r="L31"/>
  <c r="EG42"/>
  <c r="AA38"/>
  <c r="AL135"/>
  <c r="DP85"/>
  <c r="P72"/>
  <c r="EE158"/>
  <c r="CD108"/>
  <c r="CN32"/>
  <c r="AD166"/>
  <c r="BI29"/>
  <c r="CQ49"/>
  <c r="EU36"/>
  <c r="DZ134"/>
  <c r="DR4"/>
  <c r="AF158"/>
  <c r="R31"/>
  <c r="EQ107"/>
  <c r="EY142"/>
  <c r="X177"/>
  <c r="BT125"/>
  <c r="DJ11"/>
  <c r="AW66"/>
  <c r="DY178"/>
  <c r="AQ122"/>
  <c r="AP150"/>
  <c r="FB127"/>
  <c r="FD10"/>
  <c r="FC102"/>
  <c r="DO146"/>
  <c r="DQ157"/>
  <c r="EW69"/>
  <c r="EA104"/>
  <c r="ES116"/>
  <c r="D173"/>
  <c r="DE38"/>
  <c r="V10"/>
  <c r="BV111"/>
  <c r="DQ156"/>
  <c r="FM117"/>
  <c r="EW73"/>
  <c r="EQ159"/>
  <c r="DG150"/>
  <c r="DG111"/>
  <c r="FA157"/>
  <c r="AK90"/>
  <c r="B126"/>
  <c r="G45"/>
  <c r="BZ5"/>
  <c r="F19"/>
  <c r="CG55"/>
  <c r="R86"/>
  <c r="FR77"/>
  <c r="CX106"/>
  <c r="FV151"/>
  <c r="AS3"/>
  <c r="BQ134"/>
  <c r="E99"/>
  <c r="BX46"/>
  <c r="FC40"/>
  <c r="CP128"/>
  <c r="DZ54"/>
  <c r="DN99"/>
  <c r="FA142"/>
  <c r="BE32"/>
  <c r="AB34"/>
  <c r="DI114"/>
  <c r="M41"/>
  <c r="AE163"/>
  <c r="DM26"/>
  <c r="CV152"/>
  <c r="DY177"/>
  <c r="DD96"/>
  <c r="DX152"/>
  <c r="DI83"/>
  <c r="EH105"/>
  <c r="S3"/>
  <c r="AW59"/>
  <c r="FS177"/>
  <c r="BC149"/>
  <c r="EQ81"/>
  <c r="CH88"/>
  <c r="AV169"/>
  <c r="EL107"/>
  <c r="AK77"/>
  <c r="BC58"/>
  <c r="EU28"/>
  <c r="ES135"/>
  <c r="BL75"/>
  <c r="FE116"/>
  <c r="EB27"/>
  <c r="DW130"/>
  <c r="EL29"/>
  <c r="BE145"/>
  <c r="BY21"/>
  <c r="EX62"/>
  <c r="Z107"/>
  <c r="FI92"/>
  <c r="BI116"/>
  <c r="E121"/>
  <c r="T140"/>
  <c r="CH53"/>
  <c r="EE154"/>
  <c r="CE169"/>
  <c r="FU48"/>
  <c r="T77"/>
  <c r="FN74"/>
  <c r="T11"/>
  <c r="CR152"/>
  <c r="H99"/>
  <c r="EO48"/>
  <c r="BL45"/>
  <c r="BH61"/>
  <c r="CD34"/>
  <c r="H80"/>
  <c r="AF29"/>
  <c r="DL174"/>
  <c r="AD146"/>
  <c r="FA161"/>
  <c r="DP124"/>
  <c r="FT63"/>
  <c r="AM72"/>
  <c r="ER8"/>
  <c r="AS45"/>
  <c r="FI113"/>
  <c r="DV147"/>
  <c r="EH123"/>
  <c r="BY119"/>
  <c r="AG177"/>
  <c r="DW64"/>
  <c r="AR142"/>
  <c r="EJ8"/>
  <c r="B148"/>
  <c r="AF135"/>
  <c r="EC37"/>
  <c r="Y151"/>
  <c r="E128"/>
  <c r="CG7"/>
  <c r="DS3"/>
  <c r="Z75"/>
  <c r="FE146"/>
  <c r="AH125"/>
  <c r="CK172"/>
  <c r="DV96"/>
  <c r="DJ76"/>
  <c r="BP171"/>
  <c r="F117"/>
  <c r="CO5"/>
  <c r="BE2"/>
  <c r="AT115"/>
  <c r="C99"/>
  <c r="G130"/>
  <c r="EC23"/>
  <c r="AO21"/>
  <c r="U138"/>
  <c r="CF36"/>
  <c r="FE164"/>
  <c r="FF161"/>
  <c r="W42"/>
  <c r="CA145"/>
  <c r="BF88"/>
  <c r="ED153"/>
  <c r="CR7"/>
  <c r="BL123"/>
  <c r="EO132"/>
  <c r="AY54"/>
  <c r="AO129"/>
  <c r="AK114"/>
  <c r="BU160"/>
  <c r="F113"/>
  <c r="FK169"/>
  <c r="P96"/>
  <c r="S161"/>
  <c r="BF158"/>
  <c r="AM80"/>
  <c r="EI178"/>
  <c r="FB115"/>
  <c r="BY125"/>
  <c r="DY153"/>
  <c r="AO59"/>
  <c r="EX84"/>
  <c r="AE46"/>
  <c r="AF133"/>
  <c r="CG134"/>
  <c r="DR109"/>
  <c r="BE130"/>
  <c r="BW60"/>
  <c r="EE27"/>
  <c r="BH161"/>
  <c r="DH18"/>
  <c r="CV139"/>
  <c r="Y83"/>
  <c r="CT106"/>
  <c r="CA156"/>
  <c r="AP107"/>
  <c r="EU52"/>
  <c r="CF150"/>
  <c r="DQ136"/>
  <c r="CK16"/>
  <c r="AC12"/>
  <c r="DX128"/>
  <c r="FQ161"/>
  <c r="BO124"/>
  <c r="FN149"/>
  <c r="EM144"/>
  <c r="CR25"/>
  <c r="AA7"/>
  <c r="I20"/>
  <c r="CL77"/>
  <c r="DX63"/>
  <c r="DS124"/>
  <c r="EH95"/>
  <c r="CP164"/>
  <c r="Q163"/>
  <c r="EW54"/>
  <c r="AQ76"/>
  <c r="DC54"/>
  <c r="FP103"/>
  <c r="CH74"/>
  <c r="D48"/>
  <c r="EW50"/>
  <c r="AN62"/>
  <c r="CZ153"/>
  <c r="Q53"/>
  <c r="EO23"/>
  <c r="CP78"/>
  <c r="BQ166"/>
  <c r="CI5"/>
  <c r="AE167"/>
  <c r="FN6"/>
  <c r="AC76"/>
  <c r="BO69"/>
  <c r="Z65"/>
  <c r="ES143"/>
  <c r="C96"/>
  <c r="C160"/>
  <c r="DI153"/>
  <c r="AO57"/>
  <c r="DL60"/>
  <c r="AY31"/>
  <c r="B41"/>
  <c r="BT160"/>
  <c r="BC41"/>
  <c r="DO70"/>
  <c r="BB90"/>
  <c r="N131"/>
  <c r="CM15"/>
  <c r="O36"/>
  <c r="DF122"/>
  <c r="R92"/>
  <c r="K57"/>
  <c r="DC61"/>
  <c r="FS21"/>
  <c r="FU138"/>
  <c r="EN95"/>
  <c r="DH91"/>
  <c r="EA126"/>
  <c r="EO116"/>
  <c r="DL29"/>
  <c r="AA105"/>
  <c r="P144"/>
  <c r="BT103"/>
  <c r="BU99"/>
  <c r="BN111"/>
  <c r="EL64"/>
  <c r="AV2"/>
  <c r="DH35"/>
  <c r="AL32"/>
  <c r="AM148"/>
  <c r="X160"/>
  <c r="FP17"/>
  <c r="AR151"/>
  <c r="X38"/>
  <c r="BZ149"/>
  <c r="CT68"/>
  <c r="AX64"/>
  <c r="DX77"/>
  <c r="AV103"/>
  <c r="FE133"/>
  <c r="EG5"/>
  <c r="DA128"/>
  <c r="BG69"/>
  <c r="CP168"/>
  <c r="P24"/>
  <c r="DA106"/>
  <c r="BM142"/>
  <c r="M119"/>
  <c r="F167"/>
  <c r="BI34"/>
  <c r="DX139"/>
  <c r="DN111"/>
  <c r="CX117"/>
  <c r="FS8"/>
  <c r="CA166"/>
  <c r="ED55"/>
  <c r="X111"/>
  <c r="CX148"/>
  <c r="DE69"/>
  <c r="FB98"/>
  <c r="FC9"/>
  <c r="AS61"/>
  <c r="CU134"/>
  <c r="FN69"/>
  <c r="BR39"/>
  <c r="AQ104"/>
  <c r="DC71"/>
  <c r="Q134"/>
  <c r="R87"/>
  <c r="FV107"/>
  <c r="C131"/>
  <c r="AQ26"/>
  <c r="FU93"/>
  <c r="CD56"/>
  <c r="L162"/>
  <c r="G78"/>
  <c r="ES115"/>
  <c r="ED156"/>
  <c r="BH92"/>
  <c r="BY157"/>
  <c r="BE158"/>
  <c r="DZ36"/>
  <c r="FL81"/>
  <c r="CH52"/>
  <c r="X176"/>
  <c r="DY172"/>
  <c r="EK81"/>
  <c r="FG32"/>
  <c r="L98"/>
  <c r="DM169"/>
  <c r="DK132"/>
  <c r="CS94"/>
  <c r="BW151"/>
  <c r="L34"/>
  <c r="DP78"/>
  <c r="EB74"/>
  <c r="BH101"/>
  <c r="ES157"/>
  <c r="BH8"/>
  <c r="BG120"/>
  <c r="ES15"/>
  <c r="AB178"/>
  <c r="O60"/>
  <c r="FR8"/>
  <c r="BT4"/>
  <c r="AW87"/>
  <c r="FV71"/>
  <c r="B127"/>
  <c r="CG133"/>
  <c r="BN22"/>
  <c r="AF150"/>
  <c r="BF113"/>
  <c r="CK73"/>
  <c r="AS133"/>
  <c r="BR45"/>
  <c r="H51"/>
  <c r="EL142"/>
  <c r="AK82"/>
  <c r="EJ6"/>
  <c r="CB133"/>
  <c r="AH14"/>
  <c r="FV128"/>
  <c r="AO95"/>
  <c r="BA18"/>
  <c r="BL56"/>
  <c r="EG118"/>
  <c r="EH46"/>
  <c r="AP142"/>
  <c r="EO152"/>
  <c r="FG142"/>
  <c r="BA14"/>
  <c r="DY107"/>
  <c r="E26"/>
  <c r="BJ77"/>
  <c r="BV19"/>
  <c r="CF6"/>
  <c r="AS2"/>
  <c r="DY23"/>
  <c r="AC134"/>
  <c r="EZ103"/>
  <c r="DJ147"/>
  <c r="DZ99"/>
  <c r="FA42"/>
  <c r="AL38"/>
  <c r="DK133"/>
  <c r="DG175"/>
  <c r="AQ85"/>
  <c r="DQ135"/>
  <c r="BE74"/>
  <c r="CS104"/>
  <c r="AF41"/>
  <c r="DA63"/>
  <c r="EA58"/>
  <c r="BP70"/>
  <c r="DN10"/>
  <c r="DB135"/>
  <c r="DN157"/>
  <c r="M63"/>
  <c r="CW15"/>
  <c r="AO11"/>
  <c r="FP67"/>
  <c r="DZ58"/>
  <c r="R8"/>
  <c r="BI2"/>
  <c r="EL53"/>
  <c r="BC139"/>
  <c r="AE49"/>
  <c r="CQ157"/>
  <c r="CW93"/>
  <c r="AO163"/>
  <c r="M70"/>
  <c r="K38"/>
  <c r="FO62"/>
  <c r="EU31"/>
  <c r="AM31"/>
  <c r="DZ4"/>
  <c r="EQ11"/>
  <c r="AS173"/>
  <c r="DI70"/>
  <c r="EX27"/>
  <c r="DA12"/>
  <c r="L143"/>
  <c r="C128"/>
  <c r="AX99"/>
  <c r="BU107"/>
  <c r="BE41"/>
  <c r="AN19"/>
  <c r="BM22"/>
  <c r="AN169"/>
  <c r="BX75"/>
  <c r="DS118"/>
  <c r="CU4"/>
  <c r="G178"/>
  <c r="DO151"/>
  <c r="U26"/>
  <c r="AU43"/>
  <c r="FD19"/>
  <c r="ED165"/>
  <c r="BR37"/>
  <c r="DN171"/>
  <c r="FI93"/>
  <c r="Q54"/>
  <c r="DJ75"/>
  <c r="FL27"/>
  <c r="AA173"/>
  <c r="BI4"/>
  <c r="BH132"/>
  <c r="EG128"/>
  <c r="Y169"/>
  <c r="J78"/>
  <c r="FD119"/>
  <c r="DV75"/>
  <c r="EA26"/>
  <c r="DC70"/>
  <c r="CK119"/>
  <c r="DH127"/>
  <c r="AI30"/>
  <c r="AY153"/>
  <c r="AV12"/>
  <c r="CJ88"/>
  <c r="FC90"/>
  <c r="EX109"/>
  <c r="FI135"/>
  <c r="AY23"/>
  <c r="EG40"/>
  <c r="BK62"/>
  <c r="DM91"/>
  <c r="BX163"/>
  <c r="S61"/>
  <c r="DL22"/>
  <c r="Y175"/>
  <c r="Q170"/>
  <c r="AJ111"/>
  <c r="CS35"/>
  <c r="ET70"/>
  <c r="AN172"/>
  <c r="CJ177"/>
  <c r="DT94"/>
  <c r="DW2"/>
  <c r="FJ27"/>
  <c r="BA75"/>
  <c r="O64"/>
  <c r="Z178"/>
  <c r="AP61"/>
  <c r="CH44"/>
  <c r="FB10"/>
  <c r="FB87"/>
  <c r="G21"/>
  <c r="BF172"/>
  <c r="EK67"/>
  <c r="ED58"/>
  <c r="DF174"/>
  <c r="BX68"/>
  <c r="AX148"/>
  <c r="D35"/>
  <c r="EG16"/>
  <c r="DS51"/>
  <c r="AV100"/>
  <c r="CM20"/>
  <c r="X120"/>
  <c r="DW24"/>
  <c r="BI63"/>
  <c r="AW164"/>
  <c r="CU24"/>
  <c r="CT26"/>
  <c r="FE75"/>
  <c r="BK77"/>
  <c r="H84"/>
  <c r="CA56"/>
  <c r="AS42"/>
  <c r="J48"/>
  <c r="BA22"/>
  <c r="DN49"/>
  <c r="AH49"/>
  <c r="B56"/>
  <c r="F18"/>
  <c r="AY5"/>
  <c r="AT139"/>
  <c r="EU94"/>
  <c r="FE109"/>
  <c r="BW44"/>
  <c r="EU22"/>
  <c r="N87"/>
  <c r="BA73"/>
  <c r="EK45"/>
  <c r="DM2"/>
  <c r="AA3"/>
  <c r="CI28"/>
  <c r="ER98"/>
  <c r="DM131"/>
  <c r="P65"/>
  <c r="DA123"/>
  <c r="DR104"/>
  <c r="EF2"/>
  <c r="EZ113"/>
  <c r="EF42"/>
  <c r="DS61"/>
  <c r="FC135"/>
  <c r="DH34"/>
  <c r="X59"/>
  <c r="CQ5"/>
  <c r="DK105"/>
  <c r="AF12"/>
  <c r="EI159"/>
  <c r="DS112"/>
  <c r="M56"/>
  <c r="CK98"/>
  <c r="BO24"/>
  <c r="EX172"/>
  <c r="DJ41"/>
  <c r="AH21"/>
  <c r="X98"/>
  <c r="EA76"/>
  <c r="Y76"/>
  <c r="FP29"/>
  <c r="ED129"/>
  <c r="N144"/>
  <c r="FJ91"/>
  <c r="CT12"/>
  <c r="CQ30"/>
  <c r="BF4"/>
  <c r="DI10"/>
  <c r="FE154"/>
  <c r="AB65"/>
  <c r="AC45"/>
  <c r="DC144"/>
  <c r="Y104"/>
  <c r="DQ111"/>
  <c r="DY5"/>
  <c r="FC175"/>
  <c r="FH78"/>
  <c r="BC92"/>
  <c r="BL155"/>
  <c r="I108"/>
  <c r="CY131"/>
  <c r="AJ40"/>
  <c r="AF100"/>
  <c r="AN88"/>
  <c r="BX5"/>
  <c r="CT131"/>
  <c r="AV54"/>
  <c r="CJ87"/>
  <c r="Z170"/>
  <c r="Z109"/>
  <c r="DU30"/>
  <c r="EY31"/>
  <c r="EZ62"/>
  <c r="EZ157"/>
  <c r="FE106"/>
  <c r="CB4"/>
  <c r="BN62"/>
  <c r="AA2"/>
  <c r="BD154"/>
  <c r="EY125"/>
  <c r="EB165"/>
  <c r="AF58"/>
  <c r="CO109"/>
  <c r="AR96"/>
  <c r="DW121"/>
  <c r="CJ76"/>
  <c r="FB143"/>
  <c r="DN113"/>
  <c r="DW70"/>
  <c r="DE171"/>
  <c r="DA168"/>
  <c r="BV34"/>
  <c r="EO57"/>
  <c r="BT157"/>
  <c r="DR19"/>
  <c r="EM175"/>
  <c r="EW43"/>
  <c r="BN9"/>
  <c r="CF154"/>
  <c r="AZ133"/>
  <c r="EW46"/>
  <c r="CE154"/>
  <c r="CL174"/>
  <c r="W94"/>
  <c r="BI50"/>
  <c r="D11"/>
  <c r="FR162"/>
  <c r="BV68"/>
  <c r="BY3"/>
  <c r="AL9"/>
  <c r="F164"/>
  <c r="EN93"/>
  <c r="BT173"/>
  <c r="FR160"/>
  <c r="CC173"/>
  <c r="DN150"/>
  <c r="FR50"/>
  <c r="S43"/>
  <c r="E129"/>
  <c r="EA106"/>
  <c r="DW57"/>
  <c r="EG60"/>
  <c r="AE80"/>
  <c r="C94"/>
  <c r="EA71"/>
  <c r="BQ123"/>
  <c r="BB52"/>
  <c r="AB152"/>
  <c r="BD71"/>
  <c r="BV49"/>
  <c r="AR162"/>
  <c r="BG122"/>
  <c r="T74"/>
  <c r="EX71"/>
  <c r="J162"/>
  <c r="Y62"/>
  <c r="BV32"/>
  <c r="BW123"/>
  <c r="EO99"/>
  <c r="CB34"/>
  <c r="DV7"/>
  <c r="ES43"/>
  <c r="DK51"/>
  <c r="AL127"/>
  <c r="BK124"/>
  <c r="CV75"/>
  <c r="DQ68"/>
  <c r="AJ75"/>
  <c r="BE99"/>
  <c r="FG114"/>
  <c r="FJ88"/>
  <c r="BX84"/>
  <c r="FE47"/>
  <c r="FM80"/>
  <c r="FU63"/>
  <c r="Z177"/>
  <c r="DE106"/>
  <c r="BQ44"/>
  <c r="B78"/>
  <c r="DF108"/>
  <c r="BO123"/>
  <c r="AY173"/>
  <c r="EG55"/>
  <c r="BX174"/>
  <c r="CP70"/>
  <c r="BB48"/>
  <c r="D57"/>
  <c r="FQ92"/>
  <c r="CC14"/>
  <c r="CF69"/>
  <c r="BR168"/>
  <c r="AG67"/>
  <c r="FI71"/>
  <c r="AW161"/>
  <c r="ES7"/>
  <c r="W39"/>
  <c r="CI118"/>
  <c r="CD92"/>
  <c r="FE135"/>
  <c r="BZ174"/>
  <c r="Z42"/>
  <c r="FD142"/>
  <c r="EF132"/>
  <c r="DH119"/>
  <c r="CU129"/>
  <c r="EV48"/>
  <c r="CO139"/>
  <c r="CX9"/>
  <c r="FQ2"/>
  <c r="DG158"/>
  <c r="AR77"/>
  <c r="CX26"/>
  <c r="BL42"/>
  <c r="Z16"/>
  <c r="G105"/>
  <c r="Z121"/>
  <c r="AJ168"/>
  <c r="N85"/>
  <c r="DO118"/>
  <c r="AP6"/>
  <c r="DE64"/>
  <c r="EV170"/>
  <c r="AE165"/>
  <c r="BR104"/>
  <c r="BX156"/>
  <c r="BB21"/>
  <c r="DY159"/>
  <c r="FC62"/>
  <c r="BQ12"/>
  <c r="EY89"/>
  <c r="CZ97"/>
  <c r="N95"/>
  <c r="FS178"/>
  <c r="S121"/>
  <c r="DI87"/>
  <c r="W34"/>
  <c r="BA163"/>
  <c r="DY58"/>
  <c r="FK154"/>
  <c r="AU88"/>
  <c r="DL156"/>
  <c r="EE97"/>
  <c r="BC31"/>
  <c r="CW152"/>
  <c r="DJ17"/>
  <c r="AU118"/>
  <c r="AA152"/>
  <c r="BA154"/>
  <c r="U89"/>
  <c r="AR173"/>
  <c r="BU48"/>
  <c r="BU79"/>
  <c r="EC74"/>
  <c r="BU138"/>
  <c r="AM117"/>
  <c r="DZ126"/>
  <c r="AE175"/>
  <c r="CT167"/>
  <c r="BX64"/>
  <c r="EB147"/>
  <c r="BQ102"/>
  <c r="G36"/>
  <c r="BD13"/>
  <c r="AD84"/>
  <c r="DE3"/>
  <c r="BU117"/>
  <c r="DT30"/>
  <c r="DD18"/>
  <c r="AW86"/>
  <c r="FO28"/>
  <c r="CA44"/>
  <c r="CC100"/>
  <c r="Y112"/>
  <c r="T160"/>
  <c r="X45"/>
  <c r="AQ71"/>
  <c r="CL117"/>
  <c r="DV177"/>
  <c r="AU71"/>
  <c r="EW123"/>
  <c r="AH146"/>
  <c r="BB113"/>
  <c r="BR158"/>
  <c r="AG171"/>
  <c r="G176"/>
  <c r="FU123"/>
  <c r="DG122"/>
  <c r="FA50"/>
  <c r="BS146"/>
  <c r="AE6"/>
  <c r="EW17"/>
  <c r="DN2"/>
  <c r="AF11"/>
  <c r="EI81"/>
  <c r="EI38"/>
  <c r="EO91"/>
  <c r="CO59"/>
  <c r="AD88"/>
  <c r="FD99"/>
  <c r="DW18"/>
  <c r="CU5"/>
  <c r="W13"/>
  <c r="AD41"/>
  <c r="BB128"/>
  <c r="FV144"/>
  <c r="EU39"/>
  <c r="AQ140"/>
  <c r="EM160"/>
  <c r="FA8"/>
  <c r="EK151"/>
  <c r="CU75"/>
  <c r="FR29"/>
  <c r="DB150"/>
  <c r="FH52"/>
  <c r="H44"/>
  <c r="CF138"/>
  <c r="EN112"/>
  <c r="AT171"/>
  <c r="T64"/>
  <c r="AC54"/>
  <c r="CG49"/>
  <c r="EM64"/>
  <c r="DQ163"/>
  <c r="EU112"/>
  <c r="BP148"/>
  <c r="EB33"/>
  <c r="AV57"/>
  <c r="J121"/>
  <c r="BW87"/>
  <c r="D176"/>
  <c r="DH116"/>
  <c r="CQ170"/>
  <c r="EW39"/>
  <c r="FG29"/>
  <c r="BP132"/>
  <c r="D120"/>
  <c r="DL47"/>
  <c r="BD105"/>
  <c r="DS91"/>
  <c r="EG78"/>
  <c r="DN151"/>
  <c r="T25"/>
  <c r="FB17"/>
  <c r="U65"/>
  <c r="BJ150"/>
  <c r="CA87"/>
  <c r="BO74"/>
  <c r="BJ89"/>
  <c r="EO109"/>
  <c r="BK104"/>
  <c r="CP167"/>
  <c r="AG153"/>
  <c r="AH23"/>
  <c r="FH30"/>
  <c r="DH83"/>
  <c r="M24"/>
  <c r="AD95"/>
  <c r="O109"/>
  <c r="V129"/>
  <c r="DI85"/>
  <c r="H102"/>
  <c r="DM27"/>
  <c r="R27"/>
  <c r="CC22"/>
  <c r="BK174"/>
  <c r="EG134"/>
  <c r="T32"/>
  <c r="EA8"/>
  <c r="EU18"/>
  <c r="V105"/>
  <c r="ER68"/>
  <c r="FP98"/>
  <c r="DG62"/>
  <c r="FF95"/>
  <c r="DB83"/>
  <c r="T20"/>
  <c r="DS6"/>
  <c r="AE86"/>
  <c r="FQ157"/>
  <c r="DY155"/>
  <c r="Q113"/>
  <c r="DR175"/>
  <c r="ER122"/>
  <c r="FB3"/>
  <c r="DI139"/>
  <c r="EX15"/>
  <c r="AR89"/>
  <c r="BI144"/>
  <c r="FC89"/>
  <c r="DM48"/>
  <c r="DZ146"/>
  <c r="BD111"/>
  <c r="AV35"/>
  <c r="CB16"/>
  <c r="EC132"/>
  <c r="EJ67"/>
  <c r="EE113"/>
  <c r="CZ95"/>
  <c r="BB112"/>
  <c r="AR25"/>
  <c r="CC105"/>
  <c r="CS177"/>
  <c r="DL67"/>
  <c r="E162"/>
  <c r="BV87"/>
  <c r="FC173"/>
  <c r="DA21"/>
  <c r="EK30"/>
  <c r="BO33"/>
  <c r="FU4"/>
  <c r="FD9"/>
  <c r="EZ151"/>
  <c r="CV117"/>
  <c r="BX114"/>
  <c r="DY6"/>
  <c r="BG133"/>
  <c r="K79"/>
  <c r="DA140"/>
  <c r="AI178"/>
  <c r="AT28"/>
  <c r="CL23"/>
  <c r="AH115"/>
  <c r="BM174"/>
  <c r="EQ126"/>
  <c r="Q146"/>
  <c r="DC130"/>
  <c r="CB178"/>
  <c r="BS51"/>
  <c r="FG52"/>
  <c r="AA65"/>
  <c r="CA118"/>
  <c r="V42"/>
  <c r="BP108"/>
  <c r="DK138"/>
  <c r="FR101"/>
  <c r="FN93"/>
  <c r="FK129"/>
  <c r="FP135"/>
  <c r="EM127"/>
  <c r="ET31"/>
  <c r="DZ168"/>
  <c r="CF173"/>
  <c r="DL20"/>
  <c r="CU125"/>
  <c r="FG7"/>
  <c r="CN75"/>
  <c r="I155"/>
  <c r="L122"/>
  <c r="FJ109"/>
  <c r="AD121"/>
  <c r="FK163"/>
  <c r="AL35"/>
  <c r="CU154"/>
  <c r="BT102"/>
  <c r="AA69"/>
  <c r="M124"/>
  <c r="AU133"/>
  <c r="ED52"/>
  <c r="CH141"/>
  <c r="EM35"/>
  <c r="S156"/>
  <c r="BM116"/>
  <c r="DR156"/>
  <c r="AE143"/>
  <c r="ET67"/>
  <c r="FC64"/>
  <c r="EP5"/>
  <c r="CM107"/>
  <c r="FL175"/>
  <c r="EP107"/>
  <c r="AR115"/>
  <c r="AQ29"/>
  <c r="AX146"/>
  <c r="BC14"/>
  <c r="EW63"/>
  <c r="AD50"/>
  <c r="BE150"/>
  <c r="FM116"/>
  <c r="CK176"/>
  <c r="EW109"/>
  <c r="DG90"/>
  <c r="DV110"/>
  <c r="AA131"/>
  <c r="Y111"/>
  <c r="M89"/>
  <c r="CG128"/>
  <c r="N90"/>
  <c r="Q133"/>
  <c r="AS23"/>
  <c r="BT36"/>
  <c r="BX115"/>
  <c r="K65"/>
  <c r="FE170"/>
  <c r="CH176"/>
  <c r="X79"/>
  <c r="EI92"/>
  <c r="D125"/>
  <c r="AG38"/>
  <c r="AH147"/>
  <c r="Y164"/>
  <c r="BO72"/>
  <c r="FC130"/>
  <c r="DT50"/>
  <c r="CM54"/>
  <c r="EZ63"/>
  <c r="EJ94"/>
  <c r="BG62"/>
  <c r="FI30"/>
  <c r="BK136"/>
  <c r="H148"/>
  <c r="EE178"/>
  <c r="DS72"/>
  <c r="P77"/>
  <c r="DS10"/>
  <c r="AO133"/>
  <c r="AA10"/>
  <c r="F34"/>
  <c r="FD22"/>
  <c r="AT89"/>
  <c r="EZ163"/>
  <c r="AP87"/>
  <c r="BI130"/>
  <c r="AB89"/>
  <c r="FC86"/>
  <c r="BG28"/>
  <c r="EL48"/>
  <c r="W158"/>
  <c r="CS162"/>
  <c r="AR130"/>
  <c r="ED68"/>
  <c r="BS151"/>
  <c r="BX27"/>
  <c r="EW160"/>
  <c r="DV166"/>
  <c r="BQ151"/>
  <c r="AZ63"/>
  <c r="DG102"/>
  <c r="AG128"/>
  <c r="FI101"/>
  <c r="AR105"/>
  <c r="FV149"/>
  <c r="FN51"/>
  <c r="EJ148"/>
  <c r="AJ62"/>
  <c r="BY29"/>
  <c r="FV57"/>
  <c r="EL136"/>
  <c r="C60"/>
  <c r="AW91"/>
  <c r="AW28"/>
  <c r="AB101"/>
  <c r="R112"/>
  <c r="DI82"/>
  <c r="BI8"/>
  <c r="AV7"/>
  <c r="CQ139"/>
  <c r="AW163"/>
  <c r="H123"/>
  <c r="AH132"/>
  <c r="FQ120"/>
  <c r="CC35"/>
  <c r="AS154"/>
  <c r="CG54"/>
  <c r="DI156"/>
  <c r="AH41"/>
  <c r="DO154"/>
  <c r="AW143"/>
  <c r="CT132"/>
  <c r="EF79"/>
  <c r="U178"/>
  <c r="CI11"/>
  <c r="CA2"/>
  <c r="DZ110"/>
  <c r="R63"/>
  <c r="EJ144"/>
  <c r="T60"/>
  <c r="DF150"/>
  <c r="R85"/>
  <c r="P20"/>
  <c r="AK65"/>
  <c r="K116"/>
  <c r="H107"/>
  <c r="FR38"/>
  <c r="CQ160"/>
  <c r="E59"/>
  <c r="FI126"/>
  <c r="AX112"/>
  <c r="EJ125"/>
  <c r="F114"/>
  <c r="BT166"/>
  <c r="M33"/>
  <c r="E173"/>
  <c r="Y32"/>
  <c r="AE132"/>
  <c r="BT172"/>
  <c r="AY116"/>
  <c r="AF144"/>
  <c r="E49"/>
  <c r="FC5"/>
  <c r="FU71"/>
  <c r="BP127"/>
  <c r="AW168"/>
  <c r="CA100"/>
  <c r="DF20"/>
  <c r="EL81"/>
  <c r="CA140"/>
  <c r="FN41"/>
  <c r="CM28"/>
  <c r="I43"/>
  <c r="V82"/>
  <c r="AS156"/>
  <c r="AJ124"/>
  <c r="T128"/>
  <c r="CH70"/>
  <c r="CX39"/>
  <c r="D122"/>
  <c r="EG59"/>
  <c r="EO56"/>
  <c r="BD50"/>
  <c r="CM67"/>
  <c r="DM101"/>
  <c r="DV154"/>
  <c r="BW160"/>
  <c r="CT130"/>
  <c r="FK93"/>
  <c r="DS105"/>
  <c r="EC47"/>
  <c r="EZ94"/>
  <c r="BA153"/>
  <c r="FR61"/>
  <c r="W125"/>
  <c r="DI78"/>
  <c r="FJ20"/>
  <c r="AF37"/>
  <c r="G84"/>
  <c r="FT146"/>
  <c r="DO67"/>
  <c r="BP27"/>
  <c r="FS11"/>
  <c r="EA64"/>
  <c r="EM67"/>
  <c r="W97"/>
  <c r="CS91"/>
  <c r="AZ23"/>
  <c r="L51"/>
  <c r="AX10"/>
  <c r="DD168"/>
  <c r="CX90"/>
  <c r="I31"/>
  <c r="AB118"/>
  <c r="AK111"/>
  <c r="DZ62"/>
  <c r="CG30"/>
  <c r="O156"/>
  <c r="BL102"/>
  <c r="V66"/>
  <c r="EJ62"/>
  <c r="BC5"/>
  <c r="B60"/>
  <c r="ER153"/>
  <c r="DA97"/>
  <c r="CY71"/>
  <c r="CV88"/>
  <c r="AW166"/>
  <c r="AM138"/>
  <c r="Z25"/>
  <c r="FU137"/>
  <c r="BR32"/>
  <c r="DF71"/>
  <c r="BY41"/>
  <c r="CT157"/>
  <c r="DS107"/>
  <c r="AB18"/>
  <c r="ET117"/>
  <c r="EP72"/>
  <c r="FV121"/>
  <c r="FA24"/>
  <c r="FM118"/>
  <c r="DS89"/>
  <c r="CD139"/>
  <c r="CE140"/>
  <c r="CD32"/>
  <c r="FA49"/>
  <c r="T159"/>
  <c r="CK81"/>
  <c r="EH4"/>
  <c r="DR136"/>
  <c r="CO64"/>
  <c r="BN69"/>
  <c r="CW46"/>
  <c r="DV51"/>
  <c r="DU177"/>
  <c r="P152"/>
  <c r="BP21"/>
  <c r="AF72"/>
  <c r="BL157"/>
  <c r="CR3"/>
  <c r="CV48"/>
  <c r="AE44"/>
  <c r="AA28"/>
  <c r="BP172"/>
  <c r="DT142"/>
  <c r="AQ27"/>
  <c r="CW43"/>
  <c r="Z173"/>
  <c r="FE112"/>
  <c r="DC73"/>
  <c r="EF139"/>
  <c r="EP61"/>
  <c r="AE40"/>
  <c r="CV9"/>
  <c r="FA63"/>
  <c r="FL144"/>
  <c r="DE78"/>
  <c r="BK35"/>
  <c r="DG12"/>
  <c r="R140"/>
  <c r="Q62"/>
  <c r="Q4"/>
  <c r="CM102"/>
  <c r="DK163"/>
  <c r="AW43"/>
  <c r="EK15"/>
  <c r="CJ100"/>
  <c r="FI12"/>
  <c r="CD68"/>
  <c r="EN128"/>
  <c r="DQ34"/>
  <c r="Y66"/>
  <c r="DR100"/>
  <c r="DC115"/>
  <c r="AM96"/>
  <c r="BJ79"/>
  <c r="DO168"/>
  <c r="BV33"/>
  <c r="EO58"/>
  <c r="BG168"/>
  <c r="C153"/>
  <c r="BE100"/>
  <c r="EW139"/>
  <c r="EI137"/>
  <c r="EH171"/>
  <c r="FC115"/>
  <c r="BB101"/>
  <c r="FV98"/>
  <c r="B18"/>
  <c r="FK20"/>
  <c r="DD98"/>
  <c r="J135"/>
  <c r="AA59"/>
  <c r="CD151"/>
  <c r="W52"/>
  <c r="E4"/>
  <c r="AX27"/>
  <c r="V89"/>
  <c r="FM44"/>
  <c r="CZ84"/>
  <c r="FH123"/>
  <c r="CL33"/>
  <c r="EA23"/>
  <c r="AH88"/>
  <c r="BU51"/>
  <c r="CU101"/>
  <c r="AQ22"/>
  <c r="D88"/>
  <c r="H176"/>
  <c r="DK135"/>
  <c r="CJ61"/>
  <c r="CR47"/>
  <c r="ED86"/>
  <c r="CD71"/>
  <c r="BU153"/>
  <c r="EC79"/>
  <c r="AL144"/>
  <c r="AQ25"/>
  <c r="CK9"/>
  <c r="FV103"/>
  <c r="AI25"/>
  <c r="C92"/>
  <c r="Q2"/>
  <c r="T139"/>
  <c r="ET122"/>
  <c r="B132"/>
  <c r="FH114"/>
  <c r="CX178"/>
  <c r="CD12"/>
  <c r="BB118"/>
  <c r="BF48"/>
  <c r="BE154"/>
  <c r="EL20"/>
  <c r="EJ108"/>
  <c r="DB134"/>
  <c r="CX60"/>
  <c r="AQ173"/>
  <c r="C159"/>
  <c r="DN60"/>
  <c r="EX161"/>
  <c r="F14"/>
  <c r="DK90"/>
  <c r="DD124"/>
  <c r="BI121"/>
  <c r="DY102"/>
  <c r="DL5"/>
  <c r="BG163"/>
  <c r="CK168"/>
  <c r="ES32"/>
  <c r="BY62"/>
  <c r="D3"/>
  <c r="P47"/>
  <c r="BU167"/>
  <c r="CA162"/>
  <c r="AV164"/>
  <c r="CR23"/>
  <c r="FG50"/>
  <c r="DI32"/>
  <c r="DZ14"/>
  <c r="FI136"/>
  <c r="DG100"/>
  <c r="EU77"/>
  <c r="L160"/>
  <c r="C91"/>
  <c r="EG62"/>
  <c r="CN47"/>
  <c r="FB12"/>
  <c r="CZ55"/>
  <c r="BF132"/>
  <c r="EG175"/>
  <c r="AJ97"/>
  <c r="CU140"/>
  <c r="EP75"/>
  <c r="CJ43"/>
  <c r="CP103"/>
  <c r="BX70"/>
  <c r="CI104"/>
  <c r="DB16"/>
  <c r="FE145"/>
  <c r="DK59"/>
  <c r="ER93"/>
  <c r="EG157"/>
  <c r="M123"/>
  <c r="CM103"/>
  <c r="EN53"/>
  <c r="AE147"/>
  <c r="DD175"/>
  <c r="DK29"/>
  <c r="DL142"/>
  <c r="DD156"/>
  <c r="CH69"/>
  <c r="AF87"/>
  <c r="DH23"/>
  <c r="FR167"/>
  <c r="AJ72"/>
  <c r="FM99"/>
  <c r="DM117"/>
  <c r="CG87"/>
  <c r="BH136"/>
  <c r="BZ122"/>
  <c r="FU95"/>
  <c r="AY146"/>
  <c r="FI73"/>
  <c r="CI46"/>
  <c r="B133"/>
  <c r="EU162"/>
  <c r="CJ117"/>
  <c r="K137"/>
  <c r="DT57"/>
  <c r="EP76"/>
  <c r="DS158"/>
  <c r="FS169"/>
  <c r="N104"/>
  <c r="EH85"/>
  <c r="BG109"/>
  <c r="F4"/>
  <c r="EC101"/>
  <c r="DX36"/>
  <c r="ES131"/>
  <c r="AC103"/>
  <c r="E101"/>
  <c r="BJ4"/>
  <c r="CH116"/>
  <c r="M94"/>
  <c r="FR116"/>
  <c r="CW145"/>
  <c r="EC161"/>
  <c r="X83"/>
  <c r="AG114"/>
  <c r="FM72"/>
  <c r="DI133"/>
  <c r="I9"/>
  <c r="CM109"/>
  <c r="D15"/>
  <c r="EY96"/>
  <c r="AA32"/>
  <c r="DY30"/>
  <c r="AU139"/>
  <c r="DM23"/>
  <c r="CC142"/>
  <c r="AI126"/>
  <c r="DE103"/>
  <c r="FJ157"/>
  <c r="BN124"/>
  <c r="BU89"/>
  <c r="FL127"/>
  <c r="BK46"/>
  <c r="DZ101"/>
  <c r="ED149"/>
  <c r="G128"/>
  <c r="ET13"/>
  <c r="FC71"/>
  <c r="EF34"/>
  <c r="AK31"/>
  <c r="W171"/>
  <c r="BM145"/>
  <c r="DM129"/>
  <c r="DV58"/>
  <c r="EP138"/>
  <c r="ET154"/>
  <c r="CB116"/>
  <c r="BK84"/>
  <c r="AK87"/>
  <c r="FF105"/>
  <c r="CV137"/>
  <c r="CE95"/>
  <c r="EG138"/>
  <c r="EE157"/>
  <c r="EV54"/>
  <c r="FV81"/>
  <c r="EH68"/>
  <c r="AA33"/>
  <c r="FT154"/>
  <c r="BD119"/>
  <c r="EG160"/>
  <c r="BA110"/>
  <c r="CC30"/>
  <c r="M58"/>
  <c r="S142"/>
  <c r="FP15"/>
  <c r="CV62"/>
  <c r="AD4"/>
  <c r="BP157"/>
  <c r="ED64"/>
  <c r="EY66"/>
  <c r="BD5"/>
  <c r="AU148"/>
  <c r="FS108"/>
  <c r="BH150"/>
  <c r="ET52"/>
  <c r="EE54"/>
  <c r="CF116"/>
  <c r="DO144"/>
  <c r="T45"/>
  <c r="BK118"/>
  <c r="M15"/>
  <c r="F122"/>
  <c r="DH164"/>
  <c r="X154"/>
  <c r="DH46"/>
  <c r="AZ164"/>
  <c r="AO156"/>
  <c r="FF83"/>
  <c r="AH129"/>
  <c r="K135"/>
  <c r="FT80"/>
  <c r="EF109"/>
  <c r="J107"/>
  <c r="ER78"/>
  <c r="AT118"/>
  <c r="EW157"/>
  <c r="EA94"/>
  <c r="CP105"/>
  <c r="DR150"/>
  <c r="AD13"/>
  <c r="BF177"/>
  <c r="DC82"/>
  <c r="BP95"/>
  <c r="FL146"/>
  <c r="AW71"/>
  <c r="AR157"/>
  <c r="AV88"/>
  <c r="S91"/>
  <c r="AX30"/>
  <c r="BV159"/>
  <c r="DE132"/>
  <c r="BZ75"/>
  <c r="FT134"/>
  <c r="DA126"/>
  <c r="CG50"/>
  <c r="BB154"/>
  <c r="CY177"/>
  <c r="EP161"/>
  <c r="BG107"/>
  <c r="V62"/>
  <c r="BV18"/>
  <c r="CL58"/>
  <c r="EW127"/>
  <c r="EN137"/>
  <c r="U56"/>
  <c r="BK39"/>
  <c r="DF45"/>
  <c r="FO156"/>
  <c r="CF114"/>
  <c r="H104"/>
  <c r="DK94"/>
  <c r="ES20"/>
  <c r="AJ113"/>
  <c r="CZ166"/>
  <c r="EX31"/>
  <c r="CN149"/>
  <c r="EP58"/>
  <c r="CC83"/>
  <c r="CB32"/>
  <c r="BT32"/>
  <c r="FL35"/>
  <c r="W106"/>
  <c r="DR15"/>
  <c r="AI138"/>
  <c r="BW75"/>
  <c r="EI93"/>
  <c r="AE97"/>
  <c r="DN141"/>
  <c r="ED128"/>
  <c r="CC51"/>
  <c r="EZ56"/>
  <c r="L103"/>
  <c r="CR157"/>
  <c r="DV24"/>
  <c r="E2"/>
  <c r="CC158"/>
  <c r="FB135"/>
  <c r="D149"/>
  <c r="AM141"/>
  <c r="CY156"/>
  <c r="AP96"/>
  <c r="CO55"/>
  <c r="DR114"/>
  <c r="K24"/>
  <c r="C103"/>
  <c r="AY14"/>
  <c r="FF18"/>
  <c r="FG111"/>
  <c r="FP78"/>
  <c r="FU154"/>
  <c r="AZ167"/>
  <c r="ES81"/>
  <c r="Q173"/>
  <c r="CE127"/>
  <c r="BE167"/>
  <c r="H8"/>
  <c r="FG87"/>
  <c r="BW122"/>
  <c r="DV126"/>
  <c r="EM106"/>
  <c r="C31"/>
  <c r="EE112"/>
  <c r="BH115"/>
  <c r="AC57"/>
  <c r="CU176"/>
  <c r="I99"/>
  <c r="BL17"/>
  <c r="DJ37"/>
  <c r="CI172"/>
  <c r="CW142"/>
  <c r="FB134"/>
  <c r="EZ123"/>
  <c r="BV145"/>
  <c r="FR175"/>
  <c r="S95"/>
  <c r="EG166"/>
  <c r="AT43"/>
  <c r="U130"/>
  <c r="BS119"/>
  <c r="CA67"/>
  <c r="AR6"/>
  <c r="T162"/>
  <c r="CL85"/>
  <c r="BK57"/>
  <c r="FE48"/>
  <c r="CU165"/>
  <c r="DZ71"/>
  <c r="DH115"/>
  <c r="AS20"/>
  <c r="CE7"/>
  <c r="BU142"/>
  <c r="DU145"/>
  <c r="BS133"/>
  <c r="DR66"/>
  <c r="EG165"/>
  <c r="DJ108"/>
  <c r="BA149"/>
  <c r="DG20"/>
  <c r="DJ2"/>
  <c r="BG21"/>
  <c r="EW6"/>
  <c r="DJ164"/>
  <c r="EM114"/>
  <c r="FD108"/>
  <c r="AX11"/>
  <c r="FT96"/>
  <c r="AH118"/>
  <c r="FO144"/>
  <c r="BT126"/>
  <c r="DZ28"/>
  <c r="CY123"/>
  <c r="BW104"/>
  <c r="BP68"/>
  <c r="BP98"/>
  <c r="BP32"/>
  <c r="AB77"/>
  <c r="CR123"/>
  <c r="BX77"/>
  <c r="FS49"/>
  <c r="Q153"/>
  <c r="AD157"/>
  <c r="FU87"/>
  <c r="AD19"/>
  <c r="W102"/>
  <c r="DH79"/>
  <c r="EV75"/>
  <c r="FU116"/>
  <c r="FE8"/>
  <c r="BE129"/>
  <c r="EL89"/>
  <c r="FS63"/>
  <c r="CD16"/>
  <c r="BX28"/>
  <c r="AW169"/>
  <c r="DL56"/>
  <c r="BA81"/>
  <c r="EI113"/>
  <c r="ER111"/>
  <c r="CY95"/>
  <c r="AI24"/>
  <c r="EG140"/>
  <c r="EL152"/>
  <c r="DQ3"/>
  <c r="CG90"/>
  <c r="D43"/>
  <c r="CA5"/>
  <c r="CD134"/>
  <c r="CF151"/>
  <c r="AU77"/>
  <c r="AU36"/>
  <c r="CP48"/>
  <c r="DZ133"/>
  <c r="K87"/>
  <c r="CS41"/>
  <c r="EQ128"/>
  <c r="W105"/>
  <c r="EH138"/>
  <c r="BP17"/>
  <c r="ET6"/>
  <c r="CN103"/>
  <c r="EU152"/>
  <c r="DZ43"/>
  <c r="BS83"/>
  <c r="T113"/>
  <c r="DF41"/>
  <c r="W55"/>
  <c r="FD18"/>
  <c r="DK125"/>
  <c r="DV62"/>
  <c r="CI4"/>
  <c r="FO101"/>
  <c r="BU61"/>
  <c r="FU2"/>
  <c r="FP149"/>
  <c r="V69"/>
  <c r="DY99"/>
  <c r="BU16"/>
  <c r="AU111"/>
  <c r="R115"/>
  <c r="AR171"/>
  <c r="AR137"/>
  <c r="DD62"/>
  <c r="BO157"/>
  <c r="BM45"/>
  <c r="CY65"/>
  <c r="DK114"/>
  <c r="BA95"/>
  <c r="S53"/>
  <c r="FF155"/>
  <c r="CU29"/>
  <c r="EV137"/>
  <c r="BT109"/>
  <c r="AH50"/>
  <c r="BJ127"/>
  <c r="T176"/>
  <c r="AY126"/>
  <c r="CO42"/>
  <c r="EU166"/>
  <c r="FO177"/>
  <c r="AY19"/>
  <c r="DK6"/>
  <c r="FK78"/>
  <c r="BM140"/>
  <c r="AV139"/>
  <c r="CI9"/>
  <c r="BX24"/>
  <c r="FF115"/>
  <c r="T36"/>
  <c r="CH107"/>
  <c r="EY151"/>
  <c r="CI40"/>
  <c r="CX153"/>
  <c r="EC44"/>
  <c r="CM19"/>
  <c r="DR110"/>
  <c r="DH150"/>
  <c r="DT126"/>
  <c r="FI110"/>
  <c r="BE86"/>
  <c r="BH27"/>
  <c r="DP77"/>
  <c r="CE125"/>
  <c r="AV65"/>
  <c r="DL79"/>
  <c r="DU93"/>
  <c r="AZ36"/>
  <c r="BK68"/>
  <c r="CW81"/>
  <c r="BX154"/>
  <c r="CW153"/>
  <c r="ED163"/>
  <c r="CS113"/>
  <c r="DP28"/>
  <c r="FF26"/>
  <c r="EB88"/>
  <c r="BZ118"/>
  <c r="V140"/>
  <c r="BD73"/>
  <c r="EK166"/>
  <c r="CA40"/>
  <c r="FV115"/>
  <c r="CE68"/>
  <c r="CL9"/>
  <c r="BY158"/>
  <c r="CD160"/>
  <c r="CO113"/>
  <c r="AZ6"/>
  <c r="J119"/>
  <c r="EA107"/>
  <c r="DV127"/>
  <c r="EH155"/>
  <c r="EA65"/>
  <c r="DQ138"/>
  <c r="BZ39"/>
  <c r="AZ140"/>
  <c r="BO43"/>
  <c r="ER46"/>
  <c r="AL34"/>
  <c r="EE148"/>
  <c r="AD55"/>
  <c r="CF123"/>
  <c r="CO104"/>
  <c r="BF122"/>
  <c r="BE178"/>
  <c r="FO109"/>
  <c r="CM127"/>
  <c r="AQ19"/>
  <c r="DI115"/>
  <c r="C81"/>
  <c r="N44"/>
  <c r="BQ156"/>
  <c r="CX119"/>
  <c r="CF28"/>
  <c r="V173"/>
  <c r="FV21"/>
  <c r="EI18"/>
  <c r="AY99"/>
  <c r="Y124"/>
  <c r="EG69"/>
  <c r="CJ66"/>
  <c r="EO52"/>
  <c r="EJ111"/>
  <c r="EQ66"/>
  <c r="DS150"/>
  <c r="FT13"/>
  <c r="BO99"/>
  <c r="FH163"/>
  <c r="CB166"/>
  <c r="BG130"/>
  <c r="CU117"/>
  <c r="DV170"/>
  <c r="AN61"/>
  <c r="AO94"/>
  <c r="L9"/>
  <c r="D118"/>
  <c r="M168"/>
  <c r="DV46"/>
  <c r="AL10"/>
  <c r="DU62"/>
  <c r="DE35"/>
  <c r="CJ59"/>
  <c r="ED69"/>
  <c r="D131"/>
  <c r="FN66"/>
  <c r="FD92"/>
  <c r="B145"/>
  <c r="EC96"/>
  <c r="FO16"/>
  <c r="AC64"/>
  <c r="AY161"/>
  <c r="AO166"/>
  <c r="AE31"/>
  <c r="EN127"/>
  <c r="K9"/>
  <c r="BU60"/>
  <c r="AG87"/>
  <c r="FF40"/>
  <c r="EV145"/>
  <c r="BH89"/>
  <c r="CA159"/>
  <c r="DX85"/>
  <c r="CP32"/>
  <c r="CD64"/>
  <c r="EB127"/>
  <c r="BP125"/>
  <c r="DZ34"/>
  <c r="Q101"/>
  <c r="CQ153"/>
  <c r="DN22"/>
  <c r="AP90"/>
  <c r="CR45"/>
  <c r="EN109"/>
  <c r="CM29"/>
  <c r="AC48"/>
  <c r="DB158"/>
  <c r="AI101"/>
  <c r="DX74"/>
  <c r="EI82"/>
  <c r="BN153"/>
  <c r="G40"/>
  <c r="EK111"/>
  <c r="DD69"/>
  <c r="Z134"/>
  <c r="FT157"/>
  <c r="EK126"/>
  <c r="U107"/>
  <c r="BO86"/>
  <c r="AK165"/>
  <c r="U90"/>
  <c r="CL71"/>
  <c r="P104"/>
  <c r="DJ169"/>
  <c r="U63"/>
  <c r="EF144"/>
  <c r="DM120"/>
  <c r="AQ145"/>
  <c r="CL115"/>
  <c r="P36"/>
  <c r="DH5"/>
  <c r="CQ33"/>
  <c r="EP10"/>
  <c r="AY53"/>
  <c r="FM9"/>
  <c r="CT160"/>
  <c r="DB64"/>
  <c r="AF88"/>
  <c r="CD110"/>
  <c r="BR139"/>
  <c r="EV156"/>
  <c r="CU102"/>
  <c r="CT52"/>
  <c r="CH67"/>
  <c r="CL41"/>
  <c r="AF167"/>
  <c r="DQ164"/>
  <c r="W86"/>
  <c r="DZ21"/>
  <c r="AE89"/>
  <c r="DQ172"/>
  <c r="BM151"/>
  <c r="DS15"/>
  <c r="FI96"/>
  <c r="AS30"/>
  <c r="EF76"/>
  <c r="CF86"/>
  <c r="AJ136"/>
  <c r="EU102"/>
  <c r="CJ94"/>
  <c r="AP112"/>
  <c r="DR65"/>
  <c r="DY124"/>
  <c r="AI37"/>
  <c r="DU48"/>
  <c r="CH42"/>
  <c r="AE150"/>
  <c r="EV157"/>
  <c r="EK135"/>
  <c r="EC15"/>
  <c r="BB77"/>
  <c r="EV33"/>
  <c r="X30"/>
  <c r="FD130"/>
  <c r="DY13"/>
  <c r="EZ84"/>
  <c r="F120"/>
  <c r="DV61"/>
  <c r="EG28"/>
  <c r="T119"/>
  <c r="AQ116"/>
  <c r="DW48"/>
  <c r="DO56"/>
  <c r="FL94"/>
  <c r="EE91"/>
  <c r="EP160"/>
  <c r="BB114"/>
  <c r="FB83"/>
  <c r="DY39"/>
  <c r="BS12"/>
  <c r="I38"/>
  <c r="BV95"/>
  <c r="BU42"/>
  <c r="F65"/>
  <c r="DB154"/>
  <c r="FD106"/>
  <c r="B28"/>
  <c r="H139"/>
  <c r="DX67"/>
  <c r="EE99"/>
  <c r="AW49"/>
  <c r="EV17"/>
  <c r="P161"/>
  <c r="R18"/>
  <c r="DG133"/>
  <c r="FA86"/>
  <c r="FT64"/>
  <c r="AO116"/>
  <c r="EF53"/>
  <c r="I14"/>
  <c r="EM37"/>
  <c r="EL88"/>
  <c r="FC154"/>
  <c r="EW91"/>
  <c r="CY105"/>
  <c r="DQ75"/>
  <c r="ES141"/>
  <c r="BQ135"/>
  <c r="CJ13"/>
  <c r="J61"/>
  <c r="EF81"/>
  <c r="BY42"/>
  <c r="CH64"/>
  <c r="DE163"/>
  <c r="EA158"/>
  <c r="AU96"/>
  <c r="FS149"/>
  <c r="AW148"/>
  <c r="BT155"/>
  <c r="AC39"/>
  <c r="CW39"/>
  <c r="FD41"/>
  <c r="CZ70"/>
  <c r="BM165"/>
  <c r="C58"/>
  <c r="O69"/>
  <c r="EB31"/>
  <c r="BK51"/>
  <c r="M85"/>
  <c r="EL171"/>
  <c r="BW116"/>
  <c r="FG39"/>
  <c r="FR137"/>
  <c r="CR172"/>
  <c r="F86"/>
  <c r="BF96"/>
  <c r="AS130"/>
  <c r="ET164"/>
  <c r="Z162"/>
  <c r="BO20"/>
  <c r="DL9"/>
  <c r="DP57"/>
  <c r="DK108"/>
  <c r="DF132"/>
  <c r="N118"/>
  <c r="CD46"/>
  <c r="FT159"/>
  <c r="BY19"/>
  <c r="FH100"/>
  <c r="L8"/>
  <c r="EP116"/>
  <c r="ED89"/>
  <c r="EI69"/>
  <c r="FJ141"/>
  <c r="BJ47"/>
  <c r="AR18"/>
  <c r="AK23"/>
  <c r="H98"/>
  <c r="FG109"/>
  <c r="DM159"/>
  <c r="P150"/>
  <c r="CM18"/>
  <c r="EL28"/>
  <c r="ET45"/>
  <c r="AH89"/>
  <c r="CS120"/>
  <c r="CD48"/>
  <c r="AS149"/>
  <c r="X5"/>
  <c r="FF160"/>
  <c r="BZ13"/>
  <c r="CY110"/>
  <c r="J66"/>
  <c r="EQ115"/>
  <c r="V56"/>
  <c r="DU35"/>
  <c r="CY70"/>
  <c r="N29"/>
  <c r="FE22"/>
  <c r="CN139"/>
  <c r="EG2"/>
  <c r="DA6"/>
  <c r="EC26"/>
  <c r="AR30"/>
  <c r="EG171"/>
  <c r="CL15"/>
  <c r="EB76"/>
  <c r="AY37"/>
  <c r="CV121"/>
  <c r="CM159"/>
  <c r="DV125"/>
  <c r="EE140"/>
  <c r="AK3"/>
  <c r="DR57"/>
  <c r="AB107"/>
  <c r="BS75"/>
  <c r="AR159"/>
  <c r="DX171"/>
  <c r="CW122"/>
  <c r="DB38"/>
  <c r="EW102"/>
  <c r="ED49"/>
  <c r="AG60"/>
  <c r="BH178"/>
  <c r="H108"/>
  <c r="AR86"/>
  <c r="DY143"/>
  <c r="FJ24"/>
  <c r="DZ66"/>
  <c r="AC47"/>
  <c r="FN111"/>
  <c r="EC35"/>
  <c r="AG15"/>
  <c r="EV22"/>
  <c r="BL48"/>
  <c r="EA146"/>
  <c r="M54"/>
  <c r="AH75"/>
  <c r="CX143"/>
  <c r="ED124"/>
  <c r="CK39"/>
  <c r="DH22"/>
  <c r="FT99"/>
  <c r="DO123"/>
  <c r="CC74"/>
  <c r="DK20"/>
  <c r="BD91"/>
  <c r="EQ125"/>
  <c r="D14"/>
  <c r="N165"/>
  <c r="DM31"/>
  <c r="DR54"/>
  <c r="B16"/>
  <c r="FV162"/>
  <c r="BU124"/>
  <c r="EA80"/>
  <c r="AQ148"/>
  <c r="Q178"/>
  <c r="FE138"/>
  <c r="ES101"/>
  <c r="K97"/>
  <c r="Q22"/>
  <c r="FF127"/>
  <c r="FJ66"/>
  <c r="ET142"/>
  <c r="CO81"/>
  <c r="AN173"/>
  <c r="CY173"/>
  <c r="CX164"/>
  <c r="CD61"/>
  <c r="AZ122"/>
  <c r="EH30"/>
  <c r="FN98"/>
  <c r="EV154"/>
  <c r="BU178"/>
  <c r="CI101"/>
  <c r="O167"/>
  <c r="P171"/>
  <c r="AN128"/>
  <c r="AA45"/>
  <c r="BY74"/>
  <c r="DD75"/>
  <c r="FJ137"/>
  <c r="CI21"/>
  <c r="FB100"/>
  <c r="EC13"/>
  <c r="U69"/>
  <c r="DS55"/>
  <c r="CH40"/>
  <c r="AE35"/>
  <c r="DS17"/>
  <c r="P118"/>
  <c r="BO10"/>
  <c r="AT152"/>
  <c r="CH167"/>
  <c r="P91"/>
  <c r="BI81"/>
  <c r="EF170"/>
  <c r="D147"/>
  <c r="BJ54"/>
  <c r="DZ7"/>
  <c r="FJ57"/>
  <c r="ER178"/>
  <c r="AM127"/>
  <c r="AM137"/>
  <c r="K141"/>
  <c r="AS48"/>
  <c r="CN21"/>
  <c r="CS49"/>
  <c r="DG70"/>
  <c r="BY151"/>
  <c r="CJ32"/>
  <c r="AF90"/>
  <c r="AF24"/>
  <c r="CR125"/>
  <c r="FR63"/>
  <c r="L72"/>
  <c r="BW88"/>
  <c r="FQ27"/>
  <c r="BJ160"/>
  <c r="FH49"/>
  <c r="CL162"/>
  <c r="FB64"/>
  <c r="BZ129"/>
  <c r="EK92"/>
  <c r="EH165"/>
  <c r="CY155"/>
  <c r="AI132"/>
  <c r="ED48"/>
  <c r="EE22"/>
  <c r="FJ129"/>
  <c r="BW29"/>
  <c r="BW77"/>
  <c r="EL166"/>
  <c r="DI131"/>
  <c r="DA35"/>
  <c r="DB69"/>
  <c r="DN35"/>
  <c r="AQ117"/>
  <c r="CZ134"/>
  <c r="FH137"/>
  <c r="P7"/>
  <c r="AF154"/>
  <c r="DQ106"/>
  <c r="CB78"/>
  <c r="FD11"/>
  <c r="FM97"/>
  <c r="AT20"/>
  <c r="BY31"/>
  <c r="BS129"/>
  <c r="DG24"/>
  <c r="ED21"/>
  <c r="BU49"/>
  <c r="FM33"/>
  <c r="EP93"/>
  <c r="J72"/>
  <c r="AC26"/>
  <c r="FI42"/>
  <c r="BN56"/>
  <c r="X105"/>
  <c r="AB96"/>
  <c r="DS45"/>
  <c r="CW126"/>
  <c r="AG71"/>
  <c r="BC43"/>
  <c r="FP148"/>
  <c r="FV132"/>
  <c r="ES162"/>
  <c r="DY9"/>
  <c r="BG86"/>
  <c r="AM160"/>
  <c r="DT162"/>
  <c r="DY37"/>
  <c r="DC72"/>
  <c r="EG139"/>
  <c r="BO23"/>
  <c r="X92"/>
  <c r="BQ94"/>
  <c r="Z67"/>
  <c r="DP109"/>
  <c r="EX178"/>
  <c r="FF13"/>
  <c r="AT67"/>
  <c r="AT161"/>
  <c r="DK82"/>
  <c r="FN71"/>
  <c r="BY35"/>
  <c r="AE123"/>
  <c r="EB62"/>
  <c r="FE34"/>
  <c r="DX176"/>
  <c r="DH141"/>
  <c r="EH151"/>
  <c r="EG124"/>
  <c r="BU9"/>
  <c r="AG119"/>
  <c r="AY64"/>
  <c r="BS17"/>
  <c r="CS124"/>
  <c r="AD129"/>
  <c r="BX136"/>
  <c r="O110"/>
  <c r="O27"/>
  <c r="CV29"/>
  <c r="DA124"/>
  <c r="CL64"/>
  <c r="EJ82"/>
  <c r="FR127"/>
  <c r="FD51"/>
  <c r="DN138"/>
  <c r="EL13"/>
  <c r="FB9"/>
  <c r="DP115"/>
  <c r="BB67"/>
  <c r="EA72"/>
  <c r="CS87"/>
  <c r="H157"/>
  <c r="Y78"/>
  <c r="DW124"/>
  <c r="AM152"/>
  <c r="DU123"/>
  <c r="V108"/>
  <c r="EI176"/>
  <c r="AA58"/>
  <c r="BR54"/>
  <c r="AF99"/>
  <c r="AA60"/>
  <c r="FL9"/>
  <c r="E98"/>
  <c r="U12"/>
  <c r="AJ10"/>
  <c r="CB147"/>
  <c r="S2"/>
  <c r="Z27"/>
  <c r="DM87"/>
  <c r="DC26"/>
  <c r="AE157"/>
  <c r="CO21"/>
  <c r="FN99"/>
  <c r="FQ48"/>
  <c r="DB4"/>
  <c r="CE76"/>
  <c r="BM124"/>
  <c r="AC148"/>
  <c r="BB51"/>
  <c r="EP127"/>
  <c r="FT105"/>
  <c r="AE116"/>
  <c r="CO4"/>
  <c r="DI109"/>
  <c r="BD177"/>
  <c r="DT148"/>
  <c r="DV15"/>
  <c r="DE133"/>
  <c r="EY23"/>
  <c r="FB26"/>
  <c r="BQ82"/>
  <c r="FA66"/>
  <c r="CW95"/>
  <c r="FP146"/>
  <c r="EG112"/>
  <c r="CW99"/>
  <c r="FR108"/>
  <c r="EU10"/>
  <c r="CF127"/>
  <c r="AK50"/>
  <c r="AD46"/>
  <c r="FO56"/>
  <c r="CT40"/>
  <c r="FB54"/>
  <c r="AH76"/>
  <c r="FK77"/>
  <c r="BI133"/>
  <c r="E132"/>
  <c r="R116"/>
  <c r="CY104"/>
  <c r="CM68"/>
  <c r="CM141"/>
  <c r="FH90"/>
  <c r="ED162"/>
  <c r="AC126"/>
  <c r="DC117"/>
  <c r="Y136"/>
  <c r="S90"/>
  <c r="ET28"/>
  <c r="CR30"/>
  <c r="FK7"/>
  <c r="EZ131"/>
  <c r="DI53"/>
  <c r="BS5"/>
  <c r="BR153"/>
  <c r="AJ21"/>
  <c r="P34"/>
  <c r="EQ67"/>
  <c r="EG63"/>
  <c r="BT153"/>
  <c r="CX125"/>
  <c r="EF12"/>
  <c r="FK166"/>
  <c r="CR176"/>
  <c r="Z33"/>
  <c r="AN97"/>
  <c r="B90"/>
  <c r="BH25"/>
  <c r="DX28"/>
  <c r="B32"/>
  <c r="FQ64"/>
  <c r="U29"/>
  <c r="FB125"/>
  <c r="AM95"/>
  <c r="FS72"/>
  <c r="R75"/>
  <c r="FS73"/>
  <c r="FK104"/>
  <c r="AQ20"/>
  <c r="CH61"/>
  <c r="J161"/>
  <c r="E94"/>
  <c r="CW33"/>
  <c r="DF32"/>
  <c r="FA70"/>
  <c r="X170"/>
  <c r="DY126"/>
  <c r="CF59"/>
  <c r="FH32"/>
  <c r="AU109"/>
  <c r="AW113"/>
  <c r="EW119"/>
  <c r="BJ31"/>
  <c r="DS95"/>
  <c r="ED57"/>
  <c r="DU127"/>
  <c r="FU24"/>
  <c r="EC38"/>
  <c r="X115"/>
  <c r="CV41"/>
  <c r="FD79"/>
  <c r="AJ74"/>
  <c r="AL157"/>
  <c r="FB42"/>
  <c r="DB136"/>
  <c r="CA69"/>
  <c r="ES12"/>
  <c r="AR26"/>
  <c r="BA109"/>
  <c r="AQ66"/>
  <c r="EN133"/>
  <c r="DU110"/>
  <c r="FU153"/>
  <c r="FB121"/>
  <c r="CX8"/>
  <c r="BQ101"/>
  <c r="DX133"/>
  <c r="BK134"/>
  <c r="BO175"/>
  <c r="DF50"/>
  <c r="DB147"/>
  <c r="M69"/>
  <c r="EL71"/>
  <c r="AF82"/>
  <c r="AW130"/>
  <c r="AY66"/>
  <c r="L29"/>
  <c r="EG133"/>
  <c r="AO155"/>
  <c r="AL137"/>
  <c r="EW51"/>
  <c r="CF99"/>
  <c r="DU119"/>
  <c r="DH107"/>
  <c r="CE91"/>
  <c r="BT24"/>
  <c r="CJ85"/>
  <c r="AR103"/>
  <c r="FV116"/>
  <c r="G18"/>
  <c r="AG63"/>
  <c r="EY108"/>
  <c r="FD93"/>
  <c r="CF104"/>
  <c r="AQ46"/>
  <c r="BC152"/>
  <c r="V159"/>
  <c r="BJ155"/>
  <c r="G49"/>
  <c r="L18"/>
  <c r="BQ84"/>
  <c r="EE45"/>
  <c r="BI92"/>
  <c r="Q166"/>
  <c r="CE107"/>
  <c r="CQ115"/>
  <c r="CD13"/>
  <c r="EE104"/>
  <c r="FM105"/>
  <c r="FJ117"/>
  <c r="CM49"/>
  <c r="CS21"/>
  <c r="EL134"/>
  <c r="B62"/>
  <c r="DG6"/>
  <c r="CH81"/>
  <c r="FK42"/>
  <c r="T129"/>
  <c r="EY126"/>
  <c r="BR103"/>
  <c r="BD41"/>
  <c r="FN43"/>
  <c r="CG123"/>
  <c r="EX152"/>
  <c r="FA32"/>
  <c r="AY33"/>
  <c r="DS5"/>
  <c r="AX90"/>
  <c r="I128"/>
  <c r="BZ103"/>
  <c r="AG133"/>
  <c r="DC175"/>
  <c r="CB9"/>
  <c r="CK114"/>
  <c r="CE10"/>
  <c r="EG129"/>
  <c r="CY74"/>
  <c r="EP163"/>
  <c r="H85"/>
  <c r="BS67"/>
  <c r="ER38"/>
  <c r="AZ168"/>
  <c r="CU174"/>
  <c r="EE11"/>
  <c r="DD52"/>
  <c r="DQ17"/>
  <c r="CE103"/>
  <c r="DU178"/>
  <c r="ET106"/>
  <c r="G92"/>
  <c r="AD12"/>
  <c r="BV143"/>
  <c r="FQ155"/>
  <c r="CX49"/>
  <c r="AJ26"/>
  <c r="FN30"/>
  <c r="BE97"/>
  <c r="DJ93"/>
  <c r="CY172"/>
  <c r="DJ160"/>
  <c r="AI155"/>
  <c r="CC178"/>
  <c r="AX76"/>
  <c r="BV162"/>
  <c r="BP75"/>
  <c r="AX135"/>
  <c r="BR151"/>
  <c r="CE70"/>
  <c r="CA65"/>
  <c r="AE73"/>
  <c r="AV67"/>
  <c r="CY2"/>
  <c r="EW138"/>
  <c r="DG164"/>
  <c r="EV135"/>
  <c r="BI18"/>
  <c r="EK121"/>
  <c r="EP52"/>
  <c r="AF161"/>
  <c r="G134"/>
  <c r="N62"/>
  <c r="G133"/>
  <c r="AT84"/>
  <c r="AC105"/>
  <c r="FE119"/>
  <c r="ED4"/>
  <c r="FR142"/>
  <c r="BT60"/>
  <c r="AZ28"/>
  <c r="FB94"/>
  <c r="FB136"/>
  <c r="DA107"/>
  <c r="EA28"/>
  <c r="P76"/>
  <c r="BW140"/>
  <c r="DP52"/>
  <c r="O20"/>
  <c r="CI3"/>
  <c r="FL33"/>
  <c r="BG4"/>
  <c r="CR32"/>
  <c r="FJ68"/>
  <c r="AR169"/>
  <c r="DP128"/>
  <c r="X107"/>
  <c r="ET161"/>
  <c r="EY104"/>
  <c r="DP156"/>
  <c r="FF137"/>
  <c r="EH175"/>
  <c r="AX8"/>
  <c r="DD125"/>
  <c r="AU21"/>
  <c r="BL14"/>
  <c r="FU178"/>
  <c r="CQ88"/>
  <c r="DY103"/>
  <c r="AL143"/>
  <c r="P113"/>
  <c r="M107"/>
  <c r="BZ47"/>
  <c r="CO118"/>
  <c r="DR108"/>
  <c r="DO74"/>
  <c r="BQ164"/>
  <c r="BD175"/>
  <c r="BY73"/>
  <c r="CD33"/>
  <c r="CF57"/>
  <c r="BC85"/>
  <c r="CS3"/>
  <c r="BU65"/>
  <c r="FP119"/>
  <c r="CK22"/>
  <c r="AC21"/>
  <c r="V44"/>
  <c r="B85"/>
  <c r="FA53"/>
  <c r="DY89"/>
  <c r="DK130"/>
  <c r="EY131"/>
  <c r="BY93"/>
  <c r="CF32"/>
  <c r="EV168"/>
  <c r="DE10"/>
  <c r="DV65"/>
  <c r="ES6"/>
  <c r="EC126"/>
  <c r="CT123"/>
  <c r="EJ36"/>
  <c r="I76"/>
  <c r="FQ153"/>
  <c r="J157"/>
  <c r="CC78"/>
  <c r="EZ90"/>
  <c r="DJ34"/>
  <c r="AP27"/>
  <c r="AS165"/>
  <c r="CW63"/>
  <c r="EA170"/>
  <c r="BF176"/>
  <c r="BQ177"/>
  <c r="CE81"/>
  <c r="EZ3"/>
  <c r="DL155"/>
  <c r="DB149"/>
  <c r="Y118"/>
  <c r="N160"/>
  <c r="BL90"/>
  <c r="BN63"/>
  <c r="BM175"/>
  <c r="CB109"/>
  <c r="BA85"/>
  <c r="DA77"/>
  <c r="BS123"/>
  <c r="BL61"/>
  <c r="N98"/>
  <c r="EX9"/>
  <c r="BG115"/>
  <c r="CO38"/>
  <c r="FD104"/>
  <c r="FA114"/>
  <c r="BO16"/>
  <c r="EY162"/>
  <c r="DW76"/>
  <c r="EO83"/>
  <c r="AI139"/>
  <c r="X49"/>
  <c r="Y16"/>
  <c r="V117"/>
  <c r="CX154"/>
  <c r="BV60"/>
  <c r="B70"/>
  <c r="CF93"/>
  <c r="CK174"/>
  <c r="FM91"/>
  <c r="DA105"/>
  <c r="DI50"/>
  <c r="FB76"/>
  <c r="EP53"/>
  <c r="DT104"/>
  <c r="CG149"/>
  <c r="AZ114"/>
  <c r="FD116"/>
  <c r="FP86"/>
  <c r="CA41"/>
  <c r="CS170"/>
  <c r="DY94"/>
  <c r="AP56"/>
  <c r="FB107"/>
  <c r="AM94"/>
  <c r="FN150"/>
  <c r="CM46"/>
  <c r="AL49"/>
  <c r="H92"/>
  <c r="B113"/>
  <c r="CY41"/>
  <c r="DD158"/>
  <c r="BN46"/>
  <c r="DG52"/>
  <c r="ET90"/>
  <c r="BK38"/>
  <c r="CE63"/>
  <c r="FU152"/>
  <c r="DB170"/>
  <c r="EF15"/>
  <c r="FH101"/>
  <c r="CN94"/>
  <c r="K5"/>
  <c r="AJ57"/>
  <c r="AP83"/>
  <c r="FU61"/>
  <c r="CK11"/>
  <c r="S109"/>
  <c r="CO82"/>
  <c r="BC173"/>
  <c r="AM16"/>
  <c r="Q63"/>
  <c r="ET102"/>
  <c r="CG105"/>
  <c r="EE114"/>
  <c r="Y170"/>
  <c r="D66"/>
  <c r="T86"/>
  <c r="EJ71"/>
  <c r="AK107"/>
  <c r="EP102"/>
  <c r="DT12"/>
  <c r="AY170"/>
  <c r="FQ168"/>
  <c r="AK66"/>
  <c r="EX14"/>
  <c r="BY69"/>
  <c r="BR132"/>
  <c r="CQ145"/>
  <c r="CE173"/>
  <c r="CE168"/>
  <c r="EH12"/>
  <c r="S30"/>
  <c r="EC24"/>
  <c r="FB31"/>
  <c r="AI74"/>
  <c r="AO157"/>
  <c r="AE108"/>
  <c r="EA102"/>
  <c r="E43"/>
  <c r="DK176"/>
  <c r="AT153"/>
  <c r="EB104"/>
  <c r="AL167"/>
  <c r="DG11"/>
  <c r="AB159"/>
  <c r="P102"/>
  <c r="AN50"/>
  <c r="L92"/>
  <c r="DG110"/>
  <c r="FT38"/>
  <c r="EZ4"/>
  <c r="DK101"/>
  <c r="BI31"/>
  <c r="FL49"/>
  <c r="EI29"/>
  <c r="BU132"/>
  <c r="CB58"/>
  <c r="FR92"/>
  <c r="G106"/>
  <c r="CK106"/>
  <c r="CR79"/>
  <c r="EZ24"/>
  <c r="BN18"/>
  <c r="O40"/>
  <c r="FE158"/>
  <c r="FR51"/>
  <c r="T146"/>
  <c r="AF28"/>
  <c r="DH152"/>
  <c r="BL52"/>
  <c r="CP155"/>
  <c r="AD23"/>
  <c r="BN77"/>
  <c r="AX137"/>
  <c r="CY6"/>
  <c r="EU148"/>
  <c r="AT136"/>
  <c r="CM22"/>
  <c r="FU64"/>
  <c r="CC155"/>
  <c r="S15"/>
  <c r="CU103"/>
  <c r="DS48"/>
  <c r="BD104"/>
  <c r="DE71"/>
  <c r="EH9"/>
  <c r="AR42"/>
  <c r="EC129"/>
  <c r="EE40"/>
  <c r="BR164"/>
  <c r="K129"/>
  <c r="CD128"/>
  <c r="FV64"/>
  <c r="AK164"/>
  <c r="CE51"/>
  <c r="CR85"/>
  <c r="CI149"/>
  <c r="DQ53"/>
  <c r="M36"/>
  <c r="AR16"/>
  <c r="FA152"/>
  <c r="CF166"/>
  <c r="AD141"/>
  <c r="CE37"/>
  <c r="FK21"/>
  <c r="CD153"/>
  <c r="F128"/>
  <c r="FV15"/>
  <c r="DO175"/>
  <c r="FB14"/>
  <c r="DT96"/>
  <c r="FG107"/>
  <c r="DX65"/>
  <c r="FG141"/>
  <c r="FL142"/>
  <c r="BH74"/>
  <c r="BF115"/>
  <c r="D50"/>
  <c r="FC65"/>
  <c r="EB132"/>
  <c r="T81"/>
  <c r="EM20"/>
  <c r="V118"/>
  <c r="BV44"/>
  <c r="ER118"/>
  <c r="ES120"/>
  <c r="V46"/>
  <c r="DZ51"/>
  <c r="FA176"/>
  <c r="FO153"/>
  <c r="ER23"/>
  <c r="CX56"/>
  <c r="BU145"/>
  <c r="S21"/>
  <c r="EX156"/>
  <c r="EZ135"/>
  <c r="CS88"/>
  <c r="DU122"/>
  <c r="CT79"/>
  <c r="BP24"/>
  <c r="E145"/>
  <c r="CF131"/>
  <c r="AS167"/>
  <c r="BW164"/>
  <c r="BN85"/>
  <c r="EP28"/>
  <c r="DD50"/>
  <c r="CR59"/>
  <c r="EZ111"/>
  <c r="B15"/>
  <c r="CG108"/>
  <c r="BK64"/>
  <c r="FT74"/>
  <c r="ER47"/>
  <c r="DF169"/>
  <c r="AG126"/>
  <c r="BF70"/>
  <c r="FJ156"/>
  <c r="DX134"/>
  <c r="AQ91"/>
  <c r="ET172"/>
  <c r="FF156"/>
  <c r="CJ62"/>
  <c r="DB31"/>
  <c r="AP111"/>
  <c r="AL67"/>
  <c r="FC35"/>
  <c r="DD91"/>
  <c r="CO27"/>
  <c r="J64"/>
  <c r="EI76"/>
  <c r="EK120"/>
  <c r="AN168"/>
  <c r="DL146"/>
  <c r="AR2"/>
  <c r="AJ163"/>
  <c r="BF59"/>
  <c r="AT15"/>
  <c r="BH48"/>
  <c r="AN52"/>
  <c r="DC20"/>
  <c r="AP8"/>
  <c r="EE96"/>
  <c r="EI35"/>
  <c r="DQ54"/>
  <c r="CX62"/>
  <c r="AI129"/>
  <c r="AI174"/>
  <c r="AT155"/>
  <c r="AN29"/>
  <c r="FQ68"/>
  <c r="EA39"/>
  <c r="DW122"/>
  <c r="CO46"/>
  <c r="FU5"/>
  <c r="E144"/>
  <c r="BK47"/>
  <c r="CF3"/>
  <c r="DL154"/>
  <c r="Z72"/>
  <c r="AT54"/>
  <c r="DZ24"/>
  <c r="BJ27"/>
  <c r="X44"/>
  <c r="O12"/>
  <c r="BW7"/>
  <c r="FB38"/>
  <c r="FK113"/>
  <c r="CB53"/>
  <c r="FC125"/>
  <c r="EH32"/>
  <c r="EJ40"/>
  <c r="EM52"/>
  <c r="DJ114"/>
  <c r="EO151"/>
  <c r="CG70"/>
  <c r="DI89"/>
  <c r="R53"/>
  <c r="DG81"/>
  <c r="FK85"/>
  <c r="AJ130"/>
  <c r="DO62"/>
  <c r="CM77"/>
  <c r="FB175"/>
  <c r="DV66"/>
  <c r="Y7"/>
  <c r="CC66"/>
  <c r="CC5"/>
  <c r="EE6"/>
  <c r="CG103"/>
  <c r="U78"/>
  <c r="BO81"/>
  <c r="AS13"/>
  <c r="FK101"/>
  <c r="DQ36"/>
  <c r="CW125"/>
  <c r="Z129"/>
  <c r="AZ44"/>
  <c r="FA57"/>
  <c r="EQ173"/>
  <c r="BI160"/>
  <c r="F154"/>
  <c r="M9"/>
  <c r="DD136"/>
  <c r="EA147"/>
  <c r="BR75"/>
  <c r="N49"/>
  <c r="DY151"/>
  <c r="D152"/>
  <c r="CY100"/>
  <c r="EK173"/>
  <c r="CI83"/>
  <c r="FD86"/>
  <c r="FV44"/>
  <c r="BQ138"/>
  <c r="AR116"/>
  <c r="CT87"/>
  <c r="EK109"/>
  <c r="CH77"/>
  <c r="U23"/>
  <c r="AJ67"/>
  <c r="EL176"/>
  <c r="EZ126"/>
  <c r="AL68"/>
  <c r="M100"/>
  <c r="FP151"/>
  <c r="BV81"/>
  <c r="FT25"/>
  <c r="BR102"/>
  <c r="FG45"/>
  <c r="AS90"/>
  <c r="AF19"/>
  <c r="G72"/>
  <c r="ER17"/>
  <c r="CI2"/>
  <c r="F124"/>
  <c r="CS59"/>
  <c r="J159"/>
  <c r="AY35"/>
  <c r="EG136"/>
  <c r="AX134"/>
  <c r="BI143"/>
  <c r="DP17"/>
  <c r="DH160"/>
  <c r="DF74"/>
  <c r="FR80"/>
  <c r="BO45"/>
  <c r="DB70"/>
  <c r="BI86"/>
  <c r="DP143"/>
  <c r="FH154"/>
  <c r="E75"/>
  <c r="EB70"/>
  <c r="FE53"/>
  <c r="EA78"/>
  <c r="FJ90"/>
  <c r="FJ41"/>
  <c r="AB68"/>
  <c r="BQ159"/>
  <c r="DX109"/>
  <c r="BA35"/>
  <c r="CS27"/>
  <c r="DQ19"/>
  <c r="DX32"/>
  <c r="CE150"/>
  <c r="AX100"/>
  <c r="CL86"/>
  <c r="T47"/>
  <c r="U141"/>
  <c r="FG91"/>
  <c r="E82"/>
  <c r="EF91"/>
  <c r="EM87"/>
  <c r="D76"/>
  <c r="EK158"/>
  <c r="AX59"/>
  <c r="AI79"/>
  <c r="BH38"/>
  <c r="DV63"/>
  <c r="BM135"/>
  <c r="DF55"/>
  <c r="FB97"/>
  <c r="ER66"/>
  <c r="ES67"/>
  <c r="FI175"/>
  <c r="BI101"/>
  <c r="EO31"/>
  <c r="CP106"/>
  <c r="BW176"/>
  <c r="FO11"/>
  <c r="AX31"/>
  <c r="FE131"/>
  <c r="F53"/>
  <c r="AD45"/>
  <c r="DW144"/>
  <c r="EZ116"/>
  <c r="BQ132"/>
  <c r="BP153"/>
  <c r="BT16"/>
  <c r="BO132"/>
  <c r="FD177"/>
  <c r="FF80"/>
  <c r="BP36"/>
  <c r="EC41"/>
  <c r="BJ177"/>
  <c r="V22"/>
  <c r="AK89"/>
  <c r="EX168"/>
  <c r="BD109"/>
  <c r="CX22"/>
  <c r="AY136"/>
  <c r="FC134"/>
  <c r="EI166"/>
  <c r="EV177"/>
  <c r="CI119"/>
  <c r="AP147"/>
  <c r="Q123"/>
  <c r="G175"/>
  <c r="DK14"/>
  <c r="EM99"/>
  <c r="BB171"/>
  <c r="AA16"/>
  <c r="AY167"/>
  <c r="EM140"/>
  <c r="G60"/>
  <c r="CV159"/>
  <c r="BY25"/>
  <c r="EJ76"/>
  <c r="BZ92"/>
  <c r="AW70"/>
  <c r="CO151"/>
  <c r="EN110"/>
  <c r="EQ167"/>
  <c r="AN121"/>
  <c r="AF152"/>
  <c r="CS121"/>
  <c r="AT25"/>
  <c r="CM12"/>
  <c r="EJ142"/>
  <c r="BL166"/>
  <c r="AY58"/>
  <c r="DW136"/>
  <c r="EE50"/>
  <c r="DQ32"/>
  <c r="BY101"/>
  <c r="CH65"/>
  <c r="CI130"/>
  <c r="AQ99"/>
  <c r="DW140"/>
  <c r="AP73"/>
  <c r="DF155"/>
  <c r="BY178"/>
  <c r="FG140"/>
  <c r="W60"/>
  <c r="DT38"/>
  <c r="DO166"/>
  <c r="AB98"/>
  <c r="FS137"/>
  <c r="FN100"/>
  <c r="DU47"/>
  <c r="FM122"/>
  <c r="DM96"/>
  <c r="M80"/>
  <c r="EF124"/>
  <c r="FR171"/>
  <c r="EZ178"/>
  <c r="AO48"/>
  <c r="I137"/>
  <c r="AJ44"/>
  <c r="BD149"/>
  <c r="EJ119"/>
  <c r="AT141"/>
  <c r="EU178"/>
  <c r="DZ128"/>
  <c r="CX43"/>
  <c r="BK153"/>
  <c r="CO178"/>
  <c r="EZ34"/>
  <c r="FA56"/>
  <c r="EI165"/>
  <c r="CS139"/>
  <c r="AB171"/>
  <c r="CI152"/>
  <c r="EA86"/>
  <c r="AD63"/>
  <c r="EQ93"/>
  <c r="B122"/>
  <c r="EI99"/>
  <c r="DO81"/>
  <c r="O49"/>
  <c r="DZ125"/>
  <c r="C93"/>
  <c r="DY157"/>
  <c r="DV100"/>
  <c r="ER106"/>
  <c r="AG176"/>
  <c r="C57"/>
  <c r="DK72"/>
  <c r="EA75"/>
  <c r="EF48"/>
  <c r="BE22"/>
  <c r="DM126"/>
  <c r="DE145"/>
  <c r="I175"/>
  <c r="F87"/>
  <c r="AJ43"/>
  <c r="DZ61"/>
  <c r="CN102"/>
  <c r="FL67"/>
  <c r="AO22"/>
  <c r="FK94"/>
  <c r="DT165"/>
  <c r="AJ11"/>
  <c r="FS9"/>
  <c r="EZ21"/>
  <c r="AO56"/>
  <c r="BT151"/>
  <c r="N117"/>
  <c r="FT22"/>
  <c r="EV82"/>
  <c r="DT26"/>
  <c r="Q107"/>
  <c r="AL57"/>
  <c r="CS76"/>
  <c r="CC10"/>
  <c r="CM168"/>
  <c r="AL97"/>
  <c r="O97"/>
  <c r="BZ36"/>
  <c r="AQ63"/>
  <c r="C12"/>
  <c r="EI73"/>
  <c r="DF53"/>
  <c r="F33"/>
  <c r="FI161"/>
  <c r="D10"/>
  <c r="EO45"/>
  <c r="P98"/>
  <c r="FM31"/>
  <c r="CX68"/>
  <c r="BG164"/>
  <c r="AR118"/>
  <c r="U19"/>
  <c r="DA89"/>
  <c r="M5"/>
  <c r="BC13"/>
  <c r="BE31"/>
  <c r="FO103"/>
  <c r="AJ66"/>
  <c r="DE156"/>
  <c r="AI152"/>
  <c r="AA14"/>
  <c r="DE79"/>
  <c r="DV175"/>
  <c r="BP45"/>
  <c r="Y129"/>
  <c r="CJ81"/>
  <c r="FB167"/>
  <c r="CW12"/>
  <c r="FJ61"/>
  <c r="I13"/>
  <c r="AV8"/>
  <c r="AU54"/>
  <c r="W150"/>
  <c r="BB75"/>
  <c r="BX37"/>
  <c r="L36"/>
  <c r="EC162"/>
  <c r="AV84"/>
  <c r="CU31"/>
  <c r="AR67"/>
  <c r="BY168"/>
  <c r="AC176"/>
  <c r="AB143"/>
  <c r="DH159"/>
  <c r="ED90"/>
  <c r="AL62"/>
  <c r="BD48"/>
  <c r="EY49"/>
  <c r="DI36"/>
  <c r="DN57"/>
  <c r="CA134"/>
  <c r="AV69"/>
  <c r="DR28"/>
  <c r="BN177"/>
  <c r="AZ30"/>
  <c r="CI125"/>
  <c r="FU47"/>
  <c r="H166"/>
  <c r="EW87"/>
  <c r="DU87"/>
  <c r="DF154"/>
  <c r="ED135"/>
  <c r="CQ163"/>
  <c r="DP96"/>
  <c r="CH89"/>
  <c r="BS99"/>
  <c r="BJ57"/>
  <c r="CP65"/>
  <c r="AJ87"/>
  <c r="CK18"/>
  <c r="DS16"/>
  <c r="DG168"/>
  <c r="EF55"/>
  <c r="K7"/>
  <c r="AS82"/>
  <c r="W101"/>
  <c r="EU90"/>
  <c r="BK55"/>
  <c r="AW120"/>
  <c r="FO149"/>
  <c r="EU26"/>
  <c r="U35"/>
  <c r="BA131"/>
  <c r="FL51"/>
  <c r="BO144"/>
  <c r="S131"/>
  <c r="AD82"/>
  <c r="EO17"/>
  <c r="Z167"/>
  <c r="DG49"/>
  <c r="BF67"/>
  <c r="AR145"/>
  <c r="F20"/>
  <c r="J136"/>
  <c r="AQ10"/>
  <c r="CL17"/>
  <c r="FM42"/>
  <c r="BJ174"/>
  <c r="J35"/>
  <c r="C110"/>
  <c r="EP124"/>
  <c r="CM116"/>
  <c r="DI28"/>
  <c r="FO170"/>
  <c r="BS31"/>
  <c r="E45"/>
  <c r="P117"/>
  <c r="EI41"/>
  <c r="DA94"/>
  <c r="BK120"/>
  <c r="BR8"/>
  <c r="D117"/>
  <c r="Y116"/>
  <c r="BD121"/>
  <c r="FH19"/>
  <c r="BO78"/>
  <c r="FQ45"/>
  <c r="EG147"/>
  <c r="FL55"/>
  <c r="BU166"/>
  <c r="DQ128"/>
  <c r="BJ53"/>
  <c r="EK51"/>
  <c r="Y133"/>
  <c r="AS117"/>
  <c r="EA79"/>
  <c r="FL3"/>
  <c r="FG167"/>
  <c r="EF43"/>
  <c r="AJ156"/>
  <c r="FF167"/>
  <c r="FA93"/>
  <c r="CX16"/>
  <c r="EF138"/>
  <c r="EM78"/>
  <c r="DD134"/>
  <c r="BP23"/>
  <c r="CL56"/>
  <c r="G43"/>
  <c r="FH175"/>
  <c r="DN64"/>
  <c r="AJ116"/>
  <c r="DP176"/>
  <c r="EJ136"/>
  <c r="AI27"/>
  <c r="CE54"/>
  <c r="BV51"/>
  <c r="FM178"/>
  <c r="FE12"/>
  <c r="DZ105"/>
  <c r="F21"/>
  <c r="G124"/>
  <c r="CP149"/>
  <c r="BA46"/>
  <c r="CC87"/>
  <c r="EH84"/>
  <c r="EJ140"/>
  <c r="BQ119"/>
  <c r="ET93"/>
  <c r="DS135"/>
  <c r="EQ14"/>
  <c r="DP13"/>
  <c r="BJ135"/>
  <c r="FN96"/>
  <c r="BX59"/>
  <c r="N134"/>
  <c r="BF120"/>
  <c r="BF136"/>
  <c r="BF46"/>
  <c r="G86"/>
  <c r="AR75"/>
  <c r="E136"/>
  <c r="AG10"/>
  <c r="DL80"/>
  <c r="FC81"/>
  <c r="BW40"/>
  <c r="BH98"/>
  <c r="DG157"/>
  <c r="AR123"/>
  <c r="DJ139"/>
  <c r="CM83"/>
  <c r="CT56"/>
  <c r="AG37"/>
  <c r="EX166"/>
  <c r="ES144"/>
  <c r="AJ141"/>
  <c r="FT172"/>
  <c r="CY154"/>
  <c r="CN6"/>
  <c r="EV121"/>
  <c r="DN39"/>
  <c r="K23"/>
  <c r="DH133"/>
  <c r="CW163"/>
  <c r="CV136"/>
  <c r="AY25"/>
  <c r="CR127"/>
  <c r="AS24"/>
  <c r="DQ132"/>
  <c r="FG172"/>
  <c r="DG76"/>
  <c r="AJ104"/>
  <c r="BO118"/>
  <c r="Z6"/>
  <c r="FC168"/>
  <c r="BE124"/>
  <c r="DO52"/>
  <c r="U156"/>
  <c r="EI88"/>
  <c r="DR44"/>
  <c r="AO45"/>
  <c r="S77"/>
  <c r="Y90"/>
  <c r="DV131"/>
  <c r="CL38"/>
  <c r="AM58"/>
  <c r="AH166"/>
  <c r="DV105"/>
  <c r="BA159"/>
  <c r="EQ138"/>
  <c r="CT43"/>
  <c r="CK125"/>
  <c r="FU145"/>
  <c r="FK130"/>
  <c r="BB8"/>
  <c r="FR52"/>
  <c r="S49"/>
  <c r="BO160"/>
  <c r="FJ2"/>
  <c r="BH90"/>
  <c r="X169"/>
  <c r="EB21"/>
  <c r="FT161"/>
  <c r="FP30"/>
  <c r="B162"/>
  <c r="AR167"/>
  <c r="EN135"/>
  <c r="AP64"/>
  <c r="F88"/>
  <c r="AX115"/>
  <c r="FF86"/>
  <c r="CT145"/>
  <c r="FA158"/>
  <c r="U99"/>
  <c r="C44"/>
  <c r="BL34"/>
  <c r="FL18"/>
  <c r="EK91"/>
  <c r="CC17"/>
  <c r="FJ10"/>
  <c r="EI94"/>
  <c r="BX146"/>
  <c r="Z115"/>
  <c r="H12"/>
  <c r="AA167"/>
  <c r="DI135"/>
  <c r="BC102"/>
  <c r="FV90"/>
  <c r="BR141"/>
  <c r="DI74"/>
  <c r="FJ98"/>
  <c r="AU165"/>
  <c r="AI45"/>
  <c r="AQ105"/>
  <c r="CQ35"/>
  <c r="BG75"/>
  <c r="BH13"/>
  <c r="FI35"/>
  <c r="DM155"/>
  <c r="BA141"/>
  <c r="BZ22"/>
  <c r="BB10"/>
  <c r="CT162"/>
  <c r="CG56"/>
  <c r="FB111"/>
  <c r="CZ167"/>
  <c r="AQ59"/>
  <c r="EQ99"/>
  <c r="EN58"/>
  <c r="AZ150"/>
  <c r="AX154"/>
  <c r="EK56"/>
  <c r="DU32"/>
  <c r="BC57"/>
  <c r="EH113"/>
  <c r="FL83"/>
  <c r="FA128"/>
  <c r="CI99"/>
  <c r="BE10"/>
  <c r="AQ143"/>
  <c r="EY154"/>
  <c r="CF103"/>
  <c r="DC167"/>
  <c r="FS48"/>
  <c r="AA114"/>
  <c r="BD118"/>
  <c r="EI34"/>
  <c r="BR42"/>
  <c r="EK23"/>
  <c r="AP20"/>
  <c r="ER100"/>
  <c r="EM12"/>
  <c r="DD109"/>
  <c r="CE146"/>
  <c r="FI139"/>
  <c r="ER173"/>
  <c r="BG31"/>
  <c r="FP158"/>
  <c r="FG160"/>
  <c r="EZ86"/>
  <c r="P129"/>
  <c r="FC133"/>
  <c r="AA72"/>
  <c r="EC63"/>
  <c r="CR128"/>
  <c r="AX5"/>
  <c r="DC52"/>
  <c r="Y69"/>
  <c r="BL66"/>
  <c r="Q98"/>
  <c r="R102"/>
  <c r="DK170"/>
  <c r="BP160"/>
  <c r="CL37"/>
  <c r="FQ25"/>
  <c r="DL103"/>
  <c r="FN10"/>
  <c r="EI107"/>
  <c r="FT139"/>
  <c r="S117"/>
  <c r="CX31"/>
  <c r="FI116"/>
  <c r="AW77"/>
  <c r="AA154"/>
  <c r="DX138"/>
  <c r="R105"/>
  <c r="AE74"/>
  <c r="BE122"/>
  <c r="R4"/>
  <c r="FN77"/>
  <c r="EX61"/>
  <c r="AQ49"/>
  <c r="FS30"/>
  <c r="BN131"/>
  <c r="BR63"/>
  <c r="BF100"/>
  <c r="DT32"/>
  <c r="CU49"/>
  <c r="DU160"/>
  <c r="AC40"/>
  <c r="BI11"/>
  <c r="CG113"/>
  <c r="FN91"/>
  <c r="EO101"/>
  <c r="AL77"/>
  <c r="DG155"/>
  <c r="EO18"/>
  <c r="G22"/>
  <c r="DH151"/>
  <c r="EV105"/>
  <c r="FN57"/>
  <c r="CN159"/>
  <c r="DG33"/>
  <c r="AX6"/>
  <c r="CZ47"/>
  <c r="FN29"/>
  <c r="H56"/>
  <c r="ED121"/>
  <c r="BM117"/>
  <c r="CN112"/>
  <c r="BM40"/>
  <c r="CS72"/>
  <c r="DI166"/>
  <c r="DV130"/>
  <c r="G6"/>
  <c r="DK104"/>
  <c r="BO87"/>
  <c r="CD45"/>
  <c r="BY81"/>
  <c r="FF128"/>
  <c r="R6"/>
  <c r="BK178"/>
  <c r="DK7"/>
  <c r="F147"/>
  <c r="AI34"/>
  <c r="BQ6"/>
  <c r="DX132"/>
  <c r="BU175"/>
  <c r="CC145"/>
  <c r="EV80"/>
  <c r="Z94"/>
  <c r="AK138"/>
  <c r="BK79"/>
  <c r="CS63"/>
  <c r="CT165"/>
  <c r="E137"/>
  <c r="BT134"/>
  <c r="EY158"/>
  <c r="BQ97"/>
  <c r="FH34"/>
  <c r="EA177"/>
  <c r="S82"/>
  <c r="CN68"/>
  <c r="CG71"/>
  <c r="J116"/>
  <c r="CI178"/>
  <c r="AS155"/>
  <c r="EP8"/>
  <c r="AW165"/>
  <c r="EK24"/>
  <c r="EY71"/>
  <c r="FM75"/>
  <c r="CN147"/>
  <c r="AT35"/>
  <c r="DY27"/>
  <c r="AD98"/>
  <c r="BK111"/>
  <c r="DX71"/>
  <c r="DZ32"/>
  <c r="BM35"/>
  <c r="FF176"/>
  <c r="AY100"/>
  <c r="AI42"/>
  <c r="AZ62"/>
  <c r="CI17"/>
  <c r="FA112"/>
  <c r="AC66"/>
  <c r="D13"/>
  <c r="FE55"/>
  <c r="AH121"/>
  <c r="DO96"/>
  <c r="AM135"/>
  <c r="CC132"/>
  <c r="CE178"/>
  <c r="EI19"/>
  <c r="AN106"/>
  <c r="FF134"/>
  <c r="BI74"/>
  <c r="DH128"/>
  <c r="AU82"/>
  <c r="EK141"/>
  <c r="BF93"/>
  <c r="FV46"/>
  <c r="X60"/>
  <c r="C32"/>
  <c r="ED62"/>
  <c r="BD89"/>
  <c r="EI103"/>
  <c r="CR156"/>
  <c r="AA159"/>
  <c r="AK167"/>
  <c r="AW3"/>
  <c r="EQ79"/>
  <c r="BX57"/>
  <c r="DY33"/>
  <c r="FD114"/>
  <c r="BT42"/>
  <c r="DN9"/>
  <c r="EB84"/>
  <c r="F169"/>
  <c r="EP112"/>
  <c r="BD62"/>
  <c r="FB58"/>
  <c r="CG78"/>
  <c r="AE152"/>
  <c r="EM82"/>
  <c r="EV116"/>
  <c r="BC25"/>
  <c r="BI41"/>
  <c r="EB60"/>
  <c r="DM158"/>
  <c r="CH59"/>
  <c r="CI80"/>
  <c r="EF104"/>
  <c r="L19"/>
  <c r="F51"/>
  <c r="CQ172"/>
  <c r="DC78"/>
  <c r="AM79"/>
  <c r="CS4"/>
  <c r="EL123"/>
  <c r="AJ7"/>
  <c r="AN164"/>
  <c r="BT175"/>
  <c r="J38"/>
  <c r="C137"/>
  <c r="V81"/>
  <c r="DG4"/>
  <c r="CY10"/>
  <c r="ER22"/>
  <c r="BK132"/>
  <c r="FR87"/>
  <c r="BC23"/>
  <c r="DH48"/>
  <c r="E61"/>
  <c r="CS92"/>
  <c r="B46"/>
  <c r="CE43"/>
  <c r="Y14"/>
  <c r="EL87"/>
  <c r="Z176"/>
  <c r="C85"/>
  <c r="ED123"/>
  <c r="AY143"/>
  <c r="DW38"/>
  <c r="BU15"/>
  <c r="AF52"/>
  <c r="DO107"/>
  <c r="FD15"/>
  <c r="N33"/>
  <c r="R88"/>
  <c r="AX16"/>
  <c r="EU33"/>
  <c r="ET156"/>
  <c r="EL92"/>
  <c r="EO14"/>
  <c r="BO90"/>
  <c r="CI25"/>
  <c r="DR59"/>
  <c r="CH5"/>
  <c r="DU144"/>
  <c r="AW144"/>
  <c r="EF147"/>
  <c r="AJ22"/>
  <c r="FI137"/>
  <c r="FS139"/>
  <c r="G99"/>
  <c r="AF21"/>
  <c r="BC53"/>
  <c r="FR90"/>
  <c r="CU104"/>
  <c r="EV90"/>
  <c r="X77"/>
  <c r="M157"/>
  <c r="BL41"/>
  <c r="W67"/>
  <c r="EU147"/>
  <c r="EI127"/>
  <c r="DX69"/>
  <c r="CA107"/>
  <c r="M118"/>
  <c r="BQ152"/>
  <c r="EV147"/>
  <c r="FB67"/>
  <c r="BU22"/>
  <c r="DG80"/>
  <c r="FM140"/>
  <c r="AD174"/>
  <c r="CE72"/>
  <c r="AN21"/>
  <c r="FQ123"/>
  <c r="DU17"/>
  <c r="P143"/>
  <c r="DS84"/>
  <c r="FK102"/>
  <c r="FS166"/>
  <c r="EX164"/>
  <c r="FT148"/>
  <c r="DG117"/>
  <c r="FI84"/>
  <c r="BO37"/>
  <c r="BZ86"/>
  <c r="DA49"/>
  <c r="AN144"/>
  <c r="EM69"/>
  <c r="CU178"/>
  <c r="C71"/>
  <c r="BO110"/>
  <c r="D174"/>
  <c r="DR70"/>
  <c r="DF143"/>
  <c r="DM127"/>
  <c r="BN139"/>
  <c r="AS89"/>
  <c r="AY46"/>
  <c r="ET113"/>
  <c r="DJ165"/>
  <c r="FA103"/>
  <c r="AB119"/>
  <c r="EU124"/>
  <c r="CQ154"/>
  <c r="FP88"/>
  <c r="P162"/>
  <c r="CW13"/>
  <c r="CL51"/>
  <c r="H55"/>
  <c r="EV21"/>
  <c r="FT20"/>
  <c r="FP118"/>
  <c r="DC178"/>
  <c r="S38"/>
  <c r="L30"/>
  <c r="FF77"/>
  <c r="CA138"/>
  <c r="DX93"/>
  <c r="N162"/>
  <c r="DW83"/>
  <c r="EJ35"/>
  <c r="FS127"/>
  <c r="FG102"/>
  <c r="BK21"/>
  <c r="ED157"/>
  <c r="CC140"/>
  <c r="O35"/>
  <c r="AN24"/>
  <c r="FS69"/>
  <c r="DM34"/>
  <c r="AT117"/>
  <c r="FR94"/>
  <c r="FU91"/>
  <c r="DF27"/>
  <c r="FE161"/>
  <c r="EA73"/>
  <c r="DX113"/>
  <c r="BT81"/>
  <c r="DO79"/>
  <c r="EP40"/>
  <c r="V52"/>
  <c r="CB5"/>
  <c r="BY13"/>
  <c r="AB81"/>
  <c r="FK56"/>
  <c r="BN21"/>
  <c r="T52"/>
  <c r="EK107"/>
  <c r="EW141"/>
  <c r="AD110"/>
  <c r="V87"/>
  <c r="FM43"/>
  <c r="BQ11"/>
  <c r="DA78"/>
  <c r="H135"/>
  <c r="CD17"/>
  <c r="CT116"/>
  <c r="EY77"/>
  <c r="I173"/>
  <c r="EB12"/>
  <c r="BE162"/>
  <c r="DT136"/>
  <c r="K81"/>
  <c r="AG92"/>
  <c r="FM15"/>
  <c r="FM81"/>
  <c r="ED159"/>
  <c r="EZ19"/>
  <c r="CD103"/>
  <c r="DF167"/>
  <c r="K126"/>
  <c r="DA31"/>
  <c r="CC116"/>
  <c r="M154"/>
  <c r="DP125"/>
  <c r="EE75"/>
  <c r="BN137"/>
  <c r="BJ162"/>
  <c r="BA138"/>
  <c r="AZ116"/>
  <c r="FC121"/>
  <c r="BR146"/>
  <c r="AT82"/>
  <c r="BG139"/>
  <c r="AZ130"/>
  <c r="FQ61"/>
  <c r="Z161"/>
  <c r="M127"/>
  <c r="FA172"/>
  <c r="AW25"/>
  <c r="DD67"/>
  <c r="BR70"/>
  <c r="EG83"/>
  <c r="AK58"/>
  <c r="DQ139"/>
  <c r="EX54"/>
  <c r="EW97"/>
  <c r="I45"/>
  <c r="BM146"/>
  <c r="BA63"/>
  <c r="DL55"/>
  <c r="CO101"/>
  <c r="DO138"/>
  <c r="DA67"/>
  <c r="DH135"/>
  <c r="FE20"/>
  <c r="ET96"/>
  <c r="FP165"/>
  <c r="BF64"/>
  <c r="BH162"/>
  <c r="BX151"/>
  <c r="EX142"/>
  <c r="FG113"/>
  <c r="CT175"/>
  <c r="DX7"/>
  <c r="AD53"/>
  <c r="I52"/>
  <c r="FM164"/>
  <c r="BN141"/>
  <c r="DI35"/>
  <c r="EF90"/>
  <c r="AX91"/>
  <c r="CE82"/>
  <c r="EN142"/>
  <c r="AC158"/>
  <c r="BR64"/>
  <c r="DL78"/>
  <c r="D30"/>
  <c r="EC86"/>
  <c r="CX147"/>
  <c r="BJ93"/>
  <c r="DD97"/>
  <c r="J30"/>
  <c r="EL137"/>
  <c r="EA54"/>
  <c r="EX131"/>
  <c r="BC142"/>
  <c r="AA174"/>
  <c r="AK143"/>
  <c r="BZ10"/>
  <c r="FC161"/>
  <c r="DN177"/>
  <c r="BR145"/>
  <c r="DR125"/>
  <c r="CM55"/>
  <c r="I166"/>
  <c r="AX143"/>
  <c r="DQ35"/>
  <c r="BZ133"/>
  <c r="CG136"/>
  <c r="CZ129"/>
  <c r="EK87"/>
  <c r="CE71"/>
  <c r="BI163"/>
  <c r="FS47"/>
  <c r="BM49"/>
  <c r="AL126"/>
  <c r="DU44"/>
  <c r="BT106"/>
  <c r="CV165"/>
  <c r="BY2"/>
  <c r="BI89"/>
  <c r="BP174"/>
  <c r="DZ124"/>
  <c r="EN153"/>
  <c r="DT16"/>
  <c r="AQ51"/>
  <c r="FU139"/>
  <c r="DA79"/>
  <c r="DC25"/>
  <c r="DC23"/>
  <c r="ET27"/>
  <c r="U113"/>
  <c r="ES75"/>
  <c r="AA95"/>
  <c r="N63"/>
  <c r="EQ103"/>
  <c r="EX20"/>
  <c r="BZ79"/>
  <c r="BA168"/>
  <c r="BT169"/>
  <c r="BN45"/>
  <c r="AB48"/>
  <c r="AI9"/>
  <c r="BD166"/>
  <c r="BP102"/>
  <c r="BK91"/>
  <c r="BQ80"/>
  <c r="EO127"/>
  <c r="FS44"/>
  <c r="FG163"/>
  <c r="FM119"/>
  <c r="AJ96"/>
  <c r="AS88"/>
  <c r="FE175"/>
  <c r="X95"/>
  <c r="BP4"/>
  <c r="FI19"/>
  <c r="DO172"/>
  <c r="H32"/>
  <c r="BY99"/>
  <c r="FL164"/>
  <c r="BX155"/>
  <c r="C177"/>
  <c r="FK70"/>
  <c r="FC87"/>
  <c r="CC25"/>
  <c r="BY108"/>
  <c r="FV106"/>
  <c r="EN151"/>
  <c r="FU94"/>
  <c r="CP49"/>
  <c r="AJ5"/>
  <c r="FL8"/>
  <c r="S111"/>
  <c r="EC89"/>
  <c r="CB56"/>
  <c r="AZ43"/>
  <c r="FM108"/>
  <c r="AF73"/>
  <c r="CR107"/>
  <c r="DA87"/>
  <c r="CD126"/>
  <c r="FT43"/>
  <c r="CF113"/>
  <c r="FI25"/>
  <c r="C167"/>
  <c r="CG72"/>
  <c r="BC134"/>
  <c r="V158"/>
  <c r="FL137"/>
  <c r="FQ142"/>
  <c r="EH130"/>
  <c r="I159"/>
  <c r="DQ62"/>
  <c r="R122"/>
  <c r="AT142"/>
  <c r="DE167"/>
  <c r="CP44"/>
  <c r="CU48"/>
  <c r="CK130"/>
  <c r="EL173"/>
  <c r="EA149"/>
  <c r="CD30"/>
  <c r="B157"/>
  <c r="FR43"/>
  <c r="ED168"/>
  <c r="H96"/>
  <c r="FH26"/>
  <c r="AO82"/>
  <c r="BJ45"/>
  <c r="DI66"/>
  <c r="AV124"/>
  <c r="BN120"/>
  <c r="DD42"/>
  <c r="EY103"/>
  <c r="BH128"/>
  <c r="FM106"/>
  <c r="C138"/>
  <c r="AH3"/>
  <c r="BS14"/>
  <c r="EV30"/>
  <c r="K139"/>
  <c r="DY118"/>
  <c r="EU140"/>
  <c r="E175"/>
  <c r="EA48"/>
  <c r="FR2"/>
  <c r="DT37"/>
  <c r="FE125"/>
  <c r="BH167"/>
  <c r="DE18"/>
  <c r="AW114"/>
  <c r="BA41"/>
  <c r="BN151"/>
  <c r="AT21"/>
  <c r="BE55"/>
  <c r="AG86"/>
  <c r="X74"/>
  <c r="BN54"/>
  <c r="AJ110"/>
  <c r="FP14"/>
  <c r="BQ108"/>
  <c r="BL22"/>
  <c r="CN164"/>
  <c r="ER172"/>
  <c r="FT72"/>
  <c r="F24"/>
  <c r="AC173"/>
  <c r="CI22"/>
  <c r="BG39"/>
  <c r="AS67"/>
  <c r="BO112"/>
  <c r="BS107"/>
  <c r="BY121"/>
  <c r="CE98"/>
  <c r="DE101"/>
  <c r="DQ81"/>
  <c r="DH140"/>
  <c r="FN153"/>
  <c r="DU50"/>
  <c r="EK145"/>
  <c r="AV154"/>
  <c r="W164"/>
  <c r="DO10"/>
  <c r="B164"/>
  <c r="BN11"/>
  <c r="EB108"/>
  <c r="FR152"/>
  <c r="CZ42"/>
  <c r="BM24"/>
  <c r="AG18"/>
  <c r="EE28"/>
  <c r="CW135"/>
  <c r="AJ157"/>
  <c r="DZ46"/>
  <c r="EU57"/>
  <c r="C7"/>
  <c r="AZ41"/>
  <c r="EE35"/>
  <c r="AC20"/>
  <c r="ER155"/>
  <c r="K146"/>
  <c r="AE85"/>
  <c r="BJ50"/>
  <c r="ES127"/>
  <c r="FC63"/>
  <c r="DA138"/>
  <c r="EC14"/>
  <c r="BC15"/>
  <c r="CX111"/>
  <c r="EV85"/>
  <c r="AH56"/>
  <c r="BB127"/>
  <c r="T118"/>
  <c r="AS124"/>
  <c r="EB159"/>
  <c r="BJ39"/>
  <c r="EY62"/>
  <c r="BT120"/>
  <c r="CC167"/>
  <c r="BL3"/>
  <c r="FD151"/>
  <c r="DD44"/>
  <c r="AA119"/>
  <c r="CR66"/>
  <c r="DR112"/>
  <c r="EZ48"/>
  <c r="DY167"/>
  <c r="DD119"/>
  <c r="DH71"/>
  <c r="AQ172"/>
  <c r="BD36"/>
  <c r="ER103"/>
  <c r="DH45"/>
  <c r="AN101"/>
  <c r="EG11"/>
  <c r="FA148"/>
  <c r="AO10"/>
  <c r="CQ67"/>
  <c r="BW16"/>
  <c r="AA140"/>
  <c r="CQ142"/>
  <c r="CQ113"/>
  <c r="CY14"/>
  <c r="DH148"/>
  <c r="DQ9"/>
  <c r="DE112"/>
  <c r="AQ98"/>
  <c r="AB13"/>
  <c r="EB3"/>
  <c r="BK131"/>
  <c r="ED33"/>
  <c r="BG25"/>
  <c r="CC114"/>
  <c r="CN144"/>
  <c r="FS142"/>
  <c r="CJ166"/>
  <c r="BG99"/>
  <c r="BZ42"/>
  <c r="CR159"/>
  <c r="AX156"/>
  <c r="AX157"/>
  <c r="F31"/>
  <c r="CP7"/>
  <c r="R129"/>
  <c r="BJ92"/>
  <c r="EL145"/>
  <c r="AT18"/>
  <c r="BG63"/>
  <c r="X168"/>
  <c r="EV78"/>
  <c r="FM34"/>
  <c r="BJ98"/>
  <c r="L172"/>
  <c r="CT141"/>
  <c r="CV143"/>
  <c r="BE173"/>
  <c r="CT46"/>
  <c r="M149"/>
  <c r="FC167"/>
  <c r="DA146"/>
  <c r="EP175"/>
  <c r="EX121"/>
  <c r="BZ20"/>
  <c r="FL170"/>
  <c r="EZ140"/>
  <c r="BU43"/>
  <c r="S96"/>
  <c r="CW83"/>
  <c r="CN129"/>
  <c r="AA175"/>
  <c r="AO14"/>
  <c r="K85"/>
  <c r="AR64"/>
  <c r="FS157"/>
  <c r="AP136"/>
  <c r="BO119"/>
  <c r="Z62"/>
  <c r="CV30"/>
  <c r="EH76"/>
  <c r="FV50"/>
  <c r="FL108"/>
  <c r="CT63"/>
  <c r="EC107"/>
  <c r="V12"/>
  <c r="DO114"/>
  <c r="AP105"/>
  <c r="DB171"/>
  <c r="BE12"/>
  <c r="DW170"/>
  <c r="AD111"/>
  <c r="EH23"/>
  <c r="CB35"/>
  <c r="EA87"/>
  <c r="B79"/>
  <c r="EJ137"/>
  <c r="BV58"/>
  <c r="BW107"/>
  <c r="EO73"/>
  <c r="CA172"/>
  <c r="DY113"/>
  <c r="BR78"/>
  <c r="FD120"/>
  <c r="EE78"/>
  <c r="EM111"/>
  <c r="FQ178"/>
  <c r="DD45"/>
  <c r="FT95"/>
  <c r="CY79"/>
  <c r="BG80"/>
  <c r="EP126"/>
  <c r="AD124"/>
  <c r="CJ89"/>
  <c r="CN121"/>
  <c r="D16"/>
  <c r="L71"/>
  <c r="L139"/>
  <c r="B63"/>
  <c r="AL48"/>
  <c r="BZ90"/>
  <c r="DA18"/>
  <c r="DV83"/>
  <c r="AS52"/>
  <c r="DN178"/>
  <c r="EL5"/>
  <c r="EQ161"/>
  <c r="AU121"/>
  <c r="DM52"/>
  <c r="O81"/>
  <c r="AX139"/>
  <c r="BN79"/>
  <c r="ET132"/>
  <c r="CO56"/>
  <c r="DM61"/>
  <c r="E81"/>
  <c r="FK136"/>
  <c r="BA69"/>
  <c r="CB54"/>
  <c r="CB61"/>
  <c r="CQ40"/>
  <c r="O176"/>
  <c r="EO19"/>
  <c r="BM121"/>
  <c r="FI133"/>
  <c r="ER119"/>
  <c r="EF127"/>
  <c r="BY132"/>
  <c r="ET20"/>
  <c r="EP100"/>
  <c r="N89"/>
  <c r="FM86"/>
  <c r="FE79"/>
  <c r="EY74"/>
  <c r="DK129"/>
  <c r="CN118"/>
  <c r="G97"/>
  <c r="BL103"/>
  <c r="DR85"/>
  <c r="DO46"/>
  <c r="O120"/>
  <c r="AC23"/>
  <c r="EV20"/>
  <c r="AX178"/>
  <c r="FT78"/>
  <c r="EM14"/>
  <c r="EL101"/>
  <c r="FC74"/>
  <c r="BR53"/>
  <c r="DJ23"/>
  <c r="BJ122"/>
  <c r="AL128"/>
  <c r="AZ128"/>
  <c r="AX42"/>
  <c r="BH146"/>
  <c r="AV148"/>
  <c r="FQ139"/>
  <c r="EG154"/>
  <c r="CP144"/>
  <c r="BS44"/>
  <c r="H109"/>
  <c r="DC29"/>
  <c r="EP19"/>
  <c r="EN152"/>
  <c r="AV66"/>
  <c r="FM150"/>
  <c r="DK80"/>
  <c r="Y167"/>
  <c r="BJ112"/>
  <c r="AU159"/>
  <c r="AM82"/>
  <c r="F110"/>
  <c r="BN38"/>
  <c r="DE141"/>
  <c r="EX91"/>
  <c r="CM95"/>
  <c r="Z98"/>
  <c r="DW158"/>
  <c r="BM15"/>
  <c r="EA16"/>
  <c r="DK66"/>
  <c r="EE128"/>
  <c r="AA123"/>
  <c r="DL153"/>
  <c r="EF102"/>
  <c r="AM110"/>
  <c r="AI50"/>
  <c r="EC127"/>
  <c r="X90"/>
  <c r="DW104"/>
  <c r="FD154"/>
  <c r="DM124"/>
  <c r="DT99"/>
  <c r="BO100"/>
  <c r="DR154"/>
  <c r="DH73"/>
  <c r="EZ171"/>
  <c r="DS132"/>
  <c r="CW165"/>
  <c r="G113"/>
  <c r="EK3"/>
  <c r="CL78"/>
  <c r="CG29"/>
  <c r="O140"/>
  <c r="E159"/>
  <c r="AI98"/>
  <c r="AV157"/>
  <c r="BQ18"/>
  <c r="P111"/>
  <c r="CA154"/>
  <c r="CN45"/>
  <c r="EF130"/>
  <c r="C13"/>
  <c r="W128"/>
  <c r="BJ67"/>
  <c r="FU112"/>
  <c r="EP94"/>
  <c r="AJ161"/>
  <c r="AA103"/>
  <c r="V149"/>
  <c r="EL120"/>
  <c r="BE5"/>
  <c r="AL91"/>
  <c r="BI167"/>
  <c r="FI140"/>
  <c r="DY90"/>
  <c r="CW174"/>
  <c r="BQ161"/>
  <c r="E140"/>
  <c r="ET160"/>
  <c r="FN144"/>
  <c r="CS37"/>
  <c r="FU42"/>
  <c r="FC15"/>
  <c r="FG62"/>
  <c r="DH28"/>
  <c r="H6"/>
  <c r="CN16"/>
  <c r="DU6"/>
  <c r="AG112"/>
  <c r="BH77"/>
  <c r="CD90"/>
  <c r="AH6"/>
  <c r="CM151"/>
  <c r="BC39"/>
  <c r="FR146"/>
  <c r="CU66"/>
  <c r="CI8"/>
  <c r="BK170"/>
  <c r="CT100"/>
  <c r="AA116"/>
  <c r="FD27"/>
  <c r="EH99"/>
  <c r="EO84"/>
  <c r="FH172"/>
  <c r="AA128"/>
  <c r="EL104"/>
  <c r="BU75"/>
  <c r="FJ114"/>
  <c r="EB87"/>
  <c r="D89"/>
  <c r="BQ106"/>
  <c r="B173"/>
  <c r="EV76"/>
  <c r="CM71"/>
  <c r="AS140"/>
  <c r="ET40"/>
  <c r="BG116"/>
  <c r="BZ102"/>
  <c r="DS130"/>
  <c r="I8"/>
  <c r="BY84"/>
  <c r="AL92"/>
  <c r="BO21"/>
  <c r="AH109"/>
  <c r="AL125"/>
  <c r="AT12"/>
  <c r="EJ17"/>
  <c r="BR3"/>
  <c r="BJ170"/>
  <c r="DP149"/>
  <c r="BP114"/>
  <c r="FQ14"/>
  <c r="EW173"/>
  <c r="BB97"/>
  <c r="FL145"/>
  <c r="EN87"/>
  <c r="BG93"/>
  <c r="FT111"/>
  <c r="EH19"/>
  <c r="EW12"/>
  <c r="BW65"/>
  <c r="EC97"/>
  <c r="BQ53"/>
  <c r="Q20"/>
  <c r="BE25"/>
  <c r="CW177"/>
  <c r="O59"/>
  <c r="AG100"/>
  <c r="CZ164"/>
  <c r="CV22"/>
  <c r="ET30"/>
  <c r="BL146"/>
  <c r="DO111"/>
  <c r="CE161"/>
  <c r="BR58"/>
  <c r="DT167"/>
  <c r="ET155"/>
  <c r="EF44"/>
  <c r="FI33"/>
  <c r="AG122"/>
  <c r="EX46"/>
  <c r="FO4"/>
  <c r="DP131"/>
  <c r="BE115"/>
  <c r="BM5"/>
  <c r="BA157"/>
  <c r="FR140"/>
  <c r="DH47"/>
  <c r="FU22"/>
  <c r="BX13"/>
  <c r="BL128"/>
  <c r="DS49"/>
  <c r="CG150"/>
  <c r="AZ176"/>
  <c r="EW108"/>
  <c r="EZ128"/>
  <c r="E65"/>
  <c r="AO77"/>
  <c r="BY153"/>
  <c r="FF168"/>
  <c r="Y137"/>
  <c r="F109"/>
  <c r="CZ98"/>
  <c r="EV140"/>
  <c r="EO86"/>
  <c r="DN96"/>
  <c r="AM165"/>
  <c r="DH161"/>
  <c r="DR53"/>
  <c r="BM11"/>
  <c r="CE15"/>
  <c r="AE144"/>
  <c r="DB161"/>
  <c r="AH25"/>
  <c r="DS37"/>
  <c r="FK106"/>
  <c r="CP134"/>
  <c r="AV136"/>
  <c r="FR88"/>
  <c r="BE18"/>
  <c r="L3"/>
  <c r="BR111"/>
  <c r="BQ117"/>
  <c r="EU71"/>
  <c r="AX101"/>
  <c r="CF34"/>
  <c r="DN14"/>
  <c r="FQ112"/>
  <c r="AT31"/>
  <c r="CR11"/>
  <c r="AY11"/>
  <c r="BI173"/>
  <c r="AB64"/>
  <c r="F125"/>
  <c r="BF143"/>
  <c r="D32"/>
  <c r="FJ158"/>
  <c r="BG92"/>
  <c r="AE139"/>
  <c r="U147"/>
  <c r="FG82"/>
  <c r="BE87"/>
  <c r="FP44"/>
  <c r="H75"/>
  <c r="Z56"/>
  <c r="M59"/>
  <c r="AW137"/>
  <c r="EB134"/>
  <c r="C66"/>
  <c r="CS58"/>
  <c r="R106"/>
  <c r="DY63"/>
  <c r="EN31"/>
  <c r="FJ104"/>
  <c r="DC177"/>
  <c r="DS98"/>
  <c r="BN122"/>
  <c r="FD113"/>
  <c r="BS40"/>
  <c r="EO140"/>
  <c r="CT41"/>
  <c r="FV156"/>
  <c r="EV83"/>
  <c r="EL168"/>
  <c r="CS111"/>
  <c r="AU126"/>
  <c r="AK140"/>
  <c r="B156"/>
  <c r="FD124"/>
  <c r="ET11"/>
  <c r="BF29"/>
  <c r="BK107"/>
  <c r="EO115"/>
  <c r="R126"/>
  <c r="DZ81"/>
  <c r="FC129"/>
  <c r="BH47"/>
  <c r="CM167"/>
  <c r="AG175"/>
  <c r="DI63"/>
  <c r="FB28"/>
  <c r="BI171"/>
  <c r="EU106"/>
  <c r="ER123"/>
  <c r="EH50"/>
  <c r="BR82"/>
  <c r="AT135"/>
  <c r="CX29"/>
  <c r="T90"/>
  <c r="AL169"/>
  <c r="O114"/>
  <c r="DA115"/>
  <c r="AN130"/>
  <c r="EE172"/>
  <c r="CC175"/>
  <c r="AH65"/>
  <c r="EE119"/>
  <c r="DR159"/>
  <c r="AB79"/>
  <c r="AB73"/>
  <c r="CM97"/>
  <c r="AE42"/>
  <c r="DF112"/>
  <c r="EL14"/>
  <c r="AB45"/>
  <c r="AM12"/>
  <c r="BO32"/>
  <c r="DU104"/>
  <c r="BT121"/>
  <c r="G70"/>
  <c r="EA82"/>
  <c r="AP168"/>
  <c r="CK52"/>
  <c r="EA61"/>
  <c r="FE63"/>
  <c r="CX36"/>
  <c r="EQ35"/>
  <c r="FV7"/>
  <c r="DN19"/>
  <c r="AM106"/>
  <c r="DH90"/>
  <c r="CA174"/>
  <c r="AJ107"/>
  <c r="EN99"/>
  <c r="CM35"/>
  <c r="T37"/>
  <c r="DD41"/>
  <c r="CL97"/>
  <c r="AL151"/>
  <c r="BG70"/>
  <c r="G129"/>
  <c r="CU36"/>
  <c r="DP95"/>
  <c r="CV131"/>
  <c r="FJ4"/>
  <c r="CH24"/>
  <c r="BF38"/>
  <c r="D104"/>
  <c r="F160"/>
  <c r="CA171"/>
  <c r="BS166"/>
  <c r="AT77"/>
  <c r="EV43"/>
  <c r="AM161"/>
  <c r="CE104"/>
  <c r="DV79"/>
  <c r="ES52"/>
  <c r="AO144"/>
  <c r="CD99"/>
  <c r="DJ135"/>
  <c r="AZ143"/>
  <c r="G163"/>
  <c r="AM142"/>
  <c r="DJ54"/>
  <c r="CO126"/>
  <c r="DK10"/>
  <c r="Y96"/>
  <c r="R59"/>
  <c r="FK108"/>
  <c r="CN97"/>
  <c r="U47"/>
  <c r="AG74"/>
  <c r="CN26"/>
  <c r="CV11"/>
  <c r="EJ64"/>
  <c r="BJ157"/>
  <c r="AU23"/>
  <c r="EH72"/>
  <c r="FO137"/>
  <c r="ER90"/>
  <c r="EX43"/>
  <c r="T58"/>
  <c r="DJ123"/>
  <c r="CB118"/>
  <c r="U170"/>
  <c r="DK156"/>
  <c r="X142"/>
  <c r="Q10"/>
  <c r="FU133"/>
  <c r="DK141"/>
  <c r="BC49"/>
  <c r="T125"/>
  <c r="CF33"/>
  <c r="DP136"/>
  <c r="DD138"/>
  <c r="W147"/>
  <c r="EI23"/>
  <c r="CQ164"/>
  <c r="BU77"/>
  <c r="EF26"/>
  <c r="EC165"/>
  <c r="EX104"/>
  <c r="CQ54"/>
  <c r="AZ81"/>
  <c r="DM54"/>
  <c r="BV164"/>
  <c r="CF126"/>
  <c r="CN44"/>
  <c r="DP122"/>
  <c r="AY9"/>
  <c r="M155"/>
  <c r="EY22"/>
  <c r="ES78"/>
  <c r="AM158"/>
  <c r="FI168"/>
  <c r="EP117"/>
  <c r="BQ43"/>
  <c r="BW45"/>
  <c r="AK148"/>
  <c r="EX113"/>
  <c r="BK150"/>
  <c r="EJ61"/>
  <c r="AL29"/>
  <c r="FJ168"/>
  <c r="V2"/>
  <c r="DY44"/>
  <c r="BQ71"/>
  <c r="EZ152"/>
  <c r="BG68"/>
  <c r="EQ9"/>
  <c r="U157"/>
  <c r="ED45"/>
  <c r="CS137"/>
  <c r="CO65"/>
  <c r="DC139"/>
  <c r="BJ129"/>
  <c r="T131"/>
  <c r="DT108"/>
  <c r="BF74"/>
  <c r="AP167"/>
  <c r="DA159"/>
  <c r="BZ104"/>
  <c r="BO168"/>
  <c r="E17"/>
  <c r="BU147"/>
  <c r="CG161"/>
  <c r="U137"/>
  <c r="BB69"/>
  <c r="CS171"/>
  <c r="BU18"/>
  <c r="AD147"/>
  <c r="K11"/>
  <c r="ET145"/>
  <c r="EE167"/>
  <c r="BS156"/>
  <c r="U86"/>
  <c r="FG174"/>
  <c r="AV177"/>
  <c r="DO126"/>
  <c r="ED176"/>
  <c r="X171"/>
  <c r="EY118"/>
  <c r="ER53"/>
  <c r="DX137"/>
  <c r="EY120"/>
  <c r="CE100"/>
  <c r="FQ15"/>
  <c r="DK168"/>
  <c r="AH145"/>
  <c r="BD138"/>
  <c r="EZ54"/>
  <c r="T149"/>
  <c r="FF65"/>
  <c r="FS153"/>
  <c r="AF74"/>
  <c r="FI81"/>
  <c r="FU177"/>
  <c r="EZ65"/>
  <c r="ET21"/>
  <c r="FO8"/>
  <c r="CY130"/>
  <c r="G89"/>
  <c r="EI97"/>
  <c r="EF16"/>
  <c r="EI80"/>
  <c r="EC160"/>
  <c r="AH167"/>
  <c r="Y82"/>
  <c r="DY65"/>
  <c r="FG173"/>
  <c r="BT66"/>
  <c r="FO96"/>
  <c r="CU17"/>
  <c r="Y119"/>
  <c r="AO168"/>
  <c r="DO170"/>
  <c r="W54"/>
  <c r="EZ61"/>
  <c r="CT85"/>
  <c r="F45"/>
  <c r="CF158"/>
  <c r="FF153"/>
  <c r="DF95"/>
  <c r="E14"/>
  <c r="DA108"/>
  <c r="AW36"/>
  <c r="FE17"/>
  <c r="BM128"/>
  <c r="BY88"/>
  <c r="BN86"/>
  <c r="BX31"/>
  <c r="BL141"/>
  <c r="CZ9"/>
  <c r="DT155"/>
  <c r="CU20"/>
  <c r="AM108"/>
  <c r="BP51"/>
  <c r="S98"/>
  <c r="EX145"/>
  <c r="CQ81"/>
  <c r="AP174"/>
  <c r="CO24"/>
  <c r="BT40"/>
  <c r="DX160"/>
  <c r="DQ42"/>
  <c r="FC96"/>
  <c r="DG75"/>
  <c r="AJ93"/>
  <c r="EQ25"/>
  <c r="FT52"/>
  <c r="C148"/>
  <c r="AW112"/>
  <c r="CI71"/>
  <c r="AN73"/>
  <c r="K114"/>
  <c r="AO148"/>
  <c r="DE117"/>
  <c r="BO67"/>
  <c r="Q152"/>
  <c r="AY12"/>
  <c r="AZ155"/>
  <c r="DE160"/>
  <c r="BG61"/>
  <c r="BV168"/>
  <c r="AA178"/>
  <c r="CK63"/>
  <c r="EZ125"/>
  <c r="EW154"/>
  <c r="FH33"/>
  <c r="AX75"/>
  <c r="DM149"/>
  <c r="AS164"/>
  <c r="DG177"/>
  <c r="FS82"/>
  <c r="AA20"/>
  <c r="CW104"/>
  <c r="EA131"/>
  <c r="BD83"/>
  <c r="AI161"/>
  <c r="ED171"/>
  <c r="CR42"/>
  <c r="FT115"/>
  <c r="EI30"/>
  <c r="BV92"/>
  <c r="DJ98"/>
  <c r="CF38"/>
  <c r="BX137"/>
  <c r="FG103"/>
  <c r="AR131"/>
  <c r="M150"/>
  <c r="CF146"/>
  <c r="BL133"/>
  <c r="BN33"/>
  <c r="CZ22"/>
  <c r="EA157"/>
  <c r="AP156"/>
  <c r="DV95"/>
  <c r="J20"/>
  <c r="DK119"/>
  <c r="EQ127"/>
  <c r="BY32"/>
  <c r="AQ73"/>
  <c r="EZ10"/>
  <c r="EK138"/>
  <c r="DX111"/>
  <c r="DH39"/>
  <c r="CQ155"/>
  <c r="CJ101"/>
  <c r="AM93"/>
  <c r="FT131"/>
  <c r="CK88"/>
  <c r="FO133"/>
  <c r="AH85"/>
  <c r="DF33"/>
  <c r="DT67"/>
  <c r="CB112"/>
  <c r="CF21"/>
  <c r="AV58"/>
  <c r="BN133"/>
  <c r="DL92"/>
  <c r="I133"/>
  <c r="AA118"/>
  <c r="AX77"/>
  <c r="BO51"/>
  <c r="DN118"/>
  <c r="FA16"/>
  <c r="BG49"/>
  <c r="DF48"/>
  <c r="BN43"/>
  <c r="CC44"/>
  <c r="FR134"/>
  <c r="DS138"/>
  <c r="DQ27"/>
  <c r="CY78"/>
  <c r="BI168"/>
  <c r="DD93"/>
  <c r="DC57"/>
  <c r="BJ26"/>
  <c r="AQ32"/>
  <c r="BC127"/>
  <c r="FG162"/>
  <c r="DE152"/>
  <c r="BR52"/>
  <c r="BP46"/>
  <c r="S29"/>
  <c r="AM171"/>
  <c r="FK27"/>
  <c r="EY132"/>
  <c r="CT3"/>
  <c r="BI150"/>
  <c r="BG113"/>
  <c r="EN178"/>
  <c r="BS43"/>
  <c r="BH145"/>
  <c r="BO14"/>
  <c r="EV79"/>
  <c r="EX157"/>
  <c r="BG127"/>
  <c r="EB123"/>
  <c r="FN13"/>
  <c r="CQ105"/>
  <c r="BI172"/>
  <c r="FP43"/>
  <c r="AD67"/>
  <c r="DK77"/>
  <c r="EH69"/>
  <c r="CK141"/>
  <c r="AA153"/>
  <c r="AY30"/>
  <c r="T69"/>
  <c r="BD75"/>
  <c r="CP91"/>
  <c r="AQ127"/>
  <c r="AV166"/>
  <c r="AM136"/>
  <c r="DE114"/>
  <c r="BU130"/>
  <c r="CQ70"/>
  <c r="BZ71"/>
  <c r="CR75"/>
  <c r="CQ82"/>
  <c r="BV129"/>
  <c r="D143"/>
  <c r="BF163"/>
  <c r="H24"/>
  <c r="DJ121"/>
  <c r="FC82"/>
  <c r="DA121"/>
  <c r="CH19"/>
  <c r="DR143"/>
  <c r="CE26"/>
  <c r="AQ5"/>
  <c r="DF76"/>
  <c r="C155"/>
  <c r="CC168"/>
  <c r="CW48"/>
  <c r="FM157"/>
  <c r="AG148"/>
  <c r="ED59"/>
  <c r="FR103"/>
  <c r="BH31"/>
  <c r="Z45"/>
  <c r="CC122"/>
  <c r="X158"/>
  <c r="EM170"/>
  <c r="D165"/>
  <c r="FE5"/>
  <c r="EN138"/>
  <c r="J143"/>
  <c r="FH27"/>
  <c r="AK59"/>
  <c r="FD178"/>
  <c r="AW155"/>
  <c r="DB78"/>
  <c r="BM155"/>
  <c r="EA70"/>
  <c r="BJ169"/>
  <c r="AK93"/>
  <c r="CC72"/>
  <c r="DI152"/>
  <c r="BV6"/>
  <c r="FI38"/>
  <c r="BT89"/>
  <c r="DC105"/>
  <c r="EW4"/>
  <c r="H154"/>
  <c r="CC6"/>
  <c r="BO98"/>
  <c r="CL75"/>
  <c r="AR45"/>
  <c r="EW77"/>
  <c r="DB117"/>
  <c r="S44"/>
  <c r="EU16"/>
  <c r="AQ158"/>
  <c r="CJ162"/>
  <c r="BJ5"/>
  <c r="CF66"/>
  <c r="BQ172"/>
  <c r="FF58"/>
  <c r="AP95"/>
  <c r="BE51"/>
  <c r="AC34"/>
  <c r="CZ93"/>
  <c r="BY135"/>
  <c r="C146"/>
  <c r="AQ147"/>
  <c r="DG3"/>
  <c r="DL145"/>
  <c r="FL21"/>
  <c r="AM62"/>
  <c r="FJ8"/>
  <c r="BD98"/>
  <c r="AP63"/>
  <c r="EW78"/>
  <c r="ET3"/>
  <c r="CX167"/>
  <c r="DQ41"/>
  <c r="ER35"/>
  <c r="AU140"/>
  <c r="FK105"/>
  <c r="DU21"/>
  <c r="FG74"/>
  <c r="FJ80"/>
  <c r="U15"/>
  <c r="BB124"/>
  <c r="DK35"/>
  <c r="DJ8"/>
  <c r="R155"/>
  <c r="BZ111"/>
  <c r="FE13"/>
  <c r="AD40"/>
  <c r="BN3"/>
  <c r="BM89"/>
  <c r="FJ81"/>
  <c r="AO175"/>
  <c r="DP71"/>
  <c r="BV101"/>
  <c r="EP153"/>
  <c r="CH11"/>
  <c r="FM172"/>
  <c r="BR46"/>
  <c r="CU56"/>
  <c r="CP143"/>
  <c r="CZ116"/>
  <c r="CK23"/>
  <c r="FD166"/>
  <c r="DQ51"/>
  <c r="H66"/>
  <c r="W25"/>
  <c r="BU59"/>
  <c r="CP87"/>
  <c r="BA119"/>
  <c r="BD82"/>
  <c r="AD136"/>
  <c r="BA102"/>
  <c r="DD147"/>
  <c r="AW108"/>
  <c r="CI114"/>
  <c r="CG36"/>
  <c r="D7"/>
  <c r="DH120"/>
  <c r="DL11"/>
  <c r="AF75"/>
  <c r="FM66"/>
  <c r="EY68"/>
  <c r="Z71"/>
  <c r="BF149"/>
  <c r="AM129"/>
  <c r="DD53"/>
  <c r="AW160"/>
  <c r="DY64"/>
  <c r="CU156"/>
  <c r="M143"/>
  <c r="EL24"/>
  <c r="BW57"/>
  <c r="EC171"/>
  <c r="CQ59"/>
  <c r="EY138"/>
  <c r="CM172"/>
  <c r="AD68"/>
  <c r="FO75"/>
  <c r="DR105"/>
  <c r="DN28"/>
  <c r="AC49"/>
  <c r="BX176"/>
  <c r="AQ167"/>
  <c r="BV79"/>
  <c r="CG24"/>
  <c r="DD40"/>
  <c r="ET118"/>
  <c r="FF162"/>
  <c r="O32"/>
  <c r="CG89"/>
  <c r="CV40"/>
  <c r="DW147"/>
  <c r="AT131"/>
  <c r="K142"/>
  <c r="EC69"/>
  <c r="CY82"/>
  <c r="ED119"/>
  <c r="AW146"/>
  <c r="AQ178"/>
  <c r="EA44"/>
  <c r="CO138"/>
  <c r="M141"/>
  <c r="EC143"/>
  <c r="ER112"/>
  <c r="CB60"/>
  <c r="AS100"/>
  <c r="BT94"/>
  <c r="DK78"/>
  <c r="CD29"/>
  <c r="DH30"/>
  <c r="AX126"/>
  <c r="EN78"/>
  <c r="EY75"/>
  <c r="CJ65"/>
  <c r="AE76"/>
  <c r="AW42"/>
  <c r="FM89"/>
  <c r="AY60"/>
  <c r="EC88"/>
  <c r="V116"/>
  <c r="FO160"/>
  <c r="CD136"/>
  <c r="BH121"/>
  <c r="CJ69"/>
  <c r="AH31"/>
  <c r="FH16"/>
  <c r="CC56"/>
  <c r="K133"/>
  <c r="FM47"/>
  <c r="DZ149"/>
  <c r="BQ72"/>
  <c r="DO60"/>
  <c r="BG134"/>
  <c r="R135"/>
  <c r="AQ78"/>
  <c r="Q11"/>
  <c r="DC110"/>
  <c r="AJ71"/>
  <c r="D71"/>
  <c r="EG68"/>
  <c r="AY50"/>
  <c r="BJ71"/>
  <c r="AH99"/>
  <c r="DA135"/>
  <c r="AX108"/>
  <c r="AS115"/>
  <c r="FG117"/>
  <c r="AY111"/>
  <c r="BH158"/>
  <c r="EK70"/>
  <c r="EF18"/>
  <c r="CJ170"/>
  <c r="V48"/>
  <c r="C169"/>
  <c r="CI140"/>
  <c r="AW117"/>
  <c r="FT150"/>
  <c r="R177"/>
  <c r="FI120"/>
  <c r="CJ154"/>
  <c r="BP67"/>
  <c r="B165"/>
  <c r="ED43"/>
  <c r="BG76"/>
  <c r="FO66"/>
  <c r="AL164"/>
  <c r="AZ22"/>
  <c r="AO66"/>
  <c r="J26"/>
  <c r="EJ105"/>
  <c r="BK175"/>
  <c r="AT71"/>
  <c r="EE142"/>
  <c r="T41"/>
  <c r="DU89"/>
  <c r="DQ44"/>
  <c r="CV3"/>
  <c r="BJ148"/>
  <c r="EU137"/>
  <c r="AB5"/>
  <c r="DY140"/>
  <c r="AV55"/>
  <c r="BN84"/>
  <c r="CT23"/>
  <c r="AP98"/>
  <c r="CF109"/>
  <c r="CK75"/>
  <c r="EL118"/>
  <c r="ER140"/>
  <c r="DV30"/>
  <c r="O94"/>
  <c r="DW178"/>
  <c r="DH94"/>
  <c r="Y94"/>
  <c r="CJ52"/>
  <c r="DF98"/>
  <c r="AS12"/>
  <c r="DS170"/>
  <c r="AX85"/>
  <c r="BB7"/>
  <c r="ER20"/>
  <c r="FR89"/>
  <c r="FA47"/>
  <c r="G153"/>
  <c r="EO20"/>
  <c r="S177"/>
  <c r="ER92"/>
  <c r="DL81"/>
  <c r="BI28"/>
  <c r="BI156"/>
  <c r="G169"/>
  <c r="Q171"/>
  <c r="FE127"/>
  <c r="BT149"/>
  <c r="BH159"/>
  <c r="DZ147"/>
  <c r="CI135"/>
  <c r="U177"/>
  <c r="CB105"/>
  <c r="DB167"/>
  <c r="C106"/>
  <c r="AE95"/>
  <c r="DA170"/>
  <c r="CL32"/>
  <c r="CC39"/>
  <c r="DO121"/>
  <c r="FT117"/>
  <c r="ER14"/>
  <c r="CC43"/>
  <c r="L100"/>
  <c r="BR81"/>
  <c r="AK51"/>
  <c r="DW77"/>
  <c r="CS172"/>
  <c r="Y3"/>
  <c r="DO109"/>
  <c r="DE125"/>
  <c r="FK41"/>
  <c r="CR83"/>
  <c r="DL117"/>
  <c r="CE99"/>
  <c r="X67"/>
  <c r="Z52"/>
  <c r="AB146"/>
  <c r="K88"/>
  <c r="ES88"/>
  <c r="ER116"/>
  <c r="CN67"/>
  <c r="EJ15"/>
  <c r="CR50"/>
  <c r="DQ12"/>
  <c r="EY137"/>
  <c r="DN50"/>
  <c r="EX130"/>
  <c r="EW10"/>
  <c r="EN43"/>
  <c r="AP97"/>
  <c r="EG12"/>
  <c r="AF65"/>
  <c r="BH99"/>
  <c r="X8"/>
  <c r="W33"/>
  <c r="FN86"/>
  <c r="EA3"/>
  <c r="AE109"/>
  <c r="FR17"/>
  <c r="BZ123"/>
  <c r="CC91"/>
  <c r="M129"/>
  <c r="DP89"/>
  <c r="X57"/>
  <c r="FE31"/>
  <c r="FB157"/>
  <c r="BW2"/>
  <c r="EM8"/>
  <c r="DQ170"/>
  <c r="BZ26"/>
  <c r="CR94"/>
  <c r="CY133"/>
  <c r="DL28"/>
  <c r="AI32"/>
  <c r="EI112"/>
  <c r="B71"/>
  <c r="CS20"/>
  <c r="N112"/>
  <c r="EK177"/>
  <c r="DG8"/>
  <c r="CN158"/>
  <c r="EO146"/>
  <c r="AM33"/>
  <c r="AN40"/>
  <c r="S27"/>
  <c r="DH178"/>
  <c r="BG32"/>
  <c r="FF73"/>
  <c r="ES69"/>
  <c r="CE120"/>
  <c r="CC172"/>
  <c r="DS25"/>
  <c r="AE47"/>
  <c r="BR96"/>
  <c r="DX116"/>
  <c r="CI44"/>
  <c r="BY129"/>
  <c r="EZ118"/>
  <c r="FK117"/>
  <c r="EZ5"/>
  <c r="FS107"/>
  <c r="BW89"/>
  <c r="W5"/>
  <c r="DR158"/>
  <c r="EV136"/>
  <c r="BP82"/>
  <c r="BK164"/>
  <c r="DX82"/>
  <c r="DX95"/>
  <c r="BZ82"/>
  <c r="AD125"/>
  <c r="EH139"/>
  <c r="CL102"/>
  <c r="EG106"/>
  <c r="DF134"/>
  <c r="AX9"/>
  <c r="EU85"/>
  <c r="FE99"/>
  <c r="CH28"/>
  <c r="BJ167"/>
  <c r="EM66"/>
  <c r="EU108"/>
  <c r="BB106"/>
  <c r="BQ45"/>
  <c r="EG64"/>
  <c r="EA135"/>
  <c r="U9"/>
  <c r="K18"/>
  <c r="EP73"/>
  <c r="CR131"/>
  <c r="EN139"/>
  <c r="EN146"/>
  <c r="N101"/>
  <c r="DM132"/>
  <c r="ET150"/>
  <c r="BP84"/>
  <c r="CN133"/>
  <c r="DS176"/>
  <c r="CJ153"/>
  <c r="BO9"/>
  <c r="Q142"/>
  <c r="AP82"/>
  <c r="FK84"/>
  <c r="EX64"/>
  <c r="FS144"/>
  <c r="EE88"/>
  <c r="P14"/>
  <c r="F39"/>
  <c r="BB29"/>
  <c r="R13"/>
  <c r="AU52"/>
  <c r="BM84"/>
  <c r="V123"/>
  <c r="DM151"/>
  <c r="ET57"/>
  <c r="DA164"/>
  <c r="DN158"/>
  <c r="EI43"/>
  <c r="R50"/>
  <c r="AA133"/>
  <c r="FT17"/>
  <c r="EK40"/>
  <c r="CK32"/>
  <c r="AK38"/>
  <c r="CG63"/>
  <c r="BM150"/>
  <c r="EQ170"/>
  <c r="FG92"/>
  <c r="AL39"/>
  <c r="FI17"/>
  <c r="FQ24"/>
  <c r="CG137"/>
  <c r="AY61"/>
  <c r="BY61"/>
  <c r="BV118"/>
  <c r="BC136"/>
  <c r="EA151"/>
  <c r="L7"/>
  <c r="CZ160"/>
  <c r="F80"/>
  <c r="Z30"/>
  <c r="AK74"/>
  <c r="AD158"/>
  <c r="BQ51"/>
  <c r="CL131"/>
  <c r="AD43"/>
  <c r="DL144"/>
  <c r="FT120"/>
  <c r="Q29"/>
  <c r="G144"/>
  <c r="H177"/>
  <c r="EP113"/>
  <c r="FO128"/>
  <c r="EI95"/>
  <c r="G32"/>
  <c r="EX105"/>
  <c r="DI160"/>
  <c r="ET85"/>
  <c r="EB89"/>
  <c r="CF75"/>
  <c r="BD84"/>
  <c r="D140"/>
  <c r="EP43"/>
  <c r="EC61"/>
  <c r="EM173"/>
  <c r="FP174"/>
  <c r="AK161"/>
  <c r="W154"/>
  <c r="DY78"/>
  <c r="O75"/>
  <c r="Y43"/>
  <c r="EF28"/>
  <c r="DL129"/>
  <c r="BP11"/>
  <c r="BL147"/>
  <c r="DU90"/>
  <c r="CR168"/>
  <c r="BR155"/>
  <c r="BJ14"/>
  <c r="BV174"/>
  <c r="ER128"/>
  <c r="AQ6"/>
  <c r="M14"/>
  <c r="C105"/>
  <c r="Z143"/>
  <c r="DN68"/>
  <c r="H164"/>
  <c r="AE88"/>
  <c r="ER105"/>
  <c r="DK131"/>
  <c r="EZ2"/>
  <c r="CK113"/>
  <c r="CQ13"/>
  <c r="J168"/>
  <c r="CV20"/>
  <c r="BK152"/>
  <c r="EH147"/>
  <c r="BP72"/>
  <c r="AK39"/>
  <c r="DU134"/>
  <c r="AL103"/>
  <c r="EG61"/>
  <c r="EE139"/>
  <c r="BT20"/>
  <c r="BD147"/>
  <c r="BP90"/>
  <c r="CT76"/>
  <c r="AA130"/>
  <c r="AY72"/>
  <c r="X151"/>
  <c r="CM110"/>
  <c r="EP119"/>
  <c r="FN142"/>
  <c r="DM39"/>
  <c r="AW121"/>
  <c r="CT16"/>
  <c r="AB37"/>
  <c r="K70"/>
  <c r="EJ54"/>
  <c r="FI9"/>
  <c r="FI40"/>
  <c r="EO26"/>
  <c r="W37"/>
  <c r="BH103"/>
  <c r="X42"/>
  <c r="BG89"/>
  <c r="N67"/>
  <c r="FK151"/>
  <c r="T79"/>
  <c r="T3"/>
  <c r="DM50"/>
  <c r="CA63"/>
  <c r="AL173"/>
  <c r="ET47"/>
  <c r="DB121"/>
  <c r="AR60"/>
  <c r="D75"/>
  <c r="EY46"/>
  <c r="DN84"/>
  <c r="EP6"/>
  <c r="CG21"/>
  <c r="CA61"/>
  <c r="FB19"/>
  <c r="CL5"/>
  <c r="EZ31"/>
  <c r="D111"/>
  <c r="AL120"/>
  <c r="DK117"/>
  <c r="U140"/>
  <c r="BG3"/>
  <c r="U62"/>
  <c r="CA137"/>
  <c r="DY41"/>
  <c r="AH60"/>
  <c r="FT135"/>
  <c r="EY15"/>
  <c r="CS7"/>
  <c r="FM40"/>
  <c r="CM152"/>
  <c r="DX135"/>
  <c r="Z19"/>
  <c r="AT105"/>
  <c r="FG75"/>
  <c r="BM160"/>
  <c r="CX108"/>
  <c r="FT83"/>
  <c r="FF174"/>
  <c r="EI139"/>
  <c r="EV160"/>
  <c r="DP160"/>
  <c r="BJ2"/>
  <c r="EC46"/>
  <c r="CR74"/>
  <c r="EH148"/>
  <c r="K145"/>
  <c r="CL128"/>
  <c r="EL124"/>
  <c r="BS50"/>
  <c r="AY34"/>
  <c r="CU71"/>
  <c r="AG73"/>
  <c r="DR173"/>
  <c r="EN119"/>
  <c r="DP144"/>
  <c r="EJ129"/>
  <c r="DT147"/>
  <c r="DV148"/>
  <c r="EF145"/>
  <c r="B77"/>
  <c r="FV56"/>
  <c r="FV131"/>
  <c r="EG130"/>
  <c r="EZ58"/>
  <c r="BC89"/>
  <c r="BJ124"/>
  <c r="DW145"/>
  <c r="BW109"/>
  <c r="CL7"/>
  <c r="EU76"/>
  <c r="BA161"/>
  <c r="EQ102"/>
  <c r="AO115"/>
  <c r="ED146"/>
  <c r="BM122"/>
  <c r="FP95"/>
  <c r="FU46"/>
  <c r="FS62"/>
  <c r="AS32"/>
  <c r="P17"/>
  <c r="FC92"/>
  <c r="I5"/>
  <c r="DR13"/>
  <c r="BQ9"/>
  <c r="DI42"/>
  <c r="DU173"/>
  <c r="DS81"/>
  <c r="AP106"/>
  <c r="FV118"/>
  <c r="AW149"/>
  <c r="FI56"/>
  <c r="AE7"/>
  <c r="AH35"/>
  <c r="EI174"/>
  <c r="BN148"/>
  <c r="EB122"/>
  <c r="U106"/>
  <c r="BQ42"/>
  <c r="DZ98"/>
  <c r="E41"/>
  <c r="AT78"/>
  <c r="EM146"/>
  <c r="AG138"/>
  <c r="EA156"/>
  <c r="FO111"/>
  <c r="P5"/>
  <c r="CQ122"/>
  <c r="AH52"/>
  <c r="AY3"/>
  <c r="EF110"/>
  <c r="V15"/>
  <c r="CZ18"/>
  <c r="V40"/>
  <c r="BX78"/>
  <c r="BK167"/>
  <c r="CP45"/>
  <c r="AG105"/>
  <c r="CL118"/>
  <c r="BF53"/>
  <c r="EF72"/>
  <c r="W132"/>
  <c r="CM104"/>
  <c r="BN110"/>
  <c r="BT74"/>
  <c r="ER108"/>
  <c r="BH17"/>
  <c r="E64"/>
  <c r="T112"/>
  <c r="T134"/>
  <c r="BD131"/>
  <c r="AZ148"/>
  <c r="DB114"/>
  <c r="DT25"/>
  <c r="DN66"/>
  <c r="AU110"/>
  <c r="AZ109"/>
  <c r="FC106"/>
  <c r="BD15"/>
  <c r="AP49"/>
  <c r="FN47"/>
  <c r="FD174"/>
  <c r="FC28"/>
  <c r="G88"/>
  <c r="AE61"/>
  <c r="EI24"/>
  <c r="DJ144"/>
  <c r="BO173"/>
  <c r="BU156"/>
  <c r="CW155"/>
  <c r="CV177"/>
  <c r="BF81"/>
  <c r="CO125"/>
  <c r="CD18"/>
  <c r="CU61"/>
  <c r="C4"/>
  <c r="BA118"/>
  <c r="CA16"/>
  <c r="BJ85"/>
  <c r="U153"/>
  <c r="X109"/>
  <c r="O88"/>
  <c r="FT57"/>
  <c r="DK17"/>
  <c r="FA85"/>
  <c r="BV20"/>
  <c r="AC146"/>
  <c r="AF129"/>
  <c r="H68"/>
  <c r="DO36"/>
  <c r="DN98"/>
  <c r="CH159"/>
  <c r="FR40"/>
  <c r="CU167"/>
  <c r="EW90"/>
  <c r="AA67"/>
  <c r="AS127"/>
  <c r="EJ173"/>
  <c r="EA93"/>
  <c r="CZ170"/>
  <c r="FJ30"/>
  <c r="DC173"/>
  <c r="FQ42"/>
  <c r="DT100"/>
  <c r="CC95"/>
  <c r="P25"/>
  <c r="BV84"/>
  <c r="DX18"/>
  <c r="CC85"/>
  <c r="CF177"/>
  <c r="EJ164"/>
  <c r="CF155"/>
  <c r="CL159"/>
  <c r="EP167"/>
  <c r="DS93"/>
  <c r="CI60"/>
  <c r="AH113"/>
  <c r="D51"/>
  <c r="CC60"/>
  <c r="CA28"/>
  <c r="FA122"/>
  <c r="BI106"/>
  <c r="FF100"/>
  <c r="BZ163"/>
  <c r="CT45"/>
  <c r="CN163"/>
  <c r="CE135"/>
  <c r="EY156"/>
  <c r="BB20"/>
  <c r="BA70"/>
  <c r="FN108"/>
  <c r="D164"/>
  <c r="BT119"/>
  <c r="G16"/>
  <c r="DU109"/>
  <c r="CA33"/>
  <c r="CQ44"/>
  <c r="AE53"/>
  <c r="AH57"/>
  <c r="AJ48"/>
  <c r="CN37"/>
  <c r="CE66"/>
  <c r="AF86"/>
  <c r="BW158"/>
  <c r="J166"/>
  <c r="B48"/>
  <c r="FI85"/>
  <c r="FQ58"/>
  <c r="O89"/>
  <c r="EH158"/>
  <c r="BR5"/>
  <c r="EN76"/>
  <c r="AR136"/>
  <c r="BV130"/>
  <c r="ET73"/>
  <c r="EO138"/>
  <c r="P30"/>
  <c r="AX151"/>
  <c r="AG157"/>
  <c r="X121"/>
  <c r="DT33"/>
  <c r="FL159"/>
  <c r="M162"/>
  <c r="G136"/>
  <c r="DD82"/>
  <c r="AM146"/>
  <c r="DG66"/>
  <c r="BX177"/>
  <c r="BB99"/>
  <c r="AW176"/>
  <c r="FN45"/>
  <c r="AS21"/>
  <c r="AT62"/>
  <c r="P46"/>
  <c r="BC73"/>
  <c r="FN65"/>
  <c r="DL93"/>
  <c r="BY64"/>
  <c r="AK160"/>
  <c r="EH89"/>
  <c r="DV71"/>
  <c r="AC97"/>
  <c r="CT59"/>
  <c r="AW62"/>
  <c r="FJ160"/>
  <c r="FE51"/>
  <c r="CZ31"/>
  <c r="BP93"/>
  <c r="FK98"/>
  <c r="FN177"/>
  <c r="DW82"/>
  <c r="CD74"/>
  <c r="DG57"/>
  <c r="BX117"/>
  <c r="CL82"/>
  <c r="BO57"/>
  <c r="FH69"/>
  <c r="DV14"/>
  <c r="FE77"/>
  <c r="FM65"/>
  <c r="CD72"/>
  <c r="I22"/>
  <c r="FG66"/>
  <c r="Z126"/>
  <c r="EP56"/>
  <c r="EL32"/>
  <c r="EK127"/>
  <c r="DP53"/>
  <c r="CF25"/>
  <c r="FM29"/>
  <c r="EL6"/>
  <c r="CG97"/>
  <c r="B23"/>
  <c r="DA66"/>
  <c r="AT64"/>
  <c r="EP139"/>
  <c r="EK42"/>
  <c r="C101"/>
  <c r="D115"/>
  <c r="FU172"/>
  <c r="CU139"/>
  <c r="BQ173"/>
  <c r="DP102"/>
  <c r="B146"/>
  <c r="FU140"/>
  <c r="BR40"/>
  <c r="BJ28"/>
  <c r="AX158"/>
  <c r="CU45"/>
  <c r="K167"/>
  <c r="ET128"/>
  <c r="EU7"/>
  <c r="D145"/>
  <c r="BL70"/>
  <c r="CV83"/>
  <c r="DK87"/>
  <c r="AG93"/>
  <c r="T132"/>
  <c r="AK125"/>
  <c r="FT165"/>
  <c r="CW35"/>
  <c r="D136"/>
  <c r="FS43"/>
  <c r="CL8"/>
  <c r="FH127"/>
  <c r="FH5"/>
  <c r="U122"/>
  <c r="AF141"/>
  <c r="CY7"/>
  <c r="DI68"/>
  <c r="DN26"/>
  <c r="BY40"/>
  <c r="BC76"/>
  <c r="FQ171"/>
  <c r="CU157"/>
  <c r="CU27"/>
  <c r="AT46"/>
  <c r="EJ9"/>
  <c r="AA83"/>
  <c r="U6"/>
  <c r="FT88"/>
  <c r="D160"/>
  <c r="FR82"/>
  <c r="P160"/>
  <c r="EK99"/>
  <c r="J44"/>
  <c r="BO4"/>
  <c r="CF162"/>
  <c r="G112"/>
  <c r="ER16"/>
  <c r="FF25"/>
  <c r="FG14"/>
  <c r="G53"/>
  <c r="AP114"/>
  <c r="EU165"/>
  <c r="FG124"/>
  <c r="AF68"/>
  <c r="AK30"/>
  <c r="CH108"/>
  <c r="BS79"/>
  <c r="FK171"/>
  <c r="BD61"/>
  <c r="ET109"/>
  <c r="EG24"/>
  <c r="J167"/>
  <c r="FR138"/>
  <c r="AH82"/>
  <c r="BQ154"/>
  <c r="DJ44"/>
  <c r="EZ7"/>
  <c r="FR58"/>
  <c r="EB56"/>
  <c r="EC115"/>
  <c r="AC4"/>
  <c r="DB86"/>
  <c r="AK97"/>
  <c r="V67"/>
  <c r="CR91"/>
  <c r="CH8"/>
  <c r="FS22"/>
  <c r="BU109"/>
  <c r="FP137"/>
  <c r="FS89"/>
  <c r="EK22"/>
  <c r="CY164"/>
  <c r="BA20"/>
  <c r="X10"/>
  <c r="F112"/>
  <c r="BL140"/>
  <c r="BZ164"/>
  <c r="EM145"/>
  <c r="AE105"/>
  <c r="CQ61"/>
  <c r="FU107"/>
  <c r="W70"/>
  <c r="AL170"/>
  <c r="BH130"/>
  <c r="CM57"/>
  <c r="P114"/>
  <c r="BH126"/>
  <c r="DR33"/>
  <c r="CH17"/>
  <c r="B52"/>
  <c r="BD156"/>
  <c r="CS65"/>
  <c r="E87"/>
  <c r="ED145"/>
  <c r="AQ81"/>
  <c r="FJ19"/>
  <c r="EU169"/>
  <c r="CZ123"/>
  <c r="DZ100"/>
  <c r="EN156"/>
  <c r="BL64"/>
  <c r="EE71"/>
  <c r="ED137"/>
  <c r="CC37"/>
  <c r="Z171"/>
  <c r="BN97"/>
  <c r="CU83"/>
  <c r="AT98"/>
  <c r="FG116"/>
  <c r="I28"/>
  <c r="BF27"/>
  <c r="DT79"/>
  <c r="P40"/>
  <c r="AY76"/>
  <c r="W88"/>
  <c r="DD10"/>
  <c r="CU55"/>
  <c r="FR74"/>
  <c r="CX69"/>
  <c r="EF93"/>
  <c r="CX52"/>
  <c r="Z66"/>
  <c r="CN84"/>
  <c r="BD125"/>
  <c r="ED131"/>
  <c r="AG163"/>
  <c r="FV160"/>
  <c r="BM47"/>
  <c r="DI150"/>
  <c r="EB176"/>
  <c r="AK54"/>
  <c r="FL14"/>
  <c r="Q12"/>
  <c r="DL46"/>
  <c r="AU44"/>
  <c r="DT49"/>
  <c r="FH59"/>
  <c r="EE110"/>
  <c r="AA98"/>
  <c r="DE154"/>
  <c r="AE133"/>
  <c r="EZ29"/>
  <c r="FN156"/>
  <c r="AQ169"/>
  <c r="CR84"/>
  <c r="FD107"/>
  <c r="CD38"/>
  <c r="AJ134"/>
  <c r="AX144"/>
  <c r="CG140"/>
  <c r="T13"/>
  <c r="AM98"/>
  <c r="DO15"/>
  <c r="AM78"/>
  <c r="CB75"/>
  <c r="BI5"/>
  <c r="EO3"/>
  <c r="BS167"/>
  <c r="AE5"/>
  <c r="AV107"/>
  <c r="CD8"/>
  <c r="FL150"/>
  <c r="FL96"/>
  <c r="FH58"/>
  <c r="CD98"/>
  <c r="AN175"/>
  <c r="BU34"/>
  <c r="R42"/>
  <c r="BG13"/>
  <c r="BE34"/>
  <c r="AO85"/>
  <c r="DW15"/>
  <c r="J156"/>
  <c r="DS114"/>
  <c r="BV149"/>
  <c r="ES126"/>
  <c r="EW89"/>
  <c r="G140"/>
  <c r="CC26"/>
  <c r="EA6"/>
  <c r="CK146"/>
  <c r="DZ150"/>
  <c r="FJ154"/>
  <c r="EQ144"/>
  <c r="EI110"/>
  <c r="AH106"/>
  <c r="CD124"/>
  <c r="AN66"/>
  <c r="DC42"/>
  <c r="FG85"/>
  <c r="CZ67"/>
  <c r="CC31"/>
  <c r="EY76"/>
  <c r="V103"/>
  <c r="BV73"/>
  <c r="BV88"/>
  <c r="CS174"/>
  <c r="AG68"/>
  <c r="F37"/>
  <c r="BH120"/>
  <c r="Q85"/>
  <c r="W63"/>
  <c r="AM68"/>
  <c r="FO100"/>
  <c r="BS162"/>
  <c r="BI146"/>
  <c r="G142"/>
  <c r="AY115"/>
  <c r="DC83"/>
  <c r="EV23"/>
  <c r="FV129"/>
  <c r="DD3"/>
  <c r="AT149"/>
  <c r="G51"/>
  <c r="BV7"/>
  <c r="BM18"/>
  <c r="AF136"/>
  <c r="FI178"/>
  <c r="DK99"/>
  <c r="CZ26"/>
  <c r="R168"/>
  <c r="EE86"/>
  <c r="AR143"/>
  <c r="D170"/>
  <c r="BB110"/>
  <c r="BO103"/>
  <c r="AI158"/>
  <c r="AB50"/>
  <c r="AI5"/>
  <c r="CH48"/>
  <c r="AK177"/>
  <c r="FH41"/>
  <c r="EV104"/>
  <c r="DC58"/>
  <c r="U28"/>
  <c r="FG22"/>
  <c r="AV110"/>
  <c r="AJ68"/>
  <c r="BX167"/>
  <c r="DL110"/>
  <c r="CE19"/>
  <c r="BX49"/>
  <c r="BH94"/>
  <c r="DJ53"/>
  <c r="ET120"/>
  <c r="BW55"/>
  <c r="AJ20"/>
  <c r="CD168"/>
  <c r="S59"/>
  <c r="CJ80"/>
  <c r="DV167"/>
  <c r="FJ23"/>
  <c r="CK178"/>
  <c r="DM11"/>
  <c r="DX115"/>
  <c r="EZ149"/>
  <c r="ES130"/>
  <c r="AA41"/>
  <c r="EC85"/>
  <c r="DG178"/>
  <c r="FJ127"/>
  <c r="S94"/>
  <c r="Q175"/>
  <c r="CE106"/>
  <c r="AD117"/>
  <c r="DQ99"/>
  <c r="CA99"/>
  <c r="Y56"/>
  <c r="BT156"/>
  <c r="CO62"/>
  <c r="N176"/>
  <c r="DQ141"/>
  <c r="AR79"/>
  <c r="BM51"/>
  <c r="FF39"/>
  <c r="CU76"/>
  <c r="CO92"/>
  <c r="Q143"/>
  <c r="BG108"/>
  <c r="AQ131"/>
  <c r="O130"/>
  <c r="BD10"/>
  <c r="ED5"/>
  <c r="DK121"/>
  <c r="BY160"/>
  <c r="BF138"/>
  <c r="X175"/>
  <c r="CY12"/>
  <c r="AC28"/>
  <c r="FE102"/>
  <c r="AT148"/>
  <c r="AD137"/>
  <c r="EA18"/>
  <c r="BR71"/>
  <c r="BH10"/>
  <c r="EO43"/>
  <c r="AE63"/>
  <c r="BB103"/>
  <c r="AR107"/>
  <c r="FP99"/>
  <c r="FH129"/>
  <c r="DL109"/>
  <c r="AI92"/>
  <c r="F165"/>
  <c r="EC113"/>
  <c r="AG168"/>
  <c r="BG34"/>
  <c r="AY7"/>
  <c r="BT111"/>
  <c r="AH97"/>
  <c r="I93"/>
  <c r="Z18"/>
  <c r="CK116"/>
  <c r="CM27"/>
  <c r="BM144"/>
  <c r="BU110"/>
  <c r="DE122"/>
  <c r="CY147"/>
  <c r="EG10"/>
  <c r="CY49"/>
  <c r="DP105"/>
  <c r="AR12"/>
  <c r="E88"/>
  <c r="S87"/>
  <c r="AP24"/>
  <c r="EO9"/>
  <c r="CF43"/>
  <c r="FJ108"/>
  <c r="AH170"/>
  <c r="BQ17"/>
  <c r="CW143"/>
  <c r="FR117"/>
  <c r="DI125"/>
  <c r="T16"/>
  <c r="B119"/>
  <c r="DE178"/>
  <c r="CT20"/>
  <c r="CD123"/>
  <c r="CK105"/>
  <c r="Y34"/>
  <c r="DM128"/>
  <c r="BT84"/>
  <c r="CI53"/>
  <c r="AW89"/>
  <c r="DL45"/>
  <c r="BQ178"/>
  <c r="CM94"/>
  <c r="FN101"/>
  <c r="EZ160"/>
  <c r="D142"/>
  <c r="AA99"/>
  <c r="BI126"/>
  <c r="BH171"/>
  <c r="BM85"/>
  <c r="FR23"/>
  <c r="R100"/>
  <c r="AP135"/>
  <c r="EA31"/>
  <c r="CG92"/>
  <c r="BG132"/>
  <c r="AZ47"/>
  <c r="CT109"/>
  <c r="FU96"/>
  <c r="AU7"/>
  <c r="DU163"/>
  <c r="DW142"/>
  <c r="FS112"/>
  <c r="CV145"/>
  <c r="CR146"/>
  <c r="BM76"/>
  <c r="FF68"/>
  <c r="FO40"/>
  <c r="P63"/>
  <c r="K168"/>
  <c r="EN57"/>
  <c r="FR3"/>
  <c r="FU40"/>
  <c r="FE148"/>
  <c r="K45"/>
  <c r="DU72"/>
  <c r="CM148"/>
  <c r="AP146"/>
  <c r="FH60"/>
  <c r="CW67"/>
  <c r="ER131"/>
  <c r="EH81"/>
  <c r="BD23"/>
  <c r="FO175"/>
  <c r="CB62"/>
  <c r="BT37"/>
  <c r="EZ144"/>
  <c r="V92"/>
  <c r="BJ106"/>
  <c r="CK76"/>
  <c r="CH20"/>
  <c r="AC25"/>
  <c r="CW89"/>
  <c r="ES132"/>
  <c r="BD171"/>
  <c r="EL34"/>
  <c r="AO139"/>
  <c r="BB73"/>
  <c r="BF131"/>
  <c r="AW97"/>
  <c r="CZ115"/>
  <c r="CU7"/>
  <c r="CG174"/>
  <c r="ED104"/>
  <c r="B51"/>
  <c r="FC178"/>
  <c r="FR83"/>
  <c r="ED150"/>
  <c r="DE85"/>
  <c r="CP79"/>
  <c r="EQ136"/>
  <c r="AB124"/>
  <c r="Y74"/>
  <c r="CM178"/>
  <c r="AN99"/>
  <c r="EC40"/>
  <c r="FH92"/>
  <c r="U45"/>
  <c r="J164"/>
  <c r="DN124"/>
  <c r="FL6"/>
  <c r="EC95"/>
  <c r="AK134"/>
  <c r="EB149"/>
  <c r="DV69"/>
  <c r="CQ39"/>
  <c r="AG51"/>
  <c r="AZ56"/>
  <c r="I56"/>
  <c r="AR3"/>
  <c r="BB19"/>
  <c r="BY105"/>
  <c r="AE29"/>
  <c r="FC48"/>
  <c r="I54"/>
  <c r="BK83"/>
  <c r="FT56"/>
  <c r="DR68"/>
  <c r="BQ88"/>
  <c r="EB129"/>
  <c r="AC152"/>
  <c r="Q42"/>
  <c r="BH11"/>
  <c r="AZ25"/>
  <c r="FV97"/>
  <c r="M88"/>
  <c r="AM172"/>
  <c r="BO138"/>
  <c r="G77"/>
  <c r="BL96"/>
  <c r="X69"/>
  <c r="J41"/>
  <c r="FI87"/>
  <c r="E154"/>
  <c r="EF68"/>
  <c r="FO119"/>
  <c r="BC124"/>
  <c r="C36"/>
  <c r="DU84"/>
  <c r="AG42"/>
  <c r="BR14"/>
  <c r="DF22"/>
  <c r="CC69"/>
  <c r="AN2"/>
  <c r="AM43"/>
  <c r="CQ12"/>
  <c r="Q44"/>
  <c r="BX4"/>
  <c r="DR111"/>
  <c r="F99"/>
  <c r="EN28"/>
  <c r="DT44"/>
  <c r="CE85"/>
  <c r="K75"/>
  <c r="AY38"/>
  <c r="AF70"/>
  <c r="BN15"/>
  <c r="FI173"/>
  <c r="FV20"/>
  <c r="DR41"/>
  <c r="AW54"/>
  <c r="AI143"/>
  <c r="EH86"/>
  <c r="DZ75"/>
  <c r="CT50"/>
  <c r="O164"/>
  <c r="FJ53"/>
  <c r="FC68"/>
  <c r="CI88"/>
  <c r="FD102"/>
  <c r="U115"/>
  <c r="FB51"/>
  <c r="FS151"/>
  <c r="CZ57"/>
  <c r="EE51"/>
  <c r="EA174"/>
  <c r="FS53"/>
  <c r="ES89"/>
  <c r="AY15"/>
  <c r="CM47"/>
  <c r="DL167"/>
  <c r="DG65"/>
  <c r="DJ80"/>
  <c r="BC22"/>
  <c r="BW19"/>
  <c r="CJ19"/>
  <c r="AJ39"/>
  <c r="CK2"/>
  <c r="CU128"/>
  <c r="DF60"/>
  <c r="EP62"/>
  <c r="CA9"/>
  <c r="EH162"/>
  <c r="AK171"/>
  <c r="EJ160"/>
  <c r="CR109"/>
  <c r="AV19"/>
  <c r="BU94"/>
  <c r="DN78"/>
  <c r="CT159"/>
  <c r="EN175"/>
  <c r="CR130"/>
  <c r="CA75"/>
  <c r="CA29"/>
  <c r="DL123"/>
  <c r="AQ106"/>
  <c r="S7"/>
  <c r="J134"/>
  <c r="CH117"/>
  <c r="H59"/>
  <c r="DL42"/>
  <c r="EY54"/>
  <c r="DS47"/>
  <c r="ED105"/>
  <c r="ER85"/>
  <c r="FK82"/>
  <c r="CU177"/>
  <c r="CQ25"/>
  <c r="DA147"/>
  <c r="EM176"/>
  <c r="N31"/>
  <c r="CC86"/>
  <c r="CG129"/>
  <c r="BO17"/>
  <c r="X19"/>
  <c r="EC20"/>
  <c r="EB53"/>
  <c r="EF177"/>
  <c r="BP165"/>
  <c r="AD14"/>
  <c r="DV60"/>
  <c r="CW118"/>
  <c r="BJ78"/>
  <c r="BT114"/>
  <c r="BE42"/>
  <c r="BZ60"/>
  <c r="CQ47"/>
  <c r="DR98"/>
  <c r="DG10"/>
  <c r="BG58"/>
  <c r="D155"/>
  <c r="FP47"/>
  <c r="BD77"/>
  <c r="DI60"/>
  <c r="EC49"/>
  <c r="E29"/>
  <c r="DT56"/>
  <c r="AP94"/>
  <c r="FG168"/>
  <c r="W99"/>
  <c r="AJ15"/>
  <c r="FC98"/>
  <c r="AO20"/>
  <c r="S154"/>
  <c r="S75"/>
  <c r="DE104"/>
  <c r="AI156"/>
  <c r="AK126"/>
  <c r="FM125"/>
  <c r="FL42"/>
  <c r="DM140"/>
  <c r="CG38"/>
  <c r="BK109"/>
  <c r="BK142"/>
  <c r="EZ64"/>
  <c r="D23"/>
  <c r="FK121"/>
  <c r="FQ98"/>
  <c r="BO63"/>
  <c r="CV31"/>
  <c r="N157"/>
  <c r="FQ121"/>
  <c r="DF16"/>
  <c r="CW4"/>
  <c r="Q71"/>
  <c r="BV124"/>
  <c r="FD67"/>
  <c r="DV158"/>
  <c r="O122"/>
  <c r="FS16"/>
  <c r="FP21"/>
  <c r="FQ173"/>
  <c r="DC34"/>
  <c r="EJ38"/>
  <c r="AJ78"/>
  <c r="BU113"/>
  <c r="EI160"/>
  <c r="DP36"/>
  <c r="BC12"/>
  <c r="CT176"/>
  <c r="CB86"/>
  <c r="AK61"/>
  <c r="V6"/>
  <c r="K128"/>
  <c r="EB150"/>
  <c r="AU49"/>
  <c r="DX45"/>
  <c r="CM75"/>
  <c r="CO146"/>
  <c r="L95"/>
  <c r="FB35"/>
  <c r="FN109"/>
  <c r="CZ112"/>
  <c r="ET151"/>
  <c r="DK5"/>
  <c r="EZ70"/>
  <c r="FL161"/>
  <c r="AF49"/>
  <c r="AE25"/>
  <c r="AQ126"/>
  <c r="DX61"/>
  <c r="O78"/>
  <c r="BG106"/>
  <c r="FB43"/>
  <c r="EQ32"/>
  <c r="AI77"/>
  <c r="AN103"/>
  <c r="EG15"/>
  <c r="AD20"/>
  <c r="AS131"/>
  <c r="CR19"/>
  <c r="DS12"/>
  <c r="CN177"/>
  <c r="DX166"/>
  <c r="DM146"/>
  <c r="AK173"/>
  <c r="AY49"/>
  <c r="FQ99"/>
  <c r="DS157"/>
  <c r="B67"/>
  <c r="AU178"/>
  <c r="S57"/>
  <c r="EA145"/>
  <c r="Y168"/>
  <c r="DJ70"/>
  <c r="FL101"/>
  <c r="DD123"/>
  <c r="CZ2"/>
  <c r="EW147"/>
  <c r="FE28"/>
  <c r="EU9"/>
  <c r="CT99"/>
  <c r="DC44"/>
  <c r="S97"/>
  <c r="BX87"/>
  <c r="F49"/>
  <c r="AG35"/>
  <c r="CJ165"/>
  <c r="EU67"/>
  <c r="DK172"/>
  <c r="FF52"/>
  <c r="AH78"/>
  <c r="FB106"/>
  <c r="FC6"/>
  <c r="BI120"/>
  <c r="AM28"/>
  <c r="FL163"/>
  <c r="AC31"/>
  <c r="AQ53"/>
  <c r="DA40"/>
  <c r="AX20"/>
  <c r="FH139"/>
  <c r="AZ100"/>
  <c r="DM77"/>
  <c r="CA128"/>
  <c r="CR177"/>
  <c r="DX68"/>
  <c r="H124"/>
  <c r="CR162"/>
  <c r="CF110"/>
  <c r="AL96"/>
  <c r="CN70"/>
  <c r="FF28"/>
  <c r="AC117"/>
  <c r="CB152"/>
  <c r="DF18"/>
  <c r="AJ152"/>
  <c r="DT5"/>
  <c r="BM9"/>
  <c r="J45"/>
  <c r="EA91"/>
  <c r="BR115"/>
  <c r="J91"/>
  <c r="J82"/>
  <c r="V93"/>
  <c r="EX44"/>
  <c r="FD135"/>
  <c r="EX58"/>
  <c r="EP144"/>
  <c r="FK71"/>
  <c r="BO29"/>
  <c r="BS77"/>
  <c r="AF81"/>
  <c r="FK5"/>
  <c r="AP34"/>
  <c r="AZ60"/>
  <c r="EQ30"/>
  <c r="DP20"/>
  <c r="BQ52"/>
  <c r="AZ120"/>
  <c r="EI59"/>
  <c r="BO94"/>
  <c r="DO77"/>
  <c r="K161"/>
  <c r="EP147"/>
  <c r="EB46"/>
  <c r="CJ96"/>
  <c r="DR162"/>
  <c r="BB153"/>
  <c r="BC169"/>
  <c r="AR122"/>
  <c r="EV171"/>
  <c r="L57"/>
  <c r="FA146"/>
  <c r="CY29"/>
  <c r="DZ17"/>
  <c r="DC137"/>
  <c r="DG60"/>
  <c r="DQ147"/>
  <c r="AL136"/>
  <c r="CX67"/>
  <c r="BQ98"/>
  <c r="X163"/>
  <c r="EL144"/>
  <c r="EA43"/>
  <c r="CL98"/>
  <c r="DD149"/>
  <c r="AT129"/>
  <c r="CG73"/>
  <c r="FP161"/>
  <c r="BF82"/>
  <c r="D86"/>
  <c r="DQ85"/>
  <c r="AB36"/>
  <c r="EU15"/>
  <c r="DZ176"/>
  <c r="CA109"/>
  <c r="S81"/>
  <c r="CJ97"/>
  <c r="CF143"/>
  <c r="DX173"/>
  <c r="FU55"/>
  <c r="EQ59"/>
  <c r="EQ3"/>
  <c r="BG26"/>
  <c r="BF18"/>
  <c r="BS98"/>
  <c r="CJ23"/>
  <c r="FD83"/>
  <c r="BP92"/>
  <c r="G171"/>
  <c r="AN110"/>
  <c r="DR51"/>
  <c r="AW44"/>
  <c r="CB28"/>
  <c r="ES150"/>
  <c r="FQ163"/>
  <c r="CV54"/>
  <c r="AO47"/>
  <c r="EM161"/>
  <c r="FE72"/>
  <c r="BH131"/>
  <c r="CH90"/>
  <c r="AK101"/>
  <c r="AX116"/>
  <c r="M44"/>
  <c r="EI22"/>
  <c r="FR9"/>
  <c r="DW9"/>
  <c r="CG177"/>
  <c r="FD13"/>
  <c r="AO161"/>
  <c r="DP45"/>
  <c r="CC103"/>
  <c r="FE39"/>
  <c r="N177"/>
  <c r="BS64"/>
  <c r="BP5"/>
  <c r="BR43"/>
  <c r="DF11"/>
  <c r="BI178"/>
  <c r="BJ29"/>
  <c r="Y150"/>
  <c r="CH105"/>
  <c r="EU114"/>
  <c r="DQ126"/>
  <c r="FC119"/>
  <c r="FI6"/>
  <c r="FD12"/>
  <c r="DZ18"/>
  <c r="EF31"/>
  <c r="FT163"/>
  <c r="DF152"/>
  <c r="BA125"/>
  <c r="CV130"/>
  <c r="BR30"/>
  <c r="FE49"/>
  <c r="FG33"/>
  <c r="P164"/>
  <c r="DF133"/>
  <c r="DN147"/>
  <c r="CL46"/>
  <c r="M177"/>
  <c r="DK147"/>
  <c r="AN12"/>
  <c r="AD178"/>
  <c r="FM163"/>
  <c r="EU70"/>
  <c r="N146"/>
  <c r="ER97"/>
  <c r="FS96"/>
  <c r="EA47"/>
  <c r="FH43"/>
  <c r="I147"/>
  <c r="S151"/>
  <c r="CK167"/>
  <c r="BY46"/>
  <c r="CJ98"/>
  <c r="R147"/>
  <c r="FB153"/>
  <c r="S163"/>
  <c r="ED172"/>
  <c r="U92"/>
  <c r="BK149"/>
  <c r="DE138"/>
  <c r="ET14"/>
  <c r="CA58"/>
  <c r="FD168"/>
  <c r="BB152"/>
  <c r="AB141"/>
  <c r="AF25"/>
  <c r="CY86"/>
  <c r="EU134"/>
  <c r="BC81"/>
  <c r="BL16"/>
  <c r="AV93"/>
  <c r="AE128"/>
  <c r="ED140"/>
  <c r="DT175"/>
  <c r="DR157"/>
  <c r="Q159"/>
  <c r="DH98"/>
  <c r="EO15"/>
  <c r="DN52"/>
  <c r="K153"/>
  <c r="O144"/>
  <c r="FS55"/>
  <c r="EF169"/>
  <c r="DH123"/>
  <c r="BR90"/>
  <c r="ES95"/>
  <c r="DY144"/>
  <c r="DR16"/>
  <c r="AJ85"/>
  <c r="FJ58"/>
  <c r="FC139"/>
  <c r="AW159"/>
  <c r="AP88"/>
  <c r="EV88"/>
  <c r="FJ132"/>
  <c r="DR90"/>
  <c r="AA127"/>
  <c r="CK10"/>
  <c r="CF16"/>
  <c r="AV16"/>
  <c r="CR136"/>
  <c r="DX29"/>
  <c r="BI32"/>
  <c r="AO41"/>
  <c r="CD101"/>
  <c r="FA69"/>
  <c r="Q115"/>
  <c r="BK18"/>
  <c r="CI132"/>
  <c r="DN46"/>
  <c r="FP50"/>
  <c r="BT80"/>
  <c r="DP135"/>
  <c r="EA66"/>
  <c r="AO160"/>
  <c r="CB113"/>
  <c r="BG10"/>
  <c r="CZ101"/>
  <c r="FG44"/>
  <c r="DY69"/>
  <c r="CK8"/>
  <c r="AR54"/>
  <c r="BS20"/>
  <c r="DX15"/>
  <c r="EG70"/>
  <c r="BQ38"/>
  <c r="EF161"/>
  <c r="ER25"/>
  <c r="FD141"/>
  <c r="Q88"/>
  <c r="Y157"/>
  <c r="FO129"/>
  <c r="I69"/>
  <c r="AI163"/>
  <c r="FP60"/>
  <c r="AE60"/>
  <c r="DM170"/>
  <c r="FG100"/>
  <c r="ED73"/>
  <c r="AH155"/>
  <c r="BZ41"/>
  <c r="AH149"/>
  <c r="CA112"/>
  <c r="DC147"/>
  <c r="AA73"/>
  <c r="FE107"/>
  <c r="FR11"/>
  <c r="AU29"/>
  <c r="CS147"/>
  <c r="BK125"/>
  <c r="FN5"/>
  <c r="CV155"/>
  <c r="AF124"/>
  <c r="B121"/>
  <c r="AH64"/>
  <c r="DB50"/>
  <c r="FL53"/>
  <c r="FF141"/>
  <c r="DH95"/>
  <c r="FG143"/>
  <c r="AL132"/>
  <c r="EV74"/>
  <c r="BH55"/>
  <c r="V77"/>
  <c r="FB85"/>
  <c r="CZ52"/>
  <c r="EI66"/>
  <c r="BS62"/>
  <c r="EN121"/>
  <c r="W177"/>
  <c r="BY53"/>
  <c r="EM177"/>
  <c r="D28"/>
  <c r="AE26"/>
  <c r="EZ143"/>
  <c r="EO71"/>
  <c r="FP96"/>
  <c r="CO13"/>
  <c r="CT81"/>
  <c r="CZ113"/>
  <c r="EM2"/>
  <c r="CH121"/>
  <c r="BY140"/>
  <c r="DJ58"/>
  <c r="CZ17"/>
  <c r="EI155"/>
  <c r="BG95"/>
  <c r="X108"/>
  <c r="CA94"/>
  <c r="DE105"/>
  <c r="CW151"/>
  <c r="AC74"/>
  <c r="DY139"/>
  <c r="DG41"/>
  <c r="DA104"/>
  <c r="EW80"/>
  <c r="AS65"/>
  <c r="R164"/>
  <c r="EY21"/>
  <c r="FV37"/>
  <c r="CP20"/>
  <c r="BN130"/>
  <c r="AF43"/>
  <c r="AX61"/>
  <c r="AI67"/>
  <c r="BN178"/>
  <c r="H61"/>
  <c r="D102"/>
  <c r="EF50"/>
  <c r="AC144"/>
  <c r="FP16"/>
  <c r="DU95"/>
  <c r="BB50"/>
  <c r="CA106"/>
  <c r="DL87"/>
  <c r="DM89"/>
  <c r="AK83"/>
  <c r="BH173"/>
  <c r="EZ43"/>
  <c r="AO162"/>
  <c r="AZ102"/>
  <c r="FV126"/>
  <c r="BA151"/>
  <c r="FE147"/>
  <c r="FQ21"/>
  <c r="FO154"/>
  <c r="E8"/>
  <c r="FT101"/>
  <c r="AG165"/>
  <c r="AP126"/>
  <c r="ED141"/>
  <c r="FD84"/>
  <c r="EY112"/>
  <c r="R134"/>
  <c r="AY48"/>
  <c r="EP105"/>
  <c r="CP29"/>
  <c r="FD53"/>
  <c r="CB64"/>
  <c r="EM133"/>
  <c r="BJ7"/>
  <c r="ED76"/>
  <c r="DY154"/>
  <c r="C73"/>
  <c r="DC85"/>
  <c r="DX143"/>
  <c r="CE141"/>
  <c r="BG44"/>
  <c r="AD59"/>
  <c r="BX120"/>
  <c r="BR172"/>
  <c r="O26"/>
  <c r="AZ123"/>
  <c r="DU2"/>
  <c r="AW110"/>
  <c r="CF91"/>
  <c r="AS112"/>
  <c r="CP81"/>
  <c r="AG79"/>
  <c r="DZ72"/>
  <c r="AC100"/>
  <c r="BA74"/>
  <c r="BU29"/>
  <c r="DJ26"/>
  <c r="AL76"/>
  <c r="AW126"/>
  <c r="BD51"/>
  <c r="W89"/>
  <c r="Z97"/>
  <c r="FU23"/>
  <c r="EE155"/>
  <c r="EX99"/>
  <c r="P19"/>
  <c r="BA169"/>
  <c r="ES39"/>
  <c r="AT125"/>
  <c r="DQ122"/>
  <c r="DX177"/>
  <c r="EX13"/>
  <c r="BJ74"/>
  <c r="CW154"/>
  <c r="CU26"/>
  <c r="EJ33"/>
  <c r="DQ120"/>
  <c r="BR13"/>
  <c r="EJ59"/>
  <c r="CM30"/>
  <c r="FK75"/>
  <c r="ED28"/>
  <c r="CL160"/>
  <c r="AI146"/>
  <c r="DE67"/>
  <c r="N54"/>
  <c r="BI175"/>
  <c r="AV127"/>
  <c r="AV26"/>
  <c r="FO136"/>
  <c r="BI170"/>
  <c r="DO127"/>
  <c r="EH35"/>
  <c r="AY68"/>
  <c r="DP81"/>
  <c r="DH43"/>
  <c r="FJ86"/>
  <c r="CJ107"/>
  <c r="AK67"/>
  <c r="AJ19"/>
  <c r="DW156"/>
  <c r="EI32"/>
  <c r="BO71"/>
  <c r="EF19"/>
  <c r="AC125"/>
  <c r="CH43"/>
  <c r="BC82"/>
  <c r="AI172"/>
  <c r="CM21"/>
  <c r="AK56"/>
  <c r="C97"/>
  <c r="AP159"/>
  <c r="DE48"/>
  <c r="AW35"/>
  <c r="AK41"/>
  <c r="FJ62"/>
  <c r="DZ164"/>
  <c r="DN18"/>
  <c r="EE23"/>
  <c r="W109"/>
  <c r="FO139"/>
  <c r="DA177"/>
  <c r="EW133"/>
  <c r="FT125"/>
  <c r="BG145"/>
  <c r="DD160"/>
  <c r="AH154"/>
  <c r="EU55"/>
  <c r="DF19"/>
  <c r="FD6"/>
  <c r="CD112"/>
  <c r="BK23"/>
  <c r="FJ171"/>
  <c r="FG30"/>
  <c r="CZ147"/>
  <c r="S133"/>
  <c r="AM120"/>
  <c r="BJ175"/>
  <c r="EU4"/>
  <c r="BG158"/>
  <c r="AQ135"/>
  <c r="CG138"/>
  <c r="AN53"/>
  <c r="BZ159"/>
  <c r="EI70"/>
  <c r="BB167"/>
  <c r="DX75"/>
  <c r="FU70"/>
  <c r="DE96"/>
  <c r="AW20"/>
  <c r="B129"/>
  <c r="CL2"/>
  <c r="H146"/>
  <c r="AN95"/>
  <c r="FV16"/>
  <c r="BV157"/>
  <c r="AW140"/>
  <c r="BF98"/>
  <c r="CV76"/>
  <c r="T124"/>
  <c r="BQ46"/>
  <c r="CI10"/>
  <c r="W48"/>
  <c r="AN91"/>
  <c r="AN18"/>
  <c r="DH14"/>
  <c r="ES90"/>
  <c r="C142"/>
  <c r="R97"/>
  <c r="P156"/>
  <c r="W176"/>
  <c r="BI10"/>
  <c r="CI14"/>
  <c r="AY40"/>
  <c r="AK135"/>
  <c r="CQ69"/>
  <c r="AM8"/>
  <c r="I140"/>
  <c r="AH164"/>
  <c r="FD75"/>
  <c r="E147"/>
  <c r="BE84"/>
  <c r="BU105"/>
  <c r="CK124"/>
  <c r="BQ139"/>
  <c r="FN87"/>
  <c r="AT162"/>
  <c r="DX27"/>
  <c r="DT61"/>
  <c r="FE178"/>
  <c r="T73"/>
  <c r="EN55"/>
  <c r="EU45"/>
  <c r="FA153"/>
  <c r="BW135"/>
  <c r="BE111"/>
  <c r="AO12"/>
  <c r="FA170"/>
  <c r="BP47"/>
  <c r="R22"/>
  <c r="DT53"/>
  <c r="DI175"/>
  <c r="EL60"/>
  <c r="CO103"/>
  <c r="P175"/>
  <c r="J133"/>
  <c r="FG150"/>
  <c r="G74"/>
  <c r="CH148"/>
  <c r="FT132"/>
  <c r="AL66"/>
  <c r="BC20"/>
  <c r="CK140"/>
  <c r="EU154"/>
  <c r="CF153"/>
  <c r="DU64"/>
  <c r="V132"/>
  <c r="DB28"/>
  <c r="FK8"/>
  <c r="BC28"/>
  <c r="CX136"/>
  <c r="FD139"/>
  <c r="EU133"/>
  <c r="DW151"/>
  <c r="AT130"/>
  <c r="AH108"/>
  <c r="W8"/>
  <c r="CZ27"/>
  <c r="EH49"/>
  <c r="BE68"/>
  <c r="CZ176"/>
  <c r="I92"/>
  <c r="FU31"/>
  <c r="AI168"/>
  <c r="FJ45"/>
  <c r="D133"/>
  <c r="CC48"/>
  <c r="EP123"/>
  <c r="FM3"/>
  <c r="AE168"/>
  <c r="AP131"/>
  <c r="BX102"/>
  <c r="DN163"/>
  <c r="R120"/>
  <c r="CD39"/>
  <c r="FC60"/>
  <c r="AC136"/>
  <c r="EJ2"/>
  <c r="BN35"/>
  <c r="M99"/>
  <c r="CL43"/>
  <c r="B88"/>
  <c r="DR129"/>
  <c r="FB174"/>
  <c r="H87"/>
  <c r="FB177"/>
  <c r="F72"/>
  <c r="CT122"/>
  <c r="CY43"/>
  <c r="EB158"/>
  <c r="DL64"/>
  <c r="DR133"/>
  <c r="Z80"/>
  <c r="CQ63"/>
  <c r="AR10"/>
  <c r="AJ88"/>
  <c r="CL126"/>
  <c r="FN72"/>
  <c r="CA85"/>
  <c r="DD161"/>
  <c r="EV97"/>
  <c r="EO78"/>
  <c r="AJ169"/>
  <c r="DS75"/>
  <c r="CL110"/>
  <c r="CZ169"/>
  <c r="DV35"/>
  <c r="CI163"/>
  <c r="BL129"/>
  <c r="B34"/>
  <c r="BA54"/>
  <c r="EZ47"/>
  <c r="EN145"/>
  <c r="DB27"/>
  <c r="FP31"/>
  <c r="FD29"/>
  <c r="CS103"/>
  <c r="BR112"/>
  <c r="FJ84"/>
  <c r="AI165"/>
  <c r="AD16"/>
  <c r="ES165"/>
  <c r="DC43"/>
  <c r="DC96"/>
  <c r="CJ136"/>
  <c r="BZ80"/>
  <c r="AH162"/>
  <c r="FO166"/>
  <c r="AD87"/>
  <c r="DI123"/>
  <c r="EE117"/>
  <c r="BH56"/>
  <c r="ES17"/>
  <c r="V53"/>
  <c r="DY141"/>
  <c r="AM53"/>
  <c r="X29"/>
  <c r="EN100"/>
  <c r="N102"/>
  <c r="BR4"/>
  <c r="FG119"/>
  <c r="CJ49"/>
  <c r="BX171"/>
  <c r="ET68"/>
  <c r="AY162"/>
  <c r="AH176"/>
  <c r="AI36"/>
  <c r="O11"/>
  <c r="FA94"/>
  <c r="EV28"/>
  <c r="AT81"/>
  <c r="CV106"/>
  <c r="AA166"/>
  <c r="AI2"/>
  <c r="EE120"/>
  <c r="ER87"/>
  <c r="EB93"/>
  <c r="BZ131"/>
  <c r="X85"/>
  <c r="CH78"/>
  <c r="AY113"/>
  <c r="CR90"/>
  <c r="M98"/>
  <c r="EL112"/>
  <c r="ED166"/>
  <c r="EB160"/>
  <c r="L6"/>
  <c r="FF172"/>
  <c r="K94"/>
  <c r="T78"/>
  <c r="ET124"/>
  <c r="FM160"/>
  <c r="FT61"/>
  <c r="DN37"/>
  <c r="DG138"/>
  <c r="AA143"/>
  <c r="BO36"/>
  <c r="W138"/>
  <c r="DD165"/>
  <c r="AH138"/>
  <c r="AB15"/>
  <c r="EX117"/>
  <c r="DV9"/>
  <c r="FV51"/>
  <c r="BM167"/>
  <c r="BZ37"/>
  <c r="DM108"/>
  <c r="EG93"/>
  <c r="CD44"/>
  <c r="AK163"/>
  <c r="E161"/>
  <c r="BM26"/>
  <c r="AE4"/>
  <c r="H37"/>
  <c r="EN169"/>
  <c r="I143"/>
  <c r="M86"/>
  <c r="P15"/>
  <c r="B66"/>
  <c r="AO137"/>
  <c r="AW55"/>
  <c r="EW76"/>
  <c r="DY2"/>
  <c r="EK13"/>
  <c r="D79"/>
  <c r="CH152"/>
  <c r="DK79"/>
  <c r="C164"/>
  <c r="ES103"/>
  <c r="CW11"/>
  <c r="BL170"/>
  <c r="AH152"/>
  <c r="CX159"/>
  <c r="AW118"/>
  <c r="DL177"/>
  <c r="BU87"/>
  <c r="DR75"/>
  <c r="CO143"/>
  <c r="FO117"/>
  <c r="EV98"/>
  <c r="G82"/>
  <c r="EC116"/>
  <c r="DK113"/>
  <c r="N116"/>
  <c r="C98"/>
  <c r="BR122"/>
  <c r="CK149"/>
  <c r="FL37"/>
  <c r="AA149"/>
  <c r="DA19"/>
  <c r="J80"/>
  <c r="DR141"/>
  <c r="DM164"/>
  <c r="FT164"/>
  <c r="EW56"/>
  <c r="FG41"/>
  <c r="DJ118"/>
  <c r="Y39"/>
  <c r="FG34"/>
  <c r="AT6"/>
  <c r="CR111"/>
  <c r="BC93"/>
  <c r="FS60"/>
  <c r="AE121"/>
  <c r="DM73"/>
  <c r="CR140"/>
  <c r="Y72"/>
  <c r="CP116"/>
  <c r="AK26"/>
  <c r="BC26"/>
  <c r="EH14"/>
  <c r="AQ18"/>
  <c r="AZ119"/>
  <c r="DW103"/>
  <c r="BP33"/>
  <c r="AV48"/>
  <c r="BQ25"/>
  <c r="L169"/>
  <c r="CO157"/>
  <c r="BW85"/>
  <c r="I63"/>
  <c r="N97"/>
  <c r="AR85"/>
  <c r="E23"/>
  <c r="DR76"/>
  <c r="H73"/>
  <c r="EG162"/>
  <c r="DF75"/>
  <c r="EM164"/>
  <c r="DY125"/>
  <c r="BR15"/>
  <c r="ES133"/>
  <c r="AE83"/>
  <c r="BE28"/>
  <c r="DY116"/>
  <c r="DR118"/>
  <c r="CW130"/>
  <c r="DX114"/>
  <c r="AQ16"/>
  <c r="AQ35"/>
  <c r="CH126"/>
  <c r="R62"/>
  <c r="AA93"/>
  <c r="CX10"/>
  <c r="FD89"/>
  <c r="AZ80"/>
  <c r="CX86"/>
  <c r="DS58"/>
  <c r="H129"/>
  <c r="L16"/>
  <c r="FL100"/>
  <c r="BX92"/>
  <c r="EA30"/>
  <c r="FF147"/>
  <c r="EY111"/>
  <c r="DS121"/>
  <c r="BL55"/>
  <c r="DQ69"/>
  <c r="EB38"/>
  <c r="AR49"/>
  <c r="BX91"/>
  <c r="FQ20"/>
  <c r="FN131"/>
  <c r="FC126"/>
  <c r="BZ150"/>
  <c r="EN132"/>
  <c r="BH5"/>
  <c r="FF42"/>
  <c r="DU105"/>
  <c r="FD158"/>
  <c r="AY145"/>
  <c r="BL28"/>
  <c r="CE40"/>
  <c r="BP89"/>
  <c r="DR31"/>
  <c r="AL121"/>
  <c r="BR69"/>
  <c r="BW143"/>
  <c r="BD21"/>
  <c r="FB74"/>
  <c r="BK85"/>
  <c r="FN59"/>
  <c r="FL84"/>
  <c r="FI20"/>
  <c r="FG47"/>
  <c r="FS37"/>
  <c r="FM37"/>
  <c r="EC156"/>
  <c r="EP145"/>
  <c r="CI128"/>
  <c r="AH16"/>
  <c r="AM10"/>
  <c r="AG178"/>
  <c r="BG52"/>
  <c r="CP114"/>
  <c r="EL172"/>
  <c r="CW123"/>
  <c r="CY62"/>
  <c r="FO120"/>
  <c r="EK86"/>
  <c r="AB117"/>
  <c r="D87"/>
  <c r="AB20"/>
  <c r="CL93"/>
  <c r="H113"/>
  <c r="DW21"/>
  <c r="DZ132"/>
  <c r="DN83"/>
  <c r="CM165"/>
  <c r="EJ98"/>
  <c r="AQ155"/>
  <c r="R130"/>
  <c r="AS93"/>
  <c r="AO102"/>
  <c r="BK156"/>
  <c r="AP157"/>
  <c r="S173"/>
  <c r="FO91"/>
  <c r="BX101"/>
  <c r="Q77"/>
  <c r="BA136"/>
  <c r="CZ121"/>
  <c r="EE118"/>
  <c r="FA106"/>
  <c r="FL24"/>
  <c r="BS87"/>
  <c r="FH113"/>
  <c r="BQ124"/>
  <c r="AJ142"/>
  <c r="W32"/>
  <c r="CY51"/>
  <c r="AE174"/>
  <c r="FO53"/>
  <c r="DV103"/>
  <c r="FK142"/>
  <c r="BY164"/>
  <c r="AJ23"/>
  <c r="FN140"/>
  <c r="W17"/>
  <c r="EI20"/>
  <c r="ES174"/>
  <c r="FM151"/>
  <c r="DC68"/>
  <c r="EY36"/>
  <c r="EW27"/>
  <c r="D96"/>
  <c r="V113"/>
  <c r="C18"/>
  <c r="M46"/>
  <c r="AQ157"/>
  <c r="EU160"/>
  <c r="EK98"/>
  <c r="DW148"/>
  <c r="AZ40"/>
  <c r="AO106"/>
  <c r="Y152"/>
  <c r="CC84"/>
  <c r="DR115"/>
  <c r="DP80"/>
  <c r="DI65"/>
  <c r="BS33"/>
  <c r="AE37"/>
  <c r="AU2"/>
  <c r="AB61"/>
  <c r="CR5"/>
  <c r="DQ89"/>
  <c r="ET29"/>
  <c r="FH132"/>
  <c r="CJ3"/>
  <c r="DU74"/>
  <c r="CB27"/>
  <c r="K15"/>
  <c r="FL48"/>
  <c r="AM169"/>
  <c r="BK2"/>
  <c r="D69"/>
  <c r="AQ100"/>
  <c r="BS177"/>
  <c r="DE17"/>
  <c r="CB104"/>
  <c r="U131"/>
  <c r="O111"/>
  <c r="FV2"/>
  <c r="DW92"/>
  <c r="BV23"/>
  <c r="BT147"/>
  <c r="CI20"/>
  <c r="BA144"/>
  <c r="BJ96"/>
  <c r="CW5"/>
  <c r="CJ2"/>
  <c r="AE54"/>
  <c r="AN131"/>
  <c r="AY96"/>
  <c r="P136"/>
  <c r="FK25"/>
  <c r="F158"/>
  <c r="DU31"/>
  <c r="BF99"/>
  <c r="M74"/>
  <c r="FA14"/>
  <c r="BS6"/>
  <c r="T105"/>
  <c r="BW106"/>
  <c r="BU136"/>
  <c r="AA134"/>
  <c r="FT162"/>
  <c r="FM88"/>
  <c r="D130"/>
  <c r="DC8"/>
  <c r="BY148"/>
  <c r="BC48"/>
  <c r="AB69"/>
  <c r="EB16"/>
  <c r="BQ81"/>
  <c r="FL59"/>
  <c r="P31"/>
  <c r="CU58"/>
  <c r="E32"/>
  <c r="DT112"/>
  <c r="CA8"/>
  <c r="G76"/>
  <c r="K60"/>
  <c r="CR169"/>
  <c r="AS176"/>
  <c r="BK41"/>
  <c r="DH111"/>
  <c r="ET141"/>
  <c r="ER149"/>
  <c r="EX7"/>
  <c r="AU51"/>
  <c r="DE55"/>
  <c r="AA155"/>
  <c r="BV59"/>
  <c r="BL81"/>
  <c r="FR56"/>
  <c r="AI22"/>
  <c r="DP172"/>
  <c r="BK27"/>
  <c r="AM21"/>
  <c r="AD66"/>
  <c r="FH81"/>
  <c r="FK63"/>
  <c r="EK72"/>
  <c r="AH61"/>
  <c r="CZ144"/>
  <c r="FR19"/>
  <c r="FM67"/>
  <c r="FO157"/>
  <c r="FU33"/>
  <c r="EE102"/>
  <c r="L101"/>
  <c r="AI46"/>
  <c r="FP2"/>
  <c r="CZ175"/>
  <c r="AL87"/>
  <c r="BR94"/>
  <c r="DB142"/>
  <c r="CB41"/>
  <c r="BI97"/>
  <c r="AL146"/>
  <c r="CW115"/>
  <c r="BM109"/>
  <c r="EL110"/>
  <c r="ES64"/>
  <c r="CE59"/>
  <c r="FQ30"/>
  <c r="EW62"/>
  <c r="AX136"/>
  <c r="AO23"/>
  <c r="BJ131"/>
  <c r="DM75"/>
  <c r="BY166"/>
  <c r="CS56"/>
  <c r="J148"/>
  <c r="U121"/>
  <c r="BU36"/>
  <c r="M165"/>
  <c r="R99"/>
  <c r="EW66"/>
  <c r="CY25"/>
  <c r="FK139"/>
  <c r="BO82"/>
  <c r="EB166"/>
  <c r="I100"/>
  <c r="AZ126"/>
  <c r="ET10"/>
  <c r="DF5"/>
  <c r="BQ141"/>
  <c r="H106"/>
  <c r="CL147"/>
  <c r="FH142"/>
  <c r="EB141"/>
  <c r="CE145"/>
  <c r="CP113"/>
  <c r="AG174"/>
  <c r="AS141"/>
  <c r="AJ172"/>
  <c r="ES50"/>
  <c r="CG26"/>
  <c r="DD56"/>
  <c r="AD65"/>
  <c r="DM84"/>
  <c r="EO172"/>
  <c r="FH131"/>
  <c r="DJ59"/>
  <c r="CQ58"/>
  <c r="CY8"/>
  <c r="BZ51"/>
  <c r="EI132"/>
  <c r="FQ130"/>
  <c r="AB55"/>
  <c r="EP67"/>
  <c r="AB56"/>
  <c r="BZ72"/>
  <c r="DR71"/>
  <c r="BZ162"/>
  <c r="AF8"/>
  <c r="DI9"/>
  <c r="FB150"/>
  <c r="AU105"/>
  <c r="DZ49"/>
  <c r="CE151"/>
  <c r="CA72"/>
  <c r="FA13"/>
  <c r="DN6"/>
  <c r="FG155"/>
  <c r="BT14"/>
  <c r="EF84"/>
  <c r="FM48"/>
  <c r="CU137"/>
  <c r="FM149"/>
  <c r="BY45"/>
  <c r="CL122"/>
  <c r="CT61"/>
  <c r="R117"/>
  <c r="CH102"/>
  <c r="AI150"/>
  <c r="CK64"/>
  <c r="BQ59"/>
  <c r="EA56"/>
  <c r="AU48"/>
  <c r="BQ32"/>
  <c r="CU108"/>
  <c r="ED32"/>
  <c r="EK176"/>
  <c r="CU114"/>
  <c r="FB52"/>
  <c r="FF69"/>
  <c r="EO33"/>
  <c r="DZ137"/>
  <c r="AW167"/>
  <c r="AJ50"/>
  <c r="FT10"/>
  <c r="AU89"/>
  <c r="ER176"/>
  <c r="V43"/>
  <c r="FJ121"/>
  <c r="EW107"/>
  <c r="BS125"/>
  <c r="DN92"/>
  <c r="Q106"/>
  <c r="ER138"/>
  <c r="CC163"/>
  <c r="DE94"/>
  <c r="BS131"/>
  <c r="EJ147"/>
  <c r="CD130"/>
  <c r="AO142"/>
  <c r="CN12"/>
  <c r="EO11"/>
  <c r="EL10"/>
  <c r="BW50"/>
  <c r="DT59"/>
  <c r="CQ62"/>
  <c r="DH110"/>
  <c r="DD63"/>
  <c r="ED94"/>
  <c r="AT53"/>
  <c r="FP128"/>
  <c r="CD94"/>
  <c r="E77"/>
  <c r="BO154"/>
  <c r="X21"/>
  <c r="FN55"/>
  <c r="CS176"/>
  <c r="EC120"/>
  <c r="BJ55"/>
  <c r="EQ113"/>
  <c r="DO119"/>
  <c r="BO111"/>
  <c r="CV16"/>
  <c r="EM59"/>
  <c r="CD69"/>
  <c r="DV42"/>
  <c r="AD3"/>
  <c r="CS150"/>
  <c r="FU167"/>
  <c r="FH178"/>
  <c r="S22"/>
  <c r="AC120"/>
  <c r="EA105"/>
  <c r="DI4"/>
  <c r="DI154"/>
  <c r="CB72"/>
  <c r="C115"/>
  <c r="CV127"/>
  <c r="CN156"/>
  <c r="U41"/>
  <c r="BD140"/>
  <c r="EW85"/>
  <c r="BD30"/>
  <c r="CJ91"/>
  <c r="FH89"/>
  <c r="BE143"/>
  <c r="ED160"/>
  <c r="DB109"/>
  <c r="BT146"/>
  <c r="P74"/>
  <c r="DM173"/>
  <c r="AW67"/>
  <c r="DQ117"/>
  <c r="BW152"/>
  <c r="ET34"/>
  <c r="CX137"/>
  <c r="K121"/>
  <c r="EW28"/>
  <c r="DZ152"/>
  <c r="AM124"/>
  <c r="AD140"/>
  <c r="G62"/>
  <c r="BU58"/>
  <c r="EQ91"/>
  <c r="CZ168"/>
  <c r="DA127"/>
  <c r="FM49"/>
  <c r="AU84"/>
  <c r="K64"/>
  <c r="CG61"/>
  <c r="DV169"/>
  <c r="CT53"/>
  <c r="BK56"/>
  <c r="EW31"/>
  <c r="DL15"/>
  <c r="EJ121"/>
  <c r="DC113"/>
  <c r="B35"/>
  <c r="BC119"/>
  <c r="ER39"/>
  <c r="BH95"/>
  <c r="BF24"/>
  <c r="FG2"/>
  <c r="Q160"/>
  <c r="FS115"/>
  <c r="CD144"/>
  <c r="W157"/>
  <c r="EA137"/>
  <c r="FS18"/>
  <c r="CP36"/>
  <c r="AN39"/>
  <c r="I68"/>
  <c r="FL112"/>
  <c r="AR125"/>
  <c r="FH108"/>
  <c r="CF133"/>
  <c r="FK131"/>
  <c r="DR40"/>
  <c r="EA9"/>
  <c r="W110"/>
  <c r="AC108"/>
  <c r="CV116"/>
  <c r="EL105"/>
  <c r="CE126"/>
  <c r="AI148"/>
  <c r="AG11"/>
  <c r="CB44"/>
  <c r="DL128"/>
  <c r="DJ158"/>
  <c r="AV170"/>
  <c r="DQ121"/>
  <c r="AO69"/>
  <c r="CH93"/>
  <c r="CV94"/>
  <c r="AZ82"/>
  <c r="G114"/>
  <c r="EL3"/>
  <c r="CS164"/>
  <c r="FH62"/>
  <c r="FD156"/>
  <c r="AB145"/>
  <c r="B95"/>
  <c r="EH129"/>
  <c r="FR143"/>
  <c r="DV41"/>
  <c r="BN102"/>
  <c r="G147"/>
  <c r="AG9"/>
  <c r="CU97"/>
  <c r="X27"/>
  <c r="I118"/>
  <c r="DG116"/>
  <c r="DI170"/>
  <c r="DX25"/>
  <c r="BF75"/>
  <c r="EQ148"/>
  <c r="U142"/>
  <c r="Y99"/>
  <c r="EW169"/>
  <c r="BN82"/>
  <c r="S171"/>
  <c r="W28"/>
  <c r="EQ70"/>
  <c r="AA25"/>
  <c r="EX137"/>
  <c r="DD162"/>
  <c r="CC80"/>
  <c r="CR62"/>
  <c r="CK45"/>
  <c r="Z11"/>
  <c r="AX26"/>
  <c r="DG83"/>
  <c r="AW53"/>
  <c r="DL149"/>
  <c r="O124"/>
  <c r="DF77"/>
  <c r="AZ72"/>
  <c r="FI158"/>
  <c r="DN94"/>
  <c r="AJ177"/>
  <c r="BI158"/>
  <c r="CA82"/>
  <c r="EI85"/>
  <c r="CM51"/>
  <c r="BZ57"/>
  <c r="DR22"/>
  <c r="BJ70"/>
  <c r="BM60"/>
  <c r="AI66"/>
  <c r="DM93"/>
  <c r="CW17"/>
  <c r="BH123"/>
  <c r="EB114"/>
  <c r="AA34"/>
  <c r="DK122"/>
  <c r="CJ113"/>
  <c r="AW38"/>
  <c r="DJ87"/>
  <c r="DY96"/>
  <c r="ES119"/>
  <c r="AC95"/>
  <c r="EL169"/>
  <c r="DW55"/>
  <c r="AZ74"/>
  <c r="DN33"/>
  <c r="AQ30"/>
  <c r="CC141"/>
  <c r="BV107"/>
  <c r="EO40"/>
  <c r="BP137"/>
  <c r="DW146"/>
  <c r="DT158"/>
  <c r="CU111"/>
  <c r="G39"/>
  <c r="FQ10"/>
  <c r="ET169"/>
  <c r="EW132"/>
  <c r="AP129"/>
  <c r="AJ94"/>
  <c r="CK49"/>
  <c r="AX47"/>
  <c r="FC148"/>
  <c r="F161"/>
  <c r="AZ37"/>
  <c r="B171"/>
  <c r="AZ53"/>
  <c r="FQ67"/>
  <c r="CP125"/>
  <c r="DD79"/>
  <c r="BQ33"/>
  <c r="BC144"/>
  <c r="DU136"/>
  <c r="EU79"/>
  <c r="BV65"/>
  <c r="AT55"/>
  <c r="BL95"/>
  <c r="Q51"/>
  <c r="CL90"/>
  <c r="AT29"/>
  <c r="EI79"/>
  <c r="BB9"/>
  <c r="X99"/>
  <c r="BG125"/>
  <c r="CU161"/>
  <c r="BX26"/>
  <c r="BY80"/>
  <c r="ET7"/>
  <c r="CB96"/>
  <c r="CU150"/>
  <c r="BA127"/>
  <c r="AX33"/>
  <c r="FD45"/>
  <c r="EF41"/>
  <c r="FB70"/>
  <c r="BW157"/>
  <c r="AD94"/>
  <c r="AS44"/>
  <c r="EJ12"/>
  <c r="CZ4"/>
  <c r="ED115"/>
  <c r="EB143"/>
  <c r="FU18"/>
  <c r="CF84"/>
  <c r="DG69"/>
  <c r="DC87"/>
  <c r="AW141"/>
  <c r="DZ83"/>
  <c r="V45"/>
  <c r="EV153"/>
  <c r="BI23"/>
  <c r="BU82"/>
  <c r="CY3"/>
  <c r="Q149"/>
  <c r="BK169"/>
  <c r="G172"/>
  <c r="DR140"/>
  <c r="FL160"/>
  <c r="CL123"/>
  <c r="AX45"/>
  <c r="AT85"/>
  <c r="BI7"/>
  <c r="BS145"/>
  <c r="AK28"/>
  <c r="CK68"/>
  <c r="FG159"/>
  <c r="FV146"/>
  <c r="AG143"/>
  <c r="DF119"/>
  <c r="AT51"/>
  <c r="CZ111"/>
  <c r="CO115"/>
  <c r="CG119"/>
  <c r="CP72"/>
  <c r="E96"/>
  <c r="FM177"/>
  <c r="FD153"/>
  <c r="BO159"/>
  <c r="FA48"/>
  <c r="CF46"/>
  <c r="N69"/>
  <c r="EY8"/>
  <c r="CG3"/>
  <c r="DN40"/>
  <c r="V138"/>
  <c r="FU120"/>
  <c r="AB111"/>
  <c r="FI88"/>
  <c r="FA79"/>
  <c r="CS52"/>
  <c r="V31"/>
  <c r="CK38"/>
  <c r="CG171"/>
  <c r="Z64"/>
  <c r="BS158"/>
  <c r="CG125"/>
  <c r="AG75"/>
  <c r="CB77"/>
  <c r="CM92"/>
  <c r="AX121"/>
  <c r="CU64"/>
  <c r="DO116"/>
  <c r="EV47"/>
  <c r="CH150"/>
  <c r="DY18"/>
  <c r="BH67"/>
  <c r="AL98"/>
  <c r="DL10"/>
  <c r="EQ5"/>
  <c r="FK159"/>
  <c r="EK150"/>
  <c r="AL172"/>
  <c r="DY29"/>
  <c r="BV77"/>
  <c r="DM63"/>
  <c r="Q61"/>
  <c r="CJ175"/>
  <c r="F3"/>
  <c r="BK50"/>
  <c r="AG125"/>
  <c r="AR20"/>
  <c r="CY121"/>
  <c r="BL23"/>
  <c r="AW111"/>
  <c r="F115"/>
  <c r="G29"/>
  <c r="T116"/>
  <c r="J85"/>
  <c r="DR12"/>
  <c r="AY32"/>
  <c r="BW136"/>
  <c r="EW143"/>
  <c r="E95"/>
  <c r="DL21"/>
  <c r="CG96"/>
  <c r="AN74"/>
  <c r="EN124"/>
  <c r="EZ102"/>
  <c r="BN34"/>
  <c r="W168"/>
  <c r="DP83"/>
  <c r="DP43"/>
  <c r="L54"/>
  <c r="EL154"/>
  <c r="FK135"/>
  <c r="EE70"/>
  <c r="AH48"/>
  <c r="BS155"/>
  <c r="BN134"/>
  <c r="FD56"/>
  <c r="Z148"/>
  <c r="DY22"/>
  <c r="FS39"/>
  <c r="B74"/>
  <c r="EV174"/>
  <c r="AA151"/>
  <c r="EK75"/>
  <c r="AU128"/>
  <c r="CW69"/>
  <c r="CF102"/>
  <c r="AJ99"/>
  <c r="BA114"/>
  <c r="AV15"/>
  <c r="B7"/>
  <c r="ES18"/>
  <c r="FL7"/>
  <c r="EA89"/>
  <c r="AB33"/>
  <c r="BN83"/>
  <c r="DS106"/>
  <c r="FI138"/>
  <c r="BU24"/>
  <c r="EV133"/>
  <c r="AJ170"/>
  <c r="CH33"/>
  <c r="DD30"/>
  <c r="BN136"/>
  <c r="F85"/>
  <c r="EG19"/>
  <c r="AB99"/>
  <c r="EF96"/>
  <c r="EF151"/>
  <c r="DS120"/>
  <c r="AZ64"/>
  <c r="BJ115"/>
  <c r="EW115"/>
  <c r="AA76"/>
  <c r="AO18"/>
  <c r="CI12"/>
  <c r="DI120"/>
  <c r="BP14"/>
  <c r="FR110"/>
  <c r="DP8"/>
  <c r="BU47"/>
  <c r="CV85"/>
  <c r="DI69"/>
  <c r="CK72"/>
  <c r="BW81"/>
  <c r="EO59"/>
  <c r="CO88"/>
  <c r="CB73"/>
  <c r="EK5"/>
  <c r="EN9"/>
  <c r="K92"/>
  <c r="CY93"/>
  <c r="CH86"/>
  <c r="FH153"/>
  <c r="DN93"/>
  <c r="AW74"/>
  <c r="BV146"/>
  <c r="AV76"/>
  <c r="EQ54"/>
  <c r="CR114"/>
  <c r="AL107"/>
  <c r="DF140"/>
  <c r="CK34"/>
  <c r="W47"/>
  <c r="BL57"/>
  <c r="CI33"/>
  <c r="FT82"/>
  <c r="M115"/>
  <c r="CY144"/>
  <c r="CK71"/>
  <c r="DT119"/>
  <c r="AP69"/>
  <c r="AG70"/>
  <c r="AZ139"/>
  <c r="EK101"/>
  <c r="AQ171"/>
  <c r="AL81"/>
  <c r="DB95"/>
  <c r="BC54"/>
  <c r="ES146"/>
  <c r="BB45"/>
  <c r="AM126"/>
  <c r="CF87"/>
  <c r="BU23"/>
  <c r="J9"/>
  <c r="C55"/>
  <c r="FM19"/>
  <c r="DL44"/>
  <c r="AG36"/>
  <c r="FP140"/>
  <c r="CU8"/>
  <c r="L86"/>
  <c r="DK85"/>
  <c r="EM118"/>
  <c r="DM14"/>
  <c r="X16"/>
  <c r="CA84"/>
  <c r="DB118"/>
  <c r="FJ142"/>
  <c r="N40"/>
  <c r="AU39"/>
  <c r="L144"/>
  <c r="DN110"/>
  <c r="DT51"/>
  <c r="DK178"/>
  <c r="CW159"/>
  <c r="ET86"/>
  <c r="DI177"/>
  <c r="DP173"/>
  <c r="FD146"/>
  <c r="CI98"/>
  <c r="BG18"/>
  <c r="BB12"/>
  <c r="DR164"/>
  <c r="EB95"/>
  <c r="EO65"/>
  <c r="AN64"/>
  <c r="CR22"/>
  <c r="FF144"/>
  <c r="EQ42"/>
  <c r="AF165"/>
  <c r="FP101"/>
  <c r="AS8"/>
  <c r="EV37"/>
  <c r="BY174"/>
  <c r="BK114"/>
  <c r="AV89"/>
  <c r="AZ178"/>
  <c r="BS52"/>
  <c r="AC135"/>
  <c r="EC10"/>
  <c r="EV167"/>
  <c r="AR4"/>
  <c r="DR84"/>
  <c r="EH159"/>
  <c r="L32"/>
  <c r="BB83"/>
  <c r="CU3"/>
  <c r="AG84"/>
  <c r="EZ76"/>
  <c r="BT12"/>
  <c r="BK13"/>
  <c r="Z24"/>
  <c r="CB167"/>
  <c r="DF85"/>
  <c r="CW66"/>
  <c r="ED152"/>
  <c r="EF45"/>
  <c r="EM123"/>
  <c r="CM24"/>
  <c r="AK52"/>
  <c r="EC177"/>
  <c r="AG147"/>
  <c r="D153"/>
  <c r="EZ66"/>
  <c r="FN104"/>
  <c r="AU5"/>
  <c r="FK107"/>
  <c r="DT153"/>
  <c r="M6"/>
  <c r="DV162"/>
  <c r="BV165"/>
  <c r="AP72"/>
  <c r="CJ102"/>
  <c r="CH68"/>
  <c r="CE60"/>
  <c r="BG101"/>
  <c r="ES102"/>
  <c r="ES113"/>
  <c r="CU18"/>
  <c r="AS43"/>
  <c r="AP102"/>
  <c r="EF73"/>
  <c r="DN106"/>
  <c r="DI147"/>
  <c r="BF164"/>
  <c r="B140"/>
  <c r="FV61"/>
  <c r="D99"/>
  <c r="CM38"/>
  <c r="S39"/>
  <c r="CF76"/>
  <c r="FF63"/>
  <c r="K96"/>
  <c r="AS118"/>
  <c r="AU94"/>
  <c r="BW161"/>
  <c r="FS32"/>
  <c r="F111"/>
  <c r="BA4"/>
  <c r="EB110"/>
  <c r="FA100"/>
  <c r="DS94"/>
  <c r="EV130"/>
  <c r="EC22"/>
  <c r="BO47"/>
  <c r="ES125"/>
  <c r="FC132"/>
  <c r="FA82"/>
  <c r="O74"/>
  <c r="L73"/>
  <c r="CD129"/>
  <c r="FJ118"/>
  <c r="EV61"/>
  <c r="BT92"/>
  <c r="EW32"/>
  <c r="BI115"/>
  <c r="AC7"/>
  <c r="E119"/>
  <c r="FU66"/>
  <c r="BM23"/>
  <c r="CF26"/>
  <c r="J111"/>
  <c r="FO44"/>
  <c r="AR17"/>
  <c r="FK10"/>
  <c r="CE3"/>
  <c r="ER147"/>
  <c r="EW163"/>
  <c r="DV161"/>
  <c r="DY133"/>
  <c r="BT53"/>
  <c r="DO43"/>
  <c r="DI127"/>
  <c r="DJ72"/>
  <c r="AD38"/>
  <c r="AM60"/>
  <c r="DO136"/>
  <c r="ER30"/>
  <c r="AL84"/>
  <c r="EB67"/>
  <c r="BG136"/>
  <c r="DF23"/>
  <c r="CN170"/>
  <c r="ER86"/>
  <c r="FC57"/>
  <c r="BQ10"/>
  <c r="AF9"/>
  <c r="CD140"/>
  <c r="AR29"/>
  <c r="BH114"/>
  <c r="BQ37"/>
  <c r="I162"/>
  <c r="CR87"/>
  <c r="CX109"/>
  <c r="V167"/>
  <c r="R36"/>
  <c r="CA130"/>
  <c r="V50"/>
  <c r="CO95"/>
  <c r="FF130"/>
  <c r="AI110"/>
  <c r="R98"/>
  <c r="W95"/>
  <c r="BG102"/>
  <c r="FE82"/>
  <c r="AD102"/>
  <c r="EO104"/>
  <c r="BN67"/>
  <c r="EU159"/>
  <c r="BM61"/>
  <c r="DR103"/>
  <c r="AZ127"/>
  <c r="BP128"/>
  <c r="FS66"/>
  <c r="DD131"/>
  <c r="DH52"/>
  <c r="ES94"/>
  <c r="BQ70"/>
  <c r="EX11"/>
  <c r="EU56"/>
  <c r="DK171"/>
  <c r="ET129"/>
  <c r="DE43"/>
  <c r="DY26"/>
  <c r="BM59"/>
  <c r="CK142"/>
  <c r="CC111"/>
  <c r="FK120"/>
  <c r="EJ80"/>
  <c r="AO114"/>
  <c r="Q139"/>
  <c r="CX169"/>
  <c r="DW73"/>
  <c r="FL38"/>
  <c r="EI171"/>
  <c r="DC160"/>
  <c r="DF15"/>
  <c r="M136"/>
  <c r="ED42"/>
  <c r="FH12"/>
  <c r="CP150"/>
  <c r="CN11"/>
  <c r="C163"/>
  <c r="CH51"/>
  <c r="AR126"/>
  <c r="B61"/>
  <c r="CY27"/>
  <c r="CM90"/>
  <c r="CF165"/>
  <c r="CZ71"/>
  <c r="FS80"/>
  <c r="Y148"/>
  <c r="H133"/>
  <c r="AC55"/>
  <c r="CA88"/>
  <c r="CK21"/>
  <c r="AW178"/>
  <c r="EA116"/>
  <c r="DP7"/>
  <c r="DT122"/>
  <c r="CK91"/>
  <c r="DM166"/>
  <c r="CY163"/>
  <c r="FO83"/>
  <c r="AF120"/>
  <c r="DT164"/>
  <c r="CM150"/>
  <c r="EW135"/>
  <c r="AD97"/>
  <c r="EM21"/>
  <c r="R157"/>
  <c r="ED75"/>
  <c r="EM162"/>
  <c r="AI157"/>
  <c r="E116"/>
  <c r="DY122"/>
  <c r="EZ27"/>
  <c r="FN15"/>
  <c r="CZ51"/>
  <c r="FM131"/>
  <c r="AR31"/>
  <c r="DG84"/>
  <c r="EL17"/>
  <c r="BS171"/>
  <c r="BC113"/>
  <c r="BG85"/>
  <c r="DH27"/>
  <c r="AL63"/>
  <c r="EQ149"/>
  <c r="K34"/>
  <c r="AQ120"/>
  <c r="DF153"/>
  <c r="CY174"/>
  <c r="AP162"/>
  <c r="ED116"/>
  <c r="BW46"/>
  <c r="DA51"/>
  <c r="BO59"/>
  <c r="DC153"/>
  <c r="AG80"/>
  <c r="G90"/>
  <c r="BH111"/>
  <c r="CO32"/>
  <c r="EN120"/>
  <c r="V27"/>
  <c r="G33"/>
  <c r="BP19"/>
  <c r="B30"/>
  <c r="CQ109"/>
  <c r="FI16"/>
  <c r="FG76"/>
  <c r="Q66"/>
  <c r="DK118"/>
  <c r="CN48"/>
  <c r="AP101"/>
  <c r="DU19"/>
  <c r="DG114"/>
  <c r="AD92"/>
  <c r="FO76"/>
  <c r="AJ102"/>
  <c r="CC133"/>
  <c r="CN27"/>
  <c r="FV154"/>
  <c r="BJ24"/>
  <c r="AX4"/>
  <c r="EH153"/>
  <c r="BC157"/>
  <c r="BH96"/>
  <c r="S65"/>
  <c r="J14"/>
  <c r="DJ66"/>
  <c r="DF177"/>
  <c r="AX142"/>
  <c r="DG68"/>
  <c r="FF11"/>
  <c r="EQ52"/>
  <c r="EZ159"/>
  <c r="CZ174"/>
  <c r="CI146"/>
  <c r="DF109"/>
  <c r="FS91"/>
  <c r="CS70"/>
  <c r="FJ143"/>
  <c r="DY82"/>
  <c r="DM38"/>
  <c r="CX15"/>
  <c r="CT166"/>
  <c r="ET63"/>
  <c r="DN72"/>
  <c r="EY173"/>
  <c r="BR38"/>
  <c r="CP165"/>
  <c r="CB88"/>
  <c r="FA139"/>
  <c r="R131"/>
  <c r="BC9"/>
  <c r="FJ75"/>
  <c r="CH145"/>
  <c r="DT118"/>
  <c r="DP68"/>
  <c r="Z164"/>
  <c r="FN31"/>
  <c r="AL175"/>
  <c r="AS159"/>
  <c r="FO22"/>
  <c r="CT7"/>
  <c r="FA138"/>
  <c r="AJ123"/>
  <c r="DF30"/>
  <c r="ET9"/>
  <c r="AL134"/>
  <c r="BI61"/>
  <c r="DO135"/>
  <c r="BY6"/>
  <c r="FA156"/>
  <c r="R136"/>
  <c r="X33"/>
  <c r="BD81"/>
  <c r="FR135"/>
  <c r="DK60"/>
  <c r="CZ14"/>
  <c r="FS159"/>
  <c r="CM36"/>
  <c r="AS7"/>
  <c r="AM102"/>
  <c r="EK96"/>
  <c r="BY7"/>
  <c r="DQ159"/>
  <c r="AS162"/>
  <c r="CB90"/>
  <c r="ET99"/>
  <c r="AV31"/>
  <c r="DQ7"/>
  <c r="EZ96"/>
  <c r="BM154"/>
  <c r="ET82"/>
  <c r="O107"/>
  <c r="FC145"/>
  <c r="DK65"/>
  <c r="DP84"/>
  <c r="Q83"/>
  <c r="AA132"/>
  <c r="BT100"/>
  <c r="EW34"/>
  <c r="EN60"/>
  <c r="N16"/>
  <c r="N106"/>
  <c r="DL151"/>
  <c r="AZ105"/>
  <c r="BA2"/>
  <c r="CG65"/>
  <c r="AE66"/>
  <c r="FL97"/>
  <c r="AK150"/>
  <c r="FA121"/>
  <c r="CU131"/>
  <c r="BM99"/>
  <c r="AQ7"/>
  <c r="K59"/>
  <c r="FE54"/>
  <c r="BS39"/>
  <c r="BJ165"/>
  <c r="EG90"/>
  <c r="BO48"/>
  <c r="FD105"/>
  <c r="DL101"/>
  <c r="AV135"/>
  <c r="BD107"/>
  <c r="EB175"/>
  <c r="FI66"/>
  <c r="BU41"/>
  <c r="DZ27"/>
  <c r="CL177"/>
  <c r="FS31"/>
  <c r="DC98"/>
  <c r="ET147"/>
  <c r="EH114"/>
  <c r="CJ84"/>
  <c r="AS113"/>
  <c r="CR38"/>
  <c r="FK86"/>
  <c r="CS132"/>
  <c r="BN118"/>
  <c r="DF26"/>
  <c r="FU79"/>
  <c r="FF49"/>
  <c r="BM107"/>
  <c r="FL93"/>
  <c r="EI161"/>
  <c r="AR38"/>
  <c r="O17"/>
  <c r="CV63"/>
  <c r="FK32"/>
  <c r="X106"/>
  <c r="FK17"/>
  <c r="CR173"/>
  <c r="AC69"/>
  <c r="DF113"/>
  <c r="BM66"/>
  <c r="FU125"/>
  <c r="DU141"/>
  <c r="ED7"/>
  <c r="BN166"/>
  <c r="FM103"/>
  <c r="BR79"/>
  <c r="N45"/>
  <c r="BM102"/>
  <c r="AB49"/>
  <c r="AM49"/>
  <c r="EE82"/>
  <c r="CX129"/>
  <c r="AC167"/>
  <c r="BD56"/>
  <c r="CS101"/>
  <c r="BJ164"/>
  <c r="CG104"/>
  <c r="W145"/>
  <c r="AV78"/>
  <c r="CW110"/>
  <c r="CY125"/>
  <c r="DU132"/>
  <c r="BC45"/>
  <c r="H67"/>
  <c r="DT117"/>
  <c r="FR104"/>
  <c r="L146"/>
  <c r="CB100"/>
  <c r="C16"/>
  <c r="CG83"/>
  <c r="BM157"/>
  <c r="BR91"/>
  <c r="CK177"/>
  <c r="FR177"/>
  <c r="T67"/>
  <c r="BO6"/>
  <c r="AH148"/>
  <c r="DE174"/>
  <c r="FA90"/>
  <c r="CU135"/>
  <c r="EO147"/>
  <c r="BJ64"/>
  <c r="FP3"/>
  <c r="EF74"/>
  <c r="L136"/>
  <c r="FA151"/>
  <c r="FK155"/>
  <c r="BT159"/>
  <c r="DG130"/>
  <c r="ET163"/>
  <c r="CL18"/>
  <c r="CJ25"/>
  <c r="CR165"/>
  <c r="CM100"/>
  <c r="CA14"/>
  <c r="FQ177"/>
  <c r="U11"/>
  <c r="CV69"/>
  <c r="ET35"/>
  <c r="FK38"/>
  <c r="EO128"/>
  <c r="CO112"/>
  <c r="FP49"/>
  <c r="N11"/>
  <c r="DD51"/>
  <c r="BO162"/>
  <c r="H18"/>
  <c r="EU86"/>
  <c r="D62"/>
  <c r="EA139"/>
  <c r="P32"/>
  <c r="DN159"/>
  <c r="CS114"/>
  <c r="EW170"/>
  <c r="AG167"/>
  <c r="BA155"/>
  <c r="CS106"/>
  <c r="FP138"/>
  <c r="L52"/>
  <c r="DU65"/>
  <c r="FK55"/>
  <c r="BY87"/>
  <c r="EP106"/>
  <c r="FQ95"/>
  <c r="E124"/>
  <c r="CN35"/>
  <c r="AY139"/>
  <c r="H170"/>
  <c r="AO159"/>
  <c r="DN59"/>
  <c r="CT8"/>
  <c r="EH172"/>
  <c r="CZ24"/>
  <c r="CR108"/>
  <c r="Q116"/>
  <c r="FF15"/>
  <c r="H45"/>
  <c r="EE29"/>
  <c r="DP86"/>
  <c r="CU98"/>
  <c r="BU163"/>
  <c r="O5"/>
  <c r="CN25"/>
  <c r="DU98"/>
  <c r="AJ16"/>
  <c r="DU67"/>
  <c r="FR176"/>
  <c r="CY89"/>
  <c r="DH80"/>
  <c r="DG34"/>
  <c r="S157"/>
  <c r="BX29"/>
  <c r="CL130"/>
  <c r="FQ127"/>
  <c r="CM10"/>
  <c r="Y107"/>
  <c r="CE96"/>
  <c r="DK139"/>
  <c r="ED93"/>
  <c r="H128"/>
  <c r="CF124"/>
  <c r="CN125"/>
  <c r="AH160"/>
  <c r="EU156"/>
  <c r="FK9"/>
  <c r="DU138"/>
  <c r="FJ54"/>
  <c r="CG176"/>
  <c r="EJ49"/>
  <c r="BQ157"/>
  <c r="FM145"/>
  <c r="CF41"/>
  <c r="CS112"/>
  <c r="BS61"/>
  <c r="BM125"/>
  <c r="AC82"/>
  <c r="I96"/>
  <c r="AS135"/>
  <c r="CK35"/>
  <c r="BK171"/>
  <c r="EI2"/>
  <c r="BD157"/>
  <c r="BS78"/>
  <c r="EO75"/>
  <c r="BZ2"/>
  <c r="CR155"/>
  <c r="BP63"/>
  <c r="BS142"/>
  <c r="Y143"/>
  <c r="U60"/>
  <c r="DX154"/>
  <c r="EF174"/>
  <c r="CB125"/>
  <c r="DZ130"/>
  <c r="AY172"/>
  <c r="Y91"/>
  <c r="EZ60"/>
  <c r="ER152"/>
  <c r="DG89"/>
  <c r="DI24"/>
  <c r="DL82"/>
  <c r="CT33"/>
  <c r="R17"/>
  <c r="DE19"/>
  <c r="FI163"/>
  <c r="CT27"/>
  <c r="Y15"/>
  <c r="CZ152"/>
  <c r="CE90"/>
  <c r="BA32"/>
  <c r="B163"/>
  <c r="BF125"/>
  <c r="FB81"/>
  <c r="EG127"/>
  <c r="DQ4"/>
  <c r="AQ28"/>
  <c r="BZ23"/>
  <c r="EI102"/>
  <c r="M53"/>
  <c r="BY145"/>
  <c r="AG160"/>
  <c r="FH37"/>
  <c r="DG176"/>
  <c r="W77"/>
  <c r="AP154"/>
  <c r="DX76"/>
  <c r="AP54"/>
  <c r="CC139"/>
  <c r="F43"/>
  <c r="CC54"/>
  <c r="CW128"/>
  <c r="EH141"/>
  <c r="EB174"/>
  <c r="EN17"/>
  <c r="DW108"/>
  <c r="CZ74"/>
  <c r="DG63"/>
  <c r="ES114"/>
  <c r="DS33"/>
  <c r="EO67"/>
  <c r="EC140"/>
  <c r="AF153"/>
  <c r="T68"/>
  <c r="FN58"/>
  <c r="EG144"/>
  <c r="CD107"/>
  <c r="FJ146"/>
  <c r="CC161"/>
  <c r="AO30"/>
  <c r="ER73"/>
  <c r="FI3"/>
  <c r="EJ128"/>
  <c r="AS136"/>
  <c r="CO110"/>
  <c r="CF60"/>
  <c r="AY52"/>
  <c r="DD25"/>
  <c r="BY169"/>
  <c r="I15"/>
  <c r="Y147"/>
  <c r="BO102"/>
  <c r="B54"/>
  <c r="BO12"/>
  <c r="J104"/>
  <c r="CO34"/>
  <c r="AN146"/>
  <c r="L170"/>
  <c r="DQ137"/>
  <c r="CN81"/>
  <c r="BV113"/>
  <c r="FE128"/>
  <c r="DC10"/>
  <c r="G125"/>
  <c r="DS160"/>
  <c r="BK133"/>
  <c r="DU128"/>
  <c r="DI79"/>
  <c r="EV71"/>
  <c r="DE42"/>
  <c r="X39"/>
  <c r="CF171"/>
  <c r="DD177"/>
  <c r="DD117"/>
  <c r="E168"/>
  <c r="AG22"/>
  <c r="CM66"/>
  <c r="G5"/>
  <c r="ED169"/>
  <c r="EW151"/>
  <c r="T95"/>
  <c r="EY127"/>
  <c r="BO62"/>
  <c r="DX44"/>
  <c r="AU25"/>
  <c r="AJ28"/>
  <c r="DM163"/>
  <c r="DQ155"/>
  <c r="AU113"/>
  <c r="DQ63"/>
  <c r="CL106"/>
  <c r="BR65"/>
  <c r="EX119"/>
  <c r="EP74"/>
  <c r="FT143"/>
  <c r="EU60"/>
  <c r="EZ50"/>
  <c r="X127"/>
  <c r="CT51"/>
  <c r="N6"/>
  <c r="FE43"/>
  <c r="B53"/>
  <c r="FC111"/>
  <c r="AH141"/>
  <c r="B175"/>
  <c r="DE123"/>
  <c r="EF22"/>
  <c r="K27"/>
  <c r="DE107"/>
  <c r="CA59"/>
  <c r="BE107"/>
  <c r="AQ48"/>
  <c r="CS84"/>
  <c r="CW19"/>
  <c r="DM95"/>
  <c r="BK71"/>
  <c r="DC11"/>
  <c r="AF138"/>
  <c r="L106"/>
  <c r="FA163"/>
  <c r="EU5"/>
  <c r="DL170"/>
  <c r="Z8"/>
  <c r="P159"/>
  <c r="EA77"/>
  <c r="DF54"/>
  <c r="BL154"/>
  <c r="L177"/>
  <c r="Y158"/>
  <c r="BV161"/>
  <c r="DU172"/>
  <c r="CJ93"/>
  <c r="AA158"/>
  <c r="V32"/>
  <c r="DB8"/>
  <c r="AI38"/>
  <c r="ES5"/>
  <c r="AQ45"/>
  <c r="DU130"/>
  <c r="EI89"/>
  <c r="BA117"/>
  <c r="AQ111"/>
  <c r="DH174"/>
  <c r="FL109"/>
  <c r="FT65"/>
  <c r="ED29"/>
  <c r="EJ103"/>
  <c r="DB152"/>
  <c r="EQ117"/>
  <c r="CI162"/>
  <c r="BT178"/>
  <c r="AN116"/>
  <c r="CG6"/>
  <c r="BH58"/>
  <c r="DB115"/>
  <c r="EC145"/>
  <c r="Y165"/>
  <c r="FE32"/>
  <c r="FA165"/>
  <c r="CL172"/>
  <c r="EN6"/>
  <c r="CD148"/>
  <c r="P147"/>
  <c r="FJ138"/>
  <c r="Y54"/>
  <c r="CV100"/>
  <c r="FL20"/>
  <c r="BF109"/>
  <c r="FF79"/>
  <c r="FB22"/>
  <c r="BI47"/>
  <c r="BM12"/>
  <c r="BW126"/>
  <c r="FO95"/>
  <c r="BM166"/>
  <c r="C134"/>
  <c r="BT86"/>
  <c r="I154"/>
  <c r="DQ67"/>
  <c r="AN176"/>
  <c r="EG96"/>
  <c r="DZ19"/>
  <c r="J154"/>
  <c r="CG152"/>
  <c r="DX131"/>
  <c r="BX124"/>
  <c r="BB93"/>
  <c r="CU122"/>
  <c r="AV83"/>
  <c r="CR149"/>
  <c r="EY134"/>
  <c r="T19"/>
  <c r="FK126"/>
  <c r="BN10"/>
  <c r="FC140"/>
  <c r="BZ63"/>
  <c r="CI54"/>
  <c r="D31"/>
  <c r="EB42"/>
  <c r="CW144"/>
  <c r="CI85"/>
  <c r="G155"/>
  <c r="S14"/>
  <c r="DF25"/>
  <c r="BQ130"/>
  <c r="DT18"/>
  <c r="L145"/>
  <c r="EU143"/>
  <c r="DT103"/>
  <c r="BB161"/>
  <c r="BF134"/>
  <c r="CM56"/>
  <c r="W141"/>
  <c r="ED102"/>
  <c r="X61"/>
  <c r="FO47"/>
  <c r="DE45"/>
  <c r="FL123"/>
  <c r="FK95"/>
  <c r="Q177"/>
  <c r="BR99"/>
  <c r="D106"/>
  <c r="DH117"/>
  <c r="DX119"/>
  <c r="AR111"/>
  <c r="CR77"/>
  <c r="EJ18"/>
  <c r="CT30"/>
  <c r="AE10"/>
  <c r="CF111"/>
  <c r="FU8"/>
  <c r="AA139"/>
  <c r="G138"/>
  <c r="AK25"/>
  <c r="EW18"/>
  <c r="EX147"/>
  <c r="CZ50"/>
  <c r="BA177"/>
  <c r="BE165"/>
  <c r="DS85"/>
  <c r="DT160"/>
  <c r="DU28"/>
  <c r="CO161"/>
  <c r="BN76"/>
  <c r="DK23"/>
  <c r="FJ174"/>
  <c r="FR148"/>
  <c r="AZ15"/>
  <c r="AC129"/>
  <c r="BQ64"/>
  <c r="FI172"/>
  <c r="AN26"/>
  <c r="AE70"/>
  <c r="FH76"/>
  <c r="BO28"/>
  <c r="ES169"/>
  <c r="EY114"/>
  <c r="G168"/>
  <c r="CP51"/>
  <c r="CA142"/>
  <c r="BG96"/>
  <c r="BF94"/>
  <c r="CT108"/>
  <c r="AD130"/>
  <c r="W91"/>
  <c r="AC174"/>
  <c r="CP16"/>
  <c r="FV136"/>
  <c r="DU121"/>
  <c r="EO85"/>
  <c r="AZ29"/>
  <c r="AN118"/>
  <c r="CS61"/>
  <c r="CP14"/>
  <c r="CO106"/>
  <c r="E123"/>
  <c r="DK9"/>
  <c r="EI58"/>
  <c r="DI22"/>
  <c r="V115"/>
  <c r="BK36"/>
  <c r="R54"/>
  <c r="CX17"/>
  <c r="DL102"/>
  <c r="CN40"/>
  <c r="L55"/>
  <c r="BQ13"/>
  <c r="CP69"/>
  <c r="EP17"/>
  <c r="EU132"/>
  <c r="BZ105"/>
  <c r="I158"/>
  <c r="CJ45"/>
  <c r="B172"/>
  <c r="BK17"/>
  <c r="CT104"/>
  <c r="EJ100"/>
  <c r="DX46"/>
  <c r="BD99"/>
  <c r="I88"/>
  <c r="FN85"/>
  <c r="K30"/>
  <c r="FT62"/>
  <c r="DB108"/>
  <c r="DH96"/>
  <c r="CT112"/>
  <c r="DV93"/>
  <c r="CT42"/>
  <c r="F176"/>
  <c r="EH116"/>
  <c r="DV171"/>
  <c r="CL91"/>
  <c r="EI123"/>
  <c r="DH66"/>
  <c r="FD145"/>
  <c r="X89"/>
  <c r="AU146"/>
  <c r="D49"/>
  <c r="FP131"/>
  <c r="E109"/>
  <c r="EW71"/>
  <c r="EX138"/>
  <c r="DP170"/>
  <c r="DK158"/>
  <c r="AE125"/>
  <c r="DN3"/>
  <c r="CB130"/>
  <c r="CB107"/>
  <c r="DL51"/>
  <c r="FV140"/>
  <c r="DI111"/>
  <c r="DR165"/>
  <c r="ET176"/>
  <c r="FH112"/>
  <c r="FD4"/>
  <c r="BB125"/>
  <c r="B168"/>
  <c r="AU177"/>
  <c r="AS87"/>
  <c r="AG81"/>
  <c r="ED47"/>
  <c r="AH17"/>
  <c r="EI8"/>
  <c r="FB7"/>
  <c r="EO6"/>
  <c r="DF107"/>
  <c r="FN36"/>
  <c r="FL30"/>
  <c r="EN10"/>
  <c r="BW117"/>
  <c r="BF51"/>
  <c r="DJ74"/>
  <c r="FV141"/>
  <c r="AP152"/>
  <c r="AL148"/>
  <c r="T88"/>
  <c r="DB43"/>
  <c r="BM7"/>
  <c r="FE25"/>
  <c r="DW37"/>
  <c r="AA75"/>
  <c r="DB14"/>
  <c r="BQ20"/>
  <c r="DH93"/>
  <c r="FD78"/>
  <c r="FO67"/>
  <c r="AJ138"/>
  <c r="EC135"/>
  <c r="H168"/>
  <c r="DE2"/>
  <c r="AY152"/>
  <c r="R52"/>
  <c r="DH169"/>
  <c r="AM48"/>
  <c r="AN23"/>
  <c r="FU74"/>
  <c r="AN93"/>
  <c r="EF39"/>
  <c r="CE24"/>
  <c r="AV70"/>
  <c r="DQ43"/>
  <c r="EJ110"/>
  <c r="CJ26"/>
  <c r="CA78"/>
  <c r="AP80"/>
  <c r="BV116"/>
  <c r="FU29"/>
  <c r="O29"/>
  <c r="BV99"/>
  <c r="AU131"/>
  <c r="AO58"/>
  <c r="DQ82"/>
  <c r="AO51"/>
  <c r="EV166"/>
  <c r="EM148"/>
  <c r="BK49"/>
  <c r="EQ84"/>
  <c r="FT45"/>
  <c r="FH77"/>
  <c r="DN129"/>
  <c r="EG74"/>
  <c r="FR35"/>
  <c r="AN7"/>
  <c r="FL173"/>
  <c r="BN101"/>
  <c r="EN7"/>
  <c r="CQ57"/>
  <c r="FN162"/>
  <c r="AL147"/>
  <c r="CI165"/>
  <c r="FE152"/>
  <c r="EP109"/>
  <c r="FA132"/>
  <c r="FT167"/>
  <c r="Y176"/>
  <c r="AK144"/>
  <c r="CG15"/>
  <c r="B111"/>
  <c r="AM42"/>
  <c r="R175"/>
  <c r="ET43"/>
  <c r="K166"/>
  <c r="BW175"/>
  <c r="CG162"/>
  <c r="AX55"/>
  <c r="DB49"/>
  <c r="E56"/>
  <c r="EX114"/>
  <c r="AG135"/>
  <c r="H167"/>
  <c r="CE84"/>
  <c r="EL143"/>
  <c r="AZ135"/>
  <c r="BP26"/>
  <c r="O137"/>
  <c r="FS147"/>
  <c r="FT158"/>
  <c r="J75"/>
  <c r="R3"/>
  <c r="AF64"/>
  <c r="BN32"/>
  <c r="BR17"/>
  <c r="DQ98"/>
  <c r="CF5"/>
  <c r="BY98"/>
  <c r="EC122"/>
  <c r="CG94"/>
  <c r="DI67"/>
  <c r="BW100"/>
  <c r="C23"/>
  <c r="BS134"/>
  <c r="BJ125"/>
  <c r="FD167"/>
  <c r="G52"/>
  <c r="BG9"/>
  <c r="L126"/>
  <c r="FL95"/>
  <c r="DR9"/>
  <c r="AC33"/>
  <c r="BQ110"/>
  <c r="BF47"/>
  <c r="CV15"/>
  <c r="CS8"/>
  <c r="BF77"/>
  <c r="FE165"/>
  <c r="C152"/>
  <c r="O149"/>
  <c r="CB94"/>
  <c r="FU155"/>
  <c r="ET50"/>
  <c r="DQ107"/>
  <c r="FV92"/>
  <c r="N57"/>
  <c r="O13"/>
  <c r="S138"/>
  <c r="AP121"/>
  <c r="FO127"/>
  <c r="EV126"/>
  <c r="I145"/>
  <c r="J124"/>
  <c r="BW129"/>
  <c r="ET126"/>
  <c r="AO31"/>
  <c r="AH117"/>
  <c r="BR161"/>
  <c r="EJ101"/>
  <c r="AA177"/>
  <c r="AB60"/>
  <c r="FP126"/>
  <c r="V33"/>
  <c r="L127"/>
  <c r="CH49"/>
  <c r="O53"/>
  <c r="DG28"/>
  <c r="ER34"/>
  <c r="EC134"/>
  <c r="DF127"/>
  <c r="L77"/>
  <c r="FC42"/>
  <c r="BU69"/>
  <c r="AN98"/>
  <c r="CB140"/>
  <c r="BK48"/>
  <c r="C133"/>
  <c r="L20"/>
  <c r="E28"/>
  <c r="DY109"/>
  <c r="W175"/>
  <c r="BH147"/>
  <c r="AH143"/>
  <c r="BJ10"/>
  <c r="EG31"/>
  <c r="BR77"/>
  <c r="U103"/>
  <c r="M20"/>
  <c r="M12"/>
  <c r="AS169"/>
  <c r="EE47"/>
  <c r="EB64"/>
  <c r="AV128"/>
  <c r="BK42"/>
  <c r="BS97"/>
  <c r="AM112"/>
  <c r="DM79"/>
  <c r="EY26"/>
  <c r="CZ3"/>
  <c r="EU75"/>
  <c r="CQ99"/>
  <c r="BK67"/>
  <c r="DJ73"/>
  <c r="V175"/>
  <c r="AO171"/>
  <c r="BS94"/>
  <c r="BK73"/>
  <c r="AR44"/>
  <c r="AY174"/>
  <c r="AQ79"/>
  <c r="Z99"/>
  <c r="DA148"/>
  <c r="AL8"/>
  <c r="DI7"/>
  <c r="CI63"/>
  <c r="DG88"/>
  <c r="DX8"/>
  <c r="CW23"/>
  <c r="EX47"/>
  <c r="AX123"/>
  <c r="U109"/>
  <c r="BN74"/>
  <c r="Z175"/>
  <c r="B105"/>
  <c r="BD101"/>
  <c r="BC101"/>
  <c r="BD97"/>
  <c r="BX142"/>
  <c r="AL65"/>
  <c r="FH134"/>
  <c r="S149"/>
  <c r="CC64"/>
  <c r="BZ19"/>
  <c r="FB101"/>
  <c r="CH84"/>
  <c r="EO76"/>
  <c r="FN53"/>
  <c r="CZ178"/>
  <c r="DU27"/>
  <c r="E114"/>
  <c r="BA26"/>
  <c r="CS167"/>
  <c r="CW32"/>
  <c r="BK10"/>
  <c r="EI78"/>
  <c r="CB135"/>
  <c r="AA157"/>
  <c r="BL136"/>
  <c r="CA68"/>
  <c r="CW25"/>
  <c r="BC51"/>
  <c r="AC150"/>
  <c r="DC40"/>
  <c r="EU42"/>
  <c r="DE54"/>
  <c r="DG48"/>
  <c r="AM159"/>
  <c r="DY75"/>
  <c r="EH132"/>
  <c r="FP170"/>
  <c r="X43"/>
  <c r="FT15"/>
  <c r="FI146"/>
  <c r="EO36"/>
  <c r="DT146"/>
  <c r="DA23"/>
  <c r="DH49"/>
  <c r="Q122"/>
  <c r="FP36"/>
  <c r="FM85"/>
  <c r="FV133"/>
  <c r="DM28"/>
  <c r="FL16"/>
  <c r="AC110"/>
  <c r="CF42"/>
  <c r="CZ139"/>
  <c r="DP25"/>
  <c r="EA46"/>
  <c r="EL50"/>
  <c r="AZ57"/>
  <c r="CZ140"/>
  <c r="DI165"/>
  <c r="AB132"/>
  <c r="FU149"/>
  <c r="AP46"/>
  <c r="AL124"/>
  <c r="DJ68"/>
  <c r="AB53"/>
  <c r="CF23"/>
  <c r="FF19"/>
  <c r="CL170"/>
  <c r="BM94"/>
  <c r="ER77"/>
  <c r="EQ27"/>
  <c r="CU163"/>
  <c r="DN11"/>
  <c r="FC66"/>
  <c r="D159"/>
  <c r="D68"/>
  <c r="AK172"/>
  <c r="AM52"/>
  <c r="BX106"/>
  <c r="FR163"/>
  <c r="FH31"/>
  <c r="U173"/>
  <c r="BW150"/>
  <c r="DA114"/>
  <c r="EU98"/>
  <c r="AH73"/>
  <c r="EF65"/>
  <c r="L163"/>
  <c r="BP141"/>
  <c r="DE82"/>
  <c r="EY48"/>
  <c r="BU37"/>
  <c r="EJ116"/>
  <c r="AA48"/>
  <c r="BN14"/>
  <c r="DZ131"/>
  <c r="FF97"/>
  <c r="DY80"/>
  <c r="EV51"/>
  <c r="EV81"/>
  <c r="FG118"/>
  <c r="FD126"/>
  <c r="AN151"/>
  <c r="FE81"/>
  <c r="BD78"/>
  <c r="DK166"/>
  <c r="BH160"/>
  <c r="AM13"/>
  <c r="AU79"/>
  <c r="FT34"/>
  <c r="FM113"/>
  <c r="BQ50"/>
  <c r="DI162"/>
  <c r="AE156"/>
  <c r="EQ96"/>
  <c r="BO64"/>
  <c r="AM4"/>
  <c r="DV53"/>
  <c r="N59"/>
  <c r="DF99"/>
  <c r="EH8"/>
  <c r="CO74"/>
  <c r="DR177"/>
  <c r="BS164"/>
  <c r="CC50"/>
  <c r="CY88"/>
  <c r="FQ5"/>
  <c r="DF141"/>
  <c r="FM134"/>
  <c r="EW21"/>
  <c r="CK90"/>
  <c r="CQ10"/>
  <c r="BI70"/>
  <c r="DC116"/>
  <c r="AE111"/>
  <c r="CY162"/>
  <c r="FB84"/>
  <c r="BZ81"/>
  <c r="BJ128"/>
  <c r="ED101"/>
  <c r="DT83"/>
  <c r="BP74"/>
  <c r="AH8"/>
  <c r="EI133"/>
  <c r="Q121"/>
  <c r="CP136"/>
  <c r="FO106"/>
  <c r="DT157"/>
  <c r="M160"/>
  <c r="BV163"/>
  <c r="DJ138"/>
  <c r="BH64"/>
  <c r="AG129"/>
  <c r="CE142"/>
  <c r="CW157"/>
  <c r="EF33"/>
  <c r="CD84"/>
  <c r="CJ118"/>
  <c r="EP64"/>
  <c r="ET55"/>
  <c r="ED120"/>
  <c r="BB129"/>
  <c r="EP132"/>
  <c r="CN55"/>
  <c r="DA86"/>
  <c r="L26"/>
  <c r="CL116"/>
  <c r="BW149"/>
  <c r="AY93"/>
  <c r="FD8"/>
  <c r="CG85"/>
  <c r="EK36"/>
  <c r="DY83"/>
  <c r="FF143"/>
  <c r="F140"/>
  <c r="EV15"/>
  <c r="DG23"/>
  <c r="ES96"/>
  <c r="ER13"/>
  <c r="DG159"/>
  <c r="F150"/>
  <c r="AU160"/>
  <c r="EP158"/>
  <c r="BU81"/>
  <c r="CI84"/>
  <c r="S120"/>
  <c r="FP153"/>
  <c r="AN82"/>
  <c r="FT42"/>
  <c r="CO20"/>
  <c r="CY19"/>
  <c r="AQ115"/>
  <c r="CX23"/>
  <c r="EM94"/>
  <c r="CX88"/>
  <c r="DH166"/>
  <c r="DK57"/>
  <c r="FU151"/>
  <c r="AB114"/>
  <c r="FD94"/>
  <c r="EO170"/>
  <c r="EF123"/>
  <c r="CN151"/>
  <c r="CR40"/>
  <c r="J86"/>
  <c r="AA170"/>
  <c r="AX173"/>
  <c r="AM130"/>
  <c r="X162"/>
  <c r="AN84"/>
  <c r="M138"/>
  <c r="CH94"/>
  <c r="U133"/>
  <c r="EG23"/>
  <c r="AF103"/>
  <c r="AO176"/>
  <c r="AF96"/>
  <c r="Y130"/>
  <c r="EV53"/>
  <c r="FG90"/>
  <c r="BM132"/>
  <c r="EV162"/>
  <c r="DJ15"/>
  <c r="ES25"/>
  <c r="AG14"/>
  <c r="DN27"/>
  <c r="DZ84"/>
  <c r="BA134"/>
  <c r="AL2"/>
  <c r="W61"/>
  <c r="CM113"/>
  <c r="EK94"/>
  <c r="CO168"/>
  <c r="FK118"/>
  <c r="EL31"/>
  <c r="FU161"/>
  <c r="CJ37"/>
  <c r="DQ90"/>
  <c r="FN170"/>
  <c r="BC120"/>
  <c r="CZ45"/>
  <c r="AY98"/>
  <c r="CU90"/>
  <c r="DM176"/>
  <c r="AD6"/>
  <c r="DS13"/>
  <c r="R141"/>
  <c r="CJ134"/>
  <c r="D59"/>
  <c r="AQ64"/>
  <c r="EN171"/>
  <c r="EC114"/>
  <c r="CV156"/>
  <c r="AW22"/>
  <c r="DH102"/>
  <c r="BQ14"/>
  <c r="CA125"/>
  <c r="FC24"/>
  <c r="DD153"/>
  <c r="EX125"/>
  <c r="DG151"/>
  <c r="BI27"/>
  <c r="BP106"/>
  <c r="BD144"/>
  <c r="BY77"/>
  <c r="AG89"/>
  <c r="L24"/>
  <c r="BI49"/>
  <c r="BS110"/>
  <c r="CI52"/>
  <c r="DV146"/>
  <c r="DF3"/>
  <c r="W135"/>
  <c r="ET5"/>
  <c r="BM2"/>
  <c r="BJ158"/>
  <c r="CZ40"/>
  <c r="AP122"/>
  <c r="FT145"/>
  <c r="DX50"/>
  <c r="EW172"/>
  <c r="EA84"/>
  <c r="FB154"/>
  <c r="BB56"/>
  <c r="DI15"/>
  <c r="AG48"/>
  <c r="AL54"/>
  <c r="EX88"/>
  <c r="AL123"/>
  <c r="EI60"/>
  <c r="T35"/>
  <c r="DA50"/>
  <c r="P86"/>
  <c r="EW149"/>
  <c r="BF33"/>
  <c r="FM68"/>
  <c r="DA116"/>
  <c r="CS77"/>
  <c r="FA167"/>
  <c r="EY160"/>
  <c r="CV161"/>
  <c r="O136"/>
  <c r="FA6"/>
  <c r="DY160"/>
  <c r="Y20"/>
  <c r="EY178"/>
  <c r="K159"/>
  <c r="DJ90"/>
  <c r="AU9"/>
  <c r="CY20"/>
  <c r="DV27"/>
  <c r="CK93"/>
  <c r="DF89"/>
  <c r="CO166"/>
  <c r="AZ104"/>
  <c r="BX140"/>
  <c r="AG169"/>
  <c r="AZ106"/>
  <c r="AT107"/>
  <c r="FJ149"/>
  <c r="CH83"/>
  <c r="DL66"/>
  <c r="BN36"/>
  <c r="X56"/>
  <c r="FK175"/>
  <c r="FC20"/>
  <c r="CY87"/>
  <c r="CF62"/>
  <c r="BI114"/>
  <c r="AX118"/>
  <c r="BT45"/>
  <c r="CX133"/>
  <c r="DN140"/>
  <c r="DF178"/>
  <c r="M21"/>
  <c r="E174"/>
  <c r="BS4"/>
  <c r="DT15"/>
  <c r="BS126"/>
  <c r="BZ78"/>
  <c r="CD171"/>
  <c r="FU73"/>
  <c r="FF32"/>
  <c r="FO65"/>
  <c r="CQ9"/>
  <c r="CU146"/>
  <c r="CX77"/>
  <c r="AG4"/>
  <c r="BM163"/>
  <c r="BV21"/>
  <c r="DZ56"/>
  <c r="CZ177"/>
  <c r="FI121"/>
  <c r="AL141"/>
  <c r="DL62"/>
  <c r="L82"/>
  <c r="FR14"/>
  <c r="P43"/>
  <c r="CS80"/>
  <c r="U61"/>
  <c r="DI110"/>
  <c r="BY72"/>
  <c r="AH15"/>
  <c r="P60"/>
  <c r="DI164"/>
  <c r="BN165"/>
  <c r="FM141"/>
  <c r="DQ55"/>
  <c r="CP140"/>
  <c r="AI122"/>
  <c r="DQ171"/>
  <c r="CK147"/>
  <c r="EP140"/>
  <c r="DG42"/>
  <c r="AI107"/>
  <c r="EF80"/>
  <c r="CT154"/>
  <c r="DC111"/>
  <c r="B128"/>
  <c r="S106"/>
  <c r="EX124"/>
  <c r="AN81"/>
  <c r="BP58"/>
  <c r="FU78"/>
  <c r="J77"/>
  <c r="EE8"/>
  <c r="CC15"/>
  <c r="AY75"/>
  <c r="AQ60"/>
  <c r="CD75"/>
  <c r="DF67"/>
  <c r="BR149"/>
  <c r="DD100"/>
  <c r="Q37"/>
  <c r="DN31"/>
  <c r="AK49"/>
  <c r="CU86"/>
  <c r="AK88"/>
  <c r="AM46"/>
  <c r="EH53"/>
  <c r="DW120"/>
  <c r="BT148"/>
  <c r="CJ142"/>
  <c r="U111"/>
  <c r="BD155"/>
  <c r="Y160"/>
  <c r="DN45"/>
  <c r="FV123"/>
  <c r="FR166"/>
  <c r="AB170"/>
  <c r="DO64"/>
  <c r="E18"/>
  <c r="FN4"/>
  <c r="EQ118"/>
  <c r="AW19"/>
  <c r="U132"/>
  <c r="DT129"/>
  <c r="CO120"/>
  <c r="CA53"/>
  <c r="DQ146"/>
  <c r="CO23"/>
  <c r="EB140"/>
  <c r="FB16"/>
  <c r="EW25"/>
  <c r="CA121"/>
  <c r="EL167"/>
  <c r="V121"/>
  <c r="I89"/>
  <c r="EN97"/>
  <c r="CZ119"/>
  <c r="FN138"/>
  <c r="BG57"/>
  <c r="FD68"/>
  <c r="I16"/>
  <c r="EU93"/>
  <c r="CB117"/>
  <c r="FC128"/>
  <c r="EL111"/>
  <c r="DE140"/>
  <c r="DB163"/>
  <c r="FN42"/>
  <c r="FJ36"/>
  <c r="BI80"/>
  <c r="FL10"/>
  <c r="EC155"/>
  <c r="DD122"/>
  <c r="AX122"/>
  <c r="FS126"/>
  <c r="EU14"/>
  <c r="D124"/>
  <c r="CF47"/>
  <c r="AN72"/>
  <c r="CA83"/>
  <c r="AL118"/>
  <c r="BN123"/>
  <c r="BS46"/>
  <c r="AZ118"/>
  <c r="FH147"/>
  <c r="FS175"/>
  <c r="EI39"/>
  <c r="BL107"/>
  <c r="DZ117"/>
  <c r="DD37"/>
  <c r="P28"/>
  <c r="DA37"/>
  <c r="DD33"/>
  <c r="Z91"/>
  <c r="V76"/>
  <c r="CR41"/>
  <c r="EW16"/>
  <c r="DU4"/>
  <c r="DW63"/>
  <c r="CW47"/>
  <c r="BV160"/>
  <c r="EU123"/>
  <c r="BT25"/>
  <c r="CC151"/>
  <c r="AO136"/>
  <c r="FJ101"/>
  <c r="DZ170"/>
  <c r="EN94"/>
  <c r="BL149"/>
  <c r="BU128"/>
  <c r="DZ111"/>
  <c r="AN153"/>
  <c r="AH178"/>
  <c r="Q168"/>
  <c r="X101"/>
  <c r="DT130"/>
  <c r="ER75"/>
  <c r="CG99"/>
  <c r="EN102"/>
  <c r="FB65"/>
  <c r="CS134"/>
  <c r="FH61"/>
  <c r="FR170"/>
  <c r="J8"/>
  <c r="BX39"/>
  <c r="FD21"/>
  <c r="CJ164"/>
  <c r="AF106"/>
  <c r="FO36"/>
  <c r="G150"/>
  <c r="BY58"/>
  <c r="AC111"/>
  <c r="FS3"/>
  <c r="DE16"/>
  <c r="U66"/>
  <c r="BE159"/>
  <c r="V101"/>
  <c r="CE172"/>
  <c r="EP176"/>
  <c r="DP51"/>
  <c r="CI6"/>
  <c r="CM114"/>
  <c r="DK31"/>
  <c r="V41"/>
  <c r="DV112"/>
  <c r="CG141"/>
  <c r="BF73"/>
  <c r="BY48"/>
  <c r="DG126"/>
  <c r="DK173"/>
  <c r="EW99"/>
  <c r="EN23"/>
  <c r="BW34"/>
  <c r="AU3"/>
  <c r="CZ64"/>
  <c r="CK24"/>
  <c r="AD70"/>
  <c r="W66"/>
  <c r="FO61"/>
  <c r="DE113"/>
  <c r="BW142"/>
  <c r="AP92"/>
  <c r="EB148"/>
  <c r="L37"/>
  <c r="CK29"/>
  <c r="CS16"/>
  <c r="BZ101"/>
  <c r="J22"/>
  <c r="AU166"/>
  <c r="W172"/>
  <c r="CI62"/>
  <c r="AW109"/>
  <c r="C10"/>
  <c r="EG178"/>
  <c r="BW73"/>
  <c r="X18"/>
  <c r="FS148"/>
  <c r="F26"/>
  <c r="FF36"/>
  <c r="CE56"/>
  <c r="DG170"/>
  <c r="CS73"/>
  <c r="BC131"/>
  <c r="EA119"/>
  <c r="EL61"/>
  <c r="AI137"/>
  <c r="CJ48"/>
  <c r="EK29"/>
  <c r="DT76"/>
  <c r="CH177"/>
  <c r="B13"/>
  <c r="CD135"/>
  <c r="EL131"/>
  <c r="DB40"/>
  <c r="K113"/>
  <c r="BS91"/>
  <c r="EX8"/>
  <c r="O51"/>
  <c r="ES16"/>
  <c r="EN45"/>
  <c r="AU119"/>
  <c r="R154"/>
  <c r="EY86"/>
  <c r="CK25"/>
  <c r="DD16"/>
  <c r="CE166"/>
  <c r="CV32"/>
  <c r="DR87"/>
  <c r="AV10"/>
  <c r="DZ47"/>
  <c r="EM137"/>
  <c r="CH23"/>
  <c r="DB45"/>
  <c r="CA176"/>
  <c r="EW113"/>
  <c r="EO162"/>
  <c r="DE168"/>
  <c r="EC102"/>
  <c r="DV49"/>
  <c r="AZ90"/>
  <c r="AU130"/>
  <c r="BM100"/>
  <c r="BE135"/>
  <c r="DV113"/>
  <c r="EG155"/>
  <c r="C15"/>
  <c r="DN81"/>
  <c r="CK163"/>
  <c r="DI27"/>
  <c r="CE73"/>
  <c r="CI35"/>
  <c r="FV59"/>
  <c r="DE23"/>
  <c r="AU38"/>
  <c r="EG36"/>
  <c r="DC14"/>
  <c r="P50"/>
  <c r="AV40"/>
  <c r="ET33"/>
  <c r="CF54"/>
  <c r="R153"/>
  <c r="CO173"/>
  <c r="M60"/>
  <c r="AE104"/>
  <c r="AN148"/>
  <c r="BV156"/>
  <c r="W156"/>
  <c r="AR95"/>
  <c r="Y103"/>
  <c r="AE124"/>
  <c r="EE4"/>
  <c r="F47"/>
  <c r="ER32"/>
  <c r="CD177"/>
  <c r="DZ171"/>
  <c r="EY150"/>
  <c r="DO141"/>
  <c r="U52"/>
  <c r="CK17"/>
  <c r="V122"/>
  <c r="Z96"/>
  <c r="FB20"/>
  <c r="AA13"/>
  <c r="R73"/>
  <c r="EI15"/>
  <c r="DT93"/>
  <c r="AP39"/>
  <c r="CJ119"/>
  <c r="H103"/>
  <c r="EO135"/>
  <c r="CD6"/>
  <c r="AF60"/>
  <c r="CB143"/>
  <c r="CU32"/>
  <c r="EA122"/>
  <c r="DG173"/>
  <c r="AR120"/>
  <c r="S72"/>
  <c r="R150"/>
  <c r="DQ52"/>
  <c r="I165"/>
  <c r="BQ49"/>
  <c r="DV107"/>
  <c r="DX103"/>
  <c r="FG48"/>
  <c r="AD32"/>
  <c r="AY165"/>
  <c r="BT39"/>
  <c r="AG25"/>
  <c r="DL37"/>
  <c r="CU109"/>
  <c r="AZ88"/>
  <c r="DE22"/>
  <c r="T103"/>
  <c r="EE173"/>
  <c r="DR130"/>
  <c r="AK36"/>
  <c r="S26"/>
  <c r="EX21"/>
  <c r="K16"/>
  <c r="DL76"/>
  <c r="EF159"/>
  <c r="AV111"/>
  <c r="F79"/>
  <c r="DN5"/>
  <c r="D121"/>
  <c r="M169"/>
  <c r="BX86"/>
  <c r="CR164"/>
  <c r="AO28"/>
  <c r="T54"/>
  <c r="EQ10"/>
  <c r="BC37"/>
  <c r="DO6"/>
  <c r="EX55"/>
  <c r="R138"/>
  <c r="BX88"/>
  <c r="EA171"/>
  <c r="AN89"/>
  <c r="G162"/>
  <c r="DS87"/>
  <c r="AR112"/>
  <c r="CS109"/>
  <c r="DK13"/>
  <c r="BT176"/>
  <c r="EP87"/>
  <c r="D162"/>
  <c r="AR101"/>
  <c r="DT173"/>
  <c r="DN21"/>
  <c r="BF111"/>
  <c r="E67"/>
  <c r="CS64"/>
  <c r="ER42"/>
  <c r="AG61"/>
  <c r="DQ2"/>
  <c r="B92"/>
  <c r="BY152"/>
  <c r="CH7"/>
  <c r="DI5"/>
  <c r="BU70"/>
  <c r="BI43"/>
  <c r="AS122"/>
  <c r="N71"/>
  <c r="J58"/>
  <c r="ET88"/>
  <c r="CG37"/>
  <c r="AE15"/>
  <c r="CE38"/>
  <c r="K144"/>
  <c r="DQ76"/>
  <c r="EL177"/>
  <c r="BD152"/>
  <c r="AG136"/>
  <c r="K177"/>
  <c r="ES148"/>
  <c r="CC32"/>
  <c r="CZ131"/>
  <c r="BU112"/>
  <c r="AS76"/>
  <c r="DF14"/>
  <c r="BV31"/>
  <c r="DR30"/>
  <c r="FE65"/>
  <c r="DC151"/>
  <c r="FA21"/>
  <c r="EB54"/>
  <c r="AX128"/>
  <c r="CA48"/>
  <c r="DT60"/>
  <c r="DY98"/>
  <c r="EV50"/>
  <c r="BU28"/>
  <c r="BX8"/>
  <c r="AT158"/>
  <c r="DQ149"/>
  <c r="CI50"/>
  <c r="DI72"/>
  <c r="BH124"/>
  <c r="AA40"/>
  <c r="FE121"/>
  <c r="CS178"/>
  <c r="FV169"/>
  <c r="BJ49"/>
  <c r="BB94"/>
  <c r="BS154"/>
  <c r="P99"/>
  <c r="V65"/>
  <c r="DY161"/>
  <c r="E105"/>
  <c r="BQ136"/>
  <c r="EF75"/>
  <c r="BZ55"/>
  <c r="CW91"/>
  <c r="DD32"/>
  <c r="BT95"/>
  <c r="DH100"/>
  <c r="C135"/>
  <c r="P137"/>
  <c r="BH59"/>
  <c r="FU68"/>
  <c r="CY46"/>
  <c r="AI133"/>
  <c r="CD7"/>
  <c r="N61"/>
  <c r="BT48"/>
  <c r="N124"/>
  <c r="EF173"/>
  <c r="AZ68"/>
  <c r="CW52"/>
  <c r="AL159"/>
  <c r="FE157"/>
  <c r="BK44"/>
  <c r="EK82"/>
  <c r="BG98"/>
  <c r="U102"/>
  <c r="I107"/>
  <c r="CB57"/>
  <c r="CH120"/>
  <c r="DH13"/>
  <c r="FQ156"/>
  <c r="DK30"/>
  <c r="AD74"/>
  <c r="CR95"/>
  <c r="EQ131"/>
  <c r="DB66"/>
  <c r="DQ84"/>
  <c r="FC104"/>
  <c r="ER28"/>
  <c r="FC31"/>
  <c r="DZ2"/>
  <c r="DI93"/>
  <c r="FD24"/>
  <c r="BV83"/>
  <c r="BF129"/>
  <c r="CG132"/>
  <c r="I94"/>
  <c r="P124"/>
  <c r="DT71"/>
  <c r="BR7"/>
  <c r="BC78"/>
  <c r="FH3"/>
  <c r="CE137"/>
  <c r="BP43"/>
  <c r="AA109"/>
  <c r="DT22"/>
  <c r="DC17"/>
  <c r="CE50"/>
  <c r="BD80"/>
  <c r="FQ33"/>
  <c r="AV160"/>
  <c r="AC122"/>
  <c r="AE50"/>
  <c r="CD81"/>
  <c r="CG158"/>
  <c r="O3"/>
  <c r="FT26"/>
  <c r="BA89"/>
  <c r="FI153"/>
  <c r="AF10"/>
  <c r="CJ144"/>
  <c r="B166"/>
  <c r="DH109"/>
  <c r="DE76"/>
  <c r="ED53"/>
  <c r="FG120"/>
  <c r="K14"/>
  <c r="DH61"/>
  <c r="CS42"/>
  <c r="M66"/>
  <c r="ET61"/>
  <c r="S137"/>
  <c r="B97"/>
  <c r="CF107"/>
  <c r="J79"/>
  <c r="DP40"/>
  <c r="ES35"/>
  <c r="DQ143"/>
  <c r="DI97"/>
  <c r="DK58"/>
  <c r="EV24"/>
  <c r="BB63"/>
  <c r="EL93"/>
  <c r="AT58"/>
  <c r="ED80"/>
  <c r="AA27"/>
  <c r="DE60"/>
  <c r="BE29"/>
  <c r="ES178"/>
  <c r="W62"/>
  <c r="FT137"/>
  <c r="BE108"/>
  <c r="BJ86"/>
  <c r="DQ60"/>
  <c r="AI149"/>
  <c r="EQ141"/>
  <c r="BU154"/>
  <c r="EC148"/>
  <c r="FJ130"/>
  <c r="G41"/>
  <c r="CD63"/>
  <c r="T55"/>
  <c r="CL21"/>
  <c r="CC20"/>
  <c r="BT117"/>
  <c r="FV18"/>
  <c r="BZ8"/>
  <c r="N133"/>
  <c r="FT12"/>
  <c r="CH39"/>
  <c r="CY111"/>
  <c r="AR93"/>
  <c r="BH70"/>
  <c r="BP34"/>
  <c r="EY84"/>
  <c r="BM164"/>
  <c r="AL16"/>
  <c r="X146"/>
  <c r="AW8"/>
  <c r="FF48"/>
  <c r="CM138"/>
  <c r="EV111"/>
  <c r="FD157"/>
  <c r="CC24"/>
  <c r="J13"/>
  <c r="CP101"/>
  <c r="BL43"/>
  <c r="FL148"/>
  <c r="BP129"/>
  <c r="EE109"/>
  <c r="Q5"/>
  <c r="AV122"/>
  <c r="P176"/>
  <c r="C166"/>
  <c r="FS34"/>
  <c r="EW84"/>
  <c r="AY138"/>
  <c r="FG40"/>
  <c r="AU85"/>
  <c r="CU34"/>
  <c r="FR22"/>
  <c r="EB124"/>
  <c r="E151"/>
  <c r="CC143"/>
  <c r="Q138"/>
  <c r="BX62"/>
  <c r="BO140"/>
  <c r="DI124"/>
  <c r="DJ129"/>
  <c r="AO134"/>
  <c r="AH32"/>
  <c r="Q70"/>
  <c r="FL116"/>
  <c r="W120"/>
  <c r="BC8"/>
  <c r="DW102"/>
  <c r="V68"/>
  <c r="CA116"/>
  <c r="FQ17"/>
  <c r="DP88"/>
  <c r="CE93"/>
  <c r="DR120"/>
  <c r="FR114"/>
  <c r="EC138"/>
  <c r="DR124"/>
  <c r="EP33"/>
  <c r="AI49"/>
  <c r="BO8"/>
  <c r="DA157"/>
  <c r="DJ36"/>
  <c r="FE122"/>
  <c r="CA133"/>
  <c r="CF98"/>
  <c r="CO133"/>
  <c r="Q26"/>
  <c r="DN162"/>
  <c r="FA67"/>
  <c r="AK14"/>
  <c r="AE136"/>
  <c r="AV98"/>
  <c r="EQ104"/>
  <c r="AB147"/>
  <c r="EF175"/>
  <c r="FL157"/>
  <c r="S176"/>
  <c r="EN143"/>
  <c r="P115"/>
  <c r="BU106"/>
  <c r="AL112"/>
  <c r="CE39"/>
  <c r="E160"/>
  <c r="AR127"/>
  <c r="ED72"/>
  <c r="B178"/>
  <c r="B99"/>
  <c r="DK45"/>
  <c r="L159"/>
  <c r="FP77"/>
  <c r="CC98"/>
  <c r="AI109"/>
  <c r="CP12"/>
  <c r="DN85"/>
  <c r="O80"/>
  <c r="AY159"/>
  <c r="CO87"/>
  <c r="BF112"/>
  <c r="AZ173"/>
  <c r="DT166"/>
  <c r="Z137"/>
  <c r="T23"/>
  <c r="CB114"/>
  <c r="BE163"/>
  <c r="Z150"/>
  <c r="EQ75"/>
  <c r="CT144"/>
  <c r="FA131"/>
  <c r="EI128"/>
  <c r="EY170"/>
  <c r="AT93"/>
  <c r="BJ107"/>
  <c r="FU146"/>
  <c r="CU79"/>
  <c r="FQ82"/>
  <c r="CI79"/>
  <c r="L119"/>
  <c r="CO14"/>
  <c r="ED12"/>
  <c r="EY50"/>
  <c r="EK174"/>
  <c r="AS78"/>
  <c r="FJ152"/>
  <c r="DD21"/>
  <c r="CH170"/>
  <c r="DY15"/>
  <c r="BR95"/>
  <c r="DC24"/>
  <c r="FR145"/>
  <c r="AP75"/>
  <c r="DT54"/>
  <c r="Y41"/>
  <c r="EQ64"/>
  <c r="CV90"/>
  <c r="CU46"/>
  <c r="DM114"/>
  <c r="AR8"/>
  <c r="DX21"/>
  <c r="DI71"/>
  <c r="FN171"/>
  <c r="AJ105"/>
  <c r="AG152"/>
  <c r="BZ73"/>
  <c r="ET112"/>
  <c r="EH82"/>
  <c r="CS153"/>
  <c r="H15"/>
  <c r="H50"/>
  <c r="CK42"/>
  <c r="CI175"/>
  <c r="FQ126"/>
  <c r="EP165"/>
  <c r="AF54"/>
  <c r="F137"/>
  <c r="S165"/>
  <c r="CP26"/>
  <c r="CT82"/>
  <c r="BM82"/>
  <c r="BG5"/>
  <c r="N164"/>
  <c r="EF88"/>
  <c r="FV63"/>
  <c r="CX165"/>
  <c r="AS92"/>
  <c r="FQ73"/>
  <c r="M105"/>
  <c r="BG35"/>
  <c r="E69"/>
  <c r="ER6"/>
  <c r="EJ24"/>
  <c r="BI57"/>
  <c r="AJ162"/>
  <c r="N163"/>
  <c r="FQ90"/>
  <c r="N75"/>
  <c r="CM157"/>
  <c r="AN134"/>
  <c r="AS178"/>
  <c r="H165"/>
  <c r="M62"/>
  <c r="BL24"/>
  <c r="BQ19"/>
  <c r="BP29"/>
  <c r="BT137"/>
  <c r="DW157"/>
  <c r="FL122"/>
  <c r="AX2"/>
  <c r="AE122"/>
  <c r="CA17"/>
  <c r="AY118"/>
  <c r="BZ54"/>
  <c r="P165"/>
  <c r="DY119"/>
  <c r="EP79"/>
  <c r="CK51"/>
  <c r="DL3"/>
  <c r="AO145"/>
  <c r="EV38"/>
  <c r="DX40"/>
  <c r="FD40"/>
  <c r="AT116"/>
  <c r="FR112"/>
  <c r="W23"/>
  <c r="BD135"/>
  <c r="DF52"/>
  <c r="AN125"/>
  <c r="DA27"/>
  <c r="CL25"/>
  <c r="AG146"/>
  <c r="BD162"/>
  <c r="CM153"/>
  <c r="CW70"/>
  <c r="CG139"/>
  <c r="CO123"/>
  <c r="O34"/>
  <c r="DY31"/>
  <c r="AU134"/>
  <c r="CN53"/>
  <c r="DR171"/>
  <c r="FU32"/>
  <c r="AR161"/>
  <c r="DZ53"/>
  <c r="EI125"/>
  <c r="DW172"/>
  <c r="FR99"/>
  <c r="BG15"/>
  <c r="CE33"/>
  <c r="DO143"/>
  <c r="EX39"/>
  <c r="CZ83"/>
  <c r="EG72"/>
  <c r="FR133"/>
  <c r="AL40"/>
  <c r="T24"/>
  <c r="AN59"/>
  <c r="FH82"/>
  <c r="FF85"/>
  <c r="CL109"/>
  <c r="AK19"/>
  <c r="ET83"/>
  <c r="CY13"/>
  <c r="EY55"/>
  <c r="EA29"/>
  <c r="BS108"/>
  <c r="CY92"/>
  <c r="EK74"/>
  <c r="P6"/>
  <c r="EY106"/>
  <c r="AJ30"/>
  <c r="BY142"/>
  <c r="FA175"/>
  <c r="DD92"/>
  <c r="EE127"/>
  <c r="DY147"/>
  <c r="EE30"/>
  <c r="M111"/>
  <c r="DH59"/>
  <c r="EA159"/>
  <c r="DK140"/>
  <c r="CN57"/>
  <c r="CA73"/>
  <c r="BE112"/>
  <c r="BA8"/>
  <c r="CL164"/>
  <c r="C37"/>
  <c r="FK46"/>
  <c r="DZ29"/>
  <c r="CA136"/>
  <c r="BZ170"/>
  <c r="CZ54"/>
  <c r="ED164"/>
  <c r="DO99"/>
  <c r="BL164"/>
  <c r="R9"/>
  <c r="FN61"/>
  <c r="BI138"/>
  <c r="CU142"/>
  <c r="FS90"/>
  <c r="R2"/>
  <c r="DF80"/>
  <c r="ER141"/>
  <c r="BB33"/>
  <c r="CA104"/>
  <c r="CP170"/>
  <c r="EC30"/>
  <c r="CN142"/>
  <c r="FV174"/>
  <c r="EP148"/>
  <c r="FA125"/>
  <c r="FR53"/>
  <c r="H120"/>
  <c r="EC39"/>
  <c r="AJ109"/>
  <c r="CV124"/>
  <c r="BQ99"/>
  <c r="BC63"/>
  <c r="AR166"/>
  <c r="EE46"/>
  <c r="FM129"/>
  <c r="DU167"/>
  <c r="DQ26"/>
  <c r="BL87"/>
  <c r="EY123"/>
  <c r="BZ132"/>
  <c r="EC176"/>
  <c r="CO69"/>
  <c r="S144"/>
  <c r="FR36"/>
  <c r="DH138"/>
  <c r="EV144"/>
  <c r="N158"/>
  <c r="EA20"/>
  <c r="ER4"/>
  <c r="EP86"/>
  <c r="DY130"/>
  <c r="T147"/>
  <c r="AZ92"/>
  <c r="CP17"/>
  <c r="AE52"/>
  <c r="EI130"/>
  <c r="X65"/>
  <c r="DW14"/>
  <c r="EE92"/>
  <c r="FJ44"/>
  <c r="DJ64"/>
  <c r="ES142"/>
  <c r="DP146"/>
  <c r="BF15"/>
  <c r="DJ143"/>
  <c r="I126"/>
  <c r="ED178"/>
  <c r="DF118"/>
  <c r="Q31"/>
  <c r="J6"/>
  <c r="M164"/>
  <c r="DL59"/>
  <c r="EQ4"/>
  <c r="ET146"/>
  <c r="CT65"/>
  <c r="CS122"/>
  <c r="CZ15"/>
  <c r="BC174"/>
  <c r="U79"/>
  <c r="FT2"/>
  <c r="CM26"/>
  <c r="BN174"/>
  <c r="EZ108"/>
  <c r="T173"/>
  <c r="FT91"/>
  <c r="CV21"/>
  <c r="CR61"/>
  <c r="I95"/>
  <c r="AN45"/>
  <c r="CV92"/>
  <c r="AR108"/>
  <c r="O145"/>
  <c r="FD118"/>
  <c r="BS176"/>
  <c r="BY104"/>
  <c r="CV93"/>
  <c r="ED14"/>
  <c r="FB145"/>
  <c r="DR91"/>
  <c r="EU92"/>
  <c r="AB66"/>
  <c r="FG144"/>
  <c r="EG76"/>
  <c r="L165"/>
  <c r="FA124"/>
  <c r="BF91"/>
  <c r="CI139"/>
  <c r="DS83"/>
  <c r="FI124"/>
  <c r="FS121"/>
  <c r="CV133"/>
  <c r="FU117"/>
  <c r="FQ154"/>
  <c r="DU68"/>
  <c r="CW101"/>
  <c r="AP13"/>
  <c r="AC86"/>
  <c r="AJ108"/>
  <c r="CS99"/>
  <c r="DH97"/>
  <c r="BU125"/>
  <c r="BS143"/>
  <c r="BQ90"/>
  <c r="FR55"/>
  <c r="M37"/>
  <c r="EK52"/>
  <c r="DR89"/>
  <c r="E63"/>
  <c r="DX126"/>
  <c r="EQ83"/>
  <c r="FG59"/>
  <c r="CP169"/>
  <c r="CN141"/>
  <c r="EV99"/>
  <c r="DV37"/>
  <c r="DP152"/>
  <c r="EZ142"/>
  <c r="BI71"/>
  <c r="BS132"/>
  <c r="AL166"/>
  <c r="DK110"/>
  <c r="N7"/>
  <c r="AG55"/>
  <c r="EQ45"/>
  <c r="BB15"/>
  <c r="DT17"/>
  <c r="CD58"/>
  <c r="DG171"/>
  <c r="AV6"/>
  <c r="CH136"/>
  <c r="FV39"/>
  <c r="AA30"/>
  <c r="EX108"/>
  <c r="CC157"/>
  <c r="FI159"/>
  <c r="CU121"/>
  <c r="FR27"/>
  <c r="BC88"/>
  <c r="BQ100"/>
  <c r="CF4"/>
  <c r="S71"/>
  <c r="DG5"/>
  <c r="CN157"/>
  <c r="BE71"/>
  <c r="FF126"/>
  <c r="FD173"/>
  <c r="AJ151"/>
  <c r="CD143"/>
  <c r="DA153"/>
  <c r="EV10"/>
  <c r="AC15"/>
  <c r="EC154"/>
  <c r="V124"/>
  <c r="F108"/>
  <c r="CI137"/>
  <c r="AV174"/>
  <c r="EV89"/>
  <c r="EF59"/>
  <c r="BV8"/>
  <c r="BA36"/>
  <c r="P84"/>
  <c r="BP60"/>
  <c r="CI65"/>
  <c r="DT11"/>
  <c r="EG37"/>
  <c r="K119"/>
  <c r="DJ134"/>
  <c r="FK132"/>
  <c r="DF166"/>
  <c r="FS140"/>
  <c r="EH75"/>
  <c r="CK108"/>
  <c r="BR147"/>
  <c r="EB157"/>
  <c r="DN126"/>
  <c r="BV175"/>
  <c r="AA42"/>
  <c r="FP84"/>
  <c r="EE116"/>
  <c r="T75"/>
  <c r="CT96"/>
  <c r="AD128"/>
  <c r="EG14"/>
  <c r="FI171"/>
  <c r="FF2"/>
  <c r="BA88"/>
  <c r="AB26"/>
  <c r="ET84"/>
  <c r="EX75"/>
  <c r="EK95"/>
  <c r="AT133"/>
  <c r="I73"/>
  <c r="ED2"/>
  <c r="CS127"/>
  <c r="P87"/>
  <c r="CS30"/>
  <c r="CH161"/>
  <c r="BF30"/>
  <c r="CT120"/>
  <c r="AU144"/>
  <c r="AY18"/>
  <c r="M48"/>
  <c r="BD92"/>
  <c r="AK35"/>
  <c r="W104"/>
  <c r="ES161"/>
  <c r="CK15"/>
  <c r="DI56"/>
  <c r="CW51"/>
  <c r="CJ83"/>
  <c r="FD111"/>
  <c r="CF56"/>
  <c r="D25"/>
  <c r="FU56"/>
  <c r="BE168"/>
  <c r="DN154"/>
  <c r="S79"/>
  <c r="DF161"/>
  <c r="AF13"/>
  <c r="CH135"/>
  <c r="DN109"/>
  <c r="FU69"/>
  <c r="BS160"/>
  <c r="P64"/>
  <c r="DW95"/>
  <c r="FE114"/>
  <c r="CW161"/>
  <c r="DM152"/>
  <c r="AU40"/>
  <c r="EU173"/>
  <c r="U163"/>
  <c r="AR139"/>
  <c r="FR102"/>
  <c r="EC174"/>
  <c r="AE146"/>
  <c r="D169"/>
  <c r="K53"/>
  <c r="DL41"/>
  <c r="V109"/>
  <c r="ED39"/>
  <c r="BQ74"/>
  <c r="V147"/>
  <c r="AW127"/>
  <c r="CS146"/>
  <c r="CI41"/>
  <c r="FN38"/>
  <c r="N28"/>
  <c r="CB106"/>
  <c r="DO5"/>
  <c r="AD143"/>
  <c r="FM35"/>
  <c r="DW150"/>
  <c r="Q131"/>
  <c r="E10"/>
  <c r="CB145"/>
  <c r="Y10"/>
  <c r="S36"/>
  <c r="BE94"/>
  <c r="DS163"/>
  <c r="CC11"/>
  <c r="DU23"/>
  <c r="FL26"/>
  <c r="CW116"/>
  <c r="AK73"/>
  <c r="Y33"/>
  <c r="AS79"/>
  <c r="FF22"/>
  <c r="AE32"/>
  <c r="DP35"/>
  <c r="CT75"/>
  <c r="FO174"/>
  <c r="DX88"/>
  <c r="U126"/>
  <c r="EE41"/>
  <c r="CN99"/>
  <c r="EA15"/>
  <c r="T72"/>
  <c r="AY104"/>
  <c r="BN41"/>
  <c r="DL147"/>
  <c r="ES38"/>
  <c r="DE121"/>
  <c r="CE116"/>
  <c r="CB123"/>
  <c r="DM15"/>
  <c r="EW167"/>
  <c r="DE157"/>
  <c r="CR64"/>
  <c r="P75"/>
  <c r="BW163"/>
  <c r="FF30"/>
  <c r="BD79"/>
  <c r="CD83"/>
  <c r="DA132"/>
  <c r="BG170"/>
  <c r="CL42"/>
  <c r="EB32"/>
  <c r="EB101"/>
  <c r="AM155"/>
  <c r="CA35"/>
  <c r="BS106"/>
  <c r="DS32"/>
  <c r="CR124"/>
  <c r="EG120"/>
  <c r="N128"/>
  <c r="BS84"/>
  <c r="FP105"/>
  <c r="CJ11"/>
  <c r="FD43"/>
  <c r="DF2"/>
  <c r="DE118"/>
  <c r="BC71"/>
  <c r="FG166"/>
  <c r="BG118"/>
  <c r="AU153"/>
  <c r="FL136"/>
  <c r="DE119"/>
  <c r="BJ161"/>
  <c r="P48"/>
  <c r="BQ171"/>
  <c r="DY101"/>
  <c r="CK95"/>
  <c r="DD64"/>
  <c r="EL138"/>
  <c r="DV134"/>
  <c r="DU86"/>
  <c r="BW108"/>
  <c r="AF173"/>
  <c r="BR33"/>
  <c r="EN14"/>
  <c r="FU134"/>
  <c r="DO104"/>
  <c r="DV8"/>
  <c r="O52"/>
  <c r="U46"/>
  <c r="EP156"/>
  <c r="EX67"/>
  <c r="AU6"/>
  <c r="FK65"/>
  <c r="L38"/>
  <c r="FD36"/>
  <c r="DK112"/>
  <c r="BG48"/>
  <c r="BX71"/>
  <c r="FT60"/>
  <c r="AK124"/>
  <c r="DM143"/>
  <c r="DW173"/>
  <c r="CD95"/>
  <c r="AR46"/>
  <c r="B108"/>
  <c r="CV47"/>
  <c r="BX23"/>
  <c r="CV58"/>
  <c r="EV57"/>
  <c r="ES28"/>
  <c r="F22"/>
  <c r="AF160"/>
  <c r="D126"/>
  <c r="BD65"/>
  <c r="BL108"/>
  <c r="CO136"/>
  <c r="CH144"/>
  <c r="EY116"/>
  <c r="DL133"/>
  <c r="CK47"/>
  <c r="AU120"/>
  <c r="EY57"/>
  <c r="L99"/>
  <c r="CS138"/>
  <c r="X112"/>
  <c r="L112"/>
  <c r="BA28"/>
  <c r="FI52"/>
  <c r="CZ21"/>
  <c r="CO50"/>
  <c r="FF37"/>
  <c r="E113"/>
  <c r="Z110"/>
  <c r="EZ137"/>
  <c r="AV146"/>
  <c r="CS45"/>
  <c r="AO49"/>
  <c r="DP4"/>
  <c r="AY103"/>
  <c r="AA147"/>
  <c r="J68"/>
  <c r="K143"/>
  <c r="BF37"/>
  <c r="DD7"/>
  <c r="BF39"/>
  <c r="AT177"/>
  <c r="FA54"/>
  <c r="AM9"/>
  <c r="AZ142"/>
  <c r="BR117"/>
  <c r="DQ173"/>
  <c r="BI60"/>
  <c r="BJ88"/>
  <c r="AQ17"/>
  <c r="EP44"/>
  <c r="DK27"/>
  <c r="D27"/>
  <c r="EN72"/>
  <c r="EF172"/>
  <c r="C121"/>
  <c r="AN42"/>
  <c r="BK16"/>
  <c r="R68"/>
  <c r="AX171"/>
  <c r="DJ110"/>
  <c r="BB88"/>
  <c r="AO178"/>
  <c r="I7"/>
  <c r="FJ15"/>
  <c r="EX69"/>
  <c r="AA35"/>
  <c r="FI23"/>
  <c r="EU127"/>
  <c r="AD28"/>
  <c r="CL145"/>
  <c r="EM89"/>
  <c r="BH83"/>
  <c r="BY103"/>
  <c r="BQ62"/>
  <c r="T102"/>
  <c r="DK19"/>
  <c r="DX2"/>
  <c r="FL92"/>
  <c r="R12"/>
  <c r="EW47"/>
  <c r="DS31"/>
  <c r="DL165"/>
  <c r="C132"/>
  <c r="FP104"/>
  <c r="CV135"/>
  <c r="EH61"/>
  <c r="BM72"/>
  <c r="EF114"/>
  <c r="EL117"/>
  <c r="AO87"/>
  <c r="BC29"/>
  <c r="BH63"/>
  <c r="BN53"/>
  <c r="AA161"/>
  <c r="BZ84"/>
  <c r="AV42"/>
  <c r="EP97"/>
  <c r="FU97"/>
  <c r="AD175"/>
  <c r="DR176"/>
  <c r="F44"/>
  <c r="BY127"/>
  <c r="J51"/>
  <c r="BR92"/>
  <c r="BW103"/>
  <c r="Y144"/>
  <c r="DJ40"/>
  <c r="DA9"/>
  <c r="H136"/>
  <c r="DN161"/>
  <c r="CV154"/>
  <c r="AE103"/>
  <c r="AN11"/>
  <c r="CD138"/>
  <c r="AM87"/>
  <c r="AX38"/>
  <c r="AI171"/>
  <c r="FP139"/>
  <c r="FP125"/>
  <c r="CQ124"/>
  <c r="P173"/>
  <c r="AX127"/>
  <c r="BR160"/>
  <c r="K19"/>
  <c r="EY168"/>
  <c r="FK168"/>
  <c r="FV42"/>
  <c r="DJ61"/>
  <c r="G156"/>
  <c r="FT70"/>
  <c r="AR153"/>
  <c r="EQ123"/>
  <c r="AA136"/>
  <c r="DC64"/>
  <c r="EK110"/>
  <c r="DZ41"/>
  <c r="DA65"/>
  <c r="CC147"/>
  <c r="FU128"/>
  <c r="EK175"/>
  <c r="DC145"/>
  <c r="EP42"/>
  <c r="FM142"/>
  <c r="FA75"/>
  <c r="BA82"/>
  <c r="AR152"/>
  <c r="EV152"/>
  <c r="CQ53"/>
  <c r="EF35"/>
  <c r="I103"/>
  <c r="AZ48"/>
  <c r="BE177"/>
  <c r="BE160"/>
  <c r="ED127"/>
  <c r="CW136"/>
  <c r="Z135"/>
  <c r="AX66"/>
  <c r="BC107"/>
  <c r="K17"/>
  <c r="DZ95"/>
  <c r="AN10"/>
  <c r="CY136"/>
  <c r="AA61"/>
  <c r="CX118"/>
  <c r="G159"/>
  <c r="AZ137"/>
  <c r="AO53"/>
  <c r="CA113"/>
  <c r="BT138"/>
  <c r="EB128"/>
  <c r="ET123"/>
  <c r="FO87"/>
  <c r="FA109"/>
  <c r="DW28"/>
  <c r="AX24"/>
  <c r="BD115"/>
  <c r="BS49"/>
  <c r="AL75"/>
  <c r="BF165"/>
  <c r="AB174"/>
  <c r="CZ66"/>
  <c r="DZ90"/>
  <c r="CH147"/>
  <c r="BV117"/>
  <c r="ED95"/>
  <c r="DL30"/>
  <c r="DE164"/>
  <c r="FD115"/>
  <c r="DC129"/>
  <c r="FL177"/>
  <c r="DS41"/>
  <c r="V16"/>
  <c r="DL39"/>
  <c r="CU141"/>
  <c r="FI65"/>
  <c r="DK83"/>
  <c r="DL178"/>
  <c r="BU38"/>
  <c r="B104"/>
  <c r="AH135"/>
  <c r="L130"/>
  <c r="BE98"/>
  <c r="BF5"/>
  <c r="EU50"/>
  <c r="BU7"/>
  <c r="EG33"/>
  <c r="EO21"/>
  <c r="EO82"/>
  <c r="FE149"/>
  <c r="FQ16"/>
  <c r="T136"/>
  <c r="FL178"/>
  <c r="FJ83"/>
  <c r="BZ114"/>
  <c r="BI134"/>
  <c r="BU52"/>
  <c r="DV57"/>
  <c r="BZ167"/>
  <c r="O171"/>
  <c r="DX142"/>
  <c r="EI177"/>
  <c r="AL82"/>
  <c r="L65"/>
  <c r="EL26"/>
  <c r="AG104"/>
  <c r="CJ5"/>
  <c r="AN143"/>
  <c r="FS146"/>
  <c r="FH98"/>
  <c r="FF149"/>
  <c r="U172"/>
  <c r="BD4"/>
  <c r="EP173"/>
  <c r="BS173"/>
  <c r="CI105"/>
  <c r="CX63"/>
  <c r="FP6"/>
  <c r="BZ52"/>
  <c r="I172"/>
  <c r="ED71"/>
  <c r="BH109"/>
  <c r="AS106"/>
  <c r="CD76"/>
  <c r="EN177"/>
  <c r="FP166"/>
  <c r="CS36"/>
  <c r="FI147"/>
  <c r="BW95"/>
  <c r="DB98"/>
  <c r="J34"/>
  <c r="N119"/>
  <c r="FP133"/>
  <c r="AP28"/>
  <c r="EJ161"/>
  <c r="BP28"/>
  <c r="CS66"/>
  <c r="ED83"/>
  <c r="AL21"/>
  <c r="DR127"/>
  <c r="AM75"/>
  <c r="DJ6"/>
  <c r="V23"/>
  <c r="FE144"/>
  <c r="FC2"/>
  <c r="CX149"/>
  <c r="DU11"/>
  <c r="EW101"/>
  <c r="Q148"/>
  <c r="EW120"/>
  <c r="DG45"/>
  <c r="AL3"/>
  <c r="CG42"/>
  <c r="DM153"/>
  <c r="EG123"/>
  <c r="FG171"/>
  <c r="CG76"/>
  <c r="AA176"/>
  <c r="AI58"/>
  <c r="BA48"/>
  <c r="DP158"/>
  <c r="EA34"/>
  <c r="BO113"/>
  <c r="FV171"/>
  <c r="CK43"/>
  <c r="FL176"/>
  <c r="DL63"/>
  <c r="CP137"/>
  <c r="CG58"/>
  <c r="FP171"/>
  <c r="X86"/>
  <c r="BI102"/>
  <c r="CV57"/>
  <c r="EJ145"/>
  <c r="BK168"/>
  <c r="AU31"/>
  <c r="CI94"/>
  <c r="FC55"/>
  <c r="DU115"/>
  <c r="EY129"/>
  <c r="EV143"/>
  <c r="EB29"/>
  <c r="DC79"/>
  <c r="S118"/>
  <c r="BW159"/>
  <c r="FK4"/>
  <c r="CQ110"/>
  <c r="CT150"/>
  <c r="DJ48"/>
  <c r="R34"/>
  <c r="Z130"/>
  <c r="BG137"/>
  <c r="BV136"/>
  <c r="Q129"/>
  <c r="Y46"/>
  <c r="AM147"/>
  <c r="BM65"/>
  <c r="FB6"/>
  <c r="EX175"/>
  <c r="CF178"/>
  <c r="EE52"/>
  <c r="CL66"/>
  <c r="DN7"/>
  <c r="FM92"/>
  <c r="CX72"/>
  <c r="BZ66"/>
  <c r="EL75"/>
  <c r="AW7"/>
  <c r="BK96"/>
  <c r="EH52"/>
  <c r="FH148"/>
  <c r="CO75"/>
  <c r="DY84"/>
  <c r="DY46"/>
  <c r="DZ12"/>
  <c r="E27"/>
  <c r="E138"/>
  <c r="CM45"/>
  <c r="DO113"/>
  <c r="EC31"/>
  <c r="V119"/>
  <c r="BX122"/>
  <c r="BO172"/>
  <c r="DP2"/>
  <c r="AS170"/>
  <c r="AK44"/>
  <c r="EP46"/>
  <c r="FN16"/>
  <c r="FL13"/>
  <c r="EV178"/>
  <c r="FU75"/>
  <c r="EZ20"/>
  <c r="BX35"/>
  <c r="N172"/>
  <c r="AW136"/>
  <c r="FM123"/>
  <c r="BK95"/>
  <c r="EA153"/>
  <c r="BP131"/>
  <c r="CJ12"/>
  <c r="BJ140"/>
  <c r="BQ2"/>
  <c r="CG175"/>
  <c r="EY144"/>
  <c r="DK91"/>
  <c r="EP26"/>
  <c r="BS63"/>
  <c r="FQ116"/>
  <c r="BF55"/>
  <c r="CZ60"/>
  <c r="AO24"/>
  <c r="BJ163"/>
  <c r="FE14"/>
  <c r="BS161"/>
  <c r="BG87"/>
  <c r="AG134"/>
  <c r="BE49"/>
  <c r="DR77"/>
  <c r="DP55"/>
  <c r="FL128"/>
  <c r="BN164"/>
  <c r="FH126"/>
  <c r="CJ108"/>
  <c r="DP104"/>
  <c r="O112"/>
  <c r="CW58"/>
  <c r="BA164"/>
  <c r="CQ75"/>
  <c r="D108"/>
  <c r="EF36"/>
  <c r="BN127"/>
  <c r="G158"/>
  <c r="DX33"/>
  <c r="DV78"/>
  <c r="BY68"/>
  <c r="FF8"/>
  <c r="EF142"/>
  <c r="FN117"/>
  <c r="FF47"/>
  <c r="EQ112"/>
  <c r="CV115"/>
  <c r="CV134"/>
  <c r="AM162"/>
  <c r="CF45"/>
  <c r="AK175"/>
  <c r="EK8"/>
  <c r="EV42"/>
  <c r="FL15"/>
  <c r="DH103"/>
  <c r="DL84"/>
  <c r="CN13"/>
  <c r="EB72"/>
  <c r="N38"/>
  <c r="BT73"/>
  <c r="BG161"/>
  <c r="Y42"/>
  <c r="FM114"/>
  <c r="CC19"/>
  <c r="BE131"/>
  <c r="CH143"/>
  <c r="EK19"/>
  <c r="AL25"/>
  <c r="D44"/>
  <c r="EE115"/>
  <c r="BW41"/>
  <c r="ES8"/>
  <c r="BL168"/>
  <c r="L14"/>
  <c r="FH18"/>
  <c r="CV146"/>
  <c r="CB160"/>
  <c r="DK62"/>
  <c r="CZ20"/>
  <c r="CJ114"/>
  <c r="CU172"/>
  <c r="AO16"/>
  <c r="E170"/>
  <c r="FH93"/>
  <c r="AL99"/>
  <c r="DF157"/>
  <c r="BU137"/>
  <c r="AP132"/>
  <c r="EQ92"/>
  <c r="BW168"/>
  <c r="AB90"/>
  <c r="EB130"/>
  <c r="CX127"/>
  <c r="FO150"/>
  <c r="BB104"/>
  <c r="CR51"/>
  <c r="DI19"/>
  <c r="N121"/>
  <c r="BC154"/>
  <c r="FV79"/>
  <c r="EG95"/>
  <c r="EV93"/>
  <c r="EX112"/>
  <c r="EZ77"/>
  <c r="DM137"/>
  <c r="AU171"/>
  <c r="FB171"/>
  <c r="P106"/>
  <c r="C173"/>
  <c r="Z100"/>
  <c r="BT116"/>
  <c r="DA70"/>
  <c r="DK52"/>
  <c r="ER114"/>
  <c r="FI41"/>
  <c r="DE158"/>
  <c r="AE11"/>
  <c r="AN152"/>
  <c r="BL60"/>
  <c r="J171"/>
  <c r="CC113"/>
  <c r="Z39"/>
  <c r="DJ167"/>
  <c r="Y128"/>
  <c r="EO39"/>
  <c r="EU29"/>
  <c r="EY92"/>
  <c r="BH149"/>
  <c r="U167"/>
  <c r="FE86"/>
  <c r="DM157"/>
  <c r="FQ22"/>
  <c r="FT175"/>
  <c r="FU142"/>
  <c r="N8"/>
  <c r="DQ114"/>
  <c r="DW96"/>
  <c r="CG45"/>
  <c r="DR163"/>
  <c r="CL44"/>
  <c r="AI26"/>
  <c r="EU115"/>
  <c r="Q76"/>
  <c r="AW23"/>
  <c r="DS8"/>
  <c r="CP102"/>
  <c r="DV98"/>
  <c r="AD52"/>
  <c r="CE27"/>
  <c r="AY166"/>
  <c r="DT107"/>
  <c r="BK65"/>
  <c r="AS31"/>
  <c r="CR55"/>
  <c r="AH9"/>
  <c r="AE13"/>
  <c r="DE39"/>
  <c r="EY176"/>
  <c r="CC120"/>
  <c r="V160"/>
  <c r="CE11"/>
  <c r="CZ96"/>
  <c r="L63"/>
  <c r="EF77"/>
  <c r="FP59"/>
  <c r="ET77"/>
  <c r="AD90"/>
  <c r="EH22"/>
  <c r="EL135"/>
  <c r="AR97"/>
  <c r="CJ27"/>
  <c r="X75"/>
  <c r="BD160"/>
  <c r="R170"/>
  <c r="DM59"/>
  <c r="U36"/>
  <c r="CP156"/>
  <c r="BD173"/>
  <c r="W108"/>
  <c r="ED13"/>
  <c r="BJ37"/>
  <c r="CB3"/>
  <c r="AV105"/>
  <c r="EV84"/>
  <c r="EZ39"/>
  <c r="BC156"/>
  <c r="CG77"/>
  <c r="CV166"/>
  <c r="FR129"/>
  <c r="EX66"/>
  <c r="FL155"/>
  <c r="AJ140"/>
  <c r="DJ170"/>
  <c r="EA118"/>
  <c r="CL29"/>
  <c r="FB128"/>
  <c r="CE23"/>
  <c r="CH110"/>
  <c r="DK24"/>
  <c r="DA161"/>
  <c r="R15"/>
  <c r="AG7"/>
  <c r="CA86"/>
  <c r="EX38"/>
  <c r="CW134"/>
  <c r="DN15"/>
  <c r="DT125"/>
  <c r="O16"/>
  <c r="BU127"/>
  <c r="FB11"/>
  <c r="AN36"/>
  <c r="DI134"/>
  <c r="DG166"/>
  <c r="AB112"/>
  <c r="CD159"/>
  <c r="V104"/>
  <c r="DL104"/>
  <c r="BZ50"/>
  <c r="FS86"/>
  <c r="AB149"/>
  <c r="CX59"/>
  <c r="CB144"/>
  <c r="C151"/>
  <c r="DP166"/>
  <c r="EQ106"/>
  <c r="BH65"/>
  <c r="FK34"/>
  <c r="DT163"/>
  <c r="FP26"/>
  <c r="CK96"/>
  <c r="L151"/>
  <c r="CS159"/>
  <c r="DD106"/>
  <c r="AH102"/>
  <c r="DO8"/>
  <c r="O77"/>
  <c r="DA83"/>
  <c r="CU80"/>
  <c r="DZ70"/>
  <c r="BP22"/>
  <c r="EL70"/>
  <c r="CS161"/>
  <c r="DL52"/>
  <c r="EF37"/>
  <c r="AZ9"/>
  <c r="FK74"/>
  <c r="BV22"/>
  <c r="CA76"/>
  <c r="FP91"/>
  <c r="V11"/>
  <c r="DD65"/>
  <c r="AF50"/>
  <c r="FN78"/>
  <c r="CK107"/>
  <c r="AI11"/>
  <c r="DL105"/>
  <c r="BA108"/>
  <c r="X4"/>
  <c r="C64"/>
  <c r="BR62"/>
  <c r="AJ27"/>
  <c r="FT67"/>
  <c r="EC147"/>
  <c r="FC164"/>
  <c r="BG37"/>
  <c r="DZ102"/>
  <c r="DG13"/>
  <c r="FN105"/>
  <c r="AG19"/>
  <c r="DE124"/>
  <c r="DF57"/>
  <c r="DH12"/>
  <c r="CF101"/>
  <c r="FF82"/>
  <c r="O126"/>
  <c r="EY4"/>
  <c r="EU21"/>
  <c r="BT177"/>
  <c r="EU103"/>
  <c r="BH125"/>
  <c r="F42"/>
  <c r="DD49"/>
  <c r="T27"/>
  <c r="FS36"/>
  <c r="Z160"/>
  <c r="ED112"/>
  <c r="DL130"/>
  <c r="AH91"/>
  <c r="EK14"/>
  <c r="BM127"/>
  <c r="FU82"/>
  <c r="U171"/>
  <c r="BW139"/>
  <c r="EG50"/>
  <c r="CO45"/>
  <c r="BT164"/>
  <c r="ES2"/>
  <c r="D24"/>
  <c r="CA115"/>
  <c r="CS129"/>
  <c r="AO97"/>
  <c r="BU74"/>
  <c r="FF108"/>
  <c r="BB58"/>
  <c r="J132"/>
  <c r="EG102"/>
  <c r="EH146"/>
  <c r="CY157"/>
  <c r="DM17"/>
  <c r="DW164"/>
  <c r="DN86"/>
  <c r="DF106"/>
  <c r="DB3"/>
  <c r="DZ5"/>
  <c r="DT149"/>
  <c r="CP57"/>
  <c r="X124"/>
  <c r="BQ57"/>
  <c r="FJ26"/>
  <c r="BN147"/>
  <c r="D101"/>
  <c r="DE109"/>
  <c r="AB21"/>
  <c r="DB26"/>
  <c r="BK53"/>
  <c r="CK26"/>
  <c r="Y159"/>
  <c r="DK56"/>
  <c r="BR114"/>
  <c r="DR42"/>
  <c r="T142"/>
  <c r="BZ143"/>
  <c r="EE163"/>
  <c r="DE26"/>
  <c r="AP33"/>
  <c r="I131"/>
  <c r="FL77"/>
  <c r="AO143"/>
  <c r="AO79"/>
  <c r="EG97"/>
  <c r="EN123"/>
  <c r="EC53"/>
  <c r="FC176"/>
  <c r="DI45"/>
  <c r="B87"/>
  <c r="DI57"/>
  <c r="T92"/>
  <c r="DG37"/>
  <c r="AA62"/>
  <c r="I30"/>
  <c r="FO93"/>
  <c r="BH156"/>
  <c r="BV67"/>
  <c r="G27"/>
  <c r="DQ77"/>
  <c r="ES58"/>
  <c r="CA30"/>
  <c r="BW63"/>
  <c r="BY147"/>
  <c r="W122"/>
  <c r="T114"/>
  <c r="CM59"/>
  <c r="FJ5"/>
  <c r="BO125"/>
  <c r="BX65"/>
  <c r="FJ52"/>
  <c r="DH101"/>
  <c r="DM32"/>
  <c r="BR120"/>
  <c r="BT136"/>
  <c r="DA171"/>
  <c r="N20"/>
  <c r="S167"/>
  <c r="CG75"/>
  <c r="BJ3"/>
  <c r="X40"/>
  <c r="C111"/>
  <c r="BP54"/>
  <c r="EA57"/>
  <c r="Z165"/>
  <c r="CW158"/>
  <c r="B103"/>
  <c r="BR128"/>
  <c r="DL71"/>
  <c r="DU112"/>
  <c r="BZ119"/>
  <c r="AL174"/>
  <c r="BV171"/>
  <c r="I150"/>
  <c r="BJ109"/>
  <c r="AT79"/>
  <c r="FL43"/>
  <c r="O96"/>
  <c r="CB7"/>
  <c r="AT114"/>
  <c r="FK150"/>
  <c r="CO160"/>
  <c r="AB82"/>
  <c r="FI79"/>
  <c r="BM161"/>
  <c r="EI105"/>
  <c r="EW44"/>
  <c r="DK160"/>
  <c r="I53"/>
  <c r="EV16"/>
  <c r="AB120"/>
  <c r="EA152"/>
  <c r="DZ57"/>
  <c r="BB74"/>
  <c r="BP77"/>
  <c r="EQ76"/>
  <c r="DK53"/>
  <c r="DL96"/>
  <c r="AP144"/>
  <c r="FU49"/>
  <c r="EE170"/>
  <c r="CU99"/>
  <c r="FD44"/>
  <c r="CD26"/>
  <c r="DK148"/>
  <c r="AQ34"/>
  <c r="DU165"/>
  <c r="V86"/>
  <c r="DS109"/>
  <c r="BM134"/>
  <c r="FE78"/>
  <c r="DS156"/>
  <c r="CF73"/>
  <c r="FP156"/>
  <c r="FI31"/>
  <c r="EG38"/>
  <c r="EZ6"/>
  <c r="CL89"/>
  <c r="DB71"/>
  <c r="AT113"/>
  <c r="FN3"/>
  <c r="CL99"/>
  <c r="AZ144"/>
  <c r="BI165"/>
  <c r="DN160"/>
  <c r="CN168"/>
  <c r="BN145"/>
  <c r="EU142"/>
  <c r="FA11"/>
  <c r="V112"/>
  <c r="DE90"/>
  <c r="F162"/>
  <c r="AN158"/>
  <c r="BO61"/>
  <c r="AD64"/>
  <c r="CM14"/>
  <c r="EE65"/>
  <c r="O61"/>
  <c r="BE148"/>
  <c r="EQ116"/>
  <c r="FJ116"/>
  <c r="AT156"/>
  <c r="CZ28"/>
  <c r="F96"/>
  <c r="CZ90"/>
  <c r="BI155"/>
  <c r="EH97"/>
  <c r="BL175"/>
  <c r="BM48"/>
  <c r="CS166"/>
  <c r="CO176"/>
  <c r="AU141"/>
  <c r="AE93"/>
  <c r="EV29"/>
  <c r="CU28"/>
  <c r="DO106"/>
  <c r="BI24"/>
  <c r="J90"/>
  <c r="EG92"/>
  <c r="BI14"/>
  <c r="BA56"/>
  <c r="DB162"/>
  <c r="EK100"/>
  <c r="L11"/>
  <c r="CG166"/>
  <c r="M47"/>
  <c r="AM54"/>
  <c r="EF152"/>
  <c r="R166"/>
  <c r="CG66"/>
  <c r="CP66"/>
  <c r="DV149"/>
  <c r="FV120"/>
  <c r="BW147"/>
  <c r="AV131"/>
  <c r="BU11"/>
  <c r="DD68"/>
  <c r="EP51"/>
  <c r="BO139"/>
  <c r="CF172"/>
  <c r="BE137"/>
  <c r="BE133"/>
  <c r="CM60"/>
  <c r="DV176"/>
  <c r="DI117"/>
  <c r="BH119"/>
  <c r="AM90"/>
  <c r="EU177"/>
  <c r="S89"/>
  <c r="CV107"/>
  <c r="ET166"/>
  <c r="AS120"/>
  <c r="N167"/>
  <c r="DH134"/>
  <c r="AW75"/>
  <c r="DP120"/>
  <c r="FN147"/>
  <c r="EH176"/>
  <c r="AL108"/>
  <c r="AX13"/>
  <c r="FE16"/>
  <c r="J101"/>
  <c r="FP150"/>
  <c r="BT167"/>
  <c r="S136"/>
  <c r="BJ149"/>
  <c r="FT156"/>
  <c r="BR48"/>
  <c r="C86"/>
  <c r="FV68"/>
  <c r="DW13"/>
  <c r="BN90"/>
  <c r="FB45"/>
  <c r="FQ88"/>
  <c r="FJ136"/>
  <c r="CY64"/>
  <c r="CW14"/>
  <c r="Y26"/>
  <c r="O28"/>
  <c r="AS25"/>
  <c r="CJ39"/>
  <c r="EY121"/>
  <c r="DK71"/>
  <c r="EP95"/>
  <c r="FI61"/>
  <c r="EB106"/>
  <c r="FQ101"/>
  <c r="R171"/>
  <c r="FH15"/>
  <c r="FT98"/>
  <c r="AV56"/>
  <c r="BX51"/>
  <c r="E134"/>
  <c r="BA176"/>
  <c r="FT53"/>
  <c r="EO94"/>
  <c r="AA85"/>
  <c r="EQ145"/>
  <c r="BQ145"/>
  <c r="DB145"/>
  <c r="FU163"/>
  <c r="CT148"/>
  <c r="FQ125"/>
  <c r="EM150"/>
  <c r="ER154"/>
  <c r="BG143"/>
  <c r="Q38"/>
  <c r="CV162"/>
  <c r="FR131"/>
  <c r="DM147"/>
  <c r="FA120"/>
  <c r="CL35"/>
  <c r="FA123"/>
  <c r="FF140"/>
  <c r="CX76"/>
  <c r="CR166"/>
  <c r="DH173"/>
  <c r="P90"/>
  <c r="AK48"/>
  <c r="FO178"/>
  <c r="BC38"/>
  <c r="EA55"/>
  <c r="BX135"/>
  <c r="DD89"/>
  <c r="EG159"/>
  <c r="FL46"/>
  <c r="CL134"/>
  <c r="J173"/>
  <c r="CE97"/>
  <c r="F148"/>
  <c r="CW20"/>
  <c r="AQ124"/>
  <c r="FL12"/>
  <c r="AZ159"/>
  <c r="DP47"/>
  <c r="DQ167"/>
  <c r="AF2"/>
  <c r="FM144"/>
  <c r="BH81"/>
  <c r="EX79"/>
  <c r="ER120"/>
  <c r="FB155"/>
  <c r="E42"/>
  <c r="FP65"/>
  <c r="BF169"/>
  <c r="EH21"/>
  <c r="BT83"/>
  <c r="DA81"/>
  <c r="E71"/>
  <c r="AR124"/>
  <c r="BX139"/>
  <c r="CE32"/>
  <c r="Z147"/>
  <c r="EW104"/>
  <c r="P120"/>
  <c r="DK46"/>
  <c r="CA102"/>
  <c r="EB75"/>
  <c r="EK140"/>
  <c r="BY171"/>
  <c r="J3"/>
  <c r="EC141"/>
  <c r="L53"/>
  <c r="AD79"/>
  <c r="CL121"/>
  <c r="EI167"/>
  <c r="P59"/>
  <c r="V21"/>
  <c r="FF78"/>
  <c r="DJ18"/>
  <c r="N145"/>
  <c r="DX83"/>
  <c r="CH34"/>
  <c r="FS24"/>
  <c r="CM32"/>
  <c r="F105"/>
  <c r="CU168"/>
  <c r="BR73"/>
  <c r="AH5"/>
  <c r="V7"/>
  <c r="AZ149"/>
  <c r="CE163"/>
  <c r="BR9"/>
  <c r="CY34"/>
  <c r="CT39"/>
  <c r="DW29"/>
  <c r="AR177"/>
  <c r="BS137"/>
  <c r="AH45"/>
  <c r="CI112"/>
  <c r="BB144"/>
  <c r="FH22"/>
  <c r="I87"/>
  <c r="DR161"/>
  <c r="EF103"/>
  <c r="FJ176"/>
  <c r="EO153"/>
  <c r="BL53"/>
  <c r="S67"/>
  <c r="BF52"/>
  <c r="ES109"/>
  <c r="Z82"/>
  <c r="EY65"/>
  <c r="H26"/>
  <c r="BH22"/>
  <c r="AP15"/>
  <c r="EL170"/>
  <c r="CI56"/>
  <c r="CR81"/>
  <c r="FQ11"/>
  <c r="CD66"/>
  <c r="CY106"/>
  <c r="BR167"/>
  <c r="AJ91"/>
  <c r="BT118"/>
  <c r="AM118"/>
  <c r="ED125"/>
  <c r="FS27"/>
  <c r="FL69"/>
  <c r="AS41"/>
  <c r="S58"/>
  <c r="X143"/>
  <c r="BW174"/>
  <c r="AJ159"/>
  <c r="AF119"/>
  <c r="FN135"/>
  <c r="FK68"/>
  <c r="EV41"/>
  <c r="BU20"/>
  <c r="O143"/>
  <c r="DW30"/>
  <c r="DG17"/>
  <c r="AQ54"/>
  <c r="AS139"/>
  <c r="EA108"/>
  <c r="FN172"/>
  <c r="EL2"/>
  <c r="EZ97"/>
  <c r="DM80"/>
  <c r="AZ170"/>
  <c r="EZ114"/>
  <c r="AD15"/>
  <c r="FT51"/>
  <c r="FF87"/>
  <c r="EH56"/>
  <c r="CS82"/>
  <c r="EU24"/>
  <c r="M73"/>
  <c r="FE67"/>
  <c r="BJ20"/>
  <c r="AS128"/>
  <c r="BP152"/>
  <c r="I174"/>
  <c r="EB9"/>
  <c r="F38"/>
  <c r="CS50"/>
  <c r="BC160"/>
  <c r="AJ82"/>
  <c r="CJ35"/>
  <c r="AZ26"/>
  <c r="DI128"/>
  <c r="DO131"/>
  <c r="EK80"/>
  <c r="DT4"/>
  <c r="AJ41"/>
  <c r="EX110"/>
  <c r="AW103"/>
  <c r="Z140"/>
  <c r="AB177"/>
  <c r="BR89"/>
  <c r="BS81"/>
  <c r="AE81"/>
  <c r="EY35"/>
  <c r="EC172"/>
  <c r="AB173"/>
  <c r="BX36"/>
  <c r="CQ107"/>
  <c r="AR15"/>
  <c r="EV9"/>
  <c r="FS12"/>
  <c r="BU165"/>
  <c r="C178"/>
  <c r="DC123"/>
  <c r="AY158"/>
  <c r="EC142"/>
  <c r="C114"/>
  <c r="DD154"/>
  <c r="EO13"/>
  <c r="AI33"/>
  <c r="F17"/>
  <c r="AR128"/>
  <c r="K91"/>
  <c r="CM11"/>
  <c r="FN132"/>
  <c r="BI56"/>
  <c r="FR25"/>
  <c r="EE3"/>
  <c r="H122"/>
  <c r="FI129"/>
  <c r="DF164"/>
  <c r="BB86"/>
  <c r="FP130"/>
  <c r="FC51"/>
  <c r="DA8"/>
  <c r="BD151"/>
  <c r="BU115"/>
  <c r="G111"/>
  <c r="EP108"/>
  <c r="V148"/>
  <c r="P66"/>
  <c r="DB22"/>
  <c r="F136"/>
  <c r="BW112"/>
  <c r="M87"/>
  <c r="CB119"/>
  <c r="CA108"/>
  <c r="P109"/>
  <c r="FG131"/>
  <c r="FA135"/>
  <c r="BB38"/>
  <c r="DV173"/>
  <c r="AC59"/>
  <c r="EQ6"/>
  <c r="U53"/>
  <c r="CJ54"/>
  <c r="AF66"/>
  <c r="FA145"/>
  <c r="CA93"/>
  <c r="CU175"/>
  <c r="FB152"/>
  <c r="EQ120"/>
  <c r="CV50"/>
  <c r="EO97"/>
  <c r="AI15"/>
  <c r="CS133"/>
  <c r="FR26"/>
  <c r="AG46"/>
  <c r="BL135"/>
  <c r="FH99"/>
  <c r="FV161"/>
  <c r="CP39"/>
  <c r="CR118"/>
  <c r="AO33"/>
  <c r="BJ56"/>
  <c r="AP176"/>
  <c r="AG166"/>
  <c r="FO114"/>
  <c r="CQ27"/>
  <c r="CT70"/>
  <c r="FV30"/>
  <c r="DJ156"/>
  <c r="EW174"/>
  <c r="BF153"/>
  <c r="CS100"/>
  <c r="CV147"/>
  <c r="BG81"/>
  <c r="DK155"/>
  <c r="FS123"/>
  <c r="O159"/>
  <c r="DW119"/>
  <c r="V96"/>
  <c r="B73"/>
  <c r="AP40"/>
  <c r="CR26"/>
  <c r="DS153"/>
  <c r="AX83"/>
  <c r="X88"/>
  <c r="BY67"/>
  <c r="FO34"/>
  <c r="AI85"/>
  <c r="FN90"/>
  <c r="BB31"/>
  <c r="DZ107"/>
  <c r="AT145"/>
  <c r="DU101"/>
  <c r="DM148"/>
  <c r="DF105"/>
  <c r="AU65"/>
  <c r="DA101"/>
  <c r="CD85"/>
  <c r="AM123"/>
  <c r="DE37"/>
  <c r="R162"/>
  <c r="AR113"/>
  <c r="BU91"/>
  <c r="FB53"/>
  <c r="W64"/>
  <c r="DN174"/>
  <c r="BV115"/>
  <c r="FE64"/>
  <c r="EE90"/>
  <c r="CN50"/>
  <c r="CM88"/>
  <c r="BF50"/>
  <c r="CM175"/>
  <c r="BC117"/>
  <c r="Q108"/>
  <c r="FF5"/>
  <c r="FD150"/>
  <c r="P92"/>
  <c r="DE73"/>
  <c r="BM143"/>
  <c r="AZ58"/>
  <c r="CB169"/>
  <c r="BK14"/>
  <c r="CQ117"/>
  <c r="S124"/>
  <c r="FN106"/>
  <c r="EK57"/>
  <c r="Q59"/>
  <c r="EV159"/>
  <c r="DC84"/>
  <c r="K106"/>
  <c r="Q154"/>
  <c r="FT114"/>
  <c r="N91"/>
  <c r="ET101"/>
  <c r="BA175"/>
  <c r="CT101"/>
  <c r="BQ67"/>
  <c r="BP126"/>
  <c r="EV123"/>
  <c r="E92"/>
  <c r="AN63"/>
  <c r="AQ125"/>
  <c r="M134"/>
  <c r="G110"/>
  <c r="CQ137"/>
  <c r="FF169"/>
  <c r="DU156"/>
  <c r="AA126"/>
  <c r="DL137"/>
  <c r="AU53"/>
  <c r="AN138"/>
  <c r="EP38"/>
  <c r="DU73"/>
  <c r="CC109"/>
  <c r="DB76"/>
  <c r="CG19"/>
  <c r="FH173"/>
  <c r="DZ74"/>
  <c r="DB21"/>
  <c r="EW98"/>
  <c r="EW35"/>
  <c r="CI74"/>
  <c r="BA42"/>
  <c r="G24"/>
  <c r="CP159"/>
  <c r="FN68"/>
  <c r="BL119"/>
  <c r="AI120"/>
  <c r="CY36"/>
  <c r="CW112"/>
  <c r="CN4"/>
  <c r="DX164"/>
  <c r="R108"/>
  <c r="FF109"/>
  <c r="AC123"/>
  <c r="BU31"/>
  <c r="CO177"/>
  <c r="EQ147"/>
  <c r="FK69"/>
  <c r="DH51"/>
  <c r="P13"/>
  <c r="AY85"/>
  <c r="ET149"/>
  <c r="AN92"/>
  <c r="DG142"/>
  <c r="DU99"/>
  <c r="BQ16"/>
  <c r="FU20"/>
  <c r="G37"/>
  <c r="AZ121"/>
  <c r="AG41"/>
  <c r="EG117"/>
  <c r="AI65"/>
  <c r="AP128"/>
  <c r="CI174"/>
  <c r="EC64"/>
  <c r="AP173"/>
  <c r="CD170"/>
  <c r="CP120"/>
  <c r="P4"/>
  <c r="L12"/>
  <c r="AH111"/>
  <c r="CR170"/>
  <c r="DU96"/>
  <c r="CP154"/>
  <c r="CO85"/>
  <c r="BX34"/>
  <c r="EM19"/>
  <c r="DM20"/>
  <c r="CF163"/>
  <c r="CM130"/>
  <c r="DN73"/>
  <c r="EL62"/>
  <c r="ED110"/>
  <c r="BR72"/>
  <c r="FA130"/>
  <c r="BV100"/>
  <c r="EL114"/>
  <c r="AJ84"/>
  <c r="CS10"/>
  <c r="EH177"/>
  <c r="BF61"/>
  <c r="DO31"/>
  <c r="DR144"/>
  <c r="EH101"/>
  <c r="CD147"/>
  <c r="CM112"/>
  <c r="BD32"/>
  <c r="AA74"/>
  <c r="AZ98"/>
  <c r="AC43"/>
  <c r="AT2"/>
  <c r="CP100"/>
  <c r="FN33"/>
  <c r="BZ121"/>
  <c r="DT29"/>
  <c r="CA122"/>
  <c r="J174"/>
  <c r="FA174"/>
  <c r="CD87"/>
  <c r="I46"/>
  <c r="DZ148"/>
  <c r="EF106"/>
  <c r="H40"/>
  <c r="CV44"/>
  <c r="BL176"/>
  <c r="FQ52"/>
  <c r="G46"/>
  <c r="M90"/>
  <c r="DA163"/>
  <c r="AM77"/>
  <c r="AL43"/>
  <c r="EN159"/>
  <c r="FP132"/>
  <c r="EB8"/>
  <c r="BA170"/>
  <c r="O132"/>
  <c r="FT59"/>
  <c r="Z113"/>
  <c r="BX66"/>
  <c r="BZ74"/>
  <c r="G131"/>
  <c r="CH169"/>
  <c r="DH15"/>
  <c r="EY29"/>
  <c r="FG60"/>
  <c r="BV120"/>
  <c r="AO109"/>
  <c r="C116"/>
  <c r="CN172"/>
  <c r="FK43"/>
  <c r="DG47"/>
  <c r="FI46"/>
  <c r="BK130"/>
  <c r="Z49"/>
  <c r="EE17"/>
  <c r="N58"/>
  <c r="ER11"/>
  <c r="DD36"/>
  <c r="EE133"/>
  <c r="O158"/>
  <c r="AJ3"/>
  <c r="N39"/>
  <c r="AI124"/>
  <c r="CO159"/>
  <c r="N110"/>
  <c r="FC36"/>
  <c r="M104"/>
  <c r="DW100"/>
  <c r="BS120"/>
  <c r="FK59"/>
  <c r="BC164"/>
  <c r="FA113"/>
  <c r="K152"/>
  <c r="DX104"/>
  <c r="DK146"/>
  <c r="AI8"/>
  <c r="AF16"/>
  <c r="DY19"/>
  <c r="AP35"/>
  <c r="CV175"/>
  <c r="EY165"/>
  <c r="EV141"/>
  <c r="BC36"/>
  <c r="FR125"/>
  <c r="AI57"/>
  <c r="FA118"/>
  <c r="R148"/>
  <c r="V37"/>
  <c r="I18"/>
  <c r="U48"/>
  <c r="FA80"/>
  <c r="AS18"/>
  <c r="FF166"/>
  <c r="FV142"/>
  <c r="DO122"/>
  <c r="FB159"/>
  <c r="FL143"/>
  <c r="P169"/>
  <c r="AY128"/>
  <c r="U82"/>
  <c r="AL90"/>
  <c r="FD134"/>
  <c r="DP3"/>
  <c r="EK31"/>
  <c r="DT137"/>
  <c r="EJ25"/>
  <c r="CG163"/>
  <c r="CB17"/>
  <c r="DD148"/>
  <c r="BU168"/>
  <c r="CR82"/>
  <c r="AB39"/>
  <c r="N15"/>
  <c r="DH25"/>
  <c r="FQ87"/>
  <c r="AQ164"/>
  <c r="BQ162"/>
  <c r="FJ126"/>
  <c r="BE117"/>
  <c r="FP34"/>
  <c r="BE62"/>
  <c r="BK86"/>
  <c r="Q39"/>
  <c r="AM18"/>
  <c r="BG160"/>
  <c r="EF47"/>
  <c r="FQ83"/>
  <c r="FV166"/>
  <c r="T121"/>
  <c r="EW75"/>
  <c r="CU124"/>
  <c r="EJ134"/>
  <c r="EU121"/>
  <c r="DC89"/>
  <c r="AT22"/>
  <c r="BM133"/>
  <c r="FK54"/>
  <c r="BU71"/>
  <c r="CV23"/>
  <c r="DD9"/>
  <c r="CW31"/>
  <c r="AT124"/>
  <c r="FD140"/>
  <c r="FQ166"/>
  <c r="FG49"/>
  <c r="BY56"/>
  <c r="DP162"/>
  <c r="FQ81"/>
  <c r="C165"/>
  <c r="FI118"/>
  <c r="D139"/>
  <c r="EB45"/>
  <c r="DO169"/>
  <c r="BE114"/>
  <c r="BP136"/>
  <c r="BK140"/>
  <c r="F66"/>
  <c r="EV52"/>
  <c r="EU105"/>
  <c r="EV100"/>
  <c r="CJ160"/>
  <c r="FC108"/>
  <c r="AI94"/>
  <c r="EQ163"/>
  <c r="DN139"/>
  <c r="DI137"/>
  <c r="CY31"/>
  <c r="P125"/>
  <c r="E91"/>
  <c r="Z29"/>
  <c r="BR10"/>
  <c r="FK100"/>
  <c r="CK115"/>
  <c r="EV127"/>
  <c r="EO42"/>
  <c r="H121"/>
  <c r="BG41"/>
  <c r="CY63"/>
  <c r="S100"/>
  <c r="P141"/>
  <c r="CM80"/>
  <c r="FS35"/>
  <c r="V110"/>
  <c r="BU122"/>
  <c r="CM161"/>
  <c r="DL125"/>
  <c r="J122"/>
  <c r="AB129"/>
  <c r="FK143"/>
  <c r="Y75"/>
  <c r="DA22"/>
  <c r="CB80"/>
  <c r="BR170"/>
  <c r="AJ36"/>
  <c r="DJ136"/>
  <c r="EB94"/>
  <c r="FM60"/>
  <c r="CC47"/>
  <c r="EO130"/>
  <c r="FI55"/>
  <c r="X34"/>
  <c r="T175"/>
  <c r="FU41"/>
  <c r="AM174"/>
  <c r="C144"/>
  <c r="F95"/>
  <c r="FP18"/>
  <c r="FG105"/>
  <c r="DV163"/>
  <c r="BB102"/>
  <c r="BI82"/>
  <c r="CS48"/>
  <c r="DV47"/>
  <c r="AF147"/>
  <c r="AU91"/>
  <c r="BN72"/>
  <c r="AD29"/>
  <c r="E172"/>
  <c r="BL144"/>
  <c r="H64"/>
  <c r="CZ92"/>
  <c r="AN87"/>
  <c r="AS64"/>
  <c r="EL150"/>
  <c r="CF135"/>
  <c r="CV160"/>
  <c r="DO150"/>
  <c r="EV59"/>
  <c r="DZ155"/>
  <c r="D146"/>
  <c r="FS162"/>
  <c r="U128"/>
  <c r="U84"/>
  <c r="AR141"/>
  <c r="R104"/>
  <c r="CI37"/>
  <c r="F123"/>
  <c r="Y174"/>
  <c r="AV49"/>
  <c r="AE56"/>
  <c r="CT35"/>
  <c r="AC109"/>
  <c r="DW106"/>
  <c r="ER83"/>
  <c r="BK3"/>
  <c r="CZ38"/>
  <c r="FP111"/>
  <c r="BT162"/>
  <c r="BM126"/>
  <c r="AJ59"/>
  <c r="T170"/>
  <c r="BL18"/>
  <c r="CX38"/>
  <c r="FK19"/>
  <c r="FQ28"/>
  <c r="FH71"/>
  <c r="AN156"/>
  <c r="BT18"/>
  <c r="FG99"/>
  <c r="AQ123"/>
  <c r="AV17"/>
  <c r="EQ40"/>
  <c r="AR135"/>
  <c r="AY57"/>
  <c r="EJ27"/>
  <c r="EW178"/>
  <c r="EE124"/>
  <c r="S9"/>
  <c r="FV80"/>
  <c r="DT156"/>
  <c r="AH74"/>
  <c r="CM85"/>
  <c r="BT47"/>
  <c r="BC79"/>
  <c r="BS19"/>
  <c r="BB109"/>
  <c r="CJ99"/>
  <c r="EM141"/>
  <c r="DH87"/>
  <c r="BH4"/>
  <c r="AQ110"/>
  <c r="DN87"/>
  <c r="EA178"/>
  <c r="Z158"/>
  <c r="CE12"/>
  <c r="CJ147"/>
  <c r="EO176"/>
  <c r="DV39"/>
  <c r="EK139"/>
  <c r="U149"/>
  <c r="AI4"/>
  <c r="BZ15"/>
  <c r="G9"/>
  <c r="L4"/>
  <c r="FK162"/>
  <c r="DG46"/>
  <c r="BL137"/>
  <c r="EO53"/>
  <c r="FC146"/>
  <c r="L61"/>
  <c r="AP23"/>
  <c r="DF49"/>
  <c r="M72"/>
  <c r="CT105"/>
  <c r="FT109"/>
  <c r="CR167"/>
  <c r="FV159"/>
  <c r="FF124"/>
  <c r="P168"/>
  <c r="BS11"/>
  <c r="CO152"/>
  <c r="J52"/>
  <c r="FQ172"/>
  <c r="EV40"/>
  <c r="ER40"/>
  <c r="BW78"/>
  <c r="DK175"/>
  <c r="CV102"/>
  <c r="FT35"/>
  <c r="AD161"/>
  <c r="EW176"/>
  <c r="AX153"/>
  <c r="EF27"/>
  <c r="CF35"/>
  <c r="EN91"/>
  <c r="AG5"/>
  <c r="AX52"/>
  <c r="DO55"/>
  <c r="I82"/>
  <c r="AR22"/>
  <c r="B141"/>
  <c r="AE151"/>
  <c r="BX44"/>
  <c r="M42"/>
  <c r="CU158"/>
  <c r="DJ4"/>
  <c r="CG164"/>
  <c r="DB112"/>
  <c r="CN130"/>
  <c r="BD130"/>
  <c r="AO158"/>
  <c r="AG145"/>
  <c r="CB120"/>
  <c r="DY43"/>
  <c r="BJ69"/>
  <c r="DW116"/>
  <c r="BE172"/>
  <c r="EV108"/>
  <c r="CI102"/>
  <c r="DV38"/>
  <c r="BH76"/>
  <c r="AA70"/>
  <c r="FI80"/>
  <c r="V176"/>
  <c r="BH26"/>
  <c r="E85"/>
  <c r="DV28"/>
  <c r="EH71"/>
  <c r="AZ33"/>
  <c r="T80"/>
  <c r="BR83"/>
  <c r="EB99"/>
  <c r="FD2"/>
  <c r="H81"/>
  <c r="DL53"/>
  <c r="FQ34"/>
  <c r="DW67"/>
  <c r="FJ145"/>
  <c r="V97"/>
  <c r="CF95"/>
  <c r="S76"/>
  <c r="FS99"/>
  <c r="BO149"/>
  <c r="EM63"/>
  <c r="BV170"/>
  <c r="FL72"/>
  <c r="BB119"/>
  <c r="EF122"/>
  <c r="AK24"/>
  <c r="DN97"/>
  <c r="FO57"/>
  <c r="EI16"/>
  <c r="BY97"/>
  <c r="T2"/>
  <c r="Y161"/>
  <c r="DV84"/>
  <c r="FV13"/>
  <c r="AC70"/>
  <c r="CR92"/>
  <c r="CQ50"/>
  <c r="AG77"/>
  <c r="BB131"/>
  <c r="BX145"/>
  <c r="FT118"/>
  <c r="EX74"/>
  <c r="FC77"/>
  <c r="FN133"/>
  <c r="EJ26"/>
  <c r="AQ95"/>
  <c r="AE177"/>
  <c r="L87"/>
  <c r="AD170"/>
  <c r="EP45"/>
  <c r="DL7"/>
  <c r="AY42"/>
  <c r="BG144"/>
  <c r="AL93"/>
  <c r="EK7"/>
  <c r="DT123"/>
  <c r="BZ175"/>
  <c r="BI48"/>
  <c r="DA151"/>
  <c r="EU151"/>
  <c r="X68"/>
  <c r="FI109"/>
  <c r="BN155"/>
  <c r="FG71"/>
  <c r="FH109"/>
  <c r="BL4"/>
  <c r="DW165"/>
  <c r="BI166"/>
  <c r="CB164"/>
  <c r="EL82"/>
  <c r="EN118"/>
  <c r="AB115"/>
  <c r="EP118"/>
  <c r="DS131"/>
  <c r="CN107"/>
  <c r="DF13"/>
  <c r="AL101"/>
  <c r="AV134"/>
  <c r="AH53"/>
  <c r="CZ39"/>
  <c r="AR58"/>
  <c r="DA102"/>
  <c r="CI121"/>
  <c r="S170"/>
  <c r="DV123"/>
  <c r="BO177"/>
  <c r="DT47"/>
  <c r="FH21"/>
  <c r="BN52"/>
  <c r="F62"/>
  <c r="CJ178"/>
  <c r="CK36"/>
  <c r="AN49"/>
  <c r="C8"/>
  <c r="EX89"/>
  <c r="AH159"/>
  <c r="CL136"/>
  <c r="M117"/>
  <c r="V143"/>
  <c r="AF145"/>
  <c r="DN133"/>
  <c r="CM73"/>
  <c r="CJ148"/>
  <c r="M75"/>
  <c r="M174"/>
  <c r="FU159"/>
  <c r="AB102"/>
  <c r="DX41"/>
  <c r="AU64"/>
  <c r="CH122"/>
  <c r="M108"/>
  <c r="BA121"/>
  <c r="F121"/>
  <c r="FO102"/>
  <c r="AD138"/>
  <c r="DG7"/>
  <c r="EX177"/>
  <c r="CL107"/>
  <c r="EL141"/>
  <c r="CD5"/>
  <c r="DP155"/>
  <c r="FJ112"/>
  <c r="BW80"/>
  <c r="BJ82"/>
  <c r="FM78"/>
  <c r="EG137"/>
  <c r="BD46"/>
  <c r="AH54"/>
  <c r="AB151"/>
  <c r="AO112"/>
  <c r="CV112"/>
  <c r="CQ23"/>
  <c r="G154"/>
  <c r="BO122"/>
  <c r="EJ162"/>
  <c r="DP39"/>
  <c r="T9"/>
  <c r="CR35"/>
  <c r="BR109"/>
  <c r="CQ111"/>
  <c r="EL65"/>
  <c r="EW30"/>
  <c r="CH115"/>
  <c r="BZ6"/>
  <c r="BS147"/>
  <c r="CB136"/>
  <c r="FC38"/>
  <c r="FF59"/>
  <c r="AW152"/>
  <c r="FK116"/>
  <c r="BX175"/>
  <c r="FI49"/>
  <c r="CH109"/>
  <c r="G73"/>
  <c r="AM17"/>
  <c r="AP12"/>
  <c r="AR70"/>
  <c r="EY110"/>
  <c r="BL37"/>
  <c r="AI151"/>
  <c r="DN173"/>
  <c r="AC151"/>
  <c r="EU83"/>
  <c r="FL129"/>
  <c r="BN104"/>
  <c r="FQ113"/>
  <c r="DW50"/>
  <c r="CX128"/>
  <c r="AY177"/>
  <c r="DO22"/>
  <c r="EK170"/>
  <c r="BB105"/>
  <c r="AO121"/>
  <c r="DA30"/>
  <c r="X24"/>
  <c r="M30"/>
  <c r="DX81"/>
  <c r="L133"/>
  <c r="CQ97"/>
  <c r="L35"/>
  <c r="BB96"/>
  <c r="EE5"/>
  <c r="DM94"/>
  <c r="Y47"/>
  <c r="S152"/>
  <c r="BM131"/>
  <c r="FF171"/>
  <c r="DB85"/>
  <c r="ES40"/>
  <c r="U42"/>
  <c r="M18"/>
  <c r="J40"/>
  <c r="CG81"/>
  <c r="BE153"/>
  <c r="CY149"/>
  <c r="BH49"/>
  <c r="BR129"/>
  <c r="N73"/>
  <c r="FE70"/>
  <c r="FM173"/>
  <c r="DG172"/>
  <c r="FV110"/>
  <c r="FO42"/>
  <c r="FF175"/>
  <c r="CM132"/>
  <c r="CN174"/>
  <c r="FO135"/>
  <c r="M146"/>
  <c r="CM163"/>
  <c r="CY22"/>
  <c r="BK15"/>
  <c r="BW17"/>
  <c r="CL62"/>
  <c r="X70"/>
  <c r="BW98"/>
  <c r="BX50"/>
  <c r="FH84"/>
  <c r="FV3"/>
  <c r="Q13"/>
  <c r="W161"/>
  <c r="EE61"/>
  <c r="EN64"/>
  <c r="BL134"/>
  <c r="ED100"/>
  <c r="DS71"/>
  <c r="EK123"/>
  <c r="BA101"/>
  <c r="S160"/>
  <c r="BY4"/>
  <c r="ES123"/>
  <c r="EP89"/>
  <c r="FF102"/>
  <c r="FV4"/>
  <c r="CQ132"/>
  <c r="EK149"/>
  <c r="U49"/>
  <c r="AL64"/>
  <c r="AD172"/>
  <c r="FQ50"/>
  <c r="M172"/>
  <c r="FH56"/>
  <c r="EG176"/>
  <c r="J127"/>
  <c r="BZ176"/>
  <c r="CU12"/>
  <c r="BG148"/>
  <c r="CN20"/>
  <c r="Y60"/>
  <c r="FR165"/>
  <c r="FD91"/>
  <c r="BC64"/>
  <c r="FP8"/>
  <c r="CR153"/>
  <c r="K120"/>
  <c r="FN161"/>
  <c r="H112"/>
  <c r="EH140"/>
  <c r="EG114"/>
  <c r="CD31"/>
  <c r="EH173"/>
  <c r="DU55"/>
  <c r="DF92"/>
  <c r="I57"/>
  <c r="AX73"/>
  <c r="EB13"/>
  <c r="EB163"/>
  <c r="FU72"/>
  <c r="CL83"/>
  <c r="EO5"/>
  <c r="FC33"/>
  <c r="BL118"/>
  <c r="FQ29"/>
  <c r="FO169"/>
  <c r="W149"/>
  <c r="CF106"/>
  <c r="BO108"/>
  <c r="AX40"/>
  <c r="FP157"/>
  <c r="BO38"/>
  <c r="W26"/>
  <c r="FE177"/>
  <c r="AA108"/>
  <c r="EC149"/>
  <c r="EM11"/>
  <c r="N150"/>
  <c r="M65"/>
  <c r="BB54"/>
  <c r="V80"/>
  <c r="BU63"/>
  <c r="DR74"/>
  <c r="CP158"/>
  <c r="DK161"/>
  <c r="BX61"/>
  <c r="AQ87"/>
  <c r="EF40"/>
  <c r="AX111"/>
  <c r="BH169"/>
  <c r="FT97"/>
  <c r="AB35"/>
  <c r="CP171"/>
  <c r="DV102"/>
  <c r="BK113"/>
  <c r="DR61"/>
  <c r="EF166"/>
  <c r="CM133"/>
  <c r="CG14"/>
  <c r="FS52"/>
  <c r="AN170"/>
  <c r="DN119"/>
  <c r="EF6"/>
  <c r="AB139"/>
  <c r="CP126"/>
  <c r="AO29"/>
  <c r="AY10"/>
  <c r="E9"/>
  <c r="BF133"/>
  <c r="EJ124"/>
  <c r="CJ141"/>
  <c r="FP120"/>
  <c r="BP61"/>
  <c r="FU6"/>
  <c r="DI159"/>
  <c r="E80"/>
  <c r="T51"/>
  <c r="DE21"/>
  <c r="CM139"/>
  <c r="BZ68"/>
  <c r="BI132"/>
  <c r="BF35"/>
  <c r="CY9"/>
  <c r="EA95"/>
  <c r="CV110"/>
  <c r="N37"/>
  <c r="S123"/>
  <c r="DE165"/>
  <c r="BK59"/>
  <c r="BP120"/>
  <c r="AQ142"/>
  <c r="CS40"/>
  <c r="CS71"/>
  <c r="DX162"/>
  <c r="AT48"/>
  <c r="DF121"/>
  <c r="B115"/>
  <c r="AD154"/>
  <c r="BF116"/>
  <c r="EJ170"/>
  <c r="EV94"/>
  <c r="FE160"/>
  <c r="EV77"/>
  <c r="FS132"/>
  <c r="AM125"/>
  <c r="FR96"/>
  <c r="FV130"/>
  <c r="CU169"/>
  <c r="EL45"/>
  <c r="DZ143"/>
  <c r="AF113"/>
  <c r="FH105"/>
  <c r="AW133"/>
  <c r="CS17"/>
  <c r="C38"/>
  <c r="AV112"/>
  <c r="AT26"/>
  <c r="FO145"/>
  <c r="CH22"/>
  <c r="CY11"/>
  <c r="AP29"/>
  <c r="BP113"/>
  <c r="CJ163"/>
  <c r="O170"/>
  <c r="CC177"/>
  <c r="BV167"/>
  <c r="DV74"/>
  <c r="EU117"/>
  <c r="AA129"/>
  <c r="BM172"/>
  <c r="BL80"/>
  <c r="DY28"/>
  <c r="EV139"/>
  <c r="DZ30"/>
  <c r="BE125"/>
  <c r="DW176"/>
  <c r="DP141"/>
  <c r="ES122"/>
  <c r="ES168"/>
  <c r="EO177"/>
  <c r="EZ87"/>
  <c r="R76"/>
  <c r="BH164"/>
  <c r="BD100"/>
  <c r="FB119"/>
  <c r="Z63"/>
  <c r="DQ103"/>
  <c r="CQ138"/>
  <c r="EU101"/>
  <c r="FN95"/>
  <c r="FQ131"/>
  <c r="FF33"/>
  <c r="FS64"/>
  <c r="Z31"/>
  <c r="AD31"/>
  <c r="EF13"/>
  <c r="BQ61"/>
  <c r="DM10"/>
  <c r="BL26"/>
  <c r="CZ114"/>
  <c r="BL77"/>
  <c r="AE62"/>
  <c r="EJ177"/>
  <c r="BL104"/>
  <c r="BF10"/>
  <c r="AW78"/>
  <c r="AY87"/>
  <c r="AF62"/>
  <c r="EO92"/>
  <c r="AN67"/>
  <c r="CE130"/>
  <c r="BO60"/>
  <c r="K49"/>
  <c r="BU72"/>
  <c r="R90"/>
  <c r="FV100"/>
  <c r="G87"/>
  <c r="EC123"/>
  <c r="CI89"/>
  <c r="FP83"/>
  <c r="CI87"/>
  <c r="BG83"/>
  <c r="CR24"/>
  <c r="DF65"/>
  <c r="EG91"/>
  <c r="AM150"/>
  <c r="AM97"/>
  <c r="CJ10"/>
  <c r="AQ23"/>
  <c r="DT41"/>
  <c r="DV153"/>
  <c r="X103"/>
  <c r="EM4"/>
  <c r="EL51"/>
  <c r="DY32"/>
  <c r="EN13"/>
  <c r="BG29"/>
  <c r="BL145"/>
  <c r="EG27"/>
  <c r="DC114"/>
  <c r="AU117"/>
  <c r="AK64"/>
  <c r="CE176"/>
  <c r="CE105"/>
  <c r="CE132"/>
  <c r="O129"/>
  <c r="C102"/>
  <c r="FO116"/>
  <c r="AX49"/>
  <c r="BR28"/>
  <c r="DJ84"/>
  <c r="AF166"/>
  <c r="BZ134"/>
  <c r="H39"/>
  <c r="CA153"/>
  <c r="AU147"/>
  <c r="BX82"/>
  <c r="CS83"/>
  <c r="L152"/>
  <c r="EH126"/>
  <c r="AF146"/>
  <c r="DW34"/>
  <c r="CV73"/>
  <c r="DU129"/>
  <c r="EH20"/>
  <c r="CV14"/>
  <c r="AR37"/>
  <c r="AT175"/>
  <c r="CB30"/>
  <c r="AY92"/>
  <c r="U152"/>
  <c r="DM109"/>
  <c r="EQ51"/>
  <c r="C175"/>
  <c r="AK55"/>
  <c r="FL44"/>
  <c r="FT37"/>
  <c r="DW58"/>
  <c r="DO130"/>
  <c r="CP2"/>
  <c r="DI116"/>
  <c r="EZ168"/>
  <c r="FO43"/>
  <c r="FA119"/>
  <c r="CZ158"/>
  <c r="FP58"/>
  <c r="DK97"/>
  <c r="BG27"/>
  <c r="DV116"/>
  <c r="EH29"/>
  <c r="DN100"/>
  <c r="CQ94"/>
  <c r="AO165"/>
  <c r="CX41"/>
  <c r="FC11"/>
  <c r="FJ29"/>
  <c r="AN86"/>
  <c r="M137"/>
  <c r="AX155"/>
  <c r="DA178"/>
  <c r="DS177"/>
  <c r="EP171"/>
  <c r="DX13"/>
  <c r="DI75"/>
  <c r="EQ62"/>
  <c r="EF163"/>
  <c r="BP111"/>
  <c r="AA63"/>
  <c r="BZ76"/>
  <c r="FF93"/>
  <c r="CZ59"/>
  <c r="EF5"/>
  <c r="CN106"/>
  <c r="CP123"/>
  <c r="FH2"/>
  <c r="BI162"/>
  <c r="X150"/>
  <c r="CS2"/>
  <c r="EO81"/>
  <c r="BX90"/>
  <c r="CL137"/>
  <c r="AZ8"/>
  <c r="AI99"/>
  <c r="E78"/>
  <c r="CK165"/>
  <c r="BA94"/>
  <c r="CV43"/>
  <c r="DW81"/>
  <c r="T120"/>
  <c r="DU13"/>
  <c r="R123"/>
  <c r="FI156"/>
  <c r="BH51"/>
  <c r="EL27"/>
  <c r="DI12"/>
  <c r="FB161"/>
  <c r="CK20"/>
  <c r="BI40"/>
  <c r="U31"/>
  <c r="BT68"/>
  <c r="DZ31"/>
  <c r="ER96"/>
  <c r="BO151"/>
  <c r="DS28"/>
  <c r="CR53"/>
  <c r="EY164"/>
  <c r="EO112"/>
  <c r="BE26"/>
  <c r="DC53"/>
  <c r="AQ109"/>
  <c r="AH68"/>
  <c r="EK153"/>
  <c r="BH97"/>
  <c r="DX151"/>
  <c r="BP53"/>
  <c r="BA45"/>
  <c r="FD149"/>
  <c r="DQ92"/>
  <c r="H97"/>
  <c r="BH118"/>
  <c r="U58"/>
  <c r="R30"/>
  <c r="B125"/>
  <c r="EC151"/>
  <c r="EK161"/>
  <c r="CO40"/>
  <c r="EM62"/>
  <c r="AH43"/>
  <c r="J140"/>
  <c r="BY117"/>
  <c r="CC58"/>
  <c r="AL88"/>
  <c r="BI72"/>
  <c r="FS154"/>
  <c r="EX53"/>
  <c r="DW12"/>
  <c r="FP144"/>
  <c r="CU54"/>
  <c r="FN119"/>
  <c r="AJ153"/>
  <c r="FE136"/>
  <c r="DK128"/>
  <c r="FS83"/>
  <c r="AF92"/>
  <c r="BV151"/>
  <c r="FN76"/>
  <c r="DD5"/>
  <c r="CY124"/>
  <c r="N161"/>
  <c r="BQ111"/>
  <c r="I72"/>
  <c r="AL111"/>
  <c r="AJ29"/>
  <c r="AU116"/>
  <c r="AP22"/>
  <c r="CH175"/>
  <c r="AQ144"/>
  <c r="DB175"/>
  <c r="CX21"/>
  <c r="CV39"/>
  <c r="FL169"/>
  <c r="DK142"/>
  <c r="ES147"/>
  <c r="DM37"/>
  <c r="CE88"/>
  <c r="CI66"/>
  <c r="AW58"/>
  <c r="DO120"/>
  <c r="BF123"/>
  <c r="L22"/>
  <c r="O92"/>
  <c r="P61"/>
  <c r="AL55"/>
  <c r="EM103"/>
  <c r="BC123"/>
  <c r="AZ50"/>
  <c r="BD146"/>
  <c r="FS133"/>
  <c r="BJ97"/>
  <c r="EB78"/>
  <c r="B3"/>
  <c r="DH75"/>
  <c r="EQ94"/>
  <c r="DS52"/>
  <c r="DD27"/>
  <c r="ER95"/>
  <c r="EA50"/>
  <c r="DD95"/>
  <c r="AS46"/>
  <c r="FS84"/>
  <c r="AP86"/>
  <c r="FU148"/>
  <c r="AT61"/>
  <c r="DM41"/>
  <c r="DT143"/>
  <c r="CH2"/>
  <c r="EA121"/>
  <c r="AS129"/>
  <c r="AL37"/>
  <c r="EG107"/>
  <c r="DK151"/>
  <c r="DD146"/>
  <c r="AC83"/>
  <c r="CI23"/>
  <c r="CN155"/>
  <c r="BZ137"/>
  <c r="P95"/>
  <c r="CD65"/>
  <c r="EF150"/>
  <c r="DO137"/>
  <c r="FB138"/>
  <c r="CD47"/>
  <c r="BY16"/>
  <c r="BJ118"/>
  <c r="AO127"/>
  <c r="AC178"/>
  <c r="T117"/>
  <c r="CY33"/>
  <c r="CX171"/>
  <c r="AK102"/>
  <c r="BO55"/>
  <c r="EV118"/>
  <c r="ER91"/>
  <c r="CE74"/>
  <c r="Z152"/>
  <c r="EA4"/>
  <c r="DO63"/>
  <c r="H11"/>
  <c r="CS68"/>
  <c r="ER115"/>
  <c r="BQ22"/>
  <c r="FQ174"/>
  <c r="Y73"/>
  <c r="BG154"/>
  <c r="BK7"/>
  <c r="BC91"/>
  <c r="FA95"/>
  <c r="AZ162"/>
  <c r="CL40"/>
  <c r="L10"/>
  <c r="CK97"/>
  <c r="CZ125"/>
  <c r="EO38"/>
  <c r="EH103"/>
  <c r="AV142"/>
  <c r="FQ62"/>
  <c r="AB11"/>
  <c r="AV20"/>
  <c r="EN77"/>
  <c r="DJ113"/>
  <c r="EZ134"/>
  <c r="FU30"/>
  <c r="CS51"/>
  <c r="FN88"/>
  <c r="EM116"/>
  <c r="AT69"/>
  <c r="E22"/>
  <c r="F106"/>
  <c r="BU67"/>
  <c r="AB125"/>
  <c r="O157"/>
  <c r="BE53"/>
  <c r="CW21"/>
  <c r="DN89"/>
  <c r="EQ160"/>
  <c r="CS157"/>
  <c r="BG33"/>
  <c r="ET134"/>
  <c r="BB81"/>
  <c r="K175"/>
  <c r="AS97"/>
  <c r="EL160"/>
  <c r="EB111"/>
  <c r="DP33"/>
  <c r="CI113"/>
  <c r="CG157"/>
  <c r="BV109"/>
  <c r="AT128"/>
  <c r="DP174"/>
  <c r="AV64"/>
  <c r="FS100"/>
  <c r="BZ27"/>
  <c r="CT9"/>
  <c r="DJ43"/>
  <c r="FD160"/>
  <c r="BG167"/>
  <c r="BX63"/>
  <c r="EP103"/>
  <c r="I116"/>
  <c r="AZ71"/>
  <c r="CO70"/>
  <c r="AV53"/>
  <c r="FK58"/>
  <c r="ED16"/>
  <c r="DH69"/>
  <c r="CK102"/>
  <c r="DV55"/>
  <c r="X55"/>
  <c r="CU57"/>
  <c r="EH57"/>
  <c r="BF42"/>
  <c r="AI105"/>
  <c r="AD149"/>
  <c r="FP176"/>
  <c r="BO34"/>
  <c r="AM133"/>
  <c r="AY89"/>
  <c r="AT109"/>
  <c r="EQ175"/>
  <c r="BY24"/>
  <c r="CR113"/>
  <c r="T91"/>
  <c r="CI107"/>
  <c r="DW90"/>
  <c r="BH80"/>
  <c r="FL158"/>
  <c r="G139"/>
  <c r="BL130"/>
  <c r="CW76"/>
  <c r="FO148"/>
  <c r="CN24"/>
  <c r="AM56"/>
  <c r="EH90"/>
  <c r="AE64"/>
  <c r="AZ46"/>
  <c r="CP157"/>
  <c r="AD91"/>
  <c r="EY12"/>
  <c r="FL36"/>
  <c r="BY28"/>
  <c r="CO170"/>
  <c r="BF106"/>
  <c r="DJ86"/>
  <c r="CK103"/>
  <c r="BY123"/>
  <c r="BN171"/>
  <c r="U91"/>
  <c r="CH100"/>
  <c r="ET69"/>
  <c r="BJ72"/>
  <c r="ET75"/>
  <c r="DI158"/>
  <c r="F119"/>
  <c r="CP173"/>
  <c r="BS105"/>
  <c r="CF122"/>
  <c r="CL138"/>
  <c r="AT66"/>
  <c r="FL50"/>
  <c r="CL154"/>
  <c r="DN132"/>
  <c r="FV33"/>
  <c r="BA5"/>
  <c r="DK96"/>
  <c r="FU27"/>
  <c r="BK105"/>
  <c r="BO163"/>
  <c r="W112"/>
  <c r="CV25"/>
  <c r="AL53"/>
  <c r="FH88"/>
  <c r="BK60"/>
  <c r="C158"/>
  <c r="AD133"/>
  <c r="FA46"/>
  <c r="ER175"/>
  <c r="EL99"/>
  <c r="N143"/>
  <c r="CV150"/>
  <c r="CR139"/>
  <c r="BH46"/>
  <c r="BC116"/>
  <c r="EY79"/>
  <c r="DY128"/>
  <c r="ES85"/>
  <c r="E79"/>
  <c r="EZ107"/>
  <c r="BD95"/>
  <c r="CA51"/>
  <c r="EB146"/>
  <c r="FG13"/>
  <c r="AQ118"/>
  <c r="E21"/>
  <c r="AZ91"/>
  <c r="EY99"/>
  <c r="EN37"/>
  <c r="EC25"/>
  <c r="BQ158"/>
  <c r="DS21"/>
  <c r="E163"/>
  <c r="CZ65"/>
  <c r="CO137"/>
  <c r="AY164"/>
  <c r="DD59"/>
  <c r="CC119"/>
  <c r="AB44"/>
  <c r="CR34"/>
  <c r="DX102"/>
  <c r="BC128"/>
  <c r="E6"/>
  <c r="FQ79"/>
  <c r="DI38"/>
  <c r="AJ106"/>
  <c r="AR71"/>
  <c r="W137"/>
  <c r="FP22"/>
  <c r="AS47"/>
  <c r="ET32"/>
  <c r="DS38"/>
  <c r="FL86"/>
  <c r="BT35"/>
  <c r="FS173"/>
  <c r="DU92"/>
  <c r="BF23"/>
  <c r="AA94"/>
  <c r="ED134"/>
  <c r="CB101"/>
  <c r="EY83"/>
  <c r="DZ173"/>
  <c r="AU80"/>
  <c r="FU77"/>
  <c r="FA162"/>
  <c r="M140"/>
  <c r="EQ86"/>
  <c r="BO39"/>
  <c r="AX150"/>
  <c r="ET107"/>
  <c r="EC164"/>
  <c r="BC115"/>
  <c r="DB139"/>
  <c r="AV41"/>
  <c r="AQ65"/>
  <c r="EE44"/>
  <c r="BE126"/>
  <c r="AZ21"/>
  <c r="EA138"/>
  <c r="DM112"/>
  <c r="BX47"/>
  <c r="Y8"/>
  <c r="AD93"/>
  <c r="DG61"/>
  <c r="CD122"/>
  <c r="CA19"/>
  <c r="CT91"/>
  <c r="BZ21"/>
  <c r="FQ114"/>
  <c r="AI154"/>
  <c r="EG51"/>
  <c r="K136"/>
  <c r="CY132"/>
  <c r="J129"/>
  <c r="FM98"/>
  <c r="FB122"/>
  <c r="AC162"/>
  <c r="AU83"/>
  <c r="DC94"/>
  <c r="CL6"/>
  <c r="DK136"/>
  <c r="AW134"/>
  <c r="ET4"/>
  <c r="BB61"/>
  <c r="EL41"/>
  <c r="CJ58"/>
  <c r="Q126"/>
  <c r="X14"/>
  <c r="AV115"/>
  <c r="AJ98"/>
  <c r="CN88"/>
  <c r="BK26"/>
  <c r="EZ35"/>
  <c r="CY28"/>
  <c r="DZ157"/>
  <c r="EJ45"/>
  <c r="J55"/>
  <c r="CY48"/>
  <c r="FR111"/>
  <c r="AM30"/>
  <c r="FQ12"/>
  <c r="BD40"/>
  <c r="CO47"/>
  <c r="AG139"/>
  <c r="L33"/>
  <c r="BT29"/>
  <c r="FB29"/>
  <c r="DN13"/>
  <c r="CH37"/>
  <c r="FU89"/>
  <c r="ET131"/>
  <c r="R16"/>
  <c r="DK63"/>
  <c r="AF30"/>
  <c r="EX111"/>
  <c r="CR14"/>
  <c r="ER137"/>
  <c r="BM156"/>
  <c r="D138"/>
  <c r="C149"/>
  <c r="BP133"/>
  <c r="EA92"/>
  <c r="H7"/>
  <c r="FO9"/>
  <c r="AQ37"/>
  <c r="BL68"/>
  <c r="DW74"/>
  <c r="EP129"/>
  <c r="AD96"/>
  <c r="BI96"/>
  <c r="L157"/>
  <c r="AS145"/>
  <c r="EZ14"/>
  <c r="EP146"/>
  <c r="FC117"/>
  <c r="DC120"/>
  <c r="BA105"/>
  <c r="CH66"/>
  <c r="DR82"/>
  <c r="AX110"/>
  <c r="CU138"/>
  <c r="CU107"/>
  <c r="BX125"/>
  <c r="DH9"/>
  <c r="AZ49"/>
  <c r="BM27"/>
  <c r="DN29"/>
  <c r="FM169"/>
  <c r="FU158"/>
  <c r="FC78"/>
  <c r="BE75"/>
  <c r="AA57"/>
  <c r="AM59"/>
  <c r="FJ17"/>
  <c r="EX34"/>
  <c r="T172"/>
  <c r="CU70"/>
  <c r="DP38"/>
  <c r="DZ112"/>
  <c r="CS145"/>
  <c r="DL50"/>
  <c r="DI171"/>
  <c r="EW93"/>
  <c r="DX147"/>
  <c r="T104"/>
  <c r="BP41"/>
  <c r="DF142"/>
  <c r="AZ97"/>
  <c r="K148"/>
  <c r="ET23"/>
  <c r="FF6"/>
  <c r="BW91"/>
  <c r="B109"/>
  <c r="BX103"/>
  <c r="W75"/>
  <c r="DS168"/>
  <c r="BW59"/>
  <c r="DS134"/>
  <c r="K29"/>
  <c r="K100"/>
  <c r="AC44"/>
  <c r="EK55"/>
  <c r="DD94"/>
  <c r="AN13"/>
  <c r="V55"/>
  <c r="BF60"/>
  <c r="FF101"/>
  <c r="M161"/>
  <c r="AT103"/>
  <c r="AN149"/>
  <c r="AF140"/>
  <c r="ED84"/>
  <c r="T122"/>
  <c r="CV138"/>
  <c r="DV119"/>
  <c r="AJ54"/>
  <c r="AB140"/>
  <c r="FH17"/>
  <c r="DA144"/>
  <c r="EQ55"/>
  <c r="R91"/>
  <c r="DE61"/>
  <c r="DE159"/>
  <c r="FK72"/>
  <c r="EV150"/>
  <c r="AL110"/>
  <c r="CU82"/>
  <c r="EI120"/>
  <c r="DU85"/>
  <c r="EY107"/>
  <c r="DB13"/>
  <c r="FN49"/>
  <c r="EM70"/>
  <c r="CQ147"/>
  <c r="D67"/>
  <c r="AP171"/>
  <c r="N24"/>
  <c r="FT21"/>
  <c r="EE26"/>
  <c r="FN75"/>
  <c r="DW127"/>
  <c r="FB156"/>
  <c r="DX172"/>
  <c r="DR25"/>
  <c r="BF118"/>
  <c r="EU48"/>
  <c r="EY101"/>
  <c r="CO156"/>
  <c r="FO110"/>
  <c r="AS123"/>
  <c r="BW52"/>
  <c r="EC139"/>
  <c r="FM38"/>
  <c r="Q65"/>
  <c r="N76"/>
  <c r="BQ76"/>
  <c r="G12"/>
  <c r="EN3"/>
  <c r="AV123"/>
  <c r="BS82"/>
  <c r="EF126"/>
  <c r="DD38"/>
  <c r="CW72"/>
  <c r="AC132"/>
  <c r="DW105"/>
  <c r="DW117"/>
  <c r="FT87"/>
  <c r="AQ152"/>
  <c r="AH81"/>
  <c r="EJ55"/>
  <c r="CK169"/>
  <c r="EX48"/>
  <c r="DY36"/>
  <c r="CN74"/>
  <c r="CM136"/>
  <c r="D4"/>
  <c r="DE77"/>
  <c r="FL118"/>
  <c r="FE50"/>
  <c r="EU139"/>
  <c r="FO18"/>
  <c r="BA165"/>
  <c r="DF97"/>
  <c r="Q24"/>
  <c r="AP91"/>
  <c r="BQ63"/>
  <c r="BX111"/>
  <c r="EF135"/>
  <c r="DA95"/>
  <c r="AI7"/>
  <c r="EY28"/>
  <c r="FA19"/>
  <c r="EV4"/>
  <c r="F64"/>
  <c r="BZ85"/>
  <c r="DT88"/>
  <c r="FC30"/>
  <c r="EJ83"/>
  <c r="EY136"/>
  <c r="BH75"/>
  <c r="J81"/>
  <c r="AD48"/>
  <c r="BF150"/>
  <c r="BU57"/>
  <c r="AG53"/>
  <c r="EJ68"/>
  <c r="EW29"/>
  <c r="CG62"/>
  <c r="EX68"/>
  <c r="EX160"/>
  <c r="L148"/>
  <c r="CW71"/>
  <c r="N35"/>
  <c r="DZ93"/>
  <c r="BA130"/>
  <c r="EQ122"/>
  <c r="DE98"/>
  <c r="Z60"/>
  <c r="AC32"/>
  <c r="CM121"/>
  <c r="CJ20"/>
  <c r="AD150"/>
  <c r="BF86"/>
  <c r="DU97"/>
  <c r="X62"/>
  <c r="I149"/>
  <c r="FL90"/>
  <c r="C125"/>
  <c r="DF96"/>
  <c r="D83"/>
  <c r="DG132"/>
  <c r="FH158"/>
  <c r="AB91"/>
  <c r="CM135"/>
  <c r="DS166"/>
  <c r="Y86"/>
  <c r="EY60"/>
  <c r="AD151"/>
  <c r="CQ3"/>
  <c r="FR119"/>
  <c r="DL23"/>
  <c r="BA93"/>
  <c r="S41"/>
  <c r="BB91"/>
  <c r="EU130"/>
  <c r="P121"/>
  <c r="EM26"/>
  <c r="BW134"/>
  <c r="G167"/>
  <c r="L81"/>
  <c r="B64"/>
  <c r="EX141"/>
  <c r="CF159"/>
  <c r="T14"/>
  <c r="FQ89"/>
  <c r="DU18"/>
  <c r="DQ74"/>
  <c r="DT138"/>
  <c r="DY52"/>
  <c r="W22"/>
  <c r="AR13"/>
  <c r="CP119"/>
  <c r="EM77"/>
  <c r="DN95"/>
  <c r="CL69"/>
  <c r="Y122"/>
  <c r="AM57"/>
  <c r="AY160"/>
  <c r="FR12"/>
  <c r="BU100"/>
  <c r="EH154"/>
  <c r="CJ149"/>
  <c r="CN86"/>
  <c r="AS144"/>
  <c r="CP115"/>
  <c r="FO19"/>
  <c r="CQ104"/>
  <c r="FG46"/>
  <c r="AH110"/>
  <c r="D134"/>
  <c r="CQ84"/>
  <c r="BQ48"/>
  <c r="BQ142"/>
  <c r="CO174"/>
  <c r="DQ6"/>
  <c r="AS11"/>
  <c r="B143"/>
  <c r="FF91"/>
  <c r="DE62"/>
  <c r="EM132"/>
  <c r="FL57"/>
  <c r="M159"/>
  <c r="EX122"/>
  <c r="FB41"/>
  <c r="V164"/>
  <c r="DE59"/>
  <c r="CX84"/>
  <c r="BU88"/>
  <c r="AR39"/>
  <c r="BU68"/>
  <c r="BW124"/>
  <c r="EM36"/>
  <c r="EE100"/>
  <c r="BE166"/>
  <c r="EP78"/>
  <c r="DU20"/>
  <c r="G166"/>
  <c r="BG38"/>
  <c r="CC27"/>
  <c r="DC76"/>
  <c r="CP8"/>
  <c r="G81"/>
  <c r="DD163"/>
  <c r="FR93"/>
  <c r="FD133"/>
  <c r="AF111"/>
  <c r="FN81"/>
  <c r="BQ125"/>
  <c r="B12"/>
  <c r="DJ153"/>
  <c r="BS101"/>
  <c r="BD96"/>
  <c r="CX5"/>
  <c r="DR169"/>
  <c r="EM38"/>
  <c r="CO132"/>
  <c r="DM122"/>
  <c r="DD167"/>
  <c r="BF66"/>
  <c r="AZ153"/>
  <c r="EV119"/>
  <c r="AP153"/>
  <c r="CA43"/>
  <c r="BC103"/>
  <c r="EM158"/>
  <c r="CH46"/>
  <c r="L140"/>
  <c r="AJ133"/>
  <c r="EQ178"/>
  <c r="DU147"/>
  <c r="Z26"/>
  <c r="FV173"/>
  <c r="FN176"/>
  <c r="ES72"/>
  <c r="BH140"/>
  <c r="B4"/>
  <c r="M148"/>
  <c r="DI31"/>
  <c r="EJ143"/>
  <c r="EO32"/>
  <c r="BB25"/>
  <c r="DA58"/>
  <c r="ER171"/>
  <c r="FU85"/>
  <c r="EH67"/>
  <c r="FI2"/>
  <c r="DJ116"/>
  <c r="I106"/>
  <c r="EM43"/>
  <c r="BQ169"/>
  <c r="BM70"/>
  <c r="FK161"/>
  <c r="DX157"/>
  <c r="DW111"/>
  <c r="I84"/>
  <c r="DI99"/>
  <c r="DT172"/>
  <c r="CL26"/>
  <c r="C83"/>
  <c r="AI121"/>
  <c r="BJ42"/>
  <c r="AW84"/>
  <c r="DB164"/>
  <c r="CE124"/>
  <c r="BA120"/>
  <c r="CY37"/>
  <c r="EG121"/>
  <c r="BV102"/>
  <c r="BF95"/>
  <c r="FM28"/>
  <c r="FP32"/>
  <c r="C28"/>
  <c r="H22"/>
  <c r="BD178"/>
  <c r="AP77"/>
  <c r="FQ118"/>
  <c r="EK148"/>
  <c r="DL120"/>
  <c r="FR30"/>
  <c r="FV117"/>
  <c r="DH131"/>
  <c r="AP58"/>
  <c r="BW61"/>
  <c r="Z169"/>
  <c r="FI157"/>
  <c r="M17"/>
  <c r="CE102"/>
  <c r="BF124"/>
  <c r="J54"/>
  <c r="CG32"/>
  <c r="B150"/>
  <c r="AT168"/>
  <c r="DJ35"/>
  <c r="AH161"/>
  <c r="P134"/>
  <c r="FN175"/>
  <c r="FN83"/>
  <c r="CO77"/>
  <c r="CH154"/>
  <c r="AB122"/>
  <c r="EB152"/>
  <c r="EO49"/>
  <c r="CZ10"/>
  <c r="DA167"/>
  <c r="EU126"/>
  <c r="EP22"/>
  <c r="CZ161"/>
  <c r="FN129"/>
  <c r="EL103"/>
  <c r="BJ59"/>
  <c r="B47"/>
  <c r="DO3"/>
  <c r="EO148"/>
  <c r="CA123"/>
  <c r="Y29"/>
  <c r="BB89"/>
  <c r="BM34"/>
  <c r="DV122"/>
  <c r="EK132"/>
  <c r="FN73"/>
  <c r="DR155"/>
  <c r="BO19"/>
  <c r="EV49"/>
  <c r="DY111"/>
  <c r="CU21"/>
  <c r="CO107"/>
  <c r="CP10"/>
  <c r="BH116"/>
  <c r="FF34"/>
  <c r="CH12"/>
  <c r="FR13"/>
  <c r="B93"/>
  <c r="BU92"/>
  <c r="CW86"/>
  <c r="BO101"/>
  <c r="DE66"/>
  <c r="BC146"/>
  <c r="CQ26"/>
  <c r="CR161"/>
  <c r="EL146"/>
  <c r="J10"/>
  <c r="BS22"/>
  <c r="AD160"/>
  <c r="FG95"/>
  <c r="FB103"/>
  <c r="AI61"/>
  <c r="DP50"/>
  <c r="BT65"/>
  <c r="AN44"/>
  <c r="G157"/>
  <c r="CO25"/>
  <c r="G13"/>
  <c r="EW164"/>
  <c r="BC35"/>
  <c r="FP13"/>
  <c r="DK61"/>
  <c r="CT47"/>
  <c r="F41"/>
  <c r="DN20"/>
  <c r="FM32"/>
  <c r="ES26"/>
  <c r="H93"/>
  <c r="EW159"/>
  <c r="K43"/>
  <c r="BP91"/>
  <c r="CF79"/>
  <c r="BE134"/>
  <c r="EY11"/>
  <c r="ES65"/>
  <c r="AI10"/>
  <c r="CB102"/>
  <c r="DM81"/>
  <c r="FV49"/>
  <c r="F16"/>
  <c r="BH165"/>
  <c r="FF74"/>
  <c r="BA64"/>
  <c r="FN102"/>
  <c r="FM87"/>
  <c r="EP13"/>
  <c r="EK65"/>
  <c r="FI15"/>
  <c r="I113"/>
  <c r="AX124"/>
  <c r="EY93"/>
  <c r="FR141"/>
  <c r="AF98"/>
  <c r="FH116"/>
  <c r="DX101"/>
  <c r="AP66"/>
  <c r="O68"/>
  <c r="T7"/>
  <c r="DK43"/>
  <c r="EW152"/>
  <c r="FE132"/>
  <c r="G109"/>
  <c r="AS153"/>
  <c r="CE111"/>
  <c r="ES124"/>
  <c r="DV90"/>
  <c r="BW12"/>
  <c r="EY81"/>
  <c r="K33"/>
  <c r="AH158"/>
  <c r="FH10"/>
  <c r="AN147"/>
  <c r="DZ140"/>
  <c r="I120"/>
  <c r="EP134"/>
  <c r="DP100"/>
  <c r="CZ137"/>
  <c r="EG56"/>
  <c r="FV60"/>
  <c r="DQ129"/>
  <c r="CX34"/>
  <c r="DC95"/>
  <c r="CL22"/>
  <c r="BC137"/>
  <c r="FG35"/>
  <c r="CH146"/>
  <c r="CD105"/>
  <c r="E90"/>
  <c r="N96"/>
  <c r="F68"/>
  <c r="AD39"/>
  <c r="BV86"/>
  <c r="AV62"/>
  <c r="AR43"/>
  <c r="DJ163"/>
  <c r="BN17"/>
  <c r="BN103"/>
  <c r="DC169"/>
  <c r="DD81"/>
  <c r="FK31"/>
  <c r="CA89"/>
  <c r="AV132"/>
  <c r="EO90"/>
  <c r="EM13"/>
  <c r="BZ106"/>
  <c r="BB66"/>
  <c r="F74"/>
  <c r="BL30"/>
  <c r="FV48"/>
  <c r="BL174"/>
  <c r="BY9"/>
  <c r="CN98"/>
  <c r="H54"/>
  <c r="BP62"/>
  <c r="EY171"/>
  <c r="FU175"/>
  <c r="FM100"/>
  <c r="FE91"/>
  <c r="Y92"/>
  <c r="V137"/>
  <c r="CS90"/>
  <c r="ET87"/>
  <c r="BI110"/>
  <c r="P85"/>
  <c r="AG44"/>
  <c r="EN29"/>
  <c r="FK111"/>
  <c r="CV77"/>
  <c r="BQ103"/>
  <c r="ET41"/>
  <c r="BT82"/>
  <c r="DD150"/>
  <c r="FG38"/>
  <c r="DB119"/>
  <c r="K151"/>
  <c r="CL125"/>
  <c r="AD73"/>
  <c r="DS29"/>
  <c r="EH65"/>
  <c r="CC34"/>
  <c r="BA11"/>
  <c r="CL103"/>
  <c r="BH37"/>
  <c r="EN80"/>
  <c r="DJ150"/>
  <c r="EZ51"/>
  <c r="FT107"/>
  <c r="AV117"/>
  <c r="CW42"/>
  <c r="B94"/>
  <c r="N173"/>
  <c r="BD164"/>
  <c r="BZ18"/>
  <c r="EL115"/>
  <c r="FR172"/>
  <c r="FH54"/>
  <c r="R47"/>
  <c r="CZ133"/>
  <c r="X118"/>
  <c r="FM14"/>
  <c r="V13"/>
  <c r="EJ4"/>
  <c r="DL73"/>
  <c r="DC93"/>
  <c r="AV45"/>
  <c r="AI82"/>
  <c r="BL7"/>
  <c r="DM116"/>
  <c r="AL152"/>
  <c r="D90"/>
  <c r="CG67"/>
  <c r="EV11"/>
  <c r="BJ152"/>
  <c r="EA134"/>
  <c r="BV103"/>
  <c r="DK153"/>
  <c r="X114"/>
  <c r="CT156"/>
  <c r="CV141"/>
  <c r="FC150"/>
  <c r="DJ154"/>
  <c r="EN140"/>
  <c r="AN108"/>
  <c r="DO162"/>
  <c r="Y115"/>
  <c r="CX89"/>
  <c r="EH125"/>
  <c r="DW40"/>
  <c r="BU133"/>
  <c r="BK81"/>
  <c r="FG68"/>
  <c r="DY49"/>
  <c r="BC47"/>
  <c r="BZ9"/>
  <c r="DS161"/>
  <c r="DP76"/>
  <c r="AI41"/>
  <c r="EO156"/>
  <c r="DX20"/>
  <c r="AT44"/>
  <c r="DN71"/>
  <c r="Q52"/>
  <c r="EZ42"/>
  <c r="DM68"/>
  <c r="AP155"/>
  <c r="CO83"/>
  <c r="CY161"/>
  <c r="AP62"/>
  <c r="AJ175"/>
  <c r="EZ124"/>
  <c r="EX87"/>
  <c r="FU141"/>
  <c r="BT113"/>
  <c r="FR122"/>
  <c r="FF110"/>
  <c r="FH152"/>
  <c r="N114"/>
  <c r="FP10"/>
  <c r="R49"/>
  <c r="AB153"/>
  <c r="FL162"/>
  <c r="FN94"/>
  <c r="EQ43"/>
  <c r="AZ111"/>
  <c r="X132"/>
  <c r="BN108"/>
  <c r="BC111"/>
  <c r="FU122"/>
  <c r="CX94"/>
  <c r="BY143"/>
  <c r="FV176"/>
  <c r="AY43"/>
  <c r="FD176"/>
  <c r="CK33"/>
  <c r="AC116"/>
  <c r="DE31"/>
  <c r="Y51"/>
  <c r="CT54"/>
  <c r="DA33"/>
  <c r="DC100"/>
  <c r="EE149"/>
  <c r="BF90"/>
  <c r="FL17"/>
  <c r="CE158"/>
  <c r="BK115"/>
  <c r="D33"/>
  <c r="EK112"/>
  <c r="CA90"/>
  <c r="BE11"/>
  <c r="DM168"/>
  <c r="CK127"/>
  <c r="AV125"/>
  <c r="AP151"/>
  <c r="O119"/>
  <c r="O117"/>
  <c r="X15"/>
  <c r="AG23"/>
  <c r="P29"/>
  <c r="U117"/>
  <c r="DU114"/>
  <c r="V151"/>
  <c r="AS28"/>
  <c r="FP89"/>
  <c r="AV47"/>
  <c r="DV16"/>
  <c r="EH136"/>
  <c r="EY3"/>
  <c r="CB97"/>
  <c r="DT10"/>
  <c r="AF107"/>
  <c r="EI6"/>
  <c r="BN167"/>
  <c r="DC63"/>
  <c r="DZ161"/>
  <c r="C174"/>
  <c r="E122"/>
  <c r="CP75"/>
  <c r="AA156"/>
  <c r="CS47"/>
  <c r="DA60"/>
  <c r="DK107"/>
  <c r="DS40"/>
  <c r="BN94"/>
  <c r="H47"/>
  <c r="EU54"/>
  <c r="BA29"/>
  <c r="AN139"/>
  <c r="FC84"/>
  <c r="CT119"/>
  <c r="CC52"/>
  <c r="EM105"/>
  <c r="EV8"/>
  <c r="DO159"/>
  <c r="BJ101"/>
  <c r="AZ166"/>
  <c r="V154"/>
  <c r="ED66"/>
  <c r="K51"/>
  <c r="EU172"/>
  <c r="DR81"/>
  <c r="AL105"/>
  <c r="DF149"/>
  <c r="CY175"/>
  <c r="CK48"/>
  <c r="W45"/>
  <c r="FK165"/>
  <c r="AT121"/>
  <c r="BD74"/>
  <c r="EZ133"/>
  <c r="EI11"/>
  <c r="BF12"/>
  <c r="BT154"/>
  <c r="EB48"/>
  <c r="CW147"/>
  <c r="FC19"/>
  <c r="DT114"/>
  <c r="AR114"/>
  <c r="DB153"/>
  <c r="AN115"/>
  <c r="BV40"/>
  <c r="CM50"/>
  <c r="AA46"/>
  <c r="L120"/>
  <c r="CZ41"/>
  <c r="M178"/>
  <c r="G56"/>
  <c r="P119"/>
  <c r="FA87"/>
  <c r="AB25"/>
  <c r="DJ79"/>
  <c r="DG105"/>
  <c r="CL76"/>
  <c r="EJ113"/>
  <c r="CG52"/>
  <c r="DU116"/>
  <c r="X104"/>
  <c r="G15"/>
  <c r="M116"/>
  <c r="DY51"/>
  <c r="DG43"/>
  <c r="T71"/>
  <c r="CG39"/>
  <c r="Y67"/>
  <c r="AN5"/>
  <c r="ER64"/>
  <c r="FF56"/>
  <c r="E177"/>
  <c r="ES128"/>
  <c r="FL52"/>
  <c r="DN153"/>
  <c r="EY67"/>
  <c r="BT9"/>
  <c r="Z41"/>
  <c r="EI150"/>
  <c r="BA111"/>
  <c r="BH16"/>
  <c r="CV95"/>
  <c r="AG66"/>
  <c r="CY159"/>
  <c r="AY41"/>
  <c r="DC165"/>
  <c r="FN97"/>
  <c r="BR108"/>
  <c r="AH22"/>
  <c r="AI135"/>
  <c r="K123"/>
  <c r="AH92"/>
  <c r="AB164"/>
  <c r="AD10"/>
  <c r="ER71"/>
  <c r="EN83"/>
  <c r="AP14"/>
  <c r="CN42"/>
  <c r="FM77"/>
  <c r="CP95"/>
  <c r="EY145"/>
  <c r="CG130"/>
  <c r="BJ68"/>
  <c r="EY169"/>
  <c r="FO29"/>
  <c r="BN49"/>
  <c r="DC4"/>
  <c r="CL52"/>
  <c r="CW59"/>
  <c r="BR36"/>
  <c r="AB128"/>
  <c r="AT100"/>
  <c r="EG8"/>
  <c r="CW28"/>
  <c r="AM116"/>
  <c r="R96"/>
  <c r="CQ2"/>
  <c r="FT92"/>
  <c r="BF54"/>
  <c r="FG98"/>
  <c r="CP25"/>
  <c r="DB105"/>
  <c r="N9"/>
  <c r="EH137"/>
  <c r="FN160"/>
  <c r="I163"/>
  <c r="AE17"/>
  <c r="BS100"/>
  <c r="AA107"/>
  <c r="FJ128"/>
  <c r="EG98"/>
  <c r="AS5"/>
  <c r="AB72"/>
  <c r="DY104"/>
  <c r="EA99"/>
  <c r="CL24"/>
  <c r="BE80"/>
  <c r="CS32"/>
  <c r="BE105"/>
  <c r="BG77"/>
  <c r="CN77"/>
  <c r="AS27"/>
  <c r="DD83"/>
  <c r="CC53"/>
  <c r="FM171"/>
  <c r="CR4"/>
  <c r="CT93"/>
  <c r="FF70"/>
  <c r="ED161"/>
  <c r="BX98"/>
  <c r="F132"/>
  <c r="DC91"/>
  <c r="DG104"/>
  <c r="DN80"/>
  <c r="FI83"/>
  <c r="EE111"/>
  <c r="AF5"/>
  <c r="DY25"/>
  <c r="DU10"/>
  <c r="EE36"/>
  <c r="EW128"/>
  <c r="E169"/>
  <c r="CY58"/>
  <c r="FF98"/>
  <c r="FJ148"/>
  <c r="EF95"/>
  <c r="T152"/>
  <c r="DC103"/>
  <c r="DC174"/>
  <c r="FF24"/>
  <c r="DL75"/>
  <c r="AA96"/>
  <c r="AA77"/>
  <c r="BU13"/>
  <c r="AV11"/>
  <c r="DB42"/>
  <c r="EG80"/>
  <c r="EX107"/>
  <c r="DJ172"/>
  <c r="DS65"/>
  <c r="BZ116"/>
  <c r="Z103"/>
  <c r="DR2"/>
  <c r="BK82"/>
  <c r="DZ10"/>
  <c r="L175"/>
  <c r="I33"/>
  <c r="EL122"/>
  <c r="CH151"/>
  <c r="AT159"/>
  <c r="FQ31"/>
  <c r="AM64"/>
  <c r="CM58"/>
  <c r="X145"/>
  <c r="AX41"/>
  <c r="BR159"/>
  <c r="BZ99"/>
  <c r="CR96"/>
  <c r="EM73"/>
  <c r="CW24"/>
  <c r="DR69"/>
  <c r="DB7"/>
  <c r="BL111"/>
  <c r="W118"/>
  <c r="DP54"/>
  <c r="S48"/>
  <c r="CZ69"/>
  <c r="C117"/>
  <c r="BU33"/>
  <c r="AS77"/>
  <c r="BF157"/>
  <c r="FL80"/>
  <c r="DF66"/>
  <c r="ER163"/>
  <c r="CH137"/>
  <c r="AE149"/>
  <c r="CQ136"/>
  <c r="DN67"/>
  <c r="FL76"/>
  <c r="FC16"/>
  <c r="CH57"/>
  <c r="FN26"/>
  <c r="BO148"/>
  <c r="FK146"/>
  <c r="AS22"/>
  <c r="EE161"/>
  <c r="Z76"/>
  <c r="FP115"/>
  <c r="BN65"/>
  <c r="FV152"/>
  <c r="K178"/>
  <c r="S73"/>
  <c r="BJ159"/>
  <c r="BH85"/>
  <c r="DP127"/>
  <c r="D65"/>
  <c r="FF173"/>
  <c r="T17"/>
  <c r="DE12"/>
  <c r="S45"/>
  <c r="J37"/>
  <c r="CE80"/>
  <c r="EK79"/>
  <c r="EO8"/>
  <c r="FC72"/>
  <c r="CK117"/>
  <c r="EW79"/>
  <c r="J146"/>
  <c r="DP126"/>
  <c r="N136"/>
  <c r="BE9"/>
  <c r="FF50"/>
  <c r="BS48"/>
  <c r="DS155"/>
  <c r="DP148"/>
  <c r="BA68"/>
  <c r="CA129"/>
  <c r="DP44"/>
  <c r="DQ166"/>
  <c r="DF160"/>
  <c r="AF142"/>
  <c r="CJ50"/>
  <c r="AV168"/>
  <c r="FJ123"/>
  <c r="BL159"/>
  <c r="DR99"/>
  <c r="AV21"/>
  <c r="DV178"/>
  <c r="AU75"/>
  <c r="BJ151"/>
  <c r="CQ102"/>
  <c r="EA143"/>
  <c r="AL114"/>
  <c r="BS122"/>
  <c r="BO18"/>
  <c r="DN47"/>
  <c r="D20"/>
  <c r="BI12"/>
  <c r="BP78"/>
  <c r="EO166"/>
  <c r="DB141"/>
  <c r="FU171"/>
  <c r="CU37"/>
  <c r="FA115"/>
  <c r="BO135"/>
  <c r="CV27"/>
  <c r="DD61"/>
  <c r="EC48"/>
  <c r="DV109"/>
  <c r="DV22"/>
  <c r="CB36"/>
  <c r="CH91"/>
  <c r="FL29"/>
  <c r="BJ123"/>
  <c r="FB77"/>
  <c r="AT111"/>
  <c r="CC79"/>
  <c r="DD70"/>
  <c r="DK143"/>
  <c r="CM119"/>
  <c r="EU107"/>
  <c r="BC94"/>
  <c r="BX121"/>
  <c r="EF89"/>
  <c r="BR169"/>
  <c r="CF119"/>
  <c r="CN104"/>
  <c r="FI24"/>
  <c r="FR78"/>
  <c r="DC142"/>
  <c r="AO107"/>
  <c r="FM24"/>
  <c r="DF40"/>
  <c r="CC153"/>
  <c r="R11"/>
  <c r="CM147"/>
  <c r="AE68"/>
  <c r="CN91"/>
  <c r="K31"/>
  <c r="AE79"/>
  <c r="BT67"/>
  <c r="BG138"/>
  <c r="BQ28"/>
  <c r="FH73"/>
  <c r="T169"/>
  <c r="D156"/>
  <c r="BH82"/>
  <c r="CW84"/>
  <c r="E139"/>
  <c r="D112"/>
  <c r="I67"/>
  <c r="BY22"/>
  <c r="AB85"/>
  <c r="BO68"/>
  <c r="BX162"/>
  <c r="DB133"/>
  <c r="BY89"/>
  <c r="BD55"/>
  <c r="CE46"/>
  <c r="EL59"/>
  <c r="BY161"/>
  <c r="BJ100"/>
  <c r="CH153"/>
  <c r="S134"/>
  <c r="BK122"/>
  <c r="EX165"/>
  <c r="AH151"/>
  <c r="AU170"/>
  <c r="Y105"/>
  <c r="BR56"/>
  <c r="AL31"/>
  <c r="CD40"/>
  <c r="EJ32"/>
  <c r="CF29"/>
  <c r="FT55"/>
  <c r="BN106"/>
  <c r="EW61"/>
  <c r="FC3"/>
  <c r="DH165"/>
  <c r="CW34"/>
  <c r="AX82"/>
  <c r="BN116"/>
  <c r="DS82"/>
  <c r="AP170"/>
  <c r="DY117"/>
  <c r="FD54"/>
  <c r="AA36"/>
  <c r="V84"/>
  <c r="BU126"/>
  <c r="EJ41"/>
  <c r="CQ120"/>
  <c r="BB57"/>
  <c r="FR169"/>
  <c r="AR165"/>
  <c r="BW62"/>
  <c r="DP30"/>
  <c r="DH171"/>
  <c r="BP170"/>
  <c r="R80"/>
  <c r="EB142"/>
  <c r="DK116"/>
  <c r="AY69"/>
  <c r="EW23"/>
  <c r="T29"/>
  <c r="BX93"/>
  <c r="CO16"/>
  <c r="AC30"/>
  <c r="EO126"/>
  <c r="EF4"/>
  <c r="EZ112"/>
  <c r="AO9"/>
  <c r="FO50"/>
  <c r="BG153"/>
  <c r="FP64"/>
  <c r="AU97"/>
  <c r="EH161"/>
  <c r="BE37"/>
  <c r="FQ6"/>
  <c r="FT152"/>
  <c r="EN2"/>
  <c r="EJ112"/>
  <c r="AP4"/>
  <c r="BD169"/>
  <c r="DN170"/>
  <c r="FJ42"/>
  <c r="EM46"/>
  <c r="BG121"/>
  <c r="H69"/>
  <c r="DY35"/>
  <c r="AF176"/>
  <c r="FD59"/>
  <c r="J99"/>
  <c r="BI176"/>
  <c r="BO58"/>
  <c r="BL167"/>
  <c r="S86"/>
  <c r="CI141"/>
  <c r="AP30"/>
  <c r="BA174"/>
  <c r="CS86"/>
  <c r="EY163"/>
  <c r="BL78"/>
  <c r="I66"/>
  <c r="CJ33"/>
  <c r="AO96"/>
  <c r="DB168"/>
  <c r="DZ67"/>
  <c r="DO47"/>
  <c r="EG58"/>
  <c r="CD115"/>
  <c r="DW137"/>
  <c r="AV74"/>
  <c r="CG57"/>
  <c r="M2"/>
  <c r="R114"/>
  <c r="AQ4"/>
  <c r="EQ38"/>
  <c r="FS143"/>
  <c r="AZ103"/>
  <c r="EW81"/>
  <c r="CL10"/>
  <c r="AG47"/>
  <c r="EQ41"/>
  <c r="X28"/>
  <c r="FI94"/>
  <c r="FD80"/>
  <c r="AX78"/>
  <c r="FE156"/>
  <c r="BQ65"/>
  <c r="AK141"/>
  <c r="CX48"/>
  <c r="CX55"/>
  <c r="AK156"/>
  <c r="DG143"/>
  <c r="L91"/>
  <c r="DJ96"/>
  <c r="DG87"/>
  <c r="FJ25"/>
  <c r="DC30"/>
  <c r="CK67"/>
  <c r="DE63"/>
  <c r="E73"/>
  <c r="CE18"/>
  <c r="AC93"/>
  <c r="AJ147"/>
  <c r="ER29"/>
  <c r="FJ49"/>
  <c r="FR85"/>
  <c r="U55"/>
  <c r="EM138"/>
  <c r="AN165"/>
  <c r="BB6"/>
  <c r="DJ99"/>
  <c r="G145"/>
  <c r="CX27"/>
  <c r="EG43"/>
  <c r="EG168"/>
  <c r="EH48"/>
  <c r="AN114"/>
  <c r="CS74"/>
  <c r="EY113"/>
  <c r="BY39"/>
  <c r="CQ60"/>
  <c r="DP165"/>
  <c r="DC77"/>
  <c r="FL151"/>
  <c r="EH31"/>
  <c r="CV111"/>
  <c r="EA165"/>
  <c r="DX92"/>
  <c r="F6"/>
  <c r="CI96"/>
  <c r="X141"/>
  <c r="CI70"/>
  <c r="FP175"/>
  <c r="EG7"/>
  <c r="DG149"/>
  <c r="CZ146"/>
  <c r="BS152"/>
  <c r="CS128"/>
  <c r="DQ175"/>
  <c r="BV15"/>
  <c r="C129"/>
  <c r="BV94"/>
  <c r="EO157"/>
  <c r="EM58"/>
  <c r="DY11"/>
  <c r="J120"/>
  <c r="BV50"/>
  <c r="AM22"/>
  <c r="FR20"/>
  <c r="K95"/>
  <c r="BE61"/>
  <c r="CH140"/>
  <c r="DH172"/>
  <c r="BU90"/>
  <c r="EW36"/>
  <c r="AN132"/>
  <c r="CF71"/>
  <c r="FG147"/>
  <c r="EU141"/>
  <c r="BP31"/>
  <c r="BW141"/>
  <c r="CQ34"/>
  <c r="BM104"/>
  <c r="BO116"/>
  <c r="CF82"/>
  <c r="AZ117"/>
  <c r="AP100"/>
  <c r="CJ36"/>
  <c r="DJ88"/>
  <c r="AQ163"/>
  <c r="FO74"/>
  <c r="BR57"/>
  <c r="FJ100"/>
  <c r="DR107"/>
  <c r="AH136"/>
  <c r="ET130"/>
  <c r="EM49"/>
  <c r="FB21"/>
  <c r="FC26"/>
  <c r="R125"/>
  <c r="BY78"/>
  <c r="M11"/>
  <c r="EM154"/>
  <c r="CU19"/>
  <c r="BP48"/>
  <c r="V51"/>
  <c r="AA112"/>
  <c r="FT128"/>
  <c r="AT176"/>
  <c r="CA173"/>
  <c r="BN112"/>
  <c r="AR110"/>
  <c r="BS58"/>
  <c r="EL162"/>
  <c r="AV86"/>
  <c r="AS74"/>
  <c r="DW75"/>
  <c r="DB140"/>
  <c r="DL100"/>
  <c r="EK38"/>
  <c r="EP133"/>
  <c r="BD64"/>
  <c r="EJ16"/>
  <c r="DU76"/>
  <c r="CZ118"/>
  <c r="CN31"/>
  <c r="FP121"/>
  <c r="ES170"/>
  <c r="J65"/>
  <c r="S64"/>
  <c r="DP134"/>
  <c r="DJ85"/>
  <c r="CZ135"/>
  <c r="DZ42"/>
  <c r="EP155"/>
  <c r="X113"/>
  <c r="BF103"/>
  <c r="FN146"/>
  <c r="K12"/>
  <c r="DE175"/>
  <c r="EK157"/>
  <c r="CJ125"/>
  <c r="FI169"/>
  <c r="CZ122"/>
  <c r="EO80"/>
  <c r="DH154"/>
  <c r="FG110"/>
  <c r="B91"/>
  <c r="FI123"/>
  <c r="EN85"/>
  <c r="AI73"/>
  <c r="AG132"/>
  <c r="ES63"/>
  <c r="FG178"/>
  <c r="BV155"/>
  <c r="CP22"/>
  <c r="ES62"/>
  <c r="FT171"/>
  <c r="BA129"/>
  <c r="EB118"/>
  <c r="H31"/>
  <c r="EU41"/>
  <c r="FQ72"/>
  <c r="C74"/>
  <c r="CM33"/>
  <c r="CL152"/>
  <c r="CF112"/>
  <c r="EY87"/>
  <c r="FC44"/>
  <c r="CJ161"/>
  <c r="CR147"/>
  <c r="CJ73"/>
  <c r="EQ156"/>
  <c r="FF154"/>
  <c r="W93"/>
  <c r="T96"/>
  <c r="Q172"/>
  <c r="FA9"/>
  <c r="FI174"/>
  <c r="CD149"/>
  <c r="DU170"/>
  <c r="AY134"/>
  <c r="CT95"/>
  <c r="G101"/>
  <c r="FG19"/>
  <c r="AC85"/>
  <c r="AU98"/>
  <c r="AM73"/>
  <c r="BE170"/>
  <c r="DO16"/>
  <c r="ED107"/>
  <c r="CO72"/>
  <c r="BL93"/>
  <c r="CN49"/>
  <c r="BQ78"/>
  <c r="CC107"/>
  <c r="CU118"/>
  <c r="CT158"/>
  <c r="CZ19"/>
  <c r="N88"/>
  <c r="BT130"/>
  <c r="ET95"/>
  <c r="AX72"/>
  <c r="EE79"/>
  <c r="CR54"/>
  <c r="FL87"/>
  <c r="AT68"/>
  <c r="ER117"/>
  <c r="BJ143"/>
  <c r="EG161"/>
  <c r="E110"/>
  <c r="AJ31"/>
  <c r="E93"/>
  <c r="EN165"/>
  <c r="BY15"/>
  <c r="O100"/>
  <c r="BC30"/>
  <c r="P88"/>
  <c r="FF132"/>
  <c r="BU158"/>
  <c r="DV36"/>
  <c r="FT14"/>
  <c r="DN91"/>
  <c r="DU106"/>
  <c r="BN37"/>
  <c r="AF149"/>
  <c r="EB44"/>
  <c r="FD171"/>
  <c r="FS172"/>
  <c r="AQ84"/>
  <c r="BL85"/>
  <c r="M128"/>
  <c r="DI54"/>
  <c r="AS66"/>
  <c r="BY124"/>
  <c r="AQ130"/>
  <c r="ER113"/>
  <c r="BP6"/>
  <c r="H137"/>
  <c r="Q125"/>
  <c r="BE36"/>
  <c r="DZ177"/>
  <c r="FL105"/>
  <c r="BD136"/>
  <c r="BP118"/>
  <c r="CC88"/>
  <c r="O79"/>
  <c r="FG133"/>
  <c r="AI29"/>
  <c r="AB108"/>
  <c r="CI39"/>
  <c r="DN101"/>
  <c r="BW25"/>
  <c r="DL24"/>
  <c r="BM130"/>
  <c r="DM174"/>
  <c r="FR70"/>
  <c r="BA78"/>
  <c r="DA42"/>
  <c r="CA178"/>
  <c r="BU10"/>
  <c r="EZ120"/>
  <c r="EO102"/>
  <c r="FB166"/>
  <c r="BP140"/>
  <c r="DW152"/>
  <c r="CT161"/>
  <c r="W24"/>
  <c r="N142"/>
  <c r="BC163"/>
  <c r="BH18"/>
  <c r="CR8"/>
  <c r="BE73"/>
  <c r="AH59"/>
  <c r="BE72"/>
  <c r="D34"/>
  <c r="DW138"/>
  <c r="CH47"/>
  <c r="CT88"/>
  <c r="FS118"/>
  <c r="BH20"/>
  <c r="DB5"/>
  <c r="DI144"/>
  <c r="M120"/>
  <c r="FA143"/>
  <c r="AU155"/>
  <c r="ES87"/>
  <c r="CL101"/>
  <c r="CA15"/>
  <c r="DW52"/>
  <c r="CE49"/>
  <c r="DD169"/>
  <c r="DN176"/>
  <c r="R110"/>
  <c r="F98"/>
  <c r="DD113"/>
  <c r="AO128"/>
  <c r="EY20"/>
  <c r="FB162"/>
  <c r="CE28"/>
  <c r="FU76"/>
  <c r="FP143"/>
  <c r="S153"/>
  <c r="EY115"/>
  <c r="AI175"/>
  <c r="FP85"/>
  <c r="DI13"/>
  <c r="CQ24"/>
  <c r="BD39"/>
  <c r="AX162"/>
  <c r="EO114"/>
  <c r="EE146"/>
  <c r="DF56"/>
  <c r="EF10"/>
  <c r="CW173"/>
  <c r="EH166"/>
  <c r="CJ104"/>
  <c r="DO148"/>
  <c r="EA49"/>
  <c r="AF171"/>
  <c r="FM25"/>
  <c r="T107"/>
  <c r="DI73"/>
  <c r="DK26"/>
  <c r="CI18"/>
  <c r="DA118"/>
  <c r="BS36"/>
  <c r="EN44"/>
  <c r="AP65"/>
  <c r="FU173"/>
  <c r="DB48"/>
  <c r="BX22"/>
  <c r="EE131"/>
  <c r="B134"/>
  <c r="BT161"/>
  <c r="DC119"/>
  <c r="ES160"/>
  <c r="V9"/>
  <c r="AA80"/>
  <c r="CH76"/>
  <c r="AN136"/>
  <c r="CN62"/>
  <c r="CK86"/>
  <c r="EO29"/>
  <c r="M45"/>
  <c r="BB130"/>
  <c r="CM40"/>
  <c r="BZ117"/>
  <c r="FO124"/>
  <c r="CP130"/>
  <c r="CK148"/>
  <c r="AW79"/>
  <c r="EG77"/>
  <c r="EI96"/>
  <c r="AQ134"/>
  <c r="EY133"/>
  <c r="BL63"/>
  <c r="AF125"/>
  <c r="CS43"/>
  <c r="AH2"/>
  <c r="DD87"/>
  <c r="DF131"/>
  <c r="AK131"/>
  <c r="BL152"/>
  <c r="C161"/>
  <c r="BV108"/>
  <c r="EB178"/>
  <c r="BQ85"/>
  <c r="AM11"/>
  <c r="BJ117"/>
  <c r="CC89"/>
  <c r="DP99"/>
  <c r="DH74"/>
  <c r="CI77"/>
  <c r="FJ95"/>
  <c r="FM175"/>
  <c r="AA55"/>
  <c r="AK98"/>
  <c r="AR104"/>
  <c r="DC104"/>
  <c r="BN68"/>
  <c r="AH122"/>
  <c r="BC96"/>
  <c r="DX22"/>
  <c r="BN156"/>
  <c r="ES29"/>
  <c r="FV24"/>
  <c r="BQ5"/>
  <c r="FL152"/>
  <c r="CA146"/>
  <c r="AE178"/>
  <c r="CK132"/>
  <c r="DY12"/>
  <c r="FK174"/>
  <c r="DB159"/>
  <c r="BL71"/>
  <c r="DQ153"/>
  <c r="EF54"/>
  <c r="DP121"/>
  <c r="EP136"/>
  <c r="AT5"/>
  <c r="FO112"/>
  <c r="U8"/>
  <c r="AI127"/>
  <c r="C72"/>
  <c r="BT26"/>
  <c r="EG45"/>
  <c r="AY45"/>
  <c r="BT163"/>
  <c r="J11"/>
  <c r="FU54"/>
  <c r="Z142"/>
  <c r="P154"/>
  <c r="CB24"/>
  <c r="EA52"/>
  <c r="EE12"/>
  <c r="DC158"/>
  <c r="EM130"/>
  <c r="AP160"/>
  <c r="BI39"/>
  <c r="E62"/>
  <c r="X178"/>
  <c r="AD83"/>
  <c r="DG30"/>
  <c r="CX45"/>
  <c r="R66"/>
  <c r="EH51"/>
  <c r="BY113"/>
  <c r="F142"/>
  <c r="Z12"/>
  <c r="EZ79"/>
  <c r="EK116"/>
  <c r="EO98"/>
  <c r="AR81"/>
  <c r="EB172"/>
  <c r="AQ36"/>
  <c r="EW15"/>
  <c r="ED111"/>
  <c r="FF31"/>
  <c r="BJ18"/>
  <c r="DG58"/>
  <c r="CB121"/>
  <c r="FI7"/>
  <c r="BN92"/>
  <c r="AW65"/>
  <c r="DM139"/>
  <c r="AR175"/>
  <c r="DE176"/>
  <c r="AT36"/>
  <c r="D166"/>
  <c r="X11"/>
  <c r="BR74"/>
  <c r="BG155"/>
  <c r="AP145"/>
  <c r="M110"/>
  <c r="CJ133"/>
  <c r="BL116"/>
  <c r="DZ141"/>
  <c r="BV14"/>
  <c r="AZ108"/>
  <c r="AQ113"/>
  <c r="EX78"/>
  <c r="AS6"/>
  <c r="EX169"/>
  <c r="U139"/>
  <c r="EU144"/>
  <c r="DW43"/>
  <c r="ER157"/>
  <c r="CU92"/>
  <c r="BP49"/>
  <c r="EI91"/>
  <c r="AP68"/>
  <c r="DZ104"/>
  <c r="EM22"/>
  <c r="I122"/>
  <c r="Z17"/>
  <c r="DP66"/>
  <c r="DC121"/>
  <c r="V71"/>
  <c r="C19"/>
  <c r="EV146"/>
  <c r="BC90"/>
  <c r="BQ175"/>
  <c r="DF147"/>
  <c r="B161"/>
  <c r="BX99"/>
  <c r="DS50"/>
  <c r="DM62"/>
  <c r="CU68"/>
  <c r="AQ141"/>
  <c r="Z155"/>
  <c r="BV57"/>
  <c r="CL73"/>
  <c r="CE128"/>
  <c r="DN167"/>
  <c r="DT75"/>
  <c r="FP62"/>
  <c r="EZ72"/>
  <c r="FR124"/>
  <c r="H143"/>
  <c r="CL142"/>
  <c r="CP160"/>
  <c r="CB13"/>
  <c r="BK24"/>
  <c r="BV36"/>
  <c r="BG117"/>
  <c r="AC16"/>
  <c r="V165"/>
  <c r="AU22"/>
  <c r="FS164"/>
  <c r="CD9"/>
  <c r="DJ142"/>
  <c r="FP167"/>
  <c r="DL150"/>
  <c r="BK145"/>
  <c r="Q28"/>
  <c r="S55"/>
  <c r="EG79"/>
  <c r="BF168"/>
  <c r="CX53"/>
  <c r="V99"/>
  <c r="EP142"/>
  <c r="CB23"/>
  <c r="FC50"/>
  <c r="FQ77"/>
  <c r="N13"/>
  <c r="AT164"/>
  <c r="DI104"/>
  <c r="ES73"/>
  <c r="AI54"/>
  <c r="BW76"/>
  <c r="FP113"/>
  <c r="DO115"/>
  <c r="CL55"/>
  <c r="BI119"/>
  <c r="CD53"/>
  <c r="BT21"/>
  <c r="EG146"/>
  <c r="FM170"/>
  <c r="FM110"/>
  <c r="AN129"/>
  <c r="CA12"/>
  <c r="BQ66"/>
  <c r="AD114"/>
  <c r="CJ168"/>
  <c r="AO126"/>
  <c r="I132"/>
  <c r="AC149"/>
  <c r="E31"/>
  <c r="U32"/>
  <c r="CA132"/>
  <c r="BR87"/>
  <c r="DU94"/>
  <c r="FJ13"/>
  <c r="M147"/>
  <c r="CA7"/>
  <c r="BW79"/>
  <c r="P122"/>
  <c r="BF126"/>
  <c r="DI143"/>
  <c r="AU172"/>
  <c r="DQ161"/>
  <c r="BZ87"/>
  <c r="CB148"/>
  <c r="DQ108"/>
  <c r="AE71"/>
  <c r="AS137"/>
  <c r="V60"/>
  <c r="B86"/>
  <c r="CA79"/>
  <c r="EE134"/>
  <c r="AP116"/>
  <c r="AZ18"/>
  <c r="FQ111"/>
  <c r="CE147"/>
  <c r="BI117"/>
  <c r="DY95"/>
  <c r="FT144"/>
  <c r="FE23"/>
  <c r="FC124"/>
  <c r="DL38"/>
  <c r="BM96"/>
  <c r="V74"/>
  <c r="EA130"/>
  <c r="O142"/>
  <c r="O139"/>
  <c r="FF123"/>
  <c r="CO29"/>
  <c r="FB131"/>
  <c r="Q118"/>
  <c r="DA48"/>
  <c r="FH97"/>
  <c r="DG53"/>
  <c r="CR80"/>
  <c r="EA42"/>
  <c r="AD171"/>
  <c r="CL72"/>
  <c r="J96"/>
  <c r="BR107"/>
  <c r="Z2"/>
  <c r="FT11"/>
  <c r="BJ22"/>
  <c r="G102"/>
  <c r="F23"/>
  <c r="BK34"/>
  <c r="AA162"/>
  <c r="DQ46"/>
  <c r="DB97"/>
  <c r="DM12"/>
  <c r="DC31"/>
  <c r="BS159"/>
  <c r="DM47"/>
  <c r="F48"/>
  <c r="BA133"/>
  <c r="FQ8"/>
  <c r="FI14"/>
  <c r="BW172"/>
  <c r="AX3"/>
  <c r="EJ66"/>
  <c r="DS54"/>
  <c r="EJ127"/>
  <c r="CU52"/>
  <c r="H52"/>
  <c r="U151"/>
  <c r="CM91"/>
  <c r="CZ16"/>
  <c r="EZ104"/>
  <c r="CS142"/>
  <c r="BY92"/>
  <c r="U166"/>
  <c r="BO165"/>
  <c r="CK37"/>
  <c r="U127"/>
  <c r="AZ73"/>
  <c r="FU37"/>
  <c r="FP142"/>
  <c r="DU100"/>
  <c r="EV5"/>
  <c r="EG35"/>
  <c r="BG151"/>
  <c r="DP140"/>
  <c r="AZ101"/>
  <c r="K71"/>
  <c r="CO169"/>
  <c r="CN96"/>
  <c r="AB110"/>
  <c r="CG18"/>
  <c r="EY147"/>
  <c r="BE118"/>
  <c r="DV94"/>
  <c r="AV175"/>
  <c r="C157"/>
  <c r="D110"/>
  <c r="AA6"/>
  <c r="Q68"/>
  <c r="O76"/>
  <c r="H111"/>
  <c r="CP58"/>
  <c r="AV149"/>
  <c r="CK126"/>
  <c r="ER158"/>
  <c r="EW116"/>
  <c r="ES48"/>
  <c r="DT161"/>
  <c r="AF134"/>
  <c r="AJ13"/>
  <c r="D84"/>
  <c r="AR133"/>
  <c r="AO8"/>
  <c r="M35"/>
  <c r="EP18"/>
  <c r="AX149"/>
  <c r="V25"/>
  <c r="BO50"/>
  <c r="EW148"/>
  <c r="AA54"/>
  <c r="AZ7"/>
  <c r="DX118"/>
  <c r="EO131"/>
  <c r="AZ177"/>
  <c r="L42"/>
  <c r="AZ42"/>
  <c r="H43"/>
  <c r="BU152"/>
  <c r="EJ70"/>
  <c r="FS14"/>
  <c r="H117"/>
  <c r="AO68"/>
  <c r="DT7"/>
  <c r="FF89"/>
  <c r="W20"/>
  <c r="AD22"/>
  <c r="BA59"/>
  <c r="DH50"/>
  <c r="R41"/>
  <c r="CD70"/>
  <c r="DF102"/>
  <c r="BF162"/>
  <c r="FQ63"/>
  <c r="AB116"/>
  <c r="C25"/>
  <c r="CJ128"/>
  <c r="FR91"/>
  <c r="X166"/>
  <c r="EN84"/>
  <c r="BF16"/>
  <c r="CV8"/>
  <c r="EJ73"/>
  <c r="AE127"/>
  <c r="C145"/>
  <c r="DW153"/>
  <c r="BZ61"/>
  <c r="AE92"/>
  <c r="EP30"/>
  <c r="BN132"/>
  <c r="DO124"/>
  <c r="W165"/>
  <c r="FE174"/>
  <c r="BL117"/>
  <c r="EC106"/>
  <c r="EI121"/>
  <c r="EL63"/>
  <c r="AN155"/>
  <c r="DB122"/>
  <c r="AI71"/>
  <c r="EB97"/>
  <c r="AD127"/>
  <c r="EZ17"/>
  <c r="DB137"/>
  <c r="BO35"/>
  <c r="DS69"/>
  <c r="ES171"/>
  <c r="CR134"/>
  <c r="ES129"/>
  <c r="AM35"/>
  <c r="EV95"/>
  <c r="X135"/>
  <c r="ER134"/>
  <c r="BM50"/>
  <c r="L62"/>
  <c r="P172"/>
  <c r="DE128"/>
  <c r="BJ62"/>
  <c r="D177"/>
  <c r="H63"/>
  <c r="AP2"/>
  <c r="AX87"/>
  <c r="FN166"/>
  <c r="EY27"/>
  <c r="AU70"/>
  <c r="O22"/>
  <c r="CH60"/>
  <c r="EO163"/>
  <c r="DX62"/>
  <c r="CK82"/>
  <c r="AU46"/>
  <c r="BN157"/>
  <c r="H90"/>
  <c r="CQ144"/>
  <c r="CR48"/>
  <c r="CS22"/>
  <c r="AX63"/>
  <c r="BG6"/>
  <c r="AO2"/>
  <c r="FD129"/>
  <c r="AJ167"/>
  <c r="DZ64"/>
  <c r="EK35"/>
  <c r="FO54"/>
  <c r="M106"/>
  <c r="W129"/>
  <c r="CA105"/>
  <c r="DL26"/>
  <c r="BD58"/>
  <c r="EI151"/>
  <c r="FO121"/>
  <c r="EP120"/>
  <c r="FA137"/>
  <c r="CN140"/>
  <c r="DN116"/>
  <c r="CJ16"/>
  <c r="DA2"/>
  <c r="AZ96"/>
  <c r="H10"/>
  <c r="FR37"/>
  <c r="BK29"/>
  <c r="ES151"/>
  <c r="FF119"/>
  <c r="DG44"/>
  <c r="DM53"/>
  <c r="AU122"/>
  <c r="CR88"/>
  <c r="CR72"/>
  <c r="DW60"/>
  <c r="T137"/>
  <c r="FA41"/>
  <c r="AJ100"/>
  <c r="BJ41"/>
  <c r="CH173"/>
  <c r="AH134"/>
  <c r="CU94"/>
  <c r="T161"/>
  <c r="FJ71"/>
  <c r="ET114"/>
  <c r="CG4"/>
  <c r="BH175"/>
  <c r="AO81"/>
  <c r="FM18"/>
  <c r="BN160"/>
  <c r="U68"/>
  <c r="BI62"/>
  <c r="BT76"/>
  <c r="R149"/>
  <c r="AW47"/>
  <c r="EW2"/>
  <c r="CC71"/>
  <c r="CN128"/>
  <c r="CD89"/>
  <c r="BB76"/>
  <c r="BO155"/>
  <c r="DC3"/>
  <c r="S141"/>
  <c r="EC34"/>
  <c r="E158"/>
  <c r="ET59"/>
  <c r="BT90"/>
  <c r="EY73"/>
  <c r="AO15"/>
  <c r="DY148"/>
  <c r="BK138"/>
  <c r="DJ42"/>
  <c r="DN134"/>
  <c r="BK52"/>
  <c r="CI127"/>
  <c r="CK120"/>
  <c r="DL74"/>
  <c r="ET24"/>
  <c r="AT146"/>
  <c r="T59"/>
  <c r="DH99"/>
  <c r="EZ164"/>
  <c r="CJ115"/>
  <c r="BJ17"/>
  <c r="CG118"/>
  <c r="BG90"/>
  <c r="DD129"/>
  <c r="DF171"/>
  <c r="BF142"/>
  <c r="CX83"/>
  <c r="FK36"/>
  <c r="DZ20"/>
  <c r="FC131"/>
  <c r="EK71"/>
  <c r="DG35"/>
  <c r="FJ64"/>
  <c r="AV143"/>
  <c r="EB86"/>
  <c r="EF83"/>
  <c r="AI21"/>
  <c r="P57"/>
  <c r="EZ75"/>
  <c r="DX64"/>
  <c r="DH67"/>
  <c r="AH104"/>
  <c r="FB96"/>
  <c r="FK87"/>
  <c r="DM24"/>
  <c r="AI90"/>
  <c r="AE78"/>
  <c r="AP43"/>
  <c r="B135"/>
  <c r="DS119"/>
  <c r="DJ69"/>
  <c r="FN157"/>
  <c r="AF51"/>
  <c r="DD47"/>
  <c r="AC61"/>
  <c r="T123"/>
  <c r="CW169"/>
  <c r="ER15"/>
  <c r="AK22"/>
  <c r="DX70"/>
  <c r="AO113"/>
  <c r="DH20"/>
  <c r="DJ157"/>
  <c r="CR129"/>
  <c r="CK44"/>
  <c r="BK98"/>
  <c r="EW26"/>
  <c r="D172"/>
  <c r="BV148"/>
  <c r="CY80"/>
  <c r="DW72"/>
  <c r="EN160"/>
  <c r="BU161"/>
  <c r="DI29"/>
  <c r="DQ177"/>
  <c r="E156"/>
  <c r="CR12"/>
  <c r="AZ20"/>
  <c r="T87"/>
  <c r="BR135"/>
  <c r="FD163"/>
  <c r="AU164"/>
  <c r="CP38"/>
  <c r="BA135"/>
  <c r="EM110"/>
  <c r="DF94"/>
  <c r="DG55"/>
  <c r="CY56"/>
  <c r="EL21"/>
  <c r="AU34"/>
  <c r="CN175"/>
  <c r="N23"/>
  <c r="AJ47"/>
  <c r="FU13"/>
  <c r="DJ38"/>
  <c r="Z123"/>
  <c r="EN105"/>
  <c r="EN108"/>
  <c r="FL61"/>
  <c r="BX107"/>
  <c r="CD169"/>
  <c r="FS87"/>
  <c r="DA90"/>
  <c r="M171"/>
  <c r="FE172"/>
  <c r="AK176"/>
  <c r="FE58"/>
  <c r="AA90"/>
  <c r="DV91"/>
  <c r="DA96"/>
  <c r="CR93"/>
  <c r="E57"/>
  <c r="EZ172"/>
  <c r="EH27"/>
  <c r="J32"/>
  <c r="DH70"/>
  <c r="AK120"/>
  <c r="CH96"/>
  <c r="AE137"/>
  <c r="CB173"/>
  <c r="BB30"/>
  <c r="EQ89"/>
  <c r="ET76"/>
  <c r="BN27"/>
  <c r="G64"/>
  <c r="FB62"/>
  <c r="AJ101"/>
  <c r="Y35"/>
  <c r="DG115"/>
  <c r="BI105"/>
  <c r="EF60"/>
  <c r="ER126"/>
  <c r="ER159"/>
  <c r="BU14"/>
  <c r="FQ149"/>
  <c r="CS155"/>
  <c r="DX54"/>
  <c r="EE77"/>
  <c r="FB37"/>
  <c r="BE123"/>
  <c r="DV20"/>
  <c r="EQ8"/>
  <c r="BY90"/>
  <c r="DJ128"/>
  <c r="U44"/>
  <c r="EC78"/>
  <c r="BU8"/>
  <c r="CJ8"/>
  <c r="AH175"/>
  <c r="BU171"/>
  <c r="BB175"/>
  <c r="BQ107"/>
  <c r="B69"/>
  <c r="E133"/>
  <c r="AF4"/>
  <c r="R124"/>
  <c r="CV61"/>
  <c r="DB17"/>
  <c r="DZ135"/>
  <c r="FF51"/>
  <c r="CD62"/>
  <c r="AR99"/>
  <c r="BN42"/>
  <c r="X64"/>
  <c r="EE138"/>
  <c r="DH86"/>
  <c r="CH10"/>
  <c r="AS69"/>
  <c r="CI115"/>
  <c r="CO164"/>
  <c r="F5"/>
  <c r="FN174"/>
  <c r="CX103"/>
  <c r="DS57"/>
  <c r="EI55"/>
  <c r="FN18"/>
  <c r="DH121"/>
  <c r="DQ39"/>
  <c r="AO147"/>
  <c r="CM84"/>
  <c r="ED15"/>
  <c r="FU58"/>
  <c r="AW124"/>
  <c r="BA122"/>
  <c r="AB133"/>
  <c r="AI84"/>
  <c r="X126"/>
  <c r="DR10"/>
  <c r="AN122"/>
  <c r="EL140"/>
  <c r="FB144"/>
  <c r="BZ45"/>
  <c r="DM119"/>
  <c r="CX87"/>
  <c r="FP72"/>
  <c r="EL40"/>
  <c r="DN43"/>
  <c r="BJ94"/>
  <c r="AK168"/>
  <c r="FB164"/>
  <c r="BD90"/>
  <c r="B155"/>
  <c r="FB36"/>
  <c r="CF108"/>
  <c r="W30"/>
  <c r="EG153"/>
  <c r="BS65"/>
  <c r="CF147"/>
  <c r="K150"/>
  <c r="FQ94"/>
  <c r="AN22"/>
  <c r="DM98"/>
  <c r="BF155"/>
  <c r="FC171"/>
  <c r="BS25"/>
  <c r="K3"/>
  <c r="E146"/>
  <c r="BE3"/>
  <c r="DW8"/>
  <c r="AF67"/>
  <c r="DE83"/>
  <c r="CQ43"/>
  <c r="FV99"/>
  <c r="FU169"/>
  <c r="EI12"/>
  <c r="AT57"/>
  <c r="N107"/>
  <c r="W148"/>
  <c r="DU107"/>
  <c r="EI106"/>
  <c r="AP103"/>
  <c r="EL127"/>
  <c r="FS161"/>
  <c r="O106"/>
  <c r="AF15"/>
  <c r="FF125"/>
  <c r="AJ148"/>
  <c r="K47"/>
  <c r="DI88"/>
  <c r="BZ56"/>
  <c r="BI45"/>
  <c r="DL112"/>
  <c r="DU139"/>
  <c r="BP163"/>
  <c r="ES145"/>
  <c r="CW121"/>
  <c r="DA100"/>
  <c r="S31"/>
  <c r="DL166"/>
  <c r="DW17"/>
  <c r="BQ26"/>
  <c r="Z88"/>
  <c r="AO177"/>
  <c r="FJ119"/>
  <c r="BR152"/>
  <c r="DE70"/>
  <c r="CI34"/>
  <c r="DL162"/>
  <c r="BU98"/>
  <c r="BW21"/>
  <c r="AP17"/>
  <c r="DO164"/>
  <c r="CY148"/>
  <c r="BC61"/>
  <c r="CH30"/>
  <c r="DW155"/>
  <c r="BO30"/>
  <c r="EX16"/>
  <c r="DJ83"/>
  <c r="D141"/>
  <c r="EA112"/>
  <c r="CQ90"/>
  <c r="CY5"/>
  <c r="AR129"/>
  <c r="DR48"/>
  <c r="AM151"/>
  <c r="AT140"/>
  <c r="DM111"/>
  <c r="BQ8"/>
  <c r="CG120"/>
  <c r="CN93"/>
  <c r="AN150"/>
  <c r="AD177"/>
  <c r="FS92"/>
  <c r="EN122"/>
  <c r="CE133"/>
  <c r="FJ155"/>
  <c r="FM135"/>
  <c r="CV168"/>
  <c r="DA59"/>
  <c r="EU69"/>
  <c r="CN117"/>
  <c r="AP161"/>
  <c r="BJ173"/>
  <c r="BN100"/>
  <c r="DH29"/>
  <c r="CH79"/>
  <c r="DL4"/>
  <c r="BJ99"/>
  <c r="AJ132"/>
  <c r="EN168"/>
  <c r="BY60"/>
  <c r="BP50"/>
  <c r="FR126"/>
  <c r="FR76"/>
  <c r="BJ121"/>
  <c r="FQ7"/>
  <c r="K56"/>
  <c r="FR136"/>
  <c r="CV125"/>
  <c r="FD61"/>
  <c r="EB30"/>
  <c r="AJ80"/>
  <c r="O41"/>
  <c r="EX72"/>
  <c r="P128"/>
  <c r="EJ168"/>
  <c r="EN149"/>
  <c r="CZ106"/>
  <c r="CD14"/>
  <c r="BH41"/>
  <c r="W144"/>
  <c r="DG101"/>
  <c r="AB176"/>
  <c r="FT102"/>
  <c r="AD100"/>
  <c r="DN168"/>
  <c r="FH94"/>
  <c r="DJ155"/>
  <c r="H74"/>
  <c r="EE107"/>
  <c r="FK114"/>
  <c r="DK159"/>
  <c r="J141"/>
  <c r="FP41"/>
  <c r="DV64"/>
  <c r="CB81"/>
  <c r="AB95"/>
  <c r="AK75"/>
  <c r="FK22"/>
  <c r="BD123"/>
  <c r="AO71"/>
  <c r="FI18"/>
  <c r="AH150"/>
  <c r="BX74"/>
  <c r="CR148"/>
  <c r="CY66"/>
  <c r="FE3"/>
  <c r="AI17"/>
  <c r="DC146"/>
  <c r="FI149"/>
  <c r="CX123"/>
  <c r="EI114"/>
  <c r="BC130"/>
  <c r="FC47"/>
  <c r="FA61"/>
  <c r="FK16"/>
  <c r="AN30"/>
  <c r="BA137"/>
  <c r="EX133"/>
  <c r="AR51"/>
  <c r="AL138"/>
  <c r="F70"/>
  <c r="FP100"/>
  <c r="CU84"/>
  <c r="AT10"/>
  <c r="CT44"/>
  <c r="DO65"/>
  <c r="H119"/>
  <c r="BA76"/>
  <c r="DO95"/>
  <c r="CK94"/>
  <c r="CG91"/>
  <c r="EP174"/>
  <c r="AG58"/>
  <c r="AM41"/>
  <c r="FM55"/>
  <c r="AE58"/>
  <c r="DH56"/>
  <c r="G132"/>
  <c r="BV43"/>
  <c r="J74"/>
  <c r="DW143"/>
  <c r="I32"/>
  <c r="CB137"/>
  <c r="AS172"/>
  <c r="G69"/>
  <c r="BX172"/>
  <c r="DG93"/>
  <c r="EJ5"/>
  <c r="DG136"/>
  <c r="R172"/>
  <c r="FA154"/>
  <c r="FH145"/>
  <c r="EC152"/>
  <c r="ES24"/>
  <c r="AK170"/>
  <c r="EK61"/>
  <c r="DN25"/>
  <c r="FG4"/>
  <c r="EW95"/>
  <c r="FI54"/>
  <c r="DN90"/>
  <c r="CZ7"/>
  <c r="Y171"/>
  <c r="Q16"/>
  <c r="DW161"/>
  <c r="EY97"/>
  <c r="DS144"/>
  <c r="I6"/>
  <c r="FG126"/>
  <c r="EI75"/>
  <c r="E143"/>
  <c r="ES105"/>
  <c r="BD86"/>
  <c r="DV40"/>
  <c r="BP99"/>
  <c r="AH62"/>
  <c r="AE14"/>
  <c r="DN137"/>
  <c r="EF63"/>
  <c r="CU16"/>
  <c r="EQ71"/>
  <c r="EK88"/>
  <c r="K122"/>
  <c r="CX166"/>
  <c r="DH4"/>
  <c r="DB120"/>
  <c r="E35"/>
  <c r="EX155"/>
  <c r="EF61"/>
  <c r="AO122"/>
  <c r="DV97"/>
  <c r="EN32"/>
  <c r="AH66"/>
  <c r="AP108"/>
  <c r="CM98"/>
  <c r="EH66"/>
  <c r="DI96"/>
  <c r="Q75"/>
  <c r="EZ169"/>
  <c r="H105"/>
  <c r="CD131"/>
  <c r="EC175"/>
  <c r="EI65"/>
  <c r="BP9"/>
  <c r="DV118"/>
  <c r="EF136"/>
  <c r="EZ32"/>
  <c r="BA132"/>
  <c r="EB139"/>
  <c r="AQ114"/>
  <c r="S114"/>
  <c r="BZ7"/>
  <c r="DH139"/>
  <c r="CJ78"/>
  <c r="DM13"/>
  <c r="AE145"/>
  <c r="CC101"/>
  <c r="EO87"/>
  <c r="B45"/>
  <c r="BO11"/>
  <c r="DX31"/>
  <c r="AE112"/>
  <c r="DA7"/>
  <c r="DG121"/>
  <c r="CX37"/>
  <c r="N105"/>
  <c r="BL40"/>
  <c r="DX66"/>
  <c r="FM124"/>
  <c r="AV90"/>
  <c r="BT174"/>
  <c r="BJ66"/>
  <c r="CW140"/>
  <c r="AZ19"/>
  <c r="EH167"/>
  <c r="H17"/>
  <c r="BR123"/>
  <c r="DL35"/>
  <c r="W151"/>
  <c r="BR148"/>
  <c r="AN123"/>
  <c r="BR22"/>
  <c r="R38"/>
  <c r="O42"/>
  <c r="CP5"/>
  <c r="AS62"/>
  <c r="AC147"/>
  <c r="ED142"/>
  <c r="EF178"/>
  <c r="CA13"/>
  <c r="K42"/>
  <c r="CT13"/>
  <c r="CM164"/>
  <c r="DX178"/>
  <c r="AR164"/>
  <c r="G116"/>
  <c r="DR38"/>
  <c r="BF40"/>
  <c r="J118"/>
  <c r="FI141"/>
  <c r="DR148"/>
  <c r="DB15"/>
  <c r="BX79"/>
  <c r="AV153"/>
  <c r="BM129"/>
  <c r="DQ100"/>
  <c r="BM79"/>
  <c r="BF170"/>
  <c r="EY52"/>
  <c r="AL14"/>
  <c r="D98"/>
  <c r="EL159"/>
  <c r="CD55"/>
  <c r="AT17"/>
  <c r="FH103"/>
  <c r="DT176"/>
  <c r="ER7"/>
  <c r="DR172"/>
  <c r="DX78"/>
  <c r="AY156"/>
  <c r="DM45"/>
  <c r="BT128"/>
  <c r="EW122"/>
  <c r="CX82"/>
  <c r="BC83"/>
  <c r="BE174"/>
  <c r="AM177"/>
  <c r="CI167"/>
  <c r="AJ144"/>
  <c r="FU115"/>
  <c r="G34"/>
  <c r="BB55"/>
  <c r="FE141"/>
  <c r="DE170"/>
  <c r="CS19"/>
  <c r="AZ146"/>
  <c r="EW72"/>
  <c r="CX6"/>
  <c r="EK133"/>
  <c r="CX110"/>
  <c r="EZ13"/>
  <c r="CX97"/>
  <c r="E50"/>
  <c r="BE47"/>
  <c r="Z127"/>
  <c r="FM36"/>
  <c r="EM3"/>
  <c r="EE58"/>
  <c r="ES56"/>
  <c r="EN20"/>
  <c r="DT13"/>
  <c r="CD116"/>
  <c r="L41"/>
  <c r="Q91"/>
  <c r="AU19"/>
  <c r="CI122"/>
  <c r="FG58"/>
  <c r="D19"/>
  <c r="DB11"/>
  <c r="AX95"/>
  <c r="BB139"/>
  <c r="BB178"/>
  <c r="AB57"/>
  <c r="BV74"/>
  <c r="FC13"/>
  <c r="Q73"/>
  <c r="E3"/>
  <c r="CJ38"/>
  <c r="DC38"/>
  <c r="FI59"/>
  <c r="EV124"/>
  <c r="AS36"/>
  <c r="EA117"/>
  <c r="AW85"/>
  <c r="BN60"/>
  <c r="V107"/>
  <c r="CN167"/>
  <c r="BE14"/>
  <c r="EA10"/>
  <c r="AE160"/>
  <c r="ER19"/>
  <c r="AZ65"/>
  <c r="DU79"/>
  <c r="FC147"/>
  <c r="EO125"/>
  <c r="DL131"/>
  <c r="AV81"/>
  <c r="EZ176"/>
  <c r="EA96"/>
  <c r="EU161"/>
  <c r="DS128"/>
  <c r="AI117"/>
  <c r="FM156"/>
  <c r="DU57"/>
  <c r="EN104"/>
  <c r="CZ12"/>
  <c r="CE115"/>
  <c r="BT110"/>
  <c r="ER166"/>
  <c r="BY85"/>
  <c r="R137"/>
  <c r="AO72"/>
  <c r="FD97"/>
  <c r="BG131"/>
  <c r="EB115"/>
  <c r="DF72"/>
  <c r="FS45"/>
  <c r="FV168"/>
  <c r="BO136"/>
  <c r="FR130"/>
  <c r="AI68"/>
  <c r="F171"/>
  <c r="BR25"/>
  <c r="N5"/>
  <c r="DA98"/>
  <c r="AP42"/>
  <c r="EM42"/>
  <c r="AF101"/>
  <c r="AM140"/>
  <c r="BM103"/>
  <c r="BH108"/>
  <c r="CR29"/>
  <c r="BF174"/>
  <c r="CD73"/>
  <c r="Y13"/>
  <c r="E104"/>
  <c r="AV178"/>
  <c r="CM171"/>
  <c r="CL68"/>
  <c r="U87"/>
  <c r="BM44"/>
  <c r="EO28"/>
  <c r="BP105"/>
  <c r="CP46"/>
  <c r="FA166"/>
  <c r="CU153"/>
  <c r="CB38"/>
  <c r="BI91"/>
  <c r="ES100"/>
  <c r="CX98"/>
  <c r="M79"/>
  <c r="Z112"/>
  <c r="BI78"/>
  <c r="CB2"/>
  <c r="DE153"/>
  <c r="CG165"/>
  <c r="Z73"/>
  <c r="CX11"/>
  <c r="FO168"/>
  <c r="EL164"/>
  <c r="ET103"/>
  <c r="EB49"/>
  <c r="CT147"/>
  <c r="FK47"/>
  <c r="AX53"/>
  <c r="DY62"/>
  <c r="R78"/>
  <c r="DN56"/>
  <c r="AN120"/>
  <c r="BF83"/>
  <c r="DV18"/>
  <c r="DF114"/>
  <c r="EE156"/>
  <c r="EB113"/>
  <c r="B152"/>
  <c r="AE158"/>
  <c r="CZ44"/>
  <c r="AU95"/>
  <c r="DP108"/>
  <c r="ED126"/>
  <c r="DQ158"/>
  <c r="EQ133"/>
  <c r="EC144"/>
  <c r="EP88"/>
  <c r="EF98"/>
  <c r="C2"/>
  <c r="EG163"/>
  <c r="ES9"/>
  <c r="CF90"/>
  <c r="DY55"/>
  <c r="DA53"/>
  <c r="DR11"/>
  <c r="AR69"/>
  <c r="BO131"/>
  <c r="C75"/>
  <c r="CY55"/>
  <c r="EC84"/>
  <c r="DF88"/>
  <c r="CA114"/>
  <c r="BX164"/>
  <c r="CZ33"/>
  <c r="DR72"/>
  <c r="CK166"/>
  <c r="CW90"/>
  <c r="DU54"/>
  <c r="EC42"/>
  <c r="EN114"/>
  <c r="CL20"/>
  <c r="BG175"/>
  <c r="FH38"/>
  <c r="EC2"/>
  <c r="BJ19"/>
  <c r="AJ90"/>
  <c r="BC77"/>
  <c r="FK40"/>
  <c r="CQ38"/>
  <c r="EQ108"/>
  <c r="AZ24"/>
  <c r="FH24"/>
  <c r="ET51"/>
  <c r="Q82"/>
  <c r="L129"/>
  <c r="AZ61"/>
  <c r="AS40"/>
  <c r="DV120"/>
  <c r="V153"/>
  <c r="FV124"/>
  <c r="BQ39"/>
  <c r="BW14"/>
  <c r="FF9"/>
  <c r="H58"/>
  <c r="DJ132"/>
  <c r="DG137"/>
  <c r="DU41"/>
  <c r="CZ48"/>
  <c r="EY5"/>
  <c r="AA145"/>
  <c r="AF128"/>
  <c r="DC171"/>
  <c r="FC23"/>
  <c r="EB136"/>
  <c r="EG125"/>
  <c r="CI109"/>
  <c r="FO143"/>
  <c r="EU175"/>
  <c r="BB98"/>
  <c r="DY57"/>
  <c r="BS115"/>
  <c r="AD119"/>
  <c r="D114"/>
  <c r="AL165"/>
  <c r="AR55"/>
  <c r="AB123"/>
  <c r="BW39"/>
  <c r="FQ23"/>
  <c r="Z111"/>
  <c r="CP175"/>
  <c r="DX89"/>
  <c r="BY94"/>
  <c r="BA96"/>
  <c r="BM16"/>
  <c r="DK49"/>
  <c r="FN60"/>
  <c r="DW46"/>
  <c r="CU133"/>
  <c r="BO106"/>
  <c r="AB52"/>
  <c r="DJ27"/>
  <c r="EC125"/>
  <c r="BP107"/>
  <c r="AB3"/>
  <c r="AF76"/>
  <c r="EX12"/>
  <c r="CD145"/>
  <c r="EA168"/>
  <c r="BL31"/>
  <c r="T148"/>
  <c r="AK159"/>
  <c r="BC168"/>
  <c r="AU30"/>
  <c r="ED98"/>
  <c r="Z139"/>
  <c r="EM29"/>
  <c r="FT174"/>
  <c r="AG20"/>
  <c r="DV137"/>
  <c r="CI171"/>
  <c r="BI87"/>
  <c r="ED6"/>
  <c r="DX124"/>
  <c r="AX54"/>
  <c r="EO174"/>
  <c r="CK109"/>
  <c r="DJ101"/>
  <c r="O165"/>
  <c r="EH93"/>
  <c r="EK89"/>
  <c r="AZ83"/>
  <c r="AB163"/>
  <c r="AR35"/>
  <c r="BU96"/>
  <c r="CZ77"/>
  <c r="EJ14"/>
  <c r="CM23"/>
  <c r="C95"/>
  <c r="X131"/>
  <c r="FH140"/>
  <c r="S4"/>
  <c r="EG57"/>
  <c r="EZ59"/>
  <c r="DJ16"/>
  <c r="DP79"/>
  <c r="CP18"/>
  <c r="CX114"/>
  <c r="FI8"/>
  <c r="BC121"/>
  <c r="W119"/>
  <c r="AJ121"/>
  <c r="V131"/>
  <c r="FJ134"/>
  <c r="BI9"/>
  <c r="EZ53"/>
  <c r="AP138"/>
  <c r="ET71"/>
  <c r="DA173"/>
  <c r="DK25"/>
  <c r="BD29"/>
  <c r="BW68"/>
  <c r="FH53"/>
  <c r="O91"/>
  <c r="CY122"/>
  <c r="EX18"/>
  <c r="FM95"/>
  <c r="DT72"/>
  <c r="AS29"/>
  <c r="AQ61"/>
  <c r="BM62"/>
  <c r="ED174"/>
  <c r="ES82"/>
  <c r="BB53"/>
  <c r="AE118"/>
  <c r="BN140"/>
  <c r="CD156"/>
  <c r="FO13"/>
  <c r="AC106"/>
  <c r="EB20"/>
  <c r="BV41"/>
  <c r="L90"/>
  <c r="DU51"/>
  <c r="EY155"/>
  <c r="DI49"/>
  <c r="AG137"/>
  <c r="AG130"/>
  <c r="EI118"/>
  <c r="BC147"/>
  <c r="AL47"/>
  <c r="CF74"/>
  <c r="EX51"/>
  <c r="BJ141"/>
  <c r="FB109"/>
  <c r="BR21"/>
  <c r="B98"/>
  <c r="CU77"/>
  <c r="BZ110"/>
  <c r="U16"/>
  <c r="D148"/>
  <c r="AR154"/>
  <c r="CR145"/>
  <c r="CV49"/>
  <c r="DI92"/>
  <c r="EM44"/>
  <c r="Y162"/>
  <c r="DN146"/>
  <c r="BW30"/>
  <c r="AN100"/>
  <c r="BC135"/>
  <c r="ET44"/>
  <c r="AQ94"/>
  <c r="Z23"/>
  <c r="ED173"/>
  <c r="CN176"/>
  <c r="CG173"/>
  <c r="FD20"/>
  <c r="AD75"/>
  <c r="DK174"/>
  <c r="CN161"/>
  <c r="FA99"/>
  <c r="W29"/>
  <c r="DS148"/>
  <c r="DI107"/>
  <c r="ER145"/>
  <c r="BA10"/>
  <c r="DU22"/>
  <c r="FF107"/>
  <c r="AG72"/>
  <c r="ER2"/>
  <c r="CQ64"/>
  <c r="DH19"/>
  <c r="AX140"/>
  <c r="H49"/>
  <c r="CR98"/>
  <c r="FV69"/>
  <c r="DD102"/>
  <c r="AA87"/>
  <c r="D5"/>
  <c r="AA113"/>
  <c r="BK76"/>
  <c r="BE67"/>
  <c r="Z172"/>
  <c r="CX157"/>
  <c r="K132"/>
  <c r="B158"/>
  <c r="BS86"/>
  <c r="FQ18"/>
  <c r="DW51"/>
  <c r="BC178"/>
  <c r="ET36"/>
  <c r="AE21"/>
  <c r="BB134"/>
  <c r="EK54"/>
  <c r="BA53"/>
  <c r="FV32"/>
  <c r="AZ16"/>
  <c r="BO156"/>
  <c r="EQ33"/>
  <c r="EI40"/>
  <c r="AW9"/>
  <c r="D12"/>
  <c r="EI101"/>
  <c r="BO31"/>
  <c r="AS166"/>
  <c r="AF18"/>
  <c r="AB121"/>
  <c r="ED67"/>
  <c r="CA148"/>
  <c r="AO36"/>
  <c r="BY34"/>
  <c r="H156"/>
  <c r="BL161"/>
  <c r="BJ103"/>
  <c r="AD132"/>
  <c r="DS24"/>
  <c r="ET8"/>
  <c r="EC12"/>
  <c r="EX102"/>
  <c r="AO103"/>
  <c r="FV25"/>
  <c r="EL52"/>
  <c r="EN4"/>
  <c r="AT74"/>
  <c r="BF175"/>
  <c r="DK98"/>
  <c r="AF31"/>
  <c r="G28"/>
  <c r="F28"/>
  <c r="W53"/>
  <c r="D17"/>
  <c r="DL124"/>
  <c r="CP60"/>
  <c r="ER89"/>
  <c r="AX170"/>
  <c r="FH107"/>
  <c r="EN141"/>
  <c r="BN30"/>
  <c r="EW121"/>
  <c r="CX95"/>
  <c r="O178"/>
  <c r="CQ22"/>
  <c r="CR69"/>
  <c r="BB126"/>
  <c r="DB102"/>
  <c r="BY155"/>
  <c r="DP82"/>
  <c r="FE95"/>
  <c r="CJ51"/>
  <c r="O71"/>
  <c r="AI81"/>
  <c r="AG90"/>
  <c r="EP68"/>
  <c r="BL29"/>
  <c r="EY80"/>
  <c r="FM21"/>
  <c r="CI168"/>
  <c r="EZ119"/>
  <c r="FO98"/>
  <c r="AR21"/>
  <c r="L115"/>
  <c r="AA84"/>
  <c r="FR144"/>
  <c r="S102"/>
  <c r="FV148"/>
  <c r="EI117"/>
  <c r="BM93"/>
  <c r="AX138"/>
  <c r="EE143"/>
  <c r="EK105"/>
  <c r="CM48"/>
  <c r="AJ9"/>
  <c r="AE3"/>
  <c r="EU118"/>
  <c r="EX33"/>
  <c r="AY102"/>
  <c r="DV85"/>
  <c r="BT34"/>
  <c r="DV72"/>
  <c r="S162"/>
  <c r="EI116"/>
  <c r="R25"/>
  <c r="BI15"/>
  <c r="CZ86"/>
  <c r="O99"/>
  <c r="BA87"/>
  <c r="FL70"/>
  <c r="DK81"/>
  <c r="AP45"/>
  <c r="BS117"/>
  <c r="CB84"/>
  <c r="DD110"/>
  <c r="FA22"/>
  <c r="BH91"/>
  <c r="FO25"/>
  <c r="B17"/>
  <c r="Q35"/>
  <c r="BC19"/>
  <c r="EJ131"/>
  <c r="CC75"/>
  <c r="FU84"/>
  <c r="E13"/>
  <c r="Y155"/>
  <c r="FP27"/>
  <c r="AW82"/>
  <c r="AK113"/>
  <c r="EM172"/>
  <c r="AT101"/>
  <c r="ED132"/>
  <c r="BU30"/>
  <c r="BZ161"/>
  <c r="DO100"/>
  <c r="BU169"/>
  <c r="DC33"/>
  <c r="AC128"/>
  <c r="DS79"/>
  <c r="DL72"/>
  <c r="Y50"/>
  <c r="DJ28"/>
  <c r="DB101"/>
  <c r="DB138"/>
  <c r="AG149"/>
  <c r="K6"/>
  <c r="DR21"/>
  <c r="DN38"/>
  <c r="S69"/>
  <c r="FO161"/>
  <c r="AI39"/>
  <c r="BX69"/>
  <c r="AD2"/>
  <c r="BQ91"/>
  <c r="AV147"/>
  <c r="AT167"/>
  <c r="DW45"/>
  <c r="CF94"/>
  <c r="BS68"/>
  <c r="FJ99"/>
  <c r="FM84"/>
  <c r="FV23"/>
  <c r="BW97"/>
  <c r="CX96"/>
  <c r="AW154"/>
  <c r="AM2"/>
  <c r="EH63"/>
  <c r="EH142"/>
  <c r="FS109"/>
  <c r="N27"/>
  <c r="FE40"/>
  <c r="EC136"/>
  <c r="H25"/>
  <c r="G11"/>
  <c r="C87"/>
  <c r="AV51"/>
  <c r="BI177"/>
  <c r="CE61"/>
  <c r="EM68"/>
  <c r="CI117"/>
  <c r="DF170"/>
  <c r="P3"/>
  <c r="AF57"/>
  <c r="BI44"/>
  <c r="M135"/>
  <c r="FG3"/>
  <c r="DJ3"/>
  <c r="EM153"/>
  <c r="AN105"/>
  <c r="BZ140"/>
  <c r="BF28"/>
  <c r="AO101"/>
  <c r="H171"/>
  <c r="AM23"/>
  <c r="ED133"/>
  <c r="DB25"/>
  <c r="CM8"/>
  <c r="DI119"/>
  <c r="ET37"/>
  <c r="BH30"/>
  <c r="FB13"/>
  <c r="O24"/>
  <c r="AU156"/>
  <c r="AV104"/>
  <c r="CD100"/>
  <c r="EY167"/>
  <c r="FP48"/>
  <c r="FO79"/>
  <c r="BC170"/>
  <c r="EJ65"/>
  <c r="CX78"/>
  <c r="EU113"/>
  <c r="S104"/>
  <c r="DA162"/>
  <c r="EO88"/>
  <c r="BL94"/>
  <c r="FP81"/>
  <c r="DQ116"/>
  <c r="M91"/>
  <c r="CC150"/>
  <c r="E127"/>
  <c r="DZ68"/>
  <c r="BF144"/>
  <c r="AC168"/>
  <c r="EQ78"/>
  <c r="AB138"/>
  <c r="AJ143"/>
  <c r="BX2"/>
  <c r="DQ56"/>
  <c r="E142"/>
  <c r="CF61"/>
  <c r="CS144"/>
  <c r="BH3"/>
  <c r="FF150"/>
  <c r="DT154"/>
  <c r="EP39"/>
  <c r="DI95"/>
  <c r="F61"/>
  <c r="DM118"/>
  <c r="EW106"/>
  <c r="EV91"/>
  <c r="AF148"/>
  <c r="AI147"/>
  <c r="BJ15"/>
  <c r="BD110"/>
  <c r="FE15"/>
  <c r="AF131"/>
  <c r="AN141"/>
  <c r="DO145"/>
  <c r="EK50"/>
  <c r="DZ78"/>
  <c r="BY126"/>
  <c r="X2"/>
  <c r="DA17"/>
  <c r="AQ154"/>
  <c r="BU103"/>
  <c r="AH38"/>
  <c r="CL47"/>
  <c r="AC130"/>
  <c r="CP139"/>
  <c r="AY56"/>
  <c r="EM39"/>
  <c r="ER135"/>
  <c r="BK89"/>
  <c r="AU59"/>
  <c r="T109"/>
  <c r="EP151"/>
  <c r="FB149"/>
  <c r="BF92"/>
  <c r="CQ127"/>
  <c r="EK21"/>
  <c r="AH128"/>
  <c r="AD42"/>
  <c r="AE106"/>
  <c r="BA33"/>
  <c r="D144"/>
  <c r="DN166"/>
  <c r="FJ165"/>
  <c r="J97"/>
  <c r="BC158"/>
  <c r="F71"/>
  <c r="DD48"/>
  <c r="FI34"/>
  <c r="Y64"/>
  <c r="ES10"/>
  <c r="BN4"/>
  <c r="EZ68"/>
  <c r="DP154"/>
  <c r="EL113"/>
  <c r="DW114"/>
  <c r="BK97"/>
  <c r="AO108"/>
  <c r="BC99"/>
  <c r="DF44"/>
  <c r="DQ31"/>
  <c r="DG146"/>
  <c r="FM50"/>
  <c r="FK158"/>
  <c r="FJ34"/>
  <c r="AH133"/>
  <c r="FF43"/>
  <c r="DC133"/>
  <c r="BR137"/>
  <c r="DX125"/>
  <c r="DU77"/>
  <c r="EC62"/>
  <c r="ED175"/>
  <c r="EI170"/>
  <c r="CM149"/>
  <c r="AG57"/>
  <c r="DQ93"/>
  <c r="BZ151"/>
  <c r="CQ28"/>
  <c r="FN130"/>
  <c r="V146"/>
  <c r="ES167"/>
  <c r="K164"/>
  <c r="EH17"/>
  <c r="CC102"/>
  <c r="EK64"/>
  <c r="BW3"/>
  <c r="FT24"/>
  <c r="T126"/>
  <c r="BL126"/>
  <c r="BK9"/>
  <c r="AX88"/>
  <c r="CY91"/>
  <c r="FD123"/>
  <c r="AV18"/>
  <c r="DL164"/>
  <c r="L67"/>
  <c r="FR147"/>
  <c r="EL23"/>
  <c r="FS58"/>
  <c r="DC12"/>
  <c r="EC159"/>
  <c r="AS53"/>
  <c r="FG132"/>
  <c r="FA52"/>
  <c r="DE74"/>
  <c r="CF67"/>
  <c r="EA17"/>
  <c r="CH142"/>
  <c r="BW64"/>
  <c r="AY78"/>
  <c r="FS50"/>
  <c r="DB100"/>
  <c r="DR62"/>
  <c r="DS26"/>
  <c r="EY146"/>
  <c r="EG131"/>
  <c r="FH87"/>
  <c r="CT117"/>
  <c r="BG149"/>
  <c r="FL40"/>
  <c r="BC2"/>
  <c r="ED78"/>
  <c r="AL5"/>
  <c r="AE82"/>
  <c r="AR84"/>
  <c r="BM158"/>
  <c r="FD112"/>
  <c r="DM72"/>
  <c r="DG141"/>
  <c r="X157"/>
  <c r="FB129"/>
  <c r="DH106"/>
  <c r="BG88"/>
  <c r="FJ69"/>
  <c r="BV28"/>
  <c r="EH45"/>
  <c r="FV47"/>
  <c r="BD124"/>
  <c r="CV174"/>
  <c r="CJ137"/>
  <c r="BN99"/>
  <c r="CB22"/>
  <c r="EB34"/>
  <c r="F84"/>
  <c r="EJ91"/>
  <c r="BH143"/>
  <c r="AF17"/>
  <c r="FJ70"/>
  <c r="AV95"/>
  <c r="EB119"/>
  <c r="AO154"/>
  <c r="FK80"/>
  <c r="DM177"/>
  <c r="AM107"/>
  <c r="BS73"/>
  <c r="DV17"/>
  <c r="EG66"/>
  <c r="BX168"/>
  <c r="AL100"/>
  <c r="F93"/>
  <c r="BQ73"/>
  <c r="EB120"/>
  <c r="EL7"/>
  <c r="B160"/>
  <c r="BC151"/>
  <c r="FU170"/>
  <c r="S85"/>
  <c r="DU149"/>
  <c r="Q162"/>
  <c r="AP79"/>
  <c r="D161"/>
  <c r="AZ157"/>
  <c r="DR29"/>
  <c r="FM159"/>
  <c r="AK142"/>
  <c r="CD11"/>
  <c r="FE41"/>
  <c r="AW132"/>
  <c r="BT50"/>
  <c r="DX43"/>
  <c r="N2"/>
  <c r="AG65"/>
  <c r="BJ132"/>
  <c r="FB93"/>
  <c r="FV43"/>
  <c r="CM126"/>
  <c r="I130"/>
  <c r="FO94"/>
  <c r="FU15"/>
  <c r="EK146"/>
  <c r="FB151"/>
  <c r="EJ167"/>
  <c r="O128"/>
  <c r="R165"/>
  <c r="DE27"/>
  <c r="CP112"/>
  <c r="CL150"/>
  <c r="B33"/>
  <c r="EQ24"/>
  <c r="AO146"/>
  <c r="O86"/>
  <c r="EI152"/>
  <c r="N56"/>
  <c r="K73"/>
  <c r="Z21"/>
  <c r="O169"/>
  <c r="J145"/>
  <c r="BB138"/>
  <c r="AV3"/>
  <c r="DD172"/>
  <c r="AY94"/>
  <c r="V170"/>
  <c r="FD50"/>
  <c r="BT72"/>
  <c r="BA106"/>
  <c r="BB169"/>
  <c r="EM121"/>
  <c r="DM141"/>
  <c r="EY128"/>
  <c r="BG114"/>
  <c r="BE19"/>
  <c r="CY18"/>
  <c r="K103"/>
  <c r="AM101"/>
  <c r="FJ133"/>
  <c r="L123"/>
  <c r="Q137"/>
  <c r="CD174"/>
  <c r="T166"/>
  <c r="BK106"/>
  <c r="DT121"/>
  <c r="CK139"/>
  <c r="DH163"/>
  <c r="FV163"/>
  <c r="CX168"/>
  <c r="BF160"/>
  <c r="FU86"/>
  <c r="CY167"/>
  <c r="BI13"/>
  <c r="CU78"/>
  <c r="AX19"/>
  <c r="N78"/>
  <c r="EB55"/>
  <c r="DV29"/>
  <c r="BD3"/>
  <c r="J59"/>
  <c r="FL124"/>
  <c r="ER129"/>
  <c r="AH10"/>
  <c r="R132"/>
  <c r="ER37"/>
  <c r="BP25"/>
  <c r="CE35"/>
  <c r="EA114"/>
  <c r="I65"/>
  <c r="BQ144"/>
  <c r="FC101"/>
  <c r="CD86"/>
  <c r="AC6"/>
  <c r="CA62"/>
  <c r="Q93"/>
  <c r="CS140"/>
  <c r="AW45"/>
  <c r="DS142"/>
  <c r="AN28"/>
  <c r="DL118"/>
  <c r="FT169"/>
  <c r="DR97"/>
  <c r="EZ166"/>
  <c r="CB126"/>
  <c r="EN134"/>
  <c r="EW146"/>
  <c r="CG169"/>
  <c r="EB22"/>
  <c r="AI116"/>
  <c r="CN69"/>
  <c r="FQ135"/>
  <c r="FO41"/>
  <c r="CD125"/>
  <c r="EP69"/>
  <c r="FG9"/>
  <c r="DC36"/>
  <c r="DR106"/>
  <c r="BS138"/>
  <c r="L153"/>
  <c r="FP122"/>
  <c r="FB27"/>
  <c r="EJ63"/>
  <c r="AO40"/>
  <c r="J163"/>
  <c r="AM38"/>
  <c r="AK136"/>
  <c r="DU82"/>
  <c r="CP141"/>
  <c r="L58"/>
  <c r="EG46"/>
  <c r="Z128"/>
  <c r="CP42"/>
  <c r="EQ95"/>
  <c r="BN26"/>
  <c r="EE126"/>
  <c r="BK154"/>
  <c r="FQ136"/>
  <c r="EW153"/>
  <c r="S60"/>
  <c r="DA71"/>
  <c r="DY56"/>
  <c r="E54"/>
  <c r="T157"/>
  <c r="CD97"/>
  <c r="CD25"/>
  <c r="DK12"/>
  <c r="EP49"/>
  <c r="BT127"/>
  <c r="DH118"/>
  <c r="DH88"/>
  <c r="AK79"/>
  <c r="J47"/>
  <c r="FL74"/>
  <c r="G25"/>
  <c r="BP57"/>
  <c r="CB176"/>
  <c r="CB15"/>
  <c r="DZ48"/>
  <c r="FQ35"/>
  <c r="BX116"/>
  <c r="AN162"/>
  <c r="BG178"/>
  <c r="FP117"/>
  <c r="EP143"/>
  <c r="F133"/>
  <c r="FE126"/>
  <c r="FG61"/>
  <c r="CO15"/>
  <c r="FJ102"/>
  <c r="FA96"/>
  <c r="CB52"/>
  <c r="DS23"/>
  <c r="EM108"/>
  <c r="BZ70"/>
  <c r="BY27"/>
  <c r="DH77"/>
  <c r="AE24"/>
  <c r="BW111"/>
  <c r="DG156"/>
  <c r="CN87"/>
  <c r="BR76"/>
  <c r="FD162"/>
  <c r="ED18"/>
  <c r="FO14"/>
  <c r="DQ11"/>
  <c r="X53"/>
  <c r="BW118"/>
  <c r="CT4"/>
  <c r="CN82"/>
  <c r="CE5"/>
  <c r="CD41"/>
  <c r="AJ155"/>
  <c r="BE44"/>
  <c r="EQ98"/>
  <c r="ES22"/>
  <c r="CY126"/>
  <c r="I98"/>
  <c r="AO62"/>
  <c r="EL149"/>
  <c r="X144"/>
  <c r="CX142"/>
  <c r="AT40"/>
  <c r="BV75"/>
  <c r="CZ138"/>
  <c r="EW74"/>
  <c r="EY40"/>
  <c r="S25"/>
  <c r="EN174"/>
  <c r="CE67"/>
  <c r="Y141"/>
  <c r="AU151"/>
  <c r="EZ28"/>
  <c r="FT4"/>
  <c r="CH131"/>
  <c r="CX3"/>
  <c r="DY85"/>
  <c r="BD153"/>
  <c r="FU150"/>
  <c r="B112"/>
  <c r="FV58"/>
  <c r="EW145"/>
  <c r="CW175"/>
  <c r="EG87"/>
  <c r="BH54"/>
  <c r="AO84"/>
  <c r="H134"/>
  <c r="CO121"/>
  <c r="O152"/>
  <c r="CG172"/>
  <c r="EA25"/>
  <c r="BC24"/>
  <c r="AT132"/>
  <c r="I58"/>
  <c r="C120"/>
  <c r="EE174"/>
  <c r="BW10"/>
  <c r="DG2"/>
  <c r="CS125"/>
  <c r="AW142"/>
  <c r="EP14"/>
  <c r="DJ9"/>
  <c r="DD11"/>
  <c r="EF125"/>
  <c r="DN102"/>
  <c r="DD174"/>
  <c r="FV127"/>
  <c r="EW22"/>
  <c r="AB162"/>
  <c r="D70"/>
  <c r="BX17"/>
  <c r="CS131"/>
  <c r="AP74"/>
  <c r="FC22"/>
  <c r="DM135"/>
  <c r="BH7"/>
  <c r="FB142"/>
  <c r="M8"/>
  <c r="AR9"/>
  <c r="BU135"/>
  <c r="O151"/>
  <c r="AT94"/>
  <c r="FV76"/>
  <c r="FP75"/>
  <c r="DC21"/>
  <c r="EH127"/>
  <c r="BU83"/>
  <c r="EK69"/>
  <c r="D109"/>
  <c r="S159"/>
  <c r="DV151"/>
  <c r="FB114"/>
  <c r="DN75"/>
  <c r="FQ151"/>
  <c r="X159"/>
  <c r="AW119"/>
  <c r="EV102"/>
  <c r="ET133"/>
  <c r="CU115"/>
  <c r="BL124"/>
  <c r="DW101"/>
  <c r="DB74"/>
  <c r="FS131"/>
  <c r="DE142"/>
  <c r="DG174"/>
  <c r="EA173"/>
  <c r="AS49"/>
  <c r="CK4"/>
  <c r="DE162"/>
  <c r="DC60"/>
  <c r="AG62"/>
  <c r="BU44"/>
  <c r="J89"/>
  <c r="H38"/>
  <c r="BW11"/>
  <c r="BZ154"/>
  <c r="EN51"/>
  <c r="AG64"/>
  <c r="CO147"/>
  <c r="DQ104"/>
  <c r="FU127"/>
  <c r="AL160"/>
  <c r="Y31"/>
  <c r="CO172"/>
  <c r="F157"/>
  <c r="AZ2"/>
  <c r="CV38"/>
  <c r="AX161"/>
  <c r="DW89"/>
  <c r="CI133"/>
  <c r="FU124"/>
  <c r="DV21"/>
  <c r="FI11"/>
  <c r="AT72"/>
  <c r="K55"/>
  <c r="AM39"/>
  <c r="AY77"/>
  <c r="DS74"/>
  <c r="CA160"/>
  <c r="N122"/>
  <c r="ER80"/>
  <c r="BO134"/>
  <c r="CQ125"/>
  <c r="AC115"/>
  <c r="DU56"/>
  <c r="AB27"/>
  <c r="FP129"/>
  <c r="DM162"/>
  <c r="EA12"/>
  <c r="EJ51"/>
  <c r="CO6"/>
  <c r="EZ156"/>
  <c r="EJ46"/>
  <c r="Y38"/>
  <c r="FO60"/>
  <c r="DL65"/>
  <c r="L75"/>
  <c r="CQ101"/>
  <c r="D29"/>
  <c r="FU38"/>
  <c r="FB46"/>
  <c r="FG154"/>
  <c r="AX105"/>
  <c r="S11"/>
  <c r="EU116"/>
  <c r="AI95"/>
  <c r="DV26"/>
  <c r="EV45"/>
  <c r="ES137"/>
  <c r="AF114"/>
  <c r="DL89"/>
  <c r="FP159"/>
  <c r="AX175"/>
  <c r="ET62"/>
  <c r="AK84"/>
  <c r="BU54"/>
  <c r="DW80"/>
  <c r="BP135"/>
  <c r="FU50"/>
  <c r="FL89"/>
  <c r="L147"/>
  <c r="DH54"/>
  <c r="FK140"/>
  <c r="BI76"/>
  <c r="AP163"/>
  <c r="CV104"/>
  <c r="AY44"/>
  <c r="FP63"/>
  <c r="EL153"/>
  <c r="U27"/>
  <c r="EK104"/>
  <c r="AW27"/>
  <c r="H46"/>
  <c r="AJ18"/>
  <c r="DK75"/>
  <c r="DX11"/>
  <c r="FQ175"/>
  <c r="CJ135"/>
  <c r="AC156"/>
  <c r="EB4"/>
  <c r="DH33"/>
  <c r="M3"/>
  <c r="CI86"/>
  <c r="BA97"/>
  <c r="BM8"/>
  <c r="X152"/>
  <c r="BY131"/>
  <c r="CI166"/>
  <c r="EX96"/>
  <c r="EW5"/>
  <c r="O154"/>
  <c r="K127"/>
  <c r="CL148"/>
  <c r="FE92"/>
  <c r="EJ156"/>
  <c r="AX169"/>
  <c r="C67"/>
  <c r="EY14"/>
  <c r="Z166"/>
  <c r="FU100"/>
  <c r="FO84"/>
  <c r="AB157"/>
  <c r="BS53"/>
  <c r="AC104"/>
  <c r="EK159"/>
  <c r="ER44"/>
  <c r="AM34"/>
  <c r="BC132"/>
  <c r="AU15"/>
  <c r="CZ107"/>
  <c r="DR80"/>
  <c r="BM39"/>
  <c r="BS71"/>
  <c r="W38"/>
  <c r="CM158"/>
  <c r="BS102"/>
  <c r="DZ69"/>
  <c r="E155"/>
  <c r="FF122"/>
  <c r="P8"/>
  <c r="AV97"/>
  <c r="CY72"/>
  <c r="ES152"/>
  <c r="AS86"/>
  <c r="BI51"/>
  <c r="L2"/>
  <c r="BZ169"/>
  <c r="EY45"/>
  <c r="CP31"/>
  <c r="FK112"/>
  <c r="FQ108"/>
  <c r="FJ162"/>
  <c r="CT29"/>
  <c r="FV70"/>
  <c r="J115"/>
  <c r="AT157"/>
  <c r="FN116"/>
  <c r="CA103"/>
  <c r="EO106"/>
  <c r="CS46"/>
  <c r="N65"/>
  <c r="Y95"/>
  <c r="EE129"/>
  <c r="FB141"/>
  <c r="DL114"/>
  <c r="EF105"/>
  <c r="BT112"/>
  <c r="X149"/>
  <c r="BE116"/>
  <c r="J94"/>
  <c r="EZ80"/>
  <c r="AB86"/>
  <c r="BF9"/>
  <c r="FM143"/>
  <c r="DM133"/>
  <c r="AU78"/>
  <c r="J106"/>
  <c r="CZ141"/>
  <c r="AG151"/>
  <c r="DT28"/>
  <c r="EX98"/>
  <c r="DS77"/>
  <c r="BF128"/>
  <c r="FH144"/>
  <c r="CC129"/>
  <c r="EA176"/>
  <c r="BL54"/>
  <c r="AD80"/>
  <c r="BL101"/>
  <c r="AO17"/>
  <c r="FH136"/>
  <c r="DW123"/>
  <c r="EH152"/>
  <c r="CU155"/>
  <c r="BU176"/>
  <c r="BK75"/>
  <c r="BO13"/>
  <c r="EJ118"/>
  <c r="DO178"/>
  <c r="EB18"/>
  <c r="Y177"/>
  <c r="BL83"/>
  <c r="DH129"/>
  <c r="EJ19"/>
  <c r="AM139"/>
  <c r="BA50"/>
  <c r="DD115"/>
  <c r="W170"/>
  <c r="AY86"/>
  <c r="C90"/>
  <c r="DH112"/>
  <c r="CJ157"/>
  <c r="BD116"/>
  <c r="BP169"/>
  <c r="ER101"/>
  <c r="S126"/>
  <c r="N111"/>
  <c r="FJ150"/>
  <c r="B44"/>
  <c r="BG147"/>
  <c r="DM16"/>
  <c r="AL74"/>
  <c r="DP75"/>
  <c r="B55"/>
  <c r="AD148"/>
  <c r="EE137"/>
  <c r="FA144"/>
  <c r="AB156"/>
  <c r="AS19"/>
  <c r="CZ85"/>
  <c r="BG103"/>
  <c r="BI6"/>
  <c r="FE35"/>
  <c r="CN126"/>
  <c r="DS137"/>
  <c r="DK109"/>
  <c r="L121"/>
  <c r="EE10"/>
  <c r="EO122"/>
  <c r="DU9"/>
  <c r="E34"/>
  <c r="EP15"/>
  <c r="EP36"/>
  <c r="CR120"/>
  <c r="DH11"/>
  <c r="N130"/>
  <c r="CB20"/>
  <c r="EU53"/>
  <c r="CE136"/>
  <c r="CO119"/>
  <c r="EK73"/>
  <c r="FE169"/>
  <c r="W11"/>
  <c r="EL84"/>
  <c r="DK44"/>
  <c r="FM167"/>
  <c r="CX177"/>
  <c r="DV121"/>
  <c r="AW10"/>
  <c r="ES163"/>
  <c r="CH4"/>
  <c r="CO122"/>
  <c r="ED143"/>
  <c r="AV79"/>
  <c r="O46"/>
  <c r="DP112"/>
  <c r="FM96"/>
  <c r="CF129"/>
  <c r="FJ47"/>
  <c r="EY130"/>
  <c r="CB89"/>
  <c r="FJ167"/>
  <c r="DW71"/>
  <c r="CR57"/>
  <c r="CO9"/>
  <c r="EM109"/>
  <c r="CA163"/>
  <c r="AZ77"/>
  <c r="FC144"/>
  <c r="DM40"/>
  <c r="BK117"/>
  <c r="FN8"/>
  <c r="P42"/>
  <c r="DT110"/>
  <c r="AK5"/>
  <c r="FD85"/>
  <c r="CK92"/>
  <c r="CB59"/>
  <c r="M28"/>
  <c r="AX172"/>
  <c r="EO50"/>
  <c r="BK103"/>
  <c r="FN21"/>
  <c r="BB40"/>
  <c r="FN113"/>
  <c r="CW172"/>
  <c r="FA31"/>
  <c r="FP20" i="2"/>
</calcChain>
</file>

<file path=xl/sharedStrings.xml><?xml version="1.0" encoding="utf-8"?>
<sst xmlns="http://schemas.openxmlformats.org/spreadsheetml/2006/main" count="616" uniqueCount="344">
  <si>
    <t>PENG's QR Generator</t>
  </si>
  <si>
    <t>Text/URL</t>
  </si>
  <si>
    <t>Name Card</t>
  </si>
  <si>
    <t>SMS</t>
  </si>
  <si>
    <t>Wifi</t>
  </si>
  <si>
    <t>Name</t>
  </si>
  <si>
    <t>Email</t>
  </si>
  <si>
    <t>Mobile</t>
  </si>
  <si>
    <t>Work Tel</t>
  </si>
  <si>
    <t>Office Address</t>
  </si>
  <si>
    <t>Company Name</t>
  </si>
  <si>
    <t>Home Page</t>
  </si>
  <si>
    <t>Input Information Here</t>
  </si>
  <si>
    <t xml:space="preserve">Input Type :  </t>
  </si>
  <si>
    <t xml:space="preserve">Error Correction Level :   </t>
  </si>
  <si>
    <t>L</t>
  </si>
  <si>
    <t>M</t>
  </si>
  <si>
    <t>H</t>
  </si>
  <si>
    <t>Q</t>
  </si>
  <si>
    <t>Text / URL</t>
  </si>
  <si>
    <t>SSID</t>
  </si>
  <si>
    <t>Password</t>
  </si>
  <si>
    <t>Total Word Count</t>
  </si>
  <si>
    <t>QR version - EC Level</t>
  </si>
  <si>
    <t>Instructions:</t>
  </si>
  <si>
    <t>Please input text</t>
  </si>
  <si>
    <t>Input your name card</t>
  </si>
  <si>
    <t xml:space="preserve">Input phone number and text to send a text message via SMS </t>
  </si>
  <si>
    <t>Available for Android system, connects to WIFI automatically</t>
  </si>
  <si>
    <t>Lowest level, information can be recovered from up to approximately 7% error code words</t>
  </si>
  <si>
    <t>Medium level, information can be recover from up to approximately 15% error code words</t>
  </si>
  <si>
    <t>Code word filling matrix</t>
  </si>
  <si>
    <t>code words:</t>
  </si>
  <si>
    <t>block information</t>
  </si>
  <si>
    <t>CW size</t>
  </si>
  <si>
    <t>Ver-EC</t>
  </si>
  <si>
    <t>code size matrix</t>
  </si>
  <si>
    <t>Mobile Number</t>
  </si>
  <si>
    <t>Text Message</t>
  </si>
  <si>
    <t>Quality level, information can be recover from up to approximately 25% error code words</t>
  </si>
  <si>
    <t>Highest level, information can be recover from up to approximately 30% error code words</t>
  </si>
  <si>
    <t>EC</t>
  </si>
  <si>
    <t>Input String</t>
  </si>
  <si>
    <t>Jackie.peng@ipsen.com.cn</t>
  </si>
  <si>
    <t>Title</t>
  </si>
  <si>
    <t>Note</t>
  </si>
  <si>
    <t>Length of input str:</t>
  </si>
  <si>
    <t>Version:</t>
  </si>
  <si>
    <t>Overflow</t>
  </si>
  <si>
    <t>EC Size</t>
  </si>
  <si>
    <t>Codeflow</t>
  </si>
  <si>
    <t>Max bit count</t>
  </si>
  <si>
    <t>Pdg Count</t>
  </si>
  <si>
    <t>lastpdg</t>
  </si>
  <si>
    <t>Pdg 1</t>
  </si>
  <si>
    <t>11101100</t>
  </si>
  <si>
    <t>Pdg 2</t>
  </si>
  <si>
    <t>00010001</t>
  </si>
  <si>
    <t>pdg words</t>
  </si>
  <si>
    <t>final word</t>
  </si>
  <si>
    <t>Bin</t>
  </si>
  <si>
    <t>max bit counts</t>
  </si>
  <si>
    <t>1-L</t>
  </si>
  <si>
    <t>1-M</t>
  </si>
  <si>
    <t>1-Q</t>
  </si>
  <si>
    <t>1-H</t>
  </si>
  <si>
    <t>2-L</t>
  </si>
  <si>
    <t>2-M</t>
  </si>
  <si>
    <t>2-Q</t>
  </si>
  <si>
    <t>2-H</t>
  </si>
  <si>
    <t>3-L</t>
  </si>
  <si>
    <t>3-M</t>
  </si>
  <si>
    <t>3-Q</t>
  </si>
  <si>
    <t>3-H</t>
  </si>
  <si>
    <t>4-L</t>
  </si>
  <si>
    <t>4-M</t>
  </si>
  <si>
    <t>4-Q</t>
  </si>
  <si>
    <t>4-H</t>
  </si>
  <si>
    <t>6-L</t>
  </si>
  <si>
    <t>6-M</t>
  </si>
  <si>
    <t>6-Q</t>
  </si>
  <si>
    <t>6-H</t>
  </si>
  <si>
    <t>8-L</t>
  </si>
  <si>
    <t>8-M</t>
  </si>
  <si>
    <t>8-Q</t>
  </si>
  <si>
    <t>8-H</t>
  </si>
  <si>
    <t>10-L</t>
  </si>
  <si>
    <t>10-M</t>
  </si>
  <si>
    <t>10-Q</t>
  </si>
  <si>
    <t>10-H</t>
  </si>
  <si>
    <t>13-L</t>
  </si>
  <si>
    <t>13-M</t>
  </si>
  <si>
    <t>13-Q</t>
  </si>
  <si>
    <t>13-H</t>
  </si>
  <si>
    <t>16-L</t>
  </si>
  <si>
    <t>16-M</t>
  </si>
  <si>
    <t>16-Q</t>
  </si>
  <si>
    <t>16-H</t>
  </si>
  <si>
    <t>20-L</t>
  </si>
  <si>
    <t>20-M</t>
  </si>
  <si>
    <t>20-Q</t>
  </si>
  <si>
    <t>20-H</t>
  </si>
  <si>
    <t>25-L</t>
  </si>
  <si>
    <t>25-M</t>
  </si>
  <si>
    <t>25-Q</t>
  </si>
  <si>
    <t>25-H</t>
  </si>
  <si>
    <t>30-L</t>
  </si>
  <si>
    <t>30-M</t>
  </si>
  <si>
    <t>30-Q</t>
  </si>
  <si>
    <t>30-H</t>
  </si>
  <si>
    <t>35-L</t>
  </si>
  <si>
    <t>35-M</t>
  </si>
  <si>
    <t>35-Q</t>
  </si>
  <si>
    <t>35-H</t>
  </si>
  <si>
    <t>40-L</t>
  </si>
  <si>
    <t>40-M</t>
  </si>
  <si>
    <t>40-Q</t>
  </si>
  <si>
    <t>40-H</t>
  </si>
  <si>
    <t>Final Code flow</t>
  </si>
  <si>
    <t>genpoly on Galois field: GF(2^8) with mod x^8+x^4+x^3+x^2+1=0</t>
  </si>
  <si>
    <t>RS(n,k):</t>
  </si>
  <si>
    <t>n: number of message word, k: number of errorcorrection words</t>
  </si>
  <si>
    <t>n-k=2v</t>
  </si>
  <si>
    <t>genpoly = (x+a)(x+a^2)(x+a^3)…(x+a^2v)</t>
  </si>
  <si>
    <t>GF(255)</t>
  </si>
  <si>
    <t>Dec</t>
  </si>
  <si>
    <t>A^N</t>
  </si>
  <si>
    <t>Matrix of Generate Polynomial</t>
  </si>
  <si>
    <t>EC word count</t>
  </si>
  <si>
    <t>a powers</t>
  </si>
  <si>
    <t>No.</t>
  </si>
  <si>
    <t>Input Area</t>
  </si>
  <si>
    <t>Output</t>
  </si>
  <si>
    <t>Input</t>
  </si>
  <si>
    <t>16DigDec2Bin</t>
  </si>
  <si>
    <t>16-Digit-Dec2Bin hyper calculation (system function can process up to 511)</t>
  </si>
  <si>
    <t>Error Correction Words</t>
  </si>
  <si>
    <t>Dec2</t>
  </si>
  <si>
    <t xml:space="preserve">Genpoly: </t>
  </si>
  <si>
    <t/>
  </si>
  <si>
    <t>CW</t>
  </si>
  <si>
    <t>Row</t>
  </si>
  <si>
    <t>Col</t>
  </si>
  <si>
    <t>R1</t>
  </si>
  <si>
    <t>R2</t>
  </si>
  <si>
    <t>N2</t>
  </si>
  <si>
    <t>N1</t>
  </si>
  <si>
    <t>N3</t>
  </si>
  <si>
    <t>ECW</t>
  </si>
  <si>
    <t>CWC</t>
  </si>
  <si>
    <t>ECC</t>
  </si>
  <si>
    <t>Code word</t>
  </si>
  <si>
    <t>EC word</t>
  </si>
  <si>
    <t>FW</t>
  </si>
  <si>
    <t>Final</t>
  </si>
  <si>
    <t>size</t>
  </si>
  <si>
    <t>Code Bin String:</t>
  </si>
  <si>
    <t>Format information calc:</t>
  </si>
  <si>
    <t>version</t>
  </si>
  <si>
    <t>Version Information &amp; Alignment Pattern Cord</t>
  </si>
  <si>
    <t>Ver</t>
  </si>
  <si>
    <t>VI Bits</t>
  </si>
  <si>
    <t>Format Info</t>
  </si>
  <si>
    <t>masktype</t>
  </si>
  <si>
    <t>alignment pattern coordinates</t>
  </si>
  <si>
    <t>BCH</t>
  </si>
  <si>
    <t>GenPoly = 2467</t>
  </si>
  <si>
    <t>code words</t>
  </si>
  <si>
    <t>Input:</t>
  </si>
  <si>
    <t>genpoly</t>
  </si>
  <si>
    <t>codewords</t>
  </si>
  <si>
    <t>BCH Code (15,5)</t>
  </si>
  <si>
    <t>Mask type:</t>
  </si>
  <si>
    <t>000 - (x+y) mod 2</t>
  </si>
  <si>
    <t>001 - x mod 2</t>
  </si>
  <si>
    <t>002 - y mod 3</t>
  </si>
  <si>
    <t>01</t>
  </si>
  <si>
    <t>00</t>
  </si>
  <si>
    <t>11</t>
  </si>
  <si>
    <t>10</t>
  </si>
  <si>
    <t>000</t>
  </si>
  <si>
    <t>001</t>
  </si>
  <si>
    <t>010</t>
  </si>
  <si>
    <t>011</t>
  </si>
  <si>
    <t>100</t>
  </si>
  <si>
    <t>101</t>
  </si>
  <si>
    <t>110</t>
  </si>
  <si>
    <t>111</t>
  </si>
  <si>
    <t xml:space="preserve"> </t>
  </si>
  <si>
    <t>003 - (x+y) mod 3</t>
  </si>
  <si>
    <t>004 - ((X/2)+(Y/3)) mod 2</t>
  </si>
  <si>
    <t>005 - xy mod 2 +xy mod 3</t>
  </si>
  <si>
    <t>006 - (xy mod 2 +xy mod 3) mod 2</t>
  </si>
  <si>
    <t>007 - (xy mod 3 +xy mod 2) mod 2</t>
  </si>
  <si>
    <t>masks:</t>
  </si>
  <si>
    <t xml:space="preserve">output: </t>
  </si>
  <si>
    <t>Version Info</t>
  </si>
  <si>
    <t>5-L</t>
  </si>
  <si>
    <t>5-M</t>
  </si>
  <si>
    <t>5-Q</t>
  </si>
  <si>
    <t>5-H</t>
  </si>
  <si>
    <t>7-L</t>
  </si>
  <si>
    <t>7-M</t>
  </si>
  <si>
    <t>7-Q</t>
  </si>
  <si>
    <t>7-H</t>
  </si>
  <si>
    <t>9-L</t>
  </si>
  <si>
    <t>9-M</t>
  </si>
  <si>
    <t>9-Q</t>
  </si>
  <si>
    <t>9-H</t>
  </si>
  <si>
    <t>11-L</t>
  </si>
  <si>
    <t>11-M</t>
  </si>
  <si>
    <t>11-Q</t>
  </si>
  <si>
    <t>11-H</t>
  </si>
  <si>
    <t>12-L</t>
  </si>
  <si>
    <t>12-M</t>
  </si>
  <si>
    <t>12-Q</t>
  </si>
  <si>
    <t>12-H</t>
  </si>
  <si>
    <t>14-L</t>
  </si>
  <si>
    <t>14-M</t>
  </si>
  <si>
    <t>14-Q</t>
  </si>
  <si>
    <t>14-H</t>
  </si>
  <si>
    <t>15-L</t>
  </si>
  <si>
    <t>15-M</t>
  </si>
  <si>
    <t>15-Q</t>
  </si>
  <si>
    <t>15-H</t>
  </si>
  <si>
    <t>17-L</t>
  </si>
  <si>
    <t>17-M</t>
  </si>
  <si>
    <t>17-Q</t>
  </si>
  <si>
    <t>17-H</t>
  </si>
  <si>
    <t>18-L</t>
  </si>
  <si>
    <t>18-M</t>
  </si>
  <si>
    <t>18-Q</t>
  </si>
  <si>
    <t>18-H</t>
  </si>
  <si>
    <t>19-L</t>
  </si>
  <si>
    <t>19-M</t>
  </si>
  <si>
    <t>19-Q</t>
  </si>
  <si>
    <t>19-H</t>
  </si>
  <si>
    <t>21-L</t>
  </si>
  <si>
    <t>21-M</t>
  </si>
  <si>
    <t>21-Q</t>
  </si>
  <si>
    <t>21-H</t>
  </si>
  <si>
    <t>22-L</t>
  </si>
  <si>
    <t>22-M</t>
  </si>
  <si>
    <t>22-Q</t>
  </si>
  <si>
    <t>22-H</t>
  </si>
  <si>
    <t>23-L</t>
  </si>
  <si>
    <t>23-M</t>
  </si>
  <si>
    <t>23-Q</t>
  </si>
  <si>
    <t>23-H</t>
  </si>
  <si>
    <t>24-L</t>
  </si>
  <si>
    <t>24-M</t>
  </si>
  <si>
    <t>24-Q</t>
  </si>
  <si>
    <t>24-H</t>
  </si>
  <si>
    <t>26-L</t>
  </si>
  <si>
    <t>26-M</t>
  </si>
  <si>
    <t>26-Q</t>
  </si>
  <si>
    <t>26-H</t>
  </si>
  <si>
    <t>27-L</t>
  </si>
  <si>
    <t>27-M</t>
  </si>
  <si>
    <t>27-Q</t>
  </si>
  <si>
    <t>27-H</t>
  </si>
  <si>
    <t>28-L</t>
  </si>
  <si>
    <t>28-M</t>
  </si>
  <si>
    <t>28-Q</t>
  </si>
  <si>
    <t>28-H</t>
  </si>
  <si>
    <t>29-L</t>
  </si>
  <si>
    <t>29-M</t>
  </si>
  <si>
    <t>29-Q</t>
  </si>
  <si>
    <t>29-H</t>
  </si>
  <si>
    <t>31-L</t>
  </si>
  <si>
    <t>31-M</t>
  </si>
  <si>
    <t>31-Q</t>
  </si>
  <si>
    <t>31-H</t>
  </si>
  <si>
    <t>32-L</t>
  </si>
  <si>
    <t>32-M</t>
  </si>
  <si>
    <t>32-Q</t>
  </si>
  <si>
    <t>32-H</t>
  </si>
  <si>
    <t>33-L</t>
  </si>
  <si>
    <t>33-M</t>
  </si>
  <si>
    <t>33-Q</t>
  </si>
  <si>
    <t>33-H</t>
  </si>
  <si>
    <t>34-L</t>
  </si>
  <si>
    <t>34-M</t>
  </si>
  <si>
    <t>34-Q</t>
  </si>
  <si>
    <t>34-H</t>
  </si>
  <si>
    <t>36-L</t>
  </si>
  <si>
    <t>36-M</t>
  </si>
  <si>
    <t>36-Q</t>
  </si>
  <si>
    <t>36-H</t>
  </si>
  <si>
    <t>37-L</t>
  </si>
  <si>
    <t>37-M</t>
  </si>
  <si>
    <t>37-Q</t>
  </si>
  <si>
    <t>37-H</t>
  </si>
  <si>
    <t>38-L</t>
  </si>
  <si>
    <t>38-M</t>
  </si>
  <si>
    <t>38-Q</t>
  </si>
  <si>
    <t>38-H</t>
  </si>
  <si>
    <t>39-L</t>
  </si>
  <si>
    <t>39-M</t>
  </si>
  <si>
    <t>39-Q</t>
  </si>
  <si>
    <t>39-H</t>
  </si>
  <si>
    <t xml:space="preserve">000111110010010100 </t>
  </si>
  <si>
    <t>001000010110111100</t>
  </si>
  <si>
    <t>001001101010011001</t>
  </si>
  <si>
    <t>001010010011010011</t>
  </si>
  <si>
    <t>001011101111110110</t>
  </si>
  <si>
    <t>001100011101100010</t>
  </si>
  <si>
    <t>001101100001000111</t>
  </si>
  <si>
    <t>001110011000001101</t>
  </si>
  <si>
    <t>001111100100101000</t>
  </si>
  <si>
    <t>010000101101111000</t>
  </si>
  <si>
    <t>010001010001011101</t>
  </si>
  <si>
    <t>010010101000010111</t>
  </si>
  <si>
    <t>010011010100110010</t>
  </si>
  <si>
    <t>010100100110100110</t>
  </si>
  <si>
    <t>010101011010000011</t>
  </si>
  <si>
    <t>010110100011001001</t>
  </si>
  <si>
    <t>010111011111101100</t>
  </si>
  <si>
    <t>011000111011000100</t>
  </si>
  <si>
    <t>011001000111100001</t>
  </si>
  <si>
    <t>011010111110101011</t>
  </si>
  <si>
    <t>011011000010001110</t>
  </si>
  <si>
    <t>011100110000011010</t>
  </si>
  <si>
    <t>011101001100111111</t>
  </si>
  <si>
    <t>011110110101110101</t>
  </si>
  <si>
    <t>011111001001010000</t>
  </si>
  <si>
    <t>100000100111010101</t>
  </si>
  <si>
    <t>100001011011110000</t>
  </si>
  <si>
    <t>100010100010111010</t>
  </si>
  <si>
    <t>100011011110011111</t>
  </si>
  <si>
    <t>100100101100001011</t>
  </si>
  <si>
    <t>100101010000101110</t>
  </si>
  <si>
    <t>100110101001100100</t>
  </si>
  <si>
    <t>100111010101000001</t>
  </si>
  <si>
    <t>101000110001101001</t>
  </si>
  <si>
    <t>complete bits</t>
  </si>
  <si>
    <t>bit Estimate</t>
  </si>
  <si>
    <t>Bit Count</t>
  </si>
  <si>
    <t>Complement Bit</t>
  </si>
  <si>
    <t>上海市闵行区沧源路1300号</t>
  </si>
  <si>
    <t>13918806129</t>
  </si>
  <si>
    <t>易普森工业炉（上海）有限公司</t>
  </si>
  <si>
    <t>总监</t>
  </si>
  <si>
    <t>孤山寺北贾亭西，水面初平云脚低，几处早莺争暖树，谁家新燕啄春泥
乱花渐欲迷人眼，浅草才能没马蹄，最爱湖东行不足，绿杨阴里白沙堤
十八新娘八十郎，苍苍白发对红装，鸳鸯被里成双夜，一树梨花压海棠</t>
  </si>
</sst>
</file>

<file path=xl/styles.xml><?xml version="1.0" encoding="utf-8"?>
<styleSheet xmlns="http://schemas.openxmlformats.org/spreadsheetml/2006/main">
  <numFmts count="2">
    <numFmt numFmtId="44" formatCode="_ &quot;¥&quot;* #,##0.00_ ;_ &quot;¥&quot;* \-#,##0.00_ ;_ &quot;¥&quot;* &quot;-&quot;??_ ;_ @_ "/>
    <numFmt numFmtId="164" formatCode="_(&quot;$&quot;* #,##0.00_);_(&quot;$&quot;* \(#,##0.00\);_(&quot;$&quot;* &quot;-&quot;??_);_(@_)"/>
  </numFmts>
  <fonts count="19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b/>
      <sz val="22"/>
      <color indexed="21"/>
      <name val="Verdana"/>
      <family val="2"/>
    </font>
    <font>
      <b/>
      <sz val="26"/>
      <color indexed="21"/>
      <name val="Verdana"/>
      <family val="2"/>
    </font>
    <font>
      <sz val="10"/>
      <name val="Verdana"/>
      <family val="2"/>
    </font>
    <font>
      <b/>
      <sz val="12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1"/>
      <color indexed="9"/>
      <name val="Verdana"/>
      <family val="2"/>
    </font>
    <font>
      <b/>
      <sz val="14"/>
      <name val="Verdana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charset val="134"/>
      <scheme val="minor"/>
    </font>
    <font>
      <u/>
      <sz val="11"/>
      <color theme="11"/>
      <name val="Calibri"/>
      <family val="2"/>
      <charset val="134"/>
      <scheme val="minor"/>
    </font>
    <font>
      <sz val="10"/>
      <color theme="1"/>
      <name val="Calibri"/>
      <family val="2"/>
      <charset val="134"/>
      <scheme val="minor"/>
    </font>
    <font>
      <sz val="10"/>
      <color theme="0" tint="-0.14996795556505021"/>
      <name val="Verdana"/>
      <family val="2"/>
    </font>
    <font>
      <b/>
      <sz val="11"/>
      <color theme="1"/>
      <name val="Calibri"/>
      <family val="2"/>
      <scheme val="minor"/>
    </font>
    <font>
      <sz val="9"/>
      <name val="Verdana"/>
      <family val="2"/>
    </font>
    <font>
      <sz val="9"/>
      <color theme="1"/>
      <name val="Calibri"/>
      <family val="2"/>
      <charset val="134"/>
      <scheme val="minor"/>
    </font>
    <font>
      <sz val="10.5"/>
      <color theme="1"/>
      <name val="宋体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7FFD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</fills>
  <borders count="4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 style="thin">
        <color indexed="55"/>
      </left>
      <right/>
      <top/>
      <bottom style="double">
        <color indexed="21"/>
      </bottom>
      <diagonal/>
    </border>
    <border>
      <left/>
      <right/>
      <top/>
      <bottom style="double">
        <color indexed="21"/>
      </bottom>
      <diagonal/>
    </border>
    <border>
      <left/>
      <right style="thin">
        <color indexed="55"/>
      </right>
      <top/>
      <bottom style="double">
        <color indexed="21"/>
      </bottom>
      <diagonal/>
    </border>
    <border>
      <left style="thin">
        <color indexed="55"/>
      </left>
      <right/>
      <top/>
      <bottom/>
      <diagonal/>
    </border>
    <border>
      <left style="thin">
        <color indexed="55"/>
      </left>
      <right/>
      <top style="double">
        <color indexed="21"/>
      </top>
      <bottom/>
      <diagonal/>
    </border>
    <border>
      <left/>
      <right/>
      <top style="double">
        <color indexed="21"/>
      </top>
      <bottom/>
      <diagonal/>
    </border>
    <border>
      <left/>
      <right/>
      <top style="double">
        <color indexed="21"/>
      </top>
      <bottom style="hair">
        <color indexed="9"/>
      </bottom>
      <diagonal/>
    </border>
    <border>
      <left/>
      <right style="thin">
        <color indexed="55"/>
      </right>
      <top style="double">
        <color indexed="21"/>
      </top>
      <bottom style="hair">
        <color auto="1"/>
      </bottom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/>
      <top style="hair">
        <color indexed="9"/>
      </top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/>
      <right style="thin">
        <color indexed="55"/>
      </right>
      <top/>
      <bottom/>
      <diagonal/>
    </border>
    <border>
      <left style="thin">
        <color indexed="55"/>
      </left>
      <right style="thin">
        <color indexed="55"/>
      </right>
      <top/>
      <bottom/>
      <diagonal/>
    </border>
    <border>
      <left style="thin">
        <color indexed="55"/>
      </left>
      <right/>
      <top style="double">
        <color rgb="FF008080"/>
      </top>
      <bottom/>
      <diagonal/>
    </border>
    <border>
      <left/>
      <right/>
      <top style="double">
        <color rgb="FF008080"/>
      </top>
      <bottom/>
      <diagonal/>
    </border>
    <border>
      <left/>
      <right style="thin">
        <color indexed="55"/>
      </right>
      <top style="double">
        <color rgb="FF008080"/>
      </top>
      <bottom/>
      <diagonal/>
    </border>
    <border>
      <left style="hair">
        <color indexed="55"/>
      </left>
      <right/>
      <top style="double">
        <color rgb="FF008080"/>
      </top>
      <bottom/>
      <diagonal/>
    </border>
    <border>
      <left style="hair">
        <color indexed="55"/>
      </left>
      <right/>
      <top style="double">
        <color rgb="FF008080"/>
      </top>
      <bottom style="double">
        <color rgb="FF008080"/>
      </bottom>
      <diagonal/>
    </border>
    <border>
      <left/>
      <right/>
      <top style="double">
        <color rgb="FF008080"/>
      </top>
      <bottom style="double">
        <color rgb="FF008080"/>
      </bottom>
      <diagonal/>
    </border>
    <border>
      <left/>
      <right style="thin">
        <color indexed="55"/>
      </right>
      <top style="double">
        <color rgb="FF008080"/>
      </top>
      <bottom style="double">
        <color rgb="FF00808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55"/>
      </left>
      <right/>
      <top/>
      <bottom style="double">
        <color rgb="FF00B050"/>
      </bottom>
      <diagonal/>
    </border>
    <border>
      <left/>
      <right/>
      <top/>
      <bottom style="double">
        <color rgb="FF00B05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double">
        <color rgb="FF00B05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38">
    <xf numFmtId="0" fontId="0" fillId="0" borderId="0"/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186">
    <xf numFmtId="0" fontId="0" fillId="0" borderId="0" xfId="0"/>
    <xf numFmtId="0" fontId="0" fillId="0" borderId="0" xfId="0" applyFill="1"/>
    <xf numFmtId="0" fontId="0" fillId="0" borderId="0" xfId="0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3" fillId="3" borderId="0" xfId="0" applyFont="1" applyFill="1" applyBorder="1" applyAlignment="1" applyProtection="1">
      <alignment vertical="center"/>
      <protection locked="0"/>
    </xf>
    <xf numFmtId="0" fontId="6" fillId="3" borderId="15" xfId="0" applyFont="1" applyFill="1" applyBorder="1" applyProtection="1">
      <protection locked="0"/>
    </xf>
    <xf numFmtId="0" fontId="4" fillId="3" borderId="16" xfId="0" applyFont="1" applyFill="1" applyBorder="1" applyAlignment="1" applyProtection="1">
      <alignment vertical="center"/>
      <protection locked="0"/>
    </xf>
    <xf numFmtId="0" fontId="4" fillId="3" borderId="17" xfId="0" applyFont="1" applyFill="1" applyBorder="1" applyAlignment="1" applyProtection="1">
      <alignment vertical="center"/>
      <protection locked="0"/>
    </xf>
    <xf numFmtId="0" fontId="4" fillId="3" borderId="20" xfId="0" applyFont="1" applyFill="1" applyBorder="1" applyAlignment="1" applyProtection="1">
      <alignment vertical="center"/>
      <protection locked="0"/>
    </xf>
    <xf numFmtId="0" fontId="4" fillId="3" borderId="21" xfId="0" applyFont="1" applyFill="1" applyBorder="1" applyAlignment="1" applyProtection="1">
      <alignment vertical="center"/>
      <protection locked="0"/>
    </xf>
    <xf numFmtId="0" fontId="4" fillId="3" borderId="0" xfId="0" applyFont="1" applyFill="1"/>
    <xf numFmtId="0" fontId="4" fillId="3" borderId="0" xfId="0" applyFont="1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Alignment="1">
      <alignment horizontal="center"/>
    </xf>
    <xf numFmtId="1" fontId="7" fillId="5" borderId="19" xfId="1" applyNumberFormat="1" applyFont="1" applyFill="1" applyBorder="1" applyAlignment="1" applyProtection="1">
      <alignment horizontal="center" vertical="center"/>
    </xf>
    <xf numFmtId="164" fontId="7" fillId="5" borderId="23" xfId="1" applyNumberFormat="1" applyFont="1" applyFill="1" applyBorder="1" applyAlignment="1" applyProtection="1">
      <alignment horizontal="center" vertical="center"/>
    </xf>
    <xf numFmtId="0" fontId="0" fillId="0" borderId="0" xfId="0" quotePrefix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0" xfId="0" applyFont="1" applyBorder="1"/>
    <xf numFmtId="0" fontId="6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0" fillId="0" borderId="1" xfId="0" applyFont="1" applyBorder="1"/>
    <xf numFmtId="0" fontId="0" fillId="0" borderId="0" xfId="0" applyAlignment="1">
      <alignment wrapText="1"/>
    </xf>
    <xf numFmtId="0" fontId="4" fillId="0" borderId="1" xfId="0" applyFont="1" applyBorder="1"/>
    <xf numFmtId="0" fontId="4" fillId="0" borderId="2" xfId="0" applyFont="1" applyBorder="1"/>
    <xf numFmtId="0" fontId="4" fillId="0" borderId="3" xfId="0" applyFont="1" applyBorder="1"/>
    <xf numFmtId="0" fontId="0" fillId="0" borderId="0" xfId="0" applyBorder="1" applyAlignment="1"/>
    <xf numFmtId="0" fontId="4" fillId="0" borderId="5" xfId="0" applyFont="1" applyBorder="1"/>
    <xf numFmtId="0" fontId="0" fillId="3" borderId="0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/>
    <xf numFmtId="0" fontId="0" fillId="2" borderId="7" xfId="0" applyFill="1" applyBorder="1" applyAlignment="1">
      <alignment horizont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3" fillId="0" borderId="0" xfId="0" applyFont="1"/>
    <xf numFmtId="0" fontId="13" fillId="0" borderId="0" xfId="0" applyFont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0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0" fillId="0" borderId="0" xfId="0" applyAlignment="1">
      <alignment horizontal="center" vertical="center"/>
    </xf>
    <xf numFmtId="0" fontId="0" fillId="3" borderId="0" xfId="0" applyFill="1"/>
    <xf numFmtId="0" fontId="14" fillId="3" borderId="0" xfId="0" applyFont="1" applyFill="1"/>
    <xf numFmtId="0" fontId="6" fillId="3" borderId="15" xfId="0" applyFont="1" applyFill="1" applyBorder="1" applyAlignment="1" applyProtection="1">
      <alignment vertical="top"/>
    </xf>
    <xf numFmtId="0" fontId="13" fillId="0" borderId="0" xfId="0" applyFont="1" applyFill="1" applyBorder="1"/>
    <xf numFmtId="0" fontId="15" fillId="3" borderId="0" xfId="0" applyFont="1" applyFill="1" applyAlignment="1">
      <alignment horizontal="center" vertical="center"/>
    </xf>
    <xf numFmtId="0" fontId="16" fillId="3" borderId="0" xfId="0" applyFont="1" applyFill="1"/>
    <xf numFmtId="0" fontId="16" fillId="0" borderId="0" xfId="0" applyFont="1"/>
    <xf numFmtId="0" fontId="17" fillId="0" borderId="0" xfId="0" applyFont="1" applyAlignment="1">
      <alignment horizontal="center"/>
    </xf>
    <xf numFmtId="0" fontId="17" fillId="0" borderId="0" xfId="0" quotePrefix="1" applyFont="1" applyAlignment="1">
      <alignment horizontal="center"/>
    </xf>
    <xf numFmtId="0" fontId="17" fillId="0" borderId="0" xfId="0" applyFont="1" applyBorder="1" applyAlignment="1">
      <alignment horizontal="center"/>
    </xf>
    <xf numFmtId="0" fontId="15" fillId="0" borderId="0" xfId="0" applyFont="1" applyFill="1" applyAlignment="1">
      <alignment horizontal="center" vertical="center"/>
    </xf>
    <xf numFmtId="0" fontId="15" fillId="3" borderId="3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 vertical="center"/>
    </xf>
    <xf numFmtId="0" fontId="0" fillId="3" borderId="0" xfId="0" applyFill="1" applyBorder="1"/>
    <xf numFmtId="0" fontId="15" fillId="3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3" fillId="0" borderId="4" xfId="0" applyFont="1" applyBorder="1"/>
    <xf numFmtId="0" fontId="13" fillId="0" borderId="6" xfId="0" applyFont="1" applyBorder="1"/>
    <xf numFmtId="0" fontId="13" fillId="0" borderId="7" xfId="0" applyFont="1" applyBorder="1"/>
    <xf numFmtId="0" fontId="13" fillId="0" borderId="8" xfId="0" applyFont="1" applyBorder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9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quotePrefix="1" applyBorder="1"/>
    <xf numFmtId="0" fontId="13" fillId="0" borderId="5" xfId="0" applyFont="1" applyFill="1" applyBorder="1"/>
    <xf numFmtId="0" fontId="0" fillId="0" borderId="5" xfId="0" applyFill="1" applyBorder="1"/>
    <xf numFmtId="0" fontId="0" fillId="8" borderId="0" xfId="0" applyFill="1" applyBorder="1"/>
    <xf numFmtId="0" fontId="0" fillId="0" borderId="0" xfId="0" quotePrefix="1"/>
    <xf numFmtId="0" fontId="0" fillId="7" borderId="0" xfId="0" applyFill="1" applyBorder="1" applyAlignment="1">
      <alignment horizontal="center" vertical="center"/>
    </xf>
    <xf numFmtId="0" fontId="0" fillId="9" borderId="0" xfId="0" applyFill="1" applyBorder="1"/>
    <xf numFmtId="0" fontId="0" fillId="10" borderId="0" xfId="0" applyFill="1" applyBorder="1"/>
    <xf numFmtId="0" fontId="0" fillId="0" borderId="42" xfId="0" applyBorder="1"/>
    <xf numFmtId="0" fontId="0" fillId="11" borderId="0" xfId="0" applyFill="1"/>
    <xf numFmtId="0" fontId="0" fillId="0" borderId="0" xfId="0" applyFill="1" applyBorder="1" applyAlignment="1"/>
    <xf numFmtId="49" fontId="10" fillId="0" borderId="0" xfId="0" applyNumberFormat="1" applyFont="1"/>
    <xf numFmtId="49" fontId="0" fillId="0" borderId="0" xfId="0" applyNumberFormat="1" applyBorder="1"/>
    <xf numFmtId="49" fontId="0" fillId="0" borderId="7" xfId="0" applyNumberFormat="1" applyBorder="1"/>
    <xf numFmtId="0" fontId="9" fillId="2" borderId="44" xfId="0" applyFont="1" applyFill="1" applyBorder="1" applyAlignment="1" applyProtection="1">
      <alignment horizontal="center" vertical="center"/>
      <protection locked="0"/>
    </xf>
    <xf numFmtId="0" fontId="4" fillId="2" borderId="43" xfId="0" applyFont="1" applyFill="1" applyBorder="1" applyAlignment="1" applyProtection="1">
      <alignment horizontal="left" vertical="center"/>
      <protection locked="0"/>
    </xf>
    <xf numFmtId="0" fontId="0" fillId="0" borderId="38" xfId="0" applyBorder="1" applyAlignment="1"/>
    <xf numFmtId="0" fontId="0" fillId="0" borderId="39" xfId="0" applyBorder="1" applyAlignment="1"/>
    <xf numFmtId="0" fontId="18" fillId="0" borderId="0" xfId="0" applyFont="1" applyBorder="1" applyAlignment="1">
      <alignment horizontal="center" vertical="top" wrapText="1"/>
    </xf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/>
    <xf numFmtId="0" fontId="0" fillId="0" borderId="2" xfId="0" applyBorder="1" applyAlignment="1"/>
    <xf numFmtId="0" fontId="0" fillId="0" borderId="3" xfId="0" applyBorder="1" applyAlignment="1"/>
    <xf numFmtId="0" fontId="2" fillId="3" borderId="0" xfId="0" applyFont="1" applyFill="1" applyBorder="1" applyAlignment="1" applyProtection="1">
      <alignment horizontal="left" vertical="center"/>
      <protection locked="0"/>
    </xf>
    <xf numFmtId="0" fontId="3" fillId="3" borderId="0" xfId="0" applyFont="1" applyFill="1" applyBorder="1" applyAlignment="1" applyProtection="1">
      <alignment horizontal="left" vertical="center"/>
      <protection locked="0"/>
    </xf>
    <xf numFmtId="0" fontId="5" fillId="3" borderId="10" xfId="0" applyFont="1" applyFill="1" applyBorder="1" applyAlignment="1" applyProtection="1">
      <alignment horizontal="right" vertical="center"/>
      <protection locked="0"/>
    </xf>
    <xf numFmtId="0" fontId="5" fillId="3" borderId="25" xfId="0" applyFont="1" applyFill="1" applyBorder="1" applyAlignment="1" applyProtection="1">
      <alignment horizontal="right" vertical="center"/>
      <protection locked="0"/>
    </xf>
    <xf numFmtId="164" fontId="5" fillId="2" borderId="10" xfId="1" applyNumberFormat="1" applyFont="1" applyFill="1" applyBorder="1" applyAlignment="1" applyProtection="1">
      <alignment horizontal="center" vertical="center"/>
      <protection locked="0"/>
    </xf>
    <xf numFmtId="164" fontId="5" fillId="2" borderId="25" xfId="1" applyNumberFormat="1" applyFont="1" applyFill="1" applyBorder="1" applyAlignment="1" applyProtection="1">
      <alignment horizontal="center" vertical="center"/>
      <protection locked="0"/>
    </xf>
    <xf numFmtId="0" fontId="5" fillId="3" borderId="26" xfId="0" applyFont="1" applyFill="1" applyBorder="1" applyAlignment="1" applyProtection="1">
      <alignment horizontal="center" vertical="center"/>
      <protection locked="0"/>
    </xf>
    <xf numFmtId="0" fontId="5" fillId="3" borderId="27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>
      <alignment horizontal="center" vertical="center"/>
      <protection locked="0"/>
    </xf>
    <xf numFmtId="0" fontId="5" fillId="3" borderId="24" xfId="0" applyFont="1" applyFill="1" applyBorder="1" applyAlignment="1" applyProtection="1">
      <alignment horizontal="center" vertical="center"/>
      <protection locked="0"/>
    </xf>
    <xf numFmtId="0" fontId="5" fillId="3" borderId="9" xfId="0" applyFont="1" applyFill="1" applyBorder="1" applyAlignment="1" applyProtection="1">
      <alignment horizontal="center" vertical="center"/>
      <protection locked="0"/>
    </xf>
    <xf numFmtId="0" fontId="5" fillId="3" borderId="11" xfId="0" applyFont="1" applyFill="1" applyBorder="1" applyAlignment="1" applyProtection="1">
      <alignment horizontal="center" vertical="center"/>
      <protection locked="0"/>
    </xf>
    <xf numFmtId="0" fontId="5" fillId="3" borderId="40" xfId="0" applyFont="1" applyFill="1" applyBorder="1" applyAlignment="1" applyProtection="1">
      <alignment horizontal="center" vertical="center"/>
      <protection locked="0"/>
    </xf>
    <xf numFmtId="0" fontId="5" fillId="3" borderId="41" xfId="0" applyFont="1" applyFill="1" applyBorder="1" applyAlignment="1" applyProtection="1">
      <alignment horizontal="center" vertical="center"/>
      <protection locked="0"/>
    </xf>
    <xf numFmtId="49" fontId="4" fillId="2" borderId="29" xfId="0" applyNumberFormat="1" applyFont="1" applyFill="1" applyBorder="1" applyAlignment="1" applyProtection="1">
      <alignment horizontal="left"/>
      <protection locked="0"/>
    </xf>
    <xf numFmtId="49" fontId="4" fillId="2" borderId="27" xfId="0" applyNumberFormat="1" applyFont="1" applyFill="1" applyBorder="1" applyAlignment="1" applyProtection="1">
      <alignment horizontal="left"/>
      <protection locked="0"/>
    </xf>
    <xf numFmtId="49" fontId="4" fillId="2" borderId="28" xfId="0" applyNumberFormat="1" applyFont="1" applyFill="1" applyBorder="1" applyAlignment="1" applyProtection="1">
      <alignment horizontal="left"/>
      <protection locked="0"/>
    </xf>
    <xf numFmtId="0" fontId="4" fillId="3" borderId="29" xfId="0" applyFont="1" applyFill="1" applyBorder="1" applyAlignment="1" applyProtection="1">
      <alignment horizontal="center"/>
      <protection locked="0"/>
    </xf>
    <xf numFmtId="0" fontId="4" fillId="3" borderId="27" xfId="0" applyFont="1" applyFill="1" applyBorder="1" applyAlignment="1" applyProtection="1">
      <alignment horizontal="center"/>
      <protection locked="0"/>
    </xf>
    <xf numFmtId="0" fontId="4" fillId="3" borderId="28" xfId="0" applyFont="1" applyFill="1" applyBorder="1" applyAlignment="1" applyProtection="1">
      <alignment horizontal="center"/>
      <protection locked="0"/>
    </xf>
    <xf numFmtId="0" fontId="8" fillId="4" borderId="18" xfId="0" applyFont="1" applyFill="1" applyBorder="1" applyAlignment="1" applyProtection="1">
      <alignment horizontal="center" vertical="center"/>
    </xf>
    <xf numFmtId="0" fontId="8" fillId="4" borderId="22" xfId="0" applyFont="1" applyFill="1" applyBorder="1" applyAlignment="1" applyProtection="1">
      <alignment horizontal="center" vertical="center"/>
    </xf>
    <xf numFmtId="0" fontId="6" fillId="5" borderId="15" xfId="0" applyFont="1" applyFill="1" applyBorder="1" applyAlignment="1" applyProtection="1">
      <alignment horizontal="left" vertical="top" wrapText="1"/>
    </xf>
    <xf numFmtId="0" fontId="6" fillId="5" borderId="0" xfId="0" applyFont="1" applyFill="1" applyBorder="1" applyAlignment="1" applyProtection="1">
      <alignment horizontal="left" vertical="top" wrapText="1"/>
    </xf>
    <xf numFmtId="0" fontId="6" fillId="5" borderId="24" xfId="0" applyFont="1" applyFill="1" applyBorder="1" applyAlignment="1" applyProtection="1">
      <alignment horizontal="left" vertical="top" wrapText="1"/>
    </xf>
    <xf numFmtId="0" fontId="6" fillId="5" borderId="12" xfId="0" applyFont="1" applyFill="1" applyBorder="1" applyAlignment="1" applyProtection="1">
      <alignment horizontal="left" vertical="top" wrapText="1"/>
    </xf>
    <xf numFmtId="0" fontId="6" fillId="5" borderId="13" xfId="0" applyFont="1" applyFill="1" applyBorder="1" applyAlignment="1" applyProtection="1">
      <alignment horizontal="left" vertical="top" wrapText="1"/>
    </xf>
    <xf numFmtId="0" fontId="6" fillId="5" borderId="14" xfId="0" applyFont="1" applyFill="1" applyBorder="1" applyAlignment="1" applyProtection="1">
      <alignment horizontal="left" vertical="top" wrapText="1"/>
    </xf>
    <xf numFmtId="0" fontId="4" fillId="2" borderId="30" xfId="0" applyNumberFormat="1" applyFont="1" applyFill="1" applyBorder="1" applyAlignment="1" applyProtection="1">
      <alignment horizontal="left" vertical="top" wrapText="1"/>
      <protection locked="0"/>
    </xf>
    <xf numFmtId="0" fontId="4" fillId="2" borderId="31" xfId="0" applyNumberFormat="1" applyFont="1" applyFill="1" applyBorder="1" applyAlignment="1" applyProtection="1">
      <alignment horizontal="left" vertical="top" wrapText="1"/>
      <protection locked="0"/>
    </xf>
    <xf numFmtId="0" fontId="4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0" xfId="0" applyNumberFormat="1" applyFont="1" applyFill="1" applyBorder="1" applyAlignment="1" applyProtection="1">
      <alignment horizontal="left" vertical="top" wrapText="1"/>
      <protection locked="0"/>
    </xf>
    <xf numFmtId="49" fontId="4" fillId="2" borderId="31" xfId="0" applyNumberFormat="1" applyFont="1" applyFill="1" applyBorder="1" applyAlignment="1" applyProtection="1">
      <alignment horizontal="left" vertical="top" wrapText="1"/>
      <protection locked="0"/>
    </xf>
    <xf numFmtId="49" fontId="4" fillId="2" borderId="32" xfId="0" applyNumberFormat="1" applyFont="1" applyFill="1" applyBorder="1" applyAlignment="1" applyProtection="1">
      <alignment horizontal="left" vertical="top" wrapText="1"/>
      <protection locked="0"/>
    </xf>
    <xf numFmtId="0" fontId="4" fillId="2" borderId="29" xfId="0" applyNumberFormat="1" applyFont="1" applyFill="1" applyBorder="1" applyAlignment="1" applyProtection="1">
      <alignment horizontal="left"/>
      <protection locked="0"/>
    </xf>
    <xf numFmtId="0" fontId="4" fillId="0" borderId="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0" fillId="0" borderId="0" xfId="0" applyAlignment="1">
      <alignment horizontal="center"/>
    </xf>
    <xf numFmtId="0" fontId="15" fillId="3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13" fillId="0" borderId="0" xfId="0" applyFont="1" applyAlignment="1">
      <alignment horizontal="center"/>
    </xf>
    <xf numFmtId="0" fontId="0" fillId="11" borderId="0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/>
    </xf>
  </cellXfs>
  <cellStyles count="38">
    <cellStyle name="Currency" xfId="1" builtinId="4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Normal" xfId="0" builtinId="0"/>
  </cellStyles>
  <dxfs count="10">
    <dxf>
      <font>
        <color theme="0"/>
      </font>
      <fill>
        <patternFill>
          <bgColor theme="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ill>
        <patternFill>
          <bgColor theme="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F7FFD0"/>
      <color rgb="FF0080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able1" displayName="Table1" ref="A6:C262" totalsRowShown="0" headerRowDxfId="7" dataDxfId="6">
  <autoFilter ref="A6:C262"/>
  <sortState ref="A7:C262">
    <sortCondition ref="B6:B262"/>
  </sortState>
  <tableColumns count="3">
    <tableColumn id="1" name="Dec" dataDxfId="5"/>
    <tableColumn id="2" name="A^N" dataDxfId="4"/>
    <tableColumn id="3" name="Dec2" dataDxfId="3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BB3119"/>
  <sheetViews>
    <sheetView tabSelected="1" zoomScaleNormal="100" workbookViewId="0">
      <selection activeCell="L6" sqref="L6"/>
    </sheetView>
  </sheetViews>
  <sheetFormatPr defaultColWidth="8.85546875" defaultRowHeight="12.75"/>
  <cols>
    <col min="1" max="1" width="3.28515625" style="3" customWidth="1"/>
    <col min="2" max="2" width="25.42578125" style="3" customWidth="1"/>
    <col min="3" max="3" width="20.42578125" style="3" customWidth="1"/>
    <col min="4" max="4" width="12.28515625" style="3" customWidth="1"/>
    <col min="5" max="5" width="10.42578125" style="4" bestFit="1" customWidth="1"/>
    <col min="6" max="6" width="4.42578125" style="4" customWidth="1"/>
    <col min="7" max="7" width="13.42578125" style="3" customWidth="1"/>
    <col min="8" max="8" width="21.7109375" style="3" customWidth="1"/>
    <col min="9" max="9" width="3.42578125" style="71" customWidth="1"/>
    <col min="10" max="10" width="8.85546875" style="3" customWidth="1"/>
    <col min="11" max="11" width="10.28515625" style="3" customWidth="1"/>
    <col min="12" max="12" width="8.85546875" style="3" customWidth="1"/>
    <col min="13" max="13" width="7" style="3" customWidth="1"/>
    <col min="14" max="14" width="5.85546875" style="3" customWidth="1"/>
    <col min="15" max="15" width="4.7109375" style="3" customWidth="1"/>
    <col min="16" max="16" width="6.140625" style="3" customWidth="1"/>
    <col min="17" max="18" width="5.7109375" style="3" customWidth="1"/>
    <col min="19" max="19" width="5.28515625" style="3" customWidth="1"/>
    <col min="20" max="33" width="4.7109375" style="3" customWidth="1"/>
    <col min="34" max="40" width="6" style="3" customWidth="1"/>
    <col min="41" max="43" width="5.7109375" style="3" customWidth="1"/>
    <col min="44" max="63" width="5.85546875" style="3" customWidth="1"/>
    <col min="64" max="257" width="8.85546875" style="3"/>
    <col min="258" max="258" width="25.42578125" style="3" customWidth="1"/>
    <col min="259" max="259" width="20.42578125" style="3" customWidth="1"/>
    <col min="260" max="260" width="12.28515625" style="3" customWidth="1"/>
    <col min="261" max="261" width="5.42578125" style="3" customWidth="1"/>
    <col min="262" max="262" width="4.42578125" style="3" customWidth="1"/>
    <col min="263" max="263" width="18.42578125" style="3" customWidth="1"/>
    <col min="264" max="264" width="17.140625" style="3" customWidth="1"/>
    <col min="265" max="513" width="8.85546875" style="3"/>
    <col min="514" max="514" width="25.42578125" style="3" customWidth="1"/>
    <col min="515" max="515" width="20.42578125" style="3" customWidth="1"/>
    <col min="516" max="516" width="12.28515625" style="3" customWidth="1"/>
    <col min="517" max="517" width="5.42578125" style="3" customWidth="1"/>
    <col min="518" max="518" width="4.42578125" style="3" customWidth="1"/>
    <col min="519" max="519" width="18.42578125" style="3" customWidth="1"/>
    <col min="520" max="520" width="17.140625" style="3" customWidth="1"/>
    <col min="521" max="769" width="8.85546875" style="3"/>
    <col min="770" max="770" width="25.42578125" style="3" customWidth="1"/>
    <col min="771" max="771" width="20.42578125" style="3" customWidth="1"/>
    <col min="772" max="772" width="12.28515625" style="3" customWidth="1"/>
    <col min="773" max="773" width="5.42578125" style="3" customWidth="1"/>
    <col min="774" max="774" width="4.42578125" style="3" customWidth="1"/>
    <col min="775" max="775" width="18.42578125" style="3" customWidth="1"/>
    <col min="776" max="776" width="17.140625" style="3" customWidth="1"/>
    <col min="777" max="1025" width="8.85546875" style="3"/>
    <col min="1026" max="1026" width="25.42578125" style="3" customWidth="1"/>
    <col min="1027" max="1027" width="20.42578125" style="3" customWidth="1"/>
    <col min="1028" max="1028" width="12.28515625" style="3" customWidth="1"/>
    <col min="1029" max="1029" width="5.42578125" style="3" customWidth="1"/>
    <col min="1030" max="1030" width="4.42578125" style="3" customWidth="1"/>
    <col min="1031" max="1031" width="18.42578125" style="3" customWidth="1"/>
    <col min="1032" max="1032" width="17.140625" style="3" customWidth="1"/>
    <col min="1033" max="1281" width="8.85546875" style="3"/>
    <col min="1282" max="1282" width="25.42578125" style="3" customWidth="1"/>
    <col min="1283" max="1283" width="20.42578125" style="3" customWidth="1"/>
    <col min="1284" max="1284" width="12.28515625" style="3" customWidth="1"/>
    <col min="1285" max="1285" width="5.42578125" style="3" customWidth="1"/>
    <col min="1286" max="1286" width="4.42578125" style="3" customWidth="1"/>
    <col min="1287" max="1287" width="18.42578125" style="3" customWidth="1"/>
    <col min="1288" max="1288" width="17.140625" style="3" customWidth="1"/>
    <col min="1289" max="1537" width="8.85546875" style="3"/>
    <col min="1538" max="1538" width="25.42578125" style="3" customWidth="1"/>
    <col min="1539" max="1539" width="20.42578125" style="3" customWidth="1"/>
    <col min="1540" max="1540" width="12.28515625" style="3" customWidth="1"/>
    <col min="1541" max="1541" width="5.42578125" style="3" customWidth="1"/>
    <col min="1542" max="1542" width="4.42578125" style="3" customWidth="1"/>
    <col min="1543" max="1543" width="18.42578125" style="3" customWidth="1"/>
    <col min="1544" max="1544" width="17.140625" style="3" customWidth="1"/>
    <col min="1545" max="1793" width="8.85546875" style="3"/>
    <col min="1794" max="1794" width="25.42578125" style="3" customWidth="1"/>
    <col min="1795" max="1795" width="20.42578125" style="3" customWidth="1"/>
    <col min="1796" max="1796" width="12.28515625" style="3" customWidth="1"/>
    <col min="1797" max="1797" width="5.42578125" style="3" customWidth="1"/>
    <col min="1798" max="1798" width="4.42578125" style="3" customWidth="1"/>
    <col min="1799" max="1799" width="18.42578125" style="3" customWidth="1"/>
    <col min="1800" max="1800" width="17.140625" style="3" customWidth="1"/>
    <col min="1801" max="2049" width="8.85546875" style="3"/>
    <col min="2050" max="2050" width="25.42578125" style="3" customWidth="1"/>
    <col min="2051" max="2051" width="20.42578125" style="3" customWidth="1"/>
    <col min="2052" max="2052" width="12.28515625" style="3" customWidth="1"/>
    <col min="2053" max="2053" width="5.42578125" style="3" customWidth="1"/>
    <col min="2054" max="2054" width="4.42578125" style="3" customWidth="1"/>
    <col min="2055" max="2055" width="18.42578125" style="3" customWidth="1"/>
    <col min="2056" max="2056" width="17.140625" style="3" customWidth="1"/>
    <col min="2057" max="2305" width="8.85546875" style="3"/>
    <col min="2306" max="2306" width="25.42578125" style="3" customWidth="1"/>
    <col min="2307" max="2307" width="20.42578125" style="3" customWidth="1"/>
    <col min="2308" max="2308" width="12.28515625" style="3" customWidth="1"/>
    <col min="2309" max="2309" width="5.42578125" style="3" customWidth="1"/>
    <col min="2310" max="2310" width="4.42578125" style="3" customWidth="1"/>
    <col min="2311" max="2311" width="18.42578125" style="3" customWidth="1"/>
    <col min="2312" max="2312" width="17.140625" style="3" customWidth="1"/>
    <col min="2313" max="2561" width="8.85546875" style="3"/>
    <col min="2562" max="2562" width="25.42578125" style="3" customWidth="1"/>
    <col min="2563" max="2563" width="20.42578125" style="3" customWidth="1"/>
    <col min="2564" max="2564" width="12.28515625" style="3" customWidth="1"/>
    <col min="2565" max="2565" width="5.42578125" style="3" customWidth="1"/>
    <col min="2566" max="2566" width="4.42578125" style="3" customWidth="1"/>
    <col min="2567" max="2567" width="18.42578125" style="3" customWidth="1"/>
    <col min="2568" max="2568" width="17.140625" style="3" customWidth="1"/>
    <col min="2569" max="2817" width="8.85546875" style="3"/>
    <col min="2818" max="2818" width="25.42578125" style="3" customWidth="1"/>
    <col min="2819" max="2819" width="20.42578125" style="3" customWidth="1"/>
    <col min="2820" max="2820" width="12.28515625" style="3" customWidth="1"/>
    <col min="2821" max="2821" width="5.42578125" style="3" customWidth="1"/>
    <col min="2822" max="2822" width="4.42578125" style="3" customWidth="1"/>
    <col min="2823" max="2823" width="18.42578125" style="3" customWidth="1"/>
    <col min="2824" max="2824" width="17.140625" style="3" customWidth="1"/>
    <col min="2825" max="3073" width="8.85546875" style="3"/>
    <col min="3074" max="3074" width="25.42578125" style="3" customWidth="1"/>
    <col min="3075" max="3075" width="20.42578125" style="3" customWidth="1"/>
    <col min="3076" max="3076" width="12.28515625" style="3" customWidth="1"/>
    <col min="3077" max="3077" width="5.42578125" style="3" customWidth="1"/>
    <col min="3078" max="3078" width="4.42578125" style="3" customWidth="1"/>
    <col min="3079" max="3079" width="18.42578125" style="3" customWidth="1"/>
    <col min="3080" max="3080" width="17.140625" style="3" customWidth="1"/>
    <col min="3081" max="3329" width="8.85546875" style="3"/>
    <col min="3330" max="3330" width="25.42578125" style="3" customWidth="1"/>
    <col min="3331" max="3331" width="20.42578125" style="3" customWidth="1"/>
    <col min="3332" max="3332" width="12.28515625" style="3" customWidth="1"/>
    <col min="3333" max="3333" width="5.42578125" style="3" customWidth="1"/>
    <col min="3334" max="3334" width="4.42578125" style="3" customWidth="1"/>
    <col min="3335" max="3335" width="18.42578125" style="3" customWidth="1"/>
    <col min="3336" max="3336" width="17.140625" style="3" customWidth="1"/>
    <col min="3337" max="3585" width="8.85546875" style="3"/>
    <col min="3586" max="3586" width="25.42578125" style="3" customWidth="1"/>
    <col min="3587" max="3587" width="20.42578125" style="3" customWidth="1"/>
    <col min="3588" max="3588" width="12.28515625" style="3" customWidth="1"/>
    <col min="3589" max="3589" width="5.42578125" style="3" customWidth="1"/>
    <col min="3590" max="3590" width="4.42578125" style="3" customWidth="1"/>
    <col min="3591" max="3591" width="18.42578125" style="3" customWidth="1"/>
    <col min="3592" max="3592" width="17.140625" style="3" customWidth="1"/>
    <col min="3593" max="3841" width="8.85546875" style="3"/>
    <col min="3842" max="3842" width="25.42578125" style="3" customWidth="1"/>
    <col min="3843" max="3843" width="20.42578125" style="3" customWidth="1"/>
    <col min="3844" max="3844" width="12.28515625" style="3" customWidth="1"/>
    <col min="3845" max="3845" width="5.42578125" style="3" customWidth="1"/>
    <col min="3846" max="3846" width="4.42578125" style="3" customWidth="1"/>
    <col min="3847" max="3847" width="18.42578125" style="3" customWidth="1"/>
    <col min="3848" max="3848" width="17.140625" style="3" customWidth="1"/>
    <col min="3849" max="4097" width="8.85546875" style="3"/>
    <col min="4098" max="4098" width="25.42578125" style="3" customWidth="1"/>
    <col min="4099" max="4099" width="20.42578125" style="3" customWidth="1"/>
    <col min="4100" max="4100" width="12.28515625" style="3" customWidth="1"/>
    <col min="4101" max="4101" width="5.42578125" style="3" customWidth="1"/>
    <col min="4102" max="4102" width="4.42578125" style="3" customWidth="1"/>
    <col min="4103" max="4103" width="18.42578125" style="3" customWidth="1"/>
    <col min="4104" max="4104" width="17.140625" style="3" customWidth="1"/>
    <col min="4105" max="4353" width="8.85546875" style="3"/>
    <col min="4354" max="4354" width="25.42578125" style="3" customWidth="1"/>
    <col min="4355" max="4355" width="20.42578125" style="3" customWidth="1"/>
    <col min="4356" max="4356" width="12.28515625" style="3" customWidth="1"/>
    <col min="4357" max="4357" width="5.42578125" style="3" customWidth="1"/>
    <col min="4358" max="4358" width="4.42578125" style="3" customWidth="1"/>
    <col min="4359" max="4359" width="18.42578125" style="3" customWidth="1"/>
    <col min="4360" max="4360" width="17.140625" style="3" customWidth="1"/>
    <col min="4361" max="4609" width="8.85546875" style="3"/>
    <col min="4610" max="4610" width="25.42578125" style="3" customWidth="1"/>
    <col min="4611" max="4611" width="20.42578125" style="3" customWidth="1"/>
    <col min="4612" max="4612" width="12.28515625" style="3" customWidth="1"/>
    <col min="4613" max="4613" width="5.42578125" style="3" customWidth="1"/>
    <col min="4614" max="4614" width="4.42578125" style="3" customWidth="1"/>
    <col min="4615" max="4615" width="18.42578125" style="3" customWidth="1"/>
    <col min="4616" max="4616" width="17.140625" style="3" customWidth="1"/>
    <col min="4617" max="4865" width="8.85546875" style="3"/>
    <col min="4866" max="4866" width="25.42578125" style="3" customWidth="1"/>
    <col min="4867" max="4867" width="20.42578125" style="3" customWidth="1"/>
    <col min="4868" max="4868" width="12.28515625" style="3" customWidth="1"/>
    <col min="4869" max="4869" width="5.42578125" style="3" customWidth="1"/>
    <col min="4870" max="4870" width="4.42578125" style="3" customWidth="1"/>
    <col min="4871" max="4871" width="18.42578125" style="3" customWidth="1"/>
    <col min="4872" max="4872" width="17.140625" style="3" customWidth="1"/>
    <col min="4873" max="5121" width="8.85546875" style="3"/>
    <col min="5122" max="5122" width="25.42578125" style="3" customWidth="1"/>
    <col min="5123" max="5123" width="20.42578125" style="3" customWidth="1"/>
    <col min="5124" max="5124" width="12.28515625" style="3" customWidth="1"/>
    <col min="5125" max="5125" width="5.42578125" style="3" customWidth="1"/>
    <col min="5126" max="5126" width="4.42578125" style="3" customWidth="1"/>
    <col min="5127" max="5127" width="18.42578125" style="3" customWidth="1"/>
    <col min="5128" max="5128" width="17.140625" style="3" customWidth="1"/>
    <col min="5129" max="5377" width="8.85546875" style="3"/>
    <col min="5378" max="5378" width="25.42578125" style="3" customWidth="1"/>
    <col min="5379" max="5379" width="20.42578125" style="3" customWidth="1"/>
    <col min="5380" max="5380" width="12.28515625" style="3" customWidth="1"/>
    <col min="5381" max="5381" width="5.42578125" style="3" customWidth="1"/>
    <col min="5382" max="5382" width="4.42578125" style="3" customWidth="1"/>
    <col min="5383" max="5383" width="18.42578125" style="3" customWidth="1"/>
    <col min="5384" max="5384" width="17.140625" style="3" customWidth="1"/>
    <col min="5385" max="5633" width="8.85546875" style="3"/>
    <col min="5634" max="5634" width="25.42578125" style="3" customWidth="1"/>
    <col min="5635" max="5635" width="20.42578125" style="3" customWidth="1"/>
    <col min="5636" max="5636" width="12.28515625" style="3" customWidth="1"/>
    <col min="5637" max="5637" width="5.42578125" style="3" customWidth="1"/>
    <col min="5638" max="5638" width="4.42578125" style="3" customWidth="1"/>
    <col min="5639" max="5639" width="18.42578125" style="3" customWidth="1"/>
    <col min="5640" max="5640" width="17.140625" style="3" customWidth="1"/>
    <col min="5641" max="5889" width="8.85546875" style="3"/>
    <col min="5890" max="5890" width="25.42578125" style="3" customWidth="1"/>
    <col min="5891" max="5891" width="20.42578125" style="3" customWidth="1"/>
    <col min="5892" max="5892" width="12.28515625" style="3" customWidth="1"/>
    <col min="5893" max="5893" width="5.42578125" style="3" customWidth="1"/>
    <col min="5894" max="5894" width="4.42578125" style="3" customWidth="1"/>
    <col min="5895" max="5895" width="18.42578125" style="3" customWidth="1"/>
    <col min="5896" max="5896" width="17.140625" style="3" customWidth="1"/>
    <col min="5897" max="6145" width="8.85546875" style="3"/>
    <col min="6146" max="6146" width="25.42578125" style="3" customWidth="1"/>
    <col min="6147" max="6147" width="20.42578125" style="3" customWidth="1"/>
    <col min="6148" max="6148" width="12.28515625" style="3" customWidth="1"/>
    <col min="6149" max="6149" width="5.42578125" style="3" customWidth="1"/>
    <col min="6150" max="6150" width="4.42578125" style="3" customWidth="1"/>
    <col min="6151" max="6151" width="18.42578125" style="3" customWidth="1"/>
    <col min="6152" max="6152" width="17.140625" style="3" customWidth="1"/>
    <col min="6153" max="6401" width="8.85546875" style="3"/>
    <col min="6402" max="6402" width="25.42578125" style="3" customWidth="1"/>
    <col min="6403" max="6403" width="20.42578125" style="3" customWidth="1"/>
    <col min="6404" max="6404" width="12.28515625" style="3" customWidth="1"/>
    <col min="6405" max="6405" width="5.42578125" style="3" customWidth="1"/>
    <col min="6406" max="6406" width="4.42578125" style="3" customWidth="1"/>
    <col min="6407" max="6407" width="18.42578125" style="3" customWidth="1"/>
    <col min="6408" max="6408" width="17.140625" style="3" customWidth="1"/>
    <col min="6409" max="6657" width="8.85546875" style="3"/>
    <col min="6658" max="6658" width="25.42578125" style="3" customWidth="1"/>
    <col min="6659" max="6659" width="20.42578125" style="3" customWidth="1"/>
    <col min="6660" max="6660" width="12.28515625" style="3" customWidth="1"/>
    <col min="6661" max="6661" width="5.42578125" style="3" customWidth="1"/>
    <col min="6662" max="6662" width="4.42578125" style="3" customWidth="1"/>
    <col min="6663" max="6663" width="18.42578125" style="3" customWidth="1"/>
    <col min="6664" max="6664" width="17.140625" style="3" customWidth="1"/>
    <col min="6665" max="6913" width="8.85546875" style="3"/>
    <col min="6914" max="6914" width="25.42578125" style="3" customWidth="1"/>
    <col min="6915" max="6915" width="20.42578125" style="3" customWidth="1"/>
    <col min="6916" max="6916" width="12.28515625" style="3" customWidth="1"/>
    <col min="6917" max="6917" width="5.42578125" style="3" customWidth="1"/>
    <col min="6918" max="6918" width="4.42578125" style="3" customWidth="1"/>
    <col min="6919" max="6919" width="18.42578125" style="3" customWidth="1"/>
    <col min="6920" max="6920" width="17.140625" style="3" customWidth="1"/>
    <col min="6921" max="7169" width="8.85546875" style="3"/>
    <col min="7170" max="7170" width="25.42578125" style="3" customWidth="1"/>
    <col min="7171" max="7171" width="20.42578125" style="3" customWidth="1"/>
    <col min="7172" max="7172" width="12.28515625" style="3" customWidth="1"/>
    <col min="7173" max="7173" width="5.42578125" style="3" customWidth="1"/>
    <col min="7174" max="7174" width="4.42578125" style="3" customWidth="1"/>
    <col min="7175" max="7175" width="18.42578125" style="3" customWidth="1"/>
    <col min="7176" max="7176" width="17.140625" style="3" customWidth="1"/>
    <col min="7177" max="7425" width="8.85546875" style="3"/>
    <col min="7426" max="7426" width="25.42578125" style="3" customWidth="1"/>
    <col min="7427" max="7427" width="20.42578125" style="3" customWidth="1"/>
    <col min="7428" max="7428" width="12.28515625" style="3" customWidth="1"/>
    <col min="7429" max="7429" width="5.42578125" style="3" customWidth="1"/>
    <col min="7430" max="7430" width="4.42578125" style="3" customWidth="1"/>
    <col min="7431" max="7431" width="18.42578125" style="3" customWidth="1"/>
    <col min="7432" max="7432" width="17.140625" style="3" customWidth="1"/>
    <col min="7433" max="7681" width="8.85546875" style="3"/>
    <col min="7682" max="7682" width="25.42578125" style="3" customWidth="1"/>
    <col min="7683" max="7683" width="20.42578125" style="3" customWidth="1"/>
    <col min="7684" max="7684" width="12.28515625" style="3" customWidth="1"/>
    <col min="7685" max="7685" width="5.42578125" style="3" customWidth="1"/>
    <col min="7686" max="7686" width="4.42578125" style="3" customWidth="1"/>
    <col min="7687" max="7687" width="18.42578125" style="3" customWidth="1"/>
    <col min="7688" max="7688" width="17.140625" style="3" customWidth="1"/>
    <col min="7689" max="7937" width="8.85546875" style="3"/>
    <col min="7938" max="7938" width="25.42578125" style="3" customWidth="1"/>
    <col min="7939" max="7939" width="20.42578125" style="3" customWidth="1"/>
    <col min="7940" max="7940" width="12.28515625" style="3" customWidth="1"/>
    <col min="7941" max="7941" width="5.42578125" style="3" customWidth="1"/>
    <col min="7942" max="7942" width="4.42578125" style="3" customWidth="1"/>
    <col min="7943" max="7943" width="18.42578125" style="3" customWidth="1"/>
    <col min="7944" max="7944" width="17.140625" style="3" customWidth="1"/>
    <col min="7945" max="8193" width="8.85546875" style="3"/>
    <col min="8194" max="8194" width="25.42578125" style="3" customWidth="1"/>
    <col min="8195" max="8195" width="20.42578125" style="3" customWidth="1"/>
    <col min="8196" max="8196" width="12.28515625" style="3" customWidth="1"/>
    <col min="8197" max="8197" width="5.42578125" style="3" customWidth="1"/>
    <col min="8198" max="8198" width="4.42578125" style="3" customWidth="1"/>
    <col min="8199" max="8199" width="18.42578125" style="3" customWidth="1"/>
    <col min="8200" max="8200" width="17.140625" style="3" customWidth="1"/>
    <col min="8201" max="8449" width="8.85546875" style="3"/>
    <col min="8450" max="8450" width="25.42578125" style="3" customWidth="1"/>
    <col min="8451" max="8451" width="20.42578125" style="3" customWidth="1"/>
    <col min="8452" max="8452" width="12.28515625" style="3" customWidth="1"/>
    <col min="8453" max="8453" width="5.42578125" style="3" customWidth="1"/>
    <col min="8454" max="8454" width="4.42578125" style="3" customWidth="1"/>
    <col min="8455" max="8455" width="18.42578125" style="3" customWidth="1"/>
    <col min="8456" max="8456" width="17.140625" style="3" customWidth="1"/>
    <col min="8457" max="8705" width="8.85546875" style="3"/>
    <col min="8706" max="8706" width="25.42578125" style="3" customWidth="1"/>
    <col min="8707" max="8707" width="20.42578125" style="3" customWidth="1"/>
    <col min="8708" max="8708" width="12.28515625" style="3" customWidth="1"/>
    <col min="8709" max="8709" width="5.42578125" style="3" customWidth="1"/>
    <col min="8710" max="8710" width="4.42578125" style="3" customWidth="1"/>
    <col min="8711" max="8711" width="18.42578125" style="3" customWidth="1"/>
    <col min="8712" max="8712" width="17.140625" style="3" customWidth="1"/>
    <col min="8713" max="8961" width="8.85546875" style="3"/>
    <col min="8962" max="8962" width="25.42578125" style="3" customWidth="1"/>
    <col min="8963" max="8963" width="20.42578125" style="3" customWidth="1"/>
    <col min="8964" max="8964" width="12.28515625" style="3" customWidth="1"/>
    <col min="8965" max="8965" width="5.42578125" style="3" customWidth="1"/>
    <col min="8966" max="8966" width="4.42578125" style="3" customWidth="1"/>
    <col min="8967" max="8967" width="18.42578125" style="3" customWidth="1"/>
    <col min="8968" max="8968" width="17.140625" style="3" customWidth="1"/>
    <col min="8969" max="9217" width="8.85546875" style="3"/>
    <col min="9218" max="9218" width="25.42578125" style="3" customWidth="1"/>
    <col min="9219" max="9219" width="20.42578125" style="3" customWidth="1"/>
    <col min="9220" max="9220" width="12.28515625" style="3" customWidth="1"/>
    <col min="9221" max="9221" width="5.42578125" style="3" customWidth="1"/>
    <col min="9222" max="9222" width="4.42578125" style="3" customWidth="1"/>
    <col min="9223" max="9223" width="18.42578125" style="3" customWidth="1"/>
    <col min="9224" max="9224" width="17.140625" style="3" customWidth="1"/>
    <col min="9225" max="9473" width="8.85546875" style="3"/>
    <col min="9474" max="9474" width="25.42578125" style="3" customWidth="1"/>
    <col min="9475" max="9475" width="20.42578125" style="3" customWidth="1"/>
    <col min="9476" max="9476" width="12.28515625" style="3" customWidth="1"/>
    <col min="9477" max="9477" width="5.42578125" style="3" customWidth="1"/>
    <col min="9478" max="9478" width="4.42578125" style="3" customWidth="1"/>
    <col min="9479" max="9479" width="18.42578125" style="3" customWidth="1"/>
    <col min="9480" max="9480" width="17.140625" style="3" customWidth="1"/>
    <col min="9481" max="9729" width="8.85546875" style="3"/>
    <col min="9730" max="9730" width="25.42578125" style="3" customWidth="1"/>
    <col min="9731" max="9731" width="20.42578125" style="3" customWidth="1"/>
    <col min="9732" max="9732" width="12.28515625" style="3" customWidth="1"/>
    <col min="9733" max="9733" width="5.42578125" style="3" customWidth="1"/>
    <col min="9734" max="9734" width="4.42578125" style="3" customWidth="1"/>
    <col min="9735" max="9735" width="18.42578125" style="3" customWidth="1"/>
    <col min="9736" max="9736" width="17.140625" style="3" customWidth="1"/>
    <col min="9737" max="9985" width="8.85546875" style="3"/>
    <col min="9986" max="9986" width="25.42578125" style="3" customWidth="1"/>
    <col min="9987" max="9987" width="20.42578125" style="3" customWidth="1"/>
    <col min="9988" max="9988" width="12.28515625" style="3" customWidth="1"/>
    <col min="9989" max="9989" width="5.42578125" style="3" customWidth="1"/>
    <col min="9990" max="9990" width="4.42578125" style="3" customWidth="1"/>
    <col min="9991" max="9991" width="18.42578125" style="3" customWidth="1"/>
    <col min="9992" max="9992" width="17.140625" style="3" customWidth="1"/>
    <col min="9993" max="10241" width="8.85546875" style="3"/>
    <col min="10242" max="10242" width="25.42578125" style="3" customWidth="1"/>
    <col min="10243" max="10243" width="20.42578125" style="3" customWidth="1"/>
    <col min="10244" max="10244" width="12.28515625" style="3" customWidth="1"/>
    <col min="10245" max="10245" width="5.42578125" style="3" customWidth="1"/>
    <col min="10246" max="10246" width="4.42578125" style="3" customWidth="1"/>
    <col min="10247" max="10247" width="18.42578125" style="3" customWidth="1"/>
    <col min="10248" max="10248" width="17.140625" style="3" customWidth="1"/>
    <col min="10249" max="10497" width="8.85546875" style="3"/>
    <col min="10498" max="10498" width="25.42578125" style="3" customWidth="1"/>
    <col min="10499" max="10499" width="20.42578125" style="3" customWidth="1"/>
    <col min="10500" max="10500" width="12.28515625" style="3" customWidth="1"/>
    <col min="10501" max="10501" width="5.42578125" style="3" customWidth="1"/>
    <col min="10502" max="10502" width="4.42578125" style="3" customWidth="1"/>
    <col min="10503" max="10503" width="18.42578125" style="3" customWidth="1"/>
    <col min="10504" max="10504" width="17.140625" style="3" customWidth="1"/>
    <col min="10505" max="10753" width="8.85546875" style="3"/>
    <col min="10754" max="10754" width="25.42578125" style="3" customWidth="1"/>
    <col min="10755" max="10755" width="20.42578125" style="3" customWidth="1"/>
    <col min="10756" max="10756" width="12.28515625" style="3" customWidth="1"/>
    <col min="10757" max="10757" width="5.42578125" style="3" customWidth="1"/>
    <col min="10758" max="10758" width="4.42578125" style="3" customWidth="1"/>
    <col min="10759" max="10759" width="18.42578125" style="3" customWidth="1"/>
    <col min="10760" max="10760" width="17.140625" style="3" customWidth="1"/>
    <col min="10761" max="11009" width="8.85546875" style="3"/>
    <col min="11010" max="11010" width="25.42578125" style="3" customWidth="1"/>
    <col min="11011" max="11011" width="20.42578125" style="3" customWidth="1"/>
    <col min="11012" max="11012" width="12.28515625" style="3" customWidth="1"/>
    <col min="11013" max="11013" width="5.42578125" style="3" customWidth="1"/>
    <col min="11014" max="11014" width="4.42578125" style="3" customWidth="1"/>
    <col min="11015" max="11015" width="18.42578125" style="3" customWidth="1"/>
    <col min="11016" max="11016" width="17.140625" style="3" customWidth="1"/>
    <col min="11017" max="11265" width="8.85546875" style="3"/>
    <col min="11266" max="11266" width="25.42578125" style="3" customWidth="1"/>
    <col min="11267" max="11267" width="20.42578125" style="3" customWidth="1"/>
    <col min="11268" max="11268" width="12.28515625" style="3" customWidth="1"/>
    <col min="11269" max="11269" width="5.42578125" style="3" customWidth="1"/>
    <col min="11270" max="11270" width="4.42578125" style="3" customWidth="1"/>
    <col min="11271" max="11271" width="18.42578125" style="3" customWidth="1"/>
    <col min="11272" max="11272" width="17.140625" style="3" customWidth="1"/>
    <col min="11273" max="11521" width="8.85546875" style="3"/>
    <col min="11522" max="11522" width="25.42578125" style="3" customWidth="1"/>
    <col min="11523" max="11523" width="20.42578125" style="3" customWidth="1"/>
    <col min="11524" max="11524" width="12.28515625" style="3" customWidth="1"/>
    <col min="11525" max="11525" width="5.42578125" style="3" customWidth="1"/>
    <col min="11526" max="11526" width="4.42578125" style="3" customWidth="1"/>
    <col min="11527" max="11527" width="18.42578125" style="3" customWidth="1"/>
    <col min="11528" max="11528" width="17.140625" style="3" customWidth="1"/>
    <col min="11529" max="11777" width="8.85546875" style="3"/>
    <col min="11778" max="11778" width="25.42578125" style="3" customWidth="1"/>
    <col min="11779" max="11779" width="20.42578125" style="3" customWidth="1"/>
    <col min="11780" max="11780" width="12.28515625" style="3" customWidth="1"/>
    <col min="11781" max="11781" width="5.42578125" style="3" customWidth="1"/>
    <col min="11782" max="11782" width="4.42578125" style="3" customWidth="1"/>
    <col min="11783" max="11783" width="18.42578125" style="3" customWidth="1"/>
    <col min="11784" max="11784" width="17.140625" style="3" customWidth="1"/>
    <col min="11785" max="12033" width="8.85546875" style="3"/>
    <col min="12034" max="12034" width="25.42578125" style="3" customWidth="1"/>
    <col min="12035" max="12035" width="20.42578125" style="3" customWidth="1"/>
    <col min="12036" max="12036" width="12.28515625" style="3" customWidth="1"/>
    <col min="12037" max="12037" width="5.42578125" style="3" customWidth="1"/>
    <col min="12038" max="12038" width="4.42578125" style="3" customWidth="1"/>
    <col min="12039" max="12039" width="18.42578125" style="3" customWidth="1"/>
    <col min="12040" max="12040" width="17.140625" style="3" customWidth="1"/>
    <col min="12041" max="12289" width="8.85546875" style="3"/>
    <col min="12290" max="12290" width="25.42578125" style="3" customWidth="1"/>
    <col min="12291" max="12291" width="20.42578125" style="3" customWidth="1"/>
    <col min="12292" max="12292" width="12.28515625" style="3" customWidth="1"/>
    <col min="12293" max="12293" width="5.42578125" style="3" customWidth="1"/>
    <col min="12294" max="12294" width="4.42578125" style="3" customWidth="1"/>
    <col min="12295" max="12295" width="18.42578125" style="3" customWidth="1"/>
    <col min="12296" max="12296" width="17.140625" style="3" customWidth="1"/>
    <col min="12297" max="12545" width="8.85546875" style="3"/>
    <col min="12546" max="12546" width="25.42578125" style="3" customWidth="1"/>
    <col min="12547" max="12547" width="20.42578125" style="3" customWidth="1"/>
    <col min="12548" max="12548" width="12.28515625" style="3" customWidth="1"/>
    <col min="12549" max="12549" width="5.42578125" style="3" customWidth="1"/>
    <col min="12550" max="12550" width="4.42578125" style="3" customWidth="1"/>
    <col min="12551" max="12551" width="18.42578125" style="3" customWidth="1"/>
    <col min="12552" max="12552" width="17.140625" style="3" customWidth="1"/>
    <col min="12553" max="12801" width="8.85546875" style="3"/>
    <col min="12802" max="12802" width="25.42578125" style="3" customWidth="1"/>
    <col min="12803" max="12803" width="20.42578125" style="3" customWidth="1"/>
    <col min="12804" max="12804" width="12.28515625" style="3" customWidth="1"/>
    <col min="12805" max="12805" width="5.42578125" style="3" customWidth="1"/>
    <col min="12806" max="12806" width="4.42578125" style="3" customWidth="1"/>
    <col min="12807" max="12807" width="18.42578125" style="3" customWidth="1"/>
    <col min="12808" max="12808" width="17.140625" style="3" customWidth="1"/>
    <col min="12809" max="13057" width="8.85546875" style="3"/>
    <col min="13058" max="13058" width="25.42578125" style="3" customWidth="1"/>
    <col min="13059" max="13059" width="20.42578125" style="3" customWidth="1"/>
    <col min="13060" max="13060" width="12.28515625" style="3" customWidth="1"/>
    <col min="13061" max="13061" width="5.42578125" style="3" customWidth="1"/>
    <col min="13062" max="13062" width="4.42578125" style="3" customWidth="1"/>
    <col min="13063" max="13063" width="18.42578125" style="3" customWidth="1"/>
    <col min="13064" max="13064" width="17.140625" style="3" customWidth="1"/>
    <col min="13065" max="13313" width="8.85546875" style="3"/>
    <col min="13314" max="13314" width="25.42578125" style="3" customWidth="1"/>
    <col min="13315" max="13315" width="20.42578125" style="3" customWidth="1"/>
    <col min="13316" max="13316" width="12.28515625" style="3" customWidth="1"/>
    <col min="13317" max="13317" width="5.42578125" style="3" customWidth="1"/>
    <col min="13318" max="13318" width="4.42578125" style="3" customWidth="1"/>
    <col min="13319" max="13319" width="18.42578125" style="3" customWidth="1"/>
    <col min="13320" max="13320" width="17.140625" style="3" customWidth="1"/>
    <col min="13321" max="13569" width="8.85546875" style="3"/>
    <col min="13570" max="13570" width="25.42578125" style="3" customWidth="1"/>
    <col min="13571" max="13571" width="20.42578125" style="3" customWidth="1"/>
    <col min="13572" max="13572" width="12.28515625" style="3" customWidth="1"/>
    <col min="13573" max="13573" width="5.42578125" style="3" customWidth="1"/>
    <col min="13574" max="13574" width="4.42578125" style="3" customWidth="1"/>
    <col min="13575" max="13575" width="18.42578125" style="3" customWidth="1"/>
    <col min="13576" max="13576" width="17.140625" style="3" customWidth="1"/>
    <col min="13577" max="13825" width="8.85546875" style="3"/>
    <col min="13826" max="13826" width="25.42578125" style="3" customWidth="1"/>
    <col min="13827" max="13827" width="20.42578125" style="3" customWidth="1"/>
    <col min="13828" max="13828" width="12.28515625" style="3" customWidth="1"/>
    <col min="13829" max="13829" width="5.42578125" style="3" customWidth="1"/>
    <col min="13830" max="13830" width="4.42578125" style="3" customWidth="1"/>
    <col min="13831" max="13831" width="18.42578125" style="3" customWidth="1"/>
    <col min="13832" max="13832" width="17.140625" style="3" customWidth="1"/>
    <col min="13833" max="14081" width="8.85546875" style="3"/>
    <col min="14082" max="14082" width="25.42578125" style="3" customWidth="1"/>
    <col min="14083" max="14083" width="20.42578125" style="3" customWidth="1"/>
    <col min="14084" max="14084" width="12.28515625" style="3" customWidth="1"/>
    <col min="14085" max="14085" width="5.42578125" style="3" customWidth="1"/>
    <col min="14086" max="14086" width="4.42578125" style="3" customWidth="1"/>
    <col min="14087" max="14087" width="18.42578125" style="3" customWidth="1"/>
    <col min="14088" max="14088" width="17.140625" style="3" customWidth="1"/>
    <col min="14089" max="14337" width="8.85546875" style="3"/>
    <col min="14338" max="14338" width="25.42578125" style="3" customWidth="1"/>
    <col min="14339" max="14339" width="20.42578125" style="3" customWidth="1"/>
    <col min="14340" max="14340" width="12.28515625" style="3" customWidth="1"/>
    <col min="14341" max="14341" width="5.42578125" style="3" customWidth="1"/>
    <col min="14342" max="14342" width="4.42578125" style="3" customWidth="1"/>
    <col min="14343" max="14343" width="18.42578125" style="3" customWidth="1"/>
    <col min="14344" max="14344" width="17.140625" style="3" customWidth="1"/>
    <col min="14345" max="14593" width="8.85546875" style="3"/>
    <col min="14594" max="14594" width="25.42578125" style="3" customWidth="1"/>
    <col min="14595" max="14595" width="20.42578125" style="3" customWidth="1"/>
    <col min="14596" max="14596" width="12.28515625" style="3" customWidth="1"/>
    <col min="14597" max="14597" width="5.42578125" style="3" customWidth="1"/>
    <col min="14598" max="14598" width="4.42578125" style="3" customWidth="1"/>
    <col min="14599" max="14599" width="18.42578125" style="3" customWidth="1"/>
    <col min="14600" max="14600" width="17.140625" style="3" customWidth="1"/>
    <col min="14601" max="14849" width="8.85546875" style="3"/>
    <col min="14850" max="14850" width="25.42578125" style="3" customWidth="1"/>
    <col min="14851" max="14851" width="20.42578125" style="3" customWidth="1"/>
    <col min="14852" max="14852" width="12.28515625" style="3" customWidth="1"/>
    <col min="14853" max="14853" width="5.42578125" style="3" customWidth="1"/>
    <col min="14854" max="14854" width="4.42578125" style="3" customWidth="1"/>
    <col min="14855" max="14855" width="18.42578125" style="3" customWidth="1"/>
    <col min="14856" max="14856" width="17.140625" style="3" customWidth="1"/>
    <col min="14857" max="15105" width="8.85546875" style="3"/>
    <col min="15106" max="15106" width="25.42578125" style="3" customWidth="1"/>
    <col min="15107" max="15107" width="20.42578125" style="3" customWidth="1"/>
    <col min="15108" max="15108" width="12.28515625" style="3" customWidth="1"/>
    <col min="15109" max="15109" width="5.42578125" style="3" customWidth="1"/>
    <col min="15110" max="15110" width="4.42578125" style="3" customWidth="1"/>
    <col min="15111" max="15111" width="18.42578125" style="3" customWidth="1"/>
    <col min="15112" max="15112" width="17.140625" style="3" customWidth="1"/>
    <col min="15113" max="15361" width="8.85546875" style="3"/>
    <col min="15362" max="15362" width="25.42578125" style="3" customWidth="1"/>
    <col min="15363" max="15363" width="20.42578125" style="3" customWidth="1"/>
    <col min="15364" max="15364" width="12.28515625" style="3" customWidth="1"/>
    <col min="15365" max="15365" width="5.42578125" style="3" customWidth="1"/>
    <col min="15366" max="15366" width="4.42578125" style="3" customWidth="1"/>
    <col min="15367" max="15367" width="18.42578125" style="3" customWidth="1"/>
    <col min="15368" max="15368" width="17.140625" style="3" customWidth="1"/>
    <col min="15369" max="15617" width="8.85546875" style="3"/>
    <col min="15618" max="15618" width="25.42578125" style="3" customWidth="1"/>
    <col min="15619" max="15619" width="20.42578125" style="3" customWidth="1"/>
    <col min="15620" max="15620" width="12.28515625" style="3" customWidth="1"/>
    <col min="15621" max="15621" width="5.42578125" style="3" customWidth="1"/>
    <col min="15622" max="15622" width="4.42578125" style="3" customWidth="1"/>
    <col min="15623" max="15623" width="18.42578125" style="3" customWidth="1"/>
    <col min="15624" max="15624" width="17.140625" style="3" customWidth="1"/>
    <col min="15625" max="15873" width="8.85546875" style="3"/>
    <col min="15874" max="15874" width="25.42578125" style="3" customWidth="1"/>
    <col min="15875" max="15875" width="20.42578125" style="3" customWidth="1"/>
    <col min="15876" max="15876" width="12.28515625" style="3" customWidth="1"/>
    <col min="15877" max="15877" width="5.42578125" style="3" customWidth="1"/>
    <col min="15878" max="15878" width="4.42578125" style="3" customWidth="1"/>
    <col min="15879" max="15879" width="18.42578125" style="3" customWidth="1"/>
    <col min="15880" max="15880" width="17.140625" style="3" customWidth="1"/>
    <col min="15881" max="16129" width="8.85546875" style="3"/>
    <col min="16130" max="16130" width="25.42578125" style="3" customWidth="1"/>
    <col min="16131" max="16131" width="20.42578125" style="3" customWidth="1"/>
    <col min="16132" max="16132" width="12.28515625" style="3" customWidth="1"/>
    <col min="16133" max="16133" width="5.42578125" style="3" customWidth="1"/>
    <col min="16134" max="16134" width="4.42578125" style="3" customWidth="1"/>
    <col min="16135" max="16135" width="18.42578125" style="3" customWidth="1"/>
    <col min="16136" max="16136" width="17.140625" style="3" customWidth="1"/>
    <col min="16137" max="16384" width="8.85546875" style="3"/>
  </cols>
  <sheetData>
    <row r="1" spans="1:54" ht="12.75" customHeight="1">
      <c r="A1" s="11"/>
      <c r="B1" s="126" t="s">
        <v>0</v>
      </c>
      <c r="C1" s="127"/>
      <c r="D1" s="127"/>
      <c r="E1" s="127"/>
      <c r="F1" s="5"/>
      <c r="G1" s="5"/>
      <c r="H1" s="5"/>
      <c r="I1" s="70"/>
    </row>
    <row r="2" spans="1:54" ht="18" customHeight="1">
      <c r="A2" s="11"/>
      <c r="B2" s="127"/>
      <c r="C2" s="127"/>
      <c r="D2" s="127"/>
      <c r="E2" s="127"/>
      <c r="F2" s="5"/>
      <c r="G2" s="5"/>
      <c r="H2" s="5"/>
      <c r="I2" s="70"/>
    </row>
    <row r="3" spans="1:54" ht="6.75" customHeight="1">
      <c r="A3" s="11"/>
      <c r="B3" s="127"/>
      <c r="C3" s="127"/>
      <c r="D3" s="127"/>
      <c r="E3" s="127"/>
      <c r="F3" s="5"/>
      <c r="G3" s="5"/>
      <c r="H3" s="5"/>
      <c r="I3" s="70"/>
    </row>
    <row r="4" spans="1:54" ht="18.75" customHeight="1">
      <c r="A4" s="11"/>
      <c r="B4" s="128" t="s">
        <v>13</v>
      </c>
      <c r="C4" s="130" t="s">
        <v>1</v>
      </c>
      <c r="D4" s="136" t="s">
        <v>14</v>
      </c>
      <c r="E4" s="137"/>
      <c r="F4" s="137"/>
      <c r="G4" s="137"/>
      <c r="H4" s="113" t="s">
        <v>17</v>
      </c>
      <c r="I4" s="70"/>
    </row>
    <row r="5" spans="1:54" ht="18.75" customHeight="1" thickBot="1">
      <c r="A5" s="11"/>
      <c r="B5" s="129"/>
      <c r="C5" s="131"/>
      <c r="D5" s="138" t="s">
        <v>172</v>
      </c>
      <c r="E5" s="139"/>
      <c r="F5" s="139"/>
      <c r="G5" s="139"/>
      <c r="H5" s="114" t="s">
        <v>193</v>
      </c>
      <c r="I5" s="70" t="s">
        <v>188</v>
      </c>
    </row>
    <row r="6" spans="1:54" ht="15.95" customHeight="1" thickTop="1" thickBot="1">
      <c r="A6" s="66">
        <f>VLOOKUP(C4,K7:L10,2,0)</f>
        <v>2</v>
      </c>
      <c r="B6" s="132" t="s">
        <v>12</v>
      </c>
      <c r="C6" s="133"/>
      <c r="D6" s="134"/>
      <c r="E6" s="134"/>
      <c r="F6" s="134"/>
      <c r="G6" s="134"/>
      <c r="H6" s="135"/>
      <c r="I6" s="70"/>
    </row>
    <row r="7" spans="1:54" ht="45" customHeight="1" thickTop="1" thickBot="1">
      <c r="A7" s="66">
        <v>1</v>
      </c>
      <c r="B7" s="67" t="str">
        <f>IF(VLOOKUP(A7,$J$17:$N$25,$A$6,0)=0,"",VLOOKUP(A7,$J$17:$N$25,$A$6,0))</f>
        <v>Text / URL</v>
      </c>
      <c r="C7" s="154" t="s">
        <v>343</v>
      </c>
      <c r="D7" s="155"/>
      <c r="E7" s="155"/>
      <c r="F7" s="155"/>
      <c r="G7" s="155"/>
      <c r="H7" s="156"/>
      <c r="I7" s="70"/>
      <c r="K7" s="3" t="s">
        <v>1</v>
      </c>
      <c r="L7" s="3">
        <v>2</v>
      </c>
      <c r="M7" s="3" t="s">
        <v>25</v>
      </c>
    </row>
    <row r="8" spans="1:54" ht="33.75" customHeight="1" thickTop="1" thickBot="1">
      <c r="A8" s="66">
        <v>2</v>
      </c>
      <c r="B8" s="67" t="str">
        <f t="shared" ref="B8:B15" si="0">IF(VLOOKUP(A8,$J$17:$N$25,$A$6,0)=0,"",VLOOKUP(A8,$J$17:$N$25,$A$6,0))</f>
        <v/>
      </c>
      <c r="C8" s="157" t="s">
        <v>339</v>
      </c>
      <c r="D8" s="158"/>
      <c r="E8" s="158"/>
      <c r="F8" s="158"/>
      <c r="G8" s="158"/>
      <c r="H8" s="159"/>
      <c r="I8" s="70"/>
      <c r="K8" s="3" t="s">
        <v>2</v>
      </c>
      <c r="L8" s="3">
        <v>3</v>
      </c>
      <c r="M8" s="3" t="s">
        <v>26</v>
      </c>
    </row>
    <row r="9" spans="1:54" ht="16.5" customHeight="1" thickTop="1" thickBot="1">
      <c r="A9" s="66">
        <v>3</v>
      </c>
      <c r="B9" s="67" t="str">
        <f t="shared" si="0"/>
        <v/>
      </c>
      <c r="C9" s="140" t="s">
        <v>340</v>
      </c>
      <c r="D9" s="141"/>
      <c r="E9" s="141"/>
      <c r="F9" s="141"/>
      <c r="G9" s="141"/>
      <c r="H9" s="142"/>
      <c r="I9" s="70"/>
      <c r="K9" s="3" t="s">
        <v>3</v>
      </c>
      <c r="L9" s="3">
        <v>4</v>
      </c>
      <c r="M9" s="3" t="s">
        <v>27</v>
      </c>
    </row>
    <row r="10" spans="1:54" ht="16.5" customHeight="1" thickTop="1" thickBot="1">
      <c r="A10" s="66">
        <v>4</v>
      </c>
      <c r="B10" s="67" t="str">
        <f t="shared" si="0"/>
        <v/>
      </c>
      <c r="C10" s="160"/>
      <c r="D10" s="141"/>
      <c r="E10" s="141"/>
      <c r="F10" s="141"/>
      <c r="G10" s="141"/>
      <c r="H10" s="142"/>
      <c r="I10" s="70"/>
      <c r="K10" s="3" t="s">
        <v>4</v>
      </c>
      <c r="L10" s="3">
        <v>5</v>
      </c>
      <c r="M10" s="3" t="s">
        <v>28</v>
      </c>
    </row>
    <row r="11" spans="1:54" ht="16.5" customHeight="1" thickTop="1" thickBot="1">
      <c r="A11" s="66">
        <v>5</v>
      </c>
      <c r="B11" s="67" t="str">
        <f t="shared" si="0"/>
        <v/>
      </c>
      <c r="C11" s="140" t="s">
        <v>43</v>
      </c>
      <c r="D11" s="141"/>
      <c r="E11" s="141"/>
      <c r="F11" s="141"/>
      <c r="G11" s="141"/>
      <c r="H11" s="142"/>
      <c r="I11" s="70"/>
      <c r="K11" s="3" t="s">
        <v>47</v>
      </c>
      <c r="L11" s="3">
        <f>IFERROR(IF(H4=K12,HLOOKUP(C39,M12:AZ16,5),IF(H4=K13,HLOOKUP(C39,M13:AZ16,4),IF(H4=K14,HLOOKUP(C39,M14:AZ16,3),HLOOKUP(C39,M15:AZ16,2)))),1)</f>
        <v>13</v>
      </c>
      <c r="M11" s="3">
        <v>1</v>
      </c>
      <c r="N11" s="3">
        <v>2</v>
      </c>
      <c r="O11" s="3">
        <v>3</v>
      </c>
      <c r="P11" s="3">
        <v>4</v>
      </c>
      <c r="Q11" s="3">
        <v>5</v>
      </c>
      <c r="R11" s="3">
        <v>6</v>
      </c>
      <c r="S11" s="3">
        <v>7</v>
      </c>
      <c r="T11" s="3">
        <v>8</v>
      </c>
      <c r="U11" s="3">
        <v>9</v>
      </c>
      <c r="V11" s="3">
        <v>10</v>
      </c>
      <c r="W11" s="3">
        <v>11</v>
      </c>
      <c r="X11" s="3">
        <v>12</v>
      </c>
      <c r="Y11" s="3">
        <v>13</v>
      </c>
      <c r="Z11" s="3">
        <v>14</v>
      </c>
      <c r="AA11" s="3">
        <v>15</v>
      </c>
      <c r="AB11" s="3">
        <v>16</v>
      </c>
      <c r="AC11" s="3">
        <v>17</v>
      </c>
      <c r="AD11" s="3">
        <v>18</v>
      </c>
      <c r="AE11" s="3">
        <v>19</v>
      </c>
      <c r="AF11" s="3">
        <v>20</v>
      </c>
      <c r="AG11" s="3">
        <v>21</v>
      </c>
      <c r="AH11" s="3">
        <v>22</v>
      </c>
      <c r="AI11" s="3">
        <v>23</v>
      </c>
      <c r="AJ11" s="3">
        <v>24</v>
      </c>
      <c r="AK11" s="3">
        <v>25</v>
      </c>
      <c r="AL11" s="3">
        <v>26</v>
      </c>
      <c r="AM11" s="3">
        <v>27</v>
      </c>
      <c r="AN11" s="3">
        <v>28</v>
      </c>
      <c r="AO11" s="3">
        <v>29</v>
      </c>
      <c r="AP11" s="3">
        <v>30</v>
      </c>
      <c r="AQ11" s="3">
        <v>31</v>
      </c>
      <c r="AR11" s="3">
        <v>32</v>
      </c>
      <c r="AS11" s="3">
        <v>33</v>
      </c>
      <c r="AT11" s="3">
        <v>34</v>
      </c>
      <c r="AU11" s="3">
        <v>35</v>
      </c>
      <c r="AV11" s="3">
        <v>36</v>
      </c>
      <c r="AW11" s="3">
        <v>37</v>
      </c>
      <c r="AX11" s="3">
        <v>38</v>
      </c>
      <c r="AY11" s="3">
        <v>39</v>
      </c>
      <c r="AZ11" s="3">
        <v>40</v>
      </c>
    </row>
    <row r="12" spans="1:54" ht="16.5" customHeight="1" thickTop="1" thickBot="1">
      <c r="A12" s="66">
        <v>6</v>
      </c>
      <c r="B12" s="67" t="str">
        <f t="shared" si="0"/>
        <v/>
      </c>
      <c r="C12" s="140" t="s">
        <v>341</v>
      </c>
      <c r="D12" s="141"/>
      <c r="E12" s="141"/>
      <c r="F12" s="141"/>
      <c r="G12" s="141"/>
      <c r="H12" s="142"/>
      <c r="I12" s="70"/>
      <c r="K12" s="3" t="s">
        <v>15</v>
      </c>
      <c r="L12" s="3" t="s">
        <v>29</v>
      </c>
      <c r="M12" s="3">
        <v>152</v>
      </c>
      <c r="N12" s="3">
        <v>272</v>
      </c>
      <c r="O12" s="3">
        <v>440</v>
      </c>
      <c r="P12" s="3">
        <v>640</v>
      </c>
      <c r="Q12" s="3">
        <v>864</v>
      </c>
      <c r="R12" s="3">
        <v>1088</v>
      </c>
      <c r="S12" s="3">
        <v>1248</v>
      </c>
      <c r="T12" s="3">
        <v>1552</v>
      </c>
      <c r="U12" s="3">
        <v>1856</v>
      </c>
      <c r="V12" s="3">
        <v>2192</v>
      </c>
      <c r="W12" s="3">
        <v>2592</v>
      </c>
      <c r="X12" s="3">
        <v>2960</v>
      </c>
      <c r="Y12" s="3">
        <v>3424</v>
      </c>
      <c r="Z12" s="3">
        <v>3688</v>
      </c>
      <c r="AA12" s="3">
        <v>4184</v>
      </c>
      <c r="AB12" s="3">
        <v>4712</v>
      </c>
      <c r="AC12" s="3">
        <v>5176</v>
      </c>
      <c r="AD12" s="3">
        <v>5768</v>
      </c>
      <c r="AE12" s="3">
        <v>6360</v>
      </c>
      <c r="AF12" s="3">
        <v>6888</v>
      </c>
      <c r="AG12" s="3">
        <v>7456</v>
      </c>
      <c r="AH12" s="71">
        <v>8048</v>
      </c>
      <c r="AI12" s="71">
        <v>8752</v>
      </c>
      <c r="AJ12" s="71">
        <v>9392</v>
      </c>
      <c r="AK12" s="71">
        <v>10208</v>
      </c>
      <c r="AL12" s="71">
        <v>10960</v>
      </c>
      <c r="AM12" s="71">
        <v>11744</v>
      </c>
      <c r="AN12" s="71">
        <v>12248</v>
      </c>
      <c r="AO12" s="71">
        <v>13048</v>
      </c>
      <c r="AP12" s="71">
        <v>13880</v>
      </c>
      <c r="AQ12" s="71">
        <v>14744</v>
      </c>
      <c r="AR12" s="71">
        <v>15640</v>
      </c>
      <c r="AS12" s="71">
        <v>16568</v>
      </c>
      <c r="AT12" s="71">
        <v>17528</v>
      </c>
      <c r="AU12" s="71">
        <v>18448</v>
      </c>
      <c r="AV12" s="71">
        <v>19472</v>
      </c>
      <c r="AW12" s="71">
        <v>20528</v>
      </c>
      <c r="AX12" s="71">
        <v>21616</v>
      </c>
      <c r="AY12" s="71">
        <v>22496</v>
      </c>
      <c r="AZ12" s="71">
        <v>23648</v>
      </c>
      <c r="BA12" s="71"/>
      <c r="BB12" s="71"/>
    </row>
    <row r="13" spans="1:54" ht="16.5" customHeight="1" thickTop="1" thickBot="1">
      <c r="A13" s="66">
        <v>7</v>
      </c>
      <c r="B13" s="67" t="str">
        <f t="shared" si="0"/>
        <v/>
      </c>
      <c r="C13" s="140" t="s">
        <v>342</v>
      </c>
      <c r="D13" s="141"/>
      <c r="E13" s="141"/>
      <c r="F13" s="141"/>
      <c r="G13" s="141"/>
      <c r="H13" s="142"/>
      <c r="I13" s="70"/>
      <c r="K13" s="3" t="s">
        <v>16</v>
      </c>
      <c r="L13" s="3" t="s">
        <v>30</v>
      </c>
      <c r="M13" s="3">
        <v>128</v>
      </c>
      <c r="N13" s="3">
        <v>224</v>
      </c>
      <c r="O13" s="3">
        <v>352</v>
      </c>
      <c r="P13" s="3">
        <v>512</v>
      </c>
      <c r="Q13" s="3">
        <v>688</v>
      </c>
      <c r="R13" s="3">
        <v>864</v>
      </c>
      <c r="S13" s="3">
        <v>992</v>
      </c>
      <c r="T13" s="3">
        <v>1232</v>
      </c>
      <c r="U13" s="3">
        <v>1456</v>
      </c>
      <c r="V13" s="3">
        <v>1728</v>
      </c>
      <c r="W13" s="3">
        <v>2032</v>
      </c>
      <c r="X13" s="3">
        <v>2320</v>
      </c>
      <c r="Y13" s="3">
        <v>2672</v>
      </c>
      <c r="Z13" s="3">
        <v>2920</v>
      </c>
      <c r="AA13" s="3">
        <v>3320</v>
      </c>
      <c r="AB13" s="3">
        <v>3624</v>
      </c>
      <c r="AC13" s="3">
        <v>4056</v>
      </c>
      <c r="AD13" s="3">
        <v>4504</v>
      </c>
      <c r="AE13" s="3">
        <v>5016</v>
      </c>
      <c r="AF13" s="3">
        <v>5352</v>
      </c>
      <c r="AG13" s="3">
        <v>5712</v>
      </c>
      <c r="AH13" s="71">
        <v>6256</v>
      </c>
      <c r="AI13" s="71">
        <v>6880</v>
      </c>
      <c r="AJ13" s="71">
        <v>7312</v>
      </c>
      <c r="AK13" s="71">
        <v>8000</v>
      </c>
      <c r="AL13" s="71">
        <v>8496</v>
      </c>
      <c r="AM13" s="71">
        <v>9024</v>
      </c>
      <c r="AN13" s="71">
        <v>9544</v>
      </c>
      <c r="AO13" s="71">
        <v>10136</v>
      </c>
      <c r="AP13" s="71">
        <v>10984</v>
      </c>
      <c r="AQ13" s="71">
        <v>11640</v>
      </c>
      <c r="AR13" s="71">
        <v>12328</v>
      </c>
      <c r="AS13" s="71">
        <v>13048</v>
      </c>
      <c r="AT13" s="71">
        <v>13800</v>
      </c>
      <c r="AU13" s="71">
        <v>14496</v>
      </c>
      <c r="AV13" s="71">
        <v>15312</v>
      </c>
      <c r="AW13" s="71">
        <v>15936</v>
      </c>
      <c r="AX13" s="71">
        <v>16816</v>
      </c>
      <c r="AY13" s="71">
        <v>17728</v>
      </c>
      <c r="AZ13" s="71">
        <v>18672</v>
      </c>
      <c r="BA13" s="71"/>
      <c r="BB13" s="71"/>
    </row>
    <row r="14" spans="1:54" ht="16.5" customHeight="1" thickTop="1" thickBot="1">
      <c r="A14" s="66">
        <v>8</v>
      </c>
      <c r="B14" s="67" t="str">
        <f t="shared" si="0"/>
        <v/>
      </c>
      <c r="C14" s="140"/>
      <c r="D14" s="141"/>
      <c r="E14" s="141"/>
      <c r="F14" s="141"/>
      <c r="G14" s="141"/>
      <c r="H14" s="142"/>
      <c r="I14" s="70"/>
      <c r="K14" s="3" t="s">
        <v>18</v>
      </c>
      <c r="L14" s="3" t="s">
        <v>39</v>
      </c>
      <c r="M14" s="3">
        <v>104</v>
      </c>
      <c r="N14" s="3">
        <v>176</v>
      </c>
      <c r="O14" s="3">
        <v>272</v>
      </c>
      <c r="P14" s="3">
        <v>384</v>
      </c>
      <c r="Q14" s="3">
        <v>496</v>
      </c>
      <c r="R14" s="3">
        <v>608</v>
      </c>
      <c r="S14" s="3">
        <v>704</v>
      </c>
      <c r="T14" s="3">
        <v>880</v>
      </c>
      <c r="U14" s="3">
        <v>1056</v>
      </c>
      <c r="V14" s="3">
        <v>1232</v>
      </c>
      <c r="W14" s="3">
        <v>1440</v>
      </c>
      <c r="X14" s="3">
        <v>1648</v>
      </c>
      <c r="Y14" s="3">
        <v>1952</v>
      </c>
      <c r="Z14" s="3">
        <v>2088</v>
      </c>
      <c r="AA14" s="3">
        <v>2360</v>
      </c>
      <c r="AB14" s="3">
        <v>2600</v>
      </c>
      <c r="AC14" s="3">
        <v>2936</v>
      </c>
      <c r="AD14" s="3">
        <v>3176</v>
      </c>
      <c r="AE14" s="3">
        <v>3560</v>
      </c>
      <c r="AF14" s="3">
        <v>3880</v>
      </c>
      <c r="AG14" s="3">
        <v>4096</v>
      </c>
      <c r="AH14" s="71">
        <v>4544</v>
      </c>
      <c r="AI14" s="71">
        <v>4912</v>
      </c>
      <c r="AJ14" s="71">
        <v>5312</v>
      </c>
      <c r="AK14" s="71">
        <v>5744</v>
      </c>
      <c r="AL14" s="71">
        <v>6032</v>
      </c>
      <c r="AM14" s="71">
        <v>6464</v>
      </c>
      <c r="AN14" s="71">
        <v>6968</v>
      </c>
      <c r="AO14" s="71">
        <v>7288</v>
      </c>
      <c r="AP14" s="71">
        <v>7880</v>
      </c>
      <c r="AQ14" s="71">
        <v>8264</v>
      </c>
      <c r="AR14" s="71">
        <v>8920</v>
      </c>
      <c r="AS14" s="71">
        <v>9368</v>
      </c>
      <c r="AT14" s="71">
        <v>9848</v>
      </c>
      <c r="AU14" s="71">
        <v>10288</v>
      </c>
      <c r="AV14" s="71">
        <v>10832</v>
      </c>
      <c r="AW14" s="71">
        <v>11408</v>
      </c>
      <c r="AX14" s="71">
        <v>12016</v>
      </c>
      <c r="AY14" s="71">
        <v>12656</v>
      </c>
      <c r="AZ14" s="71">
        <v>13328</v>
      </c>
      <c r="BA14" s="71"/>
      <c r="BB14" s="71"/>
    </row>
    <row r="15" spans="1:54" ht="51.75" customHeight="1" thickTop="1" thickBot="1">
      <c r="A15" s="66">
        <v>9</v>
      </c>
      <c r="B15" s="67" t="str">
        <f t="shared" si="0"/>
        <v/>
      </c>
      <c r="C15" s="154"/>
      <c r="D15" s="155"/>
      <c r="E15" s="155"/>
      <c r="F15" s="155"/>
      <c r="G15" s="155"/>
      <c r="H15" s="156"/>
      <c r="I15" s="70"/>
      <c r="K15" s="3" t="s">
        <v>17</v>
      </c>
      <c r="L15" s="3" t="s">
        <v>40</v>
      </c>
      <c r="M15" s="3">
        <v>72</v>
      </c>
      <c r="N15" s="3">
        <v>128</v>
      </c>
      <c r="O15" s="3">
        <v>208</v>
      </c>
      <c r="P15" s="3">
        <v>288</v>
      </c>
      <c r="Q15" s="3">
        <v>368</v>
      </c>
      <c r="R15" s="3">
        <v>480</v>
      </c>
      <c r="S15" s="3">
        <v>528</v>
      </c>
      <c r="T15" s="3">
        <v>688</v>
      </c>
      <c r="U15" s="3">
        <v>800</v>
      </c>
      <c r="V15" s="3">
        <v>976</v>
      </c>
      <c r="W15" s="3">
        <v>1120</v>
      </c>
      <c r="X15" s="3">
        <v>1264</v>
      </c>
      <c r="Y15" s="3">
        <v>1440</v>
      </c>
      <c r="Z15" s="3">
        <v>1576</v>
      </c>
      <c r="AA15" s="3">
        <v>1784</v>
      </c>
      <c r="AB15" s="3">
        <v>2024</v>
      </c>
      <c r="AC15" s="3">
        <v>2264</v>
      </c>
      <c r="AD15" s="3">
        <v>2504</v>
      </c>
      <c r="AE15" s="3">
        <v>2728</v>
      </c>
      <c r="AF15" s="3">
        <v>3080</v>
      </c>
      <c r="AG15" s="3">
        <v>3248</v>
      </c>
      <c r="AH15" s="71">
        <v>3536</v>
      </c>
      <c r="AI15" s="71">
        <v>3712</v>
      </c>
      <c r="AJ15" s="71">
        <v>4112</v>
      </c>
      <c r="AK15" s="71">
        <v>4304</v>
      </c>
      <c r="AL15" s="71">
        <v>4768</v>
      </c>
      <c r="AM15" s="71">
        <v>5024</v>
      </c>
      <c r="AN15" s="71">
        <v>5288</v>
      </c>
      <c r="AO15" s="71">
        <v>5608</v>
      </c>
      <c r="AP15" s="71">
        <v>5960</v>
      </c>
      <c r="AQ15" s="71">
        <v>6344</v>
      </c>
      <c r="AR15" s="71">
        <v>6760</v>
      </c>
      <c r="AS15" s="71">
        <v>7208</v>
      </c>
      <c r="AT15" s="71">
        <v>7688</v>
      </c>
      <c r="AU15" s="71">
        <v>7888</v>
      </c>
      <c r="AV15" s="71">
        <v>8432</v>
      </c>
      <c r="AW15" s="71">
        <v>8768</v>
      </c>
      <c r="AX15" s="71">
        <v>9136</v>
      </c>
      <c r="AY15" s="71">
        <v>9776</v>
      </c>
      <c r="AZ15" s="71">
        <v>10208</v>
      </c>
      <c r="BA15" s="71"/>
      <c r="BB15" s="71"/>
    </row>
    <row r="16" spans="1:54" ht="16.5" customHeight="1" thickTop="1">
      <c r="A16" s="11"/>
      <c r="B16" s="6" t="s">
        <v>24</v>
      </c>
      <c r="C16" s="143"/>
      <c r="D16" s="144"/>
      <c r="E16" s="144"/>
      <c r="F16" s="144"/>
      <c r="G16" s="144"/>
      <c r="H16" s="145"/>
      <c r="I16" s="70"/>
      <c r="M16" s="3">
        <v>2</v>
      </c>
      <c r="N16" s="3">
        <v>3</v>
      </c>
      <c r="O16" s="3">
        <v>4</v>
      </c>
      <c r="P16" s="3">
        <v>5</v>
      </c>
      <c r="Q16" s="3">
        <v>6</v>
      </c>
      <c r="R16" s="3">
        <v>7</v>
      </c>
      <c r="S16" s="3">
        <v>8</v>
      </c>
      <c r="T16" s="3">
        <v>9</v>
      </c>
      <c r="U16" s="3">
        <v>10</v>
      </c>
      <c r="V16" s="3">
        <v>11</v>
      </c>
      <c r="W16" s="3">
        <v>12</v>
      </c>
      <c r="X16" s="3">
        <v>13</v>
      </c>
      <c r="Y16" s="3">
        <v>14</v>
      </c>
      <c r="Z16" s="3">
        <v>15</v>
      </c>
      <c r="AA16" s="3">
        <v>16</v>
      </c>
      <c r="AB16" s="3">
        <v>17</v>
      </c>
      <c r="AC16" s="3">
        <v>18</v>
      </c>
      <c r="AD16" s="3">
        <v>19</v>
      </c>
      <c r="AE16" s="3">
        <v>20</v>
      </c>
      <c r="AF16" s="3">
        <v>21</v>
      </c>
      <c r="AG16" s="3">
        <v>22</v>
      </c>
      <c r="AH16" s="3">
        <v>23</v>
      </c>
      <c r="AI16" s="3">
        <v>24</v>
      </c>
      <c r="AJ16" s="3">
        <v>25</v>
      </c>
      <c r="AK16" s="3">
        <v>26</v>
      </c>
      <c r="AL16" s="3">
        <v>27</v>
      </c>
      <c r="AM16" s="3">
        <v>28</v>
      </c>
      <c r="AN16" s="3">
        <v>29</v>
      </c>
      <c r="AO16" s="3">
        <v>30</v>
      </c>
      <c r="AP16" s="3">
        <v>31</v>
      </c>
      <c r="AQ16" s="3">
        <v>32</v>
      </c>
      <c r="AR16" s="3">
        <v>33</v>
      </c>
      <c r="AS16" s="3">
        <v>34</v>
      </c>
      <c r="AT16" s="3">
        <v>35</v>
      </c>
      <c r="AU16" s="3">
        <v>36</v>
      </c>
      <c r="AV16" s="3">
        <v>37</v>
      </c>
      <c r="AW16" s="3">
        <v>38</v>
      </c>
      <c r="AX16" s="3">
        <v>39</v>
      </c>
      <c r="AY16" s="3">
        <v>40</v>
      </c>
      <c r="AZ16" s="3" t="s">
        <v>48</v>
      </c>
    </row>
    <row r="17" spans="1:49" ht="25.5" customHeight="1">
      <c r="A17" s="11"/>
      <c r="B17" s="148" t="str">
        <f>VLOOKUP(C4,K7:M10,3,0)&amp;CHAR(10)&amp;"Error correction Level: "&amp;CHAR(10)&amp;VLOOKUP(H4,K12:L15,2,0)</f>
        <v>Please input text
Error correction Level: 
Highest level, information can be recover from up to approximately 30% error code words</v>
      </c>
      <c r="C17" s="149"/>
      <c r="D17" s="149"/>
      <c r="E17" s="149"/>
      <c r="F17" s="149"/>
      <c r="G17" s="149"/>
      <c r="H17" s="150"/>
      <c r="I17" s="70"/>
      <c r="J17" s="35">
        <v>1</v>
      </c>
      <c r="K17" s="36" t="s">
        <v>19</v>
      </c>
      <c r="L17" s="36" t="s">
        <v>5</v>
      </c>
      <c r="M17" s="36" t="s">
        <v>37</v>
      </c>
      <c r="N17" s="36" t="s">
        <v>20</v>
      </c>
      <c r="S17" s="3" t="s">
        <v>15</v>
      </c>
      <c r="T17" s="103" t="s">
        <v>176</v>
      </c>
      <c r="U17" t="s">
        <v>173</v>
      </c>
      <c r="V17">
        <v>1</v>
      </c>
      <c r="W17" s="103" t="s">
        <v>180</v>
      </c>
    </row>
    <row r="18" spans="1:49" ht="32.25" customHeight="1" thickBot="1">
      <c r="A18" s="11"/>
      <c r="B18" s="151"/>
      <c r="C18" s="152"/>
      <c r="D18" s="152"/>
      <c r="E18" s="152"/>
      <c r="F18" s="152"/>
      <c r="G18" s="152"/>
      <c r="H18" s="153"/>
      <c r="I18" s="70"/>
      <c r="J18" s="35">
        <v>2</v>
      </c>
      <c r="K18" s="37"/>
      <c r="L18" s="36" t="s">
        <v>9</v>
      </c>
      <c r="M18" s="37" t="s">
        <v>38</v>
      </c>
      <c r="N18" s="37" t="s">
        <v>21</v>
      </c>
      <c r="S18" s="3" t="s">
        <v>16</v>
      </c>
      <c r="T18" s="103" t="s">
        <v>177</v>
      </c>
      <c r="U18" t="s">
        <v>174</v>
      </c>
      <c r="V18">
        <v>2</v>
      </c>
      <c r="W18" s="103" t="s">
        <v>181</v>
      </c>
    </row>
    <row r="19" spans="1:49" ht="22.5" customHeight="1" thickTop="1">
      <c r="A19" s="11"/>
      <c r="B19" s="7"/>
      <c r="C19" s="8"/>
      <c r="D19" s="8"/>
      <c r="E19" s="146" t="s">
        <v>22</v>
      </c>
      <c r="F19" s="146"/>
      <c r="G19" s="146"/>
      <c r="H19" s="26">
        <f>D23</f>
        <v>95</v>
      </c>
      <c r="I19" s="70"/>
      <c r="J19" s="35">
        <v>3</v>
      </c>
      <c r="K19" s="37"/>
      <c r="L19" s="37" t="s">
        <v>7</v>
      </c>
      <c r="M19" s="37"/>
      <c r="N19" s="37"/>
      <c r="S19" s="3" t="s">
        <v>18</v>
      </c>
      <c r="T19" s="103" t="s">
        <v>178</v>
      </c>
      <c r="U19" t="s">
        <v>175</v>
      </c>
      <c r="V19">
        <v>3</v>
      </c>
      <c r="W19" s="103" t="s">
        <v>182</v>
      </c>
    </row>
    <row r="20" spans="1:49" ht="22.5" customHeight="1">
      <c r="A20" s="11"/>
      <c r="B20" s="9"/>
      <c r="C20" s="10"/>
      <c r="D20" s="10"/>
      <c r="E20" s="147" t="s">
        <v>23</v>
      </c>
      <c r="F20" s="147"/>
      <c r="G20" s="147"/>
      <c r="H20" s="27" t="str">
        <f>IF(L11&lt;&gt;"Overflow",L11&amp;"-"&amp;H4,L11)</f>
        <v>13-H</v>
      </c>
      <c r="I20" s="70"/>
      <c r="J20" s="35">
        <v>4</v>
      </c>
      <c r="K20" s="36"/>
      <c r="L20" s="36" t="s">
        <v>8</v>
      </c>
      <c r="M20" s="36"/>
      <c r="N20" s="36"/>
      <c r="S20" s="3" t="s">
        <v>17</v>
      </c>
      <c r="T20" s="103" t="s">
        <v>179</v>
      </c>
      <c r="U20" t="s">
        <v>189</v>
      </c>
      <c r="V20">
        <v>4</v>
      </c>
      <c r="W20" s="103" t="s">
        <v>183</v>
      </c>
    </row>
    <row r="21" spans="1:49" ht="11.25" customHeight="1">
      <c r="A21" s="11"/>
      <c r="B21" s="11"/>
      <c r="C21" s="11"/>
      <c r="D21" s="11"/>
      <c r="E21" s="12"/>
      <c r="F21" s="12"/>
      <c r="G21" s="11"/>
      <c r="H21" s="11"/>
      <c r="I21" s="70"/>
      <c r="J21" s="35">
        <v>5</v>
      </c>
      <c r="K21" s="36"/>
      <c r="L21" s="36" t="s">
        <v>6</v>
      </c>
      <c r="M21" s="36"/>
      <c r="N21" s="36"/>
      <c r="U21" t="s">
        <v>190</v>
      </c>
      <c r="V21">
        <v>5</v>
      </c>
      <c r="W21" s="103" t="s">
        <v>184</v>
      </c>
    </row>
    <row r="22" spans="1:49" ht="15">
      <c r="J22" s="35">
        <v>6</v>
      </c>
      <c r="K22" s="36"/>
      <c r="L22" s="36" t="s">
        <v>10</v>
      </c>
      <c r="M22" s="36"/>
      <c r="N22" s="36"/>
      <c r="U22" t="s">
        <v>191</v>
      </c>
      <c r="V22">
        <v>6</v>
      </c>
      <c r="W22" s="103" t="s">
        <v>185</v>
      </c>
    </row>
    <row r="23" spans="1:49" ht="15.75" thickBot="1">
      <c r="B23" s="3" t="s">
        <v>42</v>
      </c>
      <c r="C23" s="3" t="s">
        <v>46</v>
      </c>
      <c r="D23" s="3">
        <f>LEN(B24)</f>
        <v>95</v>
      </c>
      <c r="J23" s="35">
        <v>7</v>
      </c>
      <c r="K23" s="36"/>
      <c r="L23" s="36" t="s">
        <v>44</v>
      </c>
      <c r="M23" s="36"/>
      <c r="N23" s="36"/>
      <c r="U23" t="s">
        <v>192</v>
      </c>
      <c r="V23">
        <v>7</v>
      </c>
      <c r="W23" s="103" t="s">
        <v>186</v>
      </c>
    </row>
    <row r="24" spans="1:49" ht="12.75" customHeight="1">
      <c r="B24" s="167" t="str">
        <f>IF(A6=2,C7,IF(A6=3,"BEGIN:VCARD"&amp;CHAR(10)&amp;"N:"&amp;C7&amp;CHAR(10)&amp;"ORG:"&amp;C12&amp;CHAR(10)&amp;"ADR:"&amp;C8&amp;CHAR(10)&amp;"TEL:"&amp;C9&amp;CHAR(10)&amp;"TEL:"&amp;C10&amp;CHAR(10)&amp;"EMAIL:"&amp;C11&amp;CHAR(10)&amp;"URL:"&amp;C14&amp;CHAR(10)&amp;"TITLE:"&amp;C13&amp;CHAR(10)&amp;"NOTE:"&amp;C15&amp;CHAR(10)&amp;"END:VCARD",IF(A6=4,"sms:"&amp;C7&amp;"?body:"&amp;C8,"WIFI:S:"&amp;C7&amp;" ;P:"&amp;C8&amp;";T:WPA;")))</f>
        <v>孤山寺北贾亭西，水面初平云脚低，几处早莺争暖树，谁家新燕啄春泥
乱花渐欲迷人眼，浅草才能没马蹄，最爱湖东行不足，绿杨阴里白沙堤
十八新娘八十郎，苍苍白发对红装，鸳鸯被里成双夜，一树梨花压海棠</v>
      </c>
      <c r="C24" s="168"/>
      <c r="D24" s="168"/>
      <c r="E24" s="168"/>
      <c r="F24" s="168"/>
      <c r="G24" s="168"/>
      <c r="H24" s="169"/>
      <c r="J24" s="35">
        <v>8</v>
      </c>
      <c r="K24" s="36"/>
      <c r="L24" s="36" t="s">
        <v>11</v>
      </c>
      <c r="M24" s="36"/>
      <c r="N24" s="36"/>
      <c r="U24" t="s">
        <v>193</v>
      </c>
      <c r="V24">
        <v>8</v>
      </c>
      <c r="W24" s="103" t="s">
        <v>187</v>
      </c>
    </row>
    <row r="25" spans="1:49">
      <c r="B25" s="170"/>
      <c r="C25" s="171"/>
      <c r="D25" s="171"/>
      <c r="E25" s="171"/>
      <c r="F25" s="171"/>
      <c r="G25" s="171"/>
      <c r="H25" s="172"/>
      <c r="J25" s="35">
        <v>9</v>
      </c>
      <c r="K25" s="36"/>
      <c r="L25" s="36" t="s">
        <v>45</v>
      </c>
      <c r="M25" s="36"/>
      <c r="N25" s="36"/>
    </row>
    <row r="26" spans="1:49">
      <c r="B26" s="170"/>
      <c r="C26" s="171"/>
      <c r="D26" s="171"/>
      <c r="E26" s="171"/>
      <c r="F26" s="171"/>
      <c r="G26" s="171"/>
      <c r="H26" s="172"/>
      <c r="J26" s="35"/>
      <c r="K26" s="36"/>
      <c r="L26" s="35"/>
      <c r="M26" s="36"/>
      <c r="N26" s="36"/>
      <c r="T26" s="3" t="str">
        <f>VLOOKUP(H4,S17:T20,2,0)</f>
        <v>10</v>
      </c>
      <c r="V26" s="3">
        <f>VLOOKUP(H5,U17:W24,2,0)</f>
        <v>8</v>
      </c>
      <c r="W26" s="3" t="str">
        <f>VLOOKUP(H5,U17:W24,3,0)</f>
        <v>111</v>
      </c>
      <c r="X26" s="3" t="str">
        <f>T26&amp;W26</f>
        <v>10111</v>
      </c>
    </row>
    <row r="27" spans="1:49">
      <c r="B27" s="170"/>
      <c r="C27" s="171"/>
      <c r="D27" s="171"/>
      <c r="E27" s="171"/>
      <c r="F27" s="171"/>
      <c r="G27" s="171"/>
      <c r="H27" s="172"/>
    </row>
    <row r="28" spans="1:49">
      <c r="B28" s="170"/>
      <c r="C28" s="171"/>
      <c r="D28" s="171"/>
      <c r="E28" s="171"/>
      <c r="F28" s="171"/>
      <c r="G28" s="171"/>
      <c r="H28" s="172"/>
    </row>
    <row r="29" spans="1:49" ht="13.5" thickBot="1">
      <c r="B29" s="170"/>
      <c r="C29" s="171"/>
      <c r="D29" s="171"/>
      <c r="E29" s="171"/>
      <c r="F29" s="171"/>
      <c r="G29" s="171"/>
      <c r="H29" s="172"/>
    </row>
    <row r="30" spans="1:49">
      <c r="B30" s="170"/>
      <c r="C30" s="171"/>
      <c r="D30" s="171"/>
      <c r="E30" s="171"/>
      <c r="F30" s="171"/>
      <c r="G30" s="171"/>
      <c r="H30" s="172"/>
      <c r="P30" s="40"/>
      <c r="Q30" s="161" t="s">
        <v>135</v>
      </c>
      <c r="R30" s="161"/>
      <c r="S30" s="161"/>
      <c r="T30" s="161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41"/>
      <c r="AO30" s="41"/>
      <c r="AP30" s="41"/>
      <c r="AQ30" s="41"/>
      <c r="AR30" s="41"/>
      <c r="AS30" s="41"/>
      <c r="AT30" s="41"/>
      <c r="AU30" s="41"/>
      <c r="AV30" s="41"/>
      <c r="AW30" s="42"/>
    </row>
    <row r="31" spans="1:49" ht="15">
      <c r="B31" s="170"/>
      <c r="C31" s="171"/>
      <c r="D31" s="171"/>
      <c r="E31" s="171"/>
      <c r="F31" s="171"/>
      <c r="G31" s="171"/>
      <c r="H31" s="172"/>
      <c r="L31" s="3" t="s">
        <v>61</v>
      </c>
      <c r="P31" s="163" t="s">
        <v>134</v>
      </c>
      <c r="Q31" s="162"/>
      <c r="R31" s="162" t="s">
        <v>131</v>
      </c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2"/>
      <c r="AE31" s="162"/>
      <c r="AF31" s="162"/>
      <c r="AG31" s="162"/>
      <c r="AH31" s="43"/>
      <c r="AI31" s="43"/>
      <c r="AJ31" s="43"/>
      <c r="AK31" s="43"/>
      <c r="AL31" s="43"/>
      <c r="AM31" s="43"/>
      <c r="AN31" s="35"/>
      <c r="AO31" s="35"/>
      <c r="AP31" s="35"/>
      <c r="AQ31" s="35"/>
      <c r="AR31" s="35"/>
      <c r="AS31" s="35"/>
      <c r="AT31" s="35"/>
      <c r="AU31" s="35"/>
      <c r="AV31" s="35"/>
      <c r="AW31" s="44"/>
    </row>
    <row r="32" spans="1:49" ht="15">
      <c r="B32" s="170"/>
      <c r="C32" s="171"/>
      <c r="D32" s="171"/>
      <c r="E32" s="171"/>
      <c r="F32" s="171"/>
      <c r="G32" s="171"/>
      <c r="H32" s="172"/>
      <c r="L32" s="3" t="s">
        <v>47</v>
      </c>
      <c r="P32" s="16"/>
      <c r="Q32" s="17"/>
      <c r="R32" s="45">
        <v>16</v>
      </c>
      <c r="S32" s="45">
        <v>15</v>
      </c>
      <c r="T32" s="45">
        <v>14</v>
      </c>
      <c r="U32" s="45">
        <v>13</v>
      </c>
      <c r="V32" s="45">
        <v>12</v>
      </c>
      <c r="W32" s="45">
        <v>11</v>
      </c>
      <c r="X32" s="45">
        <v>10</v>
      </c>
      <c r="Y32" s="45">
        <v>9</v>
      </c>
      <c r="Z32" s="45">
        <v>8</v>
      </c>
      <c r="AA32" s="45">
        <v>7</v>
      </c>
      <c r="AB32" s="45">
        <v>6</v>
      </c>
      <c r="AC32" s="45">
        <v>5</v>
      </c>
      <c r="AD32" s="45">
        <v>4</v>
      </c>
      <c r="AE32" s="45">
        <v>3</v>
      </c>
      <c r="AF32" s="45">
        <v>2</v>
      </c>
      <c r="AG32" s="45">
        <v>1</v>
      </c>
      <c r="AH32" s="45">
        <v>16</v>
      </c>
      <c r="AI32" s="45">
        <v>15</v>
      </c>
      <c r="AJ32" s="45">
        <v>14</v>
      </c>
      <c r="AK32" s="45">
        <v>13</v>
      </c>
      <c r="AL32" s="45">
        <v>12</v>
      </c>
      <c r="AM32" s="45">
        <v>11</v>
      </c>
      <c r="AN32" s="45">
        <v>10</v>
      </c>
      <c r="AO32" s="45">
        <v>9</v>
      </c>
      <c r="AP32" s="45">
        <v>8</v>
      </c>
      <c r="AQ32" s="45">
        <v>7</v>
      </c>
      <c r="AR32" s="45">
        <v>6</v>
      </c>
      <c r="AS32" s="45">
        <v>5</v>
      </c>
      <c r="AT32" s="45">
        <v>4</v>
      </c>
      <c r="AU32" s="45">
        <v>3</v>
      </c>
      <c r="AV32" s="45">
        <v>2</v>
      </c>
      <c r="AW32" s="46">
        <v>1</v>
      </c>
    </row>
    <row r="33" spans="1:49" ht="15">
      <c r="B33" s="170"/>
      <c r="C33" s="171"/>
      <c r="D33" s="171"/>
      <c r="E33" s="171"/>
      <c r="F33" s="171"/>
      <c r="G33" s="171"/>
      <c r="H33" s="172"/>
      <c r="L33" s="3" t="s">
        <v>62</v>
      </c>
      <c r="M33" s="3">
        <v>152</v>
      </c>
      <c r="N33" s="3">
        <f>M33/8</f>
        <v>19</v>
      </c>
      <c r="P33" s="16" t="s">
        <v>132</v>
      </c>
      <c r="Q33" s="17" t="s">
        <v>133</v>
      </c>
      <c r="R33" s="45">
        <f>S33*2</f>
        <v>32768</v>
      </c>
      <c r="S33" s="45">
        <f>T33*2</f>
        <v>16384</v>
      </c>
      <c r="T33" s="45">
        <f>U33*2</f>
        <v>8192</v>
      </c>
      <c r="U33" s="45">
        <v>4096</v>
      </c>
      <c r="V33" s="45">
        <v>2048</v>
      </c>
      <c r="W33" s="45">
        <v>1024</v>
      </c>
      <c r="X33" s="45">
        <v>512</v>
      </c>
      <c r="Y33" s="45">
        <v>256</v>
      </c>
      <c r="Z33" s="45">
        <v>128</v>
      </c>
      <c r="AA33" s="45">
        <v>64</v>
      </c>
      <c r="AB33" s="45">
        <v>32</v>
      </c>
      <c r="AC33" s="45">
        <v>16</v>
      </c>
      <c r="AD33" s="45">
        <v>8</v>
      </c>
      <c r="AE33" s="45">
        <v>4</v>
      </c>
      <c r="AF33" s="45">
        <v>2</v>
      </c>
      <c r="AG33" s="45">
        <v>1</v>
      </c>
      <c r="AH33" s="17"/>
      <c r="AI33" s="17"/>
      <c r="AJ33" s="17"/>
      <c r="AK33" s="17"/>
      <c r="AL33" s="17"/>
      <c r="AM33" s="17"/>
      <c r="AN33" s="35"/>
      <c r="AO33" s="35"/>
      <c r="AP33" s="35"/>
      <c r="AQ33" s="35"/>
      <c r="AR33" s="35"/>
      <c r="AS33" s="35"/>
      <c r="AT33" s="35"/>
      <c r="AU33" s="35"/>
      <c r="AV33" s="35"/>
      <c r="AW33" s="44"/>
    </row>
    <row r="34" spans="1:49" ht="15.75" thickBot="1">
      <c r="B34" s="170"/>
      <c r="C34" s="171"/>
      <c r="D34" s="171"/>
      <c r="E34" s="171"/>
      <c r="F34" s="171"/>
      <c r="G34" s="171"/>
      <c r="H34" s="172"/>
      <c r="L34" s="3" t="s">
        <v>63</v>
      </c>
      <c r="M34" s="3">
        <v>128</v>
      </c>
      <c r="N34" s="3">
        <f t="shared" ref="N34:N52" si="1">M34/8</f>
        <v>16</v>
      </c>
      <c r="P34" s="47" t="str">
        <f>IFERROR(CONCATENATE(AH34,AI34,AJ34,AK34,AL34,AM34,AN34,AO34,AP34,AQ34,AR34,AS34,AT34,AU34,AV34,AW34),"")</f>
        <v>0000000001011111</v>
      </c>
      <c r="Q34" s="48">
        <f>D23</f>
        <v>95</v>
      </c>
      <c r="R34" s="49">
        <f>IF(Q34&gt;=R$33,Q34-R$33,Q34)</f>
        <v>95</v>
      </c>
      <c r="S34" s="49">
        <f t="shared" ref="S34:AG34" si="2">IF(R34&gt;=S$33,R34-S$33,R34)</f>
        <v>95</v>
      </c>
      <c r="T34" s="49">
        <f t="shared" si="2"/>
        <v>95</v>
      </c>
      <c r="U34" s="49">
        <f t="shared" si="2"/>
        <v>95</v>
      </c>
      <c r="V34" s="49">
        <f t="shared" si="2"/>
        <v>95</v>
      </c>
      <c r="W34" s="49">
        <f t="shared" si="2"/>
        <v>95</v>
      </c>
      <c r="X34" s="49">
        <f t="shared" si="2"/>
        <v>95</v>
      </c>
      <c r="Y34" s="49">
        <f t="shared" si="2"/>
        <v>95</v>
      </c>
      <c r="Z34" s="49">
        <f t="shared" si="2"/>
        <v>95</v>
      </c>
      <c r="AA34" s="49">
        <f t="shared" si="2"/>
        <v>31</v>
      </c>
      <c r="AB34" s="49">
        <f t="shared" si="2"/>
        <v>31</v>
      </c>
      <c r="AC34" s="49">
        <f t="shared" si="2"/>
        <v>15</v>
      </c>
      <c r="AD34" s="49">
        <f t="shared" si="2"/>
        <v>7</v>
      </c>
      <c r="AE34" s="49">
        <f t="shared" si="2"/>
        <v>3</v>
      </c>
      <c r="AF34" s="49">
        <f t="shared" si="2"/>
        <v>1</v>
      </c>
      <c r="AG34" s="49">
        <f t="shared" si="2"/>
        <v>0</v>
      </c>
      <c r="AH34" s="49" t="str">
        <f>IF(R34&lt;&gt;Q34,"1","0")</f>
        <v>0</v>
      </c>
      <c r="AI34" s="49" t="str">
        <f t="shared" ref="AI34:AW34" si="3">IF(S34&lt;&gt;R34,"1","0")</f>
        <v>0</v>
      </c>
      <c r="AJ34" s="49" t="str">
        <f t="shared" si="3"/>
        <v>0</v>
      </c>
      <c r="AK34" s="49" t="str">
        <f t="shared" si="3"/>
        <v>0</v>
      </c>
      <c r="AL34" s="49" t="str">
        <f t="shared" si="3"/>
        <v>0</v>
      </c>
      <c r="AM34" s="49" t="str">
        <f t="shared" si="3"/>
        <v>0</v>
      </c>
      <c r="AN34" s="49" t="str">
        <f t="shared" si="3"/>
        <v>0</v>
      </c>
      <c r="AO34" s="49" t="str">
        <f t="shared" si="3"/>
        <v>0</v>
      </c>
      <c r="AP34" s="49" t="str">
        <f t="shared" si="3"/>
        <v>0</v>
      </c>
      <c r="AQ34" s="49" t="str">
        <f t="shared" si="3"/>
        <v>1</v>
      </c>
      <c r="AR34" s="49" t="str">
        <f t="shared" si="3"/>
        <v>0</v>
      </c>
      <c r="AS34" s="49" t="str">
        <f t="shared" si="3"/>
        <v>1</v>
      </c>
      <c r="AT34" s="49" t="str">
        <f t="shared" si="3"/>
        <v>1</v>
      </c>
      <c r="AU34" s="49" t="str">
        <f t="shared" si="3"/>
        <v>1</v>
      </c>
      <c r="AV34" s="49" t="str">
        <f t="shared" si="3"/>
        <v>1</v>
      </c>
      <c r="AW34" s="50" t="str">
        <f t="shared" si="3"/>
        <v>1</v>
      </c>
    </row>
    <row r="35" spans="1:49" ht="13.5" thickBot="1">
      <c r="B35" s="173"/>
      <c r="C35" s="174"/>
      <c r="D35" s="174"/>
      <c r="E35" s="174"/>
      <c r="F35" s="174"/>
      <c r="G35" s="174"/>
      <c r="H35" s="175"/>
      <c r="L35" s="3" t="s">
        <v>64</v>
      </c>
      <c r="M35" s="3">
        <v>104</v>
      </c>
      <c r="N35" s="3">
        <f t="shared" si="1"/>
        <v>13</v>
      </c>
    </row>
    <row r="36" spans="1:49">
      <c r="L36" s="3" t="s">
        <v>65</v>
      </c>
      <c r="M36" s="3">
        <v>72</v>
      </c>
      <c r="N36" s="3">
        <f t="shared" si="1"/>
        <v>9</v>
      </c>
    </row>
    <row r="37" spans="1:49" ht="15">
      <c r="B37" s="25"/>
      <c r="C37" s="28"/>
      <c r="D37" s="25"/>
      <c r="E37" s="25"/>
      <c r="F37" s="25"/>
      <c r="G37" s="122" t="s">
        <v>338</v>
      </c>
      <c r="H37" s="25" t="str">
        <f>REPT("0",ROUNDUP((E39)/8,0)*8-(E39))</f>
        <v>00000</v>
      </c>
      <c r="I37" s="72"/>
      <c r="L37" s="3" t="s">
        <v>66</v>
      </c>
      <c r="M37" s="3">
        <v>272</v>
      </c>
      <c r="N37" s="3">
        <f t="shared" si="1"/>
        <v>34</v>
      </c>
    </row>
    <row r="38" spans="1:49" ht="15">
      <c r="B38" s="25" t="s">
        <v>50</v>
      </c>
      <c r="C38" s="120" t="str">
        <f>builddatastream(B24,L11)</f>
        <v>110100010000011111001110100000101101001111000111000000001001000011000001000011101010111010100011011110101011000000110010110110111101101010110010010100101001101000110000011100100010110010101000110001000010111001100000001100101101000010101110010101000101100011000011010100101110011000111111000010111010111001101110101100000011001011011011110110001000011100010111111100001100000101111110010100000110010101011001010110111111101000000000000000001000010101101000100000111110101010110001001111110011101000101001001000100111010010110001001101100111010101000001011010000001100101101100011100100010010111100001001010010001011011110110101011111010010101100110001110100000100000011001011100101010110100011110011010011111011101001100000101001111111011110010010011010100101010001000000110010110101010101011100000110110110000110101000101000001110000111111011001101001100100010111001011010000000000000000010000101011010001000001111101101100011010001111101010011111110000101011100011100001111101010011011000110101001111010000000011001011001001011001100100101100110001111110110001100110000100110001100110011111001011100100110111100000110010111000101000110100000110101100100001110100101000001110001010000100001101111010101000010011000000001100101110000100110100110111010110010100000010100111111001111000000111000001111000001001110011000110000</v>
      </c>
      <c r="D38" s="120"/>
      <c r="E38" s="120"/>
      <c r="F38" s="120"/>
      <c r="G38" s="120"/>
      <c r="H38" s="120"/>
      <c r="I38" s="72"/>
      <c r="L38" s="3" t="s">
        <v>67</v>
      </c>
      <c r="M38" s="3">
        <v>224</v>
      </c>
      <c r="N38" s="3">
        <f t="shared" si="1"/>
        <v>28</v>
      </c>
    </row>
    <row r="39" spans="1:49" ht="15">
      <c r="B39" s="121" t="s">
        <v>336</v>
      </c>
      <c r="C39" s="25">
        <f>bitestimate(B24)</f>
        <v>1329</v>
      </c>
      <c r="D39" s="121" t="s">
        <v>337</v>
      </c>
      <c r="E39" s="25">
        <f>LEN(C38)</f>
        <v>1323</v>
      </c>
      <c r="F39" s="25">
        <f>LEN(G39)</f>
        <v>1328</v>
      </c>
      <c r="G39" s="25" t="str">
        <f>C38&amp;H37</f>
        <v>11010001000001111100111010000010110100111100011100000000100100001100000100001110101011101010001101111010101100000011001011011011110110101011001001010010100110100011000001110010001011001010100011000100001011100110000000110010110100001010111001010100010110001100001101010010111001100011111100001011101011100110111010110000001100101101101111011000100001110001011111110000110000010111111001010000011001010101100101011011111110100000000000000000100001010110100010000011111010101011000100111111001110100010100100100010011101001011000100110110011101010100000101101000000110010110110001110010001001011110000100101001000101101111011010101111101001010110011000111010000010000001100101110010101011010001111001101001111101110100110000010100111111101111001001001101010010101000100000011001011010101010101110000011011011000011010100010100000111000011111101100110100110010001011100101101000000000000000001000010101101000100000111110110110001101000111110101001111111000010101110001110000111110101001101100011010100111101000000001100101100100101100110010010110011000111111011000110011000010011000110011001111100101110010011011110000011001011100010100011010000011010110010000111010010100000111000101000010000110111101010100001001100000000110010111000010011010011011101011001010000001010011111100111100000011100000111100000100111001100011000000000</v>
      </c>
      <c r="H39" s="176" t="s">
        <v>51</v>
      </c>
      <c r="I39" s="176"/>
      <c r="J39" s="3">
        <f>VLOOKUP(H20,L33:M192,2,0)</f>
        <v>1440</v>
      </c>
      <c r="L39" s="3" t="s">
        <v>68</v>
      </c>
      <c r="M39" s="3">
        <v>176</v>
      </c>
      <c r="N39" s="3">
        <f t="shared" si="1"/>
        <v>22</v>
      </c>
    </row>
    <row r="40" spans="1:49" ht="15.75" thickBot="1">
      <c r="B40" s="25" t="s">
        <v>52</v>
      </c>
      <c r="C40" s="25">
        <f>(J39-F39)/16</f>
        <v>7</v>
      </c>
      <c r="D40" s="25" t="s">
        <v>53</v>
      </c>
      <c r="E40" s="25" t="str">
        <f>IF(ISODD(C40*2),G40,"")</f>
        <v/>
      </c>
      <c r="F40" s="25" t="s">
        <v>54</v>
      </c>
      <c r="G40" s="28" t="s">
        <v>55</v>
      </c>
      <c r="H40" s="25" t="s">
        <v>56</v>
      </c>
      <c r="I40" s="73" t="s">
        <v>57</v>
      </c>
      <c r="L40" s="3" t="s">
        <v>69</v>
      </c>
      <c r="M40" s="3">
        <v>128</v>
      </c>
      <c r="N40" s="3">
        <f t="shared" si="1"/>
        <v>16</v>
      </c>
    </row>
    <row r="41" spans="1:49" ht="15.75" thickBot="1">
      <c r="B41" s="123"/>
      <c r="C41" s="124"/>
      <c r="D41" s="124"/>
      <c r="E41" s="125"/>
      <c r="F41" s="25" t="s">
        <v>58</v>
      </c>
      <c r="G41" s="29" t="str">
        <f>REPT(G40&amp;I40,C40)&amp;E40</f>
        <v>1110110000010001111011000001000111101100000100011110110000010001111011000001000111101100000100011110110000010001</v>
      </c>
      <c r="H41" s="29" t="s">
        <v>59</v>
      </c>
      <c r="I41" s="74" t="str">
        <f>G39&amp;G41</f>
        <v>110100010000011111001110100000101101001111000111000000001001000011000001000011101010111010100011011110101011000000110010110110111101101010110010010100101001101000110000011100100010110010101000110001000010111001100000001100101101000010101110010101000101100011000011010100101110011000111111000010111010111001101110101100000011001011011011110110001000011100010111111100001100000101111110010100000110010101011001010110111111101000000000000000001000010101101000100000111110101010110001001111110011101000101001001000100111010010110001001101100111010101000001011010000001100101101100011100100010010111100001001010010001011011110110101011111010010101100110001110100000100000011001011100101010110100011110011010011111011101001100000101001111111011110010010011010100101010001000000110010110101010101011100000110110110000110101000101000001110000111111011001101001100100010111001011010000000000000000010000101011010001000001111101101100011010001111101010011111110000101011100011100001111101010011011000110101001111010000000011001011001001011001100100101100110001111110110001100110000100110001100110011111001011100100110111100000110010111000101000110100000110101100100001110100101000001110001010000100001101111010101000010011000000001100101110000100110100110111010110010100000010100111111001111000000111000001111000001001110011000110000000001110110000010001111011000001000111101100000100011110110000010001111011000001000111101100000100011110110000010001</v>
      </c>
      <c r="L41" s="3" t="s">
        <v>70</v>
      </c>
      <c r="M41" s="3">
        <v>440</v>
      </c>
      <c r="N41" s="3">
        <f t="shared" si="1"/>
        <v>55</v>
      </c>
    </row>
    <row r="42" spans="1:49" ht="15">
      <c r="B42" s="31"/>
      <c r="C42" s="30"/>
      <c r="D42" s="30"/>
      <c r="E42" s="32"/>
      <c r="G42" s="164" t="s">
        <v>118</v>
      </c>
      <c r="H42" s="165"/>
      <c r="I42" s="165"/>
      <c r="J42" s="166"/>
      <c r="L42" s="3" t="s">
        <v>71</v>
      </c>
      <c r="M42" s="3">
        <v>352</v>
      </c>
      <c r="N42" s="3">
        <f t="shared" si="1"/>
        <v>44</v>
      </c>
    </row>
    <row r="43" spans="1:49" ht="15">
      <c r="A43" s="3">
        <v>5</v>
      </c>
      <c r="B43" s="31"/>
      <c r="C43" s="30"/>
      <c r="D43" s="30"/>
      <c r="E43" s="32"/>
      <c r="G43" s="31">
        <v>1</v>
      </c>
      <c r="H43" s="30" t="str">
        <f>MID($I$41,G43*8-7,8)</f>
        <v>11010001</v>
      </c>
      <c r="I43" s="74">
        <f>IFERROR(BIN2DEC(VALUE(H43)),"")</f>
        <v>209</v>
      </c>
      <c r="J43" s="32"/>
      <c r="L43" s="3" t="s">
        <v>72</v>
      </c>
      <c r="M43" s="3">
        <v>272</v>
      </c>
      <c r="N43" s="3">
        <f t="shared" si="1"/>
        <v>34</v>
      </c>
    </row>
    <row r="44" spans="1:49" ht="15">
      <c r="A44" s="3">
        <v>8</v>
      </c>
      <c r="B44" s="31"/>
      <c r="C44" s="30"/>
      <c r="D44" s="119"/>
      <c r="E44" s="32"/>
      <c r="G44" s="31">
        <v>2</v>
      </c>
      <c r="H44" s="30" t="str">
        <f t="shared" ref="H44:H107" si="4">MID($I$41,G44*8-7,8)</f>
        <v>00000111</v>
      </c>
      <c r="I44" s="74">
        <f t="shared" ref="I44:I107" si="5">IFERROR(BIN2DEC(VALUE(H44)),"")</f>
        <v>7</v>
      </c>
      <c r="J44" s="32"/>
      <c r="L44" s="3" t="s">
        <v>73</v>
      </c>
      <c r="M44" s="3">
        <v>208</v>
      </c>
      <c r="N44" s="3">
        <f t="shared" si="1"/>
        <v>26</v>
      </c>
    </row>
    <row r="45" spans="1:49" ht="15">
      <c r="A45" s="3">
        <v>5</v>
      </c>
      <c r="B45" s="31"/>
      <c r="C45" s="30"/>
      <c r="D45" s="119"/>
      <c r="E45" s="32"/>
      <c r="G45" s="31">
        <v>3</v>
      </c>
      <c r="H45" s="30" t="str">
        <f t="shared" si="4"/>
        <v>11001110</v>
      </c>
      <c r="I45" s="74">
        <f t="shared" si="5"/>
        <v>206</v>
      </c>
      <c r="J45" s="32"/>
      <c r="L45" s="3" t="s">
        <v>74</v>
      </c>
      <c r="M45" s="3">
        <v>640</v>
      </c>
      <c r="N45" s="3">
        <f t="shared" si="1"/>
        <v>80</v>
      </c>
    </row>
    <row r="46" spans="1:49" ht="15">
      <c r="A46" s="3">
        <v>8</v>
      </c>
      <c r="B46" s="31"/>
      <c r="C46" s="30"/>
      <c r="D46" s="119"/>
      <c r="E46" s="32"/>
      <c r="G46" s="31">
        <v>4</v>
      </c>
      <c r="H46" s="30" t="str">
        <f t="shared" si="4"/>
        <v>10000010</v>
      </c>
      <c r="I46" s="74">
        <f t="shared" si="5"/>
        <v>130</v>
      </c>
      <c r="J46" s="32"/>
      <c r="L46" s="3" t="s">
        <v>75</v>
      </c>
      <c r="M46" s="3">
        <v>512</v>
      </c>
      <c r="N46" s="3">
        <f t="shared" si="1"/>
        <v>64</v>
      </c>
    </row>
    <row r="47" spans="1:49" ht="15">
      <c r="A47" s="3">
        <v>5</v>
      </c>
      <c r="B47" s="31"/>
      <c r="C47" s="30"/>
      <c r="D47" s="119"/>
      <c r="E47" s="32"/>
      <c r="G47" s="31">
        <v>5</v>
      </c>
      <c r="H47" s="30" t="str">
        <f t="shared" si="4"/>
        <v>11010011</v>
      </c>
      <c r="I47" s="74">
        <f t="shared" si="5"/>
        <v>211</v>
      </c>
      <c r="J47" s="32"/>
      <c r="L47" s="3" t="s">
        <v>76</v>
      </c>
      <c r="M47" s="3">
        <v>384</v>
      </c>
      <c r="N47" s="3">
        <f t="shared" si="1"/>
        <v>48</v>
      </c>
    </row>
    <row r="48" spans="1:49" ht="15">
      <c r="A48" s="3">
        <v>8</v>
      </c>
      <c r="B48" s="31"/>
      <c r="C48" s="30"/>
      <c r="D48" s="119"/>
      <c r="E48" s="32"/>
      <c r="G48" s="31">
        <v>6</v>
      </c>
      <c r="H48" s="30" t="str">
        <f t="shared" si="4"/>
        <v>11000111</v>
      </c>
      <c r="I48" s="74">
        <f t="shared" si="5"/>
        <v>199</v>
      </c>
      <c r="J48" s="32"/>
      <c r="L48" s="3" t="s">
        <v>77</v>
      </c>
      <c r="M48" s="3">
        <v>288</v>
      </c>
      <c r="N48" s="3">
        <f t="shared" si="1"/>
        <v>36</v>
      </c>
    </row>
    <row r="49" spans="1:14" ht="15">
      <c r="A49" s="3">
        <v>5</v>
      </c>
      <c r="B49" s="31"/>
      <c r="C49" s="30"/>
      <c r="D49" s="119"/>
      <c r="E49" s="32"/>
      <c r="G49" s="31">
        <v>7</v>
      </c>
      <c r="H49" s="30" t="str">
        <f t="shared" si="4"/>
        <v>00000000</v>
      </c>
      <c r="I49" s="74">
        <f t="shared" si="5"/>
        <v>0</v>
      </c>
      <c r="J49" s="32"/>
      <c r="L49" s="3" t="s">
        <v>197</v>
      </c>
      <c r="M49" s="3">
        <v>864</v>
      </c>
      <c r="N49" s="3">
        <f t="shared" si="1"/>
        <v>108</v>
      </c>
    </row>
    <row r="50" spans="1:14" ht="15">
      <c r="A50" s="3">
        <v>8</v>
      </c>
      <c r="B50" s="31"/>
      <c r="C50" s="30"/>
      <c r="D50" s="119"/>
      <c r="E50" s="32"/>
      <c r="G50" s="31">
        <v>8</v>
      </c>
      <c r="H50" s="30" t="str">
        <f t="shared" si="4"/>
        <v>10010000</v>
      </c>
      <c r="I50" s="74">
        <f t="shared" si="5"/>
        <v>144</v>
      </c>
      <c r="J50" s="32"/>
      <c r="L50" s="3" t="s">
        <v>198</v>
      </c>
      <c r="M50" s="3">
        <v>688</v>
      </c>
      <c r="N50" s="3">
        <f t="shared" si="1"/>
        <v>86</v>
      </c>
    </row>
    <row r="51" spans="1:14" ht="15">
      <c r="A51" s="3">
        <v>5</v>
      </c>
      <c r="B51" s="31"/>
      <c r="C51" s="30"/>
      <c r="D51" s="119"/>
      <c r="E51" s="32"/>
      <c r="G51" s="31">
        <v>9</v>
      </c>
      <c r="H51" s="30" t="str">
        <f t="shared" si="4"/>
        <v>11000001</v>
      </c>
      <c r="I51" s="74">
        <f t="shared" si="5"/>
        <v>193</v>
      </c>
      <c r="J51" s="32"/>
      <c r="L51" s="3" t="s">
        <v>199</v>
      </c>
      <c r="M51" s="3">
        <v>496</v>
      </c>
      <c r="N51" s="3">
        <f t="shared" si="1"/>
        <v>62</v>
      </c>
    </row>
    <row r="52" spans="1:14" ht="15">
      <c r="A52" s="3">
        <v>8</v>
      </c>
      <c r="B52" s="31"/>
      <c r="C52" s="30"/>
      <c r="D52" s="119"/>
      <c r="E52" s="32"/>
      <c r="G52" s="31">
        <v>10</v>
      </c>
      <c r="H52" s="30" t="str">
        <f t="shared" si="4"/>
        <v>00001110</v>
      </c>
      <c r="I52" s="74">
        <f t="shared" si="5"/>
        <v>14</v>
      </c>
      <c r="J52" s="32"/>
      <c r="L52" s="3" t="s">
        <v>200</v>
      </c>
      <c r="M52" s="3">
        <v>368</v>
      </c>
      <c r="N52" s="3">
        <f t="shared" si="1"/>
        <v>46</v>
      </c>
    </row>
    <row r="53" spans="1:14" ht="15">
      <c r="A53" s="3">
        <v>5</v>
      </c>
      <c r="B53" s="31"/>
      <c r="C53" s="30"/>
      <c r="D53" s="119"/>
      <c r="E53" s="32"/>
      <c r="G53" s="31">
        <v>11</v>
      </c>
      <c r="H53" s="30" t="str">
        <f t="shared" si="4"/>
        <v>10101110</v>
      </c>
      <c r="I53" s="74">
        <f t="shared" si="5"/>
        <v>174</v>
      </c>
      <c r="J53" s="32"/>
      <c r="L53" s="3" t="s">
        <v>78</v>
      </c>
      <c r="M53" s="3">
        <v>1088</v>
      </c>
      <c r="N53" s="3">
        <f t="shared" ref="N53:N60" si="6">M53/8</f>
        <v>136</v>
      </c>
    </row>
    <row r="54" spans="1:14" ht="15">
      <c r="A54" s="3">
        <v>8</v>
      </c>
      <c r="B54" s="31"/>
      <c r="C54" s="30"/>
      <c r="D54" s="119"/>
      <c r="E54" s="32"/>
      <c r="G54" s="31">
        <v>12</v>
      </c>
      <c r="H54" s="30" t="str">
        <f t="shared" si="4"/>
        <v>10100011</v>
      </c>
      <c r="I54" s="74">
        <f t="shared" si="5"/>
        <v>163</v>
      </c>
      <c r="J54" s="32"/>
      <c r="L54" s="3" t="s">
        <v>79</v>
      </c>
      <c r="M54" s="3">
        <v>864</v>
      </c>
      <c r="N54" s="3">
        <f t="shared" si="6"/>
        <v>108</v>
      </c>
    </row>
    <row r="55" spans="1:14" ht="15">
      <c r="A55" s="3">
        <v>5</v>
      </c>
      <c r="B55" s="31"/>
      <c r="C55" s="30"/>
      <c r="D55" s="119"/>
      <c r="E55" s="32"/>
      <c r="G55" s="31">
        <v>13</v>
      </c>
      <c r="H55" s="30" t="str">
        <f t="shared" si="4"/>
        <v>01111010</v>
      </c>
      <c r="I55" s="74">
        <f t="shared" si="5"/>
        <v>122</v>
      </c>
      <c r="J55" s="32"/>
      <c r="L55" s="3" t="s">
        <v>80</v>
      </c>
      <c r="M55" s="3">
        <v>608</v>
      </c>
      <c r="N55" s="3">
        <f t="shared" si="6"/>
        <v>76</v>
      </c>
    </row>
    <row r="56" spans="1:14" ht="15">
      <c r="A56" s="3">
        <v>8</v>
      </c>
      <c r="B56" s="31"/>
      <c r="C56" s="30"/>
      <c r="D56" s="119"/>
      <c r="E56" s="32"/>
      <c r="G56" s="31">
        <v>14</v>
      </c>
      <c r="H56" s="30" t="str">
        <f t="shared" si="4"/>
        <v>10110000</v>
      </c>
      <c r="I56" s="74">
        <f t="shared" si="5"/>
        <v>176</v>
      </c>
      <c r="J56" s="32"/>
      <c r="L56" s="3" t="s">
        <v>81</v>
      </c>
      <c r="M56" s="3">
        <v>480</v>
      </c>
      <c r="N56" s="3">
        <f t="shared" si="6"/>
        <v>60</v>
      </c>
    </row>
    <row r="57" spans="1:14" ht="15">
      <c r="A57" s="3">
        <v>5</v>
      </c>
      <c r="B57" s="31"/>
      <c r="C57" s="30"/>
      <c r="D57" s="119"/>
      <c r="E57" s="32"/>
      <c r="G57" s="31">
        <v>15</v>
      </c>
      <c r="H57" s="30" t="str">
        <f t="shared" si="4"/>
        <v>00110010</v>
      </c>
      <c r="I57" s="74">
        <f t="shared" si="5"/>
        <v>50</v>
      </c>
      <c r="J57" s="32"/>
      <c r="L57" s="3" t="s">
        <v>201</v>
      </c>
      <c r="M57" s="3">
        <v>1248</v>
      </c>
      <c r="N57" s="3">
        <f t="shared" si="6"/>
        <v>156</v>
      </c>
    </row>
    <row r="58" spans="1:14" ht="15">
      <c r="A58" s="3">
        <v>8</v>
      </c>
      <c r="B58" s="31"/>
      <c r="C58" s="30"/>
      <c r="D58" s="119"/>
      <c r="E58" s="32"/>
      <c r="G58" s="31">
        <v>16</v>
      </c>
      <c r="H58" s="30" t="str">
        <f t="shared" si="4"/>
        <v>11011011</v>
      </c>
      <c r="I58" s="74">
        <f t="shared" si="5"/>
        <v>219</v>
      </c>
      <c r="J58" s="32"/>
      <c r="L58" s="3" t="s">
        <v>202</v>
      </c>
      <c r="M58" s="3">
        <v>992</v>
      </c>
      <c r="N58" s="3">
        <f t="shared" si="6"/>
        <v>124</v>
      </c>
    </row>
    <row r="59" spans="1:14" ht="15">
      <c r="A59" s="3">
        <v>5</v>
      </c>
      <c r="B59" s="31"/>
      <c r="C59" s="30"/>
      <c r="D59" s="119"/>
      <c r="E59" s="32"/>
      <c r="G59" s="31">
        <v>17</v>
      </c>
      <c r="H59" s="30" t="str">
        <f t="shared" si="4"/>
        <v>11011010</v>
      </c>
      <c r="I59" s="74">
        <f t="shared" si="5"/>
        <v>218</v>
      </c>
      <c r="J59" s="32"/>
      <c r="L59" s="3" t="s">
        <v>203</v>
      </c>
      <c r="M59" s="3">
        <v>704</v>
      </c>
      <c r="N59" s="3">
        <f t="shared" si="6"/>
        <v>88</v>
      </c>
    </row>
    <row r="60" spans="1:14" ht="15">
      <c r="A60" s="3">
        <v>8</v>
      </c>
      <c r="B60" s="31"/>
      <c r="C60" s="30"/>
      <c r="D60" s="119"/>
      <c r="E60" s="32"/>
      <c r="G60" s="31">
        <v>18</v>
      </c>
      <c r="H60" s="30" t="str">
        <f t="shared" si="4"/>
        <v>10110010</v>
      </c>
      <c r="I60" s="74">
        <f t="shared" si="5"/>
        <v>178</v>
      </c>
      <c r="J60" s="32"/>
      <c r="L60" s="3" t="s">
        <v>204</v>
      </c>
      <c r="M60" s="3">
        <v>528</v>
      </c>
      <c r="N60" s="3">
        <f t="shared" si="6"/>
        <v>66</v>
      </c>
    </row>
    <row r="61" spans="1:14" ht="15">
      <c r="A61" s="3">
        <v>5</v>
      </c>
      <c r="B61" s="31"/>
      <c r="C61" s="30"/>
      <c r="D61" s="119"/>
      <c r="E61" s="32"/>
      <c r="G61" s="31">
        <v>19</v>
      </c>
      <c r="H61" s="30" t="str">
        <f t="shared" si="4"/>
        <v>01010010</v>
      </c>
      <c r="I61" s="74">
        <f t="shared" si="5"/>
        <v>82</v>
      </c>
      <c r="J61" s="32"/>
      <c r="L61" s="3" t="s">
        <v>82</v>
      </c>
      <c r="M61" s="3">
        <v>1552</v>
      </c>
      <c r="N61" s="3">
        <f t="shared" ref="N61:N68" si="7">M61/8</f>
        <v>194</v>
      </c>
    </row>
    <row r="62" spans="1:14" ht="15">
      <c r="A62" s="3">
        <v>8</v>
      </c>
      <c r="B62" s="31"/>
      <c r="C62" s="30"/>
      <c r="D62" s="119"/>
      <c r="E62" s="32"/>
      <c r="G62" s="31">
        <v>20</v>
      </c>
      <c r="H62" s="30" t="str">
        <f t="shared" si="4"/>
        <v>10011010</v>
      </c>
      <c r="I62" s="74">
        <f t="shared" si="5"/>
        <v>154</v>
      </c>
      <c r="J62" s="32"/>
      <c r="L62" s="3" t="s">
        <v>83</v>
      </c>
      <c r="M62" s="3">
        <v>1232</v>
      </c>
      <c r="N62" s="3">
        <f t="shared" si="7"/>
        <v>154</v>
      </c>
    </row>
    <row r="63" spans="1:14" ht="15">
      <c r="A63" s="3">
        <v>5</v>
      </c>
      <c r="B63" s="31"/>
      <c r="C63" s="30"/>
      <c r="D63" s="119"/>
      <c r="E63" s="32"/>
      <c r="G63" s="31">
        <v>21</v>
      </c>
      <c r="H63" s="30" t="str">
        <f t="shared" si="4"/>
        <v>00110000</v>
      </c>
      <c r="I63" s="74">
        <f t="shared" si="5"/>
        <v>48</v>
      </c>
      <c r="J63" s="32"/>
      <c r="L63" s="3" t="s">
        <v>84</v>
      </c>
      <c r="M63" s="3">
        <v>880</v>
      </c>
      <c r="N63" s="3">
        <f t="shared" si="7"/>
        <v>110</v>
      </c>
    </row>
    <row r="64" spans="1:14" ht="15">
      <c r="A64" s="3">
        <v>8</v>
      </c>
      <c r="B64" s="31"/>
      <c r="C64" s="30"/>
      <c r="D64" s="119"/>
      <c r="E64" s="32"/>
      <c r="G64" s="31">
        <v>22</v>
      </c>
      <c r="H64" s="30" t="str">
        <f t="shared" si="4"/>
        <v>01110010</v>
      </c>
      <c r="I64" s="74">
        <f t="shared" si="5"/>
        <v>114</v>
      </c>
      <c r="J64" s="32"/>
      <c r="L64" s="3" t="s">
        <v>85</v>
      </c>
      <c r="M64" s="3">
        <v>688</v>
      </c>
      <c r="N64" s="3">
        <f t="shared" si="7"/>
        <v>86</v>
      </c>
    </row>
    <row r="65" spans="1:14" ht="15">
      <c r="A65" s="3">
        <v>5</v>
      </c>
      <c r="B65" s="31"/>
      <c r="C65" s="30"/>
      <c r="D65" s="119"/>
      <c r="E65" s="32"/>
      <c r="G65" s="31">
        <v>23</v>
      </c>
      <c r="H65" s="30" t="str">
        <f t="shared" si="4"/>
        <v>00101100</v>
      </c>
      <c r="I65" s="74">
        <f t="shared" si="5"/>
        <v>44</v>
      </c>
      <c r="J65" s="32"/>
      <c r="L65" s="3" t="s">
        <v>205</v>
      </c>
      <c r="M65" s="3">
        <v>1856</v>
      </c>
      <c r="N65" s="3">
        <f t="shared" si="7"/>
        <v>232</v>
      </c>
    </row>
    <row r="66" spans="1:14" ht="15">
      <c r="A66" s="3">
        <v>8</v>
      </c>
      <c r="B66" s="31"/>
      <c r="C66" s="30"/>
      <c r="D66" s="119"/>
      <c r="E66" s="32"/>
      <c r="G66" s="31">
        <v>24</v>
      </c>
      <c r="H66" s="30" t="str">
        <f t="shared" si="4"/>
        <v>10101000</v>
      </c>
      <c r="I66" s="74">
        <f t="shared" si="5"/>
        <v>168</v>
      </c>
      <c r="J66" s="32"/>
      <c r="L66" s="3" t="s">
        <v>206</v>
      </c>
      <c r="M66" s="3">
        <v>1456</v>
      </c>
      <c r="N66" s="3">
        <f t="shared" si="7"/>
        <v>182</v>
      </c>
    </row>
    <row r="67" spans="1:14" ht="15">
      <c r="A67" s="3">
        <v>5</v>
      </c>
      <c r="B67" s="31"/>
      <c r="C67" s="30"/>
      <c r="D67" s="119"/>
      <c r="E67" s="32"/>
      <c r="G67" s="31">
        <v>25</v>
      </c>
      <c r="H67" s="30" t="str">
        <f t="shared" si="4"/>
        <v>11000100</v>
      </c>
      <c r="I67" s="74">
        <f t="shared" si="5"/>
        <v>196</v>
      </c>
      <c r="J67" s="32"/>
      <c r="L67" s="3" t="s">
        <v>207</v>
      </c>
      <c r="M67" s="3">
        <v>1056</v>
      </c>
      <c r="N67" s="3">
        <f t="shared" si="7"/>
        <v>132</v>
      </c>
    </row>
    <row r="68" spans="1:14" ht="15">
      <c r="A68" s="3">
        <v>8</v>
      </c>
      <c r="B68" s="31"/>
      <c r="C68" s="30"/>
      <c r="D68" s="119"/>
      <c r="E68" s="32"/>
      <c r="G68" s="31">
        <v>26</v>
      </c>
      <c r="H68" s="30" t="str">
        <f t="shared" si="4"/>
        <v>00101110</v>
      </c>
      <c r="I68" s="74">
        <f t="shared" si="5"/>
        <v>46</v>
      </c>
      <c r="J68" s="32"/>
      <c r="L68" s="3" t="s">
        <v>208</v>
      </c>
      <c r="M68" s="3">
        <v>800</v>
      </c>
      <c r="N68" s="3">
        <f t="shared" si="7"/>
        <v>100</v>
      </c>
    </row>
    <row r="69" spans="1:14" ht="15">
      <c r="A69" s="3">
        <v>5</v>
      </c>
      <c r="B69" s="31"/>
      <c r="C69" s="30"/>
      <c r="D69" s="119"/>
      <c r="E69" s="32"/>
      <c r="G69" s="31">
        <v>27</v>
      </c>
      <c r="H69" s="30" t="str">
        <f t="shared" si="4"/>
        <v>01100000</v>
      </c>
      <c r="I69" s="74">
        <f t="shared" si="5"/>
        <v>96</v>
      </c>
      <c r="J69" s="32"/>
      <c r="L69" s="3" t="s">
        <v>86</v>
      </c>
      <c r="M69" s="3">
        <v>2192</v>
      </c>
      <c r="N69" s="3">
        <f t="shared" ref="N69:N80" si="8">M69/8</f>
        <v>274</v>
      </c>
    </row>
    <row r="70" spans="1:14" ht="15">
      <c r="A70" s="3">
        <v>8</v>
      </c>
      <c r="B70" s="31"/>
      <c r="C70" s="30"/>
      <c r="D70" s="119"/>
      <c r="E70" s="32"/>
      <c r="G70" s="31">
        <v>28</v>
      </c>
      <c r="H70" s="30" t="str">
        <f t="shared" si="4"/>
        <v>00110010</v>
      </c>
      <c r="I70" s="74">
        <f t="shared" si="5"/>
        <v>50</v>
      </c>
      <c r="J70" s="32"/>
      <c r="L70" s="3" t="s">
        <v>87</v>
      </c>
      <c r="M70" s="3">
        <v>1728</v>
      </c>
      <c r="N70" s="3">
        <f t="shared" si="8"/>
        <v>216</v>
      </c>
    </row>
    <row r="71" spans="1:14" ht="15">
      <c r="A71" s="3">
        <v>5</v>
      </c>
      <c r="B71" s="31"/>
      <c r="C71" s="30"/>
      <c r="D71" s="119"/>
      <c r="E71" s="32"/>
      <c r="G71" s="31">
        <v>29</v>
      </c>
      <c r="H71" s="30" t="str">
        <f t="shared" si="4"/>
        <v>11010000</v>
      </c>
      <c r="I71" s="74">
        <f t="shared" si="5"/>
        <v>208</v>
      </c>
      <c r="J71" s="32"/>
      <c r="L71" s="3" t="s">
        <v>88</v>
      </c>
      <c r="M71" s="3">
        <v>1232</v>
      </c>
      <c r="N71" s="3">
        <f t="shared" si="8"/>
        <v>154</v>
      </c>
    </row>
    <row r="72" spans="1:14" ht="15">
      <c r="A72" s="3">
        <v>8</v>
      </c>
      <c r="B72" s="31"/>
      <c r="C72" s="30"/>
      <c r="D72" s="119"/>
      <c r="E72" s="32"/>
      <c r="G72" s="31">
        <v>30</v>
      </c>
      <c r="H72" s="30" t="str">
        <f t="shared" si="4"/>
        <v>10101110</v>
      </c>
      <c r="I72" s="74">
        <f t="shared" si="5"/>
        <v>174</v>
      </c>
      <c r="J72" s="32"/>
      <c r="L72" s="3" t="s">
        <v>89</v>
      </c>
      <c r="M72" s="3">
        <v>976</v>
      </c>
      <c r="N72" s="3">
        <f t="shared" si="8"/>
        <v>122</v>
      </c>
    </row>
    <row r="73" spans="1:14" ht="15">
      <c r="A73" s="3">
        <v>5</v>
      </c>
      <c r="B73" s="31"/>
      <c r="C73" s="30"/>
      <c r="D73" s="119"/>
      <c r="E73" s="32"/>
      <c r="G73" s="31">
        <v>31</v>
      </c>
      <c r="H73" s="30" t="str">
        <f t="shared" si="4"/>
        <v>01010100</v>
      </c>
      <c r="I73" s="74">
        <f t="shared" si="5"/>
        <v>84</v>
      </c>
      <c r="J73" s="32"/>
      <c r="L73" s="3" t="s">
        <v>209</v>
      </c>
      <c r="M73" s="3">
        <v>2592</v>
      </c>
      <c r="N73" s="3">
        <f t="shared" si="8"/>
        <v>324</v>
      </c>
    </row>
    <row r="74" spans="1:14" ht="15">
      <c r="A74" s="3">
        <v>8</v>
      </c>
      <c r="B74" s="31"/>
      <c r="C74" s="30"/>
      <c r="D74" s="119"/>
      <c r="E74" s="32"/>
      <c r="G74" s="31">
        <v>32</v>
      </c>
      <c r="H74" s="30" t="str">
        <f t="shared" si="4"/>
        <v>01011000</v>
      </c>
      <c r="I74" s="74">
        <f t="shared" si="5"/>
        <v>88</v>
      </c>
      <c r="J74" s="32"/>
      <c r="L74" s="3" t="s">
        <v>210</v>
      </c>
      <c r="M74" s="3">
        <v>2032</v>
      </c>
      <c r="N74" s="3">
        <f t="shared" si="8"/>
        <v>254</v>
      </c>
    </row>
    <row r="75" spans="1:14" ht="15">
      <c r="A75" s="3">
        <v>5</v>
      </c>
      <c r="B75" s="31"/>
      <c r="C75" s="30"/>
      <c r="D75" s="119"/>
      <c r="E75" s="32"/>
      <c r="G75" s="31">
        <v>33</v>
      </c>
      <c r="H75" s="30" t="str">
        <f t="shared" si="4"/>
        <v>11000011</v>
      </c>
      <c r="I75" s="74">
        <f t="shared" si="5"/>
        <v>195</v>
      </c>
      <c r="J75" s="32"/>
      <c r="L75" s="3" t="s">
        <v>211</v>
      </c>
      <c r="M75" s="3">
        <v>1440</v>
      </c>
      <c r="N75" s="3">
        <f t="shared" si="8"/>
        <v>180</v>
      </c>
    </row>
    <row r="76" spans="1:14" ht="15">
      <c r="A76" s="3">
        <v>8</v>
      </c>
      <c r="B76" s="31"/>
      <c r="C76" s="30"/>
      <c r="D76" s="119"/>
      <c r="E76" s="32"/>
      <c r="G76" s="31">
        <v>34</v>
      </c>
      <c r="H76" s="30" t="str">
        <f t="shared" si="4"/>
        <v>01010010</v>
      </c>
      <c r="I76" s="74">
        <f t="shared" si="5"/>
        <v>82</v>
      </c>
      <c r="J76" s="32"/>
      <c r="L76" s="3" t="s">
        <v>212</v>
      </c>
      <c r="M76" s="3">
        <v>1120</v>
      </c>
      <c r="N76" s="3">
        <f t="shared" si="8"/>
        <v>140</v>
      </c>
    </row>
    <row r="77" spans="1:14" ht="15">
      <c r="A77" s="3">
        <v>5</v>
      </c>
      <c r="B77" s="31"/>
      <c r="C77" s="30"/>
      <c r="D77" s="119"/>
      <c r="E77" s="32"/>
      <c r="G77" s="31">
        <v>35</v>
      </c>
      <c r="H77" s="30" t="str">
        <f t="shared" si="4"/>
        <v>11100110</v>
      </c>
      <c r="I77" s="74">
        <f t="shared" si="5"/>
        <v>230</v>
      </c>
      <c r="J77" s="32"/>
      <c r="L77" s="3" t="s">
        <v>213</v>
      </c>
      <c r="M77" s="3">
        <v>2960</v>
      </c>
      <c r="N77" s="3">
        <f t="shared" si="8"/>
        <v>370</v>
      </c>
    </row>
    <row r="78" spans="1:14" ht="15">
      <c r="A78" s="3">
        <v>8</v>
      </c>
      <c r="B78" s="31"/>
      <c r="C78" s="30"/>
      <c r="D78" s="119"/>
      <c r="E78" s="32"/>
      <c r="G78" s="31">
        <v>36</v>
      </c>
      <c r="H78" s="30" t="str">
        <f t="shared" si="4"/>
        <v>00111111</v>
      </c>
      <c r="I78" s="74">
        <f t="shared" si="5"/>
        <v>63</v>
      </c>
      <c r="J78" s="32"/>
      <c r="L78" s="3" t="s">
        <v>214</v>
      </c>
      <c r="M78" s="3">
        <v>2320</v>
      </c>
      <c r="N78" s="3">
        <f t="shared" si="8"/>
        <v>290</v>
      </c>
    </row>
    <row r="79" spans="1:14" ht="15">
      <c r="A79" s="3">
        <v>5</v>
      </c>
      <c r="B79" s="31"/>
      <c r="C79" s="30"/>
      <c r="D79" s="119"/>
      <c r="E79" s="32"/>
      <c r="G79" s="31">
        <v>37</v>
      </c>
      <c r="H79" s="30" t="str">
        <f t="shared" si="4"/>
        <v>00001011</v>
      </c>
      <c r="I79" s="74">
        <f t="shared" si="5"/>
        <v>11</v>
      </c>
      <c r="J79" s="32"/>
      <c r="L79" s="3" t="s">
        <v>215</v>
      </c>
      <c r="M79" s="3">
        <v>1648</v>
      </c>
      <c r="N79" s="3">
        <f t="shared" si="8"/>
        <v>206</v>
      </c>
    </row>
    <row r="80" spans="1:14" ht="15">
      <c r="A80" s="3">
        <v>8</v>
      </c>
      <c r="B80" s="31"/>
      <c r="C80" s="30"/>
      <c r="D80" s="119"/>
      <c r="E80" s="32"/>
      <c r="G80" s="31">
        <v>38</v>
      </c>
      <c r="H80" s="30" t="str">
        <f t="shared" si="4"/>
        <v>10101110</v>
      </c>
      <c r="I80" s="74">
        <f t="shared" si="5"/>
        <v>174</v>
      </c>
      <c r="J80" s="32"/>
      <c r="L80" s="3" t="s">
        <v>216</v>
      </c>
      <c r="M80" s="3">
        <v>1264</v>
      </c>
      <c r="N80" s="3">
        <f t="shared" si="8"/>
        <v>158</v>
      </c>
    </row>
    <row r="81" spans="1:14" ht="15">
      <c r="A81" s="3">
        <v>5</v>
      </c>
      <c r="B81" s="31"/>
      <c r="C81" s="30"/>
      <c r="D81" s="119"/>
      <c r="E81" s="32"/>
      <c r="G81" s="31">
        <v>39</v>
      </c>
      <c r="H81" s="30" t="str">
        <f t="shared" si="4"/>
        <v>01101110</v>
      </c>
      <c r="I81" s="74">
        <f t="shared" si="5"/>
        <v>110</v>
      </c>
      <c r="J81" s="32"/>
      <c r="L81" s="3" t="s">
        <v>90</v>
      </c>
      <c r="M81" s="3">
        <v>3424</v>
      </c>
      <c r="N81" s="3">
        <f t="shared" ref="N81:N92" si="9">M81/8</f>
        <v>428</v>
      </c>
    </row>
    <row r="82" spans="1:14" ht="15">
      <c r="A82" s="3">
        <v>8</v>
      </c>
      <c r="B82" s="31"/>
      <c r="C82" s="30"/>
      <c r="D82" s="119"/>
      <c r="E82" s="32"/>
      <c r="G82" s="31">
        <v>40</v>
      </c>
      <c r="H82" s="30" t="str">
        <f t="shared" si="4"/>
        <v>10110000</v>
      </c>
      <c r="I82" s="74">
        <f t="shared" si="5"/>
        <v>176</v>
      </c>
      <c r="J82" s="32"/>
      <c r="L82" s="3" t="s">
        <v>91</v>
      </c>
      <c r="M82" s="3">
        <v>2672</v>
      </c>
      <c r="N82" s="3">
        <f t="shared" si="9"/>
        <v>334</v>
      </c>
    </row>
    <row r="83" spans="1:14" ht="15">
      <c r="A83" s="3">
        <v>5</v>
      </c>
      <c r="B83" s="31"/>
      <c r="C83" s="30"/>
      <c r="D83" s="119"/>
      <c r="E83" s="32"/>
      <c r="G83" s="31">
        <v>41</v>
      </c>
      <c r="H83" s="30" t="str">
        <f t="shared" si="4"/>
        <v>00110010</v>
      </c>
      <c r="I83" s="74">
        <f t="shared" si="5"/>
        <v>50</v>
      </c>
      <c r="J83" s="32"/>
      <c r="L83" s="3" t="s">
        <v>92</v>
      </c>
      <c r="M83" s="3">
        <v>1952</v>
      </c>
      <c r="N83" s="3">
        <f t="shared" si="9"/>
        <v>244</v>
      </c>
    </row>
    <row r="84" spans="1:14" ht="15">
      <c r="A84" s="3">
        <v>8</v>
      </c>
      <c r="B84" s="31"/>
      <c r="C84" s="30"/>
      <c r="D84" s="119"/>
      <c r="E84" s="32"/>
      <c r="G84" s="31">
        <v>42</v>
      </c>
      <c r="H84" s="30" t="str">
        <f t="shared" si="4"/>
        <v>11011011</v>
      </c>
      <c r="I84" s="74">
        <f t="shared" si="5"/>
        <v>219</v>
      </c>
      <c r="J84" s="32"/>
      <c r="L84" s="3" t="s">
        <v>93</v>
      </c>
      <c r="M84" s="3">
        <v>1440</v>
      </c>
      <c r="N84" s="3">
        <f t="shared" si="9"/>
        <v>180</v>
      </c>
    </row>
    <row r="85" spans="1:14" ht="15">
      <c r="A85" s="3">
        <v>5</v>
      </c>
      <c r="B85" s="31"/>
      <c r="C85" s="30"/>
      <c r="D85" s="119"/>
      <c r="E85" s="32"/>
      <c r="G85" s="31">
        <v>43</v>
      </c>
      <c r="H85" s="30" t="str">
        <f t="shared" si="4"/>
        <v>11011000</v>
      </c>
      <c r="I85" s="74">
        <f t="shared" si="5"/>
        <v>216</v>
      </c>
      <c r="J85" s="32"/>
      <c r="L85" s="3" t="s">
        <v>217</v>
      </c>
      <c r="M85" s="3">
        <v>3688</v>
      </c>
      <c r="N85" s="3">
        <f t="shared" si="9"/>
        <v>461</v>
      </c>
    </row>
    <row r="86" spans="1:14" ht="15">
      <c r="A86" s="3">
        <v>8</v>
      </c>
      <c r="B86" s="31"/>
      <c r="C86" s="30"/>
      <c r="D86" s="119"/>
      <c r="E86" s="32"/>
      <c r="G86" s="31">
        <v>44</v>
      </c>
      <c r="H86" s="30" t="str">
        <f t="shared" si="4"/>
        <v>10000111</v>
      </c>
      <c r="I86" s="74">
        <f t="shared" si="5"/>
        <v>135</v>
      </c>
      <c r="J86" s="32"/>
      <c r="L86" s="3" t="s">
        <v>218</v>
      </c>
      <c r="M86" s="3">
        <v>2920</v>
      </c>
      <c r="N86" s="3">
        <f t="shared" si="9"/>
        <v>365</v>
      </c>
    </row>
    <row r="87" spans="1:14" ht="15">
      <c r="A87" s="3">
        <v>5</v>
      </c>
      <c r="B87" s="31"/>
      <c r="C87" s="30"/>
      <c r="D87" s="119"/>
      <c r="E87" s="32"/>
      <c r="G87" s="31">
        <v>45</v>
      </c>
      <c r="H87" s="30" t="str">
        <f t="shared" si="4"/>
        <v>00010111</v>
      </c>
      <c r="I87" s="74">
        <f t="shared" si="5"/>
        <v>23</v>
      </c>
      <c r="J87" s="32"/>
      <c r="L87" s="3" t="s">
        <v>219</v>
      </c>
      <c r="M87" s="3">
        <v>2088</v>
      </c>
      <c r="N87" s="3">
        <f t="shared" si="9"/>
        <v>261</v>
      </c>
    </row>
    <row r="88" spans="1:14" ht="15">
      <c r="A88" s="3">
        <v>8</v>
      </c>
      <c r="B88" s="31"/>
      <c r="C88" s="30"/>
      <c r="D88" s="119"/>
      <c r="E88" s="32"/>
      <c r="G88" s="31">
        <v>46</v>
      </c>
      <c r="H88" s="30" t="str">
        <f t="shared" si="4"/>
        <v>11110000</v>
      </c>
      <c r="I88" s="74">
        <f t="shared" si="5"/>
        <v>240</v>
      </c>
      <c r="J88" s="32"/>
      <c r="L88" s="3" t="s">
        <v>220</v>
      </c>
      <c r="M88" s="3">
        <v>1576</v>
      </c>
      <c r="N88" s="3">
        <f t="shared" si="9"/>
        <v>197</v>
      </c>
    </row>
    <row r="89" spans="1:14" ht="15">
      <c r="A89" s="3">
        <v>5</v>
      </c>
      <c r="B89" s="31"/>
      <c r="C89" s="30"/>
      <c r="D89" s="119"/>
      <c r="E89" s="32"/>
      <c r="G89" s="31">
        <v>47</v>
      </c>
      <c r="H89" s="30" t="str">
        <f t="shared" si="4"/>
        <v>11000001</v>
      </c>
      <c r="I89" s="74">
        <f t="shared" si="5"/>
        <v>193</v>
      </c>
      <c r="J89" s="32"/>
      <c r="L89" s="3" t="s">
        <v>221</v>
      </c>
      <c r="M89" s="3">
        <v>4184</v>
      </c>
      <c r="N89" s="3">
        <f t="shared" si="9"/>
        <v>523</v>
      </c>
    </row>
    <row r="90" spans="1:14" ht="15">
      <c r="A90" s="3">
        <v>8</v>
      </c>
      <c r="B90" s="31"/>
      <c r="C90" s="30"/>
      <c r="D90" s="119"/>
      <c r="E90" s="32"/>
      <c r="G90" s="31">
        <v>48</v>
      </c>
      <c r="H90" s="30" t="str">
        <f t="shared" si="4"/>
        <v>01111110</v>
      </c>
      <c r="I90" s="74">
        <f t="shared" si="5"/>
        <v>126</v>
      </c>
      <c r="J90" s="32"/>
      <c r="L90" s="3" t="s">
        <v>222</v>
      </c>
      <c r="M90" s="3">
        <v>3320</v>
      </c>
      <c r="N90" s="3">
        <f t="shared" si="9"/>
        <v>415</v>
      </c>
    </row>
    <row r="91" spans="1:14" ht="15">
      <c r="A91" s="3">
        <v>5</v>
      </c>
      <c r="B91" s="31"/>
      <c r="C91" s="30"/>
      <c r="D91" s="119"/>
      <c r="E91" s="32"/>
      <c r="G91" s="31">
        <v>49</v>
      </c>
      <c r="H91" s="30" t="str">
        <f t="shared" si="4"/>
        <v>01010000</v>
      </c>
      <c r="I91" s="74">
        <f t="shared" si="5"/>
        <v>80</v>
      </c>
      <c r="J91" s="32"/>
      <c r="L91" s="3" t="s">
        <v>223</v>
      </c>
      <c r="M91" s="3">
        <v>2360</v>
      </c>
      <c r="N91" s="3">
        <f t="shared" si="9"/>
        <v>295</v>
      </c>
    </row>
    <row r="92" spans="1:14" ht="15">
      <c r="A92" s="3">
        <v>8</v>
      </c>
      <c r="B92" s="31"/>
      <c r="C92" s="30"/>
      <c r="D92" s="119"/>
      <c r="E92" s="32"/>
      <c r="G92" s="31">
        <v>50</v>
      </c>
      <c r="H92" s="30" t="str">
        <f t="shared" si="4"/>
        <v>01100101</v>
      </c>
      <c r="I92" s="74">
        <f t="shared" si="5"/>
        <v>101</v>
      </c>
      <c r="J92" s="32"/>
      <c r="L92" s="3" t="s">
        <v>224</v>
      </c>
      <c r="M92" s="3">
        <v>1784</v>
      </c>
      <c r="N92" s="3">
        <f t="shared" si="9"/>
        <v>223</v>
      </c>
    </row>
    <row r="93" spans="1:14" ht="15">
      <c r="A93" s="3">
        <v>5</v>
      </c>
      <c r="B93" s="31"/>
      <c r="C93" s="30"/>
      <c r="D93" s="119"/>
      <c r="E93" s="32"/>
      <c r="G93" s="31">
        <v>51</v>
      </c>
      <c r="H93" s="30" t="str">
        <f t="shared" si="4"/>
        <v>01011001</v>
      </c>
      <c r="I93" s="74">
        <f t="shared" si="5"/>
        <v>89</v>
      </c>
      <c r="J93" s="32"/>
      <c r="L93" s="3" t="s">
        <v>94</v>
      </c>
      <c r="M93" s="3">
        <v>4712</v>
      </c>
      <c r="N93" s="3">
        <f t="shared" ref="N93:N108" si="10">M93/8</f>
        <v>589</v>
      </c>
    </row>
    <row r="94" spans="1:14" ht="15">
      <c r="A94" s="3">
        <v>8</v>
      </c>
      <c r="B94" s="31"/>
      <c r="C94" s="30"/>
      <c r="D94" s="119"/>
      <c r="E94" s="32"/>
      <c r="G94" s="31">
        <v>52</v>
      </c>
      <c r="H94" s="30" t="str">
        <f t="shared" si="4"/>
        <v>01011011</v>
      </c>
      <c r="I94" s="74">
        <f t="shared" si="5"/>
        <v>91</v>
      </c>
      <c r="J94" s="32"/>
      <c r="L94" s="3" t="s">
        <v>95</v>
      </c>
      <c r="M94" s="3">
        <v>3624</v>
      </c>
      <c r="N94" s="3">
        <f t="shared" si="10"/>
        <v>453</v>
      </c>
    </row>
    <row r="95" spans="1:14" ht="15">
      <c r="A95" s="3">
        <v>5</v>
      </c>
      <c r="B95" s="31"/>
      <c r="C95" s="30"/>
      <c r="D95" s="119"/>
      <c r="E95" s="32"/>
      <c r="G95" s="31">
        <v>53</v>
      </c>
      <c r="H95" s="30" t="str">
        <f t="shared" si="4"/>
        <v>11111010</v>
      </c>
      <c r="I95" s="74">
        <f t="shared" si="5"/>
        <v>250</v>
      </c>
      <c r="J95" s="32"/>
      <c r="L95" s="3" t="s">
        <v>96</v>
      </c>
      <c r="M95" s="3">
        <v>2600</v>
      </c>
      <c r="N95" s="3">
        <f t="shared" si="10"/>
        <v>325</v>
      </c>
    </row>
    <row r="96" spans="1:14" ht="15">
      <c r="A96" s="3">
        <v>8</v>
      </c>
      <c r="B96" s="31"/>
      <c r="C96" s="30"/>
      <c r="D96" s="119"/>
      <c r="E96" s="32"/>
      <c r="G96" s="31">
        <v>54</v>
      </c>
      <c r="H96" s="30" t="str">
        <f t="shared" si="4"/>
        <v>00000000</v>
      </c>
      <c r="I96" s="74">
        <f t="shared" si="5"/>
        <v>0</v>
      </c>
      <c r="J96" s="32"/>
      <c r="L96" s="3" t="s">
        <v>97</v>
      </c>
      <c r="M96" s="3">
        <v>2024</v>
      </c>
      <c r="N96" s="3">
        <f t="shared" si="10"/>
        <v>253</v>
      </c>
    </row>
    <row r="97" spans="1:14" ht="15">
      <c r="A97" s="3">
        <v>5</v>
      </c>
      <c r="B97" s="31"/>
      <c r="C97" s="30"/>
      <c r="D97" s="119"/>
      <c r="E97" s="32"/>
      <c r="G97" s="31">
        <v>55</v>
      </c>
      <c r="H97" s="30" t="str">
        <f t="shared" si="4"/>
        <v>00000000</v>
      </c>
      <c r="I97" s="74">
        <f t="shared" si="5"/>
        <v>0</v>
      </c>
      <c r="J97" s="32"/>
      <c r="L97" s="3" t="s">
        <v>225</v>
      </c>
      <c r="M97" s="3">
        <v>5176</v>
      </c>
      <c r="N97" s="3">
        <f t="shared" si="10"/>
        <v>647</v>
      </c>
    </row>
    <row r="98" spans="1:14" ht="15">
      <c r="A98" s="3">
        <v>8</v>
      </c>
      <c r="B98" s="31"/>
      <c r="C98" s="30"/>
      <c r="D98" s="119"/>
      <c r="E98" s="32"/>
      <c r="G98" s="31">
        <v>56</v>
      </c>
      <c r="H98" s="30" t="str">
        <f t="shared" si="4"/>
        <v>10000101</v>
      </c>
      <c r="I98" s="74">
        <f t="shared" si="5"/>
        <v>133</v>
      </c>
      <c r="J98" s="32"/>
      <c r="L98" s="3" t="s">
        <v>226</v>
      </c>
      <c r="M98" s="3">
        <v>4056</v>
      </c>
      <c r="N98" s="3">
        <f t="shared" si="10"/>
        <v>507</v>
      </c>
    </row>
    <row r="99" spans="1:14" ht="15">
      <c r="A99" s="3">
        <v>5</v>
      </c>
      <c r="B99" s="31"/>
      <c r="C99" s="30"/>
      <c r="D99" s="119"/>
      <c r="E99" s="32"/>
      <c r="G99" s="31">
        <v>57</v>
      </c>
      <c r="H99" s="30" t="str">
        <f t="shared" si="4"/>
        <v>01101000</v>
      </c>
      <c r="I99" s="74">
        <f t="shared" si="5"/>
        <v>104</v>
      </c>
      <c r="J99" s="32"/>
      <c r="L99" s="3" t="s">
        <v>227</v>
      </c>
      <c r="M99" s="3">
        <v>2936</v>
      </c>
      <c r="N99" s="3">
        <f t="shared" si="10"/>
        <v>367</v>
      </c>
    </row>
    <row r="100" spans="1:14" ht="15">
      <c r="A100" s="3">
        <v>8</v>
      </c>
      <c r="B100" s="31"/>
      <c r="C100" s="30"/>
      <c r="D100" s="119"/>
      <c r="E100" s="32"/>
      <c r="G100" s="31">
        <v>58</v>
      </c>
      <c r="H100" s="30" t="str">
        <f t="shared" si="4"/>
        <v>10000011</v>
      </c>
      <c r="I100" s="74">
        <f t="shared" si="5"/>
        <v>131</v>
      </c>
      <c r="J100" s="32"/>
      <c r="L100" s="3" t="s">
        <v>228</v>
      </c>
      <c r="M100" s="3">
        <v>2264</v>
      </c>
      <c r="N100" s="3">
        <f t="shared" si="10"/>
        <v>283</v>
      </c>
    </row>
    <row r="101" spans="1:14" ht="15">
      <c r="A101" s="3">
        <v>5</v>
      </c>
      <c r="B101" s="31"/>
      <c r="C101" s="30"/>
      <c r="D101" s="119"/>
      <c r="E101" s="32"/>
      <c r="G101" s="31">
        <v>59</v>
      </c>
      <c r="H101" s="30" t="str">
        <f t="shared" si="4"/>
        <v>11101010</v>
      </c>
      <c r="I101" s="74">
        <f t="shared" si="5"/>
        <v>234</v>
      </c>
      <c r="J101" s="32"/>
      <c r="L101" s="3" t="s">
        <v>229</v>
      </c>
      <c r="M101" s="3">
        <v>5768</v>
      </c>
      <c r="N101" s="3">
        <f t="shared" si="10"/>
        <v>721</v>
      </c>
    </row>
    <row r="102" spans="1:14" ht="15">
      <c r="A102" s="3">
        <v>8</v>
      </c>
      <c r="B102" s="31"/>
      <c r="C102" s="30"/>
      <c r="D102" s="119"/>
      <c r="E102" s="32"/>
      <c r="G102" s="31">
        <v>60</v>
      </c>
      <c r="H102" s="30" t="str">
        <f t="shared" si="4"/>
        <v>10110001</v>
      </c>
      <c r="I102" s="74">
        <f t="shared" si="5"/>
        <v>177</v>
      </c>
      <c r="J102" s="32"/>
      <c r="L102" s="3" t="s">
        <v>230</v>
      </c>
      <c r="M102" s="3">
        <v>4504</v>
      </c>
      <c r="N102" s="3">
        <f t="shared" si="10"/>
        <v>563</v>
      </c>
    </row>
    <row r="103" spans="1:14" ht="15">
      <c r="A103" s="3">
        <v>5</v>
      </c>
      <c r="B103" s="31"/>
      <c r="C103" s="30"/>
      <c r="D103" s="119"/>
      <c r="E103" s="32"/>
      <c r="G103" s="31">
        <v>61</v>
      </c>
      <c r="H103" s="30" t="str">
        <f t="shared" si="4"/>
        <v>00111111</v>
      </c>
      <c r="I103" s="74">
        <f t="shared" si="5"/>
        <v>63</v>
      </c>
      <c r="J103" s="32"/>
      <c r="L103" s="3" t="s">
        <v>231</v>
      </c>
      <c r="M103" s="3">
        <v>3176</v>
      </c>
      <c r="N103" s="3">
        <f t="shared" si="10"/>
        <v>397</v>
      </c>
    </row>
    <row r="104" spans="1:14" ht="15">
      <c r="A104" s="3">
        <v>8</v>
      </c>
      <c r="B104" s="31"/>
      <c r="C104" s="30"/>
      <c r="D104" s="119"/>
      <c r="E104" s="32"/>
      <c r="G104" s="31">
        <v>62</v>
      </c>
      <c r="H104" s="30" t="str">
        <f t="shared" si="4"/>
        <v>00111010</v>
      </c>
      <c r="I104" s="74">
        <f t="shared" si="5"/>
        <v>58</v>
      </c>
      <c r="J104" s="32"/>
      <c r="L104" s="3" t="s">
        <v>232</v>
      </c>
      <c r="M104" s="3">
        <v>2504</v>
      </c>
      <c r="N104" s="3">
        <f t="shared" si="10"/>
        <v>313</v>
      </c>
    </row>
    <row r="105" spans="1:14" ht="15">
      <c r="A105" s="3">
        <v>5</v>
      </c>
      <c r="B105" s="31"/>
      <c r="C105" s="30"/>
      <c r="D105" s="119"/>
      <c r="E105" s="32"/>
      <c r="G105" s="31">
        <v>63</v>
      </c>
      <c r="H105" s="30" t="str">
        <f t="shared" si="4"/>
        <v>00101001</v>
      </c>
      <c r="I105" s="74">
        <f t="shared" si="5"/>
        <v>41</v>
      </c>
      <c r="J105" s="32"/>
      <c r="L105" s="3" t="s">
        <v>233</v>
      </c>
      <c r="M105" s="3">
        <v>6360</v>
      </c>
      <c r="N105" s="3">
        <f t="shared" si="10"/>
        <v>795</v>
      </c>
    </row>
    <row r="106" spans="1:14" ht="15">
      <c r="A106" s="3">
        <v>8</v>
      </c>
      <c r="B106" s="31"/>
      <c r="C106" s="30"/>
      <c r="D106" s="119"/>
      <c r="E106" s="32"/>
      <c r="G106" s="31">
        <v>64</v>
      </c>
      <c r="H106" s="30" t="str">
        <f t="shared" si="4"/>
        <v>00100010</v>
      </c>
      <c r="I106" s="74">
        <f t="shared" si="5"/>
        <v>34</v>
      </c>
      <c r="J106" s="32"/>
      <c r="L106" s="3" t="s">
        <v>234</v>
      </c>
      <c r="M106" s="3">
        <v>5016</v>
      </c>
      <c r="N106" s="3">
        <f t="shared" si="10"/>
        <v>627</v>
      </c>
    </row>
    <row r="107" spans="1:14" ht="15">
      <c r="A107" s="3">
        <v>5</v>
      </c>
      <c r="B107" s="31"/>
      <c r="C107" s="30"/>
      <c r="D107" s="119"/>
      <c r="E107" s="32"/>
      <c r="G107" s="31">
        <v>65</v>
      </c>
      <c r="H107" s="30" t="str">
        <f t="shared" si="4"/>
        <v>01110100</v>
      </c>
      <c r="I107" s="74">
        <f t="shared" si="5"/>
        <v>116</v>
      </c>
      <c r="J107" s="32"/>
      <c r="L107" s="3" t="s">
        <v>235</v>
      </c>
      <c r="M107" s="3">
        <v>3560</v>
      </c>
      <c r="N107" s="3">
        <f t="shared" si="10"/>
        <v>445</v>
      </c>
    </row>
    <row r="108" spans="1:14" ht="15">
      <c r="A108" s="3">
        <v>8</v>
      </c>
      <c r="B108" s="31"/>
      <c r="C108" s="30"/>
      <c r="D108" s="119"/>
      <c r="E108" s="32"/>
      <c r="G108" s="31">
        <v>66</v>
      </c>
      <c r="H108" s="30" t="str">
        <f t="shared" ref="H108:H171" si="11">MID($I$41,G108*8-7,8)</f>
        <v>10110001</v>
      </c>
      <c r="I108" s="74">
        <f t="shared" ref="I108:I171" si="12">IFERROR(BIN2DEC(VALUE(H108)),"")</f>
        <v>177</v>
      </c>
      <c r="J108" s="32"/>
      <c r="L108" s="3" t="s">
        <v>236</v>
      </c>
      <c r="M108" s="3">
        <v>2728</v>
      </c>
      <c r="N108" s="3">
        <f t="shared" si="10"/>
        <v>341</v>
      </c>
    </row>
    <row r="109" spans="1:14" ht="15">
      <c r="A109" s="3">
        <v>5</v>
      </c>
      <c r="B109" s="31"/>
      <c r="C109" s="30"/>
      <c r="D109" s="119"/>
      <c r="E109" s="32"/>
      <c r="G109" s="31">
        <v>67</v>
      </c>
      <c r="H109" s="30" t="str">
        <f t="shared" si="11"/>
        <v>00110110</v>
      </c>
      <c r="I109" s="74">
        <f t="shared" si="12"/>
        <v>54</v>
      </c>
      <c r="J109" s="32"/>
      <c r="L109" s="3" t="s">
        <v>98</v>
      </c>
      <c r="M109" s="3">
        <v>6888</v>
      </c>
      <c r="N109" s="3">
        <f t="shared" ref="N109:N128" si="13">M109/8</f>
        <v>861</v>
      </c>
    </row>
    <row r="110" spans="1:14" ht="15">
      <c r="A110" s="3">
        <v>8</v>
      </c>
      <c r="B110" s="31"/>
      <c r="C110" s="30"/>
      <c r="D110" s="119"/>
      <c r="E110" s="32"/>
      <c r="G110" s="31">
        <v>68</v>
      </c>
      <c r="H110" s="30" t="str">
        <f t="shared" si="11"/>
        <v>01110101</v>
      </c>
      <c r="I110" s="74">
        <f t="shared" si="12"/>
        <v>117</v>
      </c>
      <c r="J110" s="32"/>
      <c r="L110" s="3" t="s">
        <v>99</v>
      </c>
      <c r="M110" s="3">
        <v>5352</v>
      </c>
      <c r="N110" s="3">
        <f t="shared" si="13"/>
        <v>669</v>
      </c>
    </row>
    <row r="111" spans="1:14" ht="15">
      <c r="A111" s="3">
        <v>5</v>
      </c>
      <c r="B111" s="31"/>
      <c r="C111" s="30"/>
      <c r="D111" s="119"/>
      <c r="E111" s="32"/>
      <c r="G111" s="31">
        <v>69</v>
      </c>
      <c r="H111" s="30" t="str">
        <f t="shared" si="11"/>
        <v>01000001</v>
      </c>
      <c r="I111" s="74">
        <f t="shared" si="12"/>
        <v>65</v>
      </c>
      <c r="J111" s="32"/>
      <c r="L111" s="3" t="s">
        <v>100</v>
      </c>
      <c r="M111" s="3">
        <v>3880</v>
      </c>
      <c r="N111" s="3">
        <f t="shared" si="13"/>
        <v>485</v>
      </c>
    </row>
    <row r="112" spans="1:14" ht="15">
      <c r="A112" s="3">
        <v>8</v>
      </c>
      <c r="B112" s="31"/>
      <c r="C112" s="30"/>
      <c r="D112" s="119"/>
      <c r="E112" s="32"/>
      <c r="G112" s="31">
        <v>70</v>
      </c>
      <c r="H112" s="30" t="str">
        <f t="shared" si="11"/>
        <v>01101000</v>
      </c>
      <c r="I112" s="74">
        <f t="shared" si="12"/>
        <v>104</v>
      </c>
      <c r="J112" s="32"/>
      <c r="L112" s="3" t="s">
        <v>101</v>
      </c>
      <c r="M112" s="3">
        <v>3080</v>
      </c>
      <c r="N112" s="3">
        <f t="shared" si="13"/>
        <v>385</v>
      </c>
    </row>
    <row r="113" spans="1:14" ht="15">
      <c r="A113" s="3">
        <v>5</v>
      </c>
      <c r="B113" s="31"/>
      <c r="C113" s="30"/>
      <c r="D113" s="119"/>
      <c r="E113" s="32"/>
      <c r="G113" s="31">
        <v>71</v>
      </c>
      <c r="H113" s="30" t="str">
        <f t="shared" si="11"/>
        <v>00011001</v>
      </c>
      <c r="I113" s="74">
        <f t="shared" si="12"/>
        <v>25</v>
      </c>
      <c r="J113" s="32"/>
      <c r="L113" s="3" t="s">
        <v>237</v>
      </c>
      <c r="M113" s="3">
        <v>7456</v>
      </c>
      <c r="N113" s="3">
        <f t="shared" si="13"/>
        <v>932</v>
      </c>
    </row>
    <row r="114" spans="1:14" ht="15">
      <c r="A114" s="3">
        <v>8</v>
      </c>
      <c r="B114" s="31"/>
      <c r="C114" s="30"/>
      <c r="D114" s="119"/>
      <c r="E114" s="32"/>
      <c r="G114" s="31">
        <v>72</v>
      </c>
      <c r="H114" s="30" t="str">
        <f t="shared" si="11"/>
        <v>01101100</v>
      </c>
      <c r="I114" s="74">
        <f t="shared" si="12"/>
        <v>108</v>
      </c>
      <c r="J114" s="32"/>
      <c r="L114" s="3" t="s">
        <v>238</v>
      </c>
      <c r="M114" s="3">
        <v>5712</v>
      </c>
      <c r="N114" s="3">
        <f t="shared" si="13"/>
        <v>714</v>
      </c>
    </row>
    <row r="115" spans="1:14" ht="15">
      <c r="A115" s="3">
        <v>5</v>
      </c>
      <c r="B115" s="31"/>
      <c r="C115" s="30"/>
      <c r="D115" s="119"/>
      <c r="E115" s="32"/>
      <c r="G115" s="31">
        <v>73</v>
      </c>
      <c r="H115" s="30" t="str">
        <f t="shared" si="11"/>
        <v>01110010</v>
      </c>
      <c r="I115" s="74">
        <f t="shared" si="12"/>
        <v>114</v>
      </c>
      <c r="J115" s="32"/>
      <c r="L115" s="3" t="s">
        <v>239</v>
      </c>
      <c r="M115" s="3">
        <v>4096</v>
      </c>
      <c r="N115" s="3">
        <f t="shared" si="13"/>
        <v>512</v>
      </c>
    </row>
    <row r="116" spans="1:14" ht="15">
      <c r="A116" s="3">
        <v>8</v>
      </c>
      <c r="B116" s="31"/>
      <c r="C116" s="30"/>
      <c r="D116" s="119"/>
      <c r="E116" s="32"/>
      <c r="G116" s="31">
        <v>74</v>
      </c>
      <c r="H116" s="30" t="str">
        <f t="shared" si="11"/>
        <v>00100101</v>
      </c>
      <c r="I116" s="74">
        <f t="shared" si="12"/>
        <v>37</v>
      </c>
      <c r="J116" s="32"/>
      <c r="L116" s="3" t="s">
        <v>240</v>
      </c>
      <c r="M116" s="3">
        <v>3248</v>
      </c>
      <c r="N116" s="3">
        <f t="shared" si="13"/>
        <v>406</v>
      </c>
    </row>
    <row r="117" spans="1:14" ht="15">
      <c r="A117" s="3">
        <v>5</v>
      </c>
      <c r="B117" s="31"/>
      <c r="C117" s="30"/>
      <c r="D117" s="119"/>
      <c r="E117" s="32"/>
      <c r="G117" s="31">
        <v>75</v>
      </c>
      <c r="H117" s="30" t="str">
        <f t="shared" si="11"/>
        <v>11100001</v>
      </c>
      <c r="I117" s="74">
        <f t="shared" si="12"/>
        <v>225</v>
      </c>
      <c r="J117" s="32"/>
      <c r="L117" s="3" t="s">
        <v>241</v>
      </c>
      <c r="M117" s="3">
        <v>8048</v>
      </c>
      <c r="N117" s="3">
        <f t="shared" si="13"/>
        <v>1006</v>
      </c>
    </row>
    <row r="118" spans="1:14" ht="15">
      <c r="A118" s="3">
        <v>8</v>
      </c>
      <c r="B118" s="31"/>
      <c r="C118" s="30"/>
      <c r="D118" s="119"/>
      <c r="E118" s="32"/>
      <c r="G118" s="31">
        <v>76</v>
      </c>
      <c r="H118" s="30" t="str">
        <f t="shared" si="11"/>
        <v>00101001</v>
      </c>
      <c r="I118" s="74">
        <f t="shared" si="12"/>
        <v>41</v>
      </c>
      <c r="J118" s="32"/>
      <c r="L118" s="3" t="s">
        <v>242</v>
      </c>
      <c r="M118" s="3">
        <v>6256</v>
      </c>
      <c r="N118" s="3">
        <f t="shared" si="13"/>
        <v>782</v>
      </c>
    </row>
    <row r="119" spans="1:14" ht="15">
      <c r="A119" s="3">
        <v>5</v>
      </c>
      <c r="B119" s="31"/>
      <c r="C119" s="30"/>
      <c r="D119" s="119"/>
      <c r="E119" s="32"/>
      <c r="G119" s="31">
        <v>77</v>
      </c>
      <c r="H119" s="30" t="str">
        <f t="shared" si="11"/>
        <v>00010110</v>
      </c>
      <c r="I119" s="74">
        <f t="shared" si="12"/>
        <v>22</v>
      </c>
      <c r="J119" s="32"/>
      <c r="L119" s="3" t="s">
        <v>243</v>
      </c>
      <c r="M119" s="3">
        <v>4544</v>
      </c>
      <c r="N119" s="3">
        <f t="shared" si="13"/>
        <v>568</v>
      </c>
    </row>
    <row r="120" spans="1:14" ht="15">
      <c r="A120" s="3">
        <v>8</v>
      </c>
      <c r="B120" s="31"/>
      <c r="C120" s="30"/>
      <c r="D120" s="119"/>
      <c r="E120" s="32"/>
      <c r="G120" s="31">
        <v>78</v>
      </c>
      <c r="H120" s="30" t="str">
        <f t="shared" si="11"/>
        <v>11110110</v>
      </c>
      <c r="I120" s="74">
        <f t="shared" si="12"/>
        <v>246</v>
      </c>
      <c r="J120" s="32"/>
      <c r="L120" s="3" t="s">
        <v>244</v>
      </c>
      <c r="M120" s="3">
        <v>3536</v>
      </c>
      <c r="N120" s="3">
        <f t="shared" si="13"/>
        <v>442</v>
      </c>
    </row>
    <row r="121" spans="1:14" ht="15">
      <c r="A121" s="3">
        <v>5</v>
      </c>
      <c r="B121" s="31"/>
      <c r="C121" s="30"/>
      <c r="D121" s="119"/>
      <c r="E121" s="32"/>
      <c r="G121" s="31">
        <v>79</v>
      </c>
      <c r="H121" s="30" t="str">
        <f t="shared" si="11"/>
        <v>10101111</v>
      </c>
      <c r="I121" s="74">
        <f t="shared" si="12"/>
        <v>175</v>
      </c>
      <c r="J121" s="32"/>
      <c r="L121" s="3" t="s">
        <v>245</v>
      </c>
      <c r="M121" s="3">
        <v>8752</v>
      </c>
      <c r="N121" s="3">
        <f t="shared" si="13"/>
        <v>1094</v>
      </c>
    </row>
    <row r="122" spans="1:14" ht="15">
      <c r="A122" s="3">
        <v>8</v>
      </c>
      <c r="B122" s="31"/>
      <c r="C122" s="30"/>
      <c r="D122" s="119"/>
      <c r="E122" s="32"/>
      <c r="G122" s="31">
        <v>80</v>
      </c>
      <c r="H122" s="30" t="str">
        <f t="shared" si="11"/>
        <v>10100101</v>
      </c>
      <c r="I122" s="74">
        <f t="shared" si="12"/>
        <v>165</v>
      </c>
      <c r="J122" s="32"/>
      <c r="L122" s="3" t="s">
        <v>246</v>
      </c>
      <c r="M122" s="3">
        <v>6880</v>
      </c>
      <c r="N122" s="3">
        <f t="shared" si="13"/>
        <v>860</v>
      </c>
    </row>
    <row r="123" spans="1:14" ht="15">
      <c r="A123" s="3">
        <v>5</v>
      </c>
      <c r="B123" s="31"/>
      <c r="C123" s="30"/>
      <c r="D123" s="119"/>
      <c r="E123" s="32"/>
      <c r="G123" s="31">
        <v>81</v>
      </c>
      <c r="H123" s="30" t="str">
        <f t="shared" si="11"/>
        <v>01100110</v>
      </c>
      <c r="I123" s="74">
        <f t="shared" si="12"/>
        <v>102</v>
      </c>
      <c r="J123" s="32"/>
      <c r="L123" s="3" t="s">
        <v>247</v>
      </c>
      <c r="M123" s="3">
        <v>4912</v>
      </c>
      <c r="N123" s="3">
        <f t="shared" si="13"/>
        <v>614</v>
      </c>
    </row>
    <row r="124" spans="1:14" ht="15">
      <c r="A124" s="3">
        <v>8</v>
      </c>
      <c r="B124" s="31"/>
      <c r="C124" s="30"/>
      <c r="D124" s="119"/>
      <c r="E124" s="32"/>
      <c r="G124" s="31">
        <v>82</v>
      </c>
      <c r="H124" s="30" t="str">
        <f t="shared" si="11"/>
        <v>00111010</v>
      </c>
      <c r="I124" s="74">
        <f t="shared" si="12"/>
        <v>58</v>
      </c>
      <c r="J124" s="32"/>
      <c r="L124" s="3" t="s">
        <v>248</v>
      </c>
      <c r="M124" s="3">
        <v>3712</v>
      </c>
      <c r="N124" s="3">
        <f t="shared" si="13"/>
        <v>464</v>
      </c>
    </row>
    <row r="125" spans="1:14" ht="15">
      <c r="A125" s="3">
        <v>5</v>
      </c>
      <c r="B125" s="31"/>
      <c r="C125" s="30"/>
      <c r="D125" s="119"/>
      <c r="E125" s="32"/>
      <c r="G125" s="31">
        <v>83</v>
      </c>
      <c r="H125" s="30" t="str">
        <f t="shared" si="11"/>
        <v>00001000</v>
      </c>
      <c r="I125" s="74">
        <f t="shared" si="12"/>
        <v>8</v>
      </c>
      <c r="J125" s="32"/>
      <c r="L125" s="3" t="s">
        <v>249</v>
      </c>
      <c r="M125" s="3">
        <v>9392</v>
      </c>
      <c r="N125" s="3">
        <f t="shared" si="13"/>
        <v>1174</v>
      </c>
    </row>
    <row r="126" spans="1:14" ht="15">
      <c r="A126" s="3">
        <v>8</v>
      </c>
      <c r="B126" s="31"/>
      <c r="C126" s="30"/>
      <c r="D126" s="119"/>
      <c r="E126" s="32"/>
      <c r="G126" s="31">
        <v>84</v>
      </c>
      <c r="H126" s="30" t="str">
        <f t="shared" si="11"/>
        <v>00011001</v>
      </c>
      <c r="I126" s="74">
        <f t="shared" si="12"/>
        <v>25</v>
      </c>
      <c r="J126" s="32"/>
      <c r="L126" s="3" t="s">
        <v>250</v>
      </c>
      <c r="M126" s="3">
        <v>7312</v>
      </c>
      <c r="N126" s="3">
        <f t="shared" si="13"/>
        <v>914</v>
      </c>
    </row>
    <row r="127" spans="1:14" ht="15">
      <c r="A127" s="3">
        <v>5</v>
      </c>
      <c r="B127" s="31"/>
      <c r="C127" s="30"/>
      <c r="D127" s="119"/>
      <c r="E127" s="32"/>
      <c r="G127" s="31">
        <v>85</v>
      </c>
      <c r="H127" s="30" t="str">
        <f t="shared" si="11"/>
        <v>01110010</v>
      </c>
      <c r="I127" s="74">
        <f t="shared" si="12"/>
        <v>114</v>
      </c>
      <c r="J127" s="32"/>
      <c r="L127" s="3" t="s">
        <v>251</v>
      </c>
      <c r="M127" s="3">
        <v>5312</v>
      </c>
      <c r="N127" s="3">
        <f t="shared" si="13"/>
        <v>664</v>
      </c>
    </row>
    <row r="128" spans="1:14" ht="15">
      <c r="A128" s="3">
        <v>8</v>
      </c>
      <c r="B128" s="31"/>
      <c r="C128" s="30"/>
      <c r="D128" s="119"/>
      <c r="E128" s="32"/>
      <c r="G128" s="31">
        <v>86</v>
      </c>
      <c r="H128" s="30" t="str">
        <f t="shared" si="11"/>
        <v>10101101</v>
      </c>
      <c r="I128" s="74">
        <f t="shared" si="12"/>
        <v>173</v>
      </c>
      <c r="J128" s="32"/>
      <c r="L128" s="3" t="s">
        <v>252</v>
      </c>
      <c r="M128" s="3">
        <v>4112</v>
      </c>
      <c r="N128" s="3">
        <f t="shared" si="13"/>
        <v>514</v>
      </c>
    </row>
    <row r="129" spans="1:14" ht="15">
      <c r="A129" s="3">
        <v>5</v>
      </c>
      <c r="B129" s="31"/>
      <c r="C129" s="30"/>
      <c r="D129" s="119"/>
      <c r="E129" s="32"/>
      <c r="G129" s="31">
        <v>87</v>
      </c>
      <c r="H129" s="30" t="str">
        <f t="shared" si="11"/>
        <v>00011110</v>
      </c>
      <c r="I129" s="74">
        <f t="shared" si="12"/>
        <v>30</v>
      </c>
      <c r="J129" s="32"/>
      <c r="L129" s="3" t="s">
        <v>102</v>
      </c>
      <c r="M129" s="3">
        <v>10208</v>
      </c>
      <c r="N129" s="3">
        <f t="shared" ref="N129:N148" si="14">M129/8</f>
        <v>1276</v>
      </c>
    </row>
    <row r="130" spans="1:14" ht="15">
      <c r="A130" s="3">
        <v>8</v>
      </c>
      <c r="B130" s="31"/>
      <c r="C130" s="30"/>
      <c r="D130" s="119"/>
      <c r="E130" s="32"/>
      <c r="G130" s="31">
        <v>88</v>
      </c>
      <c r="H130" s="30" t="str">
        <f t="shared" si="11"/>
        <v>01101001</v>
      </c>
      <c r="I130" s="74">
        <f t="shared" si="12"/>
        <v>105</v>
      </c>
      <c r="J130" s="32"/>
      <c r="L130" s="3" t="s">
        <v>103</v>
      </c>
      <c r="M130" s="3">
        <v>8000</v>
      </c>
      <c r="N130" s="3">
        <f t="shared" si="14"/>
        <v>1000</v>
      </c>
    </row>
    <row r="131" spans="1:14" ht="15">
      <c r="A131" s="3">
        <v>5</v>
      </c>
      <c r="B131" s="31"/>
      <c r="C131" s="30"/>
      <c r="D131" s="119"/>
      <c r="E131" s="32"/>
      <c r="G131" s="31">
        <v>89</v>
      </c>
      <c r="H131" s="30" t="str">
        <f t="shared" si="11"/>
        <v>11110111</v>
      </c>
      <c r="I131" s="74">
        <f t="shared" si="12"/>
        <v>247</v>
      </c>
      <c r="J131" s="32"/>
      <c r="L131" s="3" t="s">
        <v>104</v>
      </c>
      <c r="M131" s="3">
        <v>5744</v>
      </c>
      <c r="N131" s="3">
        <f t="shared" si="14"/>
        <v>718</v>
      </c>
    </row>
    <row r="132" spans="1:14" ht="15">
      <c r="A132" s="3">
        <v>8</v>
      </c>
      <c r="B132" s="31"/>
      <c r="C132" s="30"/>
      <c r="D132" s="119"/>
      <c r="E132" s="32"/>
      <c r="G132" s="31">
        <v>90</v>
      </c>
      <c r="H132" s="30" t="str">
        <f t="shared" si="11"/>
        <v>01001100</v>
      </c>
      <c r="I132" s="74">
        <f t="shared" si="12"/>
        <v>76</v>
      </c>
      <c r="J132" s="32"/>
      <c r="L132" s="3" t="s">
        <v>105</v>
      </c>
      <c r="M132" s="3">
        <v>4304</v>
      </c>
      <c r="N132" s="3">
        <f t="shared" si="14"/>
        <v>538</v>
      </c>
    </row>
    <row r="133" spans="1:14" ht="15">
      <c r="A133" s="3">
        <v>5</v>
      </c>
      <c r="B133" s="31"/>
      <c r="C133" s="30"/>
      <c r="D133" s="119"/>
      <c r="E133" s="32"/>
      <c r="G133" s="31">
        <v>91</v>
      </c>
      <c r="H133" s="30" t="str">
        <f t="shared" si="11"/>
        <v>00010100</v>
      </c>
      <c r="I133" s="74">
        <f t="shared" si="12"/>
        <v>20</v>
      </c>
      <c r="J133" s="32"/>
      <c r="L133" s="3" t="s">
        <v>253</v>
      </c>
      <c r="M133" s="3">
        <v>10960</v>
      </c>
      <c r="N133" s="3">
        <f t="shared" si="14"/>
        <v>1370</v>
      </c>
    </row>
    <row r="134" spans="1:14" ht="15">
      <c r="A134" s="3">
        <v>8</v>
      </c>
      <c r="B134" s="31"/>
      <c r="C134" s="30"/>
      <c r="D134" s="119"/>
      <c r="E134" s="32"/>
      <c r="G134" s="31">
        <v>92</v>
      </c>
      <c r="H134" s="30" t="str">
        <f t="shared" si="11"/>
        <v>11111110</v>
      </c>
      <c r="I134" s="74">
        <f t="shared" si="12"/>
        <v>254</v>
      </c>
      <c r="J134" s="32"/>
      <c r="L134" s="3" t="s">
        <v>254</v>
      </c>
      <c r="M134" s="3">
        <v>8496</v>
      </c>
      <c r="N134" s="3">
        <f t="shared" si="14"/>
        <v>1062</v>
      </c>
    </row>
    <row r="135" spans="1:14" ht="15">
      <c r="A135" s="3">
        <v>5</v>
      </c>
      <c r="B135" s="31"/>
      <c r="C135" s="30"/>
      <c r="D135" s="119"/>
      <c r="E135" s="32"/>
      <c r="G135" s="31">
        <v>93</v>
      </c>
      <c r="H135" s="30" t="str">
        <f t="shared" si="11"/>
        <v>11110010</v>
      </c>
      <c r="I135" s="74">
        <f t="shared" si="12"/>
        <v>242</v>
      </c>
      <c r="J135" s="32"/>
      <c r="L135" s="3" t="s">
        <v>255</v>
      </c>
      <c r="M135" s="3">
        <v>6032</v>
      </c>
      <c r="N135" s="3">
        <f t="shared" si="14"/>
        <v>754</v>
      </c>
    </row>
    <row r="136" spans="1:14" ht="15">
      <c r="A136" s="3">
        <v>8</v>
      </c>
      <c r="B136" s="31"/>
      <c r="C136" s="30"/>
      <c r="D136" s="119"/>
      <c r="E136" s="32"/>
      <c r="G136" s="31">
        <v>94</v>
      </c>
      <c r="H136" s="30" t="str">
        <f t="shared" si="11"/>
        <v>01001101</v>
      </c>
      <c r="I136" s="74">
        <f t="shared" si="12"/>
        <v>77</v>
      </c>
      <c r="J136" s="32"/>
      <c r="L136" s="3" t="s">
        <v>256</v>
      </c>
      <c r="M136" s="3">
        <v>4768</v>
      </c>
      <c r="N136" s="3">
        <f t="shared" si="14"/>
        <v>596</v>
      </c>
    </row>
    <row r="137" spans="1:14" ht="15">
      <c r="A137" s="3">
        <v>5</v>
      </c>
      <c r="B137" s="31"/>
      <c r="C137" s="30"/>
      <c r="D137" s="119"/>
      <c r="E137" s="32"/>
      <c r="G137" s="31">
        <v>95</v>
      </c>
      <c r="H137" s="30" t="str">
        <f t="shared" si="11"/>
        <v>01001010</v>
      </c>
      <c r="I137" s="74">
        <f t="shared" si="12"/>
        <v>74</v>
      </c>
      <c r="J137" s="32"/>
      <c r="L137" s="3" t="s">
        <v>257</v>
      </c>
      <c r="M137" s="3">
        <v>11744</v>
      </c>
      <c r="N137" s="3">
        <f t="shared" si="14"/>
        <v>1468</v>
      </c>
    </row>
    <row r="138" spans="1:14" ht="15">
      <c r="A138" s="3">
        <v>8</v>
      </c>
      <c r="B138" s="31"/>
      <c r="C138" s="30"/>
      <c r="D138" s="119"/>
      <c r="E138" s="32"/>
      <c r="G138" s="31">
        <v>96</v>
      </c>
      <c r="H138" s="30" t="str">
        <f t="shared" si="11"/>
        <v>10001000</v>
      </c>
      <c r="I138" s="74">
        <f t="shared" si="12"/>
        <v>136</v>
      </c>
      <c r="J138" s="32"/>
      <c r="L138" s="3" t="s">
        <v>258</v>
      </c>
      <c r="M138" s="3">
        <v>9024</v>
      </c>
      <c r="N138" s="3">
        <f t="shared" si="14"/>
        <v>1128</v>
      </c>
    </row>
    <row r="139" spans="1:14" ht="15">
      <c r="A139" s="3">
        <v>5</v>
      </c>
      <c r="B139" s="31"/>
      <c r="C139" s="30"/>
      <c r="D139" s="119"/>
      <c r="E139" s="32"/>
      <c r="G139" s="31">
        <v>97</v>
      </c>
      <c r="H139" s="30" t="str">
        <f t="shared" si="11"/>
        <v>00011001</v>
      </c>
      <c r="I139" s="74">
        <f t="shared" si="12"/>
        <v>25</v>
      </c>
      <c r="J139" s="32"/>
      <c r="L139" s="3" t="s">
        <v>259</v>
      </c>
      <c r="M139" s="3">
        <v>6464</v>
      </c>
      <c r="N139" s="3">
        <f t="shared" si="14"/>
        <v>808</v>
      </c>
    </row>
    <row r="140" spans="1:14" ht="15">
      <c r="A140" s="3">
        <v>8</v>
      </c>
      <c r="B140" s="31"/>
      <c r="C140" s="30"/>
      <c r="D140" s="119"/>
      <c r="E140" s="32"/>
      <c r="G140" s="31">
        <v>98</v>
      </c>
      <c r="H140" s="30" t="str">
        <f t="shared" si="11"/>
        <v>01101010</v>
      </c>
      <c r="I140" s="74">
        <f t="shared" si="12"/>
        <v>106</v>
      </c>
      <c r="J140" s="32"/>
      <c r="L140" s="3" t="s">
        <v>260</v>
      </c>
      <c r="M140" s="3">
        <v>5024</v>
      </c>
      <c r="N140" s="3">
        <f t="shared" si="14"/>
        <v>628</v>
      </c>
    </row>
    <row r="141" spans="1:14" ht="15">
      <c r="A141" s="3">
        <v>5</v>
      </c>
      <c r="B141" s="31"/>
      <c r="C141" s="30"/>
      <c r="D141" s="119"/>
      <c r="E141" s="32"/>
      <c r="G141" s="31">
        <v>99</v>
      </c>
      <c r="H141" s="30" t="str">
        <f t="shared" si="11"/>
        <v>10101011</v>
      </c>
      <c r="I141" s="74">
        <f t="shared" si="12"/>
        <v>171</v>
      </c>
      <c r="J141" s="32"/>
      <c r="L141" s="3" t="s">
        <v>261</v>
      </c>
      <c r="M141" s="3">
        <v>12248</v>
      </c>
      <c r="N141" s="3">
        <f t="shared" si="14"/>
        <v>1531</v>
      </c>
    </row>
    <row r="142" spans="1:14" ht="15">
      <c r="A142" s="3">
        <v>8</v>
      </c>
      <c r="B142" s="31"/>
      <c r="C142" s="30"/>
      <c r="D142" s="119"/>
      <c r="E142" s="32"/>
      <c r="G142" s="31">
        <v>100</v>
      </c>
      <c r="H142" s="30" t="str">
        <f t="shared" si="11"/>
        <v>10000011</v>
      </c>
      <c r="I142" s="74">
        <f t="shared" si="12"/>
        <v>131</v>
      </c>
      <c r="J142" s="32"/>
      <c r="L142" s="3" t="s">
        <v>262</v>
      </c>
      <c r="M142" s="3">
        <v>9544</v>
      </c>
      <c r="N142" s="3">
        <f t="shared" si="14"/>
        <v>1193</v>
      </c>
    </row>
    <row r="143" spans="1:14" ht="15">
      <c r="A143" s="3">
        <v>5</v>
      </c>
      <c r="B143" s="31"/>
      <c r="C143" s="30"/>
      <c r="D143" s="119"/>
      <c r="E143" s="32"/>
      <c r="G143" s="31">
        <v>101</v>
      </c>
      <c r="H143" s="30" t="str">
        <f t="shared" si="11"/>
        <v>01101100</v>
      </c>
      <c r="I143" s="74">
        <f t="shared" si="12"/>
        <v>108</v>
      </c>
      <c r="J143" s="32"/>
      <c r="L143" s="3" t="s">
        <v>263</v>
      </c>
      <c r="M143" s="3">
        <v>6968</v>
      </c>
      <c r="N143" s="3">
        <f t="shared" si="14"/>
        <v>871</v>
      </c>
    </row>
    <row r="144" spans="1:14" ht="15">
      <c r="A144" s="3">
        <v>8</v>
      </c>
      <c r="B144" s="31"/>
      <c r="C144" s="30"/>
      <c r="D144" s="119"/>
      <c r="E144" s="32"/>
      <c r="G144" s="31">
        <v>102</v>
      </c>
      <c r="H144" s="30" t="str">
        <f t="shared" si="11"/>
        <v>00110101</v>
      </c>
      <c r="I144" s="74">
        <f t="shared" si="12"/>
        <v>53</v>
      </c>
      <c r="J144" s="32"/>
      <c r="L144" s="3" t="s">
        <v>264</v>
      </c>
      <c r="M144" s="3">
        <v>5288</v>
      </c>
      <c r="N144" s="3">
        <f t="shared" si="14"/>
        <v>661</v>
      </c>
    </row>
    <row r="145" spans="1:14" ht="15">
      <c r="A145" s="3">
        <v>5</v>
      </c>
      <c r="B145" s="31"/>
      <c r="C145" s="30"/>
      <c r="D145" s="119"/>
      <c r="E145" s="32"/>
      <c r="G145" s="31">
        <v>103</v>
      </c>
      <c r="H145" s="30" t="str">
        <f t="shared" si="11"/>
        <v>00010100</v>
      </c>
      <c r="I145" s="74">
        <f t="shared" si="12"/>
        <v>20</v>
      </c>
      <c r="J145" s="32"/>
      <c r="L145" s="3" t="s">
        <v>265</v>
      </c>
      <c r="M145" s="3">
        <v>13048</v>
      </c>
      <c r="N145" s="3">
        <f t="shared" si="14"/>
        <v>1631</v>
      </c>
    </row>
    <row r="146" spans="1:14" ht="15">
      <c r="A146" s="3">
        <v>8</v>
      </c>
      <c r="B146" s="31"/>
      <c r="C146" s="30"/>
      <c r="D146" s="119"/>
      <c r="E146" s="32"/>
      <c r="G146" s="31">
        <v>104</v>
      </c>
      <c r="H146" s="30" t="str">
        <f t="shared" si="11"/>
        <v>00011100</v>
      </c>
      <c r="I146" s="74">
        <f t="shared" si="12"/>
        <v>28</v>
      </c>
      <c r="J146" s="32"/>
      <c r="L146" s="3" t="s">
        <v>266</v>
      </c>
      <c r="M146" s="3">
        <v>10136</v>
      </c>
      <c r="N146" s="3">
        <f t="shared" si="14"/>
        <v>1267</v>
      </c>
    </row>
    <row r="147" spans="1:14" ht="15">
      <c r="A147" s="3">
        <v>5</v>
      </c>
      <c r="B147" s="31"/>
      <c r="C147" s="30"/>
      <c r="D147" s="119"/>
      <c r="E147" s="32"/>
      <c r="G147" s="31">
        <v>105</v>
      </c>
      <c r="H147" s="30" t="str">
        <f t="shared" si="11"/>
        <v>00111111</v>
      </c>
      <c r="I147" s="74">
        <f t="shared" si="12"/>
        <v>63</v>
      </c>
      <c r="J147" s="32"/>
      <c r="L147" s="3" t="s">
        <v>267</v>
      </c>
      <c r="M147" s="3">
        <v>7288</v>
      </c>
      <c r="N147" s="3">
        <f t="shared" si="14"/>
        <v>911</v>
      </c>
    </row>
    <row r="148" spans="1:14" ht="15">
      <c r="A148" s="3">
        <v>8</v>
      </c>
      <c r="B148" s="31"/>
      <c r="C148" s="30"/>
      <c r="D148" s="119"/>
      <c r="E148" s="32"/>
      <c r="G148" s="31">
        <v>106</v>
      </c>
      <c r="H148" s="30" t="str">
        <f t="shared" si="11"/>
        <v>01100110</v>
      </c>
      <c r="I148" s="74">
        <f t="shared" si="12"/>
        <v>102</v>
      </c>
      <c r="J148" s="32"/>
      <c r="L148" s="3" t="s">
        <v>268</v>
      </c>
      <c r="M148" s="3">
        <v>5608</v>
      </c>
      <c r="N148" s="3">
        <f t="shared" si="14"/>
        <v>701</v>
      </c>
    </row>
    <row r="149" spans="1:14" ht="15">
      <c r="A149" s="3">
        <v>5</v>
      </c>
      <c r="B149" s="31"/>
      <c r="C149" s="30"/>
      <c r="D149" s="119"/>
      <c r="E149" s="32"/>
      <c r="G149" s="31">
        <v>107</v>
      </c>
      <c r="H149" s="30" t="str">
        <f t="shared" si="11"/>
        <v>10011001</v>
      </c>
      <c r="I149" s="74">
        <f t="shared" si="12"/>
        <v>153</v>
      </c>
      <c r="J149" s="32"/>
      <c r="L149" s="3" t="s">
        <v>106</v>
      </c>
      <c r="M149" s="3">
        <v>13880</v>
      </c>
      <c r="N149" s="3">
        <f t="shared" ref="N149:N168" si="15">M149/8</f>
        <v>1735</v>
      </c>
    </row>
    <row r="150" spans="1:14" ht="15">
      <c r="A150" s="3">
        <v>8</v>
      </c>
      <c r="B150" s="31"/>
      <c r="C150" s="30"/>
      <c r="D150" s="119"/>
      <c r="E150" s="32"/>
      <c r="G150" s="31">
        <v>108</v>
      </c>
      <c r="H150" s="30" t="str">
        <f t="shared" si="11"/>
        <v>00010111</v>
      </c>
      <c r="I150" s="74">
        <f t="shared" si="12"/>
        <v>23</v>
      </c>
      <c r="J150" s="32"/>
      <c r="L150" s="3" t="s">
        <v>107</v>
      </c>
      <c r="M150" s="3">
        <v>10984</v>
      </c>
      <c r="N150" s="3">
        <f t="shared" si="15"/>
        <v>1373</v>
      </c>
    </row>
    <row r="151" spans="1:14" ht="15">
      <c r="A151" s="3">
        <v>5</v>
      </c>
      <c r="B151" s="31"/>
      <c r="C151" s="30"/>
      <c r="D151" s="119"/>
      <c r="E151" s="32"/>
      <c r="G151" s="31">
        <v>109</v>
      </c>
      <c r="H151" s="30" t="str">
        <f t="shared" si="11"/>
        <v>00101101</v>
      </c>
      <c r="I151" s="74">
        <f t="shared" si="12"/>
        <v>45</v>
      </c>
      <c r="J151" s="32"/>
      <c r="L151" s="3" t="s">
        <v>108</v>
      </c>
      <c r="M151" s="3">
        <v>7880</v>
      </c>
      <c r="N151" s="3">
        <f t="shared" si="15"/>
        <v>985</v>
      </c>
    </row>
    <row r="152" spans="1:14" ht="15">
      <c r="A152" s="3">
        <v>8</v>
      </c>
      <c r="B152" s="31"/>
      <c r="C152" s="30"/>
      <c r="D152" s="119"/>
      <c r="E152" s="32"/>
      <c r="G152" s="31">
        <v>110</v>
      </c>
      <c r="H152" s="30" t="str">
        <f t="shared" si="11"/>
        <v>00000000</v>
      </c>
      <c r="I152" s="74">
        <f t="shared" si="12"/>
        <v>0</v>
      </c>
      <c r="J152" s="32"/>
      <c r="L152" s="3" t="s">
        <v>109</v>
      </c>
      <c r="M152" s="3">
        <v>5960</v>
      </c>
      <c r="N152" s="3">
        <f t="shared" si="15"/>
        <v>745</v>
      </c>
    </row>
    <row r="153" spans="1:14" ht="15">
      <c r="A153" s="3">
        <v>5</v>
      </c>
      <c r="B153" s="31"/>
      <c r="C153" s="30"/>
      <c r="D153" s="119"/>
      <c r="E153" s="32"/>
      <c r="G153" s="31">
        <v>111</v>
      </c>
      <c r="H153" s="30" t="str">
        <f t="shared" si="11"/>
        <v>00000000</v>
      </c>
      <c r="I153" s="74">
        <f t="shared" si="12"/>
        <v>0</v>
      </c>
      <c r="J153" s="32"/>
      <c r="L153" s="3" t="s">
        <v>269</v>
      </c>
      <c r="M153" s="3">
        <v>14744</v>
      </c>
      <c r="N153" s="3">
        <f t="shared" si="15"/>
        <v>1843</v>
      </c>
    </row>
    <row r="154" spans="1:14" ht="15">
      <c r="A154" s="3">
        <v>8</v>
      </c>
      <c r="B154" s="31"/>
      <c r="C154" s="30"/>
      <c r="D154" s="119"/>
      <c r="E154" s="32"/>
      <c r="G154" s="31">
        <v>112</v>
      </c>
      <c r="H154" s="30" t="str">
        <f t="shared" si="11"/>
        <v>01000010</v>
      </c>
      <c r="I154" s="74">
        <f t="shared" si="12"/>
        <v>66</v>
      </c>
      <c r="J154" s="32"/>
      <c r="L154" s="3" t="s">
        <v>270</v>
      </c>
      <c r="M154" s="3">
        <v>11640</v>
      </c>
      <c r="N154" s="3">
        <f t="shared" si="15"/>
        <v>1455</v>
      </c>
    </row>
    <row r="155" spans="1:14" ht="15">
      <c r="A155" s="3">
        <v>5</v>
      </c>
      <c r="B155" s="31"/>
      <c r="C155" s="30"/>
      <c r="D155" s="119"/>
      <c r="E155" s="32"/>
      <c r="G155" s="31">
        <v>113</v>
      </c>
      <c r="H155" s="30" t="str">
        <f t="shared" si="11"/>
        <v>10110100</v>
      </c>
      <c r="I155" s="74">
        <f t="shared" si="12"/>
        <v>180</v>
      </c>
      <c r="J155" s="32"/>
      <c r="L155" s="3" t="s">
        <v>271</v>
      </c>
      <c r="M155" s="3">
        <v>8264</v>
      </c>
      <c r="N155" s="3">
        <f t="shared" si="15"/>
        <v>1033</v>
      </c>
    </row>
    <row r="156" spans="1:14" ht="15">
      <c r="A156" s="3">
        <v>8</v>
      </c>
      <c r="B156" s="31"/>
      <c r="C156" s="30"/>
      <c r="D156" s="119"/>
      <c r="E156" s="32"/>
      <c r="G156" s="31">
        <v>114</v>
      </c>
      <c r="H156" s="30" t="str">
        <f t="shared" si="11"/>
        <v>01000001</v>
      </c>
      <c r="I156" s="74">
        <f t="shared" si="12"/>
        <v>65</v>
      </c>
      <c r="J156" s="32"/>
      <c r="L156" s="3" t="s">
        <v>272</v>
      </c>
      <c r="M156" s="3">
        <v>6344</v>
      </c>
      <c r="N156" s="3">
        <f t="shared" si="15"/>
        <v>793</v>
      </c>
    </row>
    <row r="157" spans="1:14" ht="15">
      <c r="A157" s="3">
        <v>5</v>
      </c>
      <c r="B157" s="31"/>
      <c r="C157" s="30"/>
      <c r="D157" s="119"/>
      <c r="E157" s="32"/>
      <c r="G157" s="31">
        <v>115</v>
      </c>
      <c r="H157" s="30" t="str">
        <f t="shared" si="11"/>
        <v>11110110</v>
      </c>
      <c r="I157" s="74">
        <f t="shared" si="12"/>
        <v>246</v>
      </c>
      <c r="J157" s="32"/>
      <c r="L157" s="3" t="s">
        <v>273</v>
      </c>
      <c r="M157" s="3">
        <v>15640</v>
      </c>
      <c r="N157" s="3">
        <f t="shared" si="15"/>
        <v>1955</v>
      </c>
    </row>
    <row r="158" spans="1:14" ht="15">
      <c r="A158" s="3">
        <v>8</v>
      </c>
      <c r="B158" s="31"/>
      <c r="C158" s="30"/>
      <c r="D158" s="119"/>
      <c r="E158" s="32"/>
      <c r="G158" s="31">
        <v>116</v>
      </c>
      <c r="H158" s="30" t="str">
        <f t="shared" si="11"/>
        <v>11000110</v>
      </c>
      <c r="I158" s="74">
        <f t="shared" si="12"/>
        <v>198</v>
      </c>
      <c r="J158" s="32"/>
      <c r="L158" s="3" t="s">
        <v>274</v>
      </c>
      <c r="M158" s="3">
        <v>12328</v>
      </c>
      <c r="N158" s="3">
        <f t="shared" si="15"/>
        <v>1541</v>
      </c>
    </row>
    <row r="159" spans="1:14" ht="15">
      <c r="A159" s="3">
        <v>5</v>
      </c>
      <c r="B159" s="31"/>
      <c r="C159" s="30"/>
      <c r="D159" s="119"/>
      <c r="E159" s="32"/>
      <c r="G159" s="31">
        <v>117</v>
      </c>
      <c r="H159" s="30" t="str">
        <f t="shared" si="11"/>
        <v>10001111</v>
      </c>
      <c r="I159" s="74">
        <f t="shared" si="12"/>
        <v>143</v>
      </c>
      <c r="J159" s="32"/>
      <c r="L159" s="3" t="s">
        <v>275</v>
      </c>
      <c r="M159" s="3">
        <v>8920</v>
      </c>
      <c r="N159" s="3">
        <f t="shared" si="15"/>
        <v>1115</v>
      </c>
    </row>
    <row r="160" spans="1:14" ht="15">
      <c r="A160" s="3">
        <v>8</v>
      </c>
      <c r="B160" s="31"/>
      <c r="C160" s="30"/>
      <c r="D160" s="119"/>
      <c r="E160" s="32"/>
      <c r="G160" s="31">
        <v>118</v>
      </c>
      <c r="H160" s="30" t="str">
        <f t="shared" si="11"/>
        <v>10101001</v>
      </c>
      <c r="I160" s="74">
        <f t="shared" si="12"/>
        <v>169</v>
      </c>
      <c r="J160" s="32"/>
      <c r="L160" s="3" t="s">
        <v>276</v>
      </c>
      <c r="M160" s="3">
        <v>6760</v>
      </c>
      <c r="N160" s="3">
        <f t="shared" si="15"/>
        <v>845</v>
      </c>
    </row>
    <row r="161" spans="1:14" ht="15">
      <c r="A161" s="3">
        <v>5</v>
      </c>
      <c r="B161" s="31"/>
      <c r="C161" s="30"/>
      <c r="D161" s="119"/>
      <c r="E161" s="32"/>
      <c r="G161" s="31">
        <v>119</v>
      </c>
      <c r="H161" s="30" t="str">
        <f t="shared" si="11"/>
        <v>11111100</v>
      </c>
      <c r="I161" s="74">
        <f t="shared" si="12"/>
        <v>252</v>
      </c>
      <c r="J161" s="32"/>
      <c r="L161" s="3" t="s">
        <v>277</v>
      </c>
      <c r="M161" s="3">
        <v>16568</v>
      </c>
      <c r="N161" s="3">
        <f t="shared" si="15"/>
        <v>2071</v>
      </c>
    </row>
    <row r="162" spans="1:14" ht="15">
      <c r="A162" s="3">
        <v>8</v>
      </c>
      <c r="B162" s="31"/>
      <c r="C162" s="30"/>
      <c r="D162" s="119"/>
      <c r="E162" s="32"/>
      <c r="G162" s="31">
        <v>120</v>
      </c>
      <c r="H162" s="30" t="str">
        <f t="shared" si="11"/>
        <v>00101011</v>
      </c>
      <c r="I162" s="74">
        <f t="shared" si="12"/>
        <v>43</v>
      </c>
      <c r="J162" s="32"/>
      <c r="L162" s="3" t="s">
        <v>278</v>
      </c>
      <c r="M162" s="3">
        <v>13048</v>
      </c>
      <c r="N162" s="3">
        <f t="shared" si="15"/>
        <v>1631</v>
      </c>
    </row>
    <row r="163" spans="1:14" ht="15">
      <c r="A163" s="3">
        <v>5</v>
      </c>
      <c r="B163" s="31"/>
      <c r="C163" s="30"/>
      <c r="D163" s="119"/>
      <c r="E163" s="32"/>
      <c r="G163" s="31">
        <v>121</v>
      </c>
      <c r="H163" s="30" t="str">
        <f t="shared" si="11"/>
        <v>10001110</v>
      </c>
      <c r="I163" s="74">
        <f t="shared" si="12"/>
        <v>142</v>
      </c>
      <c r="J163" s="32"/>
      <c r="L163" s="3" t="s">
        <v>279</v>
      </c>
      <c r="M163" s="3">
        <v>9368</v>
      </c>
      <c r="N163" s="3">
        <f t="shared" si="15"/>
        <v>1171</v>
      </c>
    </row>
    <row r="164" spans="1:14" ht="15">
      <c r="A164" s="3">
        <v>8</v>
      </c>
      <c r="B164" s="31"/>
      <c r="C164" s="30"/>
      <c r="D164" s="119"/>
      <c r="E164" s="32"/>
      <c r="G164" s="31">
        <v>122</v>
      </c>
      <c r="H164" s="30" t="str">
        <f t="shared" si="11"/>
        <v>00011111</v>
      </c>
      <c r="I164" s="74">
        <f t="shared" si="12"/>
        <v>31</v>
      </c>
      <c r="J164" s="32"/>
      <c r="L164" s="3" t="s">
        <v>280</v>
      </c>
      <c r="M164" s="3">
        <v>7208</v>
      </c>
      <c r="N164" s="3">
        <f t="shared" si="15"/>
        <v>901</v>
      </c>
    </row>
    <row r="165" spans="1:14" ht="15">
      <c r="A165" s="3">
        <v>5</v>
      </c>
      <c r="B165" s="31"/>
      <c r="C165" s="30"/>
      <c r="D165" s="119"/>
      <c r="E165" s="32"/>
      <c r="G165" s="31">
        <v>123</v>
      </c>
      <c r="H165" s="30" t="str">
        <f t="shared" si="11"/>
        <v>01010011</v>
      </c>
      <c r="I165" s="74">
        <f t="shared" si="12"/>
        <v>83</v>
      </c>
      <c r="J165" s="32"/>
      <c r="L165" s="3" t="s">
        <v>281</v>
      </c>
      <c r="M165" s="3">
        <v>17528</v>
      </c>
      <c r="N165" s="3">
        <f t="shared" si="15"/>
        <v>2191</v>
      </c>
    </row>
    <row r="166" spans="1:14" ht="15">
      <c r="A166" s="3">
        <v>8</v>
      </c>
      <c r="B166" s="31"/>
      <c r="C166" s="30"/>
      <c r="D166" s="119"/>
      <c r="E166" s="32"/>
      <c r="G166" s="31">
        <v>124</v>
      </c>
      <c r="H166" s="30" t="str">
        <f t="shared" si="11"/>
        <v>01100011</v>
      </c>
      <c r="I166" s="74">
        <f t="shared" si="12"/>
        <v>99</v>
      </c>
      <c r="J166" s="32"/>
      <c r="L166" s="3" t="s">
        <v>282</v>
      </c>
      <c r="M166" s="3">
        <v>13800</v>
      </c>
      <c r="N166" s="3">
        <f t="shared" si="15"/>
        <v>1725</v>
      </c>
    </row>
    <row r="167" spans="1:14" ht="15">
      <c r="A167" s="3">
        <v>5</v>
      </c>
      <c r="B167" s="31"/>
      <c r="C167" s="30"/>
      <c r="D167" s="119"/>
      <c r="E167" s="32"/>
      <c r="G167" s="31">
        <v>125</v>
      </c>
      <c r="H167" s="30" t="str">
        <f t="shared" si="11"/>
        <v>01010011</v>
      </c>
      <c r="I167" s="74">
        <f t="shared" si="12"/>
        <v>83</v>
      </c>
      <c r="J167" s="32"/>
      <c r="L167" s="3" t="s">
        <v>283</v>
      </c>
      <c r="M167" s="3">
        <v>9848</v>
      </c>
      <c r="N167" s="3">
        <f t="shared" si="15"/>
        <v>1231</v>
      </c>
    </row>
    <row r="168" spans="1:14" ht="15">
      <c r="A168" s="3">
        <v>8</v>
      </c>
      <c r="B168" s="31"/>
      <c r="C168" s="30"/>
      <c r="D168" s="119"/>
      <c r="E168" s="32"/>
      <c r="G168" s="31">
        <v>126</v>
      </c>
      <c r="H168" s="30" t="str">
        <f t="shared" si="11"/>
        <v>11010000</v>
      </c>
      <c r="I168" s="74">
        <f t="shared" si="12"/>
        <v>208</v>
      </c>
      <c r="J168" s="32"/>
      <c r="L168" s="3" t="s">
        <v>284</v>
      </c>
      <c r="M168" s="3">
        <v>7688</v>
      </c>
      <c r="N168" s="3">
        <f t="shared" si="15"/>
        <v>961</v>
      </c>
    </row>
    <row r="169" spans="1:14" ht="15">
      <c r="A169" s="3">
        <v>5</v>
      </c>
      <c r="B169" s="31"/>
      <c r="C169" s="30"/>
      <c r="D169" s="119"/>
      <c r="E169" s="32"/>
      <c r="G169" s="31">
        <v>127</v>
      </c>
      <c r="H169" s="30" t="str">
        <f t="shared" si="11"/>
        <v>00001100</v>
      </c>
      <c r="I169" s="74">
        <f t="shared" si="12"/>
        <v>12</v>
      </c>
      <c r="J169" s="32"/>
      <c r="L169" s="3" t="s">
        <v>110</v>
      </c>
      <c r="M169" s="3">
        <v>18448</v>
      </c>
      <c r="N169" s="3">
        <f t="shared" ref="N169:N188" si="16">M169/8</f>
        <v>2306</v>
      </c>
    </row>
    <row r="170" spans="1:14" ht="15">
      <c r="A170" s="3">
        <v>8</v>
      </c>
      <c r="B170" s="31"/>
      <c r="C170" s="30"/>
      <c r="D170" s="119"/>
      <c r="E170" s="32"/>
      <c r="G170" s="31">
        <v>128</v>
      </c>
      <c r="H170" s="30" t="str">
        <f t="shared" si="11"/>
        <v>10110010</v>
      </c>
      <c r="I170" s="74">
        <f t="shared" si="12"/>
        <v>178</v>
      </c>
      <c r="J170" s="32"/>
      <c r="L170" s="3" t="s">
        <v>111</v>
      </c>
      <c r="M170" s="3">
        <v>14496</v>
      </c>
      <c r="N170" s="3">
        <f t="shared" si="16"/>
        <v>1812</v>
      </c>
    </row>
    <row r="171" spans="1:14" ht="15">
      <c r="A171" s="3">
        <v>5</v>
      </c>
      <c r="B171" s="31"/>
      <c r="C171" s="30"/>
      <c r="D171" s="119"/>
      <c r="E171" s="32"/>
      <c r="G171" s="31">
        <v>129</v>
      </c>
      <c r="H171" s="30" t="str">
        <f t="shared" si="11"/>
        <v>01011001</v>
      </c>
      <c r="I171" s="74">
        <f t="shared" si="12"/>
        <v>89</v>
      </c>
      <c r="J171" s="32"/>
      <c r="L171" s="3" t="s">
        <v>112</v>
      </c>
      <c r="M171" s="3">
        <v>10288</v>
      </c>
      <c r="N171" s="3">
        <f t="shared" si="16"/>
        <v>1286</v>
      </c>
    </row>
    <row r="172" spans="1:14" ht="15">
      <c r="A172" s="3">
        <v>8</v>
      </c>
      <c r="B172" s="31"/>
      <c r="C172" s="30"/>
      <c r="D172" s="119"/>
      <c r="E172" s="32"/>
      <c r="G172" s="31">
        <v>130</v>
      </c>
      <c r="H172" s="30" t="str">
        <f t="shared" ref="H172:H235" si="17">MID($I$41,G172*8-7,8)</f>
        <v>10010010</v>
      </c>
      <c r="I172" s="74">
        <f t="shared" ref="I172:I235" si="18">IFERROR(BIN2DEC(VALUE(H172)),"")</f>
        <v>146</v>
      </c>
      <c r="J172" s="32"/>
      <c r="L172" s="3" t="s">
        <v>113</v>
      </c>
      <c r="M172" s="3">
        <v>7888</v>
      </c>
      <c r="N172" s="3">
        <f t="shared" si="16"/>
        <v>986</v>
      </c>
    </row>
    <row r="173" spans="1:14" ht="15">
      <c r="A173" s="3">
        <v>5</v>
      </c>
      <c r="B173" s="31"/>
      <c r="C173" s="30"/>
      <c r="D173" s="119"/>
      <c r="E173" s="32"/>
      <c r="G173" s="31">
        <v>131</v>
      </c>
      <c r="H173" s="30" t="str">
        <f t="shared" si="17"/>
        <v>11001100</v>
      </c>
      <c r="I173" s="74">
        <f t="shared" si="18"/>
        <v>204</v>
      </c>
      <c r="J173" s="32"/>
      <c r="L173" s="3" t="s">
        <v>285</v>
      </c>
      <c r="M173" s="3">
        <v>19472</v>
      </c>
      <c r="N173" s="3">
        <f t="shared" si="16"/>
        <v>2434</v>
      </c>
    </row>
    <row r="174" spans="1:14" ht="15">
      <c r="A174" s="3">
        <v>8</v>
      </c>
      <c r="B174" s="31"/>
      <c r="C174" s="30"/>
      <c r="D174" s="119"/>
      <c r="E174" s="32"/>
      <c r="G174" s="31">
        <v>132</v>
      </c>
      <c r="H174" s="30" t="str">
        <f t="shared" si="17"/>
        <v>01111110</v>
      </c>
      <c r="I174" s="74">
        <f t="shared" si="18"/>
        <v>126</v>
      </c>
      <c r="J174" s="32"/>
      <c r="L174" s="3" t="s">
        <v>286</v>
      </c>
      <c r="M174" s="3">
        <v>15312</v>
      </c>
      <c r="N174" s="3">
        <f t="shared" si="16"/>
        <v>1914</v>
      </c>
    </row>
    <row r="175" spans="1:14" ht="15">
      <c r="A175" s="3">
        <v>5</v>
      </c>
      <c r="B175" s="31"/>
      <c r="C175" s="30"/>
      <c r="D175" s="119"/>
      <c r="E175" s="32"/>
      <c r="G175" s="31">
        <v>133</v>
      </c>
      <c r="H175" s="30" t="str">
        <f t="shared" si="17"/>
        <v>11000110</v>
      </c>
      <c r="I175" s="74">
        <f t="shared" si="18"/>
        <v>198</v>
      </c>
      <c r="J175" s="32"/>
      <c r="L175" s="3" t="s">
        <v>287</v>
      </c>
      <c r="M175" s="3">
        <v>10832</v>
      </c>
      <c r="N175" s="3">
        <f t="shared" si="16"/>
        <v>1354</v>
      </c>
    </row>
    <row r="176" spans="1:14" ht="15">
      <c r="A176" s="3">
        <v>8</v>
      </c>
      <c r="B176" s="31"/>
      <c r="C176" s="30"/>
      <c r="D176" s="119"/>
      <c r="E176" s="32"/>
      <c r="G176" s="31">
        <v>134</v>
      </c>
      <c r="H176" s="30" t="str">
        <f t="shared" si="17"/>
        <v>01100001</v>
      </c>
      <c r="I176" s="74">
        <f t="shared" si="18"/>
        <v>97</v>
      </c>
      <c r="J176" s="32"/>
      <c r="L176" s="3" t="s">
        <v>288</v>
      </c>
      <c r="M176" s="3">
        <v>8432</v>
      </c>
      <c r="N176" s="3">
        <f t="shared" si="16"/>
        <v>1054</v>
      </c>
    </row>
    <row r="177" spans="1:14" ht="15">
      <c r="A177" s="3">
        <v>5</v>
      </c>
      <c r="B177" s="31"/>
      <c r="C177" s="30"/>
      <c r="D177" s="119"/>
      <c r="E177" s="32"/>
      <c r="G177" s="31">
        <v>135</v>
      </c>
      <c r="H177" s="30" t="str">
        <f t="shared" si="17"/>
        <v>00110001</v>
      </c>
      <c r="I177" s="74">
        <f t="shared" si="18"/>
        <v>49</v>
      </c>
      <c r="J177" s="32"/>
      <c r="L177" s="3" t="s">
        <v>289</v>
      </c>
      <c r="M177" s="3">
        <v>20528</v>
      </c>
      <c r="N177" s="3">
        <f t="shared" si="16"/>
        <v>2566</v>
      </c>
    </row>
    <row r="178" spans="1:14" ht="15">
      <c r="A178" s="3">
        <v>8</v>
      </c>
      <c r="B178" s="31"/>
      <c r="C178" s="30"/>
      <c r="D178" s="119"/>
      <c r="E178" s="32"/>
      <c r="G178" s="31">
        <v>136</v>
      </c>
      <c r="H178" s="30" t="str">
        <f t="shared" si="17"/>
        <v>10011001</v>
      </c>
      <c r="I178" s="74">
        <f t="shared" si="18"/>
        <v>153</v>
      </c>
      <c r="J178" s="32"/>
      <c r="L178" s="3" t="s">
        <v>290</v>
      </c>
      <c r="M178" s="3">
        <v>15936</v>
      </c>
      <c r="N178" s="3">
        <f t="shared" si="16"/>
        <v>1992</v>
      </c>
    </row>
    <row r="179" spans="1:14" ht="15">
      <c r="A179" s="3">
        <v>5</v>
      </c>
      <c r="B179" s="31"/>
      <c r="C179" s="30"/>
      <c r="D179" s="119"/>
      <c r="E179" s="32"/>
      <c r="G179" s="31">
        <v>137</v>
      </c>
      <c r="H179" s="30" t="str">
        <f t="shared" si="17"/>
        <v>11110010</v>
      </c>
      <c r="I179" s="74">
        <f t="shared" si="18"/>
        <v>242</v>
      </c>
      <c r="J179" s="32"/>
      <c r="L179" s="3" t="s">
        <v>291</v>
      </c>
      <c r="M179" s="3">
        <v>11408</v>
      </c>
      <c r="N179" s="3">
        <f t="shared" si="16"/>
        <v>1426</v>
      </c>
    </row>
    <row r="180" spans="1:14" ht="15">
      <c r="A180" s="3">
        <v>8</v>
      </c>
      <c r="B180" s="31"/>
      <c r="C180" s="30"/>
      <c r="D180" s="119"/>
      <c r="E180" s="32"/>
      <c r="G180" s="31">
        <v>138</v>
      </c>
      <c r="H180" s="30" t="str">
        <f t="shared" si="17"/>
        <v>11100100</v>
      </c>
      <c r="I180" s="74">
        <f t="shared" si="18"/>
        <v>228</v>
      </c>
      <c r="J180" s="32"/>
      <c r="L180" s="3" t="s">
        <v>292</v>
      </c>
      <c r="M180" s="3">
        <v>8768</v>
      </c>
      <c r="N180" s="3">
        <f t="shared" si="16"/>
        <v>1096</v>
      </c>
    </row>
    <row r="181" spans="1:14" ht="15">
      <c r="A181" s="3">
        <v>5</v>
      </c>
      <c r="B181" s="31"/>
      <c r="C181" s="30"/>
      <c r="D181" s="119"/>
      <c r="E181" s="32"/>
      <c r="G181" s="31">
        <v>139</v>
      </c>
      <c r="H181" s="30" t="str">
        <f t="shared" si="17"/>
        <v>11011110</v>
      </c>
      <c r="I181" s="74">
        <f t="shared" si="18"/>
        <v>222</v>
      </c>
      <c r="J181" s="32"/>
      <c r="L181" s="3" t="s">
        <v>293</v>
      </c>
      <c r="M181" s="3">
        <v>21616</v>
      </c>
      <c r="N181" s="3">
        <f t="shared" si="16"/>
        <v>2702</v>
      </c>
    </row>
    <row r="182" spans="1:14" ht="15">
      <c r="A182" s="3">
        <v>8</v>
      </c>
      <c r="B182" s="31"/>
      <c r="C182" s="30"/>
      <c r="D182" s="119"/>
      <c r="E182" s="32"/>
      <c r="G182" s="31">
        <v>140</v>
      </c>
      <c r="H182" s="30" t="str">
        <f t="shared" si="17"/>
        <v>00001100</v>
      </c>
      <c r="I182" s="74">
        <f t="shared" si="18"/>
        <v>12</v>
      </c>
      <c r="J182" s="32"/>
      <c r="L182" s="3" t="s">
        <v>294</v>
      </c>
      <c r="M182" s="3">
        <v>16816</v>
      </c>
      <c r="N182" s="3">
        <f t="shared" si="16"/>
        <v>2102</v>
      </c>
    </row>
    <row r="183" spans="1:14" ht="15">
      <c r="A183" s="3">
        <v>5</v>
      </c>
      <c r="B183" s="31"/>
      <c r="C183" s="30"/>
      <c r="D183" s="119"/>
      <c r="E183" s="32"/>
      <c r="G183" s="31">
        <v>141</v>
      </c>
      <c r="H183" s="30" t="str">
        <f t="shared" si="17"/>
        <v>10111000</v>
      </c>
      <c r="I183" s="74">
        <f t="shared" si="18"/>
        <v>184</v>
      </c>
      <c r="J183" s="32"/>
      <c r="L183" s="3" t="s">
        <v>295</v>
      </c>
      <c r="M183" s="3">
        <v>12016</v>
      </c>
      <c r="N183" s="3">
        <f t="shared" si="16"/>
        <v>1502</v>
      </c>
    </row>
    <row r="184" spans="1:14" ht="15">
      <c r="A184" s="3">
        <v>8</v>
      </c>
      <c r="B184" s="31"/>
      <c r="C184" s="30"/>
      <c r="D184" s="119"/>
      <c r="E184" s="32"/>
      <c r="G184" s="31">
        <v>142</v>
      </c>
      <c r="H184" s="30" t="str">
        <f t="shared" si="17"/>
        <v>10100011</v>
      </c>
      <c r="I184" s="74">
        <f t="shared" si="18"/>
        <v>163</v>
      </c>
      <c r="J184" s="32"/>
      <c r="L184" s="3" t="s">
        <v>296</v>
      </c>
      <c r="M184" s="3">
        <v>9136</v>
      </c>
      <c r="N184" s="3">
        <f t="shared" si="16"/>
        <v>1142</v>
      </c>
    </row>
    <row r="185" spans="1:14" ht="15">
      <c r="A185" s="3">
        <v>5</v>
      </c>
      <c r="B185" s="31"/>
      <c r="C185" s="30"/>
      <c r="D185" s="119"/>
      <c r="E185" s="32"/>
      <c r="G185" s="31">
        <v>143</v>
      </c>
      <c r="H185" s="30" t="str">
        <f t="shared" si="17"/>
        <v>01000001</v>
      </c>
      <c r="I185" s="74">
        <f t="shared" si="18"/>
        <v>65</v>
      </c>
      <c r="J185" s="32"/>
      <c r="L185" s="3" t="s">
        <v>297</v>
      </c>
      <c r="M185" s="3">
        <v>22496</v>
      </c>
      <c r="N185" s="3">
        <f t="shared" si="16"/>
        <v>2812</v>
      </c>
    </row>
    <row r="186" spans="1:14" ht="15">
      <c r="A186" s="3">
        <v>8</v>
      </c>
      <c r="B186" s="31"/>
      <c r="C186" s="30"/>
      <c r="D186" s="119"/>
      <c r="E186" s="32"/>
      <c r="G186" s="31">
        <v>144</v>
      </c>
      <c r="H186" s="30" t="str">
        <f t="shared" si="17"/>
        <v>10101100</v>
      </c>
      <c r="I186" s="74">
        <f t="shared" si="18"/>
        <v>172</v>
      </c>
      <c r="J186" s="32"/>
      <c r="L186" s="3" t="s">
        <v>298</v>
      </c>
      <c r="M186" s="3">
        <v>17728</v>
      </c>
      <c r="N186" s="3">
        <f t="shared" si="16"/>
        <v>2216</v>
      </c>
    </row>
    <row r="187" spans="1:14" ht="15">
      <c r="A187" s="3">
        <v>5</v>
      </c>
      <c r="B187" s="31"/>
      <c r="C187" s="30"/>
      <c r="D187" s="119"/>
      <c r="E187" s="32"/>
      <c r="G187" s="31">
        <v>145</v>
      </c>
      <c r="H187" s="30" t="str">
        <f t="shared" si="17"/>
        <v>10000111</v>
      </c>
      <c r="I187" s="74">
        <f t="shared" si="18"/>
        <v>135</v>
      </c>
      <c r="J187" s="32"/>
      <c r="L187" s="3" t="s">
        <v>299</v>
      </c>
      <c r="M187" s="3">
        <v>12656</v>
      </c>
      <c r="N187" s="3">
        <f t="shared" si="16"/>
        <v>1582</v>
      </c>
    </row>
    <row r="188" spans="1:14" ht="15">
      <c r="A188" s="3">
        <v>8</v>
      </c>
      <c r="B188" s="31"/>
      <c r="C188" s="30"/>
      <c r="D188" s="119"/>
      <c r="E188" s="32"/>
      <c r="G188" s="31">
        <v>146</v>
      </c>
      <c r="H188" s="30" t="str">
        <f t="shared" si="17"/>
        <v>01001010</v>
      </c>
      <c r="I188" s="74">
        <f t="shared" si="18"/>
        <v>74</v>
      </c>
      <c r="J188" s="32"/>
      <c r="L188" s="3" t="s">
        <v>300</v>
      </c>
      <c r="M188" s="3">
        <v>9776</v>
      </c>
      <c r="N188" s="3">
        <f t="shared" si="16"/>
        <v>1222</v>
      </c>
    </row>
    <row r="189" spans="1:14" ht="15">
      <c r="A189" s="3">
        <v>5</v>
      </c>
      <c r="B189" s="31"/>
      <c r="C189" s="30"/>
      <c r="D189" s="119"/>
      <c r="E189" s="32"/>
      <c r="G189" s="31">
        <v>147</v>
      </c>
      <c r="H189" s="30" t="str">
        <f t="shared" si="17"/>
        <v>00001110</v>
      </c>
      <c r="I189" s="74">
        <f t="shared" si="18"/>
        <v>14</v>
      </c>
      <c r="J189" s="32"/>
      <c r="L189" s="3" t="s">
        <v>114</v>
      </c>
      <c r="M189" s="3">
        <v>23648</v>
      </c>
      <c r="N189" s="3">
        <f t="shared" ref="N189:N192" si="19">M189/8</f>
        <v>2956</v>
      </c>
    </row>
    <row r="190" spans="1:14" ht="15">
      <c r="A190" s="3">
        <v>8</v>
      </c>
      <c r="B190" s="31"/>
      <c r="C190" s="30"/>
      <c r="D190" s="119"/>
      <c r="E190" s="32"/>
      <c r="G190" s="31">
        <v>148</v>
      </c>
      <c r="H190" s="30" t="str">
        <f t="shared" si="17"/>
        <v>00101000</v>
      </c>
      <c r="I190" s="74">
        <f t="shared" si="18"/>
        <v>40</v>
      </c>
      <c r="J190" s="32"/>
      <c r="L190" s="3" t="s">
        <v>115</v>
      </c>
      <c r="M190" s="3">
        <v>18672</v>
      </c>
      <c r="N190" s="3">
        <f t="shared" si="19"/>
        <v>2334</v>
      </c>
    </row>
    <row r="191" spans="1:14" ht="15">
      <c r="A191" s="3">
        <v>5</v>
      </c>
      <c r="B191" s="31"/>
      <c r="C191" s="30"/>
      <c r="D191" s="119"/>
      <c r="E191" s="32"/>
      <c r="G191" s="31">
        <v>149</v>
      </c>
      <c r="H191" s="30" t="str">
        <f t="shared" si="17"/>
        <v>01000011</v>
      </c>
      <c r="I191" s="74">
        <f t="shared" si="18"/>
        <v>67</v>
      </c>
      <c r="J191" s="32"/>
      <c r="L191" s="3" t="s">
        <v>116</v>
      </c>
      <c r="M191" s="3">
        <v>13328</v>
      </c>
      <c r="N191" s="3">
        <f t="shared" si="19"/>
        <v>1666</v>
      </c>
    </row>
    <row r="192" spans="1:14" ht="15">
      <c r="A192" s="3">
        <v>8</v>
      </c>
      <c r="B192" s="31"/>
      <c r="C192" s="30"/>
      <c r="D192" s="119"/>
      <c r="E192" s="32"/>
      <c r="G192" s="31">
        <v>150</v>
      </c>
      <c r="H192" s="30" t="str">
        <f t="shared" si="17"/>
        <v>01111010</v>
      </c>
      <c r="I192" s="74">
        <f t="shared" si="18"/>
        <v>122</v>
      </c>
      <c r="J192" s="32"/>
      <c r="L192" s="3" t="s">
        <v>117</v>
      </c>
      <c r="M192" s="3">
        <v>10208</v>
      </c>
      <c r="N192" s="3">
        <f t="shared" si="19"/>
        <v>1276</v>
      </c>
    </row>
    <row r="193" spans="1:10" ht="15">
      <c r="A193" s="3">
        <v>5</v>
      </c>
      <c r="B193" s="31"/>
      <c r="C193" s="30"/>
      <c r="D193" s="119"/>
      <c r="E193" s="32"/>
      <c r="G193" s="31">
        <v>151</v>
      </c>
      <c r="H193" s="30" t="str">
        <f t="shared" si="17"/>
        <v>10100001</v>
      </c>
      <c r="I193" s="74">
        <f t="shared" si="18"/>
        <v>161</v>
      </c>
      <c r="J193" s="32"/>
    </row>
    <row r="194" spans="1:10" ht="15">
      <c r="A194" s="3">
        <v>8</v>
      </c>
      <c r="B194" s="31"/>
      <c r="C194" s="30"/>
      <c r="D194" s="119"/>
      <c r="E194" s="32"/>
      <c r="G194" s="31">
        <v>152</v>
      </c>
      <c r="H194" s="30" t="str">
        <f t="shared" si="17"/>
        <v>00110000</v>
      </c>
      <c r="I194" s="74">
        <f t="shared" si="18"/>
        <v>48</v>
      </c>
      <c r="J194" s="32"/>
    </row>
    <row r="195" spans="1:10" ht="15">
      <c r="A195" s="3">
        <v>5</v>
      </c>
      <c r="B195" s="31"/>
      <c r="C195" s="30"/>
      <c r="D195" s="119"/>
      <c r="E195" s="32"/>
      <c r="G195" s="31">
        <v>153</v>
      </c>
      <c r="H195" s="30" t="str">
        <f t="shared" si="17"/>
        <v>00001100</v>
      </c>
      <c r="I195" s="74">
        <f t="shared" si="18"/>
        <v>12</v>
      </c>
      <c r="J195" s="32"/>
    </row>
    <row r="196" spans="1:10" ht="15">
      <c r="A196" s="3">
        <v>8</v>
      </c>
      <c r="B196" s="31"/>
      <c r="C196" s="30"/>
      <c r="D196" s="119"/>
      <c r="E196" s="32"/>
      <c r="G196" s="31">
        <v>154</v>
      </c>
      <c r="H196" s="30" t="str">
        <f t="shared" si="17"/>
        <v>10111000</v>
      </c>
      <c r="I196" s="74">
        <f t="shared" si="18"/>
        <v>184</v>
      </c>
      <c r="J196" s="32"/>
    </row>
    <row r="197" spans="1:10" ht="15">
      <c r="A197" s="3">
        <v>5</v>
      </c>
      <c r="B197" s="31"/>
      <c r="C197" s="30"/>
      <c r="D197" s="119"/>
      <c r="E197" s="32"/>
      <c r="G197" s="31">
        <v>155</v>
      </c>
      <c r="H197" s="30" t="str">
        <f t="shared" si="17"/>
        <v>01001101</v>
      </c>
      <c r="I197" s="74">
        <f t="shared" si="18"/>
        <v>77</v>
      </c>
      <c r="J197" s="32"/>
    </row>
    <row r="198" spans="1:10" ht="15">
      <c r="A198" s="3">
        <v>8</v>
      </c>
      <c r="B198" s="31"/>
      <c r="C198" s="30"/>
      <c r="D198" s="119"/>
      <c r="E198" s="32"/>
      <c r="G198" s="31">
        <v>156</v>
      </c>
      <c r="H198" s="30" t="str">
        <f t="shared" si="17"/>
        <v>00110111</v>
      </c>
      <c r="I198" s="74">
        <f t="shared" si="18"/>
        <v>55</v>
      </c>
      <c r="J198" s="32"/>
    </row>
    <row r="199" spans="1:10" ht="15">
      <c r="A199" s="3">
        <v>5</v>
      </c>
      <c r="B199" s="31"/>
      <c r="C199" s="30"/>
      <c r="D199" s="119"/>
      <c r="E199" s="32"/>
      <c r="G199" s="31">
        <v>157</v>
      </c>
      <c r="H199" s="30" t="str">
        <f t="shared" si="17"/>
        <v>01011001</v>
      </c>
      <c r="I199" s="74">
        <f t="shared" si="18"/>
        <v>89</v>
      </c>
      <c r="J199" s="32"/>
    </row>
    <row r="200" spans="1:10" ht="15">
      <c r="A200" s="3">
        <v>8</v>
      </c>
      <c r="B200" s="31"/>
      <c r="C200" s="30"/>
      <c r="D200" s="119"/>
      <c r="E200" s="32"/>
      <c r="G200" s="31">
        <v>158</v>
      </c>
      <c r="H200" s="30" t="str">
        <f t="shared" si="17"/>
        <v>01000000</v>
      </c>
      <c r="I200" s="74">
        <f t="shared" si="18"/>
        <v>64</v>
      </c>
      <c r="J200" s="32"/>
    </row>
    <row r="201" spans="1:10" ht="15">
      <c r="A201" s="3">
        <v>5</v>
      </c>
      <c r="B201" s="31"/>
      <c r="C201" s="30"/>
      <c r="D201" s="119"/>
      <c r="E201" s="32"/>
      <c r="G201" s="31">
        <v>159</v>
      </c>
      <c r="H201" s="30" t="str">
        <f t="shared" si="17"/>
        <v>10100111</v>
      </c>
      <c r="I201" s="74">
        <f t="shared" si="18"/>
        <v>167</v>
      </c>
      <c r="J201" s="32"/>
    </row>
    <row r="202" spans="1:10" ht="15">
      <c r="A202" s="3">
        <v>8</v>
      </c>
      <c r="B202" s="31"/>
      <c r="C202" s="30"/>
      <c r="D202" s="119"/>
      <c r="E202" s="32"/>
      <c r="G202" s="31">
        <v>160</v>
      </c>
      <c r="H202" s="30" t="str">
        <f t="shared" si="17"/>
        <v>11100111</v>
      </c>
      <c r="I202" s="74">
        <f t="shared" si="18"/>
        <v>231</v>
      </c>
      <c r="J202" s="32"/>
    </row>
    <row r="203" spans="1:10" ht="15">
      <c r="A203" s="3">
        <v>5</v>
      </c>
      <c r="B203" s="31"/>
      <c r="C203" s="30"/>
      <c r="D203" s="119"/>
      <c r="E203" s="32"/>
      <c r="G203" s="31">
        <v>161</v>
      </c>
      <c r="H203" s="30" t="str">
        <f t="shared" si="17"/>
        <v>10000001</v>
      </c>
      <c r="I203" s="74">
        <f t="shared" si="18"/>
        <v>129</v>
      </c>
      <c r="J203" s="32"/>
    </row>
    <row r="204" spans="1:10" ht="15">
      <c r="A204" s="3">
        <v>8</v>
      </c>
      <c r="B204" s="31"/>
      <c r="C204" s="30"/>
      <c r="D204" s="119"/>
      <c r="E204" s="32"/>
      <c r="G204" s="31">
        <v>162</v>
      </c>
      <c r="H204" s="30" t="str">
        <f t="shared" si="17"/>
        <v>11000001</v>
      </c>
      <c r="I204" s="74">
        <f t="shared" si="18"/>
        <v>193</v>
      </c>
      <c r="J204" s="32"/>
    </row>
    <row r="205" spans="1:10" ht="15">
      <c r="A205" s="3">
        <v>5</v>
      </c>
      <c r="B205" s="31"/>
      <c r="C205" s="30"/>
      <c r="D205" s="119"/>
      <c r="E205" s="32"/>
      <c r="G205" s="31">
        <v>163</v>
      </c>
      <c r="H205" s="30" t="str">
        <f t="shared" si="17"/>
        <v>11100000</v>
      </c>
      <c r="I205" s="74">
        <f t="shared" si="18"/>
        <v>224</v>
      </c>
      <c r="J205" s="32"/>
    </row>
    <row r="206" spans="1:10" ht="15">
      <c r="A206" s="3">
        <v>8</v>
      </c>
      <c r="B206" s="31"/>
      <c r="C206" s="30"/>
      <c r="D206" s="119"/>
      <c r="E206" s="32"/>
      <c r="G206" s="31">
        <v>164</v>
      </c>
      <c r="H206" s="30" t="str">
        <f t="shared" si="17"/>
        <v>10011100</v>
      </c>
      <c r="I206" s="74">
        <f t="shared" si="18"/>
        <v>156</v>
      </c>
      <c r="J206" s="32"/>
    </row>
    <row r="207" spans="1:10" ht="15">
      <c r="A207" s="3">
        <v>5</v>
      </c>
      <c r="B207" s="31"/>
      <c r="C207" s="30"/>
      <c r="D207" s="119"/>
      <c r="E207" s="32"/>
      <c r="G207" s="31">
        <v>165</v>
      </c>
      <c r="H207" s="30" t="str">
        <f t="shared" si="17"/>
        <v>11000110</v>
      </c>
      <c r="I207" s="74">
        <f t="shared" si="18"/>
        <v>198</v>
      </c>
      <c r="J207" s="32"/>
    </row>
    <row r="208" spans="1:10" ht="15">
      <c r="A208" s="3">
        <v>8</v>
      </c>
      <c r="B208" s="31"/>
      <c r="C208" s="30"/>
      <c r="D208" s="119"/>
      <c r="E208" s="32"/>
      <c r="G208" s="31">
        <v>166</v>
      </c>
      <c r="H208" s="30" t="str">
        <f t="shared" si="17"/>
        <v>00000000</v>
      </c>
      <c r="I208" s="74">
        <f t="shared" si="18"/>
        <v>0</v>
      </c>
      <c r="J208" s="32"/>
    </row>
    <row r="209" spans="1:10" ht="15">
      <c r="A209" s="3">
        <v>5</v>
      </c>
      <c r="B209" s="31"/>
      <c r="C209" s="30"/>
      <c r="D209" s="119"/>
      <c r="E209" s="32"/>
      <c r="G209" s="31">
        <v>167</v>
      </c>
      <c r="H209" s="30" t="str">
        <f t="shared" si="17"/>
        <v>11101100</v>
      </c>
      <c r="I209" s="74">
        <f t="shared" si="18"/>
        <v>236</v>
      </c>
      <c r="J209" s="32"/>
    </row>
    <row r="210" spans="1:10" ht="15">
      <c r="A210" s="3">
        <v>8</v>
      </c>
      <c r="B210" s="31"/>
      <c r="C210" s="30"/>
      <c r="D210" s="119"/>
      <c r="E210" s="32"/>
      <c r="G210" s="31">
        <v>168</v>
      </c>
      <c r="H210" s="30" t="str">
        <f t="shared" si="17"/>
        <v>00010001</v>
      </c>
      <c r="I210" s="74">
        <f t="shared" si="18"/>
        <v>17</v>
      </c>
      <c r="J210" s="32"/>
    </row>
    <row r="211" spans="1:10" ht="15">
      <c r="A211" s="3">
        <v>5</v>
      </c>
      <c r="B211" s="31"/>
      <c r="C211" s="30"/>
      <c r="D211" s="119"/>
      <c r="E211" s="32"/>
      <c r="G211" s="31">
        <v>169</v>
      </c>
      <c r="H211" s="30" t="str">
        <f t="shared" si="17"/>
        <v>11101100</v>
      </c>
      <c r="I211" s="74">
        <f t="shared" si="18"/>
        <v>236</v>
      </c>
      <c r="J211" s="32"/>
    </row>
    <row r="212" spans="1:10" ht="15">
      <c r="A212" s="3">
        <v>8</v>
      </c>
      <c r="B212" s="31"/>
      <c r="C212" s="30"/>
      <c r="D212" s="119"/>
      <c r="E212" s="32"/>
      <c r="G212" s="31">
        <v>170</v>
      </c>
      <c r="H212" s="30" t="str">
        <f t="shared" si="17"/>
        <v>00010001</v>
      </c>
      <c r="I212" s="74">
        <f t="shared" si="18"/>
        <v>17</v>
      </c>
      <c r="J212" s="32"/>
    </row>
    <row r="213" spans="1:10" ht="15">
      <c r="A213" s="3">
        <v>5</v>
      </c>
      <c r="B213" s="31"/>
      <c r="C213" s="30"/>
      <c r="D213" s="119"/>
      <c r="E213" s="32"/>
      <c r="G213" s="31">
        <v>171</v>
      </c>
      <c r="H213" s="30" t="str">
        <f t="shared" si="17"/>
        <v>11101100</v>
      </c>
      <c r="I213" s="74">
        <f t="shared" si="18"/>
        <v>236</v>
      </c>
      <c r="J213" s="32"/>
    </row>
    <row r="214" spans="1:10" ht="15">
      <c r="A214" s="3">
        <v>8</v>
      </c>
      <c r="B214" s="31"/>
      <c r="C214" s="30"/>
      <c r="D214" s="119"/>
      <c r="E214" s="32"/>
      <c r="G214" s="31">
        <v>172</v>
      </c>
      <c r="H214" s="30" t="str">
        <f t="shared" si="17"/>
        <v>00010001</v>
      </c>
      <c r="I214" s="74">
        <f t="shared" si="18"/>
        <v>17</v>
      </c>
      <c r="J214" s="32"/>
    </row>
    <row r="215" spans="1:10" ht="15">
      <c r="A215" s="3">
        <v>5</v>
      </c>
      <c r="B215" s="31"/>
      <c r="C215" s="30"/>
      <c r="D215" s="119"/>
      <c r="E215" s="32"/>
      <c r="G215" s="31">
        <v>173</v>
      </c>
      <c r="H215" s="30" t="str">
        <f t="shared" si="17"/>
        <v>11101100</v>
      </c>
      <c r="I215" s="74">
        <f t="shared" si="18"/>
        <v>236</v>
      </c>
      <c r="J215" s="32"/>
    </row>
    <row r="216" spans="1:10" ht="15">
      <c r="A216" s="3">
        <v>8</v>
      </c>
      <c r="B216" s="31"/>
      <c r="C216" s="30"/>
      <c r="D216" s="119"/>
      <c r="E216" s="32"/>
      <c r="G216" s="31">
        <v>174</v>
      </c>
      <c r="H216" s="30" t="str">
        <f t="shared" si="17"/>
        <v>00010001</v>
      </c>
      <c r="I216" s="74">
        <f t="shared" si="18"/>
        <v>17</v>
      </c>
      <c r="J216" s="32"/>
    </row>
    <row r="217" spans="1:10" ht="15">
      <c r="A217" s="3">
        <v>5</v>
      </c>
      <c r="B217" s="31"/>
      <c r="C217" s="30"/>
      <c r="D217" s="119"/>
      <c r="E217" s="32"/>
      <c r="G217" s="31">
        <v>175</v>
      </c>
      <c r="H217" s="30" t="str">
        <f t="shared" si="17"/>
        <v>11101100</v>
      </c>
      <c r="I217" s="74">
        <f t="shared" si="18"/>
        <v>236</v>
      </c>
      <c r="J217" s="32"/>
    </row>
    <row r="218" spans="1:10" ht="15">
      <c r="A218" s="3">
        <v>8</v>
      </c>
      <c r="B218" s="31"/>
      <c r="C218" s="30"/>
      <c r="D218" s="119"/>
      <c r="E218" s="32"/>
      <c r="G218" s="31">
        <v>176</v>
      </c>
      <c r="H218" s="30" t="str">
        <f t="shared" si="17"/>
        <v>00010001</v>
      </c>
      <c r="I218" s="74">
        <f t="shared" si="18"/>
        <v>17</v>
      </c>
      <c r="J218" s="32"/>
    </row>
    <row r="219" spans="1:10" ht="15">
      <c r="A219" s="3">
        <v>5</v>
      </c>
      <c r="B219" s="31"/>
      <c r="C219" s="30"/>
      <c r="D219" s="119"/>
      <c r="E219" s="32"/>
      <c r="G219" s="31">
        <v>177</v>
      </c>
      <c r="H219" s="30" t="str">
        <f t="shared" si="17"/>
        <v>11101100</v>
      </c>
      <c r="I219" s="74">
        <f t="shared" si="18"/>
        <v>236</v>
      </c>
      <c r="J219" s="32"/>
    </row>
    <row r="220" spans="1:10" ht="15">
      <c r="A220" s="3">
        <v>8</v>
      </c>
      <c r="B220" s="31"/>
      <c r="C220" s="30"/>
      <c r="D220" s="119"/>
      <c r="E220" s="32"/>
      <c r="G220" s="31">
        <v>178</v>
      </c>
      <c r="H220" s="30" t="str">
        <f t="shared" si="17"/>
        <v>00010001</v>
      </c>
      <c r="I220" s="74">
        <f t="shared" si="18"/>
        <v>17</v>
      </c>
      <c r="J220" s="32"/>
    </row>
    <row r="221" spans="1:10" ht="15">
      <c r="A221" s="3">
        <v>5</v>
      </c>
      <c r="B221" s="31"/>
      <c r="C221" s="30"/>
      <c r="D221" s="119"/>
      <c r="E221" s="32"/>
      <c r="G221" s="31">
        <v>179</v>
      </c>
      <c r="H221" s="30" t="str">
        <f t="shared" si="17"/>
        <v>11101100</v>
      </c>
      <c r="I221" s="74">
        <f t="shared" si="18"/>
        <v>236</v>
      </c>
      <c r="J221" s="32"/>
    </row>
    <row r="222" spans="1:10" ht="15">
      <c r="A222" s="3">
        <v>8</v>
      </c>
      <c r="B222" s="31"/>
      <c r="C222" s="30"/>
      <c r="D222" s="119"/>
      <c r="E222" s="32"/>
      <c r="G222" s="31">
        <v>180</v>
      </c>
      <c r="H222" s="30" t="str">
        <f t="shared" si="17"/>
        <v>00010001</v>
      </c>
      <c r="I222" s="74">
        <f t="shared" si="18"/>
        <v>17</v>
      </c>
      <c r="J222" s="32"/>
    </row>
    <row r="223" spans="1:10" ht="15">
      <c r="A223" s="3">
        <v>5</v>
      </c>
      <c r="B223" s="31"/>
      <c r="C223" s="30"/>
      <c r="D223" s="119"/>
      <c r="E223" s="32"/>
      <c r="G223" s="31">
        <v>181</v>
      </c>
      <c r="H223" s="30" t="str">
        <f t="shared" si="17"/>
        <v/>
      </c>
      <c r="I223" s="74" t="str">
        <f t="shared" si="18"/>
        <v/>
      </c>
      <c r="J223" s="32"/>
    </row>
    <row r="224" spans="1:10" ht="15">
      <c r="A224" s="3">
        <v>8</v>
      </c>
      <c r="B224" s="31"/>
      <c r="C224" s="30"/>
      <c r="D224" s="119"/>
      <c r="E224" s="32"/>
      <c r="G224" s="31">
        <v>182</v>
      </c>
      <c r="H224" s="30" t="str">
        <f t="shared" si="17"/>
        <v/>
      </c>
      <c r="I224" s="74" t="str">
        <f t="shared" si="18"/>
        <v/>
      </c>
      <c r="J224" s="32"/>
    </row>
    <row r="225" spans="1:10" ht="15">
      <c r="A225" s="3">
        <v>5</v>
      </c>
      <c r="B225" s="31"/>
      <c r="C225" s="30"/>
      <c r="D225" s="119"/>
      <c r="E225" s="32"/>
      <c r="G225" s="31">
        <v>183</v>
      </c>
      <c r="H225" s="30" t="str">
        <f t="shared" si="17"/>
        <v/>
      </c>
      <c r="I225" s="74" t="str">
        <f t="shared" si="18"/>
        <v/>
      </c>
      <c r="J225" s="32"/>
    </row>
    <row r="226" spans="1:10" ht="15">
      <c r="A226" s="3">
        <v>8</v>
      </c>
      <c r="B226" s="31"/>
      <c r="C226" s="30"/>
      <c r="D226" s="119"/>
      <c r="E226" s="32"/>
      <c r="G226" s="31">
        <v>184</v>
      </c>
      <c r="H226" s="30" t="str">
        <f t="shared" si="17"/>
        <v/>
      </c>
      <c r="I226" s="74" t="str">
        <f t="shared" si="18"/>
        <v/>
      </c>
      <c r="J226" s="32"/>
    </row>
    <row r="227" spans="1:10" ht="15">
      <c r="A227" s="3">
        <v>5</v>
      </c>
      <c r="B227" s="31"/>
      <c r="C227" s="30"/>
      <c r="D227" s="119"/>
      <c r="E227" s="32"/>
      <c r="G227" s="31">
        <v>185</v>
      </c>
      <c r="H227" s="30" t="str">
        <f t="shared" si="17"/>
        <v/>
      </c>
      <c r="I227" s="74" t="str">
        <f t="shared" si="18"/>
        <v/>
      </c>
      <c r="J227" s="32"/>
    </row>
    <row r="228" spans="1:10" ht="15">
      <c r="A228" s="3">
        <v>8</v>
      </c>
      <c r="B228" s="31"/>
      <c r="C228" s="30"/>
      <c r="D228" s="119"/>
      <c r="E228" s="32"/>
      <c r="G228" s="31">
        <v>186</v>
      </c>
      <c r="H228" s="30" t="str">
        <f t="shared" si="17"/>
        <v/>
      </c>
      <c r="I228" s="74" t="str">
        <f t="shared" si="18"/>
        <v/>
      </c>
      <c r="J228" s="32"/>
    </row>
    <row r="229" spans="1:10" ht="15">
      <c r="A229" s="3">
        <v>5</v>
      </c>
      <c r="B229" s="31"/>
      <c r="C229" s="30"/>
      <c r="D229" s="119"/>
      <c r="E229" s="32"/>
      <c r="G229" s="31">
        <v>187</v>
      </c>
      <c r="H229" s="30" t="str">
        <f t="shared" si="17"/>
        <v/>
      </c>
      <c r="I229" s="74" t="str">
        <f t="shared" si="18"/>
        <v/>
      </c>
      <c r="J229" s="32"/>
    </row>
    <row r="230" spans="1:10" ht="15">
      <c r="A230" s="3">
        <v>8</v>
      </c>
      <c r="B230" s="31"/>
      <c r="C230" s="30"/>
      <c r="D230" s="119"/>
      <c r="E230" s="32"/>
      <c r="G230" s="31">
        <v>188</v>
      </c>
      <c r="H230" s="30" t="str">
        <f t="shared" si="17"/>
        <v/>
      </c>
      <c r="I230" s="74" t="str">
        <f t="shared" si="18"/>
        <v/>
      </c>
      <c r="J230" s="32"/>
    </row>
    <row r="231" spans="1:10" ht="15">
      <c r="A231" s="3">
        <v>5</v>
      </c>
      <c r="B231" s="31"/>
      <c r="C231" s="30"/>
      <c r="D231" s="119"/>
      <c r="E231" s="32"/>
      <c r="G231" s="31">
        <v>189</v>
      </c>
      <c r="H231" s="30" t="str">
        <f t="shared" si="17"/>
        <v/>
      </c>
      <c r="I231" s="74" t="str">
        <f t="shared" si="18"/>
        <v/>
      </c>
      <c r="J231" s="32"/>
    </row>
    <row r="232" spans="1:10" ht="15">
      <c r="A232" s="3">
        <v>8</v>
      </c>
      <c r="B232" s="31"/>
      <c r="C232" s="30"/>
      <c r="D232" s="119"/>
      <c r="E232" s="32"/>
      <c r="G232" s="31">
        <v>190</v>
      </c>
      <c r="H232" s="30" t="str">
        <f t="shared" si="17"/>
        <v/>
      </c>
      <c r="I232" s="74" t="str">
        <f t="shared" si="18"/>
        <v/>
      </c>
      <c r="J232" s="32"/>
    </row>
    <row r="233" spans="1:10" ht="15">
      <c r="A233" s="3">
        <v>5</v>
      </c>
      <c r="B233" s="31"/>
      <c r="C233" s="30"/>
      <c r="D233" s="119"/>
      <c r="E233" s="32"/>
      <c r="G233" s="31">
        <v>191</v>
      </c>
      <c r="H233" s="30" t="str">
        <f t="shared" si="17"/>
        <v/>
      </c>
      <c r="I233" s="74" t="str">
        <f t="shared" si="18"/>
        <v/>
      </c>
      <c r="J233" s="32"/>
    </row>
    <row r="234" spans="1:10" ht="15">
      <c r="A234" s="3">
        <v>8</v>
      </c>
      <c r="B234" s="31"/>
      <c r="C234" s="30"/>
      <c r="D234" s="119"/>
      <c r="E234" s="32"/>
      <c r="G234" s="31">
        <v>192</v>
      </c>
      <c r="H234" s="30" t="str">
        <f t="shared" si="17"/>
        <v/>
      </c>
      <c r="I234" s="74" t="str">
        <f t="shared" si="18"/>
        <v/>
      </c>
      <c r="J234" s="32"/>
    </row>
    <row r="235" spans="1:10" ht="15">
      <c r="A235" s="3">
        <v>5</v>
      </c>
      <c r="B235" s="31"/>
      <c r="C235" s="30"/>
      <c r="D235" s="119"/>
      <c r="E235" s="32"/>
      <c r="G235" s="31">
        <v>193</v>
      </c>
      <c r="H235" s="30" t="str">
        <f t="shared" si="17"/>
        <v/>
      </c>
      <c r="I235" s="74" t="str">
        <f t="shared" si="18"/>
        <v/>
      </c>
      <c r="J235" s="32"/>
    </row>
    <row r="236" spans="1:10" ht="15">
      <c r="A236" s="3">
        <v>8</v>
      </c>
      <c r="B236" s="31"/>
      <c r="C236" s="30"/>
      <c r="D236" s="119"/>
      <c r="E236" s="32"/>
      <c r="G236" s="31">
        <v>194</v>
      </c>
      <c r="H236" s="30" t="str">
        <f t="shared" ref="H236:H299" si="20">MID($I$41,G236*8-7,8)</f>
        <v/>
      </c>
      <c r="I236" s="74" t="str">
        <f t="shared" ref="I236:I299" si="21">IFERROR(BIN2DEC(VALUE(H236)),"")</f>
        <v/>
      </c>
      <c r="J236" s="32"/>
    </row>
    <row r="237" spans="1:10" ht="15">
      <c r="A237" s="3">
        <v>5</v>
      </c>
      <c r="B237" s="31"/>
      <c r="C237" s="30"/>
      <c r="D237" s="119"/>
      <c r="E237" s="32"/>
      <c r="G237" s="31">
        <v>195</v>
      </c>
      <c r="H237" s="30" t="str">
        <f t="shared" si="20"/>
        <v/>
      </c>
      <c r="I237" s="74" t="str">
        <f t="shared" si="21"/>
        <v/>
      </c>
      <c r="J237" s="32"/>
    </row>
    <row r="238" spans="1:10" ht="15">
      <c r="A238" s="3">
        <v>8</v>
      </c>
      <c r="B238" s="31"/>
      <c r="C238" s="30"/>
      <c r="D238" s="119"/>
      <c r="E238" s="32"/>
      <c r="G238" s="31">
        <v>196</v>
      </c>
      <c r="H238" s="30" t="str">
        <f t="shared" si="20"/>
        <v/>
      </c>
      <c r="I238" s="74" t="str">
        <f t="shared" si="21"/>
        <v/>
      </c>
      <c r="J238" s="32"/>
    </row>
    <row r="239" spans="1:10" ht="15">
      <c r="A239" s="3">
        <v>5</v>
      </c>
      <c r="B239" s="31"/>
      <c r="C239" s="30"/>
      <c r="D239" s="119"/>
      <c r="E239" s="32"/>
      <c r="G239" s="31">
        <v>197</v>
      </c>
      <c r="H239" s="30" t="str">
        <f t="shared" si="20"/>
        <v/>
      </c>
      <c r="I239" s="74" t="str">
        <f t="shared" si="21"/>
        <v/>
      </c>
      <c r="J239" s="32"/>
    </row>
    <row r="240" spans="1:10" ht="15">
      <c r="A240" s="3">
        <v>8</v>
      </c>
      <c r="B240" s="31"/>
      <c r="C240" s="30"/>
      <c r="D240" s="119"/>
      <c r="E240" s="32"/>
      <c r="G240" s="31">
        <v>198</v>
      </c>
      <c r="H240" s="30" t="str">
        <f t="shared" si="20"/>
        <v/>
      </c>
      <c r="I240" s="74" t="str">
        <f t="shared" si="21"/>
        <v/>
      </c>
      <c r="J240" s="32"/>
    </row>
    <row r="241" spans="1:10" ht="15">
      <c r="A241" s="3">
        <v>5</v>
      </c>
      <c r="B241" s="31"/>
      <c r="C241" s="30"/>
      <c r="D241" s="119"/>
      <c r="E241" s="32"/>
      <c r="G241" s="31">
        <v>199</v>
      </c>
      <c r="H241" s="30" t="str">
        <f t="shared" si="20"/>
        <v/>
      </c>
      <c r="I241" s="74" t="str">
        <f t="shared" si="21"/>
        <v/>
      </c>
      <c r="J241" s="32"/>
    </row>
    <row r="242" spans="1:10" ht="15">
      <c r="A242" s="3">
        <v>8</v>
      </c>
      <c r="B242" s="31"/>
      <c r="C242" s="30"/>
      <c r="D242" s="119"/>
      <c r="E242" s="32"/>
      <c r="G242" s="31">
        <v>200</v>
      </c>
      <c r="H242" s="30" t="str">
        <f t="shared" si="20"/>
        <v/>
      </c>
      <c r="I242" s="74" t="str">
        <f t="shared" si="21"/>
        <v/>
      </c>
      <c r="J242" s="32"/>
    </row>
    <row r="243" spans="1:10" ht="15">
      <c r="A243" s="3">
        <v>5</v>
      </c>
      <c r="B243" s="31"/>
      <c r="C243" s="30"/>
      <c r="D243" s="119"/>
      <c r="E243" s="32"/>
      <c r="G243" s="31">
        <v>201</v>
      </c>
      <c r="H243" s="30" t="str">
        <f t="shared" si="20"/>
        <v/>
      </c>
      <c r="I243" s="74" t="str">
        <f t="shared" si="21"/>
        <v/>
      </c>
      <c r="J243" s="32"/>
    </row>
    <row r="244" spans="1:10" ht="15">
      <c r="A244" s="3">
        <v>8</v>
      </c>
      <c r="B244" s="31"/>
      <c r="C244" s="30"/>
      <c r="D244" s="119"/>
      <c r="E244" s="32"/>
      <c r="G244" s="31">
        <v>202</v>
      </c>
      <c r="H244" s="30" t="str">
        <f t="shared" si="20"/>
        <v/>
      </c>
      <c r="I244" s="74" t="str">
        <f t="shared" si="21"/>
        <v/>
      </c>
      <c r="J244" s="32"/>
    </row>
    <row r="245" spans="1:10" ht="15">
      <c r="A245" s="3">
        <v>5</v>
      </c>
      <c r="B245" s="31"/>
      <c r="C245" s="30"/>
      <c r="D245" s="119"/>
      <c r="E245" s="32"/>
      <c r="G245" s="31">
        <v>203</v>
      </c>
      <c r="H245" s="30" t="str">
        <f t="shared" si="20"/>
        <v/>
      </c>
      <c r="I245" s="74" t="str">
        <f t="shared" si="21"/>
        <v/>
      </c>
      <c r="J245" s="32"/>
    </row>
    <row r="246" spans="1:10" ht="15">
      <c r="A246" s="3">
        <v>8</v>
      </c>
      <c r="B246" s="31"/>
      <c r="C246" s="30"/>
      <c r="D246" s="119"/>
      <c r="E246" s="32"/>
      <c r="G246" s="31">
        <v>204</v>
      </c>
      <c r="H246" s="30" t="str">
        <f t="shared" si="20"/>
        <v/>
      </c>
      <c r="I246" s="74" t="str">
        <f t="shared" si="21"/>
        <v/>
      </c>
      <c r="J246" s="32"/>
    </row>
    <row r="247" spans="1:10" ht="15">
      <c r="A247" s="3">
        <v>5</v>
      </c>
      <c r="B247" s="31"/>
      <c r="C247" s="30"/>
      <c r="D247" s="119"/>
      <c r="E247" s="32"/>
      <c r="G247" s="31">
        <v>205</v>
      </c>
      <c r="H247" s="30" t="str">
        <f t="shared" si="20"/>
        <v/>
      </c>
      <c r="I247" s="74" t="str">
        <f t="shared" si="21"/>
        <v/>
      </c>
      <c r="J247" s="32"/>
    </row>
    <row r="248" spans="1:10" ht="15">
      <c r="A248" s="3">
        <v>8</v>
      </c>
      <c r="B248" s="31"/>
      <c r="C248" s="30"/>
      <c r="D248" s="119"/>
      <c r="E248" s="32"/>
      <c r="G248" s="31">
        <v>206</v>
      </c>
      <c r="H248" s="30" t="str">
        <f t="shared" si="20"/>
        <v/>
      </c>
      <c r="I248" s="74" t="str">
        <f t="shared" si="21"/>
        <v/>
      </c>
      <c r="J248" s="32"/>
    </row>
    <row r="249" spans="1:10" ht="15">
      <c r="A249" s="3">
        <v>5</v>
      </c>
      <c r="B249" s="31"/>
      <c r="C249" s="30"/>
      <c r="D249" s="119"/>
      <c r="E249" s="32"/>
      <c r="G249" s="31">
        <v>207</v>
      </c>
      <c r="H249" s="30" t="str">
        <f t="shared" si="20"/>
        <v/>
      </c>
      <c r="I249" s="74" t="str">
        <f t="shared" si="21"/>
        <v/>
      </c>
      <c r="J249" s="32"/>
    </row>
    <row r="250" spans="1:10" ht="15">
      <c r="A250" s="3">
        <v>8</v>
      </c>
      <c r="B250" s="31"/>
      <c r="C250" s="30"/>
      <c r="D250" s="119"/>
      <c r="E250" s="32"/>
      <c r="G250" s="31">
        <v>208</v>
      </c>
      <c r="H250" s="30" t="str">
        <f t="shared" si="20"/>
        <v/>
      </c>
      <c r="I250" s="74" t="str">
        <f t="shared" si="21"/>
        <v/>
      </c>
      <c r="J250" s="32"/>
    </row>
    <row r="251" spans="1:10" ht="15">
      <c r="A251" s="3">
        <v>5</v>
      </c>
      <c r="B251" s="31"/>
      <c r="C251" s="30"/>
      <c r="D251" s="119"/>
      <c r="E251" s="32"/>
      <c r="G251" s="31">
        <v>209</v>
      </c>
      <c r="H251" s="30" t="str">
        <f t="shared" si="20"/>
        <v/>
      </c>
      <c r="I251" s="74" t="str">
        <f t="shared" si="21"/>
        <v/>
      </c>
      <c r="J251" s="32"/>
    </row>
    <row r="252" spans="1:10" ht="15">
      <c r="A252" s="3">
        <v>8</v>
      </c>
      <c r="B252" s="31"/>
      <c r="C252" s="30"/>
      <c r="D252" s="119"/>
      <c r="E252" s="32"/>
      <c r="G252" s="31">
        <v>210</v>
      </c>
      <c r="H252" s="30" t="str">
        <f t="shared" si="20"/>
        <v/>
      </c>
      <c r="I252" s="74" t="str">
        <f t="shared" si="21"/>
        <v/>
      </c>
      <c r="J252" s="32"/>
    </row>
    <row r="253" spans="1:10" ht="15">
      <c r="A253" s="3">
        <v>5</v>
      </c>
      <c r="B253" s="31"/>
      <c r="C253" s="30"/>
      <c r="D253" s="119"/>
      <c r="E253" s="32"/>
      <c r="G253" s="31">
        <v>211</v>
      </c>
      <c r="H253" s="30" t="str">
        <f t="shared" si="20"/>
        <v/>
      </c>
      <c r="I253" s="74" t="str">
        <f t="shared" si="21"/>
        <v/>
      </c>
      <c r="J253" s="32"/>
    </row>
    <row r="254" spans="1:10" ht="15">
      <c r="A254" s="3">
        <v>8</v>
      </c>
      <c r="B254" s="31"/>
      <c r="C254" s="30"/>
      <c r="D254" s="119"/>
      <c r="E254" s="32"/>
      <c r="G254" s="31">
        <v>212</v>
      </c>
      <c r="H254" s="30" t="str">
        <f t="shared" si="20"/>
        <v/>
      </c>
      <c r="I254" s="74" t="str">
        <f t="shared" si="21"/>
        <v/>
      </c>
      <c r="J254" s="32"/>
    </row>
    <row r="255" spans="1:10" ht="15">
      <c r="A255" s="3">
        <v>5</v>
      </c>
      <c r="B255" s="31"/>
      <c r="C255" s="30"/>
      <c r="D255" s="119"/>
      <c r="E255" s="32"/>
      <c r="G255" s="31">
        <v>213</v>
      </c>
      <c r="H255" s="30" t="str">
        <f t="shared" si="20"/>
        <v/>
      </c>
      <c r="I255" s="74" t="str">
        <f t="shared" si="21"/>
        <v/>
      </c>
      <c r="J255" s="32"/>
    </row>
    <row r="256" spans="1:10" ht="15">
      <c r="A256" s="3">
        <v>8</v>
      </c>
      <c r="B256" s="31"/>
      <c r="C256" s="30"/>
      <c r="D256" s="119"/>
      <c r="E256" s="32"/>
      <c r="G256" s="31">
        <v>214</v>
      </c>
      <c r="H256" s="30" t="str">
        <f t="shared" si="20"/>
        <v/>
      </c>
      <c r="I256" s="74" t="str">
        <f t="shared" si="21"/>
        <v/>
      </c>
      <c r="J256" s="32"/>
    </row>
    <row r="257" spans="1:10" ht="15">
      <c r="A257" s="3">
        <v>5</v>
      </c>
      <c r="B257" s="31"/>
      <c r="C257" s="30"/>
      <c r="D257" s="119"/>
      <c r="E257" s="32"/>
      <c r="G257" s="31">
        <v>215</v>
      </c>
      <c r="H257" s="30" t="str">
        <f t="shared" si="20"/>
        <v/>
      </c>
      <c r="I257" s="74" t="str">
        <f t="shared" si="21"/>
        <v/>
      </c>
      <c r="J257" s="32"/>
    </row>
    <row r="258" spans="1:10" ht="15">
      <c r="A258" s="3">
        <v>8</v>
      </c>
      <c r="B258" s="31"/>
      <c r="C258" s="30"/>
      <c r="D258" s="119"/>
      <c r="E258" s="32"/>
      <c r="G258" s="31">
        <v>216</v>
      </c>
      <c r="H258" s="30" t="str">
        <f t="shared" si="20"/>
        <v/>
      </c>
      <c r="I258" s="74" t="str">
        <f t="shared" si="21"/>
        <v/>
      </c>
      <c r="J258" s="32"/>
    </row>
    <row r="259" spans="1:10" ht="15">
      <c r="A259" s="3">
        <v>5</v>
      </c>
      <c r="B259" s="31"/>
      <c r="C259" s="30"/>
      <c r="D259" s="119"/>
      <c r="E259" s="32"/>
      <c r="G259" s="31">
        <v>217</v>
      </c>
      <c r="H259" s="30" t="str">
        <f t="shared" si="20"/>
        <v/>
      </c>
      <c r="I259" s="74" t="str">
        <f t="shared" si="21"/>
        <v/>
      </c>
      <c r="J259" s="32"/>
    </row>
    <row r="260" spans="1:10" ht="15">
      <c r="A260" s="3">
        <v>8</v>
      </c>
      <c r="B260" s="31"/>
      <c r="C260" s="30"/>
      <c r="D260" s="119"/>
      <c r="E260" s="32"/>
      <c r="G260" s="31">
        <v>218</v>
      </c>
      <c r="H260" s="30" t="str">
        <f t="shared" si="20"/>
        <v/>
      </c>
      <c r="I260" s="74" t="str">
        <f t="shared" si="21"/>
        <v/>
      </c>
      <c r="J260" s="32"/>
    </row>
    <row r="261" spans="1:10" ht="15">
      <c r="A261" s="3">
        <v>5</v>
      </c>
      <c r="B261" s="31"/>
      <c r="C261" s="30"/>
      <c r="D261" s="119"/>
      <c r="E261" s="32"/>
      <c r="G261" s="31">
        <v>219</v>
      </c>
      <c r="H261" s="30" t="str">
        <f t="shared" si="20"/>
        <v/>
      </c>
      <c r="I261" s="74" t="str">
        <f t="shared" si="21"/>
        <v/>
      </c>
      <c r="J261" s="32"/>
    </row>
    <row r="262" spans="1:10" ht="15">
      <c r="A262" s="3">
        <v>8</v>
      </c>
      <c r="B262" s="31"/>
      <c r="C262" s="30"/>
      <c r="D262" s="119"/>
      <c r="E262" s="32"/>
      <c r="G262" s="31">
        <v>220</v>
      </c>
      <c r="H262" s="30" t="str">
        <f t="shared" si="20"/>
        <v/>
      </c>
      <c r="I262" s="74" t="str">
        <f t="shared" si="21"/>
        <v/>
      </c>
      <c r="J262" s="32"/>
    </row>
    <row r="263" spans="1:10" ht="15">
      <c r="A263" s="3">
        <v>5</v>
      </c>
      <c r="B263" s="31"/>
      <c r="C263" s="30"/>
      <c r="D263" s="119"/>
      <c r="E263" s="32"/>
      <c r="G263" s="31">
        <v>221</v>
      </c>
      <c r="H263" s="30" t="str">
        <f t="shared" si="20"/>
        <v/>
      </c>
      <c r="I263" s="74" t="str">
        <f t="shared" si="21"/>
        <v/>
      </c>
      <c r="J263" s="32"/>
    </row>
    <row r="264" spans="1:10" ht="15">
      <c r="A264" s="3">
        <v>8</v>
      </c>
      <c r="B264" s="31"/>
      <c r="C264" s="30"/>
      <c r="D264" s="119"/>
      <c r="E264" s="32"/>
      <c r="G264" s="31">
        <v>222</v>
      </c>
      <c r="H264" s="30" t="str">
        <f t="shared" si="20"/>
        <v/>
      </c>
      <c r="I264" s="74" t="str">
        <f t="shared" si="21"/>
        <v/>
      </c>
      <c r="J264" s="32"/>
    </row>
    <row r="265" spans="1:10" ht="15">
      <c r="A265" s="3">
        <v>5</v>
      </c>
      <c r="B265" s="31"/>
      <c r="C265" s="30"/>
      <c r="D265" s="119"/>
      <c r="E265" s="32"/>
      <c r="G265" s="31">
        <v>223</v>
      </c>
      <c r="H265" s="30" t="str">
        <f t="shared" si="20"/>
        <v/>
      </c>
      <c r="I265" s="74" t="str">
        <f t="shared" si="21"/>
        <v/>
      </c>
      <c r="J265" s="32"/>
    </row>
    <row r="266" spans="1:10" ht="15">
      <c r="A266" s="3">
        <v>8</v>
      </c>
      <c r="B266" s="31"/>
      <c r="C266" s="30"/>
      <c r="D266" s="119"/>
      <c r="E266" s="32"/>
      <c r="G266" s="31">
        <v>224</v>
      </c>
      <c r="H266" s="30" t="str">
        <f t="shared" si="20"/>
        <v/>
      </c>
      <c r="I266" s="74" t="str">
        <f t="shared" si="21"/>
        <v/>
      </c>
      <c r="J266" s="32"/>
    </row>
    <row r="267" spans="1:10" ht="15">
      <c r="A267" s="3">
        <v>5</v>
      </c>
      <c r="B267" s="31"/>
      <c r="C267" s="30"/>
      <c r="D267" s="119"/>
      <c r="E267" s="32"/>
      <c r="G267" s="31">
        <v>225</v>
      </c>
      <c r="H267" s="30" t="str">
        <f t="shared" si="20"/>
        <v/>
      </c>
      <c r="I267" s="74" t="str">
        <f t="shared" si="21"/>
        <v/>
      </c>
      <c r="J267" s="32"/>
    </row>
    <row r="268" spans="1:10" ht="15">
      <c r="A268" s="3">
        <v>8</v>
      </c>
      <c r="B268" s="31"/>
      <c r="C268" s="30"/>
      <c r="D268" s="119"/>
      <c r="E268" s="32"/>
      <c r="G268" s="31">
        <v>226</v>
      </c>
      <c r="H268" s="30" t="str">
        <f t="shared" si="20"/>
        <v/>
      </c>
      <c r="I268" s="74" t="str">
        <f t="shared" si="21"/>
        <v/>
      </c>
      <c r="J268" s="32"/>
    </row>
    <row r="269" spans="1:10" ht="15">
      <c r="A269" s="3">
        <v>5</v>
      </c>
      <c r="B269" s="31"/>
      <c r="C269" s="30"/>
      <c r="D269" s="119"/>
      <c r="E269" s="32"/>
      <c r="G269" s="31">
        <v>227</v>
      </c>
      <c r="H269" s="30" t="str">
        <f t="shared" si="20"/>
        <v/>
      </c>
      <c r="I269" s="74" t="str">
        <f t="shared" si="21"/>
        <v/>
      </c>
      <c r="J269" s="32"/>
    </row>
    <row r="270" spans="1:10" ht="15">
      <c r="A270" s="3">
        <v>8</v>
      </c>
      <c r="B270" s="31"/>
      <c r="C270" s="30"/>
      <c r="D270" s="119"/>
      <c r="E270" s="32"/>
      <c r="G270" s="31">
        <v>228</v>
      </c>
      <c r="H270" s="30" t="str">
        <f t="shared" si="20"/>
        <v/>
      </c>
      <c r="I270" s="74" t="str">
        <f t="shared" si="21"/>
        <v/>
      </c>
      <c r="J270" s="32"/>
    </row>
    <row r="271" spans="1:10" ht="15">
      <c r="A271" s="3">
        <v>5</v>
      </c>
      <c r="B271" s="31"/>
      <c r="C271" s="30"/>
      <c r="D271" s="119"/>
      <c r="E271" s="32"/>
      <c r="G271" s="31">
        <v>229</v>
      </c>
      <c r="H271" s="30" t="str">
        <f t="shared" si="20"/>
        <v/>
      </c>
      <c r="I271" s="74" t="str">
        <f t="shared" si="21"/>
        <v/>
      </c>
      <c r="J271" s="32"/>
    </row>
    <row r="272" spans="1:10" ht="15">
      <c r="A272" s="3">
        <v>8</v>
      </c>
      <c r="B272" s="31"/>
      <c r="C272" s="30"/>
      <c r="D272" s="119"/>
      <c r="E272" s="32"/>
      <c r="G272" s="31">
        <v>230</v>
      </c>
      <c r="H272" s="30" t="str">
        <f t="shared" si="20"/>
        <v/>
      </c>
      <c r="I272" s="74" t="str">
        <f t="shared" si="21"/>
        <v/>
      </c>
      <c r="J272" s="32"/>
    </row>
    <row r="273" spans="1:10" ht="15">
      <c r="A273" s="3">
        <v>5</v>
      </c>
      <c r="B273" s="31"/>
      <c r="C273" s="30"/>
      <c r="D273" s="119"/>
      <c r="E273" s="32"/>
      <c r="G273" s="31">
        <v>231</v>
      </c>
      <c r="H273" s="30" t="str">
        <f t="shared" si="20"/>
        <v/>
      </c>
      <c r="I273" s="74" t="str">
        <f t="shared" si="21"/>
        <v/>
      </c>
      <c r="J273" s="32"/>
    </row>
    <row r="274" spans="1:10" ht="15">
      <c r="A274" s="3">
        <v>8</v>
      </c>
      <c r="B274" s="31"/>
      <c r="C274" s="30"/>
      <c r="D274" s="119"/>
      <c r="E274" s="32"/>
      <c r="G274" s="31">
        <v>232</v>
      </c>
      <c r="H274" s="30" t="str">
        <f t="shared" si="20"/>
        <v/>
      </c>
      <c r="I274" s="74" t="str">
        <f t="shared" si="21"/>
        <v/>
      </c>
      <c r="J274" s="32"/>
    </row>
    <row r="275" spans="1:10" ht="15">
      <c r="A275" s="3">
        <v>5</v>
      </c>
      <c r="B275" s="31"/>
      <c r="C275" s="30"/>
      <c r="D275" s="119"/>
      <c r="E275" s="32"/>
      <c r="G275" s="31">
        <v>233</v>
      </c>
      <c r="H275" s="30" t="str">
        <f t="shared" si="20"/>
        <v/>
      </c>
      <c r="I275" s="74" t="str">
        <f t="shared" si="21"/>
        <v/>
      </c>
      <c r="J275" s="32"/>
    </row>
    <row r="276" spans="1:10" ht="15">
      <c r="A276" s="3">
        <v>8</v>
      </c>
      <c r="B276" s="31"/>
      <c r="C276" s="30"/>
      <c r="D276" s="119"/>
      <c r="E276" s="32"/>
      <c r="G276" s="31">
        <v>234</v>
      </c>
      <c r="H276" s="30" t="str">
        <f t="shared" si="20"/>
        <v/>
      </c>
      <c r="I276" s="74" t="str">
        <f t="shared" si="21"/>
        <v/>
      </c>
      <c r="J276" s="32"/>
    </row>
    <row r="277" spans="1:10" ht="15">
      <c r="A277" s="3">
        <v>5</v>
      </c>
      <c r="B277" s="31"/>
      <c r="C277" s="30"/>
      <c r="D277" s="119"/>
      <c r="E277" s="32"/>
      <c r="G277" s="31">
        <v>235</v>
      </c>
      <c r="H277" s="30" t="str">
        <f t="shared" si="20"/>
        <v/>
      </c>
      <c r="I277" s="74" t="str">
        <f t="shared" si="21"/>
        <v/>
      </c>
      <c r="J277" s="32"/>
    </row>
    <row r="278" spans="1:10" ht="15">
      <c r="A278" s="3">
        <v>8</v>
      </c>
      <c r="B278" s="31"/>
      <c r="C278" s="30"/>
      <c r="D278" s="119"/>
      <c r="E278" s="32"/>
      <c r="G278" s="31">
        <v>236</v>
      </c>
      <c r="H278" s="30" t="str">
        <f t="shared" si="20"/>
        <v/>
      </c>
      <c r="I278" s="74" t="str">
        <f t="shared" si="21"/>
        <v/>
      </c>
      <c r="J278" s="32"/>
    </row>
    <row r="279" spans="1:10" ht="15">
      <c r="A279" s="3">
        <v>5</v>
      </c>
      <c r="B279" s="31"/>
      <c r="C279" s="30"/>
      <c r="D279" s="119"/>
      <c r="E279" s="32"/>
      <c r="G279" s="31">
        <v>237</v>
      </c>
      <c r="H279" s="30" t="str">
        <f t="shared" si="20"/>
        <v/>
      </c>
      <c r="I279" s="74" t="str">
        <f t="shared" si="21"/>
        <v/>
      </c>
      <c r="J279" s="32"/>
    </row>
    <row r="280" spans="1:10" ht="15">
      <c r="A280" s="3">
        <v>8</v>
      </c>
      <c r="B280" s="31"/>
      <c r="C280" s="30"/>
      <c r="D280" s="119"/>
      <c r="E280" s="32"/>
      <c r="G280" s="31">
        <v>238</v>
      </c>
      <c r="H280" s="30" t="str">
        <f t="shared" si="20"/>
        <v/>
      </c>
      <c r="I280" s="74" t="str">
        <f t="shared" si="21"/>
        <v/>
      </c>
      <c r="J280" s="32"/>
    </row>
    <row r="281" spans="1:10" ht="15">
      <c r="A281" s="3">
        <v>5</v>
      </c>
      <c r="B281" s="31"/>
      <c r="C281" s="30"/>
      <c r="D281" s="119"/>
      <c r="E281" s="32"/>
      <c r="G281" s="31">
        <v>239</v>
      </c>
      <c r="H281" s="30" t="str">
        <f t="shared" si="20"/>
        <v/>
      </c>
      <c r="I281" s="74" t="str">
        <f t="shared" si="21"/>
        <v/>
      </c>
      <c r="J281" s="32"/>
    </row>
    <row r="282" spans="1:10" ht="15">
      <c r="A282" s="3">
        <v>8</v>
      </c>
      <c r="B282" s="31"/>
      <c r="C282" s="30"/>
      <c r="D282" s="119"/>
      <c r="E282" s="32"/>
      <c r="G282" s="31">
        <v>240</v>
      </c>
      <c r="H282" s="30" t="str">
        <f t="shared" si="20"/>
        <v/>
      </c>
      <c r="I282" s="74" t="str">
        <f t="shared" si="21"/>
        <v/>
      </c>
      <c r="J282" s="32"/>
    </row>
    <row r="283" spans="1:10" ht="15">
      <c r="A283" s="3">
        <v>5</v>
      </c>
      <c r="B283" s="31"/>
      <c r="C283" s="30"/>
      <c r="D283" s="119"/>
      <c r="E283" s="32"/>
      <c r="G283" s="31">
        <v>241</v>
      </c>
      <c r="H283" s="30" t="str">
        <f t="shared" si="20"/>
        <v/>
      </c>
      <c r="I283" s="74" t="str">
        <f t="shared" si="21"/>
        <v/>
      </c>
      <c r="J283" s="32"/>
    </row>
    <row r="284" spans="1:10" ht="15">
      <c r="A284" s="3">
        <v>8</v>
      </c>
      <c r="B284" s="31"/>
      <c r="C284" s="30"/>
      <c r="D284" s="119"/>
      <c r="E284" s="32"/>
      <c r="G284" s="31">
        <v>242</v>
      </c>
      <c r="H284" s="30" t="str">
        <f t="shared" si="20"/>
        <v/>
      </c>
      <c r="I284" s="74" t="str">
        <f t="shared" si="21"/>
        <v/>
      </c>
      <c r="J284" s="32"/>
    </row>
    <row r="285" spans="1:10" ht="15">
      <c r="A285" s="3">
        <v>5</v>
      </c>
      <c r="B285" s="31"/>
      <c r="C285" s="30"/>
      <c r="D285" s="119"/>
      <c r="E285" s="32"/>
      <c r="G285" s="31">
        <v>243</v>
      </c>
      <c r="H285" s="30" t="str">
        <f t="shared" si="20"/>
        <v/>
      </c>
      <c r="I285" s="74" t="str">
        <f t="shared" si="21"/>
        <v/>
      </c>
      <c r="J285" s="32"/>
    </row>
    <row r="286" spans="1:10" ht="15">
      <c r="A286" s="3">
        <v>8</v>
      </c>
      <c r="B286" s="31"/>
      <c r="C286" s="30"/>
      <c r="D286" s="119"/>
      <c r="E286" s="32"/>
      <c r="G286" s="31">
        <v>244</v>
      </c>
      <c r="H286" s="30" t="str">
        <f t="shared" si="20"/>
        <v/>
      </c>
      <c r="I286" s="74" t="str">
        <f t="shared" si="21"/>
        <v/>
      </c>
      <c r="J286" s="32"/>
    </row>
    <row r="287" spans="1:10" ht="15">
      <c r="A287" s="3">
        <v>5</v>
      </c>
      <c r="B287" s="31"/>
      <c r="C287" s="30"/>
      <c r="D287" s="119"/>
      <c r="E287" s="32"/>
      <c r="G287" s="31">
        <v>245</v>
      </c>
      <c r="H287" s="30" t="str">
        <f t="shared" si="20"/>
        <v/>
      </c>
      <c r="I287" s="74" t="str">
        <f t="shared" si="21"/>
        <v/>
      </c>
      <c r="J287" s="32"/>
    </row>
    <row r="288" spans="1:10" ht="15">
      <c r="A288" s="3">
        <v>8</v>
      </c>
      <c r="B288" s="31"/>
      <c r="C288" s="30"/>
      <c r="D288" s="119"/>
      <c r="E288" s="32"/>
      <c r="G288" s="31">
        <v>246</v>
      </c>
      <c r="H288" s="30" t="str">
        <f t="shared" si="20"/>
        <v/>
      </c>
      <c r="I288" s="74" t="str">
        <f t="shared" si="21"/>
        <v/>
      </c>
      <c r="J288" s="32"/>
    </row>
    <row r="289" spans="1:10" ht="15">
      <c r="A289" s="3">
        <v>5</v>
      </c>
      <c r="B289" s="31"/>
      <c r="C289" s="30"/>
      <c r="D289" s="119"/>
      <c r="E289" s="32"/>
      <c r="G289" s="31">
        <v>247</v>
      </c>
      <c r="H289" s="30" t="str">
        <f t="shared" si="20"/>
        <v/>
      </c>
      <c r="I289" s="74" t="str">
        <f t="shared" si="21"/>
        <v/>
      </c>
      <c r="J289" s="32"/>
    </row>
    <row r="290" spans="1:10" ht="15">
      <c r="A290" s="3">
        <v>8</v>
      </c>
      <c r="B290" s="31"/>
      <c r="C290" s="30"/>
      <c r="D290" s="119"/>
      <c r="E290" s="32"/>
      <c r="G290" s="31">
        <v>248</v>
      </c>
      <c r="H290" s="30" t="str">
        <f t="shared" si="20"/>
        <v/>
      </c>
      <c r="I290" s="74" t="str">
        <f t="shared" si="21"/>
        <v/>
      </c>
      <c r="J290" s="32"/>
    </row>
    <row r="291" spans="1:10" ht="15">
      <c r="A291" s="3">
        <v>5</v>
      </c>
      <c r="B291" s="31"/>
      <c r="C291" s="30"/>
      <c r="D291" s="119"/>
      <c r="E291" s="32"/>
      <c r="G291" s="31">
        <v>249</v>
      </c>
      <c r="H291" s="30" t="str">
        <f t="shared" si="20"/>
        <v/>
      </c>
      <c r="I291" s="74" t="str">
        <f t="shared" si="21"/>
        <v/>
      </c>
      <c r="J291" s="32"/>
    </row>
    <row r="292" spans="1:10" ht="15">
      <c r="A292" s="3">
        <v>8</v>
      </c>
      <c r="B292" s="31"/>
      <c r="C292" s="30"/>
      <c r="D292" s="119"/>
      <c r="E292" s="32"/>
      <c r="G292" s="31">
        <v>250</v>
      </c>
      <c r="H292" s="30" t="str">
        <f t="shared" si="20"/>
        <v/>
      </c>
      <c r="I292" s="74" t="str">
        <f t="shared" si="21"/>
        <v/>
      </c>
      <c r="J292" s="32"/>
    </row>
    <row r="293" spans="1:10" ht="15">
      <c r="A293" s="3">
        <v>5</v>
      </c>
      <c r="B293" s="31"/>
      <c r="C293" s="30"/>
      <c r="D293" s="119"/>
      <c r="E293" s="32"/>
      <c r="G293" s="31">
        <v>251</v>
      </c>
      <c r="H293" s="30" t="str">
        <f t="shared" si="20"/>
        <v/>
      </c>
      <c r="I293" s="74" t="str">
        <f t="shared" si="21"/>
        <v/>
      </c>
      <c r="J293" s="32"/>
    </row>
    <row r="294" spans="1:10" ht="15">
      <c r="A294" s="3">
        <v>8</v>
      </c>
      <c r="B294" s="31"/>
      <c r="C294" s="30"/>
      <c r="D294" s="119"/>
      <c r="E294" s="32"/>
      <c r="G294" s="31">
        <v>252</v>
      </c>
      <c r="H294" s="30" t="str">
        <f t="shared" si="20"/>
        <v/>
      </c>
      <c r="I294" s="74" t="str">
        <f t="shared" si="21"/>
        <v/>
      </c>
      <c r="J294" s="32"/>
    </row>
    <row r="295" spans="1:10" ht="15">
      <c r="A295" s="3">
        <v>5</v>
      </c>
      <c r="B295" s="31"/>
      <c r="C295" s="30"/>
      <c r="D295" s="119"/>
      <c r="E295" s="32"/>
      <c r="G295" s="31">
        <v>253</v>
      </c>
      <c r="H295" s="30" t="str">
        <f t="shared" si="20"/>
        <v/>
      </c>
      <c r="I295" s="74" t="str">
        <f t="shared" si="21"/>
        <v/>
      </c>
      <c r="J295" s="32"/>
    </row>
    <row r="296" spans="1:10" ht="15">
      <c r="A296" s="3">
        <v>8</v>
      </c>
      <c r="B296" s="31"/>
      <c r="C296" s="30"/>
      <c r="D296" s="119"/>
      <c r="E296" s="32"/>
      <c r="G296" s="31">
        <v>254</v>
      </c>
      <c r="H296" s="30" t="str">
        <f t="shared" si="20"/>
        <v/>
      </c>
      <c r="I296" s="74" t="str">
        <f t="shared" si="21"/>
        <v/>
      </c>
      <c r="J296" s="32"/>
    </row>
    <row r="297" spans="1:10" ht="15">
      <c r="A297" s="3">
        <v>5</v>
      </c>
      <c r="B297" s="31"/>
      <c r="C297" s="30"/>
      <c r="D297" s="119"/>
      <c r="E297" s="32"/>
      <c r="G297" s="31">
        <v>255</v>
      </c>
      <c r="H297" s="30" t="str">
        <f t="shared" si="20"/>
        <v/>
      </c>
      <c r="I297" s="74" t="str">
        <f t="shared" si="21"/>
        <v/>
      </c>
      <c r="J297" s="32"/>
    </row>
    <row r="298" spans="1:10" ht="15">
      <c r="A298" s="3">
        <v>8</v>
      </c>
      <c r="B298" s="31"/>
      <c r="C298" s="30"/>
      <c r="D298" s="119"/>
      <c r="E298" s="32"/>
      <c r="G298" s="31">
        <v>256</v>
      </c>
      <c r="H298" s="30" t="str">
        <f t="shared" si="20"/>
        <v/>
      </c>
      <c r="I298" s="74" t="str">
        <f t="shared" si="21"/>
        <v/>
      </c>
      <c r="J298" s="32"/>
    </row>
    <row r="299" spans="1:10" ht="15">
      <c r="A299" s="3">
        <v>5</v>
      </c>
      <c r="B299" s="31"/>
      <c r="C299" s="30"/>
      <c r="D299" s="119"/>
      <c r="E299" s="32"/>
      <c r="G299" s="31">
        <v>257</v>
      </c>
      <c r="H299" s="30" t="str">
        <f t="shared" si="20"/>
        <v/>
      </c>
      <c r="I299" s="74" t="str">
        <f t="shared" si="21"/>
        <v/>
      </c>
      <c r="J299" s="32"/>
    </row>
    <row r="300" spans="1:10" ht="15">
      <c r="A300" s="3">
        <v>8</v>
      </c>
      <c r="B300" s="31"/>
      <c r="C300" s="30"/>
      <c r="D300" s="119"/>
      <c r="E300" s="32"/>
      <c r="G300" s="31">
        <v>258</v>
      </c>
      <c r="H300" s="30" t="str">
        <f t="shared" ref="H300:H363" si="22">MID($I$41,G300*8-7,8)</f>
        <v/>
      </c>
      <c r="I300" s="74" t="str">
        <f t="shared" ref="I300:I363" si="23">IFERROR(BIN2DEC(VALUE(H300)),"")</f>
        <v/>
      </c>
      <c r="J300" s="32"/>
    </row>
    <row r="301" spans="1:10" ht="15">
      <c r="A301" s="3">
        <v>5</v>
      </c>
      <c r="B301" s="31"/>
      <c r="C301" s="30"/>
      <c r="D301" s="119"/>
      <c r="E301" s="32"/>
      <c r="G301" s="31">
        <v>259</v>
      </c>
      <c r="H301" s="30" t="str">
        <f t="shared" si="22"/>
        <v/>
      </c>
      <c r="I301" s="74" t="str">
        <f t="shared" si="23"/>
        <v/>
      </c>
      <c r="J301" s="32"/>
    </row>
    <row r="302" spans="1:10" ht="15">
      <c r="A302" s="3">
        <v>8</v>
      </c>
      <c r="B302" s="31"/>
      <c r="C302" s="30"/>
      <c r="D302" s="119"/>
      <c r="E302" s="32"/>
      <c r="G302" s="31">
        <v>260</v>
      </c>
      <c r="H302" s="30" t="str">
        <f t="shared" si="22"/>
        <v/>
      </c>
      <c r="I302" s="74" t="str">
        <f t="shared" si="23"/>
        <v/>
      </c>
      <c r="J302" s="32"/>
    </row>
    <row r="303" spans="1:10" ht="15">
      <c r="A303" s="3">
        <v>5</v>
      </c>
      <c r="B303" s="31"/>
      <c r="C303" s="30"/>
      <c r="D303" s="119"/>
      <c r="E303" s="32"/>
      <c r="G303" s="31">
        <v>261</v>
      </c>
      <c r="H303" s="30" t="str">
        <f t="shared" si="22"/>
        <v/>
      </c>
      <c r="I303" s="74" t="str">
        <f t="shared" si="23"/>
        <v/>
      </c>
      <c r="J303" s="32"/>
    </row>
    <row r="304" spans="1:10" ht="15">
      <c r="A304" s="3">
        <v>8</v>
      </c>
      <c r="B304" s="31"/>
      <c r="C304" s="30"/>
      <c r="D304" s="119"/>
      <c r="E304" s="32"/>
      <c r="G304" s="31">
        <v>262</v>
      </c>
      <c r="H304" s="30" t="str">
        <f t="shared" si="22"/>
        <v/>
      </c>
      <c r="I304" s="74" t="str">
        <f t="shared" si="23"/>
        <v/>
      </c>
      <c r="J304" s="32"/>
    </row>
    <row r="305" spans="1:10" ht="15">
      <c r="A305" s="3">
        <v>5</v>
      </c>
      <c r="B305" s="31"/>
      <c r="C305" s="30"/>
      <c r="D305" s="119"/>
      <c r="E305" s="32"/>
      <c r="G305" s="31">
        <v>263</v>
      </c>
      <c r="H305" s="30" t="str">
        <f t="shared" si="22"/>
        <v/>
      </c>
      <c r="I305" s="74" t="str">
        <f t="shared" si="23"/>
        <v/>
      </c>
      <c r="J305" s="32"/>
    </row>
    <row r="306" spans="1:10" ht="15">
      <c r="A306" s="3">
        <v>8</v>
      </c>
      <c r="B306" s="31"/>
      <c r="C306" s="30"/>
      <c r="D306" s="119"/>
      <c r="E306" s="32"/>
      <c r="G306" s="31">
        <v>264</v>
      </c>
      <c r="H306" s="30" t="str">
        <f t="shared" si="22"/>
        <v/>
      </c>
      <c r="I306" s="74" t="str">
        <f t="shared" si="23"/>
        <v/>
      </c>
      <c r="J306" s="32"/>
    </row>
    <row r="307" spans="1:10" ht="15">
      <c r="A307" s="3">
        <v>5</v>
      </c>
      <c r="B307" s="31"/>
      <c r="C307" s="30"/>
      <c r="D307" s="119"/>
      <c r="E307" s="32"/>
      <c r="G307" s="31">
        <v>265</v>
      </c>
      <c r="H307" s="30" t="str">
        <f t="shared" si="22"/>
        <v/>
      </c>
      <c r="I307" s="74" t="str">
        <f t="shared" si="23"/>
        <v/>
      </c>
      <c r="J307" s="32"/>
    </row>
    <row r="308" spans="1:10" ht="15">
      <c r="A308" s="3">
        <v>8</v>
      </c>
      <c r="B308" s="31"/>
      <c r="C308" s="30"/>
      <c r="D308" s="119"/>
      <c r="E308" s="32"/>
      <c r="G308" s="31">
        <v>266</v>
      </c>
      <c r="H308" s="30" t="str">
        <f t="shared" si="22"/>
        <v/>
      </c>
      <c r="I308" s="74" t="str">
        <f t="shared" si="23"/>
        <v/>
      </c>
      <c r="J308" s="32"/>
    </row>
    <row r="309" spans="1:10" ht="15">
      <c r="A309" s="3">
        <v>5</v>
      </c>
      <c r="B309" s="31"/>
      <c r="C309" s="30"/>
      <c r="D309" s="119"/>
      <c r="E309" s="32"/>
      <c r="G309" s="31">
        <v>267</v>
      </c>
      <c r="H309" s="30" t="str">
        <f t="shared" si="22"/>
        <v/>
      </c>
      <c r="I309" s="74" t="str">
        <f t="shared" si="23"/>
        <v/>
      </c>
      <c r="J309" s="32"/>
    </row>
    <row r="310" spans="1:10" ht="15">
      <c r="A310" s="3">
        <v>8</v>
      </c>
      <c r="B310" s="31"/>
      <c r="C310" s="30"/>
      <c r="D310" s="119"/>
      <c r="E310" s="32"/>
      <c r="G310" s="31">
        <v>268</v>
      </c>
      <c r="H310" s="30" t="str">
        <f t="shared" si="22"/>
        <v/>
      </c>
      <c r="I310" s="74" t="str">
        <f t="shared" si="23"/>
        <v/>
      </c>
      <c r="J310" s="32"/>
    </row>
    <row r="311" spans="1:10" ht="15">
      <c r="A311" s="3">
        <v>5</v>
      </c>
      <c r="B311" s="31"/>
      <c r="C311" s="30"/>
      <c r="D311" s="119"/>
      <c r="E311" s="32"/>
      <c r="G311" s="31">
        <v>269</v>
      </c>
      <c r="H311" s="30" t="str">
        <f t="shared" si="22"/>
        <v/>
      </c>
      <c r="I311" s="74" t="str">
        <f t="shared" si="23"/>
        <v/>
      </c>
      <c r="J311" s="32"/>
    </row>
    <row r="312" spans="1:10" ht="15">
      <c r="A312" s="3">
        <v>8</v>
      </c>
      <c r="B312" s="31"/>
      <c r="C312" s="30"/>
      <c r="D312" s="119"/>
      <c r="E312" s="32"/>
      <c r="G312" s="31">
        <v>270</v>
      </c>
      <c r="H312" s="30" t="str">
        <f t="shared" si="22"/>
        <v/>
      </c>
      <c r="I312" s="74" t="str">
        <f t="shared" si="23"/>
        <v/>
      </c>
      <c r="J312" s="32"/>
    </row>
    <row r="313" spans="1:10" ht="15">
      <c r="A313" s="3">
        <v>5</v>
      </c>
      <c r="B313" s="31"/>
      <c r="C313" s="30"/>
      <c r="D313" s="119"/>
      <c r="E313" s="32"/>
      <c r="G313" s="31">
        <v>271</v>
      </c>
      <c r="H313" s="30" t="str">
        <f t="shared" si="22"/>
        <v/>
      </c>
      <c r="I313" s="74" t="str">
        <f t="shared" si="23"/>
        <v/>
      </c>
      <c r="J313" s="32"/>
    </row>
    <row r="314" spans="1:10" ht="15">
      <c r="A314" s="3">
        <v>8</v>
      </c>
      <c r="B314" s="31"/>
      <c r="C314" s="30"/>
      <c r="D314" s="119"/>
      <c r="E314" s="32"/>
      <c r="G314" s="31">
        <v>272</v>
      </c>
      <c r="H314" s="30" t="str">
        <f t="shared" si="22"/>
        <v/>
      </c>
      <c r="I314" s="74" t="str">
        <f t="shared" si="23"/>
        <v/>
      </c>
      <c r="J314" s="32"/>
    </row>
    <row r="315" spans="1:10" ht="15">
      <c r="A315" s="3">
        <v>5</v>
      </c>
      <c r="B315" s="31"/>
      <c r="C315" s="30"/>
      <c r="D315" s="119"/>
      <c r="E315" s="32"/>
      <c r="G315" s="31">
        <v>273</v>
      </c>
      <c r="H315" s="30" t="str">
        <f t="shared" si="22"/>
        <v/>
      </c>
      <c r="I315" s="74" t="str">
        <f t="shared" si="23"/>
        <v/>
      </c>
      <c r="J315" s="32"/>
    </row>
    <row r="316" spans="1:10" ht="15">
      <c r="A316" s="3">
        <v>8</v>
      </c>
      <c r="B316" s="31"/>
      <c r="C316" s="30"/>
      <c r="D316" s="119"/>
      <c r="E316" s="32"/>
      <c r="G316" s="31">
        <v>274</v>
      </c>
      <c r="H316" s="30" t="str">
        <f t="shared" si="22"/>
        <v/>
      </c>
      <c r="I316" s="74" t="str">
        <f t="shared" si="23"/>
        <v/>
      </c>
      <c r="J316" s="32"/>
    </row>
    <row r="317" spans="1:10" ht="15">
      <c r="A317" s="3">
        <v>5</v>
      </c>
      <c r="B317" s="31"/>
      <c r="C317" s="30"/>
      <c r="D317" s="119"/>
      <c r="E317" s="32"/>
      <c r="G317" s="31">
        <v>275</v>
      </c>
      <c r="H317" s="30" t="str">
        <f t="shared" si="22"/>
        <v/>
      </c>
      <c r="I317" s="74" t="str">
        <f t="shared" si="23"/>
        <v/>
      </c>
      <c r="J317" s="32"/>
    </row>
    <row r="318" spans="1:10" ht="15">
      <c r="A318" s="3">
        <v>8</v>
      </c>
      <c r="B318" s="31"/>
      <c r="C318" s="30"/>
      <c r="D318" s="119"/>
      <c r="E318" s="32"/>
      <c r="G318" s="31">
        <v>276</v>
      </c>
      <c r="H318" s="30" t="str">
        <f t="shared" si="22"/>
        <v/>
      </c>
      <c r="I318" s="74" t="str">
        <f t="shared" si="23"/>
        <v/>
      </c>
      <c r="J318" s="32"/>
    </row>
    <row r="319" spans="1:10" ht="15">
      <c r="A319" s="3">
        <v>5</v>
      </c>
      <c r="B319" s="31"/>
      <c r="C319" s="30"/>
      <c r="D319" s="119"/>
      <c r="E319" s="32"/>
      <c r="G319" s="31">
        <v>277</v>
      </c>
      <c r="H319" s="30" t="str">
        <f t="shared" si="22"/>
        <v/>
      </c>
      <c r="I319" s="74" t="str">
        <f t="shared" si="23"/>
        <v/>
      </c>
      <c r="J319" s="32"/>
    </row>
    <row r="320" spans="1:10" ht="15">
      <c r="A320" s="3">
        <v>8</v>
      </c>
      <c r="B320" s="31"/>
      <c r="C320" s="30"/>
      <c r="D320" s="119"/>
      <c r="E320" s="32"/>
      <c r="G320" s="31">
        <v>278</v>
      </c>
      <c r="H320" s="30" t="str">
        <f t="shared" si="22"/>
        <v/>
      </c>
      <c r="I320" s="74" t="str">
        <f t="shared" si="23"/>
        <v/>
      </c>
      <c r="J320" s="32"/>
    </row>
    <row r="321" spans="1:10" ht="15">
      <c r="A321" s="3">
        <v>5</v>
      </c>
      <c r="B321" s="31"/>
      <c r="C321" s="30"/>
      <c r="D321" s="119"/>
      <c r="E321" s="32"/>
      <c r="G321" s="31">
        <v>279</v>
      </c>
      <c r="H321" s="30" t="str">
        <f t="shared" si="22"/>
        <v/>
      </c>
      <c r="I321" s="74" t="str">
        <f t="shared" si="23"/>
        <v/>
      </c>
      <c r="J321" s="32"/>
    </row>
    <row r="322" spans="1:10" ht="15">
      <c r="A322" s="3">
        <v>8</v>
      </c>
      <c r="B322" s="31"/>
      <c r="C322" s="30"/>
      <c r="D322" s="119"/>
      <c r="E322" s="32"/>
      <c r="G322" s="31">
        <v>280</v>
      </c>
      <c r="H322" s="30" t="str">
        <f t="shared" si="22"/>
        <v/>
      </c>
      <c r="I322" s="74" t="str">
        <f t="shared" si="23"/>
        <v/>
      </c>
      <c r="J322" s="32"/>
    </row>
    <row r="323" spans="1:10" ht="15">
      <c r="A323" s="3">
        <v>5</v>
      </c>
      <c r="B323" s="31"/>
      <c r="C323" s="30"/>
      <c r="D323" s="119"/>
      <c r="E323" s="32"/>
      <c r="G323" s="31">
        <v>281</v>
      </c>
      <c r="H323" s="30" t="str">
        <f t="shared" si="22"/>
        <v/>
      </c>
      <c r="I323" s="74" t="str">
        <f t="shared" si="23"/>
        <v/>
      </c>
      <c r="J323" s="32"/>
    </row>
    <row r="324" spans="1:10" ht="15">
      <c r="A324" s="3">
        <v>8</v>
      </c>
      <c r="B324" s="31"/>
      <c r="C324" s="30"/>
      <c r="D324" s="119"/>
      <c r="E324" s="32"/>
      <c r="G324" s="31">
        <v>282</v>
      </c>
      <c r="H324" s="30" t="str">
        <f t="shared" si="22"/>
        <v/>
      </c>
      <c r="I324" s="74" t="str">
        <f t="shared" si="23"/>
        <v/>
      </c>
      <c r="J324" s="32"/>
    </row>
    <row r="325" spans="1:10" ht="15">
      <c r="A325" s="3">
        <v>5</v>
      </c>
      <c r="B325" s="31"/>
      <c r="C325" s="30"/>
      <c r="D325" s="119"/>
      <c r="E325" s="32"/>
      <c r="G325" s="31">
        <v>283</v>
      </c>
      <c r="H325" s="30" t="str">
        <f t="shared" si="22"/>
        <v/>
      </c>
      <c r="I325" s="74" t="str">
        <f t="shared" si="23"/>
        <v/>
      </c>
      <c r="J325" s="32"/>
    </row>
    <row r="326" spans="1:10" ht="15">
      <c r="A326" s="3">
        <v>8</v>
      </c>
      <c r="B326" s="31"/>
      <c r="C326" s="30"/>
      <c r="D326" s="119"/>
      <c r="E326" s="32"/>
      <c r="G326" s="31">
        <v>284</v>
      </c>
      <c r="H326" s="30" t="str">
        <f t="shared" si="22"/>
        <v/>
      </c>
      <c r="I326" s="74" t="str">
        <f t="shared" si="23"/>
        <v/>
      </c>
      <c r="J326" s="32"/>
    </row>
    <row r="327" spans="1:10" ht="15">
      <c r="A327" s="3">
        <v>5</v>
      </c>
      <c r="B327" s="31"/>
      <c r="C327" s="30"/>
      <c r="D327" s="119"/>
      <c r="E327" s="32"/>
      <c r="G327" s="31">
        <v>285</v>
      </c>
      <c r="H327" s="30" t="str">
        <f t="shared" si="22"/>
        <v/>
      </c>
      <c r="I327" s="74" t="str">
        <f t="shared" si="23"/>
        <v/>
      </c>
      <c r="J327" s="32"/>
    </row>
    <row r="328" spans="1:10" ht="15">
      <c r="A328" s="3">
        <v>8</v>
      </c>
      <c r="B328" s="31"/>
      <c r="C328" s="30"/>
      <c r="D328" s="119"/>
      <c r="E328" s="32"/>
      <c r="G328" s="31">
        <v>286</v>
      </c>
      <c r="H328" s="30" t="str">
        <f t="shared" si="22"/>
        <v/>
      </c>
      <c r="I328" s="74" t="str">
        <f t="shared" si="23"/>
        <v/>
      </c>
      <c r="J328" s="32"/>
    </row>
    <row r="329" spans="1:10" ht="15">
      <c r="A329" s="3">
        <v>5</v>
      </c>
      <c r="B329" s="31"/>
      <c r="C329" s="30"/>
      <c r="D329" s="119"/>
      <c r="E329" s="32"/>
      <c r="G329" s="31">
        <v>287</v>
      </c>
      <c r="H329" s="30" t="str">
        <f t="shared" si="22"/>
        <v/>
      </c>
      <c r="I329" s="74" t="str">
        <f t="shared" si="23"/>
        <v/>
      </c>
      <c r="J329" s="32"/>
    </row>
    <row r="330" spans="1:10" ht="15">
      <c r="A330" s="3">
        <v>8</v>
      </c>
      <c r="B330" s="31"/>
      <c r="C330" s="30"/>
      <c r="D330" s="119"/>
      <c r="E330" s="32"/>
      <c r="G330" s="31">
        <v>288</v>
      </c>
      <c r="H330" s="30" t="str">
        <f t="shared" si="22"/>
        <v/>
      </c>
      <c r="I330" s="74" t="str">
        <f t="shared" si="23"/>
        <v/>
      </c>
      <c r="J330" s="32"/>
    </row>
    <row r="331" spans="1:10" ht="15">
      <c r="A331" s="3">
        <v>5</v>
      </c>
      <c r="B331" s="31"/>
      <c r="C331" s="30"/>
      <c r="D331" s="119"/>
      <c r="E331" s="32"/>
      <c r="G331" s="31">
        <v>289</v>
      </c>
      <c r="H331" s="30" t="str">
        <f t="shared" si="22"/>
        <v/>
      </c>
      <c r="I331" s="74" t="str">
        <f t="shared" si="23"/>
        <v/>
      </c>
      <c r="J331" s="32"/>
    </row>
    <row r="332" spans="1:10" ht="15">
      <c r="A332" s="3">
        <v>8</v>
      </c>
      <c r="B332" s="31"/>
      <c r="C332" s="30"/>
      <c r="D332" s="119"/>
      <c r="E332" s="32"/>
      <c r="G332" s="31">
        <v>290</v>
      </c>
      <c r="H332" s="30" t="str">
        <f t="shared" si="22"/>
        <v/>
      </c>
      <c r="I332" s="74" t="str">
        <f t="shared" si="23"/>
        <v/>
      </c>
      <c r="J332" s="32"/>
    </row>
    <row r="333" spans="1:10" ht="15">
      <c r="A333" s="3">
        <v>5</v>
      </c>
      <c r="B333" s="31"/>
      <c r="C333" s="30"/>
      <c r="D333" s="119"/>
      <c r="E333" s="32"/>
      <c r="G333" s="31">
        <v>291</v>
      </c>
      <c r="H333" s="30" t="str">
        <f t="shared" si="22"/>
        <v/>
      </c>
      <c r="I333" s="74" t="str">
        <f t="shared" si="23"/>
        <v/>
      </c>
      <c r="J333" s="32"/>
    </row>
    <row r="334" spans="1:10" ht="15">
      <c r="A334" s="3">
        <v>8</v>
      </c>
      <c r="B334" s="31"/>
      <c r="C334" s="30"/>
      <c r="D334" s="119"/>
      <c r="E334" s="32"/>
      <c r="G334" s="31">
        <v>292</v>
      </c>
      <c r="H334" s="30" t="str">
        <f t="shared" si="22"/>
        <v/>
      </c>
      <c r="I334" s="74" t="str">
        <f t="shared" si="23"/>
        <v/>
      </c>
      <c r="J334" s="32"/>
    </row>
    <row r="335" spans="1:10" ht="15">
      <c r="A335" s="3">
        <v>5</v>
      </c>
      <c r="B335" s="31"/>
      <c r="C335" s="30"/>
      <c r="D335" s="119"/>
      <c r="E335" s="32"/>
      <c r="G335" s="31">
        <v>293</v>
      </c>
      <c r="H335" s="30" t="str">
        <f t="shared" si="22"/>
        <v/>
      </c>
      <c r="I335" s="74" t="str">
        <f t="shared" si="23"/>
        <v/>
      </c>
      <c r="J335" s="32"/>
    </row>
    <row r="336" spans="1:10" ht="15">
      <c r="A336" s="3">
        <v>8</v>
      </c>
      <c r="B336" s="31"/>
      <c r="C336" s="30"/>
      <c r="D336" s="119"/>
      <c r="E336" s="32"/>
      <c r="G336" s="31">
        <v>294</v>
      </c>
      <c r="H336" s="30" t="str">
        <f t="shared" si="22"/>
        <v/>
      </c>
      <c r="I336" s="74" t="str">
        <f t="shared" si="23"/>
        <v/>
      </c>
      <c r="J336" s="32"/>
    </row>
    <row r="337" spans="1:10" ht="15">
      <c r="A337" s="3">
        <v>5</v>
      </c>
      <c r="B337" s="31"/>
      <c r="C337" s="30"/>
      <c r="D337" s="119"/>
      <c r="E337" s="32"/>
      <c r="G337" s="31">
        <v>295</v>
      </c>
      <c r="H337" s="30" t="str">
        <f t="shared" si="22"/>
        <v/>
      </c>
      <c r="I337" s="74" t="str">
        <f t="shared" si="23"/>
        <v/>
      </c>
      <c r="J337" s="32"/>
    </row>
    <row r="338" spans="1:10" ht="15">
      <c r="A338" s="3">
        <v>8</v>
      </c>
      <c r="B338" s="31"/>
      <c r="C338" s="30"/>
      <c r="D338" s="119"/>
      <c r="E338" s="32"/>
      <c r="G338" s="31">
        <v>296</v>
      </c>
      <c r="H338" s="30" t="str">
        <f t="shared" si="22"/>
        <v/>
      </c>
      <c r="I338" s="74" t="str">
        <f t="shared" si="23"/>
        <v/>
      </c>
      <c r="J338" s="32"/>
    </row>
    <row r="339" spans="1:10" ht="15">
      <c r="A339" s="3">
        <v>5</v>
      </c>
      <c r="B339" s="31"/>
      <c r="C339" s="30"/>
      <c r="D339" s="119"/>
      <c r="E339" s="32"/>
      <c r="G339" s="31">
        <v>297</v>
      </c>
      <c r="H339" s="30" t="str">
        <f t="shared" si="22"/>
        <v/>
      </c>
      <c r="I339" s="74" t="str">
        <f t="shared" si="23"/>
        <v/>
      </c>
      <c r="J339" s="32"/>
    </row>
    <row r="340" spans="1:10" ht="15">
      <c r="A340" s="3">
        <v>8</v>
      </c>
      <c r="B340" s="31"/>
      <c r="C340" s="30"/>
      <c r="D340" s="119"/>
      <c r="E340" s="32"/>
      <c r="G340" s="31">
        <v>298</v>
      </c>
      <c r="H340" s="30" t="str">
        <f t="shared" si="22"/>
        <v/>
      </c>
      <c r="I340" s="74" t="str">
        <f t="shared" si="23"/>
        <v/>
      </c>
      <c r="J340" s="32"/>
    </row>
    <row r="341" spans="1:10" ht="15">
      <c r="A341" s="3">
        <v>5</v>
      </c>
      <c r="B341" s="31"/>
      <c r="C341" s="30"/>
      <c r="D341" s="119"/>
      <c r="E341" s="32"/>
      <c r="G341" s="31">
        <v>299</v>
      </c>
      <c r="H341" s="30" t="str">
        <f t="shared" si="22"/>
        <v/>
      </c>
      <c r="I341" s="74" t="str">
        <f t="shared" si="23"/>
        <v/>
      </c>
      <c r="J341" s="32"/>
    </row>
    <row r="342" spans="1:10" ht="15">
      <c r="A342" s="3">
        <v>8</v>
      </c>
      <c r="B342" s="31"/>
      <c r="C342" s="30"/>
      <c r="D342" s="119"/>
      <c r="E342" s="32"/>
      <c r="G342" s="31">
        <v>300</v>
      </c>
      <c r="H342" s="30" t="str">
        <f t="shared" si="22"/>
        <v/>
      </c>
      <c r="I342" s="74" t="str">
        <f t="shared" si="23"/>
        <v/>
      </c>
      <c r="J342" s="32"/>
    </row>
    <row r="343" spans="1:10" ht="15">
      <c r="A343" s="3">
        <v>5</v>
      </c>
      <c r="B343" s="31"/>
      <c r="C343" s="30"/>
      <c r="D343" s="119"/>
      <c r="E343" s="32"/>
      <c r="G343" s="31">
        <v>301</v>
      </c>
      <c r="H343" s="30" t="str">
        <f t="shared" si="22"/>
        <v/>
      </c>
      <c r="I343" s="74" t="str">
        <f t="shared" si="23"/>
        <v/>
      </c>
      <c r="J343" s="32"/>
    </row>
    <row r="344" spans="1:10" ht="15">
      <c r="A344" s="3">
        <v>8</v>
      </c>
      <c r="B344" s="31"/>
      <c r="C344" s="30"/>
      <c r="D344" s="119"/>
      <c r="E344" s="32"/>
      <c r="G344" s="31">
        <v>302</v>
      </c>
      <c r="H344" s="30" t="str">
        <f t="shared" si="22"/>
        <v/>
      </c>
      <c r="I344" s="74" t="str">
        <f t="shared" si="23"/>
        <v/>
      </c>
      <c r="J344" s="32"/>
    </row>
    <row r="345" spans="1:10" ht="15">
      <c r="A345" s="3">
        <v>5</v>
      </c>
      <c r="B345" s="31"/>
      <c r="C345" s="30"/>
      <c r="D345" s="119"/>
      <c r="E345" s="32"/>
      <c r="G345" s="31">
        <v>303</v>
      </c>
      <c r="H345" s="30" t="str">
        <f t="shared" si="22"/>
        <v/>
      </c>
      <c r="I345" s="74" t="str">
        <f t="shared" si="23"/>
        <v/>
      </c>
      <c r="J345" s="32"/>
    </row>
    <row r="346" spans="1:10" ht="15">
      <c r="A346" s="3">
        <v>8</v>
      </c>
      <c r="B346" s="31"/>
      <c r="C346" s="30"/>
      <c r="D346" s="119"/>
      <c r="E346" s="32"/>
      <c r="G346" s="31">
        <v>304</v>
      </c>
      <c r="H346" s="30" t="str">
        <f t="shared" si="22"/>
        <v/>
      </c>
      <c r="I346" s="74" t="str">
        <f t="shared" si="23"/>
        <v/>
      </c>
      <c r="J346" s="32"/>
    </row>
    <row r="347" spans="1:10" ht="15">
      <c r="A347" s="3">
        <v>5</v>
      </c>
      <c r="B347" s="31"/>
      <c r="C347" s="30"/>
      <c r="D347" s="119"/>
      <c r="E347" s="32"/>
      <c r="G347" s="31">
        <v>305</v>
      </c>
      <c r="H347" s="30" t="str">
        <f t="shared" si="22"/>
        <v/>
      </c>
      <c r="I347" s="74" t="str">
        <f t="shared" si="23"/>
        <v/>
      </c>
      <c r="J347" s="32"/>
    </row>
    <row r="348" spans="1:10" ht="15">
      <c r="A348" s="3">
        <v>8</v>
      </c>
      <c r="B348" s="31"/>
      <c r="C348" s="30"/>
      <c r="D348" s="119"/>
      <c r="E348" s="32"/>
      <c r="G348" s="31">
        <v>306</v>
      </c>
      <c r="H348" s="30" t="str">
        <f t="shared" si="22"/>
        <v/>
      </c>
      <c r="I348" s="74" t="str">
        <f t="shared" si="23"/>
        <v/>
      </c>
      <c r="J348" s="32"/>
    </row>
    <row r="349" spans="1:10" ht="15">
      <c r="A349" s="3">
        <v>5</v>
      </c>
      <c r="B349" s="31"/>
      <c r="C349" s="30"/>
      <c r="D349" s="119"/>
      <c r="E349" s="32"/>
      <c r="G349" s="31">
        <v>307</v>
      </c>
      <c r="H349" s="30" t="str">
        <f t="shared" si="22"/>
        <v/>
      </c>
      <c r="I349" s="74" t="str">
        <f t="shared" si="23"/>
        <v/>
      </c>
      <c r="J349" s="32"/>
    </row>
    <row r="350" spans="1:10" ht="15">
      <c r="A350" s="3">
        <v>8</v>
      </c>
      <c r="B350" s="31"/>
      <c r="C350" s="30"/>
      <c r="D350" s="119"/>
      <c r="E350" s="32"/>
      <c r="G350" s="31">
        <v>308</v>
      </c>
      <c r="H350" s="30" t="str">
        <f t="shared" si="22"/>
        <v/>
      </c>
      <c r="I350" s="74" t="str">
        <f t="shared" si="23"/>
        <v/>
      </c>
      <c r="J350" s="32"/>
    </row>
    <row r="351" spans="1:10" ht="15">
      <c r="A351" s="3">
        <v>5</v>
      </c>
      <c r="B351" s="31"/>
      <c r="C351" s="30"/>
      <c r="D351" s="119"/>
      <c r="E351" s="32"/>
      <c r="G351" s="31">
        <v>309</v>
      </c>
      <c r="H351" s="30" t="str">
        <f t="shared" si="22"/>
        <v/>
      </c>
      <c r="I351" s="74" t="str">
        <f t="shared" si="23"/>
        <v/>
      </c>
      <c r="J351" s="32"/>
    </row>
    <row r="352" spans="1:10" ht="15">
      <c r="A352" s="3">
        <v>8</v>
      </c>
      <c r="B352" s="31"/>
      <c r="C352" s="30"/>
      <c r="D352" s="119"/>
      <c r="E352" s="32"/>
      <c r="G352" s="31">
        <v>310</v>
      </c>
      <c r="H352" s="30" t="str">
        <f t="shared" si="22"/>
        <v/>
      </c>
      <c r="I352" s="74" t="str">
        <f t="shared" si="23"/>
        <v/>
      </c>
      <c r="J352" s="32"/>
    </row>
    <row r="353" spans="1:10" ht="15">
      <c r="A353" s="3">
        <v>5</v>
      </c>
      <c r="B353" s="31"/>
      <c r="C353" s="30"/>
      <c r="D353" s="119"/>
      <c r="E353" s="32"/>
      <c r="G353" s="31">
        <v>311</v>
      </c>
      <c r="H353" s="30" t="str">
        <f t="shared" si="22"/>
        <v/>
      </c>
      <c r="I353" s="74" t="str">
        <f t="shared" si="23"/>
        <v/>
      </c>
      <c r="J353" s="32"/>
    </row>
    <row r="354" spans="1:10" ht="15">
      <c r="A354" s="3">
        <v>8</v>
      </c>
      <c r="B354" s="31"/>
      <c r="C354" s="30"/>
      <c r="D354" s="119"/>
      <c r="E354" s="32"/>
      <c r="G354" s="31">
        <v>312</v>
      </c>
      <c r="H354" s="30" t="str">
        <f t="shared" si="22"/>
        <v/>
      </c>
      <c r="I354" s="74" t="str">
        <f t="shared" si="23"/>
        <v/>
      </c>
      <c r="J354" s="32"/>
    </row>
    <row r="355" spans="1:10" ht="15">
      <c r="A355" s="3">
        <v>5</v>
      </c>
      <c r="B355" s="31"/>
      <c r="C355" s="30"/>
      <c r="D355" s="119"/>
      <c r="E355" s="32"/>
      <c r="G355" s="31">
        <v>313</v>
      </c>
      <c r="H355" s="30" t="str">
        <f t="shared" si="22"/>
        <v/>
      </c>
      <c r="I355" s="74" t="str">
        <f t="shared" si="23"/>
        <v/>
      </c>
      <c r="J355" s="32"/>
    </row>
    <row r="356" spans="1:10" ht="15">
      <c r="A356" s="3">
        <v>8</v>
      </c>
      <c r="B356" s="31"/>
      <c r="C356" s="30"/>
      <c r="D356" s="119"/>
      <c r="E356" s="32"/>
      <c r="G356" s="31">
        <v>314</v>
      </c>
      <c r="H356" s="30" t="str">
        <f t="shared" si="22"/>
        <v/>
      </c>
      <c r="I356" s="74" t="str">
        <f t="shared" si="23"/>
        <v/>
      </c>
      <c r="J356" s="32"/>
    </row>
    <row r="357" spans="1:10" ht="15">
      <c r="A357" s="3">
        <v>5</v>
      </c>
      <c r="B357" s="31"/>
      <c r="C357" s="30"/>
      <c r="D357" s="119"/>
      <c r="E357" s="32"/>
      <c r="G357" s="31">
        <v>315</v>
      </c>
      <c r="H357" s="30" t="str">
        <f t="shared" si="22"/>
        <v/>
      </c>
      <c r="I357" s="74" t="str">
        <f t="shared" si="23"/>
        <v/>
      </c>
      <c r="J357" s="32"/>
    </row>
    <row r="358" spans="1:10" ht="15">
      <c r="A358" s="3">
        <v>8</v>
      </c>
      <c r="B358" s="31"/>
      <c r="C358" s="30"/>
      <c r="D358" s="119"/>
      <c r="E358" s="32"/>
      <c r="G358" s="31">
        <v>316</v>
      </c>
      <c r="H358" s="30" t="str">
        <f t="shared" si="22"/>
        <v/>
      </c>
      <c r="I358" s="74" t="str">
        <f t="shared" si="23"/>
        <v/>
      </c>
      <c r="J358" s="32"/>
    </row>
    <row r="359" spans="1:10" ht="15">
      <c r="A359" s="3">
        <v>5</v>
      </c>
      <c r="B359" s="31"/>
      <c r="C359" s="30"/>
      <c r="D359" s="119"/>
      <c r="E359" s="32"/>
      <c r="G359" s="31">
        <v>317</v>
      </c>
      <c r="H359" s="30" t="str">
        <f t="shared" si="22"/>
        <v/>
      </c>
      <c r="I359" s="74" t="str">
        <f t="shared" si="23"/>
        <v/>
      </c>
      <c r="J359" s="32"/>
    </row>
    <row r="360" spans="1:10" ht="15">
      <c r="A360" s="3">
        <v>8</v>
      </c>
      <c r="B360" s="31"/>
      <c r="C360" s="30"/>
      <c r="D360" s="119"/>
      <c r="E360" s="32"/>
      <c r="G360" s="31">
        <v>318</v>
      </c>
      <c r="H360" s="30" t="str">
        <f t="shared" si="22"/>
        <v/>
      </c>
      <c r="I360" s="74" t="str">
        <f t="shared" si="23"/>
        <v/>
      </c>
      <c r="J360" s="32"/>
    </row>
    <row r="361" spans="1:10" ht="15">
      <c r="A361" s="3">
        <v>5</v>
      </c>
      <c r="B361" s="31"/>
      <c r="C361" s="30"/>
      <c r="D361" s="119"/>
      <c r="E361" s="32"/>
      <c r="G361" s="31">
        <v>319</v>
      </c>
      <c r="H361" s="30" t="str">
        <f t="shared" si="22"/>
        <v/>
      </c>
      <c r="I361" s="74" t="str">
        <f t="shared" si="23"/>
        <v/>
      </c>
      <c r="J361" s="32"/>
    </row>
    <row r="362" spans="1:10" ht="15">
      <c r="A362" s="3">
        <v>8</v>
      </c>
      <c r="B362" s="31"/>
      <c r="C362" s="30"/>
      <c r="D362" s="119"/>
      <c r="E362" s="32"/>
      <c r="G362" s="31">
        <v>320</v>
      </c>
      <c r="H362" s="30" t="str">
        <f t="shared" si="22"/>
        <v/>
      </c>
      <c r="I362" s="74" t="str">
        <f t="shared" si="23"/>
        <v/>
      </c>
      <c r="J362" s="32"/>
    </row>
    <row r="363" spans="1:10" ht="15">
      <c r="A363" s="3">
        <v>5</v>
      </c>
      <c r="B363" s="31"/>
      <c r="C363" s="30"/>
      <c r="D363" s="119"/>
      <c r="E363" s="32"/>
      <c r="G363" s="31">
        <v>321</v>
      </c>
      <c r="H363" s="30" t="str">
        <f t="shared" si="22"/>
        <v/>
      </c>
      <c r="I363" s="74" t="str">
        <f t="shared" si="23"/>
        <v/>
      </c>
      <c r="J363" s="32"/>
    </row>
    <row r="364" spans="1:10" ht="15">
      <c r="A364" s="3">
        <v>8</v>
      </c>
      <c r="B364" s="31"/>
      <c r="C364" s="30"/>
      <c r="D364" s="119"/>
      <c r="E364" s="32"/>
      <c r="G364" s="31">
        <v>322</v>
      </c>
      <c r="H364" s="30" t="str">
        <f t="shared" ref="H364:H427" si="24">MID($I$41,G364*8-7,8)</f>
        <v/>
      </c>
      <c r="I364" s="74" t="str">
        <f t="shared" ref="I364:I427" si="25">IFERROR(BIN2DEC(VALUE(H364)),"")</f>
        <v/>
      </c>
      <c r="J364" s="32"/>
    </row>
    <row r="365" spans="1:10" ht="15">
      <c r="A365" s="3">
        <v>5</v>
      </c>
      <c r="B365" s="31"/>
      <c r="C365" s="30"/>
      <c r="D365" s="119"/>
      <c r="E365" s="32"/>
      <c r="G365" s="31">
        <v>323</v>
      </c>
      <c r="H365" s="30" t="str">
        <f t="shared" si="24"/>
        <v/>
      </c>
      <c r="I365" s="74" t="str">
        <f t="shared" si="25"/>
        <v/>
      </c>
      <c r="J365" s="32"/>
    </row>
    <row r="366" spans="1:10" ht="15">
      <c r="A366" s="3">
        <v>8</v>
      </c>
      <c r="B366" s="31"/>
      <c r="C366" s="30"/>
      <c r="D366" s="119"/>
      <c r="E366" s="32"/>
      <c r="G366" s="31">
        <v>324</v>
      </c>
      <c r="H366" s="30" t="str">
        <f t="shared" si="24"/>
        <v/>
      </c>
      <c r="I366" s="74" t="str">
        <f t="shared" si="25"/>
        <v/>
      </c>
      <c r="J366" s="32"/>
    </row>
    <row r="367" spans="1:10" ht="15">
      <c r="A367" s="3">
        <v>5</v>
      </c>
      <c r="B367" s="31"/>
      <c r="C367" s="30"/>
      <c r="D367" s="119"/>
      <c r="E367" s="32"/>
      <c r="G367" s="31">
        <v>325</v>
      </c>
      <c r="H367" s="30" t="str">
        <f t="shared" si="24"/>
        <v/>
      </c>
      <c r="I367" s="74" t="str">
        <f t="shared" si="25"/>
        <v/>
      </c>
      <c r="J367" s="32"/>
    </row>
    <row r="368" spans="1:10" ht="15">
      <c r="A368" s="3">
        <v>8</v>
      </c>
      <c r="B368" s="31"/>
      <c r="C368" s="30"/>
      <c r="D368" s="119"/>
      <c r="E368" s="32"/>
      <c r="G368" s="31">
        <v>326</v>
      </c>
      <c r="H368" s="30" t="str">
        <f t="shared" si="24"/>
        <v/>
      </c>
      <c r="I368" s="74" t="str">
        <f t="shared" si="25"/>
        <v/>
      </c>
      <c r="J368" s="32"/>
    </row>
    <row r="369" spans="1:10" ht="15">
      <c r="A369" s="3">
        <v>5</v>
      </c>
      <c r="B369" s="31"/>
      <c r="C369" s="30"/>
      <c r="D369" s="119"/>
      <c r="E369" s="32"/>
      <c r="G369" s="31">
        <v>327</v>
      </c>
      <c r="H369" s="30" t="str">
        <f t="shared" si="24"/>
        <v/>
      </c>
      <c r="I369" s="74" t="str">
        <f t="shared" si="25"/>
        <v/>
      </c>
      <c r="J369" s="32"/>
    </row>
    <row r="370" spans="1:10" ht="15">
      <c r="A370" s="3">
        <v>8</v>
      </c>
      <c r="B370" s="31"/>
      <c r="C370" s="30"/>
      <c r="D370" s="119"/>
      <c r="E370" s="32"/>
      <c r="G370" s="31">
        <v>328</v>
      </c>
      <c r="H370" s="30" t="str">
        <f t="shared" si="24"/>
        <v/>
      </c>
      <c r="I370" s="74" t="str">
        <f t="shared" si="25"/>
        <v/>
      </c>
      <c r="J370" s="32"/>
    </row>
    <row r="371" spans="1:10" ht="15">
      <c r="A371" s="3">
        <v>5</v>
      </c>
      <c r="B371" s="31"/>
      <c r="C371" s="30"/>
      <c r="D371" s="119"/>
      <c r="E371" s="32"/>
      <c r="G371" s="31">
        <v>329</v>
      </c>
      <c r="H371" s="30" t="str">
        <f t="shared" si="24"/>
        <v/>
      </c>
      <c r="I371" s="74" t="str">
        <f t="shared" si="25"/>
        <v/>
      </c>
      <c r="J371" s="32"/>
    </row>
    <row r="372" spans="1:10" ht="15">
      <c r="A372" s="3">
        <v>8</v>
      </c>
      <c r="B372" s="31"/>
      <c r="C372" s="30"/>
      <c r="D372" s="119"/>
      <c r="E372" s="32"/>
      <c r="G372" s="31">
        <v>330</v>
      </c>
      <c r="H372" s="30" t="str">
        <f t="shared" si="24"/>
        <v/>
      </c>
      <c r="I372" s="74" t="str">
        <f t="shared" si="25"/>
        <v/>
      </c>
      <c r="J372" s="32"/>
    </row>
    <row r="373" spans="1:10" ht="15">
      <c r="A373" s="3">
        <v>5</v>
      </c>
      <c r="B373" s="31"/>
      <c r="C373" s="30"/>
      <c r="D373" s="119"/>
      <c r="E373" s="32"/>
      <c r="G373" s="31">
        <v>331</v>
      </c>
      <c r="H373" s="30" t="str">
        <f t="shared" si="24"/>
        <v/>
      </c>
      <c r="I373" s="74" t="str">
        <f t="shared" si="25"/>
        <v/>
      </c>
      <c r="J373" s="32"/>
    </row>
    <row r="374" spans="1:10" ht="15">
      <c r="A374" s="3">
        <v>8</v>
      </c>
      <c r="B374" s="31"/>
      <c r="C374" s="30"/>
      <c r="D374" s="119"/>
      <c r="E374" s="32"/>
      <c r="G374" s="31">
        <v>332</v>
      </c>
      <c r="H374" s="30" t="str">
        <f t="shared" si="24"/>
        <v/>
      </c>
      <c r="I374" s="74" t="str">
        <f t="shared" si="25"/>
        <v/>
      </c>
      <c r="J374" s="32"/>
    </row>
    <row r="375" spans="1:10" ht="15">
      <c r="A375" s="3">
        <v>5</v>
      </c>
      <c r="B375" s="31"/>
      <c r="C375" s="30"/>
      <c r="D375" s="119"/>
      <c r="E375" s="32"/>
      <c r="G375" s="31">
        <v>333</v>
      </c>
      <c r="H375" s="30" t="str">
        <f t="shared" si="24"/>
        <v/>
      </c>
      <c r="I375" s="74" t="str">
        <f t="shared" si="25"/>
        <v/>
      </c>
      <c r="J375" s="32"/>
    </row>
    <row r="376" spans="1:10" ht="15">
      <c r="A376" s="3">
        <v>8</v>
      </c>
      <c r="B376" s="31"/>
      <c r="C376" s="30"/>
      <c r="D376" s="119"/>
      <c r="E376" s="32"/>
      <c r="G376" s="31">
        <v>334</v>
      </c>
      <c r="H376" s="30" t="str">
        <f t="shared" si="24"/>
        <v/>
      </c>
      <c r="I376" s="74" t="str">
        <f t="shared" si="25"/>
        <v/>
      </c>
      <c r="J376" s="32"/>
    </row>
    <row r="377" spans="1:10" ht="15">
      <c r="A377" s="3">
        <v>5</v>
      </c>
      <c r="B377" s="31"/>
      <c r="C377" s="30"/>
      <c r="D377" s="119"/>
      <c r="E377" s="32"/>
      <c r="G377" s="31">
        <v>335</v>
      </c>
      <c r="H377" s="30" t="str">
        <f t="shared" si="24"/>
        <v/>
      </c>
      <c r="I377" s="74" t="str">
        <f t="shared" si="25"/>
        <v/>
      </c>
      <c r="J377" s="32"/>
    </row>
    <row r="378" spans="1:10" ht="15">
      <c r="A378" s="3">
        <v>8</v>
      </c>
      <c r="B378" s="31"/>
      <c r="C378" s="30"/>
      <c r="D378" s="119"/>
      <c r="E378" s="32"/>
      <c r="G378" s="31">
        <v>336</v>
      </c>
      <c r="H378" s="30" t="str">
        <f t="shared" si="24"/>
        <v/>
      </c>
      <c r="I378" s="74" t="str">
        <f t="shared" si="25"/>
        <v/>
      </c>
      <c r="J378" s="32"/>
    </row>
    <row r="379" spans="1:10" ht="15">
      <c r="A379" s="3">
        <v>5</v>
      </c>
      <c r="B379" s="31"/>
      <c r="C379" s="30"/>
      <c r="D379" s="119"/>
      <c r="E379" s="32"/>
      <c r="G379" s="31">
        <v>337</v>
      </c>
      <c r="H379" s="30" t="str">
        <f t="shared" si="24"/>
        <v/>
      </c>
      <c r="I379" s="74" t="str">
        <f t="shared" si="25"/>
        <v/>
      </c>
      <c r="J379" s="32"/>
    </row>
    <row r="380" spans="1:10" ht="15">
      <c r="A380" s="3">
        <v>8</v>
      </c>
      <c r="B380" s="31"/>
      <c r="C380" s="30"/>
      <c r="D380" s="119"/>
      <c r="E380" s="32"/>
      <c r="G380" s="31">
        <v>338</v>
      </c>
      <c r="H380" s="30" t="str">
        <f t="shared" si="24"/>
        <v/>
      </c>
      <c r="I380" s="74" t="str">
        <f t="shared" si="25"/>
        <v/>
      </c>
      <c r="J380" s="32"/>
    </row>
    <row r="381" spans="1:10" ht="15">
      <c r="A381" s="3">
        <v>5</v>
      </c>
      <c r="B381" s="31"/>
      <c r="C381" s="30"/>
      <c r="D381" s="119"/>
      <c r="E381" s="32"/>
      <c r="G381" s="31">
        <v>339</v>
      </c>
      <c r="H381" s="30" t="str">
        <f t="shared" si="24"/>
        <v/>
      </c>
      <c r="I381" s="74" t="str">
        <f t="shared" si="25"/>
        <v/>
      </c>
      <c r="J381" s="32"/>
    </row>
    <row r="382" spans="1:10" ht="15">
      <c r="A382" s="3">
        <v>8</v>
      </c>
      <c r="B382" s="31"/>
      <c r="C382" s="30"/>
      <c r="D382" s="119"/>
      <c r="E382" s="32"/>
      <c r="G382" s="31">
        <v>340</v>
      </c>
      <c r="H382" s="30" t="str">
        <f t="shared" si="24"/>
        <v/>
      </c>
      <c r="I382" s="74" t="str">
        <f t="shared" si="25"/>
        <v/>
      </c>
      <c r="J382" s="32"/>
    </row>
    <row r="383" spans="1:10" ht="15">
      <c r="A383" s="3">
        <v>5</v>
      </c>
      <c r="B383" s="31"/>
      <c r="C383" s="30"/>
      <c r="D383" s="119"/>
      <c r="E383" s="32"/>
      <c r="G383" s="31">
        <v>341</v>
      </c>
      <c r="H383" s="30" t="str">
        <f t="shared" si="24"/>
        <v/>
      </c>
      <c r="I383" s="74" t="str">
        <f t="shared" si="25"/>
        <v/>
      </c>
      <c r="J383" s="32"/>
    </row>
    <row r="384" spans="1:10" ht="15">
      <c r="A384" s="3">
        <v>8</v>
      </c>
      <c r="B384" s="31"/>
      <c r="C384" s="30"/>
      <c r="D384" s="119"/>
      <c r="E384" s="32"/>
      <c r="G384" s="31">
        <v>342</v>
      </c>
      <c r="H384" s="30" t="str">
        <f t="shared" si="24"/>
        <v/>
      </c>
      <c r="I384" s="74" t="str">
        <f t="shared" si="25"/>
        <v/>
      </c>
      <c r="J384" s="32"/>
    </row>
    <row r="385" spans="1:10" ht="15">
      <c r="A385" s="3">
        <v>5</v>
      </c>
      <c r="B385" s="31"/>
      <c r="C385" s="30"/>
      <c r="D385" s="119"/>
      <c r="E385" s="32"/>
      <c r="G385" s="31">
        <v>343</v>
      </c>
      <c r="H385" s="30" t="str">
        <f t="shared" si="24"/>
        <v/>
      </c>
      <c r="I385" s="74" t="str">
        <f t="shared" si="25"/>
        <v/>
      </c>
      <c r="J385" s="32"/>
    </row>
    <row r="386" spans="1:10" ht="15">
      <c r="A386" s="3">
        <v>8</v>
      </c>
      <c r="B386" s="31"/>
      <c r="C386" s="30"/>
      <c r="D386" s="119"/>
      <c r="E386" s="32"/>
      <c r="G386" s="31">
        <v>344</v>
      </c>
      <c r="H386" s="30" t="str">
        <f t="shared" si="24"/>
        <v/>
      </c>
      <c r="I386" s="74" t="str">
        <f t="shared" si="25"/>
        <v/>
      </c>
      <c r="J386" s="32"/>
    </row>
    <row r="387" spans="1:10" ht="15">
      <c r="A387" s="3">
        <v>5</v>
      </c>
      <c r="B387" s="31"/>
      <c r="C387" s="30"/>
      <c r="D387" s="119"/>
      <c r="E387" s="32"/>
      <c r="G387" s="31">
        <v>345</v>
      </c>
      <c r="H387" s="30" t="str">
        <f t="shared" si="24"/>
        <v/>
      </c>
      <c r="I387" s="74" t="str">
        <f t="shared" si="25"/>
        <v/>
      </c>
      <c r="J387" s="32"/>
    </row>
    <row r="388" spans="1:10" ht="15">
      <c r="A388" s="3">
        <v>8</v>
      </c>
      <c r="B388" s="31"/>
      <c r="C388" s="30"/>
      <c r="D388" s="119"/>
      <c r="E388" s="32"/>
      <c r="G388" s="31">
        <v>346</v>
      </c>
      <c r="H388" s="30" t="str">
        <f t="shared" si="24"/>
        <v/>
      </c>
      <c r="I388" s="74" t="str">
        <f t="shared" si="25"/>
        <v/>
      </c>
      <c r="J388" s="32"/>
    </row>
    <row r="389" spans="1:10" ht="15">
      <c r="A389" s="3">
        <v>5</v>
      </c>
      <c r="B389" s="31"/>
      <c r="C389" s="30"/>
      <c r="D389" s="119"/>
      <c r="E389" s="32"/>
      <c r="G389" s="31">
        <v>347</v>
      </c>
      <c r="H389" s="30" t="str">
        <f t="shared" si="24"/>
        <v/>
      </c>
      <c r="I389" s="74" t="str">
        <f t="shared" si="25"/>
        <v/>
      </c>
      <c r="J389" s="32"/>
    </row>
    <row r="390" spans="1:10" ht="15">
      <c r="A390" s="3">
        <v>8</v>
      </c>
      <c r="B390" s="31"/>
      <c r="C390" s="30"/>
      <c r="D390" s="119"/>
      <c r="E390" s="32"/>
      <c r="G390" s="31">
        <v>348</v>
      </c>
      <c r="H390" s="30" t="str">
        <f t="shared" si="24"/>
        <v/>
      </c>
      <c r="I390" s="74" t="str">
        <f t="shared" si="25"/>
        <v/>
      </c>
      <c r="J390" s="32"/>
    </row>
    <row r="391" spans="1:10" ht="15">
      <c r="A391" s="3">
        <v>5</v>
      </c>
      <c r="B391" s="31"/>
      <c r="C391" s="30"/>
      <c r="D391" s="119"/>
      <c r="E391" s="32"/>
      <c r="G391" s="31">
        <v>349</v>
      </c>
      <c r="H391" s="30" t="str">
        <f t="shared" si="24"/>
        <v/>
      </c>
      <c r="I391" s="74" t="str">
        <f t="shared" si="25"/>
        <v/>
      </c>
      <c r="J391" s="32"/>
    </row>
    <row r="392" spans="1:10" ht="15">
      <c r="A392" s="3">
        <v>8</v>
      </c>
      <c r="B392" s="31"/>
      <c r="C392" s="30"/>
      <c r="D392" s="119"/>
      <c r="E392" s="32"/>
      <c r="G392" s="31">
        <v>350</v>
      </c>
      <c r="H392" s="30" t="str">
        <f t="shared" si="24"/>
        <v/>
      </c>
      <c r="I392" s="74" t="str">
        <f t="shared" si="25"/>
        <v/>
      </c>
      <c r="J392" s="32"/>
    </row>
    <row r="393" spans="1:10" ht="15">
      <c r="A393" s="3">
        <v>5</v>
      </c>
      <c r="B393" s="31"/>
      <c r="C393" s="30"/>
      <c r="D393" s="119"/>
      <c r="E393" s="32"/>
      <c r="G393" s="31">
        <v>351</v>
      </c>
      <c r="H393" s="30" t="str">
        <f t="shared" si="24"/>
        <v/>
      </c>
      <c r="I393" s="74" t="str">
        <f t="shared" si="25"/>
        <v/>
      </c>
      <c r="J393" s="32"/>
    </row>
    <row r="394" spans="1:10" ht="15">
      <c r="A394" s="3">
        <v>8</v>
      </c>
      <c r="B394" s="31"/>
      <c r="C394" s="30"/>
      <c r="D394" s="119"/>
      <c r="E394" s="32"/>
      <c r="G394" s="31">
        <v>352</v>
      </c>
      <c r="H394" s="30" t="str">
        <f t="shared" si="24"/>
        <v/>
      </c>
      <c r="I394" s="74" t="str">
        <f t="shared" si="25"/>
        <v/>
      </c>
      <c r="J394" s="32"/>
    </row>
    <row r="395" spans="1:10" ht="15">
      <c r="A395" s="3">
        <v>5</v>
      </c>
      <c r="B395" s="31"/>
      <c r="C395" s="30"/>
      <c r="D395" s="119"/>
      <c r="E395" s="32"/>
      <c r="G395" s="31">
        <v>353</v>
      </c>
      <c r="H395" s="30" t="str">
        <f t="shared" si="24"/>
        <v/>
      </c>
      <c r="I395" s="74" t="str">
        <f t="shared" si="25"/>
        <v/>
      </c>
      <c r="J395" s="32"/>
    </row>
    <row r="396" spans="1:10" ht="15">
      <c r="A396" s="3">
        <v>8</v>
      </c>
      <c r="B396" s="31"/>
      <c r="C396" s="30"/>
      <c r="D396" s="119"/>
      <c r="E396" s="32"/>
      <c r="G396" s="31">
        <v>354</v>
      </c>
      <c r="H396" s="30" t="str">
        <f t="shared" si="24"/>
        <v/>
      </c>
      <c r="I396" s="74" t="str">
        <f t="shared" si="25"/>
        <v/>
      </c>
      <c r="J396" s="32"/>
    </row>
    <row r="397" spans="1:10" ht="15">
      <c r="A397" s="3">
        <v>5</v>
      </c>
      <c r="B397" s="31"/>
      <c r="C397" s="30"/>
      <c r="D397" s="119"/>
      <c r="E397" s="32"/>
      <c r="G397" s="31">
        <v>355</v>
      </c>
      <c r="H397" s="30" t="str">
        <f t="shared" si="24"/>
        <v/>
      </c>
      <c r="I397" s="74" t="str">
        <f t="shared" si="25"/>
        <v/>
      </c>
      <c r="J397" s="32"/>
    </row>
    <row r="398" spans="1:10" ht="15">
      <c r="A398" s="3">
        <v>8</v>
      </c>
      <c r="B398" s="31"/>
      <c r="C398" s="30"/>
      <c r="D398" s="119"/>
      <c r="E398" s="32"/>
      <c r="G398" s="31">
        <v>356</v>
      </c>
      <c r="H398" s="30" t="str">
        <f t="shared" si="24"/>
        <v/>
      </c>
      <c r="I398" s="74" t="str">
        <f t="shared" si="25"/>
        <v/>
      </c>
      <c r="J398" s="32"/>
    </row>
    <row r="399" spans="1:10" ht="15">
      <c r="A399" s="3">
        <v>5</v>
      </c>
      <c r="B399" s="31"/>
      <c r="C399" s="30"/>
      <c r="D399" s="119"/>
      <c r="E399" s="32"/>
      <c r="G399" s="31">
        <v>357</v>
      </c>
      <c r="H399" s="30" t="str">
        <f t="shared" si="24"/>
        <v/>
      </c>
      <c r="I399" s="74" t="str">
        <f t="shared" si="25"/>
        <v/>
      </c>
      <c r="J399" s="32"/>
    </row>
    <row r="400" spans="1:10" ht="15">
      <c r="A400" s="3">
        <v>8</v>
      </c>
      <c r="B400" s="31"/>
      <c r="C400" s="30"/>
      <c r="D400" s="119"/>
      <c r="E400" s="32"/>
      <c r="G400" s="31">
        <v>358</v>
      </c>
      <c r="H400" s="30" t="str">
        <f t="shared" si="24"/>
        <v/>
      </c>
      <c r="I400" s="74" t="str">
        <f t="shared" si="25"/>
        <v/>
      </c>
      <c r="J400" s="32"/>
    </row>
    <row r="401" spans="1:10" ht="15">
      <c r="A401" s="3">
        <v>5</v>
      </c>
      <c r="B401" s="31"/>
      <c r="C401" s="30"/>
      <c r="D401" s="119"/>
      <c r="E401" s="32"/>
      <c r="G401" s="31">
        <v>359</v>
      </c>
      <c r="H401" s="30" t="str">
        <f t="shared" si="24"/>
        <v/>
      </c>
      <c r="I401" s="74" t="str">
        <f t="shared" si="25"/>
        <v/>
      </c>
      <c r="J401" s="32"/>
    </row>
    <row r="402" spans="1:10" ht="15">
      <c r="A402" s="3">
        <v>8</v>
      </c>
      <c r="B402" s="31"/>
      <c r="C402" s="30"/>
      <c r="D402" s="119"/>
      <c r="E402" s="32"/>
      <c r="G402" s="31">
        <v>360</v>
      </c>
      <c r="H402" s="30" t="str">
        <f t="shared" si="24"/>
        <v/>
      </c>
      <c r="I402" s="74" t="str">
        <f t="shared" si="25"/>
        <v/>
      </c>
      <c r="J402" s="32"/>
    </row>
    <row r="403" spans="1:10" ht="15">
      <c r="A403" s="3">
        <v>5</v>
      </c>
      <c r="B403" s="31"/>
      <c r="C403" s="30"/>
      <c r="D403" s="119"/>
      <c r="E403" s="32"/>
      <c r="G403" s="31">
        <v>361</v>
      </c>
      <c r="H403" s="30" t="str">
        <f t="shared" si="24"/>
        <v/>
      </c>
      <c r="I403" s="74" t="str">
        <f t="shared" si="25"/>
        <v/>
      </c>
      <c r="J403" s="32"/>
    </row>
    <row r="404" spans="1:10" ht="15">
      <c r="A404" s="3">
        <v>8</v>
      </c>
      <c r="B404" s="31"/>
      <c r="C404" s="30"/>
      <c r="D404" s="119"/>
      <c r="E404" s="32"/>
      <c r="G404" s="31">
        <v>362</v>
      </c>
      <c r="H404" s="30" t="str">
        <f t="shared" si="24"/>
        <v/>
      </c>
      <c r="I404" s="74" t="str">
        <f t="shared" si="25"/>
        <v/>
      </c>
      <c r="J404" s="32"/>
    </row>
    <row r="405" spans="1:10" ht="15">
      <c r="A405" s="3">
        <v>5</v>
      </c>
      <c r="B405" s="31"/>
      <c r="C405" s="30"/>
      <c r="D405" s="119"/>
      <c r="E405" s="32"/>
      <c r="G405" s="31">
        <v>363</v>
      </c>
      <c r="H405" s="30" t="str">
        <f t="shared" si="24"/>
        <v/>
      </c>
      <c r="I405" s="74" t="str">
        <f t="shared" si="25"/>
        <v/>
      </c>
      <c r="J405" s="32"/>
    </row>
    <row r="406" spans="1:10" ht="15">
      <c r="A406" s="3">
        <v>8</v>
      </c>
      <c r="B406" s="31"/>
      <c r="C406" s="30"/>
      <c r="D406" s="119"/>
      <c r="E406" s="32"/>
      <c r="G406" s="31">
        <v>364</v>
      </c>
      <c r="H406" s="30" t="str">
        <f t="shared" si="24"/>
        <v/>
      </c>
      <c r="I406" s="74" t="str">
        <f t="shared" si="25"/>
        <v/>
      </c>
      <c r="J406" s="32"/>
    </row>
    <row r="407" spans="1:10" ht="15">
      <c r="A407" s="3">
        <v>5</v>
      </c>
      <c r="B407" s="31"/>
      <c r="C407" s="30"/>
      <c r="D407" s="119"/>
      <c r="E407" s="32"/>
      <c r="G407" s="31">
        <v>365</v>
      </c>
      <c r="H407" s="30" t="str">
        <f t="shared" si="24"/>
        <v/>
      </c>
      <c r="I407" s="74" t="str">
        <f t="shared" si="25"/>
        <v/>
      </c>
      <c r="J407" s="32"/>
    </row>
    <row r="408" spans="1:10" ht="15">
      <c r="A408" s="3">
        <v>8</v>
      </c>
      <c r="B408" s="31"/>
      <c r="C408" s="30"/>
      <c r="D408" s="119"/>
      <c r="E408" s="32"/>
      <c r="G408" s="31">
        <v>366</v>
      </c>
      <c r="H408" s="30" t="str">
        <f t="shared" si="24"/>
        <v/>
      </c>
      <c r="I408" s="74" t="str">
        <f t="shared" si="25"/>
        <v/>
      </c>
      <c r="J408" s="32"/>
    </row>
    <row r="409" spans="1:10" ht="15">
      <c r="A409" s="3">
        <v>5</v>
      </c>
      <c r="B409" s="31"/>
      <c r="C409" s="30"/>
      <c r="D409" s="119"/>
      <c r="E409" s="32"/>
      <c r="G409" s="31">
        <v>367</v>
      </c>
      <c r="H409" s="30" t="str">
        <f t="shared" si="24"/>
        <v/>
      </c>
      <c r="I409" s="74" t="str">
        <f t="shared" si="25"/>
        <v/>
      </c>
      <c r="J409" s="32"/>
    </row>
    <row r="410" spans="1:10" ht="15">
      <c r="A410" s="3">
        <v>8</v>
      </c>
      <c r="B410" s="31"/>
      <c r="C410" s="30"/>
      <c r="D410" s="119"/>
      <c r="E410" s="32"/>
      <c r="G410" s="31">
        <v>368</v>
      </c>
      <c r="H410" s="30" t="str">
        <f t="shared" si="24"/>
        <v/>
      </c>
      <c r="I410" s="74" t="str">
        <f t="shared" si="25"/>
        <v/>
      </c>
      <c r="J410" s="32"/>
    </row>
    <row r="411" spans="1:10" ht="15">
      <c r="A411" s="3">
        <v>5</v>
      </c>
      <c r="B411" s="31"/>
      <c r="C411" s="30"/>
      <c r="D411" s="119"/>
      <c r="E411" s="32"/>
      <c r="G411" s="31">
        <v>369</v>
      </c>
      <c r="H411" s="30" t="str">
        <f t="shared" si="24"/>
        <v/>
      </c>
      <c r="I411" s="74" t="str">
        <f t="shared" si="25"/>
        <v/>
      </c>
      <c r="J411" s="32"/>
    </row>
    <row r="412" spans="1:10" ht="15">
      <c r="A412" s="3">
        <v>8</v>
      </c>
      <c r="B412" s="31"/>
      <c r="C412" s="30"/>
      <c r="D412" s="119"/>
      <c r="E412" s="32"/>
      <c r="G412" s="31">
        <v>370</v>
      </c>
      <c r="H412" s="30" t="str">
        <f t="shared" si="24"/>
        <v/>
      </c>
      <c r="I412" s="74" t="str">
        <f t="shared" si="25"/>
        <v/>
      </c>
      <c r="J412" s="32"/>
    </row>
    <row r="413" spans="1:10" ht="15">
      <c r="A413" s="3">
        <v>5</v>
      </c>
      <c r="B413" s="31"/>
      <c r="C413" s="30"/>
      <c r="D413" s="119"/>
      <c r="E413" s="32"/>
      <c r="G413" s="31">
        <v>371</v>
      </c>
      <c r="H413" s="30" t="str">
        <f t="shared" si="24"/>
        <v/>
      </c>
      <c r="I413" s="74" t="str">
        <f t="shared" si="25"/>
        <v/>
      </c>
      <c r="J413" s="32"/>
    </row>
    <row r="414" spans="1:10" ht="15">
      <c r="A414" s="3">
        <v>8</v>
      </c>
      <c r="B414" s="31"/>
      <c r="C414" s="30"/>
      <c r="D414" s="119"/>
      <c r="E414" s="32"/>
      <c r="G414" s="31">
        <v>372</v>
      </c>
      <c r="H414" s="30" t="str">
        <f t="shared" si="24"/>
        <v/>
      </c>
      <c r="I414" s="74" t="str">
        <f t="shared" si="25"/>
        <v/>
      </c>
      <c r="J414" s="32"/>
    </row>
    <row r="415" spans="1:10" ht="15">
      <c r="A415" s="3">
        <v>5</v>
      </c>
      <c r="B415" s="31"/>
      <c r="C415" s="30"/>
      <c r="D415" s="119"/>
      <c r="E415" s="32"/>
      <c r="G415" s="31">
        <v>373</v>
      </c>
      <c r="H415" s="30" t="str">
        <f t="shared" si="24"/>
        <v/>
      </c>
      <c r="I415" s="74" t="str">
        <f t="shared" si="25"/>
        <v/>
      </c>
      <c r="J415" s="32"/>
    </row>
    <row r="416" spans="1:10" ht="15">
      <c r="A416" s="3">
        <v>8</v>
      </c>
      <c r="B416" s="31"/>
      <c r="C416" s="30"/>
      <c r="D416" s="119"/>
      <c r="E416" s="32"/>
      <c r="G416" s="31">
        <v>374</v>
      </c>
      <c r="H416" s="30" t="str">
        <f t="shared" si="24"/>
        <v/>
      </c>
      <c r="I416" s="74" t="str">
        <f t="shared" si="25"/>
        <v/>
      </c>
      <c r="J416" s="32"/>
    </row>
    <row r="417" spans="1:10" ht="15">
      <c r="A417" s="3">
        <v>5</v>
      </c>
      <c r="B417" s="31"/>
      <c r="C417" s="30"/>
      <c r="D417" s="119"/>
      <c r="E417" s="32"/>
      <c r="G417" s="31">
        <v>375</v>
      </c>
      <c r="H417" s="30" t="str">
        <f t="shared" si="24"/>
        <v/>
      </c>
      <c r="I417" s="74" t="str">
        <f t="shared" si="25"/>
        <v/>
      </c>
      <c r="J417" s="32"/>
    </row>
    <row r="418" spans="1:10" ht="15">
      <c r="A418" s="3">
        <v>8</v>
      </c>
      <c r="B418" s="31"/>
      <c r="C418" s="30"/>
      <c r="D418" s="119"/>
      <c r="E418" s="32"/>
      <c r="G418" s="31">
        <v>376</v>
      </c>
      <c r="H418" s="30" t="str">
        <f t="shared" si="24"/>
        <v/>
      </c>
      <c r="I418" s="74" t="str">
        <f t="shared" si="25"/>
        <v/>
      </c>
      <c r="J418" s="32"/>
    </row>
    <row r="419" spans="1:10" ht="15">
      <c r="A419" s="3">
        <v>5</v>
      </c>
      <c r="B419" s="31"/>
      <c r="C419" s="30"/>
      <c r="D419" s="119"/>
      <c r="E419" s="32"/>
      <c r="G419" s="31">
        <v>377</v>
      </c>
      <c r="H419" s="30" t="str">
        <f t="shared" si="24"/>
        <v/>
      </c>
      <c r="I419" s="74" t="str">
        <f t="shared" si="25"/>
        <v/>
      </c>
      <c r="J419" s="32"/>
    </row>
    <row r="420" spans="1:10" ht="15">
      <c r="A420" s="3">
        <v>8</v>
      </c>
      <c r="B420" s="31"/>
      <c r="C420" s="30"/>
      <c r="D420" s="119"/>
      <c r="E420" s="32"/>
      <c r="G420" s="31">
        <v>378</v>
      </c>
      <c r="H420" s="30" t="str">
        <f t="shared" si="24"/>
        <v/>
      </c>
      <c r="I420" s="74" t="str">
        <f t="shared" si="25"/>
        <v/>
      </c>
      <c r="J420" s="32"/>
    </row>
    <row r="421" spans="1:10" ht="15">
      <c r="A421" s="3">
        <v>5</v>
      </c>
      <c r="B421" s="31"/>
      <c r="C421" s="30"/>
      <c r="D421" s="119"/>
      <c r="E421" s="32"/>
      <c r="G421" s="31">
        <v>379</v>
      </c>
      <c r="H421" s="30" t="str">
        <f t="shared" si="24"/>
        <v/>
      </c>
      <c r="I421" s="74" t="str">
        <f t="shared" si="25"/>
        <v/>
      </c>
      <c r="J421" s="32"/>
    </row>
    <row r="422" spans="1:10" ht="15">
      <c r="A422" s="3">
        <v>8</v>
      </c>
      <c r="B422" s="31"/>
      <c r="C422" s="30"/>
      <c r="D422" s="119"/>
      <c r="E422" s="32"/>
      <c r="G422" s="31">
        <v>380</v>
      </c>
      <c r="H422" s="30" t="str">
        <f t="shared" si="24"/>
        <v/>
      </c>
      <c r="I422" s="74" t="str">
        <f t="shared" si="25"/>
        <v/>
      </c>
      <c r="J422" s="32"/>
    </row>
    <row r="423" spans="1:10" ht="15">
      <c r="A423" s="3">
        <v>5</v>
      </c>
      <c r="B423" s="31"/>
      <c r="C423" s="30"/>
      <c r="D423" s="119"/>
      <c r="E423" s="32"/>
      <c r="G423" s="31">
        <v>381</v>
      </c>
      <c r="H423" s="30" t="str">
        <f t="shared" si="24"/>
        <v/>
      </c>
      <c r="I423" s="74" t="str">
        <f t="shared" si="25"/>
        <v/>
      </c>
      <c r="J423" s="32"/>
    </row>
    <row r="424" spans="1:10" ht="15">
      <c r="A424" s="3">
        <v>8</v>
      </c>
      <c r="B424" s="31"/>
      <c r="C424" s="30"/>
      <c r="D424" s="119"/>
      <c r="E424" s="32"/>
      <c r="G424" s="31">
        <v>382</v>
      </c>
      <c r="H424" s="30" t="str">
        <f t="shared" si="24"/>
        <v/>
      </c>
      <c r="I424" s="74" t="str">
        <f t="shared" si="25"/>
        <v/>
      </c>
      <c r="J424" s="32"/>
    </row>
    <row r="425" spans="1:10" ht="15">
      <c r="A425" s="3">
        <v>5</v>
      </c>
      <c r="B425" s="31"/>
      <c r="C425" s="30"/>
      <c r="D425" s="119"/>
      <c r="E425" s="32"/>
      <c r="G425" s="31">
        <v>383</v>
      </c>
      <c r="H425" s="30" t="str">
        <f t="shared" si="24"/>
        <v/>
      </c>
      <c r="I425" s="74" t="str">
        <f t="shared" si="25"/>
        <v/>
      </c>
      <c r="J425" s="32"/>
    </row>
    <row r="426" spans="1:10" ht="15">
      <c r="A426" s="3">
        <v>8</v>
      </c>
      <c r="B426" s="31"/>
      <c r="C426" s="30"/>
      <c r="D426" s="119"/>
      <c r="E426" s="32"/>
      <c r="G426" s="31">
        <v>384</v>
      </c>
      <c r="H426" s="30" t="str">
        <f t="shared" si="24"/>
        <v/>
      </c>
      <c r="I426" s="74" t="str">
        <f t="shared" si="25"/>
        <v/>
      </c>
      <c r="J426" s="32"/>
    </row>
    <row r="427" spans="1:10" ht="15">
      <c r="A427" s="3">
        <v>5</v>
      </c>
      <c r="B427" s="31"/>
      <c r="C427" s="30"/>
      <c r="D427" s="119"/>
      <c r="E427" s="32"/>
      <c r="G427" s="31">
        <v>385</v>
      </c>
      <c r="H427" s="30" t="str">
        <f t="shared" si="24"/>
        <v/>
      </c>
      <c r="I427" s="74" t="str">
        <f t="shared" si="25"/>
        <v/>
      </c>
      <c r="J427" s="32"/>
    </row>
    <row r="428" spans="1:10" ht="15">
      <c r="A428" s="3">
        <v>8</v>
      </c>
      <c r="B428" s="31"/>
      <c r="C428" s="30"/>
      <c r="D428" s="119"/>
      <c r="E428" s="32"/>
      <c r="G428" s="31">
        <v>386</v>
      </c>
      <c r="H428" s="30" t="str">
        <f t="shared" ref="H428:H491" si="26">MID($I$41,G428*8-7,8)</f>
        <v/>
      </c>
      <c r="I428" s="74" t="str">
        <f t="shared" ref="I428:I491" si="27">IFERROR(BIN2DEC(VALUE(H428)),"")</f>
        <v/>
      </c>
      <c r="J428" s="32"/>
    </row>
    <row r="429" spans="1:10" ht="15">
      <c r="A429" s="3">
        <v>5</v>
      </c>
      <c r="B429" s="31"/>
      <c r="C429" s="30"/>
      <c r="D429" s="119"/>
      <c r="E429" s="32"/>
      <c r="G429" s="31">
        <v>387</v>
      </c>
      <c r="H429" s="30" t="str">
        <f t="shared" si="26"/>
        <v/>
      </c>
      <c r="I429" s="74" t="str">
        <f t="shared" si="27"/>
        <v/>
      </c>
      <c r="J429" s="32"/>
    </row>
    <row r="430" spans="1:10" ht="15">
      <c r="A430" s="3">
        <v>8</v>
      </c>
      <c r="B430" s="31"/>
      <c r="C430" s="30"/>
      <c r="D430" s="119"/>
      <c r="E430" s="32"/>
      <c r="G430" s="31">
        <v>388</v>
      </c>
      <c r="H430" s="30" t="str">
        <f t="shared" si="26"/>
        <v/>
      </c>
      <c r="I430" s="74" t="str">
        <f t="shared" si="27"/>
        <v/>
      </c>
      <c r="J430" s="32"/>
    </row>
    <row r="431" spans="1:10" ht="15">
      <c r="A431" s="3">
        <v>5</v>
      </c>
      <c r="B431" s="31"/>
      <c r="C431" s="30"/>
      <c r="D431" s="119"/>
      <c r="E431" s="32"/>
      <c r="G431" s="31">
        <v>389</v>
      </c>
      <c r="H431" s="30" t="str">
        <f t="shared" si="26"/>
        <v/>
      </c>
      <c r="I431" s="74" t="str">
        <f t="shared" si="27"/>
        <v/>
      </c>
      <c r="J431" s="32"/>
    </row>
    <row r="432" spans="1:10" ht="15">
      <c r="A432" s="3">
        <v>8</v>
      </c>
      <c r="B432" s="31"/>
      <c r="C432" s="30"/>
      <c r="D432" s="119"/>
      <c r="E432" s="32"/>
      <c r="G432" s="31">
        <v>390</v>
      </c>
      <c r="H432" s="30" t="str">
        <f t="shared" si="26"/>
        <v/>
      </c>
      <c r="I432" s="74" t="str">
        <f t="shared" si="27"/>
        <v/>
      </c>
      <c r="J432" s="32"/>
    </row>
    <row r="433" spans="1:10" ht="15">
      <c r="A433" s="3">
        <v>5</v>
      </c>
      <c r="B433" s="31"/>
      <c r="C433" s="30"/>
      <c r="D433" s="119"/>
      <c r="E433" s="32"/>
      <c r="G433" s="31">
        <v>391</v>
      </c>
      <c r="H433" s="30" t="str">
        <f t="shared" si="26"/>
        <v/>
      </c>
      <c r="I433" s="74" t="str">
        <f t="shared" si="27"/>
        <v/>
      </c>
      <c r="J433" s="32"/>
    </row>
    <row r="434" spans="1:10" ht="15">
      <c r="A434" s="3">
        <v>8</v>
      </c>
      <c r="B434" s="31"/>
      <c r="C434" s="30"/>
      <c r="D434" s="119"/>
      <c r="E434" s="32"/>
      <c r="G434" s="31">
        <v>392</v>
      </c>
      <c r="H434" s="30" t="str">
        <f t="shared" si="26"/>
        <v/>
      </c>
      <c r="I434" s="74" t="str">
        <f t="shared" si="27"/>
        <v/>
      </c>
      <c r="J434" s="32"/>
    </row>
    <row r="435" spans="1:10" ht="15">
      <c r="A435" s="3">
        <v>5</v>
      </c>
      <c r="B435" s="31"/>
      <c r="C435" s="30"/>
      <c r="D435" s="119"/>
      <c r="E435" s="32"/>
      <c r="G435" s="31">
        <v>393</v>
      </c>
      <c r="H435" s="30" t="str">
        <f t="shared" si="26"/>
        <v/>
      </c>
      <c r="I435" s="74" t="str">
        <f t="shared" si="27"/>
        <v/>
      </c>
      <c r="J435" s="32"/>
    </row>
    <row r="436" spans="1:10" ht="15">
      <c r="A436" s="3">
        <v>8</v>
      </c>
      <c r="B436" s="31"/>
      <c r="C436" s="30"/>
      <c r="D436" s="119"/>
      <c r="E436" s="32"/>
      <c r="G436" s="31">
        <v>394</v>
      </c>
      <c r="H436" s="30" t="str">
        <f t="shared" si="26"/>
        <v/>
      </c>
      <c r="I436" s="74" t="str">
        <f t="shared" si="27"/>
        <v/>
      </c>
      <c r="J436" s="32"/>
    </row>
    <row r="437" spans="1:10" ht="15">
      <c r="A437" s="3">
        <v>5</v>
      </c>
      <c r="B437" s="31"/>
      <c r="C437" s="30"/>
      <c r="D437" s="119"/>
      <c r="E437" s="32"/>
      <c r="G437" s="31">
        <v>395</v>
      </c>
      <c r="H437" s="30" t="str">
        <f t="shared" si="26"/>
        <v/>
      </c>
      <c r="I437" s="74" t="str">
        <f t="shared" si="27"/>
        <v/>
      </c>
      <c r="J437" s="32"/>
    </row>
    <row r="438" spans="1:10" ht="15">
      <c r="A438" s="3">
        <v>8</v>
      </c>
      <c r="B438" s="31"/>
      <c r="C438" s="30"/>
      <c r="D438" s="119"/>
      <c r="E438" s="32"/>
      <c r="G438" s="31">
        <v>396</v>
      </c>
      <c r="H438" s="30" t="str">
        <f t="shared" si="26"/>
        <v/>
      </c>
      <c r="I438" s="74" t="str">
        <f t="shared" si="27"/>
        <v/>
      </c>
      <c r="J438" s="32"/>
    </row>
    <row r="439" spans="1:10" ht="15">
      <c r="A439" s="3">
        <v>5</v>
      </c>
      <c r="B439" s="31"/>
      <c r="C439" s="30"/>
      <c r="D439" s="119"/>
      <c r="E439" s="32"/>
      <c r="G439" s="31">
        <v>397</v>
      </c>
      <c r="H439" s="30" t="str">
        <f t="shared" si="26"/>
        <v/>
      </c>
      <c r="I439" s="74" t="str">
        <f t="shared" si="27"/>
        <v/>
      </c>
      <c r="J439" s="32"/>
    </row>
    <row r="440" spans="1:10" ht="15">
      <c r="A440" s="3">
        <v>8</v>
      </c>
      <c r="B440" s="31"/>
      <c r="C440" s="30"/>
      <c r="D440" s="119"/>
      <c r="E440" s="32"/>
      <c r="G440" s="31">
        <v>398</v>
      </c>
      <c r="H440" s="30" t="str">
        <f t="shared" si="26"/>
        <v/>
      </c>
      <c r="I440" s="74" t="str">
        <f t="shared" si="27"/>
        <v/>
      </c>
      <c r="J440" s="32"/>
    </row>
    <row r="441" spans="1:10" ht="15">
      <c r="A441" s="3">
        <v>5</v>
      </c>
      <c r="B441" s="31"/>
      <c r="C441" s="30"/>
      <c r="D441" s="119"/>
      <c r="E441" s="32"/>
      <c r="G441" s="31">
        <v>399</v>
      </c>
      <c r="H441" s="30" t="str">
        <f t="shared" si="26"/>
        <v/>
      </c>
      <c r="I441" s="74" t="str">
        <f t="shared" si="27"/>
        <v/>
      </c>
      <c r="J441" s="32"/>
    </row>
    <row r="442" spans="1:10" ht="15">
      <c r="A442" s="3">
        <v>8</v>
      </c>
      <c r="B442" s="31"/>
      <c r="C442" s="30"/>
      <c r="D442" s="119"/>
      <c r="E442" s="32"/>
      <c r="G442" s="31">
        <v>400</v>
      </c>
      <c r="H442" s="30" t="str">
        <f t="shared" si="26"/>
        <v/>
      </c>
      <c r="I442" s="74" t="str">
        <f t="shared" si="27"/>
        <v/>
      </c>
      <c r="J442" s="32"/>
    </row>
    <row r="443" spans="1:10" ht="15">
      <c r="A443" s="3">
        <v>5</v>
      </c>
      <c r="B443" s="31"/>
      <c r="C443" s="30"/>
      <c r="D443" s="119"/>
      <c r="E443" s="32"/>
      <c r="G443" s="31">
        <v>401</v>
      </c>
      <c r="H443" s="30" t="str">
        <f t="shared" si="26"/>
        <v/>
      </c>
      <c r="I443" s="74" t="str">
        <f t="shared" si="27"/>
        <v/>
      </c>
      <c r="J443" s="32"/>
    </row>
    <row r="444" spans="1:10" ht="15">
      <c r="A444" s="3">
        <v>8</v>
      </c>
      <c r="B444" s="31"/>
      <c r="C444" s="30"/>
      <c r="D444" s="119"/>
      <c r="E444" s="32"/>
      <c r="G444" s="31">
        <v>402</v>
      </c>
      <c r="H444" s="30" t="str">
        <f t="shared" si="26"/>
        <v/>
      </c>
      <c r="I444" s="74" t="str">
        <f t="shared" si="27"/>
        <v/>
      </c>
      <c r="J444" s="32"/>
    </row>
    <row r="445" spans="1:10" ht="15">
      <c r="A445" s="3">
        <v>5</v>
      </c>
      <c r="B445" s="31"/>
      <c r="C445" s="30"/>
      <c r="D445" s="119"/>
      <c r="E445" s="32"/>
      <c r="G445" s="31">
        <v>403</v>
      </c>
      <c r="H445" s="30" t="str">
        <f t="shared" si="26"/>
        <v/>
      </c>
      <c r="I445" s="74" t="str">
        <f t="shared" si="27"/>
        <v/>
      </c>
      <c r="J445" s="32"/>
    </row>
    <row r="446" spans="1:10" ht="15">
      <c r="A446" s="3">
        <v>8</v>
      </c>
      <c r="B446" s="31"/>
      <c r="C446" s="30"/>
      <c r="D446" s="119"/>
      <c r="E446" s="32"/>
      <c r="G446" s="31">
        <v>404</v>
      </c>
      <c r="H446" s="30" t="str">
        <f t="shared" si="26"/>
        <v/>
      </c>
      <c r="I446" s="74" t="str">
        <f t="shared" si="27"/>
        <v/>
      </c>
      <c r="J446" s="32"/>
    </row>
    <row r="447" spans="1:10" ht="15">
      <c r="A447" s="3">
        <v>5</v>
      </c>
      <c r="B447" s="31"/>
      <c r="C447" s="30"/>
      <c r="D447" s="119"/>
      <c r="E447" s="32"/>
      <c r="G447" s="31">
        <v>405</v>
      </c>
      <c r="H447" s="30" t="str">
        <f t="shared" si="26"/>
        <v/>
      </c>
      <c r="I447" s="74" t="str">
        <f t="shared" si="27"/>
        <v/>
      </c>
      <c r="J447" s="32"/>
    </row>
    <row r="448" spans="1:10" ht="15">
      <c r="A448" s="3">
        <v>8</v>
      </c>
      <c r="B448" s="31"/>
      <c r="C448" s="30"/>
      <c r="D448" s="119"/>
      <c r="E448" s="32"/>
      <c r="G448" s="31">
        <v>406</v>
      </c>
      <c r="H448" s="30" t="str">
        <f t="shared" si="26"/>
        <v/>
      </c>
      <c r="I448" s="74" t="str">
        <f t="shared" si="27"/>
        <v/>
      </c>
      <c r="J448" s="32"/>
    </row>
    <row r="449" spans="1:10" ht="15">
      <c r="A449" s="3">
        <v>5</v>
      </c>
      <c r="B449" s="31"/>
      <c r="C449" s="30"/>
      <c r="D449" s="119"/>
      <c r="E449" s="32"/>
      <c r="G449" s="31">
        <v>407</v>
      </c>
      <c r="H449" s="30" t="str">
        <f t="shared" si="26"/>
        <v/>
      </c>
      <c r="I449" s="74" t="str">
        <f t="shared" si="27"/>
        <v/>
      </c>
      <c r="J449" s="32"/>
    </row>
    <row r="450" spans="1:10" ht="15">
      <c r="A450" s="3">
        <v>8</v>
      </c>
      <c r="B450" s="31"/>
      <c r="C450" s="30"/>
      <c r="D450" s="119"/>
      <c r="E450" s="32"/>
      <c r="G450" s="31">
        <v>408</v>
      </c>
      <c r="H450" s="30" t="str">
        <f t="shared" si="26"/>
        <v/>
      </c>
      <c r="I450" s="74" t="str">
        <f t="shared" si="27"/>
        <v/>
      </c>
      <c r="J450" s="32"/>
    </row>
    <row r="451" spans="1:10" ht="15">
      <c r="A451" s="3">
        <v>5</v>
      </c>
      <c r="B451" s="31"/>
      <c r="C451" s="30"/>
      <c r="D451" s="119"/>
      <c r="E451" s="32"/>
      <c r="G451" s="31">
        <v>409</v>
      </c>
      <c r="H451" s="30" t="str">
        <f t="shared" si="26"/>
        <v/>
      </c>
      <c r="I451" s="74" t="str">
        <f t="shared" si="27"/>
        <v/>
      </c>
      <c r="J451" s="32"/>
    </row>
    <row r="452" spans="1:10" ht="15">
      <c r="A452" s="3">
        <v>8</v>
      </c>
      <c r="B452" s="31"/>
      <c r="C452" s="30"/>
      <c r="D452" s="119"/>
      <c r="E452" s="32"/>
      <c r="G452" s="31">
        <v>410</v>
      </c>
      <c r="H452" s="30" t="str">
        <f t="shared" si="26"/>
        <v/>
      </c>
      <c r="I452" s="74" t="str">
        <f t="shared" si="27"/>
        <v/>
      </c>
      <c r="J452" s="32"/>
    </row>
    <row r="453" spans="1:10" ht="15">
      <c r="A453" s="3">
        <v>5</v>
      </c>
      <c r="B453" s="31"/>
      <c r="C453" s="30"/>
      <c r="D453" s="119"/>
      <c r="E453" s="32"/>
      <c r="G453" s="31">
        <v>411</v>
      </c>
      <c r="H453" s="30" t="str">
        <f t="shared" si="26"/>
        <v/>
      </c>
      <c r="I453" s="74" t="str">
        <f t="shared" si="27"/>
        <v/>
      </c>
      <c r="J453" s="32"/>
    </row>
    <row r="454" spans="1:10" ht="15">
      <c r="A454" s="3">
        <v>8</v>
      </c>
      <c r="B454" s="31"/>
      <c r="C454" s="30"/>
      <c r="D454" s="119"/>
      <c r="E454" s="32"/>
      <c r="G454" s="31">
        <v>412</v>
      </c>
      <c r="H454" s="30" t="str">
        <f t="shared" si="26"/>
        <v/>
      </c>
      <c r="I454" s="74" t="str">
        <f t="shared" si="27"/>
        <v/>
      </c>
      <c r="J454" s="32"/>
    </row>
    <row r="455" spans="1:10" ht="15">
      <c r="A455" s="3">
        <v>5</v>
      </c>
      <c r="B455" s="31"/>
      <c r="C455" s="30"/>
      <c r="D455" s="119"/>
      <c r="E455" s="32"/>
      <c r="G455" s="31">
        <v>413</v>
      </c>
      <c r="H455" s="30" t="str">
        <f t="shared" si="26"/>
        <v/>
      </c>
      <c r="I455" s="74" t="str">
        <f t="shared" si="27"/>
        <v/>
      </c>
      <c r="J455" s="32"/>
    </row>
    <row r="456" spans="1:10" ht="15">
      <c r="A456" s="3">
        <v>8</v>
      </c>
      <c r="B456" s="31"/>
      <c r="C456" s="30"/>
      <c r="D456" s="119"/>
      <c r="E456" s="32"/>
      <c r="G456" s="31">
        <v>414</v>
      </c>
      <c r="H456" s="30" t="str">
        <f t="shared" si="26"/>
        <v/>
      </c>
      <c r="I456" s="74" t="str">
        <f t="shared" si="27"/>
        <v/>
      </c>
      <c r="J456" s="32"/>
    </row>
    <row r="457" spans="1:10" ht="15">
      <c r="A457" s="3">
        <v>5</v>
      </c>
      <c r="B457" s="31"/>
      <c r="C457" s="30"/>
      <c r="D457" s="119"/>
      <c r="E457" s="32"/>
      <c r="G457" s="31">
        <v>415</v>
      </c>
      <c r="H457" s="30" t="str">
        <f t="shared" si="26"/>
        <v/>
      </c>
      <c r="I457" s="74" t="str">
        <f t="shared" si="27"/>
        <v/>
      </c>
      <c r="J457" s="32"/>
    </row>
    <row r="458" spans="1:10" ht="15">
      <c r="A458" s="3">
        <v>8</v>
      </c>
      <c r="B458" s="31"/>
      <c r="C458" s="30"/>
      <c r="D458" s="119"/>
      <c r="E458" s="32"/>
      <c r="G458" s="31">
        <v>416</v>
      </c>
      <c r="H458" s="30" t="str">
        <f t="shared" si="26"/>
        <v/>
      </c>
      <c r="I458" s="74" t="str">
        <f t="shared" si="27"/>
        <v/>
      </c>
      <c r="J458" s="32"/>
    </row>
    <row r="459" spans="1:10" ht="15">
      <c r="A459" s="3">
        <v>5</v>
      </c>
      <c r="B459" s="31"/>
      <c r="C459" s="30"/>
      <c r="D459" s="119"/>
      <c r="E459" s="32"/>
      <c r="G459" s="31">
        <v>417</v>
      </c>
      <c r="H459" s="30" t="str">
        <f t="shared" si="26"/>
        <v/>
      </c>
      <c r="I459" s="74" t="str">
        <f t="shared" si="27"/>
        <v/>
      </c>
      <c r="J459" s="32"/>
    </row>
    <row r="460" spans="1:10" ht="15">
      <c r="A460" s="3">
        <v>8</v>
      </c>
      <c r="B460" s="31"/>
      <c r="C460" s="30"/>
      <c r="D460" s="119"/>
      <c r="E460" s="32"/>
      <c r="G460" s="31">
        <v>418</v>
      </c>
      <c r="H460" s="30" t="str">
        <f t="shared" si="26"/>
        <v/>
      </c>
      <c r="I460" s="74" t="str">
        <f t="shared" si="27"/>
        <v/>
      </c>
      <c r="J460" s="32"/>
    </row>
    <row r="461" spans="1:10" ht="15">
      <c r="A461" s="3">
        <v>5</v>
      </c>
      <c r="B461" s="31"/>
      <c r="C461" s="30"/>
      <c r="D461" s="119"/>
      <c r="E461" s="32"/>
      <c r="G461" s="31">
        <v>419</v>
      </c>
      <c r="H461" s="30" t="str">
        <f t="shared" si="26"/>
        <v/>
      </c>
      <c r="I461" s="74" t="str">
        <f t="shared" si="27"/>
        <v/>
      </c>
      <c r="J461" s="32"/>
    </row>
    <row r="462" spans="1:10" ht="15">
      <c r="A462" s="3">
        <v>8</v>
      </c>
      <c r="B462" s="31"/>
      <c r="C462" s="30"/>
      <c r="D462" s="119"/>
      <c r="E462" s="32"/>
      <c r="G462" s="31">
        <v>420</v>
      </c>
      <c r="H462" s="30" t="str">
        <f t="shared" si="26"/>
        <v/>
      </c>
      <c r="I462" s="74" t="str">
        <f t="shared" si="27"/>
        <v/>
      </c>
      <c r="J462" s="32"/>
    </row>
    <row r="463" spans="1:10" ht="15">
      <c r="A463" s="3">
        <v>5</v>
      </c>
      <c r="B463" s="31"/>
      <c r="C463" s="30"/>
      <c r="D463" s="119"/>
      <c r="E463" s="32"/>
      <c r="G463" s="31">
        <v>421</v>
      </c>
      <c r="H463" s="30" t="str">
        <f t="shared" si="26"/>
        <v/>
      </c>
      <c r="I463" s="74" t="str">
        <f t="shared" si="27"/>
        <v/>
      </c>
      <c r="J463" s="32"/>
    </row>
    <row r="464" spans="1:10" ht="15">
      <c r="A464" s="3">
        <v>8</v>
      </c>
      <c r="B464" s="31"/>
      <c r="C464" s="30"/>
      <c r="D464" s="119"/>
      <c r="E464" s="32"/>
      <c r="G464" s="31">
        <v>422</v>
      </c>
      <c r="H464" s="30" t="str">
        <f t="shared" si="26"/>
        <v/>
      </c>
      <c r="I464" s="74" t="str">
        <f t="shared" si="27"/>
        <v/>
      </c>
      <c r="J464" s="32"/>
    </row>
    <row r="465" spans="1:10" ht="15">
      <c r="A465" s="3">
        <v>5</v>
      </c>
      <c r="B465" s="31"/>
      <c r="C465" s="30"/>
      <c r="D465" s="119"/>
      <c r="E465" s="32"/>
      <c r="G465" s="31">
        <v>423</v>
      </c>
      <c r="H465" s="30" t="str">
        <f t="shared" si="26"/>
        <v/>
      </c>
      <c r="I465" s="74" t="str">
        <f t="shared" si="27"/>
        <v/>
      </c>
      <c r="J465" s="32"/>
    </row>
    <row r="466" spans="1:10" ht="15">
      <c r="A466" s="3">
        <v>8</v>
      </c>
      <c r="B466" s="31"/>
      <c r="C466" s="30"/>
      <c r="D466" s="119"/>
      <c r="E466" s="32"/>
      <c r="G466" s="31">
        <v>424</v>
      </c>
      <c r="H466" s="30" t="str">
        <f t="shared" si="26"/>
        <v/>
      </c>
      <c r="I466" s="74" t="str">
        <f t="shared" si="27"/>
        <v/>
      </c>
      <c r="J466" s="32"/>
    </row>
    <row r="467" spans="1:10" ht="15">
      <c r="A467" s="3">
        <v>5</v>
      </c>
      <c r="B467" s="31"/>
      <c r="C467" s="30"/>
      <c r="D467" s="119"/>
      <c r="E467" s="32"/>
      <c r="G467" s="31">
        <v>425</v>
      </c>
      <c r="H467" s="30" t="str">
        <f t="shared" si="26"/>
        <v/>
      </c>
      <c r="I467" s="74" t="str">
        <f t="shared" si="27"/>
        <v/>
      </c>
      <c r="J467" s="32"/>
    </row>
    <row r="468" spans="1:10" ht="15">
      <c r="A468" s="3">
        <v>8</v>
      </c>
      <c r="B468" s="31"/>
      <c r="C468" s="30"/>
      <c r="D468" s="119"/>
      <c r="E468" s="32"/>
      <c r="G468" s="31">
        <v>426</v>
      </c>
      <c r="H468" s="30" t="str">
        <f t="shared" si="26"/>
        <v/>
      </c>
      <c r="I468" s="74" t="str">
        <f t="shared" si="27"/>
        <v/>
      </c>
      <c r="J468" s="32"/>
    </row>
    <row r="469" spans="1:10" ht="15">
      <c r="A469" s="3">
        <v>5</v>
      </c>
      <c r="B469" s="31"/>
      <c r="C469" s="30"/>
      <c r="D469" s="119"/>
      <c r="E469" s="32"/>
      <c r="G469" s="31">
        <v>427</v>
      </c>
      <c r="H469" s="30" t="str">
        <f t="shared" si="26"/>
        <v/>
      </c>
      <c r="I469" s="74" t="str">
        <f t="shared" si="27"/>
        <v/>
      </c>
      <c r="J469" s="32"/>
    </row>
    <row r="470" spans="1:10" ht="15">
      <c r="A470" s="3">
        <v>8</v>
      </c>
      <c r="B470" s="31"/>
      <c r="C470" s="30"/>
      <c r="D470" s="119"/>
      <c r="E470" s="32"/>
      <c r="G470" s="31">
        <v>428</v>
      </c>
      <c r="H470" s="30" t="str">
        <f t="shared" si="26"/>
        <v/>
      </c>
      <c r="I470" s="74" t="str">
        <f t="shared" si="27"/>
        <v/>
      </c>
      <c r="J470" s="32"/>
    </row>
    <row r="471" spans="1:10" ht="15">
      <c r="A471" s="3">
        <v>5</v>
      </c>
      <c r="B471" s="31"/>
      <c r="C471" s="30"/>
      <c r="D471" s="119"/>
      <c r="E471" s="32"/>
      <c r="G471" s="31">
        <v>429</v>
      </c>
      <c r="H471" s="30" t="str">
        <f t="shared" si="26"/>
        <v/>
      </c>
      <c r="I471" s="74" t="str">
        <f t="shared" si="27"/>
        <v/>
      </c>
      <c r="J471" s="32"/>
    </row>
    <row r="472" spans="1:10" ht="15">
      <c r="A472" s="3">
        <v>8</v>
      </c>
      <c r="B472" s="31"/>
      <c r="C472" s="30"/>
      <c r="D472" s="119"/>
      <c r="E472" s="32"/>
      <c r="G472" s="31">
        <v>430</v>
      </c>
      <c r="H472" s="30" t="str">
        <f t="shared" si="26"/>
        <v/>
      </c>
      <c r="I472" s="74" t="str">
        <f t="shared" si="27"/>
        <v/>
      </c>
      <c r="J472" s="32"/>
    </row>
    <row r="473" spans="1:10" ht="15">
      <c r="A473" s="3">
        <v>5</v>
      </c>
      <c r="B473" s="31"/>
      <c r="C473" s="30"/>
      <c r="D473" s="119"/>
      <c r="E473" s="32"/>
      <c r="G473" s="31">
        <v>431</v>
      </c>
      <c r="H473" s="30" t="str">
        <f t="shared" si="26"/>
        <v/>
      </c>
      <c r="I473" s="74" t="str">
        <f t="shared" si="27"/>
        <v/>
      </c>
      <c r="J473" s="32"/>
    </row>
    <row r="474" spans="1:10" ht="15">
      <c r="A474" s="3">
        <v>8</v>
      </c>
      <c r="B474" s="31"/>
      <c r="C474" s="30"/>
      <c r="D474" s="119"/>
      <c r="E474" s="32"/>
      <c r="G474" s="31">
        <v>432</v>
      </c>
      <c r="H474" s="30" t="str">
        <f t="shared" si="26"/>
        <v/>
      </c>
      <c r="I474" s="74" t="str">
        <f t="shared" si="27"/>
        <v/>
      </c>
      <c r="J474" s="32"/>
    </row>
    <row r="475" spans="1:10" ht="15">
      <c r="A475" s="3">
        <v>5</v>
      </c>
      <c r="B475" s="31"/>
      <c r="C475" s="30"/>
      <c r="D475" s="119"/>
      <c r="E475" s="32"/>
      <c r="G475" s="31">
        <v>433</v>
      </c>
      <c r="H475" s="30" t="str">
        <f t="shared" si="26"/>
        <v/>
      </c>
      <c r="I475" s="74" t="str">
        <f t="shared" si="27"/>
        <v/>
      </c>
      <c r="J475" s="32"/>
    </row>
    <row r="476" spans="1:10" ht="15">
      <c r="A476" s="3">
        <v>8</v>
      </c>
      <c r="B476" s="31"/>
      <c r="C476" s="30"/>
      <c r="D476" s="119"/>
      <c r="E476" s="32"/>
      <c r="G476" s="31">
        <v>434</v>
      </c>
      <c r="H476" s="30" t="str">
        <f t="shared" si="26"/>
        <v/>
      </c>
      <c r="I476" s="74" t="str">
        <f t="shared" si="27"/>
        <v/>
      </c>
      <c r="J476" s="32"/>
    </row>
    <row r="477" spans="1:10" ht="15">
      <c r="A477" s="3">
        <v>5</v>
      </c>
      <c r="B477" s="31"/>
      <c r="C477" s="30"/>
      <c r="D477" s="119"/>
      <c r="E477" s="32"/>
      <c r="G477" s="31">
        <v>435</v>
      </c>
      <c r="H477" s="30" t="str">
        <f t="shared" si="26"/>
        <v/>
      </c>
      <c r="I477" s="74" t="str">
        <f t="shared" si="27"/>
        <v/>
      </c>
      <c r="J477" s="32"/>
    </row>
    <row r="478" spans="1:10" ht="15">
      <c r="A478" s="3">
        <v>8</v>
      </c>
      <c r="B478" s="31"/>
      <c r="C478" s="30"/>
      <c r="D478" s="119"/>
      <c r="E478" s="32"/>
      <c r="G478" s="31">
        <v>436</v>
      </c>
      <c r="H478" s="30" t="str">
        <f t="shared" si="26"/>
        <v/>
      </c>
      <c r="I478" s="74" t="str">
        <f t="shared" si="27"/>
        <v/>
      </c>
      <c r="J478" s="32"/>
    </row>
    <row r="479" spans="1:10" ht="15">
      <c r="A479" s="3">
        <v>5</v>
      </c>
      <c r="B479" s="31"/>
      <c r="C479" s="30"/>
      <c r="D479" s="119"/>
      <c r="E479" s="32"/>
      <c r="G479" s="31">
        <v>437</v>
      </c>
      <c r="H479" s="30" t="str">
        <f t="shared" si="26"/>
        <v/>
      </c>
      <c r="I479" s="74" t="str">
        <f t="shared" si="27"/>
        <v/>
      </c>
      <c r="J479" s="32"/>
    </row>
    <row r="480" spans="1:10" ht="15">
      <c r="A480" s="3">
        <v>8</v>
      </c>
      <c r="B480" s="31"/>
      <c r="C480" s="30"/>
      <c r="D480" s="119"/>
      <c r="E480" s="32"/>
      <c r="G480" s="31">
        <v>438</v>
      </c>
      <c r="H480" s="30" t="str">
        <f t="shared" si="26"/>
        <v/>
      </c>
      <c r="I480" s="74" t="str">
        <f t="shared" si="27"/>
        <v/>
      </c>
      <c r="J480" s="32"/>
    </row>
    <row r="481" spans="1:10" ht="15">
      <c r="A481" s="3">
        <v>5</v>
      </c>
      <c r="B481" s="31"/>
      <c r="C481" s="30"/>
      <c r="D481" s="119"/>
      <c r="E481" s="32"/>
      <c r="G481" s="31">
        <v>439</v>
      </c>
      <c r="H481" s="30" t="str">
        <f t="shared" si="26"/>
        <v/>
      </c>
      <c r="I481" s="74" t="str">
        <f t="shared" si="27"/>
        <v/>
      </c>
      <c r="J481" s="32"/>
    </row>
    <row r="482" spans="1:10" ht="15">
      <c r="A482" s="3">
        <v>8</v>
      </c>
      <c r="B482" s="31"/>
      <c r="C482" s="30"/>
      <c r="D482" s="119"/>
      <c r="E482" s="32"/>
      <c r="G482" s="31">
        <v>440</v>
      </c>
      <c r="H482" s="30" t="str">
        <f t="shared" si="26"/>
        <v/>
      </c>
      <c r="I482" s="74" t="str">
        <f t="shared" si="27"/>
        <v/>
      </c>
      <c r="J482" s="32"/>
    </row>
    <row r="483" spans="1:10" ht="15">
      <c r="A483" s="3">
        <v>5</v>
      </c>
      <c r="B483" s="31"/>
      <c r="C483" s="30"/>
      <c r="D483" s="119"/>
      <c r="E483" s="32"/>
      <c r="G483" s="31">
        <v>441</v>
      </c>
      <c r="H483" s="30" t="str">
        <f t="shared" si="26"/>
        <v/>
      </c>
      <c r="I483" s="74" t="str">
        <f t="shared" si="27"/>
        <v/>
      </c>
      <c r="J483" s="32"/>
    </row>
    <row r="484" spans="1:10" ht="15">
      <c r="A484" s="3">
        <v>8</v>
      </c>
      <c r="B484" s="31"/>
      <c r="C484" s="30"/>
      <c r="D484" s="119"/>
      <c r="E484" s="32"/>
      <c r="G484" s="31">
        <v>442</v>
      </c>
      <c r="H484" s="30" t="str">
        <f t="shared" si="26"/>
        <v/>
      </c>
      <c r="I484" s="74" t="str">
        <f t="shared" si="27"/>
        <v/>
      </c>
      <c r="J484" s="32"/>
    </row>
    <row r="485" spans="1:10" ht="15">
      <c r="A485" s="3">
        <v>5</v>
      </c>
      <c r="B485" s="31"/>
      <c r="C485" s="30"/>
      <c r="D485" s="119"/>
      <c r="E485" s="32"/>
      <c r="G485" s="31">
        <v>443</v>
      </c>
      <c r="H485" s="30" t="str">
        <f t="shared" si="26"/>
        <v/>
      </c>
      <c r="I485" s="74" t="str">
        <f t="shared" si="27"/>
        <v/>
      </c>
      <c r="J485" s="32"/>
    </row>
    <row r="486" spans="1:10" ht="15">
      <c r="A486" s="3">
        <v>8</v>
      </c>
      <c r="B486" s="31"/>
      <c r="C486" s="30"/>
      <c r="D486" s="119"/>
      <c r="E486" s="32"/>
      <c r="G486" s="31">
        <v>444</v>
      </c>
      <c r="H486" s="30" t="str">
        <f t="shared" si="26"/>
        <v/>
      </c>
      <c r="I486" s="74" t="str">
        <f t="shared" si="27"/>
        <v/>
      </c>
      <c r="J486" s="32"/>
    </row>
    <row r="487" spans="1:10" ht="15">
      <c r="A487" s="3">
        <v>5</v>
      </c>
      <c r="B487" s="31"/>
      <c r="C487" s="30"/>
      <c r="D487" s="119"/>
      <c r="E487" s="32"/>
      <c r="G487" s="31">
        <v>445</v>
      </c>
      <c r="H487" s="30" t="str">
        <f t="shared" si="26"/>
        <v/>
      </c>
      <c r="I487" s="74" t="str">
        <f t="shared" si="27"/>
        <v/>
      </c>
      <c r="J487" s="32"/>
    </row>
    <row r="488" spans="1:10" ht="15">
      <c r="A488" s="3">
        <v>8</v>
      </c>
      <c r="B488" s="31"/>
      <c r="C488" s="30"/>
      <c r="D488" s="119"/>
      <c r="E488" s="32"/>
      <c r="G488" s="31">
        <v>446</v>
      </c>
      <c r="H488" s="30" t="str">
        <f t="shared" si="26"/>
        <v/>
      </c>
      <c r="I488" s="74" t="str">
        <f t="shared" si="27"/>
        <v/>
      </c>
      <c r="J488" s="32"/>
    </row>
    <row r="489" spans="1:10" ht="15">
      <c r="A489" s="3">
        <v>5</v>
      </c>
      <c r="B489" s="31"/>
      <c r="C489" s="30"/>
      <c r="D489" s="119"/>
      <c r="E489" s="32"/>
      <c r="G489" s="31">
        <v>447</v>
      </c>
      <c r="H489" s="30" t="str">
        <f t="shared" si="26"/>
        <v/>
      </c>
      <c r="I489" s="74" t="str">
        <f t="shared" si="27"/>
        <v/>
      </c>
      <c r="J489" s="32"/>
    </row>
    <row r="490" spans="1:10" ht="15">
      <c r="A490" s="3">
        <v>8</v>
      </c>
      <c r="B490" s="31"/>
      <c r="C490" s="30"/>
      <c r="D490" s="119"/>
      <c r="E490" s="32"/>
      <c r="G490" s="31">
        <v>448</v>
      </c>
      <c r="H490" s="30" t="str">
        <f t="shared" si="26"/>
        <v/>
      </c>
      <c r="I490" s="74" t="str">
        <f t="shared" si="27"/>
        <v/>
      </c>
      <c r="J490" s="32"/>
    </row>
    <row r="491" spans="1:10" ht="15">
      <c r="A491" s="3">
        <v>5</v>
      </c>
      <c r="B491" s="31"/>
      <c r="C491" s="30"/>
      <c r="D491" s="119"/>
      <c r="E491" s="32"/>
      <c r="G491" s="31">
        <v>449</v>
      </c>
      <c r="H491" s="30" t="str">
        <f t="shared" si="26"/>
        <v/>
      </c>
      <c r="I491" s="74" t="str">
        <f t="shared" si="27"/>
        <v/>
      </c>
      <c r="J491" s="32"/>
    </row>
    <row r="492" spans="1:10" ht="15">
      <c r="A492" s="3">
        <v>8</v>
      </c>
      <c r="B492" s="31"/>
      <c r="C492" s="30"/>
      <c r="D492" s="119"/>
      <c r="E492" s="32"/>
      <c r="G492" s="31">
        <v>450</v>
      </c>
      <c r="H492" s="30" t="str">
        <f t="shared" ref="H492:H555" si="28">MID($I$41,G492*8-7,8)</f>
        <v/>
      </c>
      <c r="I492" s="74" t="str">
        <f t="shared" ref="I492:I555" si="29">IFERROR(BIN2DEC(VALUE(H492)),"")</f>
        <v/>
      </c>
      <c r="J492" s="32"/>
    </row>
    <row r="493" spans="1:10" ht="15">
      <c r="A493" s="3">
        <v>5</v>
      </c>
      <c r="B493" s="31"/>
      <c r="C493" s="30"/>
      <c r="D493" s="119"/>
      <c r="E493" s="32"/>
      <c r="G493" s="31">
        <v>451</v>
      </c>
      <c r="H493" s="30" t="str">
        <f t="shared" si="28"/>
        <v/>
      </c>
      <c r="I493" s="74" t="str">
        <f t="shared" si="29"/>
        <v/>
      </c>
      <c r="J493" s="32"/>
    </row>
    <row r="494" spans="1:10" ht="15">
      <c r="A494" s="3">
        <v>8</v>
      </c>
      <c r="B494" s="31"/>
      <c r="C494" s="30"/>
      <c r="D494" s="119"/>
      <c r="E494" s="32"/>
      <c r="G494" s="31">
        <v>452</v>
      </c>
      <c r="H494" s="30" t="str">
        <f t="shared" si="28"/>
        <v/>
      </c>
      <c r="I494" s="74" t="str">
        <f t="shared" si="29"/>
        <v/>
      </c>
      <c r="J494" s="32"/>
    </row>
    <row r="495" spans="1:10" ht="15">
      <c r="A495" s="3">
        <v>5</v>
      </c>
      <c r="B495" s="31"/>
      <c r="C495" s="30"/>
      <c r="D495" s="119"/>
      <c r="E495" s="32"/>
      <c r="G495" s="31">
        <v>453</v>
      </c>
      <c r="H495" s="30" t="str">
        <f t="shared" si="28"/>
        <v/>
      </c>
      <c r="I495" s="74" t="str">
        <f t="shared" si="29"/>
        <v/>
      </c>
      <c r="J495" s="32"/>
    </row>
    <row r="496" spans="1:10" ht="15">
      <c r="A496" s="3">
        <v>8</v>
      </c>
      <c r="B496" s="31"/>
      <c r="C496" s="30"/>
      <c r="D496" s="119"/>
      <c r="E496" s="32"/>
      <c r="G496" s="31">
        <v>454</v>
      </c>
      <c r="H496" s="30" t="str">
        <f t="shared" si="28"/>
        <v/>
      </c>
      <c r="I496" s="74" t="str">
        <f t="shared" si="29"/>
        <v/>
      </c>
      <c r="J496" s="32"/>
    </row>
    <row r="497" spans="1:10" ht="15">
      <c r="A497" s="3">
        <v>5</v>
      </c>
      <c r="B497" s="31"/>
      <c r="C497" s="30"/>
      <c r="D497" s="119"/>
      <c r="E497" s="32"/>
      <c r="G497" s="31">
        <v>455</v>
      </c>
      <c r="H497" s="30" t="str">
        <f t="shared" si="28"/>
        <v/>
      </c>
      <c r="I497" s="74" t="str">
        <f t="shared" si="29"/>
        <v/>
      </c>
      <c r="J497" s="32"/>
    </row>
    <row r="498" spans="1:10" ht="15">
      <c r="A498" s="3">
        <v>8</v>
      </c>
      <c r="B498" s="31"/>
      <c r="C498" s="30"/>
      <c r="D498" s="119"/>
      <c r="E498" s="32"/>
      <c r="G498" s="31">
        <v>456</v>
      </c>
      <c r="H498" s="30" t="str">
        <f t="shared" si="28"/>
        <v/>
      </c>
      <c r="I498" s="74" t="str">
        <f t="shared" si="29"/>
        <v/>
      </c>
      <c r="J498" s="32"/>
    </row>
    <row r="499" spans="1:10" ht="15">
      <c r="A499" s="3">
        <v>5</v>
      </c>
      <c r="B499" s="31"/>
      <c r="C499" s="30"/>
      <c r="D499" s="119"/>
      <c r="E499" s="32"/>
      <c r="G499" s="31">
        <v>457</v>
      </c>
      <c r="H499" s="30" t="str">
        <f t="shared" si="28"/>
        <v/>
      </c>
      <c r="I499" s="74" t="str">
        <f t="shared" si="29"/>
        <v/>
      </c>
      <c r="J499" s="32"/>
    </row>
    <row r="500" spans="1:10" ht="15">
      <c r="A500" s="3">
        <v>8</v>
      </c>
      <c r="B500" s="31"/>
      <c r="C500" s="30"/>
      <c r="D500" s="119"/>
      <c r="E500" s="32"/>
      <c r="G500" s="31">
        <v>458</v>
      </c>
      <c r="H500" s="30" t="str">
        <f t="shared" si="28"/>
        <v/>
      </c>
      <c r="I500" s="74" t="str">
        <f t="shared" si="29"/>
        <v/>
      </c>
      <c r="J500" s="32"/>
    </row>
    <row r="501" spans="1:10" ht="15">
      <c r="A501" s="3">
        <v>5</v>
      </c>
      <c r="B501" s="31"/>
      <c r="C501" s="30"/>
      <c r="D501" s="119"/>
      <c r="E501" s="32"/>
      <c r="G501" s="31">
        <v>459</v>
      </c>
      <c r="H501" s="30" t="str">
        <f t="shared" si="28"/>
        <v/>
      </c>
      <c r="I501" s="74" t="str">
        <f t="shared" si="29"/>
        <v/>
      </c>
      <c r="J501" s="32"/>
    </row>
    <row r="502" spans="1:10" ht="15">
      <c r="A502" s="3">
        <v>8</v>
      </c>
      <c r="B502" s="31"/>
      <c r="C502" s="30"/>
      <c r="D502" s="119"/>
      <c r="E502" s="32"/>
      <c r="G502" s="31">
        <v>460</v>
      </c>
      <c r="H502" s="30" t="str">
        <f t="shared" si="28"/>
        <v/>
      </c>
      <c r="I502" s="74" t="str">
        <f t="shared" si="29"/>
        <v/>
      </c>
      <c r="J502" s="32"/>
    </row>
    <row r="503" spans="1:10" ht="15">
      <c r="A503" s="3">
        <v>5</v>
      </c>
      <c r="B503" s="31"/>
      <c r="C503" s="30"/>
      <c r="D503" s="119"/>
      <c r="E503" s="32"/>
      <c r="G503" s="31">
        <v>461</v>
      </c>
      <c r="H503" s="30" t="str">
        <f t="shared" si="28"/>
        <v/>
      </c>
      <c r="I503" s="74" t="str">
        <f t="shared" si="29"/>
        <v/>
      </c>
      <c r="J503" s="32"/>
    </row>
    <row r="504" spans="1:10" ht="15">
      <c r="A504" s="3">
        <v>8</v>
      </c>
      <c r="B504" s="31"/>
      <c r="C504" s="30"/>
      <c r="D504" s="119"/>
      <c r="E504" s="32"/>
      <c r="G504" s="31">
        <v>462</v>
      </c>
      <c r="H504" s="30" t="str">
        <f t="shared" si="28"/>
        <v/>
      </c>
      <c r="I504" s="74" t="str">
        <f t="shared" si="29"/>
        <v/>
      </c>
      <c r="J504" s="32"/>
    </row>
    <row r="505" spans="1:10" ht="15">
      <c r="A505" s="3">
        <v>5</v>
      </c>
      <c r="B505" s="31"/>
      <c r="C505" s="30"/>
      <c r="D505" s="119"/>
      <c r="E505" s="32"/>
      <c r="G505" s="31">
        <v>463</v>
      </c>
      <c r="H505" s="30" t="str">
        <f t="shared" si="28"/>
        <v/>
      </c>
      <c r="I505" s="74" t="str">
        <f t="shared" si="29"/>
        <v/>
      </c>
      <c r="J505" s="32"/>
    </row>
    <row r="506" spans="1:10" ht="15">
      <c r="A506" s="3">
        <v>8</v>
      </c>
      <c r="B506" s="31"/>
      <c r="C506" s="30"/>
      <c r="D506" s="119"/>
      <c r="E506" s="32"/>
      <c r="G506" s="31">
        <v>464</v>
      </c>
      <c r="H506" s="30" t="str">
        <f t="shared" si="28"/>
        <v/>
      </c>
      <c r="I506" s="74" t="str">
        <f t="shared" si="29"/>
        <v/>
      </c>
      <c r="J506" s="32"/>
    </row>
    <row r="507" spans="1:10" ht="15">
      <c r="A507" s="3">
        <v>5</v>
      </c>
      <c r="B507" s="31"/>
      <c r="C507" s="30"/>
      <c r="D507" s="119"/>
      <c r="E507" s="32"/>
      <c r="G507" s="31">
        <v>465</v>
      </c>
      <c r="H507" s="30" t="str">
        <f t="shared" si="28"/>
        <v/>
      </c>
      <c r="I507" s="74" t="str">
        <f t="shared" si="29"/>
        <v/>
      </c>
      <c r="J507" s="32"/>
    </row>
    <row r="508" spans="1:10" ht="15">
      <c r="A508" s="3">
        <v>8</v>
      </c>
      <c r="B508" s="31"/>
      <c r="C508" s="30"/>
      <c r="D508" s="119"/>
      <c r="E508" s="32"/>
      <c r="G508" s="31">
        <v>466</v>
      </c>
      <c r="H508" s="30" t="str">
        <f t="shared" si="28"/>
        <v/>
      </c>
      <c r="I508" s="74" t="str">
        <f t="shared" si="29"/>
        <v/>
      </c>
      <c r="J508" s="32"/>
    </row>
    <row r="509" spans="1:10" ht="15">
      <c r="A509" s="3">
        <v>5</v>
      </c>
      <c r="B509" s="31"/>
      <c r="C509" s="30"/>
      <c r="D509" s="119"/>
      <c r="E509" s="32"/>
      <c r="G509" s="31">
        <v>467</v>
      </c>
      <c r="H509" s="30" t="str">
        <f t="shared" si="28"/>
        <v/>
      </c>
      <c r="I509" s="74" t="str">
        <f t="shared" si="29"/>
        <v/>
      </c>
      <c r="J509" s="32"/>
    </row>
    <row r="510" spans="1:10" ht="15">
      <c r="A510" s="3">
        <v>8</v>
      </c>
      <c r="B510" s="31"/>
      <c r="C510" s="30"/>
      <c r="D510" s="119"/>
      <c r="E510" s="32"/>
      <c r="G510" s="31">
        <v>468</v>
      </c>
      <c r="H510" s="30" t="str">
        <f t="shared" si="28"/>
        <v/>
      </c>
      <c r="I510" s="74" t="str">
        <f t="shared" si="29"/>
        <v/>
      </c>
      <c r="J510" s="32"/>
    </row>
    <row r="511" spans="1:10" ht="15">
      <c r="A511" s="3">
        <v>5</v>
      </c>
      <c r="B511" s="31"/>
      <c r="C511" s="30"/>
      <c r="D511" s="119"/>
      <c r="E511" s="32"/>
      <c r="G511" s="31">
        <v>469</v>
      </c>
      <c r="H511" s="30" t="str">
        <f t="shared" si="28"/>
        <v/>
      </c>
      <c r="I511" s="74" t="str">
        <f t="shared" si="29"/>
        <v/>
      </c>
      <c r="J511" s="32"/>
    </row>
    <row r="512" spans="1:10" ht="15">
      <c r="A512" s="3">
        <v>8</v>
      </c>
      <c r="B512" s="31"/>
      <c r="C512" s="30"/>
      <c r="D512" s="119"/>
      <c r="E512" s="32"/>
      <c r="G512" s="31">
        <v>470</v>
      </c>
      <c r="H512" s="30" t="str">
        <f t="shared" si="28"/>
        <v/>
      </c>
      <c r="I512" s="74" t="str">
        <f t="shared" si="29"/>
        <v/>
      </c>
      <c r="J512" s="32"/>
    </row>
    <row r="513" spans="1:10" ht="15">
      <c r="A513" s="3">
        <v>5</v>
      </c>
      <c r="B513" s="31"/>
      <c r="C513" s="30"/>
      <c r="D513" s="119"/>
      <c r="E513" s="32"/>
      <c r="G513" s="31">
        <v>471</v>
      </c>
      <c r="H513" s="30" t="str">
        <f t="shared" si="28"/>
        <v/>
      </c>
      <c r="I513" s="74" t="str">
        <f t="shared" si="29"/>
        <v/>
      </c>
      <c r="J513" s="32"/>
    </row>
    <row r="514" spans="1:10" ht="15">
      <c r="A514" s="3">
        <v>8</v>
      </c>
      <c r="B514" s="31"/>
      <c r="C514" s="30"/>
      <c r="D514" s="119"/>
      <c r="E514" s="32"/>
      <c r="G514" s="31">
        <v>472</v>
      </c>
      <c r="H514" s="30" t="str">
        <f t="shared" si="28"/>
        <v/>
      </c>
      <c r="I514" s="74" t="str">
        <f t="shared" si="29"/>
        <v/>
      </c>
      <c r="J514" s="32"/>
    </row>
    <row r="515" spans="1:10" ht="15">
      <c r="A515" s="3">
        <v>5</v>
      </c>
      <c r="B515" s="31"/>
      <c r="C515" s="30"/>
      <c r="D515" s="119"/>
      <c r="E515" s="32"/>
      <c r="G515" s="31">
        <v>473</v>
      </c>
      <c r="H515" s="30" t="str">
        <f t="shared" si="28"/>
        <v/>
      </c>
      <c r="I515" s="74" t="str">
        <f t="shared" si="29"/>
        <v/>
      </c>
      <c r="J515" s="32"/>
    </row>
    <row r="516" spans="1:10" ht="15">
      <c r="A516" s="3">
        <v>8</v>
      </c>
      <c r="B516" s="31"/>
      <c r="C516" s="30"/>
      <c r="D516" s="119"/>
      <c r="E516" s="32"/>
      <c r="G516" s="31">
        <v>474</v>
      </c>
      <c r="H516" s="30" t="str">
        <f t="shared" si="28"/>
        <v/>
      </c>
      <c r="I516" s="74" t="str">
        <f t="shared" si="29"/>
        <v/>
      </c>
      <c r="J516" s="32"/>
    </row>
    <row r="517" spans="1:10" ht="15">
      <c r="A517" s="3">
        <v>5</v>
      </c>
      <c r="B517" s="31"/>
      <c r="C517" s="30"/>
      <c r="D517" s="119"/>
      <c r="E517" s="32"/>
      <c r="G517" s="31">
        <v>475</v>
      </c>
      <c r="H517" s="30" t="str">
        <f t="shared" si="28"/>
        <v/>
      </c>
      <c r="I517" s="74" t="str">
        <f t="shared" si="29"/>
        <v/>
      </c>
      <c r="J517" s="32"/>
    </row>
    <row r="518" spans="1:10" ht="15">
      <c r="A518" s="3">
        <v>8</v>
      </c>
      <c r="B518" s="31"/>
      <c r="C518" s="30"/>
      <c r="D518" s="119"/>
      <c r="E518" s="32"/>
      <c r="G518" s="31">
        <v>476</v>
      </c>
      <c r="H518" s="30" t="str">
        <f t="shared" si="28"/>
        <v/>
      </c>
      <c r="I518" s="74" t="str">
        <f t="shared" si="29"/>
        <v/>
      </c>
      <c r="J518" s="32"/>
    </row>
    <row r="519" spans="1:10" ht="15">
      <c r="A519" s="3">
        <v>5</v>
      </c>
      <c r="B519" s="31"/>
      <c r="C519" s="30"/>
      <c r="D519" s="119"/>
      <c r="E519" s="32"/>
      <c r="G519" s="31">
        <v>477</v>
      </c>
      <c r="H519" s="30" t="str">
        <f t="shared" si="28"/>
        <v/>
      </c>
      <c r="I519" s="74" t="str">
        <f t="shared" si="29"/>
        <v/>
      </c>
      <c r="J519" s="32"/>
    </row>
    <row r="520" spans="1:10" ht="15">
      <c r="A520" s="3">
        <v>8</v>
      </c>
      <c r="B520" s="31"/>
      <c r="C520" s="30"/>
      <c r="D520" s="119"/>
      <c r="E520" s="32"/>
      <c r="G520" s="31">
        <v>478</v>
      </c>
      <c r="H520" s="30" t="str">
        <f t="shared" si="28"/>
        <v/>
      </c>
      <c r="I520" s="74" t="str">
        <f t="shared" si="29"/>
        <v/>
      </c>
      <c r="J520" s="32"/>
    </row>
    <row r="521" spans="1:10" ht="15">
      <c r="A521" s="3">
        <v>5</v>
      </c>
      <c r="B521" s="31"/>
      <c r="C521" s="30"/>
      <c r="D521" s="119"/>
      <c r="E521" s="32"/>
      <c r="G521" s="31">
        <v>479</v>
      </c>
      <c r="H521" s="30" t="str">
        <f t="shared" si="28"/>
        <v/>
      </c>
      <c r="I521" s="74" t="str">
        <f t="shared" si="29"/>
        <v/>
      </c>
      <c r="J521" s="32"/>
    </row>
    <row r="522" spans="1:10" ht="15">
      <c r="A522" s="3">
        <v>8</v>
      </c>
      <c r="B522" s="31"/>
      <c r="C522" s="30"/>
      <c r="D522" s="119"/>
      <c r="E522" s="32"/>
      <c r="G522" s="31">
        <v>480</v>
      </c>
      <c r="H522" s="30" t="str">
        <f t="shared" si="28"/>
        <v/>
      </c>
      <c r="I522" s="74" t="str">
        <f t="shared" si="29"/>
        <v/>
      </c>
      <c r="J522" s="32"/>
    </row>
    <row r="523" spans="1:10" ht="15">
      <c r="A523" s="3">
        <v>5</v>
      </c>
      <c r="B523" s="31"/>
      <c r="C523" s="30"/>
      <c r="D523" s="119"/>
      <c r="E523" s="32"/>
      <c r="G523" s="31">
        <v>481</v>
      </c>
      <c r="H523" s="30" t="str">
        <f t="shared" si="28"/>
        <v/>
      </c>
      <c r="I523" s="74" t="str">
        <f t="shared" si="29"/>
        <v/>
      </c>
      <c r="J523" s="32"/>
    </row>
    <row r="524" spans="1:10" ht="15">
      <c r="A524" s="3">
        <v>8</v>
      </c>
      <c r="B524" s="31"/>
      <c r="C524" s="30"/>
      <c r="D524" s="119"/>
      <c r="E524" s="32"/>
      <c r="G524" s="31">
        <v>482</v>
      </c>
      <c r="H524" s="30" t="str">
        <f t="shared" si="28"/>
        <v/>
      </c>
      <c r="I524" s="74" t="str">
        <f t="shared" si="29"/>
        <v/>
      </c>
      <c r="J524" s="32"/>
    </row>
    <row r="525" spans="1:10" ht="15">
      <c r="A525" s="3">
        <v>5</v>
      </c>
      <c r="B525" s="31"/>
      <c r="C525" s="30"/>
      <c r="D525" s="119"/>
      <c r="E525" s="32"/>
      <c r="G525" s="31">
        <v>483</v>
      </c>
      <c r="H525" s="30" t="str">
        <f t="shared" si="28"/>
        <v/>
      </c>
      <c r="I525" s="74" t="str">
        <f t="shared" si="29"/>
        <v/>
      </c>
      <c r="J525" s="32"/>
    </row>
    <row r="526" spans="1:10" ht="15">
      <c r="A526" s="3">
        <v>8</v>
      </c>
      <c r="B526" s="31"/>
      <c r="C526" s="30"/>
      <c r="D526" s="119"/>
      <c r="E526" s="32"/>
      <c r="G526" s="31">
        <v>484</v>
      </c>
      <c r="H526" s="30" t="str">
        <f t="shared" si="28"/>
        <v/>
      </c>
      <c r="I526" s="74" t="str">
        <f t="shared" si="29"/>
        <v/>
      </c>
      <c r="J526" s="32"/>
    </row>
    <row r="527" spans="1:10" ht="15">
      <c r="A527" s="3">
        <v>5</v>
      </c>
      <c r="B527" s="31"/>
      <c r="C527" s="30"/>
      <c r="D527" s="119"/>
      <c r="E527" s="32"/>
      <c r="G527" s="31">
        <v>485</v>
      </c>
      <c r="H527" s="30" t="str">
        <f t="shared" si="28"/>
        <v/>
      </c>
      <c r="I527" s="74" t="str">
        <f t="shared" si="29"/>
        <v/>
      </c>
      <c r="J527" s="32"/>
    </row>
    <row r="528" spans="1:10" ht="15">
      <c r="A528" s="3">
        <v>8</v>
      </c>
      <c r="B528" s="31"/>
      <c r="C528" s="30"/>
      <c r="D528" s="119"/>
      <c r="E528" s="32"/>
      <c r="G528" s="31">
        <v>486</v>
      </c>
      <c r="H528" s="30" t="str">
        <f t="shared" si="28"/>
        <v/>
      </c>
      <c r="I528" s="74" t="str">
        <f t="shared" si="29"/>
        <v/>
      </c>
      <c r="J528" s="32"/>
    </row>
    <row r="529" spans="1:10" ht="15">
      <c r="A529" s="3">
        <v>5</v>
      </c>
      <c r="B529" s="31"/>
      <c r="C529" s="30"/>
      <c r="D529" s="119"/>
      <c r="E529" s="32"/>
      <c r="G529" s="31">
        <v>487</v>
      </c>
      <c r="H529" s="30" t="str">
        <f t="shared" si="28"/>
        <v/>
      </c>
      <c r="I529" s="74" t="str">
        <f t="shared" si="29"/>
        <v/>
      </c>
      <c r="J529" s="32"/>
    </row>
    <row r="530" spans="1:10" ht="15">
      <c r="A530" s="3">
        <v>8</v>
      </c>
      <c r="B530" s="31"/>
      <c r="C530" s="30"/>
      <c r="D530" s="119"/>
      <c r="E530" s="32"/>
      <c r="G530" s="31">
        <v>488</v>
      </c>
      <c r="H530" s="30" t="str">
        <f t="shared" si="28"/>
        <v/>
      </c>
      <c r="I530" s="74" t="str">
        <f t="shared" si="29"/>
        <v/>
      </c>
      <c r="J530" s="32"/>
    </row>
    <row r="531" spans="1:10" ht="15">
      <c r="A531" s="3">
        <v>5</v>
      </c>
      <c r="B531" s="31"/>
      <c r="C531" s="30"/>
      <c r="D531" s="119"/>
      <c r="E531" s="32"/>
      <c r="G531" s="31">
        <v>489</v>
      </c>
      <c r="H531" s="30" t="str">
        <f t="shared" si="28"/>
        <v/>
      </c>
      <c r="I531" s="74" t="str">
        <f t="shared" si="29"/>
        <v/>
      </c>
      <c r="J531" s="32"/>
    </row>
    <row r="532" spans="1:10" ht="15">
      <c r="A532" s="3">
        <v>8</v>
      </c>
      <c r="B532" s="31"/>
      <c r="C532" s="30"/>
      <c r="D532" s="119"/>
      <c r="E532" s="32"/>
      <c r="G532" s="31">
        <v>490</v>
      </c>
      <c r="H532" s="30" t="str">
        <f t="shared" si="28"/>
        <v/>
      </c>
      <c r="I532" s="74" t="str">
        <f t="shared" si="29"/>
        <v/>
      </c>
      <c r="J532" s="32"/>
    </row>
    <row r="533" spans="1:10" ht="15">
      <c r="A533" s="3">
        <v>5</v>
      </c>
      <c r="B533" s="31"/>
      <c r="C533" s="30"/>
      <c r="D533" s="119"/>
      <c r="E533" s="32"/>
      <c r="G533" s="31">
        <v>491</v>
      </c>
      <c r="H533" s="30" t="str">
        <f t="shared" si="28"/>
        <v/>
      </c>
      <c r="I533" s="74" t="str">
        <f t="shared" si="29"/>
        <v/>
      </c>
      <c r="J533" s="32"/>
    </row>
    <row r="534" spans="1:10" ht="15">
      <c r="A534" s="3">
        <v>8</v>
      </c>
      <c r="B534" s="31"/>
      <c r="C534" s="30"/>
      <c r="D534" s="119"/>
      <c r="E534" s="32"/>
      <c r="G534" s="31">
        <v>492</v>
      </c>
      <c r="H534" s="30" t="str">
        <f t="shared" si="28"/>
        <v/>
      </c>
      <c r="I534" s="74" t="str">
        <f t="shared" si="29"/>
        <v/>
      </c>
      <c r="J534" s="32"/>
    </row>
    <row r="535" spans="1:10" ht="15">
      <c r="A535" s="3">
        <v>5</v>
      </c>
      <c r="B535" s="31"/>
      <c r="C535" s="30"/>
      <c r="D535" s="119"/>
      <c r="E535" s="32"/>
      <c r="G535" s="31">
        <v>493</v>
      </c>
      <c r="H535" s="30" t="str">
        <f t="shared" si="28"/>
        <v/>
      </c>
      <c r="I535" s="74" t="str">
        <f t="shared" si="29"/>
        <v/>
      </c>
      <c r="J535" s="32"/>
    </row>
    <row r="536" spans="1:10" ht="15">
      <c r="A536" s="3">
        <v>8</v>
      </c>
      <c r="B536" s="31"/>
      <c r="C536" s="30"/>
      <c r="D536" s="119"/>
      <c r="E536" s="32"/>
      <c r="G536" s="31">
        <v>494</v>
      </c>
      <c r="H536" s="30" t="str">
        <f t="shared" si="28"/>
        <v/>
      </c>
      <c r="I536" s="74" t="str">
        <f t="shared" si="29"/>
        <v/>
      </c>
      <c r="J536" s="32"/>
    </row>
    <row r="537" spans="1:10" ht="15">
      <c r="A537" s="3">
        <v>5</v>
      </c>
      <c r="B537" s="31"/>
      <c r="C537" s="30"/>
      <c r="D537" s="119"/>
      <c r="E537" s="32"/>
      <c r="G537" s="31">
        <v>495</v>
      </c>
      <c r="H537" s="30" t="str">
        <f t="shared" si="28"/>
        <v/>
      </c>
      <c r="I537" s="74" t="str">
        <f t="shared" si="29"/>
        <v/>
      </c>
      <c r="J537" s="32"/>
    </row>
    <row r="538" spans="1:10" ht="15">
      <c r="A538" s="3">
        <v>8</v>
      </c>
      <c r="B538" s="31"/>
      <c r="C538" s="30"/>
      <c r="D538" s="119"/>
      <c r="E538" s="32"/>
      <c r="G538" s="31">
        <v>496</v>
      </c>
      <c r="H538" s="30" t="str">
        <f t="shared" si="28"/>
        <v/>
      </c>
      <c r="I538" s="74" t="str">
        <f t="shared" si="29"/>
        <v/>
      </c>
      <c r="J538" s="32"/>
    </row>
    <row r="539" spans="1:10" ht="15">
      <c r="A539" s="3">
        <v>5</v>
      </c>
      <c r="B539" s="31"/>
      <c r="C539" s="30"/>
      <c r="D539" s="119"/>
      <c r="E539" s="32"/>
      <c r="G539" s="31">
        <v>497</v>
      </c>
      <c r="H539" s="30" t="str">
        <f t="shared" si="28"/>
        <v/>
      </c>
      <c r="I539" s="74" t="str">
        <f t="shared" si="29"/>
        <v/>
      </c>
      <c r="J539" s="32"/>
    </row>
    <row r="540" spans="1:10" ht="15">
      <c r="A540" s="3">
        <v>8</v>
      </c>
      <c r="B540" s="31"/>
      <c r="C540" s="30"/>
      <c r="D540" s="119"/>
      <c r="E540" s="32"/>
      <c r="G540" s="31">
        <v>498</v>
      </c>
      <c r="H540" s="30" t="str">
        <f t="shared" si="28"/>
        <v/>
      </c>
      <c r="I540" s="74" t="str">
        <f t="shared" si="29"/>
        <v/>
      </c>
      <c r="J540" s="32"/>
    </row>
    <row r="541" spans="1:10" ht="15">
      <c r="A541" s="3">
        <v>5</v>
      </c>
      <c r="B541" s="31"/>
      <c r="C541" s="30"/>
      <c r="D541" s="119"/>
      <c r="E541" s="32"/>
      <c r="G541" s="31">
        <v>499</v>
      </c>
      <c r="H541" s="30" t="str">
        <f t="shared" si="28"/>
        <v/>
      </c>
      <c r="I541" s="74" t="str">
        <f t="shared" si="29"/>
        <v/>
      </c>
      <c r="J541" s="32"/>
    </row>
    <row r="542" spans="1:10" ht="15">
      <c r="A542" s="3">
        <v>8</v>
      </c>
      <c r="B542" s="31"/>
      <c r="C542" s="30"/>
      <c r="D542" s="119"/>
      <c r="E542" s="32"/>
      <c r="G542" s="31">
        <v>500</v>
      </c>
      <c r="H542" s="30" t="str">
        <f t="shared" si="28"/>
        <v/>
      </c>
      <c r="I542" s="74" t="str">
        <f t="shared" si="29"/>
        <v/>
      </c>
      <c r="J542" s="32"/>
    </row>
    <row r="543" spans="1:10" ht="15">
      <c r="A543" s="3">
        <v>5</v>
      </c>
      <c r="B543" s="31"/>
      <c r="C543" s="30"/>
      <c r="D543" s="119"/>
      <c r="E543" s="32"/>
      <c r="G543" s="31">
        <v>501</v>
      </c>
      <c r="H543" s="30" t="str">
        <f t="shared" si="28"/>
        <v/>
      </c>
      <c r="I543" s="74" t="str">
        <f t="shared" si="29"/>
        <v/>
      </c>
      <c r="J543" s="32"/>
    </row>
    <row r="544" spans="1:10" ht="15">
      <c r="A544" s="3">
        <v>8</v>
      </c>
      <c r="B544" s="31"/>
      <c r="C544" s="30"/>
      <c r="D544" s="119"/>
      <c r="E544" s="32"/>
      <c r="G544" s="31">
        <v>502</v>
      </c>
      <c r="H544" s="30" t="str">
        <f t="shared" si="28"/>
        <v/>
      </c>
      <c r="I544" s="74" t="str">
        <f t="shared" si="29"/>
        <v/>
      </c>
      <c r="J544" s="32"/>
    </row>
    <row r="545" spans="1:10" ht="15">
      <c r="A545" s="3">
        <v>5</v>
      </c>
      <c r="B545" s="31"/>
      <c r="C545" s="30"/>
      <c r="D545" s="119"/>
      <c r="E545" s="32"/>
      <c r="G545" s="31">
        <v>503</v>
      </c>
      <c r="H545" s="30" t="str">
        <f t="shared" si="28"/>
        <v/>
      </c>
      <c r="I545" s="74" t="str">
        <f t="shared" si="29"/>
        <v/>
      </c>
      <c r="J545" s="32"/>
    </row>
    <row r="546" spans="1:10" ht="15">
      <c r="A546" s="3">
        <v>8</v>
      </c>
      <c r="B546" s="31"/>
      <c r="C546" s="30"/>
      <c r="D546" s="119"/>
      <c r="E546" s="32"/>
      <c r="G546" s="31">
        <v>504</v>
      </c>
      <c r="H546" s="30" t="str">
        <f t="shared" si="28"/>
        <v/>
      </c>
      <c r="I546" s="74" t="str">
        <f t="shared" si="29"/>
        <v/>
      </c>
      <c r="J546" s="32"/>
    </row>
    <row r="547" spans="1:10" ht="15">
      <c r="A547" s="3">
        <v>5</v>
      </c>
      <c r="B547" s="31"/>
      <c r="C547" s="30"/>
      <c r="D547" s="119"/>
      <c r="E547" s="32"/>
      <c r="G547" s="31">
        <v>505</v>
      </c>
      <c r="H547" s="30" t="str">
        <f t="shared" si="28"/>
        <v/>
      </c>
      <c r="I547" s="74" t="str">
        <f t="shared" si="29"/>
        <v/>
      </c>
      <c r="J547" s="32"/>
    </row>
    <row r="548" spans="1:10" ht="15">
      <c r="A548" s="3">
        <v>8</v>
      </c>
      <c r="B548" s="31"/>
      <c r="C548" s="30"/>
      <c r="D548" s="119"/>
      <c r="E548" s="32"/>
      <c r="G548" s="31">
        <v>506</v>
      </c>
      <c r="H548" s="30" t="str">
        <f t="shared" si="28"/>
        <v/>
      </c>
      <c r="I548" s="74" t="str">
        <f t="shared" si="29"/>
        <v/>
      </c>
      <c r="J548" s="32"/>
    </row>
    <row r="549" spans="1:10" ht="15">
      <c r="A549" s="3">
        <v>5</v>
      </c>
      <c r="B549" s="31"/>
      <c r="C549" s="30"/>
      <c r="D549" s="119"/>
      <c r="E549" s="32"/>
      <c r="G549" s="31">
        <v>507</v>
      </c>
      <c r="H549" s="30" t="str">
        <f t="shared" si="28"/>
        <v/>
      </c>
      <c r="I549" s="74" t="str">
        <f t="shared" si="29"/>
        <v/>
      </c>
      <c r="J549" s="32"/>
    </row>
    <row r="550" spans="1:10" ht="15">
      <c r="A550" s="3">
        <v>8</v>
      </c>
      <c r="B550" s="31"/>
      <c r="C550" s="30"/>
      <c r="D550" s="119"/>
      <c r="E550" s="32"/>
      <c r="G550" s="31">
        <v>508</v>
      </c>
      <c r="H550" s="30" t="str">
        <f t="shared" si="28"/>
        <v/>
      </c>
      <c r="I550" s="74" t="str">
        <f t="shared" si="29"/>
        <v/>
      </c>
      <c r="J550" s="32"/>
    </row>
    <row r="551" spans="1:10" ht="15">
      <c r="A551" s="3">
        <v>5</v>
      </c>
      <c r="B551" s="31"/>
      <c r="C551" s="30"/>
      <c r="D551" s="119"/>
      <c r="E551" s="32"/>
      <c r="G551" s="31">
        <v>509</v>
      </c>
      <c r="H551" s="30" t="str">
        <f t="shared" si="28"/>
        <v/>
      </c>
      <c r="I551" s="74" t="str">
        <f t="shared" si="29"/>
        <v/>
      </c>
      <c r="J551" s="32"/>
    </row>
    <row r="552" spans="1:10" ht="15">
      <c r="A552" s="3">
        <v>8</v>
      </c>
      <c r="B552" s="31"/>
      <c r="C552" s="30"/>
      <c r="D552" s="119"/>
      <c r="E552" s="32"/>
      <c r="G552" s="31">
        <v>510</v>
      </c>
      <c r="H552" s="30" t="str">
        <f t="shared" si="28"/>
        <v/>
      </c>
      <c r="I552" s="74" t="str">
        <f t="shared" si="29"/>
        <v/>
      </c>
      <c r="J552" s="32"/>
    </row>
    <row r="553" spans="1:10" ht="15">
      <c r="A553" s="3">
        <v>5</v>
      </c>
      <c r="B553" s="31"/>
      <c r="C553" s="30"/>
      <c r="D553" s="119"/>
      <c r="E553" s="32"/>
      <c r="G553" s="31">
        <v>511</v>
      </c>
      <c r="H553" s="30" t="str">
        <f t="shared" si="28"/>
        <v/>
      </c>
      <c r="I553" s="74" t="str">
        <f t="shared" si="29"/>
        <v/>
      </c>
      <c r="J553" s="32"/>
    </row>
    <row r="554" spans="1:10" ht="15">
      <c r="A554" s="3">
        <v>8</v>
      </c>
      <c r="B554" s="31"/>
      <c r="C554" s="30"/>
      <c r="D554" s="119"/>
      <c r="E554" s="32"/>
      <c r="G554" s="31">
        <v>512</v>
      </c>
      <c r="H554" s="30" t="str">
        <f t="shared" si="28"/>
        <v/>
      </c>
      <c r="I554" s="74" t="str">
        <f t="shared" si="29"/>
        <v/>
      </c>
      <c r="J554" s="32"/>
    </row>
    <row r="555" spans="1:10" ht="15">
      <c r="A555" s="3">
        <v>5</v>
      </c>
      <c r="B555" s="31"/>
      <c r="C555" s="30"/>
      <c r="D555" s="119"/>
      <c r="E555" s="32"/>
      <c r="G555" s="31">
        <v>513</v>
      </c>
      <c r="H555" s="30" t="str">
        <f t="shared" si="28"/>
        <v/>
      </c>
      <c r="I555" s="74" t="str">
        <f t="shared" si="29"/>
        <v/>
      </c>
      <c r="J555" s="32"/>
    </row>
    <row r="556" spans="1:10" ht="15">
      <c r="A556" s="3">
        <v>8</v>
      </c>
      <c r="B556" s="31"/>
      <c r="C556" s="30"/>
      <c r="D556" s="119"/>
      <c r="E556" s="32"/>
      <c r="G556" s="31">
        <v>514</v>
      </c>
      <c r="H556" s="30" t="str">
        <f t="shared" ref="H556:H619" si="30">MID($I$41,G556*8-7,8)</f>
        <v/>
      </c>
      <c r="I556" s="74" t="str">
        <f t="shared" ref="I556:I619" si="31">IFERROR(BIN2DEC(VALUE(H556)),"")</f>
        <v/>
      </c>
      <c r="J556" s="32"/>
    </row>
    <row r="557" spans="1:10" ht="15">
      <c r="A557" s="3">
        <v>5</v>
      </c>
      <c r="B557" s="31"/>
      <c r="C557" s="30"/>
      <c r="D557" s="119"/>
      <c r="E557" s="32"/>
      <c r="G557" s="31">
        <v>515</v>
      </c>
      <c r="H557" s="30" t="str">
        <f t="shared" si="30"/>
        <v/>
      </c>
      <c r="I557" s="74" t="str">
        <f t="shared" si="31"/>
        <v/>
      </c>
      <c r="J557" s="32"/>
    </row>
    <row r="558" spans="1:10" ht="15">
      <c r="A558" s="3">
        <v>8</v>
      </c>
      <c r="B558" s="31"/>
      <c r="C558" s="30"/>
      <c r="D558" s="119"/>
      <c r="E558" s="32"/>
      <c r="G558" s="31">
        <v>516</v>
      </c>
      <c r="H558" s="30" t="str">
        <f t="shared" si="30"/>
        <v/>
      </c>
      <c r="I558" s="74" t="str">
        <f t="shared" si="31"/>
        <v/>
      </c>
      <c r="J558" s="32"/>
    </row>
    <row r="559" spans="1:10" ht="15">
      <c r="A559" s="3">
        <v>5</v>
      </c>
      <c r="B559" s="31"/>
      <c r="C559" s="30"/>
      <c r="D559" s="119"/>
      <c r="E559" s="32"/>
      <c r="G559" s="31">
        <v>517</v>
      </c>
      <c r="H559" s="30" t="str">
        <f t="shared" si="30"/>
        <v/>
      </c>
      <c r="I559" s="74" t="str">
        <f t="shared" si="31"/>
        <v/>
      </c>
      <c r="J559" s="32"/>
    </row>
    <row r="560" spans="1:10" ht="15">
      <c r="A560" s="3">
        <v>8</v>
      </c>
      <c r="B560" s="31"/>
      <c r="C560" s="30"/>
      <c r="D560" s="119"/>
      <c r="E560" s="32"/>
      <c r="G560" s="31">
        <v>518</v>
      </c>
      <c r="H560" s="30" t="str">
        <f t="shared" si="30"/>
        <v/>
      </c>
      <c r="I560" s="74" t="str">
        <f t="shared" si="31"/>
        <v/>
      </c>
      <c r="J560" s="32"/>
    </row>
    <row r="561" spans="1:10" ht="15">
      <c r="A561" s="3">
        <v>5</v>
      </c>
      <c r="B561" s="31"/>
      <c r="C561" s="30"/>
      <c r="D561" s="119"/>
      <c r="E561" s="32"/>
      <c r="G561" s="31">
        <v>519</v>
      </c>
      <c r="H561" s="30" t="str">
        <f t="shared" si="30"/>
        <v/>
      </c>
      <c r="I561" s="74" t="str">
        <f t="shared" si="31"/>
        <v/>
      </c>
      <c r="J561" s="32"/>
    </row>
    <row r="562" spans="1:10" ht="15">
      <c r="A562" s="3">
        <v>8</v>
      </c>
      <c r="B562" s="31"/>
      <c r="C562" s="30"/>
      <c r="D562" s="119"/>
      <c r="E562" s="32"/>
      <c r="G562" s="31">
        <v>520</v>
      </c>
      <c r="H562" s="30" t="str">
        <f t="shared" si="30"/>
        <v/>
      </c>
      <c r="I562" s="74" t="str">
        <f t="shared" si="31"/>
        <v/>
      </c>
      <c r="J562" s="32"/>
    </row>
    <row r="563" spans="1:10" ht="15">
      <c r="A563" s="3">
        <v>5</v>
      </c>
      <c r="B563" s="31"/>
      <c r="C563" s="30"/>
      <c r="D563" s="119"/>
      <c r="E563" s="32"/>
      <c r="G563" s="31">
        <v>521</v>
      </c>
      <c r="H563" s="30" t="str">
        <f t="shared" si="30"/>
        <v/>
      </c>
      <c r="I563" s="74" t="str">
        <f t="shared" si="31"/>
        <v/>
      </c>
      <c r="J563" s="32"/>
    </row>
    <row r="564" spans="1:10" ht="15">
      <c r="A564" s="3">
        <v>8</v>
      </c>
      <c r="B564" s="31"/>
      <c r="C564" s="30"/>
      <c r="D564" s="119"/>
      <c r="E564" s="32"/>
      <c r="G564" s="31">
        <v>522</v>
      </c>
      <c r="H564" s="30" t="str">
        <f t="shared" si="30"/>
        <v/>
      </c>
      <c r="I564" s="74" t="str">
        <f t="shared" si="31"/>
        <v/>
      </c>
      <c r="J564" s="32"/>
    </row>
    <row r="565" spans="1:10" ht="15">
      <c r="A565" s="3">
        <v>5</v>
      </c>
      <c r="B565" s="31"/>
      <c r="C565" s="30"/>
      <c r="D565" s="119"/>
      <c r="E565" s="32"/>
      <c r="G565" s="31">
        <v>523</v>
      </c>
      <c r="H565" s="30" t="str">
        <f t="shared" si="30"/>
        <v/>
      </c>
      <c r="I565" s="74" t="str">
        <f t="shared" si="31"/>
        <v/>
      </c>
      <c r="J565" s="32"/>
    </row>
    <row r="566" spans="1:10" ht="15">
      <c r="A566" s="3">
        <v>8</v>
      </c>
      <c r="B566" s="31"/>
      <c r="C566" s="30"/>
      <c r="D566" s="119"/>
      <c r="E566" s="32"/>
      <c r="G566" s="31">
        <v>524</v>
      </c>
      <c r="H566" s="30" t="str">
        <f t="shared" si="30"/>
        <v/>
      </c>
      <c r="I566" s="74" t="str">
        <f t="shared" si="31"/>
        <v/>
      </c>
      <c r="J566" s="32"/>
    </row>
    <row r="567" spans="1:10" ht="15">
      <c r="A567" s="3">
        <v>5</v>
      </c>
      <c r="B567" s="31"/>
      <c r="C567" s="30"/>
      <c r="D567" s="119"/>
      <c r="E567" s="32"/>
      <c r="G567" s="31">
        <v>525</v>
      </c>
      <c r="H567" s="30" t="str">
        <f t="shared" si="30"/>
        <v/>
      </c>
      <c r="I567" s="74" t="str">
        <f t="shared" si="31"/>
        <v/>
      </c>
      <c r="J567" s="32"/>
    </row>
    <row r="568" spans="1:10" ht="15">
      <c r="A568" s="3">
        <v>8</v>
      </c>
      <c r="B568" s="31"/>
      <c r="C568" s="30"/>
      <c r="D568" s="119"/>
      <c r="E568" s="32"/>
      <c r="G568" s="31">
        <v>526</v>
      </c>
      <c r="H568" s="30" t="str">
        <f t="shared" si="30"/>
        <v/>
      </c>
      <c r="I568" s="74" t="str">
        <f t="shared" si="31"/>
        <v/>
      </c>
      <c r="J568" s="32"/>
    </row>
    <row r="569" spans="1:10" ht="15">
      <c r="A569" s="3">
        <v>5</v>
      </c>
      <c r="B569" s="31"/>
      <c r="C569" s="30"/>
      <c r="D569" s="119"/>
      <c r="E569" s="32"/>
      <c r="G569" s="31">
        <v>527</v>
      </c>
      <c r="H569" s="30" t="str">
        <f t="shared" si="30"/>
        <v/>
      </c>
      <c r="I569" s="74" t="str">
        <f t="shared" si="31"/>
        <v/>
      </c>
      <c r="J569" s="32"/>
    </row>
    <row r="570" spans="1:10" ht="15">
      <c r="A570" s="3">
        <v>8</v>
      </c>
      <c r="B570" s="31"/>
      <c r="C570" s="30"/>
      <c r="D570" s="119"/>
      <c r="E570" s="32"/>
      <c r="G570" s="31">
        <v>528</v>
      </c>
      <c r="H570" s="30" t="str">
        <f t="shared" si="30"/>
        <v/>
      </c>
      <c r="I570" s="74" t="str">
        <f t="shared" si="31"/>
        <v/>
      </c>
      <c r="J570" s="32"/>
    </row>
    <row r="571" spans="1:10" ht="15">
      <c r="A571" s="3">
        <v>5</v>
      </c>
      <c r="B571" s="31"/>
      <c r="C571" s="30"/>
      <c r="D571" s="119"/>
      <c r="E571" s="32"/>
      <c r="G571" s="31">
        <v>529</v>
      </c>
      <c r="H571" s="30" t="str">
        <f t="shared" si="30"/>
        <v/>
      </c>
      <c r="I571" s="74" t="str">
        <f t="shared" si="31"/>
        <v/>
      </c>
      <c r="J571" s="32"/>
    </row>
    <row r="572" spans="1:10" ht="15">
      <c r="A572" s="3">
        <v>8</v>
      </c>
      <c r="B572" s="31"/>
      <c r="C572" s="30"/>
      <c r="D572" s="119"/>
      <c r="E572" s="32"/>
      <c r="G572" s="31">
        <v>530</v>
      </c>
      <c r="H572" s="30" t="str">
        <f t="shared" si="30"/>
        <v/>
      </c>
      <c r="I572" s="74" t="str">
        <f t="shared" si="31"/>
        <v/>
      </c>
      <c r="J572" s="32"/>
    </row>
    <row r="573" spans="1:10" ht="15">
      <c r="A573" s="3">
        <v>5</v>
      </c>
      <c r="B573" s="31"/>
      <c r="C573" s="30"/>
      <c r="D573" s="119"/>
      <c r="E573" s="32"/>
      <c r="G573" s="31">
        <v>531</v>
      </c>
      <c r="H573" s="30" t="str">
        <f t="shared" si="30"/>
        <v/>
      </c>
      <c r="I573" s="74" t="str">
        <f t="shared" si="31"/>
        <v/>
      </c>
      <c r="J573" s="32"/>
    </row>
    <row r="574" spans="1:10" ht="15">
      <c r="A574" s="3">
        <v>8</v>
      </c>
      <c r="B574" s="31"/>
      <c r="C574" s="30"/>
      <c r="D574" s="119"/>
      <c r="E574" s="32"/>
      <c r="G574" s="31">
        <v>532</v>
      </c>
      <c r="H574" s="30" t="str">
        <f t="shared" si="30"/>
        <v/>
      </c>
      <c r="I574" s="74" t="str">
        <f t="shared" si="31"/>
        <v/>
      </c>
      <c r="J574" s="32"/>
    </row>
    <row r="575" spans="1:10" ht="15">
      <c r="A575" s="3">
        <v>5</v>
      </c>
      <c r="B575" s="31"/>
      <c r="C575" s="30"/>
      <c r="D575" s="119"/>
      <c r="E575" s="32"/>
      <c r="G575" s="31">
        <v>533</v>
      </c>
      <c r="H575" s="30" t="str">
        <f t="shared" si="30"/>
        <v/>
      </c>
      <c r="I575" s="74" t="str">
        <f t="shared" si="31"/>
        <v/>
      </c>
      <c r="J575" s="32"/>
    </row>
    <row r="576" spans="1:10" ht="15">
      <c r="A576" s="3">
        <v>8</v>
      </c>
      <c r="B576" s="31"/>
      <c r="C576" s="30"/>
      <c r="D576" s="119"/>
      <c r="E576" s="32"/>
      <c r="G576" s="31">
        <v>534</v>
      </c>
      <c r="H576" s="30" t="str">
        <f t="shared" si="30"/>
        <v/>
      </c>
      <c r="I576" s="74" t="str">
        <f t="shared" si="31"/>
        <v/>
      </c>
      <c r="J576" s="32"/>
    </row>
    <row r="577" spans="1:10" ht="15">
      <c r="A577" s="3">
        <v>5</v>
      </c>
      <c r="B577" s="31"/>
      <c r="C577" s="30"/>
      <c r="D577" s="119"/>
      <c r="E577" s="32"/>
      <c r="G577" s="31">
        <v>535</v>
      </c>
      <c r="H577" s="30" t="str">
        <f t="shared" si="30"/>
        <v/>
      </c>
      <c r="I577" s="74" t="str">
        <f t="shared" si="31"/>
        <v/>
      </c>
      <c r="J577" s="32"/>
    </row>
    <row r="578" spans="1:10" ht="15">
      <c r="A578" s="3">
        <v>8</v>
      </c>
      <c r="B578" s="31"/>
      <c r="C578" s="30"/>
      <c r="D578" s="119"/>
      <c r="E578" s="32"/>
      <c r="G578" s="31">
        <v>536</v>
      </c>
      <c r="H578" s="30" t="str">
        <f t="shared" si="30"/>
        <v/>
      </c>
      <c r="I578" s="74" t="str">
        <f t="shared" si="31"/>
        <v/>
      </c>
      <c r="J578" s="32"/>
    </row>
    <row r="579" spans="1:10" ht="15">
      <c r="A579" s="3">
        <v>5</v>
      </c>
      <c r="B579" s="31"/>
      <c r="C579" s="30"/>
      <c r="D579" s="119"/>
      <c r="E579" s="32"/>
      <c r="G579" s="31">
        <v>537</v>
      </c>
      <c r="H579" s="30" t="str">
        <f t="shared" si="30"/>
        <v/>
      </c>
      <c r="I579" s="74" t="str">
        <f t="shared" si="31"/>
        <v/>
      </c>
      <c r="J579" s="32"/>
    </row>
    <row r="580" spans="1:10" ht="15">
      <c r="A580" s="3">
        <v>8</v>
      </c>
      <c r="B580" s="31"/>
      <c r="C580" s="30"/>
      <c r="D580" s="119"/>
      <c r="E580" s="32"/>
      <c r="G580" s="31">
        <v>538</v>
      </c>
      <c r="H580" s="30" t="str">
        <f t="shared" si="30"/>
        <v/>
      </c>
      <c r="I580" s="74" t="str">
        <f t="shared" si="31"/>
        <v/>
      </c>
      <c r="J580" s="32"/>
    </row>
    <row r="581" spans="1:10" ht="15">
      <c r="A581" s="3">
        <v>5</v>
      </c>
      <c r="B581" s="31"/>
      <c r="C581" s="30"/>
      <c r="D581" s="119"/>
      <c r="E581" s="32"/>
      <c r="G581" s="31">
        <v>539</v>
      </c>
      <c r="H581" s="30" t="str">
        <f t="shared" si="30"/>
        <v/>
      </c>
      <c r="I581" s="74" t="str">
        <f t="shared" si="31"/>
        <v/>
      </c>
      <c r="J581" s="32"/>
    </row>
    <row r="582" spans="1:10" ht="15">
      <c r="A582" s="3">
        <v>8</v>
      </c>
      <c r="B582" s="31"/>
      <c r="C582" s="30"/>
      <c r="D582" s="119"/>
      <c r="E582" s="32"/>
      <c r="G582" s="31">
        <v>540</v>
      </c>
      <c r="H582" s="30" t="str">
        <f t="shared" si="30"/>
        <v/>
      </c>
      <c r="I582" s="74" t="str">
        <f t="shared" si="31"/>
        <v/>
      </c>
      <c r="J582" s="32"/>
    </row>
    <row r="583" spans="1:10" ht="15">
      <c r="A583" s="3">
        <v>5</v>
      </c>
      <c r="B583" s="31"/>
      <c r="C583" s="30"/>
      <c r="D583" s="119"/>
      <c r="E583" s="32"/>
      <c r="G583" s="31">
        <v>541</v>
      </c>
      <c r="H583" s="30" t="str">
        <f t="shared" si="30"/>
        <v/>
      </c>
      <c r="I583" s="74" t="str">
        <f t="shared" si="31"/>
        <v/>
      </c>
      <c r="J583" s="32"/>
    </row>
    <row r="584" spans="1:10" ht="15">
      <c r="A584" s="3">
        <v>8</v>
      </c>
      <c r="B584" s="31"/>
      <c r="C584" s="30"/>
      <c r="D584" s="119"/>
      <c r="E584" s="32"/>
      <c r="G584" s="31">
        <v>542</v>
      </c>
      <c r="H584" s="30" t="str">
        <f t="shared" si="30"/>
        <v/>
      </c>
      <c r="I584" s="74" t="str">
        <f t="shared" si="31"/>
        <v/>
      </c>
      <c r="J584" s="32"/>
    </row>
    <row r="585" spans="1:10" ht="15">
      <c r="A585" s="3">
        <v>5</v>
      </c>
      <c r="B585" s="31"/>
      <c r="C585" s="30"/>
      <c r="D585" s="119"/>
      <c r="E585" s="32"/>
      <c r="G585" s="31">
        <v>543</v>
      </c>
      <c r="H585" s="30" t="str">
        <f t="shared" si="30"/>
        <v/>
      </c>
      <c r="I585" s="74" t="str">
        <f t="shared" si="31"/>
        <v/>
      </c>
      <c r="J585" s="32"/>
    </row>
    <row r="586" spans="1:10" ht="15">
      <c r="A586" s="3">
        <v>8</v>
      </c>
      <c r="B586" s="31"/>
      <c r="C586" s="30"/>
      <c r="D586" s="119"/>
      <c r="E586" s="32"/>
      <c r="G586" s="31">
        <v>544</v>
      </c>
      <c r="H586" s="30" t="str">
        <f t="shared" si="30"/>
        <v/>
      </c>
      <c r="I586" s="74" t="str">
        <f t="shared" si="31"/>
        <v/>
      </c>
      <c r="J586" s="32"/>
    </row>
    <row r="587" spans="1:10" ht="15">
      <c r="A587" s="3">
        <v>5</v>
      </c>
      <c r="B587" s="31"/>
      <c r="C587" s="30"/>
      <c r="D587" s="119"/>
      <c r="E587" s="32"/>
      <c r="G587" s="31">
        <v>545</v>
      </c>
      <c r="H587" s="30" t="str">
        <f t="shared" si="30"/>
        <v/>
      </c>
      <c r="I587" s="74" t="str">
        <f t="shared" si="31"/>
        <v/>
      </c>
      <c r="J587" s="32"/>
    </row>
    <row r="588" spans="1:10" ht="15">
      <c r="A588" s="3">
        <v>8</v>
      </c>
      <c r="B588" s="31"/>
      <c r="C588" s="30"/>
      <c r="D588" s="119"/>
      <c r="E588" s="32"/>
      <c r="G588" s="31">
        <v>546</v>
      </c>
      <c r="H588" s="30" t="str">
        <f t="shared" si="30"/>
        <v/>
      </c>
      <c r="I588" s="74" t="str">
        <f t="shared" si="31"/>
        <v/>
      </c>
      <c r="J588" s="32"/>
    </row>
    <row r="589" spans="1:10" ht="15">
      <c r="A589" s="3">
        <v>5</v>
      </c>
      <c r="B589" s="31"/>
      <c r="C589" s="30"/>
      <c r="D589" s="119"/>
      <c r="E589" s="32"/>
      <c r="G589" s="31">
        <v>547</v>
      </c>
      <c r="H589" s="30" t="str">
        <f t="shared" si="30"/>
        <v/>
      </c>
      <c r="I589" s="74" t="str">
        <f t="shared" si="31"/>
        <v/>
      </c>
      <c r="J589" s="32"/>
    </row>
    <row r="590" spans="1:10" ht="15">
      <c r="A590" s="3">
        <v>8</v>
      </c>
      <c r="B590" s="31"/>
      <c r="C590" s="30"/>
      <c r="D590" s="119"/>
      <c r="E590" s="32"/>
      <c r="G590" s="31">
        <v>548</v>
      </c>
      <c r="H590" s="30" t="str">
        <f t="shared" si="30"/>
        <v/>
      </c>
      <c r="I590" s="74" t="str">
        <f t="shared" si="31"/>
        <v/>
      </c>
      <c r="J590" s="32"/>
    </row>
    <row r="591" spans="1:10" ht="15">
      <c r="A591" s="3">
        <v>5</v>
      </c>
      <c r="B591" s="31"/>
      <c r="C591" s="30"/>
      <c r="D591" s="119"/>
      <c r="E591" s="32"/>
      <c r="G591" s="31">
        <v>549</v>
      </c>
      <c r="H591" s="30" t="str">
        <f t="shared" si="30"/>
        <v/>
      </c>
      <c r="I591" s="74" t="str">
        <f t="shared" si="31"/>
        <v/>
      </c>
      <c r="J591" s="32"/>
    </row>
    <row r="592" spans="1:10" ht="15">
      <c r="A592" s="3">
        <v>8</v>
      </c>
      <c r="B592" s="31"/>
      <c r="C592" s="30"/>
      <c r="D592" s="119"/>
      <c r="E592" s="32"/>
      <c r="G592" s="31">
        <v>550</v>
      </c>
      <c r="H592" s="30" t="str">
        <f t="shared" si="30"/>
        <v/>
      </c>
      <c r="I592" s="74" t="str">
        <f t="shared" si="31"/>
        <v/>
      </c>
      <c r="J592" s="32"/>
    </row>
    <row r="593" spans="1:10" ht="15">
      <c r="A593" s="3">
        <v>5</v>
      </c>
      <c r="B593" s="31"/>
      <c r="C593" s="30"/>
      <c r="D593" s="119"/>
      <c r="E593" s="32"/>
      <c r="G593" s="31">
        <v>551</v>
      </c>
      <c r="H593" s="30" t="str">
        <f t="shared" si="30"/>
        <v/>
      </c>
      <c r="I593" s="74" t="str">
        <f t="shared" si="31"/>
        <v/>
      </c>
      <c r="J593" s="32"/>
    </row>
    <row r="594" spans="1:10" ht="15">
      <c r="A594" s="3">
        <v>8</v>
      </c>
      <c r="B594" s="31"/>
      <c r="C594" s="30"/>
      <c r="D594" s="119"/>
      <c r="E594" s="32"/>
      <c r="G594" s="31">
        <v>552</v>
      </c>
      <c r="H594" s="30" t="str">
        <f t="shared" si="30"/>
        <v/>
      </c>
      <c r="I594" s="74" t="str">
        <f t="shared" si="31"/>
        <v/>
      </c>
      <c r="J594" s="32"/>
    </row>
    <row r="595" spans="1:10" ht="15">
      <c r="A595" s="3">
        <v>5</v>
      </c>
      <c r="B595" s="31"/>
      <c r="C595" s="30"/>
      <c r="D595" s="119"/>
      <c r="E595" s="32"/>
      <c r="G595" s="31">
        <v>553</v>
      </c>
      <c r="H595" s="30" t="str">
        <f t="shared" si="30"/>
        <v/>
      </c>
      <c r="I595" s="74" t="str">
        <f t="shared" si="31"/>
        <v/>
      </c>
      <c r="J595" s="32"/>
    </row>
    <row r="596" spans="1:10" ht="15">
      <c r="A596" s="3">
        <v>8</v>
      </c>
      <c r="B596" s="31"/>
      <c r="C596" s="30"/>
      <c r="D596" s="119"/>
      <c r="E596" s="32"/>
      <c r="G596" s="31">
        <v>554</v>
      </c>
      <c r="H596" s="30" t="str">
        <f t="shared" si="30"/>
        <v/>
      </c>
      <c r="I596" s="74" t="str">
        <f t="shared" si="31"/>
        <v/>
      </c>
      <c r="J596" s="32"/>
    </row>
    <row r="597" spans="1:10" ht="15">
      <c r="A597" s="3">
        <v>5</v>
      </c>
      <c r="B597" s="31"/>
      <c r="C597" s="30"/>
      <c r="D597" s="119"/>
      <c r="E597" s="32"/>
      <c r="G597" s="31">
        <v>555</v>
      </c>
      <c r="H597" s="30" t="str">
        <f t="shared" si="30"/>
        <v/>
      </c>
      <c r="I597" s="74" t="str">
        <f t="shared" si="31"/>
        <v/>
      </c>
      <c r="J597" s="32"/>
    </row>
    <row r="598" spans="1:10" ht="15">
      <c r="A598" s="3">
        <v>8</v>
      </c>
      <c r="B598" s="31"/>
      <c r="C598" s="30"/>
      <c r="D598" s="119"/>
      <c r="E598" s="32"/>
      <c r="G598" s="31">
        <v>556</v>
      </c>
      <c r="H598" s="30" t="str">
        <f t="shared" si="30"/>
        <v/>
      </c>
      <c r="I598" s="74" t="str">
        <f t="shared" si="31"/>
        <v/>
      </c>
      <c r="J598" s="32"/>
    </row>
    <row r="599" spans="1:10" ht="15">
      <c r="A599" s="3">
        <v>5</v>
      </c>
      <c r="B599" s="31"/>
      <c r="C599" s="30"/>
      <c r="D599" s="119"/>
      <c r="E599" s="32"/>
      <c r="G599" s="31">
        <v>557</v>
      </c>
      <c r="H599" s="30" t="str">
        <f t="shared" si="30"/>
        <v/>
      </c>
      <c r="I599" s="74" t="str">
        <f t="shared" si="31"/>
        <v/>
      </c>
      <c r="J599" s="32"/>
    </row>
    <row r="600" spans="1:10" ht="15">
      <c r="A600" s="3">
        <v>8</v>
      </c>
      <c r="B600" s="31"/>
      <c r="C600" s="30"/>
      <c r="D600" s="119"/>
      <c r="E600" s="32"/>
      <c r="G600" s="31">
        <v>558</v>
      </c>
      <c r="H600" s="30" t="str">
        <f t="shared" si="30"/>
        <v/>
      </c>
      <c r="I600" s="74" t="str">
        <f t="shared" si="31"/>
        <v/>
      </c>
      <c r="J600" s="32"/>
    </row>
    <row r="601" spans="1:10" ht="15">
      <c r="A601" s="3">
        <v>5</v>
      </c>
      <c r="B601" s="31"/>
      <c r="C601" s="30"/>
      <c r="D601" s="119"/>
      <c r="E601" s="32"/>
      <c r="G601" s="31">
        <v>559</v>
      </c>
      <c r="H601" s="30" t="str">
        <f t="shared" si="30"/>
        <v/>
      </c>
      <c r="I601" s="74" t="str">
        <f t="shared" si="31"/>
        <v/>
      </c>
      <c r="J601" s="32"/>
    </row>
    <row r="602" spans="1:10" ht="15">
      <c r="A602" s="3">
        <v>8</v>
      </c>
      <c r="B602" s="31"/>
      <c r="C602" s="30"/>
      <c r="D602" s="119"/>
      <c r="E602" s="32"/>
      <c r="G602" s="31">
        <v>560</v>
      </c>
      <c r="H602" s="30" t="str">
        <f t="shared" si="30"/>
        <v/>
      </c>
      <c r="I602" s="74" t="str">
        <f t="shared" si="31"/>
        <v/>
      </c>
      <c r="J602" s="32"/>
    </row>
    <row r="603" spans="1:10" ht="15">
      <c r="A603" s="3">
        <v>5</v>
      </c>
      <c r="B603" s="31"/>
      <c r="C603" s="30"/>
      <c r="D603" s="119"/>
      <c r="E603" s="32"/>
      <c r="G603" s="31">
        <v>561</v>
      </c>
      <c r="H603" s="30" t="str">
        <f t="shared" si="30"/>
        <v/>
      </c>
      <c r="I603" s="74" t="str">
        <f t="shared" si="31"/>
        <v/>
      </c>
      <c r="J603" s="32"/>
    </row>
    <row r="604" spans="1:10" ht="15">
      <c r="A604" s="3">
        <v>8</v>
      </c>
      <c r="B604" s="31"/>
      <c r="C604" s="30"/>
      <c r="D604" s="119"/>
      <c r="E604" s="32"/>
      <c r="G604" s="31">
        <v>562</v>
      </c>
      <c r="H604" s="30" t="str">
        <f t="shared" si="30"/>
        <v/>
      </c>
      <c r="I604" s="74" t="str">
        <f t="shared" si="31"/>
        <v/>
      </c>
      <c r="J604" s="32"/>
    </row>
    <row r="605" spans="1:10" ht="15">
      <c r="A605" s="3">
        <v>5</v>
      </c>
      <c r="B605" s="31"/>
      <c r="C605" s="30"/>
      <c r="D605" s="119"/>
      <c r="E605" s="32"/>
      <c r="G605" s="31">
        <v>563</v>
      </c>
      <c r="H605" s="30" t="str">
        <f t="shared" si="30"/>
        <v/>
      </c>
      <c r="I605" s="74" t="str">
        <f t="shared" si="31"/>
        <v/>
      </c>
      <c r="J605" s="32"/>
    </row>
    <row r="606" spans="1:10" ht="15">
      <c r="A606" s="3">
        <v>8</v>
      </c>
      <c r="B606" s="31"/>
      <c r="C606" s="30"/>
      <c r="D606" s="119"/>
      <c r="E606" s="32"/>
      <c r="G606" s="31">
        <v>564</v>
      </c>
      <c r="H606" s="30" t="str">
        <f t="shared" si="30"/>
        <v/>
      </c>
      <c r="I606" s="74" t="str">
        <f t="shared" si="31"/>
        <v/>
      </c>
      <c r="J606" s="32"/>
    </row>
    <row r="607" spans="1:10" ht="15">
      <c r="A607" s="3">
        <v>5</v>
      </c>
      <c r="B607" s="31"/>
      <c r="C607" s="30"/>
      <c r="D607" s="119"/>
      <c r="E607" s="32"/>
      <c r="G607" s="31">
        <v>565</v>
      </c>
      <c r="H607" s="30" t="str">
        <f t="shared" si="30"/>
        <v/>
      </c>
      <c r="I607" s="74" t="str">
        <f t="shared" si="31"/>
        <v/>
      </c>
      <c r="J607" s="32"/>
    </row>
    <row r="608" spans="1:10" ht="15">
      <c r="A608" s="3">
        <v>8</v>
      </c>
      <c r="B608" s="31"/>
      <c r="C608" s="30"/>
      <c r="D608" s="119"/>
      <c r="E608" s="32"/>
      <c r="G608" s="31">
        <v>566</v>
      </c>
      <c r="H608" s="30" t="str">
        <f t="shared" si="30"/>
        <v/>
      </c>
      <c r="I608" s="74" t="str">
        <f t="shared" si="31"/>
        <v/>
      </c>
      <c r="J608" s="32"/>
    </row>
    <row r="609" spans="1:10" ht="15">
      <c r="A609" s="3">
        <v>5</v>
      </c>
      <c r="B609" s="31"/>
      <c r="C609" s="30"/>
      <c r="D609" s="119"/>
      <c r="E609" s="32"/>
      <c r="G609" s="31">
        <v>567</v>
      </c>
      <c r="H609" s="30" t="str">
        <f t="shared" si="30"/>
        <v/>
      </c>
      <c r="I609" s="74" t="str">
        <f t="shared" si="31"/>
        <v/>
      </c>
      <c r="J609" s="32"/>
    </row>
    <row r="610" spans="1:10" ht="15">
      <c r="A610" s="3">
        <v>8</v>
      </c>
      <c r="B610" s="31"/>
      <c r="C610" s="30"/>
      <c r="D610" s="119"/>
      <c r="E610" s="32"/>
      <c r="G610" s="31">
        <v>568</v>
      </c>
      <c r="H610" s="30" t="str">
        <f t="shared" si="30"/>
        <v/>
      </c>
      <c r="I610" s="74" t="str">
        <f t="shared" si="31"/>
        <v/>
      </c>
      <c r="J610" s="32"/>
    </row>
    <row r="611" spans="1:10" ht="15">
      <c r="A611" s="3">
        <v>5</v>
      </c>
      <c r="B611" s="31"/>
      <c r="C611" s="30"/>
      <c r="D611" s="119"/>
      <c r="E611" s="32"/>
      <c r="G611" s="31">
        <v>569</v>
      </c>
      <c r="H611" s="30" t="str">
        <f t="shared" si="30"/>
        <v/>
      </c>
      <c r="I611" s="74" t="str">
        <f t="shared" si="31"/>
        <v/>
      </c>
      <c r="J611" s="32"/>
    </row>
    <row r="612" spans="1:10" ht="15">
      <c r="A612" s="3">
        <v>8</v>
      </c>
      <c r="B612" s="31"/>
      <c r="C612" s="30"/>
      <c r="D612" s="119"/>
      <c r="E612" s="32"/>
      <c r="G612" s="31">
        <v>570</v>
      </c>
      <c r="H612" s="30" t="str">
        <f t="shared" si="30"/>
        <v/>
      </c>
      <c r="I612" s="74" t="str">
        <f t="shared" si="31"/>
        <v/>
      </c>
      <c r="J612" s="32"/>
    </row>
    <row r="613" spans="1:10" ht="15">
      <c r="A613" s="3">
        <v>5</v>
      </c>
      <c r="B613" s="31"/>
      <c r="C613" s="30"/>
      <c r="D613" s="119"/>
      <c r="E613" s="32"/>
      <c r="G613" s="31">
        <v>571</v>
      </c>
      <c r="H613" s="30" t="str">
        <f t="shared" si="30"/>
        <v/>
      </c>
      <c r="I613" s="74" t="str">
        <f t="shared" si="31"/>
        <v/>
      </c>
      <c r="J613" s="32"/>
    </row>
    <row r="614" spans="1:10" ht="15">
      <c r="A614" s="3">
        <v>8</v>
      </c>
      <c r="B614" s="31"/>
      <c r="C614" s="30"/>
      <c r="D614" s="119"/>
      <c r="E614" s="32"/>
      <c r="G614" s="31">
        <v>572</v>
      </c>
      <c r="H614" s="30" t="str">
        <f t="shared" si="30"/>
        <v/>
      </c>
      <c r="I614" s="74" t="str">
        <f t="shared" si="31"/>
        <v/>
      </c>
      <c r="J614" s="32"/>
    </row>
    <row r="615" spans="1:10" ht="15">
      <c r="A615" s="3">
        <v>5</v>
      </c>
      <c r="B615" s="31"/>
      <c r="C615" s="30"/>
      <c r="D615" s="119"/>
      <c r="E615" s="32"/>
      <c r="G615" s="31">
        <v>573</v>
      </c>
      <c r="H615" s="30" t="str">
        <f t="shared" si="30"/>
        <v/>
      </c>
      <c r="I615" s="74" t="str">
        <f t="shared" si="31"/>
        <v/>
      </c>
      <c r="J615" s="32"/>
    </row>
    <row r="616" spans="1:10" ht="15">
      <c r="A616" s="3">
        <v>8</v>
      </c>
      <c r="B616" s="31"/>
      <c r="C616" s="30"/>
      <c r="D616" s="119"/>
      <c r="E616" s="32"/>
      <c r="G616" s="31">
        <v>574</v>
      </c>
      <c r="H616" s="30" t="str">
        <f t="shared" si="30"/>
        <v/>
      </c>
      <c r="I616" s="74" t="str">
        <f t="shared" si="31"/>
        <v/>
      </c>
      <c r="J616" s="32"/>
    </row>
    <row r="617" spans="1:10" ht="15">
      <c r="A617" s="3">
        <v>5</v>
      </c>
      <c r="B617" s="31"/>
      <c r="C617" s="30"/>
      <c r="D617" s="119"/>
      <c r="E617" s="32"/>
      <c r="G617" s="31">
        <v>575</v>
      </c>
      <c r="H617" s="30" t="str">
        <f t="shared" si="30"/>
        <v/>
      </c>
      <c r="I617" s="74" t="str">
        <f t="shared" si="31"/>
        <v/>
      </c>
      <c r="J617" s="32"/>
    </row>
    <row r="618" spans="1:10" ht="15">
      <c r="A618" s="3">
        <v>8</v>
      </c>
      <c r="B618" s="31"/>
      <c r="C618" s="30"/>
      <c r="D618" s="119"/>
      <c r="E618" s="32"/>
      <c r="G618" s="31">
        <v>576</v>
      </c>
      <c r="H618" s="30" t="str">
        <f t="shared" si="30"/>
        <v/>
      </c>
      <c r="I618" s="74" t="str">
        <f t="shared" si="31"/>
        <v/>
      </c>
      <c r="J618" s="32"/>
    </row>
    <row r="619" spans="1:10" ht="15">
      <c r="A619" s="3">
        <v>5</v>
      </c>
      <c r="B619" s="31"/>
      <c r="C619" s="30"/>
      <c r="D619" s="119"/>
      <c r="E619" s="32"/>
      <c r="G619" s="31">
        <v>577</v>
      </c>
      <c r="H619" s="30" t="str">
        <f t="shared" si="30"/>
        <v/>
      </c>
      <c r="I619" s="74" t="str">
        <f t="shared" si="31"/>
        <v/>
      </c>
      <c r="J619" s="32"/>
    </row>
    <row r="620" spans="1:10" ht="15">
      <c r="A620" s="3">
        <v>8</v>
      </c>
      <c r="B620" s="31"/>
      <c r="C620" s="30"/>
      <c r="D620" s="119"/>
      <c r="E620" s="32"/>
      <c r="G620" s="31">
        <v>578</v>
      </c>
      <c r="H620" s="30" t="str">
        <f t="shared" ref="H620:H683" si="32">MID($I$41,G620*8-7,8)</f>
        <v/>
      </c>
      <c r="I620" s="74" t="str">
        <f t="shared" ref="I620:I683" si="33">IFERROR(BIN2DEC(VALUE(H620)),"")</f>
        <v/>
      </c>
      <c r="J620" s="32"/>
    </row>
    <row r="621" spans="1:10" ht="15">
      <c r="A621" s="3">
        <v>5</v>
      </c>
      <c r="B621" s="31"/>
      <c r="C621" s="30"/>
      <c r="D621" s="119"/>
      <c r="E621" s="32"/>
      <c r="G621" s="31">
        <v>579</v>
      </c>
      <c r="H621" s="30" t="str">
        <f t="shared" si="32"/>
        <v/>
      </c>
      <c r="I621" s="74" t="str">
        <f t="shared" si="33"/>
        <v/>
      </c>
      <c r="J621" s="32"/>
    </row>
    <row r="622" spans="1:10" ht="15">
      <c r="A622" s="3">
        <v>8</v>
      </c>
      <c r="B622" s="31"/>
      <c r="C622" s="30"/>
      <c r="D622" s="119"/>
      <c r="E622" s="32"/>
      <c r="G622" s="31">
        <v>580</v>
      </c>
      <c r="H622" s="30" t="str">
        <f t="shared" si="32"/>
        <v/>
      </c>
      <c r="I622" s="74" t="str">
        <f t="shared" si="33"/>
        <v/>
      </c>
      <c r="J622" s="32"/>
    </row>
    <row r="623" spans="1:10" ht="15">
      <c r="A623" s="3">
        <v>5</v>
      </c>
      <c r="B623" s="31"/>
      <c r="C623" s="30"/>
      <c r="D623" s="119"/>
      <c r="E623" s="32"/>
      <c r="G623" s="31">
        <v>581</v>
      </c>
      <c r="H623" s="30" t="str">
        <f t="shared" si="32"/>
        <v/>
      </c>
      <c r="I623" s="74" t="str">
        <f t="shared" si="33"/>
        <v/>
      </c>
      <c r="J623" s="32"/>
    </row>
    <row r="624" spans="1:10" ht="15">
      <c r="A624" s="3">
        <v>8</v>
      </c>
      <c r="B624" s="31"/>
      <c r="C624" s="30"/>
      <c r="D624" s="119"/>
      <c r="E624" s="32"/>
      <c r="G624" s="31">
        <v>582</v>
      </c>
      <c r="H624" s="30" t="str">
        <f t="shared" si="32"/>
        <v/>
      </c>
      <c r="I624" s="74" t="str">
        <f t="shared" si="33"/>
        <v/>
      </c>
      <c r="J624" s="32"/>
    </row>
    <row r="625" spans="1:10" ht="15">
      <c r="A625" s="3">
        <v>5</v>
      </c>
      <c r="B625" s="31"/>
      <c r="C625" s="30"/>
      <c r="D625" s="119"/>
      <c r="E625" s="32"/>
      <c r="G625" s="31">
        <v>583</v>
      </c>
      <c r="H625" s="30" t="str">
        <f t="shared" si="32"/>
        <v/>
      </c>
      <c r="I625" s="74" t="str">
        <f t="shared" si="33"/>
        <v/>
      </c>
      <c r="J625" s="32"/>
    </row>
    <row r="626" spans="1:10" ht="15">
      <c r="A626" s="3">
        <v>8</v>
      </c>
      <c r="B626" s="31"/>
      <c r="C626" s="30"/>
      <c r="D626" s="119"/>
      <c r="E626" s="32"/>
      <c r="G626" s="31">
        <v>584</v>
      </c>
      <c r="H626" s="30" t="str">
        <f t="shared" si="32"/>
        <v/>
      </c>
      <c r="I626" s="74" t="str">
        <f t="shared" si="33"/>
        <v/>
      </c>
      <c r="J626" s="32"/>
    </row>
    <row r="627" spans="1:10" ht="15">
      <c r="A627" s="3">
        <v>5</v>
      </c>
      <c r="B627" s="31"/>
      <c r="C627" s="30"/>
      <c r="D627" s="119"/>
      <c r="E627" s="32"/>
      <c r="G627" s="31">
        <v>585</v>
      </c>
      <c r="H627" s="30" t="str">
        <f t="shared" si="32"/>
        <v/>
      </c>
      <c r="I627" s="74" t="str">
        <f t="shared" si="33"/>
        <v/>
      </c>
      <c r="J627" s="32"/>
    </row>
    <row r="628" spans="1:10" ht="15">
      <c r="A628" s="3">
        <v>8</v>
      </c>
      <c r="B628" s="31"/>
      <c r="C628" s="30"/>
      <c r="D628" s="119"/>
      <c r="E628" s="32"/>
      <c r="G628" s="31">
        <v>586</v>
      </c>
      <c r="H628" s="30" t="str">
        <f t="shared" si="32"/>
        <v/>
      </c>
      <c r="I628" s="74" t="str">
        <f t="shared" si="33"/>
        <v/>
      </c>
      <c r="J628" s="32"/>
    </row>
    <row r="629" spans="1:10" ht="15">
      <c r="A629" s="3">
        <v>5</v>
      </c>
      <c r="B629" s="31"/>
      <c r="C629" s="30"/>
      <c r="D629" s="119"/>
      <c r="E629" s="32"/>
      <c r="G629" s="31">
        <v>587</v>
      </c>
      <c r="H629" s="30" t="str">
        <f t="shared" si="32"/>
        <v/>
      </c>
      <c r="I629" s="74" t="str">
        <f t="shared" si="33"/>
        <v/>
      </c>
      <c r="J629" s="32"/>
    </row>
    <row r="630" spans="1:10" ht="15">
      <c r="A630" s="3">
        <v>8</v>
      </c>
      <c r="B630" s="31"/>
      <c r="C630" s="30"/>
      <c r="D630" s="119"/>
      <c r="E630" s="32"/>
      <c r="G630" s="31">
        <v>588</v>
      </c>
      <c r="H630" s="30" t="str">
        <f t="shared" si="32"/>
        <v/>
      </c>
      <c r="I630" s="74" t="str">
        <f t="shared" si="33"/>
        <v/>
      </c>
      <c r="J630" s="32"/>
    </row>
    <row r="631" spans="1:10" ht="15">
      <c r="A631" s="3">
        <v>5</v>
      </c>
      <c r="B631" s="31"/>
      <c r="C631" s="30"/>
      <c r="D631" s="119"/>
      <c r="E631" s="32"/>
      <c r="G631" s="31">
        <v>589</v>
      </c>
      <c r="H631" s="30" t="str">
        <f t="shared" si="32"/>
        <v/>
      </c>
      <c r="I631" s="74" t="str">
        <f t="shared" si="33"/>
        <v/>
      </c>
      <c r="J631" s="32"/>
    </row>
    <row r="632" spans="1:10" ht="15">
      <c r="A632" s="3">
        <v>8</v>
      </c>
      <c r="B632" s="31"/>
      <c r="C632" s="30"/>
      <c r="D632" s="119"/>
      <c r="E632" s="32"/>
      <c r="G632" s="31">
        <v>590</v>
      </c>
      <c r="H632" s="30" t="str">
        <f t="shared" si="32"/>
        <v/>
      </c>
      <c r="I632" s="74" t="str">
        <f t="shared" si="33"/>
        <v/>
      </c>
      <c r="J632" s="32"/>
    </row>
    <row r="633" spans="1:10" ht="15">
      <c r="A633" s="3">
        <v>5</v>
      </c>
      <c r="B633" s="31"/>
      <c r="C633" s="30"/>
      <c r="D633" s="119"/>
      <c r="E633" s="32"/>
      <c r="G633" s="31">
        <v>591</v>
      </c>
      <c r="H633" s="30" t="str">
        <f t="shared" si="32"/>
        <v/>
      </c>
      <c r="I633" s="74" t="str">
        <f t="shared" si="33"/>
        <v/>
      </c>
      <c r="J633" s="32"/>
    </row>
    <row r="634" spans="1:10" ht="15">
      <c r="A634" s="3">
        <v>8</v>
      </c>
      <c r="B634" s="31"/>
      <c r="C634" s="30"/>
      <c r="D634" s="119"/>
      <c r="E634" s="32"/>
      <c r="G634" s="31">
        <v>592</v>
      </c>
      <c r="H634" s="30" t="str">
        <f t="shared" si="32"/>
        <v/>
      </c>
      <c r="I634" s="74" t="str">
        <f t="shared" si="33"/>
        <v/>
      </c>
      <c r="J634" s="32"/>
    </row>
    <row r="635" spans="1:10" ht="15">
      <c r="A635" s="3">
        <v>5</v>
      </c>
      <c r="B635" s="31"/>
      <c r="C635" s="30"/>
      <c r="D635" s="119"/>
      <c r="E635" s="32"/>
      <c r="G635" s="31">
        <v>593</v>
      </c>
      <c r="H635" s="30" t="str">
        <f t="shared" si="32"/>
        <v/>
      </c>
      <c r="I635" s="74" t="str">
        <f t="shared" si="33"/>
        <v/>
      </c>
      <c r="J635" s="32"/>
    </row>
    <row r="636" spans="1:10" ht="15">
      <c r="A636" s="3">
        <v>8</v>
      </c>
      <c r="B636" s="31"/>
      <c r="C636" s="30"/>
      <c r="D636" s="119"/>
      <c r="E636" s="32"/>
      <c r="G636" s="31">
        <v>594</v>
      </c>
      <c r="H636" s="30" t="str">
        <f t="shared" si="32"/>
        <v/>
      </c>
      <c r="I636" s="74" t="str">
        <f t="shared" si="33"/>
        <v/>
      </c>
      <c r="J636" s="32"/>
    </row>
    <row r="637" spans="1:10" ht="15">
      <c r="A637" s="3">
        <v>5</v>
      </c>
      <c r="B637" s="31"/>
      <c r="C637" s="30"/>
      <c r="D637" s="119"/>
      <c r="E637" s="32"/>
      <c r="G637" s="31">
        <v>595</v>
      </c>
      <c r="H637" s="30" t="str">
        <f t="shared" si="32"/>
        <v/>
      </c>
      <c r="I637" s="74" t="str">
        <f t="shared" si="33"/>
        <v/>
      </c>
      <c r="J637" s="32"/>
    </row>
    <row r="638" spans="1:10" ht="15">
      <c r="A638" s="3">
        <v>8</v>
      </c>
      <c r="B638" s="31"/>
      <c r="C638" s="30"/>
      <c r="D638" s="119"/>
      <c r="E638" s="32"/>
      <c r="G638" s="31">
        <v>596</v>
      </c>
      <c r="H638" s="30" t="str">
        <f t="shared" si="32"/>
        <v/>
      </c>
      <c r="I638" s="74" t="str">
        <f t="shared" si="33"/>
        <v/>
      </c>
      <c r="J638" s="32"/>
    </row>
    <row r="639" spans="1:10" ht="15">
      <c r="A639" s="3">
        <v>5</v>
      </c>
      <c r="B639" s="31"/>
      <c r="C639" s="30"/>
      <c r="D639" s="119"/>
      <c r="E639" s="32"/>
      <c r="G639" s="31">
        <v>597</v>
      </c>
      <c r="H639" s="30" t="str">
        <f t="shared" si="32"/>
        <v/>
      </c>
      <c r="I639" s="74" t="str">
        <f t="shared" si="33"/>
        <v/>
      </c>
      <c r="J639" s="32"/>
    </row>
    <row r="640" spans="1:10" ht="15">
      <c r="A640" s="3">
        <v>8</v>
      </c>
      <c r="B640" s="31"/>
      <c r="C640" s="30"/>
      <c r="D640" s="119"/>
      <c r="E640" s="32"/>
      <c r="G640" s="31">
        <v>598</v>
      </c>
      <c r="H640" s="30" t="str">
        <f t="shared" si="32"/>
        <v/>
      </c>
      <c r="I640" s="74" t="str">
        <f t="shared" si="33"/>
        <v/>
      </c>
      <c r="J640" s="32"/>
    </row>
    <row r="641" spans="1:10" ht="15">
      <c r="A641" s="3">
        <v>5</v>
      </c>
      <c r="B641" s="31"/>
      <c r="C641" s="30"/>
      <c r="D641" s="119"/>
      <c r="E641" s="32"/>
      <c r="G641" s="31">
        <v>599</v>
      </c>
      <c r="H641" s="30" t="str">
        <f t="shared" si="32"/>
        <v/>
      </c>
      <c r="I641" s="74" t="str">
        <f t="shared" si="33"/>
        <v/>
      </c>
      <c r="J641" s="32"/>
    </row>
    <row r="642" spans="1:10" ht="15">
      <c r="A642" s="3">
        <v>8</v>
      </c>
      <c r="B642" s="31"/>
      <c r="C642" s="30"/>
      <c r="D642" s="119"/>
      <c r="E642" s="32"/>
      <c r="G642" s="31">
        <v>600</v>
      </c>
      <c r="H642" s="30" t="str">
        <f t="shared" si="32"/>
        <v/>
      </c>
      <c r="I642" s="74" t="str">
        <f t="shared" si="33"/>
        <v/>
      </c>
      <c r="J642" s="32"/>
    </row>
    <row r="643" spans="1:10" ht="15">
      <c r="A643" s="3">
        <v>5</v>
      </c>
      <c r="B643" s="31"/>
      <c r="C643" s="30"/>
      <c r="D643" s="119"/>
      <c r="E643" s="32"/>
      <c r="G643" s="31">
        <v>601</v>
      </c>
      <c r="H643" s="30" t="str">
        <f t="shared" si="32"/>
        <v/>
      </c>
      <c r="I643" s="74" t="str">
        <f t="shared" si="33"/>
        <v/>
      </c>
      <c r="J643" s="32"/>
    </row>
    <row r="644" spans="1:10" ht="15">
      <c r="A644" s="3">
        <v>8</v>
      </c>
      <c r="B644" s="31"/>
      <c r="C644" s="30"/>
      <c r="D644" s="119"/>
      <c r="E644" s="32"/>
      <c r="G644" s="31">
        <v>602</v>
      </c>
      <c r="H644" s="30" t="str">
        <f t="shared" si="32"/>
        <v/>
      </c>
      <c r="I644" s="74" t="str">
        <f t="shared" si="33"/>
        <v/>
      </c>
      <c r="J644" s="32"/>
    </row>
    <row r="645" spans="1:10" ht="15">
      <c r="A645" s="3">
        <v>5</v>
      </c>
      <c r="B645" s="31"/>
      <c r="C645" s="30"/>
      <c r="D645" s="119"/>
      <c r="E645" s="32"/>
      <c r="G645" s="31">
        <v>603</v>
      </c>
      <c r="H645" s="30" t="str">
        <f t="shared" si="32"/>
        <v/>
      </c>
      <c r="I645" s="74" t="str">
        <f t="shared" si="33"/>
        <v/>
      </c>
      <c r="J645" s="32"/>
    </row>
    <row r="646" spans="1:10" ht="15">
      <c r="A646" s="3">
        <v>8</v>
      </c>
      <c r="B646" s="31"/>
      <c r="C646" s="30"/>
      <c r="D646" s="119"/>
      <c r="E646" s="32"/>
      <c r="G646" s="31">
        <v>604</v>
      </c>
      <c r="H646" s="30" t="str">
        <f t="shared" si="32"/>
        <v/>
      </c>
      <c r="I646" s="74" t="str">
        <f t="shared" si="33"/>
        <v/>
      </c>
      <c r="J646" s="32"/>
    </row>
    <row r="647" spans="1:10" ht="15">
      <c r="A647" s="3">
        <v>5</v>
      </c>
      <c r="B647" s="31"/>
      <c r="C647" s="30"/>
      <c r="D647" s="119"/>
      <c r="E647" s="32"/>
      <c r="G647" s="31">
        <v>605</v>
      </c>
      <c r="H647" s="30" t="str">
        <f t="shared" si="32"/>
        <v/>
      </c>
      <c r="I647" s="74" t="str">
        <f t="shared" si="33"/>
        <v/>
      </c>
      <c r="J647" s="32"/>
    </row>
    <row r="648" spans="1:10" ht="15">
      <c r="A648" s="3">
        <v>8</v>
      </c>
      <c r="B648" s="31"/>
      <c r="C648" s="30"/>
      <c r="D648" s="119"/>
      <c r="E648" s="32"/>
      <c r="G648" s="31">
        <v>606</v>
      </c>
      <c r="H648" s="30" t="str">
        <f t="shared" si="32"/>
        <v/>
      </c>
      <c r="I648" s="74" t="str">
        <f t="shared" si="33"/>
        <v/>
      </c>
      <c r="J648" s="32"/>
    </row>
    <row r="649" spans="1:10" ht="15">
      <c r="A649" s="3">
        <v>5</v>
      </c>
      <c r="B649" s="31"/>
      <c r="C649" s="30"/>
      <c r="D649" s="119"/>
      <c r="E649" s="32"/>
      <c r="G649" s="31">
        <v>607</v>
      </c>
      <c r="H649" s="30" t="str">
        <f t="shared" si="32"/>
        <v/>
      </c>
      <c r="I649" s="74" t="str">
        <f t="shared" si="33"/>
        <v/>
      </c>
      <c r="J649" s="32"/>
    </row>
    <row r="650" spans="1:10" ht="15">
      <c r="A650" s="3">
        <v>8</v>
      </c>
      <c r="B650" s="31"/>
      <c r="C650" s="30"/>
      <c r="D650" s="119"/>
      <c r="E650" s="32"/>
      <c r="G650" s="31">
        <v>608</v>
      </c>
      <c r="H650" s="30" t="str">
        <f t="shared" si="32"/>
        <v/>
      </c>
      <c r="I650" s="74" t="str">
        <f t="shared" si="33"/>
        <v/>
      </c>
      <c r="J650" s="32"/>
    </row>
    <row r="651" spans="1:10" ht="15">
      <c r="A651" s="3">
        <v>5</v>
      </c>
      <c r="B651" s="31"/>
      <c r="C651" s="30"/>
      <c r="D651" s="119"/>
      <c r="E651" s="32"/>
      <c r="G651" s="31">
        <v>609</v>
      </c>
      <c r="H651" s="30" t="str">
        <f t="shared" si="32"/>
        <v/>
      </c>
      <c r="I651" s="74" t="str">
        <f t="shared" si="33"/>
        <v/>
      </c>
      <c r="J651" s="32"/>
    </row>
    <row r="652" spans="1:10" ht="15">
      <c r="A652" s="3">
        <v>8</v>
      </c>
      <c r="B652" s="31"/>
      <c r="C652" s="30"/>
      <c r="D652" s="119"/>
      <c r="E652" s="32"/>
      <c r="G652" s="31">
        <v>610</v>
      </c>
      <c r="H652" s="30" t="str">
        <f t="shared" si="32"/>
        <v/>
      </c>
      <c r="I652" s="74" t="str">
        <f t="shared" si="33"/>
        <v/>
      </c>
      <c r="J652" s="32"/>
    </row>
    <row r="653" spans="1:10" ht="15">
      <c r="A653" s="3">
        <v>5</v>
      </c>
      <c r="B653" s="31"/>
      <c r="C653" s="30"/>
      <c r="D653" s="119"/>
      <c r="E653" s="32"/>
      <c r="G653" s="31">
        <v>611</v>
      </c>
      <c r="H653" s="30" t="str">
        <f t="shared" si="32"/>
        <v/>
      </c>
      <c r="I653" s="74" t="str">
        <f t="shared" si="33"/>
        <v/>
      </c>
      <c r="J653" s="32"/>
    </row>
    <row r="654" spans="1:10" ht="15">
      <c r="A654" s="3">
        <v>8</v>
      </c>
      <c r="B654" s="31"/>
      <c r="C654" s="30"/>
      <c r="D654" s="119"/>
      <c r="E654" s="32"/>
      <c r="G654" s="31">
        <v>612</v>
      </c>
      <c r="H654" s="30" t="str">
        <f t="shared" si="32"/>
        <v/>
      </c>
      <c r="I654" s="74" t="str">
        <f t="shared" si="33"/>
        <v/>
      </c>
      <c r="J654" s="32"/>
    </row>
    <row r="655" spans="1:10" ht="15">
      <c r="A655" s="3">
        <v>5</v>
      </c>
      <c r="B655" s="31"/>
      <c r="C655" s="30"/>
      <c r="D655" s="119"/>
      <c r="E655" s="32"/>
      <c r="G655" s="31">
        <v>613</v>
      </c>
      <c r="H655" s="30" t="str">
        <f t="shared" si="32"/>
        <v/>
      </c>
      <c r="I655" s="74" t="str">
        <f t="shared" si="33"/>
        <v/>
      </c>
      <c r="J655" s="32"/>
    </row>
    <row r="656" spans="1:10" ht="15">
      <c r="A656" s="3">
        <v>8</v>
      </c>
      <c r="B656" s="31"/>
      <c r="C656" s="30"/>
      <c r="D656" s="119"/>
      <c r="E656" s="32"/>
      <c r="G656" s="31">
        <v>614</v>
      </c>
      <c r="H656" s="30" t="str">
        <f t="shared" si="32"/>
        <v/>
      </c>
      <c r="I656" s="74" t="str">
        <f t="shared" si="33"/>
        <v/>
      </c>
      <c r="J656" s="32"/>
    </row>
    <row r="657" spans="1:10" ht="15">
      <c r="A657" s="3">
        <v>5</v>
      </c>
      <c r="B657" s="31"/>
      <c r="C657" s="30"/>
      <c r="D657" s="119"/>
      <c r="E657" s="32"/>
      <c r="G657" s="31">
        <v>615</v>
      </c>
      <c r="H657" s="30" t="str">
        <f t="shared" si="32"/>
        <v/>
      </c>
      <c r="I657" s="74" t="str">
        <f t="shared" si="33"/>
        <v/>
      </c>
      <c r="J657" s="32"/>
    </row>
    <row r="658" spans="1:10" ht="15">
      <c r="A658" s="3">
        <v>8</v>
      </c>
      <c r="B658" s="31"/>
      <c r="C658" s="30"/>
      <c r="D658" s="119"/>
      <c r="E658" s="32"/>
      <c r="G658" s="31">
        <v>616</v>
      </c>
      <c r="H658" s="30" t="str">
        <f t="shared" si="32"/>
        <v/>
      </c>
      <c r="I658" s="74" t="str">
        <f t="shared" si="33"/>
        <v/>
      </c>
      <c r="J658" s="32"/>
    </row>
    <row r="659" spans="1:10" ht="15">
      <c r="A659" s="3">
        <v>5</v>
      </c>
      <c r="B659" s="31"/>
      <c r="C659" s="30"/>
      <c r="D659" s="119"/>
      <c r="E659" s="32"/>
      <c r="G659" s="31">
        <v>617</v>
      </c>
      <c r="H659" s="30" t="str">
        <f t="shared" si="32"/>
        <v/>
      </c>
      <c r="I659" s="74" t="str">
        <f t="shared" si="33"/>
        <v/>
      </c>
      <c r="J659" s="32"/>
    </row>
    <row r="660" spans="1:10" ht="15">
      <c r="A660" s="3">
        <v>8</v>
      </c>
      <c r="B660" s="31"/>
      <c r="C660" s="30"/>
      <c r="D660" s="119"/>
      <c r="E660" s="32"/>
      <c r="G660" s="31">
        <v>618</v>
      </c>
      <c r="H660" s="30" t="str">
        <f t="shared" si="32"/>
        <v/>
      </c>
      <c r="I660" s="74" t="str">
        <f t="shared" si="33"/>
        <v/>
      </c>
      <c r="J660" s="32"/>
    </row>
    <row r="661" spans="1:10" ht="15">
      <c r="A661" s="3">
        <v>5</v>
      </c>
      <c r="B661" s="31"/>
      <c r="C661" s="30"/>
      <c r="D661" s="119"/>
      <c r="E661" s="32"/>
      <c r="G661" s="31">
        <v>619</v>
      </c>
      <c r="H661" s="30" t="str">
        <f t="shared" si="32"/>
        <v/>
      </c>
      <c r="I661" s="74" t="str">
        <f t="shared" si="33"/>
        <v/>
      </c>
      <c r="J661" s="32"/>
    </row>
    <row r="662" spans="1:10" ht="15">
      <c r="A662" s="3">
        <v>8</v>
      </c>
      <c r="B662" s="31"/>
      <c r="C662" s="30"/>
      <c r="D662" s="119"/>
      <c r="E662" s="32"/>
      <c r="G662" s="31">
        <v>620</v>
      </c>
      <c r="H662" s="30" t="str">
        <f t="shared" si="32"/>
        <v/>
      </c>
      <c r="I662" s="74" t="str">
        <f t="shared" si="33"/>
        <v/>
      </c>
      <c r="J662" s="32"/>
    </row>
    <row r="663" spans="1:10" ht="15">
      <c r="A663" s="3">
        <v>5</v>
      </c>
      <c r="B663" s="31"/>
      <c r="C663" s="30"/>
      <c r="D663" s="119"/>
      <c r="E663" s="32"/>
      <c r="G663" s="31">
        <v>621</v>
      </c>
      <c r="H663" s="30" t="str">
        <f t="shared" si="32"/>
        <v/>
      </c>
      <c r="I663" s="74" t="str">
        <f t="shared" si="33"/>
        <v/>
      </c>
      <c r="J663" s="32"/>
    </row>
    <row r="664" spans="1:10" ht="15">
      <c r="A664" s="3">
        <v>8</v>
      </c>
      <c r="B664" s="31"/>
      <c r="C664" s="30"/>
      <c r="D664" s="119"/>
      <c r="E664" s="32"/>
      <c r="G664" s="31">
        <v>622</v>
      </c>
      <c r="H664" s="30" t="str">
        <f t="shared" si="32"/>
        <v/>
      </c>
      <c r="I664" s="74" t="str">
        <f t="shared" si="33"/>
        <v/>
      </c>
      <c r="J664" s="32"/>
    </row>
    <row r="665" spans="1:10" ht="15">
      <c r="A665" s="3">
        <v>5</v>
      </c>
      <c r="B665" s="31"/>
      <c r="C665" s="30"/>
      <c r="D665" s="119"/>
      <c r="E665" s="32"/>
      <c r="G665" s="31">
        <v>623</v>
      </c>
      <c r="H665" s="30" t="str">
        <f t="shared" si="32"/>
        <v/>
      </c>
      <c r="I665" s="74" t="str">
        <f t="shared" si="33"/>
        <v/>
      </c>
      <c r="J665" s="32"/>
    </row>
    <row r="666" spans="1:10" ht="15">
      <c r="A666" s="3">
        <v>8</v>
      </c>
      <c r="B666" s="31"/>
      <c r="C666" s="30"/>
      <c r="D666" s="119"/>
      <c r="E666" s="32"/>
      <c r="G666" s="31">
        <v>624</v>
      </c>
      <c r="H666" s="30" t="str">
        <f t="shared" si="32"/>
        <v/>
      </c>
      <c r="I666" s="74" t="str">
        <f t="shared" si="33"/>
        <v/>
      </c>
      <c r="J666" s="32"/>
    </row>
    <row r="667" spans="1:10" ht="15">
      <c r="A667" s="3">
        <v>5</v>
      </c>
      <c r="B667" s="31"/>
      <c r="C667" s="30"/>
      <c r="D667" s="119"/>
      <c r="E667" s="32"/>
      <c r="G667" s="31">
        <v>625</v>
      </c>
      <c r="H667" s="30" t="str">
        <f t="shared" si="32"/>
        <v/>
      </c>
      <c r="I667" s="74" t="str">
        <f t="shared" si="33"/>
        <v/>
      </c>
      <c r="J667" s="32"/>
    </row>
    <row r="668" spans="1:10" ht="15">
      <c r="A668" s="3">
        <v>8</v>
      </c>
      <c r="B668" s="31"/>
      <c r="C668" s="30"/>
      <c r="D668" s="119"/>
      <c r="E668" s="32"/>
      <c r="G668" s="31">
        <v>626</v>
      </c>
      <c r="H668" s="30" t="str">
        <f t="shared" si="32"/>
        <v/>
      </c>
      <c r="I668" s="74" t="str">
        <f t="shared" si="33"/>
        <v/>
      </c>
      <c r="J668" s="32"/>
    </row>
    <row r="669" spans="1:10" ht="15">
      <c r="A669" s="3">
        <v>5</v>
      </c>
      <c r="B669" s="31"/>
      <c r="C669" s="30"/>
      <c r="D669" s="119"/>
      <c r="E669" s="32"/>
      <c r="G669" s="31">
        <v>627</v>
      </c>
      <c r="H669" s="30" t="str">
        <f t="shared" si="32"/>
        <v/>
      </c>
      <c r="I669" s="74" t="str">
        <f t="shared" si="33"/>
        <v/>
      </c>
      <c r="J669" s="32"/>
    </row>
    <row r="670" spans="1:10" ht="15">
      <c r="A670" s="3">
        <v>8</v>
      </c>
      <c r="B670" s="31"/>
      <c r="C670" s="30"/>
      <c r="D670" s="119"/>
      <c r="E670" s="32"/>
      <c r="G670" s="31">
        <v>628</v>
      </c>
      <c r="H670" s="30" t="str">
        <f t="shared" si="32"/>
        <v/>
      </c>
      <c r="I670" s="74" t="str">
        <f t="shared" si="33"/>
        <v/>
      </c>
      <c r="J670" s="32"/>
    </row>
    <row r="671" spans="1:10" ht="15">
      <c r="A671" s="3">
        <v>5</v>
      </c>
      <c r="B671" s="31"/>
      <c r="C671" s="30"/>
      <c r="D671" s="119"/>
      <c r="E671" s="32"/>
      <c r="G671" s="31">
        <v>629</v>
      </c>
      <c r="H671" s="30" t="str">
        <f t="shared" si="32"/>
        <v/>
      </c>
      <c r="I671" s="74" t="str">
        <f t="shared" si="33"/>
        <v/>
      </c>
      <c r="J671" s="32"/>
    </row>
    <row r="672" spans="1:10" ht="15">
      <c r="A672" s="3">
        <v>8</v>
      </c>
      <c r="B672" s="31"/>
      <c r="C672" s="30"/>
      <c r="D672" s="119"/>
      <c r="E672" s="32"/>
      <c r="G672" s="31">
        <v>630</v>
      </c>
      <c r="H672" s="30" t="str">
        <f t="shared" si="32"/>
        <v/>
      </c>
      <c r="I672" s="74" t="str">
        <f t="shared" si="33"/>
        <v/>
      </c>
      <c r="J672" s="32"/>
    </row>
    <row r="673" spans="1:10" ht="15">
      <c r="A673" s="3">
        <v>5</v>
      </c>
      <c r="B673" s="31"/>
      <c r="C673" s="30"/>
      <c r="D673" s="119"/>
      <c r="E673" s="32"/>
      <c r="G673" s="31">
        <v>631</v>
      </c>
      <c r="H673" s="30" t="str">
        <f t="shared" si="32"/>
        <v/>
      </c>
      <c r="I673" s="74" t="str">
        <f t="shared" si="33"/>
        <v/>
      </c>
      <c r="J673" s="32"/>
    </row>
    <row r="674" spans="1:10" ht="15">
      <c r="A674" s="3">
        <v>8</v>
      </c>
      <c r="B674" s="31"/>
      <c r="C674" s="30"/>
      <c r="D674" s="119"/>
      <c r="E674" s="32"/>
      <c r="G674" s="31">
        <v>632</v>
      </c>
      <c r="H674" s="30" t="str">
        <f t="shared" si="32"/>
        <v/>
      </c>
      <c r="I674" s="74" t="str">
        <f t="shared" si="33"/>
        <v/>
      </c>
      <c r="J674" s="32"/>
    </row>
    <row r="675" spans="1:10" ht="15">
      <c r="A675" s="3">
        <v>5</v>
      </c>
      <c r="B675" s="31"/>
      <c r="C675" s="30"/>
      <c r="D675" s="119"/>
      <c r="E675" s="32"/>
      <c r="G675" s="31">
        <v>633</v>
      </c>
      <c r="H675" s="30" t="str">
        <f t="shared" si="32"/>
        <v/>
      </c>
      <c r="I675" s="74" t="str">
        <f t="shared" si="33"/>
        <v/>
      </c>
      <c r="J675" s="32"/>
    </row>
    <row r="676" spans="1:10" ht="15">
      <c r="A676" s="3">
        <v>8</v>
      </c>
      <c r="B676" s="31"/>
      <c r="C676" s="30"/>
      <c r="D676" s="119"/>
      <c r="E676" s="32"/>
      <c r="G676" s="31">
        <v>634</v>
      </c>
      <c r="H676" s="30" t="str">
        <f t="shared" si="32"/>
        <v/>
      </c>
      <c r="I676" s="74" t="str">
        <f t="shared" si="33"/>
        <v/>
      </c>
      <c r="J676" s="32"/>
    </row>
    <row r="677" spans="1:10" ht="15">
      <c r="A677" s="3">
        <v>5</v>
      </c>
      <c r="B677" s="31"/>
      <c r="C677" s="30"/>
      <c r="D677" s="119"/>
      <c r="E677" s="32"/>
      <c r="G677" s="31">
        <v>635</v>
      </c>
      <c r="H677" s="30" t="str">
        <f t="shared" si="32"/>
        <v/>
      </c>
      <c r="I677" s="74" t="str">
        <f t="shared" si="33"/>
        <v/>
      </c>
      <c r="J677" s="32"/>
    </row>
    <row r="678" spans="1:10" ht="15">
      <c r="A678" s="3">
        <v>8</v>
      </c>
      <c r="B678" s="31"/>
      <c r="C678" s="30"/>
      <c r="D678" s="119"/>
      <c r="E678" s="32"/>
      <c r="G678" s="31">
        <v>636</v>
      </c>
      <c r="H678" s="30" t="str">
        <f t="shared" si="32"/>
        <v/>
      </c>
      <c r="I678" s="74" t="str">
        <f t="shared" si="33"/>
        <v/>
      </c>
      <c r="J678" s="32"/>
    </row>
    <row r="679" spans="1:10" ht="15">
      <c r="A679" s="3">
        <v>5</v>
      </c>
      <c r="B679" s="31"/>
      <c r="C679" s="30"/>
      <c r="D679" s="119"/>
      <c r="E679" s="32"/>
      <c r="G679" s="31">
        <v>637</v>
      </c>
      <c r="H679" s="30" t="str">
        <f t="shared" si="32"/>
        <v/>
      </c>
      <c r="I679" s="74" t="str">
        <f t="shared" si="33"/>
        <v/>
      </c>
      <c r="J679" s="32"/>
    </row>
    <row r="680" spans="1:10" ht="15">
      <c r="A680" s="3">
        <v>8</v>
      </c>
      <c r="B680" s="31"/>
      <c r="C680" s="30"/>
      <c r="D680" s="119"/>
      <c r="E680" s="32"/>
      <c r="G680" s="31">
        <v>638</v>
      </c>
      <c r="H680" s="30" t="str">
        <f t="shared" si="32"/>
        <v/>
      </c>
      <c r="I680" s="74" t="str">
        <f t="shared" si="33"/>
        <v/>
      </c>
      <c r="J680" s="32"/>
    </row>
    <row r="681" spans="1:10" ht="15">
      <c r="A681" s="3">
        <v>5</v>
      </c>
      <c r="B681" s="31"/>
      <c r="C681" s="30"/>
      <c r="D681" s="119"/>
      <c r="E681" s="32"/>
      <c r="G681" s="31">
        <v>639</v>
      </c>
      <c r="H681" s="30" t="str">
        <f t="shared" si="32"/>
        <v/>
      </c>
      <c r="I681" s="74" t="str">
        <f t="shared" si="33"/>
        <v/>
      </c>
      <c r="J681" s="32"/>
    </row>
    <row r="682" spans="1:10" ht="15">
      <c r="A682" s="3">
        <v>8</v>
      </c>
      <c r="B682" s="31"/>
      <c r="C682" s="30"/>
      <c r="D682" s="119"/>
      <c r="E682" s="32"/>
      <c r="G682" s="31">
        <v>640</v>
      </c>
      <c r="H682" s="30" t="str">
        <f t="shared" si="32"/>
        <v/>
      </c>
      <c r="I682" s="74" t="str">
        <f t="shared" si="33"/>
        <v/>
      </c>
      <c r="J682" s="32"/>
    </row>
    <row r="683" spans="1:10" ht="15">
      <c r="A683" s="3">
        <v>5</v>
      </c>
      <c r="B683" s="31"/>
      <c r="C683" s="30"/>
      <c r="D683" s="119"/>
      <c r="E683" s="32"/>
      <c r="G683" s="31">
        <v>641</v>
      </c>
      <c r="H683" s="30" t="str">
        <f t="shared" si="32"/>
        <v/>
      </c>
      <c r="I683" s="74" t="str">
        <f t="shared" si="33"/>
        <v/>
      </c>
      <c r="J683" s="32"/>
    </row>
    <row r="684" spans="1:10" ht="15">
      <c r="A684" s="3">
        <v>8</v>
      </c>
      <c r="B684" s="31"/>
      <c r="C684" s="30"/>
      <c r="D684" s="119"/>
      <c r="E684" s="32"/>
      <c r="G684" s="31">
        <v>642</v>
      </c>
      <c r="H684" s="30" t="str">
        <f t="shared" ref="H684:H747" si="34">MID($I$41,G684*8-7,8)</f>
        <v/>
      </c>
      <c r="I684" s="74" t="str">
        <f t="shared" ref="I684:I747" si="35">IFERROR(BIN2DEC(VALUE(H684)),"")</f>
        <v/>
      </c>
      <c r="J684" s="32"/>
    </row>
    <row r="685" spans="1:10" ht="15">
      <c r="A685" s="3">
        <v>5</v>
      </c>
      <c r="B685" s="31"/>
      <c r="C685" s="30"/>
      <c r="D685" s="119"/>
      <c r="E685" s="32"/>
      <c r="G685" s="31">
        <v>643</v>
      </c>
      <c r="H685" s="30" t="str">
        <f t="shared" si="34"/>
        <v/>
      </c>
      <c r="I685" s="74" t="str">
        <f t="shared" si="35"/>
        <v/>
      </c>
      <c r="J685" s="32"/>
    </row>
    <row r="686" spans="1:10" ht="15">
      <c r="A686" s="3">
        <v>8</v>
      </c>
      <c r="B686" s="31"/>
      <c r="C686" s="30"/>
      <c r="D686" s="119"/>
      <c r="E686" s="32"/>
      <c r="G686" s="31">
        <v>644</v>
      </c>
      <c r="H686" s="30" t="str">
        <f t="shared" si="34"/>
        <v/>
      </c>
      <c r="I686" s="74" t="str">
        <f t="shared" si="35"/>
        <v/>
      </c>
      <c r="J686" s="32"/>
    </row>
    <row r="687" spans="1:10" ht="15">
      <c r="A687" s="3">
        <v>5</v>
      </c>
      <c r="B687" s="31"/>
      <c r="C687" s="30"/>
      <c r="D687" s="119"/>
      <c r="E687" s="32"/>
      <c r="G687" s="31">
        <v>645</v>
      </c>
      <c r="H687" s="30" t="str">
        <f t="shared" si="34"/>
        <v/>
      </c>
      <c r="I687" s="74" t="str">
        <f t="shared" si="35"/>
        <v/>
      </c>
      <c r="J687" s="32"/>
    </row>
    <row r="688" spans="1:10" ht="15">
      <c r="A688" s="3">
        <v>8</v>
      </c>
      <c r="B688" s="31"/>
      <c r="C688" s="30"/>
      <c r="D688" s="119"/>
      <c r="E688" s="32"/>
      <c r="G688" s="31">
        <v>646</v>
      </c>
      <c r="H688" s="30" t="str">
        <f t="shared" si="34"/>
        <v/>
      </c>
      <c r="I688" s="74" t="str">
        <f t="shared" si="35"/>
        <v/>
      </c>
      <c r="J688" s="32"/>
    </row>
    <row r="689" spans="1:10" ht="15">
      <c r="A689" s="3">
        <v>5</v>
      </c>
      <c r="B689" s="31"/>
      <c r="C689" s="30"/>
      <c r="D689" s="119"/>
      <c r="E689" s="32"/>
      <c r="G689" s="31">
        <v>647</v>
      </c>
      <c r="H689" s="30" t="str">
        <f t="shared" si="34"/>
        <v/>
      </c>
      <c r="I689" s="74" t="str">
        <f t="shared" si="35"/>
        <v/>
      </c>
      <c r="J689" s="32"/>
    </row>
    <row r="690" spans="1:10" ht="15">
      <c r="A690" s="3">
        <v>8</v>
      </c>
      <c r="B690" s="31"/>
      <c r="C690" s="30"/>
      <c r="D690" s="119"/>
      <c r="E690" s="32"/>
      <c r="G690" s="31">
        <v>648</v>
      </c>
      <c r="H690" s="30" t="str">
        <f t="shared" si="34"/>
        <v/>
      </c>
      <c r="I690" s="74" t="str">
        <f t="shared" si="35"/>
        <v/>
      </c>
      <c r="J690" s="32"/>
    </row>
    <row r="691" spans="1:10" ht="15">
      <c r="A691" s="3">
        <v>5</v>
      </c>
      <c r="B691" s="31"/>
      <c r="C691" s="30"/>
      <c r="D691" s="119"/>
      <c r="E691" s="32"/>
      <c r="G691" s="31">
        <v>649</v>
      </c>
      <c r="H691" s="30" t="str">
        <f t="shared" si="34"/>
        <v/>
      </c>
      <c r="I691" s="74" t="str">
        <f t="shared" si="35"/>
        <v/>
      </c>
      <c r="J691" s="32"/>
    </row>
    <row r="692" spans="1:10" ht="15">
      <c r="A692" s="3">
        <v>8</v>
      </c>
      <c r="B692" s="31"/>
      <c r="C692" s="30"/>
      <c r="D692" s="119"/>
      <c r="E692" s="32"/>
      <c r="G692" s="31">
        <v>650</v>
      </c>
      <c r="H692" s="30" t="str">
        <f t="shared" si="34"/>
        <v/>
      </c>
      <c r="I692" s="74" t="str">
        <f t="shared" si="35"/>
        <v/>
      </c>
      <c r="J692" s="32"/>
    </row>
    <row r="693" spans="1:10" ht="15">
      <c r="A693" s="3">
        <v>5</v>
      </c>
      <c r="B693" s="31"/>
      <c r="C693" s="30"/>
      <c r="D693" s="119"/>
      <c r="E693" s="32"/>
      <c r="G693" s="31">
        <v>651</v>
      </c>
      <c r="H693" s="30" t="str">
        <f t="shared" si="34"/>
        <v/>
      </c>
      <c r="I693" s="74" t="str">
        <f t="shared" si="35"/>
        <v/>
      </c>
      <c r="J693" s="32"/>
    </row>
    <row r="694" spans="1:10" ht="15">
      <c r="A694" s="3">
        <v>8</v>
      </c>
      <c r="B694" s="31"/>
      <c r="C694" s="30"/>
      <c r="D694" s="119"/>
      <c r="E694" s="32"/>
      <c r="G694" s="31">
        <v>652</v>
      </c>
      <c r="H694" s="30" t="str">
        <f t="shared" si="34"/>
        <v/>
      </c>
      <c r="I694" s="74" t="str">
        <f t="shared" si="35"/>
        <v/>
      </c>
      <c r="J694" s="32"/>
    </row>
    <row r="695" spans="1:10" ht="15">
      <c r="A695" s="3">
        <v>5</v>
      </c>
      <c r="B695" s="31"/>
      <c r="C695" s="30"/>
      <c r="D695" s="119"/>
      <c r="E695" s="32"/>
      <c r="G695" s="31">
        <v>653</v>
      </c>
      <c r="H695" s="30" t="str">
        <f t="shared" si="34"/>
        <v/>
      </c>
      <c r="I695" s="74" t="str">
        <f t="shared" si="35"/>
        <v/>
      </c>
      <c r="J695" s="32"/>
    </row>
    <row r="696" spans="1:10" ht="15">
      <c r="A696" s="3">
        <v>8</v>
      </c>
      <c r="B696" s="31"/>
      <c r="C696" s="30"/>
      <c r="D696" s="119"/>
      <c r="E696" s="32"/>
      <c r="G696" s="31">
        <v>654</v>
      </c>
      <c r="H696" s="30" t="str">
        <f t="shared" si="34"/>
        <v/>
      </c>
      <c r="I696" s="74" t="str">
        <f t="shared" si="35"/>
        <v/>
      </c>
      <c r="J696" s="32"/>
    </row>
    <row r="697" spans="1:10" ht="15">
      <c r="A697" s="3">
        <v>5</v>
      </c>
      <c r="B697" s="31"/>
      <c r="C697" s="30"/>
      <c r="D697" s="119"/>
      <c r="E697" s="32"/>
      <c r="G697" s="31">
        <v>655</v>
      </c>
      <c r="H697" s="30" t="str">
        <f t="shared" si="34"/>
        <v/>
      </c>
      <c r="I697" s="74" t="str">
        <f t="shared" si="35"/>
        <v/>
      </c>
      <c r="J697" s="32"/>
    </row>
    <row r="698" spans="1:10" ht="15">
      <c r="A698" s="3">
        <v>8</v>
      </c>
      <c r="B698" s="31"/>
      <c r="C698" s="30"/>
      <c r="D698" s="119"/>
      <c r="E698" s="32"/>
      <c r="G698" s="31">
        <v>656</v>
      </c>
      <c r="H698" s="30" t="str">
        <f t="shared" si="34"/>
        <v/>
      </c>
      <c r="I698" s="74" t="str">
        <f t="shared" si="35"/>
        <v/>
      </c>
      <c r="J698" s="32"/>
    </row>
    <row r="699" spans="1:10" ht="15">
      <c r="A699" s="3">
        <v>5</v>
      </c>
      <c r="B699" s="31"/>
      <c r="C699" s="30"/>
      <c r="D699" s="119"/>
      <c r="E699" s="32"/>
      <c r="G699" s="31">
        <v>657</v>
      </c>
      <c r="H699" s="30" t="str">
        <f t="shared" si="34"/>
        <v/>
      </c>
      <c r="I699" s="74" t="str">
        <f t="shared" si="35"/>
        <v/>
      </c>
      <c r="J699" s="32"/>
    </row>
    <row r="700" spans="1:10" ht="15">
      <c r="A700" s="3">
        <v>8</v>
      </c>
      <c r="B700" s="31"/>
      <c r="C700" s="30"/>
      <c r="D700" s="119"/>
      <c r="E700" s="32"/>
      <c r="G700" s="31">
        <v>658</v>
      </c>
      <c r="H700" s="30" t="str">
        <f t="shared" si="34"/>
        <v/>
      </c>
      <c r="I700" s="74" t="str">
        <f t="shared" si="35"/>
        <v/>
      </c>
      <c r="J700" s="32"/>
    </row>
    <row r="701" spans="1:10" ht="15">
      <c r="A701" s="3">
        <v>5</v>
      </c>
      <c r="B701" s="31"/>
      <c r="C701" s="30"/>
      <c r="D701" s="119"/>
      <c r="E701" s="32"/>
      <c r="G701" s="31">
        <v>659</v>
      </c>
      <c r="H701" s="30" t="str">
        <f t="shared" si="34"/>
        <v/>
      </c>
      <c r="I701" s="74" t="str">
        <f t="shared" si="35"/>
        <v/>
      </c>
      <c r="J701" s="32"/>
    </row>
    <row r="702" spans="1:10" ht="15">
      <c r="A702" s="3">
        <v>8</v>
      </c>
      <c r="B702" s="31"/>
      <c r="C702" s="30"/>
      <c r="D702" s="119"/>
      <c r="E702" s="32"/>
      <c r="G702" s="31">
        <v>660</v>
      </c>
      <c r="H702" s="30" t="str">
        <f t="shared" si="34"/>
        <v/>
      </c>
      <c r="I702" s="74" t="str">
        <f t="shared" si="35"/>
        <v/>
      </c>
      <c r="J702" s="32"/>
    </row>
    <row r="703" spans="1:10" ht="15">
      <c r="A703" s="3">
        <v>5</v>
      </c>
      <c r="B703" s="31"/>
      <c r="C703" s="30"/>
      <c r="D703" s="119"/>
      <c r="E703" s="32"/>
      <c r="G703" s="31">
        <v>661</v>
      </c>
      <c r="H703" s="30" t="str">
        <f t="shared" si="34"/>
        <v/>
      </c>
      <c r="I703" s="74" t="str">
        <f t="shared" si="35"/>
        <v/>
      </c>
      <c r="J703" s="32"/>
    </row>
    <row r="704" spans="1:10" ht="15">
      <c r="A704" s="3">
        <v>8</v>
      </c>
      <c r="B704" s="31"/>
      <c r="C704" s="30"/>
      <c r="D704" s="119"/>
      <c r="E704" s="32"/>
      <c r="G704" s="31">
        <v>662</v>
      </c>
      <c r="H704" s="30" t="str">
        <f t="shared" si="34"/>
        <v/>
      </c>
      <c r="I704" s="74" t="str">
        <f t="shared" si="35"/>
        <v/>
      </c>
      <c r="J704" s="32"/>
    </row>
    <row r="705" spans="1:10" ht="15">
      <c r="A705" s="3">
        <v>5</v>
      </c>
      <c r="B705" s="31"/>
      <c r="C705" s="30"/>
      <c r="D705" s="119"/>
      <c r="E705" s="32"/>
      <c r="G705" s="31">
        <v>663</v>
      </c>
      <c r="H705" s="30" t="str">
        <f t="shared" si="34"/>
        <v/>
      </c>
      <c r="I705" s="74" t="str">
        <f t="shared" si="35"/>
        <v/>
      </c>
      <c r="J705" s="32"/>
    </row>
    <row r="706" spans="1:10" ht="15">
      <c r="A706" s="3">
        <v>8</v>
      </c>
      <c r="B706" s="31"/>
      <c r="C706" s="30"/>
      <c r="D706" s="119"/>
      <c r="E706" s="32"/>
      <c r="G706" s="31">
        <v>664</v>
      </c>
      <c r="H706" s="30" t="str">
        <f t="shared" si="34"/>
        <v/>
      </c>
      <c r="I706" s="74" t="str">
        <f t="shared" si="35"/>
        <v/>
      </c>
      <c r="J706" s="32"/>
    </row>
    <row r="707" spans="1:10" ht="15">
      <c r="A707" s="3">
        <v>5</v>
      </c>
      <c r="B707" s="31"/>
      <c r="C707" s="30"/>
      <c r="D707" s="119"/>
      <c r="E707" s="32"/>
      <c r="G707" s="31">
        <v>665</v>
      </c>
      <c r="H707" s="30" t="str">
        <f t="shared" si="34"/>
        <v/>
      </c>
      <c r="I707" s="74" t="str">
        <f t="shared" si="35"/>
        <v/>
      </c>
      <c r="J707" s="32"/>
    </row>
    <row r="708" spans="1:10" ht="15">
      <c r="A708" s="3">
        <v>8</v>
      </c>
      <c r="B708" s="31"/>
      <c r="C708" s="30"/>
      <c r="D708" s="119"/>
      <c r="E708" s="32"/>
      <c r="G708" s="31">
        <v>666</v>
      </c>
      <c r="H708" s="30" t="str">
        <f t="shared" si="34"/>
        <v/>
      </c>
      <c r="I708" s="74" t="str">
        <f t="shared" si="35"/>
        <v/>
      </c>
      <c r="J708" s="32"/>
    </row>
    <row r="709" spans="1:10" ht="15">
      <c r="A709" s="3">
        <v>5</v>
      </c>
      <c r="B709" s="31"/>
      <c r="C709" s="30"/>
      <c r="D709" s="119"/>
      <c r="E709" s="32"/>
      <c r="G709" s="31">
        <v>667</v>
      </c>
      <c r="H709" s="30" t="str">
        <f t="shared" si="34"/>
        <v/>
      </c>
      <c r="I709" s="74" t="str">
        <f t="shared" si="35"/>
        <v/>
      </c>
      <c r="J709" s="32"/>
    </row>
    <row r="710" spans="1:10" ht="15">
      <c r="A710" s="3">
        <v>8</v>
      </c>
      <c r="B710" s="31"/>
      <c r="C710" s="30"/>
      <c r="D710" s="119"/>
      <c r="E710" s="32"/>
      <c r="G710" s="31">
        <v>668</v>
      </c>
      <c r="H710" s="30" t="str">
        <f t="shared" si="34"/>
        <v/>
      </c>
      <c r="I710" s="74" t="str">
        <f t="shared" si="35"/>
        <v/>
      </c>
      <c r="J710" s="32"/>
    </row>
    <row r="711" spans="1:10" ht="15">
      <c r="A711" s="3">
        <v>5</v>
      </c>
      <c r="B711" s="31"/>
      <c r="C711" s="30"/>
      <c r="D711" s="119"/>
      <c r="E711" s="32"/>
      <c r="G711" s="31">
        <v>669</v>
      </c>
      <c r="H711" s="30" t="str">
        <f t="shared" si="34"/>
        <v/>
      </c>
      <c r="I711" s="74" t="str">
        <f t="shared" si="35"/>
        <v/>
      </c>
      <c r="J711" s="32"/>
    </row>
    <row r="712" spans="1:10" ht="15">
      <c r="A712" s="3">
        <v>8</v>
      </c>
      <c r="B712" s="31"/>
      <c r="C712" s="30"/>
      <c r="D712" s="119"/>
      <c r="E712" s="32"/>
      <c r="G712" s="31">
        <v>670</v>
      </c>
      <c r="H712" s="30" t="str">
        <f t="shared" si="34"/>
        <v/>
      </c>
      <c r="I712" s="74" t="str">
        <f t="shared" si="35"/>
        <v/>
      </c>
      <c r="J712" s="32"/>
    </row>
    <row r="713" spans="1:10" ht="15">
      <c r="A713" s="3">
        <v>5</v>
      </c>
      <c r="B713" s="31"/>
      <c r="C713" s="30"/>
      <c r="D713" s="119"/>
      <c r="E713" s="32"/>
      <c r="G713" s="31">
        <v>671</v>
      </c>
      <c r="H713" s="30" t="str">
        <f t="shared" si="34"/>
        <v/>
      </c>
      <c r="I713" s="74" t="str">
        <f t="shared" si="35"/>
        <v/>
      </c>
      <c r="J713" s="32"/>
    </row>
    <row r="714" spans="1:10" ht="15">
      <c r="A714" s="3">
        <v>8</v>
      </c>
      <c r="B714" s="31"/>
      <c r="C714" s="30"/>
      <c r="D714" s="119"/>
      <c r="E714" s="32"/>
      <c r="G714" s="31">
        <v>672</v>
      </c>
      <c r="H714" s="30" t="str">
        <f t="shared" si="34"/>
        <v/>
      </c>
      <c r="I714" s="74" t="str">
        <f t="shared" si="35"/>
        <v/>
      </c>
      <c r="J714" s="32"/>
    </row>
    <row r="715" spans="1:10" ht="15">
      <c r="A715" s="3">
        <v>5</v>
      </c>
      <c r="B715" s="31"/>
      <c r="C715" s="30"/>
      <c r="D715" s="119"/>
      <c r="E715" s="32"/>
      <c r="G715" s="31">
        <v>673</v>
      </c>
      <c r="H715" s="30" t="str">
        <f t="shared" si="34"/>
        <v/>
      </c>
      <c r="I715" s="74" t="str">
        <f t="shared" si="35"/>
        <v/>
      </c>
      <c r="J715" s="32"/>
    </row>
    <row r="716" spans="1:10" ht="15">
      <c r="A716" s="3">
        <v>8</v>
      </c>
      <c r="B716" s="31"/>
      <c r="C716" s="30"/>
      <c r="D716" s="119"/>
      <c r="E716" s="32"/>
      <c r="G716" s="31">
        <v>674</v>
      </c>
      <c r="H716" s="30" t="str">
        <f t="shared" si="34"/>
        <v/>
      </c>
      <c r="I716" s="74" t="str">
        <f t="shared" si="35"/>
        <v/>
      </c>
      <c r="J716" s="32"/>
    </row>
    <row r="717" spans="1:10" ht="15">
      <c r="B717" s="31"/>
      <c r="C717" s="30"/>
      <c r="D717" s="119"/>
      <c r="E717" s="32"/>
      <c r="G717" s="31">
        <v>675</v>
      </c>
      <c r="H717" s="30" t="str">
        <f t="shared" si="34"/>
        <v/>
      </c>
      <c r="I717" s="74" t="str">
        <f t="shared" si="35"/>
        <v/>
      </c>
      <c r="J717" s="32"/>
    </row>
    <row r="718" spans="1:10" ht="15">
      <c r="B718" s="31"/>
      <c r="C718" s="30"/>
      <c r="D718" s="119"/>
      <c r="E718" s="32"/>
      <c r="G718" s="31">
        <v>676</v>
      </c>
      <c r="H718" s="30" t="str">
        <f t="shared" si="34"/>
        <v/>
      </c>
      <c r="I718" s="74" t="str">
        <f t="shared" si="35"/>
        <v/>
      </c>
      <c r="J718" s="32"/>
    </row>
    <row r="719" spans="1:10" ht="15">
      <c r="B719" s="31"/>
      <c r="C719" s="30"/>
      <c r="D719" s="119"/>
      <c r="E719" s="32"/>
      <c r="G719" s="31">
        <v>677</v>
      </c>
      <c r="H719" s="30" t="str">
        <f t="shared" si="34"/>
        <v/>
      </c>
      <c r="I719" s="74" t="str">
        <f t="shared" si="35"/>
        <v/>
      </c>
      <c r="J719" s="32"/>
    </row>
    <row r="720" spans="1:10" ht="15">
      <c r="B720" s="31"/>
      <c r="C720" s="30"/>
      <c r="D720" s="119"/>
      <c r="E720" s="32"/>
      <c r="G720" s="31">
        <v>678</v>
      </c>
      <c r="H720" s="30" t="str">
        <f t="shared" si="34"/>
        <v/>
      </c>
      <c r="I720" s="74" t="str">
        <f t="shared" si="35"/>
        <v/>
      </c>
      <c r="J720" s="32"/>
    </row>
    <row r="721" spans="2:10" ht="15">
      <c r="B721" s="31"/>
      <c r="C721" s="30"/>
      <c r="D721" s="119"/>
      <c r="E721" s="32"/>
      <c r="G721" s="31">
        <v>679</v>
      </c>
      <c r="H721" s="30" t="str">
        <f t="shared" si="34"/>
        <v/>
      </c>
      <c r="I721" s="74" t="str">
        <f t="shared" si="35"/>
        <v/>
      </c>
      <c r="J721" s="32"/>
    </row>
    <row r="722" spans="2:10" ht="15">
      <c r="B722" s="31"/>
      <c r="C722" s="30"/>
      <c r="D722" s="119"/>
      <c r="E722" s="32"/>
      <c r="G722" s="31">
        <v>680</v>
      </c>
      <c r="H722" s="30" t="str">
        <f t="shared" si="34"/>
        <v/>
      </c>
      <c r="I722" s="74" t="str">
        <f t="shared" si="35"/>
        <v/>
      </c>
      <c r="J722" s="32"/>
    </row>
    <row r="723" spans="2:10" ht="15">
      <c r="B723" s="31"/>
      <c r="C723" s="30"/>
      <c r="D723" s="119"/>
      <c r="E723" s="32"/>
      <c r="G723" s="31">
        <v>681</v>
      </c>
      <c r="H723" s="30" t="str">
        <f t="shared" si="34"/>
        <v/>
      </c>
      <c r="I723" s="74" t="str">
        <f t="shared" si="35"/>
        <v/>
      </c>
      <c r="J723" s="32"/>
    </row>
    <row r="724" spans="2:10" ht="15">
      <c r="B724" s="31"/>
      <c r="C724" s="30"/>
      <c r="D724" s="119"/>
      <c r="E724" s="32"/>
      <c r="G724" s="31">
        <v>682</v>
      </c>
      <c r="H724" s="30" t="str">
        <f t="shared" si="34"/>
        <v/>
      </c>
      <c r="I724" s="74" t="str">
        <f t="shared" si="35"/>
        <v/>
      </c>
      <c r="J724" s="32"/>
    </row>
    <row r="725" spans="2:10" ht="15">
      <c r="B725" s="31"/>
      <c r="C725" s="30"/>
      <c r="D725" s="119"/>
      <c r="E725" s="32"/>
      <c r="G725" s="31">
        <v>683</v>
      </c>
      <c r="H725" s="30" t="str">
        <f t="shared" si="34"/>
        <v/>
      </c>
      <c r="I725" s="74" t="str">
        <f t="shared" si="35"/>
        <v/>
      </c>
      <c r="J725" s="32"/>
    </row>
    <row r="726" spans="2:10" ht="15">
      <c r="B726" s="31"/>
      <c r="C726" s="30"/>
      <c r="D726" s="119"/>
      <c r="E726" s="32"/>
      <c r="G726" s="31">
        <v>684</v>
      </c>
      <c r="H726" s="30" t="str">
        <f t="shared" si="34"/>
        <v/>
      </c>
      <c r="I726" s="74" t="str">
        <f t="shared" si="35"/>
        <v/>
      </c>
      <c r="J726" s="32"/>
    </row>
    <row r="727" spans="2:10" ht="15">
      <c r="B727" s="31"/>
      <c r="C727" s="30"/>
      <c r="D727" s="119"/>
      <c r="E727" s="32"/>
      <c r="G727" s="31">
        <v>685</v>
      </c>
      <c r="H727" s="30" t="str">
        <f t="shared" si="34"/>
        <v/>
      </c>
      <c r="I727" s="74" t="str">
        <f t="shared" si="35"/>
        <v/>
      </c>
      <c r="J727" s="32"/>
    </row>
    <row r="728" spans="2:10" ht="15">
      <c r="B728" s="31"/>
      <c r="C728" s="30"/>
      <c r="D728" s="119"/>
      <c r="E728" s="32"/>
      <c r="G728" s="31">
        <v>686</v>
      </c>
      <c r="H728" s="30" t="str">
        <f t="shared" si="34"/>
        <v/>
      </c>
      <c r="I728" s="74" t="str">
        <f t="shared" si="35"/>
        <v/>
      </c>
      <c r="J728" s="32"/>
    </row>
    <row r="729" spans="2:10" ht="15">
      <c r="B729" s="31"/>
      <c r="C729" s="30"/>
      <c r="D729" s="119"/>
      <c r="E729" s="32"/>
      <c r="G729" s="31">
        <v>687</v>
      </c>
      <c r="H729" s="30" t="str">
        <f t="shared" si="34"/>
        <v/>
      </c>
      <c r="I729" s="74" t="str">
        <f t="shared" si="35"/>
        <v/>
      </c>
      <c r="J729" s="32"/>
    </row>
    <row r="730" spans="2:10" ht="15">
      <c r="B730" s="31"/>
      <c r="C730" s="30"/>
      <c r="D730" s="119"/>
      <c r="E730" s="32"/>
      <c r="G730" s="31">
        <v>688</v>
      </c>
      <c r="H730" s="30" t="str">
        <f t="shared" si="34"/>
        <v/>
      </c>
      <c r="I730" s="74" t="str">
        <f t="shared" si="35"/>
        <v/>
      </c>
      <c r="J730" s="32"/>
    </row>
    <row r="731" spans="2:10" ht="15">
      <c r="B731" s="31"/>
      <c r="C731" s="30"/>
      <c r="D731" s="119"/>
      <c r="E731" s="32"/>
      <c r="G731" s="31">
        <v>689</v>
      </c>
      <c r="H731" s="30" t="str">
        <f t="shared" si="34"/>
        <v/>
      </c>
      <c r="I731" s="74" t="str">
        <f t="shared" si="35"/>
        <v/>
      </c>
      <c r="J731" s="32"/>
    </row>
    <row r="732" spans="2:10" ht="15">
      <c r="B732" s="31"/>
      <c r="C732" s="30"/>
      <c r="D732" s="119"/>
      <c r="E732" s="32"/>
      <c r="G732" s="31">
        <v>690</v>
      </c>
      <c r="H732" s="30" t="str">
        <f t="shared" si="34"/>
        <v/>
      </c>
      <c r="I732" s="74" t="str">
        <f t="shared" si="35"/>
        <v/>
      </c>
      <c r="J732" s="32"/>
    </row>
    <row r="733" spans="2:10" ht="15">
      <c r="B733" s="31"/>
      <c r="C733" s="30"/>
      <c r="D733" s="119"/>
      <c r="E733" s="32"/>
      <c r="G733" s="31">
        <v>691</v>
      </c>
      <c r="H733" s="30" t="str">
        <f t="shared" si="34"/>
        <v/>
      </c>
      <c r="I733" s="74" t="str">
        <f t="shared" si="35"/>
        <v/>
      </c>
      <c r="J733" s="32"/>
    </row>
    <row r="734" spans="2:10" ht="15">
      <c r="B734" s="31"/>
      <c r="C734" s="30"/>
      <c r="D734" s="119"/>
      <c r="E734" s="32"/>
      <c r="G734" s="31">
        <v>692</v>
      </c>
      <c r="H734" s="30" t="str">
        <f t="shared" si="34"/>
        <v/>
      </c>
      <c r="I734" s="74" t="str">
        <f t="shared" si="35"/>
        <v/>
      </c>
      <c r="J734" s="32"/>
    </row>
    <row r="735" spans="2:10" ht="15">
      <c r="B735" s="31"/>
      <c r="C735" s="30"/>
      <c r="D735" s="119"/>
      <c r="E735" s="32"/>
      <c r="G735" s="31">
        <v>693</v>
      </c>
      <c r="H735" s="30" t="str">
        <f t="shared" si="34"/>
        <v/>
      </c>
      <c r="I735" s="74" t="str">
        <f t="shared" si="35"/>
        <v/>
      </c>
      <c r="J735" s="32"/>
    </row>
    <row r="736" spans="2:10" ht="15">
      <c r="B736" s="31"/>
      <c r="C736" s="30"/>
      <c r="D736" s="119"/>
      <c r="E736" s="32"/>
      <c r="G736" s="31">
        <v>694</v>
      </c>
      <c r="H736" s="30" t="str">
        <f t="shared" si="34"/>
        <v/>
      </c>
      <c r="I736" s="74" t="str">
        <f t="shared" si="35"/>
        <v/>
      </c>
      <c r="J736" s="32"/>
    </row>
    <row r="737" spans="2:10" ht="15">
      <c r="B737" s="31"/>
      <c r="C737" s="30"/>
      <c r="D737" s="119"/>
      <c r="E737" s="32"/>
      <c r="G737" s="31">
        <v>695</v>
      </c>
      <c r="H737" s="30" t="str">
        <f t="shared" si="34"/>
        <v/>
      </c>
      <c r="I737" s="74" t="str">
        <f t="shared" si="35"/>
        <v/>
      </c>
      <c r="J737" s="32"/>
    </row>
    <row r="738" spans="2:10" ht="15">
      <c r="B738" s="31"/>
      <c r="C738" s="30"/>
      <c r="D738" s="119"/>
      <c r="E738" s="32"/>
      <c r="G738" s="31">
        <v>696</v>
      </c>
      <c r="H738" s="30" t="str">
        <f t="shared" si="34"/>
        <v/>
      </c>
      <c r="I738" s="74" t="str">
        <f t="shared" si="35"/>
        <v/>
      </c>
      <c r="J738" s="32"/>
    </row>
    <row r="739" spans="2:10" ht="15">
      <c r="B739" s="31"/>
      <c r="C739" s="30"/>
      <c r="D739" s="119"/>
      <c r="E739" s="32"/>
      <c r="G739" s="31">
        <v>697</v>
      </c>
      <c r="H739" s="30" t="str">
        <f t="shared" si="34"/>
        <v/>
      </c>
      <c r="I739" s="74" t="str">
        <f t="shared" si="35"/>
        <v/>
      </c>
      <c r="J739" s="32"/>
    </row>
    <row r="740" spans="2:10" ht="15">
      <c r="B740" s="31"/>
      <c r="C740" s="30"/>
      <c r="D740" s="119"/>
      <c r="E740" s="32"/>
      <c r="G740" s="31">
        <v>698</v>
      </c>
      <c r="H740" s="30" t="str">
        <f t="shared" si="34"/>
        <v/>
      </c>
      <c r="I740" s="74" t="str">
        <f t="shared" si="35"/>
        <v/>
      </c>
      <c r="J740" s="32"/>
    </row>
    <row r="741" spans="2:10" ht="15">
      <c r="B741" s="31"/>
      <c r="C741" s="30"/>
      <c r="D741" s="119"/>
      <c r="E741" s="32"/>
      <c r="G741" s="31">
        <v>699</v>
      </c>
      <c r="H741" s="30" t="str">
        <f t="shared" si="34"/>
        <v/>
      </c>
      <c r="I741" s="74" t="str">
        <f t="shared" si="35"/>
        <v/>
      </c>
      <c r="J741" s="32"/>
    </row>
    <row r="742" spans="2:10" ht="15">
      <c r="B742" s="31"/>
      <c r="C742" s="30"/>
      <c r="D742" s="119"/>
      <c r="E742" s="32"/>
      <c r="G742" s="31">
        <v>700</v>
      </c>
      <c r="H742" s="30" t="str">
        <f t="shared" si="34"/>
        <v/>
      </c>
      <c r="I742" s="74" t="str">
        <f t="shared" si="35"/>
        <v/>
      </c>
      <c r="J742" s="32"/>
    </row>
    <row r="743" spans="2:10" ht="15">
      <c r="B743" s="31"/>
      <c r="C743" s="30"/>
      <c r="D743" s="119"/>
      <c r="E743" s="32"/>
      <c r="G743" s="31">
        <v>701</v>
      </c>
      <c r="H743" s="30" t="str">
        <f t="shared" si="34"/>
        <v/>
      </c>
      <c r="I743" s="74" t="str">
        <f t="shared" si="35"/>
        <v/>
      </c>
      <c r="J743" s="32"/>
    </row>
    <row r="744" spans="2:10" ht="15">
      <c r="B744" s="31"/>
      <c r="C744" s="30"/>
      <c r="D744" s="119"/>
      <c r="E744" s="32"/>
      <c r="G744" s="31">
        <v>702</v>
      </c>
      <c r="H744" s="30" t="str">
        <f t="shared" si="34"/>
        <v/>
      </c>
      <c r="I744" s="74" t="str">
        <f t="shared" si="35"/>
        <v/>
      </c>
      <c r="J744" s="32"/>
    </row>
    <row r="745" spans="2:10" ht="15">
      <c r="B745" s="31"/>
      <c r="C745" s="30"/>
      <c r="D745" s="119"/>
      <c r="E745" s="32"/>
      <c r="G745" s="31">
        <v>703</v>
      </c>
      <c r="H745" s="30" t="str">
        <f t="shared" si="34"/>
        <v/>
      </c>
      <c r="I745" s="74" t="str">
        <f t="shared" si="35"/>
        <v/>
      </c>
      <c r="J745" s="32"/>
    </row>
    <row r="746" spans="2:10" ht="15">
      <c r="B746" s="31"/>
      <c r="C746" s="30"/>
      <c r="D746" s="119"/>
      <c r="E746" s="32"/>
      <c r="G746" s="31">
        <v>704</v>
      </c>
      <c r="H746" s="30" t="str">
        <f t="shared" si="34"/>
        <v/>
      </c>
      <c r="I746" s="74" t="str">
        <f t="shared" si="35"/>
        <v/>
      </c>
      <c r="J746" s="32"/>
    </row>
    <row r="747" spans="2:10" ht="15">
      <c r="B747" s="31"/>
      <c r="C747" s="30"/>
      <c r="D747" s="119"/>
      <c r="E747" s="32"/>
      <c r="G747" s="31">
        <v>705</v>
      </c>
      <c r="H747" s="30" t="str">
        <f t="shared" si="34"/>
        <v/>
      </c>
      <c r="I747" s="74" t="str">
        <f t="shared" si="35"/>
        <v/>
      </c>
      <c r="J747" s="32"/>
    </row>
    <row r="748" spans="2:10" ht="15">
      <c r="B748" s="31"/>
      <c r="C748" s="30"/>
      <c r="D748" s="119"/>
      <c r="E748" s="32"/>
      <c r="G748" s="31">
        <v>706</v>
      </c>
      <c r="H748" s="30" t="str">
        <f t="shared" ref="H748:H811" si="36">MID($I$41,G748*8-7,8)</f>
        <v/>
      </c>
      <c r="I748" s="74" t="str">
        <f t="shared" ref="I748:I811" si="37">IFERROR(BIN2DEC(VALUE(H748)),"")</f>
        <v/>
      </c>
      <c r="J748" s="32"/>
    </row>
    <row r="749" spans="2:10" ht="15">
      <c r="B749" s="31"/>
      <c r="C749" s="30"/>
      <c r="D749" s="119"/>
      <c r="E749" s="32"/>
      <c r="G749" s="31">
        <v>707</v>
      </c>
      <c r="H749" s="30" t="str">
        <f t="shared" si="36"/>
        <v/>
      </c>
      <c r="I749" s="74" t="str">
        <f t="shared" si="37"/>
        <v/>
      </c>
      <c r="J749" s="32"/>
    </row>
    <row r="750" spans="2:10" ht="15">
      <c r="B750" s="31"/>
      <c r="C750" s="30"/>
      <c r="D750" s="119"/>
      <c r="E750" s="32"/>
      <c r="G750" s="31">
        <v>708</v>
      </c>
      <c r="H750" s="30" t="str">
        <f t="shared" si="36"/>
        <v/>
      </c>
      <c r="I750" s="74" t="str">
        <f t="shared" si="37"/>
        <v/>
      </c>
      <c r="J750" s="32"/>
    </row>
    <row r="751" spans="2:10" ht="15">
      <c r="B751" s="31"/>
      <c r="C751" s="30"/>
      <c r="D751" s="119"/>
      <c r="E751" s="32"/>
      <c r="G751" s="31">
        <v>709</v>
      </c>
      <c r="H751" s="30" t="str">
        <f t="shared" si="36"/>
        <v/>
      </c>
      <c r="I751" s="74" t="str">
        <f t="shared" si="37"/>
        <v/>
      </c>
      <c r="J751" s="32"/>
    </row>
    <row r="752" spans="2:10" ht="15">
      <c r="B752" s="31"/>
      <c r="C752" s="30"/>
      <c r="D752" s="119"/>
      <c r="E752" s="32"/>
      <c r="G752" s="31">
        <v>710</v>
      </c>
      <c r="H752" s="30" t="str">
        <f t="shared" si="36"/>
        <v/>
      </c>
      <c r="I752" s="74" t="str">
        <f t="shared" si="37"/>
        <v/>
      </c>
      <c r="J752" s="32"/>
    </row>
    <row r="753" spans="2:10" ht="15">
      <c r="B753" s="31"/>
      <c r="C753" s="30"/>
      <c r="D753" s="119"/>
      <c r="E753" s="32"/>
      <c r="G753" s="31">
        <v>711</v>
      </c>
      <c r="H753" s="30" t="str">
        <f t="shared" si="36"/>
        <v/>
      </c>
      <c r="I753" s="74" t="str">
        <f t="shared" si="37"/>
        <v/>
      </c>
      <c r="J753" s="32"/>
    </row>
    <row r="754" spans="2:10" ht="15">
      <c r="B754" s="31"/>
      <c r="C754" s="30"/>
      <c r="D754" s="119"/>
      <c r="E754" s="32"/>
      <c r="G754" s="31">
        <v>712</v>
      </c>
      <c r="H754" s="30" t="str">
        <f t="shared" si="36"/>
        <v/>
      </c>
      <c r="I754" s="74" t="str">
        <f t="shared" si="37"/>
        <v/>
      </c>
      <c r="J754" s="32"/>
    </row>
    <row r="755" spans="2:10" ht="15">
      <c r="B755" s="31"/>
      <c r="C755" s="30"/>
      <c r="D755" s="119"/>
      <c r="E755" s="32"/>
      <c r="G755" s="31">
        <v>713</v>
      </c>
      <c r="H755" s="30" t="str">
        <f t="shared" si="36"/>
        <v/>
      </c>
      <c r="I755" s="74" t="str">
        <f t="shared" si="37"/>
        <v/>
      </c>
      <c r="J755" s="32"/>
    </row>
    <row r="756" spans="2:10" ht="15">
      <c r="B756" s="31"/>
      <c r="C756" s="30"/>
      <c r="D756" s="119"/>
      <c r="E756" s="32"/>
      <c r="G756" s="31">
        <v>714</v>
      </c>
      <c r="H756" s="30" t="str">
        <f t="shared" si="36"/>
        <v/>
      </c>
      <c r="I756" s="74" t="str">
        <f t="shared" si="37"/>
        <v/>
      </c>
      <c r="J756" s="32"/>
    </row>
    <row r="757" spans="2:10" ht="15">
      <c r="B757" s="31"/>
      <c r="C757" s="30"/>
      <c r="D757" s="119"/>
      <c r="E757" s="32"/>
      <c r="G757" s="31">
        <v>715</v>
      </c>
      <c r="H757" s="30" t="str">
        <f t="shared" si="36"/>
        <v/>
      </c>
      <c r="I757" s="74" t="str">
        <f t="shared" si="37"/>
        <v/>
      </c>
      <c r="J757" s="32"/>
    </row>
    <row r="758" spans="2:10" ht="15">
      <c r="B758" s="31"/>
      <c r="C758" s="30"/>
      <c r="D758" s="119"/>
      <c r="E758" s="32"/>
      <c r="G758" s="31">
        <v>716</v>
      </c>
      <c r="H758" s="30" t="str">
        <f t="shared" si="36"/>
        <v/>
      </c>
      <c r="I758" s="74" t="str">
        <f t="shared" si="37"/>
        <v/>
      </c>
      <c r="J758" s="32"/>
    </row>
    <row r="759" spans="2:10" ht="15">
      <c r="B759" s="31"/>
      <c r="C759" s="30"/>
      <c r="D759" s="119"/>
      <c r="E759" s="32"/>
      <c r="G759" s="31">
        <v>717</v>
      </c>
      <c r="H759" s="30" t="str">
        <f t="shared" si="36"/>
        <v/>
      </c>
      <c r="I759" s="74" t="str">
        <f t="shared" si="37"/>
        <v/>
      </c>
      <c r="J759" s="32"/>
    </row>
    <row r="760" spans="2:10" ht="15">
      <c r="B760" s="31"/>
      <c r="C760" s="30"/>
      <c r="D760" s="119"/>
      <c r="E760" s="32"/>
      <c r="G760" s="31">
        <v>718</v>
      </c>
      <c r="H760" s="30" t="str">
        <f t="shared" si="36"/>
        <v/>
      </c>
      <c r="I760" s="74" t="str">
        <f t="shared" si="37"/>
        <v/>
      </c>
      <c r="J760" s="32"/>
    </row>
    <row r="761" spans="2:10" ht="15">
      <c r="B761" s="31"/>
      <c r="C761" s="30"/>
      <c r="D761" s="119"/>
      <c r="E761" s="32"/>
      <c r="G761" s="31">
        <v>719</v>
      </c>
      <c r="H761" s="30" t="str">
        <f t="shared" si="36"/>
        <v/>
      </c>
      <c r="I761" s="74" t="str">
        <f t="shared" si="37"/>
        <v/>
      </c>
      <c r="J761" s="32"/>
    </row>
    <row r="762" spans="2:10" ht="15">
      <c r="B762" s="31"/>
      <c r="C762" s="30"/>
      <c r="D762" s="119"/>
      <c r="E762" s="32"/>
      <c r="G762" s="31">
        <v>720</v>
      </c>
      <c r="H762" s="30" t="str">
        <f t="shared" si="36"/>
        <v/>
      </c>
      <c r="I762" s="74" t="str">
        <f t="shared" si="37"/>
        <v/>
      </c>
      <c r="J762" s="32"/>
    </row>
    <row r="763" spans="2:10" ht="15">
      <c r="B763" s="31"/>
      <c r="C763" s="30"/>
      <c r="D763" s="119"/>
      <c r="E763" s="32"/>
      <c r="G763" s="31">
        <v>721</v>
      </c>
      <c r="H763" s="30" t="str">
        <f t="shared" si="36"/>
        <v/>
      </c>
      <c r="I763" s="74" t="str">
        <f t="shared" si="37"/>
        <v/>
      </c>
      <c r="J763" s="32"/>
    </row>
    <row r="764" spans="2:10" ht="15">
      <c r="B764" s="31"/>
      <c r="C764" s="30"/>
      <c r="D764" s="119"/>
      <c r="E764" s="32"/>
      <c r="G764" s="31">
        <v>722</v>
      </c>
      <c r="H764" s="30" t="str">
        <f t="shared" si="36"/>
        <v/>
      </c>
      <c r="I764" s="74" t="str">
        <f t="shared" si="37"/>
        <v/>
      </c>
      <c r="J764" s="32"/>
    </row>
    <row r="765" spans="2:10" ht="15">
      <c r="B765" s="31"/>
      <c r="C765" s="30"/>
      <c r="D765" s="119"/>
      <c r="E765" s="32"/>
      <c r="G765" s="31">
        <v>723</v>
      </c>
      <c r="H765" s="30" t="str">
        <f t="shared" si="36"/>
        <v/>
      </c>
      <c r="I765" s="74" t="str">
        <f t="shared" si="37"/>
        <v/>
      </c>
      <c r="J765" s="32"/>
    </row>
    <row r="766" spans="2:10" ht="15">
      <c r="B766" s="31"/>
      <c r="C766" s="30"/>
      <c r="D766" s="119"/>
      <c r="E766" s="32"/>
      <c r="G766" s="31">
        <v>724</v>
      </c>
      <c r="H766" s="30" t="str">
        <f t="shared" si="36"/>
        <v/>
      </c>
      <c r="I766" s="74" t="str">
        <f t="shared" si="37"/>
        <v/>
      </c>
      <c r="J766" s="32"/>
    </row>
    <row r="767" spans="2:10" ht="15">
      <c r="B767" s="31"/>
      <c r="C767" s="30"/>
      <c r="D767" s="119"/>
      <c r="E767" s="32"/>
      <c r="G767" s="31">
        <v>725</v>
      </c>
      <c r="H767" s="30" t="str">
        <f t="shared" si="36"/>
        <v/>
      </c>
      <c r="I767" s="74" t="str">
        <f t="shared" si="37"/>
        <v/>
      </c>
      <c r="J767" s="32"/>
    </row>
    <row r="768" spans="2:10" ht="15">
      <c r="B768" s="31"/>
      <c r="C768" s="30"/>
      <c r="D768" s="119"/>
      <c r="E768" s="32"/>
      <c r="G768" s="31">
        <v>726</v>
      </c>
      <c r="H768" s="30" t="str">
        <f t="shared" si="36"/>
        <v/>
      </c>
      <c r="I768" s="74" t="str">
        <f t="shared" si="37"/>
        <v/>
      </c>
      <c r="J768" s="32"/>
    </row>
    <row r="769" spans="2:10" ht="15">
      <c r="B769" s="31"/>
      <c r="C769" s="30"/>
      <c r="D769" s="119"/>
      <c r="E769" s="32"/>
      <c r="G769" s="31">
        <v>727</v>
      </c>
      <c r="H769" s="30" t="str">
        <f t="shared" si="36"/>
        <v/>
      </c>
      <c r="I769" s="74" t="str">
        <f t="shared" si="37"/>
        <v/>
      </c>
      <c r="J769" s="32"/>
    </row>
    <row r="770" spans="2:10" ht="15">
      <c r="B770" s="31"/>
      <c r="C770" s="30"/>
      <c r="D770" s="119"/>
      <c r="E770" s="32"/>
      <c r="G770" s="31">
        <v>728</v>
      </c>
      <c r="H770" s="30" t="str">
        <f t="shared" si="36"/>
        <v/>
      </c>
      <c r="I770" s="74" t="str">
        <f t="shared" si="37"/>
        <v/>
      </c>
      <c r="J770" s="32"/>
    </row>
    <row r="771" spans="2:10" ht="15">
      <c r="B771" s="31"/>
      <c r="C771" s="30"/>
      <c r="D771" s="119"/>
      <c r="E771" s="32"/>
      <c r="G771" s="31">
        <v>729</v>
      </c>
      <c r="H771" s="30" t="str">
        <f t="shared" si="36"/>
        <v/>
      </c>
      <c r="I771" s="74" t="str">
        <f t="shared" si="37"/>
        <v/>
      </c>
      <c r="J771" s="32"/>
    </row>
    <row r="772" spans="2:10" ht="15">
      <c r="B772" s="31"/>
      <c r="C772" s="30"/>
      <c r="D772" s="119"/>
      <c r="E772" s="32"/>
      <c r="G772" s="31">
        <v>730</v>
      </c>
      <c r="H772" s="30" t="str">
        <f t="shared" si="36"/>
        <v/>
      </c>
      <c r="I772" s="74" t="str">
        <f t="shared" si="37"/>
        <v/>
      </c>
      <c r="J772" s="32"/>
    </row>
    <row r="773" spans="2:10" ht="15">
      <c r="B773" s="31"/>
      <c r="C773" s="30"/>
      <c r="D773" s="119"/>
      <c r="E773" s="32"/>
      <c r="G773" s="31">
        <v>731</v>
      </c>
      <c r="H773" s="30" t="str">
        <f t="shared" si="36"/>
        <v/>
      </c>
      <c r="I773" s="74" t="str">
        <f t="shared" si="37"/>
        <v/>
      </c>
      <c r="J773" s="32"/>
    </row>
    <row r="774" spans="2:10" ht="15">
      <c r="B774" s="31"/>
      <c r="C774" s="30"/>
      <c r="D774" s="119"/>
      <c r="E774" s="32"/>
      <c r="G774" s="31">
        <v>732</v>
      </c>
      <c r="H774" s="30" t="str">
        <f t="shared" si="36"/>
        <v/>
      </c>
      <c r="I774" s="74" t="str">
        <f t="shared" si="37"/>
        <v/>
      </c>
      <c r="J774" s="32"/>
    </row>
    <row r="775" spans="2:10" ht="15">
      <c r="B775" s="31"/>
      <c r="C775" s="30"/>
      <c r="D775" s="119"/>
      <c r="E775" s="32"/>
      <c r="G775" s="31">
        <v>733</v>
      </c>
      <c r="H775" s="30" t="str">
        <f t="shared" si="36"/>
        <v/>
      </c>
      <c r="I775" s="74" t="str">
        <f t="shared" si="37"/>
        <v/>
      </c>
      <c r="J775" s="32"/>
    </row>
    <row r="776" spans="2:10" ht="15">
      <c r="B776" s="31"/>
      <c r="C776" s="30"/>
      <c r="D776" s="119"/>
      <c r="E776" s="32"/>
      <c r="G776" s="31">
        <v>734</v>
      </c>
      <c r="H776" s="30" t="str">
        <f t="shared" si="36"/>
        <v/>
      </c>
      <c r="I776" s="74" t="str">
        <f t="shared" si="37"/>
        <v/>
      </c>
      <c r="J776" s="32"/>
    </row>
    <row r="777" spans="2:10" ht="15">
      <c r="B777" s="31"/>
      <c r="C777" s="30"/>
      <c r="D777" s="119"/>
      <c r="E777" s="32"/>
      <c r="G777" s="31">
        <v>735</v>
      </c>
      <c r="H777" s="30" t="str">
        <f t="shared" si="36"/>
        <v/>
      </c>
      <c r="I777" s="74" t="str">
        <f t="shared" si="37"/>
        <v/>
      </c>
      <c r="J777" s="32"/>
    </row>
    <row r="778" spans="2:10" ht="15">
      <c r="B778" s="31"/>
      <c r="C778" s="30"/>
      <c r="D778" s="119"/>
      <c r="E778" s="32"/>
      <c r="G778" s="31">
        <v>736</v>
      </c>
      <c r="H778" s="30" t="str">
        <f t="shared" si="36"/>
        <v/>
      </c>
      <c r="I778" s="74" t="str">
        <f t="shared" si="37"/>
        <v/>
      </c>
      <c r="J778" s="32"/>
    </row>
    <row r="779" spans="2:10" ht="15">
      <c r="B779" s="31"/>
      <c r="C779" s="30"/>
      <c r="D779" s="119"/>
      <c r="E779" s="32"/>
      <c r="G779" s="31">
        <v>737</v>
      </c>
      <c r="H779" s="30" t="str">
        <f t="shared" si="36"/>
        <v/>
      </c>
      <c r="I779" s="74" t="str">
        <f t="shared" si="37"/>
        <v/>
      </c>
      <c r="J779" s="32"/>
    </row>
    <row r="780" spans="2:10" ht="15">
      <c r="B780" s="31"/>
      <c r="C780" s="30"/>
      <c r="D780" s="119"/>
      <c r="E780" s="32"/>
      <c r="G780" s="31">
        <v>738</v>
      </c>
      <c r="H780" s="30" t="str">
        <f t="shared" si="36"/>
        <v/>
      </c>
      <c r="I780" s="74" t="str">
        <f t="shared" si="37"/>
        <v/>
      </c>
      <c r="J780" s="32"/>
    </row>
    <row r="781" spans="2:10" ht="15">
      <c r="B781" s="31"/>
      <c r="C781" s="30"/>
      <c r="D781" s="119"/>
      <c r="E781" s="32"/>
      <c r="G781" s="31">
        <v>739</v>
      </c>
      <c r="H781" s="30" t="str">
        <f t="shared" si="36"/>
        <v/>
      </c>
      <c r="I781" s="74" t="str">
        <f t="shared" si="37"/>
        <v/>
      </c>
      <c r="J781" s="32"/>
    </row>
    <row r="782" spans="2:10" ht="15">
      <c r="B782" s="31"/>
      <c r="C782" s="30"/>
      <c r="D782" s="119"/>
      <c r="E782" s="32"/>
      <c r="G782" s="31">
        <v>740</v>
      </c>
      <c r="H782" s="30" t="str">
        <f t="shared" si="36"/>
        <v/>
      </c>
      <c r="I782" s="74" t="str">
        <f t="shared" si="37"/>
        <v/>
      </c>
      <c r="J782" s="32"/>
    </row>
    <row r="783" spans="2:10" ht="15">
      <c r="B783" s="31"/>
      <c r="C783" s="30"/>
      <c r="D783" s="119"/>
      <c r="E783" s="32"/>
      <c r="G783" s="31">
        <v>741</v>
      </c>
      <c r="H783" s="30" t="str">
        <f t="shared" si="36"/>
        <v/>
      </c>
      <c r="I783" s="74" t="str">
        <f t="shared" si="37"/>
        <v/>
      </c>
      <c r="J783" s="32"/>
    </row>
    <row r="784" spans="2:10" ht="15">
      <c r="B784" s="31"/>
      <c r="C784" s="30"/>
      <c r="D784" s="119"/>
      <c r="E784" s="32"/>
      <c r="G784" s="31">
        <v>742</v>
      </c>
      <c r="H784" s="30" t="str">
        <f t="shared" si="36"/>
        <v/>
      </c>
      <c r="I784" s="74" t="str">
        <f t="shared" si="37"/>
        <v/>
      </c>
      <c r="J784" s="32"/>
    </row>
    <row r="785" spans="2:10" ht="15">
      <c r="B785" s="31"/>
      <c r="C785" s="30"/>
      <c r="D785" s="119"/>
      <c r="E785" s="32"/>
      <c r="G785" s="31">
        <v>743</v>
      </c>
      <c r="H785" s="30" t="str">
        <f t="shared" si="36"/>
        <v/>
      </c>
      <c r="I785" s="74" t="str">
        <f t="shared" si="37"/>
        <v/>
      </c>
      <c r="J785" s="32"/>
    </row>
    <row r="786" spans="2:10" ht="15">
      <c r="B786" s="31"/>
      <c r="C786" s="30"/>
      <c r="D786" s="119"/>
      <c r="E786" s="32"/>
      <c r="G786" s="31">
        <v>744</v>
      </c>
      <c r="H786" s="30" t="str">
        <f t="shared" si="36"/>
        <v/>
      </c>
      <c r="I786" s="74" t="str">
        <f t="shared" si="37"/>
        <v/>
      </c>
      <c r="J786" s="32"/>
    </row>
    <row r="787" spans="2:10" ht="15">
      <c r="B787" s="31"/>
      <c r="C787" s="30"/>
      <c r="D787" s="119"/>
      <c r="E787" s="32"/>
      <c r="G787" s="31">
        <v>745</v>
      </c>
      <c r="H787" s="30" t="str">
        <f t="shared" si="36"/>
        <v/>
      </c>
      <c r="I787" s="74" t="str">
        <f t="shared" si="37"/>
        <v/>
      </c>
      <c r="J787" s="32"/>
    </row>
    <row r="788" spans="2:10" ht="15">
      <c r="B788" s="31"/>
      <c r="C788" s="30"/>
      <c r="D788" s="119"/>
      <c r="E788" s="32"/>
      <c r="G788" s="31">
        <v>746</v>
      </c>
      <c r="H788" s="30" t="str">
        <f t="shared" si="36"/>
        <v/>
      </c>
      <c r="I788" s="74" t="str">
        <f t="shared" si="37"/>
        <v/>
      </c>
      <c r="J788" s="32"/>
    </row>
    <row r="789" spans="2:10" ht="15">
      <c r="B789" s="31"/>
      <c r="C789" s="30"/>
      <c r="D789" s="119"/>
      <c r="E789" s="32"/>
      <c r="G789" s="31">
        <v>747</v>
      </c>
      <c r="H789" s="30" t="str">
        <f t="shared" si="36"/>
        <v/>
      </c>
      <c r="I789" s="74" t="str">
        <f t="shared" si="37"/>
        <v/>
      </c>
      <c r="J789" s="32"/>
    </row>
    <row r="790" spans="2:10" ht="15">
      <c r="B790" s="31"/>
      <c r="C790" s="30"/>
      <c r="D790" s="119"/>
      <c r="E790" s="32"/>
      <c r="G790" s="31">
        <v>748</v>
      </c>
      <c r="H790" s="30" t="str">
        <f t="shared" si="36"/>
        <v/>
      </c>
      <c r="I790" s="74" t="str">
        <f t="shared" si="37"/>
        <v/>
      </c>
      <c r="J790" s="32"/>
    </row>
    <row r="791" spans="2:10" ht="15">
      <c r="B791" s="31"/>
      <c r="C791" s="30"/>
      <c r="D791" s="119"/>
      <c r="E791" s="32"/>
      <c r="G791" s="31">
        <v>749</v>
      </c>
      <c r="H791" s="30" t="str">
        <f t="shared" si="36"/>
        <v/>
      </c>
      <c r="I791" s="74" t="str">
        <f t="shared" si="37"/>
        <v/>
      </c>
      <c r="J791" s="32"/>
    </row>
    <row r="792" spans="2:10" ht="15">
      <c r="B792" s="31"/>
      <c r="C792" s="30"/>
      <c r="D792" s="119"/>
      <c r="E792" s="32"/>
      <c r="G792" s="31">
        <v>750</v>
      </c>
      <c r="H792" s="30" t="str">
        <f t="shared" si="36"/>
        <v/>
      </c>
      <c r="I792" s="74" t="str">
        <f t="shared" si="37"/>
        <v/>
      </c>
      <c r="J792" s="32"/>
    </row>
    <row r="793" spans="2:10" ht="15">
      <c r="B793" s="31"/>
      <c r="C793" s="30"/>
      <c r="D793" s="119"/>
      <c r="E793" s="32"/>
      <c r="G793" s="31">
        <v>751</v>
      </c>
      <c r="H793" s="30" t="str">
        <f t="shared" si="36"/>
        <v/>
      </c>
      <c r="I793" s="74" t="str">
        <f t="shared" si="37"/>
        <v/>
      </c>
      <c r="J793" s="32"/>
    </row>
    <row r="794" spans="2:10" ht="15">
      <c r="B794" s="31"/>
      <c r="C794" s="30"/>
      <c r="D794" s="119"/>
      <c r="E794" s="32"/>
      <c r="G794" s="31">
        <v>752</v>
      </c>
      <c r="H794" s="30" t="str">
        <f t="shared" si="36"/>
        <v/>
      </c>
      <c r="I794" s="74" t="str">
        <f t="shared" si="37"/>
        <v/>
      </c>
      <c r="J794" s="32"/>
    </row>
    <row r="795" spans="2:10" ht="15">
      <c r="B795" s="31"/>
      <c r="C795" s="30"/>
      <c r="D795" s="119"/>
      <c r="E795" s="32"/>
      <c r="G795" s="31">
        <v>753</v>
      </c>
      <c r="H795" s="30" t="str">
        <f t="shared" si="36"/>
        <v/>
      </c>
      <c r="I795" s="74" t="str">
        <f t="shared" si="37"/>
        <v/>
      </c>
      <c r="J795" s="32"/>
    </row>
    <row r="796" spans="2:10" ht="15">
      <c r="B796" s="31"/>
      <c r="C796" s="30"/>
      <c r="D796" s="119"/>
      <c r="E796" s="32"/>
      <c r="G796" s="31">
        <v>754</v>
      </c>
      <c r="H796" s="30" t="str">
        <f t="shared" si="36"/>
        <v/>
      </c>
      <c r="I796" s="74" t="str">
        <f t="shared" si="37"/>
        <v/>
      </c>
      <c r="J796" s="32"/>
    </row>
    <row r="797" spans="2:10" ht="15">
      <c r="B797" s="31"/>
      <c r="C797" s="30"/>
      <c r="D797" s="119"/>
      <c r="E797" s="32"/>
      <c r="G797" s="31">
        <v>755</v>
      </c>
      <c r="H797" s="30" t="str">
        <f t="shared" si="36"/>
        <v/>
      </c>
      <c r="I797" s="74" t="str">
        <f t="shared" si="37"/>
        <v/>
      </c>
      <c r="J797" s="32"/>
    </row>
    <row r="798" spans="2:10" ht="15">
      <c r="B798" s="31"/>
      <c r="C798" s="30"/>
      <c r="D798" s="119"/>
      <c r="E798" s="32"/>
      <c r="G798" s="31">
        <v>756</v>
      </c>
      <c r="H798" s="30" t="str">
        <f t="shared" si="36"/>
        <v/>
      </c>
      <c r="I798" s="74" t="str">
        <f t="shared" si="37"/>
        <v/>
      </c>
      <c r="J798" s="32"/>
    </row>
    <row r="799" spans="2:10" ht="15">
      <c r="B799" s="31"/>
      <c r="C799" s="30"/>
      <c r="D799" s="119"/>
      <c r="E799" s="32"/>
      <c r="G799" s="31">
        <v>757</v>
      </c>
      <c r="H799" s="30" t="str">
        <f t="shared" si="36"/>
        <v/>
      </c>
      <c r="I799" s="74" t="str">
        <f t="shared" si="37"/>
        <v/>
      </c>
      <c r="J799" s="32"/>
    </row>
    <row r="800" spans="2:10" ht="15">
      <c r="B800" s="31"/>
      <c r="C800" s="30"/>
      <c r="D800" s="119"/>
      <c r="E800" s="32"/>
      <c r="G800" s="31">
        <v>758</v>
      </c>
      <c r="H800" s="30" t="str">
        <f t="shared" si="36"/>
        <v/>
      </c>
      <c r="I800" s="74" t="str">
        <f t="shared" si="37"/>
        <v/>
      </c>
      <c r="J800" s="32"/>
    </row>
    <row r="801" spans="2:10" ht="15">
      <c r="B801" s="31"/>
      <c r="C801" s="30"/>
      <c r="D801" s="119"/>
      <c r="E801" s="32"/>
      <c r="G801" s="31">
        <v>759</v>
      </c>
      <c r="H801" s="30" t="str">
        <f t="shared" si="36"/>
        <v/>
      </c>
      <c r="I801" s="74" t="str">
        <f t="shared" si="37"/>
        <v/>
      </c>
      <c r="J801" s="32"/>
    </row>
    <row r="802" spans="2:10" ht="15">
      <c r="B802" s="31"/>
      <c r="C802" s="30"/>
      <c r="D802" s="119"/>
      <c r="E802" s="32"/>
      <c r="G802" s="31">
        <v>760</v>
      </c>
      <c r="H802" s="30" t="str">
        <f t="shared" si="36"/>
        <v/>
      </c>
      <c r="I802" s="74" t="str">
        <f t="shared" si="37"/>
        <v/>
      </c>
      <c r="J802" s="32"/>
    </row>
    <row r="803" spans="2:10" ht="15">
      <c r="B803" s="31"/>
      <c r="C803" s="30"/>
      <c r="D803" s="119"/>
      <c r="E803" s="32"/>
      <c r="G803" s="31">
        <v>761</v>
      </c>
      <c r="H803" s="30" t="str">
        <f t="shared" si="36"/>
        <v/>
      </c>
      <c r="I803" s="74" t="str">
        <f t="shared" si="37"/>
        <v/>
      </c>
      <c r="J803" s="32"/>
    </row>
    <row r="804" spans="2:10" ht="15">
      <c r="B804" s="31"/>
      <c r="C804" s="30"/>
      <c r="D804" s="119"/>
      <c r="E804" s="32"/>
      <c r="G804" s="31">
        <v>762</v>
      </c>
      <c r="H804" s="30" t="str">
        <f t="shared" si="36"/>
        <v/>
      </c>
      <c r="I804" s="74" t="str">
        <f t="shared" si="37"/>
        <v/>
      </c>
      <c r="J804" s="32"/>
    </row>
    <row r="805" spans="2:10" ht="15">
      <c r="B805" s="31"/>
      <c r="C805" s="30"/>
      <c r="D805" s="119"/>
      <c r="E805" s="32"/>
      <c r="G805" s="31">
        <v>763</v>
      </c>
      <c r="H805" s="30" t="str">
        <f t="shared" si="36"/>
        <v/>
      </c>
      <c r="I805" s="74" t="str">
        <f t="shared" si="37"/>
        <v/>
      </c>
      <c r="J805" s="32"/>
    </row>
    <row r="806" spans="2:10" ht="15">
      <c r="B806" s="31"/>
      <c r="C806" s="30"/>
      <c r="D806" s="119"/>
      <c r="E806" s="32"/>
      <c r="G806" s="31">
        <v>764</v>
      </c>
      <c r="H806" s="30" t="str">
        <f t="shared" si="36"/>
        <v/>
      </c>
      <c r="I806" s="74" t="str">
        <f t="shared" si="37"/>
        <v/>
      </c>
      <c r="J806" s="32"/>
    </row>
    <row r="807" spans="2:10" ht="15">
      <c r="B807" s="31"/>
      <c r="C807" s="30"/>
      <c r="D807" s="119"/>
      <c r="E807" s="32"/>
      <c r="G807" s="31">
        <v>765</v>
      </c>
      <c r="H807" s="30" t="str">
        <f t="shared" si="36"/>
        <v/>
      </c>
      <c r="I807" s="74" t="str">
        <f t="shared" si="37"/>
        <v/>
      </c>
      <c r="J807" s="32"/>
    </row>
    <row r="808" spans="2:10" ht="15">
      <c r="B808" s="31"/>
      <c r="C808" s="30"/>
      <c r="D808" s="119"/>
      <c r="E808" s="32"/>
      <c r="G808" s="31">
        <v>766</v>
      </c>
      <c r="H808" s="30" t="str">
        <f t="shared" si="36"/>
        <v/>
      </c>
      <c r="I808" s="74" t="str">
        <f t="shared" si="37"/>
        <v/>
      </c>
      <c r="J808" s="32"/>
    </row>
    <row r="809" spans="2:10" ht="15">
      <c r="B809" s="31"/>
      <c r="C809" s="30"/>
      <c r="D809" s="119"/>
      <c r="E809" s="32"/>
      <c r="G809" s="31">
        <v>767</v>
      </c>
      <c r="H809" s="30" t="str">
        <f t="shared" si="36"/>
        <v/>
      </c>
      <c r="I809" s="74" t="str">
        <f t="shared" si="37"/>
        <v/>
      </c>
      <c r="J809" s="32"/>
    </row>
    <row r="810" spans="2:10" ht="15">
      <c r="B810" s="31"/>
      <c r="C810" s="30"/>
      <c r="D810" s="119"/>
      <c r="E810" s="32"/>
      <c r="G810" s="31">
        <v>768</v>
      </c>
      <c r="H810" s="30" t="str">
        <f t="shared" si="36"/>
        <v/>
      </c>
      <c r="I810" s="74" t="str">
        <f t="shared" si="37"/>
        <v/>
      </c>
      <c r="J810" s="32"/>
    </row>
    <row r="811" spans="2:10" ht="15">
      <c r="B811" s="31"/>
      <c r="C811" s="30"/>
      <c r="D811" s="119"/>
      <c r="E811" s="32"/>
      <c r="G811" s="31">
        <v>769</v>
      </c>
      <c r="H811" s="30" t="str">
        <f t="shared" si="36"/>
        <v/>
      </c>
      <c r="I811" s="74" t="str">
        <f t="shared" si="37"/>
        <v/>
      </c>
      <c r="J811" s="32"/>
    </row>
    <row r="812" spans="2:10" ht="15">
      <c r="B812" s="31"/>
      <c r="C812" s="30"/>
      <c r="D812" s="119"/>
      <c r="E812" s="32"/>
      <c r="G812" s="31">
        <v>770</v>
      </c>
      <c r="H812" s="30" t="str">
        <f t="shared" ref="H812:H875" si="38">MID($I$41,G812*8-7,8)</f>
        <v/>
      </c>
      <c r="I812" s="74" t="str">
        <f t="shared" ref="I812:I875" si="39">IFERROR(BIN2DEC(VALUE(H812)),"")</f>
        <v/>
      </c>
      <c r="J812" s="32"/>
    </row>
    <row r="813" spans="2:10" ht="15">
      <c r="B813" s="31"/>
      <c r="C813" s="30"/>
      <c r="D813" s="119"/>
      <c r="E813" s="32"/>
      <c r="G813" s="31">
        <v>771</v>
      </c>
      <c r="H813" s="30" t="str">
        <f t="shared" si="38"/>
        <v/>
      </c>
      <c r="I813" s="74" t="str">
        <f t="shared" si="39"/>
        <v/>
      </c>
      <c r="J813" s="32"/>
    </row>
    <row r="814" spans="2:10" ht="15">
      <c r="B814" s="31"/>
      <c r="C814" s="30"/>
      <c r="D814" s="119"/>
      <c r="E814" s="32"/>
      <c r="G814" s="31">
        <v>772</v>
      </c>
      <c r="H814" s="30" t="str">
        <f t="shared" si="38"/>
        <v/>
      </c>
      <c r="I814" s="74" t="str">
        <f t="shared" si="39"/>
        <v/>
      </c>
      <c r="J814" s="32"/>
    </row>
    <row r="815" spans="2:10" ht="15">
      <c r="B815" s="31"/>
      <c r="C815" s="30"/>
      <c r="D815" s="119"/>
      <c r="E815" s="32"/>
      <c r="G815" s="31">
        <v>773</v>
      </c>
      <c r="H815" s="30" t="str">
        <f t="shared" si="38"/>
        <v/>
      </c>
      <c r="I815" s="74" t="str">
        <f t="shared" si="39"/>
        <v/>
      </c>
      <c r="J815" s="32"/>
    </row>
    <row r="816" spans="2:10" ht="15">
      <c r="B816" s="31"/>
      <c r="C816" s="30"/>
      <c r="D816" s="119"/>
      <c r="E816" s="32"/>
      <c r="G816" s="31">
        <v>774</v>
      </c>
      <c r="H816" s="30" t="str">
        <f t="shared" si="38"/>
        <v/>
      </c>
      <c r="I816" s="74" t="str">
        <f t="shared" si="39"/>
        <v/>
      </c>
      <c r="J816" s="32"/>
    </row>
    <row r="817" spans="2:10" ht="15">
      <c r="B817" s="31"/>
      <c r="C817" s="30"/>
      <c r="D817" s="119"/>
      <c r="E817" s="32"/>
      <c r="G817" s="31">
        <v>775</v>
      </c>
      <c r="H817" s="30" t="str">
        <f t="shared" si="38"/>
        <v/>
      </c>
      <c r="I817" s="74" t="str">
        <f t="shared" si="39"/>
        <v/>
      </c>
      <c r="J817" s="32"/>
    </row>
    <row r="818" spans="2:10" ht="15">
      <c r="B818" s="31"/>
      <c r="C818" s="30"/>
      <c r="D818" s="119"/>
      <c r="E818" s="32"/>
      <c r="G818" s="31">
        <v>776</v>
      </c>
      <c r="H818" s="30" t="str">
        <f t="shared" si="38"/>
        <v/>
      </c>
      <c r="I818" s="74" t="str">
        <f t="shared" si="39"/>
        <v/>
      </c>
      <c r="J818" s="32"/>
    </row>
    <row r="819" spans="2:10" ht="15">
      <c r="B819" s="31"/>
      <c r="C819" s="30"/>
      <c r="D819" s="119"/>
      <c r="E819" s="32"/>
      <c r="G819" s="31">
        <v>777</v>
      </c>
      <c r="H819" s="30" t="str">
        <f t="shared" si="38"/>
        <v/>
      </c>
      <c r="I819" s="74" t="str">
        <f t="shared" si="39"/>
        <v/>
      </c>
      <c r="J819" s="32"/>
    </row>
    <row r="820" spans="2:10" ht="15">
      <c r="B820" s="31"/>
      <c r="C820" s="30"/>
      <c r="D820" s="119"/>
      <c r="E820" s="32"/>
      <c r="G820" s="31">
        <v>778</v>
      </c>
      <c r="H820" s="30" t="str">
        <f t="shared" si="38"/>
        <v/>
      </c>
      <c r="I820" s="74" t="str">
        <f t="shared" si="39"/>
        <v/>
      </c>
      <c r="J820" s="32"/>
    </row>
    <row r="821" spans="2:10" ht="15">
      <c r="B821" s="31"/>
      <c r="C821" s="30"/>
      <c r="D821" s="119"/>
      <c r="E821" s="32"/>
      <c r="G821" s="31">
        <v>779</v>
      </c>
      <c r="H821" s="30" t="str">
        <f t="shared" si="38"/>
        <v/>
      </c>
      <c r="I821" s="74" t="str">
        <f t="shared" si="39"/>
        <v/>
      </c>
      <c r="J821" s="32"/>
    </row>
    <row r="822" spans="2:10" ht="15">
      <c r="B822" s="31"/>
      <c r="C822" s="30"/>
      <c r="D822" s="119"/>
      <c r="E822" s="32"/>
      <c r="G822" s="31">
        <v>780</v>
      </c>
      <c r="H822" s="30" t="str">
        <f t="shared" si="38"/>
        <v/>
      </c>
      <c r="I822" s="74" t="str">
        <f t="shared" si="39"/>
        <v/>
      </c>
      <c r="J822" s="32"/>
    </row>
    <row r="823" spans="2:10" ht="15">
      <c r="B823" s="31"/>
      <c r="C823" s="30"/>
      <c r="D823" s="119"/>
      <c r="E823" s="32"/>
      <c r="G823" s="31">
        <v>781</v>
      </c>
      <c r="H823" s="30" t="str">
        <f t="shared" si="38"/>
        <v/>
      </c>
      <c r="I823" s="74" t="str">
        <f t="shared" si="39"/>
        <v/>
      </c>
      <c r="J823" s="32"/>
    </row>
    <row r="824" spans="2:10" ht="15">
      <c r="B824" s="31"/>
      <c r="C824" s="30"/>
      <c r="D824" s="119"/>
      <c r="E824" s="32"/>
      <c r="G824" s="31">
        <v>782</v>
      </c>
      <c r="H824" s="30" t="str">
        <f t="shared" si="38"/>
        <v/>
      </c>
      <c r="I824" s="74" t="str">
        <f t="shared" si="39"/>
        <v/>
      </c>
      <c r="J824" s="32"/>
    </row>
    <row r="825" spans="2:10" ht="15">
      <c r="B825" s="31"/>
      <c r="C825" s="30"/>
      <c r="D825" s="119"/>
      <c r="E825" s="32"/>
      <c r="G825" s="31">
        <v>783</v>
      </c>
      <c r="H825" s="30" t="str">
        <f t="shared" si="38"/>
        <v/>
      </c>
      <c r="I825" s="74" t="str">
        <f t="shared" si="39"/>
        <v/>
      </c>
      <c r="J825" s="32"/>
    </row>
    <row r="826" spans="2:10" ht="15">
      <c r="B826" s="31"/>
      <c r="C826" s="30"/>
      <c r="D826" s="119"/>
      <c r="E826" s="32"/>
      <c r="G826" s="31">
        <v>784</v>
      </c>
      <c r="H826" s="30" t="str">
        <f t="shared" si="38"/>
        <v/>
      </c>
      <c r="I826" s="74" t="str">
        <f t="shared" si="39"/>
        <v/>
      </c>
      <c r="J826" s="32"/>
    </row>
    <row r="827" spans="2:10" ht="15">
      <c r="B827" s="31"/>
      <c r="C827" s="30"/>
      <c r="D827" s="119"/>
      <c r="E827" s="32"/>
      <c r="G827" s="31">
        <v>785</v>
      </c>
      <c r="H827" s="30" t="str">
        <f t="shared" si="38"/>
        <v/>
      </c>
      <c r="I827" s="74" t="str">
        <f t="shared" si="39"/>
        <v/>
      </c>
      <c r="J827" s="32"/>
    </row>
    <row r="828" spans="2:10" ht="15">
      <c r="B828" s="31"/>
      <c r="C828" s="30"/>
      <c r="D828" s="119"/>
      <c r="E828" s="32"/>
      <c r="G828" s="31">
        <v>786</v>
      </c>
      <c r="H828" s="30" t="str">
        <f t="shared" si="38"/>
        <v/>
      </c>
      <c r="I828" s="74" t="str">
        <f t="shared" si="39"/>
        <v/>
      </c>
      <c r="J828" s="32"/>
    </row>
    <row r="829" spans="2:10" ht="15">
      <c r="B829" s="31"/>
      <c r="C829" s="30"/>
      <c r="D829" s="119"/>
      <c r="E829" s="32"/>
      <c r="G829" s="31">
        <v>787</v>
      </c>
      <c r="H829" s="30" t="str">
        <f t="shared" si="38"/>
        <v/>
      </c>
      <c r="I829" s="74" t="str">
        <f t="shared" si="39"/>
        <v/>
      </c>
      <c r="J829" s="32"/>
    </row>
    <row r="830" spans="2:10" ht="15">
      <c r="B830" s="31"/>
      <c r="C830" s="30"/>
      <c r="D830" s="119"/>
      <c r="E830" s="32"/>
      <c r="G830" s="31">
        <v>788</v>
      </c>
      <c r="H830" s="30" t="str">
        <f t="shared" si="38"/>
        <v/>
      </c>
      <c r="I830" s="74" t="str">
        <f t="shared" si="39"/>
        <v/>
      </c>
      <c r="J830" s="32"/>
    </row>
    <row r="831" spans="2:10" ht="15">
      <c r="B831" s="31"/>
      <c r="C831" s="30"/>
      <c r="D831" s="119"/>
      <c r="E831" s="32"/>
      <c r="G831" s="31">
        <v>789</v>
      </c>
      <c r="H831" s="30" t="str">
        <f t="shared" si="38"/>
        <v/>
      </c>
      <c r="I831" s="74" t="str">
        <f t="shared" si="39"/>
        <v/>
      </c>
      <c r="J831" s="32"/>
    </row>
    <row r="832" spans="2:10" ht="15">
      <c r="B832" s="31"/>
      <c r="C832" s="30"/>
      <c r="D832" s="119"/>
      <c r="E832" s="32"/>
      <c r="G832" s="31">
        <v>790</v>
      </c>
      <c r="H832" s="30" t="str">
        <f t="shared" si="38"/>
        <v/>
      </c>
      <c r="I832" s="74" t="str">
        <f t="shared" si="39"/>
        <v/>
      </c>
      <c r="J832" s="32"/>
    </row>
    <row r="833" spans="2:10" ht="15">
      <c r="B833" s="31"/>
      <c r="C833" s="30"/>
      <c r="D833" s="119"/>
      <c r="E833" s="32"/>
      <c r="G833" s="31">
        <v>791</v>
      </c>
      <c r="H833" s="30" t="str">
        <f t="shared" si="38"/>
        <v/>
      </c>
      <c r="I833" s="74" t="str">
        <f t="shared" si="39"/>
        <v/>
      </c>
      <c r="J833" s="32"/>
    </row>
    <row r="834" spans="2:10" ht="15">
      <c r="B834" s="31"/>
      <c r="C834" s="30"/>
      <c r="D834" s="119"/>
      <c r="E834" s="32"/>
      <c r="G834" s="31">
        <v>792</v>
      </c>
      <c r="H834" s="30" t="str">
        <f t="shared" si="38"/>
        <v/>
      </c>
      <c r="I834" s="74" t="str">
        <f t="shared" si="39"/>
        <v/>
      </c>
      <c r="J834" s="32"/>
    </row>
    <row r="835" spans="2:10" ht="15">
      <c r="B835" s="31"/>
      <c r="C835" s="30"/>
      <c r="D835" s="119"/>
      <c r="E835" s="32"/>
      <c r="G835" s="31">
        <v>793</v>
      </c>
      <c r="H835" s="30" t="str">
        <f t="shared" si="38"/>
        <v/>
      </c>
      <c r="I835" s="74" t="str">
        <f t="shared" si="39"/>
        <v/>
      </c>
      <c r="J835" s="32"/>
    </row>
    <row r="836" spans="2:10" ht="15">
      <c r="B836" s="31"/>
      <c r="C836" s="30"/>
      <c r="D836" s="119"/>
      <c r="E836" s="32"/>
      <c r="G836" s="31">
        <v>794</v>
      </c>
      <c r="H836" s="30" t="str">
        <f t="shared" si="38"/>
        <v/>
      </c>
      <c r="I836" s="74" t="str">
        <f t="shared" si="39"/>
        <v/>
      </c>
      <c r="J836" s="32"/>
    </row>
    <row r="837" spans="2:10" ht="15">
      <c r="B837" s="31"/>
      <c r="C837" s="30"/>
      <c r="D837" s="119"/>
      <c r="E837" s="32"/>
      <c r="G837" s="31">
        <v>795</v>
      </c>
      <c r="H837" s="30" t="str">
        <f t="shared" si="38"/>
        <v/>
      </c>
      <c r="I837" s="74" t="str">
        <f t="shared" si="39"/>
        <v/>
      </c>
      <c r="J837" s="32"/>
    </row>
    <row r="838" spans="2:10" ht="15">
      <c r="B838" s="31"/>
      <c r="C838" s="30"/>
      <c r="D838" s="119"/>
      <c r="E838" s="32"/>
      <c r="G838" s="31">
        <v>796</v>
      </c>
      <c r="H838" s="30" t="str">
        <f t="shared" si="38"/>
        <v/>
      </c>
      <c r="I838" s="74" t="str">
        <f t="shared" si="39"/>
        <v/>
      </c>
      <c r="J838" s="32"/>
    </row>
    <row r="839" spans="2:10" ht="15">
      <c r="B839" s="31"/>
      <c r="C839" s="30"/>
      <c r="D839" s="119"/>
      <c r="E839" s="32"/>
      <c r="G839" s="31">
        <v>797</v>
      </c>
      <c r="H839" s="30" t="str">
        <f t="shared" si="38"/>
        <v/>
      </c>
      <c r="I839" s="74" t="str">
        <f t="shared" si="39"/>
        <v/>
      </c>
      <c r="J839" s="32"/>
    </row>
    <row r="840" spans="2:10" ht="15">
      <c r="B840" s="31"/>
      <c r="C840" s="30"/>
      <c r="D840" s="119"/>
      <c r="E840" s="32"/>
      <c r="G840" s="31">
        <v>798</v>
      </c>
      <c r="H840" s="30" t="str">
        <f t="shared" si="38"/>
        <v/>
      </c>
      <c r="I840" s="74" t="str">
        <f t="shared" si="39"/>
        <v/>
      </c>
      <c r="J840" s="32"/>
    </row>
    <row r="841" spans="2:10" ht="15">
      <c r="B841" s="31"/>
      <c r="C841" s="30"/>
      <c r="D841" s="119"/>
      <c r="E841" s="32"/>
      <c r="G841" s="31">
        <v>799</v>
      </c>
      <c r="H841" s="30" t="str">
        <f t="shared" si="38"/>
        <v/>
      </c>
      <c r="I841" s="74" t="str">
        <f t="shared" si="39"/>
        <v/>
      </c>
      <c r="J841" s="32"/>
    </row>
    <row r="842" spans="2:10" ht="15">
      <c r="B842" s="31"/>
      <c r="C842" s="30"/>
      <c r="D842" s="119"/>
      <c r="E842" s="32"/>
      <c r="G842" s="31">
        <v>800</v>
      </c>
      <c r="H842" s="30" t="str">
        <f t="shared" si="38"/>
        <v/>
      </c>
      <c r="I842" s="74" t="str">
        <f t="shared" si="39"/>
        <v/>
      </c>
      <c r="J842" s="32"/>
    </row>
    <row r="843" spans="2:10" ht="15">
      <c r="B843" s="31"/>
      <c r="C843" s="30"/>
      <c r="D843" s="119"/>
      <c r="E843" s="32"/>
      <c r="G843" s="31">
        <v>801</v>
      </c>
      <c r="H843" s="30" t="str">
        <f t="shared" si="38"/>
        <v/>
      </c>
      <c r="I843" s="74" t="str">
        <f t="shared" si="39"/>
        <v/>
      </c>
      <c r="J843" s="32"/>
    </row>
    <row r="844" spans="2:10" ht="15">
      <c r="B844" s="31"/>
      <c r="C844" s="30"/>
      <c r="D844" s="119"/>
      <c r="E844" s="32"/>
      <c r="G844" s="31">
        <v>802</v>
      </c>
      <c r="H844" s="30" t="str">
        <f t="shared" si="38"/>
        <v/>
      </c>
      <c r="I844" s="74" t="str">
        <f t="shared" si="39"/>
        <v/>
      </c>
      <c r="J844" s="32"/>
    </row>
    <row r="845" spans="2:10" ht="15">
      <c r="B845" s="31"/>
      <c r="C845" s="30"/>
      <c r="D845" s="119"/>
      <c r="E845" s="32"/>
      <c r="G845" s="31">
        <v>803</v>
      </c>
      <c r="H845" s="30" t="str">
        <f t="shared" si="38"/>
        <v/>
      </c>
      <c r="I845" s="74" t="str">
        <f t="shared" si="39"/>
        <v/>
      </c>
      <c r="J845" s="32"/>
    </row>
    <row r="846" spans="2:10" ht="15">
      <c r="B846" s="31"/>
      <c r="C846" s="30"/>
      <c r="D846" s="119"/>
      <c r="E846" s="32"/>
      <c r="G846" s="31">
        <v>804</v>
      </c>
      <c r="H846" s="30" t="str">
        <f t="shared" si="38"/>
        <v/>
      </c>
      <c r="I846" s="74" t="str">
        <f t="shared" si="39"/>
        <v/>
      </c>
      <c r="J846" s="32"/>
    </row>
    <row r="847" spans="2:10" ht="15">
      <c r="B847" s="31"/>
      <c r="C847" s="30"/>
      <c r="D847" s="119"/>
      <c r="E847" s="32"/>
      <c r="G847" s="31">
        <v>805</v>
      </c>
      <c r="H847" s="30" t="str">
        <f t="shared" si="38"/>
        <v/>
      </c>
      <c r="I847" s="74" t="str">
        <f t="shared" si="39"/>
        <v/>
      </c>
      <c r="J847" s="32"/>
    </row>
    <row r="848" spans="2:10" ht="15">
      <c r="B848" s="31"/>
      <c r="C848" s="30"/>
      <c r="D848" s="119"/>
      <c r="E848" s="32"/>
      <c r="G848" s="31">
        <v>806</v>
      </c>
      <c r="H848" s="30" t="str">
        <f t="shared" si="38"/>
        <v/>
      </c>
      <c r="I848" s="74" t="str">
        <f t="shared" si="39"/>
        <v/>
      </c>
      <c r="J848" s="32"/>
    </row>
    <row r="849" spans="2:10" ht="15">
      <c r="B849" s="31"/>
      <c r="C849" s="30"/>
      <c r="D849" s="119"/>
      <c r="E849" s="32"/>
      <c r="G849" s="31">
        <v>807</v>
      </c>
      <c r="H849" s="30" t="str">
        <f t="shared" si="38"/>
        <v/>
      </c>
      <c r="I849" s="74" t="str">
        <f t="shared" si="39"/>
        <v/>
      </c>
      <c r="J849" s="32"/>
    </row>
    <row r="850" spans="2:10" ht="15">
      <c r="B850" s="31"/>
      <c r="C850" s="30"/>
      <c r="D850" s="119"/>
      <c r="E850" s="32"/>
      <c r="G850" s="31">
        <v>808</v>
      </c>
      <c r="H850" s="30" t="str">
        <f t="shared" si="38"/>
        <v/>
      </c>
      <c r="I850" s="74" t="str">
        <f t="shared" si="39"/>
        <v/>
      </c>
      <c r="J850" s="32"/>
    </row>
    <row r="851" spans="2:10" ht="15">
      <c r="B851" s="31"/>
      <c r="C851" s="30"/>
      <c r="D851" s="119"/>
      <c r="E851" s="32"/>
      <c r="G851" s="31">
        <v>809</v>
      </c>
      <c r="H851" s="30" t="str">
        <f t="shared" si="38"/>
        <v/>
      </c>
      <c r="I851" s="74" t="str">
        <f t="shared" si="39"/>
        <v/>
      </c>
      <c r="J851" s="32"/>
    </row>
    <row r="852" spans="2:10" ht="15">
      <c r="B852" s="31"/>
      <c r="C852" s="30"/>
      <c r="D852" s="119"/>
      <c r="E852" s="32"/>
      <c r="G852" s="31">
        <v>810</v>
      </c>
      <c r="H852" s="30" t="str">
        <f t="shared" si="38"/>
        <v/>
      </c>
      <c r="I852" s="74" t="str">
        <f t="shared" si="39"/>
        <v/>
      </c>
      <c r="J852" s="32"/>
    </row>
    <row r="853" spans="2:10" ht="15">
      <c r="B853" s="31"/>
      <c r="C853" s="30"/>
      <c r="D853" s="119"/>
      <c r="E853" s="32"/>
      <c r="G853" s="31">
        <v>811</v>
      </c>
      <c r="H853" s="30" t="str">
        <f t="shared" si="38"/>
        <v/>
      </c>
      <c r="I853" s="74" t="str">
        <f t="shared" si="39"/>
        <v/>
      </c>
      <c r="J853" s="32"/>
    </row>
    <row r="854" spans="2:10" ht="15">
      <c r="B854" s="31"/>
      <c r="C854" s="30"/>
      <c r="D854" s="119"/>
      <c r="E854" s="32"/>
      <c r="G854" s="31">
        <v>812</v>
      </c>
      <c r="H854" s="30" t="str">
        <f t="shared" si="38"/>
        <v/>
      </c>
      <c r="I854" s="74" t="str">
        <f t="shared" si="39"/>
        <v/>
      </c>
      <c r="J854" s="32"/>
    </row>
    <row r="855" spans="2:10" ht="15">
      <c r="B855" s="31"/>
      <c r="C855" s="30"/>
      <c r="D855" s="119"/>
      <c r="E855" s="32"/>
      <c r="G855" s="31">
        <v>813</v>
      </c>
      <c r="H855" s="30" t="str">
        <f t="shared" si="38"/>
        <v/>
      </c>
      <c r="I855" s="74" t="str">
        <f t="shared" si="39"/>
        <v/>
      </c>
      <c r="J855" s="32"/>
    </row>
    <row r="856" spans="2:10" ht="15">
      <c r="B856" s="31"/>
      <c r="C856" s="30"/>
      <c r="D856" s="119"/>
      <c r="E856" s="32"/>
      <c r="G856" s="31">
        <v>814</v>
      </c>
      <c r="H856" s="30" t="str">
        <f t="shared" si="38"/>
        <v/>
      </c>
      <c r="I856" s="74" t="str">
        <f t="shared" si="39"/>
        <v/>
      </c>
      <c r="J856" s="32"/>
    </row>
    <row r="857" spans="2:10" ht="15">
      <c r="B857" s="31"/>
      <c r="C857" s="30"/>
      <c r="D857" s="119"/>
      <c r="E857" s="32"/>
      <c r="G857" s="31">
        <v>815</v>
      </c>
      <c r="H857" s="30" t="str">
        <f t="shared" si="38"/>
        <v/>
      </c>
      <c r="I857" s="74" t="str">
        <f t="shared" si="39"/>
        <v/>
      </c>
      <c r="J857" s="32"/>
    </row>
    <row r="858" spans="2:10" ht="15">
      <c r="B858" s="31"/>
      <c r="C858" s="30"/>
      <c r="D858" s="119"/>
      <c r="E858" s="32"/>
      <c r="G858" s="31">
        <v>816</v>
      </c>
      <c r="H858" s="30" t="str">
        <f t="shared" si="38"/>
        <v/>
      </c>
      <c r="I858" s="74" t="str">
        <f t="shared" si="39"/>
        <v/>
      </c>
      <c r="J858" s="32"/>
    </row>
    <row r="859" spans="2:10" ht="15">
      <c r="B859" s="31"/>
      <c r="C859" s="30"/>
      <c r="D859" s="119"/>
      <c r="E859" s="32"/>
      <c r="G859" s="31">
        <v>817</v>
      </c>
      <c r="H859" s="30" t="str">
        <f t="shared" si="38"/>
        <v/>
      </c>
      <c r="I859" s="74" t="str">
        <f t="shared" si="39"/>
        <v/>
      </c>
      <c r="J859" s="32"/>
    </row>
    <row r="860" spans="2:10" ht="15">
      <c r="B860" s="31"/>
      <c r="C860" s="30"/>
      <c r="D860" s="119"/>
      <c r="E860" s="32"/>
      <c r="G860" s="31">
        <v>818</v>
      </c>
      <c r="H860" s="30" t="str">
        <f t="shared" si="38"/>
        <v/>
      </c>
      <c r="I860" s="74" t="str">
        <f t="shared" si="39"/>
        <v/>
      </c>
      <c r="J860" s="32"/>
    </row>
    <row r="861" spans="2:10" ht="15">
      <c r="B861" s="31"/>
      <c r="C861" s="30"/>
      <c r="D861" s="119"/>
      <c r="E861" s="32"/>
      <c r="G861" s="31">
        <v>819</v>
      </c>
      <c r="H861" s="30" t="str">
        <f t="shared" si="38"/>
        <v/>
      </c>
      <c r="I861" s="74" t="str">
        <f t="shared" si="39"/>
        <v/>
      </c>
      <c r="J861" s="32"/>
    </row>
    <row r="862" spans="2:10" ht="15">
      <c r="B862" s="31"/>
      <c r="C862" s="30"/>
      <c r="D862" s="119"/>
      <c r="E862" s="32"/>
      <c r="G862" s="31">
        <v>820</v>
      </c>
      <c r="H862" s="30" t="str">
        <f t="shared" si="38"/>
        <v/>
      </c>
      <c r="I862" s="74" t="str">
        <f t="shared" si="39"/>
        <v/>
      </c>
      <c r="J862" s="32"/>
    </row>
    <row r="863" spans="2:10" ht="15">
      <c r="B863" s="31"/>
      <c r="C863" s="30"/>
      <c r="D863" s="119"/>
      <c r="E863" s="32"/>
      <c r="G863" s="31">
        <v>821</v>
      </c>
      <c r="H863" s="30" t="str">
        <f t="shared" si="38"/>
        <v/>
      </c>
      <c r="I863" s="74" t="str">
        <f t="shared" si="39"/>
        <v/>
      </c>
      <c r="J863" s="32"/>
    </row>
    <row r="864" spans="2:10" ht="15">
      <c r="B864" s="31"/>
      <c r="C864" s="30"/>
      <c r="D864" s="119"/>
      <c r="E864" s="32"/>
      <c r="G864" s="31">
        <v>822</v>
      </c>
      <c r="H864" s="30" t="str">
        <f t="shared" si="38"/>
        <v/>
      </c>
      <c r="I864" s="74" t="str">
        <f t="shared" si="39"/>
        <v/>
      </c>
      <c r="J864" s="32"/>
    </row>
    <row r="865" spans="2:10" ht="15">
      <c r="B865" s="31"/>
      <c r="C865" s="30"/>
      <c r="D865" s="119"/>
      <c r="E865" s="32"/>
      <c r="G865" s="31">
        <v>823</v>
      </c>
      <c r="H865" s="30" t="str">
        <f t="shared" si="38"/>
        <v/>
      </c>
      <c r="I865" s="74" t="str">
        <f t="shared" si="39"/>
        <v/>
      </c>
      <c r="J865" s="32"/>
    </row>
    <row r="866" spans="2:10" ht="15">
      <c r="B866" s="31"/>
      <c r="C866" s="30"/>
      <c r="D866" s="119"/>
      <c r="E866" s="32"/>
      <c r="G866" s="31">
        <v>824</v>
      </c>
      <c r="H866" s="30" t="str">
        <f t="shared" si="38"/>
        <v/>
      </c>
      <c r="I866" s="74" t="str">
        <f t="shared" si="39"/>
        <v/>
      </c>
      <c r="J866" s="32"/>
    </row>
    <row r="867" spans="2:10" ht="15">
      <c r="B867" s="31"/>
      <c r="C867" s="30"/>
      <c r="D867" s="119"/>
      <c r="E867" s="32"/>
      <c r="G867" s="31">
        <v>825</v>
      </c>
      <c r="H867" s="30" t="str">
        <f t="shared" si="38"/>
        <v/>
      </c>
      <c r="I867" s="74" t="str">
        <f t="shared" si="39"/>
        <v/>
      </c>
      <c r="J867" s="32"/>
    </row>
    <row r="868" spans="2:10" ht="15">
      <c r="B868" s="31"/>
      <c r="C868" s="30"/>
      <c r="D868" s="119"/>
      <c r="E868" s="32"/>
      <c r="G868" s="31">
        <v>826</v>
      </c>
      <c r="H868" s="30" t="str">
        <f t="shared" si="38"/>
        <v/>
      </c>
      <c r="I868" s="74" t="str">
        <f t="shared" si="39"/>
        <v/>
      </c>
      <c r="J868" s="32"/>
    </row>
    <row r="869" spans="2:10" ht="15">
      <c r="B869" s="31"/>
      <c r="C869" s="30"/>
      <c r="D869" s="119"/>
      <c r="E869" s="32"/>
      <c r="G869" s="31">
        <v>827</v>
      </c>
      <c r="H869" s="30" t="str">
        <f t="shared" si="38"/>
        <v/>
      </c>
      <c r="I869" s="74" t="str">
        <f t="shared" si="39"/>
        <v/>
      </c>
      <c r="J869" s="32"/>
    </row>
    <row r="870" spans="2:10" ht="15">
      <c r="B870" s="31"/>
      <c r="C870" s="30"/>
      <c r="D870" s="119"/>
      <c r="E870" s="32"/>
      <c r="G870" s="31">
        <v>828</v>
      </c>
      <c r="H870" s="30" t="str">
        <f t="shared" si="38"/>
        <v/>
      </c>
      <c r="I870" s="74" t="str">
        <f t="shared" si="39"/>
        <v/>
      </c>
      <c r="J870" s="32"/>
    </row>
    <row r="871" spans="2:10" ht="15">
      <c r="B871" s="31"/>
      <c r="C871" s="30"/>
      <c r="D871" s="119"/>
      <c r="E871" s="32"/>
      <c r="G871" s="31">
        <v>829</v>
      </c>
      <c r="H871" s="30" t="str">
        <f t="shared" si="38"/>
        <v/>
      </c>
      <c r="I871" s="74" t="str">
        <f t="shared" si="39"/>
        <v/>
      </c>
      <c r="J871" s="32"/>
    </row>
    <row r="872" spans="2:10" ht="15">
      <c r="B872" s="31"/>
      <c r="C872" s="30"/>
      <c r="D872" s="119"/>
      <c r="E872" s="32"/>
      <c r="G872" s="31">
        <v>830</v>
      </c>
      <c r="H872" s="30" t="str">
        <f t="shared" si="38"/>
        <v/>
      </c>
      <c r="I872" s="74" t="str">
        <f t="shared" si="39"/>
        <v/>
      </c>
      <c r="J872" s="32"/>
    </row>
    <row r="873" spans="2:10" ht="15">
      <c r="B873" s="31"/>
      <c r="C873" s="30"/>
      <c r="D873" s="119"/>
      <c r="E873" s="32"/>
      <c r="G873" s="31">
        <v>831</v>
      </c>
      <c r="H873" s="30" t="str">
        <f t="shared" si="38"/>
        <v/>
      </c>
      <c r="I873" s="74" t="str">
        <f t="shared" si="39"/>
        <v/>
      </c>
      <c r="J873" s="32"/>
    </row>
    <row r="874" spans="2:10" ht="15">
      <c r="B874" s="31"/>
      <c r="C874" s="30"/>
      <c r="D874" s="119"/>
      <c r="E874" s="32"/>
      <c r="G874" s="31">
        <v>832</v>
      </c>
      <c r="H874" s="30" t="str">
        <f t="shared" si="38"/>
        <v/>
      </c>
      <c r="I874" s="74" t="str">
        <f t="shared" si="39"/>
        <v/>
      </c>
      <c r="J874" s="32"/>
    </row>
    <row r="875" spans="2:10" ht="15">
      <c r="B875" s="31"/>
      <c r="C875" s="30"/>
      <c r="D875" s="119"/>
      <c r="E875" s="32"/>
      <c r="G875" s="31">
        <v>833</v>
      </c>
      <c r="H875" s="30" t="str">
        <f t="shared" si="38"/>
        <v/>
      </c>
      <c r="I875" s="74" t="str">
        <f t="shared" si="39"/>
        <v/>
      </c>
      <c r="J875" s="32"/>
    </row>
    <row r="876" spans="2:10" ht="15">
      <c r="B876" s="31"/>
      <c r="C876" s="30"/>
      <c r="D876" s="119"/>
      <c r="E876" s="32"/>
      <c r="G876" s="31">
        <v>834</v>
      </c>
      <c r="H876" s="30" t="str">
        <f t="shared" ref="H876:H939" si="40">MID($I$41,G876*8-7,8)</f>
        <v/>
      </c>
      <c r="I876" s="74" t="str">
        <f t="shared" ref="I876:I939" si="41">IFERROR(BIN2DEC(VALUE(H876)),"")</f>
        <v/>
      </c>
      <c r="J876" s="32"/>
    </row>
    <row r="877" spans="2:10" ht="15">
      <c r="B877" s="31"/>
      <c r="C877" s="30"/>
      <c r="D877" s="119"/>
      <c r="E877" s="32"/>
      <c r="G877" s="31">
        <v>835</v>
      </c>
      <c r="H877" s="30" t="str">
        <f t="shared" si="40"/>
        <v/>
      </c>
      <c r="I877" s="74" t="str">
        <f t="shared" si="41"/>
        <v/>
      </c>
      <c r="J877" s="32"/>
    </row>
    <row r="878" spans="2:10" ht="15">
      <c r="B878" s="31"/>
      <c r="C878" s="30"/>
      <c r="D878" s="119"/>
      <c r="E878" s="32"/>
      <c r="G878" s="31">
        <v>836</v>
      </c>
      <c r="H878" s="30" t="str">
        <f t="shared" si="40"/>
        <v/>
      </c>
      <c r="I878" s="74" t="str">
        <f t="shared" si="41"/>
        <v/>
      </c>
      <c r="J878" s="32"/>
    </row>
    <row r="879" spans="2:10" ht="15">
      <c r="B879" s="31"/>
      <c r="C879" s="30"/>
      <c r="D879" s="119"/>
      <c r="E879" s="32"/>
      <c r="G879" s="31">
        <v>837</v>
      </c>
      <c r="H879" s="30" t="str">
        <f t="shared" si="40"/>
        <v/>
      </c>
      <c r="I879" s="74" t="str">
        <f t="shared" si="41"/>
        <v/>
      </c>
      <c r="J879" s="32"/>
    </row>
    <row r="880" spans="2:10" ht="15">
      <c r="B880" s="31"/>
      <c r="C880" s="30"/>
      <c r="D880" s="119"/>
      <c r="E880" s="32"/>
      <c r="G880" s="31">
        <v>838</v>
      </c>
      <c r="H880" s="30" t="str">
        <f t="shared" si="40"/>
        <v/>
      </c>
      <c r="I880" s="74" t="str">
        <f t="shared" si="41"/>
        <v/>
      </c>
      <c r="J880" s="32"/>
    </row>
    <row r="881" spans="2:10" ht="15">
      <c r="B881" s="31"/>
      <c r="C881" s="30"/>
      <c r="D881" s="119"/>
      <c r="E881" s="32"/>
      <c r="G881" s="31">
        <v>839</v>
      </c>
      <c r="H881" s="30" t="str">
        <f t="shared" si="40"/>
        <v/>
      </c>
      <c r="I881" s="74" t="str">
        <f t="shared" si="41"/>
        <v/>
      </c>
      <c r="J881" s="32"/>
    </row>
    <row r="882" spans="2:10" ht="15">
      <c r="B882" s="31"/>
      <c r="C882" s="30"/>
      <c r="D882" s="119"/>
      <c r="E882" s="32"/>
      <c r="G882" s="31">
        <v>840</v>
      </c>
      <c r="H882" s="30" t="str">
        <f t="shared" si="40"/>
        <v/>
      </c>
      <c r="I882" s="74" t="str">
        <f t="shared" si="41"/>
        <v/>
      </c>
      <c r="J882" s="32"/>
    </row>
    <row r="883" spans="2:10" ht="15">
      <c r="B883" s="31"/>
      <c r="C883" s="30"/>
      <c r="D883" s="119"/>
      <c r="E883" s="32"/>
      <c r="G883" s="31">
        <v>841</v>
      </c>
      <c r="H883" s="30" t="str">
        <f t="shared" si="40"/>
        <v/>
      </c>
      <c r="I883" s="74" t="str">
        <f t="shared" si="41"/>
        <v/>
      </c>
      <c r="J883" s="32"/>
    </row>
    <row r="884" spans="2:10" ht="15">
      <c r="B884" s="31"/>
      <c r="C884" s="30"/>
      <c r="D884" s="119"/>
      <c r="E884" s="32"/>
      <c r="G884" s="31">
        <v>842</v>
      </c>
      <c r="H884" s="30" t="str">
        <f t="shared" si="40"/>
        <v/>
      </c>
      <c r="I884" s="74" t="str">
        <f t="shared" si="41"/>
        <v/>
      </c>
      <c r="J884" s="32"/>
    </row>
    <row r="885" spans="2:10" ht="15">
      <c r="B885" s="31"/>
      <c r="C885" s="30"/>
      <c r="D885" s="119"/>
      <c r="E885" s="32"/>
      <c r="G885" s="31">
        <v>843</v>
      </c>
      <c r="H885" s="30" t="str">
        <f t="shared" si="40"/>
        <v/>
      </c>
      <c r="I885" s="74" t="str">
        <f t="shared" si="41"/>
        <v/>
      </c>
      <c r="J885" s="32"/>
    </row>
    <row r="886" spans="2:10" ht="15">
      <c r="B886" s="31"/>
      <c r="C886" s="30"/>
      <c r="D886" s="119"/>
      <c r="E886" s="32"/>
      <c r="G886" s="31">
        <v>844</v>
      </c>
      <c r="H886" s="30" t="str">
        <f t="shared" si="40"/>
        <v/>
      </c>
      <c r="I886" s="74" t="str">
        <f t="shared" si="41"/>
        <v/>
      </c>
      <c r="J886" s="32"/>
    </row>
    <row r="887" spans="2:10" ht="15">
      <c r="B887" s="31"/>
      <c r="C887" s="30"/>
      <c r="D887" s="119"/>
      <c r="E887" s="32"/>
      <c r="G887" s="31">
        <v>845</v>
      </c>
      <c r="H887" s="30" t="str">
        <f t="shared" si="40"/>
        <v/>
      </c>
      <c r="I887" s="74" t="str">
        <f t="shared" si="41"/>
        <v/>
      </c>
      <c r="J887" s="32"/>
    </row>
    <row r="888" spans="2:10" ht="15">
      <c r="B888" s="31"/>
      <c r="C888" s="30"/>
      <c r="D888" s="119"/>
      <c r="E888" s="32"/>
      <c r="G888" s="31">
        <v>846</v>
      </c>
      <c r="H888" s="30" t="str">
        <f t="shared" si="40"/>
        <v/>
      </c>
      <c r="I888" s="74" t="str">
        <f t="shared" si="41"/>
        <v/>
      </c>
      <c r="J888" s="32"/>
    </row>
    <row r="889" spans="2:10" ht="15">
      <c r="B889" s="31"/>
      <c r="C889" s="30"/>
      <c r="D889" s="119"/>
      <c r="E889" s="32"/>
      <c r="G889" s="31">
        <v>847</v>
      </c>
      <c r="H889" s="30" t="str">
        <f t="shared" si="40"/>
        <v/>
      </c>
      <c r="I889" s="74" t="str">
        <f t="shared" si="41"/>
        <v/>
      </c>
      <c r="J889" s="32"/>
    </row>
    <row r="890" spans="2:10" ht="15">
      <c r="B890" s="31"/>
      <c r="C890" s="30"/>
      <c r="D890" s="119"/>
      <c r="E890" s="32"/>
      <c r="G890" s="31">
        <v>848</v>
      </c>
      <c r="H890" s="30" t="str">
        <f t="shared" si="40"/>
        <v/>
      </c>
      <c r="I890" s="74" t="str">
        <f t="shared" si="41"/>
        <v/>
      </c>
      <c r="J890" s="32"/>
    </row>
    <row r="891" spans="2:10" ht="15">
      <c r="B891" s="31"/>
      <c r="C891" s="30"/>
      <c r="D891" s="119"/>
      <c r="E891" s="32"/>
      <c r="G891" s="31">
        <v>849</v>
      </c>
      <c r="H891" s="30" t="str">
        <f t="shared" si="40"/>
        <v/>
      </c>
      <c r="I891" s="74" t="str">
        <f t="shared" si="41"/>
        <v/>
      </c>
      <c r="J891" s="32"/>
    </row>
    <row r="892" spans="2:10" ht="15">
      <c r="B892" s="31"/>
      <c r="C892" s="30"/>
      <c r="D892" s="119"/>
      <c r="E892" s="32"/>
      <c r="G892" s="31">
        <v>850</v>
      </c>
      <c r="H892" s="30" t="str">
        <f t="shared" si="40"/>
        <v/>
      </c>
      <c r="I892" s="74" t="str">
        <f t="shared" si="41"/>
        <v/>
      </c>
      <c r="J892" s="32"/>
    </row>
    <row r="893" spans="2:10" ht="15">
      <c r="B893" s="31"/>
      <c r="C893" s="30"/>
      <c r="D893" s="119"/>
      <c r="E893" s="32"/>
      <c r="G893" s="31">
        <v>851</v>
      </c>
      <c r="H893" s="30" t="str">
        <f t="shared" si="40"/>
        <v/>
      </c>
      <c r="I893" s="74" t="str">
        <f t="shared" si="41"/>
        <v/>
      </c>
      <c r="J893" s="32"/>
    </row>
    <row r="894" spans="2:10" ht="15">
      <c r="B894" s="31"/>
      <c r="C894" s="30"/>
      <c r="D894" s="119"/>
      <c r="E894" s="32"/>
      <c r="G894" s="31">
        <v>852</v>
      </c>
      <c r="H894" s="30" t="str">
        <f t="shared" si="40"/>
        <v/>
      </c>
      <c r="I894" s="74" t="str">
        <f t="shared" si="41"/>
        <v/>
      </c>
      <c r="J894" s="32"/>
    </row>
    <row r="895" spans="2:10" ht="15">
      <c r="B895" s="31"/>
      <c r="C895" s="30"/>
      <c r="D895" s="119"/>
      <c r="E895" s="32"/>
      <c r="G895" s="31">
        <v>853</v>
      </c>
      <c r="H895" s="30" t="str">
        <f t="shared" si="40"/>
        <v/>
      </c>
      <c r="I895" s="74" t="str">
        <f t="shared" si="41"/>
        <v/>
      </c>
      <c r="J895" s="32"/>
    </row>
    <row r="896" spans="2:10" ht="15">
      <c r="B896" s="31"/>
      <c r="C896" s="30"/>
      <c r="D896" s="119"/>
      <c r="E896" s="32"/>
      <c r="G896" s="31">
        <v>854</v>
      </c>
      <c r="H896" s="30" t="str">
        <f t="shared" si="40"/>
        <v/>
      </c>
      <c r="I896" s="74" t="str">
        <f t="shared" si="41"/>
        <v/>
      </c>
      <c r="J896" s="32"/>
    </row>
    <row r="897" spans="2:10" ht="15">
      <c r="B897" s="31"/>
      <c r="C897" s="30"/>
      <c r="D897" s="119"/>
      <c r="E897" s="32"/>
      <c r="G897" s="31">
        <v>855</v>
      </c>
      <c r="H897" s="30" t="str">
        <f t="shared" si="40"/>
        <v/>
      </c>
      <c r="I897" s="74" t="str">
        <f t="shared" si="41"/>
        <v/>
      </c>
      <c r="J897" s="32"/>
    </row>
    <row r="898" spans="2:10" ht="15">
      <c r="B898" s="31"/>
      <c r="C898" s="30"/>
      <c r="D898" s="119"/>
      <c r="E898" s="32"/>
      <c r="G898" s="31">
        <v>856</v>
      </c>
      <c r="H898" s="30" t="str">
        <f t="shared" si="40"/>
        <v/>
      </c>
      <c r="I898" s="74" t="str">
        <f t="shared" si="41"/>
        <v/>
      </c>
      <c r="J898" s="32"/>
    </row>
    <row r="899" spans="2:10" ht="15">
      <c r="B899" s="31"/>
      <c r="C899" s="30"/>
      <c r="D899" s="119"/>
      <c r="E899" s="32"/>
      <c r="G899" s="31">
        <v>857</v>
      </c>
      <c r="H899" s="30" t="str">
        <f t="shared" si="40"/>
        <v/>
      </c>
      <c r="I899" s="74" t="str">
        <f t="shared" si="41"/>
        <v/>
      </c>
      <c r="J899" s="32"/>
    </row>
    <row r="900" spans="2:10" ht="15">
      <c r="B900" s="31"/>
      <c r="C900" s="30"/>
      <c r="D900" s="119"/>
      <c r="E900" s="32"/>
      <c r="G900" s="31">
        <v>858</v>
      </c>
      <c r="H900" s="30" t="str">
        <f t="shared" si="40"/>
        <v/>
      </c>
      <c r="I900" s="74" t="str">
        <f t="shared" si="41"/>
        <v/>
      </c>
      <c r="J900" s="32"/>
    </row>
    <row r="901" spans="2:10" ht="15">
      <c r="B901" s="31"/>
      <c r="C901" s="30"/>
      <c r="D901" s="119"/>
      <c r="E901" s="32"/>
      <c r="G901" s="31">
        <v>859</v>
      </c>
      <c r="H901" s="30" t="str">
        <f t="shared" si="40"/>
        <v/>
      </c>
      <c r="I901" s="74" t="str">
        <f t="shared" si="41"/>
        <v/>
      </c>
      <c r="J901" s="32"/>
    </row>
    <row r="902" spans="2:10" ht="15">
      <c r="B902" s="31"/>
      <c r="C902" s="30"/>
      <c r="D902" s="119"/>
      <c r="E902" s="32"/>
      <c r="G902" s="31">
        <v>860</v>
      </c>
      <c r="H902" s="30" t="str">
        <f t="shared" si="40"/>
        <v/>
      </c>
      <c r="I902" s="74" t="str">
        <f t="shared" si="41"/>
        <v/>
      </c>
      <c r="J902" s="32"/>
    </row>
    <row r="903" spans="2:10" ht="15">
      <c r="B903" s="31"/>
      <c r="C903" s="30"/>
      <c r="D903" s="119"/>
      <c r="E903" s="32"/>
      <c r="G903" s="31">
        <v>861</v>
      </c>
      <c r="H903" s="30" t="str">
        <f t="shared" si="40"/>
        <v/>
      </c>
      <c r="I903" s="74" t="str">
        <f t="shared" si="41"/>
        <v/>
      </c>
      <c r="J903" s="32"/>
    </row>
    <row r="904" spans="2:10" ht="15">
      <c r="B904" s="31"/>
      <c r="C904" s="30"/>
      <c r="D904" s="119"/>
      <c r="E904" s="32"/>
      <c r="G904" s="31">
        <v>862</v>
      </c>
      <c r="H904" s="30" t="str">
        <f t="shared" si="40"/>
        <v/>
      </c>
      <c r="I904" s="74" t="str">
        <f t="shared" si="41"/>
        <v/>
      </c>
      <c r="J904" s="32"/>
    </row>
    <row r="905" spans="2:10" ht="15">
      <c r="B905" s="31"/>
      <c r="C905" s="30"/>
      <c r="D905" s="119"/>
      <c r="E905" s="32"/>
      <c r="G905" s="31">
        <v>863</v>
      </c>
      <c r="H905" s="30" t="str">
        <f t="shared" si="40"/>
        <v/>
      </c>
      <c r="I905" s="74" t="str">
        <f t="shared" si="41"/>
        <v/>
      </c>
      <c r="J905" s="32"/>
    </row>
    <row r="906" spans="2:10" ht="15">
      <c r="B906" s="31"/>
      <c r="C906" s="30"/>
      <c r="D906" s="119"/>
      <c r="E906" s="32"/>
      <c r="G906" s="31">
        <v>864</v>
      </c>
      <c r="H906" s="30" t="str">
        <f t="shared" si="40"/>
        <v/>
      </c>
      <c r="I906" s="74" t="str">
        <f t="shared" si="41"/>
        <v/>
      </c>
      <c r="J906" s="32"/>
    </row>
    <row r="907" spans="2:10" ht="15">
      <c r="B907" s="31"/>
      <c r="C907" s="30"/>
      <c r="D907" s="119"/>
      <c r="E907" s="32"/>
      <c r="G907" s="31">
        <v>865</v>
      </c>
      <c r="H907" s="30" t="str">
        <f t="shared" si="40"/>
        <v/>
      </c>
      <c r="I907" s="74" t="str">
        <f t="shared" si="41"/>
        <v/>
      </c>
      <c r="J907" s="32"/>
    </row>
    <row r="908" spans="2:10" ht="15">
      <c r="B908" s="31"/>
      <c r="C908" s="30"/>
      <c r="D908" s="119"/>
      <c r="E908" s="32"/>
      <c r="G908" s="31">
        <v>866</v>
      </c>
      <c r="H908" s="30" t="str">
        <f t="shared" si="40"/>
        <v/>
      </c>
      <c r="I908" s="74" t="str">
        <f t="shared" si="41"/>
        <v/>
      </c>
      <c r="J908" s="32"/>
    </row>
    <row r="909" spans="2:10" ht="15">
      <c r="B909" s="31"/>
      <c r="C909" s="30"/>
      <c r="D909" s="119"/>
      <c r="E909" s="32"/>
      <c r="G909" s="31">
        <v>867</v>
      </c>
      <c r="H909" s="30" t="str">
        <f t="shared" si="40"/>
        <v/>
      </c>
      <c r="I909" s="74" t="str">
        <f t="shared" si="41"/>
        <v/>
      </c>
      <c r="J909" s="32"/>
    </row>
    <row r="910" spans="2:10" ht="15">
      <c r="B910" s="31"/>
      <c r="C910" s="30"/>
      <c r="D910" s="119"/>
      <c r="E910" s="32"/>
      <c r="G910" s="31">
        <v>868</v>
      </c>
      <c r="H910" s="30" t="str">
        <f t="shared" si="40"/>
        <v/>
      </c>
      <c r="I910" s="74" t="str">
        <f t="shared" si="41"/>
        <v/>
      </c>
      <c r="J910" s="32"/>
    </row>
    <row r="911" spans="2:10" ht="15">
      <c r="B911" s="31"/>
      <c r="C911" s="30"/>
      <c r="D911" s="119"/>
      <c r="E911" s="32"/>
      <c r="G911" s="31">
        <v>869</v>
      </c>
      <c r="H911" s="30" t="str">
        <f t="shared" si="40"/>
        <v/>
      </c>
      <c r="I911" s="74" t="str">
        <f t="shared" si="41"/>
        <v/>
      </c>
      <c r="J911" s="32"/>
    </row>
    <row r="912" spans="2:10" ht="15">
      <c r="B912" s="31"/>
      <c r="C912" s="30"/>
      <c r="D912" s="119"/>
      <c r="E912" s="32"/>
      <c r="G912" s="31">
        <v>870</v>
      </c>
      <c r="H912" s="30" t="str">
        <f t="shared" si="40"/>
        <v/>
      </c>
      <c r="I912" s="74" t="str">
        <f t="shared" si="41"/>
        <v/>
      </c>
      <c r="J912" s="32"/>
    </row>
    <row r="913" spans="2:10" ht="15">
      <c r="B913" s="31"/>
      <c r="C913" s="30"/>
      <c r="D913" s="119"/>
      <c r="E913" s="32"/>
      <c r="G913" s="31">
        <v>871</v>
      </c>
      <c r="H913" s="30" t="str">
        <f t="shared" si="40"/>
        <v/>
      </c>
      <c r="I913" s="74" t="str">
        <f t="shared" si="41"/>
        <v/>
      </c>
      <c r="J913" s="32"/>
    </row>
    <row r="914" spans="2:10" ht="15">
      <c r="B914" s="31"/>
      <c r="C914" s="30"/>
      <c r="D914" s="119"/>
      <c r="E914" s="32"/>
      <c r="G914" s="31">
        <v>872</v>
      </c>
      <c r="H914" s="30" t="str">
        <f t="shared" si="40"/>
        <v/>
      </c>
      <c r="I914" s="74" t="str">
        <f t="shared" si="41"/>
        <v/>
      </c>
      <c r="J914" s="32"/>
    </row>
    <row r="915" spans="2:10" ht="15">
      <c r="B915" s="31"/>
      <c r="C915" s="30"/>
      <c r="D915" s="119"/>
      <c r="E915" s="32"/>
      <c r="G915" s="31">
        <v>873</v>
      </c>
      <c r="H915" s="30" t="str">
        <f t="shared" si="40"/>
        <v/>
      </c>
      <c r="I915" s="74" t="str">
        <f t="shared" si="41"/>
        <v/>
      </c>
      <c r="J915" s="32"/>
    </row>
    <row r="916" spans="2:10" ht="15">
      <c r="B916" s="31"/>
      <c r="C916" s="30"/>
      <c r="D916" s="119"/>
      <c r="E916" s="32"/>
      <c r="G916" s="31">
        <v>874</v>
      </c>
      <c r="H916" s="30" t="str">
        <f t="shared" si="40"/>
        <v/>
      </c>
      <c r="I916" s="74" t="str">
        <f t="shared" si="41"/>
        <v/>
      </c>
      <c r="J916" s="32"/>
    </row>
    <row r="917" spans="2:10" ht="15">
      <c r="B917" s="31"/>
      <c r="C917" s="30"/>
      <c r="D917" s="119"/>
      <c r="E917" s="32"/>
      <c r="G917" s="31">
        <v>875</v>
      </c>
      <c r="H917" s="30" t="str">
        <f t="shared" si="40"/>
        <v/>
      </c>
      <c r="I917" s="74" t="str">
        <f t="shared" si="41"/>
        <v/>
      </c>
      <c r="J917" s="32"/>
    </row>
    <row r="918" spans="2:10" ht="15">
      <c r="B918" s="31"/>
      <c r="C918" s="30"/>
      <c r="D918" s="119"/>
      <c r="E918" s="32"/>
      <c r="G918" s="31">
        <v>876</v>
      </c>
      <c r="H918" s="30" t="str">
        <f t="shared" si="40"/>
        <v/>
      </c>
      <c r="I918" s="74" t="str">
        <f t="shared" si="41"/>
        <v/>
      </c>
      <c r="J918" s="32"/>
    </row>
    <row r="919" spans="2:10" ht="15">
      <c r="B919" s="31"/>
      <c r="C919" s="30"/>
      <c r="D919" s="119"/>
      <c r="E919" s="32"/>
      <c r="G919" s="31">
        <v>877</v>
      </c>
      <c r="H919" s="30" t="str">
        <f t="shared" si="40"/>
        <v/>
      </c>
      <c r="I919" s="74" t="str">
        <f t="shared" si="41"/>
        <v/>
      </c>
      <c r="J919" s="32"/>
    </row>
    <row r="920" spans="2:10" ht="15">
      <c r="B920" s="31"/>
      <c r="C920" s="30"/>
      <c r="D920" s="119"/>
      <c r="E920" s="32"/>
      <c r="G920" s="31">
        <v>878</v>
      </c>
      <c r="H920" s="30" t="str">
        <f t="shared" si="40"/>
        <v/>
      </c>
      <c r="I920" s="74" t="str">
        <f t="shared" si="41"/>
        <v/>
      </c>
      <c r="J920" s="32"/>
    </row>
    <row r="921" spans="2:10" ht="15">
      <c r="B921" s="31"/>
      <c r="C921" s="30"/>
      <c r="D921" s="119"/>
      <c r="E921" s="32"/>
      <c r="G921" s="31">
        <v>879</v>
      </c>
      <c r="H921" s="30" t="str">
        <f t="shared" si="40"/>
        <v/>
      </c>
      <c r="I921" s="74" t="str">
        <f t="shared" si="41"/>
        <v/>
      </c>
      <c r="J921" s="32"/>
    </row>
    <row r="922" spans="2:10" ht="15">
      <c r="B922" s="31"/>
      <c r="C922" s="30"/>
      <c r="D922" s="119"/>
      <c r="E922" s="32"/>
      <c r="G922" s="31">
        <v>880</v>
      </c>
      <c r="H922" s="30" t="str">
        <f t="shared" si="40"/>
        <v/>
      </c>
      <c r="I922" s="74" t="str">
        <f t="shared" si="41"/>
        <v/>
      </c>
      <c r="J922" s="32"/>
    </row>
    <row r="923" spans="2:10" ht="15">
      <c r="B923" s="31"/>
      <c r="C923" s="30"/>
      <c r="D923" s="119"/>
      <c r="E923" s="32"/>
      <c r="G923" s="31">
        <v>881</v>
      </c>
      <c r="H923" s="30" t="str">
        <f t="shared" si="40"/>
        <v/>
      </c>
      <c r="I923" s="74" t="str">
        <f t="shared" si="41"/>
        <v/>
      </c>
      <c r="J923" s="32"/>
    </row>
    <row r="924" spans="2:10" ht="15">
      <c r="B924" s="31"/>
      <c r="C924" s="30"/>
      <c r="D924" s="119"/>
      <c r="E924" s="32"/>
      <c r="G924" s="31">
        <v>882</v>
      </c>
      <c r="H924" s="30" t="str">
        <f t="shared" si="40"/>
        <v/>
      </c>
      <c r="I924" s="74" t="str">
        <f t="shared" si="41"/>
        <v/>
      </c>
      <c r="J924" s="32"/>
    </row>
    <row r="925" spans="2:10" ht="15">
      <c r="B925" s="31"/>
      <c r="C925" s="30"/>
      <c r="D925" s="119"/>
      <c r="E925" s="32"/>
      <c r="G925" s="31">
        <v>883</v>
      </c>
      <c r="H925" s="30" t="str">
        <f t="shared" si="40"/>
        <v/>
      </c>
      <c r="I925" s="74" t="str">
        <f t="shared" si="41"/>
        <v/>
      </c>
      <c r="J925" s="32"/>
    </row>
    <row r="926" spans="2:10" ht="15">
      <c r="B926" s="31"/>
      <c r="C926" s="30"/>
      <c r="D926" s="119"/>
      <c r="E926" s="32"/>
      <c r="G926" s="31">
        <v>884</v>
      </c>
      <c r="H926" s="30" t="str">
        <f t="shared" si="40"/>
        <v/>
      </c>
      <c r="I926" s="74" t="str">
        <f t="shared" si="41"/>
        <v/>
      </c>
      <c r="J926" s="32"/>
    </row>
    <row r="927" spans="2:10" ht="15">
      <c r="B927" s="31"/>
      <c r="C927" s="30"/>
      <c r="D927" s="119"/>
      <c r="E927" s="32"/>
      <c r="G927" s="31">
        <v>885</v>
      </c>
      <c r="H927" s="30" t="str">
        <f t="shared" si="40"/>
        <v/>
      </c>
      <c r="I927" s="74" t="str">
        <f t="shared" si="41"/>
        <v/>
      </c>
      <c r="J927" s="32"/>
    </row>
    <row r="928" spans="2:10" ht="15">
      <c r="B928" s="31"/>
      <c r="C928" s="30"/>
      <c r="D928" s="119"/>
      <c r="E928" s="32"/>
      <c r="G928" s="31">
        <v>886</v>
      </c>
      <c r="H928" s="30" t="str">
        <f t="shared" si="40"/>
        <v/>
      </c>
      <c r="I928" s="74" t="str">
        <f t="shared" si="41"/>
        <v/>
      </c>
      <c r="J928" s="32"/>
    </row>
    <row r="929" spans="2:10" ht="15">
      <c r="B929" s="31"/>
      <c r="C929" s="30"/>
      <c r="D929" s="119"/>
      <c r="E929" s="32"/>
      <c r="G929" s="31">
        <v>887</v>
      </c>
      <c r="H929" s="30" t="str">
        <f t="shared" si="40"/>
        <v/>
      </c>
      <c r="I929" s="74" t="str">
        <f t="shared" si="41"/>
        <v/>
      </c>
      <c r="J929" s="32"/>
    </row>
    <row r="930" spans="2:10" ht="15">
      <c r="B930" s="31"/>
      <c r="C930" s="30"/>
      <c r="D930" s="119"/>
      <c r="E930" s="32"/>
      <c r="G930" s="31">
        <v>888</v>
      </c>
      <c r="H930" s="30" t="str">
        <f t="shared" si="40"/>
        <v/>
      </c>
      <c r="I930" s="74" t="str">
        <f t="shared" si="41"/>
        <v/>
      </c>
      <c r="J930" s="32"/>
    </row>
    <row r="931" spans="2:10" ht="15">
      <c r="B931" s="31"/>
      <c r="C931" s="30"/>
      <c r="D931" s="119"/>
      <c r="E931" s="32"/>
      <c r="G931" s="31">
        <v>889</v>
      </c>
      <c r="H931" s="30" t="str">
        <f t="shared" si="40"/>
        <v/>
      </c>
      <c r="I931" s="74" t="str">
        <f t="shared" si="41"/>
        <v/>
      </c>
      <c r="J931" s="32"/>
    </row>
    <row r="932" spans="2:10" ht="15">
      <c r="B932" s="31"/>
      <c r="C932" s="30"/>
      <c r="D932" s="119"/>
      <c r="E932" s="32"/>
      <c r="G932" s="31">
        <v>890</v>
      </c>
      <c r="H932" s="30" t="str">
        <f t="shared" si="40"/>
        <v/>
      </c>
      <c r="I932" s="74" t="str">
        <f t="shared" si="41"/>
        <v/>
      </c>
      <c r="J932" s="32"/>
    </row>
    <row r="933" spans="2:10" ht="15">
      <c r="B933" s="31"/>
      <c r="C933" s="30"/>
      <c r="D933" s="119"/>
      <c r="E933" s="32"/>
      <c r="G933" s="31">
        <v>891</v>
      </c>
      <c r="H933" s="30" t="str">
        <f t="shared" si="40"/>
        <v/>
      </c>
      <c r="I933" s="74" t="str">
        <f t="shared" si="41"/>
        <v/>
      </c>
      <c r="J933" s="32"/>
    </row>
    <row r="934" spans="2:10" ht="15">
      <c r="B934" s="31"/>
      <c r="C934" s="30"/>
      <c r="D934" s="119"/>
      <c r="E934" s="32"/>
      <c r="G934" s="31">
        <v>892</v>
      </c>
      <c r="H934" s="30" t="str">
        <f t="shared" si="40"/>
        <v/>
      </c>
      <c r="I934" s="74" t="str">
        <f t="shared" si="41"/>
        <v/>
      </c>
      <c r="J934" s="32"/>
    </row>
    <row r="935" spans="2:10" ht="15">
      <c r="B935" s="31"/>
      <c r="C935" s="30"/>
      <c r="D935" s="119"/>
      <c r="E935" s="32"/>
      <c r="G935" s="31">
        <v>893</v>
      </c>
      <c r="H935" s="30" t="str">
        <f t="shared" si="40"/>
        <v/>
      </c>
      <c r="I935" s="74" t="str">
        <f t="shared" si="41"/>
        <v/>
      </c>
      <c r="J935" s="32"/>
    </row>
    <row r="936" spans="2:10" ht="15">
      <c r="B936" s="31"/>
      <c r="C936" s="30"/>
      <c r="D936" s="119"/>
      <c r="E936" s="32"/>
      <c r="G936" s="31">
        <v>894</v>
      </c>
      <c r="H936" s="30" t="str">
        <f t="shared" si="40"/>
        <v/>
      </c>
      <c r="I936" s="74" t="str">
        <f t="shared" si="41"/>
        <v/>
      </c>
      <c r="J936" s="32"/>
    </row>
    <row r="937" spans="2:10" ht="15">
      <c r="B937" s="31"/>
      <c r="C937" s="30"/>
      <c r="D937" s="119"/>
      <c r="E937" s="32"/>
      <c r="G937" s="31">
        <v>895</v>
      </c>
      <c r="H937" s="30" t="str">
        <f t="shared" si="40"/>
        <v/>
      </c>
      <c r="I937" s="74" t="str">
        <f t="shared" si="41"/>
        <v/>
      </c>
      <c r="J937" s="32"/>
    </row>
    <row r="938" spans="2:10" ht="15">
      <c r="B938" s="31"/>
      <c r="C938" s="30"/>
      <c r="D938" s="119"/>
      <c r="E938" s="32"/>
      <c r="G938" s="31">
        <v>896</v>
      </c>
      <c r="H938" s="30" t="str">
        <f t="shared" si="40"/>
        <v/>
      </c>
      <c r="I938" s="74" t="str">
        <f t="shared" si="41"/>
        <v/>
      </c>
      <c r="J938" s="32"/>
    </row>
    <row r="939" spans="2:10" ht="15">
      <c r="B939" s="31"/>
      <c r="C939" s="30"/>
      <c r="D939" s="119"/>
      <c r="E939" s="32"/>
      <c r="G939" s="31">
        <v>897</v>
      </c>
      <c r="H939" s="30" t="str">
        <f t="shared" si="40"/>
        <v/>
      </c>
      <c r="I939" s="74" t="str">
        <f t="shared" si="41"/>
        <v/>
      </c>
      <c r="J939" s="32"/>
    </row>
    <row r="940" spans="2:10" ht="15">
      <c r="B940" s="31"/>
      <c r="C940" s="30"/>
      <c r="D940" s="119"/>
      <c r="E940" s="32"/>
      <c r="G940" s="31">
        <v>898</v>
      </c>
      <c r="H940" s="30" t="str">
        <f t="shared" ref="H940:H1003" si="42">MID($I$41,G940*8-7,8)</f>
        <v/>
      </c>
      <c r="I940" s="74" t="str">
        <f t="shared" ref="I940:I1003" si="43">IFERROR(BIN2DEC(VALUE(H940)),"")</f>
        <v/>
      </c>
      <c r="J940" s="32"/>
    </row>
    <row r="941" spans="2:10" ht="15">
      <c r="B941" s="31"/>
      <c r="C941" s="30"/>
      <c r="D941" s="119"/>
      <c r="E941" s="32"/>
      <c r="G941" s="31">
        <v>899</v>
      </c>
      <c r="H941" s="30" t="str">
        <f t="shared" si="42"/>
        <v/>
      </c>
      <c r="I941" s="74" t="str">
        <f t="shared" si="43"/>
        <v/>
      </c>
      <c r="J941" s="32"/>
    </row>
    <row r="942" spans="2:10" ht="15">
      <c r="B942" s="31"/>
      <c r="C942" s="30"/>
      <c r="D942" s="119"/>
      <c r="E942" s="32"/>
      <c r="G942" s="31">
        <v>900</v>
      </c>
      <c r="H942" s="30" t="str">
        <f t="shared" si="42"/>
        <v/>
      </c>
      <c r="I942" s="74" t="str">
        <f t="shared" si="43"/>
        <v/>
      </c>
      <c r="J942" s="32"/>
    </row>
    <row r="943" spans="2:10" ht="15">
      <c r="B943" s="31"/>
      <c r="C943" s="30"/>
      <c r="D943" s="119"/>
      <c r="E943" s="32"/>
      <c r="G943" s="31">
        <v>901</v>
      </c>
      <c r="H943" s="30" t="str">
        <f t="shared" si="42"/>
        <v/>
      </c>
      <c r="I943" s="74" t="str">
        <f t="shared" si="43"/>
        <v/>
      </c>
      <c r="J943" s="32"/>
    </row>
    <row r="944" spans="2:10" ht="15">
      <c r="B944" s="31"/>
      <c r="C944" s="30"/>
      <c r="D944" s="119"/>
      <c r="E944" s="32"/>
      <c r="G944" s="31">
        <v>902</v>
      </c>
      <c r="H944" s="30" t="str">
        <f t="shared" si="42"/>
        <v/>
      </c>
      <c r="I944" s="74" t="str">
        <f t="shared" si="43"/>
        <v/>
      </c>
      <c r="J944" s="32"/>
    </row>
    <row r="945" spans="2:10" ht="15">
      <c r="B945" s="31"/>
      <c r="C945" s="30"/>
      <c r="D945" s="119"/>
      <c r="E945" s="32"/>
      <c r="G945" s="31">
        <v>903</v>
      </c>
      <c r="H945" s="30" t="str">
        <f t="shared" si="42"/>
        <v/>
      </c>
      <c r="I945" s="74" t="str">
        <f t="shared" si="43"/>
        <v/>
      </c>
      <c r="J945" s="32"/>
    </row>
    <row r="946" spans="2:10" ht="15">
      <c r="B946" s="31"/>
      <c r="C946" s="30"/>
      <c r="D946" s="119"/>
      <c r="E946" s="32"/>
      <c r="G946" s="31">
        <v>904</v>
      </c>
      <c r="H946" s="30" t="str">
        <f t="shared" si="42"/>
        <v/>
      </c>
      <c r="I946" s="74" t="str">
        <f t="shared" si="43"/>
        <v/>
      </c>
      <c r="J946" s="32"/>
    </row>
    <row r="947" spans="2:10" ht="15">
      <c r="B947" s="31"/>
      <c r="C947" s="30"/>
      <c r="D947" s="119"/>
      <c r="E947" s="32"/>
      <c r="G947" s="31">
        <v>905</v>
      </c>
      <c r="H947" s="30" t="str">
        <f t="shared" si="42"/>
        <v/>
      </c>
      <c r="I947" s="74" t="str">
        <f t="shared" si="43"/>
        <v/>
      </c>
      <c r="J947" s="32"/>
    </row>
    <row r="948" spans="2:10" ht="15">
      <c r="B948" s="31"/>
      <c r="C948" s="30"/>
      <c r="D948" s="119"/>
      <c r="E948" s="32"/>
      <c r="G948" s="31">
        <v>906</v>
      </c>
      <c r="H948" s="30" t="str">
        <f t="shared" si="42"/>
        <v/>
      </c>
      <c r="I948" s="74" t="str">
        <f t="shared" si="43"/>
        <v/>
      </c>
      <c r="J948" s="32"/>
    </row>
    <row r="949" spans="2:10" ht="15">
      <c r="B949" s="31"/>
      <c r="C949" s="30"/>
      <c r="D949" s="119"/>
      <c r="E949" s="32"/>
      <c r="G949" s="31">
        <v>907</v>
      </c>
      <c r="H949" s="30" t="str">
        <f t="shared" si="42"/>
        <v/>
      </c>
      <c r="I949" s="74" t="str">
        <f t="shared" si="43"/>
        <v/>
      </c>
      <c r="J949" s="32"/>
    </row>
    <row r="950" spans="2:10" ht="15">
      <c r="B950" s="31"/>
      <c r="C950" s="30"/>
      <c r="D950" s="119"/>
      <c r="E950" s="32"/>
      <c r="G950" s="31">
        <v>908</v>
      </c>
      <c r="H950" s="30" t="str">
        <f t="shared" si="42"/>
        <v/>
      </c>
      <c r="I950" s="74" t="str">
        <f t="shared" si="43"/>
        <v/>
      </c>
      <c r="J950" s="32"/>
    </row>
    <row r="951" spans="2:10" ht="15">
      <c r="B951" s="31"/>
      <c r="C951" s="30"/>
      <c r="D951" s="119"/>
      <c r="E951" s="32"/>
      <c r="G951" s="31">
        <v>909</v>
      </c>
      <c r="H951" s="30" t="str">
        <f t="shared" si="42"/>
        <v/>
      </c>
      <c r="I951" s="74" t="str">
        <f t="shared" si="43"/>
        <v/>
      </c>
      <c r="J951" s="32"/>
    </row>
    <row r="952" spans="2:10" ht="15">
      <c r="B952" s="31"/>
      <c r="C952" s="30"/>
      <c r="D952" s="119"/>
      <c r="E952" s="32"/>
      <c r="G952" s="31">
        <v>910</v>
      </c>
      <c r="H952" s="30" t="str">
        <f t="shared" si="42"/>
        <v/>
      </c>
      <c r="I952" s="74" t="str">
        <f t="shared" si="43"/>
        <v/>
      </c>
      <c r="J952" s="32"/>
    </row>
    <row r="953" spans="2:10" ht="15">
      <c r="B953" s="31"/>
      <c r="C953" s="30"/>
      <c r="D953" s="119"/>
      <c r="E953" s="32"/>
      <c r="G953" s="31">
        <v>911</v>
      </c>
      <c r="H953" s="30" t="str">
        <f t="shared" si="42"/>
        <v/>
      </c>
      <c r="I953" s="74" t="str">
        <f t="shared" si="43"/>
        <v/>
      </c>
      <c r="J953" s="32"/>
    </row>
    <row r="954" spans="2:10" ht="15">
      <c r="B954" s="31"/>
      <c r="C954" s="30"/>
      <c r="D954" s="119"/>
      <c r="E954" s="32"/>
      <c r="G954" s="31">
        <v>912</v>
      </c>
      <c r="H954" s="30" t="str">
        <f t="shared" si="42"/>
        <v/>
      </c>
      <c r="I954" s="74" t="str">
        <f t="shared" si="43"/>
        <v/>
      </c>
      <c r="J954" s="32"/>
    </row>
    <row r="955" spans="2:10" ht="15">
      <c r="B955" s="31"/>
      <c r="C955" s="30"/>
      <c r="D955" s="119"/>
      <c r="E955" s="32"/>
      <c r="G955" s="31">
        <v>913</v>
      </c>
      <c r="H955" s="30" t="str">
        <f t="shared" si="42"/>
        <v/>
      </c>
      <c r="I955" s="74" t="str">
        <f t="shared" si="43"/>
        <v/>
      </c>
      <c r="J955" s="32"/>
    </row>
    <row r="956" spans="2:10" ht="15">
      <c r="B956" s="31"/>
      <c r="C956" s="30"/>
      <c r="D956" s="119"/>
      <c r="E956" s="32"/>
      <c r="G956" s="31">
        <v>914</v>
      </c>
      <c r="H956" s="30" t="str">
        <f t="shared" si="42"/>
        <v/>
      </c>
      <c r="I956" s="74" t="str">
        <f t="shared" si="43"/>
        <v/>
      </c>
      <c r="J956" s="32"/>
    </row>
    <row r="957" spans="2:10" ht="15">
      <c r="B957" s="31"/>
      <c r="C957" s="30"/>
      <c r="D957" s="119"/>
      <c r="E957" s="32"/>
      <c r="G957" s="31">
        <v>915</v>
      </c>
      <c r="H957" s="30" t="str">
        <f t="shared" si="42"/>
        <v/>
      </c>
      <c r="I957" s="74" t="str">
        <f t="shared" si="43"/>
        <v/>
      </c>
      <c r="J957" s="32"/>
    </row>
    <row r="958" spans="2:10" ht="15">
      <c r="B958" s="31"/>
      <c r="C958" s="30"/>
      <c r="D958" s="119"/>
      <c r="E958" s="32"/>
      <c r="G958" s="31">
        <v>916</v>
      </c>
      <c r="H958" s="30" t="str">
        <f t="shared" si="42"/>
        <v/>
      </c>
      <c r="I958" s="74" t="str">
        <f t="shared" si="43"/>
        <v/>
      </c>
      <c r="J958" s="32"/>
    </row>
    <row r="959" spans="2:10" ht="15">
      <c r="B959" s="31"/>
      <c r="C959" s="30"/>
      <c r="D959" s="119"/>
      <c r="E959" s="32"/>
      <c r="G959" s="31">
        <v>917</v>
      </c>
      <c r="H959" s="30" t="str">
        <f t="shared" si="42"/>
        <v/>
      </c>
      <c r="I959" s="74" t="str">
        <f t="shared" si="43"/>
        <v/>
      </c>
      <c r="J959" s="32"/>
    </row>
    <row r="960" spans="2:10" ht="15">
      <c r="B960" s="31"/>
      <c r="C960" s="30"/>
      <c r="D960" s="119"/>
      <c r="E960" s="32"/>
      <c r="G960" s="31">
        <v>918</v>
      </c>
      <c r="H960" s="30" t="str">
        <f t="shared" si="42"/>
        <v/>
      </c>
      <c r="I960" s="74" t="str">
        <f t="shared" si="43"/>
        <v/>
      </c>
      <c r="J960" s="32"/>
    </row>
    <row r="961" spans="2:10" ht="15">
      <c r="B961" s="31"/>
      <c r="C961" s="30"/>
      <c r="D961" s="119"/>
      <c r="E961" s="32"/>
      <c r="G961" s="31">
        <v>919</v>
      </c>
      <c r="H961" s="30" t="str">
        <f t="shared" si="42"/>
        <v/>
      </c>
      <c r="I961" s="74" t="str">
        <f t="shared" si="43"/>
        <v/>
      </c>
      <c r="J961" s="32"/>
    </row>
    <row r="962" spans="2:10" ht="15">
      <c r="B962" s="31"/>
      <c r="C962" s="30"/>
      <c r="D962" s="119"/>
      <c r="E962" s="32"/>
      <c r="G962" s="31">
        <v>920</v>
      </c>
      <c r="H962" s="30" t="str">
        <f t="shared" si="42"/>
        <v/>
      </c>
      <c r="I962" s="74" t="str">
        <f t="shared" si="43"/>
        <v/>
      </c>
      <c r="J962" s="32"/>
    </row>
    <row r="963" spans="2:10" ht="15">
      <c r="B963" s="31"/>
      <c r="C963" s="30"/>
      <c r="D963" s="119"/>
      <c r="E963" s="32"/>
      <c r="G963" s="31">
        <v>921</v>
      </c>
      <c r="H963" s="30" t="str">
        <f t="shared" si="42"/>
        <v/>
      </c>
      <c r="I963" s="74" t="str">
        <f t="shared" si="43"/>
        <v/>
      </c>
      <c r="J963" s="32"/>
    </row>
    <row r="964" spans="2:10" ht="15">
      <c r="B964" s="31"/>
      <c r="C964" s="30"/>
      <c r="D964" s="119"/>
      <c r="E964" s="32"/>
      <c r="G964" s="31">
        <v>922</v>
      </c>
      <c r="H964" s="30" t="str">
        <f t="shared" si="42"/>
        <v/>
      </c>
      <c r="I964" s="74" t="str">
        <f t="shared" si="43"/>
        <v/>
      </c>
      <c r="J964" s="32"/>
    </row>
    <row r="965" spans="2:10" ht="15">
      <c r="B965" s="31"/>
      <c r="C965" s="30"/>
      <c r="D965" s="119"/>
      <c r="E965" s="32"/>
      <c r="G965" s="31">
        <v>923</v>
      </c>
      <c r="H965" s="30" t="str">
        <f t="shared" si="42"/>
        <v/>
      </c>
      <c r="I965" s="74" t="str">
        <f t="shared" si="43"/>
        <v/>
      </c>
      <c r="J965" s="32"/>
    </row>
    <row r="966" spans="2:10" ht="15">
      <c r="B966" s="31"/>
      <c r="C966" s="30"/>
      <c r="D966" s="119"/>
      <c r="E966" s="32"/>
      <c r="G966" s="31">
        <v>924</v>
      </c>
      <c r="H966" s="30" t="str">
        <f t="shared" si="42"/>
        <v/>
      </c>
      <c r="I966" s="74" t="str">
        <f t="shared" si="43"/>
        <v/>
      </c>
      <c r="J966" s="32"/>
    </row>
    <row r="967" spans="2:10" ht="15">
      <c r="B967" s="31"/>
      <c r="C967" s="30"/>
      <c r="D967" s="119"/>
      <c r="E967" s="32"/>
      <c r="G967" s="31">
        <v>925</v>
      </c>
      <c r="H967" s="30" t="str">
        <f t="shared" si="42"/>
        <v/>
      </c>
      <c r="I967" s="74" t="str">
        <f t="shared" si="43"/>
        <v/>
      </c>
      <c r="J967" s="32"/>
    </row>
    <row r="968" spans="2:10" ht="15">
      <c r="B968" s="31"/>
      <c r="C968" s="30"/>
      <c r="D968" s="119"/>
      <c r="E968" s="32"/>
      <c r="G968" s="31">
        <v>926</v>
      </c>
      <c r="H968" s="30" t="str">
        <f t="shared" si="42"/>
        <v/>
      </c>
      <c r="I968" s="74" t="str">
        <f t="shared" si="43"/>
        <v/>
      </c>
      <c r="J968" s="32"/>
    </row>
    <row r="969" spans="2:10" ht="15">
      <c r="B969" s="31"/>
      <c r="C969" s="30"/>
      <c r="D969" s="119"/>
      <c r="E969" s="32"/>
      <c r="G969" s="31">
        <v>927</v>
      </c>
      <c r="H969" s="30" t="str">
        <f t="shared" si="42"/>
        <v/>
      </c>
      <c r="I969" s="74" t="str">
        <f t="shared" si="43"/>
        <v/>
      </c>
      <c r="J969" s="32"/>
    </row>
    <row r="970" spans="2:10" ht="15">
      <c r="B970" s="31"/>
      <c r="C970" s="30"/>
      <c r="D970" s="119"/>
      <c r="E970" s="32"/>
      <c r="G970" s="31">
        <v>928</v>
      </c>
      <c r="H970" s="30" t="str">
        <f t="shared" si="42"/>
        <v/>
      </c>
      <c r="I970" s="74" t="str">
        <f t="shared" si="43"/>
        <v/>
      </c>
      <c r="J970" s="32"/>
    </row>
    <row r="971" spans="2:10" ht="15">
      <c r="B971" s="31"/>
      <c r="C971" s="30"/>
      <c r="D971" s="119"/>
      <c r="E971" s="32"/>
      <c r="G971" s="31">
        <v>929</v>
      </c>
      <c r="H971" s="30" t="str">
        <f t="shared" si="42"/>
        <v/>
      </c>
      <c r="I971" s="74" t="str">
        <f t="shared" si="43"/>
        <v/>
      </c>
      <c r="J971" s="32"/>
    </row>
    <row r="972" spans="2:10" ht="15">
      <c r="B972" s="31"/>
      <c r="C972" s="30"/>
      <c r="D972" s="119"/>
      <c r="E972" s="32"/>
      <c r="G972" s="31">
        <v>930</v>
      </c>
      <c r="H972" s="30" t="str">
        <f t="shared" si="42"/>
        <v/>
      </c>
      <c r="I972" s="74" t="str">
        <f t="shared" si="43"/>
        <v/>
      </c>
      <c r="J972" s="32"/>
    </row>
    <row r="973" spans="2:10" ht="15">
      <c r="B973" s="31"/>
      <c r="C973" s="30"/>
      <c r="D973" s="119"/>
      <c r="E973" s="32"/>
      <c r="G973" s="31">
        <v>931</v>
      </c>
      <c r="H973" s="30" t="str">
        <f t="shared" si="42"/>
        <v/>
      </c>
      <c r="I973" s="74" t="str">
        <f t="shared" si="43"/>
        <v/>
      </c>
      <c r="J973" s="32"/>
    </row>
    <row r="974" spans="2:10" ht="15">
      <c r="B974" s="31"/>
      <c r="C974" s="30"/>
      <c r="D974" s="119"/>
      <c r="E974" s="32"/>
      <c r="G974" s="31">
        <v>932</v>
      </c>
      <c r="H974" s="30" t="str">
        <f t="shared" si="42"/>
        <v/>
      </c>
      <c r="I974" s="74" t="str">
        <f t="shared" si="43"/>
        <v/>
      </c>
      <c r="J974" s="32"/>
    </row>
    <row r="975" spans="2:10" ht="15">
      <c r="B975" s="31"/>
      <c r="C975" s="30"/>
      <c r="D975" s="119"/>
      <c r="E975" s="32"/>
      <c r="G975" s="31">
        <v>933</v>
      </c>
      <c r="H975" s="30" t="str">
        <f t="shared" si="42"/>
        <v/>
      </c>
      <c r="I975" s="74" t="str">
        <f t="shared" si="43"/>
        <v/>
      </c>
      <c r="J975" s="32"/>
    </row>
    <row r="976" spans="2:10" ht="15">
      <c r="B976" s="31"/>
      <c r="C976" s="30"/>
      <c r="D976" s="119"/>
      <c r="E976" s="32"/>
      <c r="G976" s="31">
        <v>934</v>
      </c>
      <c r="H976" s="30" t="str">
        <f t="shared" si="42"/>
        <v/>
      </c>
      <c r="I976" s="74" t="str">
        <f t="shared" si="43"/>
        <v/>
      </c>
      <c r="J976" s="32"/>
    </row>
    <row r="977" spans="2:10" ht="15">
      <c r="B977" s="31"/>
      <c r="C977" s="30"/>
      <c r="D977" s="119"/>
      <c r="E977" s="32"/>
      <c r="G977" s="31">
        <v>935</v>
      </c>
      <c r="H977" s="30" t="str">
        <f t="shared" si="42"/>
        <v/>
      </c>
      <c r="I977" s="74" t="str">
        <f t="shared" si="43"/>
        <v/>
      </c>
      <c r="J977" s="32"/>
    </row>
    <row r="978" spans="2:10" ht="15">
      <c r="B978" s="31"/>
      <c r="C978" s="30"/>
      <c r="D978" s="119"/>
      <c r="E978" s="32"/>
      <c r="G978" s="31">
        <v>936</v>
      </c>
      <c r="H978" s="30" t="str">
        <f t="shared" si="42"/>
        <v/>
      </c>
      <c r="I978" s="74" t="str">
        <f t="shared" si="43"/>
        <v/>
      </c>
      <c r="J978" s="32"/>
    </row>
    <row r="979" spans="2:10" ht="15">
      <c r="B979" s="31"/>
      <c r="C979" s="30"/>
      <c r="D979" s="119"/>
      <c r="E979" s="32"/>
      <c r="G979" s="31">
        <v>937</v>
      </c>
      <c r="H979" s="30" t="str">
        <f t="shared" si="42"/>
        <v/>
      </c>
      <c r="I979" s="74" t="str">
        <f t="shared" si="43"/>
        <v/>
      </c>
      <c r="J979" s="32"/>
    </row>
    <row r="980" spans="2:10" ht="15">
      <c r="B980" s="31"/>
      <c r="C980" s="30"/>
      <c r="D980" s="119"/>
      <c r="E980" s="32"/>
      <c r="G980" s="31">
        <v>938</v>
      </c>
      <c r="H980" s="30" t="str">
        <f t="shared" si="42"/>
        <v/>
      </c>
      <c r="I980" s="74" t="str">
        <f t="shared" si="43"/>
        <v/>
      </c>
      <c r="J980" s="32"/>
    </row>
    <row r="981" spans="2:10" ht="15">
      <c r="B981" s="31"/>
      <c r="C981" s="30"/>
      <c r="D981" s="119"/>
      <c r="E981" s="32"/>
      <c r="G981" s="31">
        <v>939</v>
      </c>
      <c r="H981" s="30" t="str">
        <f t="shared" si="42"/>
        <v/>
      </c>
      <c r="I981" s="74" t="str">
        <f t="shared" si="43"/>
        <v/>
      </c>
      <c r="J981" s="32"/>
    </row>
    <row r="982" spans="2:10" ht="15">
      <c r="B982" s="31"/>
      <c r="C982" s="30"/>
      <c r="D982" s="119"/>
      <c r="E982" s="32"/>
      <c r="G982" s="31">
        <v>940</v>
      </c>
      <c r="H982" s="30" t="str">
        <f t="shared" si="42"/>
        <v/>
      </c>
      <c r="I982" s="74" t="str">
        <f t="shared" si="43"/>
        <v/>
      </c>
      <c r="J982" s="32"/>
    </row>
    <row r="983" spans="2:10" ht="15">
      <c r="B983" s="31"/>
      <c r="C983" s="30"/>
      <c r="D983" s="119"/>
      <c r="E983" s="32"/>
      <c r="G983" s="31">
        <v>941</v>
      </c>
      <c r="H983" s="30" t="str">
        <f t="shared" si="42"/>
        <v/>
      </c>
      <c r="I983" s="74" t="str">
        <f t="shared" si="43"/>
        <v/>
      </c>
      <c r="J983" s="32"/>
    </row>
    <row r="984" spans="2:10" ht="15">
      <c r="B984" s="31"/>
      <c r="C984" s="30"/>
      <c r="D984" s="119"/>
      <c r="E984" s="32"/>
      <c r="G984" s="31">
        <v>942</v>
      </c>
      <c r="H984" s="30" t="str">
        <f t="shared" si="42"/>
        <v/>
      </c>
      <c r="I984" s="74" t="str">
        <f t="shared" si="43"/>
        <v/>
      </c>
      <c r="J984" s="32"/>
    </row>
    <row r="985" spans="2:10" ht="15">
      <c r="B985" s="31"/>
      <c r="C985" s="30"/>
      <c r="D985" s="119"/>
      <c r="E985" s="32"/>
      <c r="G985" s="31">
        <v>943</v>
      </c>
      <c r="H985" s="30" t="str">
        <f t="shared" si="42"/>
        <v/>
      </c>
      <c r="I985" s="74" t="str">
        <f t="shared" si="43"/>
        <v/>
      </c>
      <c r="J985" s="32"/>
    </row>
    <row r="986" spans="2:10" ht="15">
      <c r="B986" s="31"/>
      <c r="C986" s="30"/>
      <c r="D986" s="119"/>
      <c r="E986" s="32"/>
      <c r="G986" s="31">
        <v>944</v>
      </c>
      <c r="H986" s="30" t="str">
        <f t="shared" si="42"/>
        <v/>
      </c>
      <c r="I986" s="74" t="str">
        <f t="shared" si="43"/>
        <v/>
      </c>
      <c r="J986" s="32"/>
    </row>
    <row r="987" spans="2:10" ht="15">
      <c r="B987" s="31"/>
      <c r="C987" s="30"/>
      <c r="D987" s="119"/>
      <c r="E987" s="32"/>
      <c r="G987" s="31">
        <v>945</v>
      </c>
      <c r="H987" s="30" t="str">
        <f t="shared" si="42"/>
        <v/>
      </c>
      <c r="I987" s="74" t="str">
        <f t="shared" si="43"/>
        <v/>
      </c>
      <c r="J987" s="32"/>
    </row>
    <row r="988" spans="2:10" ht="15">
      <c r="B988" s="31"/>
      <c r="C988" s="30"/>
      <c r="D988" s="119"/>
      <c r="E988" s="32"/>
      <c r="G988" s="31">
        <v>946</v>
      </c>
      <c r="H988" s="30" t="str">
        <f t="shared" si="42"/>
        <v/>
      </c>
      <c r="I988" s="74" t="str">
        <f t="shared" si="43"/>
        <v/>
      </c>
      <c r="J988" s="32"/>
    </row>
    <row r="989" spans="2:10" ht="15">
      <c r="B989" s="31"/>
      <c r="C989" s="30"/>
      <c r="D989" s="119"/>
      <c r="E989" s="32"/>
      <c r="G989" s="31">
        <v>947</v>
      </c>
      <c r="H989" s="30" t="str">
        <f t="shared" si="42"/>
        <v/>
      </c>
      <c r="I989" s="74" t="str">
        <f t="shared" si="43"/>
        <v/>
      </c>
      <c r="J989" s="32"/>
    </row>
    <row r="990" spans="2:10" ht="15">
      <c r="B990" s="31"/>
      <c r="C990" s="30"/>
      <c r="D990" s="119"/>
      <c r="E990" s="32"/>
      <c r="G990" s="31">
        <v>948</v>
      </c>
      <c r="H990" s="30" t="str">
        <f t="shared" si="42"/>
        <v/>
      </c>
      <c r="I990" s="74" t="str">
        <f t="shared" si="43"/>
        <v/>
      </c>
      <c r="J990" s="32"/>
    </row>
    <row r="991" spans="2:10" ht="15">
      <c r="B991" s="31"/>
      <c r="C991" s="30"/>
      <c r="D991" s="119"/>
      <c r="E991" s="32"/>
      <c r="G991" s="31">
        <v>949</v>
      </c>
      <c r="H991" s="30" t="str">
        <f t="shared" si="42"/>
        <v/>
      </c>
      <c r="I991" s="74" t="str">
        <f t="shared" si="43"/>
        <v/>
      </c>
      <c r="J991" s="32"/>
    </row>
    <row r="992" spans="2:10" ht="15">
      <c r="B992" s="31"/>
      <c r="C992" s="30"/>
      <c r="D992" s="119"/>
      <c r="E992" s="32"/>
      <c r="G992" s="31">
        <v>950</v>
      </c>
      <c r="H992" s="30" t="str">
        <f t="shared" si="42"/>
        <v/>
      </c>
      <c r="I992" s="74" t="str">
        <f t="shared" si="43"/>
        <v/>
      </c>
      <c r="J992" s="32"/>
    </row>
    <row r="993" spans="2:10" ht="15">
      <c r="B993" s="31"/>
      <c r="C993" s="30"/>
      <c r="D993" s="119"/>
      <c r="E993" s="32"/>
      <c r="G993" s="31">
        <v>951</v>
      </c>
      <c r="H993" s="30" t="str">
        <f t="shared" si="42"/>
        <v/>
      </c>
      <c r="I993" s="74" t="str">
        <f t="shared" si="43"/>
        <v/>
      </c>
      <c r="J993" s="32"/>
    </row>
    <row r="994" spans="2:10" ht="15">
      <c r="B994" s="31"/>
      <c r="C994" s="30"/>
      <c r="D994" s="119"/>
      <c r="E994" s="32"/>
      <c r="G994" s="31">
        <v>952</v>
      </c>
      <c r="H994" s="30" t="str">
        <f t="shared" si="42"/>
        <v/>
      </c>
      <c r="I994" s="74" t="str">
        <f t="shared" si="43"/>
        <v/>
      </c>
      <c r="J994" s="32"/>
    </row>
    <row r="995" spans="2:10" ht="15">
      <c r="B995" s="31"/>
      <c r="C995" s="30"/>
      <c r="D995" s="119"/>
      <c r="E995" s="32"/>
      <c r="G995" s="31">
        <v>953</v>
      </c>
      <c r="H995" s="30" t="str">
        <f t="shared" si="42"/>
        <v/>
      </c>
      <c r="I995" s="74" t="str">
        <f t="shared" si="43"/>
        <v/>
      </c>
      <c r="J995" s="32"/>
    </row>
    <row r="996" spans="2:10" ht="15">
      <c r="B996" s="31"/>
      <c r="C996" s="30"/>
      <c r="D996" s="119"/>
      <c r="E996" s="32"/>
      <c r="G996" s="31">
        <v>954</v>
      </c>
      <c r="H996" s="30" t="str">
        <f t="shared" si="42"/>
        <v/>
      </c>
      <c r="I996" s="74" t="str">
        <f t="shared" si="43"/>
        <v/>
      </c>
      <c r="J996" s="32"/>
    </row>
    <row r="997" spans="2:10" ht="15">
      <c r="B997" s="31"/>
      <c r="C997" s="30"/>
      <c r="D997" s="119"/>
      <c r="E997" s="32"/>
      <c r="G997" s="31">
        <v>955</v>
      </c>
      <c r="H997" s="30" t="str">
        <f t="shared" si="42"/>
        <v/>
      </c>
      <c r="I997" s="74" t="str">
        <f t="shared" si="43"/>
        <v/>
      </c>
      <c r="J997" s="32"/>
    </row>
    <row r="998" spans="2:10" ht="15">
      <c r="B998" s="31"/>
      <c r="C998" s="30"/>
      <c r="D998" s="119"/>
      <c r="E998" s="32"/>
      <c r="G998" s="31">
        <v>956</v>
      </c>
      <c r="H998" s="30" t="str">
        <f t="shared" si="42"/>
        <v/>
      </c>
      <c r="I998" s="74" t="str">
        <f t="shared" si="43"/>
        <v/>
      </c>
      <c r="J998" s="32"/>
    </row>
    <row r="999" spans="2:10" ht="15">
      <c r="B999" s="31"/>
      <c r="C999" s="30"/>
      <c r="D999" s="119"/>
      <c r="E999" s="32"/>
      <c r="G999" s="31">
        <v>957</v>
      </c>
      <c r="H999" s="30" t="str">
        <f t="shared" si="42"/>
        <v/>
      </c>
      <c r="I999" s="74" t="str">
        <f t="shared" si="43"/>
        <v/>
      </c>
      <c r="J999" s="32"/>
    </row>
    <row r="1000" spans="2:10" ht="15">
      <c r="B1000" s="31"/>
      <c r="C1000" s="30"/>
      <c r="D1000" s="119"/>
      <c r="E1000" s="32"/>
      <c r="G1000" s="31">
        <v>958</v>
      </c>
      <c r="H1000" s="30" t="str">
        <f t="shared" si="42"/>
        <v/>
      </c>
      <c r="I1000" s="74" t="str">
        <f t="shared" si="43"/>
        <v/>
      </c>
      <c r="J1000" s="32"/>
    </row>
    <row r="1001" spans="2:10" ht="15">
      <c r="B1001" s="31"/>
      <c r="C1001" s="30"/>
      <c r="D1001" s="119"/>
      <c r="E1001" s="32"/>
      <c r="G1001" s="31">
        <v>959</v>
      </c>
      <c r="H1001" s="30" t="str">
        <f t="shared" si="42"/>
        <v/>
      </c>
      <c r="I1001" s="74" t="str">
        <f t="shared" si="43"/>
        <v/>
      </c>
      <c r="J1001" s="32"/>
    </row>
    <row r="1002" spans="2:10" ht="15">
      <c r="B1002" s="31"/>
      <c r="C1002" s="30"/>
      <c r="D1002" s="119"/>
      <c r="E1002" s="32"/>
      <c r="G1002" s="31">
        <v>960</v>
      </c>
      <c r="H1002" s="30" t="str">
        <f t="shared" si="42"/>
        <v/>
      </c>
      <c r="I1002" s="74" t="str">
        <f t="shared" si="43"/>
        <v/>
      </c>
      <c r="J1002" s="32"/>
    </row>
    <row r="1003" spans="2:10" ht="15">
      <c r="B1003" s="31"/>
      <c r="C1003" s="30"/>
      <c r="D1003" s="119"/>
      <c r="E1003" s="32"/>
      <c r="G1003" s="31">
        <v>961</v>
      </c>
      <c r="H1003" s="30" t="str">
        <f t="shared" si="42"/>
        <v/>
      </c>
      <c r="I1003" s="74" t="str">
        <f t="shared" si="43"/>
        <v/>
      </c>
      <c r="J1003" s="32"/>
    </row>
    <row r="1004" spans="2:10" ht="15">
      <c r="B1004" s="31"/>
      <c r="C1004" s="30"/>
      <c r="D1004" s="119"/>
      <c r="E1004" s="32"/>
      <c r="G1004" s="31">
        <v>962</v>
      </c>
      <c r="H1004" s="30" t="str">
        <f t="shared" ref="H1004:H1067" si="44">MID($I$41,G1004*8-7,8)</f>
        <v/>
      </c>
      <c r="I1004" s="74" t="str">
        <f t="shared" ref="I1004:I1067" si="45">IFERROR(BIN2DEC(VALUE(H1004)),"")</f>
        <v/>
      </c>
      <c r="J1004" s="32"/>
    </row>
    <row r="1005" spans="2:10" ht="15">
      <c r="B1005" s="31"/>
      <c r="C1005" s="30"/>
      <c r="D1005" s="119"/>
      <c r="E1005" s="32"/>
      <c r="G1005" s="31">
        <v>963</v>
      </c>
      <c r="H1005" s="30" t="str">
        <f t="shared" si="44"/>
        <v/>
      </c>
      <c r="I1005" s="74" t="str">
        <f t="shared" si="45"/>
        <v/>
      </c>
      <c r="J1005" s="32"/>
    </row>
    <row r="1006" spans="2:10" ht="15">
      <c r="B1006" s="31"/>
      <c r="C1006" s="30"/>
      <c r="D1006" s="119"/>
      <c r="E1006" s="32"/>
      <c r="G1006" s="31">
        <v>964</v>
      </c>
      <c r="H1006" s="30" t="str">
        <f t="shared" si="44"/>
        <v/>
      </c>
      <c r="I1006" s="74" t="str">
        <f t="shared" si="45"/>
        <v/>
      </c>
      <c r="J1006" s="32"/>
    </row>
    <row r="1007" spans="2:10" ht="15">
      <c r="B1007" s="31"/>
      <c r="C1007" s="30"/>
      <c r="D1007" s="119"/>
      <c r="E1007" s="32"/>
      <c r="G1007" s="31">
        <v>965</v>
      </c>
      <c r="H1007" s="30" t="str">
        <f t="shared" si="44"/>
        <v/>
      </c>
      <c r="I1007" s="74" t="str">
        <f t="shared" si="45"/>
        <v/>
      </c>
      <c r="J1007" s="32"/>
    </row>
    <row r="1008" spans="2:10" ht="15">
      <c r="B1008" s="31"/>
      <c r="C1008" s="30"/>
      <c r="D1008" s="119"/>
      <c r="E1008" s="32"/>
      <c r="G1008" s="31">
        <v>966</v>
      </c>
      <c r="H1008" s="30" t="str">
        <f t="shared" si="44"/>
        <v/>
      </c>
      <c r="I1008" s="74" t="str">
        <f t="shared" si="45"/>
        <v/>
      </c>
      <c r="J1008" s="32"/>
    </row>
    <row r="1009" spans="2:10" ht="15">
      <c r="B1009" s="31"/>
      <c r="C1009" s="30"/>
      <c r="D1009" s="119"/>
      <c r="E1009" s="32"/>
      <c r="G1009" s="31">
        <v>967</v>
      </c>
      <c r="H1009" s="30" t="str">
        <f t="shared" si="44"/>
        <v/>
      </c>
      <c r="I1009" s="74" t="str">
        <f t="shared" si="45"/>
        <v/>
      </c>
      <c r="J1009" s="32"/>
    </row>
    <row r="1010" spans="2:10" ht="15">
      <c r="B1010" s="31"/>
      <c r="C1010" s="30"/>
      <c r="D1010" s="119"/>
      <c r="E1010" s="32"/>
      <c r="G1010" s="31">
        <v>968</v>
      </c>
      <c r="H1010" s="30" t="str">
        <f t="shared" si="44"/>
        <v/>
      </c>
      <c r="I1010" s="74" t="str">
        <f t="shared" si="45"/>
        <v/>
      </c>
      <c r="J1010" s="32"/>
    </row>
    <row r="1011" spans="2:10" ht="15">
      <c r="B1011" s="31"/>
      <c r="C1011" s="30"/>
      <c r="D1011" s="119"/>
      <c r="E1011" s="32"/>
      <c r="G1011" s="31">
        <v>969</v>
      </c>
      <c r="H1011" s="30" t="str">
        <f t="shared" si="44"/>
        <v/>
      </c>
      <c r="I1011" s="74" t="str">
        <f t="shared" si="45"/>
        <v/>
      </c>
      <c r="J1011" s="32"/>
    </row>
    <row r="1012" spans="2:10" ht="15">
      <c r="B1012" s="31"/>
      <c r="C1012" s="30"/>
      <c r="D1012" s="119"/>
      <c r="E1012" s="32"/>
      <c r="G1012" s="31">
        <v>970</v>
      </c>
      <c r="H1012" s="30" t="str">
        <f t="shared" si="44"/>
        <v/>
      </c>
      <c r="I1012" s="74" t="str">
        <f t="shared" si="45"/>
        <v/>
      </c>
      <c r="J1012" s="32"/>
    </row>
    <row r="1013" spans="2:10" ht="15">
      <c r="B1013" s="31"/>
      <c r="C1013" s="30"/>
      <c r="D1013" s="119"/>
      <c r="E1013" s="32"/>
      <c r="G1013" s="31">
        <v>971</v>
      </c>
      <c r="H1013" s="30" t="str">
        <f t="shared" si="44"/>
        <v/>
      </c>
      <c r="I1013" s="74" t="str">
        <f t="shared" si="45"/>
        <v/>
      </c>
      <c r="J1013" s="32"/>
    </row>
    <row r="1014" spans="2:10" ht="15">
      <c r="B1014" s="31"/>
      <c r="C1014" s="30"/>
      <c r="D1014" s="119"/>
      <c r="E1014" s="32"/>
      <c r="G1014" s="31">
        <v>972</v>
      </c>
      <c r="H1014" s="30" t="str">
        <f t="shared" si="44"/>
        <v/>
      </c>
      <c r="I1014" s="74" t="str">
        <f t="shared" si="45"/>
        <v/>
      </c>
      <c r="J1014" s="32"/>
    </row>
    <row r="1015" spans="2:10" ht="15">
      <c r="B1015" s="31"/>
      <c r="C1015" s="30"/>
      <c r="D1015" s="119"/>
      <c r="E1015" s="32"/>
      <c r="G1015" s="31">
        <v>973</v>
      </c>
      <c r="H1015" s="30" t="str">
        <f t="shared" si="44"/>
        <v/>
      </c>
      <c r="I1015" s="74" t="str">
        <f t="shared" si="45"/>
        <v/>
      </c>
      <c r="J1015" s="32"/>
    </row>
    <row r="1016" spans="2:10" ht="15">
      <c r="B1016" s="31"/>
      <c r="C1016" s="30"/>
      <c r="D1016" s="119"/>
      <c r="E1016" s="32"/>
      <c r="G1016" s="31">
        <v>974</v>
      </c>
      <c r="H1016" s="30" t="str">
        <f t="shared" si="44"/>
        <v/>
      </c>
      <c r="I1016" s="74" t="str">
        <f t="shared" si="45"/>
        <v/>
      </c>
      <c r="J1016" s="32"/>
    </row>
    <row r="1017" spans="2:10" ht="15">
      <c r="B1017" s="31"/>
      <c r="C1017" s="30"/>
      <c r="D1017" s="119"/>
      <c r="E1017" s="32"/>
      <c r="G1017" s="31">
        <v>975</v>
      </c>
      <c r="H1017" s="30" t="str">
        <f t="shared" si="44"/>
        <v/>
      </c>
      <c r="I1017" s="74" t="str">
        <f t="shared" si="45"/>
        <v/>
      </c>
      <c r="J1017" s="32"/>
    </row>
    <row r="1018" spans="2:10" ht="15">
      <c r="B1018" s="31"/>
      <c r="C1018" s="30"/>
      <c r="D1018" s="119"/>
      <c r="E1018" s="32"/>
      <c r="G1018" s="31">
        <v>976</v>
      </c>
      <c r="H1018" s="30" t="str">
        <f t="shared" si="44"/>
        <v/>
      </c>
      <c r="I1018" s="74" t="str">
        <f t="shared" si="45"/>
        <v/>
      </c>
      <c r="J1018" s="32"/>
    </row>
    <row r="1019" spans="2:10" ht="15">
      <c r="B1019" s="31"/>
      <c r="C1019" s="30"/>
      <c r="D1019" s="119"/>
      <c r="E1019" s="32"/>
      <c r="G1019" s="31">
        <v>977</v>
      </c>
      <c r="H1019" s="30" t="str">
        <f t="shared" si="44"/>
        <v/>
      </c>
      <c r="I1019" s="74" t="str">
        <f t="shared" si="45"/>
        <v/>
      </c>
      <c r="J1019" s="32"/>
    </row>
    <row r="1020" spans="2:10" ht="15">
      <c r="B1020" s="31"/>
      <c r="C1020" s="30"/>
      <c r="D1020" s="119"/>
      <c r="E1020" s="32"/>
      <c r="G1020" s="31">
        <v>978</v>
      </c>
      <c r="H1020" s="30" t="str">
        <f t="shared" si="44"/>
        <v/>
      </c>
      <c r="I1020" s="74" t="str">
        <f t="shared" si="45"/>
        <v/>
      </c>
      <c r="J1020" s="32"/>
    </row>
    <row r="1021" spans="2:10" ht="15">
      <c r="B1021" s="31"/>
      <c r="C1021" s="30"/>
      <c r="D1021" s="119"/>
      <c r="E1021" s="32"/>
      <c r="G1021" s="31">
        <v>979</v>
      </c>
      <c r="H1021" s="30" t="str">
        <f t="shared" si="44"/>
        <v/>
      </c>
      <c r="I1021" s="74" t="str">
        <f t="shared" si="45"/>
        <v/>
      </c>
      <c r="J1021" s="32"/>
    </row>
    <row r="1022" spans="2:10" ht="15">
      <c r="B1022" s="31"/>
      <c r="C1022" s="30"/>
      <c r="D1022" s="119"/>
      <c r="E1022" s="32"/>
      <c r="G1022" s="31">
        <v>980</v>
      </c>
      <c r="H1022" s="30" t="str">
        <f t="shared" si="44"/>
        <v/>
      </c>
      <c r="I1022" s="74" t="str">
        <f t="shared" si="45"/>
        <v/>
      </c>
      <c r="J1022" s="32"/>
    </row>
    <row r="1023" spans="2:10" ht="15">
      <c r="B1023" s="31"/>
      <c r="C1023" s="30"/>
      <c r="D1023" s="119"/>
      <c r="E1023" s="32"/>
      <c r="G1023" s="31">
        <v>981</v>
      </c>
      <c r="H1023" s="30" t="str">
        <f t="shared" si="44"/>
        <v/>
      </c>
      <c r="I1023" s="74" t="str">
        <f t="shared" si="45"/>
        <v/>
      </c>
      <c r="J1023" s="32"/>
    </row>
    <row r="1024" spans="2:10" ht="15">
      <c r="B1024" s="31"/>
      <c r="C1024" s="30"/>
      <c r="D1024" s="119"/>
      <c r="E1024" s="32"/>
      <c r="G1024" s="31">
        <v>982</v>
      </c>
      <c r="H1024" s="30" t="str">
        <f t="shared" si="44"/>
        <v/>
      </c>
      <c r="I1024" s="74" t="str">
        <f t="shared" si="45"/>
        <v/>
      </c>
      <c r="J1024" s="32"/>
    </row>
    <row r="1025" spans="2:10" ht="15">
      <c r="B1025" s="31"/>
      <c r="C1025" s="30"/>
      <c r="D1025" s="119"/>
      <c r="E1025" s="32"/>
      <c r="G1025" s="31">
        <v>983</v>
      </c>
      <c r="H1025" s="30" t="str">
        <f t="shared" si="44"/>
        <v/>
      </c>
      <c r="I1025" s="74" t="str">
        <f t="shared" si="45"/>
        <v/>
      </c>
      <c r="J1025" s="32"/>
    </row>
    <row r="1026" spans="2:10" ht="15">
      <c r="B1026" s="31"/>
      <c r="C1026" s="30"/>
      <c r="D1026" s="119"/>
      <c r="E1026" s="32"/>
      <c r="G1026" s="31">
        <v>984</v>
      </c>
      <c r="H1026" s="30" t="str">
        <f t="shared" si="44"/>
        <v/>
      </c>
      <c r="I1026" s="74" t="str">
        <f t="shared" si="45"/>
        <v/>
      </c>
      <c r="J1026" s="32"/>
    </row>
    <row r="1027" spans="2:10" ht="15">
      <c r="B1027" s="31"/>
      <c r="C1027" s="30"/>
      <c r="D1027" s="119"/>
      <c r="E1027" s="32"/>
      <c r="G1027" s="31">
        <v>985</v>
      </c>
      <c r="H1027" s="30" t="str">
        <f t="shared" si="44"/>
        <v/>
      </c>
      <c r="I1027" s="74" t="str">
        <f t="shared" si="45"/>
        <v/>
      </c>
      <c r="J1027" s="32"/>
    </row>
    <row r="1028" spans="2:10" ht="15">
      <c r="B1028" s="31"/>
      <c r="C1028" s="30"/>
      <c r="D1028" s="119"/>
      <c r="E1028" s="32"/>
      <c r="G1028" s="31">
        <v>986</v>
      </c>
      <c r="H1028" s="30" t="str">
        <f t="shared" si="44"/>
        <v/>
      </c>
      <c r="I1028" s="74" t="str">
        <f t="shared" si="45"/>
        <v/>
      </c>
      <c r="J1028" s="32"/>
    </row>
    <row r="1029" spans="2:10" ht="15">
      <c r="B1029" s="31"/>
      <c r="C1029" s="30"/>
      <c r="D1029" s="119"/>
      <c r="E1029" s="32"/>
      <c r="G1029" s="31">
        <v>987</v>
      </c>
      <c r="H1029" s="30" t="str">
        <f t="shared" si="44"/>
        <v/>
      </c>
      <c r="I1029" s="74" t="str">
        <f t="shared" si="45"/>
        <v/>
      </c>
      <c r="J1029" s="32"/>
    </row>
    <row r="1030" spans="2:10" ht="15">
      <c r="B1030" s="31"/>
      <c r="C1030" s="30"/>
      <c r="D1030" s="119"/>
      <c r="E1030" s="32"/>
      <c r="G1030" s="31">
        <v>988</v>
      </c>
      <c r="H1030" s="30" t="str">
        <f t="shared" si="44"/>
        <v/>
      </c>
      <c r="I1030" s="74" t="str">
        <f t="shared" si="45"/>
        <v/>
      </c>
      <c r="J1030" s="32"/>
    </row>
    <row r="1031" spans="2:10" ht="15">
      <c r="B1031" s="31"/>
      <c r="C1031" s="30"/>
      <c r="D1031" s="119"/>
      <c r="E1031" s="32"/>
      <c r="G1031" s="31">
        <v>989</v>
      </c>
      <c r="H1031" s="30" t="str">
        <f t="shared" si="44"/>
        <v/>
      </c>
      <c r="I1031" s="74" t="str">
        <f t="shared" si="45"/>
        <v/>
      </c>
      <c r="J1031" s="32"/>
    </row>
    <row r="1032" spans="2:10" ht="15">
      <c r="B1032" s="31"/>
      <c r="C1032" s="30"/>
      <c r="D1032" s="119"/>
      <c r="E1032" s="32"/>
      <c r="G1032" s="31">
        <v>990</v>
      </c>
      <c r="H1032" s="30" t="str">
        <f t="shared" si="44"/>
        <v/>
      </c>
      <c r="I1032" s="74" t="str">
        <f t="shared" si="45"/>
        <v/>
      </c>
      <c r="J1032" s="32"/>
    </row>
    <row r="1033" spans="2:10" ht="15">
      <c r="B1033" s="31"/>
      <c r="C1033" s="30"/>
      <c r="D1033" s="119"/>
      <c r="E1033" s="32"/>
      <c r="G1033" s="31">
        <v>991</v>
      </c>
      <c r="H1033" s="30" t="str">
        <f t="shared" si="44"/>
        <v/>
      </c>
      <c r="I1033" s="74" t="str">
        <f t="shared" si="45"/>
        <v/>
      </c>
      <c r="J1033" s="32"/>
    </row>
    <row r="1034" spans="2:10" ht="15">
      <c r="B1034" s="31"/>
      <c r="C1034" s="30"/>
      <c r="D1034" s="119"/>
      <c r="E1034" s="32"/>
      <c r="G1034" s="31">
        <v>992</v>
      </c>
      <c r="H1034" s="30" t="str">
        <f t="shared" si="44"/>
        <v/>
      </c>
      <c r="I1034" s="74" t="str">
        <f t="shared" si="45"/>
        <v/>
      </c>
      <c r="J1034" s="32"/>
    </row>
    <row r="1035" spans="2:10" ht="15">
      <c r="B1035" s="31"/>
      <c r="C1035" s="30"/>
      <c r="D1035" s="119"/>
      <c r="E1035" s="32"/>
      <c r="G1035" s="31">
        <v>993</v>
      </c>
      <c r="H1035" s="30" t="str">
        <f t="shared" si="44"/>
        <v/>
      </c>
      <c r="I1035" s="74" t="str">
        <f t="shared" si="45"/>
        <v/>
      </c>
      <c r="J1035" s="32"/>
    </row>
    <row r="1036" spans="2:10" ht="15">
      <c r="B1036" s="31"/>
      <c r="C1036" s="30"/>
      <c r="D1036" s="119"/>
      <c r="E1036" s="32"/>
      <c r="G1036" s="31">
        <v>994</v>
      </c>
      <c r="H1036" s="30" t="str">
        <f t="shared" si="44"/>
        <v/>
      </c>
      <c r="I1036" s="74" t="str">
        <f t="shared" si="45"/>
        <v/>
      </c>
      <c r="J1036" s="32"/>
    </row>
    <row r="1037" spans="2:10" ht="15">
      <c r="B1037" s="31"/>
      <c r="C1037" s="30"/>
      <c r="D1037" s="119"/>
      <c r="E1037" s="32"/>
      <c r="G1037" s="31">
        <v>995</v>
      </c>
      <c r="H1037" s="30" t="str">
        <f t="shared" si="44"/>
        <v/>
      </c>
      <c r="I1037" s="74" t="str">
        <f t="shared" si="45"/>
        <v/>
      </c>
      <c r="J1037" s="32"/>
    </row>
    <row r="1038" spans="2:10" ht="15">
      <c r="B1038" s="31"/>
      <c r="C1038" s="30"/>
      <c r="D1038" s="119"/>
      <c r="E1038" s="32"/>
      <c r="G1038" s="31">
        <v>996</v>
      </c>
      <c r="H1038" s="30" t="str">
        <f t="shared" si="44"/>
        <v/>
      </c>
      <c r="I1038" s="74" t="str">
        <f t="shared" si="45"/>
        <v/>
      </c>
      <c r="J1038" s="32"/>
    </row>
    <row r="1039" spans="2:10" ht="15">
      <c r="B1039" s="31"/>
      <c r="C1039" s="30"/>
      <c r="D1039" s="119"/>
      <c r="E1039" s="32"/>
      <c r="G1039" s="31">
        <v>997</v>
      </c>
      <c r="H1039" s="30" t="str">
        <f t="shared" si="44"/>
        <v/>
      </c>
      <c r="I1039" s="74" t="str">
        <f t="shared" si="45"/>
        <v/>
      </c>
      <c r="J1039" s="32"/>
    </row>
    <row r="1040" spans="2:10" ht="15">
      <c r="B1040" s="31"/>
      <c r="C1040" s="30"/>
      <c r="D1040" s="119"/>
      <c r="E1040" s="32"/>
      <c r="G1040" s="31">
        <v>998</v>
      </c>
      <c r="H1040" s="30" t="str">
        <f t="shared" si="44"/>
        <v/>
      </c>
      <c r="I1040" s="74" t="str">
        <f t="shared" si="45"/>
        <v/>
      </c>
      <c r="J1040" s="32"/>
    </row>
    <row r="1041" spans="2:10" ht="15">
      <c r="B1041" s="31"/>
      <c r="C1041" s="30"/>
      <c r="D1041" s="119"/>
      <c r="E1041" s="32"/>
      <c r="G1041" s="31">
        <v>999</v>
      </c>
      <c r="H1041" s="30" t="str">
        <f t="shared" si="44"/>
        <v/>
      </c>
      <c r="I1041" s="74" t="str">
        <f t="shared" si="45"/>
        <v/>
      </c>
      <c r="J1041" s="32"/>
    </row>
    <row r="1042" spans="2:10" ht="15">
      <c r="B1042" s="31"/>
      <c r="C1042" s="30"/>
      <c r="D1042" s="119"/>
      <c r="E1042" s="32"/>
      <c r="G1042" s="31">
        <v>1000</v>
      </c>
      <c r="H1042" s="30" t="str">
        <f t="shared" si="44"/>
        <v/>
      </c>
      <c r="I1042" s="74" t="str">
        <f t="shared" si="45"/>
        <v/>
      </c>
      <c r="J1042" s="32"/>
    </row>
    <row r="1043" spans="2:10" ht="15">
      <c r="B1043" s="31"/>
      <c r="C1043" s="30"/>
      <c r="D1043" s="119"/>
      <c r="E1043" s="32"/>
      <c r="G1043" s="31">
        <v>1001</v>
      </c>
      <c r="H1043" s="30" t="str">
        <f t="shared" si="44"/>
        <v/>
      </c>
      <c r="I1043" s="74" t="str">
        <f t="shared" si="45"/>
        <v/>
      </c>
      <c r="J1043" s="32"/>
    </row>
    <row r="1044" spans="2:10" ht="15">
      <c r="B1044" s="31"/>
      <c r="C1044" s="30"/>
      <c r="D1044" s="119"/>
      <c r="E1044" s="32"/>
      <c r="G1044" s="31">
        <v>1002</v>
      </c>
      <c r="H1044" s="30" t="str">
        <f t="shared" si="44"/>
        <v/>
      </c>
      <c r="I1044" s="74" t="str">
        <f t="shared" si="45"/>
        <v/>
      </c>
      <c r="J1044" s="32"/>
    </row>
    <row r="1045" spans="2:10" ht="15">
      <c r="B1045" s="31"/>
      <c r="C1045" s="30"/>
      <c r="D1045" s="119"/>
      <c r="E1045" s="32"/>
      <c r="G1045" s="31">
        <v>1003</v>
      </c>
      <c r="H1045" s="30" t="str">
        <f t="shared" si="44"/>
        <v/>
      </c>
      <c r="I1045" s="74" t="str">
        <f t="shared" si="45"/>
        <v/>
      </c>
      <c r="J1045" s="32"/>
    </row>
    <row r="1046" spans="2:10" ht="15">
      <c r="B1046" s="31"/>
      <c r="C1046" s="30"/>
      <c r="D1046" s="119"/>
      <c r="E1046" s="32"/>
      <c r="G1046" s="31">
        <v>1004</v>
      </c>
      <c r="H1046" s="30" t="str">
        <f t="shared" si="44"/>
        <v/>
      </c>
      <c r="I1046" s="74" t="str">
        <f t="shared" si="45"/>
        <v/>
      </c>
      <c r="J1046" s="32"/>
    </row>
    <row r="1047" spans="2:10" ht="15">
      <c r="B1047" s="31"/>
      <c r="C1047" s="30"/>
      <c r="D1047" s="119"/>
      <c r="E1047" s="32"/>
      <c r="G1047" s="31">
        <v>1005</v>
      </c>
      <c r="H1047" s="30" t="str">
        <f t="shared" si="44"/>
        <v/>
      </c>
      <c r="I1047" s="74" t="str">
        <f t="shared" si="45"/>
        <v/>
      </c>
      <c r="J1047" s="32"/>
    </row>
    <row r="1048" spans="2:10" ht="15">
      <c r="B1048" s="31"/>
      <c r="C1048" s="30"/>
      <c r="D1048" s="119"/>
      <c r="E1048" s="32"/>
      <c r="G1048" s="31">
        <v>1006</v>
      </c>
      <c r="H1048" s="30" t="str">
        <f t="shared" si="44"/>
        <v/>
      </c>
      <c r="I1048" s="74" t="str">
        <f t="shared" si="45"/>
        <v/>
      </c>
      <c r="J1048" s="32"/>
    </row>
    <row r="1049" spans="2:10" ht="15">
      <c r="B1049" s="31"/>
      <c r="C1049" s="30"/>
      <c r="D1049" s="119"/>
      <c r="E1049" s="32"/>
      <c r="G1049" s="31">
        <v>1007</v>
      </c>
      <c r="H1049" s="30" t="str">
        <f t="shared" si="44"/>
        <v/>
      </c>
      <c r="I1049" s="74" t="str">
        <f t="shared" si="45"/>
        <v/>
      </c>
      <c r="J1049" s="32"/>
    </row>
    <row r="1050" spans="2:10" ht="15">
      <c r="B1050" s="31"/>
      <c r="C1050" s="30"/>
      <c r="D1050" s="119"/>
      <c r="E1050" s="32"/>
      <c r="G1050" s="31">
        <v>1008</v>
      </c>
      <c r="H1050" s="30" t="str">
        <f t="shared" si="44"/>
        <v/>
      </c>
      <c r="I1050" s="74" t="str">
        <f t="shared" si="45"/>
        <v/>
      </c>
      <c r="J1050" s="32"/>
    </row>
    <row r="1051" spans="2:10" ht="15">
      <c r="B1051" s="31"/>
      <c r="C1051" s="30"/>
      <c r="D1051" s="119"/>
      <c r="E1051" s="32"/>
      <c r="G1051" s="31">
        <v>1009</v>
      </c>
      <c r="H1051" s="30" t="str">
        <f t="shared" si="44"/>
        <v/>
      </c>
      <c r="I1051" s="74" t="str">
        <f t="shared" si="45"/>
        <v/>
      </c>
      <c r="J1051" s="32"/>
    </row>
    <row r="1052" spans="2:10" ht="15">
      <c r="B1052" s="31"/>
      <c r="C1052" s="30"/>
      <c r="D1052" s="119"/>
      <c r="E1052" s="32"/>
      <c r="G1052" s="31">
        <v>1010</v>
      </c>
      <c r="H1052" s="30" t="str">
        <f t="shared" si="44"/>
        <v/>
      </c>
      <c r="I1052" s="74" t="str">
        <f t="shared" si="45"/>
        <v/>
      </c>
      <c r="J1052" s="32"/>
    </row>
    <row r="1053" spans="2:10" ht="15">
      <c r="B1053" s="31"/>
      <c r="C1053" s="30"/>
      <c r="D1053" s="119"/>
      <c r="E1053" s="32"/>
      <c r="G1053" s="31">
        <v>1011</v>
      </c>
      <c r="H1053" s="30" t="str">
        <f t="shared" si="44"/>
        <v/>
      </c>
      <c r="I1053" s="74" t="str">
        <f t="shared" si="45"/>
        <v/>
      </c>
      <c r="J1053" s="32"/>
    </row>
    <row r="1054" spans="2:10" ht="15">
      <c r="B1054" s="31"/>
      <c r="C1054" s="30"/>
      <c r="D1054" s="119"/>
      <c r="E1054" s="32"/>
      <c r="G1054" s="31">
        <v>1012</v>
      </c>
      <c r="H1054" s="30" t="str">
        <f t="shared" si="44"/>
        <v/>
      </c>
      <c r="I1054" s="74" t="str">
        <f t="shared" si="45"/>
        <v/>
      </c>
      <c r="J1054" s="32"/>
    </row>
    <row r="1055" spans="2:10" ht="15">
      <c r="B1055" s="31"/>
      <c r="C1055" s="30"/>
      <c r="D1055" s="119"/>
      <c r="E1055" s="32"/>
      <c r="G1055" s="31">
        <v>1013</v>
      </c>
      <c r="H1055" s="30" t="str">
        <f t="shared" si="44"/>
        <v/>
      </c>
      <c r="I1055" s="74" t="str">
        <f t="shared" si="45"/>
        <v/>
      </c>
      <c r="J1055" s="32"/>
    </row>
    <row r="1056" spans="2:10" ht="15">
      <c r="B1056" s="31"/>
      <c r="C1056" s="30"/>
      <c r="D1056" s="119"/>
      <c r="E1056" s="32"/>
      <c r="G1056" s="31">
        <v>1014</v>
      </c>
      <c r="H1056" s="30" t="str">
        <f t="shared" si="44"/>
        <v/>
      </c>
      <c r="I1056" s="74" t="str">
        <f t="shared" si="45"/>
        <v/>
      </c>
      <c r="J1056" s="32"/>
    </row>
    <row r="1057" spans="2:10" ht="15">
      <c r="B1057" s="31"/>
      <c r="C1057" s="30"/>
      <c r="D1057" s="119"/>
      <c r="E1057" s="32"/>
      <c r="G1057" s="31">
        <v>1015</v>
      </c>
      <c r="H1057" s="30" t="str">
        <f t="shared" si="44"/>
        <v/>
      </c>
      <c r="I1057" s="74" t="str">
        <f t="shared" si="45"/>
        <v/>
      </c>
      <c r="J1057" s="32"/>
    </row>
    <row r="1058" spans="2:10" ht="15">
      <c r="B1058" s="31"/>
      <c r="C1058" s="30"/>
      <c r="D1058" s="119"/>
      <c r="E1058" s="32"/>
      <c r="G1058" s="31">
        <v>1016</v>
      </c>
      <c r="H1058" s="30" t="str">
        <f t="shared" si="44"/>
        <v/>
      </c>
      <c r="I1058" s="74" t="str">
        <f t="shared" si="45"/>
        <v/>
      </c>
      <c r="J1058" s="32"/>
    </row>
    <row r="1059" spans="2:10" ht="15">
      <c r="B1059" s="31"/>
      <c r="C1059" s="30"/>
      <c r="D1059" s="119"/>
      <c r="E1059" s="32"/>
      <c r="G1059" s="31">
        <v>1017</v>
      </c>
      <c r="H1059" s="30" t="str">
        <f t="shared" si="44"/>
        <v/>
      </c>
      <c r="I1059" s="74" t="str">
        <f t="shared" si="45"/>
        <v/>
      </c>
      <c r="J1059" s="32"/>
    </row>
    <row r="1060" spans="2:10" ht="15">
      <c r="B1060" s="31"/>
      <c r="C1060" s="30"/>
      <c r="D1060" s="119"/>
      <c r="E1060" s="32"/>
      <c r="G1060" s="31">
        <v>1018</v>
      </c>
      <c r="H1060" s="30" t="str">
        <f t="shared" si="44"/>
        <v/>
      </c>
      <c r="I1060" s="74" t="str">
        <f t="shared" si="45"/>
        <v/>
      </c>
      <c r="J1060" s="32"/>
    </row>
    <row r="1061" spans="2:10" ht="15">
      <c r="B1061" s="31"/>
      <c r="C1061" s="30"/>
      <c r="D1061" s="119"/>
      <c r="E1061" s="32"/>
      <c r="G1061" s="31">
        <v>1019</v>
      </c>
      <c r="H1061" s="30" t="str">
        <f t="shared" si="44"/>
        <v/>
      </c>
      <c r="I1061" s="74" t="str">
        <f t="shared" si="45"/>
        <v/>
      </c>
      <c r="J1061" s="32"/>
    </row>
    <row r="1062" spans="2:10" ht="15">
      <c r="B1062" s="31"/>
      <c r="C1062" s="30"/>
      <c r="D1062" s="119"/>
      <c r="E1062" s="32"/>
      <c r="G1062" s="31">
        <v>1020</v>
      </c>
      <c r="H1062" s="30" t="str">
        <f t="shared" si="44"/>
        <v/>
      </c>
      <c r="I1062" s="74" t="str">
        <f t="shared" si="45"/>
        <v/>
      </c>
      <c r="J1062" s="32"/>
    </row>
    <row r="1063" spans="2:10" ht="15">
      <c r="B1063" s="31"/>
      <c r="C1063" s="30"/>
      <c r="D1063" s="119"/>
      <c r="E1063" s="32"/>
      <c r="G1063" s="31">
        <v>1021</v>
      </c>
      <c r="H1063" s="30" t="str">
        <f t="shared" si="44"/>
        <v/>
      </c>
      <c r="I1063" s="74" t="str">
        <f t="shared" si="45"/>
        <v/>
      </c>
      <c r="J1063" s="32"/>
    </row>
    <row r="1064" spans="2:10" ht="15">
      <c r="B1064" s="31"/>
      <c r="C1064" s="30"/>
      <c r="D1064" s="119"/>
      <c r="E1064" s="32"/>
      <c r="G1064" s="31">
        <v>1022</v>
      </c>
      <c r="H1064" s="30" t="str">
        <f t="shared" si="44"/>
        <v/>
      </c>
      <c r="I1064" s="74" t="str">
        <f t="shared" si="45"/>
        <v/>
      </c>
      <c r="J1064" s="32"/>
    </row>
    <row r="1065" spans="2:10" ht="15">
      <c r="B1065" s="31"/>
      <c r="C1065" s="30"/>
      <c r="D1065" s="119"/>
      <c r="E1065" s="32"/>
      <c r="G1065" s="31">
        <v>1023</v>
      </c>
      <c r="H1065" s="30" t="str">
        <f t="shared" si="44"/>
        <v/>
      </c>
      <c r="I1065" s="74" t="str">
        <f t="shared" si="45"/>
        <v/>
      </c>
      <c r="J1065" s="32"/>
    </row>
    <row r="1066" spans="2:10" ht="15">
      <c r="B1066" s="31"/>
      <c r="C1066" s="30"/>
      <c r="D1066" s="119"/>
      <c r="E1066" s="32"/>
      <c r="G1066" s="31">
        <v>1024</v>
      </c>
      <c r="H1066" s="30" t="str">
        <f t="shared" si="44"/>
        <v/>
      </c>
      <c r="I1066" s="74" t="str">
        <f t="shared" si="45"/>
        <v/>
      </c>
      <c r="J1066" s="32"/>
    </row>
    <row r="1067" spans="2:10" ht="15">
      <c r="B1067" s="31"/>
      <c r="C1067" s="30"/>
      <c r="D1067" s="119"/>
      <c r="E1067" s="32"/>
      <c r="G1067" s="31">
        <v>1025</v>
      </c>
      <c r="H1067" s="30" t="str">
        <f t="shared" si="44"/>
        <v/>
      </c>
      <c r="I1067" s="74" t="str">
        <f t="shared" si="45"/>
        <v/>
      </c>
      <c r="J1067" s="32"/>
    </row>
    <row r="1068" spans="2:10" ht="15">
      <c r="B1068" s="31"/>
      <c r="C1068" s="30"/>
      <c r="D1068" s="119"/>
      <c r="E1068" s="32"/>
      <c r="G1068" s="31">
        <v>1026</v>
      </c>
      <c r="H1068" s="30" t="str">
        <f t="shared" ref="H1068:H1131" si="46">MID($I$41,G1068*8-7,8)</f>
        <v/>
      </c>
      <c r="I1068" s="74" t="str">
        <f t="shared" ref="I1068:I1131" si="47">IFERROR(BIN2DEC(VALUE(H1068)),"")</f>
        <v/>
      </c>
      <c r="J1068" s="32"/>
    </row>
    <row r="1069" spans="2:10" ht="15">
      <c r="B1069" s="31"/>
      <c r="C1069" s="30"/>
      <c r="D1069" s="119"/>
      <c r="E1069" s="32"/>
      <c r="G1069" s="31">
        <v>1027</v>
      </c>
      <c r="H1069" s="30" t="str">
        <f t="shared" si="46"/>
        <v/>
      </c>
      <c r="I1069" s="74" t="str">
        <f t="shared" si="47"/>
        <v/>
      </c>
      <c r="J1069" s="32"/>
    </row>
    <row r="1070" spans="2:10" ht="15">
      <c r="B1070" s="31"/>
      <c r="C1070" s="30"/>
      <c r="D1070" s="119"/>
      <c r="E1070" s="32"/>
      <c r="G1070" s="31">
        <v>1028</v>
      </c>
      <c r="H1070" s="30" t="str">
        <f t="shared" si="46"/>
        <v/>
      </c>
      <c r="I1070" s="74" t="str">
        <f t="shared" si="47"/>
        <v/>
      </c>
      <c r="J1070" s="32"/>
    </row>
    <row r="1071" spans="2:10" ht="15">
      <c r="B1071" s="31"/>
      <c r="C1071" s="30"/>
      <c r="D1071" s="119"/>
      <c r="E1071" s="32"/>
      <c r="G1071" s="31">
        <v>1029</v>
      </c>
      <c r="H1071" s="30" t="str">
        <f t="shared" si="46"/>
        <v/>
      </c>
      <c r="I1071" s="74" t="str">
        <f t="shared" si="47"/>
        <v/>
      </c>
      <c r="J1071" s="32"/>
    </row>
    <row r="1072" spans="2:10" ht="15">
      <c r="B1072" s="31"/>
      <c r="C1072" s="30"/>
      <c r="D1072" s="119"/>
      <c r="E1072" s="32"/>
      <c r="G1072" s="31">
        <v>1030</v>
      </c>
      <c r="H1072" s="30" t="str">
        <f t="shared" si="46"/>
        <v/>
      </c>
      <c r="I1072" s="74" t="str">
        <f t="shared" si="47"/>
        <v/>
      </c>
      <c r="J1072" s="32"/>
    </row>
    <row r="1073" spans="2:10" ht="15">
      <c r="B1073" s="31"/>
      <c r="C1073" s="30"/>
      <c r="D1073" s="119"/>
      <c r="E1073" s="32"/>
      <c r="G1073" s="31">
        <v>1031</v>
      </c>
      <c r="H1073" s="30" t="str">
        <f t="shared" si="46"/>
        <v/>
      </c>
      <c r="I1073" s="74" t="str">
        <f t="shared" si="47"/>
        <v/>
      </c>
      <c r="J1073" s="32"/>
    </row>
    <row r="1074" spans="2:10" ht="15">
      <c r="B1074" s="31"/>
      <c r="C1074" s="30"/>
      <c r="D1074" s="119"/>
      <c r="E1074" s="32"/>
      <c r="G1074" s="31">
        <v>1032</v>
      </c>
      <c r="H1074" s="30" t="str">
        <f t="shared" si="46"/>
        <v/>
      </c>
      <c r="I1074" s="74" t="str">
        <f t="shared" si="47"/>
        <v/>
      </c>
      <c r="J1074" s="32"/>
    </row>
    <row r="1075" spans="2:10" ht="15">
      <c r="B1075" s="31"/>
      <c r="C1075" s="30"/>
      <c r="D1075" s="119"/>
      <c r="E1075" s="32"/>
      <c r="G1075" s="31">
        <v>1033</v>
      </c>
      <c r="H1075" s="30" t="str">
        <f t="shared" si="46"/>
        <v/>
      </c>
      <c r="I1075" s="74" t="str">
        <f t="shared" si="47"/>
        <v/>
      </c>
      <c r="J1075" s="32"/>
    </row>
    <row r="1076" spans="2:10" ht="15">
      <c r="B1076" s="31"/>
      <c r="C1076" s="30"/>
      <c r="D1076" s="119"/>
      <c r="E1076" s="32"/>
      <c r="G1076" s="31">
        <v>1034</v>
      </c>
      <c r="H1076" s="30" t="str">
        <f t="shared" si="46"/>
        <v/>
      </c>
      <c r="I1076" s="74" t="str">
        <f t="shared" si="47"/>
        <v/>
      </c>
      <c r="J1076" s="32"/>
    </row>
    <row r="1077" spans="2:10" ht="15">
      <c r="B1077" s="31"/>
      <c r="C1077" s="30"/>
      <c r="D1077" s="119"/>
      <c r="E1077" s="32"/>
      <c r="G1077" s="31">
        <v>1035</v>
      </c>
      <c r="H1077" s="30" t="str">
        <f t="shared" si="46"/>
        <v/>
      </c>
      <c r="I1077" s="74" t="str">
        <f t="shared" si="47"/>
        <v/>
      </c>
      <c r="J1077" s="32"/>
    </row>
    <row r="1078" spans="2:10" ht="15">
      <c r="B1078" s="31"/>
      <c r="C1078" s="30"/>
      <c r="D1078" s="119"/>
      <c r="E1078" s="32"/>
      <c r="G1078" s="31">
        <v>1036</v>
      </c>
      <c r="H1078" s="30" t="str">
        <f t="shared" si="46"/>
        <v/>
      </c>
      <c r="I1078" s="74" t="str">
        <f t="shared" si="47"/>
        <v/>
      </c>
      <c r="J1078" s="32"/>
    </row>
    <row r="1079" spans="2:10" ht="15">
      <c r="B1079" s="31"/>
      <c r="C1079" s="30"/>
      <c r="D1079" s="119"/>
      <c r="E1079" s="32"/>
      <c r="G1079" s="31">
        <v>1037</v>
      </c>
      <c r="H1079" s="30" t="str">
        <f t="shared" si="46"/>
        <v/>
      </c>
      <c r="I1079" s="74" t="str">
        <f t="shared" si="47"/>
        <v/>
      </c>
      <c r="J1079" s="32"/>
    </row>
    <row r="1080" spans="2:10" ht="15">
      <c r="B1080" s="31"/>
      <c r="C1080" s="30"/>
      <c r="D1080" s="119"/>
      <c r="E1080" s="32"/>
      <c r="G1080" s="31">
        <v>1038</v>
      </c>
      <c r="H1080" s="30" t="str">
        <f t="shared" si="46"/>
        <v/>
      </c>
      <c r="I1080" s="74" t="str">
        <f t="shared" si="47"/>
        <v/>
      </c>
      <c r="J1080" s="32"/>
    </row>
    <row r="1081" spans="2:10" ht="15">
      <c r="B1081" s="31"/>
      <c r="C1081" s="30"/>
      <c r="D1081" s="119"/>
      <c r="E1081" s="32"/>
      <c r="G1081" s="31">
        <v>1039</v>
      </c>
      <c r="H1081" s="30" t="str">
        <f t="shared" si="46"/>
        <v/>
      </c>
      <c r="I1081" s="74" t="str">
        <f t="shared" si="47"/>
        <v/>
      </c>
      <c r="J1081" s="32"/>
    </row>
    <row r="1082" spans="2:10" ht="15">
      <c r="B1082" s="31"/>
      <c r="C1082" s="30"/>
      <c r="D1082" s="119"/>
      <c r="E1082" s="32"/>
      <c r="G1082" s="31">
        <v>1040</v>
      </c>
      <c r="H1082" s="30" t="str">
        <f t="shared" si="46"/>
        <v/>
      </c>
      <c r="I1082" s="74" t="str">
        <f t="shared" si="47"/>
        <v/>
      </c>
      <c r="J1082" s="32"/>
    </row>
    <row r="1083" spans="2:10" ht="15">
      <c r="B1083" s="31"/>
      <c r="C1083" s="30"/>
      <c r="D1083" s="119"/>
      <c r="E1083" s="32"/>
      <c r="G1083" s="31">
        <v>1041</v>
      </c>
      <c r="H1083" s="30" t="str">
        <f t="shared" si="46"/>
        <v/>
      </c>
      <c r="I1083" s="74" t="str">
        <f t="shared" si="47"/>
        <v/>
      </c>
      <c r="J1083" s="32"/>
    </row>
    <row r="1084" spans="2:10" ht="15">
      <c r="B1084" s="31"/>
      <c r="C1084" s="30"/>
      <c r="D1084" s="119"/>
      <c r="E1084" s="32"/>
      <c r="G1084" s="31">
        <v>1042</v>
      </c>
      <c r="H1084" s="30" t="str">
        <f t="shared" si="46"/>
        <v/>
      </c>
      <c r="I1084" s="74" t="str">
        <f t="shared" si="47"/>
        <v/>
      </c>
      <c r="J1084" s="32"/>
    </row>
    <row r="1085" spans="2:10" ht="15">
      <c r="B1085" s="31"/>
      <c r="C1085" s="30"/>
      <c r="D1085" s="119"/>
      <c r="E1085" s="32"/>
      <c r="G1085" s="31">
        <v>1043</v>
      </c>
      <c r="H1085" s="30" t="str">
        <f t="shared" si="46"/>
        <v/>
      </c>
      <c r="I1085" s="74" t="str">
        <f t="shared" si="47"/>
        <v/>
      </c>
      <c r="J1085" s="32"/>
    </row>
    <row r="1086" spans="2:10" ht="15">
      <c r="B1086" s="31"/>
      <c r="C1086" s="30"/>
      <c r="D1086" s="119"/>
      <c r="E1086" s="32"/>
      <c r="G1086" s="31">
        <v>1044</v>
      </c>
      <c r="H1086" s="30" t="str">
        <f t="shared" si="46"/>
        <v/>
      </c>
      <c r="I1086" s="74" t="str">
        <f t="shared" si="47"/>
        <v/>
      </c>
      <c r="J1086" s="32"/>
    </row>
    <row r="1087" spans="2:10" ht="15">
      <c r="B1087" s="31"/>
      <c r="C1087" s="30"/>
      <c r="D1087" s="119"/>
      <c r="E1087" s="32"/>
      <c r="G1087" s="31">
        <v>1045</v>
      </c>
      <c r="H1087" s="30" t="str">
        <f t="shared" si="46"/>
        <v/>
      </c>
      <c r="I1087" s="74" t="str">
        <f t="shared" si="47"/>
        <v/>
      </c>
      <c r="J1087" s="32"/>
    </row>
    <row r="1088" spans="2:10" ht="15">
      <c r="B1088" s="31"/>
      <c r="C1088" s="30"/>
      <c r="D1088" s="119"/>
      <c r="E1088" s="32"/>
      <c r="G1088" s="31">
        <v>1046</v>
      </c>
      <c r="H1088" s="30" t="str">
        <f t="shared" si="46"/>
        <v/>
      </c>
      <c r="I1088" s="74" t="str">
        <f t="shared" si="47"/>
        <v/>
      </c>
      <c r="J1088" s="32"/>
    </row>
    <row r="1089" spans="2:10" ht="15">
      <c r="B1089" s="31"/>
      <c r="C1089" s="30"/>
      <c r="D1089" s="119"/>
      <c r="E1089" s="32"/>
      <c r="G1089" s="31">
        <v>1047</v>
      </c>
      <c r="H1089" s="30" t="str">
        <f t="shared" si="46"/>
        <v/>
      </c>
      <c r="I1089" s="74" t="str">
        <f t="shared" si="47"/>
        <v/>
      </c>
      <c r="J1089" s="32"/>
    </row>
    <row r="1090" spans="2:10" ht="15">
      <c r="B1090" s="31"/>
      <c r="C1090" s="30"/>
      <c r="D1090" s="119"/>
      <c r="E1090" s="32"/>
      <c r="G1090" s="31">
        <v>1048</v>
      </c>
      <c r="H1090" s="30" t="str">
        <f t="shared" si="46"/>
        <v/>
      </c>
      <c r="I1090" s="74" t="str">
        <f t="shared" si="47"/>
        <v/>
      </c>
      <c r="J1090" s="32"/>
    </row>
    <row r="1091" spans="2:10" ht="15">
      <c r="B1091" s="31"/>
      <c r="C1091" s="30"/>
      <c r="D1091" s="119"/>
      <c r="E1091" s="32"/>
      <c r="G1091" s="31">
        <v>1049</v>
      </c>
      <c r="H1091" s="30" t="str">
        <f t="shared" si="46"/>
        <v/>
      </c>
      <c r="I1091" s="74" t="str">
        <f t="shared" si="47"/>
        <v/>
      </c>
      <c r="J1091" s="32"/>
    </row>
    <row r="1092" spans="2:10" ht="15">
      <c r="B1092" s="31"/>
      <c r="C1092" s="30"/>
      <c r="D1092" s="119"/>
      <c r="E1092" s="32"/>
      <c r="G1092" s="31">
        <v>1050</v>
      </c>
      <c r="H1092" s="30" t="str">
        <f t="shared" si="46"/>
        <v/>
      </c>
      <c r="I1092" s="74" t="str">
        <f t="shared" si="47"/>
        <v/>
      </c>
      <c r="J1092" s="32"/>
    </row>
    <row r="1093" spans="2:10" ht="15">
      <c r="B1093" s="31"/>
      <c r="C1093" s="30"/>
      <c r="D1093" s="119"/>
      <c r="E1093" s="32"/>
      <c r="G1093" s="31">
        <v>1051</v>
      </c>
      <c r="H1093" s="30" t="str">
        <f t="shared" si="46"/>
        <v/>
      </c>
      <c r="I1093" s="74" t="str">
        <f t="shared" si="47"/>
        <v/>
      </c>
      <c r="J1093" s="32"/>
    </row>
    <row r="1094" spans="2:10" ht="15">
      <c r="B1094" s="31"/>
      <c r="C1094" s="30"/>
      <c r="D1094" s="119"/>
      <c r="E1094" s="32"/>
      <c r="G1094" s="31">
        <v>1052</v>
      </c>
      <c r="H1094" s="30" t="str">
        <f t="shared" si="46"/>
        <v/>
      </c>
      <c r="I1094" s="74" t="str">
        <f t="shared" si="47"/>
        <v/>
      </c>
      <c r="J1094" s="32"/>
    </row>
    <row r="1095" spans="2:10" ht="15">
      <c r="B1095" s="31"/>
      <c r="C1095" s="30"/>
      <c r="D1095" s="119"/>
      <c r="E1095" s="32"/>
      <c r="G1095" s="31">
        <v>1053</v>
      </c>
      <c r="H1095" s="30" t="str">
        <f t="shared" si="46"/>
        <v/>
      </c>
      <c r="I1095" s="74" t="str">
        <f t="shared" si="47"/>
        <v/>
      </c>
      <c r="J1095" s="32"/>
    </row>
    <row r="1096" spans="2:10" ht="15">
      <c r="B1096" s="31"/>
      <c r="C1096" s="30"/>
      <c r="D1096" s="119"/>
      <c r="E1096" s="32"/>
      <c r="G1096" s="31">
        <v>1054</v>
      </c>
      <c r="H1096" s="30" t="str">
        <f t="shared" si="46"/>
        <v/>
      </c>
      <c r="I1096" s="74" t="str">
        <f t="shared" si="47"/>
        <v/>
      </c>
      <c r="J1096" s="32"/>
    </row>
    <row r="1097" spans="2:10" ht="15">
      <c r="B1097" s="31"/>
      <c r="C1097" s="30"/>
      <c r="D1097" s="119"/>
      <c r="E1097" s="32"/>
      <c r="G1097" s="31">
        <v>1055</v>
      </c>
      <c r="H1097" s="30" t="str">
        <f t="shared" si="46"/>
        <v/>
      </c>
      <c r="I1097" s="74" t="str">
        <f t="shared" si="47"/>
        <v/>
      </c>
      <c r="J1097" s="32"/>
    </row>
    <row r="1098" spans="2:10" ht="15">
      <c r="B1098" s="31"/>
      <c r="C1098" s="30"/>
      <c r="D1098" s="119"/>
      <c r="E1098" s="32"/>
      <c r="G1098" s="31">
        <v>1056</v>
      </c>
      <c r="H1098" s="30" t="str">
        <f t="shared" si="46"/>
        <v/>
      </c>
      <c r="I1098" s="74" t="str">
        <f t="shared" si="47"/>
        <v/>
      </c>
      <c r="J1098" s="32"/>
    </row>
    <row r="1099" spans="2:10" ht="15">
      <c r="B1099" s="31"/>
      <c r="C1099" s="30"/>
      <c r="D1099" s="119"/>
      <c r="E1099" s="32"/>
      <c r="G1099" s="31">
        <v>1057</v>
      </c>
      <c r="H1099" s="30" t="str">
        <f t="shared" si="46"/>
        <v/>
      </c>
      <c r="I1099" s="74" t="str">
        <f t="shared" si="47"/>
        <v/>
      </c>
      <c r="J1099" s="32"/>
    </row>
    <row r="1100" spans="2:10" ht="15">
      <c r="B1100" s="31"/>
      <c r="C1100" s="30"/>
      <c r="D1100" s="119"/>
      <c r="E1100" s="32"/>
      <c r="G1100" s="31">
        <v>1058</v>
      </c>
      <c r="H1100" s="30" t="str">
        <f t="shared" si="46"/>
        <v/>
      </c>
      <c r="I1100" s="74" t="str">
        <f t="shared" si="47"/>
        <v/>
      </c>
      <c r="J1100" s="32"/>
    </row>
    <row r="1101" spans="2:10" ht="15">
      <c r="B1101" s="31"/>
      <c r="C1101" s="30"/>
      <c r="D1101" s="119"/>
      <c r="E1101" s="32"/>
      <c r="G1101" s="31">
        <v>1059</v>
      </c>
      <c r="H1101" s="30" t="str">
        <f t="shared" si="46"/>
        <v/>
      </c>
      <c r="I1101" s="74" t="str">
        <f t="shared" si="47"/>
        <v/>
      </c>
      <c r="J1101" s="32"/>
    </row>
    <row r="1102" spans="2:10" ht="15">
      <c r="B1102" s="31"/>
      <c r="C1102" s="30"/>
      <c r="D1102" s="119"/>
      <c r="E1102" s="32"/>
      <c r="G1102" s="31">
        <v>1060</v>
      </c>
      <c r="H1102" s="30" t="str">
        <f t="shared" si="46"/>
        <v/>
      </c>
      <c r="I1102" s="74" t="str">
        <f t="shared" si="47"/>
        <v/>
      </c>
      <c r="J1102" s="32"/>
    </row>
    <row r="1103" spans="2:10" ht="15">
      <c r="B1103" s="31"/>
      <c r="C1103" s="30"/>
      <c r="D1103" s="119"/>
      <c r="E1103" s="32"/>
      <c r="G1103" s="31">
        <v>1061</v>
      </c>
      <c r="H1103" s="30" t="str">
        <f t="shared" si="46"/>
        <v/>
      </c>
      <c r="I1103" s="74" t="str">
        <f t="shared" si="47"/>
        <v/>
      </c>
      <c r="J1103" s="32"/>
    </row>
    <row r="1104" spans="2:10" ht="15">
      <c r="B1104" s="31"/>
      <c r="C1104" s="30"/>
      <c r="D1104" s="119"/>
      <c r="E1104" s="32"/>
      <c r="G1104" s="31">
        <v>1062</v>
      </c>
      <c r="H1104" s="30" t="str">
        <f t="shared" si="46"/>
        <v/>
      </c>
      <c r="I1104" s="74" t="str">
        <f t="shared" si="47"/>
        <v/>
      </c>
      <c r="J1104" s="32"/>
    </row>
    <row r="1105" spans="2:10" ht="15">
      <c r="B1105" s="31"/>
      <c r="C1105" s="30"/>
      <c r="D1105" s="119"/>
      <c r="E1105" s="32"/>
      <c r="G1105" s="31">
        <v>1063</v>
      </c>
      <c r="H1105" s="30" t="str">
        <f t="shared" si="46"/>
        <v/>
      </c>
      <c r="I1105" s="74" t="str">
        <f t="shared" si="47"/>
        <v/>
      </c>
      <c r="J1105" s="32"/>
    </row>
    <row r="1106" spans="2:10" ht="15">
      <c r="B1106" s="31"/>
      <c r="C1106" s="30"/>
      <c r="D1106" s="119"/>
      <c r="E1106" s="32"/>
      <c r="G1106" s="31">
        <v>1064</v>
      </c>
      <c r="H1106" s="30" t="str">
        <f t="shared" si="46"/>
        <v/>
      </c>
      <c r="I1106" s="74" t="str">
        <f t="shared" si="47"/>
        <v/>
      </c>
      <c r="J1106" s="32"/>
    </row>
    <row r="1107" spans="2:10" ht="15">
      <c r="B1107" s="31"/>
      <c r="C1107" s="30"/>
      <c r="D1107" s="119"/>
      <c r="E1107" s="32"/>
      <c r="G1107" s="31">
        <v>1065</v>
      </c>
      <c r="H1107" s="30" t="str">
        <f t="shared" si="46"/>
        <v/>
      </c>
      <c r="I1107" s="74" t="str">
        <f t="shared" si="47"/>
        <v/>
      </c>
      <c r="J1107" s="32"/>
    </row>
    <row r="1108" spans="2:10" ht="15">
      <c r="B1108" s="31"/>
      <c r="C1108" s="30"/>
      <c r="D1108" s="119"/>
      <c r="E1108" s="32"/>
      <c r="G1108" s="31">
        <v>1066</v>
      </c>
      <c r="H1108" s="30" t="str">
        <f t="shared" si="46"/>
        <v/>
      </c>
      <c r="I1108" s="74" t="str">
        <f t="shared" si="47"/>
        <v/>
      </c>
      <c r="J1108" s="32"/>
    </row>
    <row r="1109" spans="2:10" ht="15">
      <c r="B1109" s="31"/>
      <c r="C1109" s="30"/>
      <c r="D1109" s="119"/>
      <c r="E1109" s="32"/>
      <c r="G1109" s="31">
        <v>1067</v>
      </c>
      <c r="H1109" s="30" t="str">
        <f t="shared" si="46"/>
        <v/>
      </c>
      <c r="I1109" s="74" t="str">
        <f t="shared" si="47"/>
        <v/>
      </c>
      <c r="J1109" s="32"/>
    </row>
    <row r="1110" spans="2:10" ht="15">
      <c r="B1110" s="31"/>
      <c r="C1110" s="30"/>
      <c r="D1110" s="119"/>
      <c r="E1110" s="32"/>
      <c r="G1110" s="31">
        <v>1068</v>
      </c>
      <c r="H1110" s="30" t="str">
        <f t="shared" si="46"/>
        <v/>
      </c>
      <c r="I1110" s="74" t="str">
        <f t="shared" si="47"/>
        <v/>
      </c>
      <c r="J1110" s="32"/>
    </row>
    <row r="1111" spans="2:10" ht="15">
      <c r="B1111" s="31"/>
      <c r="C1111" s="30"/>
      <c r="D1111" s="119"/>
      <c r="E1111" s="32"/>
      <c r="G1111" s="31">
        <v>1069</v>
      </c>
      <c r="H1111" s="30" t="str">
        <f t="shared" si="46"/>
        <v/>
      </c>
      <c r="I1111" s="74" t="str">
        <f t="shared" si="47"/>
        <v/>
      </c>
      <c r="J1111" s="32"/>
    </row>
    <row r="1112" spans="2:10" ht="15">
      <c r="B1112" s="31"/>
      <c r="C1112" s="30"/>
      <c r="D1112" s="119"/>
      <c r="E1112" s="32"/>
      <c r="G1112" s="31">
        <v>1070</v>
      </c>
      <c r="H1112" s="30" t="str">
        <f t="shared" si="46"/>
        <v/>
      </c>
      <c r="I1112" s="74" t="str">
        <f t="shared" si="47"/>
        <v/>
      </c>
      <c r="J1112" s="32"/>
    </row>
    <row r="1113" spans="2:10" ht="15">
      <c r="B1113" s="31"/>
      <c r="C1113" s="30"/>
      <c r="D1113" s="119"/>
      <c r="E1113" s="32"/>
      <c r="G1113" s="31">
        <v>1071</v>
      </c>
      <c r="H1113" s="30" t="str">
        <f t="shared" si="46"/>
        <v/>
      </c>
      <c r="I1113" s="74" t="str">
        <f t="shared" si="47"/>
        <v/>
      </c>
      <c r="J1113" s="32"/>
    </row>
    <row r="1114" spans="2:10" ht="15">
      <c r="B1114" s="31"/>
      <c r="C1114" s="30"/>
      <c r="D1114" s="119"/>
      <c r="E1114" s="32"/>
      <c r="G1114" s="31">
        <v>1072</v>
      </c>
      <c r="H1114" s="30" t="str">
        <f t="shared" si="46"/>
        <v/>
      </c>
      <c r="I1114" s="74" t="str">
        <f t="shared" si="47"/>
        <v/>
      </c>
      <c r="J1114" s="32"/>
    </row>
    <row r="1115" spans="2:10" ht="15">
      <c r="B1115" s="31"/>
      <c r="C1115" s="30"/>
      <c r="D1115" s="119"/>
      <c r="E1115" s="32"/>
      <c r="G1115" s="31">
        <v>1073</v>
      </c>
      <c r="H1115" s="30" t="str">
        <f t="shared" si="46"/>
        <v/>
      </c>
      <c r="I1115" s="74" t="str">
        <f t="shared" si="47"/>
        <v/>
      </c>
      <c r="J1115" s="32"/>
    </row>
    <row r="1116" spans="2:10" ht="15">
      <c r="B1116" s="31"/>
      <c r="C1116" s="30"/>
      <c r="D1116" s="119"/>
      <c r="E1116" s="32"/>
      <c r="G1116" s="31">
        <v>1074</v>
      </c>
      <c r="H1116" s="30" t="str">
        <f t="shared" si="46"/>
        <v/>
      </c>
      <c r="I1116" s="74" t="str">
        <f t="shared" si="47"/>
        <v/>
      </c>
      <c r="J1116" s="32"/>
    </row>
    <row r="1117" spans="2:10" ht="15">
      <c r="B1117" s="31"/>
      <c r="C1117" s="30"/>
      <c r="D1117" s="119"/>
      <c r="E1117" s="32"/>
      <c r="G1117" s="31">
        <v>1075</v>
      </c>
      <c r="H1117" s="30" t="str">
        <f t="shared" si="46"/>
        <v/>
      </c>
      <c r="I1117" s="74" t="str">
        <f t="shared" si="47"/>
        <v/>
      </c>
      <c r="J1117" s="32"/>
    </row>
    <row r="1118" spans="2:10" ht="15">
      <c r="B1118" s="31"/>
      <c r="C1118" s="30"/>
      <c r="D1118" s="119"/>
      <c r="E1118" s="32"/>
      <c r="G1118" s="31">
        <v>1076</v>
      </c>
      <c r="H1118" s="30" t="str">
        <f t="shared" si="46"/>
        <v/>
      </c>
      <c r="I1118" s="74" t="str">
        <f t="shared" si="47"/>
        <v/>
      </c>
      <c r="J1118" s="32"/>
    </row>
    <row r="1119" spans="2:10" ht="15">
      <c r="B1119" s="31"/>
      <c r="C1119" s="30"/>
      <c r="D1119" s="119"/>
      <c r="E1119" s="32"/>
      <c r="G1119" s="31">
        <v>1077</v>
      </c>
      <c r="H1119" s="30" t="str">
        <f t="shared" si="46"/>
        <v/>
      </c>
      <c r="I1119" s="74" t="str">
        <f t="shared" si="47"/>
        <v/>
      </c>
      <c r="J1119" s="32"/>
    </row>
    <row r="1120" spans="2:10" ht="15">
      <c r="B1120" s="31"/>
      <c r="C1120" s="30"/>
      <c r="D1120" s="119"/>
      <c r="E1120" s="32"/>
      <c r="G1120" s="31">
        <v>1078</v>
      </c>
      <c r="H1120" s="30" t="str">
        <f t="shared" si="46"/>
        <v/>
      </c>
      <c r="I1120" s="74" t="str">
        <f t="shared" si="47"/>
        <v/>
      </c>
      <c r="J1120" s="32"/>
    </row>
    <row r="1121" spans="2:10" ht="15">
      <c r="B1121" s="31"/>
      <c r="C1121" s="30"/>
      <c r="D1121" s="119"/>
      <c r="E1121" s="32"/>
      <c r="G1121" s="31">
        <v>1079</v>
      </c>
      <c r="H1121" s="30" t="str">
        <f t="shared" si="46"/>
        <v/>
      </c>
      <c r="I1121" s="74" t="str">
        <f t="shared" si="47"/>
        <v/>
      </c>
      <c r="J1121" s="32"/>
    </row>
    <row r="1122" spans="2:10" ht="15">
      <c r="B1122" s="31"/>
      <c r="C1122" s="30"/>
      <c r="D1122" s="119"/>
      <c r="E1122" s="32"/>
      <c r="G1122" s="31">
        <v>1080</v>
      </c>
      <c r="H1122" s="30" t="str">
        <f t="shared" si="46"/>
        <v/>
      </c>
      <c r="I1122" s="74" t="str">
        <f t="shared" si="47"/>
        <v/>
      </c>
      <c r="J1122" s="32"/>
    </row>
    <row r="1123" spans="2:10" ht="15">
      <c r="B1123" s="31"/>
      <c r="C1123" s="30"/>
      <c r="D1123" s="119"/>
      <c r="E1123" s="32"/>
      <c r="G1123" s="31">
        <v>1081</v>
      </c>
      <c r="H1123" s="30" t="str">
        <f t="shared" si="46"/>
        <v/>
      </c>
      <c r="I1123" s="74" t="str">
        <f t="shared" si="47"/>
        <v/>
      </c>
      <c r="J1123" s="32"/>
    </row>
    <row r="1124" spans="2:10" ht="15">
      <c r="B1124" s="31"/>
      <c r="C1124" s="30"/>
      <c r="D1124" s="119"/>
      <c r="E1124" s="32"/>
      <c r="G1124" s="31">
        <v>1082</v>
      </c>
      <c r="H1124" s="30" t="str">
        <f t="shared" si="46"/>
        <v/>
      </c>
      <c r="I1124" s="74" t="str">
        <f t="shared" si="47"/>
        <v/>
      </c>
      <c r="J1124" s="32"/>
    </row>
    <row r="1125" spans="2:10" ht="15">
      <c r="B1125" s="31"/>
      <c r="C1125" s="30"/>
      <c r="D1125" s="119"/>
      <c r="E1125" s="32"/>
      <c r="G1125" s="31">
        <v>1083</v>
      </c>
      <c r="H1125" s="30" t="str">
        <f t="shared" si="46"/>
        <v/>
      </c>
      <c r="I1125" s="74" t="str">
        <f t="shared" si="47"/>
        <v/>
      </c>
      <c r="J1125" s="32"/>
    </row>
    <row r="1126" spans="2:10" ht="15">
      <c r="B1126" s="31"/>
      <c r="C1126" s="30"/>
      <c r="D1126" s="119"/>
      <c r="E1126" s="32"/>
      <c r="G1126" s="31">
        <v>1084</v>
      </c>
      <c r="H1126" s="30" t="str">
        <f t="shared" si="46"/>
        <v/>
      </c>
      <c r="I1126" s="74" t="str">
        <f t="shared" si="47"/>
        <v/>
      </c>
      <c r="J1126" s="32"/>
    </row>
    <row r="1127" spans="2:10" ht="15">
      <c r="B1127" s="31"/>
      <c r="C1127" s="30"/>
      <c r="D1127" s="119"/>
      <c r="E1127" s="32"/>
      <c r="G1127" s="31">
        <v>1085</v>
      </c>
      <c r="H1127" s="30" t="str">
        <f t="shared" si="46"/>
        <v/>
      </c>
      <c r="I1127" s="74" t="str">
        <f t="shared" si="47"/>
        <v/>
      </c>
      <c r="J1127" s="32"/>
    </row>
    <row r="1128" spans="2:10" ht="15">
      <c r="B1128" s="31"/>
      <c r="C1128" s="30"/>
      <c r="D1128" s="119"/>
      <c r="E1128" s="32"/>
      <c r="G1128" s="31">
        <v>1086</v>
      </c>
      <c r="H1128" s="30" t="str">
        <f t="shared" si="46"/>
        <v/>
      </c>
      <c r="I1128" s="74" t="str">
        <f t="shared" si="47"/>
        <v/>
      </c>
      <c r="J1128" s="32"/>
    </row>
    <row r="1129" spans="2:10" ht="15">
      <c r="B1129" s="31"/>
      <c r="C1129" s="30"/>
      <c r="D1129" s="119"/>
      <c r="E1129" s="32"/>
      <c r="G1129" s="31">
        <v>1087</v>
      </c>
      <c r="H1129" s="30" t="str">
        <f t="shared" si="46"/>
        <v/>
      </c>
      <c r="I1129" s="74" t="str">
        <f t="shared" si="47"/>
        <v/>
      </c>
      <c r="J1129" s="32"/>
    </row>
    <row r="1130" spans="2:10" ht="15">
      <c r="B1130" s="31"/>
      <c r="C1130" s="30"/>
      <c r="D1130" s="119"/>
      <c r="E1130" s="32"/>
      <c r="G1130" s="31">
        <v>1088</v>
      </c>
      <c r="H1130" s="30" t="str">
        <f t="shared" si="46"/>
        <v/>
      </c>
      <c r="I1130" s="74" t="str">
        <f t="shared" si="47"/>
        <v/>
      </c>
      <c r="J1130" s="32"/>
    </row>
    <row r="1131" spans="2:10" ht="15">
      <c r="B1131" s="31"/>
      <c r="C1131" s="30"/>
      <c r="D1131" s="119"/>
      <c r="E1131" s="32"/>
      <c r="G1131" s="31">
        <v>1089</v>
      </c>
      <c r="H1131" s="30" t="str">
        <f t="shared" si="46"/>
        <v/>
      </c>
      <c r="I1131" s="74" t="str">
        <f t="shared" si="47"/>
        <v/>
      </c>
      <c r="J1131" s="32"/>
    </row>
    <row r="1132" spans="2:10" ht="15">
      <c r="B1132" s="31"/>
      <c r="C1132" s="30"/>
      <c r="D1132" s="119"/>
      <c r="E1132" s="32"/>
      <c r="G1132" s="31">
        <v>1090</v>
      </c>
      <c r="H1132" s="30" t="str">
        <f t="shared" ref="H1132:H1195" si="48">MID($I$41,G1132*8-7,8)</f>
        <v/>
      </c>
      <c r="I1132" s="74" t="str">
        <f t="shared" ref="I1132:I1195" si="49">IFERROR(BIN2DEC(VALUE(H1132)),"")</f>
        <v/>
      </c>
      <c r="J1132" s="32"/>
    </row>
    <row r="1133" spans="2:10" ht="15">
      <c r="B1133" s="31"/>
      <c r="C1133" s="30"/>
      <c r="D1133" s="119"/>
      <c r="E1133" s="32"/>
      <c r="G1133" s="31">
        <v>1091</v>
      </c>
      <c r="H1133" s="30" t="str">
        <f t="shared" si="48"/>
        <v/>
      </c>
      <c r="I1133" s="74" t="str">
        <f t="shared" si="49"/>
        <v/>
      </c>
      <c r="J1133" s="32"/>
    </row>
    <row r="1134" spans="2:10" ht="15">
      <c r="B1134" s="31"/>
      <c r="C1134" s="30"/>
      <c r="D1134" s="119"/>
      <c r="E1134" s="32"/>
      <c r="G1134" s="31">
        <v>1092</v>
      </c>
      <c r="H1134" s="30" t="str">
        <f t="shared" si="48"/>
        <v/>
      </c>
      <c r="I1134" s="74" t="str">
        <f t="shared" si="49"/>
        <v/>
      </c>
      <c r="J1134" s="32"/>
    </row>
    <row r="1135" spans="2:10" ht="15">
      <c r="B1135" s="31"/>
      <c r="C1135" s="30"/>
      <c r="D1135" s="119"/>
      <c r="E1135" s="32"/>
      <c r="G1135" s="31">
        <v>1093</v>
      </c>
      <c r="H1135" s="30" t="str">
        <f t="shared" si="48"/>
        <v/>
      </c>
      <c r="I1135" s="74" t="str">
        <f t="shared" si="49"/>
        <v/>
      </c>
      <c r="J1135" s="32"/>
    </row>
    <row r="1136" spans="2:10" ht="15">
      <c r="B1136" s="31"/>
      <c r="C1136" s="30"/>
      <c r="D1136" s="119"/>
      <c r="E1136" s="32"/>
      <c r="G1136" s="31">
        <v>1094</v>
      </c>
      <c r="H1136" s="30" t="str">
        <f t="shared" si="48"/>
        <v/>
      </c>
      <c r="I1136" s="74" t="str">
        <f t="shared" si="49"/>
        <v/>
      </c>
      <c r="J1136" s="32"/>
    </row>
    <row r="1137" spans="2:10" ht="15">
      <c r="B1137" s="31"/>
      <c r="C1137" s="30"/>
      <c r="D1137" s="119"/>
      <c r="E1137" s="32"/>
      <c r="G1137" s="31">
        <v>1095</v>
      </c>
      <c r="H1137" s="30" t="str">
        <f t="shared" si="48"/>
        <v/>
      </c>
      <c r="I1137" s="74" t="str">
        <f t="shared" si="49"/>
        <v/>
      </c>
      <c r="J1137" s="32"/>
    </row>
    <row r="1138" spans="2:10" ht="15">
      <c r="B1138" s="31"/>
      <c r="C1138" s="30"/>
      <c r="D1138" s="119"/>
      <c r="E1138" s="32"/>
      <c r="G1138" s="31">
        <v>1096</v>
      </c>
      <c r="H1138" s="30" t="str">
        <f t="shared" si="48"/>
        <v/>
      </c>
      <c r="I1138" s="74" t="str">
        <f t="shared" si="49"/>
        <v/>
      </c>
      <c r="J1138" s="32"/>
    </row>
    <row r="1139" spans="2:10" ht="15">
      <c r="B1139" s="31"/>
      <c r="C1139" s="30"/>
      <c r="D1139" s="119"/>
      <c r="E1139" s="32"/>
      <c r="G1139" s="31">
        <v>1097</v>
      </c>
      <c r="H1139" s="30" t="str">
        <f t="shared" si="48"/>
        <v/>
      </c>
      <c r="I1139" s="74" t="str">
        <f t="shared" si="49"/>
        <v/>
      </c>
      <c r="J1139" s="32"/>
    </row>
    <row r="1140" spans="2:10" ht="15">
      <c r="B1140" s="31"/>
      <c r="C1140" s="30"/>
      <c r="D1140" s="119"/>
      <c r="E1140" s="32"/>
      <c r="G1140" s="31">
        <v>1098</v>
      </c>
      <c r="H1140" s="30" t="str">
        <f t="shared" si="48"/>
        <v/>
      </c>
      <c r="I1140" s="74" t="str">
        <f t="shared" si="49"/>
        <v/>
      </c>
      <c r="J1140" s="32"/>
    </row>
    <row r="1141" spans="2:10" ht="15">
      <c r="B1141" s="31"/>
      <c r="C1141" s="30"/>
      <c r="D1141" s="119"/>
      <c r="E1141" s="32"/>
      <c r="G1141" s="31">
        <v>1099</v>
      </c>
      <c r="H1141" s="30" t="str">
        <f t="shared" si="48"/>
        <v/>
      </c>
      <c r="I1141" s="74" t="str">
        <f t="shared" si="49"/>
        <v/>
      </c>
      <c r="J1141" s="32"/>
    </row>
    <row r="1142" spans="2:10" ht="15">
      <c r="B1142" s="31"/>
      <c r="C1142" s="30"/>
      <c r="D1142" s="119"/>
      <c r="E1142" s="32"/>
      <c r="G1142" s="31">
        <v>1100</v>
      </c>
      <c r="H1142" s="30" t="str">
        <f t="shared" si="48"/>
        <v/>
      </c>
      <c r="I1142" s="74" t="str">
        <f t="shared" si="49"/>
        <v/>
      </c>
      <c r="J1142" s="32"/>
    </row>
    <row r="1143" spans="2:10" ht="15">
      <c r="B1143" s="31"/>
      <c r="C1143" s="30"/>
      <c r="D1143" s="119"/>
      <c r="E1143" s="32"/>
      <c r="G1143" s="31">
        <v>1101</v>
      </c>
      <c r="H1143" s="30" t="str">
        <f t="shared" si="48"/>
        <v/>
      </c>
      <c r="I1143" s="74" t="str">
        <f t="shared" si="49"/>
        <v/>
      </c>
      <c r="J1143" s="32"/>
    </row>
    <row r="1144" spans="2:10" ht="15">
      <c r="B1144" s="31"/>
      <c r="C1144" s="30"/>
      <c r="D1144" s="119"/>
      <c r="E1144" s="32"/>
      <c r="G1144" s="31">
        <v>1102</v>
      </c>
      <c r="H1144" s="30" t="str">
        <f t="shared" si="48"/>
        <v/>
      </c>
      <c r="I1144" s="74" t="str">
        <f t="shared" si="49"/>
        <v/>
      </c>
      <c r="J1144" s="32"/>
    </row>
    <row r="1145" spans="2:10" ht="15">
      <c r="B1145" s="31"/>
      <c r="C1145" s="30"/>
      <c r="D1145" s="119"/>
      <c r="E1145" s="32"/>
      <c r="G1145" s="31">
        <v>1103</v>
      </c>
      <c r="H1145" s="30" t="str">
        <f t="shared" si="48"/>
        <v/>
      </c>
      <c r="I1145" s="74" t="str">
        <f t="shared" si="49"/>
        <v/>
      </c>
      <c r="J1145" s="32"/>
    </row>
    <row r="1146" spans="2:10" ht="15">
      <c r="B1146" s="31"/>
      <c r="C1146" s="30"/>
      <c r="D1146" s="119"/>
      <c r="E1146" s="32"/>
      <c r="G1146" s="31">
        <v>1104</v>
      </c>
      <c r="H1146" s="30" t="str">
        <f t="shared" si="48"/>
        <v/>
      </c>
      <c r="I1146" s="74" t="str">
        <f t="shared" si="49"/>
        <v/>
      </c>
      <c r="J1146" s="32"/>
    </row>
    <row r="1147" spans="2:10" ht="15">
      <c r="B1147" s="31"/>
      <c r="C1147" s="30"/>
      <c r="D1147" s="119"/>
      <c r="E1147" s="32"/>
      <c r="G1147" s="31">
        <v>1105</v>
      </c>
      <c r="H1147" s="30" t="str">
        <f t="shared" si="48"/>
        <v/>
      </c>
      <c r="I1147" s="74" t="str">
        <f t="shared" si="49"/>
        <v/>
      </c>
      <c r="J1147" s="32"/>
    </row>
    <row r="1148" spans="2:10" ht="15">
      <c r="B1148" s="31"/>
      <c r="C1148" s="30"/>
      <c r="D1148" s="119"/>
      <c r="E1148" s="32"/>
      <c r="G1148" s="31">
        <v>1106</v>
      </c>
      <c r="H1148" s="30" t="str">
        <f t="shared" si="48"/>
        <v/>
      </c>
      <c r="I1148" s="74" t="str">
        <f t="shared" si="49"/>
        <v/>
      </c>
      <c r="J1148" s="32"/>
    </row>
    <row r="1149" spans="2:10" ht="15">
      <c r="B1149" s="31"/>
      <c r="C1149" s="30"/>
      <c r="D1149" s="119"/>
      <c r="E1149" s="32"/>
      <c r="G1149" s="31">
        <v>1107</v>
      </c>
      <c r="H1149" s="30" t="str">
        <f t="shared" si="48"/>
        <v/>
      </c>
      <c r="I1149" s="74" t="str">
        <f t="shared" si="49"/>
        <v/>
      </c>
      <c r="J1149" s="32"/>
    </row>
    <row r="1150" spans="2:10" ht="15">
      <c r="B1150" s="31"/>
      <c r="C1150" s="30"/>
      <c r="D1150" s="119"/>
      <c r="E1150" s="32"/>
      <c r="G1150" s="31">
        <v>1108</v>
      </c>
      <c r="H1150" s="30" t="str">
        <f t="shared" si="48"/>
        <v/>
      </c>
      <c r="I1150" s="74" t="str">
        <f t="shared" si="49"/>
        <v/>
      </c>
      <c r="J1150" s="32"/>
    </row>
    <row r="1151" spans="2:10" ht="15">
      <c r="B1151" s="31"/>
      <c r="C1151" s="30"/>
      <c r="D1151" s="119"/>
      <c r="E1151" s="32"/>
      <c r="G1151" s="31">
        <v>1109</v>
      </c>
      <c r="H1151" s="30" t="str">
        <f t="shared" si="48"/>
        <v/>
      </c>
      <c r="I1151" s="74" t="str">
        <f t="shared" si="49"/>
        <v/>
      </c>
      <c r="J1151" s="32"/>
    </row>
    <row r="1152" spans="2:10" ht="15">
      <c r="B1152" s="31"/>
      <c r="C1152" s="30"/>
      <c r="D1152" s="119"/>
      <c r="E1152" s="32"/>
      <c r="G1152" s="31">
        <v>1110</v>
      </c>
      <c r="H1152" s="30" t="str">
        <f t="shared" si="48"/>
        <v/>
      </c>
      <c r="I1152" s="74" t="str">
        <f t="shared" si="49"/>
        <v/>
      </c>
      <c r="J1152" s="32"/>
    </row>
    <row r="1153" spans="2:10" ht="15">
      <c r="B1153" s="31"/>
      <c r="C1153" s="30"/>
      <c r="D1153" s="119"/>
      <c r="E1153" s="32"/>
      <c r="G1153" s="31">
        <v>1111</v>
      </c>
      <c r="H1153" s="30" t="str">
        <f t="shared" si="48"/>
        <v/>
      </c>
      <c r="I1153" s="74" t="str">
        <f t="shared" si="49"/>
        <v/>
      </c>
      <c r="J1153" s="32"/>
    </row>
    <row r="1154" spans="2:10" ht="15">
      <c r="B1154" s="31"/>
      <c r="C1154" s="30"/>
      <c r="D1154" s="119"/>
      <c r="E1154" s="32"/>
      <c r="G1154" s="31">
        <v>1112</v>
      </c>
      <c r="H1154" s="30" t="str">
        <f t="shared" si="48"/>
        <v/>
      </c>
      <c r="I1154" s="74" t="str">
        <f t="shared" si="49"/>
        <v/>
      </c>
      <c r="J1154" s="32"/>
    </row>
    <row r="1155" spans="2:10" ht="15">
      <c r="B1155" s="31"/>
      <c r="C1155" s="30"/>
      <c r="D1155" s="119"/>
      <c r="E1155" s="32"/>
      <c r="G1155" s="31">
        <v>1113</v>
      </c>
      <c r="H1155" s="30" t="str">
        <f t="shared" si="48"/>
        <v/>
      </c>
      <c r="I1155" s="74" t="str">
        <f t="shared" si="49"/>
        <v/>
      </c>
      <c r="J1155" s="32"/>
    </row>
    <row r="1156" spans="2:10" ht="15">
      <c r="B1156" s="31"/>
      <c r="C1156" s="30"/>
      <c r="D1156" s="119"/>
      <c r="E1156" s="32"/>
      <c r="G1156" s="31">
        <v>1114</v>
      </c>
      <c r="H1156" s="30" t="str">
        <f t="shared" si="48"/>
        <v/>
      </c>
      <c r="I1156" s="74" t="str">
        <f t="shared" si="49"/>
        <v/>
      </c>
      <c r="J1156" s="32"/>
    </row>
    <row r="1157" spans="2:10" ht="15">
      <c r="B1157" s="31"/>
      <c r="C1157" s="30"/>
      <c r="D1157" s="119"/>
      <c r="E1157" s="32"/>
      <c r="G1157" s="31">
        <v>1115</v>
      </c>
      <c r="H1157" s="30" t="str">
        <f t="shared" si="48"/>
        <v/>
      </c>
      <c r="I1157" s="74" t="str">
        <f t="shared" si="49"/>
        <v/>
      </c>
      <c r="J1157" s="32"/>
    </row>
    <row r="1158" spans="2:10" ht="15">
      <c r="B1158" s="31"/>
      <c r="C1158" s="30"/>
      <c r="D1158" s="119"/>
      <c r="E1158" s="32"/>
      <c r="G1158" s="31">
        <v>1116</v>
      </c>
      <c r="H1158" s="30" t="str">
        <f t="shared" si="48"/>
        <v/>
      </c>
      <c r="I1158" s="74" t="str">
        <f t="shared" si="49"/>
        <v/>
      </c>
      <c r="J1158" s="32"/>
    </row>
    <row r="1159" spans="2:10" ht="15">
      <c r="B1159" s="31"/>
      <c r="C1159" s="30"/>
      <c r="D1159" s="119"/>
      <c r="E1159" s="32"/>
      <c r="G1159" s="31">
        <v>1117</v>
      </c>
      <c r="H1159" s="30" t="str">
        <f t="shared" si="48"/>
        <v/>
      </c>
      <c r="I1159" s="74" t="str">
        <f t="shared" si="49"/>
        <v/>
      </c>
      <c r="J1159" s="32"/>
    </row>
    <row r="1160" spans="2:10" ht="15">
      <c r="B1160" s="31"/>
      <c r="C1160" s="30"/>
      <c r="D1160" s="119"/>
      <c r="E1160" s="32"/>
      <c r="G1160" s="31">
        <v>1118</v>
      </c>
      <c r="H1160" s="30" t="str">
        <f t="shared" si="48"/>
        <v/>
      </c>
      <c r="I1160" s="74" t="str">
        <f t="shared" si="49"/>
        <v/>
      </c>
      <c r="J1160" s="32"/>
    </row>
    <row r="1161" spans="2:10" ht="15">
      <c r="B1161" s="31"/>
      <c r="C1161" s="30"/>
      <c r="D1161" s="119"/>
      <c r="E1161" s="32"/>
      <c r="G1161" s="31">
        <v>1119</v>
      </c>
      <c r="H1161" s="30" t="str">
        <f t="shared" si="48"/>
        <v/>
      </c>
      <c r="I1161" s="74" t="str">
        <f t="shared" si="49"/>
        <v/>
      </c>
      <c r="J1161" s="32"/>
    </row>
    <row r="1162" spans="2:10" ht="15">
      <c r="B1162" s="31"/>
      <c r="C1162" s="30"/>
      <c r="D1162" s="119"/>
      <c r="E1162" s="32"/>
      <c r="G1162" s="31">
        <v>1120</v>
      </c>
      <c r="H1162" s="30" t="str">
        <f t="shared" si="48"/>
        <v/>
      </c>
      <c r="I1162" s="74" t="str">
        <f t="shared" si="49"/>
        <v/>
      </c>
      <c r="J1162" s="32"/>
    </row>
    <row r="1163" spans="2:10" ht="15">
      <c r="B1163" s="31"/>
      <c r="C1163" s="30"/>
      <c r="D1163" s="119"/>
      <c r="E1163" s="32"/>
      <c r="G1163" s="31">
        <v>1121</v>
      </c>
      <c r="H1163" s="30" t="str">
        <f t="shared" si="48"/>
        <v/>
      </c>
      <c r="I1163" s="74" t="str">
        <f t="shared" si="49"/>
        <v/>
      </c>
      <c r="J1163" s="32"/>
    </row>
    <row r="1164" spans="2:10" ht="15">
      <c r="B1164" s="31"/>
      <c r="C1164" s="30"/>
      <c r="D1164" s="119"/>
      <c r="E1164" s="32"/>
      <c r="G1164" s="31">
        <v>1122</v>
      </c>
      <c r="H1164" s="30" t="str">
        <f t="shared" si="48"/>
        <v/>
      </c>
      <c r="I1164" s="74" t="str">
        <f t="shared" si="49"/>
        <v/>
      </c>
      <c r="J1164" s="32"/>
    </row>
    <row r="1165" spans="2:10" ht="15">
      <c r="B1165" s="31"/>
      <c r="C1165" s="30"/>
      <c r="D1165" s="119"/>
      <c r="E1165" s="32"/>
      <c r="G1165" s="31">
        <v>1123</v>
      </c>
      <c r="H1165" s="30" t="str">
        <f t="shared" si="48"/>
        <v/>
      </c>
      <c r="I1165" s="74" t="str">
        <f t="shared" si="49"/>
        <v/>
      </c>
      <c r="J1165" s="32"/>
    </row>
    <row r="1166" spans="2:10" ht="15">
      <c r="B1166" s="31"/>
      <c r="C1166" s="30"/>
      <c r="D1166" s="119"/>
      <c r="E1166" s="32"/>
      <c r="G1166" s="31">
        <v>1124</v>
      </c>
      <c r="H1166" s="30" t="str">
        <f t="shared" si="48"/>
        <v/>
      </c>
      <c r="I1166" s="74" t="str">
        <f t="shared" si="49"/>
        <v/>
      </c>
      <c r="J1166" s="32"/>
    </row>
    <row r="1167" spans="2:10" ht="15">
      <c r="B1167" s="31"/>
      <c r="C1167" s="30"/>
      <c r="D1167" s="119"/>
      <c r="E1167" s="32"/>
      <c r="G1167" s="31">
        <v>1125</v>
      </c>
      <c r="H1167" s="30" t="str">
        <f t="shared" si="48"/>
        <v/>
      </c>
      <c r="I1167" s="74" t="str">
        <f t="shared" si="49"/>
        <v/>
      </c>
      <c r="J1167" s="32"/>
    </row>
    <row r="1168" spans="2:10" ht="15">
      <c r="B1168" s="31"/>
      <c r="C1168" s="30"/>
      <c r="D1168" s="119"/>
      <c r="E1168" s="32"/>
      <c r="G1168" s="31">
        <v>1126</v>
      </c>
      <c r="H1168" s="30" t="str">
        <f t="shared" si="48"/>
        <v/>
      </c>
      <c r="I1168" s="74" t="str">
        <f t="shared" si="49"/>
        <v/>
      </c>
      <c r="J1168" s="32"/>
    </row>
    <row r="1169" spans="2:10" ht="15">
      <c r="B1169" s="31"/>
      <c r="C1169" s="30"/>
      <c r="D1169" s="119"/>
      <c r="E1169" s="32"/>
      <c r="G1169" s="31">
        <v>1127</v>
      </c>
      <c r="H1169" s="30" t="str">
        <f t="shared" si="48"/>
        <v/>
      </c>
      <c r="I1169" s="74" t="str">
        <f t="shared" si="49"/>
        <v/>
      </c>
      <c r="J1169" s="32"/>
    </row>
    <row r="1170" spans="2:10" ht="15">
      <c r="B1170" s="31"/>
      <c r="C1170" s="30"/>
      <c r="D1170" s="119"/>
      <c r="E1170" s="32"/>
      <c r="G1170" s="31">
        <v>1128</v>
      </c>
      <c r="H1170" s="30" t="str">
        <f t="shared" si="48"/>
        <v/>
      </c>
      <c r="I1170" s="74" t="str">
        <f t="shared" si="49"/>
        <v/>
      </c>
      <c r="J1170" s="32"/>
    </row>
    <row r="1171" spans="2:10" ht="15">
      <c r="B1171" s="31"/>
      <c r="C1171" s="30"/>
      <c r="D1171" s="119"/>
      <c r="E1171" s="32"/>
      <c r="G1171" s="31">
        <v>1129</v>
      </c>
      <c r="H1171" s="30" t="str">
        <f t="shared" si="48"/>
        <v/>
      </c>
      <c r="I1171" s="74" t="str">
        <f t="shared" si="49"/>
        <v/>
      </c>
      <c r="J1171" s="32"/>
    </row>
    <row r="1172" spans="2:10" ht="15">
      <c r="B1172" s="31"/>
      <c r="C1172" s="30"/>
      <c r="D1172" s="119"/>
      <c r="E1172" s="32"/>
      <c r="G1172" s="31">
        <v>1130</v>
      </c>
      <c r="H1172" s="30" t="str">
        <f t="shared" si="48"/>
        <v/>
      </c>
      <c r="I1172" s="74" t="str">
        <f t="shared" si="49"/>
        <v/>
      </c>
      <c r="J1172" s="32"/>
    </row>
    <row r="1173" spans="2:10" ht="15">
      <c r="B1173" s="31"/>
      <c r="C1173" s="30"/>
      <c r="D1173" s="119"/>
      <c r="E1173" s="32"/>
      <c r="G1173" s="31">
        <v>1131</v>
      </c>
      <c r="H1173" s="30" t="str">
        <f t="shared" si="48"/>
        <v/>
      </c>
      <c r="I1173" s="74" t="str">
        <f t="shared" si="49"/>
        <v/>
      </c>
      <c r="J1173" s="32"/>
    </row>
    <row r="1174" spans="2:10" ht="15">
      <c r="B1174" s="31"/>
      <c r="C1174" s="30"/>
      <c r="D1174" s="119"/>
      <c r="E1174" s="32"/>
      <c r="G1174" s="31">
        <v>1132</v>
      </c>
      <c r="H1174" s="30" t="str">
        <f t="shared" si="48"/>
        <v/>
      </c>
      <c r="I1174" s="74" t="str">
        <f t="shared" si="49"/>
        <v/>
      </c>
      <c r="J1174" s="32"/>
    </row>
    <row r="1175" spans="2:10" ht="15">
      <c r="B1175" s="31"/>
      <c r="C1175" s="30"/>
      <c r="D1175" s="119"/>
      <c r="E1175" s="32"/>
      <c r="G1175" s="31">
        <v>1133</v>
      </c>
      <c r="H1175" s="30" t="str">
        <f t="shared" si="48"/>
        <v/>
      </c>
      <c r="I1175" s="74" t="str">
        <f t="shared" si="49"/>
        <v/>
      </c>
      <c r="J1175" s="32"/>
    </row>
    <row r="1176" spans="2:10" ht="15">
      <c r="B1176" s="31"/>
      <c r="C1176" s="30"/>
      <c r="D1176" s="119"/>
      <c r="E1176" s="32"/>
      <c r="G1176" s="31">
        <v>1134</v>
      </c>
      <c r="H1176" s="30" t="str">
        <f t="shared" si="48"/>
        <v/>
      </c>
      <c r="I1176" s="74" t="str">
        <f t="shared" si="49"/>
        <v/>
      </c>
      <c r="J1176" s="32"/>
    </row>
    <row r="1177" spans="2:10" ht="15">
      <c r="B1177" s="31"/>
      <c r="C1177" s="30"/>
      <c r="D1177" s="119"/>
      <c r="E1177" s="32"/>
      <c r="G1177" s="31">
        <v>1135</v>
      </c>
      <c r="H1177" s="30" t="str">
        <f t="shared" si="48"/>
        <v/>
      </c>
      <c r="I1177" s="74" t="str">
        <f t="shared" si="49"/>
        <v/>
      </c>
      <c r="J1177" s="32"/>
    </row>
    <row r="1178" spans="2:10" ht="15">
      <c r="B1178" s="31"/>
      <c r="C1178" s="30"/>
      <c r="D1178" s="119"/>
      <c r="E1178" s="32"/>
      <c r="G1178" s="31">
        <v>1136</v>
      </c>
      <c r="H1178" s="30" t="str">
        <f t="shared" si="48"/>
        <v/>
      </c>
      <c r="I1178" s="74" t="str">
        <f t="shared" si="49"/>
        <v/>
      </c>
      <c r="J1178" s="32"/>
    </row>
    <row r="1179" spans="2:10" ht="15">
      <c r="B1179" s="31"/>
      <c r="C1179" s="30"/>
      <c r="D1179" s="119"/>
      <c r="E1179" s="32"/>
      <c r="G1179" s="31">
        <v>1137</v>
      </c>
      <c r="H1179" s="30" t="str">
        <f t="shared" si="48"/>
        <v/>
      </c>
      <c r="I1179" s="74" t="str">
        <f t="shared" si="49"/>
        <v/>
      </c>
      <c r="J1179" s="32"/>
    </row>
    <row r="1180" spans="2:10" ht="15">
      <c r="B1180" s="31"/>
      <c r="C1180" s="30"/>
      <c r="D1180" s="119"/>
      <c r="E1180" s="32"/>
      <c r="G1180" s="31">
        <v>1138</v>
      </c>
      <c r="H1180" s="30" t="str">
        <f t="shared" si="48"/>
        <v/>
      </c>
      <c r="I1180" s="74" t="str">
        <f t="shared" si="49"/>
        <v/>
      </c>
      <c r="J1180" s="32"/>
    </row>
    <row r="1181" spans="2:10" ht="15">
      <c r="B1181" s="31"/>
      <c r="C1181" s="30"/>
      <c r="D1181" s="119"/>
      <c r="E1181" s="32"/>
      <c r="G1181" s="31">
        <v>1139</v>
      </c>
      <c r="H1181" s="30" t="str">
        <f t="shared" si="48"/>
        <v/>
      </c>
      <c r="I1181" s="74" t="str">
        <f t="shared" si="49"/>
        <v/>
      </c>
      <c r="J1181" s="32"/>
    </row>
    <row r="1182" spans="2:10" ht="15">
      <c r="B1182" s="31"/>
      <c r="C1182" s="30"/>
      <c r="D1182" s="119"/>
      <c r="E1182" s="32"/>
      <c r="G1182" s="31">
        <v>1140</v>
      </c>
      <c r="H1182" s="30" t="str">
        <f t="shared" si="48"/>
        <v/>
      </c>
      <c r="I1182" s="74" t="str">
        <f t="shared" si="49"/>
        <v/>
      </c>
      <c r="J1182" s="32"/>
    </row>
    <row r="1183" spans="2:10" ht="15">
      <c r="B1183" s="31"/>
      <c r="C1183" s="30"/>
      <c r="D1183" s="119"/>
      <c r="E1183" s="32"/>
      <c r="G1183" s="31">
        <v>1141</v>
      </c>
      <c r="H1183" s="30" t="str">
        <f t="shared" si="48"/>
        <v/>
      </c>
      <c r="I1183" s="74" t="str">
        <f t="shared" si="49"/>
        <v/>
      </c>
      <c r="J1183" s="32"/>
    </row>
    <row r="1184" spans="2:10" ht="15">
      <c r="B1184" s="31"/>
      <c r="C1184" s="30"/>
      <c r="D1184" s="119"/>
      <c r="E1184" s="32"/>
      <c r="G1184" s="31">
        <v>1142</v>
      </c>
      <c r="H1184" s="30" t="str">
        <f t="shared" si="48"/>
        <v/>
      </c>
      <c r="I1184" s="74" t="str">
        <f t="shared" si="49"/>
        <v/>
      </c>
      <c r="J1184" s="32"/>
    </row>
    <row r="1185" spans="2:10" ht="15">
      <c r="B1185" s="31"/>
      <c r="C1185" s="30"/>
      <c r="D1185" s="119"/>
      <c r="E1185" s="32"/>
      <c r="G1185" s="31">
        <v>1143</v>
      </c>
      <c r="H1185" s="30" t="str">
        <f t="shared" si="48"/>
        <v/>
      </c>
      <c r="I1185" s="74" t="str">
        <f t="shared" si="49"/>
        <v/>
      </c>
      <c r="J1185" s="32"/>
    </row>
    <row r="1186" spans="2:10" ht="15">
      <c r="B1186" s="31"/>
      <c r="C1186" s="30"/>
      <c r="D1186" s="119"/>
      <c r="E1186" s="32"/>
      <c r="G1186" s="31">
        <v>1144</v>
      </c>
      <c r="H1186" s="30" t="str">
        <f t="shared" si="48"/>
        <v/>
      </c>
      <c r="I1186" s="74" t="str">
        <f t="shared" si="49"/>
        <v/>
      </c>
      <c r="J1186" s="32"/>
    </row>
    <row r="1187" spans="2:10" ht="15">
      <c r="B1187" s="31"/>
      <c r="C1187" s="30"/>
      <c r="D1187" s="119"/>
      <c r="E1187" s="32"/>
      <c r="G1187" s="31">
        <v>1145</v>
      </c>
      <c r="H1187" s="30" t="str">
        <f t="shared" si="48"/>
        <v/>
      </c>
      <c r="I1187" s="74" t="str">
        <f t="shared" si="49"/>
        <v/>
      </c>
      <c r="J1187" s="32"/>
    </row>
    <row r="1188" spans="2:10" ht="15">
      <c r="B1188" s="31"/>
      <c r="C1188" s="30"/>
      <c r="D1188" s="119"/>
      <c r="E1188" s="32"/>
      <c r="G1188" s="31">
        <v>1146</v>
      </c>
      <c r="H1188" s="30" t="str">
        <f t="shared" si="48"/>
        <v/>
      </c>
      <c r="I1188" s="74" t="str">
        <f t="shared" si="49"/>
        <v/>
      </c>
      <c r="J1188" s="32"/>
    </row>
    <row r="1189" spans="2:10" ht="15">
      <c r="B1189" s="31"/>
      <c r="C1189" s="30"/>
      <c r="D1189" s="119"/>
      <c r="E1189" s="32"/>
      <c r="G1189" s="31">
        <v>1147</v>
      </c>
      <c r="H1189" s="30" t="str">
        <f t="shared" si="48"/>
        <v/>
      </c>
      <c r="I1189" s="74" t="str">
        <f t="shared" si="49"/>
        <v/>
      </c>
      <c r="J1189" s="32"/>
    </row>
    <row r="1190" spans="2:10" ht="15">
      <c r="B1190" s="31"/>
      <c r="C1190" s="30"/>
      <c r="D1190" s="119"/>
      <c r="E1190" s="32"/>
      <c r="G1190" s="31">
        <v>1148</v>
      </c>
      <c r="H1190" s="30" t="str">
        <f t="shared" si="48"/>
        <v/>
      </c>
      <c r="I1190" s="74" t="str">
        <f t="shared" si="49"/>
        <v/>
      </c>
      <c r="J1190" s="32"/>
    </row>
    <row r="1191" spans="2:10" ht="15">
      <c r="B1191" s="31"/>
      <c r="C1191" s="30"/>
      <c r="D1191" s="119"/>
      <c r="E1191" s="32"/>
      <c r="G1191" s="31">
        <v>1149</v>
      </c>
      <c r="H1191" s="30" t="str">
        <f t="shared" si="48"/>
        <v/>
      </c>
      <c r="I1191" s="74" t="str">
        <f t="shared" si="49"/>
        <v/>
      </c>
      <c r="J1191" s="32"/>
    </row>
    <row r="1192" spans="2:10" ht="15">
      <c r="B1192" s="31"/>
      <c r="C1192" s="30"/>
      <c r="D1192" s="119"/>
      <c r="E1192" s="32"/>
      <c r="G1192" s="31">
        <v>1150</v>
      </c>
      <c r="H1192" s="30" t="str">
        <f t="shared" si="48"/>
        <v/>
      </c>
      <c r="I1192" s="74" t="str">
        <f t="shared" si="49"/>
        <v/>
      </c>
      <c r="J1192" s="32"/>
    </row>
    <row r="1193" spans="2:10" ht="15">
      <c r="B1193" s="31"/>
      <c r="C1193" s="30"/>
      <c r="D1193" s="119"/>
      <c r="E1193" s="32"/>
      <c r="G1193" s="31">
        <v>1151</v>
      </c>
      <c r="H1193" s="30" t="str">
        <f t="shared" si="48"/>
        <v/>
      </c>
      <c r="I1193" s="74" t="str">
        <f t="shared" si="49"/>
        <v/>
      </c>
      <c r="J1193" s="32"/>
    </row>
    <row r="1194" spans="2:10" ht="15">
      <c r="B1194" s="31"/>
      <c r="C1194" s="30"/>
      <c r="D1194" s="119"/>
      <c r="E1194" s="32"/>
      <c r="G1194" s="31">
        <v>1152</v>
      </c>
      <c r="H1194" s="30" t="str">
        <f t="shared" si="48"/>
        <v/>
      </c>
      <c r="I1194" s="74" t="str">
        <f t="shared" si="49"/>
        <v/>
      </c>
      <c r="J1194" s="32"/>
    </row>
    <row r="1195" spans="2:10" ht="15">
      <c r="B1195" s="31"/>
      <c r="C1195" s="30"/>
      <c r="D1195" s="119"/>
      <c r="E1195" s="32"/>
      <c r="G1195" s="31">
        <v>1153</v>
      </c>
      <c r="H1195" s="30" t="str">
        <f t="shared" si="48"/>
        <v/>
      </c>
      <c r="I1195" s="74" t="str">
        <f t="shared" si="49"/>
        <v/>
      </c>
      <c r="J1195" s="32"/>
    </row>
    <row r="1196" spans="2:10" ht="15">
      <c r="B1196" s="31"/>
      <c r="C1196" s="30"/>
      <c r="D1196" s="119"/>
      <c r="E1196" s="32"/>
      <c r="G1196" s="31">
        <v>1154</v>
      </c>
      <c r="H1196" s="30" t="str">
        <f t="shared" ref="H1196:H1259" si="50">MID($I$41,G1196*8-7,8)</f>
        <v/>
      </c>
      <c r="I1196" s="74" t="str">
        <f t="shared" ref="I1196:I1259" si="51">IFERROR(BIN2DEC(VALUE(H1196)),"")</f>
        <v/>
      </c>
      <c r="J1196" s="32"/>
    </row>
    <row r="1197" spans="2:10" ht="15">
      <c r="B1197" s="31"/>
      <c r="C1197" s="30"/>
      <c r="D1197" s="119"/>
      <c r="E1197" s="32"/>
      <c r="G1197" s="31">
        <v>1155</v>
      </c>
      <c r="H1197" s="30" t="str">
        <f t="shared" si="50"/>
        <v/>
      </c>
      <c r="I1197" s="74" t="str">
        <f t="shared" si="51"/>
        <v/>
      </c>
      <c r="J1197" s="32"/>
    </row>
    <row r="1198" spans="2:10" ht="15">
      <c r="B1198" s="31"/>
      <c r="C1198" s="30"/>
      <c r="D1198" s="119"/>
      <c r="E1198" s="32"/>
      <c r="G1198" s="31">
        <v>1156</v>
      </c>
      <c r="H1198" s="30" t="str">
        <f t="shared" si="50"/>
        <v/>
      </c>
      <c r="I1198" s="74" t="str">
        <f t="shared" si="51"/>
        <v/>
      </c>
      <c r="J1198" s="32"/>
    </row>
    <row r="1199" spans="2:10" ht="15">
      <c r="B1199" s="31"/>
      <c r="C1199" s="30"/>
      <c r="D1199" s="119"/>
      <c r="E1199" s="32"/>
      <c r="G1199" s="31">
        <v>1157</v>
      </c>
      <c r="H1199" s="30" t="str">
        <f t="shared" si="50"/>
        <v/>
      </c>
      <c r="I1199" s="74" t="str">
        <f t="shared" si="51"/>
        <v/>
      </c>
      <c r="J1199" s="32"/>
    </row>
    <row r="1200" spans="2:10" ht="15">
      <c r="B1200" s="31"/>
      <c r="C1200" s="30"/>
      <c r="D1200" s="119"/>
      <c r="E1200" s="32"/>
      <c r="G1200" s="31">
        <v>1158</v>
      </c>
      <c r="H1200" s="30" t="str">
        <f t="shared" si="50"/>
        <v/>
      </c>
      <c r="I1200" s="74" t="str">
        <f t="shared" si="51"/>
        <v/>
      </c>
      <c r="J1200" s="32"/>
    </row>
    <row r="1201" spans="2:10" ht="15">
      <c r="B1201" s="31"/>
      <c r="C1201" s="30"/>
      <c r="D1201" s="119"/>
      <c r="E1201" s="32"/>
      <c r="G1201" s="31">
        <v>1159</v>
      </c>
      <c r="H1201" s="30" t="str">
        <f t="shared" si="50"/>
        <v/>
      </c>
      <c r="I1201" s="74" t="str">
        <f t="shared" si="51"/>
        <v/>
      </c>
      <c r="J1201" s="32"/>
    </row>
    <row r="1202" spans="2:10" ht="15">
      <c r="B1202" s="31"/>
      <c r="C1202" s="30"/>
      <c r="D1202" s="119"/>
      <c r="E1202" s="32"/>
      <c r="G1202" s="31">
        <v>1160</v>
      </c>
      <c r="H1202" s="30" t="str">
        <f t="shared" si="50"/>
        <v/>
      </c>
      <c r="I1202" s="74" t="str">
        <f t="shared" si="51"/>
        <v/>
      </c>
      <c r="J1202" s="32"/>
    </row>
    <row r="1203" spans="2:10" ht="15">
      <c r="B1203" s="31"/>
      <c r="C1203" s="30"/>
      <c r="D1203" s="119"/>
      <c r="E1203" s="32"/>
      <c r="G1203" s="31">
        <v>1161</v>
      </c>
      <c r="H1203" s="30" t="str">
        <f t="shared" si="50"/>
        <v/>
      </c>
      <c r="I1203" s="74" t="str">
        <f t="shared" si="51"/>
        <v/>
      </c>
      <c r="J1203" s="32"/>
    </row>
    <row r="1204" spans="2:10" ht="15">
      <c r="B1204" s="31"/>
      <c r="C1204" s="30"/>
      <c r="D1204" s="119"/>
      <c r="E1204" s="32"/>
      <c r="G1204" s="31">
        <v>1162</v>
      </c>
      <c r="H1204" s="30" t="str">
        <f t="shared" si="50"/>
        <v/>
      </c>
      <c r="I1204" s="74" t="str">
        <f t="shared" si="51"/>
        <v/>
      </c>
      <c r="J1204" s="32"/>
    </row>
    <row r="1205" spans="2:10" ht="15">
      <c r="B1205" s="31"/>
      <c r="C1205" s="30"/>
      <c r="D1205" s="119"/>
      <c r="E1205" s="32"/>
      <c r="G1205" s="31">
        <v>1163</v>
      </c>
      <c r="H1205" s="30" t="str">
        <f t="shared" si="50"/>
        <v/>
      </c>
      <c r="I1205" s="74" t="str">
        <f t="shared" si="51"/>
        <v/>
      </c>
      <c r="J1205" s="32"/>
    </row>
    <row r="1206" spans="2:10" ht="15">
      <c r="B1206" s="31"/>
      <c r="C1206" s="30"/>
      <c r="D1206" s="119"/>
      <c r="E1206" s="32"/>
      <c r="G1206" s="31">
        <v>1164</v>
      </c>
      <c r="H1206" s="30" t="str">
        <f t="shared" si="50"/>
        <v/>
      </c>
      <c r="I1206" s="74" t="str">
        <f t="shared" si="51"/>
        <v/>
      </c>
      <c r="J1206" s="32"/>
    </row>
    <row r="1207" spans="2:10" ht="15">
      <c r="B1207" s="31"/>
      <c r="C1207" s="30"/>
      <c r="D1207" s="119"/>
      <c r="E1207" s="32"/>
      <c r="G1207" s="31">
        <v>1165</v>
      </c>
      <c r="H1207" s="30" t="str">
        <f t="shared" si="50"/>
        <v/>
      </c>
      <c r="I1207" s="74" t="str">
        <f t="shared" si="51"/>
        <v/>
      </c>
      <c r="J1207" s="32"/>
    </row>
    <row r="1208" spans="2:10" ht="15">
      <c r="B1208" s="31"/>
      <c r="C1208" s="30"/>
      <c r="D1208" s="119"/>
      <c r="E1208" s="32"/>
      <c r="G1208" s="31">
        <v>1166</v>
      </c>
      <c r="H1208" s="30" t="str">
        <f t="shared" si="50"/>
        <v/>
      </c>
      <c r="I1208" s="74" t="str">
        <f t="shared" si="51"/>
        <v/>
      </c>
      <c r="J1208" s="32"/>
    </row>
    <row r="1209" spans="2:10" ht="15">
      <c r="B1209" s="31"/>
      <c r="C1209" s="30"/>
      <c r="D1209" s="119"/>
      <c r="E1209" s="32"/>
      <c r="G1209" s="31">
        <v>1167</v>
      </c>
      <c r="H1209" s="30" t="str">
        <f t="shared" si="50"/>
        <v/>
      </c>
      <c r="I1209" s="74" t="str">
        <f t="shared" si="51"/>
        <v/>
      </c>
      <c r="J1209" s="32"/>
    </row>
    <row r="1210" spans="2:10" ht="15">
      <c r="B1210" s="31"/>
      <c r="C1210" s="30"/>
      <c r="D1210" s="119"/>
      <c r="E1210" s="32"/>
      <c r="G1210" s="31">
        <v>1168</v>
      </c>
      <c r="H1210" s="30" t="str">
        <f t="shared" si="50"/>
        <v/>
      </c>
      <c r="I1210" s="74" t="str">
        <f t="shared" si="51"/>
        <v/>
      </c>
      <c r="J1210" s="32"/>
    </row>
    <row r="1211" spans="2:10" ht="15">
      <c r="B1211" s="31"/>
      <c r="C1211" s="30"/>
      <c r="D1211" s="119"/>
      <c r="E1211" s="32"/>
      <c r="G1211" s="31">
        <v>1169</v>
      </c>
      <c r="H1211" s="30" t="str">
        <f t="shared" si="50"/>
        <v/>
      </c>
      <c r="I1211" s="74" t="str">
        <f t="shared" si="51"/>
        <v/>
      </c>
      <c r="J1211" s="32"/>
    </row>
    <row r="1212" spans="2:10" ht="15">
      <c r="B1212" s="31"/>
      <c r="C1212" s="30"/>
      <c r="D1212" s="119"/>
      <c r="E1212" s="32"/>
      <c r="G1212" s="31">
        <v>1170</v>
      </c>
      <c r="H1212" s="30" t="str">
        <f t="shared" si="50"/>
        <v/>
      </c>
      <c r="I1212" s="74" t="str">
        <f t="shared" si="51"/>
        <v/>
      </c>
      <c r="J1212" s="32"/>
    </row>
    <row r="1213" spans="2:10" ht="15">
      <c r="B1213" s="31"/>
      <c r="C1213" s="30"/>
      <c r="D1213" s="119"/>
      <c r="E1213" s="32"/>
      <c r="G1213" s="31">
        <v>1171</v>
      </c>
      <c r="H1213" s="30" t="str">
        <f t="shared" si="50"/>
        <v/>
      </c>
      <c r="I1213" s="74" t="str">
        <f t="shared" si="51"/>
        <v/>
      </c>
      <c r="J1213" s="32"/>
    </row>
    <row r="1214" spans="2:10" ht="15">
      <c r="B1214" s="31"/>
      <c r="C1214" s="30"/>
      <c r="D1214" s="119"/>
      <c r="E1214" s="32"/>
      <c r="G1214" s="31">
        <v>1172</v>
      </c>
      <c r="H1214" s="30" t="str">
        <f t="shared" si="50"/>
        <v/>
      </c>
      <c r="I1214" s="74" t="str">
        <f t="shared" si="51"/>
        <v/>
      </c>
      <c r="J1214" s="32"/>
    </row>
    <row r="1215" spans="2:10" ht="15">
      <c r="B1215" s="31"/>
      <c r="C1215" s="30"/>
      <c r="D1215" s="119"/>
      <c r="E1215" s="32"/>
      <c r="G1215" s="31">
        <v>1173</v>
      </c>
      <c r="H1215" s="30" t="str">
        <f t="shared" si="50"/>
        <v/>
      </c>
      <c r="I1215" s="74" t="str">
        <f t="shared" si="51"/>
        <v/>
      </c>
      <c r="J1215" s="32"/>
    </row>
    <row r="1216" spans="2:10" ht="15">
      <c r="B1216" s="31"/>
      <c r="C1216" s="30"/>
      <c r="D1216" s="119"/>
      <c r="E1216" s="32"/>
      <c r="G1216" s="31">
        <v>1174</v>
      </c>
      <c r="H1216" s="30" t="str">
        <f t="shared" si="50"/>
        <v/>
      </c>
      <c r="I1216" s="74" t="str">
        <f t="shared" si="51"/>
        <v/>
      </c>
      <c r="J1216" s="32"/>
    </row>
    <row r="1217" spans="2:10" ht="15">
      <c r="B1217" s="31"/>
      <c r="C1217" s="30"/>
      <c r="D1217" s="119"/>
      <c r="E1217" s="32"/>
      <c r="G1217" s="31">
        <v>1175</v>
      </c>
      <c r="H1217" s="30" t="str">
        <f t="shared" si="50"/>
        <v/>
      </c>
      <c r="I1217" s="74" t="str">
        <f t="shared" si="51"/>
        <v/>
      </c>
      <c r="J1217" s="32"/>
    </row>
    <row r="1218" spans="2:10" ht="15">
      <c r="B1218" s="31"/>
      <c r="C1218" s="30"/>
      <c r="D1218" s="119"/>
      <c r="E1218" s="32"/>
      <c r="G1218" s="31">
        <v>1176</v>
      </c>
      <c r="H1218" s="30" t="str">
        <f t="shared" si="50"/>
        <v/>
      </c>
      <c r="I1218" s="74" t="str">
        <f t="shared" si="51"/>
        <v/>
      </c>
      <c r="J1218" s="32"/>
    </row>
    <row r="1219" spans="2:10" ht="15">
      <c r="B1219" s="31"/>
      <c r="C1219" s="30"/>
      <c r="D1219" s="119"/>
      <c r="E1219" s="32"/>
      <c r="G1219" s="31">
        <v>1177</v>
      </c>
      <c r="H1219" s="30" t="str">
        <f t="shared" si="50"/>
        <v/>
      </c>
      <c r="I1219" s="74" t="str">
        <f t="shared" si="51"/>
        <v/>
      </c>
      <c r="J1219" s="32"/>
    </row>
    <row r="1220" spans="2:10" ht="15">
      <c r="B1220" s="31"/>
      <c r="C1220" s="30"/>
      <c r="D1220" s="119"/>
      <c r="E1220" s="32"/>
      <c r="G1220" s="31">
        <v>1178</v>
      </c>
      <c r="H1220" s="30" t="str">
        <f t="shared" si="50"/>
        <v/>
      </c>
      <c r="I1220" s="74" t="str">
        <f t="shared" si="51"/>
        <v/>
      </c>
      <c r="J1220" s="32"/>
    </row>
    <row r="1221" spans="2:10" ht="15">
      <c r="B1221" s="31"/>
      <c r="C1221" s="30"/>
      <c r="D1221" s="119"/>
      <c r="E1221" s="32"/>
      <c r="G1221" s="31">
        <v>1179</v>
      </c>
      <c r="H1221" s="30" t="str">
        <f t="shared" si="50"/>
        <v/>
      </c>
      <c r="I1221" s="74" t="str">
        <f t="shared" si="51"/>
        <v/>
      </c>
      <c r="J1221" s="32"/>
    </row>
    <row r="1222" spans="2:10" ht="15">
      <c r="B1222" s="31"/>
      <c r="C1222" s="30"/>
      <c r="D1222" s="119"/>
      <c r="E1222" s="32"/>
      <c r="G1222" s="31">
        <v>1180</v>
      </c>
      <c r="H1222" s="30" t="str">
        <f t="shared" si="50"/>
        <v/>
      </c>
      <c r="I1222" s="74" t="str">
        <f t="shared" si="51"/>
        <v/>
      </c>
      <c r="J1222" s="32"/>
    </row>
    <row r="1223" spans="2:10" ht="15">
      <c r="B1223" s="31"/>
      <c r="C1223" s="30"/>
      <c r="D1223" s="119"/>
      <c r="E1223" s="32"/>
      <c r="G1223" s="31">
        <v>1181</v>
      </c>
      <c r="H1223" s="30" t="str">
        <f t="shared" si="50"/>
        <v/>
      </c>
      <c r="I1223" s="74" t="str">
        <f t="shared" si="51"/>
        <v/>
      </c>
      <c r="J1223" s="32"/>
    </row>
    <row r="1224" spans="2:10" ht="15">
      <c r="B1224" s="31"/>
      <c r="C1224" s="30"/>
      <c r="D1224" s="119"/>
      <c r="E1224" s="32"/>
      <c r="G1224" s="31">
        <v>1182</v>
      </c>
      <c r="H1224" s="30" t="str">
        <f t="shared" si="50"/>
        <v/>
      </c>
      <c r="I1224" s="74" t="str">
        <f t="shared" si="51"/>
        <v/>
      </c>
      <c r="J1224" s="32"/>
    </row>
    <row r="1225" spans="2:10" ht="15">
      <c r="B1225" s="31"/>
      <c r="C1225" s="30"/>
      <c r="D1225" s="119"/>
      <c r="E1225" s="32"/>
      <c r="G1225" s="31">
        <v>1183</v>
      </c>
      <c r="H1225" s="30" t="str">
        <f t="shared" si="50"/>
        <v/>
      </c>
      <c r="I1225" s="74" t="str">
        <f t="shared" si="51"/>
        <v/>
      </c>
      <c r="J1225" s="32"/>
    </row>
    <row r="1226" spans="2:10" ht="15">
      <c r="B1226" s="31"/>
      <c r="C1226" s="30"/>
      <c r="D1226" s="119"/>
      <c r="E1226" s="32"/>
      <c r="G1226" s="31">
        <v>1184</v>
      </c>
      <c r="H1226" s="30" t="str">
        <f t="shared" si="50"/>
        <v/>
      </c>
      <c r="I1226" s="74" t="str">
        <f t="shared" si="51"/>
        <v/>
      </c>
      <c r="J1226" s="32"/>
    </row>
    <row r="1227" spans="2:10" ht="15">
      <c r="B1227" s="31"/>
      <c r="C1227" s="30"/>
      <c r="D1227" s="119"/>
      <c r="E1227" s="32"/>
      <c r="G1227" s="31">
        <v>1185</v>
      </c>
      <c r="H1227" s="30" t="str">
        <f t="shared" si="50"/>
        <v/>
      </c>
      <c r="I1227" s="74" t="str">
        <f t="shared" si="51"/>
        <v/>
      </c>
      <c r="J1227" s="32"/>
    </row>
    <row r="1228" spans="2:10" ht="15">
      <c r="B1228" s="31"/>
      <c r="C1228" s="30"/>
      <c r="D1228" s="119"/>
      <c r="E1228" s="32"/>
      <c r="G1228" s="31">
        <v>1186</v>
      </c>
      <c r="H1228" s="30" t="str">
        <f t="shared" si="50"/>
        <v/>
      </c>
      <c r="I1228" s="74" t="str">
        <f t="shared" si="51"/>
        <v/>
      </c>
      <c r="J1228" s="32"/>
    </row>
    <row r="1229" spans="2:10" ht="15">
      <c r="B1229" s="31"/>
      <c r="C1229" s="30"/>
      <c r="D1229" s="119"/>
      <c r="E1229" s="32"/>
      <c r="G1229" s="31">
        <v>1187</v>
      </c>
      <c r="H1229" s="30" t="str">
        <f t="shared" si="50"/>
        <v/>
      </c>
      <c r="I1229" s="74" t="str">
        <f t="shared" si="51"/>
        <v/>
      </c>
      <c r="J1229" s="32"/>
    </row>
    <row r="1230" spans="2:10" ht="15">
      <c r="B1230" s="31"/>
      <c r="C1230" s="30"/>
      <c r="D1230" s="119"/>
      <c r="E1230" s="32"/>
      <c r="G1230" s="31">
        <v>1188</v>
      </c>
      <c r="H1230" s="30" t="str">
        <f t="shared" si="50"/>
        <v/>
      </c>
      <c r="I1230" s="74" t="str">
        <f t="shared" si="51"/>
        <v/>
      </c>
      <c r="J1230" s="32"/>
    </row>
    <row r="1231" spans="2:10" ht="15">
      <c r="B1231" s="31"/>
      <c r="C1231" s="30"/>
      <c r="D1231" s="119"/>
      <c r="E1231" s="32"/>
      <c r="G1231" s="31">
        <v>1189</v>
      </c>
      <c r="H1231" s="30" t="str">
        <f t="shared" si="50"/>
        <v/>
      </c>
      <c r="I1231" s="74" t="str">
        <f t="shared" si="51"/>
        <v/>
      </c>
      <c r="J1231" s="32"/>
    </row>
    <row r="1232" spans="2:10" ht="15">
      <c r="B1232" s="31"/>
      <c r="C1232" s="30"/>
      <c r="D1232" s="119"/>
      <c r="E1232" s="32"/>
      <c r="G1232" s="31">
        <v>1190</v>
      </c>
      <c r="H1232" s="30" t="str">
        <f t="shared" si="50"/>
        <v/>
      </c>
      <c r="I1232" s="74" t="str">
        <f t="shared" si="51"/>
        <v/>
      </c>
      <c r="J1232" s="32"/>
    </row>
    <row r="1233" spans="2:10" ht="15">
      <c r="B1233" s="31"/>
      <c r="C1233" s="30"/>
      <c r="D1233" s="119"/>
      <c r="E1233" s="32"/>
      <c r="G1233" s="31">
        <v>1191</v>
      </c>
      <c r="H1233" s="30" t="str">
        <f t="shared" si="50"/>
        <v/>
      </c>
      <c r="I1233" s="74" t="str">
        <f t="shared" si="51"/>
        <v/>
      </c>
      <c r="J1233" s="32"/>
    </row>
    <row r="1234" spans="2:10" ht="15">
      <c r="B1234" s="31"/>
      <c r="C1234" s="30"/>
      <c r="D1234" s="119"/>
      <c r="E1234" s="32"/>
      <c r="G1234" s="31">
        <v>1192</v>
      </c>
      <c r="H1234" s="30" t="str">
        <f t="shared" si="50"/>
        <v/>
      </c>
      <c r="I1234" s="74" t="str">
        <f t="shared" si="51"/>
        <v/>
      </c>
      <c r="J1234" s="32"/>
    </row>
    <row r="1235" spans="2:10" ht="15">
      <c r="B1235" s="31"/>
      <c r="C1235" s="30"/>
      <c r="D1235" s="119"/>
      <c r="E1235" s="32"/>
      <c r="G1235" s="31">
        <v>1193</v>
      </c>
      <c r="H1235" s="30" t="str">
        <f t="shared" si="50"/>
        <v/>
      </c>
      <c r="I1235" s="74" t="str">
        <f t="shared" si="51"/>
        <v/>
      </c>
      <c r="J1235" s="32"/>
    </row>
    <row r="1236" spans="2:10" ht="15">
      <c r="B1236" s="31"/>
      <c r="C1236" s="30"/>
      <c r="D1236" s="119"/>
      <c r="E1236" s="32"/>
      <c r="G1236" s="31">
        <v>1194</v>
      </c>
      <c r="H1236" s="30" t="str">
        <f t="shared" si="50"/>
        <v/>
      </c>
      <c r="I1236" s="74" t="str">
        <f t="shared" si="51"/>
        <v/>
      </c>
      <c r="J1236" s="32"/>
    </row>
    <row r="1237" spans="2:10" ht="15">
      <c r="B1237" s="31"/>
      <c r="C1237" s="30"/>
      <c r="D1237" s="119"/>
      <c r="E1237" s="32"/>
      <c r="G1237" s="31">
        <v>1195</v>
      </c>
      <c r="H1237" s="30" t="str">
        <f t="shared" si="50"/>
        <v/>
      </c>
      <c r="I1237" s="74" t="str">
        <f t="shared" si="51"/>
        <v/>
      </c>
      <c r="J1237" s="32"/>
    </row>
    <row r="1238" spans="2:10" ht="15">
      <c r="B1238" s="31"/>
      <c r="C1238" s="30"/>
      <c r="D1238" s="119"/>
      <c r="E1238" s="32"/>
      <c r="G1238" s="31">
        <v>1196</v>
      </c>
      <c r="H1238" s="30" t="str">
        <f t="shared" si="50"/>
        <v/>
      </c>
      <c r="I1238" s="74" t="str">
        <f t="shared" si="51"/>
        <v/>
      </c>
      <c r="J1238" s="32"/>
    </row>
    <row r="1239" spans="2:10" ht="15">
      <c r="B1239" s="31"/>
      <c r="C1239" s="30"/>
      <c r="D1239" s="119"/>
      <c r="E1239" s="32"/>
      <c r="G1239" s="31">
        <v>1197</v>
      </c>
      <c r="H1239" s="30" t="str">
        <f t="shared" si="50"/>
        <v/>
      </c>
      <c r="I1239" s="74" t="str">
        <f t="shared" si="51"/>
        <v/>
      </c>
      <c r="J1239" s="32"/>
    </row>
    <row r="1240" spans="2:10" ht="15">
      <c r="B1240" s="31"/>
      <c r="C1240" s="30"/>
      <c r="D1240" s="119"/>
      <c r="E1240" s="32"/>
      <c r="G1240" s="31">
        <v>1198</v>
      </c>
      <c r="H1240" s="30" t="str">
        <f t="shared" si="50"/>
        <v/>
      </c>
      <c r="I1240" s="74" t="str">
        <f t="shared" si="51"/>
        <v/>
      </c>
      <c r="J1240" s="32"/>
    </row>
    <row r="1241" spans="2:10" ht="15">
      <c r="B1241" s="31"/>
      <c r="C1241" s="30"/>
      <c r="D1241" s="119"/>
      <c r="E1241" s="32"/>
      <c r="G1241" s="31">
        <v>1199</v>
      </c>
      <c r="H1241" s="30" t="str">
        <f t="shared" si="50"/>
        <v/>
      </c>
      <c r="I1241" s="74" t="str">
        <f t="shared" si="51"/>
        <v/>
      </c>
      <c r="J1241" s="32"/>
    </row>
    <row r="1242" spans="2:10" ht="15">
      <c r="B1242" s="31"/>
      <c r="C1242" s="30"/>
      <c r="D1242" s="119"/>
      <c r="E1242" s="32"/>
      <c r="G1242" s="31">
        <v>1200</v>
      </c>
      <c r="H1242" s="30" t="str">
        <f t="shared" si="50"/>
        <v/>
      </c>
      <c r="I1242" s="74" t="str">
        <f t="shared" si="51"/>
        <v/>
      </c>
      <c r="J1242" s="32"/>
    </row>
    <row r="1243" spans="2:10" ht="15">
      <c r="B1243" s="31"/>
      <c r="C1243" s="30"/>
      <c r="D1243" s="119"/>
      <c r="E1243" s="32"/>
      <c r="G1243" s="31">
        <v>1201</v>
      </c>
      <c r="H1243" s="30" t="str">
        <f t="shared" si="50"/>
        <v/>
      </c>
      <c r="I1243" s="74" t="str">
        <f t="shared" si="51"/>
        <v/>
      </c>
      <c r="J1243" s="32"/>
    </row>
    <row r="1244" spans="2:10" ht="15">
      <c r="B1244" s="31"/>
      <c r="C1244" s="30"/>
      <c r="D1244" s="119"/>
      <c r="E1244" s="32"/>
      <c r="G1244" s="31">
        <v>1202</v>
      </c>
      <c r="H1244" s="30" t="str">
        <f t="shared" si="50"/>
        <v/>
      </c>
      <c r="I1244" s="74" t="str">
        <f t="shared" si="51"/>
        <v/>
      </c>
      <c r="J1244" s="32"/>
    </row>
    <row r="1245" spans="2:10" ht="15">
      <c r="B1245" s="31"/>
      <c r="C1245" s="30"/>
      <c r="D1245" s="119"/>
      <c r="E1245" s="32"/>
      <c r="G1245" s="31">
        <v>1203</v>
      </c>
      <c r="H1245" s="30" t="str">
        <f t="shared" si="50"/>
        <v/>
      </c>
      <c r="I1245" s="74" t="str">
        <f t="shared" si="51"/>
        <v/>
      </c>
      <c r="J1245" s="32"/>
    </row>
    <row r="1246" spans="2:10" ht="15">
      <c r="B1246" s="31"/>
      <c r="C1246" s="30"/>
      <c r="D1246" s="119"/>
      <c r="E1246" s="32"/>
      <c r="G1246" s="31">
        <v>1204</v>
      </c>
      <c r="H1246" s="30" t="str">
        <f t="shared" si="50"/>
        <v/>
      </c>
      <c r="I1246" s="74" t="str">
        <f t="shared" si="51"/>
        <v/>
      </c>
      <c r="J1246" s="32"/>
    </row>
    <row r="1247" spans="2:10" ht="15">
      <c r="B1247" s="31"/>
      <c r="C1247" s="30"/>
      <c r="D1247" s="119"/>
      <c r="E1247" s="32"/>
      <c r="G1247" s="31">
        <v>1205</v>
      </c>
      <c r="H1247" s="30" t="str">
        <f t="shared" si="50"/>
        <v/>
      </c>
      <c r="I1247" s="74" t="str">
        <f t="shared" si="51"/>
        <v/>
      </c>
      <c r="J1247" s="32"/>
    </row>
    <row r="1248" spans="2:10" ht="15">
      <c r="B1248" s="31"/>
      <c r="C1248" s="30"/>
      <c r="D1248" s="119"/>
      <c r="E1248" s="32"/>
      <c r="G1248" s="31">
        <v>1206</v>
      </c>
      <c r="H1248" s="30" t="str">
        <f t="shared" si="50"/>
        <v/>
      </c>
      <c r="I1248" s="74" t="str">
        <f t="shared" si="51"/>
        <v/>
      </c>
      <c r="J1248" s="32"/>
    </row>
    <row r="1249" spans="2:10" ht="15">
      <c r="B1249" s="31"/>
      <c r="C1249" s="30"/>
      <c r="D1249" s="119"/>
      <c r="E1249" s="32"/>
      <c r="G1249" s="31">
        <v>1207</v>
      </c>
      <c r="H1249" s="30" t="str">
        <f t="shared" si="50"/>
        <v/>
      </c>
      <c r="I1249" s="74" t="str">
        <f t="shared" si="51"/>
        <v/>
      </c>
      <c r="J1249" s="32"/>
    </row>
    <row r="1250" spans="2:10" ht="15">
      <c r="B1250" s="31"/>
      <c r="C1250" s="30"/>
      <c r="D1250" s="119"/>
      <c r="E1250" s="32"/>
      <c r="G1250" s="31">
        <v>1208</v>
      </c>
      <c r="H1250" s="30" t="str">
        <f t="shared" si="50"/>
        <v/>
      </c>
      <c r="I1250" s="74" t="str">
        <f t="shared" si="51"/>
        <v/>
      </c>
      <c r="J1250" s="32"/>
    </row>
    <row r="1251" spans="2:10" ht="15">
      <c r="B1251" s="31"/>
      <c r="C1251" s="30"/>
      <c r="D1251" s="119"/>
      <c r="E1251" s="32"/>
      <c r="G1251" s="31">
        <v>1209</v>
      </c>
      <c r="H1251" s="30" t="str">
        <f t="shared" si="50"/>
        <v/>
      </c>
      <c r="I1251" s="74" t="str">
        <f t="shared" si="51"/>
        <v/>
      </c>
      <c r="J1251" s="32"/>
    </row>
    <row r="1252" spans="2:10" ht="15">
      <c r="B1252" s="31"/>
      <c r="C1252" s="30"/>
      <c r="D1252" s="119"/>
      <c r="E1252" s="32"/>
      <c r="G1252" s="31">
        <v>1210</v>
      </c>
      <c r="H1252" s="30" t="str">
        <f t="shared" si="50"/>
        <v/>
      </c>
      <c r="I1252" s="74" t="str">
        <f t="shared" si="51"/>
        <v/>
      </c>
      <c r="J1252" s="32"/>
    </row>
    <row r="1253" spans="2:10" ht="15">
      <c r="B1253" s="31"/>
      <c r="C1253" s="30"/>
      <c r="D1253" s="119"/>
      <c r="E1253" s="32"/>
      <c r="G1253" s="31">
        <v>1211</v>
      </c>
      <c r="H1253" s="30" t="str">
        <f t="shared" si="50"/>
        <v/>
      </c>
      <c r="I1253" s="74" t="str">
        <f t="shared" si="51"/>
        <v/>
      </c>
      <c r="J1253" s="32"/>
    </row>
    <row r="1254" spans="2:10" ht="15">
      <c r="B1254" s="31"/>
      <c r="C1254" s="30"/>
      <c r="D1254" s="119"/>
      <c r="E1254" s="32"/>
      <c r="G1254" s="31">
        <v>1212</v>
      </c>
      <c r="H1254" s="30" t="str">
        <f t="shared" si="50"/>
        <v/>
      </c>
      <c r="I1254" s="74" t="str">
        <f t="shared" si="51"/>
        <v/>
      </c>
      <c r="J1254" s="32"/>
    </row>
    <row r="1255" spans="2:10" ht="15">
      <c r="B1255" s="31"/>
      <c r="C1255" s="30"/>
      <c r="D1255" s="119"/>
      <c r="E1255" s="32"/>
      <c r="G1255" s="31">
        <v>1213</v>
      </c>
      <c r="H1255" s="30" t="str">
        <f t="shared" si="50"/>
        <v/>
      </c>
      <c r="I1255" s="74" t="str">
        <f t="shared" si="51"/>
        <v/>
      </c>
      <c r="J1255" s="32"/>
    </row>
    <row r="1256" spans="2:10" ht="15">
      <c r="B1256" s="31"/>
      <c r="C1256" s="30"/>
      <c r="D1256" s="119"/>
      <c r="E1256" s="32"/>
      <c r="G1256" s="31">
        <v>1214</v>
      </c>
      <c r="H1256" s="30" t="str">
        <f t="shared" si="50"/>
        <v/>
      </c>
      <c r="I1256" s="74" t="str">
        <f t="shared" si="51"/>
        <v/>
      </c>
      <c r="J1256" s="32"/>
    </row>
    <row r="1257" spans="2:10" ht="15">
      <c r="B1257" s="31"/>
      <c r="C1257" s="30"/>
      <c r="D1257" s="119"/>
      <c r="E1257" s="32"/>
      <c r="G1257" s="31">
        <v>1215</v>
      </c>
      <c r="H1257" s="30" t="str">
        <f t="shared" si="50"/>
        <v/>
      </c>
      <c r="I1257" s="74" t="str">
        <f t="shared" si="51"/>
        <v/>
      </c>
      <c r="J1257" s="32"/>
    </row>
    <row r="1258" spans="2:10" ht="15">
      <c r="B1258" s="31"/>
      <c r="C1258" s="30"/>
      <c r="D1258" s="119"/>
      <c r="E1258" s="32"/>
      <c r="G1258" s="31">
        <v>1216</v>
      </c>
      <c r="H1258" s="30" t="str">
        <f t="shared" si="50"/>
        <v/>
      </c>
      <c r="I1258" s="74" t="str">
        <f t="shared" si="51"/>
        <v/>
      </c>
      <c r="J1258" s="32"/>
    </row>
    <row r="1259" spans="2:10" ht="15">
      <c r="B1259" s="31"/>
      <c r="C1259" s="30"/>
      <c r="D1259" s="119"/>
      <c r="E1259" s="32"/>
      <c r="G1259" s="31">
        <v>1217</v>
      </c>
      <c r="H1259" s="30" t="str">
        <f t="shared" si="50"/>
        <v/>
      </c>
      <c r="I1259" s="74" t="str">
        <f t="shared" si="51"/>
        <v/>
      </c>
      <c r="J1259" s="32"/>
    </row>
    <row r="1260" spans="2:10" ht="15">
      <c r="B1260" s="31"/>
      <c r="C1260" s="30"/>
      <c r="D1260" s="119"/>
      <c r="E1260" s="32"/>
      <c r="G1260" s="31">
        <v>1218</v>
      </c>
      <c r="H1260" s="30" t="str">
        <f t="shared" ref="H1260:H1323" si="52">MID($I$41,G1260*8-7,8)</f>
        <v/>
      </c>
      <c r="I1260" s="74" t="str">
        <f t="shared" ref="I1260:I1323" si="53">IFERROR(BIN2DEC(VALUE(H1260)),"")</f>
        <v/>
      </c>
      <c r="J1260" s="32"/>
    </row>
    <row r="1261" spans="2:10" ht="15">
      <c r="B1261" s="31"/>
      <c r="C1261" s="30"/>
      <c r="D1261" s="119"/>
      <c r="E1261" s="32"/>
      <c r="G1261" s="31">
        <v>1219</v>
      </c>
      <c r="H1261" s="30" t="str">
        <f t="shared" si="52"/>
        <v/>
      </c>
      <c r="I1261" s="74" t="str">
        <f t="shared" si="53"/>
        <v/>
      </c>
      <c r="J1261" s="32"/>
    </row>
    <row r="1262" spans="2:10" ht="15">
      <c r="B1262" s="31"/>
      <c r="C1262" s="30"/>
      <c r="D1262" s="119"/>
      <c r="E1262" s="32"/>
      <c r="G1262" s="31">
        <v>1220</v>
      </c>
      <c r="H1262" s="30" t="str">
        <f t="shared" si="52"/>
        <v/>
      </c>
      <c r="I1262" s="74" t="str">
        <f t="shared" si="53"/>
        <v/>
      </c>
      <c r="J1262" s="32"/>
    </row>
    <row r="1263" spans="2:10" ht="15">
      <c r="B1263" s="31"/>
      <c r="C1263" s="30"/>
      <c r="D1263" s="119"/>
      <c r="E1263" s="32"/>
      <c r="G1263" s="31">
        <v>1221</v>
      </c>
      <c r="H1263" s="30" t="str">
        <f t="shared" si="52"/>
        <v/>
      </c>
      <c r="I1263" s="74" t="str">
        <f t="shared" si="53"/>
        <v/>
      </c>
      <c r="J1263" s="32"/>
    </row>
    <row r="1264" spans="2:10" ht="15">
      <c r="B1264" s="31"/>
      <c r="C1264" s="30"/>
      <c r="D1264" s="119"/>
      <c r="E1264" s="32"/>
      <c r="G1264" s="31">
        <v>1222</v>
      </c>
      <c r="H1264" s="30" t="str">
        <f t="shared" si="52"/>
        <v/>
      </c>
      <c r="I1264" s="74" t="str">
        <f t="shared" si="53"/>
        <v/>
      </c>
      <c r="J1264" s="32"/>
    </row>
    <row r="1265" spans="2:10" ht="15">
      <c r="B1265" s="31"/>
      <c r="C1265" s="30"/>
      <c r="D1265" s="119"/>
      <c r="E1265" s="32"/>
      <c r="G1265" s="31">
        <v>1223</v>
      </c>
      <c r="H1265" s="30" t="str">
        <f t="shared" si="52"/>
        <v/>
      </c>
      <c r="I1265" s="74" t="str">
        <f t="shared" si="53"/>
        <v/>
      </c>
      <c r="J1265" s="32"/>
    </row>
    <row r="1266" spans="2:10" ht="15">
      <c r="B1266" s="31"/>
      <c r="C1266" s="30"/>
      <c r="D1266" s="119"/>
      <c r="E1266" s="32"/>
      <c r="G1266" s="31">
        <v>1224</v>
      </c>
      <c r="H1266" s="30" t="str">
        <f t="shared" si="52"/>
        <v/>
      </c>
      <c r="I1266" s="74" t="str">
        <f t="shared" si="53"/>
        <v/>
      </c>
      <c r="J1266" s="32"/>
    </row>
    <row r="1267" spans="2:10" ht="15">
      <c r="B1267" s="31"/>
      <c r="C1267" s="30"/>
      <c r="D1267" s="119"/>
      <c r="E1267" s="32"/>
      <c r="G1267" s="31">
        <v>1225</v>
      </c>
      <c r="H1267" s="30" t="str">
        <f t="shared" si="52"/>
        <v/>
      </c>
      <c r="I1267" s="74" t="str">
        <f t="shared" si="53"/>
        <v/>
      </c>
      <c r="J1267" s="32"/>
    </row>
    <row r="1268" spans="2:10" ht="15">
      <c r="B1268" s="31"/>
      <c r="C1268" s="30"/>
      <c r="D1268" s="119"/>
      <c r="E1268" s="32"/>
      <c r="G1268" s="31">
        <v>1226</v>
      </c>
      <c r="H1268" s="30" t="str">
        <f t="shared" si="52"/>
        <v/>
      </c>
      <c r="I1268" s="74" t="str">
        <f t="shared" si="53"/>
        <v/>
      </c>
      <c r="J1268" s="32"/>
    </row>
    <row r="1269" spans="2:10" ht="15">
      <c r="B1269" s="31"/>
      <c r="C1269" s="30"/>
      <c r="D1269" s="119"/>
      <c r="E1269" s="32"/>
      <c r="G1269" s="31">
        <v>1227</v>
      </c>
      <c r="H1269" s="30" t="str">
        <f t="shared" si="52"/>
        <v/>
      </c>
      <c r="I1269" s="74" t="str">
        <f t="shared" si="53"/>
        <v/>
      </c>
      <c r="J1269" s="32"/>
    </row>
    <row r="1270" spans="2:10" ht="15">
      <c r="B1270" s="31"/>
      <c r="C1270" s="30"/>
      <c r="D1270" s="119"/>
      <c r="E1270" s="32"/>
      <c r="G1270" s="31">
        <v>1228</v>
      </c>
      <c r="H1270" s="30" t="str">
        <f t="shared" si="52"/>
        <v/>
      </c>
      <c r="I1270" s="74" t="str">
        <f t="shared" si="53"/>
        <v/>
      </c>
      <c r="J1270" s="32"/>
    </row>
    <row r="1271" spans="2:10" ht="15">
      <c r="B1271" s="31"/>
      <c r="C1271" s="30"/>
      <c r="D1271" s="119"/>
      <c r="E1271" s="32"/>
      <c r="G1271" s="31">
        <v>1229</v>
      </c>
      <c r="H1271" s="30" t="str">
        <f t="shared" si="52"/>
        <v/>
      </c>
      <c r="I1271" s="74" t="str">
        <f t="shared" si="53"/>
        <v/>
      </c>
      <c r="J1271" s="32"/>
    </row>
    <row r="1272" spans="2:10" ht="15">
      <c r="B1272" s="31"/>
      <c r="C1272" s="30"/>
      <c r="D1272" s="119"/>
      <c r="E1272" s="32"/>
      <c r="G1272" s="31">
        <v>1230</v>
      </c>
      <c r="H1272" s="30" t="str">
        <f t="shared" si="52"/>
        <v/>
      </c>
      <c r="I1272" s="74" t="str">
        <f t="shared" si="53"/>
        <v/>
      </c>
      <c r="J1272" s="32"/>
    </row>
    <row r="1273" spans="2:10" ht="15">
      <c r="B1273" s="31"/>
      <c r="C1273" s="30"/>
      <c r="D1273" s="119"/>
      <c r="E1273" s="32"/>
      <c r="G1273" s="31">
        <v>1231</v>
      </c>
      <c r="H1273" s="30" t="str">
        <f t="shared" si="52"/>
        <v/>
      </c>
      <c r="I1273" s="74" t="str">
        <f t="shared" si="53"/>
        <v/>
      </c>
      <c r="J1273" s="32"/>
    </row>
    <row r="1274" spans="2:10" ht="15">
      <c r="B1274" s="31"/>
      <c r="C1274" s="30"/>
      <c r="D1274" s="119"/>
      <c r="E1274" s="32"/>
      <c r="G1274" s="31">
        <v>1232</v>
      </c>
      <c r="H1274" s="30" t="str">
        <f t="shared" si="52"/>
        <v/>
      </c>
      <c r="I1274" s="74" t="str">
        <f t="shared" si="53"/>
        <v/>
      </c>
      <c r="J1274" s="32"/>
    </row>
    <row r="1275" spans="2:10" ht="15">
      <c r="B1275" s="31"/>
      <c r="C1275" s="30"/>
      <c r="D1275" s="119"/>
      <c r="E1275" s="32"/>
      <c r="G1275" s="31">
        <v>1233</v>
      </c>
      <c r="H1275" s="30" t="str">
        <f t="shared" si="52"/>
        <v/>
      </c>
      <c r="I1275" s="74" t="str">
        <f t="shared" si="53"/>
        <v/>
      </c>
      <c r="J1275" s="32"/>
    </row>
    <row r="1276" spans="2:10" ht="15">
      <c r="B1276" s="31"/>
      <c r="C1276" s="30"/>
      <c r="D1276" s="119"/>
      <c r="E1276" s="32"/>
      <c r="G1276" s="31">
        <v>1234</v>
      </c>
      <c r="H1276" s="30" t="str">
        <f t="shared" si="52"/>
        <v/>
      </c>
      <c r="I1276" s="74" t="str">
        <f t="shared" si="53"/>
        <v/>
      </c>
      <c r="J1276" s="32"/>
    </row>
    <row r="1277" spans="2:10" ht="15">
      <c r="B1277" s="31"/>
      <c r="C1277" s="30"/>
      <c r="D1277" s="119"/>
      <c r="E1277" s="32"/>
      <c r="G1277" s="31">
        <v>1235</v>
      </c>
      <c r="H1277" s="30" t="str">
        <f t="shared" si="52"/>
        <v/>
      </c>
      <c r="I1277" s="74" t="str">
        <f t="shared" si="53"/>
        <v/>
      </c>
      <c r="J1277" s="32"/>
    </row>
    <row r="1278" spans="2:10" ht="15">
      <c r="B1278" s="31"/>
      <c r="C1278" s="30"/>
      <c r="D1278" s="119"/>
      <c r="E1278" s="32"/>
      <c r="G1278" s="31">
        <v>1236</v>
      </c>
      <c r="H1278" s="30" t="str">
        <f t="shared" si="52"/>
        <v/>
      </c>
      <c r="I1278" s="74" t="str">
        <f t="shared" si="53"/>
        <v/>
      </c>
      <c r="J1278" s="32"/>
    </row>
    <row r="1279" spans="2:10" ht="15">
      <c r="B1279" s="31"/>
      <c r="C1279" s="30"/>
      <c r="D1279" s="119"/>
      <c r="E1279" s="32"/>
      <c r="G1279" s="31">
        <v>1237</v>
      </c>
      <c r="H1279" s="30" t="str">
        <f t="shared" si="52"/>
        <v/>
      </c>
      <c r="I1279" s="74" t="str">
        <f t="shared" si="53"/>
        <v/>
      </c>
      <c r="J1279" s="32"/>
    </row>
    <row r="1280" spans="2:10" ht="15">
      <c r="B1280" s="31"/>
      <c r="C1280" s="30"/>
      <c r="D1280" s="119"/>
      <c r="E1280" s="32"/>
      <c r="G1280" s="31">
        <v>1238</v>
      </c>
      <c r="H1280" s="30" t="str">
        <f t="shared" si="52"/>
        <v/>
      </c>
      <c r="I1280" s="74" t="str">
        <f t="shared" si="53"/>
        <v/>
      </c>
      <c r="J1280" s="32"/>
    </row>
    <row r="1281" spans="2:10" ht="15">
      <c r="B1281" s="31"/>
      <c r="C1281" s="30"/>
      <c r="D1281" s="119"/>
      <c r="E1281" s="32"/>
      <c r="G1281" s="31">
        <v>1239</v>
      </c>
      <c r="H1281" s="30" t="str">
        <f t="shared" si="52"/>
        <v/>
      </c>
      <c r="I1281" s="74" t="str">
        <f t="shared" si="53"/>
        <v/>
      </c>
      <c r="J1281" s="32"/>
    </row>
    <row r="1282" spans="2:10" ht="15">
      <c r="B1282" s="31"/>
      <c r="C1282" s="30"/>
      <c r="D1282" s="119"/>
      <c r="E1282" s="32"/>
      <c r="G1282" s="31">
        <v>1240</v>
      </c>
      <c r="H1282" s="30" t="str">
        <f t="shared" si="52"/>
        <v/>
      </c>
      <c r="I1282" s="74" t="str">
        <f t="shared" si="53"/>
        <v/>
      </c>
      <c r="J1282" s="32"/>
    </row>
    <row r="1283" spans="2:10" ht="15">
      <c r="B1283" s="31"/>
      <c r="C1283" s="30"/>
      <c r="D1283" s="119"/>
      <c r="E1283" s="32"/>
      <c r="G1283" s="31">
        <v>1241</v>
      </c>
      <c r="H1283" s="30" t="str">
        <f t="shared" si="52"/>
        <v/>
      </c>
      <c r="I1283" s="74" t="str">
        <f t="shared" si="53"/>
        <v/>
      </c>
      <c r="J1283" s="32"/>
    </row>
    <row r="1284" spans="2:10" ht="15">
      <c r="B1284" s="31"/>
      <c r="C1284" s="30"/>
      <c r="D1284" s="119"/>
      <c r="E1284" s="32"/>
      <c r="G1284" s="31">
        <v>1242</v>
      </c>
      <c r="H1284" s="30" t="str">
        <f t="shared" si="52"/>
        <v/>
      </c>
      <c r="I1284" s="74" t="str">
        <f t="shared" si="53"/>
        <v/>
      </c>
      <c r="J1284" s="32"/>
    </row>
    <row r="1285" spans="2:10" ht="15">
      <c r="B1285" s="31"/>
      <c r="C1285" s="30"/>
      <c r="D1285" s="119"/>
      <c r="E1285" s="32"/>
      <c r="G1285" s="31">
        <v>1243</v>
      </c>
      <c r="H1285" s="30" t="str">
        <f t="shared" si="52"/>
        <v/>
      </c>
      <c r="I1285" s="74" t="str">
        <f t="shared" si="53"/>
        <v/>
      </c>
      <c r="J1285" s="32"/>
    </row>
    <row r="1286" spans="2:10" ht="15">
      <c r="B1286" s="31"/>
      <c r="C1286" s="30"/>
      <c r="D1286" s="119"/>
      <c r="E1286" s="32"/>
      <c r="G1286" s="31">
        <v>1244</v>
      </c>
      <c r="H1286" s="30" t="str">
        <f t="shared" si="52"/>
        <v/>
      </c>
      <c r="I1286" s="74" t="str">
        <f t="shared" si="53"/>
        <v/>
      </c>
      <c r="J1286" s="32"/>
    </row>
    <row r="1287" spans="2:10" ht="15">
      <c r="B1287" s="31"/>
      <c r="C1287" s="30"/>
      <c r="D1287" s="119"/>
      <c r="E1287" s="32"/>
      <c r="G1287" s="31">
        <v>1245</v>
      </c>
      <c r="H1287" s="30" t="str">
        <f t="shared" si="52"/>
        <v/>
      </c>
      <c r="I1287" s="74" t="str">
        <f t="shared" si="53"/>
        <v/>
      </c>
      <c r="J1287" s="32"/>
    </row>
    <row r="1288" spans="2:10" ht="15">
      <c r="B1288" s="31"/>
      <c r="C1288" s="30"/>
      <c r="D1288" s="119"/>
      <c r="E1288" s="32"/>
      <c r="G1288" s="31">
        <v>1246</v>
      </c>
      <c r="H1288" s="30" t="str">
        <f t="shared" si="52"/>
        <v/>
      </c>
      <c r="I1288" s="74" t="str">
        <f t="shared" si="53"/>
        <v/>
      </c>
      <c r="J1288" s="32"/>
    </row>
    <row r="1289" spans="2:10" ht="15">
      <c r="B1289" s="31"/>
      <c r="C1289" s="30"/>
      <c r="D1289" s="119"/>
      <c r="E1289" s="32"/>
      <c r="G1289" s="31">
        <v>1247</v>
      </c>
      <c r="H1289" s="30" t="str">
        <f t="shared" si="52"/>
        <v/>
      </c>
      <c r="I1289" s="74" t="str">
        <f t="shared" si="53"/>
        <v/>
      </c>
      <c r="J1289" s="32"/>
    </row>
    <row r="1290" spans="2:10" ht="15">
      <c r="B1290" s="31"/>
      <c r="C1290" s="30"/>
      <c r="D1290" s="119"/>
      <c r="E1290" s="32"/>
      <c r="G1290" s="31">
        <v>1248</v>
      </c>
      <c r="H1290" s="30" t="str">
        <f t="shared" si="52"/>
        <v/>
      </c>
      <c r="I1290" s="74" t="str">
        <f t="shared" si="53"/>
        <v/>
      </c>
      <c r="J1290" s="32"/>
    </row>
    <row r="1291" spans="2:10" ht="15">
      <c r="B1291" s="31"/>
      <c r="C1291" s="30"/>
      <c r="D1291" s="119"/>
      <c r="E1291" s="32"/>
      <c r="G1291" s="31">
        <v>1249</v>
      </c>
      <c r="H1291" s="30" t="str">
        <f t="shared" si="52"/>
        <v/>
      </c>
      <c r="I1291" s="74" t="str">
        <f t="shared" si="53"/>
        <v/>
      </c>
      <c r="J1291" s="32"/>
    </row>
    <row r="1292" spans="2:10" ht="15">
      <c r="B1292" s="31"/>
      <c r="C1292" s="30"/>
      <c r="D1292" s="119"/>
      <c r="E1292" s="32"/>
      <c r="G1292" s="31">
        <v>1250</v>
      </c>
      <c r="H1292" s="30" t="str">
        <f t="shared" si="52"/>
        <v/>
      </c>
      <c r="I1292" s="74" t="str">
        <f t="shared" si="53"/>
        <v/>
      </c>
      <c r="J1292" s="32"/>
    </row>
    <row r="1293" spans="2:10" ht="15">
      <c r="B1293" s="31"/>
      <c r="C1293" s="30"/>
      <c r="D1293" s="119"/>
      <c r="E1293" s="32"/>
      <c r="G1293" s="31">
        <v>1251</v>
      </c>
      <c r="H1293" s="30" t="str">
        <f t="shared" si="52"/>
        <v/>
      </c>
      <c r="I1293" s="74" t="str">
        <f t="shared" si="53"/>
        <v/>
      </c>
      <c r="J1293" s="32"/>
    </row>
    <row r="1294" spans="2:10" ht="15">
      <c r="B1294" s="31"/>
      <c r="C1294" s="30"/>
      <c r="D1294" s="119"/>
      <c r="E1294" s="32"/>
      <c r="G1294" s="31">
        <v>1252</v>
      </c>
      <c r="H1294" s="30" t="str">
        <f t="shared" si="52"/>
        <v/>
      </c>
      <c r="I1294" s="74" t="str">
        <f t="shared" si="53"/>
        <v/>
      </c>
      <c r="J1294" s="32"/>
    </row>
    <row r="1295" spans="2:10" ht="15">
      <c r="B1295" s="31"/>
      <c r="C1295" s="30"/>
      <c r="D1295" s="119"/>
      <c r="E1295" s="32"/>
      <c r="G1295" s="31">
        <v>1253</v>
      </c>
      <c r="H1295" s="30" t="str">
        <f t="shared" si="52"/>
        <v/>
      </c>
      <c r="I1295" s="74" t="str">
        <f t="shared" si="53"/>
        <v/>
      </c>
      <c r="J1295" s="32"/>
    </row>
    <row r="1296" spans="2:10" ht="15">
      <c r="B1296" s="31"/>
      <c r="C1296" s="30"/>
      <c r="D1296" s="119"/>
      <c r="E1296" s="32"/>
      <c r="G1296" s="31">
        <v>1254</v>
      </c>
      <c r="H1296" s="30" t="str">
        <f t="shared" si="52"/>
        <v/>
      </c>
      <c r="I1296" s="74" t="str">
        <f t="shared" si="53"/>
        <v/>
      </c>
      <c r="J1296" s="32"/>
    </row>
    <row r="1297" spans="2:10" ht="15">
      <c r="B1297" s="31"/>
      <c r="C1297" s="30"/>
      <c r="D1297" s="119"/>
      <c r="E1297" s="32"/>
      <c r="G1297" s="31">
        <v>1255</v>
      </c>
      <c r="H1297" s="30" t="str">
        <f t="shared" si="52"/>
        <v/>
      </c>
      <c r="I1297" s="74" t="str">
        <f t="shared" si="53"/>
        <v/>
      </c>
      <c r="J1297" s="32"/>
    </row>
    <row r="1298" spans="2:10" ht="15">
      <c r="B1298" s="31"/>
      <c r="C1298" s="30"/>
      <c r="D1298" s="119"/>
      <c r="E1298" s="32"/>
      <c r="G1298" s="31">
        <v>1256</v>
      </c>
      <c r="H1298" s="30" t="str">
        <f t="shared" si="52"/>
        <v/>
      </c>
      <c r="I1298" s="74" t="str">
        <f t="shared" si="53"/>
        <v/>
      </c>
      <c r="J1298" s="32"/>
    </row>
    <row r="1299" spans="2:10" ht="15">
      <c r="B1299" s="31"/>
      <c r="C1299" s="30"/>
      <c r="D1299" s="119"/>
      <c r="E1299" s="32"/>
      <c r="G1299" s="31">
        <v>1257</v>
      </c>
      <c r="H1299" s="30" t="str">
        <f t="shared" si="52"/>
        <v/>
      </c>
      <c r="I1299" s="74" t="str">
        <f t="shared" si="53"/>
        <v/>
      </c>
      <c r="J1299" s="32"/>
    </row>
    <row r="1300" spans="2:10" ht="15">
      <c r="B1300" s="31"/>
      <c r="C1300" s="30"/>
      <c r="D1300" s="119"/>
      <c r="E1300" s="32"/>
      <c r="G1300" s="31">
        <v>1258</v>
      </c>
      <c r="H1300" s="30" t="str">
        <f t="shared" si="52"/>
        <v/>
      </c>
      <c r="I1300" s="74" t="str">
        <f t="shared" si="53"/>
        <v/>
      </c>
      <c r="J1300" s="32"/>
    </row>
    <row r="1301" spans="2:10" ht="15">
      <c r="B1301" s="31"/>
      <c r="C1301" s="30"/>
      <c r="D1301" s="119"/>
      <c r="E1301" s="32"/>
      <c r="G1301" s="31">
        <v>1259</v>
      </c>
      <c r="H1301" s="30" t="str">
        <f t="shared" si="52"/>
        <v/>
      </c>
      <c r="I1301" s="74" t="str">
        <f t="shared" si="53"/>
        <v/>
      </c>
      <c r="J1301" s="32"/>
    </row>
    <row r="1302" spans="2:10" ht="15">
      <c r="B1302" s="31"/>
      <c r="C1302" s="30"/>
      <c r="D1302" s="119"/>
      <c r="E1302" s="32"/>
      <c r="G1302" s="31">
        <v>1260</v>
      </c>
      <c r="H1302" s="30" t="str">
        <f t="shared" si="52"/>
        <v/>
      </c>
      <c r="I1302" s="74" t="str">
        <f t="shared" si="53"/>
        <v/>
      </c>
      <c r="J1302" s="32"/>
    </row>
    <row r="1303" spans="2:10" ht="15">
      <c r="B1303" s="31"/>
      <c r="C1303" s="30"/>
      <c r="D1303" s="119"/>
      <c r="E1303" s="32"/>
      <c r="G1303" s="31">
        <v>1261</v>
      </c>
      <c r="H1303" s="30" t="str">
        <f t="shared" si="52"/>
        <v/>
      </c>
      <c r="I1303" s="74" t="str">
        <f t="shared" si="53"/>
        <v/>
      </c>
      <c r="J1303" s="32"/>
    </row>
    <row r="1304" spans="2:10" ht="15">
      <c r="B1304" s="31"/>
      <c r="C1304" s="30"/>
      <c r="D1304" s="119"/>
      <c r="E1304" s="32"/>
      <c r="G1304" s="31">
        <v>1262</v>
      </c>
      <c r="H1304" s="30" t="str">
        <f t="shared" si="52"/>
        <v/>
      </c>
      <c r="I1304" s="74" t="str">
        <f t="shared" si="53"/>
        <v/>
      </c>
      <c r="J1304" s="32"/>
    </row>
    <row r="1305" spans="2:10" ht="15">
      <c r="B1305" s="31"/>
      <c r="C1305" s="30"/>
      <c r="D1305" s="119"/>
      <c r="E1305" s="32"/>
      <c r="G1305" s="31">
        <v>1263</v>
      </c>
      <c r="H1305" s="30" t="str">
        <f t="shared" si="52"/>
        <v/>
      </c>
      <c r="I1305" s="74" t="str">
        <f t="shared" si="53"/>
        <v/>
      </c>
      <c r="J1305" s="32"/>
    </row>
    <row r="1306" spans="2:10" ht="15">
      <c r="B1306" s="31"/>
      <c r="C1306" s="30"/>
      <c r="D1306" s="119"/>
      <c r="E1306" s="32"/>
      <c r="G1306" s="31">
        <v>1264</v>
      </c>
      <c r="H1306" s="30" t="str">
        <f t="shared" si="52"/>
        <v/>
      </c>
      <c r="I1306" s="74" t="str">
        <f t="shared" si="53"/>
        <v/>
      </c>
      <c r="J1306" s="32"/>
    </row>
    <row r="1307" spans="2:10" ht="15">
      <c r="B1307" s="31"/>
      <c r="C1307" s="30"/>
      <c r="D1307" s="119"/>
      <c r="E1307" s="32"/>
      <c r="G1307" s="31">
        <v>1265</v>
      </c>
      <c r="H1307" s="30" t="str">
        <f t="shared" si="52"/>
        <v/>
      </c>
      <c r="I1307" s="74" t="str">
        <f t="shared" si="53"/>
        <v/>
      </c>
      <c r="J1307" s="32"/>
    </row>
    <row r="1308" spans="2:10" ht="15">
      <c r="B1308" s="31"/>
      <c r="C1308" s="30"/>
      <c r="D1308" s="119"/>
      <c r="E1308" s="32"/>
      <c r="G1308" s="31">
        <v>1266</v>
      </c>
      <c r="H1308" s="30" t="str">
        <f t="shared" si="52"/>
        <v/>
      </c>
      <c r="I1308" s="74" t="str">
        <f t="shared" si="53"/>
        <v/>
      </c>
      <c r="J1308" s="32"/>
    </row>
    <row r="1309" spans="2:10" ht="15">
      <c r="B1309" s="31"/>
      <c r="C1309" s="30"/>
      <c r="D1309" s="119"/>
      <c r="E1309" s="32"/>
      <c r="G1309" s="31">
        <v>1267</v>
      </c>
      <c r="H1309" s="30" t="str">
        <f t="shared" si="52"/>
        <v/>
      </c>
      <c r="I1309" s="74" t="str">
        <f t="shared" si="53"/>
        <v/>
      </c>
      <c r="J1309" s="32"/>
    </row>
    <row r="1310" spans="2:10" ht="15">
      <c r="B1310" s="31"/>
      <c r="C1310" s="30"/>
      <c r="D1310" s="119"/>
      <c r="E1310" s="32"/>
      <c r="G1310" s="31">
        <v>1268</v>
      </c>
      <c r="H1310" s="30" t="str">
        <f t="shared" si="52"/>
        <v/>
      </c>
      <c r="I1310" s="74" t="str">
        <f t="shared" si="53"/>
        <v/>
      </c>
      <c r="J1310" s="32"/>
    </row>
    <row r="1311" spans="2:10" ht="15">
      <c r="B1311" s="31"/>
      <c r="C1311" s="30"/>
      <c r="D1311" s="119"/>
      <c r="E1311" s="32"/>
      <c r="G1311" s="31">
        <v>1269</v>
      </c>
      <c r="H1311" s="30" t="str">
        <f t="shared" si="52"/>
        <v/>
      </c>
      <c r="I1311" s="74" t="str">
        <f t="shared" si="53"/>
        <v/>
      </c>
      <c r="J1311" s="32"/>
    </row>
    <row r="1312" spans="2:10" ht="15">
      <c r="B1312" s="31"/>
      <c r="C1312" s="30"/>
      <c r="D1312" s="119"/>
      <c r="E1312" s="32"/>
      <c r="G1312" s="31">
        <v>1270</v>
      </c>
      <c r="H1312" s="30" t="str">
        <f t="shared" si="52"/>
        <v/>
      </c>
      <c r="I1312" s="74" t="str">
        <f t="shared" si="53"/>
        <v/>
      </c>
      <c r="J1312" s="32"/>
    </row>
    <row r="1313" spans="2:10" ht="15">
      <c r="B1313" s="31"/>
      <c r="C1313" s="30"/>
      <c r="D1313" s="119"/>
      <c r="E1313" s="32"/>
      <c r="G1313" s="31">
        <v>1271</v>
      </c>
      <c r="H1313" s="30" t="str">
        <f t="shared" si="52"/>
        <v/>
      </c>
      <c r="I1313" s="74" t="str">
        <f t="shared" si="53"/>
        <v/>
      </c>
      <c r="J1313" s="32"/>
    </row>
    <row r="1314" spans="2:10" ht="15">
      <c r="B1314" s="31"/>
      <c r="C1314" s="30"/>
      <c r="D1314" s="119"/>
      <c r="E1314" s="32"/>
      <c r="G1314" s="31">
        <v>1272</v>
      </c>
      <c r="H1314" s="30" t="str">
        <f t="shared" si="52"/>
        <v/>
      </c>
      <c r="I1314" s="74" t="str">
        <f t="shared" si="53"/>
        <v/>
      </c>
      <c r="J1314" s="32"/>
    </row>
    <row r="1315" spans="2:10" ht="15">
      <c r="B1315" s="31"/>
      <c r="C1315" s="30"/>
      <c r="D1315" s="119"/>
      <c r="E1315" s="32"/>
      <c r="G1315" s="31">
        <v>1273</v>
      </c>
      <c r="H1315" s="30" t="str">
        <f t="shared" si="52"/>
        <v/>
      </c>
      <c r="I1315" s="74" t="str">
        <f t="shared" si="53"/>
        <v/>
      </c>
      <c r="J1315" s="32"/>
    </row>
    <row r="1316" spans="2:10" ht="15">
      <c r="B1316" s="31"/>
      <c r="C1316" s="30"/>
      <c r="D1316" s="119"/>
      <c r="E1316" s="32"/>
      <c r="G1316" s="31">
        <v>1274</v>
      </c>
      <c r="H1316" s="30" t="str">
        <f t="shared" si="52"/>
        <v/>
      </c>
      <c r="I1316" s="74" t="str">
        <f t="shared" si="53"/>
        <v/>
      </c>
      <c r="J1316" s="32"/>
    </row>
    <row r="1317" spans="2:10" ht="15">
      <c r="B1317" s="31"/>
      <c r="C1317" s="30"/>
      <c r="D1317" s="119"/>
      <c r="E1317" s="32"/>
      <c r="G1317" s="31">
        <v>1275</v>
      </c>
      <c r="H1317" s="30" t="str">
        <f t="shared" si="52"/>
        <v/>
      </c>
      <c r="I1317" s="74" t="str">
        <f t="shared" si="53"/>
        <v/>
      </c>
      <c r="J1317" s="32"/>
    </row>
    <row r="1318" spans="2:10" ht="15">
      <c r="B1318" s="31"/>
      <c r="C1318" s="30"/>
      <c r="D1318" s="119"/>
      <c r="E1318" s="32"/>
      <c r="G1318" s="31">
        <v>1276</v>
      </c>
      <c r="H1318" s="30" t="str">
        <f t="shared" si="52"/>
        <v/>
      </c>
      <c r="I1318" s="74" t="str">
        <f t="shared" si="53"/>
        <v/>
      </c>
      <c r="J1318" s="32"/>
    </row>
    <row r="1319" spans="2:10" ht="15">
      <c r="B1319" s="31"/>
      <c r="C1319" s="30"/>
      <c r="D1319" s="119"/>
      <c r="E1319" s="32"/>
      <c r="G1319" s="31">
        <v>1277</v>
      </c>
      <c r="H1319" s="30" t="str">
        <f t="shared" si="52"/>
        <v/>
      </c>
      <c r="I1319" s="74" t="str">
        <f t="shared" si="53"/>
        <v/>
      </c>
      <c r="J1319" s="32"/>
    </row>
    <row r="1320" spans="2:10" ht="15">
      <c r="B1320" s="31"/>
      <c r="C1320" s="30"/>
      <c r="D1320" s="119"/>
      <c r="E1320" s="32"/>
      <c r="G1320" s="31">
        <v>1278</v>
      </c>
      <c r="H1320" s="30" t="str">
        <f t="shared" si="52"/>
        <v/>
      </c>
      <c r="I1320" s="74" t="str">
        <f t="shared" si="53"/>
        <v/>
      </c>
      <c r="J1320" s="32"/>
    </row>
    <row r="1321" spans="2:10" ht="15">
      <c r="B1321" s="31"/>
      <c r="C1321" s="30"/>
      <c r="D1321" s="119"/>
      <c r="E1321" s="32"/>
      <c r="G1321" s="31">
        <v>1279</v>
      </c>
      <c r="H1321" s="30" t="str">
        <f t="shared" si="52"/>
        <v/>
      </c>
      <c r="I1321" s="74" t="str">
        <f t="shared" si="53"/>
        <v/>
      </c>
      <c r="J1321" s="32"/>
    </row>
    <row r="1322" spans="2:10" ht="15">
      <c r="B1322" s="31"/>
      <c r="C1322" s="30"/>
      <c r="D1322" s="119"/>
      <c r="E1322" s="32"/>
      <c r="G1322" s="31">
        <v>1280</v>
      </c>
      <c r="H1322" s="30" t="str">
        <f t="shared" si="52"/>
        <v/>
      </c>
      <c r="I1322" s="74" t="str">
        <f t="shared" si="53"/>
        <v/>
      </c>
      <c r="J1322" s="32"/>
    </row>
    <row r="1323" spans="2:10" ht="15">
      <c r="B1323" s="31"/>
      <c r="C1323" s="30"/>
      <c r="D1323" s="119"/>
      <c r="E1323" s="32"/>
      <c r="G1323" s="31">
        <v>1281</v>
      </c>
      <c r="H1323" s="30" t="str">
        <f t="shared" si="52"/>
        <v/>
      </c>
      <c r="I1323" s="74" t="str">
        <f t="shared" si="53"/>
        <v/>
      </c>
      <c r="J1323" s="32"/>
    </row>
    <row r="1324" spans="2:10" ht="15">
      <c r="B1324" s="31"/>
      <c r="C1324" s="30"/>
      <c r="D1324" s="119"/>
      <c r="E1324" s="32"/>
      <c r="G1324" s="31">
        <v>1282</v>
      </c>
      <c r="H1324" s="30" t="str">
        <f t="shared" ref="H1324:H1387" si="54">MID($I$41,G1324*8-7,8)</f>
        <v/>
      </c>
      <c r="I1324" s="74" t="str">
        <f t="shared" ref="I1324:I1387" si="55">IFERROR(BIN2DEC(VALUE(H1324)),"")</f>
        <v/>
      </c>
      <c r="J1324" s="32"/>
    </row>
    <row r="1325" spans="2:10" ht="15">
      <c r="B1325" s="31"/>
      <c r="C1325" s="30"/>
      <c r="D1325" s="119"/>
      <c r="E1325" s="32"/>
      <c r="G1325" s="31">
        <v>1283</v>
      </c>
      <c r="H1325" s="30" t="str">
        <f t="shared" si="54"/>
        <v/>
      </c>
      <c r="I1325" s="74" t="str">
        <f t="shared" si="55"/>
        <v/>
      </c>
      <c r="J1325" s="32"/>
    </row>
    <row r="1326" spans="2:10" ht="15">
      <c r="B1326" s="31"/>
      <c r="C1326" s="30"/>
      <c r="D1326" s="119"/>
      <c r="E1326" s="32"/>
      <c r="G1326" s="31">
        <v>1284</v>
      </c>
      <c r="H1326" s="30" t="str">
        <f t="shared" si="54"/>
        <v/>
      </c>
      <c r="I1326" s="74" t="str">
        <f t="shared" si="55"/>
        <v/>
      </c>
      <c r="J1326" s="32"/>
    </row>
    <row r="1327" spans="2:10" ht="15">
      <c r="B1327" s="31"/>
      <c r="C1327" s="30"/>
      <c r="D1327" s="119"/>
      <c r="E1327" s="32"/>
      <c r="G1327" s="31">
        <v>1285</v>
      </c>
      <c r="H1327" s="30" t="str">
        <f t="shared" si="54"/>
        <v/>
      </c>
      <c r="I1327" s="74" t="str">
        <f t="shared" si="55"/>
        <v/>
      </c>
      <c r="J1327" s="32"/>
    </row>
    <row r="1328" spans="2:10" ht="15">
      <c r="B1328" s="31"/>
      <c r="C1328" s="30"/>
      <c r="D1328" s="119"/>
      <c r="E1328" s="32"/>
      <c r="G1328" s="31">
        <v>1286</v>
      </c>
      <c r="H1328" s="30" t="str">
        <f t="shared" si="54"/>
        <v/>
      </c>
      <c r="I1328" s="74" t="str">
        <f t="shared" si="55"/>
        <v/>
      </c>
      <c r="J1328" s="32"/>
    </row>
    <row r="1329" spans="2:10" ht="15">
      <c r="B1329" s="31"/>
      <c r="C1329" s="30"/>
      <c r="D1329" s="119"/>
      <c r="E1329" s="32"/>
      <c r="G1329" s="31">
        <v>1287</v>
      </c>
      <c r="H1329" s="30" t="str">
        <f t="shared" si="54"/>
        <v/>
      </c>
      <c r="I1329" s="74" t="str">
        <f t="shared" si="55"/>
        <v/>
      </c>
      <c r="J1329" s="32"/>
    </row>
    <row r="1330" spans="2:10" ht="15">
      <c r="B1330" s="31"/>
      <c r="C1330" s="30"/>
      <c r="D1330" s="119"/>
      <c r="E1330" s="32"/>
      <c r="G1330" s="31">
        <v>1288</v>
      </c>
      <c r="H1330" s="30" t="str">
        <f t="shared" si="54"/>
        <v/>
      </c>
      <c r="I1330" s="74" t="str">
        <f t="shared" si="55"/>
        <v/>
      </c>
      <c r="J1330" s="32"/>
    </row>
    <row r="1331" spans="2:10" ht="15">
      <c r="B1331" s="31"/>
      <c r="C1331" s="30"/>
      <c r="D1331" s="119"/>
      <c r="E1331" s="32"/>
      <c r="G1331" s="31">
        <v>1289</v>
      </c>
      <c r="H1331" s="30" t="str">
        <f t="shared" si="54"/>
        <v/>
      </c>
      <c r="I1331" s="74" t="str">
        <f t="shared" si="55"/>
        <v/>
      </c>
      <c r="J1331" s="32"/>
    </row>
    <row r="1332" spans="2:10" ht="15">
      <c r="B1332" s="31"/>
      <c r="C1332" s="30"/>
      <c r="D1332" s="119"/>
      <c r="E1332" s="32"/>
      <c r="G1332" s="31">
        <v>1290</v>
      </c>
      <c r="H1332" s="30" t="str">
        <f t="shared" si="54"/>
        <v/>
      </c>
      <c r="I1332" s="74" t="str">
        <f t="shared" si="55"/>
        <v/>
      </c>
      <c r="J1332" s="32"/>
    </row>
    <row r="1333" spans="2:10" ht="15">
      <c r="B1333" s="31"/>
      <c r="C1333" s="30"/>
      <c r="D1333" s="119"/>
      <c r="E1333" s="32"/>
      <c r="G1333" s="31">
        <v>1291</v>
      </c>
      <c r="H1333" s="30" t="str">
        <f t="shared" si="54"/>
        <v/>
      </c>
      <c r="I1333" s="74" t="str">
        <f t="shared" si="55"/>
        <v/>
      </c>
      <c r="J1333" s="32"/>
    </row>
    <row r="1334" spans="2:10" ht="15">
      <c r="B1334" s="31"/>
      <c r="C1334" s="30"/>
      <c r="D1334" s="119"/>
      <c r="E1334" s="32"/>
      <c r="G1334" s="31">
        <v>1292</v>
      </c>
      <c r="H1334" s="30" t="str">
        <f t="shared" si="54"/>
        <v/>
      </c>
      <c r="I1334" s="74" t="str">
        <f t="shared" si="55"/>
        <v/>
      </c>
      <c r="J1334" s="32"/>
    </row>
    <row r="1335" spans="2:10" ht="15">
      <c r="B1335" s="31"/>
      <c r="C1335" s="30"/>
      <c r="D1335" s="119"/>
      <c r="E1335" s="32"/>
      <c r="G1335" s="31">
        <v>1293</v>
      </c>
      <c r="H1335" s="30" t="str">
        <f t="shared" si="54"/>
        <v/>
      </c>
      <c r="I1335" s="74" t="str">
        <f t="shared" si="55"/>
        <v/>
      </c>
      <c r="J1335" s="32"/>
    </row>
    <row r="1336" spans="2:10" ht="15">
      <c r="B1336" s="31"/>
      <c r="C1336" s="30"/>
      <c r="D1336" s="119"/>
      <c r="E1336" s="32"/>
      <c r="G1336" s="31">
        <v>1294</v>
      </c>
      <c r="H1336" s="30" t="str">
        <f t="shared" si="54"/>
        <v/>
      </c>
      <c r="I1336" s="74" t="str">
        <f t="shared" si="55"/>
        <v/>
      </c>
      <c r="J1336" s="32"/>
    </row>
    <row r="1337" spans="2:10" ht="15">
      <c r="B1337" s="31"/>
      <c r="C1337" s="30"/>
      <c r="D1337" s="119"/>
      <c r="E1337" s="32"/>
      <c r="G1337" s="31">
        <v>1295</v>
      </c>
      <c r="H1337" s="30" t="str">
        <f t="shared" si="54"/>
        <v/>
      </c>
      <c r="I1337" s="74" t="str">
        <f t="shared" si="55"/>
        <v/>
      </c>
      <c r="J1337" s="32"/>
    </row>
    <row r="1338" spans="2:10" ht="15">
      <c r="B1338" s="31"/>
      <c r="C1338" s="30"/>
      <c r="D1338" s="119"/>
      <c r="E1338" s="32"/>
      <c r="G1338" s="31">
        <v>1296</v>
      </c>
      <c r="H1338" s="30" t="str">
        <f t="shared" si="54"/>
        <v/>
      </c>
      <c r="I1338" s="74" t="str">
        <f t="shared" si="55"/>
        <v/>
      </c>
      <c r="J1338" s="32"/>
    </row>
    <row r="1339" spans="2:10" ht="15">
      <c r="B1339" s="31"/>
      <c r="C1339" s="30"/>
      <c r="D1339" s="119"/>
      <c r="E1339" s="32"/>
      <c r="G1339" s="31">
        <v>1297</v>
      </c>
      <c r="H1339" s="30" t="str">
        <f t="shared" si="54"/>
        <v/>
      </c>
      <c r="I1339" s="74" t="str">
        <f t="shared" si="55"/>
        <v/>
      </c>
      <c r="J1339" s="32"/>
    </row>
    <row r="1340" spans="2:10" ht="15">
      <c r="B1340" s="31"/>
      <c r="C1340" s="30"/>
      <c r="D1340" s="119"/>
      <c r="E1340" s="32"/>
      <c r="G1340" s="31">
        <v>1298</v>
      </c>
      <c r="H1340" s="30" t="str">
        <f t="shared" si="54"/>
        <v/>
      </c>
      <c r="I1340" s="74" t="str">
        <f t="shared" si="55"/>
        <v/>
      </c>
      <c r="J1340" s="32"/>
    </row>
    <row r="1341" spans="2:10" ht="15">
      <c r="B1341" s="31"/>
      <c r="C1341" s="30"/>
      <c r="D1341" s="119"/>
      <c r="E1341" s="32"/>
      <c r="G1341" s="31">
        <v>1299</v>
      </c>
      <c r="H1341" s="30" t="str">
        <f t="shared" si="54"/>
        <v/>
      </c>
      <c r="I1341" s="74" t="str">
        <f t="shared" si="55"/>
        <v/>
      </c>
      <c r="J1341" s="32"/>
    </row>
    <row r="1342" spans="2:10" ht="15">
      <c r="B1342" s="31"/>
      <c r="C1342" s="30"/>
      <c r="D1342" s="119"/>
      <c r="E1342" s="32"/>
      <c r="G1342" s="31">
        <v>1300</v>
      </c>
      <c r="H1342" s="30" t="str">
        <f t="shared" si="54"/>
        <v/>
      </c>
      <c r="I1342" s="74" t="str">
        <f t="shared" si="55"/>
        <v/>
      </c>
      <c r="J1342" s="32"/>
    </row>
    <row r="1343" spans="2:10" ht="15">
      <c r="B1343" s="31"/>
      <c r="C1343" s="30"/>
      <c r="D1343" s="119"/>
      <c r="E1343" s="32"/>
      <c r="G1343" s="31">
        <v>1301</v>
      </c>
      <c r="H1343" s="30" t="str">
        <f t="shared" si="54"/>
        <v/>
      </c>
      <c r="I1343" s="74" t="str">
        <f t="shared" si="55"/>
        <v/>
      </c>
      <c r="J1343" s="32"/>
    </row>
    <row r="1344" spans="2:10" ht="15">
      <c r="B1344" s="31"/>
      <c r="C1344" s="30"/>
      <c r="D1344" s="119"/>
      <c r="E1344" s="32"/>
      <c r="G1344" s="31">
        <v>1302</v>
      </c>
      <c r="H1344" s="30" t="str">
        <f t="shared" si="54"/>
        <v/>
      </c>
      <c r="I1344" s="74" t="str">
        <f t="shared" si="55"/>
        <v/>
      </c>
      <c r="J1344" s="32"/>
    </row>
    <row r="1345" spans="2:10" ht="15">
      <c r="B1345" s="31"/>
      <c r="C1345" s="30"/>
      <c r="D1345" s="119"/>
      <c r="E1345" s="32"/>
      <c r="G1345" s="31">
        <v>1303</v>
      </c>
      <c r="H1345" s="30" t="str">
        <f t="shared" si="54"/>
        <v/>
      </c>
      <c r="I1345" s="74" t="str">
        <f t="shared" si="55"/>
        <v/>
      </c>
      <c r="J1345" s="32"/>
    </row>
    <row r="1346" spans="2:10" ht="15">
      <c r="B1346" s="31"/>
      <c r="C1346" s="30"/>
      <c r="D1346" s="119"/>
      <c r="E1346" s="32"/>
      <c r="G1346" s="31">
        <v>1304</v>
      </c>
      <c r="H1346" s="30" t="str">
        <f t="shared" si="54"/>
        <v/>
      </c>
      <c r="I1346" s="74" t="str">
        <f t="shared" si="55"/>
        <v/>
      </c>
      <c r="J1346" s="32"/>
    </row>
    <row r="1347" spans="2:10" ht="15">
      <c r="B1347" s="31"/>
      <c r="C1347" s="30"/>
      <c r="D1347" s="119"/>
      <c r="E1347" s="32"/>
      <c r="G1347" s="31">
        <v>1305</v>
      </c>
      <c r="H1347" s="30" t="str">
        <f t="shared" si="54"/>
        <v/>
      </c>
      <c r="I1347" s="74" t="str">
        <f t="shared" si="55"/>
        <v/>
      </c>
      <c r="J1347" s="32"/>
    </row>
    <row r="1348" spans="2:10" ht="15">
      <c r="B1348" s="31"/>
      <c r="C1348" s="30"/>
      <c r="D1348" s="119"/>
      <c r="E1348" s="32"/>
      <c r="G1348" s="31">
        <v>1306</v>
      </c>
      <c r="H1348" s="30" t="str">
        <f t="shared" si="54"/>
        <v/>
      </c>
      <c r="I1348" s="74" t="str">
        <f t="shared" si="55"/>
        <v/>
      </c>
      <c r="J1348" s="32"/>
    </row>
    <row r="1349" spans="2:10" ht="15">
      <c r="B1349" s="31"/>
      <c r="C1349" s="30"/>
      <c r="D1349" s="119"/>
      <c r="E1349" s="32"/>
      <c r="G1349" s="31">
        <v>1307</v>
      </c>
      <c r="H1349" s="30" t="str">
        <f t="shared" si="54"/>
        <v/>
      </c>
      <c r="I1349" s="74" t="str">
        <f t="shared" si="55"/>
        <v/>
      </c>
      <c r="J1349" s="32"/>
    </row>
    <row r="1350" spans="2:10" ht="15">
      <c r="B1350" s="31"/>
      <c r="C1350" s="30"/>
      <c r="D1350" s="119"/>
      <c r="E1350" s="32"/>
      <c r="G1350" s="31">
        <v>1308</v>
      </c>
      <c r="H1350" s="30" t="str">
        <f t="shared" si="54"/>
        <v/>
      </c>
      <c r="I1350" s="74" t="str">
        <f t="shared" si="55"/>
        <v/>
      </c>
      <c r="J1350" s="32"/>
    </row>
    <row r="1351" spans="2:10" ht="15">
      <c r="B1351" s="31"/>
      <c r="C1351" s="30"/>
      <c r="D1351" s="119"/>
      <c r="E1351" s="32"/>
      <c r="G1351" s="31">
        <v>1309</v>
      </c>
      <c r="H1351" s="30" t="str">
        <f t="shared" si="54"/>
        <v/>
      </c>
      <c r="I1351" s="74" t="str">
        <f t="shared" si="55"/>
        <v/>
      </c>
      <c r="J1351" s="32"/>
    </row>
    <row r="1352" spans="2:10" ht="15">
      <c r="B1352" s="31"/>
      <c r="C1352" s="30"/>
      <c r="D1352" s="119"/>
      <c r="E1352" s="32"/>
      <c r="G1352" s="31">
        <v>1310</v>
      </c>
      <c r="H1352" s="30" t="str">
        <f t="shared" si="54"/>
        <v/>
      </c>
      <c r="I1352" s="74" t="str">
        <f t="shared" si="55"/>
        <v/>
      </c>
      <c r="J1352" s="32"/>
    </row>
    <row r="1353" spans="2:10" ht="15">
      <c r="B1353" s="31"/>
      <c r="C1353" s="30"/>
      <c r="D1353" s="119"/>
      <c r="E1353" s="32"/>
      <c r="G1353" s="31">
        <v>1311</v>
      </c>
      <c r="H1353" s="30" t="str">
        <f t="shared" si="54"/>
        <v/>
      </c>
      <c r="I1353" s="74" t="str">
        <f t="shared" si="55"/>
        <v/>
      </c>
      <c r="J1353" s="32"/>
    </row>
    <row r="1354" spans="2:10" ht="15">
      <c r="B1354" s="31"/>
      <c r="C1354" s="30"/>
      <c r="D1354" s="119"/>
      <c r="E1354" s="32"/>
      <c r="G1354" s="31">
        <v>1312</v>
      </c>
      <c r="H1354" s="30" t="str">
        <f t="shared" si="54"/>
        <v/>
      </c>
      <c r="I1354" s="74" t="str">
        <f t="shared" si="55"/>
        <v/>
      </c>
      <c r="J1354" s="32"/>
    </row>
    <row r="1355" spans="2:10" ht="15">
      <c r="B1355" s="31"/>
      <c r="C1355" s="30"/>
      <c r="D1355" s="119"/>
      <c r="E1355" s="32"/>
      <c r="G1355" s="31">
        <v>1313</v>
      </c>
      <c r="H1355" s="30" t="str">
        <f t="shared" si="54"/>
        <v/>
      </c>
      <c r="I1355" s="74" t="str">
        <f t="shared" si="55"/>
        <v/>
      </c>
      <c r="J1355" s="32"/>
    </row>
    <row r="1356" spans="2:10" ht="15">
      <c r="B1356" s="31"/>
      <c r="C1356" s="30"/>
      <c r="D1356" s="119"/>
      <c r="E1356" s="32"/>
      <c r="G1356" s="31">
        <v>1314</v>
      </c>
      <c r="H1356" s="30" t="str">
        <f t="shared" si="54"/>
        <v/>
      </c>
      <c r="I1356" s="74" t="str">
        <f t="shared" si="55"/>
        <v/>
      </c>
      <c r="J1356" s="32"/>
    </row>
    <row r="1357" spans="2:10" ht="15">
      <c r="B1357" s="31"/>
      <c r="C1357" s="30"/>
      <c r="D1357" s="119"/>
      <c r="E1357" s="32"/>
      <c r="G1357" s="31">
        <v>1315</v>
      </c>
      <c r="H1357" s="30" t="str">
        <f t="shared" si="54"/>
        <v/>
      </c>
      <c r="I1357" s="74" t="str">
        <f t="shared" si="55"/>
        <v/>
      </c>
      <c r="J1357" s="32"/>
    </row>
    <row r="1358" spans="2:10" ht="15">
      <c r="B1358" s="31"/>
      <c r="C1358" s="30"/>
      <c r="D1358" s="119"/>
      <c r="E1358" s="32"/>
      <c r="G1358" s="31">
        <v>1316</v>
      </c>
      <c r="H1358" s="30" t="str">
        <f t="shared" si="54"/>
        <v/>
      </c>
      <c r="I1358" s="74" t="str">
        <f t="shared" si="55"/>
        <v/>
      </c>
      <c r="J1358" s="32"/>
    </row>
    <row r="1359" spans="2:10" ht="15">
      <c r="B1359" s="31"/>
      <c r="C1359" s="30"/>
      <c r="D1359" s="119"/>
      <c r="E1359" s="32"/>
      <c r="G1359" s="31">
        <v>1317</v>
      </c>
      <c r="H1359" s="30" t="str">
        <f t="shared" si="54"/>
        <v/>
      </c>
      <c r="I1359" s="74" t="str">
        <f t="shared" si="55"/>
        <v/>
      </c>
      <c r="J1359" s="32"/>
    </row>
    <row r="1360" spans="2:10" ht="15">
      <c r="B1360" s="31"/>
      <c r="C1360" s="30"/>
      <c r="D1360" s="119"/>
      <c r="E1360" s="32"/>
      <c r="G1360" s="31">
        <v>1318</v>
      </c>
      <c r="H1360" s="30" t="str">
        <f t="shared" si="54"/>
        <v/>
      </c>
      <c r="I1360" s="74" t="str">
        <f t="shared" si="55"/>
        <v/>
      </c>
      <c r="J1360" s="32"/>
    </row>
    <row r="1361" spans="2:10" ht="15">
      <c r="B1361" s="31"/>
      <c r="C1361" s="30"/>
      <c r="D1361" s="119"/>
      <c r="E1361" s="32"/>
      <c r="G1361" s="31">
        <v>1319</v>
      </c>
      <c r="H1361" s="30" t="str">
        <f t="shared" si="54"/>
        <v/>
      </c>
      <c r="I1361" s="74" t="str">
        <f t="shared" si="55"/>
        <v/>
      </c>
      <c r="J1361" s="32"/>
    </row>
    <row r="1362" spans="2:10" ht="15">
      <c r="B1362" s="31"/>
      <c r="C1362" s="30"/>
      <c r="D1362" s="119"/>
      <c r="E1362" s="32"/>
      <c r="G1362" s="31">
        <v>1320</v>
      </c>
      <c r="H1362" s="30" t="str">
        <f t="shared" si="54"/>
        <v/>
      </c>
      <c r="I1362" s="74" t="str">
        <f t="shared" si="55"/>
        <v/>
      </c>
      <c r="J1362" s="32"/>
    </row>
    <row r="1363" spans="2:10" ht="15">
      <c r="B1363" s="31"/>
      <c r="C1363" s="30"/>
      <c r="D1363" s="119"/>
      <c r="E1363" s="32"/>
      <c r="G1363" s="31">
        <v>1321</v>
      </c>
      <c r="H1363" s="30" t="str">
        <f t="shared" si="54"/>
        <v/>
      </c>
      <c r="I1363" s="74" t="str">
        <f t="shared" si="55"/>
        <v/>
      </c>
      <c r="J1363" s="32"/>
    </row>
    <row r="1364" spans="2:10" ht="15">
      <c r="B1364" s="31"/>
      <c r="C1364" s="30"/>
      <c r="D1364" s="119"/>
      <c r="E1364" s="32"/>
      <c r="G1364" s="31">
        <v>1322</v>
      </c>
      <c r="H1364" s="30" t="str">
        <f t="shared" si="54"/>
        <v/>
      </c>
      <c r="I1364" s="74" t="str">
        <f t="shared" si="55"/>
        <v/>
      </c>
      <c r="J1364" s="32"/>
    </row>
    <row r="1365" spans="2:10" ht="15">
      <c r="B1365" s="31"/>
      <c r="C1365" s="30"/>
      <c r="D1365" s="119"/>
      <c r="E1365" s="32"/>
      <c r="G1365" s="31">
        <v>1323</v>
      </c>
      <c r="H1365" s="30" t="str">
        <f t="shared" si="54"/>
        <v/>
      </c>
      <c r="I1365" s="74" t="str">
        <f t="shared" si="55"/>
        <v/>
      </c>
      <c r="J1365" s="32"/>
    </row>
    <row r="1366" spans="2:10" ht="15">
      <c r="B1366" s="31"/>
      <c r="C1366" s="30"/>
      <c r="D1366" s="119"/>
      <c r="E1366" s="32"/>
      <c r="G1366" s="31">
        <v>1324</v>
      </c>
      <c r="H1366" s="30" t="str">
        <f t="shared" si="54"/>
        <v/>
      </c>
      <c r="I1366" s="74" t="str">
        <f t="shared" si="55"/>
        <v/>
      </c>
      <c r="J1366" s="32"/>
    </row>
    <row r="1367" spans="2:10" ht="15">
      <c r="B1367" s="31"/>
      <c r="C1367" s="30"/>
      <c r="D1367" s="119"/>
      <c r="E1367" s="32"/>
      <c r="G1367" s="31">
        <v>1325</v>
      </c>
      <c r="H1367" s="30" t="str">
        <f t="shared" si="54"/>
        <v/>
      </c>
      <c r="I1367" s="74" t="str">
        <f t="shared" si="55"/>
        <v/>
      </c>
      <c r="J1367" s="32"/>
    </row>
    <row r="1368" spans="2:10" ht="15">
      <c r="B1368" s="31"/>
      <c r="C1368" s="30"/>
      <c r="D1368" s="119"/>
      <c r="E1368" s="32"/>
      <c r="G1368" s="31">
        <v>1326</v>
      </c>
      <c r="H1368" s="30" t="str">
        <f t="shared" si="54"/>
        <v/>
      </c>
      <c r="I1368" s="74" t="str">
        <f t="shared" si="55"/>
        <v/>
      </c>
      <c r="J1368" s="32"/>
    </row>
    <row r="1369" spans="2:10" ht="15">
      <c r="B1369" s="31"/>
      <c r="C1369" s="30"/>
      <c r="D1369" s="119"/>
      <c r="E1369" s="32"/>
      <c r="G1369" s="31">
        <v>1327</v>
      </c>
      <c r="H1369" s="30" t="str">
        <f t="shared" si="54"/>
        <v/>
      </c>
      <c r="I1369" s="74" t="str">
        <f t="shared" si="55"/>
        <v/>
      </c>
      <c r="J1369" s="32"/>
    </row>
    <row r="1370" spans="2:10" ht="15">
      <c r="B1370" s="31"/>
      <c r="C1370" s="30"/>
      <c r="D1370" s="119"/>
      <c r="E1370" s="32"/>
      <c r="G1370" s="31">
        <v>1328</v>
      </c>
      <c r="H1370" s="30" t="str">
        <f t="shared" si="54"/>
        <v/>
      </c>
      <c r="I1370" s="74" t="str">
        <f t="shared" si="55"/>
        <v/>
      </c>
      <c r="J1370" s="32"/>
    </row>
    <row r="1371" spans="2:10" ht="15">
      <c r="B1371" s="31"/>
      <c r="C1371" s="30"/>
      <c r="D1371" s="119"/>
      <c r="E1371" s="32"/>
      <c r="G1371" s="31">
        <v>1329</v>
      </c>
      <c r="H1371" s="30" t="str">
        <f t="shared" si="54"/>
        <v/>
      </c>
      <c r="I1371" s="74" t="str">
        <f t="shared" si="55"/>
        <v/>
      </c>
      <c r="J1371" s="32"/>
    </row>
    <row r="1372" spans="2:10" ht="15">
      <c r="B1372" s="31"/>
      <c r="C1372" s="30"/>
      <c r="D1372" s="119"/>
      <c r="E1372" s="32"/>
      <c r="G1372" s="31">
        <v>1330</v>
      </c>
      <c r="H1372" s="30" t="str">
        <f t="shared" si="54"/>
        <v/>
      </c>
      <c r="I1372" s="74" t="str">
        <f t="shared" si="55"/>
        <v/>
      </c>
      <c r="J1372" s="32"/>
    </row>
    <row r="1373" spans="2:10" ht="15">
      <c r="B1373" s="31"/>
      <c r="C1373" s="30"/>
      <c r="D1373" s="119"/>
      <c r="E1373" s="32"/>
      <c r="G1373" s="31">
        <v>1331</v>
      </c>
      <c r="H1373" s="30" t="str">
        <f t="shared" si="54"/>
        <v/>
      </c>
      <c r="I1373" s="74" t="str">
        <f t="shared" si="55"/>
        <v/>
      </c>
      <c r="J1373" s="32"/>
    </row>
    <row r="1374" spans="2:10" ht="15">
      <c r="B1374" s="31"/>
      <c r="C1374" s="30"/>
      <c r="D1374" s="119"/>
      <c r="E1374" s="32"/>
      <c r="G1374" s="31">
        <v>1332</v>
      </c>
      <c r="H1374" s="30" t="str">
        <f t="shared" si="54"/>
        <v/>
      </c>
      <c r="I1374" s="74" t="str">
        <f t="shared" si="55"/>
        <v/>
      </c>
      <c r="J1374" s="32"/>
    </row>
    <row r="1375" spans="2:10" ht="15">
      <c r="B1375" s="31"/>
      <c r="C1375" s="30"/>
      <c r="D1375" s="119"/>
      <c r="E1375" s="32"/>
      <c r="G1375" s="31">
        <v>1333</v>
      </c>
      <c r="H1375" s="30" t="str">
        <f t="shared" si="54"/>
        <v/>
      </c>
      <c r="I1375" s="74" t="str">
        <f t="shared" si="55"/>
        <v/>
      </c>
      <c r="J1375" s="32"/>
    </row>
    <row r="1376" spans="2:10" ht="15">
      <c r="B1376" s="31"/>
      <c r="C1376" s="30"/>
      <c r="D1376" s="119"/>
      <c r="E1376" s="32"/>
      <c r="G1376" s="31">
        <v>1334</v>
      </c>
      <c r="H1376" s="30" t="str">
        <f t="shared" si="54"/>
        <v/>
      </c>
      <c r="I1376" s="74" t="str">
        <f t="shared" si="55"/>
        <v/>
      </c>
      <c r="J1376" s="32"/>
    </row>
    <row r="1377" spans="2:10" ht="15">
      <c r="B1377" s="31"/>
      <c r="C1377" s="30"/>
      <c r="D1377" s="119"/>
      <c r="E1377" s="32"/>
      <c r="G1377" s="31">
        <v>1335</v>
      </c>
      <c r="H1377" s="30" t="str">
        <f t="shared" si="54"/>
        <v/>
      </c>
      <c r="I1377" s="74" t="str">
        <f t="shared" si="55"/>
        <v/>
      </c>
      <c r="J1377" s="32"/>
    </row>
    <row r="1378" spans="2:10" ht="15">
      <c r="B1378" s="31"/>
      <c r="C1378" s="30"/>
      <c r="D1378" s="119"/>
      <c r="E1378" s="32"/>
      <c r="G1378" s="31">
        <v>1336</v>
      </c>
      <c r="H1378" s="30" t="str">
        <f t="shared" si="54"/>
        <v/>
      </c>
      <c r="I1378" s="74" t="str">
        <f t="shared" si="55"/>
        <v/>
      </c>
      <c r="J1378" s="32"/>
    </row>
    <row r="1379" spans="2:10" ht="15">
      <c r="B1379" s="31"/>
      <c r="C1379" s="30"/>
      <c r="D1379" s="119"/>
      <c r="E1379" s="32"/>
      <c r="G1379" s="31">
        <v>1337</v>
      </c>
      <c r="H1379" s="30" t="str">
        <f t="shared" si="54"/>
        <v/>
      </c>
      <c r="I1379" s="74" t="str">
        <f t="shared" si="55"/>
        <v/>
      </c>
      <c r="J1379" s="32"/>
    </row>
    <row r="1380" spans="2:10" ht="15">
      <c r="B1380" s="31"/>
      <c r="C1380" s="30"/>
      <c r="D1380" s="119"/>
      <c r="E1380" s="32"/>
      <c r="G1380" s="31">
        <v>1338</v>
      </c>
      <c r="H1380" s="30" t="str">
        <f t="shared" si="54"/>
        <v/>
      </c>
      <c r="I1380" s="74" t="str">
        <f t="shared" si="55"/>
        <v/>
      </c>
      <c r="J1380" s="32"/>
    </row>
    <row r="1381" spans="2:10" ht="15">
      <c r="B1381" s="31"/>
      <c r="C1381" s="30"/>
      <c r="D1381" s="119"/>
      <c r="E1381" s="32"/>
      <c r="G1381" s="31">
        <v>1339</v>
      </c>
      <c r="H1381" s="30" t="str">
        <f t="shared" si="54"/>
        <v/>
      </c>
      <c r="I1381" s="74" t="str">
        <f t="shared" si="55"/>
        <v/>
      </c>
      <c r="J1381" s="32"/>
    </row>
    <row r="1382" spans="2:10" ht="15">
      <c r="B1382" s="31"/>
      <c r="C1382" s="30"/>
      <c r="D1382" s="119"/>
      <c r="E1382" s="32"/>
      <c r="G1382" s="31">
        <v>1340</v>
      </c>
      <c r="H1382" s="30" t="str">
        <f t="shared" si="54"/>
        <v/>
      </c>
      <c r="I1382" s="74" t="str">
        <f t="shared" si="55"/>
        <v/>
      </c>
      <c r="J1382" s="32"/>
    </row>
    <row r="1383" spans="2:10" ht="15">
      <c r="B1383" s="31"/>
      <c r="C1383" s="30"/>
      <c r="D1383" s="119"/>
      <c r="E1383" s="32"/>
      <c r="G1383" s="31">
        <v>1341</v>
      </c>
      <c r="H1383" s="30" t="str">
        <f t="shared" si="54"/>
        <v/>
      </c>
      <c r="I1383" s="74" t="str">
        <f t="shared" si="55"/>
        <v/>
      </c>
      <c r="J1383" s="32"/>
    </row>
    <row r="1384" spans="2:10" ht="15">
      <c r="B1384" s="31"/>
      <c r="C1384" s="30"/>
      <c r="D1384" s="119"/>
      <c r="E1384" s="32"/>
      <c r="G1384" s="31">
        <v>1342</v>
      </c>
      <c r="H1384" s="30" t="str">
        <f t="shared" si="54"/>
        <v/>
      </c>
      <c r="I1384" s="74" t="str">
        <f t="shared" si="55"/>
        <v/>
      </c>
      <c r="J1384" s="32"/>
    </row>
    <row r="1385" spans="2:10" ht="15">
      <c r="B1385" s="31"/>
      <c r="C1385" s="30"/>
      <c r="D1385" s="119"/>
      <c r="E1385" s="32"/>
      <c r="G1385" s="31">
        <v>1343</v>
      </c>
      <c r="H1385" s="30" t="str">
        <f t="shared" si="54"/>
        <v/>
      </c>
      <c r="I1385" s="74" t="str">
        <f t="shared" si="55"/>
        <v/>
      </c>
      <c r="J1385" s="32"/>
    </row>
    <row r="1386" spans="2:10" ht="15">
      <c r="B1386" s="31"/>
      <c r="C1386" s="30"/>
      <c r="D1386" s="119"/>
      <c r="E1386" s="32"/>
      <c r="G1386" s="31">
        <v>1344</v>
      </c>
      <c r="H1386" s="30" t="str">
        <f t="shared" si="54"/>
        <v/>
      </c>
      <c r="I1386" s="74" t="str">
        <f t="shared" si="55"/>
        <v/>
      </c>
      <c r="J1386" s="32"/>
    </row>
    <row r="1387" spans="2:10" ht="15">
      <c r="B1387" s="31"/>
      <c r="C1387" s="30"/>
      <c r="D1387" s="119"/>
      <c r="E1387" s="32"/>
      <c r="G1387" s="31">
        <v>1345</v>
      </c>
      <c r="H1387" s="30" t="str">
        <f t="shared" si="54"/>
        <v/>
      </c>
      <c r="I1387" s="74" t="str">
        <f t="shared" si="55"/>
        <v/>
      </c>
      <c r="J1387" s="32"/>
    </row>
    <row r="1388" spans="2:10" ht="15">
      <c r="B1388" s="31"/>
      <c r="C1388" s="30"/>
      <c r="D1388" s="119"/>
      <c r="E1388" s="32"/>
      <c r="G1388" s="31">
        <v>1346</v>
      </c>
      <c r="H1388" s="30" t="str">
        <f t="shared" ref="H1388:H1451" si="56">MID($I$41,G1388*8-7,8)</f>
        <v/>
      </c>
      <c r="I1388" s="74" t="str">
        <f t="shared" ref="I1388:I1451" si="57">IFERROR(BIN2DEC(VALUE(H1388)),"")</f>
        <v/>
      </c>
      <c r="J1388" s="32"/>
    </row>
    <row r="1389" spans="2:10" ht="15">
      <c r="B1389" s="31"/>
      <c r="C1389" s="30"/>
      <c r="D1389" s="119"/>
      <c r="E1389" s="32"/>
      <c r="G1389" s="31">
        <v>1347</v>
      </c>
      <c r="H1389" s="30" t="str">
        <f t="shared" si="56"/>
        <v/>
      </c>
      <c r="I1389" s="74" t="str">
        <f t="shared" si="57"/>
        <v/>
      </c>
      <c r="J1389" s="32"/>
    </row>
    <row r="1390" spans="2:10" ht="15">
      <c r="B1390" s="31"/>
      <c r="C1390" s="30"/>
      <c r="D1390" s="119"/>
      <c r="E1390" s="32"/>
      <c r="G1390" s="31">
        <v>1348</v>
      </c>
      <c r="H1390" s="30" t="str">
        <f t="shared" si="56"/>
        <v/>
      </c>
      <c r="I1390" s="74" t="str">
        <f t="shared" si="57"/>
        <v/>
      </c>
      <c r="J1390" s="32"/>
    </row>
    <row r="1391" spans="2:10" ht="15">
      <c r="B1391" s="31"/>
      <c r="C1391" s="30"/>
      <c r="D1391" s="119"/>
      <c r="E1391" s="32"/>
      <c r="G1391" s="31">
        <v>1349</v>
      </c>
      <c r="H1391" s="30" t="str">
        <f t="shared" si="56"/>
        <v/>
      </c>
      <c r="I1391" s="74" t="str">
        <f t="shared" si="57"/>
        <v/>
      </c>
      <c r="J1391" s="32"/>
    </row>
    <row r="1392" spans="2:10" ht="15">
      <c r="B1392" s="31"/>
      <c r="C1392" s="30"/>
      <c r="D1392" s="119"/>
      <c r="E1392" s="32"/>
      <c r="G1392" s="31">
        <v>1350</v>
      </c>
      <c r="H1392" s="30" t="str">
        <f t="shared" si="56"/>
        <v/>
      </c>
      <c r="I1392" s="74" t="str">
        <f t="shared" si="57"/>
        <v/>
      </c>
      <c r="J1392" s="32"/>
    </row>
    <row r="1393" spans="2:10" ht="15">
      <c r="B1393" s="31"/>
      <c r="C1393" s="30"/>
      <c r="D1393" s="119"/>
      <c r="E1393" s="32"/>
      <c r="G1393" s="31">
        <v>1351</v>
      </c>
      <c r="H1393" s="30" t="str">
        <f t="shared" si="56"/>
        <v/>
      </c>
      <c r="I1393" s="74" t="str">
        <f t="shared" si="57"/>
        <v/>
      </c>
      <c r="J1393" s="32"/>
    </row>
    <row r="1394" spans="2:10" ht="15">
      <c r="B1394" s="31"/>
      <c r="C1394" s="30"/>
      <c r="D1394" s="119"/>
      <c r="E1394" s="32"/>
      <c r="G1394" s="31">
        <v>1352</v>
      </c>
      <c r="H1394" s="30" t="str">
        <f t="shared" si="56"/>
        <v/>
      </c>
      <c r="I1394" s="74" t="str">
        <f t="shared" si="57"/>
        <v/>
      </c>
      <c r="J1394" s="32"/>
    </row>
    <row r="1395" spans="2:10" ht="15">
      <c r="B1395" s="31"/>
      <c r="C1395" s="30"/>
      <c r="D1395" s="119"/>
      <c r="E1395" s="32"/>
      <c r="G1395" s="31">
        <v>1353</v>
      </c>
      <c r="H1395" s="30" t="str">
        <f t="shared" si="56"/>
        <v/>
      </c>
      <c r="I1395" s="74" t="str">
        <f t="shared" si="57"/>
        <v/>
      </c>
      <c r="J1395" s="32"/>
    </row>
    <row r="1396" spans="2:10" ht="15">
      <c r="B1396" s="31"/>
      <c r="C1396" s="30"/>
      <c r="D1396" s="119"/>
      <c r="E1396" s="32"/>
      <c r="G1396" s="31">
        <v>1354</v>
      </c>
      <c r="H1396" s="30" t="str">
        <f t="shared" si="56"/>
        <v/>
      </c>
      <c r="I1396" s="74" t="str">
        <f t="shared" si="57"/>
        <v/>
      </c>
      <c r="J1396" s="32"/>
    </row>
    <row r="1397" spans="2:10" ht="15">
      <c r="B1397" s="31"/>
      <c r="C1397" s="30"/>
      <c r="D1397" s="119"/>
      <c r="E1397" s="32"/>
      <c r="G1397" s="31">
        <v>1355</v>
      </c>
      <c r="H1397" s="30" t="str">
        <f t="shared" si="56"/>
        <v/>
      </c>
      <c r="I1397" s="74" t="str">
        <f t="shared" si="57"/>
        <v/>
      </c>
      <c r="J1397" s="32"/>
    </row>
    <row r="1398" spans="2:10" ht="15">
      <c r="B1398" s="31"/>
      <c r="C1398" s="30"/>
      <c r="D1398" s="119"/>
      <c r="E1398" s="32"/>
      <c r="G1398" s="31">
        <v>1356</v>
      </c>
      <c r="H1398" s="30" t="str">
        <f t="shared" si="56"/>
        <v/>
      </c>
      <c r="I1398" s="74" t="str">
        <f t="shared" si="57"/>
        <v/>
      </c>
      <c r="J1398" s="32"/>
    </row>
    <row r="1399" spans="2:10" ht="15">
      <c r="B1399" s="31"/>
      <c r="C1399" s="30"/>
      <c r="D1399" s="119"/>
      <c r="E1399" s="32"/>
      <c r="G1399" s="31">
        <v>1357</v>
      </c>
      <c r="H1399" s="30" t="str">
        <f t="shared" si="56"/>
        <v/>
      </c>
      <c r="I1399" s="74" t="str">
        <f t="shared" si="57"/>
        <v/>
      </c>
      <c r="J1399" s="32"/>
    </row>
    <row r="1400" spans="2:10" ht="15">
      <c r="B1400" s="31"/>
      <c r="C1400" s="30"/>
      <c r="D1400" s="119"/>
      <c r="E1400" s="32"/>
      <c r="G1400" s="31">
        <v>1358</v>
      </c>
      <c r="H1400" s="30" t="str">
        <f t="shared" si="56"/>
        <v/>
      </c>
      <c r="I1400" s="74" t="str">
        <f t="shared" si="57"/>
        <v/>
      </c>
      <c r="J1400" s="32"/>
    </row>
    <row r="1401" spans="2:10" ht="15">
      <c r="B1401" s="31"/>
      <c r="C1401" s="30"/>
      <c r="D1401" s="119"/>
      <c r="E1401" s="32"/>
      <c r="G1401" s="31">
        <v>1359</v>
      </c>
      <c r="H1401" s="30" t="str">
        <f t="shared" si="56"/>
        <v/>
      </c>
      <c r="I1401" s="74" t="str">
        <f t="shared" si="57"/>
        <v/>
      </c>
      <c r="J1401" s="32"/>
    </row>
    <row r="1402" spans="2:10" ht="15">
      <c r="B1402" s="31"/>
      <c r="C1402" s="30"/>
      <c r="D1402" s="119"/>
      <c r="E1402" s="32"/>
      <c r="G1402" s="31">
        <v>1360</v>
      </c>
      <c r="H1402" s="30" t="str">
        <f t="shared" si="56"/>
        <v/>
      </c>
      <c r="I1402" s="74" t="str">
        <f t="shared" si="57"/>
        <v/>
      </c>
      <c r="J1402" s="32"/>
    </row>
    <row r="1403" spans="2:10" ht="15">
      <c r="B1403" s="31"/>
      <c r="C1403" s="30"/>
      <c r="D1403" s="119"/>
      <c r="E1403" s="32"/>
      <c r="G1403" s="31">
        <v>1361</v>
      </c>
      <c r="H1403" s="30" t="str">
        <f t="shared" si="56"/>
        <v/>
      </c>
      <c r="I1403" s="74" t="str">
        <f t="shared" si="57"/>
        <v/>
      </c>
      <c r="J1403" s="32"/>
    </row>
    <row r="1404" spans="2:10" ht="15">
      <c r="B1404" s="31"/>
      <c r="C1404" s="30"/>
      <c r="D1404" s="119"/>
      <c r="E1404" s="32"/>
      <c r="G1404" s="31">
        <v>1362</v>
      </c>
      <c r="H1404" s="30" t="str">
        <f t="shared" si="56"/>
        <v/>
      </c>
      <c r="I1404" s="74" t="str">
        <f t="shared" si="57"/>
        <v/>
      </c>
      <c r="J1404" s="32"/>
    </row>
    <row r="1405" spans="2:10" ht="15">
      <c r="B1405" s="31"/>
      <c r="C1405" s="30"/>
      <c r="D1405" s="119"/>
      <c r="E1405" s="32"/>
      <c r="G1405" s="31">
        <v>1363</v>
      </c>
      <c r="H1405" s="30" t="str">
        <f t="shared" si="56"/>
        <v/>
      </c>
      <c r="I1405" s="74" t="str">
        <f t="shared" si="57"/>
        <v/>
      </c>
      <c r="J1405" s="32"/>
    </row>
    <row r="1406" spans="2:10" ht="15">
      <c r="B1406" s="31"/>
      <c r="C1406" s="30"/>
      <c r="D1406" s="119"/>
      <c r="E1406" s="32"/>
      <c r="G1406" s="31">
        <v>1364</v>
      </c>
      <c r="H1406" s="30" t="str">
        <f t="shared" si="56"/>
        <v/>
      </c>
      <c r="I1406" s="74" t="str">
        <f t="shared" si="57"/>
        <v/>
      </c>
      <c r="J1406" s="32"/>
    </row>
    <row r="1407" spans="2:10" ht="15">
      <c r="B1407" s="31"/>
      <c r="C1407" s="30"/>
      <c r="D1407" s="119"/>
      <c r="E1407" s="32"/>
      <c r="G1407" s="31">
        <v>1365</v>
      </c>
      <c r="H1407" s="30" t="str">
        <f t="shared" si="56"/>
        <v/>
      </c>
      <c r="I1407" s="74" t="str">
        <f t="shared" si="57"/>
        <v/>
      </c>
      <c r="J1407" s="32"/>
    </row>
    <row r="1408" spans="2:10" ht="15">
      <c r="B1408" s="31"/>
      <c r="C1408" s="30"/>
      <c r="D1408" s="119"/>
      <c r="E1408" s="32"/>
      <c r="G1408" s="31">
        <v>1366</v>
      </c>
      <c r="H1408" s="30" t="str">
        <f t="shared" si="56"/>
        <v/>
      </c>
      <c r="I1408" s="74" t="str">
        <f t="shared" si="57"/>
        <v/>
      </c>
      <c r="J1408" s="32"/>
    </row>
    <row r="1409" spans="2:10" ht="15">
      <c r="B1409" s="31"/>
      <c r="C1409" s="30"/>
      <c r="D1409" s="119"/>
      <c r="E1409" s="32"/>
      <c r="G1409" s="31">
        <v>1367</v>
      </c>
      <c r="H1409" s="30" t="str">
        <f t="shared" si="56"/>
        <v/>
      </c>
      <c r="I1409" s="74" t="str">
        <f t="shared" si="57"/>
        <v/>
      </c>
      <c r="J1409" s="32"/>
    </row>
    <row r="1410" spans="2:10" ht="15">
      <c r="B1410" s="31"/>
      <c r="C1410" s="30"/>
      <c r="D1410" s="119"/>
      <c r="E1410" s="32"/>
      <c r="G1410" s="31">
        <v>1368</v>
      </c>
      <c r="H1410" s="30" t="str">
        <f t="shared" si="56"/>
        <v/>
      </c>
      <c r="I1410" s="74" t="str">
        <f t="shared" si="57"/>
        <v/>
      </c>
      <c r="J1410" s="32"/>
    </row>
    <row r="1411" spans="2:10" ht="15">
      <c r="B1411" s="31"/>
      <c r="C1411" s="30"/>
      <c r="D1411" s="119"/>
      <c r="E1411" s="32"/>
      <c r="G1411" s="31">
        <v>1369</v>
      </c>
      <c r="H1411" s="30" t="str">
        <f t="shared" si="56"/>
        <v/>
      </c>
      <c r="I1411" s="74" t="str">
        <f t="shared" si="57"/>
        <v/>
      </c>
      <c r="J1411" s="32"/>
    </row>
    <row r="1412" spans="2:10" ht="15">
      <c r="B1412" s="31"/>
      <c r="C1412" s="30"/>
      <c r="D1412" s="119"/>
      <c r="E1412" s="32"/>
      <c r="G1412" s="31">
        <v>1370</v>
      </c>
      <c r="H1412" s="30" t="str">
        <f t="shared" si="56"/>
        <v/>
      </c>
      <c r="I1412" s="74" t="str">
        <f t="shared" si="57"/>
        <v/>
      </c>
      <c r="J1412" s="32"/>
    </row>
    <row r="1413" spans="2:10" ht="15">
      <c r="B1413" s="31"/>
      <c r="C1413" s="30"/>
      <c r="D1413" s="119"/>
      <c r="E1413" s="32"/>
      <c r="G1413" s="31">
        <v>1371</v>
      </c>
      <c r="H1413" s="30" t="str">
        <f t="shared" si="56"/>
        <v/>
      </c>
      <c r="I1413" s="74" t="str">
        <f t="shared" si="57"/>
        <v/>
      </c>
      <c r="J1413" s="32"/>
    </row>
    <row r="1414" spans="2:10" ht="15">
      <c r="B1414" s="31"/>
      <c r="C1414" s="30"/>
      <c r="D1414" s="119"/>
      <c r="E1414" s="32"/>
      <c r="G1414" s="31">
        <v>1372</v>
      </c>
      <c r="H1414" s="30" t="str">
        <f t="shared" si="56"/>
        <v/>
      </c>
      <c r="I1414" s="74" t="str">
        <f t="shared" si="57"/>
        <v/>
      </c>
      <c r="J1414" s="32"/>
    </row>
    <row r="1415" spans="2:10" ht="15">
      <c r="B1415" s="31"/>
      <c r="C1415" s="30"/>
      <c r="D1415" s="119"/>
      <c r="E1415" s="32"/>
      <c r="G1415" s="31">
        <v>1373</v>
      </c>
      <c r="H1415" s="30" t="str">
        <f t="shared" si="56"/>
        <v/>
      </c>
      <c r="I1415" s="74" t="str">
        <f t="shared" si="57"/>
        <v/>
      </c>
      <c r="J1415" s="32"/>
    </row>
    <row r="1416" spans="2:10" ht="15">
      <c r="B1416" s="31"/>
      <c r="C1416" s="30"/>
      <c r="D1416" s="119"/>
      <c r="E1416" s="32"/>
      <c r="G1416" s="31">
        <v>1374</v>
      </c>
      <c r="H1416" s="30" t="str">
        <f t="shared" si="56"/>
        <v/>
      </c>
      <c r="I1416" s="74" t="str">
        <f t="shared" si="57"/>
        <v/>
      </c>
      <c r="J1416" s="32"/>
    </row>
    <row r="1417" spans="2:10" ht="15">
      <c r="B1417" s="31"/>
      <c r="C1417" s="30"/>
      <c r="D1417" s="119"/>
      <c r="E1417" s="32"/>
      <c r="G1417" s="31">
        <v>1375</v>
      </c>
      <c r="H1417" s="30" t="str">
        <f t="shared" si="56"/>
        <v/>
      </c>
      <c r="I1417" s="74" t="str">
        <f t="shared" si="57"/>
        <v/>
      </c>
      <c r="J1417" s="32"/>
    </row>
    <row r="1418" spans="2:10" ht="15">
      <c r="B1418" s="31"/>
      <c r="C1418" s="30"/>
      <c r="D1418" s="119"/>
      <c r="E1418" s="32"/>
      <c r="G1418" s="31">
        <v>1376</v>
      </c>
      <c r="H1418" s="30" t="str">
        <f t="shared" si="56"/>
        <v/>
      </c>
      <c r="I1418" s="74" t="str">
        <f t="shared" si="57"/>
        <v/>
      </c>
      <c r="J1418" s="32"/>
    </row>
    <row r="1419" spans="2:10" ht="15">
      <c r="B1419" s="31"/>
      <c r="C1419" s="30"/>
      <c r="D1419" s="119"/>
      <c r="E1419" s="32"/>
      <c r="G1419" s="31">
        <v>1377</v>
      </c>
      <c r="H1419" s="30" t="str">
        <f t="shared" si="56"/>
        <v/>
      </c>
      <c r="I1419" s="74" t="str">
        <f t="shared" si="57"/>
        <v/>
      </c>
      <c r="J1419" s="32"/>
    </row>
    <row r="1420" spans="2:10" ht="15">
      <c r="B1420" s="31"/>
      <c r="C1420" s="30"/>
      <c r="D1420" s="119"/>
      <c r="E1420" s="32"/>
      <c r="G1420" s="31">
        <v>1378</v>
      </c>
      <c r="H1420" s="30" t="str">
        <f t="shared" si="56"/>
        <v/>
      </c>
      <c r="I1420" s="74" t="str">
        <f t="shared" si="57"/>
        <v/>
      </c>
      <c r="J1420" s="32"/>
    </row>
    <row r="1421" spans="2:10" ht="15">
      <c r="B1421" s="31"/>
      <c r="C1421" s="30"/>
      <c r="D1421" s="119"/>
      <c r="E1421" s="32"/>
      <c r="G1421" s="31">
        <v>1379</v>
      </c>
      <c r="H1421" s="30" t="str">
        <f t="shared" si="56"/>
        <v/>
      </c>
      <c r="I1421" s="74" t="str">
        <f t="shared" si="57"/>
        <v/>
      </c>
      <c r="J1421" s="32"/>
    </row>
    <row r="1422" spans="2:10" ht="15">
      <c r="B1422" s="31"/>
      <c r="C1422" s="30"/>
      <c r="D1422" s="119"/>
      <c r="E1422" s="32"/>
      <c r="G1422" s="31">
        <v>1380</v>
      </c>
      <c r="H1422" s="30" t="str">
        <f t="shared" si="56"/>
        <v/>
      </c>
      <c r="I1422" s="74" t="str">
        <f t="shared" si="57"/>
        <v/>
      </c>
      <c r="J1422" s="32"/>
    </row>
    <row r="1423" spans="2:10" ht="15">
      <c r="B1423" s="31"/>
      <c r="C1423" s="30"/>
      <c r="D1423" s="119"/>
      <c r="E1423" s="32"/>
      <c r="G1423" s="31">
        <v>1381</v>
      </c>
      <c r="H1423" s="30" t="str">
        <f t="shared" si="56"/>
        <v/>
      </c>
      <c r="I1423" s="74" t="str">
        <f t="shared" si="57"/>
        <v/>
      </c>
      <c r="J1423" s="32"/>
    </row>
    <row r="1424" spans="2:10" ht="15">
      <c r="B1424" s="31"/>
      <c r="C1424" s="30"/>
      <c r="D1424" s="119"/>
      <c r="E1424" s="32"/>
      <c r="G1424" s="31">
        <v>1382</v>
      </c>
      <c r="H1424" s="30" t="str">
        <f t="shared" si="56"/>
        <v/>
      </c>
      <c r="I1424" s="74" t="str">
        <f t="shared" si="57"/>
        <v/>
      </c>
      <c r="J1424" s="32"/>
    </row>
    <row r="1425" spans="2:10" ht="15">
      <c r="B1425" s="31"/>
      <c r="C1425" s="30"/>
      <c r="D1425" s="119"/>
      <c r="E1425" s="32"/>
      <c r="G1425" s="31">
        <v>1383</v>
      </c>
      <c r="H1425" s="30" t="str">
        <f t="shared" si="56"/>
        <v/>
      </c>
      <c r="I1425" s="74" t="str">
        <f t="shared" si="57"/>
        <v/>
      </c>
      <c r="J1425" s="32"/>
    </row>
    <row r="1426" spans="2:10" ht="15">
      <c r="B1426" s="31"/>
      <c r="C1426" s="30"/>
      <c r="D1426" s="119"/>
      <c r="E1426" s="32"/>
      <c r="G1426" s="31">
        <v>1384</v>
      </c>
      <c r="H1426" s="30" t="str">
        <f t="shared" si="56"/>
        <v/>
      </c>
      <c r="I1426" s="74" t="str">
        <f t="shared" si="57"/>
        <v/>
      </c>
      <c r="J1426" s="32"/>
    </row>
    <row r="1427" spans="2:10" ht="15">
      <c r="B1427" s="31"/>
      <c r="C1427" s="30"/>
      <c r="D1427" s="119"/>
      <c r="E1427" s="32"/>
      <c r="G1427" s="31">
        <v>1385</v>
      </c>
      <c r="H1427" s="30" t="str">
        <f t="shared" si="56"/>
        <v/>
      </c>
      <c r="I1427" s="74" t="str">
        <f t="shared" si="57"/>
        <v/>
      </c>
      <c r="J1427" s="32"/>
    </row>
    <row r="1428" spans="2:10" ht="15">
      <c r="B1428" s="31"/>
      <c r="C1428" s="30"/>
      <c r="D1428" s="119"/>
      <c r="E1428" s="32"/>
      <c r="G1428" s="31">
        <v>1386</v>
      </c>
      <c r="H1428" s="30" t="str">
        <f t="shared" si="56"/>
        <v/>
      </c>
      <c r="I1428" s="74" t="str">
        <f t="shared" si="57"/>
        <v/>
      </c>
      <c r="J1428" s="32"/>
    </row>
    <row r="1429" spans="2:10" ht="15">
      <c r="B1429" s="31"/>
      <c r="C1429" s="30"/>
      <c r="D1429" s="119"/>
      <c r="E1429" s="32"/>
      <c r="G1429" s="31">
        <v>1387</v>
      </c>
      <c r="H1429" s="30" t="str">
        <f t="shared" si="56"/>
        <v/>
      </c>
      <c r="I1429" s="74" t="str">
        <f t="shared" si="57"/>
        <v/>
      </c>
      <c r="J1429" s="32"/>
    </row>
    <row r="1430" spans="2:10" ht="15">
      <c r="B1430" s="31"/>
      <c r="C1430" s="30"/>
      <c r="D1430" s="119"/>
      <c r="E1430" s="32"/>
      <c r="G1430" s="31">
        <v>1388</v>
      </c>
      <c r="H1430" s="30" t="str">
        <f t="shared" si="56"/>
        <v/>
      </c>
      <c r="I1430" s="74" t="str">
        <f t="shared" si="57"/>
        <v/>
      </c>
      <c r="J1430" s="32"/>
    </row>
    <row r="1431" spans="2:10" ht="15">
      <c r="B1431" s="31"/>
      <c r="C1431" s="30"/>
      <c r="D1431" s="119"/>
      <c r="E1431" s="32"/>
      <c r="G1431" s="31">
        <v>1389</v>
      </c>
      <c r="H1431" s="30" t="str">
        <f t="shared" si="56"/>
        <v/>
      </c>
      <c r="I1431" s="74" t="str">
        <f t="shared" si="57"/>
        <v/>
      </c>
      <c r="J1431" s="32"/>
    </row>
    <row r="1432" spans="2:10" ht="15">
      <c r="B1432" s="31"/>
      <c r="C1432" s="30"/>
      <c r="D1432" s="119"/>
      <c r="E1432" s="32"/>
      <c r="G1432" s="31">
        <v>1390</v>
      </c>
      <c r="H1432" s="30" t="str">
        <f t="shared" si="56"/>
        <v/>
      </c>
      <c r="I1432" s="74" t="str">
        <f t="shared" si="57"/>
        <v/>
      </c>
      <c r="J1432" s="32"/>
    </row>
    <row r="1433" spans="2:10" ht="15">
      <c r="B1433" s="31"/>
      <c r="C1433" s="30"/>
      <c r="D1433" s="119"/>
      <c r="E1433" s="32"/>
      <c r="G1433" s="31">
        <v>1391</v>
      </c>
      <c r="H1433" s="30" t="str">
        <f t="shared" si="56"/>
        <v/>
      </c>
      <c r="I1433" s="74" t="str">
        <f t="shared" si="57"/>
        <v/>
      </c>
      <c r="J1433" s="32"/>
    </row>
    <row r="1434" spans="2:10" ht="15">
      <c r="B1434" s="31"/>
      <c r="C1434" s="30"/>
      <c r="D1434" s="119"/>
      <c r="E1434" s="32"/>
      <c r="G1434" s="31">
        <v>1392</v>
      </c>
      <c r="H1434" s="30" t="str">
        <f t="shared" si="56"/>
        <v/>
      </c>
      <c r="I1434" s="74" t="str">
        <f t="shared" si="57"/>
        <v/>
      </c>
      <c r="J1434" s="32"/>
    </row>
    <row r="1435" spans="2:10" ht="15">
      <c r="B1435" s="31"/>
      <c r="C1435" s="30"/>
      <c r="D1435" s="119"/>
      <c r="E1435" s="32"/>
      <c r="G1435" s="31">
        <v>1393</v>
      </c>
      <c r="H1435" s="30" t="str">
        <f t="shared" si="56"/>
        <v/>
      </c>
      <c r="I1435" s="74" t="str">
        <f t="shared" si="57"/>
        <v/>
      </c>
      <c r="J1435" s="32"/>
    </row>
    <row r="1436" spans="2:10" ht="15">
      <c r="B1436" s="31"/>
      <c r="C1436" s="30"/>
      <c r="D1436" s="119"/>
      <c r="E1436" s="32"/>
      <c r="G1436" s="31">
        <v>1394</v>
      </c>
      <c r="H1436" s="30" t="str">
        <f t="shared" si="56"/>
        <v/>
      </c>
      <c r="I1436" s="74" t="str">
        <f t="shared" si="57"/>
        <v/>
      </c>
      <c r="J1436" s="32"/>
    </row>
    <row r="1437" spans="2:10" ht="15">
      <c r="B1437" s="31"/>
      <c r="C1437" s="30"/>
      <c r="D1437" s="119"/>
      <c r="E1437" s="32"/>
      <c r="G1437" s="31">
        <v>1395</v>
      </c>
      <c r="H1437" s="30" t="str">
        <f t="shared" si="56"/>
        <v/>
      </c>
      <c r="I1437" s="74" t="str">
        <f t="shared" si="57"/>
        <v/>
      </c>
      <c r="J1437" s="32"/>
    </row>
    <row r="1438" spans="2:10" ht="15">
      <c r="B1438" s="31"/>
      <c r="C1438" s="30"/>
      <c r="D1438" s="119"/>
      <c r="E1438" s="32"/>
      <c r="G1438" s="31">
        <v>1396</v>
      </c>
      <c r="H1438" s="30" t="str">
        <f t="shared" si="56"/>
        <v/>
      </c>
      <c r="I1438" s="74" t="str">
        <f t="shared" si="57"/>
        <v/>
      </c>
      <c r="J1438" s="32"/>
    </row>
    <row r="1439" spans="2:10" ht="15">
      <c r="B1439" s="31"/>
      <c r="C1439" s="30"/>
      <c r="D1439" s="119"/>
      <c r="E1439" s="32"/>
      <c r="G1439" s="31">
        <v>1397</v>
      </c>
      <c r="H1439" s="30" t="str">
        <f t="shared" si="56"/>
        <v/>
      </c>
      <c r="I1439" s="74" t="str">
        <f t="shared" si="57"/>
        <v/>
      </c>
      <c r="J1439" s="32"/>
    </row>
    <row r="1440" spans="2:10" ht="15">
      <c r="B1440" s="31"/>
      <c r="C1440" s="30"/>
      <c r="D1440" s="119"/>
      <c r="E1440" s="32"/>
      <c r="G1440" s="31">
        <v>1398</v>
      </c>
      <c r="H1440" s="30" t="str">
        <f t="shared" si="56"/>
        <v/>
      </c>
      <c r="I1440" s="74" t="str">
        <f t="shared" si="57"/>
        <v/>
      </c>
      <c r="J1440" s="32"/>
    </row>
    <row r="1441" spans="2:10" ht="15">
      <c r="B1441" s="31"/>
      <c r="C1441" s="30"/>
      <c r="D1441" s="119"/>
      <c r="E1441" s="32"/>
      <c r="G1441" s="31">
        <v>1399</v>
      </c>
      <c r="H1441" s="30" t="str">
        <f t="shared" si="56"/>
        <v/>
      </c>
      <c r="I1441" s="74" t="str">
        <f t="shared" si="57"/>
        <v/>
      </c>
      <c r="J1441" s="32"/>
    </row>
    <row r="1442" spans="2:10" ht="15">
      <c r="B1442" s="31"/>
      <c r="C1442" s="30"/>
      <c r="D1442" s="119"/>
      <c r="E1442" s="32"/>
      <c r="G1442" s="31">
        <v>1400</v>
      </c>
      <c r="H1442" s="30" t="str">
        <f t="shared" si="56"/>
        <v/>
      </c>
      <c r="I1442" s="74" t="str">
        <f t="shared" si="57"/>
        <v/>
      </c>
      <c r="J1442" s="32"/>
    </row>
    <row r="1443" spans="2:10" ht="15">
      <c r="B1443" s="31"/>
      <c r="C1443" s="30"/>
      <c r="D1443" s="119"/>
      <c r="E1443" s="32"/>
      <c r="G1443" s="31">
        <v>1401</v>
      </c>
      <c r="H1443" s="30" t="str">
        <f t="shared" si="56"/>
        <v/>
      </c>
      <c r="I1443" s="74" t="str">
        <f t="shared" si="57"/>
        <v/>
      </c>
      <c r="J1443" s="32"/>
    </row>
    <row r="1444" spans="2:10" ht="15">
      <c r="B1444" s="31"/>
      <c r="C1444" s="30"/>
      <c r="D1444" s="119"/>
      <c r="E1444" s="32"/>
      <c r="G1444" s="31">
        <v>1402</v>
      </c>
      <c r="H1444" s="30" t="str">
        <f t="shared" si="56"/>
        <v/>
      </c>
      <c r="I1444" s="74" t="str">
        <f t="shared" si="57"/>
        <v/>
      </c>
      <c r="J1444" s="32"/>
    </row>
    <row r="1445" spans="2:10" ht="15">
      <c r="B1445" s="31"/>
      <c r="C1445" s="30"/>
      <c r="D1445" s="119"/>
      <c r="E1445" s="32"/>
      <c r="G1445" s="31">
        <v>1403</v>
      </c>
      <c r="H1445" s="30" t="str">
        <f t="shared" si="56"/>
        <v/>
      </c>
      <c r="I1445" s="74" t="str">
        <f t="shared" si="57"/>
        <v/>
      </c>
      <c r="J1445" s="32"/>
    </row>
    <row r="1446" spans="2:10" ht="15">
      <c r="B1446" s="31"/>
      <c r="C1446" s="30"/>
      <c r="D1446" s="119"/>
      <c r="E1446" s="32"/>
      <c r="G1446" s="31">
        <v>1404</v>
      </c>
      <c r="H1446" s="30" t="str">
        <f t="shared" si="56"/>
        <v/>
      </c>
      <c r="I1446" s="74" t="str">
        <f t="shared" si="57"/>
        <v/>
      </c>
      <c r="J1446" s="32"/>
    </row>
    <row r="1447" spans="2:10" ht="15">
      <c r="B1447" s="31"/>
      <c r="C1447" s="30"/>
      <c r="D1447" s="119"/>
      <c r="E1447" s="32"/>
      <c r="G1447" s="31">
        <v>1405</v>
      </c>
      <c r="H1447" s="30" t="str">
        <f t="shared" si="56"/>
        <v/>
      </c>
      <c r="I1447" s="74" t="str">
        <f t="shared" si="57"/>
        <v/>
      </c>
      <c r="J1447" s="32"/>
    </row>
    <row r="1448" spans="2:10" ht="15">
      <c r="B1448" s="31"/>
      <c r="C1448" s="30"/>
      <c r="D1448" s="119"/>
      <c r="E1448" s="32"/>
      <c r="G1448" s="31">
        <v>1406</v>
      </c>
      <c r="H1448" s="30" t="str">
        <f t="shared" si="56"/>
        <v/>
      </c>
      <c r="I1448" s="74" t="str">
        <f t="shared" si="57"/>
        <v/>
      </c>
      <c r="J1448" s="32"/>
    </row>
    <row r="1449" spans="2:10" ht="15">
      <c r="B1449" s="31"/>
      <c r="C1449" s="30"/>
      <c r="D1449" s="119"/>
      <c r="E1449" s="32"/>
      <c r="G1449" s="31">
        <v>1407</v>
      </c>
      <c r="H1449" s="30" t="str">
        <f t="shared" si="56"/>
        <v/>
      </c>
      <c r="I1449" s="74" t="str">
        <f t="shared" si="57"/>
        <v/>
      </c>
      <c r="J1449" s="32"/>
    </row>
    <row r="1450" spans="2:10" ht="15">
      <c r="B1450" s="31"/>
      <c r="C1450" s="30"/>
      <c r="D1450" s="119"/>
      <c r="E1450" s="32"/>
      <c r="G1450" s="31">
        <v>1408</v>
      </c>
      <c r="H1450" s="30" t="str">
        <f t="shared" si="56"/>
        <v/>
      </c>
      <c r="I1450" s="74" t="str">
        <f t="shared" si="57"/>
        <v/>
      </c>
      <c r="J1450" s="32"/>
    </row>
    <row r="1451" spans="2:10" ht="15">
      <c r="B1451" s="31"/>
      <c r="C1451" s="30"/>
      <c r="D1451" s="119"/>
      <c r="E1451" s="32"/>
      <c r="G1451" s="31">
        <v>1409</v>
      </c>
      <c r="H1451" s="30" t="str">
        <f t="shared" si="56"/>
        <v/>
      </c>
      <c r="I1451" s="74" t="str">
        <f t="shared" si="57"/>
        <v/>
      </c>
      <c r="J1451" s="32"/>
    </row>
    <row r="1452" spans="2:10" ht="15">
      <c r="B1452" s="31"/>
      <c r="C1452" s="30"/>
      <c r="D1452" s="119"/>
      <c r="E1452" s="32"/>
      <c r="G1452" s="31">
        <v>1410</v>
      </c>
      <c r="H1452" s="30" t="str">
        <f t="shared" ref="H1452:H1515" si="58">MID($I$41,G1452*8-7,8)</f>
        <v/>
      </c>
      <c r="I1452" s="74" t="str">
        <f t="shared" ref="I1452:I1515" si="59">IFERROR(BIN2DEC(VALUE(H1452)),"")</f>
        <v/>
      </c>
      <c r="J1452" s="32"/>
    </row>
    <row r="1453" spans="2:10" ht="15">
      <c r="B1453" s="31"/>
      <c r="C1453" s="30"/>
      <c r="D1453" s="119"/>
      <c r="E1453" s="32"/>
      <c r="G1453" s="31">
        <v>1411</v>
      </c>
      <c r="H1453" s="30" t="str">
        <f t="shared" si="58"/>
        <v/>
      </c>
      <c r="I1453" s="74" t="str">
        <f t="shared" si="59"/>
        <v/>
      </c>
      <c r="J1453" s="32"/>
    </row>
    <row r="1454" spans="2:10" ht="15">
      <c r="B1454" s="31"/>
      <c r="C1454" s="30"/>
      <c r="D1454" s="119"/>
      <c r="E1454" s="32"/>
      <c r="G1454" s="31">
        <v>1412</v>
      </c>
      <c r="H1454" s="30" t="str">
        <f t="shared" si="58"/>
        <v/>
      </c>
      <c r="I1454" s="74" t="str">
        <f t="shared" si="59"/>
        <v/>
      </c>
      <c r="J1454" s="32"/>
    </row>
    <row r="1455" spans="2:10" ht="15">
      <c r="B1455" s="31"/>
      <c r="C1455" s="30"/>
      <c r="D1455" s="119"/>
      <c r="E1455" s="32"/>
      <c r="G1455" s="31">
        <v>1413</v>
      </c>
      <c r="H1455" s="30" t="str">
        <f t="shared" si="58"/>
        <v/>
      </c>
      <c r="I1455" s="74" t="str">
        <f t="shared" si="59"/>
        <v/>
      </c>
      <c r="J1455" s="32"/>
    </row>
    <row r="1456" spans="2:10" ht="15">
      <c r="B1456" s="31"/>
      <c r="C1456" s="30"/>
      <c r="D1456" s="119"/>
      <c r="E1456" s="32"/>
      <c r="G1456" s="31">
        <v>1414</v>
      </c>
      <c r="H1456" s="30" t="str">
        <f t="shared" si="58"/>
        <v/>
      </c>
      <c r="I1456" s="74" t="str">
        <f t="shared" si="59"/>
        <v/>
      </c>
      <c r="J1456" s="32"/>
    </row>
    <row r="1457" spans="2:10" ht="15">
      <c r="B1457" s="31"/>
      <c r="C1457" s="30"/>
      <c r="D1457" s="119"/>
      <c r="E1457" s="32"/>
      <c r="G1457" s="31">
        <v>1415</v>
      </c>
      <c r="H1457" s="30" t="str">
        <f t="shared" si="58"/>
        <v/>
      </c>
      <c r="I1457" s="74" t="str">
        <f t="shared" si="59"/>
        <v/>
      </c>
      <c r="J1457" s="32"/>
    </row>
    <row r="1458" spans="2:10" ht="15">
      <c r="B1458" s="31"/>
      <c r="C1458" s="30"/>
      <c r="D1458" s="119"/>
      <c r="E1458" s="32"/>
      <c r="G1458" s="31">
        <v>1416</v>
      </c>
      <c r="H1458" s="30" t="str">
        <f t="shared" si="58"/>
        <v/>
      </c>
      <c r="I1458" s="74" t="str">
        <f t="shared" si="59"/>
        <v/>
      </c>
      <c r="J1458" s="32"/>
    </row>
    <row r="1459" spans="2:10" ht="15">
      <c r="B1459" s="31"/>
      <c r="C1459" s="30"/>
      <c r="D1459" s="119"/>
      <c r="E1459" s="32"/>
      <c r="G1459" s="31">
        <v>1417</v>
      </c>
      <c r="H1459" s="30" t="str">
        <f t="shared" si="58"/>
        <v/>
      </c>
      <c r="I1459" s="74" t="str">
        <f t="shared" si="59"/>
        <v/>
      </c>
      <c r="J1459" s="32"/>
    </row>
    <row r="1460" spans="2:10" ht="15">
      <c r="B1460" s="31"/>
      <c r="C1460" s="30"/>
      <c r="D1460" s="119"/>
      <c r="E1460" s="32"/>
      <c r="G1460" s="31">
        <v>1418</v>
      </c>
      <c r="H1460" s="30" t="str">
        <f t="shared" si="58"/>
        <v/>
      </c>
      <c r="I1460" s="74" t="str">
        <f t="shared" si="59"/>
        <v/>
      </c>
      <c r="J1460" s="32"/>
    </row>
    <row r="1461" spans="2:10" ht="15">
      <c r="B1461" s="31"/>
      <c r="C1461" s="30"/>
      <c r="D1461" s="119"/>
      <c r="E1461" s="32"/>
      <c r="G1461" s="31">
        <v>1419</v>
      </c>
      <c r="H1461" s="30" t="str">
        <f t="shared" si="58"/>
        <v/>
      </c>
      <c r="I1461" s="74" t="str">
        <f t="shared" si="59"/>
        <v/>
      </c>
      <c r="J1461" s="32"/>
    </row>
    <row r="1462" spans="2:10" ht="15">
      <c r="B1462" s="31"/>
      <c r="C1462" s="30"/>
      <c r="D1462" s="119"/>
      <c r="E1462" s="32"/>
      <c r="G1462" s="31">
        <v>1420</v>
      </c>
      <c r="H1462" s="30" t="str">
        <f t="shared" si="58"/>
        <v/>
      </c>
      <c r="I1462" s="74" t="str">
        <f t="shared" si="59"/>
        <v/>
      </c>
      <c r="J1462" s="32"/>
    </row>
    <row r="1463" spans="2:10" ht="15">
      <c r="B1463" s="31"/>
      <c r="C1463" s="30"/>
      <c r="D1463" s="119"/>
      <c r="E1463" s="32"/>
      <c r="G1463" s="31">
        <v>1421</v>
      </c>
      <c r="H1463" s="30" t="str">
        <f t="shared" si="58"/>
        <v/>
      </c>
      <c r="I1463" s="74" t="str">
        <f t="shared" si="59"/>
        <v/>
      </c>
      <c r="J1463" s="32"/>
    </row>
    <row r="1464" spans="2:10" ht="15">
      <c r="B1464" s="31"/>
      <c r="C1464" s="30"/>
      <c r="D1464" s="119"/>
      <c r="E1464" s="32"/>
      <c r="G1464" s="31">
        <v>1422</v>
      </c>
      <c r="H1464" s="30" t="str">
        <f t="shared" si="58"/>
        <v/>
      </c>
      <c r="I1464" s="74" t="str">
        <f t="shared" si="59"/>
        <v/>
      </c>
      <c r="J1464" s="32"/>
    </row>
    <row r="1465" spans="2:10" ht="15">
      <c r="B1465" s="31"/>
      <c r="C1465" s="30"/>
      <c r="D1465" s="119"/>
      <c r="E1465" s="32"/>
      <c r="G1465" s="31">
        <v>1423</v>
      </c>
      <c r="H1465" s="30" t="str">
        <f t="shared" si="58"/>
        <v/>
      </c>
      <c r="I1465" s="74" t="str">
        <f t="shared" si="59"/>
        <v/>
      </c>
      <c r="J1465" s="32"/>
    </row>
    <row r="1466" spans="2:10" ht="15">
      <c r="B1466" s="31"/>
      <c r="C1466" s="30"/>
      <c r="D1466" s="119"/>
      <c r="E1466" s="32"/>
      <c r="G1466" s="31">
        <v>1424</v>
      </c>
      <c r="H1466" s="30" t="str">
        <f t="shared" si="58"/>
        <v/>
      </c>
      <c r="I1466" s="74" t="str">
        <f t="shared" si="59"/>
        <v/>
      </c>
      <c r="J1466" s="32"/>
    </row>
    <row r="1467" spans="2:10" ht="15">
      <c r="B1467" s="31"/>
      <c r="C1467" s="30"/>
      <c r="D1467" s="119"/>
      <c r="E1467" s="32"/>
      <c r="G1467" s="31">
        <v>1425</v>
      </c>
      <c r="H1467" s="30" t="str">
        <f t="shared" si="58"/>
        <v/>
      </c>
      <c r="I1467" s="74" t="str">
        <f t="shared" si="59"/>
        <v/>
      </c>
      <c r="J1467" s="32"/>
    </row>
    <row r="1468" spans="2:10" ht="15">
      <c r="B1468" s="31"/>
      <c r="C1468" s="30"/>
      <c r="D1468" s="119"/>
      <c r="E1468" s="32"/>
      <c r="G1468" s="31">
        <v>1426</v>
      </c>
      <c r="H1468" s="30" t="str">
        <f t="shared" si="58"/>
        <v/>
      </c>
      <c r="I1468" s="74" t="str">
        <f t="shared" si="59"/>
        <v/>
      </c>
      <c r="J1468" s="32"/>
    </row>
    <row r="1469" spans="2:10" ht="15">
      <c r="B1469" s="31"/>
      <c r="C1469" s="30"/>
      <c r="D1469" s="119"/>
      <c r="E1469" s="32"/>
      <c r="G1469" s="31">
        <v>1427</v>
      </c>
      <c r="H1469" s="30" t="str">
        <f t="shared" si="58"/>
        <v/>
      </c>
      <c r="I1469" s="74" t="str">
        <f t="shared" si="59"/>
        <v/>
      </c>
      <c r="J1469" s="32"/>
    </row>
    <row r="1470" spans="2:10" ht="15">
      <c r="B1470" s="31"/>
      <c r="C1470" s="30"/>
      <c r="D1470" s="119"/>
      <c r="E1470" s="32"/>
      <c r="G1470" s="31">
        <v>1428</v>
      </c>
      <c r="H1470" s="30" t="str">
        <f t="shared" si="58"/>
        <v/>
      </c>
      <c r="I1470" s="74" t="str">
        <f t="shared" si="59"/>
        <v/>
      </c>
      <c r="J1470" s="32"/>
    </row>
    <row r="1471" spans="2:10" ht="15">
      <c r="B1471" s="31"/>
      <c r="C1471" s="30"/>
      <c r="D1471" s="119"/>
      <c r="E1471" s="32"/>
      <c r="G1471" s="31">
        <v>1429</v>
      </c>
      <c r="H1471" s="30" t="str">
        <f t="shared" si="58"/>
        <v/>
      </c>
      <c r="I1471" s="74" t="str">
        <f t="shared" si="59"/>
        <v/>
      </c>
      <c r="J1471" s="32"/>
    </row>
    <row r="1472" spans="2:10" ht="15">
      <c r="B1472" s="31"/>
      <c r="C1472" s="30"/>
      <c r="D1472" s="119"/>
      <c r="E1472" s="32"/>
      <c r="G1472" s="31">
        <v>1430</v>
      </c>
      <c r="H1472" s="30" t="str">
        <f t="shared" si="58"/>
        <v/>
      </c>
      <c r="I1472" s="74" t="str">
        <f t="shared" si="59"/>
        <v/>
      </c>
      <c r="J1472" s="32"/>
    </row>
    <row r="1473" spans="2:10" ht="15">
      <c r="B1473" s="31"/>
      <c r="C1473" s="30"/>
      <c r="D1473" s="119"/>
      <c r="E1473" s="32"/>
      <c r="G1473" s="31">
        <v>1431</v>
      </c>
      <c r="H1473" s="30" t="str">
        <f t="shared" si="58"/>
        <v/>
      </c>
      <c r="I1473" s="74" t="str">
        <f t="shared" si="59"/>
        <v/>
      </c>
      <c r="J1473" s="32"/>
    </row>
    <row r="1474" spans="2:10" ht="15">
      <c r="B1474" s="31"/>
      <c r="C1474" s="30"/>
      <c r="D1474" s="119"/>
      <c r="E1474" s="32"/>
      <c r="G1474" s="31">
        <v>1432</v>
      </c>
      <c r="H1474" s="30" t="str">
        <f t="shared" si="58"/>
        <v/>
      </c>
      <c r="I1474" s="74" t="str">
        <f t="shared" si="59"/>
        <v/>
      </c>
      <c r="J1474" s="32"/>
    </row>
    <row r="1475" spans="2:10" ht="15">
      <c r="B1475" s="31"/>
      <c r="C1475" s="30"/>
      <c r="D1475" s="119"/>
      <c r="E1475" s="32"/>
      <c r="G1475" s="31">
        <v>1433</v>
      </c>
      <c r="H1475" s="30" t="str">
        <f t="shared" si="58"/>
        <v/>
      </c>
      <c r="I1475" s="74" t="str">
        <f t="shared" si="59"/>
        <v/>
      </c>
      <c r="J1475" s="32"/>
    </row>
    <row r="1476" spans="2:10" ht="15">
      <c r="B1476" s="31"/>
      <c r="C1476" s="30"/>
      <c r="D1476" s="119"/>
      <c r="E1476" s="32"/>
      <c r="G1476" s="31">
        <v>1434</v>
      </c>
      <c r="H1476" s="30" t="str">
        <f t="shared" si="58"/>
        <v/>
      </c>
      <c r="I1476" s="74" t="str">
        <f t="shared" si="59"/>
        <v/>
      </c>
      <c r="J1476" s="32"/>
    </row>
    <row r="1477" spans="2:10" ht="15">
      <c r="B1477" s="31"/>
      <c r="C1477" s="30"/>
      <c r="D1477" s="119"/>
      <c r="E1477" s="32"/>
      <c r="G1477" s="31">
        <v>1435</v>
      </c>
      <c r="H1477" s="30" t="str">
        <f t="shared" si="58"/>
        <v/>
      </c>
      <c r="I1477" s="74" t="str">
        <f t="shared" si="59"/>
        <v/>
      </c>
      <c r="J1477" s="32"/>
    </row>
    <row r="1478" spans="2:10" ht="15">
      <c r="B1478" s="31"/>
      <c r="C1478" s="30"/>
      <c r="D1478" s="119"/>
      <c r="E1478" s="32"/>
      <c r="G1478" s="31">
        <v>1436</v>
      </c>
      <c r="H1478" s="30" t="str">
        <f t="shared" si="58"/>
        <v/>
      </c>
      <c r="I1478" s="74" t="str">
        <f t="shared" si="59"/>
        <v/>
      </c>
      <c r="J1478" s="32"/>
    </row>
    <row r="1479" spans="2:10" ht="15">
      <c r="B1479" s="31"/>
      <c r="C1479" s="30"/>
      <c r="D1479" s="119"/>
      <c r="E1479" s="32"/>
      <c r="G1479" s="31">
        <v>1437</v>
      </c>
      <c r="H1479" s="30" t="str">
        <f t="shared" si="58"/>
        <v/>
      </c>
      <c r="I1479" s="74" t="str">
        <f t="shared" si="59"/>
        <v/>
      </c>
      <c r="J1479" s="32"/>
    </row>
    <row r="1480" spans="2:10" ht="15">
      <c r="B1480" s="31"/>
      <c r="C1480" s="30"/>
      <c r="D1480" s="119"/>
      <c r="E1480" s="32"/>
      <c r="G1480" s="31">
        <v>1438</v>
      </c>
      <c r="H1480" s="30" t="str">
        <f t="shared" si="58"/>
        <v/>
      </c>
      <c r="I1480" s="74" t="str">
        <f t="shared" si="59"/>
        <v/>
      </c>
      <c r="J1480" s="32"/>
    </row>
    <row r="1481" spans="2:10" ht="15">
      <c r="B1481" s="31"/>
      <c r="C1481" s="30"/>
      <c r="D1481" s="119"/>
      <c r="E1481" s="32"/>
      <c r="G1481" s="31">
        <v>1439</v>
      </c>
      <c r="H1481" s="30" t="str">
        <f t="shared" si="58"/>
        <v/>
      </c>
      <c r="I1481" s="74" t="str">
        <f t="shared" si="59"/>
        <v/>
      </c>
      <c r="J1481" s="32"/>
    </row>
    <row r="1482" spans="2:10" ht="15">
      <c r="B1482" s="31"/>
      <c r="C1482" s="30"/>
      <c r="D1482" s="119"/>
      <c r="E1482" s="32"/>
      <c r="G1482" s="31">
        <v>1440</v>
      </c>
      <c r="H1482" s="30" t="str">
        <f t="shared" si="58"/>
        <v/>
      </c>
      <c r="I1482" s="74" t="str">
        <f t="shared" si="59"/>
        <v/>
      </c>
      <c r="J1482" s="32"/>
    </row>
    <row r="1483" spans="2:10" ht="15">
      <c r="B1483" s="31"/>
      <c r="C1483" s="30"/>
      <c r="D1483" s="119"/>
      <c r="E1483" s="32"/>
      <c r="G1483" s="31">
        <v>1441</v>
      </c>
      <c r="H1483" s="30" t="str">
        <f t="shared" si="58"/>
        <v/>
      </c>
      <c r="I1483" s="74" t="str">
        <f t="shared" si="59"/>
        <v/>
      </c>
      <c r="J1483" s="32"/>
    </row>
    <row r="1484" spans="2:10" ht="15">
      <c r="B1484" s="31"/>
      <c r="C1484" s="30"/>
      <c r="D1484" s="119"/>
      <c r="E1484" s="32"/>
      <c r="G1484" s="31">
        <v>1442</v>
      </c>
      <c r="H1484" s="30" t="str">
        <f t="shared" si="58"/>
        <v/>
      </c>
      <c r="I1484" s="74" t="str">
        <f t="shared" si="59"/>
        <v/>
      </c>
      <c r="J1484" s="32"/>
    </row>
    <row r="1485" spans="2:10" ht="15">
      <c r="B1485" s="31"/>
      <c r="C1485" s="30"/>
      <c r="D1485" s="119"/>
      <c r="E1485" s="32"/>
      <c r="G1485" s="31">
        <v>1443</v>
      </c>
      <c r="H1485" s="30" t="str">
        <f t="shared" si="58"/>
        <v/>
      </c>
      <c r="I1485" s="74" t="str">
        <f t="shared" si="59"/>
        <v/>
      </c>
      <c r="J1485" s="32"/>
    </row>
    <row r="1486" spans="2:10" ht="15">
      <c r="B1486" s="31"/>
      <c r="C1486" s="30"/>
      <c r="D1486" s="119"/>
      <c r="E1486" s="32"/>
      <c r="G1486" s="31">
        <v>1444</v>
      </c>
      <c r="H1486" s="30" t="str">
        <f t="shared" si="58"/>
        <v/>
      </c>
      <c r="I1486" s="74" t="str">
        <f t="shared" si="59"/>
        <v/>
      </c>
      <c r="J1486" s="32"/>
    </row>
    <row r="1487" spans="2:10" ht="15">
      <c r="B1487" s="31"/>
      <c r="C1487" s="30"/>
      <c r="D1487" s="119"/>
      <c r="E1487" s="32"/>
      <c r="G1487" s="31">
        <v>1445</v>
      </c>
      <c r="H1487" s="30" t="str">
        <f t="shared" si="58"/>
        <v/>
      </c>
      <c r="I1487" s="74" t="str">
        <f t="shared" si="59"/>
        <v/>
      </c>
      <c r="J1487" s="32"/>
    </row>
    <row r="1488" spans="2:10" ht="15">
      <c r="B1488" s="31"/>
      <c r="C1488" s="30"/>
      <c r="D1488" s="119"/>
      <c r="E1488" s="32"/>
      <c r="G1488" s="31">
        <v>1446</v>
      </c>
      <c r="H1488" s="30" t="str">
        <f t="shared" si="58"/>
        <v/>
      </c>
      <c r="I1488" s="74" t="str">
        <f t="shared" si="59"/>
        <v/>
      </c>
      <c r="J1488" s="32"/>
    </row>
    <row r="1489" spans="2:10" ht="15">
      <c r="B1489" s="31"/>
      <c r="C1489" s="30"/>
      <c r="D1489" s="119"/>
      <c r="E1489" s="32"/>
      <c r="G1489" s="31">
        <v>1447</v>
      </c>
      <c r="H1489" s="30" t="str">
        <f t="shared" si="58"/>
        <v/>
      </c>
      <c r="I1489" s="74" t="str">
        <f t="shared" si="59"/>
        <v/>
      </c>
      <c r="J1489" s="32"/>
    </row>
    <row r="1490" spans="2:10" ht="15">
      <c r="B1490" s="31"/>
      <c r="C1490" s="30"/>
      <c r="D1490" s="119"/>
      <c r="E1490" s="32"/>
      <c r="G1490" s="31">
        <v>1448</v>
      </c>
      <c r="H1490" s="30" t="str">
        <f t="shared" si="58"/>
        <v/>
      </c>
      <c r="I1490" s="74" t="str">
        <f t="shared" si="59"/>
        <v/>
      </c>
      <c r="J1490" s="32"/>
    </row>
    <row r="1491" spans="2:10" ht="15">
      <c r="B1491" s="31"/>
      <c r="C1491" s="30"/>
      <c r="D1491" s="119"/>
      <c r="E1491" s="32"/>
      <c r="G1491" s="31">
        <v>1449</v>
      </c>
      <c r="H1491" s="30" t="str">
        <f t="shared" si="58"/>
        <v/>
      </c>
      <c r="I1491" s="74" t="str">
        <f t="shared" si="59"/>
        <v/>
      </c>
      <c r="J1491" s="32"/>
    </row>
    <row r="1492" spans="2:10" ht="15">
      <c r="B1492" s="31"/>
      <c r="C1492" s="30"/>
      <c r="D1492" s="119"/>
      <c r="E1492" s="32"/>
      <c r="G1492" s="31">
        <v>1450</v>
      </c>
      <c r="H1492" s="30" t="str">
        <f t="shared" si="58"/>
        <v/>
      </c>
      <c r="I1492" s="74" t="str">
        <f t="shared" si="59"/>
        <v/>
      </c>
      <c r="J1492" s="32"/>
    </row>
    <row r="1493" spans="2:10" ht="15">
      <c r="B1493" s="31"/>
      <c r="C1493" s="30"/>
      <c r="D1493" s="119"/>
      <c r="E1493" s="32"/>
      <c r="G1493" s="31">
        <v>1451</v>
      </c>
      <c r="H1493" s="30" t="str">
        <f t="shared" si="58"/>
        <v/>
      </c>
      <c r="I1493" s="74" t="str">
        <f t="shared" si="59"/>
        <v/>
      </c>
      <c r="J1493" s="32"/>
    </row>
    <row r="1494" spans="2:10" ht="15">
      <c r="B1494" s="31"/>
      <c r="C1494" s="30"/>
      <c r="D1494" s="119"/>
      <c r="E1494" s="32"/>
      <c r="G1494" s="31">
        <v>1452</v>
      </c>
      <c r="H1494" s="30" t="str">
        <f t="shared" si="58"/>
        <v/>
      </c>
      <c r="I1494" s="74" t="str">
        <f t="shared" si="59"/>
        <v/>
      </c>
      <c r="J1494" s="32"/>
    </row>
    <row r="1495" spans="2:10" ht="15">
      <c r="B1495" s="31"/>
      <c r="C1495" s="30"/>
      <c r="D1495" s="119"/>
      <c r="E1495" s="32"/>
      <c r="G1495" s="31">
        <v>1453</v>
      </c>
      <c r="H1495" s="30" t="str">
        <f t="shared" si="58"/>
        <v/>
      </c>
      <c r="I1495" s="74" t="str">
        <f t="shared" si="59"/>
        <v/>
      </c>
      <c r="J1495" s="32"/>
    </row>
    <row r="1496" spans="2:10" ht="15">
      <c r="B1496" s="31"/>
      <c r="C1496" s="30"/>
      <c r="D1496" s="119"/>
      <c r="E1496" s="32"/>
      <c r="G1496" s="31">
        <v>1454</v>
      </c>
      <c r="H1496" s="30" t="str">
        <f t="shared" si="58"/>
        <v/>
      </c>
      <c r="I1496" s="74" t="str">
        <f t="shared" si="59"/>
        <v/>
      </c>
      <c r="J1496" s="32"/>
    </row>
    <row r="1497" spans="2:10" ht="15">
      <c r="B1497" s="31"/>
      <c r="C1497" s="30"/>
      <c r="D1497" s="119"/>
      <c r="E1497" s="32"/>
      <c r="G1497" s="31">
        <v>1455</v>
      </c>
      <c r="H1497" s="30" t="str">
        <f t="shared" si="58"/>
        <v/>
      </c>
      <c r="I1497" s="74" t="str">
        <f t="shared" si="59"/>
        <v/>
      </c>
      <c r="J1497" s="32"/>
    </row>
    <row r="1498" spans="2:10" ht="15">
      <c r="B1498" s="31"/>
      <c r="C1498" s="30"/>
      <c r="D1498" s="119"/>
      <c r="E1498" s="32"/>
      <c r="G1498" s="31">
        <v>1456</v>
      </c>
      <c r="H1498" s="30" t="str">
        <f t="shared" si="58"/>
        <v/>
      </c>
      <c r="I1498" s="74" t="str">
        <f t="shared" si="59"/>
        <v/>
      </c>
      <c r="J1498" s="32"/>
    </row>
    <row r="1499" spans="2:10" ht="15">
      <c r="B1499" s="31"/>
      <c r="C1499" s="30"/>
      <c r="D1499" s="119"/>
      <c r="E1499" s="32"/>
      <c r="G1499" s="31">
        <v>1457</v>
      </c>
      <c r="H1499" s="30" t="str">
        <f t="shared" si="58"/>
        <v/>
      </c>
      <c r="I1499" s="74" t="str">
        <f t="shared" si="59"/>
        <v/>
      </c>
      <c r="J1499" s="32"/>
    </row>
    <row r="1500" spans="2:10" ht="15">
      <c r="B1500" s="31"/>
      <c r="C1500" s="30"/>
      <c r="D1500" s="119"/>
      <c r="E1500" s="32"/>
      <c r="G1500" s="31">
        <v>1458</v>
      </c>
      <c r="H1500" s="30" t="str">
        <f t="shared" si="58"/>
        <v/>
      </c>
      <c r="I1500" s="74" t="str">
        <f t="shared" si="59"/>
        <v/>
      </c>
      <c r="J1500" s="32"/>
    </row>
    <row r="1501" spans="2:10" ht="15">
      <c r="B1501" s="31"/>
      <c r="C1501" s="30"/>
      <c r="D1501" s="119"/>
      <c r="E1501" s="32"/>
      <c r="G1501" s="31">
        <v>1459</v>
      </c>
      <c r="H1501" s="30" t="str">
        <f t="shared" si="58"/>
        <v/>
      </c>
      <c r="I1501" s="74" t="str">
        <f t="shared" si="59"/>
        <v/>
      </c>
      <c r="J1501" s="32"/>
    </row>
    <row r="1502" spans="2:10" ht="15">
      <c r="B1502" s="31"/>
      <c r="C1502" s="30"/>
      <c r="D1502" s="119"/>
      <c r="E1502" s="32"/>
      <c r="G1502" s="31">
        <v>1460</v>
      </c>
      <c r="H1502" s="30" t="str">
        <f t="shared" si="58"/>
        <v/>
      </c>
      <c r="I1502" s="74" t="str">
        <f t="shared" si="59"/>
        <v/>
      </c>
      <c r="J1502" s="32"/>
    </row>
    <row r="1503" spans="2:10" ht="15">
      <c r="B1503" s="31"/>
      <c r="C1503" s="30"/>
      <c r="D1503" s="119"/>
      <c r="E1503" s="32"/>
      <c r="G1503" s="31">
        <v>1461</v>
      </c>
      <c r="H1503" s="30" t="str">
        <f t="shared" si="58"/>
        <v/>
      </c>
      <c r="I1503" s="74" t="str">
        <f t="shared" si="59"/>
        <v/>
      </c>
      <c r="J1503" s="32"/>
    </row>
    <row r="1504" spans="2:10" ht="15">
      <c r="B1504" s="31"/>
      <c r="C1504" s="30"/>
      <c r="D1504" s="119"/>
      <c r="E1504" s="32"/>
      <c r="G1504" s="31">
        <v>1462</v>
      </c>
      <c r="H1504" s="30" t="str">
        <f t="shared" si="58"/>
        <v/>
      </c>
      <c r="I1504" s="74" t="str">
        <f t="shared" si="59"/>
        <v/>
      </c>
      <c r="J1504" s="32"/>
    </row>
    <row r="1505" spans="2:10" ht="15">
      <c r="B1505" s="31"/>
      <c r="C1505" s="30"/>
      <c r="D1505" s="119"/>
      <c r="E1505" s="32"/>
      <c r="G1505" s="31">
        <v>1463</v>
      </c>
      <c r="H1505" s="30" t="str">
        <f t="shared" si="58"/>
        <v/>
      </c>
      <c r="I1505" s="74" t="str">
        <f t="shared" si="59"/>
        <v/>
      </c>
      <c r="J1505" s="32"/>
    </row>
    <row r="1506" spans="2:10" ht="15">
      <c r="B1506" s="31"/>
      <c r="C1506" s="30"/>
      <c r="D1506" s="119"/>
      <c r="E1506" s="32"/>
      <c r="G1506" s="31">
        <v>1464</v>
      </c>
      <c r="H1506" s="30" t="str">
        <f t="shared" si="58"/>
        <v/>
      </c>
      <c r="I1506" s="74" t="str">
        <f t="shared" si="59"/>
        <v/>
      </c>
      <c r="J1506" s="32"/>
    </row>
    <row r="1507" spans="2:10" ht="15">
      <c r="B1507" s="31"/>
      <c r="C1507" s="30"/>
      <c r="D1507" s="119"/>
      <c r="E1507" s="32"/>
      <c r="G1507" s="31">
        <v>1465</v>
      </c>
      <c r="H1507" s="30" t="str">
        <f t="shared" si="58"/>
        <v/>
      </c>
      <c r="I1507" s="74" t="str">
        <f t="shared" si="59"/>
        <v/>
      </c>
      <c r="J1507" s="32"/>
    </row>
    <row r="1508" spans="2:10" ht="15">
      <c r="B1508" s="31"/>
      <c r="C1508" s="30"/>
      <c r="D1508" s="119"/>
      <c r="E1508" s="32"/>
      <c r="G1508" s="31">
        <v>1466</v>
      </c>
      <c r="H1508" s="30" t="str">
        <f t="shared" si="58"/>
        <v/>
      </c>
      <c r="I1508" s="74" t="str">
        <f t="shared" si="59"/>
        <v/>
      </c>
      <c r="J1508" s="32"/>
    </row>
    <row r="1509" spans="2:10" ht="15">
      <c r="B1509" s="31"/>
      <c r="C1509" s="30"/>
      <c r="D1509" s="119"/>
      <c r="E1509" s="32"/>
      <c r="G1509" s="31">
        <v>1467</v>
      </c>
      <c r="H1509" s="30" t="str">
        <f t="shared" si="58"/>
        <v/>
      </c>
      <c r="I1509" s="74" t="str">
        <f t="shared" si="59"/>
        <v/>
      </c>
      <c r="J1509" s="32"/>
    </row>
    <row r="1510" spans="2:10" ht="15">
      <c r="B1510" s="31"/>
      <c r="C1510" s="30"/>
      <c r="D1510" s="119"/>
      <c r="E1510" s="32"/>
      <c r="G1510" s="31">
        <v>1468</v>
      </c>
      <c r="H1510" s="30" t="str">
        <f t="shared" si="58"/>
        <v/>
      </c>
      <c r="I1510" s="74" t="str">
        <f t="shared" si="59"/>
        <v/>
      </c>
      <c r="J1510" s="32"/>
    </row>
    <row r="1511" spans="2:10" ht="15">
      <c r="B1511" s="31"/>
      <c r="C1511" s="30"/>
      <c r="D1511" s="119"/>
      <c r="E1511" s="32"/>
      <c r="G1511" s="31">
        <v>1469</v>
      </c>
      <c r="H1511" s="30" t="str">
        <f t="shared" si="58"/>
        <v/>
      </c>
      <c r="I1511" s="74" t="str">
        <f t="shared" si="59"/>
        <v/>
      </c>
      <c r="J1511" s="32"/>
    </row>
    <row r="1512" spans="2:10" ht="15">
      <c r="B1512" s="31"/>
      <c r="C1512" s="30"/>
      <c r="D1512" s="119"/>
      <c r="E1512" s="32"/>
      <c r="G1512" s="31">
        <v>1470</v>
      </c>
      <c r="H1512" s="30" t="str">
        <f t="shared" si="58"/>
        <v/>
      </c>
      <c r="I1512" s="74" t="str">
        <f t="shared" si="59"/>
        <v/>
      </c>
      <c r="J1512" s="32"/>
    </row>
    <row r="1513" spans="2:10" ht="15">
      <c r="B1513" s="31"/>
      <c r="C1513" s="30"/>
      <c r="D1513" s="119"/>
      <c r="E1513" s="32"/>
      <c r="G1513" s="31">
        <v>1471</v>
      </c>
      <c r="H1513" s="30" t="str">
        <f t="shared" si="58"/>
        <v/>
      </c>
      <c r="I1513" s="74" t="str">
        <f t="shared" si="59"/>
        <v/>
      </c>
      <c r="J1513" s="32"/>
    </row>
    <row r="1514" spans="2:10" ht="15">
      <c r="B1514" s="31"/>
      <c r="C1514" s="30"/>
      <c r="D1514" s="119"/>
      <c r="E1514" s="32"/>
      <c r="G1514" s="31">
        <v>1472</v>
      </c>
      <c r="H1514" s="30" t="str">
        <f t="shared" si="58"/>
        <v/>
      </c>
      <c r="I1514" s="74" t="str">
        <f t="shared" si="59"/>
        <v/>
      </c>
      <c r="J1514" s="32"/>
    </row>
    <row r="1515" spans="2:10" ht="15">
      <c r="B1515" s="31"/>
      <c r="C1515" s="30"/>
      <c r="D1515" s="119"/>
      <c r="E1515" s="32"/>
      <c r="G1515" s="31">
        <v>1473</v>
      </c>
      <c r="H1515" s="30" t="str">
        <f t="shared" si="58"/>
        <v/>
      </c>
      <c r="I1515" s="74" t="str">
        <f t="shared" si="59"/>
        <v/>
      </c>
      <c r="J1515" s="32"/>
    </row>
    <row r="1516" spans="2:10" ht="15">
      <c r="B1516" s="31"/>
      <c r="C1516" s="30"/>
      <c r="D1516" s="119"/>
      <c r="E1516" s="32"/>
      <c r="G1516" s="31">
        <v>1474</v>
      </c>
      <c r="H1516" s="30" t="str">
        <f t="shared" ref="H1516:H1579" si="60">MID($I$41,G1516*8-7,8)</f>
        <v/>
      </c>
      <c r="I1516" s="74" t="str">
        <f t="shared" ref="I1516:I1579" si="61">IFERROR(BIN2DEC(VALUE(H1516)),"")</f>
        <v/>
      </c>
      <c r="J1516" s="32"/>
    </row>
    <row r="1517" spans="2:10" ht="15">
      <c r="B1517" s="31"/>
      <c r="C1517" s="30"/>
      <c r="D1517" s="119"/>
      <c r="E1517" s="32"/>
      <c r="G1517" s="31">
        <v>1475</v>
      </c>
      <c r="H1517" s="30" t="str">
        <f t="shared" si="60"/>
        <v/>
      </c>
      <c r="I1517" s="74" t="str">
        <f t="shared" si="61"/>
        <v/>
      </c>
      <c r="J1517" s="32"/>
    </row>
    <row r="1518" spans="2:10" ht="15">
      <c r="B1518" s="31"/>
      <c r="C1518" s="30"/>
      <c r="D1518" s="119"/>
      <c r="E1518" s="32"/>
      <c r="G1518" s="31">
        <v>1476</v>
      </c>
      <c r="H1518" s="30" t="str">
        <f t="shared" si="60"/>
        <v/>
      </c>
      <c r="I1518" s="74" t="str">
        <f t="shared" si="61"/>
        <v/>
      </c>
      <c r="J1518" s="32"/>
    </row>
    <row r="1519" spans="2:10" ht="15">
      <c r="B1519" s="31"/>
      <c r="C1519" s="30"/>
      <c r="D1519" s="119"/>
      <c r="E1519" s="32"/>
      <c r="G1519" s="31">
        <v>1477</v>
      </c>
      <c r="H1519" s="30" t="str">
        <f t="shared" si="60"/>
        <v/>
      </c>
      <c r="I1519" s="74" t="str">
        <f t="shared" si="61"/>
        <v/>
      </c>
      <c r="J1519" s="32"/>
    </row>
    <row r="1520" spans="2:10" ht="15">
      <c r="B1520" s="31"/>
      <c r="C1520" s="30"/>
      <c r="D1520" s="119"/>
      <c r="E1520" s="32"/>
      <c r="G1520" s="31">
        <v>1478</v>
      </c>
      <c r="H1520" s="30" t="str">
        <f t="shared" si="60"/>
        <v/>
      </c>
      <c r="I1520" s="74" t="str">
        <f t="shared" si="61"/>
        <v/>
      </c>
      <c r="J1520" s="32"/>
    </row>
    <row r="1521" spans="2:10" ht="15">
      <c r="B1521" s="31"/>
      <c r="C1521" s="30"/>
      <c r="D1521" s="119"/>
      <c r="E1521" s="32"/>
      <c r="G1521" s="31">
        <v>1479</v>
      </c>
      <c r="H1521" s="30" t="str">
        <f t="shared" si="60"/>
        <v/>
      </c>
      <c r="I1521" s="74" t="str">
        <f t="shared" si="61"/>
        <v/>
      </c>
      <c r="J1521" s="32"/>
    </row>
    <row r="1522" spans="2:10" ht="15">
      <c r="B1522" s="31"/>
      <c r="C1522" s="30"/>
      <c r="D1522" s="119"/>
      <c r="E1522" s="32"/>
      <c r="G1522" s="31">
        <v>1480</v>
      </c>
      <c r="H1522" s="30" t="str">
        <f t="shared" si="60"/>
        <v/>
      </c>
      <c r="I1522" s="74" t="str">
        <f t="shared" si="61"/>
        <v/>
      </c>
      <c r="J1522" s="32"/>
    </row>
    <row r="1523" spans="2:10" ht="15">
      <c r="B1523" s="31"/>
      <c r="C1523" s="30"/>
      <c r="D1523" s="119"/>
      <c r="E1523" s="32"/>
      <c r="G1523" s="31">
        <v>1481</v>
      </c>
      <c r="H1523" s="30" t="str">
        <f t="shared" si="60"/>
        <v/>
      </c>
      <c r="I1523" s="74" t="str">
        <f t="shared" si="61"/>
        <v/>
      </c>
      <c r="J1523" s="32"/>
    </row>
    <row r="1524" spans="2:10" ht="15">
      <c r="B1524" s="31"/>
      <c r="C1524" s="30"/>
      <c r="D1524" s="119"/>
      <c r="E1524" s="32"/>
      <c r="G1524" s="31">
        <v>1482</v>
      </c>
      <c r="H1524" s="30" t="str">
        <f t="shared" si="60"/>
        <v/>
      </c>
      <c r="I1524" s="74" t="str">
        <f t="shared" si="61"/>
        <v/>
      </c>
      <c r="J1524" s="32"/>
    </row>
    <row r="1525" spans="2:10" ht="15">
      <c r="B1525" s="31"/>
      <c r="C1525" s="30"/>
      <c r="D1525" s="119"/>
      <c r="E1525" s="32"/>
      <c r="G1525" s="31">
        <v>1483</v>
      </c>
      <c r="H1525" s="30" t="str">
        <f t="shared" si="60"/>
        <v/>
      </c>
      <c r="I1525" s="74" t="str">
        <f t="shared" si="61"/>
        <v/>
      </c>
      <c r="J1525" s="32"/>
    </row>
    <row r="1526" spans="2:10" ht="15">
      <c r="B1526" s="31"/>
      <c r="C1526" s="30"/>
      <c r="D1526" s="119"/>
      <c r="E1526" s="32"/>
      <c r="G1526" s="31">
        <v>1484</v>
      </c>
      <c r="H1526" s="30" t="str">
        <f t="shared" si="60"/>
        <v/>
      </c>
      <c r="I1526" s="74" t="str">
        <f t="shared" si="61"/>
        <v/>
      </c>
      <c r="J1526" s="32"/>
    </row>
    <row r="1527" spans="2:10" ht="15">
      <c r="B1527" s="31"/>
      <c r="C1527" s="30"/>
      <c r="D1527" s="119"/>
      <c r="E1527" s="32"/>
      <c r="G1527" s="31">
        <v>1485</v>
      </c>
      <c r="H1527" s="30" t="str">
        <f t="shared" si="60"/>
        <v/>
      </c>
      <c r="I1527" s="74" t="str">
        <f t="shared" si="61"/>
        <v/>
      </c>
      <c r="J1527" s="32"/>
    </row>
    <row r="1528" spans="2:10" ht="15">
      <c r="B1528" s="31"/>
      <c r="C1528" s="30"/>
      <c r="D1528" s="119"/>
      <c r="E1528" s="32"/>
      <c r="G1528" s="31">
        <v>1486</v>
      </c>
      <c r="H1528" s="30" t="str">
        <f t="shared" si="60"/>
        <v/>
      </c>
      <c r="I1528" s="74" t="str">
        <f t="shared" si="61"/>
        <v/>
      </c>
      <c r="J1528" s="32"/>
    </row>
    <row r="1529" spans="2:10" ht="15">
      <c r="B1529" s="31"/>
      <c r="C1529" s="30"/>
      <c r="D1529" s="119"/>
      <c r="E1529" s="32"/>
      <c r="G1529" s="31">
        <v>1487</v>
      </c>
      <c r="H1529" s="30" t="str">
        <f t="shared" si="60"/>
        <v/>
      </c>
      <c r="I1529" s="74" t="str">
        <f t="shared" si="61"/>
        <v/>
      </c>
      <c r="J1529" s="32"/>
    </row>
    <row r="1530" spans="2:10" ht="15">
      <c r="B1530" s="31"/>
      <c r="C1530" s="30"/>
      <c r="D1530" s="119"/>
      <c r="E1530" s="32"/>
      <c r="G1530" s="31">
        <v>1488</v>
      </c>
      <c r="H1530" s="30" t="str">
        <f t="shared" si="60"/>
        <v/>
      </c>
      <c r="I1530" s="74" t="str">
        <f t="shared" si="61"/>
        <v/>
      </c>
      <c r="J1530" s="32"/>
    </row>
    <row r="1531" spans="2:10" ht="15">
      <c r="B1531" s="31"/>
      <c r="C1531" s="30"/>
      <c r="D1531" s="119"/>
      <c r="E1531" s="32"/>
      <c r="G1531" s="31">
        <v>1489</v>
      </c>
      <c r="H1531" s="30" t="str">
        <f t="shared" si="60"/>
        <v/>
      </c>
      <c r="I1531" s="74" t="str">
        <f t="shared" si="61"/>
        <v/>
      </c>
      <c r="J1531" s="32"/>
    </row>
    <row r="1532" spans="2:10" ht="15">
      <c r="B1532" s="31"/>
      <c r="C1532" s="30"/>
      <c r="D1532" s="119"/>
      <c r="E1532" s="32"/>
      <c r="G1532" s="31">
        <v>1490</v>
      </c>
      <c r="H1532" s="30" t="str">
        <f t="shared" si="60"/>
        <v/>
      </c>
      <c r="I1532" s="74" t="str">
        <f t="shared" si="61"/>
        <v/>
      </c>
      <c r="J1532" s="32"/>
    </row>
    <row r="1533" spans="2:10" ht="15">
      <c r="B1533" s="31"/>
      <c r="C1533" s="30"/>
      <c r="D1533" s="119"/>
      <c r="E1533" s="32"/>
      <c r="G1533" s="31">
        <v>1491</v>
      </c>
      <c r="H1533" s="30" t="str">
        <f t="shared" si="60"/>
        <v/>
      </c>
      <c r="I1533" s="74" t="str">
        <f t="shared" si="61"/>
        <v/>
      </c>
      <c r="J1533" s="32"/>
    </row>
    <row r="1534" spans="2:10" ht="15">
      <c r="B1534" s="31"/>
      <c r="C1534" s="30"/>
      <c r="D1534" s="119"/>
      <c r="E1534" s="32"/>
      <c r="G1534" s="31">
        <v>1492</v>
      </c>
      <c r="H1534" s="30" t="str">
        <f t="shared" si="60"/>
        <v/>
      </c>
      <c r="I1534" s="74" t="str">
        <f t="shared" si="61"/>
        <v/>
      </c>
      <c r="J1534" s="32"/>
    </row>
    <row r="1535" spans="2:10" ht="15">
      <c r="B1535" s="31"/>
      <c r="C1535" s="30"/>
      <c r="D1535" s="119"/>
      <c r="E1535" s="32"/>
      <c r="G1535" s="31">
        <v>1493</v>
      </c>
      <c r="H1535" s="30" t="str">
        <f t="shared" si="60"/>
        <v/>
      </c>
      <c r="I1535" s="74" t="str">
        <f t="shared" si="61"/>
        <v/>
      </c>
      <c r="J1535" s="32"/>
    </row>
    <row r="1536" spans="2:10" ht="15">
      <c r="B1536" s="31"/>
      <c r="C1536" s="30"/>
      <c r="D1536" s="119"/>
      <c r="E1536" s="32"/>
      <c r="G1536" s="31">
        <v>1494</v>
      </c>
      <c r="H1536" s="30" t="str">
        <f t="shared" si="60"/>
        <v/>
      </c>
      <c r="I1536" s="74" t="str">
        <f t="shared" si="61"/>
        <v/>
      </c>
      <c r="J1536" s="32"/>
    </row>
    <row r="1537" spans="2:10" ht="15">
      <c r="B1537" s="31"/>
      <c r="C1537" s="30"/>
      <c r="D1537" s="119"/>
      <c r="E1537" s="32"/>
      <c r="G1537" s="31">
        <v>1495</v>
      </c>
      <c r="H1537" s="30" t="str">
        <f t="shared" si="60"/>
        <v/>
      </c>
      <c r="I1537" s="74" t="str">
        <f t="shared" si="61"/>
        <v/>
      </c>
      <c r="J1537" s="32"/>
    </row>
    <row r="1538" spans="2:10" ht="15">
      <c r="B1538" s="31"/>
      <c r="C1538" s="30"/>
      <c r="D1538" s="119"/>
      <c r="E1538" s="32"/>
      <c r="G1538" s="31">
        <v>1496</v>
      </c>
      <c r="H1538" s="30" t="str">
        <f t="shared" si="60"/>
        <v/>
      </c>
      <c r="I1538" s="74" t="str">
        <f t="shared" si="61"/>
        <v/>
      </c>
      <c r="J1538" s="32"/>
    </row>
    <row r="1539" spans="2:10" ht="15">
      <c r="B1539" s="31"/>
      <c r="C1539" s="30"/>
      <c r="D1539" s="119"/>
      <c r="E1539" s="32"/>
      <c r="G1539" s="31">
        <v>1497</v>
      </c>
      <c r="H1539" s="30" t="str">
        <f t="shared" si="60"/>
        <v/>
      </c>
      <c r="I1539" s="74" t="str">
        <f t="shared" si="61"/>
        <v/>
      </c>
      <c r="J1539" s="32"/>
    </row>
    <row r="1540" spans="2:10" ht="15">
      <c r="B1540" s="31"/>
      <c r="C1540" s="30"/>
      <c r="D1540" s="119"/>
      <c r="E1540" s="32"/>
      <c r="G1540" s="31">
        <v>1498</v>
      </c>
      <c r="H1540" s="30" t="str">
        <f t="shared" si="60"/>
        <v/>
      </c>
      <c r="I1540" s="74" t="str">
        <f t="shared" si="61"/>
        <v/>
      </c>
      <c r="J1540" s="32"/>
    </row>
    <row r="1541" spans="2:10" ht="15">
      <c r="B1541" s="31"/>
      <c r="C1541" s="30"/>
      <c r="D1541" s="119"/>
      <c r="E1541" s="32"/>
      <c r="G1541" s="31">
        <v>1499</v>
      </c>
      <c r="H1541" s="30" t="str">
        <f t="shared" si="60"/>
        <v/>
      </c>
      <c r="I1541" s="74" t="str">
        <f t="shared" si="61"/>
        <v/>
      </c>
      <c r="J1541" s="32"/>
    </row>
    <row r="1542" spans="2:10" ht="15">
      <c r="B1542" s="31"/>
      <c r="C1542" s="30"/>
      <c r="D1542" s="119"/>
      <c r="E1542" s="32"/>
      <c r="G1542" s="31">
        <v>1500</v>
      </c>
      <c r="H1542" s="30" t="str">
        <f t="shared" si="60"/>
        <v/>
      </c>
      <c r="I1542" s="74" t="str">
        <f t="shared" si="61"/>
        <v/>
      </c>
      <c r="J1542" s="32"/>
    </row>
    <row r="1543" spans="2:10" ht="15">
      <c r="B1543" s="31"/>
      <c r="C1543" s="30"/>
      <c r="D1543" s="119"/>
      <c r="E1543" s="32"/>
      <c r="G1543" s="31">
        <v>1501</v>
      </c>
      <c r="H1543" s="30" t="str">
        <f t="shared" si="60"/>
        <v/>
      </c>
      <c r="I1543" s="74" t="str">
        <f t="shared" si="61"/>
        <v/>
      </c>
      <c r="J1543" s="32"/>
    </row>
    <row r="1544" spans="2:10" ht="15">
      <c r="B1544" s="31"/>
      <c r="C1544" s="30"/>
      <c r="D1544" s="119"/>
      <c r="E1544" s="32"/>
      <c r="G1544" s="31">
        <v>1502</v>
      </c>
      <c r="H1544" s="30" t="str">
        <f t="shared" si="60"/>
        <v/>
      </c>
      <c r="I1544" s="74" t="str">
        <f t="shared" si="61"/>
        <v/>
      </c>
      <c r="J1544" s="32"/>
    </row>
    <row r="1545" spans="2:10" ht="15">
      <c r="B1545" s="31"/>
      <c r="C1545" s="30"/>
      <c r="D1545" s="119"/>
      <c r="E1545" s="32"/>
      <c r="G1545" s="31">
        <v>1503</v>
      </c>
      <c r="H1545" s="30" t="str">
        <f t="shared" si="60"/>
        <v/>
      </c>
      <c r="I1545" s="74" t="str">
        <f t="shared" si="61"/>
        <v/>
      </c>
      <c r="J1545" s="32"/>
    </row>
    <row r="1546" spans="2:10" ht="15">
      <c r="B1546" s="31"/>
      <c r="C1546" s="30"/>
      <c r="D1546" s="119"/>
      <c r="E1546" s="32"/>
      <c r="G1546" s="31">
        <v>1504</v>
      </c>
      <c r="H1546" s="30" t="str">
        <f t="shared" si="60"/>
        <v/>
      </c>
      <c r="I1546" s="74" t="str">
        <f t="shared" si="61"/>
        <v/>
      </c>
      <c r="J1546" s="32"/>
    </row>
    <row r="1547" spans="2:10" ht="15">
      <c r="B1547" s="31"/>
      <c r="C1547" s="30"/>
      <c r="D1547" s="119"/>
      <c r="E1547" s="32"/>
      <c r="G1547" s="31">
        <v>1505</v>
      </c>
      <c r="H1547" s="30" t="str">
        <f t="shared" si="60"/>
        <v/>
      </c>
      <c r="I1547" s="74" t="str">
        <f t="shared" si="61"/>
        <v/>
      </c>
      <c r="J1547" s="32"/>
    </row>
    <row r="1548" spans="2:10" ht="15">
      <c r="B1548" s="31"/>
      <c r="C1548" s="30"/>
      <c r="D1548" s="119"/>
      <c r="E1548" s="32"/>
      <c r="G1548" s="31">
        <v>1506</v>
      </c>
      <c r="H1548" s="30" t="str">
        <f t="shared" si="60"/>
        <v/>
      </c>
      <c r="I1548" s="74" t="str">
        <f t="shared" si="61"/>
        <v/>
      </c>
      <c r="J1548" s="32"/>
    </row>
    <row r="1549" spans="2:10" ht="15">
      <c r="B1549" s="31"/>
      <c r="C1549" s="30"/>
      <c r="D1549" s="119"/>
      <c r="E1549" s="32"/>
      <c r="G1549" s="31">
        <v>1507</v>
      </c>
      <c r="H1549" s="30" t="str">
        <f t="shared" si="60"/>
        <v/>
      </c>
      <c r="I1549" s="74" t="str">
        <f t="shared" si="61"/>
        <v/>
      </c>
      <c r="J1549" s="32"/>
    </row>
    <row r="1550" spans="2:10" ht="15">
      <c r="B1550" s="31"/>
      <c r="C1550" s="30"/>
      <c r="D1550" s="119"/>
      <c r="E1550" s="32"/>
      <c r="G1550" s="31">
        <v>1508</v>
      </c>
      <c r="H1550" s="30" t="str">
        <f t="shared" si="60"/>
        <v/>
      </c>
      <c r="I1550" s="74" t="str">
        <f t="shared" si="61"/>
        <v/>
      </c>
      <c r="J1550" s="32"/>
    </row>
    <row r="1551" spans="2:10" ht="15">
      <c r="B1551" s="31"/>
      <c r="C1551" s="30"/>
      <c r="D1551" s="119"/>
      <c r="E1551" s="32"/>
      <c r="G1551" s="31">
        <v>1509</v>
      </c>
      <c r="H1551" s="30" t="str">
        <f t="shared" si="60"/>
        <v/>
      </c>
      <c r="I1551" s="74" t="str">
        <f t="shared" si="61"/>
        <v/>
      </c>
      <c r="J1551" s="32"/>
    </row>
    <row r="1552" spans="2:10" ht="15">
      <c r="B1552" s="31"/>
      <c r="C1552" s="30"/>
      <c r="D1552" s="119"/>
      <c r="E1552" s="32"/>
      <c r="G1552" s="31">
        <v>1510</v>
      </c>
      <c r="H1552" s="30" t="str">
        <f t="shared" si="60"/>
        <v/>
      </c>
      <c r="I1552" s="74" t="str">
        <f t="shared" si="61"/>
        <v/>
      </c>
      <c r="J1552" s="32"/>
    </row>
    <row r="1553" spans="2:10" ht="15">
      <c r="B1553" s="31"/>
      <c r="C1553" s="30"/>
      <c r="D1553" s="119"/>
      <c r="E1553" s="32"/>
      <c r="G1553" s="31">
        <v>1511</v>
      </c>
      <c r="H1553" s="30" t="str">
        <f t="shared" si="60"/>
        <v/>
      </c>
      <c r="I1553" s="74" t="str">
        <f t="shared" si="61"/>
        <v/>
      </c>
      <c r="J1553" s="32"/>
    </row>
    <row r="1554" spans="2:10" ht="15">
      <c r="B1554" s="31"/>
      <c r="C1554" s="30"/>
      <c r="D1554" s="119"/>
      <c r="E1554" s="32"/>
      <c r="G1554" s="31">
        <v>1512</v>
      </c>
      <c r="H1554" s="30" t="str">
        <f t="shared" si="60"/>
        <v/>
      </c>
      <c r="I1554" s="74" t="str">
        <f t="shared" si="61"/>
        <v/>
      </c>
      <c r="J1554" s="32"/>
    </row>
    <row r="1555" spans="2:10" ht="15">
      <c r="B1555" s="31"/>
      <c r="C1555" s="30"/>
      <c r="D1555" s="119"/>
      <c r="E1555" s="32"/>
      <c r="G1555" s="31">
        <v>1513</v>
      </c>
      <c r="H1555" s="30" t="str">
        <f t="shared" si="60"/>
        <v/>
      </c>
      <c r="I1555" s="74" t="str">
        <f t="shared" si="61"/>
        <v/>
      </c>
      <c r="J1555" s="32"/>
    </row>
    <row r="1556" spans="2:10" ht="15">
      <c r="B1556" s="31"/>
      <c r="C1556" s="30"/>
      <c r="D1556" s="119"/>
      <c r="E1556" s="32"/>
      <c r="G1556" s="31">
        <v>1514</v>
      </c>
      <c r="H1556" s="30" t="str">
        <f t="shared" si="60"/>
        <v/>
      </c>
      <c r="I1556" s="74" t="str">
        <f t="shared" si="61"/>
        <v/>
      </c>
      <c r="J1556" s="32"/>
    </row>
    <row r="1557" spans="2:10" ht="15">
      <c r="B1557" s="31"/>
      <c r="C1557" s="30"/>
      <c r="D1557" s="119"/>
      <c r="E1557" s="32"/>
      <c r="G1557" s="31">
        <v>1515</v>
      </c>
      <c r="H1557" s="30" t="str">
        <f t="shared" si="60"/>
        <v/>
      </c>
      <c r="I1557" s="74" t="str">
        <f t="shared" si="61"/>
        <v/>
      </c>
      <c r="J1557" s="32"/>
    </row>
    <row r="1558" spans="2:10" ht="15">
      <c r="B1558" s="31"/>
      <c r="C1558" s="30"/>
      <c r="D1558" s="119"/>
      <c r="E1558" s="32"/>
      <c r="G1558" s="31">
        <v>1516</v>
      </c>
      <c r="H1558" s="30" t="str">
        <f t="shared" si="60"/>
        <v/>
      </c>
      <c r="I1558" s="74" t="str">
        <f t="shared" si="61"/>
        <v/>
      </c>
      <c r="J1558" s="32"/>
    </row>
    <row r="1559" spans="2:10" ht="15">
      <c r="B1559" s="31"/>
      <c r="C1559" s="30"/>
      <c r="D1559" s="119"/>
      <c r="E1559" s="32"/>
      <c r="G1559" s="31">
        <v>1517</v>
      </c>
      <c r="H1559" s="30" t="str">
        <f t="shared" si="60"/>
        <v/>
      </c>
      <c r="I1559" s="74" t="str">
        <f t="shared" si="61"/>
        <v/>
      </c>
      <c r="J1559" s="32"/>
    </row>
    <row r="1560" spans="2:10" ht="15">
      <c r="B1560" s="31"/>
      <c r="C1560" s="30"/>
      <c r="D1560" s="119"/>
      <c r="E1560" s="32"/>
      <c r="G1560" s="31">
        <v>1518</v>
      </c>
      <c r="H1560" s="30" t="str">
        <f t="shared" si="60"/>
        <v/>
      </c>
      <c r="I1560" s="74" t="str">
        <f t="shared" si="61"/>
        <v/>
      </c>
      <c r="J1560" s="32"/>
    </row>
    <row r="1561" spans="2:10" ht="15">
      <c r="B1561" s="31"/>
      <c r="C1561" s="30"/>
      <c r="D1561" s="119"/>
      <c r="E1561" s="32"/>
      <c r="G1561" s="31">
        <v>1519</v>
      </c>
      <c r="H1561" s="30" t="str">
        <f t="shared" si="60"/>
        <v/>
      </c>
      <c r="I1561" s="74" t="str">
        <f t="shared" si="61"/>
        <v/>
      </c>
      <c r="J1561" s="32"/>
    </row>
    <row r="1562" spans="2:10" ht="15">
      <c r="B1562" s="31"/>
      <c r="C1562" s="30"/>
      <c r="D1562" s="119"/>
      <c r="E1562" s="32"/>
      <c r="G1562" s="31">
        <v>1520</v>
      </c>
      <c r="H1562" s="30" t="str">
        <f t="shared" si="60"/>
        <v/>
      </c>
      <c r="I1562" s="74" t="str">
        <f t="shared" si="61"/>
        <v/>
      </c>
      <c r="J1562" s="32"/>
    </row>
    <row r="1563" spans="2:10" ht="15">
      <c r="B1563" s="31"/>
      <c r="C1563" s="30"/>
      <c r="D1563" s="119"/>
      <c r="E1563" s="32"/>
      <c r="G1563" s="31">
        <v>1521</v>
      </c>
      <c r="H1563" s="30" t="str">
        <f t="shared" si="60"/>
        <v/>
      </c>
      <c r="I1563" s="74" t="str">
        <f t="shared" si="61"/>
        <v/>
      </c>
      <c r="J1563" s="32"/>
    </row>
    <row r="1564" spans="2:10" ht="15">
      <c r="B1564" s="31"/>
      <c r="C1564" s="30"/>
      <c r="D1564" s="119"/>
      <c r="E1564" s="32"/>
      <c r="G1564" s="31">
        <v>1522</v>
      </c>
      <c r="H1564" s="30" t="str">
        <f t="shared" si="60"/>
        <v/>
      </c>
      <c r="I1564" s="74" t="str">
        <f t="shared" si="61"/>
        <v/>
      </c>
      <c r="J1564" s="32"/>
    </row>
    <row r="1565" spans="2:10" ht="15">
      <c r="B1565" s="31"/>
      <c r="C1565" s="30"/>
      <c r="D1565" s="119"/>
      <c r="E1565" s="32"/>
      <c r="G1565" s="31">
        <v>1523</v>
      </c>
      <c r="H1565" s="30" t="str">
        <f t="shared" si="60"/>
        <v/>
      </c>
      <c r="I1565" s="74" t="str">
        <f t="shared" si="61"/>
        <v/>
      </c>
      <c r="J1565" s="32"/>
    </row>
    <row r="1566" spans="2:10" ht="15">
      <c r="B1566" s="31"/>
      <c r="C1566" s="30"/>
      <c r="D1566" s="119"/>
      <c r="E1566" s="32"/>
      <c r="G1566" s="31">
        <v>1524</v>
      </c>
      <c r="H1566" s="30" t="str">
        <f t="shared" si="60"/>
        <v/>
      </c>
      <c r="I1566" s="74" t="str">
        <f t="shared" si="61"/>
        <v/>
      </c>
      <c r="J1566" s="32"/>
    </row>
    <row r="1567" spans="2:10" ht="15">
      <c r="B1567" s="31"/>
      <c r="C1567" s="30"/>
      <c r="D1567" s="119"/>
      <c r="E1567" s="32"/>
      <c r="G1567" s="31">
        <v>1525</v>
      </c>
      <c r="H1567" s="30" t="str">
        <f t="shared" si="60"/>
        <v/>
      </c>
      <c r="I1567" s="74" t="str">
        <f t="shared" si="61"/>
        <v/>
      </c>
      <c r="J1567" s="32"/>
    </row>
    <row r="1568" spans="2:10" ht="15">
      <c r="B1568" s="31"/>
      <c r="C1568" s="30"/>
      <c r="D1568" s="119"/>
      <c r="E1568" s="32"/>
      <c r="G1568" s="31">
        <v>1526</v>
      </c>
      <c r="H1568" s="30" t="str">
        <f t="shared" si="60"/>
        <v/>
      </c>
      <c r="I1568" s="74" t="str">
        <f t="shared" si="61"/>
        <v/>
      </c>
      <c r="J1568" s="32"/>
    </row>
    <row r="1569" spans="2:10" ht="15">
      <c r="B1569" s="31"/>
      <c r="C1569" s="30"/>
      <c r="D1569" s="119"/>
      <c r="E1569" s="32"/>
      <c r="G1569" s="31">
        <v>1527</v>
      </c>
      <c r="H1569" s="30" t="str">
        <f t="shared" si="60"/>
        <v/>
      </c>
      <c r="I1569" s="74" t="str">
        <f t="shared" si="61"/>
        <v/>
      </c>
      <c r="J1569" s="32"/>
    </row>
    <row r="1570" spans="2:10" ht="15">
      <c r="B1570" s="31"/>
      <c r="C1570" s="30"/>
      <c r="D1570" s="119"/>
      <c r="E1570" s="32"/>
      <c r="G1570" s="31">
        <v>1528</v>
      </c>
      <c r="H1570" s="30" t="str">
        <f t="shared" si="60"/>
        <v/>
      </c>
      <c r="I1570" s="74" t="str">
        <f t="shared" si="61"/>
        <v/>
      </c>
      <c r="J1570" s="32"/>
    </row>
    <row r="1571" spans="2:10" ht="15">
      <c r="B1571" s="31"/>
      <c r="C1571" s="30"/>
      <c r="D1571" s="119"/>
      <c r="E1571" s="32"/>
      <c r="G1571" s="31">
        <v>1529</v>
      </c>
      <c r="H1571" s="30" t="str">
        <f t="shared" si="60"/>
        <v/>
      </c>
      <c r="I1571" s="74" t="str">
        <f t="shared" si="61"/>
        <v/>
      </c>
      <c r="J1571" s="32"/>
    </row>
    <row r="1572" spans="2:10" ht="15">
      <c r="B1572" s="31"/>
      <c r="C1572" s="30"/>
      <c r="D1572" s="119"/>
      <c r="E1572" s="32"/>
      <c r="G1572" s="31">
        <v>1530</v>
      </c>
      <c r="H1572" s="30" t="str">
        <f t="shared" si="60"/>
        <v/>
      </c>
      <c r="I1572" s="74" t="str">
        <f t="shared" si="61"/>
        <v/>
      </c>
      <c r="J1572" s="32"/>
    </row>
    <row r="1573" spans="2:10" ht="15">
      <c r="B1573" s="31"/>
      <c r="C1573" s="30"/>
      <c r="D1573" s="119"/>
      <c r="E1573" s="32"/>
      <c r="G1573" s="31">
        <v>1531</v>
      </c>
      <c r="H1573" s="30" t="str">
        <f t="shared" si="60"/>
        <v/>
      </c>
      <c r="I1573" s="74" t="str">
        <f t="shared" si="61"/>
        <v/>
      </c>
      <c r="J1573" s="32"/>
    </row>
    <row r="1574" spans="2:10" ht="15">
      <c r="B1574" s="31"/>
      <c r="C1574" s="30"/>
      <c r="D1574" s="119"/>
      <c r="E1574" s="32"/>
      <c r="G1574" s="31">
        <v>1532</v>
      </c>
      <c r="H1574" s="30" t="str">
        <f t="shared" si="60"/>
        <v/>
      </c>
      <c r="I1574" s="74" t="str">
        <f t="shared" si="61"/>
        <v/>
      </c>
      <c r="J1574" s="32"/>
    </row>
    <row r="1575" spans="2:10" ht="15">
      <c r="B1575" s="31"/>
      <c r="C1575" s="30"/>
      <c r="D1575" s="119"/>
      <c r="E1575" s="32"/>
      <c r="G1575" s="31">
        <v>1533</v>
      </c>
      <c r="H1575" s="30" t="str">
        <f t="shared" si="60"/>
        <v/>
      </c>
      <c r="I1575" s="74" t="str">
        <f t="shared" si="61"/>
        <v/>
      </c>
      <c r="J1575" s="32"/>
    </row>
    <row r="1576" spans="2:10" ht="15">
      <c r="B1576" s="31"/>
      <c r="C1576" s="30"/>
      <c r="D1576" s="119"/>
      <c r="E1576" s="32"/>
      <c r="G1576" s="31">
        <v>1534</v>
      </c>
      <c r="H1576" s="30" t="str">
        <f t="shared" si="60"/>
        <v/>
      </c>
      <c r="I1576" s="74" t="str">
        <f t="shared" si="61"/>
        <v/>
      </c>
      <c r="J1576" s="32"/>
    </row>
    <row r="1577" spans="2:10" ht="15">
      <c r="B1577" s="31"/>
      <c r="C1577" s="30"/>
      <c r="D1577" s="119"/>
      <c r="E1577" s="32"/>
      <c r="G1577" s="31">
        <v>1535</v>
      </c>
      <c r="H1577" s="30" t="str">
        <f t="shared" si="60"/>
        <v/>
      </c>
      <c r="I1577" s="74" t="str">
        <f t="shared" si="61"/>
        <v/>
      </c>
      <c r="J1577" s="32"/>
    </row>
    <row r="1578" spans="2:10" ht="15">
      <c r="B1578" s="31"/>
      <c r="C1578" s="30"/>
      <c r="D1578" s="119"/>
      <c r="E1578" s="32"/>
      <c r="G1578" s="31">
        <v>1536</v>
      </c>
      <c r="H1578" s="30" t="str">
        <f t="shared" si="60"/>
        <v/>
      </c>
      <c r="I1578" s="74" t="str">
        <f t="shared" si="61"/>
        <v/>
      </c>
      <c r="J1578" s="32"/>
    </row>
    <row r="1579" spans="2:10" ht="15">
      <c r="B1579" s="31"/>
      <c r="C1579" s="30"/>
      <c r="D1579" s="119"/>
      <c r="E1579" s="32"/>
      <c r="G1579" s="31">
        <v>1537</v>
      </c>
      <c r="H1579" s="30" t="str">
        <f t="shared" si="60"/>
        <v/>
      </c>
      <c r="I1579" s="74" t="str">
        <f t="shared" si="61"/>
        <v/>
      </c>
      <c r="J1579" s="32"/>
    </row>
    <row r="1580" spans="2:10" ht="15">
      <c r="B1580" s="31"/>
      <c r="C1580" s="30"/>
      <c r="D1580" s="119"/>
      <c r="E1580" s="32"/>
      <c r="G1580" s="31">
        <v>1538</v>
      </c>
      <c r="H1580" s="30" t="str">
        <f t="shared" ref="H1580:H1643" si="62">MID($I$41,G1580*8-7,8)</f>
        <v/>
      </c>
      <c r="I1580" s="74" t="str">
        <f t="shared" ref="I1580:I1643" si="63">IFERROR(BIN2DEC(VALUE(H1580)),"")</f>
        <v/>
      </c>
      <c r="J1580" s="32"/>
    </row>
    <row r="1581" spans="2:10" ht="15">
      <c r="B1581" s="31"/>
      <c r="C1581" s="30"/>
      <c r="D1581" s="119"/>
      <c r="E1581" s="32"/>
      <c r="G1581" s="31">
        <v>1539</v>
      </c>
      <c r="H1581" s="30" t="str">
        <f t="shared" si="62"/>
        <v/>
      </c>
      <c r="I1581" s="74" t="str">
        <f t="shared" si="63"/>
        <v/>
      </c>
      <c r="J1581" s="32"/>
    </row>
    <row r="1582" spans="2:10" ht="15">
      <c r="B1582" s="31"/>
      <c r="C1582" s="30"/>
      <c r="D1582" s="119"/>
      <c r="E1582" s="32"/>
      <c r="G1582" s="31">
        <v>1540</v>
      </c>
      <c r="H1582" s="30" t="str">
        <f t="shared" si="62"/>
        <v/>
      </c>
      <c r="I1582" s="74" t="str">
        <f t="shared" si="63"/>
        <v/>
      </c>
      <c r="J1582" s="32"/>
    </row>
    <row r="1583" spans="2:10" ht="15">
      <c r="B1583" s="31"/>
      <c r="C1583" s="30"/>
      <c r="D1583" s="119"/>
      <c r="E1583" s="32"/>
      <c r="G1583" s="31">
        <v>1541</v>
      </c>
      <c r="H1583" s="30" t="str">
        <f t="shared" si="62"/>
        <v/>
      </c>
      <c r="I1583" s="74" t="str">
        <f t="shared" si="63"/>
        <v/>
      </c>
      <c r="J1583" s="32"/>
    </row>
    <row r="1584" spans="2:10" ht="15">
      <c r="B1584" s="31"/>
      <c r="C1584" s="30"/>
      <c r="D1584" s="119"/>
      <c r="E1584" s="32"/>
      <c r="G1584" s="31">
        <v>1542</v>
      </c>
      <c r="H1584" s="30" t="str">
        <f t="shared" si="62"/>
        <v/>
      </c>
      <c r="I1584" s="74" t="str">
        <f t="shared" si="63"/>
        <v/>
      </c>
      <c r="J1584" s="32"/>
    </row>
    <row r="1585" spans="2:10" ht="15">
      <c r="B1585" s="31"/>
      <c r="C1585" s="30"/>
      <c r="D1585" s="119"/>
      <c r="E1585" s="32"/>
      <c r="G1585" s="31">
        <v>1543</v>
      </c>
      <c r="H1585" s="30" t="str">
        <f t="shared" si="62"/>
        <v/>
      </c>
      <c r="I1585" s="74" t="str">
        <f t="shared" si="63"/>
        <v/>
      </c>
      <c r="J1585" s="32"/>
    </row>
    <row r="1586" spans="2:10" ht="15">
      <c r="B1586" s="31"/>
      <c r="C1586" s="30"/>
      <c r="D1586" s="119"/>
      <c r="E1586" s="32"/>
      <c r="G1586" s="31">
        <v>1544</v>
      </c>
      <c r="H1586" s="30" t="str">
        <f t="shared" si="62"/>
        <v/>
      </c>
      <c r="I1586" s="74" t="str">
        <f t="shared" si="63"/>
        <v/>
      </c>
      <c r="J1586" s="32"/>
    </row>
    <row r="1587" spans="2:10" ht="15">
      <c r="B1587" s="31"/>
      <c r="C1587" s="30"/>
      <c r="D1587" s="119"/>
      <c r="E1587" s="32"/>
      <c r="G1587" s="31">
        <v>1545</v>
      </c>
      <c r="H1587" s="30" t="str">
        <f t="shared" si="62"/>
        <v/>
      </c>
      <c r="I1587" s="74" t="str">
        <f t="shared" si="63"/>
        <v/>
      </c>
      <c r="J1587" s="32"/>
    </row>
    <row r="1588" spans="2:10" ht="15">
      <c r="B1588" s="31"/>
      <c r="C1588" s="30"/>
      <c r="D1588" s="119"/>
      <c r="E1588" s="32"/>
      <c r="G1588" s="31">
        <v>1546</v>
      </c>
      <c r="H1588" s="30" t="str">
        <f t="shared" si="62"/>
        <v/>
      </c>
      <c r="I1588" s="74" t="str">
        <f t="shared" si="63"/>
        <v/>
      </c>
      <c r="J1588" s="32"/>
    </row>
    <row r="1589" spans="2:10" ht="15">
      <c r="B1589" s="31"/>
      <c r="C1589" s="30"/>
      <c r="D1589" s="119"/>
      <c r="E1589" s="32"/>
      <c r="G1589" s="31">
        <v>1547</v>
      </c>
      <c r="H1589" s="30" t="str">
        <f t="shared" si="62"/>
        <v/>
      </c>
      <c r="I1589" s="74" t="str">
        <f t="shared" si="63"/>
        <v/>
      </c>
      <c r="J1589" s="32"/>
    </row>
    <row r="1590" spans="2:10" ht="15">
      <c r="B1590" s="31"/>
      <c r="C1590" s="30"/>
      <c r="D1590" s="119"/>
      <c r="E1590" s="32"/>
      <c r="G1590" s="31">
        <v>1548</v>
      </c>
      <c r="H1590" s="30" t="str">
        <f t="shared" si="62"/>
        <v/>
      </c>
      <c r="I1590" s="74" t="str">
        <f t="shared" si="63"/>
        <v/>
      </c>
      <c r="J1590" s="32"/>
    </row>
    <row r="1591" spans="2:10" ht="15">
      <c r="B1591" s="31"/>
      <c r="C1591" s="30"/>
      <c r="D1591" s="119"/>
      <c r="E1591" s="32"/>
      <c r="G1591" s="31">
        <v>1549</v>
      </c>
      <c r="H1591" s="30" t="str">
        <f t="shared" si="62"/>
        <v/>
      </c>
      <c r="I1591" s="74" t="str">
        <f t="shared" si="63"/>
        <v/>
      </c>
      <c r="J1591" s="32"/>
    </row>
    <row r="1592" spans="2:10" ht="15">
      <c r="B1592" s="31"/>
      <c r="C1592" s="30"/>
      <c r="D1592" s="119"/>
      <c r="E1592" s="32"/>
      <c r="G1592" s="31">
        <v>1550</v>
      </c>
      <c r="H1592" s="30" t="str">
        <f t="shared" si="62"/>
        <v/>
      </c>
      <c r="I1592" s="74" t="str">
        <f t="shared" si="63"/>
        <v/>
      </c>
      <c r="J1592" s="32"/>
    </row>
    <row r="1593" spans="2:10" ht="15">
      <c r="B1593" s="31"/>
      <c r="C1593" s="30"/>
      <c r="D1593" s="119"/>
      <c r="E1593" s="32"/>
      <c r="G1593" s="31">
        <v>1551</v>
      </c>
      <c r="H1593" s="30" t="str">
        <f t="shared" si="62"/>
        <v/>
      </c>
      <c r="I1593" s="74" t="str">
        <f t="shared" si="63"/>
        <v/>
      </c>
      <c r="J1593" s="32"/>
    </row>
    <row r="1594" spans="2:10" ht="15">
      <c r="B1594" s="31"/>
      <c r="C1594" s="30"/>
      <c r="D1594" s="119"/>
      <c r="E1594" s="32"/>
      <c r="G1594" s="31">
        <v>1552</v>
      </c>
      <c r="H1594" s="30" t="str">
        <f t="shared" si="62"/>
        <v/>
      </c>
      <c r="I1594" s="74" t="str">
        <f t="shared" si="63"/>
        <v/>
      </c>
      <c r="J1594" s="32"/>
    </row>
    <row r="1595" spans="2:10" ht="15">
      <c r="B1595" s="31"/>
      <c r="C1595" s="30"/>
      <c r="D1595" s="119"/>
      <c r="E1595" s="32"/>
      <c r="G1595" s="31">
        <v>1553</v>
      </c>
      <c r="H1595" s="30" t="str">
        <f t="shared" si="62"/>
        <v/>
      </c>
      <c r="I1595" s="74" t="str">
        <f t="shared" si="63"/>
        <v/>
      </c>
      <c r="J1595" s="32"/>
    </row>
    <row r="1596" spans="2:10" ht="15">
      <c r="B1596" s="31"/>
      <c r="C1596" s="30"/>
      <c r="D1596" s="119"/>
      <c r="E1596" s="32"/>
      <c r="G1596" s="31">
        <v>1554</v>
      </c>
      <c r="H1596" s="30" t="str">
        <f t="shared" si="62"/>
        <v/>
      </c>
      <c r="I1596" s="74" t="str">
        <f t="shared" si="63"/>
        <v/>
      </c>
      <c r="J1596" s="32"/>
    </row>
    <row r="1597" spans="2:10" ht="15">
      <c r="B1597" s="31"/>
      <c r="C1597" s="30"/>
      <c r="D1597" s="119"/>
      <c r="E1597" s="32"/>
      <c r="G1597" s="31">
        <v>1555</v>
      </c>
      <c r="H1597" s="30" t="str">
        <f t="shared" si="62"/>
        <v/>
      </c>
      <c r="I1597" s="74" t="str">
        <f t="shared" si="63"/>
        <v/>
      </c>
      <c r="J1597" s="32"/>
    </row>
    <row r="1598" spans="2:10" ht="15">
      <c r="B1598" s="31"/>
      <c r="C1598" s="30"/>
      <c r="D1598" s="119"/>
      <c r="E1598" s="32"/>
      <c r="G1598" s="31">
        <v>1556</v>
      </c>
      <c r="H1598" s="30" t="str">
        <f t="shared" si="62"/>
        <v/>
      </c>
      <c r="I1598" s="74" t="str">
        <f t="shared" si="63"/>
        <v/>
      </c>
      <c r="J1598" s="32"/>
    </row>
    <row r="1599" spans="2:10" ht="15">
      <c r="B1599" s="31"/>
      <c r="C1599" s="30"/>
      <c r="D1599" s="119"/>
      <c r="E1599" s="32"/>
      <c r="G1599" s="31">
        <v>1557</v>
      </c>
      <c r="H1599" s="30" t="str">
        <f t="shared" si="62"/>
        <v/>
      </c>
      <c r="I1599" s="74" t="str">
        <f t="shared" si="63"/>
        <v/>
      </c>
      <c r="J1599" s="32"/>
    </row>
    <row r="1600" spans="2:10" ht="15">
      <c r="B1600" s="31"/>
      <c r="C1600" s="30"/>
      <c r="D1600" s="119"/>
      <c r="E1600" s="32"/>
      <c r="G1600" s="31">
        <v>1558</v>
      </c>
      <c r="H1600" s="30" t="str">
        <f t="shared" si="62"/>
        <v/>
      </c>
      <c r="I1600" s="74" t="str">
        <f t="shared" si="63"/>
        <v/>
      </c>
      <c r="J1600" s="32"/>
    </row>
    <row r="1601" spans="2:10" ht="15">
      <c r="B1601" s="31"/>
      <c r="C1601" s="30"/>
      <c r="D1601" s="119"/>
      <c r="E1601" s="32"/>
      <c r="G1601" s="31">
        <v>1559</v>
      </c>
      <c r="H1601" s="30" t="str">
        <f t="shared" si="62"/>
        <v/>
      </c>
      <c r="I1601" s="74" t="str">
        <f t="shared" si="63"/>
        <v/>
      </c>
      <c r="J1601" s="32"/>
    </row>
    <row r="1602" spans="2:10" ht="15">
      <c r="B1602" s="31"/>
      <c r="C1602" s="30"/>
      <c r="D1602" s="119"/>
      <c r="E1602" s="32"/>
      <c r="G1602" s="31">
        <v>1560</v>
      </c>
      <c r="H1602" s="30" t="str">
        <f t="shared" si="62"/>
        <v/>
      </c>
      <c r="I1602" s="74" t="str">
        <f t="shared" si="63"/>
        <v/>
      </c>
      <c r="J1602" s="32"/>
    </row>
    <row r="1603" spans="2:10" ht="15">
      <c r="B1603" s="31"/>
      <c r="C1603" s="30"/>
      <c r="D1603" s="119"/>
      <c r="E1603" s="32"/>
      <c r="G1603" s="31">
        <v>1561</v>
      </c>
      <c r="H1603" s="30" t="str">
        <f t="shared" si="62"/>
        <v/>
      </c>
      <c r="I1603" s="74" t="str">
        <f t="shared" si="63"/>
        <v/>
      </c>
      <c r="J1603" s="32"/>
    </row>
    <row r="1604" spans="2:10" ht="15">
      <c r="B1604" s="31"/>
      <c r="C1604" s="30"/>
      <c r="D1604" s="119"/>
      <c r="E1604" s="32"/>
      <c r="G1604" s="31">
        <v>1562</v>
      </c>
      <c r="H1604" s="30" t="str">
        <f t="shared" si="62"/>
        <v/>
      </c>
      <c r="I1604" s="74" t="str">
        <f t="shared" si="63"/>
        <v/>
      </c>
      <c r="J1604" s="32"/>
    </row>
    <row r="1605" spans="2:10" ht="15">
      <c r="B1605" s="31"/>
      <c r="C1605" s="30"/>
      <c r="D1605" s="119"/>
      <c r="E1605" s="32"/>
      <c r="G1605" s="31">
        <v>1563</v>
      </c>
      <c r="H1605" s="30" t="str">
        <f t="shared" si="62"/>
        <v/>
      </c>
      <c r="I1605" s="74" t="str">
        <f t="shared" si="63"/>
        <v/>
      </c>
      <c r="J1605" s="32"/>
    </row>
    <row r="1606" spans="2:10" ht="15">
      <c r="B1606" s="31"/>
      <c r="C1606" s="30"/>
      <c r="D1606" s="119"/>
      <c r="E1606" s="32"/>
      <c r="G1606" s="31">
        <v>1564</v>
      </c>
      <c r="H1606" s="30" t="str">
        <f t="shared" si="62"/>
        <v/>
      </c>
      <c r="I1606" s="74" t="str">
        <f t="shared" si="63"/>
        <v/>
      </c>
      <c r="J1606" s="32"/>
    </row>
    <row r="1607" spans="2:10" ht="15">
      <c r="B1607" s="31"/>
      <c r="C1607" s="30"/>
      <c r="D1607" s="119"/>
      <c r="E1607" s="32"/>
      <c r="G1607" s="31">
        <v>1565</v>
      </c>
      <c r="H1607" s="30" t="str">
        <f t="shared" si="62"/>
        <v/>
      </c>
      <c r="I1607" s="74" t="str">
        <f t="shared" si="63"/>
        <v/>
      </c>
      <c r="J1607" s="32"/>
    </row>
    <row r="1608" spans="2:10" ht="15">
      <c r="B1608" s="31"/>
      <c r="C1608" s="30"/>
      <c r="D1608" s="119"/>
      <c r="E1608" s="32"/>
      <c r="G1608" s="31">
        <v>1566</v>
      </c>
      <c r="H1608" s="30" t="str">
        <f t="shared" si="62"/>
        <v/>
      </c>
      <c r="I1608" s="74" t="str">
        <f t="shared" si="63"/>
        <v/>
      </c>
      <c r="J1608" s="32"/>
    </row>
    <row r="1609" spans="2:10" ht="15">
      <c r="B1609" s="31"/>
      <c r="C1609" s="30"/>
      <c r="D1609" s="119"/>
      <c r="E1609" s="32"/>
      <c r="G1609" s="31">
        <v>1567</v>
      </c>
      <c r="H1609" s="30" t="str">
        <f t="shared" si="62"/>
        <v/>
      </c>
      <c r="I1609" s="74" t="str">
        <f t="shared" si="63"/>
        <v/>
      </c>
      <c r="J1609" s="32"/>
    </row>
    <row r="1610" spans="2:10" ht="15">
      <c r="B1610" s="31"/>
      <c r="C1610" s="30"/>
      <c r="D1610" s="119"/>
      <c r="E1610" s="32"/>
      <c r="G1610" s="31">
        <v>1568</v>
      </c>
      <c r="H1610" s="30" t="str">
        <f t="shared" si="62"/>
        <v/>
      </c>
      <c r="I1610" s="74" t="str">
        <f t="shared" si="63"/>
        <v/>
      </c>
      <c r="J1610" s="32"/>
    </row>
    <row r="1611" spans="2:10" ht="15">
      <c r="B1611" s="31"/>
      <c r="C1611" s="30"/>
      <c r="D1611" s="119"/>
      <c r="E1611" s="32"/>
      <c r="G1611" s="31">
        <v>1569</v>
      </c>
      <c r="H1611" s="30" t="str">
        <f t="shared" si="62"/>
        <v/>
      </c>
      <c r="I1611" s="74" t="str">
        <f t="shared" si="63"/>
        <v/>
      </c>
      <c r="J1611" s="32"/>
    </row>
    <row r="1612" spans="2:10" ht="15">
      <c r="B1612" s="31"/>
      <c r="C1612" s="30"/>
      <c r="D1612" s="119"/>
      <c r="E1612" s="32"/>
      <c r="G1612" s="31">
        <v>1570</v>
      </c>
      <c r="H1612" s="30" t="str">
        <f t="shared" si="62"/>
        <v/>
      </c>
      <c r="I1612" s="74" t="str">
        <f t="shared" si="63"/>
        <v/>
      </c>
      <c r="J1612" s="32"/>
    </row>
    <row r="1613" spans="2:10" ht="15">
      <c r="B1613" s="31"/>
      <c r="C1613" s="30"/>
      <c r="D1613" s="119"/>
      <c r="E1613" s="32"/>
      <c r="G1613" s="31">
        <v>1571</v>
      </c>
      <c r="H1613" s="30" t="str">
        <f t="shared" si="62"/>
        <v/>
      </c>
      <c r="I1613" s="74" t="str">
        <f t="shared" si="63"/>
        <v/>
      </c>
      <c r="J1613" s="32"/>
    </row>
    <row r="1614" spans="2:10" ht="15">
      <c r="B1614" s="31"/>
      <c r="C1614" s="30"/>
      <c r="D1614" s="119"/>
      <c r="E1614" s="32"/>
      <c r="G1614" s="31">
        <v>1572</v>
      </c>
      <c r="H1614" s="30" t="str">
        <f t="shared" si="62"/>
        <v/>
      </c>
      <c r="I1614" s="74" t="str">
        <f t="shared" si="63"/>
        <v/>
      </c>
      <c r="J1614" s="32"/>
    </row>
    <row r="1615" spans="2:10" ht="15">
      <c r="B1615" s="31"/>
      <c r="C1615" s="30"/>
      <c r="D1615" s="119"/>
      <c r="E1615" s="32"/>
      <c r="G1615" s="31">
        <v>1573</v>
      </c>
      <c r="H1615" s="30" t="str">
        <f t="shared" si="62"/>
        <v/>
      </c>
      <c r="I1615" s="74" t="str">
        <f t="shared" si="63"/>
        <v/>
      </c>
      <c r="J1615" s="32"/>
    </row>
    <row r="1616" spans="2:10" ht="15">
      <c r="B1616" s="31"/>
      <c r="C1616" s="30"/>
      <c r="D1616" s="119"/>
      <c r="E1616" s="32"/>
      <c r="G1616" s="31">
        <v>1574</v>
      </c>
      <c r="H1616" s="30" t="str">
        <f t="shared" si="62"/>
        <v/>
      </c>
      <c r="I1616" s="74" t="str">
        <f t="shared" si="63"/>
        <v/>
      </c>
      <c r="J1616" s="32"/>
    </row>
    <row r="1617" spans="2:10" ht="15">
      <c r="B1617" s="31"/>
      <c r="C1617" s="30"/>
      <c r="D1617" s="119"/>
      <c r="E1617" s="32"/>
      <c r="G1617" s="31">
        <v>1575</v>
      </c>
      <c r="H1617" s="30" t="str">
        <f t="shared" si="62"/>
        <v/>
      </c>
      <c r="I1617" s="74" t="str">
        <f t="shared" si="63"/>
        <v/>
      </c>
      <c r="J1617" s="32"/>
    </row>
    <row r="1618" spans="2:10" ht="15">
      <c r="B1618" s="31"/>
      <c r="C1618" s="30"/>
      <c r="D1618" s="119"/>
      <c r="E1618" s="32"/>
      <c r="G1618" s="31">
        <v>1576</v>
      </c>
      <c r="H1618" s="30" t="str">
        <f t="shared" si="62"/>
        <v/>
      </c>
      <c r="I1618" s="74" t="str">
        <f t="shared" si="63"/>
        <v/>
      </c>
      <c r="J1618" s="32"/>
    </row>
    <row r="1619" spans="2:10" ht="15">
      <c r="B1619" s="31"/>
      <c r="C1619" s="30"/>
      <c r="D1619" s="119"/>
      <c r="E1619" s="32"/>
      <c r="G1619" s="31">
        <v>1577</v>
      </c>
      <c r="H1619" s="30" t="str">
        <f t="shared" si="62"/>
        <v/>
      </c>
      <c r="I1619" s="74" t="str">
        <f t="shared" si="63"/>
        <v/>
      </c>
      <c r="J1619" s="32"/>
    </row>
    <row r="1620" spans="2:10" ht="15">
      <c r="B1620" s="31"/>
      <c r="C1620" s="30"/>
      <c r="D1620" s="119"/>
      <c r="E1620" s="32"/>
      <c r="G1620" s="31">
        <v>1578</v>
      </c>
      <c r="H1620" s="30" t="str">
        <f t="shared" si="62"/>
        <v/>
      </c>
      <c r="I1620" s="74" t="str">
        <f t="shared" si="63"/>
        <v/>
      </c>
      <c r="J1620" s="32"/>
    </row>
    <row r="1621" spans="2:10" ht="15">
      <c r="B1621" s="31"/>
      <c r="C1621" s="30"/>
      <c r="D1621" s="119"/>
      <c r="E1621" s="32"/>
      <c r="G1621" s="31">
        <v>1579</v>
      </c>
      <c r="H1621" s="30" t="str">
        <f t="shared" si="62"/>
        <v/>
      </c>
      <c r="I1621" s="74" t="str">
        <f t="shared" si="63"/>
        <v/>
      </c>
      <c r="J1621" s="32"/>
    </row>
    <row r="1622" spans="2:10" ht="15">
      <c r="B1622" s="31"/>
      <c r="C1622" s="30"/>
      <c r="D1622" s="119"/>
      <c r="E1622" s="32"/>
      <c r="G1622" s="31">
        <v>1580</v>
      </c>
      <c r="H1622" s="30" t="str">
        <f t="shared" si="62"/>
        <v/>
      </c>
      <c r="I1622" s="74" t="str">
        <f t="shared" si="63"/>
        <v/>
      </c>
      <c r="J1622" s="32"/>
    </row>
    <row r="1623" spans="2:10" ht="15">
      <c r="B1623" s="31"/>
      <c r="C1623" s="30"/>
      <c r="D1623" s="119"/>
      <c r="E1623" s="32"/>
      <c r="G1623" s="31">
        <v>1581</v>
      </c>
      <c r="H1623" s="30" t="str">
        <f t="shared" si="62"/>
        <v/>
      </c>
      <c r="I1623" s="74" t="str">
        <f t="shared" si="63"/>
        <v/>
      </c>
      <c r="J1623" s="32"/>
    </row>
    <row r="1624" spans="2:10" ht="15">
      <c r="B1624" s="31"/>
      <c r="C1624" s="30"/>
      <c r="D1624" s="119"/>
      <c r="E1624" s="32"/>
      <c r="G1624" s="31">
        <v>1582</v>
      </c>
      <c r="H1624" s="30" t="str">
        <f t="shared" si="62"/>
        <v/>
      </c>
      <c r="I1624" s="74" t="str">
        <f t="shared" si="63"/>
        <v/>
      </c>
      <c r="J1624" s="32"/>
    </row>
    <row r="1625" spans="2:10" ht="15">
      <c r="B1625" s="31"/>
      <c r="C1625" s="30"/>
      <c r="D1625" s="119"/>
      <c r="E1625" s="32"/>
      <c r="G1625" s="31">
        <v>1583</v>
      </c>
      <c r="H1625" s="30" t="str">
        <f t="shared" si="62"/>
        <v/>
      </c>
      <c r="I1625" s="74" t="str">
        <f t="shared" si="63"/>
        <v/>
      </c>
      <c r="J1625" s="32"/>
    </row>
    <row r="1626" spans="2:10" ht="15">
      <c r="B1626" s="31"/>
      <c r="C1626" s="30"/>
      <c r="D1626" s="119"/>
      <c r="E1626" s="32"/>
      <c r="G1626" s="31">
        <v>1584</v>
      </c>
      <c r="H1626" s="30" t="str">
        <f t="shared" si="62"/>
        <v/>
      </c>
      <c r="I1626" s="74" t="str">
        <f t="shared" si="63"/>
        <v/>
      </c>
      <c r="J1626" s="32"/>
    </row>
    <row r="1627" spans="2:10" ht="15">
      <c r="B1627" s="31"/>
      <c r="C1627" s="30"/>
      <c r="D1627" s="119"/>
      <c r="E1627" s="32"/>
      <c r="G1627" s="31">
        <v>1585</v>
      </c>
      <c r="H1627" s="30" t="str">
        <f t="shared" si="62"/>
        <v/>
      </c>
      <c r="I1627" s="74" t="str">
        <f t="shared" si="63"/>
        <v/>
      </c>
      <c r="J1627" s="32"/>
    </row>
    <row r="1628" spans="2:10" ht="15">
      <c r="B1628" s="31"/>
      <c r="C1628" s="30"/>
      <c r="D1628" s="119"/>
      <c r="E1628" s="32"/>
      <c r="G1628" s="31">
        <v>1586</v>
      </c>
      <c r="H1628" s="30" t="str">
        <f t="shared" si="62"/>
        <v/>
      </c>
      <c r="I1628" s="74" t="str">
        <f t="shared" si="63"/>
        <v/>
      </c>
      <c r="J1628" s="32"/>
    </row>
    <row r="1629" spans="2:10" ht="15">
      <c r="B1629" s="31"/>
      <c r="C1629" s="30"/>
      <c r="D1629" s="119"/>
      <c r="E1629" s="32"/>
      <c r="G1629" s="31">
        <v>1587</v>
      </c>
      <c r="H1629" s="30" t="str">
        <f t="shared" si="62"/>
        <v/>
      </c>
      <c r="I1629" s="74" t="str">
        <f t="shared" si="63"/>
        <v/>
      </c>
      <c r="J1629" s="32"/>
    </row>
    <row r="1630" spans="2:10" ht="15">
      <c r="B1630" s="31"/>
      <c r="C1630" s="30"/>
      <c r="D1630" s="119"/>
      <c r="E1630" s="32"/>
      <c r="G1630" s="31">
        <v>1588</v>
      </c>
      <c r="H1630" s="30" t="str">
        <f t="shared" si="62"/>
        <v/>
      </c>
      <c r="I1630" s="74" t="str">
        <f t="shared" si="63"/>
        <v/>
      </c>
      <c r="J1630" s="32"/>
    </row>
    <row r="1631" spans="2:10" ht="15">
      <c r="B1631" s="31"/>
      <c r="C1631" s="30"/>
      <c r="D1631" s="119"/>
      <c r="E1631" s="32"/>
      <c r="G1631" s="31">
        <v>1589</v>
      </c>
      <c r="H1631" s="30" t="str">
        <f t="shared" si="62"/>
        <v/>
      </c>
      <c r="I1631" s="74" t="str">
        <f t="shared" si="63"/>
        <v/>
      </c>
      <c r="J1631" s="32"/>
    </row>
    <row r="1632" spans="2:10" ht="15">
      <c r="B1632" s="31"/>
      <c r="C1632" s="30"/>
      <c r="D1632" s="119"/>
      <c r="E1632" s="32"/>
      <c r="G1632" s="31">
        <v>1590</v>
      </c>
      <c r="H1632" s="30" t="str">
        <f t="shared" si="62"/>
        <v/>
      </c>
      <c r="I1632" s="74" t="str">
        <f t="shared" si="63"/>
        <v/>
      </c>
      <c r="J1632" s="32"/>
    </row>
    <row r="1633" spans="2:10" ht="15">
      <c r="B1633" s="31"/>
      <c r="C1633" s="30"/>
      <c r="D1633" s="119"/>
      <c r="E1633" s="32"/>
      <c r="G1633" s="31">
        <v>1591</v>
      </c>
      <c r="H1633" s="30" t="str">
        <f t="shared" si="62"/>
        <v/>
      </c>
      <c r="I1633" s="74" t="str">
        <f t="shared" si="63"/>
        <v/>
      </c>
      <c r="J1633" s="32"/>
    </row>
    <row r="1634" spans="2:10" ht="15">
      <c r="B1634" s="31"/>
      <c r="C1634" s="30"/>
      <c r="D1634" s="119"/>
      <c r="E1634" s="32"/>
      <c r="G1634" s="31">
        <v>1592</v>
      </c>
      <c r="H1634" s="30" t="str">
        <f t="shared" si="62"/>
        <v/>
      </c>
      <c r="I1634" s="74" t="str">
        <f t="shared" si="63"/>
        <v/>
      </c>
      <c r="J1634" s="32"/>
    </row>
    <row r="1635" spans="2:10" ht="15">
      <c r="B1635" s="31"/>
      <c r="C1635" s="30"/>
      <c r="D1635" s="119"/>
      <c r="E1635" s="32"/>
      <c r="G1635" s="31">
        <v>1593</v>
      </c>
      <c r="H1635" s="30" t="str">
        <f t="shared" si="62"/>
        <v/>
      </c>
      <c r="I1635" s="74" t="str">
        <f t="shared" si="63"/>
        <v/>
      </c>
      <c r="J1635" s="32"/>
    </row>
    <row r="1636" spans="2:10" ht="15">
      <c r="B1636" s="31"/>
      <c r="C1636" s="30"/>
      <c r="D1636" s="119"/>
      <c r="E1636" s="32"/>
      <c r="G1636" s="31">
        <v>1594</v>
      </c>
      <c r="H1636" s="30" t="str">
        <f t="shared" si="62"/>
        <v/>
      </c>
      <c r="I1636" s="74" t="str">
        <f t="shared" si="63"/>
        <v/>
      </c>
      <c r="J1636" s="32"/>
    </row>
    <row r="1637" spans="2:10" ht="15">
      <c r="B1637" s="31"/>
      <c r="C1637" s="30"/>
      <c r="D1637" s="119"/>
      <c r="E1637" s="32"/>
      <c r="G1637" s="31">
        <v>1595</v>
      </c>
      <c r="H1637" s="30" t="str">
        <f t="shared" si="62"/>
        <v/>
      </c>
      <c r="I1637" s="74" t="str">
        <f t="shared" si="63"/>
        <v/>
      </c>
      <c r="J1637" s="32"/>
    </row>
    <row r="1638" spans="2:10" ht="15">
      <c r="B1638" s="31"/>
      <c r="C1638" s="30"/>
      <c r="D1638" s="119"/>
      <c r="E1638" s="32"/>
      <c r="G1638" s="31">
        <v>1596</v>
      </c>
      <c r="H1638" s="30" t="str">
        <f t="shared" si="62"/>
        <v/>
      </c>
      <c r="I1638" s="74" t="str">
        <f t="shared" si="63"/>
        <v/>
      </c>
      <c r="J1638" s="32"/>
    </row>
    <row r="1639" spans="2:10" ht="15">
      <c r="B1639" s="31"/>
      <c r="C1639" s="30"/>
      <c r="D1639" s="119"/>
      <c r="E1639" s="32"/>
      <c r="G1639" s="31">
        <v>1597</v>
      </c>
      <c r="H1639" s="30" t="str">
        <f t="shared" si="62"/>
        <v/>
      </c>
      <c r="I1639" s="74" t="str">
        <f t="shared" si="63"/>
        <v/>
      </c>
      <c r="J1639" s="32"/>
    </row>
    <row r="1640" spans="2:10" ht="15">
      <c r="B1640" s="31"/>
      <c r="C1640" s="30"/>
      <c r="D1640" s="119"/>
      <c r="E1640" s="32"/>
      <c r="G1640" s="31">
        <v>1598</v>
      </c>
      <c r="H1640" s="30" t="str">
        <f t="shared" si="62"/>
        <v/>
      </c>
      <c r="I1640" s="74" t="str">
        <f t="shared" si="63"/>
        <v/>
      </c>
      <c r="J1640" s="32"/>
    </row>
    <row r="1641" spans="2:10" ht="15">
      <c r="B1641" s="31"/>
      <c r="C1641" s="30"/>
      <c r="D1641" s="119"/>
      <c r="E1641" s="32"/>
      <c r="G1641" s="31">
        <v>1599</v>
      </c>
      <c r="H1641" s="30" t="str">
        <f t="shared" si="62"/>
        <v/>
      </c>
      <c r="I1641" s="74" t="str">
        <f t="shared" si="63"/>
        <v/>
      </c>
      <c r="J1641" s="32"/>
    </row>
    <row r="1642" spans="2:10" ht="15">
      <c r="B1642" s="31"/>
      <c r="C1642" s="30"/>
      <c r="D1642" s="119"/>
      <c r="E1642" s="32"/>
      <c r="G1642" s="31">
        <v>1600</v>
      </c>
      <c r="H1642" s="30" t="str">
        <f t="shared" si="62"/>
        <v/>
      </c>
      <c r="I1642" s="74" t="str">
        <f t="shared" si="63"/>
        <v/>
      </c>
      <c r="J1642" s="32"/>
    </row>
    <row r="1643" spans="2:10" ht="15">
      <c r="B1643" s="31"/>
      <c r="C1643" s="30"/>
      <c r="D1643" s="119"/>
      <c r="E1643" s="32"/>
      <c r="G1643" s="31">
        <v>1601</v>
      </c>
      <c r="H1643" s="30" t="str">
        <f t="shared" si="62"/>
        <v/>
      </c>
      <c r="I1643" s="74" t="str">
        <f t="shared" si="63"/>
        <v/>
      </c>
      <c r="J1643" s="32"/>
    </row>
    <row r="1644" spans="2:10" ht="15">
      <c r="B1644" s="31"/>
      <c r="C1644" s="30"/>
      <c r="D1644" s="119"/>
      <c r="E1644" s="32"/>
      <c r="G1644" s="31">
        <v>1602</v>
      </c>
      <c r="H1644" s="30" t="str">
        <f t="shared" ref="H1644:H1707" si="64">MID($I$41,G1644*8-7,8)</f>
        <v/>
      </c>
      <c r="I1644" s="74" t="str">
        <f t="shared" ref="I1644:I1707" si="65">IFERROR(BIN2DEC(VALUE(H1644)),"")</f>
        <v/>
      </c>
      <c r="J1644" s="32"/>
    </row>
    <row r="1645" spans="2:10" ht="15">
      <c r="B1645" s="31"/>
      <c r="C1645" s="30"/>
      <c r="D1645" s="119"/>
      <c r="E1645" s="32"/>
      <c r="G1645" s="31">
        <v>1603</v>
      </c>
      <c r="H1645" s="30" t="str">
        <f t="shared" si="64"/>
        <v/>
      </c>
      <c r="I1645" s="74" t="str">
        <f t="shared" si="65"/>
        <v/>
      </c>
      <c r="J1645" s="32"/>
    </row>
    <row r="1646" spans="2:10" ht="15">
      <c r="B1646" s="31"/>
      <c r="C1646" s="30"/>
      <c r="D1646" s="119"/>
      <c r="E1646" s="32"/>
      <c r="G1646" s="31">
        <v>1604</v>
      </c>
      <c r="H1646" s="30" t="str">
        <f t="shared" si="64"/>
        <v/>
      </c>
      <c r="I1646" s="74" t="str">
        <f t="shared" si="65"/>
        <v/>
      </c>
      <c r="J1646" s="32"/>
    </row>
    <row r="1647" spans="2:10" ht="15">
      <c r="B1647" s="31"/>
      <c r="C1647" s="30"/>
      <c r="D1647" s="119"/>
      <c r="E1647" s="32"/>
      <c r="G1647" s="31">
        <v>1605</v>
      </c>
      <c r="H1647" s="30" t="str">
        <f t="shared" si="64"/>
        <v/>
      </c>
      <c r="I1647" s="74" t="str">
        <f t="shared" si="65"/>
        <v/>
      </c>
      <c r="J1647" s="32"/>
    </row>
    <row r="1648" spans="2:10" ht="15">
      <c r="B1648" s="31"/>
      <c r="C1648" s="30"/>
      <c r="D1648" s="119"/>
      <c r="E1648" s="32"/>
      <c r="G1648" s="31">
        <v>1606</v>
      </c>
      <c r="H1648" s="30" t="str">
        <f t="shared" si="64"/>
        <v/>
      </c>
      <c r="I1648" s="74" t="str">
        <f t="shared" si="65"/>
        <v/>
      </c>
      <c r="J1648" s="32"/>
    </row>
    <row r="1649" spans="2:10" ht="15">
      <c r="B1649" s="31"/>
      <c r="C1649" s="30"/>
      <c r="D1649" s="119"/>
      <c r="E1649" s="32"/>
      <c r="G1649" s="31">
        <v>1607</v>
      </c>
      <c r="H1649" s="30" t="str">
        <f t="shared" si="64"/>
        <v/>
      </c>
      <c r="I1649" s="74" t="str">
        <f t="shared" si="65"/>
        <v/>
      </c>
      <c r="J1649" s="32"/>
    </row>
    <row r="1650" spans="2:10" ht="15">
      <c r="B1650" s="31"/>
      <c r="C1650" s="30"/>
      <c r="D1650" s="119"/>
      <c r="E1650" s="32"/>
      <c r="G1650" s="31">
        <v>1608</v>
      </c>
      <c r="H1650" s="30" t="str">
        <f t="shared" si="64"/>
        <v/>
      </c>
      <c r="I1650" s="74" t="str">
        <f t="shared" si="65"/>
        <v/>
      </c>
      <c r="J1650" s="32"/>
    </row>
    <row r="1651" spans="2:10" ht="15">
      <c r="B1651" s="31"/>
      <c r="C1651" s="30"/>
      <c r="D1651" s="119"/>
      <c r="E1651" s="32"/>
      <c r="G1651" s="31">
        <v>1609</v>
      </c>
      <c r="H1651" s="30" t="str">
        <f t="shared" si="64"/>
        <v/>
      </c>
      <c r="I1651" s="74" t="str">
        <f t="shared" si="65"/>
        <v/>
      </c>
      <c r="J1651" s="32"/>
    </row>
    <row r="1652" spans="2:10" ht="15">
      <c r="B1652" s="31"/>
      <c r="C1652" s="30"/>
      <c r="D1652" s="119"/>
      <c r="E1652" s="32"/>
      <c r="G1652" s="31">
        <v>1610</v>
      </c>
      <c r="H1652" s="30" t="str">
        <f t="shared" si="64"/>
        <v/>
      </c>
      <c r="I1652" s="74" t="str">
        <f t="shared" si="65"/>
        <v/>
      </c>
      <c r="J1652" s="32"/>
    </row>
    <row r="1653" spans="2:10" ht="15">
      <c r="B1653" s="31"/>
      <c r="C1653" s="30"/>
      <c r="D1653" s="119"/>
      <c r="E1653" s="32"/>
      <c r="G1653" s="31">
        <v>1611</v>
      </c>
      <c r="H1653" s="30" t="str">
        <f t="shared" si="64"/>
        <v/>
      </c>
      <c r="I1653" s="74" t="str">
        <f t="shared" si="65"/>
        <v/>
      </c>
      <c r="J1653" s="32"/>
    </row>
    <row r="1654" spans="2:10" ht="15">
      <c r="B1654" s="31"/>
      <c r="C1654" s="30"/>
      <c r="D1654" s="119"/>
      <c r="E1654" s="32"/>
      <c r="G1654" s="31">
        <v>1612</v>
      </c>
      <c r="H1654" s="30" t="str">
        <f t="shared" si="64"/>
        <v/>
      </c>
      <c r="I1654" s="74" t="str">
        <f t="shared" si="65"/>
        <v/>
      </c>
      <c r="J1654" s="32"/>
    </row>
    <row r="1655" spans="2:10" ht="15">
      <c r="B1655" s="31"/>
      <c r="C1655" s="30"/>
      <c r="D1655" s="119"/>
      <c r="E1655" s="32"/>
      <c r="G1655" s="31">
        <v>1613</v>
      </c>
      <c r="H1655" s="30" t="str">
        <f t="shared" si="64"/>
        <v/>
      </c>
      <c r="I1655" s="74" t="str">
        <f t="shared" si="65"/>
        <v/>
      </c>
      <c r="J1655" s="32"/>
    </row>
    <row r="1656" spans="2:10" ht="15">
      <c r="B1656" s="31"/>
      <c r="C1656" s="30"/>
      <c r="D1656" s="119"/>
      <c r="E1656" s="32"/>
      <c r="G1656" s="31">
        <v>1614</v>
      </c>
      <c r="H1656" s="30" t="str">
        <f t="shared" si="64"/>
        <v/>
      </c>
      <c r="I1656" s="74" t="str">
        <f t="shared" si="65"/>
        <v/>
      </c>
      <c r="J1656" s="32"/>
    </row>
    <row r="1657" spans="2:10" ht="15">
      <c r="B1657" s="31"/>
      <c r="C1657" s="30"/>
      <c r="D1657" s="119"/>
      <c r="E1657" s="32"/>
      <c r="G1657" s="31">
        <v>1615</v>
      </c>
      <c r="H1657" s="30" t="str">
        <f t="shared" si="64"/>
        <v/>
      </c>
      <c r="I1657" s="74" t="str">
        <f t="shared" si="65"/>
        <v/>
      </c>
      <c r="J1657" s="32"/>
    </row>
    <row r="1658" spans="2:10" ht="15">
      <c r="B1658" s="31"/>
      <c r="C1658" s="30"/>
      <c r="D1658" s="119"/>
      <c r="E1658" s="32"/>
      <c r="G1658" s="31">
        <v>1616</v>
      </c>
      <c r="H1658" s="30" t="str">
        <f t="shared" si="64"/>
        <v/>
      </c>
      <c r="I1658" s="74" t="str">
        <f t="shared" si="65"/>
        <v/>
      </c>
      <c r="J1658" s="32"/>
    </row>
    <row r="1659" spans="2:10" ht="15">
      <c r="B1659" s="31"/>
      <c r="C1659" s="30"/>
      <c r="D1659" s="119"/>
      <c r="E1659" s="32"/>
      <c r="G1659" s="31">
        <v>1617</v>
      </c>
      <c r="H1659" s="30" t="str">
        <f t="shared" si="64"/>
        <v/>
      </c>
      <c r="I1659" s="74" t="str">
        <f t="shared" si="65"/>
        <v/>
      </c>
      <c r="J1659" s="32"/>
    </row>
    <row r="1660" spans="2:10" ht="15">
      <c r="B1660" s="31"/>
      <c r="C1660" s="30"/>
      <c r="D1660" s="119"/>
      <c r="E1660" s="32"/>
      <c r="G1660" s="31">
        <v>1618</v>
      </c>
      <c r="H1660" s="30" t="str">
        <f t="shared" si="64"/>
        <v/>
      </c>
      <c r="I1660" s="74" t="str">
        <f t="shared" si="65"/>
        <v/>
      </c>
      <c r="J1660" s="32"/>
    </row>
    <row r="1661" spans="2:10" ht="15">
      <c r="B1661" s="31"/>
      <c r="C1661" s="30"/>
      <c r="D1661" s="119"/>
      <c r="E1661" s="32"/>
      <c r="G1661" s="31">
        <v>1619</v>
      </c>
      <c r="H1661" s="30" t="str">
        <f t="shared" si="64"/>
        <v/>
      </c>
      <c r="I1661" s="74" t="str">
        <f t="shared" si="65"/>
        <v/>
      </c>
      <c r="J1661" s="32"/>
    </row>
    <row r="1662" spans="2:10" ht="15">
      <c r="B1662" s="31"/>
      <c r="C1662" s="30"/>
      <c r="D1662" s="119"/>
      <c r="E1662" s="32"/>
      <c r="G1662" s="31">
        <v>1620</v>
      </c>
      <c r="H1662" s="30" t="str">
        <f t="shared" si="64"/>
        <v/>
      </c>
      <c r="I1662" s="74" t="str">
        <f t="shared" si="65"/>
        <v/>
      </c>
      <c r="J1662" s="32"/>
    </row>
    <row r="1663" spans="2:10" ht="15">
      <c r="B1663" s="31"/>
      <c r="C1663" s="30"/>
      <c r="D1663" s="119"/>
      <c r="E1663" s="32"/>
      <c r="G1663" s="31">
        <v>1621</v>
      </c>
      <c r="H1663" s="30" t="str">
        <f t="shared" si="64"/>
        <v/>
      </c>
      <c r="I1663" s="74" t="str">
        <f t="shared" si="65"/>
        <v/>
      </c>
      <c r="J1663" s="32"/>
    </row>
    <row r="1664" spans="2:10" ht="15">
      <c r="B1664" s="31"/>
      <c r="C1664" s="30"/>
      <c r="D1664" s="119"/>
      <c r="E1664" s="32"/>
      <c r="G1664" s="31">
        <v>1622</v>
      </c>
      <c r="H1664" s="30" t="str">
        <f t="shared" si="64"/>
        <v/>
      </c>
      <c r="I1664" s="74" t="str">
        <f t="shared" si="65"/>
        <v/>
      </c>
      <c r="J1664" s="32"/>
    </row>
    <row r="1665" spans="2:10" ht="15">
      <c r="B1665" s="31"/>
      <c r="C1665" s="30"/>
      <c r="D1665" s="119"/>
      <c r="E1665" s="32"/>
      <c r="G1665" s="31">
        <v>1623</v>
      </c>
      <c r="H1665" s="30" t="str">
        <f t="shared" si="64"/>
        <v/>
      </c>
      <c r="I1665" s="74" t="str">
        <f t="shared" si="65"/>
        <v/>
      </c>
      <c r="J1665" s="32"/>
    </row>
    <row r="1666" spans="2:10" ht="15">
      <c r="B1666" s="31"/>
      <c r="C1666" s="30"/>
      <c r="D1666" s="119"/>
      <c r="E1666" s="32"/>
      <c r="G1666" s="31">
        <v>1624</v>
      </c>
      <c r="H1666" s="30" t="str">
        <f t="shared" si="64"/>
        <v/>
      </c>
      <c r="I1666" s="74" t="str">
        <f t="shared" si="65"/>
        <v/>
      </c>
      <c r="J1666" s="32"/>
    </row>
    <row r="1667" spans="2:10" ht="15">
      <c r="B1667" s="31"/>
      <c r="C1667" s="30"/>
      <c r="D1667" s="119"/>
      <c r="E1667" s="32"/>
      <c r="G1667" s="31">
        <v>1625</v>
      </c>
      <c r="H1667" s="30" t="str">
        <f t="shared" si="64"/>
        <v/>
      </c>
      <c r="I1667" s="74" t="str">
        <f t="shared" si="65"/>
        <v/>
      </c>
      <c r="J1667" s="32"/>
    </row>
    <row r="1668" spans="2:10" ht="15">
      <c r="B1668" s="31"/>
      <c r="C1668" s="30"/>
      <c r="D1668" s="119"/>
      <c r="E1668" s="32"/>
      <c r="G1668" s="31">
        <v>1626</v>
      </c>
      <c r="H1668" s="30" t="str">
        <f t="shared" si="64"/>
        <v/>
      </c>
      <c r="I1668" s="74" t="str">
        <f t="shared" si="65"/>
        <v/>
      </c>
      <c r="J1668" s="32"/>
    </row>
    <row r="1669" spans="2:10" ht="15">
      <c r="B1669" s="31"/>
      <c r="C1669" s="30"/>
      <c r="D1669" s="119"/>
      <c r="E1669" s="32"/>
      <c r="G1669" s="31">
        <v>1627</v>
      </c>
      <c r="H1669" s="30" t="str">
        <f t="shared" si="64"/>
        <v/>
      </c>
      <c r="I1669" s="74" t="str">
        <f t="shared" si="65"/>
        <v/>
      </c>
      <c r="J1669" s="32"/>
    </row>
    <row r="1670" spans="2:10" ht="15">
      <c r="B1670" s="31"/>
      <c r="C1670" s="30"/>
      <c r="D1670" s="119"/>
      <c r="E1670" s="32"/>
      <c r="G1670" s="31">
        <v>1628</v>
      </c>
      <c r="H1670" s="30" t="str">
        <f t="shared" si="64"/>
        <v/>
      </c>
      <c r="I1670" s="74" t="str">
        <f t="shared" si="65"/>
        <v/>
      </c>
      <c r="J1670" s="32"/>
    </row>
    <row r="1671" spans="2:10" ht="15">
      <c r="B1671" s="31"/>
      <c r="C1671" s="30"/>
      <c r="D1671" s="119"/>
      <c r="E1671" s="32"/>
      <c r="G1671" s="31">
        <v>1629</v>
      </c>
      <c r="H1671" s="30" t="str">
        <f t="shared" si="64"/>
        <v/>
      </c>
      <c r="I1671" s="74" t="str">
        <f t="shared" si="65"/>
        <v/>
      </c>
      <c r="J1671" s="32"/>
    </row>
    <row r="1672" spans="2:10" ht="15">
      <c r="B1672" s="31"/>
      <c r="C1672" s="30"/>
      <c r="D1672" s="119"/>
      <c r="E1672" s="32"/>
      <c r="G1672" s="31">
        <v>1630</v>
      </c>
      <c r="H1672" s="30" t="str">
        <f t="shared" si="64"/>
        <v/>
      </c>
      <c r="I1672" s="74" t="str">
        <f t="shared" si="65"/>
        <v/>
      </c>
      <c r="J1672" s="32"/>
    </row>
    <row r="1673" spans="2:10" ht="15">
      <c r="B1673" s="31"/>
      <c r="C1673" s="30"/>
      <c r="D1673" s="119"/>
      <c r="E1673" s="32"/>
      <c r="G1673" s="31">
        <v>1631</v>
      </c>
      <c r="H1673" s="30" t="str">
        <f t="shared" si="64"/>
        <v/>
      </c>
      <c r="I1673" s="74" t="str">
        <f t="shared" si="65"/>
        <v/>
      </c>
      <c r="J1673" s="32"/>
    </row>
    <row r="1674" spans="2:10" ht="15">
      <c r="B1674" s="31"/>
      <c r="C1674" s="30"/>
      <c r="D1674" s="119"/>
      <c r="E1674" s="32"/>
      <c r="G1674" s="31">
        <v>1632</v>
      </c>
      <c r="H1674" s="30" t="str">
        <f t="shared" si="64"/>
        <v/>
      </c>
      <c r="I1674" s="74" t="str">
        <f t="shared" si="65"/>
        <v/>
      </c>
      <c r="J1674" s="32"/>
    </row>
    <row r="1675" spans="2:10" ht="15">
      <c r="B1675" s="31"/>
      <c r="C1675" s="30"/>
      <c r="D1675" s="119"/>
      <c r="E1675" s="32"/>
      <c r="G1675" s="31">
        <v>1633</v>
      </c>
      <c r="H1675" s="30" t="str">
        <f t="shared" si="64"/>
        <v/>
      </c>
      <c r="I1675" s="74" t="str">
        <f t="shared" si="65"/>
        <v/>
      </c>
      <c r="J1675" s="32"/>
    </row>
    <row r="1676" spans="2:10" ht="15">
      <c r="B1676" s="31"/>
      <c r="C1676" s="30"/>
      <c r="D1676" s="119"/>
      <c r="E1676" s="32"/>
      <c r="G1676" s="31">
        <v>1634</v>
      </c>
      <c r="H1676" s="30" t="str">
        <f t="shared" si="64"/>
        <v/>
      </c>
      <c r="I1676" s="74" t="str">
        <f t="shared" si="65"/>
        <v/>
      </c>
      <c r="J1676" s="32"/>
    </row>
    <row r="1677" spans="2:10" ht="15">
      <c r="B1677" s="31"/>
      <c r="C1677" s="30"/>
      <c r="D1677" s="119"/>
      <c r="E1677" s="32"/>
      <c r="G1677" s="31">
        <v>1635</v>
      </c>
      <c r="H1677" s="30" t="str">
        <f t="shared" si="64"/>
        <v/>
      </c>
      <c r="I1677" s="74" t="str">
        <f t="shared" si="65"/>
        <v/>
      </c>
      <c r="J1677" s="32"/>
    </row>
    <row r="1678" spans="2:10" ht="15">
      <c r="B1678" s="31"/>
      <c r="C1678" s="30"/>
      <c r="D1678" s="119"/>
      <c r="E1678" s="32"/>
      <c r="G1678" s="31">
        <v>1636</v>
      </c>
      <c r="H1678" s="30" t="str">
        <f t="shared" si="64"/>
        <v/>
      </c>
      <c r="I1678" s="74" t="str">
        <f t="shared" si="65"/>
        <v/>
      </c>
      <c r="J1678" s="32"/>
    </row>
    <row r="1679" spans="2:10" ht="15">
      <c r="B1679" s="31"/>
      <c r="C1679" s="30"/>
      <c r="D1679" s="119"/>
      <c r="E1679" s="32"/>
      <c r="G1679" s="31">
        <v>1637</v>
      </c>
      <c r="H1679" s="30" t="str">
        <f t="shared" si="64"/>
        <v/>
      </c>
      <c r="I1679" s="74" t="str">
        <f t="shared" si="65"/>
        <v/>
      </c>
      <c r="J1679" s="32"/>
    </row>
    <row r="1680" spans="2:10" ht="15">
      <c r="B1680" s="31"/>
      <c r="C1680" s="30"/>
      <c r="D1680" s="119"/>
      <c r="E1680" s="32"/>
      <c r="G1680" s="31">
        <v>1638</v>
      </c>
      <c r="H1680" s="30" t="str">
        <f t="shared" si="64"/>
        <v/>
      </c>
      <c r="I1680" s="74" t="str">
        <f t="shared" si="65"/>
        <v/>
      </c>
      <c r="J1680" s="32"/>
    </row>
    <row r="1681" spans="2:10" ht="15">
      <c r="B1681" s="31"/>
      <c r="C1681" s="30"/>
      <c r="D1681" s="119"/>
      <c r="E1681" s="32"/>
      <c r="G1681" s="31">
        <v>1639</v>
      </c>
      <c r="H1681" s="30" t="str">
        <f t="shared" si="64"/>
        <v/>
      </c>
      <c r="I1681" s="74" t="str">
        <f t="shared" si="65"/>
        <v/>
      </c>
      <c r="J1681" s="32"/>
    </row>
    <row r="1682" spans="2:10" ht="15">
      <c r="B1682" s="31"/>
      <c r="C1682" s="30"/>
      <c r="D1682" s="119"/>
      <c r="E1682" s="32"/>
      <c r="G1682" s="31">
        <v>1640</v>
      </c>
      <c r="H1682" s="30" t="str">
        <f t="shared" si="64"/>
        <v/>
      </c>
      <c r="I1682" s="74" t="str">
        <f t="shared" si="65"/>
        <v/>
      </c>
      <c r="J1682" s="32"/>
    </row>
    <row r="1683" spans="2:10" ht="15">
      <c r="B1683" s="31"/>
      <c r="C1683" s="30"/>
      <c r="D1683" s="119"/>
      <c r="E1683" s="32"/>
      <c r="G1683" s="31">
        <v>1641</v>
      </c>
      <c r="H1683" s="30" t="str">
        <f t="shared" si="64"/>
        <v/>
      </c>
      <c r="I1683" s="74" t="str">
        <f t="shared" si="65"/>
        <v/>
      </c>
      <c r="J1683" s="32"/>
    </row>
    <row r="1684" spans="2:10" ht="15">
      <c r="B1684" s="31"/>
      <c r="C1684" s="30"/>
      <c r="D1684" s="119"/>
      <c r="E1684" s="32"/>
      <c r="G1684" s="31">
        <v>1642</v>
      </c>
      <c r="H1684" s="30" t="str">
        <f t="shared" si="64"/>
        <v/>
      </c>
      <c r="I1684" s="74" t="str">
        <f t="shared" si="65"/>
        <v/>
      </c>
      <c r="J1684" s="32"/>
    </row>
    <row r="1685" spans="2:10" ht="15">
      <c r="B1685" s="31"/>
      <c r="C1685" s="30"/>
      <c r="D1685" s="119"/>
      <c r="E1685" s="32"/>
      <c r="G1685" s="31">
        <v>1643</v>
      </c>
      <c r="H1685" s="30" t="str">
        <f t="shared" si="64"/>
        <v/>
      </c>
      <c r="I1685" s="74" t="str">
        <f t="shared" si="65"/>
        <v/>
      </c>
      <c r="J1685" s="32"/>
    </row>
    <row r="1686" spans="2:10" ht="15">
      <c r="B1686" s="31"/>
      <c r="C1686" s="30"/>
      <c r="D1686" s="119"/>
      <c r="E1686" s="32"/>
      <c r="G1686" s="31">
        <v>1644</v>
      </c>
      <c r="H1686" s="30" t="str">
        <f t="shared" si="64"/>
        <v/>
      </c>
      <c r="I1686" s="74" t="str">
        <f t="shared" si="65"/>
        <v/>
      </c>
      <c r="J1686" s="32"/>
    </row>
    <row r="1687" spans="2:10" ht="15">
      <c r="B1687" s="31"/>
      <c r="C1687" s="30"/>
      <c r="D1687" s="119"/>
      <c r="E1687" s="32"/>
      <c r="G1687" s="31">
        <v>1645</v>
      </c>
      <c r="H1687" s="30" t="str">
        <f t="shared" si="64"/>
        <v/>
      </c>
      <c r="I1687" s="74" t="str">
        <f t="shared" si="65"/>
        <v/>
      </c>
      <c r="J1687" s="32"/>
    </row>
    <row r="1688" spans="2:10" ht="15">
      <c r="B1688" s="31"/>
      <c r="C1688" s="30"/>
      <c r="D1688" s="119"/>
      <c r="E1688" s="32"/>
      <c r="G1688" s="31">
        <v>1646</v>
      </c>
      <c r="H1688" s="30" t="str">
        <f t="shared" si="64"/>
        <v/>
      </c>
      <c r="I1688" s="74" t="str">
        <f t="shared" si="65"/>
        <v/>
      </c>
      <c r="J1688" s="32"/>
    </row>
    <row r="1689" spans="2:10" ht="15">
      <c r="B1689" s="31"/>
      <c r="C1689" s="30"/>
      <c r="D1689" s="119"/>
      <c r="E1689" s="32"/>
      <c r="G1689" s="31">
        <v>1647</v>
      </c>
      <c r="H1689" s="30" t="str">
        <f t="shared" si="64"/>
        <v/>
      </c>
      <c r="I1689" s="74" t="str">
        <f t="shared" si="65"/>
        <v/>
      </c>
      <c r="J1689" s="32"/>
    </row>
    <row r="1690" spans="2:10" ht="15">
      <c r="B1690" s="31"/>
      <c r="C1690" s="30"/>
      <c r="D1690" s="119"/>
      <c r="E1690" s="32"/>
      <c r="G1690" s="31">
        <v>1648</v>
      </c>
      <c r="H1690" s="30" t="str">
        <f t="shared" si="64"/>
        <v/>
      </c>
      <c r="I1690" s="74" t="str">
        <f t="shared" si="65"/>
        <v/>
      </c>
      <c r="J1690" s="32"/>
    </row>
    <row r="1691" spans="2:10" ht="15">
      <c r="B1691" s="31"/>
      <c r="C1691" s="30"/>
      <c r="D1691" s="119"/>
      <c r="E1691" s="32"/>
      <c r="G1691" s="31">
        <v>1649</v>
      </c>
      <c r="H1691" s="30" t="str">
        <f t="shared" si="64"/>
        <v/>
      </c>
      <c r="I1691" s="74" t="str">
        <f t="shared" si="65"/>
        <v/>
      </c>
      <c r="J1691" s="32"/>
    </row>
    <row r="1692" spans="2:10" ht="15">
      <c r="B1692" s="31"/>
      <c r="C1692" s="30"/>
      <c r="D1692" s="119"/>
      <c r="E1692" s="32"/>
      <c r="G1692" s="31">
        <v>1650</v>
      </c>
      <c r="H1692" s="30" t="str">
        <f t="shared" si="64"/>
        <v/>
      </c>
      <c r="I1692" s="74" t="str">
        <f t="shared" si="65"/>
        <v/>
      </c>
      <c r="J1692" s="32"/>
    </row>
    <row r="1693" spans="2:10" ht="15">
      <c r="B1693" s="31"/>
      <c r="C1693" s="30"/>
      <c r="D1693" s="119"/>
      <c r="E1693" s="32"/>
      <c r="G1693" s="31">
        <v>1651</v>
      </c>
      <c r="H1693" s="30" t="str">
        <f t="shared" si="64"/>
        <v/>
      </c>
      <c r="I1693" s="74" t="str">
        <f t="shared" si="65"/>
        <v/>
      </c>
      <c r="J1693" s="32"/>
    </row>
    <row r="1694" spans="2:10" ht="15">
      <c r="B1694" s="31"/>
      <c r="C1694" s="30"/>
      <c r="D1694" s="119"/>
      <c r="E1694" s="32"/>
      <c r="G1694" s="31">
        <v>1652</v>
      </c>
      <c r="H1694" s="30" t="str">
        <f t="shared" si="64"/>
        <v/>
      </c>
      <c r="I1694" s="74" t="str">
        <f t="shared" si="65"/>
        <v/>
      </c>
      <c r="J1694" s="32"/>
    </row>
    <row r="1695" spans="2:10" ht="15">
      <c r="B1695" s="31"/>
      <c r="C1695" s="30"/>
      <c r="D1695" s="119"/>
      <c r="E1695" s="32"/>
      <c r="G1695" s="31">
        <v>1653</v>
      </c>
      <c r="H1695" s="30" t="str">
        <f t="shared" si="64"/>
        <v/>
      </c>
      <c r="I1695" s="74" t="str">
        <f t="shared" si="65"/>
        <v/>
      </c>
      <c r="J1695" s="32"/>
    </row>
    <row r="1696" spans="2:10" ht="15">
      <c r="B1696" s="31"/>
      <c r="C1696" s="30"/>
      <c r="D1696" s="119"/>
      <c r="E1696" s="32"/>
      <c r="G1696" s="31">
        <v>1654</v>
      </c>
      <c r="H1696" s="30" t="str">
        <f t="shared" si="64"/>
        <v/>
      </c>
      <c r="I1696" s="74" t="str">
        <f t="shared" si="65"/>
        <v/>
      </c>
      <c r="J1696" s="32"/>
    </row>
    <row r="1697" spans="2:10" ht="15">
      <c r="B1697" s="31"/>
      <c r="C1697" s="30"/>
      <c r="D1697" s="119"/>
      <c r="E1697" s="32"/>
      <c r="G1697" s="31">
        <v>1655</v>
      </c>
      <c r="H1697" s="30" t="str">
        <f t="shared" si="64"/>
        <v/>
      </c>
      <c r="I1697" s="74" t="str">
        <f t="shared" si="65"/>
        <v/>
      </c>
      <c r="J1697" s="32"/>
    </row>
    <row r="1698" spans="2:10" ht="15">
      <c r="B1698" s="31"/>
      <c r="C1698" s="30"/>
      <c r="D1698" s="119"/>
      <c r="E1698" s="32"/>
      <c r="G1698" s="31">
        <v>1656</v>
      </c>
      <c r="H1698" s="30" t="str">
        <f t="shared" si="64"/>
        <v/>
      </c>
      <c r="I1698" s="74" t="str">
        <f t="shared" si="65"/>
        <v/>
      </c>
      <c r="J1698" s="32"/>
    </row>
    <row r="1699" spans="2:10" ht="15">
      <c r="B1699" s="31"/>
      <c r="C1699" s="30"/>
      <c r="D1699" s="119"/>
      <c r="E1699" s="32"/>
      <c r="G1699" s="31">
        <v>1657</v>
      </c>
      <c r="H1699" s="30" t="str">
        <f t="shared" si="64"/>
        <v/>
      </c>
      <c r="I1699" s="74" t="str">
        <f t="shared" si="65"/>
        <v/>
      </c>
      <c r="J1699" s="32"/>
    </row>
    <row r="1700" spans="2:10" ht="15">
      <c r="B1700" s="31"/>
      <c r="C1700" s="30"/>
      <c r="D1700" s="119"/>
      <c r="E1700" s="32"/>
      <c r="G1700" s="31">
        <v>1658</v>
      </c>
      <c r="H1700" s="30" t="str">
        <f t="shared" si="64"/>
        <v/>
      </c>
      <c r="I1700" s="74" t="str">
        <f t="shared" si="65"/>
        <v/>
      </c>
      <c r="J1700" s="32"/>
    </row>
    <row r="1701" spans="2:10" ht="15">
      <c r="B1701" s="31"/>
      <c r="C1701" s="30"/>
      <c r="D1701" s="119"/>
      <c r="E1701" s="32"/>
      <c r="G1701" s="31">
        <v>1659</v>
      </c>
      <c r="H1701" s="30" t="str">
        <f t="shared" si="64"/>
        <v/>
      </c>
      <c r="I1701" s="74" t="str">
        <f t="shared" si="65"/>
        <v/>
      </c>
      <c r="J1701" s="32"/>
    </row>
    <row r="1702" spans="2:10" ht="15">
      <c r="B1702" s="31"/>
      <c r="C1702" s="30"/>
      <c r="D1702" s="119"/>
      <c r="E1702" s="32"/>
      <c r="G1702" s="31">
        <v>1660</v>
      </c>
      <c r="H1702" s="30" t="str">
        <f t="shared" si="64"/>
        <v/>
      </c>
      <c r="I1702" s="74" t="str">
        <f t="shared" si="65"/>
        <v/>
      </c>
      <c r="J1702" s="32"/>
    </row>
    <row r="1703" spans="2:10" ht="15">
      <c r="B1703" s="31"/>
      <c r="C1703" s="30"/>
      <c r="D1703" s="119"/>
      <c r="E1703" s="32"/>
      <c r="G1703" s="31">
        <v>1661</v>
      </c>
      <c r="H1703" s="30" t="str">
        <f t="shared" si="64"/>
        <v/>
      </c>
      <c r="I1703" s="74" t="str">
        <f t="shared" si="65"/>
        <v/>
      </c>
      <c r="J1703" s="32"/>
    </row>
    <row r="1704" spans="2:10" ht="15">
      <c r="B1704" s="31"/>
      <c r="C1704" s="30"/>
      <c r="D1704" s="119"/>
      <c r="E1704" s="32"/>
      <c r="G1704" s="31">
        <v>1662</v>
      </c>
      <c r="H1704" s="30" t="str">
        <f t="shared" si="64"/>
        <v/>
      </c>
      <c r="I1704" s="74" t="str">
        <f t="shared" si="65"/>
        <v/>
      </c>
      <c r="J1704" s="32"/>
    </row>
    <row r="1705" spans="2:10" ht="15">
      <c r="B1705" s="31"/>
      <c r="C1705" s="30"/>
      <c r="D1705" s="119"/>
      <c r="E1705" s="32"/>
      <c r="G1705" s="31">
        <v>1663</v>
      </c>
      <c r="H1705" s="30" t="str">
        <f t="shared" si="64"/>
        <v/>
      </c>
      <c r="I1705" s="74" t="str">
        <f t="shared" si="65"/>
        <v/>
      </c>
      <c r="J1705" s="32"/>
    </row>
    <row r="1706" spans="2:10" ht="15">
      <c r="B1706" s="31"/>
      <c r="C1706" s="30"/>
      <c r="D1706" s="119"/>
      <c r="E1706" s="32"/>
      <c r="G1706" s="31">
        <v>1664</v>
      </c>
      <c r="H1706" s="30" t="str">
        <f t="shared" si="64"/>
        <v/>
      </c>
      <c r="I1706" s="74" t="str">
        <f t="shared" si="65"/>
        <v/>
      </c>
      <c r="J1706" s="32"/>
    </row>
    <row r="1707" spans="2:10" ht="15">
      <c r="B1707" s="31"/>
      <c r="C1707" s="30"/>
      <c r="D1707" s="119"/>
      <c r="E1707" s="32"/>
      <c r="G1707" s="31">
        <v>1665</v>
      </c>
      <c r="H1707" s="30" t="str">
        <f t="shared" si="64"/>
        <v/>
      </c>
      <c r="I1707" s="74" t="str">
        <f t="shared" si="65"/>
        <v/>
      </c>
      <c r="J1707" s="32"/>
    </row>
    <row r="1708" spans="2:10" ht="15">
      <c r="B1708" s="31"/>
      <c r="C1708" s="30"/>
      <c r="D1708" s="119"/>
      <c r="E1708" s="32"/>
      <c r="G1708" s="31">
        <v>1666</v>
      </c>
      <c r="H1708" s="30" t="str">
        <f t="shared" ref="H1708:H1771" si="66">MID($I$41,G1708*8-7,8)</f>
        <v/>
      </c>
      <c r="I1708" s="74" t="str">
        <f t="shared" ref="I1708:I1771" si="67">IFERROR(BIN2DEC(VALUE(H1708)),"")</f>
        <v/>
      </c>
      <c r="J1708" s="32"/>
    </row>
    <row r="1709" spans="2:10" ht="15">
      <c r="B1709" s="31"/>
      <c r="C1709" s="30"/>
      <c r="D1709" s="119"/>
      <c r="E1709" s="32"/>
      <c r="G1709" s="31">
        <v>1667</v>
      </c>
      <c r="H1709" s="30" t="str">
        <f t="shared" si="66"/>
        <v/>
      </c>
      <c r="I1709" s="74" t="str">
        <f t="shared" si="67"/>
        <v/>
      </c>
      <c r="J1709" s="32"/>
    </row>
    <row r="1710" spans="2:10" ht="15">
      <c r="B1710" s="31"/>
      <c r="C1710" s="30"/>
      <c r="D1710" s="119"/>
      <c r="E1710" s="32"/>
      <c r="G1710" s="31">
        <v>1668</v>
      </c>
      <c r="H1710" s="30" t="str">
        <f t="shared" si="66"/>
        <v/>
      </c>
      <c r="I1710" s="74" t="str">
        <f t="shared" si="67"/>
        <v/>
      </c>
      <c r="J1710" s="32"/>
    </row>
    <row r="1711" spans="2:10" ht="15">
      <c r="B1711" s="31"/>
      <c r="C1711" s="30"/>
      <c r="D1711" s="119"/>
      <c r="E1711" s="32"/>
      <c r="G1711" s="31">
        <v>1669</v>
      </c>
      <c r="H1711" s="30" t="str">
        <f t="shared" si="66"/>
        <v/>
      </c>
      <c r="I1711" s="74" t="str">
        <f t="shared" si="67"/>
        <v/>
      </c>
      <c r="J1711" s="32"/>
    </row>
    <row r="1712" spans="2:10" ht="15">
      <c r="B1712" s="31"/>
      <c r="C1712" s="30"/>
      <c r="D1712" s="119"/>
      <c r="E1712" s="32"/>
      <c r="G1712" s="31">
        <v>1670</v>
      </c>
      <c r="H1712" s="30" t="str">
        <f t="shared" si="66"/>
        <v/>
      </c>
      <c r="I1712" s="74" t="str">
        <f t="shared" si="67"/>
        <v/>
      </c>
      <c r="J1712" s="32"/>
    </row>
    <row r="1713" spans="2:10" ht="15">
      <c r="B1713" s="31"/>
      <c r="C1713" s="30"/>
      <c r="D1713" s="119"/>
      <c r="E1713" s="32"/>
      <c r="G1713" s="31">
        <v>1671</v>
      </c>
      <c r="H1713" s="30" t="str">
        <f t="shared" si="66"/>
        <v/>
      </c>
      <c r="I1713" s="74" t="str">
        <f t="shared" si="67"/>
        <v/>
      </c>
      <c r="J1713" s="32"/>
    </row>
    <row r="1714" spans="2:10" ht="15">
      <c r="B1714" s="31"/>
      <c r="C1714" s="30"/>
      <c r="D1714" s="119"/>
      <c r="E1714" s="32"/>
      <c r="G1714" s="31">
        <v>1672</v>
      </c>
      <c r="H1714" s="30" t="str">
        <f t="shared" si="66"/>
        <v/>
      </c>
      <c r="I1714" s="74" t="str">
        <f t="shared" si="67"/>
        <v/>
      </c>
      <c r="J1714" s="32"/>
    </row>
    <row r="1715" spans="2:10" ht="15">
      <c r="B1715" s="31"/>
      <c r="C1715" s="30"/>
      <c r="D1715" s="119"/>
      <c r="E1715" s="32"/>
      <c r="G1715" s="31">
        <v>1673</v>
      </c>
      <c r="H1715" s="30" t="str">
        <f t="shared" si="66"/>
        <v/>
      </c>
      <c r="I1715" s="74" t="str">
        <f t="shared" si="67"/>
        <v/>
      </c>
      <c r="J1715" s="32"/>
    </row>
    <row r="1716" spans="2:10" ht="15">
      <c r="B1716" s="31"/>
      <c r="C1716" s="30"/>
      <c r="D1716" s="119"/>
      <c r="E1716" s="32"/>
      <c r="G1716" s="31">
        <v>1674</v>
      </c>
      <c r="H1716" s="30" t="str">
        <f t="shared" si="66"/>
        <v/>
      </c>
      <c r="I1716" s="74" t="str">
        <f t="shared" si="67"/>
        <v/>
      </c>
      <c r="J1716" s="32"/>
    </row>
    <row r="1717" spans="2:10" ht="15">
      <c r="B1717" s="31"/>
      <c r="C1717" s="30"/>
      <c r="D1717" s="119"/>
      <c r="E1717" s="32"/>
      <c r="G1717" s="31">
        <v>1675</v>
      </c>
      <c r="H1717" s="30" t="str">
        <f t="shared" si="66"/>
        <v/>
      </c>
      <c r="I1717" s="74" t="str">
        <f t="shared" si="67"/>
        <v/>
      </c>
      <c r="J1717" s="32"/>
    </row>
    <row r="1718" spans="2:10" ht="15">
      <c r="B1718" s="31"/>
      <c r="C1718" s="30"/>
      <c r="D1718" s="119"/>
      <c r="E1718" s="32"/>
      <c r="G1718" s="31">
        <v>1676</v>
      </c>
      <c r="H1718" s="30" t="str">
        <f t="shared" si="66"/>
        <v/>
      </c>
      <c r="I1718" s="74" t="str">
        <f t="shared" si="67"/>
        <v/>
      </c>
      <c r="J1718" s="32"/>
    </row>
    <row r="1719" spans="2:10" ht="15">
      <c r="B1719" s="31"/>
      <c r="C1719" s="30"/>
      <c r="D1719" s="119"/>
      <c r="E1719" s="32"/>
      <c r="G1719" s="31">
        <v>1677</v>
      </c>
      <c r="H1719" s="30" t="str">
        <f t="shared" si="66"/>
        <v/>
      </c>
      <c r="I1719" s="74" t="str">
        <f t="shared" si="67"/>
        <v/>
      </c>
      <c r="J1719" s="32"/>
    </row>
    <row r="1720" spans="2:10" ht="15">
      <c r="B1720" s="31"/>
      <c r="C1720" s="30"/>
      <c r="D1720" s="119"/>
      <c r="E1720" s="32"/>
      <c r="G1720" s="31">
        <v>1678</v>
      </c>
      <c r="H1720" s="30" t="str">
        <f t="shared" si="66"/>
        <v/>
      </c>
      <c r="I1720" s="74" t="str">
        <f t="shared" si="67"/>
        <v/>
      </c>
      <c r="J1720" s="32"/>
    </row>
    <row r="1721" spans="2:10" ht="15">
      <c r="B1721" s="31"/>
      <c r="C1721" s="30"/>
      <c r="D1721" s="119"/>
      <c r="E1721" s="32"/>
      <c r="G1721" s="31">
        <v>1679</v>
      </c>
      <c r="H1721" s="30" t="str">
        <f t="shared" si="66"/>
        <v/>
      </c>
      <c r="I1721" s="74" t="str">
        <f t="shared" si="67"/>
        <v/>
      </c>
      <c r="J1721" s="32"/>
    </row>
    <row r="1722" spans="2:10" ht="15">
      <c r="B1722" s="31"/>
      <c r="C1722" s="30"/>
      <c r="D1722" s="119"/>
      <c r="E1722" s="32"/>
      <c r="G1722" s="31">
        <v>1680</v>
      </c>
      <c r="H1722" s="30" t="str">
        <f t="shared" si="66"/>
        <v/>
      </c>
      <c r="I1722" s="74" t="str">
        <f t="shared" si="67"/>
        <v/>
      </c>
      <c r="J1722" s="32"/>
    </row>
    <row r="1723" spans="2:10" ht="15">
      <c r="B1723" s="31"/>
      <c r="C1723" s="30"/>
      <c r="D1723" s="119"/>
      <c r="E1723" s="32"/>
      <c r="G1723" s="31">
        <v>1681</v>
      </c>
      <c r="H1723" s="30" t="str">
        <f t="shared" si="66"/>
        <v/>
      </c>
      <c r="I1723" s="74" t="str">
        <f t="shared" si="67"/>
        <v/>
      </c>
      <c r="J1723" s="32"/>
    </row>
    <row r="1724" spans="2:10" ht="15">
      <c r="B1724" s="31"/>
      <c r="C1724" s="30"/>
      <c r="D1724" s="119"/>
      <c r="E1724" s="32"/>
      <c r="G1724" s="31">
        <v>1682</v>
      </c>
      <c r="H1724" s="30" t="str">
        <f t="shared" si="66"/>
        <v/>
      </c>
      <c r="I1724" s="74" t="str">
        <f t="shared" si="67"/>
        <v/>
      </c>
      <c r="J1724" s="32"/>
    </row>
    <row r="1725" spans="2:10" ht="15">
      <c r="B1725" s="31"/>
      <c r="C1725" s="30"/>
      <c r="D1725" s="119"/>
      <c r="E1725" s="32"/>
      <c r="G1725" s="31">
        <v>1683</v>
      </c>
      <c r="H1725" s="30" t="str">
        <f t="shared" si="66"/>
        <v/>
      </c>
      <c r="I1725" s="74" t="str">
        <f t="shared" si="67"/>
        <v/>
      </c>
      <c r="J1725" s="32"/>
    </row>
    <row r="1726" spans="2:10" ht="15">
      <c r="B1726" s="31"/>
      <c r="C1726" s="30"/>
      <c r="D1726" s="119"/>
      <c r="E1726" s="32"/>
      <c r="G1726" s="31">
        <v>1684</v>
      </c>
      <c r="H1726" s="30" t="str">
        <f t="shared" si="66"/>
        <v/>
      </c>
      <c r="I1726" s="74" t="str">
        <f t="shared" si="67"/>
        <v/>
      </c>
      <c r="J1726" s="32"/>
    </row>
    <row r="1727" spans="2:10" ht="15">
      <c r="B1727" s="31"/>
      <c r="C1727" s="30"/>
      <c r="D1727" s="119"/>
      <c r="E1727" s="32"/>
      <c r="G1727" s="31">
        <v>1685</v>
      </c>
      <c r="H1727" s="30" t="str">
        <f t="shared" si="66"/>
        <v/>
      </c>
      <c r="I1727" s="74" t="str">
        <f t="shared" si="67"/>
        <v/>
      </c>
      <c r="J1727" s="32"/>
    </row>
    <row r="1728" spans="2:10" ht="15">
      <c r="B1728" s="31"/>
      <c r="C1728" s="30"/>
      <c r="D1728" s="119"/>
      <c r="E1728" s="32"/>
      <c r="G1728" s="31">
        <v>1686</v>
      </c>
      <c r="H1728" s="30" t="str">
        <f t="shared" si="66"/>
        <v/>
      </c>
      <c r="I1728" s="74" t="str">
        <f t="shared" si="67"/>
        <v/>
      </c>
      <c r="J1728" s="32"/>
    </row>
    <row r="1729" spans="2:10" ht="15">
      <c r="B1729" s="31"/>
      <c r="C1729" s="30"/>
      <c r="D1729" s="119"/>
      <c r="E1729" s="32"/>
      <c r="G1729" s="31">
        <v>1687</v>
      </c>
      <c r="H1729" s="30" t="str">
        <f t="shared" si="66"/>
        <v/>
      </c>
      <c r="I1729" s="74" t="str">
        <f t="shared" si="67"/>
        <v/>
      </c>
      <c r="J1729" s="32"/>
    </row>
    <row r="1730" spans="2:10" ht="15">
      <c r="B1730" s="31"/>
      <c r="C1730" s="30"/>
      <c r="D1730" s="119"/>
      <c r="E1730" s="32"/>
      <c r="G1730" s="31">
        <v>1688</v>
      </c>
      <c r="H1730" s="30" t="str">
        <f t="shared" si="66"/>
        <v/>
      </c>
      <c r="I1730" s="74" t="str">
        <f t="shared" si="67"/>
        <v/>
      </c>
      <c r="J1730" s="32"/>
    </row>
    <row r="1731" spans="2:10" ht="15">
      <c r="B1731" s="31"/>
      <c r="C1731" s="30"/>
      <c r="D1731" s="119"/>
      <c r="E1731" s="32"/>
      <c r="G1731" s="31">
        <v>1689</v>
      </c>
      <c r="H1731" s="30" t="str">
        <f t="shared" si="66"/>
        <v/>
      </c>
      <c r="I1731" s="74" t="str">
        <f t="shared" si="67"/>
        <v/>
      </c>
      <c r="J1731" s="32"/>
    </row>
    <row r="1732" spans="2:10" ht="15">
      <c r="B1732" s="31"/>
      <c r="C1732" s="30"/>
      <c r="D1732" s="119"/>
      <c r="E1732" s="32"/>
      <c r="G1732" s="31">
        <v>1690</v>
      </c>
      <c r="H1732" s="30" t="str">
        <f t="shared" si="66"/>
        <v/>
      </c>
      <c r="I1732" s="74" t="str">
        <f t="shared" si="67"/>
        <v/>
      </c>
      <c r="J1732" s="32"/>
    </row>
    <row r="1733" spans="2:10" ht="15">
      <c r="B1733" s="31"/>
      <c r="C1733" s="30"/>
      <c r="D1733" s="119"/>
      <c r="E1733" s="32"/>
      <c r="G1733" s="31">
        <v>1691</v>
      </c>
      <c r="H1733" s="30" t="str">
        <f t="shared" si="66"/>
        <v/>
      </c>
      <c r="I1733" s="74" t="str">
        <f t="shared" si="67"/>
        <v/>
      </c>
      <c r="J1733" s="32"/>
    </row>
    <row r="1734" spans="2:10" ht="15">
      <c r="B1734" s="31"/>
      <c r="C1734" s="30"/>
      <c r="D1734" s="119"/>
      <c r="E1734" s="32"/>
      <c r="G1734" s="31">
        <v>1692</v>
      </c>
      <c r="H1734" s="30" t="str">
        <f t="shared" si="66"/>
        <v/>
      </c>
      <c r="I1734" s="74" t="str">
        <f t="shared" si="67"/>
        <v/>
      </c>
      <c r="J1734" s="32"/>
    </row>
    <row r="1735" spans="2:10" ht="15">
      <c r="B1735" s="31"/>
      <c r="C1735" s="30"/>
      <c r="D1735" s="119"/>
      <c r="E1735" s="32"/>
      <c r="G1735" s="31">
        <v>1693</v>
      </c>
      <c r="H1735" s="30" t="str">
        <f t="shared" si="66"/>
        <v/>
      </c>
      <c r="I1735" s="74" t="str">
        <f t="shared" si="67"/>
        <v/>
      </c>
      <c r="J1735" s="32"/>
    </row>
    <row r="1736" spans="2:10" ht="15">
      <c r="B1736" s="31"/>
      <c r="C1736" s="30"/>
      <c r="D1736" s="119"/>
      <c r="E1736" s="32"/>
      <c r="G1736" s="31">
        <v>1694</v>
      </c>
      <c r="H1736" s="30" t="str">
        <f t="shared" si="66"/>
        <v/>
      </c>
      <c r="I1736" s="74" t="str">
        <f t="shared" si="67"/>
        <v/>
      </c>
      <c r="J1736" s="32"/>
    </row>
    <row r="1737" spans="2:10" ht="15">
      <c r="B1737" s="31"/>
      <c r="C1737" s="30"/>
      <c r="D1737" s="119"/>
      <c r="E1737" s="32"/>
      <c r="G1737" s="31">
        <v>1695</v>
      </c>
      <c r="H1737" s="30" t="str">
        <f t="shared" si="66"/>
        <v/>
      </c>
      <c r="I1737" s="74" t="str">
        <f t="shared" si="67"/>
        <v/>
      </c>
      <c r="J1737" s="32"/>
    </row>
    <row r="1738" spans="2:10" ht="15">
      <c r="B1738" s="31"/>
      <c r="C1738" s="30"/>
      <c r="D1738" s="119"/>
      <c r="E1738" s="32"/>
      <c r="G1738" s="31">
        <v>1696</v>
      </c>
      <c r="H1738" s="30" t="str">
        <f t="shared" si="66"/>
        <v/>
      </c>
      <c r="I1738" s="74" t="str">
        <f t="shared" si="67"/>
        <v/>
      </c>
      <c r="J1738" s="32"/>
    </row>
    <row r="1739" spans="2:10" ht="15">
      <c r="B1739" s="31"/>
      <c r="C1739" s="30"/>
      <c r="D1739" s="119"/>
      <c r="E1739" s="32"/>
      <c r="G1739" s="31">
        <v>1697</v>
      </c>
      <c r="H1739" s="30" t="str">
        <f t="shared" si="66"/>
        <v/>
      </c>
      <c r="I1739" s="74" t="str">
        <f t="shared" si="67"/>
        <v/>
      </c>
      <c r="J1739" s="32"/>
    </row>
    <row r="1740" spans="2:10" ht="15">
      <c r="B1740" s="31"/>
      <c r="C1740" s="30"/>
      <c r="D1740" s="119"/>
      <c r="E1740" s="32"/>
      <c r="G1740" s="31">
        <v>1698</v>
      </c>
      <c r="H1740" s="30" t="str">
        <f t="shared" si="66"/>
        <v/>
      </c>
      <c r="I1740" s="74" t="str">
        <f t="shared" si="67"/>
        <v/>
      </c>
      <c r="J1740" s="32"/>
    </row>
    <row r="1741" spans="2:10" ht="15">
      <c r="B1741" s="31"/>
      <c r="C1741" s="30"/>
      <c r="D1741" s="119"/>
      <c r="E1741" s="32"/>
      <c r="G1741" s="31">
        <v>1699</v>
      </c>
      <c r="H1741" s="30" t="str">
        <f t="shared" si="66"/>
        <v/>
      </c>
      <c r="I1741" s="74" t="str">
        <f t="shared" si="67"/>
        <v/>
      </c>
      <c r="J1741" s="32"/>
    </row>
    <row r="1742" spans="2:10" ht="15">
      <c r="B1742" s="31"/>
      <c r="C1742" s="30"/>
      <c r="D1742" s="119"/>
      <c r="E1742" s="32"/>
      <c r="G1742" s="31">
        <v>1700</v>
      </c>
      <c r="H1742" s="30" t="str">
        <f t="shared" si="66"/>
        <v/>
      </c>
      <c r="I1742" s="74" t="str">
        <f t="shared" si="67"/>
        <v/>
      </c>
      <c r="J1742" s="32"/>
    </row>
    <row r="1743" spans="2:10" ht="15">
      <c r="B1743" s="31"/>
      <c r="C1743" s="30"/>
      <c r="D1743" s="119"/>
      <c r="E1743" s="32"/>
      <c r="G1743" s="31">
        <v>1701</v>
      </c>
      <c r="H1743" s="30" t="str">
        <f t="shared" si="66"/>
        <v/>
      </c>
      <c r="I1743" s="74" t="str">
        <f t="shared" si="67"/>
        <v/>
      </c>
      <c r="J1743" s="32"/>
    </row>
    <row r="1744" spans="2:10" ht="15">
      <c r="B1744" s="31"/>
      <c r="C1744" s="30"/>
      <c r="D1744" s="119"/>
      <c r="E1744" s="32"/>
      <c r="G1744" s="31">
        <v>1702</v>
      </c>
      <c r="H1744" s="30" t="str">
        <f t="shared" si="66"/>
        <v/>
      </c>
      <c r="I1744" s="74" t="str">
        <f t="shared" si="67"/>
        <v/>
      </c>
      <c r="J1744" s="32"/>
    </row>
    <row r="1745" spans="2:10" ht="15">
      <c r="B1745" s="31"/>
      <c r="C1745" s="30"/>
      <c r="D1745" s="119"/>
      <c r="E1745" s="32"/>
      <c r="G1745" s="31">
        <v>1703</v>
      </c>
      <c r="H1745" s="30" t="str">
        <f t="shared" si="66"/>
        <v/>
      </c>
      <c r="I1745" s="74" t="str">
        <f t="shared" si="67"/>
        <v/>
      </c>
      <c r="J1745" s="32"/>
    </row>
    <row r="1746" spans="2:10" ht="15">
      <c r="B1746" s="31"/>
      <c r="C1746" s="30"/>
      <c r="D1746" s="119"/>
      <c r="E1746" s="32"/>
      <c r="G1746" s="31">
        <v>1704</v>
      </c>
      <c r="H1746" s="30" t="str">
        <f t="shared" si="66"/>
        <v/>
      </c>
      <c r="I1746" s="74" t="str">
        <f t="shared" si="67"/>
        <v/>
      </c>
      <c r="J1746" s="32"/>
    </row>
    <row r="1747" spans="2:10" ht="15">
      <c r="B1747" s="31"/>
      <c r="C1747" s="30"/>
      <c r="D1747" s="119"/>
      <c r="E1747" s="32"/>
      <c r="G1747" s="31">
        <v>1705</v>
      </c>
      <c r="H1747" s="30" t="str">
        <f t="shared" si="66"/>
        <v/>
      </c>
      <c r="I1747" s="74" t="str">
        <f t="shared" si="67"/>
        <v/>
      </c>
      <c r="J1747" s="32"/>
    </row>
    <row r="1748" spans="2:10" ht="15">
      <c r="B1748" s="31"/>
      <c r="C1748" s="30"/>
      <c r="D1748" s="119"/>
      <c r="E1748" s="32"/>
      <c r="G1748" s="31">
        <v>1706</v>
      </c>
      <c r="H1748" s="30" t="str">
        <f t="shared" si="66"/>
        <v/>
      </c>
      <c r="I1748" s="74" t="str">
        <f t="shared" si="67"/>
        <v/>
      </c>
      <c r="J1748" s="32"/>
    </row>
    <row r="1749" spans="2:10" ht="15">
      <c r="B1749" s="31"/>
      <c r="C1749" s="30"/>
      <c r="D1749" s="119"/>
      <c r="E1749" s="32"/>
      <c r="G1749" s="31">
        <v>1707</v>
      </c>
      <c r="H1749" s="30" t="str">
        <f t="shared" si="66"/>
        <v/>
      </c>
      <c r="I1749" s="74" t="str">
        <f t="shared" si="67"/>
        <v/>
      </c>
      <c r="J1749" s="32"/>
    </row>
    <row r="1750" spans="2:10" ht="15">
      <c r="B1750" s="31"/>
      <c r="C1750" s="30"/>
      <c r="D1750" s="119"/>
      <c r="E1750" s="32"/>
      <c r="G1750" s="31">
        <v>1708</v>
      </c>
      <c r="H1750" s="30" t="str">
        <f t="shared" si="66"/>
        <v/>
      </c>
      <c r="I1750" s="74" t="str">
        <f t="shared" si="67"/>
        <v/>
      </c>
      <c r="J1750" s="32"/>
    </row>
    <row r="1751" spans="2:10" ht="15">
      <c r="B1751" s="31"/>
      <c r="C1751" s="30"/>
      <c r="D1751" s="119"/>
      <c r="E1751" s="32"/>
      <c r="G1751" s="31">
        <v>1709</v>
      </c>
      <c r="H1751" s="30" t="str">
        <f t="shared" si="66"/>
        <v/>
      </c>
      <c r="I1751" s="74" t="str">
        <f t="shared" si="67"/>
        <v/>
      </c>
      <c r="J1751" s="32"/>
    </row>
    <row r="1752" spans="2:10" ht="15">
      <c r="B1752" s="31"/>
      <c r="C1752" s="30"/>
      <c r="D1752" s="119"/>
      <c r="E1752" s="32"/>
      <c r="G1752" s="31">
        <v>1710</v>
      </c>
      <c r="H1752" s="30" t="str">
        <f t="shared" si="66"/>
        <v/>
      </c>
      <c r="I1752" s="74" t="str">
        <f t="shared" si="67"/>
        <v/>
      </c>
      <c r="J1752" s="32"/>
    </row>
    <row r="1753" spans="2:10" ht="15">
      <c r="B1753" s="31"/>
      <c r="C1753" s="30"/>
      <c r="D1753" s="119"/>
      <c r="E1753" s="32"/>
      <c r="G1753" s="31">
        <v>1711</v>
      </c>
      <c r="H1753" s="30" t="str">
        <f t="shared" si="66"/>
        <v/>
      </c>
      <c r="I1753" s="74" t="str">
        <f t="shared" si="67"/>
        <v/>
      </c>
      <c r="J1753" s="32"/>
    </row>
    <row r="1754" spans="2:10" ht="15">
      <c r="B1754" s="31"/>
      <c r="C1754" s="30"/>
      <c r="D1754" s="119"/>
      <c r="E1754" s="32"/>
      <c r="G1754" s="31">
        <v>1712</v>
      </c>
      <c r="H1754" s="30" t="str">
        <f t="shared" si="66"/>
        <v/>
      </c>
      <c r="I1754" s="74" t="str">
        <f t="shared" si="67"/>
        <v/>
      </c>
      <c r="J1754" s="32"/>
    </row>
    <row r="1755" spans="2:10" ht="15">
      <c r="B1755" s="31"/>
      <c r="C1755" s="30"/>
      <c r="D1755" s="119"/>
      <c r="E1755" s="32"/>
      <c r="G1755" s="31">
        <v>1713</v>
      </c>
      <c r="H1755" s="30" t="str">
        <f t="shared" si="66"/>
        <v/>
      </c>
      <c r="I1755" s="74" t="str">
        <f t="shared" si="67"/>
        <v/>
      </c>
      <c r="J1755" s="32"/>
    </row>
    <row r="1756" spans="2:10" ht="15">
      <c r="B1756" s="31"/>
      <c r="C1756" s="30"/>
      <c r="D1756" s="119"/>
      <c r="E1756" s="32"/>
      <c r="G1756" s="31">
        <v>1714</v>
      </c>
      <c r="H1756" s="30" t="str">
        <f t="shared" si="66"/>
        <v/>
      </c>
      <c r="I1756" s="74" t="str">
        <f t="shared" si="67"/>
        <v/>
      </c>
      <c r="J1756" s="32"/>
    </row>
    <row r="1757" spans="2:10" ht="15">
      <c r="B1757" s="31"/>
      <c r="C1757" s="30"/>
      <c r="D1757" s="119"/>
      <c r="E1757" s="32"/>
      <c r="G1757" s="31">
        <v>1715</v>
      </c>
      <c r="H1757" s="30" t="str">
        <f t="shared" si="66"/>
        <v/>
      </c>
      <c r="I1757" s="74" t="str">
        <f t="shared" si="67"/>
        <v/>
      </c>
      <c r="J1757" s="32"/>
    </row>
    <row r="1758" spans="2:10" ht="15">
      <c r="B1758" s="31"/>
      <c r="C1758" s="30"/>
      <c r="D1758" s="119"/>
      <c r="E1758" s="32"/>
      <c r="G1758" s="31">
        <v>1716</v>
      </c>
      <c r="H1758" s="30" t="str">
        <f t="shared" si="66"/>
        <v/>
      </c>
      <c r="I1758" s="74" t="str">
        <f t="shared" si="67"/>
        <v/>
      </c>
      <c r="J1758" s="32"/>
    </row>
    <row r="1759" spans="2:10" ht="15">
      <c r="B1759" s="31"/>
      <c r="C1759" s="30"/>
      <c r="D1759" s="119"/>
      <c r="E1759" s="32"/>
      <c r="G1759" s="31">
        <v>1717</v>
      </c>
      <c r="H1759" s="30" t="str">
        <f t="shared" si="66"/>
        <v/>
      </c>
      <c r="I1759" s="74" t="str">
        <f t="shared" si="67"/>
        <v/>
      </c>
      <c r="J1759" s="32"/>
    </row>
    <row r="1760" spans="2:10" ht="15">
      <c r="B1760" s="31"/>
      <c r="C1760" s="30"/>
      <c r="D1760" s="119"/>
      <c r="E1760" s="32"/>
      <c r="G1760" s="31">
        <v>1718</v>
      </c>
      <c r="H1760" s="30" t="str">
        <f t="shared" si="66"/>
        <v/>
      </c>
      <c r="I1760" s="74" t="str">
        <f t="shared" si="67"/>
        <v/>
      </c>
      <c r="J1760" s="32"/>
    </row>
    <row r="1761" spans="2:10" ht="15">
      <c r="B1761" s="31"/>
      <c r="C1761" s="30"/>
      <c r="D1761" s="119"/>
      <c r="E1761" s="32"/>
      <c r="G1761" s="31">
        <v>1719</v>
      </c>
      <c r="H1761" s="30" t="str">
        <f t="shared" si="66"/>
        <v/>
      </c>
      <c r="I1761" s="74" t="str">
        <f t="shared" si="67"/>
        <v/>
      </c>
      <c r="J1761" s="32"/>
    </row>
    <row r="1762" spans="2:10" ht="15">
      <c r="B1762" s="31"/>
      <c r="C1762" s="30"/>
      <c r="D1762" s="119"/>
      <c r="E1762" s="32"/>
      <c r="G1762" s="31">
        <v>1720</v>
      </c>
      <c r="H1762" s="30" t="str">
        <f t="shared" si="66"/>
        <v/>
      </c>
      <c r="I1762" s="74" t="str">
        <f t="shared" si="67"/>
        <v/>
      </c>
      <c r="J1762" s="32"/>
    </row>
    <row r="1763" spans="2:10" ht="15">
      <c r="B1763" s="31"/>
      <c r="C1763" s="30"/>
      <c r="D1763" s="119"/>
      <c r="E1763" s="32"/>
      <c r="G1763" s="31">
        <v>1721</v>
      </c>
      <c r="H1763" s="30" t="str">
        <f t="shared" si="66"/>
        <v/>
      </c>
      <c r="I1763" s="74" t="str">
        <f t="shared" si="67"/>
        <v/>
      </c>
      <c r="J1763" s="32"/>
    </row>
    <row r="1764" spans="2:10" ht="15">
      <c r="B1764" s="31"/>
      <c r="C1764" s="30"/>
      <c r="D1764" s="119"/>
      <c r="E1764" s="32"/>
      <c r="G1764" s="31">
        <v>1722</v>
      </c>
      <c r="H1764" s="30" t="str">
        <f t="shared" si="66"/>
        <v/>
      </c>
      <c r="I1764" s="74" t="str">
        <f t="shared" si="67"/>
        <v/>
      </c>
      <c r="J1764" s="32"/>
    </row>
    <row r="1765" spans="2:10" ht="15">
      <c r="B1765" s="31"/>
      <c r="C1765" s="30"/>
      <c r="D1765" s="119"/>
      <c r="E1765" s="32"/>
      <c r="G1765" s="31">
        <v>1723</v>
      </c>
      <c r="H1765" s="30" t="str">
        <f t="shared" si="66"/>
        <v/>
      </c>
      <c r="I1765" s="74" t="str">
        <f t="shared" si="67"/>
        <v/>
      </c>
      <c r="J1765" s="32"/>
    </row>
    <row r="1766" spans="2:10" ht="15">
      <c r="B1766" s="31"/>
      <c r="C1766" s="30"/>
      <c r="D1766" s="119"/>
      <c r="E1766" s="32"/>
      <c r="G1766" s="31">
        <v>1724</v>
      </c>
      <c r="H1766" s="30" t="str">
        <f t="shared" si="66"/>
        <v/>
      </c>
      <c r="I1766" s="74" t="str">
        <f t="shared" si="67"/>
        <v/>
      </c>
      <c r="J1766" s="32"/>
    </row>
    <row r="1767" spans="2:10" ht="15">
      <c r="B1767" s="31"/>
      <c r="C1767" s="30"/>
      <c r="D1767" s="119"/>
      <c r="E1767" s="32"/>
      <c r="G1767" s="31">
        <v>1725</v>
      </c>
      <c r="H1767" s="30" t="str">
        <f t="shared" si="66"/>
        <v/>
      </c>
      <c r="I1767" s="74" t="str">
        <f t="shared" si="67"/>
        <v/>
      </c>
      <c r="J1767" s="32"/>
    </row>
    <row r="1768" spans="2:10" ht="15">
      <c r="B1768" s="31"/>
      <c r="C1768" s="30"/>
      <c r="D1768" s="119"/>
      <c r="E1768" s="32"/>
      <c r="G1768" s="31">
        <v>1726</v>
      </c>
      <c r="H1768" s="30" t="str">
        <f t="shared" si="66"/>
        <v/>
      </c>
      <c r="I1768" s="74" t="str">
        <f t="shared" si="67"/>
        <v/>
      </c>
      <c r="J1768" s="32"/>
    </row>
    <row r="1769" spans="2:10" ht="15">
      <c r="B1769" s="31"/>
      <c r="C1769" s="30"/>
      <c r="D1769" s="119"/>
      <c r="E1769" s="32"/>
      <c r="G1769" s="31">
        <v>1727</v>
      </c>
      <c r="H1769" s="30" t="str">
        <f t="shared" si="66"/>
        <v/>
      </c>
      <c r="I1769" s="74" t="str">
        <f t="shared" si="67"/>
        <v/>
      </c>
      <c r="J1769" s="32"/>
    </row>
    <row r="1770" spans="2:10" ht="15">
      <c r="B1770" s="31"/>
      <c r="C1770" s="30"/>
      <c r="D1770" s="119"/>
      <c r="E1770" s="32"/>
      <c r="G1770" s="31">
        <v>1728</v>
      </c>
      <c r="H1770" s="30" t="str">
        <f t="shared" si="66"/>
        <v/>
      </c>
      <c r="I1770" s="74" t="str">
        <f t="shared" si="67"/>
        <v/>
      </c>
      <c r="J1770" s="32"/>
    </row>
    <row r="1771" spans="2:10" ht="15">
      <c r="B1771" s="31"/>
      <c r="C1771" s="30"/>
      <c r="D1771" s="119"/>
      <c r="E1771" s="32"/>
      <c r="G1771" s="31">
        <v>1729</v>
      </c>
      <c r="H1771" s="30" t="str">
        <f t="shared" si="66"/>
        <v/>
      </c>
      <c r="I1771" s="74" t="str">
        <f t="shared" si="67"/>
        <v/>
      </c>
      <c r="J1771" s="32"/>
    </row>
    <row r="1772" spans="2:10" ht="15">
      <c r="B1772" s="31"/>
      <c r="C1772" s="30"/>
      <c r="D1772" s="119"/>
      <c r="E1772" s="32"/>
      <c r="G1772" s="31">
        <v>1730</v>
      </c>
      <c r="H1772" s="30" t="str">
        <f t="shared" ref="H1772:H1835" si="68">MID($I$41,G1772*8-7,8)</f>
        <v/>
      </c>
      <c r="I1772" s="74" t="str">
        <f t="shared" ref="I1772:I1835" si="69">IFERROR(BIN2DEC(VALUE(H1772)),"")</f>
        <v/>
      </c>
      <c r="J1772" s="32"/>
    </row>
    <row r="1773" spans="2:10" ht="15">
      <c r="B1773" s="31"/>
      <c r="C1773" s="30"/>
      <c r="D1773" s="119"/>
      <c r="E1773" s="32"/>
      <c r="G1773" s="31">
        <v>1731</v>
      </c>
      <c r="H1773" s="30" t="str">
        <f t="shared" si="68"/>
        <v/>
      </c>
      <c r="I1773" s="74" t="str">
        <f t="shared" si="69"/>
        <v/>
      </c>
      <c r="J1773" s="32"/>
    </row>
    <row r="1774" spans="2:10" ht="15">
      <c r="B1774" s="31"/>
      <c r="C1774" s="30"/>
      <c r="D1774" s="119"/>
      <c r="E1774" s="32"/>
      <c r="G1774" s="31">
        <v>1732</v>
      </c>
      <c r="H1774" s="30" t="str">
        <f t="shared" si="68"/>
        <v/>
      </c>
      <c r="I1774" s="74" t="str">
        <f t="shared" si="69"/>
        <v/>
      </c>
      <c r="J1774" s="32"/>
    </row>
    <row r="1775" spans="2:10" ht="15">
      <c r="B1775" s="31"/>
      <c r="C1775" s="30"/>
      <c r="D1775" s="119"/>
      <c r="E1775" s="32"/>
      <c r="G1775" s="31">
        <v>1733</v>
      </c>
      <c r="H1775" s="30" t="str">
        <f t="shared" si="68"/>
        <v/>
      </c>
      <c r="I1775" s="74" t="str">
        <f t="shared" si="69"/>
        <v/>
      </c>
      <c r="J1775" s="32"/>
    </row>
    <row r="1776" spans="2:10" ht="15">
      <c r="B1776" s="31"/>
      <c r="C1776" s="30"/>
      <c r="D1776" s="119"/>
      <c r="E1776" s="32"/>
      <c r="G1776" s="31">
        <v>1734</v>
      </c>
      <c r="H1776" s="30" t="str">
        <f t="shared" si="68"/>
        <v/>
      </c>
      <c r="I1776" s="74" t="str">
        <f t="shared" si="69"/>
        <v/>
      </c>
      <c r="J1776" s="32"/>
    </row>
    <row r="1777" spans="2:10" ht="15">
      <c r="B1777" s="31"/>
      <c r="C1777" s="30"/>
      <c r="D1777" s="119"/>
      <c r="E1777" s="32"/>
      <c r="G1777" s="31">
        <v>1735</v>
      </c>
      <c r="H1777" s="30" t="str">
        <f t="shared" si="68"/>
        <v/>
      </c>
      <c r="I1777" s="74" t="str">
        <f t="shared" si="69"/>
        <v/>
      </c>
      <c r="J1777" s="32"/>
    </row>
    <row r="1778" spans="2:10" ht="15">
      <c r="B1778" s="31"/>
      <c r="C1778" s="30"/>
      <c r="D1778" s="119"/>
      <c r="E1778" s="32"/>
      <c r="G1778" s="31">
        <v>1736</v>
      </c>
      <c r="H1778" s="30" t="str">
        <f t="shared" si="68"/>
        <v/>
      </c>
      <c r="I1778" s="74" t="str">
        <f t="shared" si="69"/>
        <v/>
      </c>
      <c r="J1778" s="32"/>
    </row>
    <row r="1779" spans="2:10" ht="15">
      <c r="B1779" s="31"/>
      <c r="C1779" s="30"/>
      <c r="D1779" s="119"/>
      <c r="E1779" s="32"/>
      <c r="G1779" s="31">
        <v>1737</v>
      </c>
      <c r="H1779" s="30" t="str">
        <f t="shared" si="68"/>
        <v/>
      </c>
      <c r="I1779" s="74" t="str">
        <f t="shared" si="69"/>
        <v/>
      </c>
      <c r="J1779" s="32"/>
    </row>
    <row r="1780" spans="2:10" ht="15">
      <c r="B1780" s="31"/>
      <c r="C1780" s="30"/>
      <c r="D1780" s="119"/>
      <c r="E1780" s="32"/>
      <c r="G1780" s="31">
        <v>1738</v>
      </c>
      <c r="H1780" s="30" t="str">
        <f t="shared" si="68"/>
        <v/>
      </c>
      <c r="I1780" s="74" t="str">
        <f t="shared" si="69"/>
        <v/>
      </c>
      <c r="J1780" s="32"/>
    </row>
    <row r="1781" spans="2:10" ht="15">
      <c r="B1781" s="31"/>
      <c r="C1781" s="30"/>
      <c r="D1781" s="119"/>
      <c r="E1781" s="32"/>
      <c r="G1781" s="31">
        <v>1739</v>
      </c>
      <c r="H1781" s="30" t="str">
        <f t="shared" si="68"/>
        <v/>
      </c>
      <c r="I1781" s="74" t="str">
        <f t="shared" si="69"/>
        <v/>
      </c>
      <c r="J1781" s="32"/>
    </row>
    <row r="1782" spans="2:10" ht="15">
      <c r="B1782" s="31"/>
      <c r="C1782" s="30"/>
      <c r="D1782" s="119"/>
      <c r="E1782" s="32"/>
      <c r="G1782" s="31">
        <v>1740</v>
      </c>
      <c r="H1782" s="30" t="str">
        <f t="shared" si="68"/>
        <v/>
      </c>
      <c r="I1782" s="74" t="str">
        <f t="shared" si="69"/>
        <v/>
      </c>
      <c r="J1782" s="32"/>
    </row>
    <row r="1783" spans="2:10" ht="15">
      <c r="B1783" s="31"/>
      <c r="C1783" s="30"/>
      <c r="D1783" s="119"/>
      <c r="E1783" s="32"/>
      <c r="G1783" s="31">
        <v>1741</v>
      </c>
      <c r="H1783" s="30" t="str">
        <f t="shared" si="68"/>
        <v/>
      </c>
      <c r="I1783" s="74" t="str">
        <f t="shared" si="69"/>
        <v/>
      </c>
      <c r="J1783" s="32"/>
    </row>
    <row r="1784" spans="2:10" ht="15">
      <c r="B1784" s="31"/>
      <c r="C1784" s="30"/>
      <c r="D1784" s="119"/>
      <c r="E1784" s="32"/>
      <c r="G1784" s="31">
        <v>1742</v>
      </c>
      <c r="H1784" s="30" t="str">
        <f t="shared" si="68"/>
        <v/>
      </c>
      <c r="I1784" s="74" t="str">
        <f t="shared" si="69"/>
        <v/>
      </c>
      <c r="J1784" s="32"/>
    </row>
    <row r="1785" spans="2:10" ht="15">
      <c r="B1785" s="31"/>
      <c r="C1785" s="30"/>
      <c r="D1785" s="119"/>
      <c r="E1785" s="32"/>
      <c r="G1785" s="31">
        <v>1743</v>
      </c>
      <c r="H1785" s="30" t="str">
        <f t="shared" si="68"/>
        <v/>
      </c>
      <c r="I1785" s="74" t="str">
        <f t="shared" si="69"/>
        <v/>
      </c>
      <c r="J1785" s="32"/>
    </row>
    <row r="1786" spans="2:10" ht="15">
      <c r="B1786" s="31"/>
      <c r="C1786" s="30"/>
      <c r="D1786" s="119"/>
      <c r="E1786" s="32"/>
      <c r="G1786" s="31">
        <v>1744</v>
      </c>
      <c r="H1786" s="30" t="str">
        <f t="shared" si="68"/>
        <v/>
      </c>
      <c r="I1786" s="74" t="str">
        <f t="shared" si="69"/>
        <v/>
      </c>
      <c r="J1786" s="32"/>
    </row>
    <row r="1787" spans="2:10" ht="15">
      <c r="B1787" s="31"/>
      <c r="C1787" s="30"/>
      <c r="D1787" s="119"/>
      <c r="E1787" s="32"/>
      <c r="G1787" s="31">
        <v>1745</v>
      </c>
      <c r="H1787" s="30" t="str">
        <f t="shared" si="68"/>
        <v/>
      </c>
      <c r="I1787" s="74" t="str">
        <f t="shared" si="69"/>
        <v/>
      </c>
      <c r="J1787" s="32"/>
    </row>
    <row r="1788" spans="2:10" ht="15">
      <c r="B1788" s="31"/>
      <c r="C1788" s="30"/>
      <c r="D1788" s="119"/>
      <c r="E1788" s="32"/>
      <c r="G1788" s="31">
        <v>1746</v>
      </c>
      <c r="H1788" s="30" t="str">
        <f t="shared" si="68"/>
        <v/>
      </c>
      <c r="I1788" s="74" t="str">
        <f t="shared" si="69"/>
        <v/>
      </c>
      <c r="J1788" s="32"/>
    </row>
    <row r="1789" spans="2:10" ht="15">
      <c r="B1789" s="31"/>
      <c r="C1789" s="30"/>
      <c r="D1789" s="119"/>
      <c r="E1789" s="32"/>
      <c r="G1789" s="31">
        <v>1747</v>
      </c>
      <c r="H1789" s="30" t="str">
        <f t="shared" si="68"/>
        <v/>
      </c>
      <c r="I1789" s="74" t="str">
        <f t="shared" si="69"/>
        <v/>
      </c>
      <c r="J1789" s="32"/>
    </row>
    <row r="1790" spans="2:10" ht="15">
      <c r="B1790" s="31"/>
      <c r="C1790" s="30"/>
      <c r="D1790" s="119"/>
      <c r="E1790" s="32"/>
      <c r="G1790" s="31">
        <v>1748</v>
      </c>
      <c r="H1790" s="30" t="str">
        <f t="shared" si="68"/>
        <v/>
      </c>
      <c r="I1790" s="74" t="str">
        <f t="shared" si="69"/>
        <v/>
      </c>
      <c r="J1790" s="32"/>
    </row>
    <row r="1791" spans="2:10" ht="15">
      <c r="B1791" s="31"/>
      <c r="C1791" s="30"/>
      <c r="D1791" s="119"/>
      <c r="E1791" s="32"/>
      <c r="G1791" s="31">
        <v>1749</v>
      </c>
      <c r="H1791" s="30" t="str">
        <f t="shared" si="68"/>
        <v/>
      </c>
      <c r="I1791" s="74" t="str">
        <f t="shared" si="69"/>
        <v/>
      </c>
      <c r="J1791" s="32"/>
    </row>
    <row r="1792" spans="2:10" ht="15">
      <c r="B1792" s="31"/>
      <c r="C1792" s="30"/>
      <c r="D1792" s="119"/>
      <c r="E1792" s="32"/>
      <c r="G1792" s="31">
        <v>1750</v>
      </c>
      <c r="H1792" s="30" t="str">
        <f t="shared" si="68"/>
        <v/>
      </c>
      <c r="I1792" s="74" t="str">
        <f t="shared" si="69"/>
        <v/>
      </c>
      <c r="J1792" s="32"/>
    </row>
    <row r="1793" spans="2:10" ht="15">
      <c r="B1793" s="31"/>
      <c r="C1793" s="30"/>
      <c r="D1793" s="119"/>
      <c r="E1793" s="32"/>
      <c r="G1793" s="31">
        <v>1751</v>
      </c>
      <c r="H1793" s="30" t="str">
        <f t="shared" si="68"/>
        <v/>
      </c>
      <c r="I1793" s="74" t="str">
        <f t="shared" si="69"/>
        <v/>
      </c>
      <c r="J1793" s="32"/>
    </row>
    <row r="1794" spans="2:10" ht="15">
      <c r="B1794" s="31"/>
      <c r="C1794" s="30"/>
      <c r="D1794" s="119"/>
      <c r="E1794" s="32"/>
      <c r="G1794" s="31">
        <v>1752</v>
      </c>
      <c r="H1794" s="30" t="str">
        <f t="shared" si="68"/>
        <v/>
      </c>
      <c r="I1794" s="74" t="str">
        <f t="shared" si="69"/>
        <v/>
      </c>
      <c r="J1794" s="32"/>
    </row>
    <row r="1795" spans="2:10" ht="15">
      <c r="B1795" s="31"/>
      <c r="C1795" s="30"/>
      <c r="D1795" s="119"/>
      <c r="E1795" s="32"/>
      <c r="G1795" s="31">
        <v>1753</v>
      </c>
      <c r="H1795" s="30" t="str">
        <f t="shared" si="68"/>
        <v/>
      </c>
      <c r="I1795" s="74" t="str">
        <f t="shared" si="69"/>
        <v/>
      </c>
      <c r="J1795" s="32"/>
    </row>
    <row r="1796" spans="2:10" ht="15">
      <c r="B1796" s="31"/>
      <c r="C1796" s="30"/>
      <c r="D1796" s="119"/>
      <c r="E1796" s="32"/>
      <c r="G1796" s="31">
        <v>1754</v>
      </c>
      <c r="H1796" s="30" t="str">
        <f t="shared" si="68"/>
        <v/>
      </c>
      <c r="I1796" s="74" t="str">
        <f t="shared" si="69"/>
        <v/>
      </c>
      <c r="J1796" s="32"/>
    </row>
    <row r="1797" spans="2:10" ht="15">
      <c r="B1797" s="31"/>
      <c r="C1797" s="30"/>
      <c r="D1797" s="119"/>
      <c r="E1797" s="32"/>
      <c r="G1797" s="31">
        <v>1755</v>
      </c>
      <c r="H1797" s="30" t="str">
        <f t="shared" si="68"/>
        <v/>
      </c>
      <c r="I1797" s="74" t="str">
        <f t="shared" si="69"/>
        <v/>
      </c>
      <c r="J1797" s="32"/>
    </row>
    <row r="1798" spans="2:10" ht="15">
      <c r="B1798" s="31"/>
      <c r="C1798" s="30"/>
      <c r="D1798" s="119"/>
      <c r="E1798" s="32"/>
      <c r="G1798" s="31">
        <v>1756</v>
      </c>
      <c r="H1798" s="30" t="str">
        <f t="shared" si="68"/>
        <v/>
      </c>
      <c r="I1798" s="74" t="str">
        <f t="shared" si="69"/>
        <v/>
      </c>
      <c r="J1798" s="32"/>
    </row>
    <row r="1799" spans="2:10" ht="15">
      <c r="B1799" s="31"/>
      <c r="C1799" s="30"/>
      <c r="D1799" s="119"/>
      <c r="E1799" s="32"/>
      <c r="G1799" s="31">
        <v>1757</v>
      </c>
      <c r="H1799" s="30" t="str">
        <f t="shared" si="68"/>
        <v/>
      </c>
      <c r="I1799" s="74" t="str">
        <f t="shared" si="69"/>
        <v/>
      </c>
      <c r="J1799" s="32"/>
    </row>
    <row r="1800" spans="2:10" ht="15">
      <c r="B1800" s="31"/>
      <c r="C1800" s="30"/>
      <c r="D1800" s="119"/>
      <c r="E1800" s="32"/>
      <c r="G1800" s="31">
        <v>1758</v>
      </c>
      <c r="H1800" s="30" t="str">
        <f t="shared" si="68"/>
        <v/>
      </c>
      <c r="I1800" s="74" t="str">
        <f t="shared" si="69"/>
        <v/>
      </c>
      <c r="J1800" s="32"/>
    </row>
    <row r="1801" spans="2:10" ht="15">
      <c r="B1801" s="31"/>
      <c r="C1801" s="30"/>
      <c r="D1801" s="119"/>
      <c r="E1801" s="32"/>
      <c r="G1801" s="31">
        <v>1759</v>
      </c>
      <c r="H1801" s="30" t="str">
        <f t="shared" si="68"/>
        <v/>
      </c>
      <c r="I1801" s="74" t="str">
        <f t="shared" si="69"/>
        <v/>
      </c>
      <c r="J1801" s="32"/>
    </row>
    <row r="1802" spans="2:10" ht="15">
      <c r="B1802" s="31"/>
      <c r="C1802" s="30"/>
      <c r="D1802" s="119"/>
      <c r="E1802" s="32"/>
      <c r="G1802" s="31">
        <v>1760</v>
      </c>
      <c r="H1802" s="30" t="str">
        <f t="shared" si="68"/>
        <v/>
      </c>
      <c r="I1802" s="74" t="str">
        <f t="shared" si="69"/>
        <v/>
      </c>
      <c r="J1802" s="32"/>
    </row>
    <row r="1803" spans="2:10" ht="15">
      <c r="B1803" s="31"/>
      <c r="C1803" s="30"/>
      <c r="D1803" s="119"/>
      <c r="E1803" s="32"/>
      <c r="G1803" s="31">
        <v>1761</v>
      </c>
      <c r="H1803" s="30" t="str">
        <f t="shared" si="68"/>
        <v/>
      </c>
      <c r="I1803" s="74" t="str">
        <f t="shared" si="69"/>
        <v/>
      </c>
      <c r="J1803" s="32"/>
    </row>
    <row r="1804" spans="2:10" ht="15">
      <c r="B1804" s="31"/>
      <c r="C1804" s="30"/>
      <c r="D1804" s="119"/>
      <c r="E1804" s="32"/>
      <c r="G1804" s="31">
        <v>1762</v>
      </c>
      <c r="H1804" s="30" t="str">
        <f t="shared" si="68"/>
        <v/>
      </c>
      <c r="I1804" s="74" t="str">
        <f t="shared" si="69"/>
        <v/>
      </c>
      <c r="J1804" s="32"/>
    </row>
    <row r="1805" spans="2:10" ht="15">
      <c r="B1805" s="31"/>
      <c r="C1805" s="30"/>
      <c r="D1805" s="119"/>
      <c r="E1805" s="32"/>
      <c r="G1805" s="31">
        <v>1763</v>
      </c>
      <c r="H1805" s="30" t="str">
        <f t="shared" si="68"/>
        <v/>
      </c>
      <c r="I1805" s="74" t="str">
        <f t="shared" si="69"/>
        <v/>
      </c>
      <c r="J1805" s="32"/>
    </row>
    <row r="1806" spans="2:10" ht="15">
      <c r="B1806" s="31"/>
      <c r="C1806" s="30"/>
      <c r="D1806" s="119"/>
      <c r="E1806" s="32"/>
      <c r="G1806" s="31">
        <v>1764</v>
      </c>
      <c r="H1806" s="30" t="str">
        <f t="shared" si="68"/>
        <v/>
      </c>
      <c r="I1806" s="74" t="str">
        <f t="shared" si="69"/>
        <v/>
      </c>
      <c r="J1806" s="32"/>
    </row>
    <row r="1807" spans="2:10" ht="15">
      <c r="B1807" s="31"/>
      <c r="C1807" s="30"/>
      <c r="D1807" s="119"/>
      <c r="E1807" s="32"/>
      <c r="G1807" s="31">
        <v>1765</v>
      </c>
      <c r="H1807" s="30" t="str">
        <f t="shared" si="68"/>
        <v/>
      </c>
      <c r="I1807" s="74" t="str">
        <f t="shared" si="69"/>
        <v/>
      </c>
      <c r="J1807" s="32"/>
    </row>
    <row r="1808" spans="2:10" ht="15">
      <c r="B1808" s="31"/>
      <c r="C1808" s="30"/>
      <c r="D1808" s="119"/>
      <c r="E1808" s="32"/>
      <c r="G1808" s="31">
        <v>1766</v>
      </c>
      <c r="H1808" s="30" t="str">
        <f t="shared" si="68"/>
        <v/>
      </c>
      <c r="I1808" s="74" t="str">
        <f t="shared" si="69"/>
        <v/>
      </c>
      <c r="J1808" s="32"/>
    </row>
    <row r="1809" spans="2:10" ht="15">
      <c r="B1809" s="31"/>
      <c r="C1809" s="30"/>
      <c r="D1809" s="119"/>
      <c r="E1809" s="32"/>
      <c r="G1809" s="31">
        <v>1767</v>
      </c>
      <c r="H1809" s="30" t="str">
        <f t="shared" si="68"/>
        <v/>
      </c>
      <c r="I1809" s="74" t="str">
        <f t="shared" si="69"/>
        <v/>
      </c>
      <c r="J1809" s="32"/>
    </row>
    <row r="1810" spans="2:10" ht="15">
      <c r="B1810" s="31"/>
      <c r="C1810" s="30"/>
      <c r="D1810" s="119"/>
      <c r="E1810" s="32"/>
      <c r="G1810" s="31">
        <v>1768</v>
      </c>
      <c r="H1810" s="30" t="str">
        <f t="shared" si="68"/>
        <v/>
      </c>
      <c r="I1810" s="74" t="str">
        <f t="shared" si="69"/>
        <v/>
      </c>
      <c r="J1810" s="32"/>
    </row>
    <row r="1811" spans="2:10" ht="15">
      <c r="B1811" s="31"/>
      <c r="C1811" s="30"/>
      <c r="D1811" s="119"/>
      <c r="E1811" s="32"/>
      <c r="G1811" s="31">
        <v>1769</v>
      </c>
      <c r="H1811" s="30" t="str">
        <f t="shared" si="68"/>
        <v/>
      </c>
      <c r="I1811" s="74" t="str">
        <f t="shared" si="69"/>
        <v/>
      </c>
      <c r="J1811" s="32"/>
    </row>
    <row r="1812" spans="2:10" ht="15">
      <c r="B1812" s="31"/>
      <c r="C1812" s="30"/>
      <c r="D1812" s="119"/>
      <c r="E1812" s="32"/>
      <c r="G1812" s="31">
        <v>1770</v>
      </c>
      <c r="H1812" s="30" t="str">
        <f t="shared" si="68"/>
        <v/>
      </c>
      <c r="I1812" s="74" t="str">
        <f t="shared" si="69"/>
        <v/>
      </c>
      <c r="J1812" s="32"/>
    </row>
    <row r="1813" spans="2:10" ht="15">
      <c r="B1813" s="31"/>
      <c r="C1813" s="30"/>
      <c r="D1813" s="119"/>
      <c r="E1813" s="32"/>
      <c r="G1813" s="31">
        <v>1771</v>
      </c>
      <c r="H1813" s="30" t="str">
        <f t="shared" si="68"/>
        <v/>
      </c>
      <c r="I1813" s="74" t="str">
        <f t="shared" si="69"/>
        <v/>
      </c>
      <c r="J1813" s="32"/>
    </row>
    <row r="1814" spans="2:10" ht="15">
      <c r="B1814" s="31"/>
      <c r="C1814" s="30"/>
      <c r="D1814" s="119"/>
      <c r="E1814" s="32"/>
      <c r="G1814" s="31">
        <v>1772</v>
      </c>
      <c r="H1814" s="30" t="str">
        <f t="shared" si="68"/>
        <v/>
      </c>
      <c r="I1814" s="74" t="str">
        <f t="shared" si="69"/>
        <v/>
      </c>
      <c r="J1814" s="32"/>
    </row>
    <row r="1815" spans="2:10" ht="15">
      <c r="B1815" s="31"/>
      <c r="C1815" s="30"/>
      <c r="D1815" s="119"/>
      <c r="E1815" s="32"/>
      <c r="G1815" s="31">
        <v>1773</v>
      </c>
      <c r="H1815" s="30" t="str">
        <f t="shared" si="68"/>
        <v/>
      </c>
      <c r="I1815" s="74" t="str">
        <f t="shared" si="69"/>
        <v/>
      </c>
      <c r="J1815" s="32"/>
    </row>
    <row r="1816" spans="2:10" ht="15">
      <c r="B1816" s="31"/>
      <c r="C1816" s="30"/>
      <c r="D1816" s="119"/>
      <c r="E1816" s="32"/>
      <c r="G1816" s="31">
        <v>1774</v>
      </c>
      <c r="H1816" s="30" t="str">
        <f t="shared" si="68"/>
        <v/>
      </c>
      <c r="I1816" s="74" t="str">
        <f t="shared" si="69"/>
        <v/>
      </c>
      <c r="J1816" s="32"/>
    </row>
    <row r="1817" spans="2:10" ht="15">
      <c r="B1817" s="31"/>
      <c r="C1817" s="30"/>
      <c r="D1817" s="119"/>
      <c r="E1817" s="32"/>
      <c r="G1817" s="31">
        <v>1775</v>
      </c>
      <c r="H1817" s="30" t="str">
        <f t="shared" si="68"/>
        <v/>
      </c>
      <c r="I1817" s="74" t="str">
        <f t="shared" si="69"/>
        <v/>
      </c>
      <c r="J1817" s="32"/>
    </row>
    <row r="1818" spans="2:10" ht="15">
      <c r="B1818" s="31"/>
      <c r="C1818" s="30"/>
      <c r="D1818" s="119"/>
      <c r="E1818" s="32"/>
      <c r="G1818" s="31">
        <v>1776</v>
      </c>
      <c r="H1818" s="30" t="str">
        <f t="shared" si="68"/>
        <v/>
      </c>
      <c r="I1818" s="74" t="str">
        <f t="shared" si="69"/>
        <v/>
      </c>
      <c r="J1818" s="32"/>
    </row>
    <row r="1819" spans="2:10" ht="15">
      <c r="B1819" s="31"/>
      <c r="C1819" s="30"/>
      <c r="D1819" s="119"/>
      <c r="E1819" s="32"/>
      <c r="G1819" s="31">
        <v>1777</v>
      </c>
      <c r="H1819" s="30" t="str">
        <f t="shared" si="68"/>
        <v/>
      </c>
      <c r="I1819" s="74" t="str">
        <f t="shared" si="69"/>
        <v/>
      </c>
      <c r="J1819" s="32"/>
    </row>
    <row r="1820" spans="2:10" ht="15">
      <c r="B1820" s="31"/>
      <c r="C1820" s="30"/>
      <c r="D1820" s="119"/>
      <c r="E1820" s="32"/>
      <c r="G1820" s="31">
        <v>1778</v>
      </c>
      <c r="H1820" s="30" t="str">
        <f t="shared" si="68"/>
        <v/>
      </c>
      <c r="I1820" s="74" t="str">
        <f t="shared" si="69"/>
        <v/>
      </c>
      <c r="J1820" s="32"/>
    </row>
    <row r="1821" spans="2:10" ht="15">
      <c r="B1821" s="31"/>
      <c r="C1821" s="30"/>
      <c r="D1821" s="119"/>
      <c r="E1821" s="32"/>
      <c r="G1821" s="31">
        <v>1779</v>
      </c>
      <c r="H1821" s="30" t="str">
        <f t="shared" si="68"/>
        <v/>
      </c>
      <c r="I1821" s="74" t="str">
        <f t="shared" si="69"/>
        <v/>
      </c>
      <c r="J1821" s="32"/>
    </row>
    <row r="1822" spans="2:10" ht="15">
      <c r="B1822" s="31"/>
      <c r="C1822" s="30"/>
      <c r="D1822" s="119"/>
      <c r="E1822" s="32"/>
      <c r="G1822" s="31">
        <v>1780</v>
      </c>
      <c r="H1822" s="30" t="str">
        <f t="shared" si="68"/>
        <v/>
      </c>
      <c r="I1822" s="74" t="str">
        <f t="shared" si="69"/>
        <v/>
      </c>
      <c r="J1822" s="32"/>
    </row>
    <row r="1823" spans="2:10" ht="15">
      <c r="B1823" s="31"/>
      <c r="C1823" s="30"/>
      <c r="D1823" s="119"/>
      <c r="E1823" s="32"/>
      <c r="G1823" s="31">
        <v>1781</v>
      </c>
      <c r="H1823" s="30" t="str">
        <f t="shared" si="68"/>
        <v/>
      </c>
      <c r="I1823" s="74" t="str">
        <f t="shared" si="69"/>
        <v/>
      </c>
      <c r="J1823" s="32"/>
    </row>
    <row r="1824" spans="2:10" ht="15">
      <c r="B1824" s="31"/>
      <c r="C1824" s="30"/>
      <c r="D1824" s="119"/>
      <c r="E1824" s="32"/>
      <c r="G1824" s="31">
        <v>1782</v>
      </c>
      <c r="H1824" s="30" t="str">
        <f t="shared" si="68"/>
        <v/>
      </c>
      <c r="I1824" s="74" t="str">
        <f t="shared" si="69"/>
        <v/>
      </c>
      <c r="J1824" s="32"/>
    </row>
    <row r="1825" spans="2:10" ht="15">
      <c r="B1825" s="31"/>
      <c r="C1825" s="30"/>
      <c r="D1825" s="119"/>
      <c r="E1825" s="32"/>
      <c r="G1825" s="31">
        <v>1783</v>
      </c>
      <c r="H1825" s="30" t="str">
        <f t="shared" si="68"/>
        <v/>
      </c>
      <c r="I1825" s="74" t="str">
        <f t="shared" si="69"/>
        <v/>
      </c>
      <c r="J1825" s="32"/>
    </row>
    <row r="1826" spans="2:10" ht="15">
      <c r="B1826" s="31"/>
      <c r="C1826" s="30"/>
      <c r="D1826" s="119"/>
      <c r="E1826" s="32"/>
      <c r="G1826" s="31">
        <v>1784</v>
      </c>
      <c r="H1826" s="30" t="str">
        <f t="shared" si="68"/>
        <v/>
      </c>
      <c r="I1826" s="74" t="str">
        <f t="shared" si="69"/>
        <v/>
      </c>
      <c r="J1826" s="32"/>
    </row>
    <row r="1827" spans="2:10" ht="15">
      <c r="B1827" s="31"/>
      <c r="C1827" s="30"/>
      <c r="D1827" s="119"/>
      <c r="E1827" s="32"/>
      <c r="G1827" s="31">
        <v>1785</v>
      </c>
      <c r="H1827" s="30" t="str">
        <f t="shared" si="68"/>
        <v/>
      </c>
      <c r="I1827" s="74" t="str">
        <f t="shared" si="69"/>
        <v/>
      </c>
      <c r="J1827" s="32"/>
    </row>
    <row r="1828" spans="2:10" ht="15">
      <c r="B1828" s="31"/>
      <c r="C1828" s="30"/>
      <c r="D1828" s="119"/>
      <c r="E1828" s="32"/>
      <c r="G1828" s="31">
        <v>1786</v>
      </c>
      <c r="H1828" s="30" t="str">
        <f t="shared" si="68"/>
        <v/>
      </c>
      <c r="I1828" s="74" t="str">
        <f t="shared" si="69"/>
        <v/>
      </c>
      <c r="J1828" s="32"/>
    </row>
    <row r="1829" spans="2:10" ht="15">
      <c r="B1829" s="31"/>
      <c r="C1829" s="30"/>
      <c r="D1829" s="119"/>
      <c r="E1829" s="32"/>
      <c r="G1829" s="31">
        <v>1787</v>
      </c>
      <c r="H1829" s="30" t="str">
        <f t="shared" si="68"/>
        <v/>
      </c>
      <c r="I1829" s="74" t="str">
        <f t="shared" si="69"/>
        <v/>
      </c>
      <c r="J1829" s="32"/>
    </row>
    <row r="1830" spans="2:10" ht="15">
      <c r="B1830" s="31"/>
      <c r="C1830" s="30"/>
      <c r="D1830" s="119"/>
      <c r="E1830" s="32"/>
      <c r="G1830" s="31">
        <v>1788</v>
      </c>
      <c r="H1830" s="30" t="str">
        <f t="shared" si="68"/>
        <v/>
      </c>
      <c r="I1830" s="74" t="str">
        <f t="shared" si="69"/>
        <v/>
      </c>
      <c r="J1830" s="32"/>
    </row>
    <row r="1831" spans="2:10" ht="15">
      <c r="B1831" s="31"/>
      <c r="C1831" s="30"/>
      <c r="D1831" s="119"/>
      <c r="E1831" s="32"/>
      <c r="G1831" s="31">
        <v>1789</v>
      </c>
      <c r="H1831" s="30" t="str">
        <f t="shared" si="68"/>
        <v/>
      </c>
      <c r="I1831" s="74" t="str">
        <f t="shared" si="69"/>
        <v/>
      </c>
      <c r="J1831" s="32"/>
    </row>
    <row r="1832" spans="2:10" ht="15">
      <c r="B1832" s="31"/>
      <c r="C1832" s="30"/>
      <c r="D1832" s="119"/>
      <c r="E1832" s="32"/>
      <c r="G1832" s="31">
        <v>1790</v>
      </c>
      <c r="H1832" s="30" t="str">
        <f t="shared" si="68"/>
        <v/>
      </c>
      <c r="I1832" s="74" t="str">
        <f t="shared" si="69"/>
        <v/>
      </c>
      <c r="J1832" s="32"/>
    </row>
    <row r="1833" spans="2:10" ht="15">
      <c r="B1833" s="31"/>
      <c r="C1833" s="30"/>
      <c r="D1833" s="119"/>
      <c r="E1833" s="32"/>
      <c r="G1833" s="31">
        <v>1791</v>
      </c>
      <c r="H1833" s="30" t="str">
        <f t="shared" si="68"/>
        <v/>
      </c>
      <c r="I1833" s="74" t="str">
        <f t="shared" si="69"/>
        <v/>
      </c>
      <c r="J1833" s="32"/>
    </row>
    <row r="1834" spans="2:10" ht="15">
      <c r="B1834" s="31"/>
      <c r="C1834" s="30"/>
      <c r="D1834" s="119"/>
      <c r="E1834" s="32"/>
      <c r="G1834" s="31">
        <v>1792</v>
      </c>
      <c r="H1834" s="30" t="str">
        <f t="shared" si="68"/>
        <v/>
      </c>
      <c r="I1834" s="74" t="str">
        <f t="shared" si="69"/>
        <v/>
      </c>
      <c r="J1834" s="32"/>
    </row>
    <row r="1835" spans="2:10" ht="15">
      <c r="B1835" s="31"/>
      <c r="C1835" s="30"/>
      <c r="D1835" s="119"/>
      <c r="E1835" s="32"/>
      <c r="G1835" s="31">
        <v>1793</v>
      </c>
      <c r="H1835" s="30" t="str">
        <f t="shared" si="68"/>
        <v/>
      </c>
      <c r="I1835" s="74" t="str">
        <f t="shared" si="69"/>
        <v/>
      </c>
      <c r="J1835" s="32"/>
    </row>
    <row r="1836" spans="2:10" ht="15">
      <c r="B1836" s="31"/>
      <c r="C1836" s="30"/>
      <c r="D1836" s="119"/>
      <c r="E1836" s="32"/>
      <c r="G1836" s="31">
        <v>1794</v>
      </c>
      <c r="H1836" s="30" t="str">
        <f t="shared" ref="H1836:H1899" si="70">MID($I$41,G1836*8-7,8)</f>
        <v/>
      </c>
      <c r="I1836" s="74" t="str">
        <f t="shared" ref="I1836:I1899" si="71">IFERROR(BIN2DEC(VALUE(H1836)),"")</f>
        <v/>
      </c>
      <c r="J1836" s="32"/>
    </row>
    <row r="1837" spans="2:10" ht="15">
      <c r="B1837" s="31"/>
      <c r="C1837" s="30"/>
      <c r="D1837" s="119"/>
      <c r="E1837" s="32"/>
      <c r="G1837" s="31">
        <v>1795</v>
      </c>
      <c r="H1837" s="30" t="str">
        <f t="shared" si="70"/>
        <v/>
      </c>
      <c r="I1837" s="74" t="str">
        <f t="shared" si="71"/>
        <v/>
      </c>
      <c r="J1837" s="32"/>
    </row>
    <row r="1838" spans="2:10" ht="15">
      <c r="B1838" s="31"/>
      <c r="C1838" s="30"/>
      <c r="D1838" s="119"/>
      <c r="E1838" s="32"/>
      <c r="G1838" s="31">
        <v>1796</v>
      </c>
      <c r="H1838" s="30" t="str">
        <f t="shared" si="70"/>
        <v/>
      </c>
      <c r="I1838" s="74" t="str">
        <f t="shared" si="71"/>
        <v/>
      </c>
      <c r="J1838" s="32"/>
    </row>
    <row r="1839" spans="2:10" ht="15">
      <c r="B1839" s="31"/>
      <c r="C1839" s="30"/>
      <c r="D1839" s="119"/>
      <c r="E1839" s="32"/>
      <c r="G1839" s="31">
        <v>1797</v>
      </c>
      <c r="H1839" s="30" t="str">
        <f t="shared" si="70"/>
        <v/>
      </c>
      <c r="I1839" s="74" t="str">
        <f t="shared" si="71"/>
        <v/>
      </c>
      <c r="J1839" s="32"/>
    </row>
    <row r="1840" spans="2:10" ht="15">
      <c r="B1840" s="31"/>
      <c r="C1840" s="30"/>
      <c r="D1840" s="119"/>
      <c r="E1840" s="32"/>
      <c r="G1840" s="31">
        <v>1798</v>
      </c>
      <c r="H1840" s="30" t="str">
        <f t="shared" si="70"/>
        <v/>
      </c>
      <c r="I1840" s="74" t="str">
        <f t="shared" si="71"/>
        <v/>
      </c>
      <c r="J1840" s="32"/>
    </row>
    <row r="1841" spans="2:10" ht="15">
      <c r="B1841" s="31"/>
      <c r="C1841" s="30"/>
      <c r="D1841" s="119"/>
      <c r="E1841" s="32"/>
      <c r="G1841" s="31">
        <v>1799</v>
      </c>
      <c r="H1841" s="30" t="str">
        <f t="shared" si="70"/>
        <v/>
      </c>
      <c r="I1841" s="74" t="str">
        <f t="shared" si="71"/>
        <v/>
      </c>
      <c r="J1841" s="32"/>
    </row>
    <row r="1842" spans="2:10" ht="15">
      <c r="B1842" s="31"/>
      <c r="C1842" s="30"/>
      <c r="D1842" s="119"/>
      <c r="E1842" s="32"/>
      <c r="G1842" s="31">
        <v>1800</v>
      </c>
      <c r="H1842" s="30" t="str">
        <f t="shared" si="70"/>
        <v/>
      </c>
      <c r="I1842" s="74" t="str">
        <f t="shared" si="71"/>
        <v/>
      </c>
      <c r="J1842" s="32"/>
    </row>
    <row r="1843" spans="2:10" ht="15">
      <c r="B1843" s="31"/>
      <c r="C1843" s="30"/>
      <c r="D1843" s="119"/>
      <c r="E1843" s="32"/>
      <c r="G1843" s="31">
        <v>1801</v>
      </c>
      <c r="H1843" s="30" t="str">
        <f t="shared" si="70"/>
        <v/>
      </c>
      <c r="I1843" s="74" t="str">
        <f t="shared" si="71"/>
        <v/>
      </c>
      <c r="J1843" s="32"/>
    </row>
    <row r="1844" spans="2:10" ht="15">
      <c r="B1844" s="31"/>
      <c r="C1844" s="30"/>
      <c r="D1844" s="119"/>
      <c r="E1844" s="32"/>
      <c r="G1844" s="31">
        <v>1802</v>
      </c>
      <c r="H1844" s="30" t="str">
        <f t="shared" si="70"/>
        <v/>
      </c>
      <c r="I1844" s="74" t="str">
        <f t="shared" si="71"/>
        <v/>
      </c>
      <c r="J1844" s="32"/>
    </row>
    <row r="1845" spans="2:10" ht="15">
      <c r="B1845" s="31"/>
      <c r="C1845" s="30"/>
      <c r="D1845" s="119"/>
      <c r="E1845" s="32"/>
      <c r="G1845" s="31">
        <v>1803</v>
      </c>
      <c r="H1845" s="30" t="str">
        <f t="shared" si="70"/>
        <v/>
      </c>
      <c r="I1845" s="74" t="str">
        <f t="shared" si="71"/>
        <v/>
      </c>
      <c r="J1845" s="32"/>
    </row>
    <row r="1846" spans="2:10" ht="15">
      <c r="B1846" s="31"/>
      <c r="C1846" s="30"/>
      <c r="D1846" s="119"/>
      <c r="E1846" s="32"/>
      <c r="G1846" s="31">
        <v>1804</v>
      </c>
      <c r="H1846" s="30" t="str">
        <f t="shared" si="70"/>
        <v/>
      </c>
      <c r="I1846" s="74" t="str">
        <f t="shared" si="71"/>
        <v/>
      </c>
      <c r="J1846" s="32"/>
    </row>
    <row r="1847" spans="2:10" ht="15">
      <c r="B1847" s="31"/>
      <c r="C1847" s="30"/>
      <c r="D1847" s="119"/>
      <c r="E1847" s="32"/>
      <c r="G1847" s="31">
        <v>1805</v>
      </c>
      <c r="H1847" s="30" t="str">
        <f t="shared" si="70"/>
        <v/>
      </c>
      <c r="I1847" s="74" t="str">
        <f t="shared" si="71"/>
        <v/>
      </c>
      <c r="J1847" s="32"/>
    </row>
    <row r="1848" spans="2:10" ht="15">
      <c r="B1848" s="31"/>
      <c r="C1848" s="30"/>
      <c r="D1848" s="119"/>
      <c r="E1848" s="32"/>
      <c r="G1848" s="31">
        <v>1806</v>
      </c>
      <c r="H1848" s="30" t="str">
        <f t="shared" si="70"/>
        <v/>
      </c>
      <c r="I1848" s="74" t="str">
        <f t="shared" si="71"/>
        <v/>
      </c>
      <c r="J1848" s="32"/>
    </row>
    <row r="1849" spans="2:10" ht="15">
      <c r="B1849" s="31"/>
      <c r="C1849" s="30"/>
      <c r="D1849" s="119"/>
      <c r="E1849" s="32"/>
      <c r="G1849" s="31">
        <v>1807</v>
      </c>
      <c r="H1849" s="30" t="str">
        <f t="shared" si="70"/>
        <v/>
      </c>
      <c r="I1849" s="74" t="str">
        <f t="shared" si="71"/>
        <v/>
      </c>
      <c r="J1849" s="32"/>
    </row>
    <row r="1850" spans="2:10" ht="15">
      <c r="B1850" s="31"/>
      <c r="C1850" s="30"/>
      <c r="D1850" s="119"/>
      <c r="E1850" s="32"/>
      <c r="G1850" s="31">
        <v>1808</v>
      </c>
      <c r="H1850" s="30" t="str">
        <f t="shared" si="70"/>
        <v/>
      </c>
      <c r="I1850" s="74" t="str">
        <f t="shared" si="71"/>
        <v/>
      </c>
      <c r="J1850" s="32"/>
    </row>
    <row r="1851" spans="2:10" ht="15">
      <c r="B1851" s="31"/>
      <c r="C1851" s="30"/>
      <c r="D1851" s="119"/>
      <c r="E1851" s="32"/>
      <c r="G1851" s="31">
        <v>1809</v>
      </c>
      <c r="H1851" s="30" t="str">
        <f t="shared" si="70"/>
        <v/>
      </c>
      <c r="I1851" s="74" t="str">
        <f t="shared" si="71"/>
        <v/>
      </c>
      <c r="J1851" s="32"/>
    </row>
    <row r="1852" spans="2:10" ht="15">
      <c r="B1852" s="31"/>
      <c r="C1852" s="30"/>
      <c r="D1852" s="119"/>
      <c r="E1852" s="32"/>
      <c r="G1852" s="31">
        <v>1810</v>
      </c>
      <c r="H1852" s="30" t="str">
        <f t="shared" si="70"/>
        <v/>
      </c>
      <c r="I1852" s="74" t="str">
        <f t="shared" si="71"/>
        <v/>
      </c>
      <c r="J1852" s="32"/>
    </row>
    <row r="1853" spans="2:10" ht="15">
      <c r="B1853" s="31"/>
      <c r="C1853" s="30"/>
      <c r="D1853" s="119"/>
      <c r="E1853" s="32"/>
      <c r="G1853" s="31">
        <v>1811</v>
      </c>
      <c r="H1853" s="30" t="str">
        <f t="shared" si="70"/>
        <v/>
      </c>
      <c r="I1853" s="74" t="str">
        <f t="shared" si="71"/>
        <v/>
      </c>
      <c r="J1853" s="32"/>
    </row>
    <row r="1854" spans="2:10" ht="15">
      <c r="B1854" s="31"/>
      <c r="C1854" s="30"/>
      <c r="D1854" s="119"/>
      <c r="E1854" s="32"/>
      <c r="G1854" s="31">
        <v>1812</v>
      </c>
      <c r="H1854" s="30" t="str">
        <f t="shared" si="70"/>
        <v/>
      </c>
      <c r="I1854" s="74" t="str">
        <f t="shared" si="71"/>
        <v/>
      </c>
      <c r="J1854" s="32"/>
    </row>
    <row r="1855" spans="2:10" ht="15">
      <c r="B1855" s="31"/>
      <c r="C1855" s="30"/>
      <c r="D1855" s="119"/>
      <c r="E1855" s="32"/>
      <c r="G1855" s="31">
        <v>1813</v>
      </c>
      <c r="H1855" s="30" t="str">
        <f t="shared" si="70"/>
        <v/>
      </c>
      <c r="I1855" s="74" t="str">
        <f t="shared" si="71"/>
        <v/>
      </c>
      <c r="J1855" s="32"/>
    </row>
    <row r="1856" spans="2:10" ht="15">
      <c r="B1856" s="31"/>
      <c r="C1856" s="30"/>
      <c r="D1856" s="119"/>
      <c r="E1856" s="32"/>
      <c r="G1856" s="31">
        <v>1814</v>
      </c>
      <c r="H1856" s="30" t="str">
        <f t="shared" si="70"/>
        <v/>
      </c>
      <c r="I1856" s="74" t="str">
        <f t="shared" si="71"/>
        <v/>
      </c>
      <c r="J1856" s="32"/>
    </row>
    <row r="1857" spans="2:10" ht="15">
      <c r="B1857" s="31"/>
      <c r="C1857" s="30"/>
      <c r="D1857" s="119"/>
      <c r="E1857" s="32"/>
      <c r="G1857" s="31">
        <v>1815</v>
      </c>
      <c r="H1857" s="30" t="str">
        <f t="shared" si="70"/>
        <v/>
      </c>
      <c r="I1857" s="74" t="str">
        <f t="shared" si="71"/>
        <v/>
      </c>
      <c r="J1857" s="32"/>
    </row>
    <row r="1858" spans="2:10" ht="15">
      <c r="B1858" s="31"/>
      <c r="C1858" s="30"/>
      <c r="D1858" s="119"/>
      <c r="E1858" s="32"/>
      <c r="G1858" s="31">
        <v>1816</v>
      </c>
      <c r="H1858" s="30" t="str">
        <f t="shared" si="70"/>
        <v/>
      </c>
      <c r="I1858" s="74" t="str">
        <f t="shared" si="71"/>
        <v/>
      </c>
      <c r="J1858" s="32"/>
    </row>
    <row r="1859" spans="2:10" ht="15">
      <c r="B1859" s="31"/>
      <c r="C1859" s="30"/>
      <c r="D1859" s="119"/>
      <c r="E1859" s="32"/>
      <c r="G1859" s="31">
        <v>1817</v>
      </c>
      <c r="H1859" s="30" t="str">
        <f t="shared" si="70"/>
        <v/>
      </c>
      <c r="I1859" s="74" t="str">
        <f t="shared" si="71"/>
        <v/>
      </c>
      <c r="J1859" s="32"/>
    </row>
    <row r="1860" spans="2:10" ht="15">
      <c r="B1860" s="31"/>
      <c r="C1860" s="30"/>
      <c r="D1860" s="119"/>
      <c r="E1860" s="32"/>
      <c r="G1860" s="31">
        <v>1818</v>
      </c>
      <c r="H1860" s="30" t="str">
        <f t="shared" si="70"/>
        <v/>
      </c>
      <c r="I1860" s="74" t="str">
        <f t="shared" si="71"/>
        <v/>
      </c>
      <c r="J1860" s="32"/>
    </row>
    <row r="1861" spans="2:10" ht="15">
      <c r="B1861" s="31"/>
      <c r="C1861" s="30"/>
      <c r="D1861" s="119"/>
      <c r="E1861" s="32"/>
      <c r="G1861" s="31">
        <v>1819</v>
      </c>
      <c r="H1861" s="30" t="str">
        <f t="shared" si="70"/>
        <v/>
      </c>
      <c r="I1861" s="74" t="str">
        <f t="shared" si="71"/>
        <v/>
      </c>
      <c r="J1861" s="32"/>
    </row>
    <row r="1862" spans="2:10" ht="15">
      <c r="B1862" s="31"/>
      <c r="C1862" s="30"/>
      <c r="D1862" s="119"/>
      <c r="E1862" s="32"/>
      <c r="G1862" s="31">
        <v>1820</v>
      </c>
      <c r="H1862" s="30" t="str">
        <f t="shared" si="70"/>
        <v/>
      </c>
      <c r="I1862" s="74" t="str">
        <f t="shared" si="71"/>
        <v/>
      </c>
      <c r="J1862" s="32"/>
    </row>
    <row r="1863" spans="2:10" ht="15">
      <c r="B1863" s="31"/>
      <c r="C1863" s="30"/>
      <c r="D1863" s="119"/>
      <c r="E1863" s="32"/>
      <c r="G1863" s="31">
        <v>1821</v>
      </c>
      <c r="H1863" s="30" t="str">
        <f t="shared" si="70"/>
        <v/>
      </c>
      <c r="I1863" s="74" t="str">
        <f t="shared" si="71"/>
        <v/>
      </c>
      <c r="J1863" s="32"/>
    </row>
    <row r="1864" spans="2:10" ht="15">
      <c r="B1864" s="31"/>
      <c r="C1864" s="30"/>
      <c r="D1864" s="119"/>
      <c r="E1864" s="32"/>
      <c r="G1864" s="31">
        <v>1822</v>
      </c>
      <c r="H1864" s="30" t="str">
        <f t="shared" si="70"/>
        <v/>
      </c>
      <c r="I1864" s="74" t="str">
        <f t="shared" si="71"/>
        <v/>
      </c>
      <c r="J1864" s="32"/>
    </row>
    <row r="1865" spans="2:10" ht="15">
      <c r="B1865" s="31"/>
      <c r="C1865" s="30"/>
      <c r="D1865" s="119"/>
      <c r="E1865" s="32"/>
      <c r="G1865" s="31">
        <v>1823</v>
      </c>
      <c r="H1865" s="30" t="str">
        <f t="shared" si="70"/>
        <v/>
      </c>
      <c r="I1865" s="74" t="str">
        <f t="shared" si="71"/>
        <v/>
      </c>
      <c r="J1865" s="32"/>
    </row>
    <row r="1866" spans="2:10" ht="15">
      <c r="B1866" s="31"/>
      <c r="C1866" s="30"/>
      <c r="D1866" s="119"/>
      <c r="E1866" s="32"/>
      <c r="G1866" s="31">
        <v>1824</v>
      </c>
      <c r="H1866" s="30" t="str">
        <f t="shared" si="70"/>
        <v/>
      </c>
      <c r="I1866" s="74" t="str">
        <f t="shared" si="71"/>
        <v/>
      </c>
      <c r="J1866" s="32"/>
    </row>
    <row r="1867" spans="2:10" ht="15">
      <c r="B1867" s="31"/>
      <c r="C1867" s="30"/>
      <c r="D1867" s="119"/>
      <c r="E1867" s="32"/>
      <c r="G1867" s="31">
        <v>1825</v>
      </c>
      <c r="H1867" s="30" t="str">
        <f t="shared" si="70"/>
        <v/>
      </c>
      <c r="I1867" s="74" t="str">
        <f t="shared" si="71"/>
        <v/>
      </c>
      <c r="J1867" s="32"/>
    </row>
    <row r="1868" spans="2:10" ht="15">
      <c r="B1868" s="31"/>
      <c r="C1868" s="30"/>
      <c r="D1868" s="119"/>
      <c r="E1868" s="32"/>
      <c r="G1868" s="31">
        <v>1826</v>
      </c>
      <c r="H1868" s="30" t="str">
        <f t="shared" si="70"/>
        <v/>
      </c>
      <c r="I1868" s="74" t="str">
        <f t="shared" si="71"/>
        <v/>
      </c>
      <c r="J1868" s="32"/>
    </row>
    <row r="1869" spans="2:10" ht="15">
      <c r="B1869" s="31"/>
      <c r="C1869" s="30"/>
      <c r="D1869" s="119"/>
      <c r="E1869" s="32"/>
      <c r="G1869" s="31">
        <v>1827</v>
      </c>
      <c r="H1869" s="30" t="str">
        <f t="shared" si="70"/>
        <v/>
      </c>
      <c r="I1869" s="74" t="str">
        <f t="shared" si="71"/>
        <v/>
      </c>
      <c r="J1869" s="32"/>
    </row>
    <row r="1870" spans="2:10" ht="15">
      <c r="B1870" s="31"/>
      <c r="C1870" s="30"/>
      <c r="D1870" s="119"/>
      <c r="E1870" s="32"/>
      <c r="G1870" s="31">
        <v>1828</v>
      </c>
      <c r="H1870" s="30" t="str">
        <f t="shared" si="70"/>
        <v/>
      </c>
      <c r="I1870" s="74" t="str">
        <f t="shared" si="71"/>
        <v/>
      </c>
      <c r="J1870" s="32"/>
    </row>
    <row r="1871" spans="2:10" ht="15">
      <c r="B1871" s="31"/>
      <c r="C1871" s="30"/>
      <c r="D1871" s="119"/>
      <c r="E1871" s="32"/>
      <c r="G1871" s="31">
        <v>1829</v>
      </c>
      <c r="H1871" s="30" t="str">
        <f t="shared" si="70"/>
        <v/>
      </c>
      <c r="I1871" s="74" t="str">
        <f t="shared" si="71"/>
        <v/>
      </c>
      <c r="J1871" s="32"/>
    </row>
    <row r="1872" spans="2:10" ht="15">
      <c r="B1872" s="31"/>
      <c r="C1872" s="30"/>
      <c r="D1872" s="119"/>
      <c r="E1872" s="32"/>
      <c r="G1872" s="31">
        <v>1830</v>
      </c>
      <c r="H1872" s="30" t="str">
        <f t="shared" si="70"/>
        <v/>
      </c>
      <c r="I1872" s="74" t="str">
        <f t="shared" si="71"/>
        <v/>
      </c>
      <c r="J1872" s="32"/>
    </row>
    <row r="1873" spans="2:10" ht="15">
      <c r="B1873" s="31"/>
      <c r="C1873" s="30"/>
      <c r="D1873" s="119"/>
      <c r="E1873" s="32"/>
      <c r="G1873" s="31">
        <v>1831</v>
      </c>
      <c r="H1873" s="30" t="str">
        <f t="shared" si="70"/>
        <v/>
      </c>
      <c r="I1873" s="74" t="str">
        <f t="shared" si="71"/>
        <v/>
      </c>
      <c r="J1873" s="32"/>
    </row>
    <row r="1874" spans="2:10" ht="15">
      <c r="B1874" s="31"/>
      <c r="C1874" s="30"/>
      <c r="D1874" s="119"/>
      <c r="E1874" s="32"/>
      <c r="G1874" s="31">
        <v>1832</v>
      </c>
      <c r="H1874" s="30" t="str">
        <f t="shared" si="70"/>
        <v/>
      </c>
      <c r="I1874" s="74" t="str">
        <f t="shared" si="71"/>
        <v/>
      </c>
      <c r="J1874" s="32"/>
    </row>
    <row r="1875" spans="2:10" ht="15">
      <c r="B1875" s="31"/>
      <c r="C1875" s="30"/>
      <c r="D1875" s="119"/>
      <c r="E1875" s="32"/>
      <c r="G1875" s="31">
        <v>1833</v>
      </c>
      <c r="H1875" s="30" t="str">
        <f t="shared" si="70"/>
        <v/>
      </c>
      <c r="I1875" s="74" t="str">
        <f t="shared" si="71"/>
        <v/>
      </c>
      <c r="J1875" s="32"/>
    </row>
    <row r="1876" spans="2:10" ht="15">
      <c r="B1876" s="31"/>
      <c r="C1876" s="30"/>
      <c r="D1876" s="119"/>
      <c r="E1876" s="32"/>
      <c r="G1876" s="31">
        <v>1834</v>
      </c>
      <c r="H1876" s="30" t="str">
        <f t="shared" si="70"/>
        <v/>
      </c>
      <c r="I1876" s="74" t="str">
        <f t="shared" si="71"/>
        <v/>
      </c>
      <c r="J1876" s="32"/>
    </row>
    <row r="1877" spans="2:10" ht="15">
      <c r="B1877" s="31"/>
      <c r="C1877" s="30"/>
      <c r="D1877" s="119"/>
      <c r="E1877" s="32"/>
      <c r="G1877" s="31">
        <v>1835</v>
      </c>
      <c r="H1877" s="30" t="str">
        <f t="shared" si="70"/>
        <v/>
      </c>
      <c r="I1877" s="74" t="str">
        <f t="shared" si="71"/>
        <v/>
      </c>
      <c r="J1877" s="32"/>
    </row>
    <row r="1878" spans="2:10" ht="15">
      <c r="B1878" s="31"/>
      <c r="C1878" s="30"/>
      <c r="D1878" s="119"/>
      <c r="E1878" s="32"/>
      <c r="G1878" s="31">
        <v>1836</v>
      </c>
      <c r="H1878" s="30" t="str">
        <f t="shared" si="70"/>
        <v/>
      </c>
      <c r="I1878" s="74" t="str">
        <f t="shared" si="71"/>
        <v/>
      </c>
      <c r="J1878" s="32"/>
    </row>
    <row r="1879" spans="2:10" ht="15">
      <c r="B1879" s="31"/>
      <c r="C1879" s="30"/>
      <c r="D1879" s="119"/>
      <c r="E1879" s="32"/>
      <c r="G1879" s="31">
        <v>1837</v>
      </c>
      <c r="H1879" s="30" t="str">
        <f t="shared" si="70"/>
        <v/>
      </c>
      <c r="I1879" s="74" t="str">
        <f t="shared" si="71"/>
        <v/>
      </c>
      <c r="J1879" s="32"/>
    </row>
    <row r="1880" spans="2:10" ht="15">
      <c r="B1880" s="31"/>
      <c r="C1880" s="30"/>
      <c r="D1880" s="119"/>
      <c r="E1880" s="32"/>
      <c r="G1880" s="31">
        <v>1838</v>
      </c>
      <c r="H1880" s="30" t="str">
        <f t="shared" si="70"/>
        <v/>
      </c>
      <c r="I1880" s="74" t="str">
        <f t="shared" si="71"/>
        <v/>
      </c>
      <c r="J1880" s="32"/>
    </row>
    <row r="1881" spans="2:10" ht="15">
      <c r="B1881" s="31"/>
      <c r="C1881" s="30"/>
      <c r="D1881" s="119"/>
      <c r="E1881" s="32"/>
      <c r="G1881" s="31">
        <v>1839</v>
      </c>
      <c r="H1881" s="30" t="str">
        <f t="shared" si="70"/>
        <v/>
      </c>
      <c r="I1881" s="74" t="str">
        <f t="shared" si="71"/>
        <v/>
      </c>
      <c r="J1881" s="32"/>
    </row>
    <row r="1882" spans="2:10" ht="15">
      <c r="B1882" s="31"/>
      <c r="C1882" s="30"/>
      <c r="D1882" s="119"/>
      <c r="E1882" s="32"/>
      <c r="G1882" s="31">
        <v>1840</v>
      </c>
      <c r="H1882" s="30" t="str">
        <f t="shared" si="70"/>
        <v/>
      </c>
      <c r="I1882" s="74" t="str">
        <f t="shared" si="71"/>
        <v/>
      </c>
      <c r="J1882" s="32"/>
    </row>
    <row r="1883" spans="2:10" ht="15">
      <c r="B1883" s="31"/>
      <c r="C1883" s="30"/>
      <c r="D1883" s="119"/>
      <c r="E1883" s="32"/>
      <c r="G1883" s="31">
        <v>1841</v>
      </c>
      <c r="H1883" s="30" t="str">
        <f t="shared" si="70"/>
        <v/>
      </c>
      <c r="I1883" s="74" t="str">
        <f t="shared" si="71"/>
        <v/>
      </c>
      <c r="J1883" s="32"/>
    </row>
    <row r="1884" spans="2:10" ht="15">
      <c r="B1884" s="31"/>
      <c r="C1884" s="30"/>
      <c r="D1884" s="119"/>
      <c r="E1884" s="32"/>
      <c r="G1884" s="31">
        <v>1842</v>
      </c>
      <c r="H1884" s="30" t="str">
        <f t="shared" si="70"/>
        <v/>
      </c>
      <c r="I1884" s="74" t="str">
        <f t="shared" si="71"/>
        <v/>
      </c>
      <c r="J1884" s="32"/>
    </row>
    <row r="1885" spans="2:10" ht="15">
      <c r="B1885" s="31"/>
      <c r="C1885" s="30"/>
      <c r="D1885" s="119"/>
      <c r="E1885" s="32"/>
      <c r="G1885" s="31">
        <v>1843</v>
      </c>
      <c r="H1885" s="30" t="str">
        <f t="shared" si="70"/>
        <v/>
      </c>
      <c r="I1885" s="74" t="str">
        <f t="shared" si="71"/>
        <v/>
      </c>
      <c r="J1885" s="32"/>
    </row>
    <row r="1886" spans="2:10" ht="15">
      <c r="B1886" s="31"/>
      <c r="C1886" s="30"/>
      <c r="D1886" s="119"/>
      <c r="E1886" s="32"/>
      <c r="G1886" s="31">
        <v>1844</v>
      </c>
      <c r="H1886" s="30" t="str">
        <f t="shared" si="70"/>
        <v/>
      </c>
      <c r="I1886" s="74" t="str">
        <f t="shared" si="71"/>
        <v/>
      </c>
      <c r="J1886" s="32"/>
    </row>
    <row r="1887" spans="2:10" ht="15">
      <c r="B1887" s="31"/>
      <c r="C1887" s="30"/>
      <c r="D1887" s="119"/>
      <c r="E1887" s="32"/>
      <c r="G1887" s="31">
        <v>1845</v>
      </c>
      <c r="H1887" s="30" t="str">
        <f t="shared" si="70"/>
        <v/>
      </c>
      <c r="I1887" s="74" t="str">
        <f t="shared" si="71"/>
        <v/>
      </c>
      <c r="J1887" s="32"/>
    </row>
    <row r="1888" spans="2:10" ht="15">
      <c r="B1888" s="31"/>
      <c r="C1888" s="30"/>
      <c r="D1888" s="119"/>
      <c r="E1888" s="32"/>
      <c r="G1888" s="31">
        <v>1846</v>
      </c>
      <c r="H1888" s="30" t="str">
        <f t="shared" si="70"/>
        <v/>
      </c>
      <c r="I1888" s="74" t="str">
        <f t="shared" si="71"/>
        <v/>
      </c>
      <c r="J1888" s="32"/>
    </row>
    <row r="1889" spans="2:10" ht="15">
      <c r="B1889" s="31"/>
      <c r="C1889" s="30"/>
      <c r="D1889" s="119"/>
      <c r="E1889" s="32"/>
      <c r="G1889" s="31">
        <v>1847</v>
      </c>
      <c r="H1889" s="30" t="str">
        <f t="shared" si="70"/>
        <v/>
      </c>
      <c r="I1889" s="74" t="str">
        <f t="shared" si="71"/>
        <v/>
      </c>
      <c r="J1889" s="32"/>
    </row>
    <row r="1890" spans="2:10" ht="15">
      <c r="B1890" s="31"/>
      <c r="C1890" s="30"/>
      <c r="D1890" s="119"/>
      <c r="E1890" s="32"/>
      <c r="G1890" s="31">
        <v>1848</v>
      </c>
      <c r="H1890" s="30" t="str">
        <f t="shared" si="70"/>
        <v/>
      </c>
      <c r="I1890" s="74" t="str">
        <f t="shared" si="71"/>
        <v/>
      </c>
      <c r="J1890" s="32"/>
    </row>
    <row r="1891" spans="2:10" ht="15">
      <c r="B1891" s="31"/>
      <c r="C1891" s="30"/>
      <c r="D1891" s="119"/>
      <c r="E1891" s="32"/>
      <c r="G1891" s="31">
        <v>1849</v>
      </c>
      <c r="H1891" s="30" t="str">
        <f t="shared" si="70"/>
        <v/>
      </c>
      <c r="I1891" s="74" t="str">
        <f t="shared" si="71"/>
        <v/>
      </c>
      <c r="J1891" s="32"/>
    </row>
    <row r="1892" spans="2:10" ht="15">
      <c r="B1892" s="31"/>
      <c r="C1892" s="30"/>
      <c r="D1892" s="119"/>
      <c r="E1892" s="32"/>
      <c r="G1892" s="31">
        <v>1850</v>
      </c>
      <c r="H1892" s="30" t="str">
        <f t="shared" si="70"/>
        <v/>
      </c>
      <c r="I1892" s="74" t="str">
        <f t="shared" si="71"/>
        <v/>
      </c>
      <c r="J1892" s="32"/>
    </row>
    <row r="1893" spans="2:10" ht="15">
      <c r="B1893" s="31"/>
      <c r="C1893" s="30"/>
      <c r="D1893" s="119"/>
      <c r="E1893" s="32"/>
      <c r="G1893" s="31">
        <v>1851</v>
      </c>
      <c r="H1893" s="30" t="str">
        <f t="shared" si="70"/>
        <v/>
      </c>
      <c r="I1893" s="74" t="str">
        <f t="shared" si="71"/>
        <v/>
      </c>
      <c r="J1893" s="32"/>
    </row>
    <row r="1894" spans="2:10" ht="15">
      <c r="B1894" s="31"/>
      <c r="C1894" s="30"/>
      <c r="D1894" s="119"/>
      <c r="E1894" s="32"/>
      <c r="G1894" s="31">
        <v>1852</v>
      </c>
      <c r="H1894" s="30" t="str">
        <f t="shared" si="70"/>
        <v/>
      </c>
      <c r="I1894" s="74" t="str">
        <f t="shared" si="71"/>
        <v/>
      </c>
      <c r="J1894" s="32"/>
    </row>
    <row r="1895" spans="2:10" ht="15">
      <c r="B1895" s="31"/>
      <c r="C1895" s="30"/>
      <c r="D1895" s="119"/>
      <c r="E1895" s="32"/>
      <c r="G1895" s="31">
        <v>1853</v>
      </c>
      <c r="H1895" s="30" t="str">
        <f t="shared" si="70"/>
        <v/>
      </c>
      <c r="I1895" s="74" t="str">
        <f t="shared" si="71"/>
        <v/>
      </c>
      <c r="J1895" s="32"/>
    </row>
    <row r="1896" spans="2:10" ht="15">
      <c r="B1896" s="31"/>
      <c r="C1896" s="30"/>
      <c r="D1896" s="119"/>
      <c r="E1896" s="32"/>
      <c r="G1896" s="31">
        <v>1854</v>
      </c>
      <c r="H1896" s="30" t="str">
        <f t="shared" si="70"/>
        <v/>
      </c>
      <c r="I1896" s="74" t="str">
        <f t="shared" si="71"/>
        <v/>
      </c>
      <c r="J1896" s="32"/>
    </row>
    <row r="1897" spans="2:10" ht="15">
      <c r="B1897" s="31"/>
      <c r="C1897" s="30"/>
      <c r="D1897" s="119"/>
      <c r="E1897" s="32"/>
      <c r="G1897" s="31">
        <v>1855</v>
      </c>
      <c r="H1897" s="30" t="str">
        <f t="shared" si="70"/>
        <v/>
      </c>
      <c r="I1897" s="74" t="str">
        <f t="shared" si="71"/>
        <v/>
      </c>
      <c r="J1897" s="32"/>
    </row>
    <row r="1898" spans="2:10" ht="15">
      <c r="B1898" s="31"/>
      <c r="C1898" s="30"/>
      <c r="D1898" s="119"/>
      <c r="E1898" s="32"/>
      <c r="G1898" s="31">
        <v>1856</v>
      </c>
      <c r="H1898" s="30" t="str">
        <f t="shared" si="70"/>
        <v/>
      </c>
      <c r="I1898" s="74" t="str">
        <f t="shared" si="71"/>
        <v/>
      </c>
      <c r="J1898" s="32"/>
    </row>
    <row r="1899" spans="2:10" ht="15">
      <c r="B1899" s="31"/>
      <c r="C1899" s="30"/>
      <c r="D1899" s="119"/>
      <c r="E1899" s="32"/>
      <c r="G1899" s="31">
        <v>1857</v>
      </c>
      <c r="H1899" s="30" t="str">
        <f t="shared" si="70"/>
        <v/>
      </c>
      <c r="I1899" s="74" t="str">
        <f t="shared" si="71"/>
        <v/>
      </c>
      <c r="J1899" s="32"/>
    </row>
    <row r="1900" spans="2:10" ht="15">
      <c r="B1900" s="31"/>
      <c r="C1900" s="30"/>
      <c r="D1900" s="119"/>
      <c r="E1900" s="32"/>
      <c r="G1900" s="31">
        <v>1858</v>
      </c>
      <c r="H1900" s="30" t="str">
        <f t="shared" ref="H1900:H1963" si="72">MID($I$41,G1900*8-7,8)</f>
        <v/>
      </c>
      <c r="I1900" s="74" t="str">
        <f t="shared" ref="I1900:I1963" si="73">IFERROR(BIN2DEC(VALUE(H1900)),"")</f>
        <v/>
      </c>
      <c r="J1900" s="32"/>
    </row>
    <row r="1901" spans="2:10" ht="15">
      <c r="B1901" s="31"/>
      <c r="C1901" s="30"/>
      <c r="D1901" s="119"/>
      <c r="E1901" s="32"/>
      <c r="G1901" s="31">
        <v>1859</v>
      </c>
      <c r="H1901" s="30" t="str">
        <f t="shared" si="72"/>
        <v/>
      </c>
      <c r="I1901" s="74" t="str">
        <f t="shared" si="73"/>
        <v/>
      </c>
      <c r="J1901" s="32"/>
    </row>
    <row r="1902" spans="2:10" ht="15">
      <c r="B1902" s="31"/>
      <c r="C1902" s="30"/>
      <c r="D1902" s="119"/>
      <c r="E1902" s="32"/>
      <c r="G1902" s="31">
        <v>1860</v>
      </c>
      <c r="H1902" s="30" t="str">
        <f t="shared" si="72"/>
        <v/>
      </c>
      <c r="I1902" s="74" t="str">
        <f t="shared" si="73"/>
        <v/>
      </c>
      <c r="J1902" s="32"/>
    </row>
    <row r="1903" spans="2:10" ht="15">
      <c r="B1903" s="31"/>
      <c r="C1903" s="30"/>
      <c r="D1903" s="119"/>
      <c r="E1903" s="32"/>
      <c r="G1903" s="31">
        <v>1861</v>
      </c>
      <c r="H1903" s="30" t="str">
        <f t="shared" si="72"/>
        <v/>
      </c>
      <c r="I1903" s="74" t="str">
        <f t="shared" si="73"/>
        <v/>
      </c>
      <c r="J1903" s="32"/>
    </row>
    <row r="1904" spans="2:10" ht="15">
      <c r="B1904" s="31"/>
      <c r="C1904" s="30"/>
      <c r="D1904" s="119"/>
      <c r="E1904" s="32"/>
      <c r="G1904" s="31">
        <v>1862</v>
      </c>
      <c r="H1904" s="30" t="str">
        <f t="shared" si="72"/>
        <v/>
      </c>
      <c r="I1904" s="74" t="str">
        <f t="shared" si="73"/>
        <v/>
      </c>
      <c r="J1904" s="32"/>
    </row>
    <row r="1905" spans="2:10" ht="15">
      <c r="B1905" s="31"/>
      <c r="C1905" s="30"/>
      <c r="D1905" s="119"/>
      <c r="E1905" s="32"/>
      <c r="G1905" s="31">
        <v>1863</v>
      </c>
      <c r="H1905" s="30" t="str">
        <f t="shared" si="72"/>
        <v/>
      </c>
      <c r="I1905" s="74" t="str">
        <f t="shared" si="73"/>
        <v/>
      </c>
      <c r="J1905" s="32"/>
    </row>
    <row r="1906" spans="2:10" ht="15">
      <c r="B1906" s="31"/>
      <c r="C1906" s="30"/>
      <c r="D1906" s="119"/>
      <c r="E1906" s="32"/>
      <c r="G1906" s="31">
        <v>1864</v>
      </c>
      <c r="H1906" s="30" t="str">
        <f t="shared" si="72"/>
        <v/>
      </c>
      <c r="I1906" s="74" t="str">
        <f t="shared" si="73"/>
        <v/>
      </c>
      <c r="J1906" s="32"/>
    </row>
    <row r="1907" spans="2:10" ht="15">
      <c r="B1907" s="31"/>
      <c r="C1907" s="30"/>
      <c r="D1907" s="119"/>
      <c r="E1907" s="32"/>
      <c r="G1907" s="31">
        <v>1865</v>
      </c>
      <c r="H1907" s="30" t="str">
        <f t="shared" si="72"/>
        <v/>
      </c>
      <c r="I1907" s="74" t="str">
        <f t="shared" si="73"/>
        <v/>
      </c>
      <c r="J1907" s="32"/>
    </row>
    <row r="1908" spans="2:10" ht="15">
      <c r="B1908" s="31"/>
      <c r="C1908" s="30"/>
      <c r="D1908" s="119"/>
      <c r="E1908" s="32"/>
      <c r="G1908" s="31">
        <v>1866</v>
      </c>
      <c r="H1908" s="30" t="str">
        <f t="shared" si="72"/>
        <v/>
      </c>
      <c r="I1908" s="74" t="str">
        <f t="shared" si="73"/>
        <v/>
      </c>
      <c r="J1908" s="32"/>
    </row>
    <row r="1909" spans="2:10" ht="15">
      <c r="B1909" s="31"/>
      <c r="C1909" s="30"/>
      <c r="D1909" s="119"/>
      <c r="E1909" s="32"/>
      <c r="G1909" s="31">
        <v>1867</v>
      </c>
      <c r="H1909" s="30" t="str">
        <f t="shared" si="72"/>
        <v/>
      </c>
      <c r="I1909" s="74" t="str">
        <f t="shared" si="73"/>
        <v/>
      </c>
      <c r="J1909" s="32"/>
    </row>
    <row r="1910" spans="2:10" ht="15">
      <c r="B1910" s="31"/>
      <c r="C1910" s="30"/>
      <c r="D1910" s="119"/>
      <c r="E1910" s="32"/>
      <c r="G1910" s="31">
        <v>1868</v>
      </c>
      <c r="H1910" s="30" t="str">
        <f t="shared" si="72"/>
        <v/>
      </c>
      <c r="I1910" s="74" t="str">
        <f t="shared" si="73"/>
        <v/>
      </c>
      <c r="J1910" s="32"/>
    </row>
    <row r="1911" spans="2:10" ht="15">
      <c r="B1911" s="31"/>
      <c r="C1911" s="30"/>
      <c r="D1911" s="119"/>
      <c r="E1911" s="32"/>
      <c r="G1911" s="31">
        <v>1869</v>
      </c>
      <c r="H1911" s="30" t="str">
        <f t="shared" si="72"/>
        <v/>
      </c>
      <c r="I1911" s="74" t="str">
        <f t="shared" si="73"/>
        <v/>
      </c>
      <c r="J1911" s="32"/>
    </row>
    <row r="1912" spans="2:10" ht="15">
      <c r="B1912" s="31"/>
      <c r="C1912" s="30"/>
      <c r="D1912" s="119"/>
      <c r="E1912" s="32"/>
      <c r="G1912" s="31">
        <v>1870</v>
      </c>
      <c r="H1912" s="30" t="str">
        <f t="shared" si="72"/>
        <v/>
      </c>
      <c r="I1912" s="74" t="str">
        <f t="shared" si="73"/>
        <v/>
      </c>
      <c r="J1912" s="32"/>
    </row>
    <row r="1913" spans="2:10" ht="15">
      <c r="B1913" s="31"/>
      <c r="C1913" s="30"/>
      <c r="D1913" s="119"/>
      <c r="E1913" s="32"/>
      <c r="G1913" s="31">
        <v>1871</v>
      </c>
      <c r="H1913" s="30" t="str">
        <f t="shared" si="72"/>
        <v/>
      </c>
      <c r="I1913" s="74" t="str">
        <f t="shared" si="73"/>
        <v/>
      </c>
      <c r="J1913" s="32"/>
    </row>
    <row r="1914" spans="2:10" ht="15">
      <c r="B1914" s="31"/>
      <c r="C1914" s="30"/>
      <c r="D1914" s="119"/>
      <c r="E1914" s="32"/>
      <c r="G1914" s="31">
        <v>1872</v>
      </c>
      <c r="H1914" s="30" t="str">
        <f t="shared" si="72"/>
        <v/>
      </c>
      <c r="I1914" s="74" t="str">
        <f t="shared" si="73"/>
        <v/>
      </c>
      <c r="J1914" s="32"/>
    </row>
    <row r="1915" spans="2:10" ht="15">
      <c r="B1915" s="31"/>
      <c r="C1915" s="30"/>
      <c r="D1915" s="119"/>
      <c r="E1915" s="32"/>
      <c r="G1915" s="31">
        <v>1873</v>
      </c>
      <c r="H1915" s="30" t="str">
        <f t="shared" si="72"/>
        <v/>
      </c>
      <c r="I1915" s="74" t="str">
        <f t="shared" si="73"/>
        <v/>
      </c>
      <c r="J1915" s="32"/>
    </row>
    <row r="1916" spans="2:10" ht="15">
      <c r="B1916" s="31"/>
      <c r="C1916" s="30"/>
      <c r="D1916" s="119"/>
      <c r="E1916" s="32"/>
      <c r="G1916" s="31">
        <v>1874</v>
      </c>
      <c r="H1916" s="30" t="str">
        <f t="shared" si="72"/>
        <v/>
      </c>
      <c r="I1916" s="74" t="str">
        <f t="shared" si="73"/>
        <v/>
      </c>
      <c r="J1916" s="32"/>
    </row>
    <row r="1917" spans="2:10" ht="15">
      <c r="B1917" s="31"/>
      <c r="C1917" s="30"/>
      <c r="D1917" s="119"/>
      <c r="E1917" s="32"/>
      <c r="G1917" s="31">
        <v>1875</v>
      </c>
      <c r="H1917" s="30" t="str">
        <f t="shared" si="72"/>
        <v/>
      </c>
      <c r="I1917" s="74" t="str">
        <f t="shared" si="73"/>
        <v/>
      </c>
      <c r="J1917" s="32"/>
    </row>
    <row r="1918" spans="2:10" ht="15">
      <c r="B1918" s="31"/>
      <c r="C1918" s="30"/>
      <c r="D1918" s="119"/>
      <c r="E1918" s="32"/>
      <c r="G1918" s="31">
        <v>1876</v>
      </c>
      <c r="H1918" s="30" t="str">
        <f t="shared" si="72"/>
        <v/>
      </c>
      <c r="I1918" s="74" t="str">
        <f t="shared" si="73"/>
        <v/>
      </c>
      <c r="J1918" s="32"/>
    </row>
    <row r="1919" spans="2:10" ht="15">
      <c r="B1919" s="31"/>
      <c r="C1919" s="30"/>
      <c r="D1919" s="119"/>
      <c r="E1919" s="32"/>
      <c r="G1919" s="31">
        <v>1877</v>
      </c>
      <c r="H1919" s="30" t="str">
        <f t="shared" si="72"/>
        <v/>
      </c>
      <c r="I1919" s="74" t="str">
        <f t="shared" si="73"/>
        <v/>
      </c>
      <c r="J1919" s="32"/>
    </row>
    <row r="1920" spans="2:10" ht="15">
      <c r="B1920" s="31"/>
      <c r="C1920" s="30"/>
      <c r="D1920" s="119"/>
      <c r="E1920" s="32"/>
      <c r="G1920" s="31">
        <v>1878</v>
      </c>
      <c r="H1920" s="30" t="str">
        <f t="shared" si="72"/>
        <v/>
      </c>
      <c r="I1920" s="74" t="str">
        <f t="shared" si="73"/>
        <v/>
      </c>
      <c r="J1920" s="32"/>
    </row>
    <row r="1921" spans="2:10" ht="15">
      <c r="B1921" s="31"/>
      <c r="C1921" s="30"/>
      <c r="D1921" s="119"/>
      <c r="E1921" s="32"/>
      <c r="G1921" s="31">
        <v>1879</v>
      </c>
      <c r="H1921" s="30" t="str">
        <f t="shared" si="72"/>
        <v/>
      </c>
      <c r="I1921" s="74" t="str">
        <f t="shared" si="73"/>
        <v/>
      </c>
      <c r="J1921" s="32"/>
    </row>
    <row r="1922" spans="2:10" ht="15">
      <c r="B1922" s="31"/>
      <c r="C1922" s="30"/>
      <c r="D1922" s="119"/>
      <c r="E1922" s="32"/>
      <c r="G1922" s="31">
        <v>1880</v>
      </c>
      <c r="H1922" s="30" t="str">
        <f t="shared" si="72"/>
        <v/>
      </c>
      <c r="I1922" s="74" t="str">
        <f t="shared" si="73"/>
        <v/>
      </c>
      <c r="J1922" s="32"/>
    </row>
    <row r="1923" spans="2:10" ht="15">
      <c r="B1923" s="31"/>
      <c r="C1923" s="30"/>
      <c r="D1923" s="119"/>
      <c r="E1923" s="32"/>
      <c r="G1923" s="31">
        <v>1881</v>
      </c>
      <c r="H1923" s="30" t="str">
        <f t="shared" si="72"/>
        <v/>
      </c>
      <c r="I1923" s="74" t="str">
        <f t="shared" si="73"/>
        <v/>
      </c>
      <c r="J1923" s="32"/>
    </row>
    <row r="1924" spans="2:10" ht="15">
      <c r="B1924" s="31"/>
      <c r="C1924" s="30"/>
      <c r="D1924" s="119"/>
      <c r="E1924" s="32"/>
      <c r="G1924" s="31">
        <v>1882</v>
      </c>
      <c r="H1924" s="30" t="str">
        <f t="shared" si="72"/>
        <v/>
      </c>
      <c r="I1924" s="74" t="str">
        <f t="shared" si="73"/>
        <v/>
      </c>
      <c r="J1924" s="32"/>
    </row>
    <row r="1925" spans="2:10" ht="15">
      <c r="B1925" s="31"/>
      <c r="C1925" s="30"/>
      <c r="D1925" s="119"/>
      <c r="E1925" s="32"/>
      <c r="G1925" s="31">
        <v>1883</v>
      </c>
      <c r="H1925" s="30" t="str">
        <f t="shared" si="72"/>
        <v/>
      </c>
      <c r="I1925" s="74" t="str">
        <f t="shared" si="73"/>
        <v/>
      </c>
      <c r="J1925" s="32"/>
    </row>
    <row r="1926" spans="2:10" ht="15">
      <c r="B1926" s="31"/>
      <c r="C1926" s="30"/>
      <c r="D1926" s="119"/>
      <c r="E1926" s="32"/>
      <c r="G1926" s="31">
        <v>1884</v>
      </c>
      <c r="H1926" s="30" t="str">
        <f t="shared" si="72"/>
        <v/>
      </c>
      <c r="I1926" s="74" t="str">
        <f t="shared" si="73"/>
        <v/>
      </c>
      <c r="J1926" s="32"/>
    </row>
    <row r="1927" spans="2:10" ht="15">
      <c r="B1927" s="31"/>
      <c r="C1927" s="30"/>
      <c r="D1927" s="119"/>
      <c r="E1927" s="32"/>
      <c r="G1927" s="31">
        <v>1885</v>
      </c>
      <c r="H1927" s="30" t="str">
        <f t="shared" si="72"/>
        <v/>
      </c>
      <c r="I1927" s="74" t="str">
        <f t="shared" si="73"/>
        <v/>
      </c>
      <c r="J1927" s="32"/>
    </row>
    <row r="1928" spans="2:10" ht="15">
      <c r="B1928" s="31"/>
      <c r="C1928" s="30"/>
      <c r="D1928" s="119"/>
      <c r="E1928" s="32"/>
      <c r="G1928" s="31">
        <v>1886</v>
      </c>
      <c r="H1928" s="30" t="str">
        <f t="shared" si="72"/>
        <v/>
      </c>
      <c r="I1928" s="74" t="str">
        <f t="shared" si="73"/>
        <v/>
      </c>
      <c r="J1928" s="32"/>
    </row>
    <row r="1929" spans="2:10" ht="15">
      <c r="B1929" s="31"/>
      <c r="C1929" s="30"/>
      <c r="D1929" s="119"/>
      <c r="E1929" s="32"/>
      <c r="G1929" s="31">
        <v>1887</v>
      </c>
      <c r="H1929" s="30" t="str">
        <f t="shared" si="72"/>
        <v/>
      </c>
      <c r="I1929" s="74" t="str">
        <f t="shared" si="73"/>
        <v/>
      </c>
      <c r="J1929" s="32"/>
    </row>
    <row r="1930" spans="2:10" ht="15">
      <c r="B1930" s="31"/>
      <c r="C1930" s="30"/>
      <c r="D1930" s="119"/>
      <c r="E1930" s="32"/>
      <c r="G1930" s="31">
        <v>1888</v>
      </c>
      <c r="H1930" s="30" t="str">
        <f t="shared" si="72"/>
        <v/>
      </c>
      <c r="I1930" s="74" t="str">
        <f t="shared" si="73"/>
        <v/>
      </c>
      <c r="J1930" s="32"/>
    </row>
    <row r="1931" spans="2:10" ht="15">
      <c r="B1931" s="31"/>
      <c r="C1931" s="30"/>
      <c r="D1931" s="119"/>
      <c r="E1931" s="32"/>
      <c r="G1931" s="31">
        <v>1889</v>
      </c>
      <c r="H1931" s="30" t="str">
        <f t="shared" si="72"/>
        <v/>
      </c>
      <c r="I1931" s="74" t="str">
        <f t="shared" si="73"/>
        <v/>
      </c>
      <c r="J1931" s="32"/>
    </row>
    <row r="1932" spans="2:10" ht="15">
      <c r="B1932" s="31"/>
      <c r="C1932" s="30"/>
      <c r="D1932" s="119"/>
      <c r="E1932" s="32"/>
      <c r="G1932" s="31">
        <v>1890</v>
      </c>
      <c r="H1932" s="30" t="str">
        <f t="shared" si="72"/>
        <v/>
      </c>
      <c r="I1932" s="74" t="str">
        <f t="shared" si="73"/>
        <v/>
      </c>
      <c r="J1932" s="32"/>
    </row>
    <row r="1933" spans="2:10" ht="15">
      <c r="B1933" s="31"/>
      <c r="C1933" s="30"/>
      <c r="D1933" s="119"/>
      <c r="E1933" s="32"/>
      <c r="G1933" s="31">
        <v>1891</v>
      </c>
      <c r="H1933" s="30" t="str">
        <f t="shared" si="72"/>
        <v/>
      </c>
      <c r="I1933" s="74" t="str">
        <f t="shared" si="73"/>
        <v/>
      </c>
      <c r="J1933" s="32"/>
    </row>
    <row r="1934" spans="2:10" ht="15">
      <c r="B1934" s="31"/>
      <c r="C1934" s="30"/>
      <c r="D1934" s="119"/>
      <c r="E1934" s="32"/>
      <c r="G1934" s="31">
        <v>1892</v>
      </c>
      <c r="H1934" s="30" t="str">
        <f t="shared" si="72"/>
        <v/>
      </c>
      <c r="I1934" s="74" t="str">
        <f t="shared" si="73"/>
        <v/>
      </c>
      <c r="J1934" s="32"/>
    </row>
    <row r="1935" spans="2:10" ht="15">
      <c r="B1935" s="31"/>
      <c r="C1935" s="30"/>
      <c r="D1935" s="119"/>
      <c r="E1935" s="32"/>
      <c r="G1935" s="31">
        <v>1893</v>
      </c>
      <c r="H1935" s="30" t="str">
        <f t="shared" si="72"/>
        <v/>
      </c>
      <c r="I1935" s="74" t="str">
        <f t="shared" si="73"/>
        <v/>
      </c>
      <c r="J1935" s="32"/>
    </row>
    <row r="1936" spans="2:10" ht="15">
      <c r="B1936" s="31"/>
      <c r="C1936" s="30"/>
      <c r="D1936" s="119"/>
      <c r="E1936" s="32"/>
      <c r="G1936" s="31">
        <v>1894</v>
      </c>
      <c r="H1936" s="30" t="str">
        <f t="shared" si="72"/>
        <v/>
      </c>
      <c r="I1936" s="74" t="str">
        <f t="shared" si="73"/>
        <v/>
      </c>
      <c r="J1936" s="32"/>
    </row>
    <row r="1937" spans="2:10" ht="15">
      <c r="B1937" s="31"/>
      <c r="C1937" s="30"/>
      <c r="D1937" s="119"/>
      <c r="E1937" s="32"/>
      <c r="G1937" s="31">
        <v>1895</v>
      </c>
      <c r="H1937" s="30" t="str">
        <f t="shared" si="72"/>
        <v/>
      </c>
      <c r="I1937" s="74" t="str">
        <f t="shared" si="73"/>
        <v/>
      </c>
      <c r="J1937" s="32"/>
    </row>
    <row r="1938" spans="2:10" ht="15">
      <c r="B1938" s="31"/>
      <c r="C1938" s="30"/>
      <c r="D1938" s="119"/>
      <c r="E1938" s="32"/>
      <c r="G1938" s="31">
        <v>1896</v>
      </c>
      <c r="H1938" s="30" t="str">
        <f t="shared" si="72"/>
        <v/>
      </c>
      <c r="I1938" s="74" t="str">
        <f t="shared" si="73"/>
        <v/>
      </c>
      <c r="J1938" s="32"/>
    </row>
    <row r="1939" spans="2:10" ht="15">
      <c r="B1939" s="31"/>
      <c r="C1939" s="30"/>
      <c r="D1939" s="119"/>
      <c r="E1939" s="32"/>
      <c r="G1939" s="31">
        <v>1897</v>
      </c>
      <c r="H1939" s="30" t="str">
        <f t="shared" si="72"/>
        <v/>
      </c>
      <c r="I1939" s="74" t="str">
        <f t="shared" si="73"/>
        <v/>
      </c>
      <c r="J1939" s="32"/>
    </row>
    <row r="1940" spans="2:10" ht="15">
      <c r="B1940" s="31"/>
      <c r="C1940" s="30"/>
      <c r="D1940" s="119"/>
      <c r="E1940" s="32"/>
      <c r="G1940" s="31">
        <v>1898</v>
      </c>
      <c r="H1940" s="30" t="str">
        <f t="shared" si="72"/>
        <v/>
      </c>
      <c r="I1940" s="74" t="str">
        <f t="shared" si="73"/>
        <v/>
      </c>
      <c r="J1940" s="32"/>
    </row>
    <row r="1941" spans="2:10" ht="15">
      <c r="B1941" s="31"/>
      <c r="C1941" s="30"/>
      <c r="D1941" s="119"/>
      <c r="E1941" s="32"/>
      <c r="G1941" s="31">
        <v>1899</v>
      </c>
      <c r="H1941" s="30" t="str">
        <f t="shared" si="72"/>
        <v/>
      </c>
      <c r="I1941" s="74" t="str">
        <f t="shared" si="73"/>
        <v/>
      </c>
      <c r="J1941" s="32"/>
    </row>
    <row r="1942" spans="2:10" ht="15">
      <c r="B1942" s="31"/>
      <c r="C1942" s="30"/>
      <c r="D1942" s="119"/>
      <c r="E1942" s="32"/>
      <c r="G1942" s="31">
        <v>1900</v>
      </c>
      <c r="H1942" s="30" t="str">
        <f t="shared" si="72"/>
        <v/>
      </c>
      <c r="I1942" s="74" t="str">
        <f t="shared" si="73"/>
        <v/>
      </c>
      <c r="J1942" s="32"/>
    </row>
    <row r="1943" spans="2:10" ht="15">
      <c r="B1943" s="31"/>
      <c r="C1943" s="30"/>
      <c r="D1943" s="119"/>
      <c r="E1943" s="32"/>
      <c r="G1943" s="31">
        <v>1901</v>
      </c>
      <c r="H1943" s="30" t="str">
        <f t="shared" si="72"/>
        <v/>
      </c>
      <c r="I1943" s="74" t="str">
        <f t="shared" si="73"/>
        <v/>
      </c>
      <c r="J1943" s="32"/>
    </row>
    <row r="1944" spans="2:10" ht="15">
      <c r="B1944" s="31"/>
      <c r="C1944" s="30"/>
      <c r="D1944" s="119"/>
      <c r="E1944" s="32"/>
      <c r="G1944" s="31">
        <v>1902</v>
      </c>
      <c r="H1944" s="30" t="str">
        <f t="shared" si="72"/>
        <v/>
      </c>
      <c r="I1944" s="74" t="str">
        <f t="shared" si="73"/>
        <v/>
      </c>
      <c r="J1944" s="32"/>
    </row>
    <row r="1945" spans="2:10" ht="15">
      <c r="B1945" s="31"/>
      <c r="C1945" s="30"/>
      <c r="D1945" s="119"/>
      <c r="E1945" s="32"/>
      <c r="G1945" s="31">
        <v>1903</v>
      </c>
      <c r="H1945" s="30" t="str">
        <f t="shared" si="72"/>
        <v/>
      </c>
      <c r="I1945" s="74" t="str">
        <f t="shared" si="73"/>
        <v/>
      </c>
      <c r="J1945" s="32"/>
    </row>
    <row r="1946" spans="2:10" ht="15">
      <c r="B1946" s="31"/>
      <c r="C1946" s="30"/>
      <c r="D1946" s="119"/>
      <c r="E1946" s="32"/>
      <c r="G1946" s="31">
        <v>1904</v>
      </c>
      <c r="H1946" s="30" t="str">
        <f t="shared" si="72"/>
        <v/>
      </c>
      <c r="I1946" s="74" t="str">
        <f t="shared" si="73"/>
        <v/>
      </c>
      <c r="J1946" s="32"/>
    </row>
    <row r="1947" spans="2:10" ht="15">
      <c r="B1947" s="31"/>
      <c r="C1947" s="30"/>
      <c r="D1947" s="119"/>
      <c r="E1947" s="32"/>
      <c r="G1947" s="31">
        <v>1905</v>
      </c>
      <c r="H1947" s="30" t="str">
        <f t="shared" si="72"/>
        <v/>
      </c>
      <c r="I1947" s="74" t="str">
        <f t="shared" si="73"/>
        <v/>
      </c>
      <c r="J1947" s="32"/>
    </row>
    <row r="1948" spans="2:10" ht="15">
      <c r="B1948" s="31"/>
      <c r="C1948" s="30"/>
      <c r="D1948" s="119"/>
      <c r="E1948" s="32"/>
      <c r="G1948" s="31">
        <v>1906</v>
      </c>
      <c r="H1948" s="30" t="str">
        <f t="shared" si="72"/>
        <v/>
      </c>
      <c r="I1948" s="74" t="str">
        <f t="shared" si="73"/>
        <v/>
      </c>
      <c r="J1948" s="32"/>
    </row>
    <row r="1949" spans="2:10" ht="15">
      <c r="B1949" s="31"/>
      <c r="C1949" s="30"/>
      <c r="D1949" s="119"/>
      <c r="E1949" s="32"/>
      <c r="G1949" s="31">
        <v>1907</v>
      </c>
      <c r="H1949" s="30" t="str">
        <f t="shared" si="72"/>
        <v/>
      </c>
      <c r="I1949" s="74" t="str">
        <f t="shared" si="73"/>
        <v/>
      </c>
      <c r="J1949" s="32"/>
    </row>
    <row r="1950" spans="2:10" ht="15">
      <c r="B1950" s="31"/>
      <c r="C1950" s="30"/>
      <c r="D1950" s="119"/>
      <c r="E1950" s="32"/>
      <c r="G1950" s="31">
        <v>1908</v>
      </c>
      <c r="H1950" s="30" t="str">
        <f t="shared" si="72"/>
        <v/>
      </c>
      <c r="I1950" s="74" t="str">
        <f t="shared" si="73"/>
        <v/>
      </c>
      <c r="J1950" s="32"/>
    </row>
    <row r="1951" spans="2:10" ht="15">
      <c r="B1951" s="31"/>
      <c r="C1951" s="30"/>
      <c r="D1951" s="119"/>
      <c r="E1951" s="32"/>
      <c r="G1951" s="31">
        <v>1909</v>
      </c>
      <c r="H1951" s="30" t="str">
        <f t="shared" si="72"/>
        <v/>
      </c>
      <c r="I1951" s="74" t="str">
        <f t="shared" si="73"/>
        <v/>
      </c>
      <c r="J1951" s="32"/>
    </row>
    <row r="1952" spans="2:10" ht="15">
      <c r="B1952" s="31"/>
      <c r="C1952" s="30"/>
      <c r="D1952" s="119"/>
      <c r="E1952" s="32"/>
      <c r="G1952" s="31">
        <v>1910</v>
      </c>
      <c r="H1952" s="30" t="str">
        <f t="shared" si="72"/>
        <v/>
      </c>
      <c r="I1952" s="74" t="str">
        <f t="shared" si="73"/>
        <v/>
      </c>
      <c r="J1952" s="32"/>
    </row>
    <row r="1953" spans="2:10" ht="15">
      <c r="B1953" s="31"/>
      <c r="C1953" s="30"/>
      <c r="D1953" s="119"/>
      <c r="E1953" s="32"/>
      <c r="G1953" s="31">
        <v>1911</v>
      </c>
      <c r="H1953" s="30" t="str">
        <f t="shared" si="72"/>
        <v/>
      </c>
      <c r="I1953" s="74" t="str">
        <f t="shared" si="73"/>
        <v/>
      </c>
      <c r="J1953" s="32"/>
    </row>
    <row r="1954" spans="2:10" ht="15">
      <c r="B1954" s="31"/>
      <c r="C1954" s="30"/>
      <c r="D1954" s="119"/>
      <c r="E1954" s="32"/>
      <c r="G1954" s="31">
        <v>1912</v>
      </c>
      <c r="H1954" s="30" t="str">
        <f t="shared" si="72"/>
        <v/>
      </c>
      <c r="I1954" s="74" t="str">
        <f t="shared" si="73"/>
        <v/>
      </c>
      <c r="J1954" s="32"/>
    </row>
    <row r="1955" spans="2:10" ht="15">
      <c r="B1955" s="31"/>
      <c r="C1955" s="30"/>
      <c r="D1955" s="119"/>
      <c r="E1955" s="32"/>
      <c r="G1955" s="31">
        <v>1913</v>
      </c>
      <c r="H1955" s="30" t="str">
        <f t="shared" si="72"/>
        <v/>
      </c>
      <c r="I1955" s="74" t="str">
        <f t="shared" si="73"/>
        <v/>
      </c>
      <c r="J1955" s="32"/>
    </row>
    <row r="1956" spans="2:10" ht="15">
      <c r="B1956" s="31"/>
      <c r="C1956" s="30"/>
      <c r="D1956" s="119"/>
      <c r="E1956" s="32"/>
      <c r="G1956" s="31">
        <v>1914</v>
      </c>
      <c r="H1956" s="30" t="str">
        <f t="shared" si="72"/>
        <v/>
      </c>
      <c r="I1956" s="74" t="str">
        <f t="shared" si="73"/>
        <v/>
      </c>
      <c r="J1956" s="32"/>
    </row>
    <row r="1957" spans="2:10" ht="15">
      <c r="B1957" s="31"/>
      <c r="C1957" s="30"/>
      <c r="D1957" s="119"/>
      <c r="E1957" s="32"/>
      <c r="G1957" s="31">
        <v>1915</v>
      </c>
      <c r="H1957" s="30" t="str">
        <f t="shared" si="72"/>
        <v/>
      </c>
      <c r="I1957" s="74" t="str">
        <f t="shared" si="73"/>
        <v/>
      </c>
      <c r="J1957" s="32"/>
    </row>
    <row r="1958" spans="2:10" ht="15">
      <c r="B1958" s="31"/>
      <c r="C1958" s="30"/>
      <c r="D1958" s="119"/>
      <c r="E1958" s="32"/>
      <c r="G1958" s="31">
        <v>1916</v>
      </c>
      <c r="H1958" s="30" t="str">
        <f t="shared" si="72"/>
        <v/>
      </c>
      <c r="I1958" s="74" t="str">
        <f t="shared" si="73"/>
        <v/>
      </c>
      <c r="J1958" s="32"/>
    </row>
    <row r="1959" spans="2:10" ht="15">
      <c r="B1959" s="31"/>
      <c r="C1959" s="30"/>
      <c r="D1959" s="119"/>
      <c r="E1959" s="32"/>
      <c r="G1959" s="31">
        <v>1917</v>
      </c>
      <c r="H1959" s="30" t="str">
        <f t="shared" si="72"/>
        <v/>
      </c>
      <c r="I1959" s="74" t="str">
        <f t="shared" si="73"/>
        <v/>
      </c>
      <c r="J1959" s="32"/>
    </row>
    <row r="1960" spans="2:10" ht="15">
      <c r="B1960" s="31"/>
      <c r="C1960" s="30"/>
      <c r="D1960" s="119"/>
      <c r="E1960" s="32"/>
      <c r="G1960" s="31">
        <v>1918</v>
      </c>
      <c r="H1960" s="30" t="str">
        <f t="shared" si="72"/>
        <v/>
      </c>
      <c r="I1960" s="74" t="str">
        <f t="shared" si="73"/>
        <v/>
      </c>
      <c r="J1960" s="32"/>
    </row>
    <row r="1961" spans="2:10" ht="15">
      <c r="B1961" s="31"/>
      <c r="C1961" s="30"/>
      <c r="D1961" s="119"/>
      <c r="E1961" s="32"/>
      <c r="G1961" s="31">
        <v>1919</v>
      </c>
      <c r="H1961" s="30" t="str">
        <f t="shared" si="72"/>
        <v/>
      </c>
      <c r="I1961" s="74" t="str">
        <f t="shared" si="73"/>
        <v/>
      </c>
      <c r="J1961" s="32"/>
    </row>
    <row r="1962" spans="2:10" ht="15">
      <c r="B1962" s="31"/>
      <c r="C1962" s="30"/>
      <c r="D1962" s="119"/>
      <c r="E1962" s="32"/>
      <c r="G1962" s="31">
        <v>1920</v>
      </c>
      <c r="H1962" s="30" t="str">
        <f t="shared" si="72"/>
        <v/>
      </c>
      <c r="I1962" s="74" t="str">
        <f t="shared" si="73"/>
        <v/>
      </c>
      <c r="J1962" s="32"/>
    </row>
    <row r="1963" spans="2:10" ht="15">
      <c r="B1963" s="31"/>
      <c r="C1963" s="30"/>
      <c r="D1963" s="119"/>
      <c r="E1963" s="32"/>
      <c r="G1963" s="31">
        <v>1921</v>
      </c>
      <c r="H1963" s="30" t="str">
        <f t="shared" si="72"/>
        <v/>
      </c>
      <c r="I1963" s="74" t="str">
        <f t="shared" si="73"/>
        <v/>
      </c>
      <c r="J1963" s="32"/>
    </row>
    <row r="1964" spans="2:10" ht="15">
      <c r="B1964" s="31"/>
      <c r="C1964" s="30"/>
      <c r="D1964" s="119"/>
      <c r="E1964" s="32"/>
      <c r="G1964" s="31">
        <v>1922</v>
      </c>
      <c r="H1964" s="30" t="str">
        <f t="shared" ref="H1964:H2027" si="74">MID($I$41,G1964*8-7,8)</f>
        <v/>
      </c>
      <c r="I1964" s="74" t="str">
        <f t="shared" ref="I1964:I2027" si="75">IFERROR(BIN2DEC(VALUE(H1964)),"")</f>
        <v/>
      </c>
      <c r="J1964" s="32"/>
    </row>
    <row r="1965" spans="2:10" ht="15">
      <c r="B1965" s="31"/>
      <c r="C1965" s="30"/>
      <c r="D1965" s="119"/>
      <c r="E1965" s="32"/>
      <c r="G1965" s="31">
        <v>1923</v>
      </c>
      <c r="H1965" s="30" t="str">
        <f t="shared" si="74"/>
        <v/>
      </c>
      <c r="I1965" s="74" t="str">
        <f t="shared" si="75"/>
        <v/>
      </c>
      <c r="J1965" s="32"/>
    </row>
    <row r="1966" spans="2:10" ht="15">
      <c r="B1966" s="31"/>
      <c r="C1966" s="30"/>
      <c r="D1966" s="119"/>
      <c r="E1966" s="32"/>
      <c r="G1966" s="31">
        <v>1924</v>
      </c>
      <c r="H1966" s="30" t="str">
        <f t="shared" si="74"/>
        <v/>
      </c>
      <c r="I1966" s="74" t="str">
        <f t="shared" si="75"/>
        <v/>
      </c>
      <c r="J1966" s="32"/>
    </row>
    <row r="1967" spans="2:10" ht="15">
      <c r="B1967" s="31"/>
      <c r="C1967" s="30"/>
      <c r="D1967" s="119"/>
      <c r="E1967" s="32"/>
      <c r="G1967" s="31">
        <v>1925</v>
      </c>
      <c r="H1967" s="30" t="str">
        <f t="shared" si="74"/>
        <v/>
      </c>
      <c r="I1967" s="74" t="str">
        <f t="shared" si="75"/>
        <v/>
      </c>
      <c r="J1967" s="32"/>
    </row>
    <row r="1968" spans="2:10" ht="15">
      <c r="B1968" s="31"/>
      <c r="C1968" s="30"/>
      <c r="D1968" s="119"/>
      <c r="E1968" s="32"/>
      <c r="G1968" s="31">
        <v>1926</v>
      </c>
      <c r="H1968" s="30" t="str">
        <f t="shared" si="74"/>
        <v/>
      </c>
      <c r="I1968" s="74" t="str">
        <f t="shared" si="75"/>
        <v/>
      </c>
      <c r="J1968" s="32"/>
    </row>
    <row r="1969" spans="2:10" ht="15">
      <c r="B1969" s="31"/>
      <c r="C1969" s="30"/>
      <c r="D1969" s="119"/>
      <c r="E1969" s="32"/>
      <c r="G1969" s="31">
        <v>1927</v>
      </c>
      <c r="H1969" s="30" t="str">
        <f t="shared" si="74"/>
        <v/>
      </c>
      <c r="I1969" s="74" t="str">
        <f t="shared" si="75"/>
        <v/>
      </c>
      <c r="J1969" s="32"/>
    </row>
    <row r="1970" spans="2:10" ht="15">
      <c r="B1970" s="31"/>
      <c r="C1970" s="30"/>
      <c r="D1970" s="119"/>
      <c r="E1970" s="32"/>
      <c r="G1970" s="31">
        <v>1928</v>
      </c>
      <c r="H1970" s="30" t="str">
        <f t="shared" si="74"/>
        <v/>
      </c>
      <c r="I1970" s="74" t="str">
        <f t="shared" si="75"/>
        <v/>
      </c>
      <c r="J1970" s="32"/>
    </row>
    <row r="1971" spans="2:10" ht="15">
      <c r="B1971" s="31"/>
      <c r="C1971" s="30"/>
      <c r="D1971" s="119"/>
      <c r="E1971" s="32"/>
      <c r="G1971" s="31">
        <v>1929</v>
      </c>
      <c r="H1971" s="30" t="str">
        <f t="shared" si="74"/>
        <v/>
      </c>
      <c r="I1971" s="74" t="str">
        <f t="shared" si="75"/>
        <v/>
      </c>
      <c r="J1971" s="32"/>
    </row>
    <row r="1972" spans="2:10" ht="15">
      <c r="B1972" s="31"/>
      <c r="C1972" s="30"/>
      <c r="D1972" s="119"/>
      <c r="E1972" s="32"/>
      <c r="G1972" s="31">
        <v>1930</v>
      </c>
      <c r="H1972" s="30" t="str">
        <f t="shared" si="74"/>
        <v/>
      </c>
      <c r="I1972" s="74" t="str">
        <f t="shared" si="75"/>
        <v/>
      </c>
      <c r="J1972" s="32"/>
    </row>
    <row r="1973" spans="2:10" ht="15">
      <c r="B1973" s="31"/>
      <c r="C1973" s="30"/>
      <c r="D1973" s="119"/>
      <c r="E1973" s="32"/>
      <c r="G1973" s="31">
        <v>1931</v>
      </c>
      <c r="H1973" s="30" t="str">
        <f t="shared" si="74"/>
        <v/>
      </c>
      <c r="I1973" s="74" t="str">
        <f t="shared" si="75"/>
        <v/>
      </c>
      <c r="J1973" s="32"/>
    </row>
    <row r="1974" spans="2:10" ht="15">
      <c r="B1974" s="31"/>
      <c r="C1974" s="30"/>
      <c r="D1974" s="119"/>
      <c r="E1974" s="32"/>
      <c r="G1974" s="31">
        <v>1932</v>
      </c>
      <c r="H1974" s="30" t="str">
        <f t="shared" si="74"/>
        <v/>
      </c>
      <c r="I1974" s="74" t="str">
        <f t="shared" si="75"/>
        <v/>
      </c>
      <c r="J1974" s="32"/>
    </row>
    <row r="1975" spans="2:10" ht="15">
      <c r="B1975" s="31"/>
      <c r="C1975" s="30"/>
      <c r="D1975" s="119"/>
      <c r="E1975" s="32"/>
      <c r="G1975" s="31">
        <v>1933</v>
      </c>
      <c r="H1975" s="30" t="str">
        <f t="shared" si="74"/>
        <v/>
      </c>
      <c r="I1975" s="74" t="str">
        <f t="shared" si="75"/>
        <v/>
      </c>
      <c r="J1975" s="32"/>
    </row>
    <row r="1976" spans="2:10" ht="15">
      <c r="B1976" s="31"/>
      <c r="C1976" s="30"/>
      <c r="D1976" s="119"/>
      <c r="E1976" s="32"/>
      <c r="G1976" s="31">
        <v>1934</v>
      </c>
      <c r="H1976" s="30" t="str">
        <f t="shared" si="74"/>
        <v/>
      </c>
      <c r="I1976" s="74" t="str">
        <f t="shared" si="75"/>
        <v/>
      </c>
      <c r="J1976" s="32"/>
    </row>
    <row r="1977" spans="2:10" ht="15">
      <c r="B1977" s="31"/>
      <c r="C1977" s="30"/>
      <c r="D1977" s="119"/>
      <c r="E1977" s="32"/>
      <c r="G1977" s="31">
        <v>1935</v>
      </c>
      <c r="H1977" s="30" t="str">
        <f t="shared" si="74"/>
        <v/>
      </c>
      <c r="I1977" s="74" t="str">
        <f t="shared" si="75"/>
        <v/>
      </c>
      <c r="J1977" s="32"/>
    </row>
    <row r="1978" spans="2:10" ht="15">
      <c r="B1978" s="31"/>
      <c r="C1978" s="30"/>
      <c r="D1978" s="119"/>
      <c r="E1978" s="32"/>
      <c r="G1978" s="31">
        <v>1936</v>
      </c>
      <c r="H1978" s="30" t="str">
        <f t="shared" si="74"/>
        <v/>
      </c>
      <c r="I1978" s="74" t="str">
        <f t="shared" si="75"/>
        <v/>
      </c>
      <c r="J1978" s="32"/>
    </row>
    <row r="1979" spans="2:10" ht="15">
      <c r="B1979" s="31"/>
      <c r="C1979" s="30"/>
      <c r="D1979" s="119"/>
      <c r="E1979" s="32"/>
      <c r="G1979" s="31">
        <v>1937</v>
      </c>
      <c r="H1979" s="30" t="str">
        <f t="shared" si="74"/>
        <v/>
      </c>
      <c r="I1979" s="74" t="str">
        <f t="shared" si="75"/>
        <v/>
      </c>
      <c r="J1979" s="32"/>
    </row>
    <row r="1980" spans="2:10" ht="15">
      <c r="B1980" s="31"/>
      <c r="C1980" s="30"/>
      <c r="D1980" s="119"/>
      <c r="E1980" s="32"/>
      <c r="G1980" s="31">
        <v>1938</v>
      </c>
      <c r="H1980" s="30" t="str">
        <f t="shared" si="74"/>
        <v/>
      </c>
      <c r="I1980" s="74" t="str">
        <f t="shared" si="75"/>
        <v/>
      </c>
      <c r="J1980" s="32"/>
    </row>
    <row r="1981" spans="2:10" ht="15">
      <c r="B1981" s="31"/>
      <c r="C1981" s="30"/>
      <c r="D1981" s="119"/>
      <c r="E1981" s="32"/>
      <c r="G1981" s="31">
        <v>1939</v>
      </c>
      <c r="H1981" s="30" t="str">
        <f t="shared" si="74"/>
        <v/>
      </c>
      <c r="I1981" s="74" t="str">
        <f t="shared" si="75"/>
        <v/>
      </c>
      <c r="J1981" s="32"/>
    </row>
    <row r="1982" spans="2:10" ht="15">
      <c r="B1982" s="31"/>
      <c r="C1982" s="30"/>
      <c r="D1982" s="119"/>
      <c r="E1982" s="32"/>
      <c r="G1982" s="31">
        <v>1940</v>
      </c>
      <c r="H1982" s="30" t="str">
        <f t="shared" si="74"/>
        <v/>
      </c>
      <c r="I1982" s="74" t="str">
        <f t="shared" si="75"/>
        <v/>
      </c>
      <c r="J1982" s="32"/>
    </row>
    <row r="1983" spans="2:10" ht="15">
      <c r="B1983" s="31"/>
      <c r="C1983" s="30"/>
      <c r="D1983" s="119"/>
      <c r="E1983" s="32"/>
      <c r="G1983" s="31">
        <v>1941</v>
      </c>
      <c r="H1983" s="30" t="str">
        <f t="shared" si="74"/>
        <v/>
      </c>
      <c r="I1983" s="74" t="str">
        <f t="shared" si="75"/>
        <v/>
      </c>
      <c r="J1983" s="32"/>
    </row>
    <row r="1984" spans="2:10" ht="15">
      <c r="B1984" s="31"/>
      <c r="C1984" s="30"/>
      <c r="D1984" s="119"/>
      <c r="E1984" s="32"/>
      <c r="G1984" s="31">
        <v>1942</v>
      </c>
      <c r="H1984" s="30" t="str">
        <f t="shared" si="74"/>
        <v/>
      </c>
      <c r="I1984" s="74" t="str">
        <f t="shared" si="75"/>
        <v/>
      </c>
      <c r="J1984" s="32"/>
    </row>
    <row r="1985" spans="2:10" ht="15">
      <c r="B1985" s="31"/>
      <c r="C1985" s="30"/>
      <c r="D1985" s="119"/>
      <c r="E1985" s="32"/>
      <c r="G1985" s="31">
        <v>1943</v>
      </c>
      <c r="H1985" s="30" t="str">
        <f t="shared" si="74"/>
        <v/>
      </c>
      <c r="I1985" s="74" t="str">
        <f t="shared" si="75"/>
        <v/>
      </c>
      <c r="J1985" s="32"/>
    </row>
    <row r="1986" spans="2:10" ht="15">
      <c r="B1986" s="31"/>
      <c r="C1986" s="30"/>
      <c r="D1986" s="119"/>
      <c r="E1986" s="32"/>
      <c r="G1986" s="31">
        <v>1944</v>
      </c>
      <c r="H1986" s="30" t="str">
        <f t="shared" si="74"/>
        <v/>
      </c>
      <c r="I1986" s="74" t="str">
        <f t="shared" si="75"/>
        <v/>
      </c>
      <c r="J1986" s="32"/>
    </row>
    <row r="1987" spans="2:10" ht="15">
      <c r="B1987" s="31"/>
      <c r="C1987" s="30"/>
      <c r="D1987" s="119"/>
      <c r="E1987" s="32"/>
      <c r="G1987" s="31">
        <v>1945</v>
      </c>
      <c r="H1987" s="30" t="str">
        <f t="shared" si="74"/>
        <v/>
      </c>
      <c r="I1987" s="74" t="str">
        <f t="shared" si="75"/>
        <v/>
      </c>
      <c r="J1987" s="32"/>
    </row>
    <row r="1988" spans="2:10" ht="15">
      <c r="B1988" s="31"/>
      <c r="C1988" s="30"/>
      <c r="D1988" s="119"/>
      <c r="E1988" s="32"/>
      <c r="G1988" s="31">
        <v>1946</v>
      </c>
      <c r="H1988" s="30" t="str">
        <f t="shared" si="74"/>
        <v/>
      </c>
      <c r="I1988" s="74" t="str">
        <f t="shared" si="75"/>
        <v/>
      </c>
      <c r="J1988" s="32"/>
    </row>
    <row r="1989" spans="2:10" ht="15">
      <c r="B1989" s="31"/>
      <c r="C1989" s="30"/>
      <c r="D1989" s="119"/>
      <c r="E1989" s="32"/>
      <c r="G1989" s="31">
        <v>1947</v>
      </c>
      <c r="H1989" s="30" t="str">
        <f t="shared" si="74"/>
        <v/>
      </c>
      <c r="I1989" s="74" t="str">
        <f t="shared" si="75"/>
        <v/>
      </c>
      <c r="J1989" s="32"/>
    </row>
    <row r="1990" spans="2:10" ht="15">
      <c r="B1990" s="31"/>
      <c r="C1990" s="30"/>
      <c r="D1990" s="119"/>
      <c r="E1990" s="32"/>
      <c r="G1990" s="31">
        <v>1948</v>
      </c>
      <c r="H1990" s="30" t="str">
        <f t="shared" si="74"/>
        <v/>
      </c>
      <c r="I1990" s="74" t="str">
        <f t="shared" si="75"/>
        <v/>
      </c>
      <c r="J1990" s="32"/>
    </row>
    <row r="1991" spans="2:10" ht="15">
      <c r="B1991" s="31"/>
      <c r="C1991" s="30"/>
      <c r="D1991" s="119"/>
      <c r="E1991" s="32"/>
      <c r="G1991" s="31">
        <v>1949</v>
      </c>
      <c r="H1991" s="30" t="str">
        <f t="shared" si="74"/>
        <v/>
      </c>
      <c r="I1991" s="74" t="str">
        <f t="shared" si="75"/>
        <v/>
      </c>
      <c r="J1991" s="32"/>
    </row>
    <row r="1992" spans="2:10" ht="15">
      <c r="B1992" s="31"/>
      <c r="C1992" s="30"/>
      <c r="D1992" s="119"/>
      <c r="E1992" s="32"/>
      <c r="G1992" s="31">
        <v>1950</v>
      </c>
      <c r="H1992" s="30" t="str">
        <f t="shared" si="74"/>
        <v/>
      </c>
      <c r="I1992" s="74" t="str">
        <f t="shared" si="75"/>
        <v/>
      </c>
      <c r="J1992" s="32"/>
    </row>
    <row r="1993" spans="2:10" ht="15">
      <c r="B1993" s="31"/>
      <c r="C1993" s="30"/>
      <c r="D1993" s="119"/>
      <c r="E1993" s="32"/>
      <c r="G1993" s="31">
        <v>1951</v>
      </c>
      <c r="H1993" s="30" t="str">
        <f t="shared" si="74"/>
        <v/>
      </c>
      <c r="I1993" s="74" t="str">
        <f t="shared" si="75"/>
        <v/>
      </c>
      <c r="J1993" s="32"/>
    </row>
    <row r="1994" spans="2:10" ht="15">
      <c r="B1994" s="31"/>
      <c r="C1994" s="30"/>
      <c r="D1994" s="119"/>
      <c r="E1994" s="32"/>
      <c r="G1994" s="31">
        <v>1952</v>
      </c>
      <c r="H1994" s="30" t="str">
        <f t="shared" si="74"/>
        <v/>
      </c>
      <c r="I1994" s="74" t="str">
        <f t="shared" si="75"/>
        <v/>
      </c>
      <c r="J1994" s="32"/>
    </row>
    <row r="1995" spans="2:10" ht="15">
      <c r="B1995" s="31"/>
      <c r="C1995" s="30"/>
      <c r="D1995" s="119"/>
      <c r="E1995" s="32"/>
      <c r="G1995" s="31">
        <v>1953</v>
      </c>
      <c r="H1995" s="30" t="str">
        <f t="shared" si="74"/>
        <v/>
      </c>
      <c r="I1995" s="74" t="str">
        <f t="shared" si="75"/>
        <v/>
      </c>
      <c r="J1995" s="32"/>
    </row>
    <row r="1996" spans="2:10" ht="15">
      <c r="B1996" s="31"/>
      <c r="C1996" s="30"/>
      <c r="D1996" s="119"/>
      <c r="E1996" s="32"/>
      <c r="G1996" s="31">
        <v>1954</v>
      </c>
      <c r="H1996" s="30" t="str">
        <f t="shared" si="74"/>
        <v/>
      </c>
      <c r="I1996" s="74" t="str">
        <f t="shared" si="75"/>
        <v/>
      </c>
      <c r="J1996" s="32"/>
    </row>
    <row r="1997" spans="2:10" ht="15">
      <c r="B1997" s="31"/>
      <c r="C1997" s="30"/>
      <c r="D1997" s="119"/>
      <c r="E1997" s="32"/>
      <c r="G1997" s="31">
        <v>1955</v>
      </c>
      <c r="H1997" s="30" t="str">
        <f t="shared" si="74"/>
        <v/>
      </c>
      <c r="I1997" s="74" t="str">
        <f t="shared" si="75"/>
        <v/>
      </c>
      <c r="J1997" s="32"/>
    </row>
    <row r="1998" spans="2:10" ht="15">
      <c r="B1998" s="31"/>
      <c r="C1998" s="30"/>
      <c r="D1998" s="119"/>
      <c r="E1998" s="32"/>
      <c r="G1998" s="31">
        <v>1956</v>
      </c>
      <c r="H1998" s="30" t="str">
        <f t="shared" si="74"/>
        <v/>
      </c>
      <c r="I1998" s="74" t="str">
        <f t="shared" si="75"/>
        <v/>
      </c>
      <c r="J1998" s="32"/>
    </row>
    <row r="1999" spans="2:10" ht="15">
      <c r="B1999" s="31"/>
      <c r="C1999" s="30"/>
      <c r="D1999" s="119"/>
      <c r="E1999" s="32"/>
      <c r="G1999" s="31">
        <v>1957</v>
      </c>
      <c r="H1999" s="30" t="str">
        <f t="shared" si="74"/>
        <v/>
      </c>
      <c r="I1999" s="74" t="str">
        <f t="shared" si="75"/>
        <v/>
      </c>
      <c r="J1999" s="32"/>
    </row>
    <row r="2000" spans="2:10" ht="15">
      <c r="B2000" s="31"/>
      <c r="C2000" s="30"/>
      <c r="D2000" s="119"/>
      <c r="E2000" s="32"/>
      <c r="G2000" s="31">
        <v>1958</v>
      </c>
      <c r="H2000" s="30" t="str">
        <f t="shared" si="74"/>
        <v/>
      </c>
      <c r="I2000" s="74" t="str">
        <f t="shared" si="75"/>
        <v/>
      </c>
      <c r="J2000" s="32"/>
    </row>
    <row r="2001" spans="2:10" ht="15">
      <c r="B2001" s="31"/>
      <c r="C2001" s="30"/>
      <c r="D2001" s="119"/>
      <c r="E2001" s="32"/>
      <c r="G2001" s="31">
        <v>1959</v>
      </c>
      <c r="H2001" s="30" t="str">
        <f t="shared" si="74"/>
        <v/>
      </c>
      <c r="I2001" s="74" t="str">
        <f t="shared" si="75"/>
        <v/>
      </c>
      <c r="J2001" s="32"/>
    </row>
    <row r="2002" spans="2:10" ht="15">
      <c r="B2002" s="31"/>
      <c r="C2002" s="30"/>
      <c r="D2002" s="119"/>
      <c r="E2002" s="32"/>
      <c r="G2002" s="31">
        <v>1960</v>
      </c>
      <c r="H2002" s="30" t="str">
        <f t="shared" si="74"/>
        <v/>
      </c>
      <c r="I2002" s="74" t="str">
        <f t="shared" si="75"/>
        <v/>
      </c>
      <c r="J2002" s="32"/>
    </row>
    <row r="2003" spans="2:10" ht="15">
      <c r="B2003" s="31"/>
      <c r="C2003" s="30"/>
      <c r="D2003" s="119"/>
      <c r="E2003" s="32"/>
      <c r="G2003" s="31">
        <v>1961</v>
      </c>
      <c r="H2003" s="30" t="str">
        <f t="shared" si="74"/>
        <v/>
      </c>
      <c r="I2003" s="74" t="str">
        <f t="shared" si="75"/>
        <v/>
      </c>
      <c r="J2003" s="32"/>
    </row>
    <row r="2004" spans="2:10" ht="15">
      <c r="B2004" s="31"/>
      <c r="C2004" s="30"/>
      <c r="D2004" s="119"/>
      <c r="E2004" s="32"/>
      <c r="G2004" s="31">
        <v>1962</v>
      </c>
      <c r="H2004" s="30" t="str">
        <f t="shared" si="74"/>
        <v/>
      </c>
      <c r="I2004" s="74" t="str">
        <f t="shared" si="75"/>
        <v/>
      </c>
      <c r="J2004" s="32"/>
    </row>
    <row r="2005" spans="2:10" ht="15">
      <c r="B2005" s="31"/>
      <c r="C2005" s="30"/>
      <c r="D2005" s="119"/>
      <c r="E2005" s="32"/>
      <c r="G2005" s="31">
        <v>1963</v>
      </c>
      <c r="H2005" s="30" t="str">
        <f t="shared" si="74"/>
        <v/>
      </c>
      <c r="I2005" s="74" t="str">
        <f t="shared" si="75"/>
        <v/>
      </c>
      <c r="J2005" s="32"/>
    </row>
    <row r="2006" spans="2:10" ht="15">
      <c r="B2006" s="31"/>
      <c r="C2006" s="30"/>
      <c r="D2006" s="119"/>
      <c r="E2006" s="32"/>
      <c r="G2006" s="31">
        <v>1964</v>
      </c>
      <c r="H2006" s="30" t="str">
        <f t="shared" si="74"/>
        <v/>
      </c>
      <c r="I2006" s="74" t="str">
        <f t="shared" si="75"/>
        <v/>
      </c>
      <c r="J2006" s="32"/>
    </row>
    <row r="2007" spans="2:10" ht="15">
      <c r="B2007" s="31"/>
      <c r="C2007" s="30"/>
      <c r="D2007" s="119"/>
      <c r="E2007" s="32"/>
      <c r="G2007" s="31">
        <v>1965</v>
      </c>
      <c r="H2007" s="30" t="str">
        <f t="shared" si="74"/>
        <v/>
      </c>
      <c r="I2007" s="74" t="str">
        <f t="shared" si="75"/>
        <v/>
      </c>
      <c r="J2007" s="32"/>
    </row>
    <row r="2008" spans="2:10" ht="15">
      <c r="B2008" s="31"/>
      <c r="C2008" s="30"/>
      <c r="D2008" s="119"/>
      <c r="E2008" s="32"/>
      <c r="G2008" s="31">
        <v>1966</v>
      </c>
      <c r="H2008" s="30" t="str">
        <f t="shared" si="74"/>
        <v/>
      </c>
      <c r="I2008" s="74" t="str">
        <f t="shared" si="75"/>
        <v/>
      </c>
      <c r="J2008" s="32"/>
    </row>
    <row r="2009" spans="2:10" ht="15">
      <c r="B2009" s="31"/>
      <c r="C2009" s="30"/>
      <c r="D2009" s="119"/>
      <c r="E2009" s="32"/>
      <c r="G2009" s="31">
        <v>1967</v>
      </c>
      <c r="H2009" s="30" t="str">
        <f t="shared" si="74"/>
        <v/>
      </c>
      <c r="I2009" s="74" t="str">
        <f t="shared" si="75"/>
        <v/>
      </c>
      <c r="J2009" s="32"/>
    </row>
    <row r="2010" spans="2:10" ht="15">
      <c r="B2010" s="31"/>
      <c r="C2010" s="30"/>
      <c r="D2010" s="119"/>
      <c r="E2010" s="32"/>
      <c r="G2010" s="31">
        <v>1968</v>
      </c>
      <c r="H2010" s="30" t="str">
        <f t="shared" si="74"/>
        <v/>
      </c>
      <c r="I2010" s="74" t="str">
        <f t="shared" si="75"/>
        <v/>
      </c>
      <c r="J2010" s="32"/>
    </row>
    <row r="2011" spans="2:10" ht="15">
      <c r="B2011" s="31"/>
      <c r="C2011" s="30"/>
      <c r="D2011" s="119"/>
      <c r="E2011" s="32"/>
      <c r="G2011" s="31">
        <v>1969</v>
      </c>
      <c r="H2011" s="30" t="str">
        <f t="shared" si="74"/>
        <v/>
      </c>
      <c r="I2011" s="74" t="str">
        <f t="shared" si="75"/>
        <v/>
      </c>
      <c r="J2011" s="32"/>
    </row>
    <row r="2012" spans="2:10" ht="15">
      <c r="B2012" s="31"/>
      <c r="C2012" s="30"/>
      <c r="D2012" s="119"/>
      <c r="E2012" s="32"/>
      <c r="G2012" s="31">
        <v>1970</v>
      </c>
      <c r="H2012" s="30" t="str">
        <f t="shared" si="74"/>
        <v/>
      </c>
      <c r="I2012" s="74" t="str">
        <f t="shared" si="75"/>
        <v/>
      </c>
      <c r="J2012" s="32"/>
    </row>
    <row r="2013" spans="2:10" ht="15">
      <c r="B2013" s="31"/>
      <c r="C2013" s="30"/>
      <c r="D2013" s="119"/>
      <c r="E2013" s="32"/>
      <c r="G2013" s="31">
        <v>1971</v>
      </c>
      <c r="H2013" s="30" t="str">
        <f t="shared" si="74"/>
        <v/>
      </c>
      <c r="I2013" s="74" t="str">
        <f t="shared" si="75"/>
        <v/>
      </c>
      <c r="J2013" s="32"/>
    </row>
    <row r="2014" spans="2:10" ht="15">
      <c r="B2014" s="31"/>
      <c r="C2014" s="30"/>
      <c r="D2014" s="119"/>
      <c r="E2014" s="32"/>
      <c r="G2014" s="31">
        <v>1972</v>
      </c>
      <c r="H2014" s="30" t="str">
        <f t="shared" si="74"/>
        <v/>
      </c>
      <c r="I2014" s="74" t="str">
        <f t="shared" si="75"/>
        <v/>
      </c>
      <c r="J2014" s="32"/>
    </row>
    <row r="2015" spans="2:10" ht="15">
      <c r="B2015" s="31"/>
      <c r="C2015" s="30"/>
      <c r="D2015" s="119"/>
      <c r="E2015" s="32"/>
      <c r="G2015" s="31">
        <v>1973</v>
      </c>
      <c r="H2015" s="30" t="str">
        <f t="shared" si="74"/>
        <v/>
      </c>
      <c r="I2015" s="74" t="str">
        <f t="shared" si="75"/>
        <v/>
      </c>
      <c r="J2015" s="32"/>
    </row>
    <row r="2016" spans="2:10" ht="15">
      <c r="B2016" s="31"/>
      <c r="C2016" s="30"/>
      <c r="D2016" s="119"/>
      <c r="E2016" s="32"/>
      <c r="G2016" s="31">
        <v>1974</v>
      </c>
      <c r="H2016" s="30" t="str">
        <f t="shared" si="74"/>
        <v/>
      </c>
      <c r="I2016" s="74" t="str">
        <f t="shared" si="75"/>
        <v/>
      </c>
      <c r="J2016" s="32"/>
    </row>
    <row r="2017" spans="2:10" ht="15">
      <c r="B2017" s="31"/>
      <c r="C2017" s="30"/>
      <c r="D2017" s="119"/>
      <c r="E2017" s="32"/>
      <c r="G2017" s="31">
        <v>1975</v>
      </c>
      <c r="H2017" s="30" t="str">
        <f t="shared" si="74"/>
        <v/>
      </c>
      <c r="I2017" s="74" t="str">
        <f t="shared" si="75"/>
        <v/>
      </c>
      <c r="J2017" s="32"/>
    </row>
    <row r="2018" spans="2:10" ht="15">
      <c r="B2018" s="31"/>
      <c r="C2018" s="30"/>
      <c r="D2018" s="119"/>
      <c r="E2018" s="32"/>
      <c r="G2018" s="31">
        <v>1976</v>
      </c>
      <c r="H2018" s="30" t="str">
        <f t="shared" si="74"/>
        <v/>
      </c>
      <c r="I2018" s="74" t="str">
        <f t="shared" si="75"/>
        <v/>
      </c>
      <c r="J2018" s="32"/>
    </row>
    <row r="2019" spans="2:10" ht="15">
      <c r="B2019" s="31"/>
      <c r="C2019" s="30"/>
      <c r="D2019" s="119"/>
      <c r="E2019" s="32"/>
      <c r="G2019" s="31">
        <v>1977</v>
      </c>
      <c r="H2019" s="30" t="str">
        <f t="shared" si="74"/>
        <v/>
      </c>
      <c r="I2019" s="74" t="str">
        <f t="shared" si="75"/>
        <v/>
      </c>
      <c r="J2019" s="32"/>
    </row>
    <row r="2020" spans="2:10" ht="15">
      <c r="B2020" s="31"/>
      <c r="C2020" s="30"/>
      <c r="D2020" s="119"/>
      <c r="E2020" s="32"/>
      <c r="G2020" s="31">
        <v>1978</v>
      </c>
      <c r="H2020" s="30" t="str">
        <f t="shared" si="74"/>
        <v/>
      </c>
      <c r="I2020" s="74" t="str">
        <f t="shared" si="75"/>
        <v/>
      </c>
      <c r="J2020" s="32"/>
    </row>
    <row r="2021" spans="2:10" ht="15">
      <c r="B2021" s="31"/>
      <c r="C2021" s="30"/>
      <c r="D2021" s="119"/>
      <c r="E2021" s="32"/>
      <c r="G2021" s="31">
        <v>1979</v>
      </c>
      <c r="H2021" s="30" t="str">
        <f t="shared" si="74"/>
        <v/>
      </c>
      <c r="I2021" s="74" t="str">
        <f t="shared" si="75"/>
        <v/>
      </c>
      <c r="J2021" s="32"/>
    </row>
    <row r="2022" spans="2:10" ht="15">
      <c r="B2022" s="31"/>
      <c r="C2022" s="30"/>
      <c r="D2022" s="119"/>
      <c r="E2022" s="32"/>
      <c r="G2022" s="31">
        <v>1980</v>
      </c>
      <c r="H2022" s="30" t="str">
        <f t="shared" si="74"/>
        <v/>
      </c>
      <c r="I2022" s="74" t="str">
        <f t="shared" si="75"/>
        <v/>
      </c>
      <c r="J2022" s="32"/>
    </row>
    <row r="2023" spans="2:10" ht="15">
      <c r="B2023" s="31"/>
      <c r="C2023" s="30"/>
      <c r="D2023" s="119"/>
      <c r="E2023" s="32"/>
      <c r="G2023" s="31">
        <v>1981</v>
      </c>
      <c r="H2023" s="30" t="str">
        <f t="shared" si="74"/>
        <v/>
      </c>
      <c r="I2023" s="74" t="str">
        <f t="shared" si="75"/>
        <v/>
      </c>
      <c r="J2023" s="32"/>
    </row>
    <row r="2024" spans="2:10" ht="15">
      <c r="B2024" s="31"/>
      <c r="C2024" s="30"/>
      <c r="D2024" s="119"/>
      <c r="E2024" s="32"/>
      <c r="G2024" s="31">
        <v>1982</v>
      </c>
      <c r="H2024" s="30" t="str">
        <f t="shared" si="74"/>
        <v/>
      </c>
      <c r="I2024" s="74" t="str">
        <f t="shared" si="75"/>
        <v/>
      </c>
      <c r="J2024" s="32"/>
    </row>
    <row r="2025" spans="2:10" ht="15">
      <c r="B2025" s="31"/>
      <c r="C2025" s="30"/>
      <c r="D2025" s="119"/>
      <c r="E2025" s="32"/>
      <c r="G2025" s="31">
        <v>1983</v>
      </c>
      <c r="H2025" s="30" t="str">
        <f t="shared" si="74"/>
        <v/>
      </c>
      <c r="I2025" s="74" t="str">
        <f t="shared" si="75"/>
        <v/>
      </c>
      <c r="J2025" s="32"/>
    </row>
    <row r="2026" spans="2:10" ht="15">
      <c r="B2026" s="31"/>
      <c r="C2026" s="30"/>
      <c r="D2026" s="119"/>
      <c r="E2026" s="32"/>
      <c r="G2026" s="31">
        <v>1984</v>
      </c>
      <c r="H2026" s="30" t="str">
        <f t="shared" si="74"/>
        <v/>
      </c>
      <c r="I2026" s="74" t="str">
        <f t="shared" si="75"/>
        <v/>
      </c>
      <c r="J2026" s="32"/>
    </row>
    <row r="2027" spans="2:10" ht="15">
      <c r="B2027" s="31"/>
      <c r="C2027" s="30"/>
      <c r="D2027" s="119"/>
      <c r="E2027" s="32"/>
      <c r="G2027" s="31">
        <v>1985</v>
      </c>
      <c r="H2027" s="30" t="str">
        <f t="shared" si="74"/>
        <v/>
      </c>
      <c r="I2027" s="74" t="str">
        <f t="shared" si="75"/>
        <v/>
      </c>
      <c r="J2027" s="32"/>
    </row>
    <row r="2028" spans="2:10" ht="15">
      <c r="B2028" s="31"/>
      <c r="C2028" s="30"/>
      <c r="D2028" s="119"/>
      <c r="E2028" s="32"/>
      <c r="G2028" s="31">
        <v>1986</v>
      </c>
      <c r="H2028" s="30" t="str">
        <f t="shared" ref="H2028:H2091" si="76">MID($I$41,G2028*8-7,8)</f>
        <v/>
      </c>
      <c r="I2028" s="74" t="str">
        <f t="shared" ref="I2028:I2091" si="77">IFERROR(BIN2DEC(VALUE(H2028)),"")</f>
        <v/>
      </c>
      <c r="J2028" s="32"/>
    </row>
    <row r="2029" spans="2:10" ht="15">
      <c r="B2029" s="31"/>
      <c r="C2029" s="30"/>
      <c r="D2029" s="119"/>
      <c r="E2029" s="32"/>
      <c r="G2029" s="31">
        <v>1987</v>
      </c>
      <c r="H2029" s="30" t="str">
        <f t="shared" si="76"/>
        <v/>
      </c>
      <c r="I2029" s="74" t="str">
        <f t="shared" si="77"/>
        <v/>
      </c>
      <c r="J2029" s="32"/>
    </row>
    <row r="2030" spans="2:10" ht="15">
      <c r="B2030" s="31"/>
      <c r="C2030" s="30"/>
      <c r="D2030" s="119"/>
      <c r="E2030" s="32"/>
      <c r="G2030" s="31">
        <v>1988</v>
      </c>
      <c r="H2030" s="30" t="str">
        <f t="shared" si="76"/>
        <v/>
      </c>
      <c r="I2030" s="74" t="str">
        <f t="shared" si="77"/>
        <v/>
      </c>
      <c r="J2030" s="32"/>
    </row>
    <row r="2031" spans="2:10" ht="15">
      <c r="B2031" s="31"/>
      <c r="C2031" s="30"/>
      <c r="D2031" s="119"/>
      <c r="E2031" s="32"/>
      <c r="G2031" s="31">
        <v>1989</v>
      </c>
      <c r="H2031" s="30" t="str">
        <f t="shared" si="76"/>
        <v/>
      </c>
      <c r="I2031" s="74" t="str">
        <f t="shared" si="77"/>
        <v/>
      </c>
      <c r="J2031" s="32"/>
    </row>
    <row r="2032" spans="2:10" ht="15">
      <c r="B2032" s="31"/>
      <c r="C2032" s="30"/>
      <c r="D2032" s="119"/>
      <c r="E2032" s="32"/>
      <c r="G2032" s="31">
        <v>1990</v>
      </c>
      <c r="H2032" s="30" t="str">
        <f t="shared" si="76"/>
        <v/>
      </c>
      <c r="I2032" s="74" t="str">
        <f t="shared" si="77"/>
        <v/>
      </c>
      <c r="J2032" s="32"/>
    </row>
    <row r="2033" spans="2:10" ht="15">
      <c r="B2033" s="31"/>
      <c r="C2033" s="30"/>
      <c r="D2033" s="119"/>
      <c r="E2033" s="32"/>
      <c r="G2033" s="31">
        <v>1991</v>
      </c>
      <c r="H2033" s="30" t="str">
        <f t="shared" si="76"/>
        <v/>
      </c>
      <c r="I2033" s="74" t="str">
        <f t="shared" si="77"/>
        <v/>
      </c>
      <c r="J2033" s="32"/>
    </row>
    <row r="2034" spans="2:10" ht="15">
      <c r="B2034" s="31"/>
      <c r="C2034" s="30"/>
      <c r="D2034" s="119"/>
      <c r="E2034" s="32"/>
      <c r="G2034" s="31">
        <v>1992</v>
      </c>
      <c r="H2034" s="30" t="str">
        <f t="shared" si="76"/>
        <v/>
      </c>
      <c r="I2034" s="74" t="str">
        <f t="shared" si="77"/>
        <v/>
      </c>
      <c r="J2034" s="32"/>
    </row>
    <row r="2035" spans="2:10" ht="15">
      <c r="B2035" s="31"/>
      <c r="C2035" s="30"/>
      <c r="D2035" s="119"/>
      <c r="E2035" s="32"/>
      <c r="G2035" s="31">
        <v>1993</v>
      </c>
      <c r="H2035" s="30" t="str">
        <f t="shared" si="76"/>
        <v/>
      </c>
      <c r="I2035" s="74" t="str">
        <f t="shared" si="77"/>
        <v/>
      </c>
      <c r="J2035" s="32"/>
    </row>
    <row r="2036" spans="2:10" ht="15">
      <c r="B2036" s="31"/>
      <c r="C2036" s="30"/>
      <c r="D2036" s="119"/>
      <c r="E2036" s="32"/>
      <c r="G2036" s="31">
        <v>1994</v>
      </c>
      <c r="H2036" s="30" t="str">
        <f t="shared" si="76"/>
        <v/>
      </c>
      <c r="I2036" s="74" t="str">
        <f t="shared" si="77"/>
        <v/>
      </c>
      <c r="J2036" s="32"/>
    </row>
    <row r="2037" spans="2:10" ht="15">
      <c r="B2037" s="31"/>
      <c r="C2037" s="30"/>
      <c r="D2037" s="119"/>
      <c r="E2037" s="32"/>
      <c r="G2037" s="31">
        <v>1995</v>
      </c>
      <c r="H2037" s="30" t="str">
        <f t="shared" si="76"/>
        <v/>
      </c>
      <c r="I2037" s="74" t="str">
        <f t="shared" si="77"/>
        <v/>
      </c>
      <c r="J2037" s="32"/>
    </row>
    <row r="2038" spans="2:10" ht="15">
      <c r="B2038" s="31"/>
      <c r="C2038" s="30"/>
      <c r="D2038" s="119"/>
      <c r="E2038" s="32"/>
      <c r="G2038" s="31">
        <v>1996</v>
      </c>
      <c r="H2038" s="30" t="str">
        <f t="shared" si="76"/>
        <v/>
      </c>
      <c r="I2038" s="74" t="str">
        <f t="shared" si="77"/>
        <v/>
      </c>
      <c r="J2038" s="32"/>
    </row>
    <row r="2039" spans="2:10" ht="15">
      <c r="B2039" s="31"/>
      <c r="C2039" s="30"/>
      <c r="D2039" s="119"/>
      <c r="E2039" s="32"/>
      <c r="G2039" s="31">
        <v>1997</v>
      </c>
      <c r="H2039" s="30" t="str">
        <f t="shared" si="76"/>
        <v/>
      </c>
      <c r="I2039" s="74" t="str">
        <f t="shared" si="77"/>
        <v/>
      </c>
      <c r="J2039" s="32"/>
    </row>
    <row r="2040" spans="2:10" ht="15">
      <c r="B2040" s="31"/>
      <c r="C2040" s="30"/>
      <c r="D2040" s="119"/>
      <c r="E2040" s="32"/>
      <c r="G2040" s="31">
        <v>1998</v>
      </c>
      <c r="H2040" s="30" t="str">
        <f t="shared" si="76"/>
        <v/>
      </c>
      <c r="I2040" s="74" t="str">
        <f t="shared" si="77"/>
        <v/>
      </c>
      <c r="J2040" s="32"/>
    </row>
    <row r="2041" spans="2:10" ht="15">
      <c r="B2041" s="31"/>
      <c r="C2041" s="30"/>
      <c r="D2041" s="119"/>
      <c r="E2041" s="32"/>
      <c r="G2041" s="31">
        <v>1999</v>
      </c>
      <c r="H2041" s="30" t="str">
        <f t="shared" si="76"/>
        <v/>
      </c>
      <c r="I2041" s="74" t="str">
        <f t="shared" si="77"/>
        <v/>
      </c>
      <c r="J2041" s="32"/>
    </row>
    <row r="2042" spans="2:10" ht="15">
      <c r="B2042" s="31"/>
      <c r="C2042" s="30"/>
      <c r="D2042" s="119"/>
      <c r="E2042" s="32"/>
      <c r="G2042" s="31">
        <v>2000</v>
      </c>
      <c r="H2042" s="30" t="str">
        <f t="shared" si="76"/>
        <v/>
      </c>
      <c r="I2042" s="74" t="str">
        <f t="shared" si="77"/>
        <v/>
      </c>
      <c r="J2042" s="32"/>
    </row>
    <row r="2043" spans="2:10" ht="15">
      <c r="B2043" s="31"/>
      <c r="C2043" s="30"/>
      <c r="D2043" s="119"/>
      <c r="E2043" s="32"/>
      <c r="G2043" s="31">
        <v>2001</v>
      </c>
      <c r="H2043" s="30" t="str">
        <f t="shared" si="76"/>
        <v/>
      </c>
      <c r="I2043" s="74" t="str">
        <f t="shared" si="77"/>
        <v/>
      </c>
      <c r="J2043" s="32"/>
    </row>
    <row r="2044" spans="2:10" ht="15">
      <c r="B2044" s="31"/>
      <c r="C2044" s="30"/>
      <c r="D2044" s="119"/>
      <c r="E2044" s="32"/>
      <c r="G2044" s="31">
        <v>2002</v>
      </c>
      <c r="H2044" s="30" t="str">
        <f t="shared" si="76"/>
        <v/>
      </c>
      <c r="I2044" s="74" t="str">
        <f t="shared" si="77"/>
        <v/>
      </c>
      <c r="J2044" s="32"/>
    </row>
    <row r="2045" spans="2:10" ht="15">
      <c r="B2045" s="31"/>
      <c r="C2045" s="30"/>
      <c r="D2045" s="119"/>
      <c r="E2045" s="32"/>
      <c r="G2045" s="31">
        <v>2003</v>
      </c>
      <c r="H2045" s="30" t="str">
        <f t="shared" si="76"/>
        <v/>
      </c>
      <c r="I2045" s="74" t="str">
        <f t="shared" si="77"/>
        <v/>
      </c>
      <c r="J2045" s="32"/>
    </row>
    <row r="2046" spans="2:10" ht="15">
      <c r="B2046" s="31"/>
      <c r="C2046" s="30"/>
      <c r="D2046" s="119"/>
      <c r="E2046" s="32"/>
      <c r="G2046" s="31">
        <v>2004</v>
      </c>
      <c r="H2046" s="30" t="str">
        <f t="shared" si="76"/>
        <v/>
      </c>
      <c r="I2046" s="74" t="str">
        <f t="shared" si="77"/>
        <v/>
      </c>
      <c r="J2046" s="32"/>
    </row>
    <row r="2047" spans="2:10" ht="15">
      <c r="B2047" s="31"/>
      <c r="C2047" s="30"/>
      <c r="D2047" s="119"/>
      <c r="E2047" s="32"/>
      <c r="G2047" s="31">
        <v>2005</v>
      </c>
      <c r="H2047" s="30" t="str">
        <f t="shared" si="76"/>
        <v/>
      </c>
      <c r="I2047" s="74" t="str">
        <f t="shared" si="77"/>
        <v/>
      </c>
      <c r="J2047" s="32"/>
    </row>
    <row r="2048" spans="2:10" ht="15">
      <c r="B2048" s="31"/>
      <c r="C2048" s="30"/>
      <c r="D2048" s="119"/>
      <c r="E2048" s="32"/>
      <c r="G2048" s="31">
        <v>2006</v>
      </c>
      <c r="H2048" s="30" t="str">
        <f t="shared" si="76"/>
        <v/>
      </c>
      <c r="I2048" s="74" t="str">
        <f t="shared" si="77"/>
        <v/>
      </c>
      <c r="J2048" s="32"/>
    </row>
    <row r="2049" spans="2:10" ht="15">
      <c r="B2049" s="31"/>
      <c r="C2049" s="30"/>
      <c r="D2049" s="119"/>
      <c r="E2049" s="32"/>
      <c r="G2049" s="31">
        <v>2007</v>
      </c>
      <c r="H2049" s="30" t="str">
        <f t="shared" si="76"/>
        <v/>
      </c>
      <c r="I2049" s="74" t="str">
        <f t="shared" si="77"/>
        <v/>
      </c>
      <c r="J2049" s="32"/>
    </row>
    <row r="2050" spans="2:10" ht="15">
      <c r="B2050" s="31"/>
      <c r="C2050" s="30"/>
      <c r="D2050" s="119"/>
      <c r="E2050" s="32"/>
      <c r="G2050" s="31">
        <v>2008</v>
      </c>
      <c r="H2050" s="30" t="str">
        <f t="shared" si="76"/>
        <v/>
      </c>
      <c r="I2050" s="74" t="str">
        <f t="shared" si="77"/>
        <v/>
      </c>
      <c r="J2050" s="32"/>
    </row>
    <row r="2051" spans="2:10" ht="15">
      <c r="B2051" s="31"/>
      <c r="C2051" s="30"/>
      <c r="D2051" s="119"/>
      <c r="E2051" s="32"/>
      <c r="G2051" s="31">
        <v>2009</v>
      </c>
      <c r="H2051" s="30" t="str">
        <f t="shared" si="76"/>
        <v/>
      </c>
      <c r="I2051" s="74" t="str">
        <f t="shared" si="77"/>
        <v/>
      </c>
      <c r="J2051" s="32"/>
    </row>
    <row r="2052" spans="2:10" ht="15">
      <c r="B2052" s="31"/>
      <c r="C2052" s="30"/>
      <c r="D2052" s="119"/>
      <c r="E2052" s="32"/>
      <c r="G2052" s="31">
        <v>2010</v>
      </c>
      <c r="H2052" s="30" t="str">
        <f t="shared" si="76"/>
        <v/>
      </c>
      <c r="I2052" s="74" t="str">
        <f t="shared" si="77"/>
        <v/>
      </c>
      <c r="J2052" s="32"/>
    </row>
    <row r="2053" spans="2:10" ht="15">
      <c r="B2053" s="31"/>
      <c r="C2053" s="30"/>
      <c r="D2053" s="119"/>
      <c r="E2053" s="32"/>
      <c r="G2053" s="31">
        <v>2011</v>
      </c>
      <c r="H2053" s="30" t="str">
        <f t="shared" si="76"/>
        <v/>
      </c>
      <c r="I2053" s="74" t="str">
        <f t="shared" si="77"/>
        <v/>
      </c>
      <c r="J2053" s="32"/>
    </row>
    <row r="2054" spans="2:10" ht="15">
      <c r="B2054" s="31"/>
      <c r="C2054" s="30"/>
      <c r="D2054" s="119"/>
      <c r="E2054" s="32"/>
      <c r="G2054" s="31">
        <v>2012</v>
      </c>
      <c r="H2054" s="30" t="str">
        <f t="shared" si="76"/>
        <v/>
      </c>
      <c r="I2054" s="74" t="str">
        <f t="shared" si="77"/>
        <v/>
      </c>
      <c r="J2054" s="32"/>
    </row>
    <row r="2055" spans="2:10" ht="15">
      <c r="B2055" s="31"/>
      <c r="C2055" s="30"/>
      <c r="D2055" s="119"/>
      <c r="E2055" s="32"/>
      <c r="G2055" s="31">
        <v>2013</v>
      </c>
      <c r="H2055" s="30" t="str">
        <f t="shared" si="76"/>
        <v/>
      </c>
      <c r="I2055" s="74" t="str">
        <f t="shared" si="77"/>
        <v/>
      </c>
      <c r="J2055" s="32"/>
    </row>
    <row r="2056" spans="2:10" ht="15">
      <c r="B2056" s="31"/>
      <c r="C2056" s="30"/>
      <c r="D2056" s="119"/>
      <c r="E2056" s="32"/>
      <c r="G2056" s="31">
        <v>2014</v>
      </c>
      <c r="H2056" s="30" t="str">
        <f t="shared" si="76"/>
        <v/>
      </c>
      <c r="I2056" s="74" t="str">
        <f t="shared" si="77"/>
        <v/>
      </c>
      <c r="J2056" s="32"/>
    </row>
    <row r="2057" spans="2:10" ht="15">
      <c r="B2057" s="31"/>
      <c r="C2057" s="30"/>
      <c r="D2057" s="119"/>
      <c r="E2057" s="32"/>
      <c r="G2057" s="31">
        <v>2015</v>
      </c>
      <c r="H2057" s="30" t="str">
        <f t="shared" si="76"/>
        <v/>
      </c>
      <c r="I2057" s="74" t="str">
        <f t="shared" si="77"/>
        <v/>
      </c>
      <c r="J2057" s="32"/>
    </row>
    <row r="2058" spans="2:10" ht="15">
      <c r="B2058" s="31"/>
      <c r="C2058" s="30"/>
      <c r="D2058" s="119"/>
      <c r="E2058" s="32"/>
      <c r="G2058" s="31">
        <v>2016</v>
      </c>
      <c r="H2058" s="30" t="str">
        <f t="shared" si="76"/>
        <v/>
      </c>
      <c r="I2058" s="74" t="str">
        <f t="shared" si="77"/>
        <v/>
      </c>
      <c r="J2058" s="32"/>
    </row>
    <row r="2059" spans="2:10" ht="15">
      <c r="B2059" s="31"/>
      <c r="C2059" s="30"/>
      <c r="D2059" s="119"/>
      <c r="E2059" s="32"/>
      <c r="G2059" s="31">
        <v>2017</v>
      </c>
      <c r="H2059" s="30" t="str">
        <f t="shared" si="76"/>
        <v/>
      </c>
      <c r="I2059" s="74" t="str">
        <f t="shared" si="77"/>
        <v/>
      </c>
      <c r="J2059" s="32"/>
    </row>
    <row r="2060" spans="2:10" ht="15">
      <c r="B2060" s="31"/>
      <c r="C2060" s="30"/>
      <c r="D2060" s="119"/>
      <c r="E2060" s="32"/>
      <c r="G2060" s="31">
        <v>2018</v>
      </c>
      <c r="H2060" s="30" t="str">
        <f t="shared" si="76"/>
        <v/>
      </c>
      <c r="I2060" s="74" t="str">
        <f t="shared" si="77"/>
        <v/>
      </c>
      <c r="J2060" s="32"/>
    </row>
    <row r="2061" spans="2:10" ht="15">
      <c r="B2061" s="31"/>
      <c r="C2061" s="30"/>
      <c r="D2061" s="119"/>
      <c r="E2061" s="32"/>
      <c r="G2061" s="31">
        <v>2019</v>
      </c>
      <c r="H2061" s="30" t="str">
        <f t="shared" si="76"/>
        <v/>
      </c>
      <c r="I2061" s="74" t="str">
        <f t="shared" si="77"/>
        <v/>
      </c>
      <c r="J2061" s="32"/>
    </row>
    <row r="2062" spans="2:10" ht="15">
      <c r="B2062" s="31"/>
      <c r="C2062" s="30"/>
      <c r="D2062" s="119"/>
      <c r="E2062" s="32"/>
      <c r="G2062" s="31">
        <v>2020</v>
      </c>
      <c r="H2062" s="30" t="str">
        <f t="shared" si="76"/>
        <v/>
      </c>
      <c r="I2062" s="74" t="str">
        <f t="shared" si="77"/>
        <v/>
      </c>
      <c r="J2062" s="32"/>
    </row>
    <row r="2063" spans="2:10" ht="15">
      <c r="B2063" s="31"/>
      <c r="C2063" s="30"/>
      <c r="D2063" s="119"/>
      <c r="E2063" s="32"/>
      <c r="G2063" s="31">
        <v>2021</v>
      </c>
      <c r="H2063" s="30" t="str">
        <f t="shared" si="76"/>
        <v/>
      </c>
      <c r="I2063" s="74" t="str">
        <f t="shared" si="77"/>
        <v/>
      </c>
      <c r="J2063" s="32"/>
    </row>
    <row r="2064" spans="2:10" ht="15">
      <c r="B2064" s="31"/>
      <c r="C2064" s="30"/>
      <c r="D2064" s="119"/>
      <c r="E2064" s="32"/>
      <c r="G2064" s="31">
        <v>2022</v>
      </c>
      <c r="H2064" s="30" t="str">
        <f t="shared" si="76"/>
        <v/>
      </c>
      <c r="I2064" s="74" t="str">
        <f t="shared" si="77"/>
        <v/>
      </c>
      <c r="J2064" s="32"/>
    </row>
    <row r="2065" spans="2:10" ht="15">
      <c r="B2065" s="31"/>
      <c r="C2065" s="30"/>
      <c r="D2065" s="119"/>
      <c r="E2065" s="32"/>
      <c r="G2065" s="31">
        <v>2023</v>
      </c>
      <c r="H2065" s="30" t="str">
        <f t="shared" si="76"/>
        <v/>
      </c>
      <c r="I2065" s="74" t="str">
        <f t="shared" si="77"/>
        <v/>
      </c>
      <c r="J2065" s="32"/>
    </row>
    <row r="2066" spans="2:10" ht="15">
      <c r="B2066" s="31"/>
      <c r="C2066" s="30"/>
      <c r="D2066" s="119"/>
      <c r="E2066" s="32"/>
      <c r="G2066" s="31">
        <v>2024</v>
      </c>
      <c r="H2066" s="30" t="str">
        <f t="shared" si="76"/>
        <v/>
      </c>
      <c r="I2066" s="74" t="str">
        <f t="shared" si="77"/>
        <v/>
      </c>
      <c r="J2066" s="32"/>
    </row>
    <row r="2067" spans="2:10" ht="15">
      <c r="B2067" s="31"/>
      <c r="C2067" s="30"/>
      <c r="D2067" s="119"/>
      <c r="E2067" s="32"/>
      <c r="G2067" s="31">
        <v>2025</v>
      </c>
      <c r="H2067" s="30" t="str">
        <f t="shared" si="76"/>
        <v/>
      </c>
      <c r="I2067" s="74" t="str">
        <f t="shared" si="77"/>
        <v/>
      </c>
      <c r="J2067" s="32"/>
    </row>
    <row r="2068" spans="2:10" ht="15">
      <c r="B2068" s="31"/>
      <c r="C2068" s="30"/>
      <c r="D2068" s="119"/>
      <c r="E2068" s="32"/>
      <c r="G2068" s="31">
        <v>2026</v>
      </c>
      <c r="H2068" s="30" t="str">
        <f t="shared" si="76"/>
        <v/>
      </c>
      <c r="I2068" s="74" t="str">
        <f t="shared" si="77"/>
        <v/>
      </c>
      <c r="J2068" s="32"/>
    </row>
    <row r="2069" spans="2:10" ht="15">
      <c r="B2069" s="31"/>
      <c r="C2069" s="30"/>
      <c r="D2069" s="119"/>
      <c r="E2069" s="32"/>
      <c r="G2069" s="31">
        <v>2027</v>
      </c>
      <c r="H2069" s="30" t="str">
        <f t="shared" si="76"/>
        <v/>
      </c>
      <c r="I2069" s="74" t="str">
        <f t="shared" si="77"/>
        <v/>
      </c>
      <c r="J2069" s="32"/>
    </row>
    <row r="2070" spans="2:10" ht="15">
      <c r="B2070" s="31"/>
      <c r="C2070" s="30"/>
      <c r="D2070" s="119"/>
      <c r="E2070" s="32"/>
      <c r="G2070" s="31">
        <v>2028</v>
      </c>
      <c r="H2070" s="30" t="str">
        <f t="shared" si="76"/>
        <v/>
      </c>
      <c r="I2070" s="74" t="str">
        <f t="shared" si="77"/>
        <v/>
      </c>
      <c r="J2070" s="32"/>
    </row>
    <row r="2071" spans="2:10" ht="15">
      <c r="B2071" s="31"/>
      <c r="C2071" s="30"/>
      <c r="D2071" s="119"/>
      <c r="E2071" s="32"/>
      <c r="G2071" s="31">
        <v>2029</v>
      </c>
      <c r="H2071" s="30" t="str">
        <f t="shared" si="76"/>
        <v/>
      </c>
      <c r="I2071" s="74" t="str">
        <f t="shared" si="77"/>
        <v/>
      </c>
      <c r="J2071" s="32"/>
    </row>
    <row r="2072" spans="2:10" ht="15">
      <c r="B2072" s="31"/>
      <c r="C2072" s="30"/>
      <c r="D2072" s="119"/>
      <c r="E2072" s="32"/>
      <c r="G2072" s="31">
        <v>2030</v>
      </c>
      <c r="H2072" s="30" t="str">
        <f t="shared" si="76"/>
        <v/>
      </c>
      <c r="I2072" s="74" t="str">
        <f t="shared" si="77"/>
        <v/>
      </c>
      <c r="J2072" s="32"/>
    </row>
    <row r="2073" spans="2:10" ht="15">
      <c r="B2073" s="31"/>
      <c r="C2073" s="30"/>
      <c r="D2073" s="119"/>
      <c r="E2073" s="32"/>
      <c r="G2073" s="31">
        <v>2031</v>
      </c>
      <c r="H2073" s="30" t="str">
        <f t="shared" si="76"/>
        <v/>
      </c>
      <c r="I2073" s="74" t="str">
        <f t="shared" si="77"/>
        <v/>
      </c>
      <c r="J2073" s="32"/>
    </row>
    <row r="2074" spans="2:10" ht="15">
      <c r="B2074" s="31"/>
      <c r="C2074" s="30"/>
      <c r="D2074" s="119"/>
      <c r="E2074" s="32"/>
      <c r="G2074" s="31">
        <v>2032</v>
      </c>
      <c r="H2074" s="30" t="str">
        <f t="shared" si="76"/>
        <v/>
      </c>
      <c r="I2074" s="74" t="str">
        <f t="shared" si="77"/>
        <v/>
      </c>
      <c r="J2074" s="32"/>
    </row>
    <row r="2075" spans="2:10" ht="15">
      <c r="B2075" s="31"/>
      <c r="C2075" s="30"/>
      <c r="D2075" s="119"/>
      <c r="E2075" s="32"/>
      <c r="G2075" s="31">
        <v>2033</v>
      </c>
      <c r="H2075" s="30" t="str">
        <f t="shared" si="76"/>
        <v/>
      </c>
      <c r="I2075" s="74" t="str">
        <f t="shared" si="77"/>
        <v/>
      </c>
      <c r="J2075" s="32"/>
    </row>
    <row r="2076" spans="2:10" ht="15">
      <c r="B2076" s="31"/>
      <c r="C2076" s="30"/>
      <c r="D2076" s="119"/>
      <c r="E2076" s="32"/>
      <c r="G2076" s="31">
        <v>2034</v>
      </c>
      <c r="H2076" s="30" t="str">
        <f t="shared" si="76"/>
        <v/>
      </c>
      <c r="I2076" s="74" t="str">
        <f t="shared" si="77"/>
        <v/>
      </c>
      <c r="J2076" s="32"/>
    </row>
    <row r="2077" spans="2:10" ht="15">
      <c r="B2077" s="31"/>
      <c r="C2077" s="30"/>
      <c r="D2077" s="119"/>
      <c r="E2077" s="32"/>
      <c r="G2077" s="31">
        <v>2035</v>
      </c>
      <c r="H2077" s="30" t="str">
        <f t="shared" si="76"/>
        <v/>
      </c>
      <c r="I2077" s="74" t="str">
        <f t="shared" si="77"/>
        <v/>
      </c>
      <c r="J2077" s="32"/>
    </row>
    <row r="2078" spans="2:10" ht="15">
      <c r="B2078" s="31"/>
      <c r="C2078" s="30"/>
      <c r="D2078" s="119"/>
      <c r="E2078" s="32"/>
      <c r="G2078" s="31">
        <v>2036</v>
      </c>
      <c r="H2078" s="30" t="str">
        <f t="shared" si="76"/>
        <v/>
      </c>
      <c r="I2078" s="74" t="str">
        <f t="shared" si="77"/>
        <v/>
      </c>
      <c r="J2078" s="32"/>
    </row>
    <row r="2079" spans="2:10" ht="15">
      <c r="B2079" s="31"/>
      <c r="C2079" s="30"/>
      <c r="D2079" s="119"/>
      <c r="E2079" s="32"/>
      <c r="G2079" s="31">
        <v>2037</v>
      </c>
      <c r="H2079" s="30" t="str">
        <f t="shared" si="76"/>
        <v/>
      </c>
      <c r="I2079" s="74" t="str">
        <f t="shared" si="77"/>
        <v/>
      </c>
      <c r="J2079" s="32"/>
    </row>
    <row r="2080" spans="2:10" ht="15">
      <c r="B2080" s="31"/>
      <c r="C2080" s="30"/>
      <c r="D2080" s="119"/>
      <c r="E2080" s="32"/>
      <c r="G2080" s="31">
        <v>2038</v>
      </c>
      <c r="H2080" s="30" t="str">
        <f t="shared" si="76"/>
        <v/>
      </c>
      <c r="I2080" s="74" t="str">
        <f t="shared" si="77"/>
        <v/>
      </c>
      <c r="J2080" s="32"/>
    </row>
    <row r="2081" spans="2:10" ht="15">
      <c r="B2081" s="31"/>
      <c r="C2081" s="30"/>
      <c r="D2081" s="119"/>
      <c r="E2081" s="32"/>
      <c r="G2081" s="31">
        <v>2039</v>
      </c>
      <c r="H2081" s="30" t="str">
        <f t="shared" si="76"/>
        <v/>
      </c>
      <c r="I2081" s="74" t="str">
        <f t="shared" si="77"/>
        <v/>
      </c>
      <c r="J2081" s="32"/>
    </row>
    <row r="2082" spans="2:10" ht="15">
      <c r="B2082" s="31"/>
      <c r="C2082" s="30"/>
      <c r="D2082" s="119"/>
      <c r="E2082" s="32"/>
      <c r="G2082" s="31">
        <v>2040</v>
      </c>
      <c r="H2082" s="30" t="str">
        <f t="shared" si="76"/>
        <v/>
      </c>
      <c r="I2082" s="74" t="str">
        <f t="shared" si="77"/>
        <v/>
      </c>
      <c r="J2082" s="32"/>
    </row>
    <row r="2083" spans="2:10" ht="15">
      <c r="B2083" s="31"/>
      <c r="C2083" s="30"/>
      <c r="D2083" s="119"/>
      <c r="E2083" s="32"/>
      <c r="G2083" s="31">
        <v>2041</v>
      </c>
      <c r="H2083" s="30" t="str">
        <f t="shared" si="76"/>
        <v/>
      </c>
      <c r="I2083" s="74" t="str">
        <f t="shared" si="77"/>
        <v/>
      </c>
      <c r="J2083" s="32"/>
    </row>
    <row r="2084" spans="2:10" ht="15">
      <c r="B2084" s="31"/>
      <c r="C2084" s="30"/>
      <c r="D2084" s="119"/>
      <c r="E2084" s="32"/>
      <c r="G2084" s="31">
        <v>2042</v>
      </c>
      <c r="H2084" s="30" t="str">
        <f t="shared" si="76"/>
        <v/>
      </c>
      <c r="I2084" s="74" t="str">
        <f t="shared" si="77"/>
        <v/>
      </c>
      <c r="J2084" s="32"/>
    </row>
    <row r="2085" spans="2:10" ht="15">
      <c r="B2085" s="31"/>
      <c r="C2085" s="30"/>
      <c r="D2085" s="119"/>
      <c r="E2085" s="32"/>
      <c r="G2085" s="31">
        <v>2043</v>
      </c>
      <c r="H2085" s="30" t="str">
        <f t="shared" si="76"/>
        <v/>
      </c>
      <c r="I2085" s="74" t="str">
        <f t="shared" si="77"/>
        <v/>
      </c>
      <c r="J2085" s="32"/>
    </row>
    <row r="2086" spans="2:10" ht="15">
      <c r="B2086" s="31"/>
      <c r="C2086" s="30"/>
      <c r="D2086" s="119"/>
      <c r="E2086" s="32"/>
      <c r="G2086" s="31">
        <v>2044</v>
      </c>
      <c r="H2086" s="30" t="str">
        <f t="shared" si="76"/>
        <v/>
      </c>
      <c r="I2086" s="74" t="str">
        <f t="shared" si="77"/>
        <v/>
      </c>
      <c r="J2086" s="32"/>
    </row>
    <row r="2087" spans="2:10" ht="15">
      <c r="B2087" s="31"/>
      <c r="C2087" s="30"/>
      <c r="D2087" s="119"/>
      <c r="E2087" s="32"/>
      <c r="G2087" s="31">
        <v>2045</v>
      </c>
      <c r="H2087" s="30" t="str">
        <f t="shared" si="76"/>
        <v/>
      </c>
      <c r="I2087" s="74" t="str">
        <f t="shared" si="77"/>
        <v/>
      </c>
      <c r="J2087" s="32"/>
    </row>
    <row r="2088" spans="2:10" ht="15">
      <c r="B2088" s="31"/>
      <c r="C2088" s="30"/>
      <c r="D2088" s="119"/>
      <c r="E2088" s="32"/>
      <c r="G2088" s="31">
        <v>2046</v>
      </c>
      <c r="H2088" s="30" t="str">
        <f t="shared" si="76"/>
        <v/>
      </c>
      <c r="I2088" s="74" t="str">
        <f t="shared" si="77"/>
        <v/>
      </c>
      <c r="J2088" s="32"/>
    </row>
    <row r="2089" spans="2:10" ht="15">
      <c r="B2089" s="31"/>
      <c r="C2089" s="30"/>
      <c r="D2089" s="119"/>
      <c r="E2089" s="32"/>
      <c r="G2089" s="31">
        <v>2047</v>
      </c>
      <c r="H2089" s="30" t="str">
        <f t="shared" si="76"/>
        <v/>
      </c>
      <c r="I2089" s="74" t="str">
        <f t="shared" si="77"/>
        <v/>
      </c>
      <c r="J2089" s="32"/>
    </row>
    <row r="2090" spans="2:10" ht="15">
      <c r="B2090" s="31"/>
      <c r="C2090" s="30"/>
      <c r="D2090" s="119"/>
      <c r="E2090" s="32"/>
      <c r="G2090" s="31">
        <v>2048</v>
      </c>
      <c r="H2090" s="30" t="str">
        <f t="shared" si="76"/>
        <v/>
      </c>
      <c r="I2090" s="74" t="str">
        <f t="shared" si="77"/>
        <v/>
      </c>
      <c r="J2090" s="32"/>
    </row>
    <row r="2091" spans="2:10" ht="15">
      <c r="B2091" s="31"/>
      <c r="C2091" s="30"/>
      <c r="D2091" s="119"/>
      <c r="E2091" s="32"/>
      <c r="G2091" s="31">
        <v>2049</v>
      </c>
      <c r="H2091" s="30" t="str">
        <f t="shared" si="76"/>
        <v/>
      </c>
      <c r="I2091" s="74" t="str">
        <f t="shared" si="77"/>
        <v/>
      </c>
      <c r="J2091" s="32"/>
    </row>
    <row r="2092" spans="2:10" ht="15">
      <c r="B2092" s="31"/>
      <c r="C2092" s="30"/>
      <c r="D2092" s="119"/>
      <c r="E2092" s="32"/>
      <c r="G2092" s="31">
        <v>2050</v>
      </c>
      <c r="H2092" s="30" t="str">
        <f t="shared" ref="H2092:H2155" si="78">MID($I$41,G2092*8-7,8)</f>
        <v/>
      </c>
      <c r="I2092" s="74" t="str">
        <f t="shared" ref="I2092:I2155" si="79">IFERROR(BIN2DEC(VALUE(H2092)),"")</f>
        <v/>
      </c>
      <c r="J2092" s="32"/>
    </row>
    <row r="2093" spans="2:10" ht="15">
      <c r="B2093" s="31"/>
      <c r="C2093" s="30"/>
      <c r="D2093" s="119"/>
      <c r="E2093" s="32"/>
      <c r="G2093" s="31">
        <v>2051</v>
      </c>
      <c r="H2093" s="30" t="str">
        <f t="shared" si="78"/>
        <v/>
      </c>
      <c r="I2093" s="74" t="str">
        <f t="shared" si="79"/>
        <v/>
      </c>
      <c r="J2093" s="32"/>
    </row>
    <row r="2094" spans="2:10" ht="15">
      <c r="B2094" s="31"/>
      <c r="C2094" s="30"/>
      <c r="D2094" s="119"/>
      <c r="E2094" s="32"/>
      <c r="G2094" s="31">
        <v>2052</v>
      </c>
      <c r="H2094" s="30" t="str">
        <f t="shared" si="78"/>
        <v/>
      </c>
      <c r="I2094" s="74" t="str">
        <f t="shared" si="79"/>
        <v/>
      </c>
      <c r="J2094" s="32"/>
    </row>
    <row r="2095" spans="2:10" ht="15">
      <c r="B2095" s="31"/>
      <c r="C2095" s="30"/>
      <c r="D2095" s="119"/>
      <c r="E2095" s="32"/>
      <c r="G2095" s="31">
        <v>2053</v>
      </c>
      <c r="H2095" s="30" t="str">
        <f t="shared" si="78"/>
        <v/>
      </c>
      <c r="I2095" s="74" t="str">
        <f t="shared" si="79"/>
        <v/>
      </c>
      <c r="J2095" s="32"/>
    </row>
    <row r="2096" spans="2:10" ht="15">
      <c r="B2096" s="31"/>
      <c r="C2096" s="30"/>
      <c r="D2096" s="119"/>
      <c r="E2096" s="32"/>
      <c r="G2096" s="31">
        <v>2054</v>
      </c>
      <c r="H2096" s="30" t="str">
        <f t="shared" si="78"/>
        <v/>
      </c>
      <c r="I2096" s="74" t="str">
        <f t="shared" si="79"/>
        <v/>
      </c>
      <c r="J2096" s="32"/>
    </row>
    <row r="2097" spans="2:10" ht="15">
      <c r="B2097" s="31"/>
      <c r="C2097" s="30"/>
      <c r="D2097" s="119"/>
      <c r="E2097" s="32"/>
      <c r="G2097" s="31">
        <v>2055</v>
      </c>
      <c r="H2097" s="30" t="str">
        <f t="shared" si="78"/>
        <v/>
      </c>
      <c r="I2097" s="74" t="str">
        <f t="shared" si="79"/>
        <v/>
      </c>
      <c r="J2097" s="32"/>
    </row>
    <row r="2098" spans="2:10" ht="15">
      <c r="B2098" s="31"/>
      <c r="C2098" s="30"/>
      <c r="D2098" s="119"/>
      <c r="E2098" s="32"/>
      <c r="G2098" s="31">
        <v>2056</v>
      </c>
      <c r="H2098" s="30" t="str">
        <f t="shared" si="78"/>
        <v/>
      </c>
      <c r="I2098" s="74" t="str">
        <f t="shared" si="79"/>
        <v/>
      </c>
      <c r="J2098" s="32"/>
    </row>
    <row r="2099" spans="2:10" ht="15">
      <c r="B2099" s="31"/>
      <c r="C2099" s="30"/>
      <c r="D2099" s="119"/>
      <c r="E2099" s="32"/>
      <c r="G2099" s="31">
        <v>2057</v>
      </c>
      <c r="H2099" s="30" t="str">
        <f t="shared" si="78"/>
        <v/>
      </c>
      <c r="I2099" s="74" t="str">
        <f t="shared" si="79"/>
        <v/>
      </c>
      <c r="J2099" s="32"/>
    </row>
    <row r="2100" spans="2:10" ht="15">
      <c r="B2100" s="31"/>
      <c r="C2100" s="30"/>
      <c r="D2100" s="119"/>
      <c r="E2100" s="32"/>
      <c r="G2100" s="31">
        <v>2058</v>
      </c>
      <c r="H2100" s="30" t="str">
        <f t="shared" si="78"/>
        <v/>
      </c>
      <c r="I2100" s="74" t="str">
        <f t="shared" si="79"/>
        <v/>
      </c>
      <c r="J2100" s="32"/>
    </row>
    <row r="2101" spans="2:10" ht="15">
      <c r="B2101" s="31"/>
      <c r="C2101" s="30"/>
      <c r="D2101" s="119"/>
      <c r="E2101" s="32"/>
      <c r="G2101" s="31">
        <v>2059</v>
      </c>
      <c r="H2101" s="30" t="str">
        <f t="shared" si="78"/>
        <v/>
      </c>
      <c r="I2101" s="74" t="str">
        <f t="shared" si="79"/>
        <v/>
      </c>
      <c r="J2101" s="32"/>
    </row>
    <row r="2102" spans="2:10" ht="15">
      <c r="B2102" s="31"/>
      <c r="C2102" s="30"/>
      <c r="D2102" s="119"/>
      <c r="E2102" s="32"/>
      <c r="G2102" s="31">
        <v>2060</v>
      </c>
      <c r="H2102" s="30" t="str">
        <f t="shared" si="78"/>
        <v/>
      </c>
      <c r="I2102" s="74" t="str">
        <f t="shared" si="79"/>
        <v/>
      </c>
      <c r="J2102" s="32"/>
    </row>
    <row r="2103" spans="2:10" ht="15">
      <c r="B2103" s="31"/>
      <c r="C2103" s="30"/>
      <c r="D2103" s="119"/>
      <c r="E2103" s="32"/>
      <c r="G2103" s="31">
        <v>2061</v>
      </c>
      <c r="H2103" s="30" t="str">
        <f t="shared" si="78"/>
        <v/>
      </c>
      <c r="I2103" s="74" t="str">
        <f t="shared" si="79"/>
        <v/>
      </c>
      <c r="J2103" s="32"/>
    </row>
    <row r="2104" spans="2:10" ht="15">
      <c r="B2104" s="31"/>
      <c r="C2104" s="30"/>
      <c r="D2104" s="119"/>
      <c r="E2104" s="32"/>
      <c r="G2104" s="31">
        <v>2062</v>
      </c>
      <c r="H2104" s="30" t="str">
        <f t="shared" si="78"/>
        <v/>
      </c>
      <c r="I2104" s="74" t="str">
        <f t="shared" si="79"/>
        <v/>
      </c>
      <c r="J2104" s="32"/>
    </row>
    <row r="2105" spans="2:10" ht="15">
      <c r="B2105" s="31"/>
      <c r="C2105" s="30"/>
      <c r="D2105" s="119"/>
      <c r="E2105" s="32"/>
      <c r="G2105" s="31">
        <v>2063</v>
      </c>
      <c r="H2105" s="30" t="str">
        <f t="shared" si="78"/>
        <v/>
      </c>
      <c r="I2105" s="74" t="str">
        <f t="shared" si="79"/>
        <v/>
      </c>
      <c r="J2105" s="32"/>
    </row>
    <row r="2106" spans="2:10" ht="15">
      <c r="B2106" s="31"/>
      <c r="C2106" s="30"/>
      <c r="D2106" s="119"/>
      <c r="E2106" s="32"/>
      <c r="G2106" s="31">
        <v>2064</v>
      </c>
      <c r="H2106" s="30" t="str">
        <f t="shared" si="78"/>
        <v/>
      </c>
      <c r="I2106" s="74" t="str">
        <f t="shared" si="79"/>
        <v/>
      </c>
      <c r="J2106" s="32"/>
    </row>
    <row r="2107" spans="2:10" ht="15">
      <c r="B2107" s="31"/>
      <c r="C2107" s="30"/>
      <c r="D2107" s="119"/>
      <c r="E2107" s="32"/>
      <c r="G2107" s="31">
        <v>2065</v>
      </c>
      <c r="H2107" s="30" t="str">
        <f t="shared" si="78"/>
        <v/>
      </c>
      <c r="I2107" s="74" t="str">
        <f t="shared" si="79"/>
        <v/>
      </c>
      <c r="J2107" s="32"/>
    </row>
    <row r="2108" spans="2:10" ht="15">
      <c r="B2108" s="31"/>
      <c r="C2108" s="30"/>
      <c r="D2108" s="119"/>
      <c r="E2108" s="32"/>
      <c r="G2108" s="31">
        <v>2066</v>
      </c>
      <c r="H2108" s="30" t="str">
        <f t="shared" si="78"/>
        <v/>
      </c>
      <c r="I2108" s="74" t="str">
        <f t="shared" si="79"/>
        <v/>
      </c>
      <c r="J2108" s="32"/>
    </row>
    <row r="2109" spans="2:10" ht="15">
      <c r="B2109" s="31"/>
      <c r="C2109" s="30"/>
      <c r="D2109" s="119"/>
      <c r="E2109" s="32"/>
      <c r="G2109" s="31">
        <v>2067</v>
      </c>
      <c r="H2109" s="30" t="str">
        <f t="shared" si="78"/>
        <v/>
      </c>
      <c r="I2109" s="74" t="str">
        <f t="shared" si="79"/>
        <v/>
      </c>
      <c r="J2109" s="32"/>
    </row>
    <row r="2110" spans="2:10" ht="15">
      <c r="B2110" s="31"/>
      <c r="C2110" s="30"/>
      <c r="D2110" s="119"/>
      <c r="E2110" s="32"/>
      <c r="G2110" s="31">
        <v>2068</v>
      </c>
      <c r="H2110" s="30" t="str">
        <f t="shared" si="78"/>
        <v/>
      </c>
      <c r="I2110" s="74" t="str">
        <f t="shared" si="79"/>
        <v/>
      </c>
      <c r="J2110" s="32"/>
    </row>
    <row r="2111" spans="2:10" ht="15">
      <c r="B2111" s="31"/>
      <c r="C2111" s="30"/>
      <c r="D2111" s="119"/>
      <c r="E2111" s="32"/>
      <c r="G2111" s="31">
        <v>2069</v>
      </c>
      <c r="H2111" s="30" t="str">
        <f t="shared" si="78"/>
        <v/>
      </c>
      <c r="I2111" s="74" t="str">
        <f t="shared" si="79"/>
        <v/>
      </c>
      <c r="J2111" s="32"/>
    </row>
    <row r="2112" spans="2:10" ht="15">
      <c r="B2112" s="31"/>
      <c r="C2112" s="30"/>
      <c r="D2112" s="119"/>
      <c r="E2112" s="32"/>
      <c r="G2112" s="31">
        <v>2070</v>
      </c>
      <c r="H2112" s="30" t="str">
        <f t="shared" si="78"/>
        <v/>
      </c>
      <c r="I2112" s="74" t="str">
        <f t="shared" si="79"/>
        <v/>
      </c>
      <c r="J2112" s="32"/>
    </row>
    <row r="2113" spans="2:10" ht="15">
      <c r="B2113" s="31"/>
      <c r="C2113" s="30"/>
      <c r="D2113" s="119"/>
      <c r="E2113" s="32"/>
      <c r="G2113" s="31">
        <v>2071</v>
      </c>
      <c r="H2113" s="30" t="str">
        <f t="shared" si="78"/>
        <v/>
      </c>
      <c r="I2113" s="74" t="str">
        <f t="shared" si="79"/>
        <v/>
      </c>
      <c r="J2113" s="32"/>
    </row>
    <row r="2114" spans="2:10" ht="15">
      <c r="B2114" s="31"/>
      <c r="C2114" s="30"/>
      <c r="D2114" s="119"/>
      <c r="E2114" s="32"/>
      <c r="G2114" s="31">
        <v>2072</v>
      </c>
      <c r="H2114" s="30" t="str">
        <f t="shared" si="78"/>
        <v/>
      </c>
      <c r="I2114" s="74" t="str">
        <f t="shared" si="79"/>
        <v/>
      </c>
      <c r="J2114" s="32"/>
    </row>
    <row r="2115" spans="2:10" ht="15">
      <c r="B2115" s="31"/>
      <c r="C2115" s="30"/>
      <c r="D2115" s="119"/>
      <c r="E2115" s="32"/>
      <c r="G2115" s="31">
        <v>2073</v>
      </c>
      <c r="H2115" s="30" t="str">
        <f t="shared" si="78"/>
        <v/>
      </c>
      <c r="I2115" s="74" t="str">
        <f t="shared" si="79"/>
        <v/>
      </c>
      <c r="J2115" s="32"/>
    </row>
    <row r="2116" spans="2:10" ht="15">
      <c r="B2116" s="31"/>
      <c r="C2116" s="30"/>
      <c r="D2116" s="119"/>
      <c r="E2116" s="32"/>
      <c r="G2116" s="31">
        <v>2074</v>
      </c>
      <c r="H2116" s="30" t="str">
        <f t="shared" si="78"/>
        <v/>
      </c>
      <c r="I2116" s="74" t="str">
        <f t="shared" si="79"/>
        <v/>
      </c>
      <c r="J2116" s="32"/>
    </row>
    <row r="2117" spans="2:10" ht="15">
      <c r="B2117" s="31"/>
      <c r="C2117" s="30"/>
      <c r="D2117" s="119"/>
      <c r="E2117" s="32"/>
      <c r="G2117" s="31">
        <v>2075</v>
      </c>
      <c r="H2117" s="30" t="str">
        <f t="shared" si="78"/>
        <v/>
      </c>
      <c r="I2117" s="74" t="str">
        <f t="shared" si="79"/>
        <v/>
      </c>
      <c r="J2117" s="32"/>
    </row>
    <row r="2118" spans="2:10" ht="15">
      <c r="B2118" s="31"/>
      <c r="C2118" s="30"/>
      <c r="D2118" s="119"/>
      <c r="E2118" s="32"/>
      <c r="G2118" s="31">
        <v>2076</v>
      </c>
      <c r="H2118" s="30" t="str">
        <f t="shared" si="78"/>
        <v/>
      </c>
      <c r="I2118" s="74" t="str">
        <f t="shared" si="79"/>
        <v/>
      </c>
      <c r="J2118" s="32"/>
    </row>
    <row r="2119" spans="2:10" ht="15">
      <c r="B2119" s="31"/>
      <c r="C2119" s="30"/>
      <c r="D2119" s="119"/>
      <c r="E2119" s="32"/>
      <c r="G2119" s="31">
        <v>2077</v>
      </c>
      <c r="H2119" s="30" t="str">
        <f t="shared" si="78"/>
        <v/>
      </c>
      <c r="I2119" s="74" t="str">
        <f t="shared" si="79"/>
        <v/>
      </c>
      <c r="J2119" s="32"/>
    </row>
    <row r="2120" spans="2:10" ht="15">
      <c r="B2120" s="31"/>
      <c r="C2120" s="30"/>
      <c r="D2120" s="119"/>
      <c r="E2120" s="32"/>
      <c r="G2120" s="31">
        <v>2078</v>
      </c>
      <c r="H2120" s="30" t="str">
        <f t="shared" si="78"/>
        <v/>
      </c>
      <c r="I2120" s="74" t="str">
        <f t="shared" si="79"/>
        <v/>
      </c>
      <c r="J2120" s="32"/>
    </row>
    <row r="2121" spans="2:10" ht="15">
      <c r="B2121" s="31"/>
      <c r="C2121" s="30"/>
      <c r="D2121" s="119"/>
      <c r="E2121" s="32"/>
      <c r="G2121" s="31">
        <v>2079</v>
      </c>
      <c r="H2121" s="30" t="str">
        <f t="shared" si="78"/>
        <v/>
      </c>
      <c r="I2121" s="74" t="str">
        <f t="shared" si="79"/>
        <v/>
      </c>
      <c r="J2121" s="32"/>
    </row>
    <row r="2122" spans="2:10" ht="15">
      <c r="B2122" s="31"/>
      <c r="C2122" s="30"/>
      <c r="D2122" s="119"/>
      <c r="E2122" s="32"/>
      <c r="G2122" s="31">
        <v>2080</v>
      </c>
      <c r="H2122" s="30" t="str">
        <f t="shared" si="78"/>
        <v/>
      </c>
      <c r="I2122" s="74" t="str">
        <f t="shared" si="79"/>
        <v/>
      </c>
      <c r="J2122" s="32"/>
    </row>
    <row r="2123" spans="2:10" ht="15">
      <c r="B2123" s="31"/>
      <c r="C2123" s="30"/>
      <c r="D2123" s="119"/>
      <c r="E2123" s="32"/>
      <c r="G2123" s="31">
        <v>2081</v>
      </c>
      <c r="H2123" s="30" t="str">
        <f t="shared" si="78"/>
        <v/>
      </c>
      <c r="I2123" s="74" t="str">
        <f t="shared" si="79"/>
        <v/>
      </c>
      <c r="J2123" s="32"/>
    </row>
    <row r="2124" spans="2:10" ht="15">
      <c r="B2124" s="31"/>
      <c r="C2124" s="30"/>
      <c r="D2124" s="119"/>
      <c r="E2124" s="32"/>
      <c r="G2124" s="31">
        <v>2082</v>
      </c>
      <c r="H2124" s="30" t="str">
        <f t="shared" si="78"/>
        <v/>
      </c>
      <c r="I2124" s="74" t="str">
        <f t="shared" si="79"/>
        <v/>
      </c>
      <c r="J2124" s="32"/>
    </row>
    <row r="2125" spans="2:10" ht="15">
      <c r="B2125" s="31"/>
      <c r="C2125" s="30"/>
      <c r="D2125" s="119"/>
      <c r="E2125" s="32"/>
      <c r="G2125" s="31">
        <v>2083</v>
      </c>
      <c r="H2125" s="30" t="str">
        <f t="shared" si="78"/>
        <v/>
      </c>
      <c r="I2125" s="74" t="str">
        <f t="shared" si="79"/>
        <v/>
      </c>
      <c r="J2125" s="32"/>
    </row>
    <row r="2126" spans="2:10" ht="15">
      <c r="B2126" s="31"/>
      <c r="C2126" s="30"/>
      <c r="D2126" s="119"/>
      <c r="E2126" s="32"/>
      <c r="G2126" s="31">
        <v>2084</v>
      </c>
      <c r="H2126" s="30" t="str">
        <f t="shared" si="78"/>
        <v/>
      </c>
      <c r="I2126" s="74" t="str">
        <f t="shared" si="79"/>
        <v/>
      </c>
      <c r="J2126" s="32"/>
    </row>
    <row r="2127" spans="2:10" ht="15">
      <c r="B2127" s="31"/>
      <c r="C2127" s="30"/>
      <c r="D2127" s="119"/>
      <c r="E2127" s="32"/>
      <c r="G2127" s="31">
        <v>2085</v>
      </c>
      <c r="H2127" s="30" t="str">
        <f t="shared" si="78"/>
        <v/>
      </c>
      <c r="I2127" s="74" t="str">
        <f t="shared" si="79"/>
        <v/>
      </c>
      <c r="J2127" s="32"/>
    </row>
    <row r="2128" spans="2:10" ht="15">
      <c r="B2128" s="31"/>
      <c r="C2128" s="30"/>
      <c r="D2128" s="119"/>
      <c r="E2128" s="32"/>
      <c r="G2128" s="31">
        <v>2086</v>
      </c>
      <c r="H2128" s="30" t="str">
        <f t="shared" si="78"/>
        <v/>
      </c>
      <c r="I2128" s="74" t="str">
        <f t="shared" si="79"/>
        <v/>
      </c>
      <c r="J2128" s="32"/>
    </row>
    <row r="2129" spans="2:10" ht="15">
      <c r="B2129" s="31"/>
      <c r="C2129" s="30"/>
      <c r="D2129" s="119"/>
      <c r="E2129" s="32"/>
      <c r="G2129" s="31">
        <v>2087</v>
      </c>
      <c r="H2129" s="30" t="str">
        <f t="shared" si="78"/>
        <v/>
      </c>
      <c r="I2129" s="74" t="str">
        <f t="shared" si="79"/>
        <v/>
      </c>
      <c r="J2129" s="32"/>
    </row>
    <row r="2130" spans="2:10" ht="15">
      <c r="B2130" s="31"/>
      <c r="C2130" s="30"/>
      <c r="D2130" s="119"/>
      <c r="E2130" s="32"/>
      <c r="G2130" s="31">
        <v>2088</v>
      </c>
      <c r="H2130" s="30" t="str">
        <f t="shared" si="78"/>
        <v/>
      </c>
      <c r="I2130" s="74" t="str">
        <f t="shared" si="79"/>
        <v/>
      </c>
      <c r="J2130" s="32"/>
    </row>
    <row r="2131" spans="2:10" ht="15">
      <c r="B2131" s="31"/>
      <c r="C2131" s="30"/>
      <c r="D2131" s="119"/>
      <c r="E2131" s="32"/>
      <c r="G2131" s="31">
        <v>2089</v>
      </c>
      <c r="H2131" s="30" t="str">
        <f t="shared" si="78"/>
        <v/>
      </c>
      <c r="I2131" s="74" t="str">
        <f t="shared" si="79"/>
        <v/>
      </c>
      <c r="J2131" s="32"/>
    </row>
    <row r="2132" spans="2:10" ht="15">
      <c r="B2132" s="31"/>
      <c r="C2132" s="30"/>
      <c r="D2132" s="119"/>
      <c r="E2132" s="32"/>
      <c r="G2132" s="31">
        <v>2090</v>
      </c>
      <c r="H2132" s="30" t="str">
        <f t="shared" si="78"/>
        <v/>
      </c>
      <c r="I2132" s="74" t="str">
        <f t="shared" si="79"/>
        <v/>
      </c>
      <c r="J2132" s="32"/>
    </row>
    <row r="2133" spans="2:10" ht="15">
      <c r="B2133" s="31"/>
      <c r="C2133" s="30"/>
      <c r="D2133" s="119"/>
      <c r="E2133" s="32"/>
      <c r="G2133" s="31">
        <v>2091</v>
      </c>
      <c r="H2133" s="30" t="str">
        <f t="shared" si="78"/>
        <v/>
      </c>
      <c r="I2133" s="74" t="str">
        <f t="shared" si="79"/>
        <v/>
      </c>
      <c r="J2133" s="32"/>
    </row>
    <row r="2134" spans="2:10" ht="15">
      <c r="B2134" s="31"/>
      <c r="C2134" s="30"/>
      <c r="D2134" s="119"/>
      <c r="E2134" s="32"/>
      <c r="G2134" s="31">
        <v>2092</v>
      </c>
      <c r="H2134" s="30" t="str">
        <f t="shared" si="78"/>
        <v/>
      </c>
      <c r="I2134" s="74" t="str">
        <f t="shared" si="79"/>
        <v/>
      </c>
      <c r="J2134" s="32"/>
    </row>
    <row r="2135" spans="2:10" ht="15">
      <c r="B2135" s="31"/>
      <c r="C2135" s="30"/>
      <c r="D2135" s="119"/>
      <c r="E2135" s="32"/>
      <c r="G2135" s="31">
        <v>2093</v>
      </c>
      <c r="H2135" s="30" t="str">
        <f t="shared" si="78"/>
        <v/>
      </c>
      <c r="I2135" s="74" t="str">
        <f t="shared" si="79"/>
        <v/>
      </c>
      <c r="J2135" s="32"/>
    </row>
    <row r="2136" spans="2:10" ht="15">
      <c r="B2136" s="31"/>
      <c r="C2136" s="30"/>
      <c r="D2136" s="119"/>
      <c r="E2136" s="32"/>
      <c r="G2136" s="31">
        <v>2094</v>
      </c>
      <c r="H2136" s="30" t="str">
        <f t="shared" si="78"/>
        <v/>
      </c>
      <c r="I2136" s="74" t="str">
        <f t="shared" si="79"/>
        <v/>
      </c>
      <c r="J2136" s="32"/>
    </row>
    <row r="2137" spans="2:10" ht="15">
      <c r="B2137" s="31"/>
      <c r="C2137" s="30"/>
      <c r="D2137" s="119"/>
      <c r="E2137" s="32"/>
      <c r="G2137" s="31">
        <v>2095</v>
      </c>
      <c r="H2137" s="30" t="str">
        <f t="shared" si="78"/>
        <v/>
      </c>
      <c r="I2137" s="74" t="str">
        <f t="shared" si="79"/>
        <v/>
      </c>
      <c r="J2137" s="32"/>
    </row>
    <row r="2138" spans="2:10" ht="15">
      <c r="B2138" s="31"/>
      <c r="C2138" s="30"/>
      <c r="D2138" s="119"/>
      <c r="E2138" s="32"/>
      <c r="G2138" s="31">
        <v>2096</v>
      </c>
      <c r="H2138" s="30" t="str">
        <f t="shared" si="78"/>
        <v/>
      </c>
      <c r="I2138" s="74" t="str">
        <f t="shared" si="79"/>
        <v/>
      </c>
      <c r="J2138" s="32"/>
    </row>
    <row r="2139" spans="2:10" ht="15">
      <c r="B2139" s="31"/>
      <c r="C2139" s="30"/>
      <c r="D2139" s="119"/>
      <c r="E2139" s="32"/>
      <c r="G2139" s="31">
        <v>2097</v>
      </c>
      <c r="H2139" s="30" t="str">
        <f t="shared" si="78"/>
        <v/>
      </c>
      <c r="I2139" s="74" t="str">
        <f t="shared" si="79"/>
        <v/>
      </c>
      <c r="J2139" s="32"/>
    </row>
    <row r="2140" spans="2:10" ht="15">
      <c r="B2140" s="31"/>
      <c r="C2140" s="30"/>
      <c r="D2140" s="119"/>
      <c r="E2140" s="32"/>
      <c r="G2140" s="31">
        <v>2098</v>
      </c>
      <c r="H2140" s="30" t="str">
        <f t="shared" si="78"/>
        <v/>
      </c>
      <c r="I2140" s="74" t="str">
        <f t="shared" si="79"/>
        <v/>
      </c>
      <c r="J2140" s="32"/>
    </row>
    <row r="2141" spans="2:10" ht="15">
      <c r="B2141" s="31"/>
      <c r="C2141" s="30"/>
      <c r="D2141" s="119"/>
      <c r="E2141" s="32"/>
      <c r="G2141" s="31">
        <v>2099</v>
      </c>
      <c r="H2141" s="30" t="str">
        <f t="shared" si="78"/>
        <v/>
      </c>
      <c r="I2141" s="74" t="str">
        <f t="shared" si="79"/>
        <v/>
      </c>
      <c r="J2141" s="32"/>
    </row>
    <row r="2142" spans="2:10" ht="15">
      <c r="B2142" s="31"/>
      <c r="C2142" s="30"/>
      <c r="D2142" s="119"/>
      <c r="E2142" s="32"/>
      <c r="G2142" s="31">
        <v>2100</v>
      </c>
      <c r="H2142" s="30" t="str">
        <f t="shared" si="78"/>
        <v/>
      </c>
      <c r="I2142" s="74" t="str">
        <f t="shared" si="79"/>
        <v/>
      </c>
      <c r="J2142" s="32"/>
    </row>
    <row r="2143" spans="2:10" ht="15">
      <c r="B2143" s="31"/>
      <c r="C2143" s="30"/>
      <c r="D2143" s="119"/>
      <c r="E2143" s="32"/>
      <c r="G2143" s="31">
        <v>2101</v>
      </c>
      <c r="H2143" s="30" t="str">
        <f t="shared" si="78"/>
        <v/>
      </c>
      <c r="I2143" s="74" t="str">
        <f t="shared" si="79"/>
        <v/>
      </c>
      <c r="J2143" s="32"/>
    </row>
    <row r="2144" spans="2:10" ht="15">
      <c r="B2144" s="31"/>
      <c r="C2144" s="30"/>
      <c r="D2144" s="119"/>
      <c r="E2144" s="32"/>
      <c r="G2144" s="31">
        <v>2102</v>
      </c>
      <c r="H2144" s="30" t="str">
        <f t="shared" si="78"/>
        <v/>
      </c>
      <c r="I2144" s="74" t="str">
        <f t="shared" si="79"/>
        <v/>
      </c>
      <c r="J2144" s="32"/>
    </row>
    <row r="2145" spans="2:10" ht="15">
      <c r="B2145" s="31"/>
      <c r="C2145" s="30"/>
      <c r="D2145" s="119"/>
      <c r="E2145" s="32"/>
      <c r="G2145" s="31">
        <v>2103</v>
      </c>
      <c r="H2145" s="30" t="str">
        <f t="shared" si="78"/>
        <v/>
      </c>
      <c r="I2145" s="74" t="str">
        <f t="shared" si="79"/>
        <v/>
      </c>
      <c r="J2145" s="32"/>
    </row>
    <row r="2146" spans="2:10" ht="15">
      <c r="B2146" s="31"/>
      <c r="C2146" s="30"/>
      <c r="D2146" s="119"/>
      <c r="E2146" s="32"/>
      <c r="G2146" s="31">
        <v>2104</v>
      </c>
      <c r="H2146" s="30" t="str">
        <f t="shared" si="78"/>
        <v/>
      </c>
      <c r="I2146" s="74" t="str">
        <f t="shared" si="79"/>
        <v/>
      </c>
      <c r="J2146" s="32"/>
    </row>
    <row r="2147" spans="2:10" ht="15">
      <c r="B2147" s="31"/>
      <c r="C2147" s="30"/>
      <c r="D2147" s="119"/>
      <c r="E2147" s="32"/>
      <c r="G2147" s="31">
        <v>2105</v>
      </c>
      <c r="H2147" s="30" t="str">
        <f t="shared" si="78"/>
        <v/>
      </c>
      <c r="I2147" s="74" t="str">
        <f t="shared" si="79"/>
        <v/>
      </c>
      <c r="J2147" s="32"/>
    </row>
    <row r="2148" spans="2:10" ht="15">
      <c r="B2148" s="31"/>
      <c r="C2148" s="30"/>
      <c r="D2148" s="119"/>
      <c r="E2148" s="32"/>
      <c r="G2148" s="31">
        <v>2106</v>
      </c>
      <c r="H2148" s="30" t="str">
        <f t="shared" si="78"/>
        <v/>
      </c>
      <c r="I2148" s="74" t="str">
        <f t="shared" si="79"/>
        <v/>
      </c>
      <c r="J2148" s="32"/>
    </row>
    <row r="2149" spans="2:10" ht="15">
      <c r="B2149" s="31"/>
      <c r="C2149" s="30"/>
      <c r="D2149" s="119"/>
      <c r="E2149" s="32"/>
      <c r="G2149" s="31">
        <v>2107</v>
      </c>
      <c r="H2149" s="30" t="str">
        <f t="shared" si="78"/>
        <v/>
      </c>
      <c r="I2149" s="74" t="str">
        <f t="shared" si="79"/>
        <v/>
      </c>
      <c r="J2149" s="32"/>
    </row>
    <row r="2150" spans="2:10" ht="15">
      <c r="B2150" s="31"/>
      <c r="C2150" s="30"/>
      <c r="D2150" s="119"/>
      <c r="E2150" s="32"/>
      <c r="G2150" s="31">
        <v>2108</v>
      </c>
      <c r="H2150" s="30" t="str">
        <f t="shared" si="78"/>
        <v/>
      </c>
      <c r="I2150" s="74" t="str">
        <f t="shared" si="79"/>
        <v/>
      </c>
      <c r="J2150" s="32"/>
    </row>
    <row r="2151" spans="2:10" ht="15">
      <c r="B2151" s="31"/>
      <c r="C2151" s="30"/>
      <c r="D2151" s="119"/>
      <c r="E2151" s="32"/>
      <c r="G2151" s="31">
        <v>2109</v>
      </c>
      <c r="H2151" s="30" t="str">
        <f t="shared" si="78"/>
        <v/>
      </c>
      <c r="I2151" s="74" t="str">
        <f t="shared" si="79"/>
        <v/>
      </c>
      <c r="J2151" s="32"/>
    </row>
    <row r="2152" spans="2:10" ht="15">
      <c r="B2152" s="31"/>
      <c r="C2152" s="30"/>
      <c r="D2152" s="119"/>
      <c r="E2152" s="32"/>
      <c r="G2152" s="31">
        <v>2110</v>
      </c>
      <c r="H2152" s="30" t="str">
        <f t="shared" si="78"/>
        <v/>
      </c>
      <c r="I2152" s="74" t="str">
        <f t="shared" si="79"/>
        <v/>
      </c>
      <c r="J2152" s="32"/>
    </row>
    <row r="2153" spans="2:10" ht="15">
      <c r="B2153" s="31"/>
      <c r="C2153" s="30"/>
      <c r="D2153" s="119"/>
      <c r="E2153" s="32"/>
      <c r="G2153" s="31">
        <v>2111</v>
      </c>
      <c r="H2153" s="30" t="str">
        <f t="shared" si="78"/>
        <v/>
      </c>
      <c r="I2153" s="74" t="str">
        <f t="shared" si="79"/>
        <v/>
      </c>
      <c r="J2153" s="32"/>
    </row>
    <row r="2154" spans="2:10" ht="15">
      <c r="B2154" s="31"/>
      <c r="C2154" s="30"/>
      <c r="D2154" s="119"/>
      <c r="E2154" s="32"/>
      <c r="G2154" s="31">
        <v>2112</v>
      </c>
      <c r="H2154" s="30" t="str">
        <f t="shared" si="78"/>
        <v/>
      </c>
      <c r="I2154" s="74" t="str">
        <f t="shared" si="79"/>
        <v/>
      </c>
      <c r="J2154" s="32"/>
    </row>
    <row r="2155" spans="2:10" ht="15">
      <c r="B2155" s="31"/>
      <c r="C2155" s="30"/>
      <c r="D2155" s="119"/>
      <c r="E2155" s="32"/>
      <c r="G2155" s="31">
        <v>2113</v>
      </c>
      <c r="H2155" s="30" t="str">
        <f t="shared" si="78"/>
        <v/>
      </c>
      <c r="I2155" s="74" t="str">
        <f t="shared" si="79"/>
        <v/>
      </c>
      <c r="J2155" s="32"/>
    </row>
    <row r="2156" spans="2:10" ht="15">
      <c r="B2156" s="31"/>
      <c r="C2156" s="30"/>
      <c r="D2156" s="119"/>
      <c r="E2156" s="32"/>
      <c r="G2156" s="31">
        <v>2114</v>
      </c>
      <c r="H2156" s="30" t="str">
        <f t="shared" ref="H2156:H2219" si="80">MID($I$41,G2156*8-7,8)</f>
        <v/>
      </c>
      <c r="I2156" s="74" t="str">
        <f t="shared" ref="I2156:I2219" si="81">IFERROR(BIN2DEC(VALUE(H2156)),"")</f>
        <v/>
      </c>
      <c r="J2156" s="32"/>
    </row>
    <row r="2157" spans="2:10" ht="15">
      <c r="B2157" s="31"/>
      <c r="C2157" s="30"/>
      <c r="D2157" s="119"/>
      <c r="E2157" s="32"/>
      <c r="G2157" s="31">
        <v>2115</v>
      </c>
      <c r="H2157" s="30" t="str">
        <f t="shared" si="80"/>
        <v/>
      </c>
      <c r="I2157" s="74" t="str">
        <f t="shared" si="81"/>
        <v/>
      </c>
      <c r="J2157" s="32"/>
    </row>
    <row r="2158" spans="2:10" ht="15">
      <c r="B2158" s="31"/>
      <c r="C2158" s="30"/>
      <c r="D2158" s="119"/>
      <c r="E2158" s="32"/>
      <c r="G2158" s="31">
        <v>2116</v>
      </c>
      <c r="H2158" s="30" t="str">
        <f t="shared" si="80"/>
        <v/>
      </c>
      <c r="I2158" s="74" t="str">
        <f t="shared" si="81"/>
        <v/>
      </c>
      <c r="J2158" s="32"/>
    </row>
    <row r="2159" spans="2:10" ht="15">
      <c r="B2159" s="31"/>
      <c r="C2159" s="30"/>
      <c r="D2159" s="119"/>
      <c r="E2159" s="32"/>
      <c r="G2159" s="31">
        <v>2117</v>
      </c>
      <c r="H2159" s="30" t="str">
        <f t="shared" si="80"/>
        <v/>
      </c>
      <c r="I2159" s="74" t="str">
        <f t="shared" si="81"/>
        <v/>
      </c>
      <c r="J2159" s="32"/>
    </row>
    <row r="2160" spans="2:10" ht="15">
      <c r="B2160" s="31"/>
      <c r="C2160" s="30"/>
      <c r="D2160" s="119"/>
      <c r="E2160" s="32"/>
      <c r="G2160" s="31">
        <v>2118</v>
      </c>
      <c r="H2160" s="30" t="str">
        <f t="shared" si="80"/>
        <v/>
      </c>
      <c r="I2160" s="74" t="str">
        <f t="shared" si="81"/>
        <v/>
      </c>
      <c r="J2160" s="32"/>
    </row>
    <row r="2161" spans="2:10" ht="15">
      <c r="B2161" s="31"/>
      <c r="C2161" s="30"/>
      <c r="D2161" s="119"/>
      <c r="E2161" s="32"/>
      <c r="G2161" s="31">
        <v>2119</v>
      </c>
      <c r="H2161" s="30" t="str">
        <f t="shared" si="80"/>
        <v/>
      </c>
      <c r="I2161" s="74" t="str">
        <f t="shared" si="81"/>
        <v/>
      </c>
      <c r="J2161" s="32"/>
    </row>
    <row r="2162" spans="2:10" ht="15">
      <c r="B2162" s="31"/>
      <c r="C2162" s="30"/>
      <c r="D2162" s="119"/>
      <c r="E2162" s="32"/>
      <c r="G2162" s="31">
        <v>2120</v>
      </c>
      <c r="H2162" s="30" t="str">
        <f t="shared" si="80"/>
        <v/>
      </c>
      <c r="I2162" s="74" t="str">
        <f t="shared" si="81"/>
        <v/>
      </c>
      <c r="J2162" s="32"/>
    </row>
    <row r="2163" spans="2:10" ht="15">
      <c r="B2163" s="31"/>
      <c r="C2163" s="30"/>
      <c r="D2163" s="119"/>
      <c r="E2163" s="32"/>
      <c r="G2163" s="31">
        <v>2121</v>
      </c>
      <c r="H2163" s="30" t="str">
        <f t="shared" si="80"/>
        <v/>
      </c>
      <c r="I2163" s="74" t="str">
        <f t="shared" si="81"/>
        <v/>
      </c>
      <c r="J2163" s="32"/>
    </row>
    <row r="2164" spans="2:10" ht="15">
      <c r="B2164" s="31"/>
      <c r="C2164" s="30"/>
      <c r="D2164" s="119"/>
      <c r="E2164" s="32"/>
      <c r="G2164" s="31">
        <v>2122</v>
      </c>
      <c r="H2164" s="30" t="str">
        <f t="shared" si="80"/>
        <v/>
      </c>
      <c r="I2164" s="74" t="str">
        <f t="shared" si="81"/>
        <v/>
      </c>
      <c r="J2164" s="32"/>
    </row>
    <row r="2165" spans="2:10" ht="15">
      <c r="B2165" s="31"/>
      <c r="C2165" s="30"/>
      <c r="D2165" s="119"/>
      <c r="E2165" s="32"/>
      <c r="G2165" s="31">
        <v>2123</v>
      </c>
      <c r="H2165" s="30" t="str">
        <f t="shared" si="80"/>
        <v/>
      </c>
      <c r="I2165" s="74" t="str">
        <f t="shared" si="81"/>
        <v/>
      </c>
      <c r="J2165" s="32"/>
    </row>
    <row r="2166" spans="2:10" ht="15">
      <c r="B2166" s="31"/>
      <c r="C2166" s="30"/>
      <c r="D2166" s="119"/>
      <c r="E2166" s="32"/>
      <c r="G2166" s="31">
        <v>2124</v>
      </c>
      <c r="H2166" s="30" t="str">
        <f t="shared" si="80"/>
        <v/>
      </c>
      <c r="I2166" s="74" t="str">
        <f t="shared" si="81"/>
        <v/>
      </c>
      <c r="J2166" s="32"/>
    </row>
    <row r="2167" spans="2:10" ht="15">
      <c r="B2167" s="31"/>
      <c r="C2167" s="30"/>
      <c r="D2167" s="119"/>
      <c r="E2167" s="32"/>
      <c r="G2167" s="31">
        <v>2125</v>
      </c>
      <c r="H2167" s="30" t="str">
        <f t="shared" si="80"/>
        <v/>
      </c>
      <c r="I2167" s="74" t="str">
        <f t="shared" si="81"/>
        <v/>
      </c>
      <c r="J2167" s="32"/>
    </row>
    <row r="2168" spans="2:10" ht="15">
      <c r="B2168" s="31"/>
      <c r="C2168" s="30"/>
      <c r="D2168" s="119"/>
      <c r="E2168" s="32"/>
      <c r="G2168" s="31">
        <v>2126</v>
      </c>
      <c r="H2168" s="30" t="str">
        <f t="shared" si="80"/>
        <v/>
      </c>
      <c r="I2168" s="74" t="str">
        <f t="shared" si="81"/>
        <v/>
      </c>
      <c r="J2168" s="32"/>
    </row>
    <row r="2169" spans="2:10" ht="15">
      <c r="B2169" s="31"/>
      <c r="C2169" s="30"/>
      <c r="D2169" s="119"/>
      <c r="E2169" s="32"/>
      <c r="G2169" s="31">
        <v>2127</v>
      </c>
      <c r="H2169" s="30" t="str">
        <f t="shared" si="80"/>
        <v/>
      </c>
      <c r="I2169" s="74" t="str">
        <f t="shared" si="81"/>
        <v/>
      </c>
      <c r="J2169" s="32"/>
    </row>
    <row r="2170" spans="2:10" ht="15">
      <c r="B2170" s="31"/>
      <c r="C2170" s="30"/>
      <c r="D2170" s="119"/>
      <c r="E2170" s="32"/>
      <c r="G2170" s="31">
        <v>2128</v>
      </c>
      <c r="H2170" s="30" t="str">
        <f t="shared" si="80"/>
        <v/>
      </c>
      <c r="I2170" s="74" t="str">
        <f t="shared" si="81"/>
        <v/>
      </c>
      <c r="J2170" s="32"/>
    </row>
    <row r="2171" spans="2:10" ht="15">
      <c r="B2171" s="31"/>
      <c r="C2171" s="30"/>
      <c r="D2171" s="119"/>
      <c r="E2171" s="32"/>
      <c r="G2171" s="31">
        <v>2129</v>
      </c>
      <c r="H2171" s="30" t="str">
        <f t="shared" si="80"/>
        <v/>
      </c>
      <c r="I2171" s="74" t="str">
        <f t="shared" si="81"/>
        <v/>
      </c>
      <c r="J2171" s="32"/>
    </row>
    <row r="2172" spans="2:10" ht="15">
      <c r="B2172" s="31"/>
      <c r="C2172" s="30"/>
      <c r="D2172" s="119"/>
      <c r="E2172" s="32"/>
      <c r="G2172" s="31">
        <v>2130</v>
      </c>
      <c r="H2172" s="30" t="str">
        <f t="shared" si="80"/>
        <v/>
      </c>
      <c r="I2172" s="74" t="str">
        <f t="shared" si="81"/>
        <v/>
      </c>
      <c r="J2172" s="32"/>
    </row>
    <row r="2173" spans="2:10" ht="15">
      <c r="B2173" s="31"/>
      <c r="C2173" s="30"/>
      <c r="D2173" s="119"/>
      <c r="E2173" s="32"/>
      <c r="G2173" s="31">
        <v>2131</v>
      </c>
      <c r="H2173" s="30" t="str">
        <f t="shared" si="80"/>
        <v/>
      </c>
      <c r="I2173" s="74" t="str">
        <f t="shared" si="81"/>
        <v/>
      </c>
      <c r="J2173" s="32"/>
    </row>
    <row r="2174" spans="2:10" ht="15">
      <c r="B2174" s="31"/>
      <c r="C2174" s="30"/>
      <c r="D2174" s="119"/>
      <c r="E2174" s="32"/>
      <c r="G2174" s="31">
        <v>2132</v>
      </c>
      <c r="H2174" s="30" t="str">
        <f t="shared" si="80"/>
        <v/>
      </c>
      <c r="I2174" s="74" t="str">
        <f t="shared" si="81"/>
        <v/>
      </c>
      <c r="J2174" s="32"/>
    </row>
    <row r="2175" spans="2:10" ht="15">
      <c r="B2175" s="31"/>
      <c r="C2175" s="30"/>
      <c r="D2175" s="119"/>
      <c r="E2175" s="32"/>
      <c r="G2175" s="31">
        <v>2133</v>
      </c>
      <c r="H2175" s="30" t="str">
        <f t="shared" si="80"/>
        <v/>
      </c>
      <c r="I2175" s="74" t="str">
        <f t="shared" si="81"/>
        <v/>
      </c>
      <c r="J2175" s="32"/>
    </row>
    <row r="2176" spans="2:10" ht="15">
      <c r="B2176" s="31"/>
      <c r="C2176" s="30"/>
      <c r="D2176" s="119"/>
      <c r="E2176" s="32"/>
      <c r="G2176" s="31">
        <v>2134</v>
      </c>
      <c r="H2176" s="30" t="str">
        <f t="shared" si="80"/>
        <v/>
      </c>
      <c r="I2176" s="74" t="str">
        <f t="shared" si="81"/>
        <v/>
      </c>
      <c r="J2176" s="32"/>
    </row>
    <row r="2177" spans="2:10" ht="15">
      <c r="B2177" s="31"/>
      <c r="C2177" s="30"/>
      <c r="D2177" s="119"/>
      <c r="E2177" s="32"/>
      <c r="G2177" s="31">
        <v>2135</v>
      </c>
      <c r="H2177" s="30" t="str">
        <f t="shared" si="80"/>
        <v/>
      </c>
      <c r="I2177" s="74" t="str">
        <f t="shared" si="81"/>
        <v/>
      </c>
      <c r="J2177" s="32"/>
    </row>
    <row r="2178" spans="2:10" ht="15">
      <c r="B2178" s="31"/>
      <c r="C2178" s="30"/>
      <c r="D2178" s="119"/>
      <c r="E2178" s="32"/>
      <c r="G2178" s="31">
        <v>2136</v>
      </c>
      <c r="H2178" s="30" t="str">
        <f t="shared" si="80"/>
        <v/>
      </c>
      <c r="I2178" s="74" t="str">
        <f t="shared" si="81"/>
        <v/>
      </c>
      <c r="J2178" s="32"/>
    </row>
    <row r="2179" spans="2:10" ht="15">
      <c r="B2179" s="31"/>
      <c r="C2179" s="30"/>
      <c r="D2179" s="119"/>
      <c r="E2179" s="32"/>
      <c r="G2179" s="31">
        <v>2137</v>
      </c>
      <c r="H2179" s="30" t="str">
        <f t="shared" si="80"/>
        <v/>
      </c>
      <c r="I2179" s="74" t="str">
        <f t="shared" si="81"/>
        <v/>
      </c>
      <c r="J2179" s="32"/>
    </row>
    <row r="2180" spans="2:10" ht="15">
      <c r="B2180" s="31"/>
      <c r="C2180" s="30"/>
      <c r="D2180" s="119"/>
      <c r="E2180" s="32"/>
      <c r="G2180" s="31">
        <v>2138</v>
      </c>
      <c r="H2180" s="30" t="str">
        <f t="shared" si="80"/>
        <v/>
      </c>
      <c r="I2180" s="74" t="str">
        <f t="shared" si="81"/>
        <v/>
      </c>
      <c r="J2180" s="32"/>
    </row>
    <row r="2181" spans="2:10" ht="15">
      <c r="B2181" s="31"/>
      <c r="C2181" s="30"/>
      <c r="D2181" s="119"/>
      <c r="E2181" s="32"/>
      <c r="G2181" s="31">
        <v>2139</v>
      </c>
      <c r="H2181" s="30" t="str">
        <f t="shared" si="80"/>
        <v/>
      </c>
      <c r="I2181" s="74" t="str">
        <f t="shared" si="81"/>
        <v/>
      </c>
      <c r="J2181" s="32"/>
    </row>
    <row r="2182" spans="2:10" ht="15">
      <c r="B2182" s="31"/>
      <c r="C2182" s="30"/>
      <c r="D2182" s="119"/>
      <c r="E2182" s="32"/>
      <c r="G2182" s="31">
        <v>2140</v>
      </c>
      <c r="H2182" s="30" t="str">
        <f t="shared" si="80"/>
        <v/>
      </c>
      <c r="I2182" s="74" t="str">
        <f t="shared" si="81"/>
        <v/>
      </c>
      <c r="J2182" s="32"/>
    </row>
    <row r="2183" spans="2:10" ht="15">
      <c r="B2183" s="31"/>
      <c r="C2183" s="30"/>
      <c r="D2183" s="119"/>
      <c r="E2183" s="32"/>
      <c r="G2183" s="31">
        <v>2141</v>
      </c>
      <c r="H2183" s="30" t="str">
        <f t="shared" si="80"/>
        <v/>
      </c>
      <c r="I2183" s="74" t="str">
        <f t="shared" si="81"/>
        <v/>
      </c>
      <c r="J2183" s="32"/>
    </row>
    <row r="2184" spans="2:10" ht="15">
      <c r="B2184" s="31"/>
      <c r="C2184" s="30"/>
      <c r="D2184" s="119"/>
      <c r="E2184" s="32"/>
      <c r="G2184" s="31">
        <v>2142</v>
      </c>
      <c r="H2184" s="30" t="str">
        <f t="shared" si="80"/>
        <v/>
      </c>
      <c r="I2184" s="74" t="str">
        <f t="shared" si="81"/>
        <v/>
      </c>
      <c r="J2184" s="32"/>
    </row>
    <row r="2185" spans="2:10" ht="15">
      <c r="B2185" s="31"/>
      <c r="C2185" s="30"/>
      <c r="D2185" s="119"/>
      <c r="E2185" s="32"/>
      <c r="G2185" s="31">
        <v>2143</v>
      </c>
      <c r="H2185" s="30" t="str">
        <f t="shared" si="80"/>
        <v/>
      </c>
      <c r="I2185" s="74" t="str">
        <f t="shared" si="81"/>
        <v/>
      </c>
      <c r="J2185" s="32"/>
    </row>
    <row r="2186" spans="2:10" ht="15">
      <c r="B2186" s="31"/>
      <c r="C2186" s="30"/>
      <c r="D2186" s="119"/>
      <c r="E2186" s="32"/>
      <c r="G2186" s="31">
        <v>2144</v>
      </c>
      <c r="H2186" s="30" t="str">
        <f t="shared" si="80"/>
        <v/>
      </c>
      <c r="I2186" s="74" t="str">
        <f t="shared" si="81"/>
        <v/>
      </c>
      <c r="J2186" s="32"/>
    </row>
    <row r="2187" spans="2:10" ht="15">
      <c r="B2187" s="31"/>
      <c r="C2187" s="30"/>
      <c r="D2187" s="119"/>
      <c r="E2187" s="32"/>
      <c r="G2187" s="31">
        <v>2145</v>
      </c>
      <c r="H2187" s="30" t="str">
        <f t="shared" si="80"/>
        <v/>
      </c>
      <c r="I2187" s="74" t="str">
        <f t="shared" si="81"/>
        <v/>
      </c>
      <c r="J2187" s="32"/>
    </row>
    <row r="2188" spans="2:10" ht="15">
      <c r="B2188" s="31"/>
      <c r="C2188" s="30"/>
      <c r="D2188" s="119"/>
      <c r="E2188" s="32"/>
      <c r="G2188" s="31">
        <v>2146</v>
      </c>
      <c r="H2188" s="30" t="str">
        <f t="shared" si="80"/>
        <v/>
      </c>
      <c r="I2188" s="74" t="str">
        <f t="shared" si="81"/>
        <v/>
      </c>
      <c r="J2188" s="32"/>
    </row>
    <row r="2189" spans="2:10" ht="15">
      <c r="B2189" s="31"/>
      <c r="C2189" s="30"/>
      <c r="D2189" s="119"/>
      <c r="E2189" s="32"/>
      <c r="G2189" s="31">
        <v>2147</v>
      </c>
      <c r="H2189" s="30" t="str">
        <f t="shared" si="80"/>
        <v/>
      </c>
      <c r="I2189" s="74" t="str">
        <f t="shared" si="81"/>
        <v/>
      </c>
      <c r="J2189" s="32"/>
    </row>
    <row r="2190" spans="2:10" ht="15">
      <c r="B2190" s="31"/>
      <c r="C2190" s="30"/>
      <c r="D2190" s="119"/>
      <c r="E2190" s="32"/>
      <c r="G2190" s="31">
        <v>2148</v>
      </c>
      <c r="H2190" s="30" t="str">
        <f t="shared" si="80"/>
        <v/>
      </c>
      <c r="I2190" s="74" t="str">
        <f t="shared" si="81"/>
        <v/>
      </c>
      <c r="J2190" s="32"/>
    </row>
    <row r="2191" spans="2:10" ht="15">
      <c r="B2191" s="31"/>
      <c r="C2191" s="30"/>
      <c r="D2191" s="119"/>
      <c r="E2191" s="32"/>
      <c r="G2191" s="31">
        <v>2149</v>
      </c>
      <c r="H2191" s="30" t="str">
        <f t="shared" si="80"/>
        <v/>
      </c>
      <c r="I2191" s="74" t="str">
        <f t="shared" si="81"/>
        <v/>
      </c>
      <c r="J2191" s="32"/>
    </row>
    <row r="2192" spans="2:10" ht="15">
      <c r="B2192" s="31"/>
      <c r="C2192" s="30"/>
      <c r="D2192" s="119"/>
      <c r="E2192" s="32"/>
      <c r="G2192" s="31">
        <v>2150</v>
      </c>
      <c r="H2192" s="30" t="str">
        <f t="shared" si="80"/>
        <v/>
      </c>
      <c r="I2192" s="74" t="str">
        <f t="shared" si="81"/>
        <v/>
      </c>
      <c r="J2192" s="32"/>
    </row>
    <row r="2193" spans="2:10" ht="15">
      <c r="B2193" s="31"/>
      <c r="C2193" s="30"/>
      <c r="D2193" s="119"/>
      <c r="E2193" s="32"/>
      <c r="G2193" s="31">
        <v>2151</v>
      </c>
      <c r="H2193" s="30" t="str">
        <f t="shared" si="80"/>
        <v/>
      </c>
      <c r="I2193" s="74" t="str">
        <f t="shared" si="81"/>
        <v/>
      </c>
      <c r="J2193" s="32"/>
    </row>
    <row r="2194" spans="2:10" ht="15">
      <c r="B2194" s="31"/>
      <c r="C2194" s="30"/>
      <c r="D2194" s="119"/>
      <c r="E2194" s="32"/>
      <c r="G2194" s="31">
        <v>2152</v>
      </c>
      <c r="H2194" s="30" t="str">
        <f t="shared" si="80"/>
        <v/>
      </c>
      <c r="I2194" s="74" t="str">
        <f t="shared" si="81"/>
        <v/>
      </c>
      <c r="J2194" s="32"/>
    </row>
    <row r="2195" spans="2:10" ht="15">
      <c r="B2195" s="31"/>
      <c r="C2195" s="30"/>
      <c r="D2195" s="119"/>
      <c r="E2195" s="32"/>
      <c r="G2195" s="31">
        <v>2153</v>
      </c>
      <c r="H2195" s="30" t="str">
        <f t="shared" si="80"/>
        <v/>
      </c>
      <c r="I2195" s="74" t="str">
        <f t="shared" si="81"/>
        <v/>
      </c>
      <c r="J2195" s="32"/>
    </row>
    <row r="2196" spans="2:10" ht="15">
      <c r="B2196" s="31"/>
      <c r="C2196" s="30"/>
      <c r="D2196" s="119"/>
      <c r="E2196" s="32"/>
      <c r="G2196" s="31">
        <v>2154</v>
      </c>
      <c r="H2196" s="30" t="str">
        <f t="shared" si="80"/>
        <v/>
      </c>
      <c r="I2196" s="74" t="str">
        <f t="shared" si="81"/>
        <v/>
      </c>
      <c r="J2196" s="32"/>
    </row>
    <row r="2197" spans="2:10" ht="15">
      <c r="B2197" s="31"/>
      <c r="C2197" s="30"/>
      <c r="D2197" s="119"/>
      <c r="E2197" s="32"/>
      <c r="G2197" s="31">
        <v>2155</v>
      </c>
      <c r="H2197" s="30" t="str">
        <f t="shared" si="80"/>
        <v/>
      </c>
      <c r="I2197" s="74" t="str">
        <f t="shared" si="81"/>
        <v/>
      </c>
      <c r="J2197" s="32"/>
    </row>
    <row r="2198" spans="2:10" ht="15">
      <c r="B2198" s="31"/>
      <c r="C2198" s="30"/>
      <c r="D2198" s="119"/>
      <c r="E2198" s="32"/>
      <c r="G2198" s="31">
        <v>2156</v>
      </c>
      <c r="H2198" s="30" t="str">
        <f t="shared" si="80"/>
        <v/>
      </c>
      <c r="I2198" s="74" t="str">
        <f t="shared" si="81"/>
        <v/>
      </c>
      <c r="J2198" s="32"/>
    </row>
    <row r="2199" spans="2:10" ht="15">
      <c r="B2199" s="31"/>
      <c r="C2199" s="30"/>
      <c r="D2199" s="119"/>
      <c r="E2199" s="32"/>
      <c r="G2199" s="31">
        <v>2157</v>
      </c>
      <c r="H2199" s="30" t="str">
        <f t="shared" si="80"/>
        <v/>
      </c>
      <c r="I2199" s="74" t="str">
        <f t="shared" si="81"/>
        <v/>
      </c>
      <c r="J2199" s="32"/>
    </row>
    <row r="2200" spans="2:10" ht="15">
      <c r="B2200" s="31"/>
      <c r="C2200" s="30"/>
      <c r="D2200" s="119"/>
      <c r="E2200" s="32"/>
      <c r="G2200" s="31">
        <v>2158</v>
      </c>
      <c r="H2200" s="30" t="str">
        <f t="shared" si="80"/>
        <v/>
      </c>
      <c r="I2200" s="74" t="str">
        <f t="shared" si="81"/>
        <v/>
      </c>
      <c r="J2200" s="32"/>
    </row>
    <row r="2201" spans="2:10" ht="15">
      <c r="B2201" s="31"/>
      <c r="C2201" s="30"/>
      <c r="D2201" s="119"/>
      <c r="E2201" s="32"/>
      <c r="G2201" s="31">
        <v>2159</v>
      </c>
      <c r="H2201" s="30" t="str">
        <f t="shared" si="80"/>
        <v/>
      </c>
      <c r="I2201" s="74" t="str">
        <f t="shared" si="81"/>
        <v/>
      </c>
      <c r="J2201" s="32"/>
    </row>
    <row r="2202" spans="2:10" ht="15">
      <c r="B2202" s="31"/>
      <c r="C2202" s="30"/>
      <c r="D2202" s="119"/>
      <c r="E2202" s="32"/>
      <c r="G2202" s="31">
        <v>2160</v>
      </c>
      <c r="H2202" s="30" t="str">
        <f t="shared" si="80"/>
        <v/>
      </c>
      <c r="I2202" s="74" t="str">
        <f t="shared" si="81"/>
        <v/>
      </c>
      <c r="J2202" s="32"/>
    </row>
    <row r="2203" spans="2:10" ht="15">
      <c r="B2203" s="31"/>
      <c r="C2203" s="30"/>
      <c r="D2203" s="119"/>
      <c r="E2203" s="32"/>
      <c r="G2203" s="31">
        <v>2161</v>
      </c>
      <c r="H2203" s="30" t="str">
        <f t="shared" si="80"/>
        <v/>
      </c>
      <c r="I2203" s="74" t="str">
        <f t="shared" si="81"/>
        <v/>
      </c>
      <c r="J2203" s="32"/>
    </row>
    <row r="2204" spans="2:10" ht="15">
      <c r="B2204" s="31"/>
      <c r="C2204" s="30"/>
      <c r="D2204" s="119"/>
      <c r="E2204" s="32"/>
      <c r="G2204" s="31">
        <v>2162</v>
      </c>
      <c r="H2204" s="30" t="str">
        <f t="shared" si="80"/>
        <v/>
      </c>
      <c r="I2204" s="74" t="str">
        <f t="shared" si="81"/>
        <v/>
      </c>
      <c r="J2204" s="32"/>
    </row>
    <row r="2205" spans="2:10" ht="15">
      <c r="B2205" s="31"/>
      <c r="C2205" s="30"/>
      <c r="D2205" s="119"/>
      <c r="E2205" s="32"/>
      <c r="G2205" s="31">
        <v>2163</v>
      </c>
      <c r="H2205" s="30" t="str">
        <f t="shared" si="80"/>
        <v/>
      </c>
      <c r="I2205" s="74" t="str">
        <f t="shared" si="81"/>
        <v/>
      </c>
      <c r="J2205" s="32"/>
    </row>
    <row r="2206" spans="2:10" ht="15">
      <c r="B2206" s="31"/>
      <c r="C2206" s="30"/>
      <c r="D2206" s="119"/>
      <c r="E2206" s="32"/>
      <c r="G2206" s="31">
        <v>2164</v>
      </c>
      <c r="H2206" s="30" t="str">
        <f t="shared" si="80"/>
        <v/>
      </c>
      <c r="I2206" s="74" t="str">
        <f t="shared" si="81"/>
        <v/>
      </c>
      <c r="J2206" s="32"/>
    </row>
    <row r="2207" spans="2:10" ht="15">
      <c r="B2207" s="31"/>
      <c r="C2207" s="30"/>
      <c r="D2207" s="119"/>
      <c r="E2207" s="32"/>
      <c r="G2207" s="31">
        <v>2165</v>
      </c>
      <c r="H2207" s="30" t="str">
        <f t="shared" si="80"/>
        <v/>
      </c>
      <c r="I2207" s="74" t="str">
        <f t="shared" si="81"/>
        <v/>
      </c>
      <c r="J2207" s="32"/>
    </row>
    <row r="2208" spans="2:10" ht="15">
      <c r="B2208" s="31"/>
      <c r="C2208" s="30"/>
      <c r="D2208" s="119"/>
      <c r="E2208" s="32"/>
      <c r="G2208" s="31">
        <v>2166</v>
      </c>
      <c r="H2208" s="30" t="str">
        <f t="shared" si="80"/>
        <v/>
      </c>
      <c r="I2208" s="74" t="str">
        <f t="shared" si="81"/>
        <v/>
      </c>
      <c r="J2208" s="32"/>
    </row>
    <row r="2209" spans="2:10" ht="15">
      <c r="B2209" s="31"/>
      <c r="C2209" s="30"/>
      <c r="D2209" s="119"/>
      <c r="E2209" s="32"/>
      <c r="G2209" s="31">
        <v>2167</v>
      </c>
      <c r="H2209" s="30" t="str">
        <f t="shared" si="80"/>
        <v/>
      </c>
      <c r="I2209" s="74" t="str">
        <f t="shared" si="81"/>
        <v/>
      </c>
      <c r="J2209" s="32"/>
    </row>
    <row r="2210" spans="2:10" ht="15">
      <c r="B2210" s="31"/>
      <c r="C2210" s="30"/>
      <c r="D2210" s="119"/>
      <c r="E2210" s="32"/>
      <c r="G2210" s="31">
        <v>2168</v>
      </c>
      <c r="H2210" s="30" t="str">
        <f t="shared" si="80"/>
        <v/>
      </c>
      <c r="I2210" s="74" t="str">
        <f t="shared" si="81"/>
        <v/>
      </c>
      <c r="J2210" s="32"/>
    </row>
    <row r="2211" spans="2:10" ht="15">
      <c r="B2211" s="31"/>
      <c r="C2211" s="30"/>
      <c r="D2211" s="119"/>
      <c r="E2211" s="32"/>
      <c r="G2211" s="31">
        <v>2169</v>
      </c>
      <c r="H2211" s="30" t="str">
        <f t="shared" si="80"/>
        <v/>
      </c>
      <c r="I2211" s="74" t="str">
        <f t="shared" si="81"/>
        <v/>
      </c>
      <c r="J2211" s="32"/>
    </row>
    <row r="2212" spans="2:10" ht="15">
      <c r="B2212" s="31"/>
      <c r="C2212" s="30"/>
      <c r="D2212" s="119"/>
      <c r="E2212" s="32"/>
      <c r="G2212" s="31">
        <v>2170</v>
      </c>
      <c r="H2212" s="30" t="str">
        <f t="shared" si="80"/>
        <v/>
      </c>
      <c r="I2212" s="74" t="str">
        <f t="shared" si="81"/>
        <v/>
      </c>
      <c r="J2212" s="32"/>
    </row>
    <row r="2213" spans="2:10" ht="15">
      <c r="B2213" s="31"/>
      <c r="C2213" s="30"/>
      <c r="D2213" s="119"/>
      <c r="E2213" s="32"/>
      <c r="G2213" s="31">
        <v>2171</v>
      </c>
      <c r="H2213" s="30" t="str">
        <f t="shared" si="80"/>
        <v/>
      </c>
      <c r="I2213" s="74" t="str">
        <f t="shared" si="81"/>
        <v/>
      </c>
      <c r="J2213" s="32"/>
    </row>
    <row r="2214" spans="2:10" ht="15">
      <c r="B2214" s="31"/>
      <c r="C2214" s="30"/>
      <c r="D2214" s="119"/>
      <c r="E2214" s="32"/>
      <c r="G2214" s="31">
        <v>2172</v>
      </c>
      <c r="H2214" s="30" t="str">
        <f t="shared" si="80"/>
        <v/>
      </c>
      <c r="I2214" s="74" t="str">
        <f t="shared" si="81"/>
        <v/>
      </c>
      <c r="J2214" s="32"/>
    </row>
    <row r="2215" spans="2:10" ht="15">
      <c r="B2215" s="31"/>
      <c r="C2215" s="30"/>
      <c r="D2215" s="119"/>
      <c r="E2215" s="32"/>
      <c r="G2215" s="31">
        <v>2173</v>
      </c>
      <c r="H2215" s="30" t="str">
        <f t="shared" si="80"/>
        <v/>
      </c>
      <c r="I2215" s="74" t="str">
        <f t="shared" si="81"/>
        <v/>
      </c>
      <c r="J2215" s="32"/>
    </row>
    <row r="2216" spans="2:10" ht="15">
      <c r="B2216" s="31"/>
      <c r="C2216" s="30"/>
      <c r="D2216" s="119"/>
      <c r="E2216" s="32"/>
      <c r="G2216" s="31">
        <v>2174</v>
      </c>
      <c r="H2216" s="30" t="str">
        <f t="shared" si="80"/>
        <v/>
      </c>
      <c r="I2216" s="74" t="str">
        <f t="shared" si="81"/>
        <v/>
      </c>
      <c r="J2216" s="32"/>
    </row>
    <row r="2217" spans="2:10" ht="15">
      <c r="B2217" s="31"/>
      <c r="C2217" s="30"/>
      <c r="D2217" s="119"/>
      <c r="E2217" s="32"/>
      <c r="G2217" s="31">
        <v>2175</v>
      </c>
      <c r="H2217" s="30" t="str">
        <f t="shared" si="80"/>
        <v/>
      </c>
      <c r="I2217" s="74" t="str">
        <f t="shared" si="81"/>
        <v/>
      </c>
      <c r="J2217" s="32"/>
    </row>
    <row r="2218" spans="2:10" ht="15">
      <c r="B2218" s="31"/>
      <c r="C2218" s="30"/>
      <c r="D2218" s="119"/>
      <c r="E2218" s="32"/>
      <c r="G2218" s="31">
        <v>2176</v>
      </c>
      <c r="H2218" s="30" t="str">
        <f t="shared" si="80"/>
        <v/>
      </c>
      <c r="I2218" s="74" t="str">
        <f t="shared" si="81"/>
        <v/>
      </c>
      <c r="J2218" s="32"/>
    </row>
    <row r="2219" spans="2:10" ht="15">
      <c r="B2219" s="31"/>
      <c r="C2219" s="30"/>
      <c r="D2219" s="119"/>
      <c r="E2219" s="32"/>
      <c r="G2219" s="31">
        <v>2177</v>
      </c>
      <c r="H2219" s="30" t="str">
        <f t="shared" si="80"/>
        <v/>
      </c>
      <c r="I2219" s="74" t="str">
        <f t="shared" si="81"/>
        <v/>
      </c>
      <c r="J2219" s="32"/>
    </row>
    <row r="2220" spans="2:10" ht="15">
      <c r="B2220" s="31"/>
      <c r="C2220" s="30"/>
      <c r="D2220" s="119"/>
      <c r="E2220" s="32"/>
      <c r="G2220" s="31">
        <v>2178</v>
      </c>
      <c r="H2220" s="30" t="str">
        <f t="shared" ref="H2220:H2283" si="82">MID($I$41,G2220*8-7,8)</f>
        <v/>
      </c>
      <c r="I2220" s="74" t="str">
        <f t="shared" ref="I2220:I2283" si="83">IFERROR(BIN2DEC(VALUE(H2220)),"")</f>
        <v/>
      </c>
      <c r="J2220" s="32"/>
    </row>
    <row r="2221" spans="2:10" ht="15">
      <c r="B2221" s="31"/>
      <c r="C2221" s="30"/>
      <c r="D2221" s="119"/>
      <c r="E2221" s="32"/>
      <c r="G2221" s="31">
        <v>2179</v>
      </c>
      <c r="H2221" s="30" t="str">
        <f t="shared" si="82"/>
        <v/>
      </c>
      <c r="I2221" s="74" t="str">
        <f t="shared" si="83"/>
        <v/>
      </c>
      <c r="J2221" s="32"/>
    </row>
    <row r="2222" spans="2:10" ht="15">
      <c r="B2222" s="31"/>
      <c r="C2222" s="30"/>
      <c r="D2222" s="119"/>
      <c r="E2222" s="32"/>
      <c r="G2222" s="31">
        <v>2180</v>
      </c>
      <c r="H2222" s="30" t="str">
        <f t="shared" si="82"/>
        <v/>
      </c>
      <c r="I2222" s="74" t="str">
        <f t="shared" si="83"/>
        <v/>
      </c>
      <c r="J2222" s="32"/>
    </row>
    <row r="2223" spans="2:10" ht="15">
      <c r="B2223" s="31"/>
      <c r="C2223" s="30"/>
      <c r="D2223" s="119"/>
      <c r="E2223" s="32"/>
      <c r="G2223" s="31">
        <v>2181</v>
      </c>
      <c r="H2223" s="30" t="str">
        <f t="shared" si="82"/>
        <v/>
      </c>
      <c r="I2223" s="74" t="str">
        <f t="shared" si="83"/>
        <v/>
      </c>
      <c r="J2223" s="32"/>
    </row>
    <row r="2224" spans="2:10" ht="15">
      <c r="B2224" s="31"/>
      <c r="C2224" s="30"/>
      <c r="D2224" s="119"/>
      <c r="E2224" s="32"/>
      <c r="G2224" s="31">
        <v>2182</v>
      </c>
      <c r="H2224" s="30" t="str">
        <f t="shared" si="82"/>
        <v/>
      </c>
      <c r="I2224" s="74" t="str">
        <f t="shared" si="83"/>
        <v/>
      </c>
      <c r="J2224" s="32"/>
    </row>
    <row r="2225" spans="2:10" ht="15">
      <c r="B2225" s="31"/>
      <c r="C2225" s="30"/>
      <c r="D2225" s="119"/>
      <c r="E2225" s="32"/>
      <c r="G2225" s="31">
        <v>2183</v>
      </c>
      <c r="H2225" s="30" t="str">
        <f t="shared" si="82"/>
        <v/>
      </c>
      <c r="I2225" s="74" t="str">
        <f t="shared" si="83"/>
        <v/>
      </c>
      <c r="J2225" s="32"/>
    </row>
    <row r="2226" spans="2:10" ht="15">
      <c r="B2226" s="31"/>
      <c r="C2226" s="30"/>
      <c r="D2226" s="119"/>
      <c r="E2226" s="32"/>
      <c r="G2226" s="31">
        <v>2184</v>
      </c>
      <c r="H2226" s="30" t="str">
        <f t="shared" si="82"/>
        <v/>
      </c>
      <c r="I2226" s="74" t="str">
        <f t="shared" si="83"/>
        <v/>
      </c>
      <c r="J2226" s="32"/>
    </row>
    <row r="2227" spans="2:10" ht="15">
      <c r="B2227" s="31"/>
      <c r="C2227" s="30"/>
      <c r="D2227" s="119"/>
      <c r="E2227" s="32"/>
      <c r="G2227" s="31">
        <v>2185</v>
      </c>
      <c r="H2227" s="30" t="str">
        <f t="shared" si="82"/>
        <v/>
      </c>
      <c r="I2227" s="74" t="str">
        <f t="shared" si="83"/>
        <v/>
      </c>
      <c r="J2227" s="32"/>
    </row>
    <row r="2228" spans="2:10" ht="15">
      <c r="B2228" s="31"/>
      <c r="C2228" s="30"/>
      <c r="D2228" s="119"/>
      <c r="E2228" s="32"/>
      <c r="G2228" s="31">
        <v>2186</v>
      </c>
      <c r="H2228" s="30" t="str">
        <f t="shared" si="82"/>
        <v/>
      </c>
      <c r="I2228" s="74" t="str">
        <f t="shared" si="83"/>
        <v/>
      </c>
      <c r="J2228" s="32"/>
    </row>
    <row r="2229" spans="2:10" ht="15">
      <c r="B2229" s="31"/>
      <c r="C2229" s="30"/>
      <c r="D2229" s="119"/>
      <c r="E2229" s="32"/>
      <c r="G2229" s="31">
        <v>2187</v>
      </c>
      <c r="H2229" s="30" t="str">
        <f t="shared" si="82"/>
        <v/>
      </c>
      <c r="I2229" s="74" t="str">
        <f t="shared" si="83"/>
        <v/>
      </c>
      <c r="J2229" s="32"/>
    </row>
    <row r="2230" spans="2:10" ht="15">
      <c r="B2230" s="31"/>
      <c r="C2230" s="30"/>
      <c r="D2230" s="119"/>
      <c r="E2230" s="32"/>
      <c r="G2230" s="31">
        <v>2188</v>
      </c>
      <c r="H2230" s="30" t="str">
        <f t="shared" si="82"/>
        <v/>
      </c>
      <c r="I2230" s="74" t="str">
        <f t="shared" si="83"/>
        <v/>
      </c>
      <c r="J2230" s="32"/>
    </row>
    <row r="2231" spans="2:10" ht="15">
      <c r="B2231" s="31"/>
      <c r="C2231" s="30"/>
      <c r="D2231" s="119"/>
      <c r="E2231" s="32"/>
      <c r="G2231" s="31">
        <v>2189</v>
      </c>
      <c r="H2231" s="30" t="str">
        <f t="shared" si="82"/>
        <v/>
      </c>
      <c r="I2231" s="74" t="str">
        <f t="shared" si="83"/>
        <v/>
      </c>
      <c r="J2231" s="32"/>
    </row>
    <row r="2232" spans="2:10" ht="15">
      <c r="B2232" s="31"/>
      <c r="C2232" s="30"/>
      <c r="D2232" s="119"/>
      <c r="E2232" s="32"/>
      <c r="G2232" s="31">
        <v>2190</v>
      </c>
      <c r="H2232" s="30" t="str">
        <f t="shared" si="82"/>
        <v/>
      </c>
      <c r="I2232" s="74" t="str">
        <f t="shared" si="83"/>
        <v/>
      </c>
      <c r="J2232" s="32"/>
    </row>
    <row r="2233" spans="2:10" ht="15">
      <c r="B2233" s="31"/>
      <c r="C2233" s="30"/>
      <c r="D2233" s="119"/>
      <c r="E2233" s="32"/>
      <c r="G2233" s="31">
        <v>2191</v>
      </c>
      <c r="H2233" s="30" t="str">
        <f t="shared" si="82"/>
        <v/>
      </c>
      <c r="I2233" s="74" t="str">
        <f t="shared" si="83"/>
        <v/>
      </c>
      <c r="J2233" s="32"/>
    </row>
    <row r="2234" spans="2:10" ht="15">
      <c r="B2234" s="31"/>
      <c r="C2234" s="30"/>
      <c r="D2234" s="119"/>
      <c r="E2234" s="32"/>
      <c r="G2234" s="31">
        <v>2192</v>
      </c>
      <c r="H2234" s="30" t="str">
        <f t="shared" si="82"/>
        <v/>
      </c>
      <c r="I2234" s="74" t="str">
        <f t="shared" si="83"/>
        <v/>
      </c>
      <c r="J2234" s="32"/>
    </row>
    <row r="2235" spans="2:10" ht="15">
      <c r="B2235" s="31"/>
      <c r="C2235" s="30"/>
      <c r="D2235" s="119"/>
      <c r="E2235" s="32"/>
      <c r="G2235" s="31">
        <v>2193</v>
      </c>
      <c r="H2235" s="30" t="str">
        <f t="shared" si="82"/>
        <v/>
      </c>
      <c r="I2235" s="74" t="str">
        <f t="shared" si="83"/>
        <v/>
      </c>
      <c r="J2235" s="32"/>
    </row>
    <row r="2236" spans="2:10" ht="15">
      <c r="B2236" s="31"/>
      <c r="C2236" s="30"/>
      <c r="D2236" s="119"/>
      <c r="E2236" s="32"/>
      <c r="G2236" s="31">
        <v>2194</v>
      </c>
      <c r="H2236" s="30" t="str">
        <f t="shared" si="82"/>
        <v/>
      </c>
      <c r="I2236" s="74" t="str">
        <f t="shared" si="83"/>
        <v/>
      </c>
      <c r="J2236" s="32"/>
    </row>
    <row r="2237" spans="2:10" ht="15">
      <c r="B2237" s="31"/>
      <c r="C2237" s="30"/>
      <c r="D2237" s="119"/>
      <c r="E2237" s="32"/>
      <c r="G2237" s="31">
        <v>2195</v>
      </c>
      <c r="H2237" s="30" t="str">
        <f t="shared" si="82"/>
        <v/>
      </c>
      <c r="I2237" s="74" t="str">
        <f t="shared" si="83"/>
        <v/>
      </c>
      <c r="J2237" s="32"/>
    </row>
    <row r="2238" spans="2:10" ht="15">
      <c r="B2238" s="31"/>
      <c r="C2238" s="30"/>
      <c r="D2238" s="119"/>
      <c r="E2238" s="32"/>
      <c r="G2238" s="31">
        <v>2196</v>
      </c>
      <c r="H2238" s="30" t="str">
        <f t="shared" si="82"/>
        <v/>
      </c>
      <c r="I2238" s="74" t="str">
        <f t="shared" si="83"/>
        <v/>
      </c>
      <c r="J2238" s="32"/>
    </row>
    <row r="2239" spans="2:10" ht="15">
      <c r="B2239" s="31"/>
      <c r="C2239" s="30"/>
      <c r="D2239" s="119"/>
      <c r="E2239" s="32"/>
      <c r="G2239" s="31">
        <v>2197</v>
      </c>
      <c r="H2239" s="30" t="str">
        <f t="shared" si="82"/>
        <v/>
      </c>
      <c r="I2239" s="74" t="str">
        <f t="shared" si="83"/>
        <v/>
      </c>
      <c r="J2239" s="32"/>
    </row>
    <row r="2240" spans="2:10" ht="15">
      <c r="B2240" s="31"/>
      <c r="C2240" s="30"/>
      <c r="D2240" s="119"/>
      <c r="E2240" s="32"/>
      <c r="G2240" s="31">
        <v>2198</v>
      </c>
      <c r="H2240" s="30" t="str">
        <f t="shared" si="82"/>
        <v/>
      </c>
      <c r="I2240" s="74" t="str">
        <f t="shared" si="83"/>
        <v/>
      </c>
      <c r="J2240" s="32"/>
    </row>
    <row r="2241" spans="2:10" ht="15">
      <c r="B2241" s="31"/>
      <c r="C2241" s="30"/>
      <c r="D2241" s="119"/>
      <c r="E2241" s="32"/>
      <c r="G2241" s="31">
        <v>2199</v>
      </c>
      <c r="H2241" s="30" t="str">
        <f t="shared" si="82"/>
        <v/>
      </c>
      <c r="I2241" s="74" t="str">
        <f t="shared" si="83"/>
        <v/>
      </c>
      <c r="J2241" s="32"/>
    </row>
    <row r="2242" spans="2:10" ht="15">
      <c r="B2242" s="31"/>
      <c r="C2242" s="30"/>
      <c r="D2242" s="119"/>
      <c r="E2242" s="32"/>
      <c r="G2242" s="31">
        <v>2200</v>
      </c>
      <c r="H2242" s="30" t="str">
        <f t="shared" si="82"/>
        <v/>
      </c>
      <c r="I2242" s="74" t="str">
        <f t="shared" si="83"/>
        <v/>
      </c>
      <c r="J2242" s="32"/>
    </row>
    <row r="2243" spans="2:10" ht="15">
      <c r="B2243" s="31"/>
      <c r="C2243" s="30"/>
      <c r="D2243" s="119"/>
      <c r="E2243" s="32"/>
      <c r="G2243" s="31">
        <v>2201</v>
      </c>
      <c r="H2243" s="30" t="str">
        <f t="shared" si="82"/>
        <v/>
      </c>
      <c r="I2243" s="74" t="str">
        <f t="shared" si="83"/>
        <v/>
      </c>
      <c r="J2243" s="32"/>
    </row>
    <row r="2244" spans="2:10" ht="15">
      <c r="B2244" s="31"/>
      <c r="C2244" s="30"/>
      <c r="D2244" s="119"/>
      <c r="E2244" s="32"/>
      <c r="G2244" s="31">
        <v>2202</v>
      </c>
      <c r="H2244" s="30" t="str">
        <f t="shared" si="82"/>
        <v/>
      </c>
      <c r="I2244" s="74" t="str">
        <f t="shared" si="83"/>
        <v/>
      </c>
      <c r="J2244" s="32"/>
    </row>
    <row r="2245" spans="2:10" ht="15">
      <c r="B2245" s="31"/>
      <c r="C2245" s="30"/>
      <c r="D2245" s="119"/>
      <c r="E2245" s="32"/>
      <c r="G2245" s="31">
        <v>2203</v>
      </c>
      <c r="H2245" s="30" t="str">
        <f t="shared" si="82"/>
        <v/>
      </c>
      <c r="I2245" s="74" t="str">
        <f t="shared" si="83"/>
        <v/>
      </c>
      <c r="J2245" s="32"/>
    </row>
    <row r="2246" spans="2:10" ht="15">
      <c r="B2246" s="31"/>
      <c r="C2246" s="30"/>
      <c r="D2246" s="119"/>
      <c r="E2246" s="32"/>
      <c r="G2246" s="31">
        <v>2204</v>
      </c>
      <c r="H2246" s="30" t="str">
        <f t="shared" si="82"/>
        <v/>
      </c>
      <c r="I2246" s="74" t="str">
        <f t="shared" si="83"/>
        <v/>
      </c>
      <c r="J2246" s="32"/>
    </row>
    <row r="2247" spans="2:10" ht="15">
      <c r="B2247" s="31"/>
      <c r="C2247" s="30"/>
      <c r="D2247" s="119"/>
      <c r="E2247" s="32"/>
      <c r="G2247" s="31">
        <v>2205</v>
      </c>
      <c r="H2247" s="30" t="str">
        <f t="shared" si="82"/>
        <v/>
      </c>
      <c r="I2247" s="74" t="str">
        <f t="shared" si="83"/>
        <v/>
      </c>
      <c r="J2247" s="32"/>
    </row>
    <row r="2248" spans="2:10" ht="15">
      <c r="B2248" s="31"/>
      <c r="C2248" s="30"/>
      <c r="D2248" s="119"/>
      <c r="E2248" s="32"/>
      <c r="G2248" s="31">
        <v>2206</v>
      </c>
      <c r="H2248" s="30" t="str">
        <f t="shared" si="82"/>
        <v/>
      </c>
      <c r="I2248" s="74" t="str">
        <f t="shared" si="83"/>
        <v/>
      </c>
      <c r="J2248" s="32"/>
    </row>
    <row r="2249" spans="2:10" ht="15">
      <c r="B2249" s="31"/>
      <c r="C2249" s="30"/>
      <c r="D2249" s="119"/>
      <c r="E2249" s="32"/>
      <c r="G2249" s="31">
        <v>2207</v>
      </c>
      <c r="H2249" s="30" t="str">
        <f t="shared" si="82"/>
        <v/>
      </c>
      <c r="I2249" s="74" t="str">
        <f t="shared" si="83"/>
        <v/>
      </c>
      <c r="J2249" s="32"/>
    </row>
    <row r="2250" spans="2:10" ht="15">
      <c r="B2250" s="31"/>
      <c r="C2250" s="30"/>
      <c r="D2250" s="119"/>
      <c r="E2250" s="32"/>
      <c r="G2250" s="31">
        <v>2208</v>
      </c>
      <c r="H2250" s="30" t="str">
        <f t="shared" si="82"/>
        <v/>
      </c>
      <c r="I2250" s="74" t="str">
        <f t="shared" si="83"/>
        <v/>
      </c>
      <c r="J2250" s="32"/>
    </row>
    <row r="2251" spans="2:10" ht="15">
      <c r="B2251" s="31"/>
      <c r="C2251" s="30"/>
      <c r="D2251" s="119"/>
      <c r="E2251" s="32"/>
      <c r="G2251" s="31">
        <v>2209</v>
      </c>
      <c r="H2251" s="30" t="str">
        <f t="shared" si="82"/>
        <v/>
      </c>
      <c r="I2251" s="74" t="str">
        <f t="shared" si="83"/>
        <v/>
      </c>
      <c r="J2251" s="32"/>
    </row>
    <row r="2252" spans="2:10" ht="15">
      <c r="B2252" s="31"/>
      <c r="C2252" s="30"/>
      <c r="D2252" s="119"/>
      <c r="E2252" s="32"/>
      <c r="G2252" s="31">
        <v>2210</v>
      </c>
      <c r="H2252" s="30" t="str">
        <f t="shared" si="82"/>
        <v/>
      </c>
      <c r="I2252" s="74" t="str">
        <f t="shared" si="83"/>
        <v/>
      </c>
      <c r="J2252" s="32"/>
    </row>
    <row r="2253" spans="2:10" ht="15">
      <c r="B2253" s="31"/>
      <c r="C2253" s="30"/>
      <c r="D2253" s="119"/>
      <c r="E2253" s="32"/>
      <c r="G2253" s="31">
        <v>2211</v>
      </c>
      <c r="H2253" s="30" t="str">
        <f t="shared" si="82"/>
        <v/>
      </c>
      <c r="I2253" s="74" t="str">
        <f t="shared" si="83"/>
        <v/>
      </c>
      <c r="J2253" s="32"/>
    </row>
    <row r="2254" spans="2:10" ht="15">
      <c r="B2254" s="31"/>
      <c r="C2254" s="30"/>
      <c r="D2254" s="119"/>
      <c r="E2254" s="32"/>
      <c r="G2254" s="31">
        <v>2212</v>
      </c>
      <c r="H2254" s="30" t="str">
        <f t="shared" si="82"/>
        <v/>
      </c>
      <c r="I2254" s="74" t="str">
        <f t="shared" si="83"/>
        <v/>
      </c>
      <c r="J2254" s="32"/>
    </row>
    <row r="2255" spans="2:10" ht="15">
      <c r="B2255" s="31"/>
      <c r="C2255" s="30"/>
      <c r="D2255" s="119"/>
      <c r="E2255" s="32"/>
      <c r="G2255" s="31">
        <v>2213</v>
      </c>
      <c r="H2255" s="30" t="str">
        <f t="shared" si="82"/>
        <v/>
      </c>
      <c r="I2255" s="74" t="str">
        <f t="shared" si="83"/>
        <v/>
      </c>
      <c r="J2255" s="32"/>
    </row>
    <row r="2256" spans="2:10" ht="15">
      <c r="B2256" s="31"/>
      <c r="C2256" s="30"/>
      <c r="D2256" s="119"/>
      <c r="E2256" s="32"/>
      <c r="G2256" s="31">
        <v>2214</v>
      </c>
      <c r="H2256" s="30" t="str">
        <f t="shared" si="82"/>
        <v/>
      </c>
      <c r="I2256" s="74" t="str">
        <f t="shared" si="83"/>
        <v/>
      </c>
      <c r="J2256" s="32"/>
    </row>
    <row r="2257" spans="2:10" ht="15">
      <c r="B2257" s="31"/>
      <c r="C2257" s="30"/>
      <c r="D2257" s="119"/>
      <c r="E2257" s="32"/>
      <c r="G2257" s="31">
        <v>2215</v>
      </c>
      <c r="H2257" s="30" t="str">
        <f t="shared" si="82"/>
        <v/>
      </c>
      <c r="I2257" s="74" t="str">
        <f t="shared" si="83"/>
        <v/>
      </c>
      <c r="J2257" s="32"/>
    </row>
    <row r="2258" spans="2:10" ht="15">
      <c r="B2258" s="31"/>
      <c r="C2258" s="30"/>
      <c r="D2258" s="119"/>
      <c r="E2258" s="32"/>
      <c r="G2258" s="31">
        <v>2216</v>
      </c>
      <c r="H2258" s="30" t="str">
        <f t="shared" si="82"/>
        <v/>
      </c>
      <c r="I2258" s="74" t="str">
        <f t="shared" si="83"/>
        <v/>
      </c>
      <c r="J2258" s="32"/>
    </row>
    <row r="2259" spans="2:10" ht="15">
      <c r="B2259" s="31"/>
      <c r="C2259" s="30"/>
      <c r="D2259" s="119"/>
      <c r="E2259" s="32"/>
      <c r="G2259" s="31">
        <v>2217</v>
      </c>
      <c r="H2259" s="30" t="str">
        <f t="shared" si="82"/>
        <v/>
      </c>
      <c r="I2259" s="74" t="str">
        <f t="shared" si="83"/>
        <v/>
      </c>
      <c r="J2259" s="32"/>
    </row>
    <row r="2260" spans="2:10" ht="15">
      <c r="B2260" s="31"/>
      <c r="C2260" s="30"/>
      <c r="D2260" s="119"/>
      <c r="E2260" s="32"/>
      <c r="G2260" s="31">
        <v>2218</v>
      </c>
      <c r="H2260" s="30" t="str">
        <f t="shared" si="82"/>
        <v/>
      </c>
      <c r="I2260" s="74" t="str">
        <f t="shared" si="83"/>
        <v/>
      </c>
      <c r="J2260" s="32"/>
    </row>
    <row r="2261" spans="2:10" ht="15">
      <c r="B2261" s="31"/>
      <c r="C2261" s="30"/>
      <c r="D2261" s="119"/>
      <c r="E2261" s="32"/>
      <c r="G2261" s="31">
        <v>2219</v>
      </c>
      <c r="H2261" s="30" t="str">
        <f t="shared" si="82"/>
        <v/>
      </c>
      <c r="I2261" s="74" t="str">
        <f t="shared" si="83"/>
        <v/>
      </c>
      <c r="J2261" s="32"/>
    </row>
    <row r="2262" spans="2:10" ht="15">
      <c r="B2262" s="31"/>
      <c r="C2262" s="30"/>
      <c r="D2262" s="119"/>
      <c r="E2262" s="32"/>
      <c r="G2262" s="31">
        <v>2220</v>
      </c>
      <c r="H2262" s="30" t="str">
        <f t="shared" si="82"/>
        <v/>
      </c>
      <c r="I2262" s="74" t="str">
        <f t="shared" si="83"/>
        <v/>
      </c>
      <c r="J2262" s="32"/>
    </row>
    <row r="2263" spans="2:10" ht="15">
      <c r="B2263" s="31"/>
      <c r="C2263" s="30"/>
      <c r="D2263" s="119"/>
      <c r="E2263" s="32"/>
      <c r="G2263" s="31">
        <v>2221</v>
      </c>
      <c r="H2263" s="30" t="str">
        <f t="shared" si="82"/>
        <v/>
      </c>
      <c r="I2263" s="74" t="str">
        <f t="shared" si="83"/>
        <v/>
      </c>
      <c r="J2263" s="32"/>
    </row>
    <row r="2264" spans="2:10" ht="15">
      <c r="B2264" s="31"/>
      <c r="C2264" s="30"/>
      <c r="D2264" s="119"/>
      <c r="E2264" s="32"/>
      <c r="G2264" s="31">
        <v>2222</v>
      </c>
      <c r="H2264" s="30" t="str">
        <f t="shared" si="82"/>
        <v/>
      </c>
      <c r="I2264" s="74" t="str">
        <f t="shared" si="83"/>
        <v/>
      </c>
      <c r="J2264" s="32"/>
    </row>
    <row r="2265" spans="2:10" ht="15">
      <c r="B2265" s="31"/>
      <c r="C2265" s="30"/>
      <c r="D2265" s="119"/>
      <c r="E2265" s="32"/>
      <c r="G2265" s="31">
        <v>2223</v>
      </c>
      <c r="H2265" s="30" t="str">
        <f t="shared" si="82"/>
        <v/>
      </c>
      <c r="I2265" s="74" t="str">
        <f t="shared" si="83"/>
        <v/>
      </c>
      <c r="J2265" s="32"/>
    </row>
    <row r="2266" spans="2:10" ht="15">
      <c r="B2266" s="31"/>
      <c r="C2266" s="30"/>
      <c r="D2266" s="119"/>
      <c r="E2266" s="32"/>
      <c r="G2266" s="31">
        <v>2224</v>
      </c>
      <c r="H2266" s="30" t="str">
        <f t="shared" si="82"/>
        <v/>
      </c>
      <c r="I2266" s="74" t="str">
        <f t="shared" si="83"/>
        <v/>
      </c>
      <c r="J2266" s="32"/>
    </row>
    <row r="2267" spans="2:10" ht="15">
      <c r="B2267" s="31"/>
      <c r="C2267" s="30"/>
      <c r="D2267" s="119"/>
      <c r="E2267" s="32"/>
      <c r="G2267" s="31">
        <v>2225</v>
      </c>
      <c r="H2267" s="30" t="str">
        <f t="shared" si="82"/>
        <v/>
      </c>
      <c r="I2267" s="74" t="str">
        <f t="shared" si="83"/>
        <v/>
      </c>
      <c r="J2267" s="32"/>
    </row>
    <row r="2268" spans="2:10" ht="15">
      <c r="B2268" s="31"/>
      <c r="C2268" s="30"/>
      <c r="D2268" s="119"/>
      <c r="E2268" s="32"/>
      <c r="G2268" s="31">
        <v>2226</v>
      </c>
      <c r="H2268" s="30" t="str">
        <f t="shared" si="82"/>
        <v/>
      </c>
      <c r="I2268" s="74" t="str">
        <f t="shared" si="83"/>
        <v/>
      </c>
      <c r="J2268" s="32"/>
    </row>
    <row r="2269" spans="2:10" ht="15">
      <c r="B2269" s="31"/>
      <c r="C2269" s="30"/>
      <c r="D2269" s="119"/>
      <c r="E2269" s="32"/>
      <c r="G2269" s="31">
        <v>2227</v>
      </c>
      <c r="H2269" s="30" t="str">
        <f t="shared" si="82"/>
        <v/>
      </c>
      <c r="I2269" s="74" t="str">
        <f t="shared" si="83"/>
        <v/>
      </c>
      <c r="J2269" s="32"/>
    </row>
    <row r="2270" spans="2:10" ht="15">
      <c r="B2270" s="31"/>
      <c r="C2270" s="30"/>
      <c r="D2270" s="119"/>
      <c r="E2270" s="32"/>
      <c r="G2270" s="31">
        <v>2228</v>
      </c>
      <c r="H2270" s="30" t="str">
        <f t="shared" si="82"/>
        <v/>
      </c>
      <c r="I2270" s="74" t="str">
        <f t="shared" si="83"/>
        <v/>
      </c>
      <c r="J2270" s="32"/>
    </row>
    <row r="2271" spans="2:10" ht="15">
      <c r="B2271" s="31"/>
      <c r="C2271" s="30"/>
      <c r="D2271" s="119"/>
      <c r="E2271" s="32"/>
      <c r="G2271" s="31">
        <v>2229</v>
      </c>
      <c r="H2271" s="30" t="str">
        <f t="shared" si="82"/>
        <v/>
      </c>
      <c r="I2271" s="74" t="str">
        <f t="shared" si="83"/>
        <v/>
      </c>
      <c r="J2271" s="32"/>
    </row>
    <row r="2272" spans="2:10" ht="15">
      <c r="B2272" s="31"/>
      <c r="C2272" s="30"/>
      <c r="D2272" s="119"/>
      <c r="E2272" s="32"/>
      <c r="G2272" s="31">
        <v>2230</v>
      </c>
      <c r="H2272" s="30" t="str">
        <f t="shared" si="82"/>
        <v/>
      </c>
      <c r="I2272" s="74" t="str">
        <f t="shared" si="83"/>
        <v/>
      </c>
      <c r="J2272" s="32"/>
    </row>
    <row r="2273" spans="2:10" ht="15">
      <c r="B2273" s="31"/>
      <c r="C2273" s="30"/>
      <c r="D2273" s="119"/>
      <c r="E2273" s="32"/>
      <c r="G2273" s="31">
        <v>2231</v>
      </c>
      <c r="H2273" s="30" t="str">
        <f t="shared" si="82"/>
        <v/>
      </c>
      <c r="I2273" s="74" t="str">
        <f t="shared" si="83"/>
        <v/>
      </c>
      <c r="J2273" s="32"/>
    </row>
    <row r="2274" spans="2:10" ht="15">
      <c r="B2274" s="31"/>
      <c r="C2274" s="30"/>
      <c r="D2274" s="119"/>
      <c r="E2274" s="32"/>
      <c r="G2274" s="31">
        <v>2232</v>
      </c>
      <c r="H2274" s="30" t="str">
        <f t="shared" si="82"/>
        <v/>
      </c>
      <c r="I2274" s="74" t="str">
        <f t="shared" si="83"/>
        <v/>
      </c>
      <c r="J2274" s="32"/>
    </row>
    <row r="2275" spans="2:10" ht="15">
      <c r="B2275" s="31"/>
      <c r="C2275" s="30"/>
      <c r="D2275" s="119"/>
      <c r="E2275" s="32"/>
      <c r="G2275" s="31">
        <v>2233</v>
      </c>
      <c r="H2275" s="30" t="str">
        <f t="shared" si="82"/>
        <v/>
      </c>
      <c r="I2275" s="74" t="str">
        <f t="shared" si="83"/>
        <v/>
      </c>
      <c r="J2275" s="32"/>
    </row>
    <row r="2276" spans="2:10" ht="15">
      <c r="B2276" s="31"/>
      <c r="C2276" s="30"/>
      <c r="D2276" s="119"/>
      <c r="E2276" s="32"/>
      <c r="G2276" s="31">
        <v>2234</v>
      </c>
      <c r="H2276" s="30" t="str">
        <f t="shared" si="82"/>
        <v/>
      </c>
      <c r="I2276" s="74" t="str">
        <f t="shared" si="83"/>
        <v/>
      </c>
      <c r="J2276" s="32"/>
    </row>
    <row r="2277" spans="2:10" ht="15">
      <c r="B2277" s="31"/>
      <c r="C2277" s="30"/>
      <c r="D2277" s="119"/>
      <c r="E2277" s="32"/>
      <c r="G2277" s="31">
        <v>2235</v>
      </c>
      <c r="H2277" s="30" t="str">
        <f t="shared" si="82"/>
        <v/>
      </c>
      <c r="I2277" s="74" t="str">
        <f t="shared" si="83"/>
        <v/>
      </c>
      <c r="J2277" s="32"/>
    </row>
    <row r="2278" spans="2:10" ht="15">
      <c r="B2278" s="31"/>
      <c r="C2278" s="30"/>
      <c r="D2278" s="119"/>
      <c r="E2278" s="32"/>
      <c r="G2278" s="31">
        <v>2236</v>
      </c>
      <c r="H2278" s="30" t="str">
        <f t="shared" si="82"/>
        <v/>
      </c>
      <c r="I2278" s="74" t="str">
        <f t="shared" si="83"/>
        <v/>
      </c>
      <c r="J2278" s="32"/>
    </row>
    <row r="2279" spans="2:10" ht="15">
      <c r="B2279" s="31"/>
      <c r="C2279" s="30"/>
      <c r="D2279" s="119"/>
      <c r="E2279" s="32"/>
      <c r="G2279" s="31">
        <v>2237</v>
      </c>
      <c r="H2279" s="30" t="str">
        <f t="shared" si="82"/>
        <v/>
      </c>
      <c r="I2279" s="74" t="str">
        <f t="shared" si="83"/>
        <v/>
      </c>
      <c r="J2279" s="32"/>
    </row>
    <row r="2280" spans="2:10" ht="15">
      <c r="B2280" s="31"/>
      <c r="C2280" s="30"/>
      <c r="D2280" s="119"/>
      <c r="E2280" s="32"/>
      <c r="G2280" s="31">
        <v>2238</v>
      </c>
      <c r="H2280" s="30" t="str">
        <f t="shared" si="82"/>
        <v/>
      </c>
      <c r="I2280" s="74" t="str">
        <f t="shared" si="83"/>
        <v/>
      </c>
      <c r="J2280" s="32"/>
    </row>
    <row r="2281" spans="2:10" ht="15">
      <c r="B2281" s="31"/>
      <c r="C2281" s="30"/>
      <c r="D2281" s="119"/>
      <c r="E2281" s="32"/>
      <c r="G2281" s="31">
        <v>2239</v>
      </c>
      <c r="H2281" s="30" t="str">
        <f t="shared" si="82"/>
        <v/>
      </c>
      <c r="I2281" s="74" t="str">
        <f t="shared" si="83"/>
        <v/>
      </c>
      <c r="J2281" s="32"/>
    </row>
    <row r="2282" spans="2:10" ht="15">
      <c r="B2282" s="31"/>
      <c r="C2282" s="30"/>
      <c r="D2282" s="119"/>
      <c r="E2282" s="32"/>
      <c r="G2282" s="31">
        <v>2240</v>
      </c>
      <c r="H2282" s="30" t="str">
        <f t="shared" si="82"/>
        <v/>
      </c>
      <c r="I2282" s="74" t="str">
        <f t="shared" si="83"/>
        <v/>
      </c>
      <c r="J2282" s="32"/>
    </row>
    <row r="2283" spans="2:10" ht="15">
      <c r="B2283" s="31"/>
      <c r="C2283" s="30"/>
      <c r="D2283" s="119"/>
      <c r="E2283" s="32"/>
      <c r="G2283" s="31">
        <v>2241</v>
      </c>
      <c r="H2283" s="30" t="str">
        <f t="shared" si="82"/>
        <v/>
      </c>
      <c r="I2283" s="74" t="str">
        <f t="shared" si="83"/>
        <v/>
      </c>
      <c r="J2283" s="32"/>
    </row>
    <row r="2284" spans="2:10" ht="15">
      <c r="B2284" s="31"/>
      <c r="C2284" s="30"/>
      <c r="D2284" s="119"/>
      <c r="E2284" s="32"/>
      <c r="G2284" s="31">
        <v>2242</v>
      </c>
      <c r="H2284" s="30" t="str">
        <f t="shared" ref="H2284:H2347" si="84">MID($I$41,G2284*8-7,8)</f>
        <v/>
      </c>
      <c r="I2284" s="74" t="str">
        <f t="shared" ref="I2284:I2347" si="85">IFERROR(BIN2DEC(VALUE(H2284)),"")</f>
        <v/>
      </c>
      <c r="J2284" s="32"/>
    </row>
    <row r="2285" spans="2:10" ht="15">
      <c r="B2285" s="31"/>
      <c r="C2285" s="30"/>
      <c r="D2285" s="119"/>
      <c r="E2285" s="32"/>
      <c r="G2285" s="31">
        <v>2243</v>
      </c>
      <c r="H2285" s="30" t="str">
        <f t="shared" si="84"/>
        <v/>
      </c>
      <c r="I2285" s="74" t="str">
        <f t="shared" si="85"/>
        <v/>
      </c>
      <c r="J2285" s="32"/>
    </row>
    <row r="2286" spans="2:10" ht="15">
      <c r="B2286" s="31"/>
      <c r="C2286" s="30"/>
      <c r="D2286" s="119"/>
      <c r="E2286" s="32"/>
      <c r="G2286" s="31">
        <v>2244</v>
      </c>
      <c r="H2286" s="30" t="str">
        <f t="shared" si="84"/>
        <v/>
      </c>
      <c r="I2286" s="74" t="str">
        <f t="shared" si="85"/>
        <v/>
      </c>
      <c r="J2286" s="32"/>
    </row>
    <row r="2287" spans="2:10" ht="15">
      <c r="B2287" s="31"/>
      <c r="C2287" s="30"/>
      <c r="D2287" s="119"/>
      <c r="E2287" s="32"/>
      <c r="G2287" s="31">
        <v>2245</v>
      </c>
      <c r="H2287" s="30" t="str">
        <f t="shared" si="84"/>
        <v/>
      </c>
      <c r="I2287" s="74" t="str">
        <f t="shared" si="85"/>
        <v/>
      </c>
      <c r="J2287" s="32"/>
    </row>
    <row r="2288" spans="2:10" ht="15">
      <c r="B2288" s="31"/>
      <c r="C2288" s="30"/>
      <c r="D2288" s="119"/>
      <c r="E2288" s="32"/>
      <c r="G2288" s="31">
        <v>2246</v>
      </c>
      <c r="H2288" s="30" t="str">
        <f t="shared" si="84"/>
        <v/>
      </c>
      <c r="I2288" s="74" t="str">
        <f t="shared" si="85"/>
        <v/>
      </c>
      <c r="J2288" s="32"/>
    </row>
    <row r="2289" spans="2:10" ht="15">
      <c r="B2289" s="31"/>
      <c r="C2289" s="30"/>
      <c r="D2289" s="119"/>
      <c r="E2289" s="32"/>
      <c r="G2289" s="31">
        <v>2247</v>
      </c>
      <c r="H2289" s="30" t="str">
        <f t="shared" si="84"/>
        <v/>
      </c>
      <c r="I2289" s="74" t="str">
        <f t="shared" si="85"/>
        <v/>
      </c>
      <c r="J2289" s="32"/>
    </row>
    <row r="2290" spans="2:10" ht="15">
      <c r="B2290" s="31"/>
      <c r="C2290" s="30"/>
      <c r="D2290" s="119"/>
      <c r="E2290" s="32"/>
      <c r="G2290" s="31">
        <v>2248</v>
      </c>
      <c r="H2290" s="30" t="str">
        <f t="shared" si="84"/>
        <v/>
      </c>
      <c r="I2290" s="74" t="str">
        <f t="shared" si="85"/>
        <v/>
      </c>
      <c r="J2290" s="32"/>
    </row>
    <row r="2291" spans="2:10" ht="15">
      <c r="B2291" s="31"/>
      <c r="C2291" s="30"/>
      <c r="D2291" s="119"/>
      <c r="E2291" s="32"/>
      <c r="G2291" s="31">
        <v>2249</v>
      </c>
      <c r="H2291" s="30" t="str">
        <f t="shared" si="84"/>
        <v/>
      </c>
      <c r="I2291" s="74" t="str">
        <f t="shared" si="85"/>
        <v/>
      </c>
      <c r="J2291" s="32"/>
    </row>
    <row r="2292" spans="2:10" ht="15">
      <c r="B2292" s="31"/>
      <c r="C2292" s="30"/>
      <c r="D2292" s="119"/>
      <c r="E2292" s="32"/>
      <c r="G2292" s="31">
        <v>2250</v>
      </c>
      <c r="H2292" s="30" t="str">
        <f t="shared" si="84"/>
        <v/>
      </c>
      <c r="I2292" s="74" t="str">
        <f t="shared" si="85"/>
        <v/>
      </c>
      <c r="J2292" s="32"/>
    </row>
    <row r="2293" spans="2:10" ht="15">
      <c r="B2293" s="31"/>
      <c r="C2293" s="30"/>
      <c r="D2293" s="119"/>
      <c r="E2293" s="32"/>
      <c r="G2293" s="31">
        <v>2251</v>
      </c>
      <c r="H2293" s="30" t="str">
        <f t="shared" si="84"/>
        <v/>
      </c>
      <c r="I2293" s="74" t="str">
        <f t="shared" si="85"/>
        <v/>
      </c>
      <c r="J2293" s="32"/>
    </row>
    <row r="2294" spans="2:10" ht="15">
      <c r="B2294" s="31"/>
      <c r="C2294" s="30"/>
      <c r="D2294" s="119"/>
      <c r="E2294" s="32"/>
      <c r="G2294" s="31">
        <v>2252</v>
      </c>
      <c r="H2294" s="30" t="str">
        <f t="shared" si="84"/>
        <v/>
      </c>
      <c r="I2294" s="74" t="str">
        <f t="shared" si="85"/>
        <v/>
      </c>
      <c r="J2294" s="32"/>
    </row>
    <row r="2295" spans="2:10" ht="15">
      <c r="B2295" s="31"/>
      <c r="C2295" s="30"/>
      <c r="D2295" s="119"/>
      <c r="E2295" s="32"/>
      <c r="G2295" s="31">
        <v>2253</v>
      </c>
      <c r="H2295" s="30" t="str">
        <f t="shared" si="84"/>
        <v/>
      </c>
      <c r="I2295" s="74" t="str">
        <f t="shared" si="85"/>
        <v/>
      </c>
      <c r="J2295" s="32"/>
    </row>
    <row r="2296" spans="2:10" ht="15">
      <c r="B2296" s="31"/>
      <c r="C2296" s="30"/>
      <c r="D2296" s="119"/>
      <c r="E2296" s="32"/>
      <c r="G2296" s="31">
        <v>2254</v>
      </c>
      <c r="H2296" s="30" t="str">
        <f t="shared" si="84"/>
        <v/>
      </c>
      <c r="I2296" s="74" t="str">
        <f t="shared" si="85"/>
        <v/>
      </c>
      <c r="J2296" s="32"/>
    </row>
    <row r="2297" spans="2:10" ht="15">
      <c r="B2297" s="31"/>
      <c r="C2297" s="30"/>
      <c r="D2297" s="119"/>
      <c r="E2297" s="32"/>
      <c r="G2297" s="31">
        <v>2255</v>
      </c>
      <c r="H2297" s="30" t="str">
        <f t="shared" si="84"/>
        <v/>
      </c>
      <c r="I2297" s="74" t="str">
        <f t="shared" si="85"/>
        <v/>
      </c>
      <c r="J2297" s="32"/>
    </row>
    <row r="2298" spans="2:10" ht="15">
      <c r="B2298" s="31"/>
      <c r="C2298" s="30"/>
      <c r="D2298" s="119"/>
      <c r="E2298" s="32"/>
      <c r="G2298" s="31">
        <v>2256</v>
      </c>
      <c r="H2298" s="30" t="str">
        <f t="shared" si="84"/>
        <v/>
      </c>
      <c r="I2298" s="74" t="str">
        <f t="shared" si="85"/>
        <v/>
      </c>
      <c r="J2298" s="32"/>
    </row>
    <row r="2299" spans="2:10" ht="15">
      <c r="B2299" s="31"/>
      <c r="C2299" s="30"/>
      <c r="D2299" s="119"/>
      <c r="E2299" s="32"/>
      <c r="G2299" s="31">
        <v>2257</v>
      </c>
      <c r="H2299" s="30" t="str">
        <f t="shared" si="84"/>
        <v/>
      </c>
      <c r="I2299" s="74" t="str">
        <f t="shared" si="85"/>
        <v/>
      </c>
      <c r="J2299" s="32"/>
    </row>
    <row r="2300" spans="2:10" ht="15">
      <c r="B2300" s="31"/>
      <c r="C2300" s="30"/>
      <c r="D2300" s="119"/>
      <c r="E2300" s="32"/>
      <c r="G2300" s="31">
        <v>2258</v>
      </c>
      <c r="H2300" s="30" t="str">
        <f t="shared" si="84"/>
        <v/>
      </c>
      <c r="I2300" s="74" t="str">
        <f t="shared" si="85"/>
        <v/>
      </c>
      <c r="J2300" s="32"/>
    </row>
    <row r="2301" spans="2:10" ht="15">
      <c r="B2301" s="31"/>
      <c r="C2301" s="30"/>
      <c r="D2301" s="119"/>
      <c r="E2301" s="32"/>
      <c r="G2301" s="31">
        <v>2259</v>
      </c>
      <c r="H2301" s="30" t="str">
        <f t="shared" si="84"/>
        <v/>
      </c>
      <c r="I2301" s="74" t="str">
        <f t="shared" si="85"/>
        <v/>
      </c>
      <c r="J2301" s="32"/>
    </row>
    <row r="2302" spans="2:10" ht="15">
      <c r="B2302" s="31"/>
      <c r="C2302" s="30"/>
      <c r="D2302" s="119"/>
      <c r="E2302" s="32"/>
      <c r="G2302" s="31">
        <v>2260</v>
      </c>
      <c r="H2302" s="30" t="str">
        <f t="shared" si="84"/>
        <v/>
      </c>
      <c r="I2302" s="74" t="str">
        <f t="shared" si="85"/>
        <v/>
      </c>
      <c r="J2302" s="32"/>
    </row>
    <row r="2303" spans="2:10" ht="15">
      <c r="B2303" s="31"/>
      <c r="C2303" s="30"/>
      <c r="D2303" s="119"/>
      <c r="E2303" s="32"/>
      <c r="G2303" s="31">
        <v>2261</v>
      </c>
      <c r="H2303" s="30" t="str">
        <f t="shared" si="84"/>
        <v/>
      </c>
      <c r="I2303" s="74" t="str">
        <f t="shared" si="85"/>
        <v/>
      </c>
      <c r="J2303" s="32"/>
    </row>
    <row r="2304" spans="2:10" ht="15">
      <c r="B2304" s="31"/>
      <c r="C2304" s="30"/>
      <c r="D2304" s="119"/>
      <c r="E2304" s="32"/>
      <c r="G2304" s="31">
        <v>2262</v>
      </c>
      <c r="H2304" s="30" t="str">
        <f t="shared" si="84"/>
        <v/>
      </c>
      <c r="I2304" s="74" t="str">
        <f t="shared" si="85"/>
        <v/>
      </c>
      <c r="J2304" s="32"/>
    </row>
    <row r="2305" spans="2:10" ht="15">
      <c r="B2305" s="31"/>
      <c r="C2305" s="30"/>
      <c r="D2305" s="119"/>
      <c r="E2305" s="32"/>
      <c r="G2305" s="31">
        <v>2263</v>
      </c>
      <c r="H2305" s="30" t="str">
        <f t="shared" si="84"/>
        <v/>
      </c>
      <c r="I2305" s="74" t="str">
        <f t="shared" si="85"/>
        <v/>
      </c>
      <c r="J2305" s="32"/>
    </row>
    <row r="2306" spans="2:10" ht="15">
      <c r="B2306" s="31"/>
      <c r="C2306" s="30"/>
      <c r="D2306" s="119"/>
      <c r="E2306" s="32"/>
      <c r="G2306" s="31">
        <v>2264</v>
      </c>
      <c r="H2306" s="30" t="str">
        <f t="shared" si="84"/>
        <v/>
      </c>
      <c r="I2306" s="74" t="str">
        <f t="shared" si="85"/>
        <v/>
      </c>
      <c r="J2306" s="32"/>
    </row>
    <row r="2307" spans="2:10" ht="15">
      <c r="B2307" s="31"/>
      <c r="C2307" s="30"/>
      <c r="D2307" s="119"/>
      <c r="E2307" s="32"/>
      <c r="G2307" s="31">
        <v>2265</v>
      </c>
      <c r="H2307" s="30" t="str">
        <f t="shared" si="84"/>
        <v/>
      </c>
      <c r="I2307" s="74" t="str">
        <f t="shared" si="85"/>
        <v/>
      </c>
      <c r="J2307" s="32"/>
    </row>
    <row r="2308" spans="2:10" ht="15">
      <c r="B2308" s="31"/>
      <c r="C2308" s="30"/>
      <c r="D2308" s="119"/>
      <c r="E2308" s="32"/>
      <c r="G2308" s="31">
        <v>2266</v>
      </c>
      <c r="H2308" s="30" t="str">
        <f t="shared" si="84"/>
        <v/>
      </c>
      <c r="I2308" s="74" t="str">
        <f t="shared" si="85"/>
        <v/>
      </c>
      <c r="J2308" s="32"/>
    </row>
    <row r="2309" spans="2:10" ht="15">
      <c r="B2309" s="31"/>
      <c r="C2309" s="30"/>
      <c r="D2309" s="119"/>
      <c r="E2309" s="32"/>
      <c r="G2309" s="31">
        <v>2267</v>
      </c>
      <c r="H2309" s="30" t="str">
        <f t="shared" si="84"/>
        <v/>
      </c>
      <c r="I2309" s="74" t="str">
        <f t="shared" si="85"/>
        <v/>
      </c>
      <c r="J2309" s="32"/>
    </row>
    <row r="2310" spans="2:10" ht="15">
      <c r="B2310" s="31"/>
      <c r="C2310" s="30"/>
      <c r="D2310" s="119"/>
      <c r="E2310" s="32"/>
      <c r="G2310" s="31">
        <v>2268</v>
      </c>
      <c r="H2310" s="30" t="str">
        <f t="shared" si="84"/>
        <v/>
      </c>
      <c r="I2310" s="74" t="str">
        <f t="shared" si="85"/>
        <v/>
      </c>
      <c r="J2310" s="32"/>
    </row>
    <row r="2311" spans="2:10" ht="15">
      <c r="B2311" s="31"/>
      <c r="C2311" s="30"/>
      <c r="D2311" s="119"/>
      <c r="E2311" s="32"/>
      <c r="G2311" s="31">
        <v>2269</v>
      </c>
      <c r="H2311" s="30" t="str">
        <f t="shared" si="84"/>
        <v/>
      </c>
      <c r="I2311" s="74" t="str">
        <f t="shared" si="85"/>
        <v/>
      </c>
      <c r="J2311" s="32"/>
    </row>
    <row r="2312" spans="2:10" ht="15">
      <c r="B2312" s="31"/>
      <c r="C2312" s="30"/>
      <c r="D2312" s="119"/>
      <c r="E2312" s="32"/>
      <c r="G2312" s="31">
        <v>2270</v>
      </c>
      <c r="H2312" s="30" t="str">
        <f t="shared" si="84"/>
        <v/>
      </c>
      <c r="I2312" s="74" t="str">
        <f t="shared" si="85"/>
        <v/>
      </c>
      <c r="J2312" s="32"/>
    </row>
    <row r="2313" spans="2:10" ht="15">
      <c r="B2313" s="31"/>
      <c r="C2313" s="30"/>
      <c r="D2313" s="119"/>
      <c r="E2313" s="32"/>
      <c r="G2313" s="31">
        <v>2271</v>
      </c>
      <c r="H2313" s="30" t="str">
        <f t="shared" si="84"/>
        <v/>
      </c>
      <c r="I2313" s="74" t="str">
        <f t="shared" si="85"/>
        <v/>
      </c>
      <c r="J2313" s="32"/>
    </row>
    <row r="2314" spans="2:10" ht="15">
      <c r="B2314" s="31"/>
      <c r="C2314" s="30"/>
      <c r="D2314" s="119"/>
      <c r="E2314" s="32"/>
      <c r="G2314" s="31">
        <v>2272</v>
      </c>
      <c r="H2314" s="30" t="str">
        <f t="shared" si="84"/>
        <v/>
      </c>
      <c r="I2314" s="74" t="str">
        <f t="shared" si="85"/>
        <v/>
      </c>
      <c r="J2314" s="32"/>
    </row>
    <row r="2315" spans="2:10" ht="15">
      <c r="B2315" s="31"/>
      <c r="C2315" s="30"/>
      <c r="D2315" s="119"/>
      <c r="E2315" s="32"/>
      <c r="G2315" s="31">
        <v>2273</v>
      </c>
      <c r="H2315" s="30" t="str">
        <f t="shared" si="84"/>
        <v/>
      </c>
      <c r="I2315" s="74" t="str">
        <f t="shared" si="85"/>
        <v/>
      </c>
      <c r="J2315" s="32"/>
    </row>
    <row r="2316" spans="2:10" ht="15">
      <c r="B2316" s="31"/>
      <c r="C2316" s="30"/>
      <c r="D2316" s="119"/>
      <c r="E2316" s="32"/>
      <c r="G2316" s="31">
        <v>2274</v>
      </c>
      <c r="H2316" s="30" t="str">
        <f t="shared" si="84"/>
        <v/>
      </c>
      <c r="I2316" s="74" t="str">
        <f t="shared" si="85"/>
        <v/>
      </c>
      <c r="J2316" s="32"/>
    </row>
    <row r="2317" spans="2:10" ht="15">
      <c r="B2317" s="31"/>
      <c r="C2317" s="30"/>
      <c r="D2317" s="119"/>
      <c r="E2317" s="32"/>
      <c r="G2317" s="31">
        <v>2275</v>
      </c>
      <c r="H2317" s="30" t="str">
        <f t="shared" si="84"/>
        <v/>
      </c>
      <c r="I2317" s="74" t="str">
        <f t="shared" si="85"/>
        <v/>
      </c>
      <c r="J2317" s="32"/>
    </row>
    <row r="2318" spans="2:10" ht="15">
      <c r="B2318" s="31"/>
      <c r="C2318" s="30"/>
      <c r="D2318" s="119"/>
      <c r="E2318" s="32"/>
      <c r="G2318" s="31">
        <v>2276</v>
      </c>
      <c r="H2318" s="30" t="str">
        <f t="shared" si="84"/>
        <v/>
      </c>
      <c r="I2318" s="74" t="str">
        <f t="shared" si="85"/>
        <v/>
      </c>
      <c r="J2318" s="32"/>
    </row>
    <row r="2319" spans="2:10" ht="15">
      <c r="B2319" s="31"/>
      <c r="C2319" s="30"/>
      <c r="D2319" s="119"/>
      <c r="E2319" s="32"/>
      <c r="G2319" s="31">
        <v>2277</v>
      </c>
      <c r="H2319" s="30" t="str">
        <f t="shared" si="84"/>
        <v/>
      </c>
      <c r="I2319" s="74" t="str">
        <f t="shared" si="85"/>
        <v/>
      </c>
      <c r="J2319" s="32"/>
    </row>
    <row r="2320" spans="2:10" ht="15">
      <c r="B2320" s="31"/>
      <c r="C2320" s="30"/>
      <c r="D2320" s="119"/>
      <c r="E2320" s="32"/>
      <c r="G2320" s="31">
        <v>2278</v>
      </c>
      <c r="H2320" s="30" t="str">
        <f t="shared" si="84"/>
        <v/>
      </c>
      <c r="I2320" s="74" t="str">
        <f t="shared" si="85"/>
        <v/>
      </c>
      <c r="J2320" s="32"/>
    </row>
    <row r="2321" spans="2:10" ht="15">
      <c r="B2321" s="31"/>
      <c r="C2321" s="30"/>
      <c r="D2321" s="119"/>
      <c r="E2321" s="32"/>
      <c r="G2321" s="31">
        <v>2279</v>
      </c>
      <c r="H2321" s="30" t="str">
        <f t="shared" si="84"/>
        <v/>
      </c>
      <c r="I2321" s="74" t="str">
        <f t="shared" si="85"/>
        <v/>
      </c>
      <c r="J2321" s="32"/>
    </row>
    <row r="2322" spans="2:10" ht="15">
      <c r="B2322" s="31"/>
      <c r="C2322" s="30"/>
      <c r="D2322" s="119"/>
      <c r="E2322" s="32"/>
      <c r="G2322" s="31">
        <v>2280</v>
      </c>
      <c r="H2322" s="30" t="str">
        <f t="shared" si="84"/>
        <v/>
      </c>
      <c r="I2322" s="74" t="str">
        <f t="shared" si="85"/>
        <v/>
      </c>
      <c r="J2322" s="32"/>
    </row>
    <row r="2323" spans="2:10" ht="15">
      <c r="B2323" s="31"/>
      <c r="C2323" s="30"/>
      <c r="D2323" s="119"/>
      <c r="E2323" s="32"/>
      <c r="G2323" s="31">
        <v>2281</v>
      </c>
      <c r="H2323" s="30" t="str">
        <f t="shared" si="84"/>
        <v/>
      </c>
      <c r="I2323" s="74" t="str">
        <f t="shared" si="85"/>
        <v/>
      </c>
      <c r="J2323" s="32"/>
    </row>
    <row r="2324" spans="2:10" ht="15">
      <c r="B2324" s="31"/>
      <c r="C2324" s="30"/>
      <c r="D2324" s="119"/>
      <c r="E2324" s="32"/>
      <c r="G2324" s="31">
        <v>2282</v>
      </c>
      <c r="H2324" s="30" t="str">
        <f t="shared" si="84"/>
        <v/>
      </c>
      <c r="I2324" s="74" t="str">
        <f t="shared" si="85"/>
        <v/>
      </c>
      <c r="J2324" s="32"/>
    </row>
    <row r="2325" spans="2:10" ht="15">
      <c r="B2325" s="31"/>
      <c r="C2325" s="30"/>
      <c r="D2325" s="119"/>
      <c r="E2325" s="32"/>
      <c r="G2325" s="31">
        <v>2283</v>
      </c>
      <c r="H2325" s="30" t="str">
        <f t="shared" si="84"/>
        <v/>
      </c>
      <c r="I2325" s="74" t="str">
        <f t="shared" si="85"/>
        <v/>
      </c>
      <c r="J2325" s="32"/>
    </row>
    <row r="2326" spans="2:10" ht="15">
      <c r="B2326" s="31"/>
      <c r="C2326" s="30"/>
      <c r="D2326" s="119"/>
      <c r="E2326" s="32"/>
      <c r="G2326" s="31">
        <v>2284</v>
      </c>
      <c r="H2326" s="30" t="str">
        <f t="shared" si="84"/>
        <v/>
      </c>
      <c r="I2326" s="74" t="str">
        <f t="shared" si="85"/>
        <v/>
      </c>
      <c r="J2326" s="32"/>
    </row>
    <row r="2327" spans="2:10" ht="15">
      <c r="B2327" s="31"/>
      <c r="C2327" s="30"/>
      <c r="D2327" s="119"/>
      <c r="E2327" s="32"/>
      <c r="G2327" s="31">
        <v>2285</v>
      </c>
      <c r="H2327" s="30" t="str">
        <f t="shared" si="84"/>
        <v/>
      </c>
      <c r="I2327" s="74" t="str">
        <f t="shared" si="85"/>
        <v/>
      </c>
      <c r="J2327" s="32"/>
    </row>
    <row r="2328" spans="2:10" ht="15">
      <c r="B2328" s="31"/>
      <c r="C2328" s="30"/>
      <c r="D2328" s="119"/>
      <c r="E2328" s="32"/>
      <c r="G2328" s="31">
        <v>2286</v>
      </c>
      <c r="H2328" s="30" t="str">
        <f t="shared" si="84"/>
        <v/>
      </c>
      <c r="I2328" s="74" t="str">
        <f t="shared" si="85"/>
        <v/>
      </c>
      <c r="J2328" s="32"/>
    </row>
    <row r="2329" spans="2:10" ht="15">
      <c r="B2329" s="31"/>
      <c r="C2329" s="30"/>
      <c r="D2329" s="119"/>
      <c r="E2329" s="32"/>
      <c r="G2329" s="31">
        <v>2287</v>
      </c>
      <c r="H2329" s="30" t="str">
        <f t="shared" si="84"/>
        <v/>
      </c>
      <c r="I2329" s="74" t="str">
        <f t="shared" si="85"/>
        <v/>
      </c>
      <c r="J2329" s="32"/>
    </row>
    <row r="2330" spans="2:10" ht="15">
      <c r="B2330" s="31"/>
      <c r="C2330" s="30"/>
      <c r="D2330" s="119"/>
      <c r="E2330" s="32"/>
      <c r="G2330" s="31">
        <v>2288</v>
      </c>
      <c r="H2330" s="30" t="str">
        <f t="shared" si="84"/>
        <v/>
      </c>
      <c r="I2330" s="74" t="str">
        <f t="shared" si="85"/>
        <v/>
      </c>
      <c r="J2330" s="32"/>
    </row>
    <row r="2331" spans="2:10" ht="15">
      <c r="B2331" s="31"/>
      <c r="C2331" s="30"/>
      <c r="D2331" s="119"/>
      <c r="E2331" s="32"/>
      <c r="G2331" s="31">
        <v>2289</v>
      </c>
      <c r="H2331" s="30" t="str">
        <f t="shared" si="84"/>
        <v/>
      </c>
      <c r="I2331" s="74" t="str">
        <f t="shared" si="85"/>
        <v/>
      </c>
      <c r="J2331" s="32"/>
    </row>
    <row r="2332" spans="2:10" ht="15">
      <c r="B2332" s="31"/>
      <c r="C2332" s="30"/>
      <c r="D2332" s="119"/>
      <c r="E2332" s="32"/>
      <c r="G2332" s="31">
        <v>2290</v>
      </c>
      <c r="H2332" s="30" t="str">
        <f t="shared" si="84"/>
        <v/>
      </c>
      <c r="I2332" s="74" t="str">
        <f t="shared" si="85"/>
        <v/>
      </c>
      <c r="J2332" s="32"/>
    </row>
    <row r="2333" spans="2:10" ht="15">
      <c r="B2333" s="31"/>
      <c r="C2333" s="30"/>
      <c r="D2333" s="119"/>
      <c r="E2333" s="32"/>
      <c r="G2333" s="31">
        <v>2291</v>
      </c>
      <c r="H2333" s="30" t="str">
        <f t="shared" si="84"/>
        <v/>
      </c>
      <c r="I2333" s="74" t="str">
        <f t="shared" si="85"/>
        <v/>
      </c>
      <c r="J2333" s="32"/>
    </row>
    <row r="2334" spans="2:10" ht="15">
      <c r="B2334" s="31"/>
      <c r="C2334" s="30"/>
      <c r="D2334" s="119"/>
      <c r="E2334" s="32"/>
      <c r="G2334" s="31">
        <v>2292</v>
      </c>
      <c r="H2334" s="30" t="str">
        <f t="shared" si="84"/>
        <v/>
      </c>
      <c r="I2334" s="74" t="str">
        <f t="shared" si="85"/>
        <v/>
      </c>
      <c r="J2334" s="32"/>
    </row>
    <row r="2335" spans="2:10" ht="15">
      <c r="B2335" s="31"/>
      <c r="C2335" s="30"/>
      <c r="D2335" s="119"/>
      <c r="E2335" s="32"/>
      <c r="G2335" s="31">
        <v>2293</v>
      </c>
      <c r="H2335" s="30" t="str">
        <f t="shared" si="84"/>
        <v/>
      </c>
      <c r="I2335" s="74" t="str">
        <f t="shared" si="85"/>
        <v/>
      </c>
      <c r="J2335" s="32"/>
    </row>
    <row r="2336" spans="2:10" ht="15">
      <c r="B2336" s="31"/>
      <c r="C2336" s="30"/>
      <c r="D2336" s="119"/>
      <c r="E2336" s="32"/>
      <c r="G2336" s="31">
        <v>2294</v>
      </c>
      <c r="H2336" s="30" t="str">
        <f t="shared" si="84"/>
        <v/>
      </c>
      <c r="I2336" s="74" t="str">
        <f t="shared" si="85"/>
        <v/>
      </c>
      <c r="J2336" s="32"/>
    </row>
    <row r="2337" spans="2:10" ht="15">
      <c r="B2337" s="31"/>
      <c r="C2337" s="30"/>
      <c r="D2337" s="119"/>
      <c r="E2337" s="32"/>
      <c r="G2337" s="31">
        <v>2295</v>
      </c>
      <c r="H2337" s="30" t="str">
        <f t="shared" si="84"/>
        <v/>
      </c>
      <c r="I2337" s="74" t="str">
        <f t="shared" si="85"/>
        <v/>
      </c>
      <c r="J2337" s="32"/>
    </row>
    <row r="2338" spans="2:10" ht="15">
      <c r="B2338" s="31"/>
      <c r="C2338" s="30"/>
      <c r="D2338" s="119"/>
      <c r="E2338" s="32"/>
      <c r="G2338" s="31">
        <v>2296</v>
      </c>
      <c r="H2338" s="30" t="str">
        <f t="shared" si="84"/>
        <v/>
      </c>
      <c r="I2338" s="74" t="str">
        <f t="shared" si="85"/>
        <v/>
      </c>
      <c r="J2338" s="32"/>
    </row>
    <row r="2339" spans="2:10" ht="15">
      <c r="B2339" s="31"/>
      <c r="C2339" s="30"/>
      <c r="D2339" s="119"/>
      <c r="E2339" s="32"/>
      <c r="G2339" s="31">
        <v>2297</v>
      </c>
      <c r="H2339" s="30" t="str">
        <f t="shared" si="84"/>
        <v/>
      </c>
      <c r="I2339" s="74" t="str">
        <f t="shared" si="85"/>
        <v/>
      </c>
      <c r="J2339" s="32"/>
    </row>
    <row r="2340" spans="2:10" ht="15">
      <c r="B2340" s="31"/>
      <c r="C2340" s="30"/>
      <c r="D2340" s="119"/>
      <c r="E2340" s="32"/>
      <c r="G2340" s="31">
        <v>2298</v>
      </c>
      <c r="H2340" s="30" t="str">
        <f t="shared" si="84"/>
        <v/>
      </c>
      <c r="I2340" s="74" t="str">
        <f t="shared" si="85"/>
        <v/>
      </c>
      <c r="J2340" s="32"/>
    </row>
    <row r="2341" spans="2:10" ht="15">
      <c r="B2341" s="31"/>
      <c r="C2341" s="30"/>
      <c r="D2341" s="119"/>
      <c r="E2341" s="32"/>
      <c r="G2341" s="31">
        <v>2299</v>
      </c>
      <c r="H2341" s="30" t="str">
        <f t="shared" si="84"/>
        <v/>
      </c>
      <c r="I2341" s="74" t="str">
        <f t="shared" si="85"/>
        <v/>
      </c>
      <c r="J2341" s="32"/>
    </row>
    <row r="2342" spans="2:10" ht="15">
      <c r="B2342" s="31"/>
      <c r="C2342" s="30"/>
      <c r="D2342" s="119"/>
      <c r="E2342" s="32"/>
      <c r="G2342" s="31">
        <v>2300</v>
      </c>
      <c r="H2342" s="30" t="str">
        <f t="shared" si="84"/>
        <v/>
      </c>
      <c r="I2342" s="74" t="str">
        <f t="shared" si="85"/>
        <v/>
      </c>
      <c r="J2342" s="32"/>
    </row>
    <row r="2343" spans="2:10" ht="15">
      <c r="B2343" s="31"/>
      <c r="C2343" s="30"/>
      <c r="D2343" s="119"/>
      <c r="E2343" s="32"/>
      <c r="G2343" s="31">
        <v>2301</v>
      </c>
      <c r="H2343" s="30" t="str">
        <f t="shared" si="84"/>
        <v/>
      </c>
      <c r="I2343" s="74" t="str">
        <f t="shared" si="85"/>
        <v/>
      </c>
      <c r="J2343" s="32"/>
    </row>
    <row r="2344" spans="2:10" ht="15">
      <c r="B2344" s="31"/>
      <c r="C2344" s="30"/>
      <c r="D2344" s="119"/>
      <c r="E2344" s="32"/>
      <c r="G2344" s="31">
        <v>2302</v>
      </c>
      <c r="H2344" s="30" t="str">
        <f t="shared" si="84"/>
        <v/>
      </c>
      <c r="I2344" s="74" t="str">
        <f t="shared" si="85"/>
        <v/>
      </c>
      <c r="J2344" s="32"/>
    </row>
    <row r="2345" spans="2:10" ht="15">
      <c r="B2345" s="31"/>
      <c r="C2345" s="30"/>
      <c r="D2345" s="119"/>
      <c r="E2345" s="32"/>
      <c r="G2345" s="31">
        <v>2303</v>
      </c>
      <c r="H2345" s="30" t="str">
        <f t="shared" si="84"/>
        <v/>
      </c>
      <c r="I2345" s="74" t="str">
        <f t="shared" si="85"/>
        <v/>
      </c>
      <c r="J2345" s="32"/>
    </row>
    <row r="2346" spans="2:10" ht="15">
      <c r="B2346" s="31"/>
      <c r="C2346" s="30"/>
      <c r="D2346" s="119"/>
      <c r="E2346" s="32"/>
      <c r="G2346" s="31">
        <v>2304</v>
      </c>
      <c r="H2346" s="30" t="str">
        <f t="shared" si="84"/>
        <v/>
      </c>
      <c r="I2346" s="74" t="str">
        <f t="shared" si="85"/>
        <v/>
      </c>
      <c r="J2346" s="32"/>
    </row>
    <row r="2347" spans="2:10" ht="15">
      <c r="B2347" s="31"/>
      <c r="C2347" s="30"/>
      <c r="D2347" s="119"/>
      <c r="E2347" s="32"/>
      <c r="G2347" s="31">
        <v>2305</v>
      </c>
      <c r="H2347" s="30" t="str">
        <f t="shared" si="84"/>
        <v/>
      </c>
      <c r="I2347" s="74" t="str">
        <f t="shared" si="85"/>
        <v/>
      </c>
      <c r="J2347" s="32"/>
    </row>
    <row r="2348" spans="2:10" ht="15">
      <c r="B2348" s="31"/>
      <c r="C2348" s="30"/>
      <c r="D2348" s="119"/>
      <c r="E2348" s="32"/>
      <c r="G2348" s="31">
        <v>2306</v>
      </c>
      <c r="H2348" s="30" t="str">
        <f t="shared" ref="H2348:H2411" si="86">MID($I$41,G2348*8-7,8)</f>
        <v/>
      </c>
      <c r="I2348" s="74" t="str">
        <f t="shared" ref="I2348:I2411" si="87">IFERROR(BIN2DEC(VALUE(H2348)),"")</f>
        <v/>
      </c>
      <c r="J2348" s="32"/>
    </row>
    <row r="2349" spans="2:10" ht="15">
      <c r="B2349" s="31"/>
      <c r="C2349" s="30"/>
      <c r="D2349" s="119"/>
      <c r="E2349" s="32"/>
      <c r="G2349" s="31">
        <v>2307</v>
      </c>
      <c r="H2349" s="30" t="str">
        <f t="shared" si="86"/>
        <v/>
      </c>
      <c r="I2349" s="74" t="str">
        <f t="shared" si="87"/>
        <v/>
      </c>
      <c r="J2349" s="32"/>
    </row>
    <row r="2350" spans="2:10" ht="15">
      <c r="B2350" s="31"/>
      <c r="C2350" s="30"/>
      <c r="D2350" s="119"/>
      <c r="E2350" s="32"/>
      <c r="G2350" s="31">
        <v>2308</v>
      </c>
      <c r="H2350" s="30" t="str">
        <f t="shared" si="86"/>
        <v/>
      </c>
      <c r="I2350" s="74" t="str">
        <f t="shared" si="87"/>
        <v/>
      </c>
      <c r="J2350" s="32"/>
    </row>
    <row r="2351" spans="2:10" ht="15">
      <c r="B2351" s="31"/>
      <c r="C2351" s="30"/>
      <c r="D2351" s="119"/>
      <c r="E2351" s="32"/>
      <c r="G2351" s="31">
        <v>2309</v>
      </c>
      <c r="H2351" s="30" t="str">
        <f t="shared" si="86"/>
        <v/>
      </c>
      <c r="I2351" s="74" t="str">
        <f t="shared" si="87"/>
        <v/>
      </c>
      <c r="J2351" s="32"/>
    </row>
    <row r="2352" spans="2:10" ht="15">
      <c r="B2352" s="31"/>
      <c r="C2352" s="30"/>
      <c r="D2352" s="119"/>
      <c r="E2352" s="32"/>
      <c r="G2352" s="31">
        <v>2310</v>
      </c>
      <c r="H2352" s="30" t="str">
        <f t="shared" si="86"/>
        <v/>
      </c>
      <c r="I2352" s="74" t="str">
        <f t="shared" si="87"/>
        <v/>
      </c>
      <c r="J2352" s="32"/>
    </row>
    <row r="2353" spans="2:10" ht="15">
      <c r="B2353" s="31"/>
      <c r="C2353" s="30"/>
      <c r="D2353" s="119"/>
      <c r="E2353" s="32"/>
      <c r="G2353" s="31">
        <v>2311</v>
      </c>
      <c r="H2353" s="30" t="str">
        <f t="shared" si="86"/>
        <v/>
      </c>
      <c r="I2353" s="74" t="str">
        <f t="shared" si="87"/>
        <v/>
      </c>
      <c r="J2353" s="32"/>
    </row>
    <row r="2354" spans="2:10" ht="15">
      <c r="B2354" s="31"/>
      <c r="C2354" s="30"/>
      <c r="D2354" s="119"/>
      <c r="E2354" s="32"/>
      <c r="G2354" s="31">
        <v>2312</v>
      </c>
      <c r="H2354" s="30" t="str">
        <f t="shared" si="86"/>
        <v/>
      </c>
      <c r="I2354" s="74" t="str">
        <f t="shared" si="87"/>
        <v/>
      </c>
      <c r="J2354" s="32"/>
    </row>
    <row r="2355" spans="2:10" ht="15">
      <c r="B2355" s="31"/>
      <c r="C2355" s="30"/>
      <c r="D2355" s="119"/>
      <c r="E2355" s="32"/>
      <c r="G2355" s="31">
        <v>2313</v>
      </c>
      <c r="H2355" s="30" t="str">
        <f t="shared" si="86"/>
        <v/>
      </c>
      <c r="I2355" s="74" t="str">
        <f t="shared" si="87"/>
        <v/>
      </c>
      <c r="J2355" s="32"/>
    </row>
    <row r="2356" spans="2:10" ht="15">
      <c r="B2356" s="31"/>
      <c r="C2356" s="30"/>
      <c r="D2356" s="119"/>
      <c r="E2356" s="32"/>
      <c r="G2356" s="31">
        <v>2314</v>
      </c>
      <c r="H2356" s="30" t="str">
        <f t="shared" si="86"/>
        <v/>
      </c>
      <c r="I2356" s="74" t="str">
        <f t="shared" si="87"/>
        <v/>
      </c>
      <c r="J2356" s="32"/>
    </row>
    <row r="2357" spans="2:10" ht="15">
      <c r="B2357" s="31"/>
      <c r="C2357" s="30"/>
      <c r="D2357" s="119"/>
      <c r="E2357" s="32"/>
      <c r="G2357" s="31">
        <v>2315</v>
      </c>
      <c r="H2357" s="30" t="str">
        <f t="shared" si="86"/>
        <v/>
      </c>
      <c r="I2357" s="74" t="str">
        <f t="shared" si="87"/>
        <v/>
      </c>
      <c r="J2357" s="32"/>
    </row>
    <row r="2358" spans="2:10" ht="15">
      <c r="B2358" s="31"/>
      <c r="C2358" s="30"/>
      <c r="D2358" s="119"/>
      <c r="E2358" s="32"/>
      <c r="G2358" s="31">
        <v>2316</v>
      </c>
      <c r="H2358" s="30" t="str">
        <f t="shared" si="86"/>
        <v/>
      </c>
      <c r="I2358" s="74" t="str">
        <f t="shared" si="87"/>
        <v/>
      </c>
      <c r="J2358" s="32"/>
    </row>
    <row r="2359" spans="2:10" ht="15">
      <c r="B2359" s="31"/>
      <c r="C2359" s="30"/>
      <c r="D2359" s="119"/>
      <c r="E2359" s="32"/>
      <c r="G2359" s="31">
        <v>2317</v>
      </c>
      <c r="H2359" s="30" t="str">
        <f t="shared" si="86"/>
        <v/>
      </c>
      <c r="I2359" s="74" t="str">
        <f t="shared" si="87"/>
        <v/>
      </c>
      <c r="J2359" s="32"/>
    </row>
    <row r="2360" spans="2:10" ht="15">
      <c r="B2360" s="31"/>
      <c r="C2360" s="30"/>
      <c r="D2360" s="119"/>
      <c r="E2360" s="32"/>
      <c r="G2360" s="31">
        <v>2318</v>
      </c>
      <c r="H2360" s="30" t="str">
        <f t="shared" si="86"/>
        <v/>
      </c>
      <c r="I2360" s="74" t="str">
        <f t="shared" si="87"/>
        <v/>
      </c>
      <c r="J2360" s="32"/>
    </row>
    <row r="2361" spans="2:10" ht="15">
      <c r="B2361" s="31"/>
      <c r="C2361" s="30"/>
      <c r="D2361" s="119"/>
      <c r="E2361" s="32"/>
      <c r="G2361" s="31">
        <v>2319</v>
      </c>
      <c r="H2361" s="30" t="str">
        <f t="shared" si="86"/>
        <v/>
      </c>
      <c r="I2361" s="74" t="str">
        <f t="shared" si="87"/>
        <v/>
      </c>
      <c r="J2361" s="32"/>
    </row>
    <row r="2362" spans="2:10" ht="15">
      <c r="B2362" s="31"/>
      <c r="C2362" s="30"/>
      <c r="D2362" s="119"/>
      <c r="E2362" s="32"/>
      <c r="G2362" s="31">
        <v>2320</v>
      </c>
      <c r="H2362" s="30" t="str">
        <f t="shared" si="86"/>
        <v/>
      </c>
      <c r="I2362" s="74" t="str">
        <f t="shared" si="87"/>
        <v/>
      </c>
      <c r="J2362" s="32"/>
    </row>
    <row r="2363" spans="2:10" ht="15">
      <c r="B2363" s="31"/>
      <c r="C2363" s="30"/>
      <c r="D2363" s="119"/>
      <c r="E2363" s="32"/>
      <c r="G2363" s="31">
        <v>2321</v>
      </c>
      <c r="H2363" s="30" t="str">
        <f t="shared" si="86"/>
        <v/>
      </c>
      <c r="I2363" s="74" t="str">
        <f t="shared" si="87"/>
        <v/>
      </c>
      <c r="J2363" s="32"/>
    </row>
    <row r="2364" spans="2:10" ht="15">
      <c r="B2364" s="31"/>
      <c r="C2364" s="30"/>
      <c r="D2364" s="119"/>
      <c r="E2364" s="32"/>
      <c r="G2364" s="31">
        <v>2322</v>
      </c>
      <c r="H2364" s="30" t="str">
        <f t="shared" si="86"/>
        <v/>
      </c>
      <c r="I2364" s="74" t="str">
        <f t="shared" si="87"/>
        <v/>
      </c>
      <c r="J2364" s="32"/>
    </row>
    <row r="2365" spans="2:10" ht="15">
      <c r="B2365" s="31"/>
      <c r="C2365" s="30"/>
      <c r="D2365" s="119"/>
      <c r="E2365" s="32"/>
      <c r="G2365" s="31">
        <v>2323</v>
      </c>
      <c r="H2365" s="30" t="str">
        <f t="shared" si="86"/>
        <v/>
      </c>
      <c r="I2365" s="74" t="str">
        <f t="shared" si="87"/>
        <v/>
      </c>
      <c r="J2365" s="32"/>
    </row>
    <row r="2366" spans="2:10" ht="15">
      <c r="B2366" s="31"/>
      <c r="C2366" s="30"/>
      <c r="D2366" s="119"/>
      <c r="E2366" s="32"/>
      <c r="G2366" s="31">
        <v>2324</v>
      </c>
      <c r="H2366" s="30" t="str">
        <f t="shared" si="86"/>
        <v/>
      </c>
      <c r="I2366" s="74" t="str">
        <f t="shared" si="87"/>
        <v/>
      </c>
      <c r="J2366" s="32"/>
    </row>
    <row r="2367" spans="2:10" ht="15">
      <c r="B2367" s="31"/>
      <c r="C2367" s="30"/>
      <c r="D2367" s="119"/>
      <c r="E2367" s="32"/>
      <c r="G2367" s="31">
        <v>2325</v>
      </c>
      <c r="H2367" s="30" t="str">
        <f t="shared" si="86"/>
        <v/>
      </c>
      <c r="I2367" s="74" t="str">
        <f t="shared" si="87"/>
        <v/>
      </c>
      <c r="J2367" s="32"/>
    </row>
    <row r="2368" spans="2:10" ht="15">
      <c r="B2368" s="31"/>
      <c r="C2368" s="30"/>
      <c r="D2368" s="119"/>
      <c r="E2368" s="32"/>
      <c r="G2368" s="31">
        <v>2326</v>
      </c>
      <c r="H2368" s="30" t="str">
        <f t="shared" si="86"/>
        <v/>
      </c>
      <c r="I2368" s="74" t="str">
        <f t="shared" si="87"/>
        <v/>
      </c>
      <c r="J2368" s="32"/>
    </row>
    <row r="2369" spans="2:10" ht="15">
      <c r="B2369" s="31"/>
      <c r="C2369" s="30"/>
      <c r="D2369" s="119"/>
      <c r="E2369" s="32"/>
      <c r="G2369" s="31">
        <v>2327</v>
      </c>
      <c r="H2369" s="30" t="str">
        <f t="shared" si="86"/>
        <v/>
      </c>
      <c r="I2369" s="74" t="str">
        <f t="shared" si="87"/>
        <v/>
      </c>
      <c r="J2369" s="32"/>
    </row>
    <row r="2370" spans="2:10" ht="15">
      <c r="B2370" s="31"/>
      <c r="C2370" s="30"/>
      <c r="D2370" s="119"/>
      <c r="E2370" s="32"/>
      <c r="G2370" s="31">
        <v>2328</v>
      </c>
      <c r="H2370" s="30" t="str">
        <f t="shared" si="86"/>
        <v/>
      </c>
      <c r="I2370" s="74" t="str">
        <f t="shared" si="87"/>
        <v/>
      </c>
      <c r="J2370" s="32"/>
    </row>
    <row r="2371" spans="2:10" ht="15">
      <c r="B2371" s="31"/>
      <c r="C2371" s="30"/>
      <c r="D2371" s="119"/>
      <c r="E2371" s="32"/>
      <c r="G2371" s="31">
        <v>2329</v>
      </c>
      <c r="H2371" s="30" t="str">
        <f t="shared" si="86"/>
        <v/>
      </c>
      <c r="I2371" s="74" t="str">
        <f t="shared" si="87"/>
        <v/>
      </c>
      <c r="J2371" s="32"/>
    </row>
    <row r="2372" spans="2:10" ht="15">
      <c r="B2372" s="31"/>
      <c r="C2372" s="30"/>
      <c r="D2372" s="119"/>
      <c r="E2372" s="32"/>
      <c r="G2372" s="31">
        <v>2330</v>
      </c>
      <c r="H2372" s="30" t="str">
        <f t="shared" si="86"/>
        <v/>
      </c>
      <c r="I2372" s="74" t="str">
        <f t="shared" si="87"/>
        <v/>
      </c>
      <c r="J2372" s="32"/>
    </row>
    <row r="2373" spans="2:10" ht="15">
      <c r="B2373" s="31"/>
      <c r="C2373" s="30"/>
      <c r="D2373" s="119"/>
      <c r="E2373" s="32"/>
      <c r="G2373" s="31">
        <v>2331</v>
      </c>
      <c r="H2373" s="30" t="str">
        <f t="shared" si="86"/>
        <v/>
      </c>
      <c r="I2373" s="74" t="str">
        <f t="shared" si="87"/>
        <v/>
      </c>
      <c r="J2373" s="32"/>
    </row>
    <row r="2374" spans="2:10" ht="15">
      <c r="B2374" s="31"/>
      <c r="C2374" s="30"/>
      <c r="D2374" s="119"/>
      <c r="E2374" s="32"/>
      <c r="G2374" s="31">
        <v>2332</v>
      </c>
      <c r="H2374" s="30" t="str">
        <f t="shared" si="86"/>
        <v/>
      </c>
      <c r="I2374" s="74" t="str">
        <f t="shared" si="87"/>
        <v/>
      </c>
      <c r="J2374" s="32"/>
    </row>
    <row r="2375" spans="2:10" ht="15">
      <c r="B2375" s="31"/>
      <c r="C2375" s="30"/>
      <c r="D2375" s="119"/>
      <c r="E2375" s="32"/>
      <c r="G2375" s="31">
        <v>2333</v>
      </c>
      <c r="H2375" s="30" t="str">
        <f t="shared" si="86"/>
        <v/>
      </c>
      <c r="I2375" s="74" t="str">
        <f t="shared" si="87"/>
        <v/>
      </c>
      <c r="J2375" s="32"/>
    </row>
    <row r="2376" spans="2:10" ht="15">
      <c r="B2376" s="31"/>
      <c r="C2376" s="30"/>
      <c r="D2376" s="119"/>
      <c r="E2376" s="32"/>
      <c r="G2376" s="31">
        <v>2334</v>
      </c>
      <c r="H2376" s="30" t="str">
        <f t="shared" si="86"/>
        <v/>
      </c>
      <c r="I2376" s="74" t="str">
        <f t="shared" si="87"/>
        <v/>
      </c>
      <c r="J2376" s="32"/>
    </row>
    <row r="2377" spans="2:10" ht="15">
      <c r="B2377" s="31"/>
      <c r="C2377" s="30"/>
      <c r="D2377" s="119"/>
      <c r="E2377" s="32"/>
      <c r="G2377" s="31">
        <v>2335</v>
      </c>
      <c r="H2377" s="30" t="str">
        <f t="shared" si="86"/>
        <v/>
      </c>
      <c r="I2377" s="74" t="str">
        <f t="shared" si="87"/>
        <v/>
      </c>
      <c r="J2377" s="32"/>
    </row>
    <row r="2378" spans="2:10" ht="15">
      <c r="B2378" s="31"/>
      <c r="C2378" s="30"/>
      <c r="D2378" s="119"/>
      <c r="E2378" s="32"/>
      <c r="G2378" s="31">
        <v>2336</v>
      </c>
      <c r="H2378" s="30" t="str">
        <f t="shared" si="86"/>
        <v/>
      </c>
      <c r="I2378" s="74" t="str">
        <f t="shared" si="87"/>
        <v/>
      </c>
      <c r="J2378" s="32"/>
    </row>
    <row r="2379" spans="2:10" ht="15">
      <c r="B2379" s="31"/>
      <c r="C2379" s="30"/>
      <c r="D2379" s="119"/>
      <c r="E2379" s="32"/>
      <c r="G2379" s="31">
        <v>2337</v>
      </c>
      <c r="H2379" s="30" t="str">
        <f t="shared" si="86"/>
        <v/>
      </c>
      <c r="I2379" s="74" t="str">
        <f t="shared" si="87"/>
        <v/>
      </c>
      <c r="J2379" s="32"/>
    </row>
    <row r="2380" spans="2:10" ht="15">
      <c r="B2380" s="31"/>
      <c r="C2380" s="30"/>
      <c r="D2380" s="119"/>
      <c r="E2380" s="32"/>
      <c r="G2380" s="31">
        <v>2338</v>
      </c>
      <c r="H2380" s="30" t="str">
        <f t="shared" si="86"/>
        <v/>
      </c>
      <c r="I2380" s="74" t="str">
        <f t="shared" si="87"/>
        <v/>
      </c>
      <c r="J2380" s="32"/>
    </row>
    <row r="2381" spans="2:10" ht="15">
      <c r="B2381" s="31"/>
      <c r="C2381" s="30"/>
      <c r="D2381" s="119"/>
      <c r="E2381" s="32"/>
      <c r="G2381" s="31">
        <v>2339</v>
      </c>
      <c r="H2381" s="30" t="str">
        <f t="shared" si="86"/>
        <v/>
      </c>
      <c r="I2381" s="74" t="str">
        <f t="shared" si="87"/>
        <v/>
      </c>
      <c r="J2381" s="32"/>
    </row>
    <row r="2382" spans="2:10" ht="15">
      <c r="B2382" s="31"/>
      <c r="C2382" s="30"/>
      <c r="D2382" s="119"/>
      <c r="E2382" s="32"/>
      <c r="G2382" s="31">
        <v>2340</v>
      </c>
      <c r="H2382" s="30" t="str">
        <f t="shared" si="86"/>
        <v/>
      </c>
      <c r="I2382" s="74" t="str">
        <f t="shared" si="87"/>
        <v/>
      </c>
      <c r="J2382" s="32"/>
    </row>
    <row r="2383" spans="2:10" ht="15">
      <c r="B2383" s="31"/>
      <c r="C2383" s="30"/>
      <c r="D2383" s="119"/>
      <c r="E2383" s="32"/>
      <c r="G2383" s="31">
        <v>2341</v>
      </c>
      <c r="H2383" s="30" t="str">
        <f t="shared" si="86"/>
        <v/>
      </c>
      <c r="I2383" s="74" t="str">
        <f t="shared" si="87"/>
        <v/>
      </c>
      <c r="J2383" s="32"/>
    </row>
    <row r="2384" spans="2:10" ht="15">
      <c r="B2384" s="31"/>
      <c r="C2384" s="30"/>
      <c r="D2384" s="119"/>
      <c r="E2384" s="32"/>
      <c r="G2384" s="31">
        <v>2342</v>
      </c>
      <c r="H2384" s="30" t="str">
        <f t="shared" si="86"/>
        <v/>
      </c>
      <c r="I2384" s="74" t="str">
        <f t="shared" si="87"/>
        <v/>
      </c>
      <c r="J2384" s="32"/>
    </row>
    <row r="2385" spans="2:10" ht="15">
      <c r="B2385" s="31"/>
      <c r="C2385" s="30"/>
      <c r="D2385" s="119"/>
      <c r="E2385" s="32"/>
      <c r="G2385" s="31">
        <v>2343</v>
      </c>
      <c r="H2385" s="30" t="str">
        <f t="shared" si="86"/>
        <v/>
      </c>
      <c r="I2385" s="74" t="str">
        <f t="shared" si="87"/>
        <v/>
      </c>
      <c r="J2385" s="32"/>
    </row>
    <row r="2386" spans="2:10" ht="15">
      <c r="B2386" s="31"/>
      <c r="C2386" s="30"/>
      <c r="D2386" s="119"/>
      <c r="E2386" s="32"/>
      <c r="G2386" s="31">
        <v>2344</v>
      </c>
      <c r="H2386" s="30" t="str">
        <f t="shared" si="86"/>
        <v/>
      </c>
      <c r="I2386" s="74" t="str">
        <f t="shared" si="87"/>
        <v/>
      </c>
      <c r="J2386" s="32"/>
    </row>
    <row r="2387" spans="2:10" ht="15">
      <c r="B2387" s="31"/>
      <c r="C2387" s="30"/>
      <c r="D2387" s="119"/>
      <c r="E2387" s="32"/>
      <c r="G2387" s="31">
        <v>2345</v>
      </c>
      <c r="H2387" s="30" t="str">
        <f t="shared" si="86"/>
        <v/>
      </c>
      <c r="I2387" s="74" t="str">
        <f t="shared" si="87"/>
        <v/>
      </c>
      <c r="J2387" s="32"/>
    </row>
    <row r="2388" spans="2:10" ht="15">
      <c r="B2388" s="31"/>
      <c r="C2388" s="30"/>
      <c r="D2388" s="119"/>
      <c r="E2388" s="32"/>
      <c r="G2388" s="31">
        <v>2346</v>
      </c>
      <c r="H2388" s="30" t="str">
        <f t="shared" si="86"/>
        <v/>
      </c>
      <c r="I2388" s="74" t="str">
        <f t="shared" si="87"/>
        <v/>
      </c>
      <c r="J2388" s="32"/>
    </row>
    <row r="2389" spans="2:10" ht="15">
      <c r="B2389" s="31"/>
      <c r="C2389" s="30"/>
      <c r="D2389" s="119"/>
      <c r="E2389" s="32"/>
      <c r="G2389" s="31">
        <v>2347</v>
      </c>
      <c r="H2389" s="30" t="str">
        <f t="shared" si="86"/>
        <v/>
      </c>
      <c r="I2389" s="74" t="str">
        <f t="shared" si="87"/>
        <v/>
      </c>
      <c r="J2389" s="32"/>
    </row>
    <row r="2390" spans="2:10" ht="15">
      <c r="B2390" s="31"/>
      <c r="C2390" s="30"/>
      <c r="D2390" s="119"/>
      <c r="E2390" s="32"/>
      <c r="G2390" s="31">
        <v>2348</v>
      </c>
      <c r="H2390" s="30" t="str">
        <f t="shared" si="86"/>
        <v/>
      </c>
      <c r="I2390" s="74" t="str">
        <f t="shared" si="87"/>
        <v/>
      </c>
      <c r="J2390" s="32"/>
    </row>
    <row r="2391" spans="2:10" ht="15">
      <c r="B2391" s="31"/>
      <c r="C2391" s="30"/>
      <c r="D2391" s="119"/>
      <c r="E2391" s="32"/>
      <c r="G2391" s="31">
        <v>2349</v>
      </c>
      <c r="H2391" s="30" t="str">
        <f t="shared" si="86"/>
        <v/>
      </c>
      <c r="I2391" s="74" t="str">
        <f t="shared" si="87"/>
        <v/>
      </c>
      <c r="J2391" s="32"/>
    </row>
    <row r="2392" spans="2:10" ht="15">
      <c r="B2392" s="31"/>
      <c r="C2392" s="30"/>
      <c r="D2392" s="119"/>
      <c r="E2392" s="32"/>
      <c r="G2392" s="31">
        <v>2350</v>
      </c>
      <c r="H2392" s="30" t="str">
        <f t="shared" si="86"/>
        <v/>
      </c>
      <c r="I2392" s="74" t="str">
        <f t="shared" si="87"/>
        <v/>
      </c>
      <c r="J2392" s="32"/>
    </row>
    <row r="2393" spans="2:10" ht="15">
      <c r="B2393" s="31"/>
      <c r="C2393" s="30"/>
      <c r="D2393" s="119"/>
      <c r="E2393" s="32"/>
      <c r="G2393" s="31">
        <v>2351</v>
      </c>
      <c r="H2393" s="30" t="str">
        <f t="shared" si="86"/>
        <v/>
      </c>
      <c r="I2393" s="74" t="str">
        <f t="shared" si="87"/>
        <v/>
      </c>
      <c r="J2393" s="32"/>
    </row>
    <row r="2394" spans="2:10" ht="15">
      <c r="B2394" s="31"/>
      <c r="C2394" s="30"/>
      <c r="D2394" s="119"/>
      <c r="E2394" s="32"/>
      <c r="G2394" s="31">
        <v>2352</v>
      </c>
      <c r="H2394" s="30" t="str">
        <f t="shared" si="86"/>
        <v/>
      </c>
      <c r="I2394" s="74" t="str">
        <f t="shared" si="87"/>
        <v/>
      </c>
      <c r="J2394" s="32"/>
    </row>
    <row r="2395" spans="2:10" ht="15">
      <c r="B2395" s="31"/>
      <c r="C2395" s="30"/>
      <c r="D2395" s="119"/>
      <c r="E2395" s="32"/>
      <c r="G2395" s="31">
        <v>2353</v>
      </c>
      <c r="H2395" s="30" t="str">
        <f t="shared" si="86"/>
        <v/>
      </c>
      <c r="I2395" s="74" t="str">
        <f t="shared" si="87"/>
        <v/>
      </c>
      <c r="J2395" s="32"/>
    </row>
    <row r="2396" spans="2:10" ht="15">
      <c r="B2396" s="31"/>
      <c r="C2396" s="30"/>
      <c r="D2396" s="119"/>
      <c r="E2396" s="32"/>
      <c r="G2396" s="31">
        <v>2354</v>
      </c>
      <c r="H2396" s="30" t="str">
        <f t="shared" si="86"/>
        <v/>
      </c>
      <c r="I2396" s="74" t="str">
        <f t="shared" si="87"/>
        <v/>
      </c>
      <c r="J2396" s="32"/>
    </row>
    <row r="2397" spans="2:10" ht="15">
      <c r="B2397" s="31"/>
      <c r="C2397" s="30"/>
      <c r="D2397" s="119"/>
      <c r="E2397" s="32"/>
      <c r="G2397" s="31">
        <v>2355</v>
      </c>
      <c r="H2397" s="30" t="str">
        <f t="shared" si="86"/>
        <v/>
      </c>
      <c r="I2397" s="74" t="str">
        <f t="shared" si="87"/>
        <v/>
      </c>
      <c r="J2397" s="32"/>
    </row>
    <row r="2398" spans="2:10" ht="15">
      <c r="B2398" s="31"/>
      <c r="C2398" s="30"/>
      <c r="D2398" s="119"/>
      <c r="E2398" s="32"/>
      <c r="G2398" s="31">
        <v>2356</v>
      </c>
      <c r="H2398" s="30" t="str">
        <f t="shared" si="86"/>
        <v/>
      </c>
      <c r="I2398" s="74" t="str">
        <f t="shared" si="87"/>
        <v/>
      </c>
      <c r="J2398" s="32"/>
    </row>
    <row r="2399" spans="2:10" ht="15">
      <c r="B2399" s="31"/>
      <c r="C2399" s="30"/>
      <c r="D2399" s="119"/>
      <c r="E2399" s="32"/>
      <c r="G2399" s="31">
        <v>2357</v>
      </c>
      <c r="H2399" s="30" t="str">
        <f t="shared" si="86"/>
        <v/>
      </c>
      <c r="I2399" s="74" t="str">
        <f t="shared" si="87"/>
        <v/>
      </c>
      <c r="J2399" s="32"/>
    </row>
    <row r="2400" spans="2:10" ht="15">
      <c r="B2400" s="31"/>
      <c r="C2400" s="30"/>
      <c r="D2400" s="119"/>
      <c r="E2400" s="32"/>
      <c r="G2400" s="31">
        <v>2358</v>
      </c>
      <c r="H2400" s="30" t="str">
        <f t="shared" si="86"/>
        <v/>
      </c>
      <c r="I2400" s="74" t="str">
        <f t="shared" si="87"/>
        <v/>
      </c>
      <c r="J2400" s="32"/>
    </row>
    <row r="2401" spans="2:10" ht="15">
      <c r="B2401" s="31"/>
      <c r="C2401" s="30"/>
      <c r="D2401" s="119"/>
      <c r="E2401" s="32"/>
      <c r="G2401" s="31">
        <v>2359</v>
      </c>
      <c r="H2401" s="30" t="str">
        <f t="shared" si="86"/>
        <v/>
      </c>
      <c r="I2401" s="74" t="str">
        <f t="shared" si="87"/>
        <v/>
      </c>
      <c r="J2401" s="32"/>
    </row>
    <row r="2402" spans="2:10" ht="15">
      <c r="B2402" s="31"/>
      <c r="C2402" s="30"/>
      <c r="D2402" s="119"/>
      <c r="E2402" s="32"/>
      <c r="G2402" s="31">
        <v>2360</v>
      </c>
      <c r="H2402" s="30" t="str">
        <f t="shared" si="86"/>
        <v/>
      </c>
      <c r="I2402" s="74" t="str">
        <f t="shared" si="87"/>
        <v/>
      </c>
      <c r="J2402" s="32"/>
    </row>
    <row r="2403" spans="2:10" ht="15">
      <c r="B2403" s="31"/>
      <c r="C2403" s="30"/>
      <c r="D2403" s="119"/>
      <c r="E2403" s="32"/>
      <c r="G2403" s="31">
        <v>2361</v>
      </c>
      <c r="H2403" s="30" t="str">
        <f t="shared" si="86"/>
        <v/>
      </c>
      <c r="I2403" s="74" t="str">
        <f t="shared" si="87"/>
        <v/>
      </c>
      <c r="J2403" s="32"/>
    </row>
    <row r="2404" spans="2:10" ht="15">
      <c r="B2404" s="31"/>
      <c r="C2404" s="30"/>
      <c r="D2404" s="119"/>
      <c r="E2404" s="32"/>
      <c r="G2404" s="31">
        <v>2362</v>
      </c>
      <c r="H2404" s="30" t="str">
        <f t="shared" si="86"/>
        <v/>
      </c>
      <c r="I2404" s="74" t="str">
        <f t="shared" si="87"/>
        <v/>
      </c>
      <c r="J2404" s="32"/>
    </row>
    <row r="2405" spans="2:10" ht="15">
      <c r="B2405" s="31"/>
      <c r="C2405" s="30"/>
      <c r="D2405" s="119"/>
      <c r="E2405" s="32"/>
      <c r="G2405" s="31">
        <v>2363</v>
      </c>
      <c r="H2405" s="30" t="str">
        <f t="shared" si="86"/>
        <v/>
      </c>
      <c r="I2405" s="74" t="str">
        <f t="shared" si="87"/>
        <v/>
      </c>
      <c r="J2405" s="32"/>
    </row>
    <row r="2406" spans="2:10" ht="15">
      <c r="B2406" s="31"/>
      <c r="C2406" s="30"/>
      <c r="D2406" s="119"/>
      <c r="E2406" s="32"/>
      <c r="G2406" s="31">
        <v>2364</v>
      </c>
      <c r="H2406" s="30" t="str">
        <f t="shared" si="86"/>
        <v/>
      </c>
      <c r="I2406" s="74" t="str">
        <f t="shared" si="87"/>
        <v/>
      </c>
      <c r="J2406" s="32"/>
    </row>
    <row r="2407" spans="2:10" ht="15">
      <c r="B2407" s="31"/>
      <c r="C2407" s="30"/>
      <c r="D2407" s="119"/>
      <c r="E2407" s="32"/>
      <c r="G2407" s="31">
        <v>2365</v>
      </c>
      <c r="H2407" s="30" t="str">
        <f t="shared" si="86"/>
        <v/>
      </c>
      <c r="I2407" s="74" t="str">
        <f t="shared" si="87"/>
        <v/>
      </c>
      <c r="J2407" s="32"/>
    </row>
    <row r="2408" spans="2:10" ht="15">
      <c r="B2408" s="31"/>
      <c r="C2408" s="30"/>
      <c r="D2408" s="119"/>
      <c r="E2408" s="32"/>
      <c r="G2408" s="31">
        <v>2366</v>
      </c>
      <c r="H2408" s="30" t="str">
        <f t="shared" si="86"/>
        <v/>
      </c>
      <c r="I2408" s="74" t="str">
        <f t="shared" si="87"/>
        <v/>
      </c>
      <c r="J2408" s="32"/>
    </row>
    <row r="2409" spans="2:10" ht="15">
      <c r="B2409" s="31"/>
      <c r="C2409" s="30"/>
      <c r="D2409" s="119"/>
      <c r="E2409" s="32"/>
      <c r="G2409" s="31">
        <v>2367</v>
      </c>
      <c r="H2409" s="30" t="str">
        <f t="shared" si="86"/>
        <v/>
      </c>
      <c r="I2409" s="74" t="str">
        <f t="shared" si="87"/>
        <v/>
      </c>
      <c r="J2409" s="32"/>
    </row>
    <row r="2410" spans="2:10" ht="15">
      <c r="B2410" s="31"/>
      <c r="C2410" s="30"/>
      <c r="D2410" s="119"/>
      <c r="E2410" s="32"/>
      <c r="G2410" s="31">
        <v>2368</v>
      </c>
      <c r="H2410" s="30" t="str">
        <f t="shared" si="86"/>
        <v/>
      </c>
      <c r="I2410" s="74" t="str">
        <f t="shared" si="87"/>
        <v/>
      </c>
      <c r="J2410" s="32"/>
    </row>
    <row r="2411" spans="2:10" ht="15">
      <c r="B2411" s="31"/>
      <c r="C2411" s="30"/>
      <c r="D2411" s="119"/>
      <c r="E2411" s="32"/>
      <c r="G2411" s="31">
        <v>2369</v>
      </c>
      <c r="H2411" s="30" t="str">
        <f t="shared" si="86"/>
        <v/>
      </c>
      <c r="I2411" s="74" t="str">
        <f t="shared" si="87"/>
        <v/>
      </c>
      <c r="J2411" s="32"/>
    </row>
    <row r="2412" spans="2:10" ht="15">
      <c r="B2412" s="31"/>
      <c r="C2412" s="30"/>
      <c r="D2412" s="119"/>
      <c r="E2412" s="32"/>
      <c r="G2412" s="31">
        <v>2370</v>
      </c>
      <c r="H2412" s="30" t="str">
        <f t="shared" ref="H2412:H2475" si="88">MID($I$41,G2412*8-7,8)</f>
        <v/>
      </c>
      <c r="I2412" s="74" t="str">
        <f t="shared" ref="I2412:I2475" si="89">IFERROR(BIN2DEC(VALUE(H2412)),"")</f>
        <v/>
      </c>
      <c r="J2412" s="32"/>
    </row>
    <row r="2413" spans="2:10" ht="15">
      <c r="B2413" s="31"/>
      <c r="C2413" s="30"/>
      <c r="D2413" s="119"/>
      <c r="E2413" s="32"/>
      <c r="G2413" s="31">
        <v>2371</v>
      </c>
      <c r="H2413" s="30" t="str">
        <f t="shared" si="88"/>
        <v/>
      </c>
      <c r="I2413" s="74" t="str">
        <f t="shared" si="89"/>
        <v/>
      </c>
      <c r="J2413" s="32"/>
    </row>
    <row r="2414" spans="2:10" ht="15">
      <c r="B2414" s="31"/>
      <c r="C2414" s="30"/>
      <c r="D2414" s="119"/>
      <c r="E2414" s="32"/>
      <c r="G2414" s="31">
        <v>2372</v>
      </c>
      <c r="H2414" s="30" t="str">
        <f t="shared" si="88"/>
        <v/>
      </c>
      <c r="I2414" s="74" t="str">
        <f t="shared" si="89"/>
        <v/>
      </c>
      <c r="J2414" s="32"/>
    </row>
    <row r="2415" spans="2:10" ht="15">
      <c r="B2415" s="31"/>
      <c r="C2415" s="30"/>
      <c r="D2415" s="119"/>
      <c r="E2415" s="32"/>
      <c r="G2415" s="31">
        <v>2373</v>
      </c>
      <c r="H2415" s="30" t="str">
        <f t="shared" si="88"/>
        <v/>
      </c>
      <c r="I2415" s="74" t="str">
        <f t="shared" si="89"/>
        <v/>
      </c>
      <c r="J2415" s="32"/>
    </row>
    <row r="2416" spans="2:10" ht="15">
      <c r="B2416" s="31"/>
      <c r="C2416" s="30"/>
      <c r="D2416" s="119"/>
      <c r="E2416" s="32"/>
      <c r="G2416" s="31">
        <v>2374</v>
      </c>
      <c r="H2416" s="30" t="str">
        <f t="shared" si="88"/>
        <v/>
      </c>
      <c r="I2416" s="74" t="str">
        <f t="shared" si="89"/>
        <v/>
      </c>
      <c r="J2416" s="32"/>
    </row>
    <row r="2417" spans="2:10" ht="15">
      <c r="B2417" s="31"/>
      <c r="C2417" s="30"/>
      <c r="D2417" s="119"/>
      <c r="E2417" s="32"/>
      <c r="G2417" s="31">
        <v>2375</v>
      </c>
      <c r="H2417" s="30" t="str">
        <f t="shared" si="88"/>
        <v/>
      </c>
      <c r="I2417" s="74" t="str">
        <f t="shared" si="89"/>
        <v/>
      </c>
      <c r="J2417" s="32"/>
    </row>
    <row r="2418" spans="2:10" ht="15">
      <c r="B2418" s="31"/>
      <c r="C2418" s="30"/>
      <c r="D2418" s="119"/>
      <c r="E2418" s="32"/>
      <c r="G2418" s="31">
        <v>2376</v>
      </c>
      <c r="H2418" s="30" t="str">
        <f t="shared" si="88"/>
        <v/>
      </c>
      <c r="I2418" s="74" t="str">
        <f t="shared" si="89"/>
        <v/>
      </c>
      <c r="J2418" s="32"/>
    </row>
    <row r="2419" spans="2:10" ht="15">
      <c r="B2419" s="31"/>
      <c r="C2419" s="30"/>
      <c r="D2419" s="119"/>
      <c r="E2419" s="32"/>
      <c r="G2419" s="31">
        <v>2377</v>
      </c>
      <c r="H2419" s="30" t="str">
        <f t="shared" si="88"/>
        <v/>
      </c>
      <c r="I2419" s="74" t="str">
        <f t="shared" si="89"/>
        <v/>
      </c>
      <c r="J2419" s="32"/>
    </row>
    <row r="2420" spans="2:10" ht="15">
      <c r="B2420" s="31"/>
      <c r="C2420" s="30"/>
      <c r="D2420" s="119"/>
      <c r="E2420" s="32"/>
      <c r="G2420" s="31">
        <v>2378</v>
      </c>
      <c r="H2420" s="30" t="str">
        <f t="shared" si="88"/>
        <v/>
      </c>
      <c r="I2420" s="74" t="str">
        <f t="shared" si="89"/>
        <v/>
      </c>
      <c r="J2420" s="32"/>
    </row>
    <row r="2421" spans="2:10" ht="15">
      <c r="B2421" s="31"/>
      <c r="C2421" s="30"/>
      <c r="D2421" s="119"/>
      <c r="E2421" s="32"/>
      <c r="G2421" s="31">
        <v>2379</v>
      </c>
      <c r="H2421" s="30" t="str">
        <f t="shared" si="88"/>
        <v/>
      </c>
      <c r="I2421" s="74" t="str">
        <f t="shared" si="89"/>
        <v/>
      </c>
      <c r="J2421" s="32"/>
    </row>
    <row r="2422" spans="2:10" ht="15">
      <c r="B2422" s="31"/>
      <c r="C2422" s="30"/>
      <c r="D2422" s="119"/>
      <c r="E2422" s="32"/>
      <c r="G2422" s="31">
        <v>2380</v>
      </c>
      <c r="H2422" s="30" t="str">
        <f t="shared" si="88"/>
        <v/>
      </c>
      <c r="I2422" s="74" t="str">
        <f t="shared" si="89"/>
        <v/>
      </c>
      <c r="J2422" s="32"/>
    </row>
    <row r="2423" spans="2:10" ht="15">
      <c r="B2423" s="31"/>
      <c r="C2423" s="30"/>
      <c r="D2423" s="119"/>
      <c r="E2423" s="32"/>
      <c r="G2423" s="31">
        <v>2381</v>
      </c>
      <c r="H2423" s="30" t="str">
        <f t="shared" si="88"/>
        <v/>
      </c>
      <c r="I2423" s="74" t="str">
        <f t="shared" si="89"/>
        <v/>
      </c>
      <c r="J2423" s="32"/>
    </row>
    <row r="2424" spans="2:10" ht="15">
      <c r="B2424" s="31"/>
      <c r="C2424" s="30"/>
      <c r="D2424" s="119"/>
      <c r="E2424" s="32"/>
      <c r="G2424" s="31">
        <v>2382</v>
      </c>
      <c r="H2424" s="30" t="str">
        <f t="shared" si="88"/>
        <v/>
      </c>
      <c r="I2424" s="74" t="str">
        <f t="shared" si="89"/>
        <v/>
      </c>
      <c r="J2424" s="32"/>
    </row>
    <row r="2425" spans="2:10" ht="15">
      <c r="B2425" s="31"/>
      <c r="C2425" s="30"/>
      <c r="D2425" s="119"/>
      <c r="E2425" s="32"/>
      <c r="G2425" s="31">
        <v>2383</v>
      </c>
      <c r="H2425" s="30" t="str">
        <f t="shared" si="88"/>
        <v/>
      </c>
      <c r="I2425" s="74" t="str">
        <f t="shared" si="89"/>
        <v/>
      </c>
      <c r="J2425" s="32"/>
    </row>
    <row r="2426" spans="2:10" ht="15">
      <c r="B2426" s="31"/>
      <c r="C2426" s="30"/>
      <c r="D2426" s="119"/>
      <c r="E2426" s="32"/>
      <c r="G2426" s="31">
        <v>2384</v>
      </c>
      <c r="H2426" s="30" t="str">
        <f t="shared" si="88"/>
        <v/>
      </c>
      <c r="I2426" s="74" t="str">
        <f t="shared" si="89"/>
        <v/>
      </c>
      <c r="J2426" s="32"/>
    </row>
    <row r="2427" spans="2:10" ht="15">
      <c r="B2427" s="31"/>
      <c r="C2427" s="30"/>
      <c r="D2427" s="119"/>
      <c r="E2427" s="32"/>
      <c r="G2427" s="31">
        <v>2385</v>
      </c>
      <c r="H2427" s="30" t="str">
        <f t="shared" si="88"/>
        <v/>
      </c>
      <c r="I2427" s="74" t="str">
        <f t="shared" si="89"/>
        <v/>
      </c>
      <c r="J2427" s="32"/>
    </row>
    <row r="2428" spans="2:10" ht="15">
      <c r="B2428" s="31"/>
      <c r="C2428" s="30"/>
      <c r="D2428" s="119"/>
      <c r="E2428" s="32"/>
      <c r="G2428" s="31">
        <v>2386</v>
      </c>
      <c r="H2428" s="30" t="str">
        <f t="shared" si="88"/>
        <v/>
      </c>
      <c r="I2428" s="74" t="str">
        <f t="shared" si="89"/>
        <v/>
      </c>
      <c r="J2428" s="32"/>
    </row>
    <row r="2429" spans="2:10" ht="15">
      <c r="B2429" s="31"/>
      <c r="C2429" s="30"/>
      <c r="D2429" s="119"/>
      <c r="E2429" s="32"/>
      <c r="G2429" s="31">
        <v>2387</v>
      </c>
      <c r="H2429" s="30" t="str">
        <f t="shared" si="88"/>
        <v/>
      </c>
      <c r="I2429" s="74" t="str">
        <f t="shared" si="89"/>
        <v/>
      </c>
      <c r="J2429" s="32"/>
    </row>
    <row r="2430" spans="2:10" ht="15">
      <c r="B2430" s="31"/>
      <c r="C2430" s="30"/>
      <c r="D2430" s="119"/>
      <c r="E2430" s="32"/>
      <c r="G2430" s="31">
        <v>2388</v>
      </c>
      <c r="H2430" s="30" t="str">
        <f t="shared" si="88"/>
        <v/>
      </c>
      <c r="I2430" s="74" t="str">
        <f t="shared" si="89"/>
        <v/>
      </c>
      <c r="J2430" s="32"/>
    </row>
    <row r="2431" spans="2:10" ht="15">
      <c r="B2431" s="31"/>
      <c r="C2431" s="30"/>
      <c r="D2431" s="119"/>
      <c r="E2431" s="32"/>
      <c r="G2431" s="31">
        <v>2389</v>
      </c>
      <c r="H2431" s="30" t="str">
        <f t="shared" si="88"/>
        <v/>
      </c>
      <c r="I2431" s="74" t="str">
        <f t="shared" si="89"/>
        <v/>
      </c>
      <c r="J2431" s="32"/>
    </row>
    <row r="2432" spans="2:10" ht="15">
      <c r="B2432" s="31"/>
      <c r="C2432" s="30"/>
      <c r="D2432" s="119"/>
      <c r="E2432" s="32"/>
      <c r="G2432" s="31">
        <v>2390</v>
      </c>
      <c r="H2432" s="30" t="str">
        <f t="shared" si="88"/>
        <v/>
      </c>
      <c r="I2432" s="74" t="str">
        <f t="shared" si="89"/>
        <v/>
      </c>
      <c r="J2432" s="32"/>
    </row>
    <row r="2433" spans="2:10" ht="15">
      <c r="B2433" s="31"/>
      <c r="C2433" s="30"/>
      <c r="D2433" s="119"/>
      <c r="E2433" s="32"/>
      <c r="G2433" s="31">
        <v>2391</v>
      </c>
      <c r="H2433" s="30" t="str">
        <f t="shared" si="88"/>
        <v/>
      </c>
      <c r="I2433" s="74" t="str">
        <f t="shared" si="89"/>
        <v/>
      </c>
      <c r="J2433" s="32"/>
    </row>
    <row r="2434" spans="2:10" ht="15">
      <c r="B2434" s="31"/>
      <c r="C2434" s="30"/>
      <c r="D2434" s="119"/>
      <c r="E2434" s="32"/>
      <c r="G2434" s="31">
        <v>2392</v>
      </c>
      <c r="H2434" s="30" t="str">
        <f t="shared" si="88"/>
        <v/>
      </c>
      <c r="I2434" s="74" t="str">
        <f t="shared" si="89"/>
        <v/>
      </c>
      <c r="J2434" s="32"/>
    </row>
    <row r="2435" spans="2:10" ht="15">
      <c r="B2435" s="31"/>
      <c r="C2435" s="30"/>
      <c r="D2435" s="119"/>
      <c r="E2435" s="32"/>
      <c r="G2435" s="31">
        <v>2393</v>
      </c>
      <c r="H2435" s="30" t="str">
        <f t="shared" si="88"/>
        <v/>
      </c>
      <c r="I2435" s="74" t="str">
        <f t="shared" si="89"/>
        <v/>
      </c>
      <c r="J2435" s="32"/>
    </row>
    <row r="2436" spans="2:10" ht="15">
      <c r="B2436" s="31"/>
      <c r="C2436" s="30"/>
      <c r="D2436" s="119"/>
      <c r="E2436" s="32"/>
      <c r="G2436" s="31">
        <v>2394</v>
      </c>
      <c r="H2436" s="30" t="str">
        <f t="shared" si="88"/>
        <v/>
      </c>
      <c r="I2436" s="74" t="str">
        <f t="shared" si="89"/>
        <v/>
      </c>
      <c r="J2436" s="32"/>
    </row>
    <row r="2437" spans="2:10" ht="15">
      <c r="B2437" s="31"/>
      <c r="C2437" s="30"/>
      <c r="D2437" s="119"/>
      <c r="E2437" s="32"/>
      <c r="G2437" s="31">
        <v>2395</v>
      </c>
      <c r="H2437" s="30" t="str">
        <f t="shared" si="88"/>
        <v/>
      </c>
      <c r="I2437" s="74" t="str">
        <f t="shared" si="89"/>
        <v/>
      </c>
      <c r="J2437" s="32"/>
    </row>
    <row r="2438" spans="2:10" ht="15">
      <c r="B2438" s="31"/>
      <c r="C2438" s="30"/>
      <c r="D2438" s="119"/>
      <c r="E2438" s="32"/>
      <c r="G2438" s="31">
        <v>2396</v>
      </c>
      <c r="H2438" s="30" t="str">
        <f t="shared" si="88"/>
        <v/>
      </c>
      <c r="I2438" s="74" t="str">
        <f t="shared" si="89"/>
        <v/>
      </c>
      <c r="J2438" s="32"/>
    </row>
    <row r="2439" spans="2:10" ht="15">
      <c r="B2439" s="31"/>
      <c r="C2439" s="30"/>
      <c r="D2439" s="119"/>
      <c r="E2439" s="32"/>
      <c r="G2439" s="31">
        <v>2397</v>
      </c>
      <c r="H2439" s="30" t="str">
        <f t="shared" si="88"/>
        <v/>
      </c>
      <c r="I2439" s="74" t="str">
        <f t="shared" si="89"/>
        <v/>
      </c>
      <c r="J2439" s="32"/>
    </row>
    <row r="2440" spans="2:10" ht="15">
      <c r="B2440" s="31"/>
      <c r="C2440" s="30"/>
      <c r="D2440" s="119"/>
      <c r="E2440" s="32"/>
      <c r="G2440" s="31">
        <v>2398</v>
      </c>
      <c r="H2440" s="30" t="str">
        <f t="shared" si="88"/>
        <v/>
      </c>
      <c r="I2440" s="74" t="str">
        <f t="shared" si="89"/>
        <v/>
      </c>
      <c r="J2440" s="32"/>
    </row>
    <row r="2441" spans="2:10" ht="15">
      <c r="B2441" s="31"/>
      <c r="C2441" s="30"/>
      <c r="D2441" s="119"/>
      <c r="E2441" s="32"/>
      <c r="G2441" s="31">
        <v>2399</v>
      </c>
      <c r="H2441" s="30" t="str">
        <f t="shared" si="88"/>
        <v/>
      </c>
      <c r="I2441" s="74" t="str">
        <f t="shared" si="89"/>
        <v/>
      </c>
      <c r="J2441" s="32"/>
    </row>
    <row r="2442" spans="2:10" ht="15">
      <c r="B2442" s="31"/>
      <c r="C2442" s="30"/>
      <c r="D2442" s="119"/>
      <c r="E2442" s="32"/>
      <c r="G2442" s="31">
        <v>2400</v>
      </c>
      <c r="H2442" s="30" t="str">
        <f t="shared" si="88"/>
        <v/>
      </c>
      <c r="I2442" s="74" t="str">
        <f t="shared" si="89"/>
        <v/>
      </c>
      <c r="J2442" s="32"/>
    </row>
    <row r="2443" spans="2:10" ht="15">
      <c r="B2443" s="31"/>
      <c r="C2443" s="30"/>
      <c r="D2443" s="119"/>
      <c r="E2443" s="32"/>
      <c r="G2443" s="31">
        <v>2401</v>
      </c>
      <c r="H2443" s="30" t="str">
        <f t="shared" si="88"/>
        <v/>
      </c>
      <c r="I2443" s="74" t="str">
        <f t="shared" si="89"/>
        <v/>
      </c>
      <c r="J2443" s="32"/>
    </row>
    <row r="2444" spans="2:10" ht="15">
      <c r="B2444" s="31"/>
      <c r="C2444" s="30"/>
      <c r="D2444" s="119"/>
      <c r="E2444" s="32"/>
      <c r="G2444" s="31">
        <v>2402</v>
      </c>
      <c r="H2444" s="30" t="str">
        <f t="shared" si="88"/>
        <v/>
      </c>
      <c r="I2444" s="74" t="str">
        <f t="shared" si="89"/>
        <v/>
      </c>
      <c r="J2444" s="32"/>
    </row>
    <row r="2445" spans="2:10" ht="15">
      <c r="B2445" s="31"/>
      <c r="C2445" s="30"/>
      <c r="D2445" s="119"/>
      <c r="E2445" s="32"/>
      <c r="G2445" s="31">
        <v>2403</v>
      </c>
      <c r="H2445" s="30" t="str">
        <f t="shared" si="88"/>
        <v/>
      </c>
      <c r="I2445" s="74" t="str">
        <f t="shared" si="89"/>
        <v/>
      </c>
      <c r="J2445" s="32"/>
    </row>
    <row r="2446" spans="2:10" ht="15">
      <c r="B2446" s="31"/>
      <c r="C2446" s="30"/>
      <c r="D2446" s="119"/>
      <c r="E2446" s="32"/>
      <c r="G2446" s="31">
        <v>2404</v>
      </c>
      <c r="H2446" s="30" t="str">
        <f t="shared" si="88"/>
        <v/>
      </c>
      <c r="I2446" s="74" t="str">
        <f t="shared" si="89"/>
        <v/>
      </c>
      <c r="J2446" s="32"/>
    </row>
    <row r="2447" spans="2:10" ht="15">
      <c r="B2447" s="31"/>
      <c r="C2447" s="30"/>
      <c r="D2447" s="119"/>
      <c r="E2447" s="32"/>
      <c r="G2447" s="31">
        <v>2405</v>
      </c>
      <c r="H2447" s="30" t="str">
        <f t="shared" si="88"/>
        <v/>
      </c>
      <c r="I2447" s="74" t="str">
        <f t="shared" si="89"/>
        <v/>
      </c>
      <c r="J2447" s="32"/>
    </row>
    <row r="2448" spans="2:10" ht="15">
      <c r="B2448" s="31"/>
      <c r="C2448" s="30"/>
      <c r="D2448" s="119"/>
      <c r="E2448" s="32"/>
      <c r="G2448" s="31">
        <v>2406</v>
      </c>
      <c r="H2448" s="30" t="str">
        <f t="shared" si="88"/>
        <v/>
      </c>
      <c r="I2448" s="74" t="str">
        <f t="shared" si="89"/>
        <v/>
      </c>
      <c r="J2448" s="32"/>
    </row>
    <row r="2449" spans="2:10" ht="15">
      <c r="B2449" s="31"/>
      <c r="C2449" s="30"/>
      <c r="D2449" s="119"/>
      <c r="E2449" s="32"/>
      <c r="G2449" s="31">
        <v>2407</v>
      </c>
      <c r="H2449" s="30" t="str">
        <f t="shared" si="88"/>
        <v/>
      </c>
      <c r="I2449" s="74" t="str">
        <f t="shared" si="89"/>
        <v/>
      </c>
      <c r="J2449" s="32"/>
    </row>
    <row r="2450" spans="2:10" ht="15">
      <c r="B2450" s="31"/>
      <c r="C2450" s="30"/>
      <c r="D2450" s="119"/>
      <c r="E2450" s="32"/>
      <c r="G2450" s="31">
        <v>2408</v>
      </c>
      <c r="H2450" s="30" t="str">
        <f t="shared" si="88"/>
        <v/>
      </c>
      <c r="I2450" s="74" t="str">
        <f t="shared" si="89"/>
        <v/>
      </c>
      <c r="J2450" s="32"/>
    </row>
    <row r="2451" spans="2:10" ht="15">
      <c r="B2451" s="31"/>
      <c r="C2451" s="30"/>
      <c r="D2451" s="119"/>
      <c r="E2451" s="32"/>
      <c r="G2451" s="31">
        <v>2409</v>
      </c>
      <c r="H2451" s="30" t="str">
        <f t="shared" si="88"/>
        <v/>
      </c>
      <c r="I2451" s="74" t="str">
        <f t="shared" si="89"/>
        <v/>
      </c>
      <c r="J2451" s="32"/>
    </row>
    <row r="2452" spans="2:10" ht="15">
      <c r="B2452" s="31"/>
      <c r="C2452" s="30"/>
      <c r="D2452" s="119"/>
      <c r="E2452" s="32"/>
      <c r="G2452" s="31">
        <v>2410</v>
      </c>
      <c r="H2452" s="30" t="str">
        <f t="shared" si="88"/>
        <v/>
      </c>
      <c r="I2452" s="74" t="str">
        <f t="shared" si="89"/>
        <v/>
      </c>
      <c r="J2452" s="32"/>
    </row>
    <row r="2453" spans="2:10" ht="15">
      <c r="B2453" s="31"/>
      <c r="C2453" s="30"/>
      <c r="D2453" s="119"/>
      <c r="E2453" s="32"/>
      <c r="G2453" s="31">
        <v>2411</v>
      </c>
      <c r="H2453" s="30" t="str">
        <f t="shared" si="88"/>
        <v/>
      </c>
      <c r="I2453" s="74" t="str">
        <f t="shared" si="89"/>
        <v/>
      </c>
      <c r="J2453" s="32"/>
    </row>
    <row r="2454" spans="2:10" ht="15">
      <c r="B2454" s="31"/>
      <c r="C2454" s="30"/>
      <c r="D2454" s="119"/>
      <c r="E2454" s="32"/>
      <c r="G2454" s="31">
        <v>2412</v>
      </c>
      <c r="H2454" s="30" t="str">
        <f t="shared" si="88"/>
        <v/>
      </c>
      <c r="I2454" s="74" t="str">
        <f t="shared" si="89"/>
        <v/>
      </c>
      <c r="J2454" s="32"/>
    </row>
    <row r="2455" spans="2:10" ht="15">
      <c r="B2455" s="31"/>
      <c r="C2455" s="30"/>
      <c r="D2455" s="119"/>
      <c r="E2455" s="32"/>
      <c r="G2455" s="31">
        <v>2413</v>
      </c>
      <c r="H2455" s="30" t="str">
        <f t="shared" si="88"/>
        <v/>
      </c>
      <c r="I2455" s="74" t="str">
        <f t="shared" si="89"/>
        <v/>
      </c>
      <c r="J2455" s="32"/>
    </row>
    <row r="2456" spans="2:10" ht="15">
      <c r="B2456" s="31"/>
      <c r="C2456" s="30"/>
      <c r="D2456" s="119"/>
      <c r="E2456" s="32"/>
      <c r="G2456" s="31">
        <v>2414</v>
      </c>
      <c r="H2456" s="30" t="str">
        <f t="shared" si="88"/>
        <v/>
      </c>
      <c r="I2456" s="74" t="str">
        <f t="shared" si="89"/>
        <v/>
      </c>
      <c r="J2456" s="32"/>
    </row>
    <row r="2457" spans="2:10" ht="15">
      <c r="B2457" s="31"/>
      <c r="C2457" s="30"/>
      <c r="D2457" s="119"/>
      <c r="E2457" s="32"/>
      <c r="G2457" s="31">
        <v>2415</v>
      </c>
      <c r="H2457" s="30" t="str">
        <f t="shared" si="88"/>
        <v/>
      </c>
      <c r="I2457" s="74" t="str">
        <f t="shared" si="89"/>
        <v/>
      </c>
      <c r="J2457" s="32"/>
    </row>
    <row r="2458" spans="2:10" ht="15">
      <c r="B2458" s="31"/>
      <c r="C2458" s="30"/>
      <c r="D2458" s="119"/>
      <c r="E2458" s="32"/>
      <c r="G2458" s="31">
        <v>2416</v>
      </c>
      <c r="H2458" s="30" t="str">
        <f t="shared" si="88"/>
        <v/>
      </c>
      <c r="I2458" s="74" t="str">
        <f t="shared" si="89"/>
        <v/>
      </c>
      <c r="J2458" s="32"/>
    </row>
    <row r="2459" spans="2:10" ht="15">
      <c r="B2459" s="31"/>
      <c r="C2459" s="30"/>
      <c r="D2459" s="119"/>
      <c r="E2459" s="32"/>
      <c r="G2459" s="31">
        <v>2417</v>
      </c>
      <c r="H2459" s="30" t="str">
        <f t="shared" si="88"/>
        <v/>
      </c>
      <c r="I2459" s="74" t="str">
        <f t="shared" si="89"/>
        <v/>
      </c>
      <c r="J2459" s="32"/>
    </row>
    <row r="2460" spans="2:10" ht="15">
      <c r="B2460" s="31"/>
      <c r="C2460" s="30"/>
      <c r="D2460" s="119"/>
      <c r="E2460" s="32"/>
      <c r="G2460" s="31">
        <v>2418</v>
      </c>
      <c r="H2460" s="30" t="str">
        <f t="shared" si="88"/>
        <v/>
      </c>
      <c r="I2460" s="74" t="str">
        <f t="shared" si="89"/>
        <v/>
      </c>
      <c r="J2460" s="32"/>
    </row>
    <row r="2461" spans="2:10" ht="15">
      <c r="B2461" s="31"/>
      <c r="C2461" s="30"/>
      <c r="D2461" s="119"/>
      <c r="E2461" s="32"/>
      <c r="G2461" s="31">
        <v>2419</v>
      </c>
      <c r="H2461" s="30" t="str">
        <f t="shared" si="88"/>
        <v/>
      </c>
      <c r="I2461" s="74" t="str">
        <f t="shared" si="89"/>
        <v/>
      </c>
      <c r="J2461" s="32"/>
    </row>
    <row r="2462" spans="2:10" ht="15">
      <c r="B2462" s="31"/>
      <c r="C2462" s="30"/>
      <c r="D2462" s="119"/>
      <c r="E2462" s="32"/>
      <c r="G2462" s="31">
        <v>2420</v>
      </c>
      <c r="H2462" s="30" t="str">
        <f t="shared" si="88"/>
        <v/>
      </c>
      <c r="I2462" s="74" t="str">
        <f t="shared" si="89"/>
        <v/>
      </c>
      <c r="J2462" s="32"/>
    </row>
    <row r="2463" spans="2:10" ht="15">
      <c r="B2463" s="31"/>
      <c r="C2463" s="30"/>
      <c r="D2463" s="119"/>
      <c r="E2463" s="32"/>
      <c r="G2463" s="31">
        <v>2421</v>
      </c>
      <c r="H2463" s="30" t="str">
        <f t="shared" si="88"/>
        <v/>
      </c>
      <c r="I2463" s="74" t="str">
        <f t="shared" si="89"/>
        <v/>
      </c>
      <c r="J2463" s="32"/>
    </row>
    <row r="2464" spans="2:10" ht="15">
      <c r="B2464" s="31"/>
      <c r="C2464" s="30"/>
      <c r="D2464" s="119"/>
      <c r="E2464" s="32"/>
      <c r="G2464" s="31">
        <v>2422</v>
      </c>
      <c r="H2464" s="30" t="str">
        <f t="shared" si="88"/>
        <v/>
      </c>
      <c r="I2464" s="74" t="str">
        <f t="shared" si="89"/>
        <v/>
      </c>
      <c r="J2464" s="32"/>
    </row>
    <row r="2465" spans="2:10" ht="15">
      <c r="B2465" s="31"/>
      <c r="C2465" s="30"/>
      <c r="D2465" s="119"/>
      <c r="E2465" s="32"/>
      <c r="G2465" s="31">
        <v>2423</v>
      </c>
      <c r="H2465" s="30" t="str">
        <f t="shared" si="88"/>
        <v/>
      </c>
      <c r="I2465" s="74" t="str">
        <f t="shared" si="89"/>
        <v/>
      </c>
      <c r="J2465" s="32"/>
    </row>
    <row r="2466" spans="2:10" ht="15">
      <c r="B2466" s="31"/>
      <c r="C2466" s="30"/>
      <c r="D2466" s="119"/>
      <c r="E2466" s="32"/>
      <c r="G2466" s="31">
        <v>2424</v>
      </c>
      <c r="H2466" s="30" t="str">
        <f t="shared" si="88"/>
        <v/>
      </c>
      <c r="I2466" s="74" t="str">
        <f t="shared" si="89"/>
        <v/>
      </c>
      <c r="J2466" s="32"/>
    </row>
    <row r="2467" spans="2:10" ht="15">
      <c r="B2467" s="31"/>
      <c r="C2467" s="30"/>
      <c r="D2467" s="119"/>
      <c r="E2467" s="32"/>
      <c r="G2467" s="31">
        <v>2425</v>
      </c>
      <c r="H2467" s="30" t="str">
        <f t="shared" si="88"/>
        <v/>
      </c>
      <c r="I2467" s="74" t="str">
        <f t="shared" si="89"/>
        <v/>
      </c>
      <c r="J2467" s="32"/>
    </row>
    <row r="2468" spans="2:10" ht="15">
      <c r="B2468" s="31"/>
      <c r="C2468" s="30"/>
      <c r="D2468" s="119"/>
      <c r="E2468" s="32"/>
      <c r="G2468" s="31">
        <v>2426</v>
      </c>
      <c r="H2468" s="30" t="str">
        <f t="shared" si="88"/>
        <v/>
      </c>
      <c r="I2468" s="74" t="str">
        <f t="shared" si="89"/>
        <v/>
      </c>
      <c r="J2468" s="32"/>
    </row>
    <row r="2469" spans="2:10" ht="15">
      <c r="B2469" s="31"/>
      <c r="C2469" s="30"/>
      <c r="D2469" s="119"/>
      <c r="E2469" s="32"/>
      <c r="G2469" s="31">
        <v>2427</v>
      </c>
      <c r="H2469" s="30" t="str">
        <f t="shared" si="88"/>
        <v/>
      </c>
      <c r="I2469" s="74" t="str">
        <f t="shared" si="89"/>
        <v/>
      </c>
      <c r="J2469" s="32"/>
    </row>
    <row r="2470" spans="2:10" ht="15">
      <c r="B2470" s="31"/>
      <c r="C2470" s="30"/>
      <c r="D2470" s="119"/>
      <c r="E2470" s="32"/>
      <c r="G2470" s="31">
        <v>2428</v>
      </c>
      <c r="H2470" s="30" t="str">
        <f t="shared" si="88"/>
        <v/>
      </c>
      <c r="I2470" s="74" t="str">
        <f t="shared" si="89"/>
        <v/>
      </c>
      <c r="J2470" s="32"/>
    </row>
    <row r="2471" spans="2:10" ht="15">
      <c r="B2471" s="31"/>
      <c r="C2471" s="30"/>
      <c r="D2471" s="119"/>
      <c r="E2471" s="32"/>
      <c r="G2471" s="31">
        <v>2429</v>
      </c>
      <c r="H2471" s="30" t="str">
        <f t="shared" si="88"/>
        <v/>
      </c>
      <c r="I2471" s="74" t="str">
        <f t="shared" si="89"/>
        <v/>
      </c>
      <c r="J2471" s="32"/>
    </row>
    <row r="2472" spans="2:10" ht="15">
      <c r="B2472" s="31"/>
      <c r="C2472" s="30"/>
      <c r="D2472" s="119"/>
      <c r="E2472" s="32"/>
      <c r="G2472" s="31">
        <v>2430</v>
      </c>
      <c r="H2472" s="30" t="str">
        <f t="shared" si="88"/>
        <v/>
      </c>
      <c r="I2472" s="74" t="str">
        <f t="shared" si="89"/>
        <v/>
      </c>
      <c r="J2472" s="32"/>
    </row>
    <row r="2473" spans="2:10" ht="15">
      <c r="B2473" s="31"/>
      <c r="C2473" s="30"/>
      <c r="D2473" s="119"/>
      <c r="E2473" s="32"/>
      <c r="G2473" s="31">
        <v>2431</v>
      </c>
      <c r="H2473" s="30" t="str">
        <f t="shared" si="88"/>
        <v/>
      </c>
      <c r="I2473" s="74" t="str">
        <f t="shared" si="89"/>
        <v/>
      </c>
      <c r="J2473" s="32"/>
    </row>
    <row r="2474" spans="2:10" ht="15">
      <c r="B2474" s="31"/>
      <c r="C2474" s="30"/>
      <c r="D2474" s="119"/>
      <c r="E2474" s="32"/>
      <c r="G2474" s="31">
        <v>2432</v>
      </c>
      <c r="H2474" s="30" t="str">
        <f t="shared" si="88"/>
        <v/>
      </c>
      <c r="I2474" s="74" t="str">
        <f t="shared" si="89"/>
        <v/>
      </c>
      <c r="J2474" s="32"/>
    </row>
    <row r="2475" spans="2:10" ht="15">
      <c r="B2475" s="31"/>
      <c r="C2475" s="30"/>
      <c r="D2475" s="119"/>
      <c r="E2475" s="32"/>
      <c r="G2475" s="31">
        <v>2433</v>
      </c>
      <c r="H2475" s="30" t="str">
        <f t="shared" si="88"/>
        <v/>
      </c>
      <c r="I2475" s="74" t="str">
        <f t="shared" si="89"/>
        <v/>
      </c>
      <c r="J2475" s="32"/>
    </row>
    <row r="2476" spans="2:10" ht="15">
      <c r="B2476" s="31"/>
      <c r="C2476" s="30"/>
      <c r="D2476" s="119"/>
      <c r="E2476" s="32"/>
      <c r="G2476" s="31">
        <v>2434</v>
      </c>
      <c r="H2476" s="30" t="str">
        <f t="shared" ref="H2476:H2539" si="90">MID($I$41,G2476*8-7,8)</f>
        <v/>
      </c>
      <c r="I2476" s="74" t="str">
        <f t="shared" ref="I2476:I2539" si="91">IFERROR(BIN2DEC(VALUE(H2476)),"")</f>
        <v/>
      </c>
      <c r="J2476" s="32"/>
    </row>
    <row r="2477" spans="2:10" ht="15">
      <c r="B2477" s="31"/>
      <c r="C2477" s="30"/>
      <c r="D2477" s="119"/>
      <c r="E2477" s="32"/>
      <c r="G2477" s="31">
        <v>2435</v>
      </c>
      <c r="H2477" s="30" t="str">
        <f t="shared" si="90"/>
        <v/>
      </c>
      <c r="I2477" s="74" t="str">
        <f t="shared" si="91"/>
        <v/>
      </c>
      <c r="J2477" s="32"/>
    </row>
    <row r="2478" spans="2:10" ht="15">
      <c r="B2478" s="31"/>
      <c r="C2478" s="30"/>
      <c r="D2478" s="119"/>
      <c r="E2478" s="32"/>
      <c r="G2478" s="31">
        <v>2436</v>
      </c>
      <c r="H2478" s="30" t="str">
        <f t="shared" si="90"/>
        <v/>
      </c>
      <c r="I2478" s="74" t="str">
        <f t="shared" si="91"/>
        <v/>
      </c>
      <c r="J2478" s="32"/>
    </row>
    <row r="2479" spans="2:10" ht="15">
      <c r="B2479" s="31"/>
      <c r="C2479" s="30"/>
      <c r="D2479" s="119"/>
      <c r="E2479" s="32"/>
      <c r="G2479" s="31">
        <v>2437</v>
      </c>
      <c r="H2479" s="30" t="str">
        <f t="shared" si="90"/>
        <v/>
      </c>
      <c r="I2479" s="74" t="str">
        <f t="shared" si="91"/>
        <v/>
      </c>
      <c r="J2479" s="32"/>
    </row>
    <row r="2480" spans="2:10" ht="15">
      <c r="B2480" s="31"/>
      <c r="C2480" s="30"/>
      <c r="D2480" s="119"/>
      <c r="E2480" s="32"/>
      <c r="G2480" s="31">
        <v>2438</v>
      </c>
      <c r="H2480" s="30" t="str">
        <f t="shared" si="90"/>
        <v/>
      </c>
      <c r="I2480" s="74" t="str">
        <f t="shared" si="91"/>
        <v/>
      </c>
      <c r="J2480" s="32"/>
    </row>
    <row r="2481" spans="2:10" ht="15">
      <c r="B2481" s="31"/>
      <c r="C2481" s="30"/>
      <c r="D2481" s="119"/>
      <c r="E2481" s="32"/>
      <c r="G2481" s="31">
        <v>2439</v>
      </c>
      <c r="H2481" s="30" t="str">
        <f t="shared" si="90"/>
        <v/>
      </c>
      <c r="I2481" s="74" t="str">
        <f t="shared" si="91"/>
        <v/>
      </c>
      <c r="J2481" s="32"/>
    </row>
    <row r="2482" spans="2:10" ht="15">
      <c r="B2482" s="31"/>
      <c r="C2482" s="30"/>
      <c r="D2482" s="119"/>
      <c r="E2482" s="32"/>
      <c r="G2482" s="31">
        <v>2440</v>
      </c>
      <c r="H2482" s="30" t="str">
        <f t="shared" si="90"/>
        <v/>
      </c>
      <c r="I2482" s="74" t="str">
        <f t="shared" si="91"/>
        <v/>
      </c>
      <c r="J2482" s="32"/>
    </row>
    <row r="2483" spans="2:10" ht="15">
      <c r="B2483" s="31"/>
      <c r="C2483" s="30"/>
      <c r="D2483" s="119"/>
      <c r="E2483" s="32"/>
      <c r="G2483" s="31">
        <v>2441</v>
      </c>
      <c r="H2483" s="30" t="str">
        <f t="shared" si="90"/>
        <v/>
      </c>
      <c r="I2483" s="74" t="str">
        <f t="shared" si="91"/>
        <v/>
      </c>
      <c r="J2483" s="32"/>
    </row>
    <row r="2484" spans="2:10" ht="15">
      <c r="B2484" s="31"/>
      <c r="C2484" s="30"/>
      <c r="D2484" s="119"/>
      <c r="E2484" s="32"/>
      <c r="G2484" s="31">
        <v>2442</v>
      </c>
      <c r="H2484" s="30" t="str">
        <f t="shared" si="90"/>
        <v/>
      </c>
      <c r="I2484" s="74" t="str">
        <f t="shared" si="91"/>
        <v/>
      </c>
      <c r="J2484" s="32"/>
    </row>
    <row r="2485" spans="2:10" ht="15">
      <c r="B2485" s="31"/>
      <c r="C2485" s="30"/>
      <c r="D2485" s="119"/>
      <c r="E2485" s="32"/>
      <c r="G2485" s="31">
        <v>2443</v>
      </c>
      <c r="H2485" s="30" t="str">
        <f t="shared" si="90"/>
        <v/>
      </c>
      <c r="I2485" s="74" t="str">
        <f t="shared" si="91"/>
        <v/>
      </c>
      <c r="J2485" s="32"/>
    </row>
    <row r="2486" spans="2:10" ht="15">
      <c r="B2486" s="31"/>
      <c r="C2486" s="30"/>
      <c r="D2486" s="119"/>
      <c r="E2486" s="32"/>
      <c r="G2486" s="31">
        <v>2444</v>
      </c>
      <c r="H2486" s="30" t="str">
        <f t="shared" si="90"/>
        <v/>
      </c>
      <c r="I2486" s="74" t="str">
        <f t="shared" si="91"/>
        <v/>
      </c>
      <c r="J2486" s="32"/>
    </row>
    <row r="2487" spans="2:10" ht="15">
      <c r="B2487" s="31"/>
      <c r="C2487" s="30"/>
      <c r="D2487" s="119"/>
      <c r="E2487" s="32"/>
      <c r="G2487" s="31">
        <v>2445</v>
      </c>
      <c r="H2487" s="30" t="str">
        <f t="shared" si="90"/>
        <v/>
      </c>
      <c r="I2487" s="74" t="str">
        <f t="shared" si="91"/>
        <v/>
      </c>
      <c r="J2487" s="32"/>
    </row>
    <row r="2488" spans="2:10" ht="15">
      <c r="B2488" s="31"/>
      <c r="C2488" s="30"/>
      <c r="D2488" s="119"/>
      <c r="E2488" s="32"/>
      <c r="G2488" s="31">
        <v>2446</v>
      </c>
      <c r="H2488" s="30" t="str">
        <f t="shared" si="90"/>
        <v/>
      </c>
      <c r="I2488" s="74" t="str">
        <f t="shared" si="91"/>
        <v/>
      </c>
      <c r="J2488" s="32"/>
    </row>
    <row r="2489" spans="2:10" ht="15">
      <c r="B2489" s="31"/>
      <c r="C2489" s="30"/>
      <c r="D2489" s="119"/>
      <c r="E2489" s="32"/>
      <c r="G2489" s="31">
        <v>2447</v>
      </c>
      <c r="H2489" s="30" t="str">
        <f t="shared" si="90"/>
        <v/>
      </c>
      <c r="I2489" s="74" t="str">
        <f t="shared" si="91"/>
        <v/>
      </c>
      <c r="J2489" s="32"/>
    </row>
    <row r="2490" spans="2:10" ht="15">
      <c r="B2490" s="31"/>
      <c r="C2490" s="30"/>
      <c r="D2490" s="119"/>
      <c r="E2490" s="32"/>
      <c r="G2490" s="31">
        <v>2448</v>
      </c>
      <c r="H2490" s="30" t="str">
        <f t="shared" si="90"/>
        <v/>
      </c>
      <c r="I2490" s="74" t="str">
        <f t="shared" si="91"/>
        <v/>
      </c>
      <c r="J2490" s="32"/>
    </row>
    <row r="2491" spans="2:10" ht="15">
      <c r="B2491" s="31"/>
      <c r="C2491" s="30"/>
      <c r="D2491" s="119"/>
      <c r="E2491" s="32"/>
      <c r="G2491" s="31">
        <v>2449</v>
      </c>
      <c r="H2491" s="30" t="str">
        <f t="shared" si="90"/>
        <v/>
      </c>
      <c r="I2491" s="74" t="str">
        <f t="shared" si="91"/>
        <v/>
      </c>
      <c r="J2491" s="32"/>
    </row>
    <row r="2492" spans="2:10" ht="15">
      <c r="B2492" s="31"/>
      <c r="C2492" s="30"/>
      <c r="D2492" s="119"/>
      <c r="E2492" s="32"/>
      <c r="G2492" s="31">
        <v>2450</v>
      </c>
      <c r="H2492" s="30" t="str">
        <f t="shared" si="90"/>
        <v/>
      </c>
      <c r="I2492" s="74" t="str">
        <f t="shared" si="91"/>
        <v/>
      </c>
      <c r="J2492" s="32"/>
    </row>
    <row r="2493" spans="2:10" ht="15">
      <c r="B2493" s="31"/>
      <c r="C2493" s="30"/>
      <c r="D2493" s="119"/>
      <c r="E2493" s="32"/>
      <c r="G2493" s="31">
        <v>2451</v>
      </c>
      <c r="H2493" s="30" t="str">
        <f t="shared" si="90"/>
        <v/>
      </c>
      <c r="I2493" s="74" t="str">
        <f t="shared" si="91"/>
        <v/>
      </c>
      <c r="J2493" s="32"/>
    </row>
    <row r="2494" spans="2:10" ht="15">
      <c r="B2494" s="31"/>
      <c r="C2494" s="30"/>
      <c r="D2494" s="119"/>
      <c r="E2494" s="32"/>
      <c r="G2494" s="31">
        <v>2452</v>
      </c>
      <c r="H2494" s="30" t="str">
        <f t="shared" si="90"/>
        <v/>
      </c>
      <c r="I2494" s="74" t="str">
        <f t="shared" si="91"/>
        <v/>
      </c>
      <c r="J2494" s="32"/>
    </row>
    <row r="2495" spans="2:10" ht="15">
      <c r="B2495" s="31"/>
      <c r="C2495" s="30"/>
      <c r="D2495" s="119"/>
      <c r="E2495" s="32"/>
      <c r="G2495" s="31">
        <v>2453</v>
      </c>
      <c r="H2495" s="30" t="str">
        <f t="shared" si="90"/>
        <v/>
      </c>
      <c r="I2495" s="74" t="str">
        <f t="shared" si="91"/>
        <v/>
      </c>
      <c r="J2495" s="32"/>
    </row>
    <row r="2496" spans="2:10" ht="15">
      <c r="B2496" s="31"/>
      <c r="C2496" s="30"/>
      <c r="D2496" s="119"/>
      <c r="E2496" s="32"/>
      <c r="G2496" s="31">
        <v>2454</v>
      </c>
      <c r="H2496" s="30" t="str">
        <f t="shared" si="90"/>
        <v/>
      </c>
      <c r="I2496" s="74" t="str">
        <f t="shared" si="91"/>
        <v/>
      </c>
      <c r="J2496" s="32"/>
    </row>
    <row r="2497" spans="2:10" ht="15">
      <c r="B2497" s="31"/>
      <c r="C2497" s="30"/>
      <c r="D2497" s="119"/>
      <c r="E2497" s="32"/>
      <c r="G2497" s="31">
        <v>2455</v>
      </c>
      <c r="H2497" s="30" t="str">
        <f t="shared" si="90"/>
        <v/>
      </c>
      <c r="I2497" s="74" t="str">
        <f t="shared" si="91"/>
        <v/>
      </c>
      <c r="J2497" s="32"/>
    </row>
    <row r="2498" spans="2:10" ht="15">
      <c r="B2498" s="31"/>
      <c r="C2498" s="30"/>
      <c r="D2498" s="119"/>
      <c r="E2498" s="32"/>
      <c r="G2498" s="31">
        <v>2456</v>
      </c>
      <c r="H2498" s="30" t="str">
        <f t="shared" si="90"/>
        <v/>
      </c>
      <c r="I2498" s="74" t="str">
        <f t="shared" si="91"/>
        <v/>
      </c>
      <c r="J2498" s="32"/>
    </row>
    <row r="2499" spans="2:10" ht="15">
      <c r="B2499" s="31"/>
      <c r="C2499" s="30"/>
      <c r="D2499" s="119"/>
      <c r="E2499" s="32"/>
      <c r="G2499" s="31">
        <v>2457</v>
      </c>
      <c r="H2499" s="30" t="str">
        <f t="shared" si="90"/>
        <v/>
      </c>
      <c r="I2499" s="74" t="str">
        <f t="shared" si="91"/>
        <v/>
      </c>
      <c r="J2499" s="32"/>
    </row>
    <row r="2500" spans="2:10" ht="15">
      <c r="B2500" s="31"/>
      <c r="C2500" s="30"/>
      <c r="D2500" s="119"/>
      <c r="E2500" s="32"/>
      <c r="G2500" s="31">
        <v>2458</v>
      </c>
      <c r="H2500" s="30" t="str">
        <f t="shared" si="90"/>
        <v/>
      </c>
      <c r="I2500" s="74" t="str">
        <f t="shared" si="91"/>
        <v/>
      </c>
      <c r="J2500" s="32"/>
    </row>
    <row r="2501" spans="2:10" ht="15">
      <c r="B2501" s="31"/>
      <c r="C2501" s="30"/>
      <c r="D2501" s="119"/>
      <c r="E2501" s="32"/>
      <c r="G2501" s="31">
        <v>2459</v>
      </c>
      <c r="H2501" s="30" t="str">
        <f t="shared" si="90"/>
        <v/>
      </c>
      <c r="I2501" s="74" t="str">
        <f t="shared" si="91"/>
        <v/>
      </c>
      <c r="J2501" s="32"/>
    </row>
    <row r="2502" spans="2:10" ht="15">
      <c r="B2502" s="31"/>
      <c r="C2502" s="30"/>
      <c r="D2502" s="119"/>
      <c r="E2502" s="32"/>
      <c r="G2502" s="31">
        <v>2460</v>
      </c>
      <c r="H2502" s="30" t="str">
        <f t="shared" si="90"/>
        <v/>
      </c>
      <c r="I2502" s="74" t="str">
        <f t="shared" si="91"/>
        <v/>
      </c>
      <c r="J2502" s="32"/>
    </row>
    <row r="2503" spans="2:10" ht="15">
      <c r="B2503" s="31"/>
      <c r="C2503" s="30"/>
      <c r="D2503" s="119"/>
      <c r="E2503" s="32"/>
      <c r="G2503" s="31">
        <v>2461</v>
      </c>
      <c r="H2503" s="30" t="str">
        <f t="shared" si="90"/>
        <v/>
      </c>
      <c r="I2503" s="74" t="str">
        <f t="shared" si="91"/>
        <v/>
      </c>
      <c r="J2503" s="32"/>
    </row>
    <row r="2504" spans="2:10" ht="15">
      <c r="B2504" s="31"/>
      <c r="C2504" s="30"/>
      <c r="D2504" s="119"/>
      <c r="E2504" s="32"/>
      <c r="G2504" s="31">
        <v>2462</v>
      </c>
      <c r="H2504" s="30" t="str">
        <f t="shared" si="90"/>
        <v/>
      </c>
      <c r="I2504" s="74" t="str">
        <f t="shared" si="91"/>
        <v/>
      </c>
      <c r="J2504" s="32"/>
    </row>
    <row r="2505" spans="2:10" ht="15">
      <c r="B2505" s="31"/>
      <c r="C2505" s="30"/>
      <c r="D2505" s="119"/>
      <c r="E2505" s="32"/>
      <c r="G2505" s="31">
        <v>2463</v>
      </c>
      <c r="H2505" s="30" t="str">
        <f t="shared" si="90"/>
        <v/>
      </c>
      <c r="I2505" s="74" t="str">
        <f t="shared" si="91"/>
        <v/>
      </c>
      <c r="J2505" s="32"/>
    </row>
    <row r="2506" spans="2:10" ht="15">
      <c r="B2506" s="31"/>
      <c r="C2506" s="30"/>
      <c r="D2506" s="119"/>
      <c r="E2506" s="32"/>
      <c r="G2506" s="31">
        <v>2464</v>
      </c>
      <c r="H2506" s="30" t="str">
        <f t="shared" si="90"/>
        <v/>
      </c>
      <c r="I2506" s="74" t="str">
        <f t="shared" si="91"/>
        <v/>
      </c>
      <c r="J2506" s="32"/>
    </row>
    <row r="2507" spans="2:10" ht="15">
      <c r="B2507" s="31"/>
      <c r="C2507" s="30"/>
      <c r="D2507" s="119"/>
      <c r="E2507" s="32"/>
      <c r="G2507" s="31">
        <v>2465</v>
      </c>
      <c r="H2507" s="30" t="str">
        <f t="shared" si="90"/>
        <v/>
      </c>
      <c r="I2507" s="74" t="str">
        <f t="shared" si="91"/>
        <v/>
      </c>
      <c r="J2507" s="32"/>
    </row>
    <row r="2508" spans="2:10" ht="15">
      <c r="B2508" s="31"/>
      <c r="C2508" s="30"/>
      <c r="D2508" s="119"/>
      <c r="E2508" s="32"/>
      <c r="G2508" s="31">
        <v>2466</v>
      </c>
      <c r="H2508" s="30" t="str">
        <f t="shared" si="90"/>
        <v/>
      </c>
      <c r="I2508" s="74" t="str">
        <f t="shared" si="91"/>
        <v/>
      </c>
      <c r="J2508" s="32"/>
    </row>
    <row r="2509" spans="2:10" ht="15">
      <c r="B2509" s="31"/>
      <c r="C2509" s="30"/>
      <c r="D2509" s="119"/>
      <c r="E2509" s="32"/>
      <c r="G2509" s="31">
        <v>2467</v>
      </c>
      <c r="H2509" s="30" t="str">
        <f t="shared" si="90"/>
        <v/>
      </c>
      <c r="I2509" s="74" t="str">
        <f t="shared" si="91"/>
        <v/>
      </c>
      <c r="J2509" s="32"/>
    </row>
    <row r="2510" spans="2:10" ht="15">
      <c r="B2510" s="31"/>
      <c r="C2510" s="30"/>
      <c r="D2510" s="119"/>
      <c r="E2510" s="32"/>
      <c r="G2510" s="31">
        <v>2468</v>
      </c>
      <c r="H2510" s="30" t="str">
        <f t="shared" si="90"/>
        <v/>
      </c>
      <c r="I2510" s="74" t="str">
        <f t="shared" si="91"/>
        <v/>
      </c>
      <c r="J2510" s="32"/>
    </row>
    <row r="2511" spans="2:10" ht="15">
      <c r="B2511" s="31"/>
      <c r="C2511" s="30"/>
      <c r="D2511" s="119"/>
      <c r="E2511" s="32"/>
      <c r="G2511" s="31">
        <v>2469</v>
      </c>
      <c r="H2511" s="30" t="str">
        <f t="shared" si="90"/>
        <v/>
      </c>
      <c r="I2511" s="74" t="str">
        <f t="shared" si="91"/>
        <v/>
      </c>
      <c r="J2511" s="32"/>
    </row>
    <row r="2512" spans="2:10" ht="15">
      <c r="B2512" s="31"/>
      <c r="C2512" s="30"/>
      <c r="D2512" s="119"/>
      <c r="E2512" s="32"/>
      <c r="G2512" s="31">
        <v>2470</v>
      </c>
      <c r="H2512" s="30" t="str">
        <f t="shared" si="90"/>
        <v/>
      </c>
      <c r="I2512" s="74" t="str">
        <f t="shared" si="91"/>
        <v/>
      </c>
      <c r="J2512" s="32"/>
    </row>
    <row r="2513" spans="2:10" ht="15">
      <c r="B2513" s="31"/>
      <c r="C2513" s="30"/>
      <c r="D2513" s="119"/>
      <c r="E2513" s="32"/>
      <c r="G2513" s="31">
        <v>2471</v>
      </c>
      <c r="H2513" s="30" t="str">
        <f t="shared" si="90"/>
        <v/>
      </c>
      <c r="I2513" s="74" t="str">
        <f t="shared" si="91"/>
        <v/>
      </c>
      <c r="J2513" s="32"/>
    </row>
    <row r="2514" spans="2:10" ht="15">
      <c r="B2514" s="31"/>
      <c r="C2514" s="30"/>
      <c r="D2514" s="119"/>
      <c r="E2514" s="32"/>
      <c r="G2514" s="31">
        <v>2472</v>
      </c>
      <c r="H2514" s="30" t="str">
        <f t="shared" si="90"/>
        <v/>
      </c>
      <c r="I2514" s="74" t="str">
        <f t="shared" si="91"/>
        <v/>
      </c>
      <c r="J2514" s="32"/>
    </row>
    <row r="2515" spans="2:10" ht="15">
      <c r="B2515" s="31"/>
      <c r="C2515" s="30"/>
      <c r="D2515" s="119"/>
      <c r="E2515" s="32"/>
      <c r="G2515" s="31">
        <v>2473</v>
      </c>
      <c r="H2515" s="30" t="str">
        <f t="shared" si="90"/>
        <v/>
      </c>
      <c r="I2515" s="74" t="str">
        <f t="shared" si="91"/>
        <v/>
      </c>
      <c r="J2515" s="32"/>
    </row>
    <row r="2516" spans="2:10" ht="15">
      <c r="B2516" s="31"/>
      <c r="C2516" s="30"/>
      <c r="D2516" s="119"/>
      <c r="E2516" s="32"/>
      <c r="G2516" s="31">
        <v>2474</v>
      </c>
      <c r="H2516" s="30" t="str">
        <f t="shared" si="90"/>
        <v/>
      </c>
      <c r="I2516" s="74" t="str">
        <f t="shared" si="91"/>
        <v/>
      </c>
      <c r="J2516" s="32"/>
    </row>
    <row r="2517" spans="2:10" ht="15">
      <c r="B2517" s="31"/>
      <c r="C2517" s="30"/>
      <c r="D2517" s="119"/>
      <c r="E2517" s="32"/>
      <c r="G2517" s="31">
        <v>2475</v>
      </c>
      <c r="H2517" s="30" t="str">
        <f t="shared" si="90"/>
        <v/>
      </c>
      <c r="I2517" s="74" t="str">
        <f t="shared" si="91"/>
        <v/>
      </c>
      <c r="J2517" s="32"/>
    </row>
    <row r="2518" spans="2:10" ht="15">
      <c r="B2518" s="31"/>
      <c r="C2518" s="30"/>
      <c r="D2518" s="119"/>
      <c r="E2518" s="32"/>
      <c r="G2518" s="31">
        <v>2476</v>
      </c>
      <c r="H2518" s="30" t="str">
        <f t="shared" si="90"/>
        <v/>
      </c>
      <c r="I2518" s="74" t="str">
        <f t="shared" si="91"/>
        <v/>
      </c>
      <c r="J2518" s="32"/>
    </row>
    <row r="2519" spans="2:10" ht="15">
      <c r="B2519" s="31"/>
      <c r="C2519" s="30"/>
      <c r="D2519" s="119"/>
      <c r="E2519" s="32"/>
      <c r="G2519" s="31">
        <v>2477</v>
      </c>
      <c r="H2519" s="30" t="str">
        <f t="shared" si="90"/>
        <v/>
      </c>
      <c r="I2519" s="74" t="str">
        <f t="shared" si="91"/>
        <v/>
      </c>
      <c r="J2519" s="32"/>
    </row>
    <row r="2520" spans="2:10" ht="15">
      <c r="B2520" s="31"/>
      <c r="C2520" s="30"/>
      <c r="D2520" s="119"/>
      <c r="E2520" s="32"/>
      <c r="G2520" s="31">
        <v>2478</v>
      </c>
      <c r="H2520" s="30" t="str">
        <f t="shared" si="90"/>
        <v/>
      </c>
      <c r="I2520" s="74" t="str">
        <f t="shared" si="91"/>
        <v/>
      </c>
      <c r="J2520" s="32"/>
    </row>
    <row r="2521" spans="2:10" ht="15">
      <c r="B2521" s="31"/>
      <c r="C2521" s="30"/>
      <c r="D2521" s="119"/>
      <c r="E2521" s="32"/>
      <c r="G2521" s="31">
        <v>2479</v>
      </c>
      <c r="H2521" s="30" t="str">
        <f t="shared" si="90"/>
        <v/>
      </c>
      <c r="I2521" s="74" t="str">
        <f t="shared" si="91"/>
        <v/>
      </c>
      <c r="J2521" s="32"/>
    </row>
    <row r="2522" spans="2:10" ht="15">
      <c r="B2522" s="31"/>
      <c r="C2522" s="30"/>
      <c r="D2522" s="119"/>
      <c r="E2522" s="32"/>
      <c r="G2522" s="31">
        <v>2480</v>
      </c>
      <c r="H2522" s="30" t="str">
        <f t="shared" si="90"/>
        <v/>
      </c>
      <c r="I2522" s="74" t="str">
        <f t="shared" si="91"/>
        <v/>
      </c>
      <c r="J2522" s="32"/>
    </row>
    <row r="2523" spans="2:10" ht="15">
      <c r="B2523" s="31"/>
      <c r="C2523" s="30"/>
      <c r="D2523" s="119"/>
      <c r="E2523" s="32"/>
      <c r="G2523" s="31">
        <v>2481</v>
      </c>
      <c r="H2523" s="30" t="str">
        <f t="shared" si="90"/>
        <v/>
      </c>
      <c r="I2523" s="74" t="str">
        <f t="shared" si="91"/>
        <v/>
      </c>
      <c r="J2523" s="32"/>
    </row>
    <row r="2524" spans="2:10" ht="15">
      <c r="B2524" s="31"/>
      <c r="C2524" s="30"/>
      <c r="D2524" s="119"/>
      <c r="E2524" s="32"/>
      <c r="G2524" s="31">
        <v>2482</v>
      </c>
      <c r="H2524" s="30" t="str">
        <f t="shared" si="90"/>
        <v/>
      </c>
      <c r="I2524" s="74" t="str">
        <f t="shared" si="91"/>
        <v/>
      </c>
      <c r="J2524" s="32"/>
    </row>
    <row r="2525" spans="2:10" ht="15">
      <c r="B2525" s="31"/>
      <c r="C2525" s="30"/>
      <c r="D2525" s="119"/>
      <c r="E2525" s="32"/>
      <c r="G2525" s="31">
        <v>2483</v>
      </c>
      <c r="H2525" s="30" t="str">
        <f t="shared" si="90"/>
        <v/>
      </c>
      <c r="I2525" s="74" t="str">
        <f t="shared" si="91"/>
        <v/>
      </c>
      <c r="J2525" s="32"/>
    </row>
    <row r="2526" spans="2:10" ht="15">
      <c r="B2526" s="31"/>
      <c r="C2526" s="30"/>
      <c r="D2526" s="119"/>
      <c r="E2526" s="32"/>
      <c r="G2526" s="31">
        <v>2484</v>
      </c>
      <c r="H2526" s="30" t="str">
        <f t="shared" si="90"/>
        <v/>
      </c>
      <c r="I2526" s="74" t="str">
        <f t="shared" si="91"/>
        <v/>
      </c>
      <c r="J2526" s="32"/>
    </row>
    <row r="2527" spans="2:10" ht="15">
      <c r="B2527" s="31"/>
      <c r="C2527" s="30"/>
      <c r="D2527" s="119"/>
      <c r="E2527" s="32"/>
      <c r="G2527" s="31">
        <v>2485</v>
      </c>
      <c r="H2527" s="30" t="str">
        <f t="shared" si="90"/>
        <v/>
      </c>
      <c r="I2527" s="74" t="str">
        <f t="shared" si="91"/>
        <v/>
      </c>
      <c r="J2527" s="32"/>
    </row>
    <row r="2528" spans="2:10" ht="15">
      <c r="B2528" s="31"/>
      <c r="C2528" s="30"/>
      <c r="D2528" s="119"/>
      <c r="E2528" s="32"/>
      <c r="G2528" s="31">
        <v>2486</v>
      </c>
      <c r="H2528" s="30" t="str">
        <f t="shared" si="90"/>
        <v/>
      </c>
      <c r="I2528" s="74" t="str">
        <f t="shared" si="91"/>
        <v/>
      </c>
      <c r="J2528" s="32"/>
    </row>
    <row r="2529" spans="2:10" ht="15">
      <c r="B2529" s="31"/>
      <c r="C2529" s="30"/>
      <c r="D2529" s="119"/>
      <c r="E2529" s="32"/>
      <c r="G2529" s="31">
        <v>2487</v>
      </c>
      <c r="H2529" s="30" t="str">
        <f t="shared" si="90"/>
        <v/>
      </c>
      <c r="I2529" s="74" t="str">
        <f t="shared" si="91"/>
        <v/>
      </c>
      <c r="J2529" s="32"/>
    </row>
    <row r="2530" spans="2:10" ht="15">
      <c r="B2530" s="31"/>
      <c r="C2530" s="30"/>
      <c r="D2530" s="119"/>
      <c r="E2530" s="32"/>
      <c r="G2530" s="31">
        <v>2488</v>
      </c>
      <c r="H2530" s="30" t="str">
        <f t="shared" si="90"/>
        <v/>
      </c>
      <c r="I2530" s="74" t="str">
        <f t="shared" si="91"/>
        <v/>
      </c>
      <c r="J2530" s="32"/>
    </row>
    <row r="2531" spans="2:10" ht="15">
      <c r="B2531" s="31"/>
      <c r="C2531" s="30"/>
      <c r="D2531" s="119"/>
      <c r="E2531" s="32"/>
      <c r="G2531" s="31">
        <v>2489</v>
      </c>
      <c r="H2531" s="30" t="str">
        <f t="shared" si="90"/>
        <v/>
      </c>
      <c r="I2531" s="74" t="str">
        <f t="shared" si="91"/>
        <v/>
      </c>
      <c r="J2531" s="32"/>
    </row>
    <row r="2532" spans="2:10" ht="15">
      <c r="B2532" s="31"/>
      <c r="C2532" s="30"/>
      <c r="D2532" s="119"/>
      <c r="E2532" s="32"/>
      <c r="G2532" s="31">
        <v>2490</v>
      </c>
      <c r="H2532" s="30" t="str">
        <f t="shared" si="90"/>
        <v/>
      </c>
      <c r="I2532" s="74" t="str">
        <f t="shared" si="91"/>
        <v/>
      </c>
      <c r="J2532" s="32"/>
    </row>
    <row r="2533" spans="2:10" ht="15">
      <c r="B2533" s="31"/>
      <c r="C2533" s="30"/>
      <c r="D2533" s="119"/>
      <c r="E2533" s="32"/>
      <c r="G2533" s="31">
        <v>2491</v>
      </c>
      <c r="H2533" s="30" t="str">
        <f t="shared" si="90"/>
        <v/>
      </c>
      <c r="I2533" s="74" t="str">
        <f t="shared" si="91"/>
        <v/>
      </c>
      <c r="J2533" s="32"/>
    </row>
    <row r="2534" spans="2:10" ht="15">
      <c r="B2534" s="31"/>
      <c r="C2534" s="30"/>
      <c r="D2534" s="119"/>
      <c r="E2534" s="32"/>
      <c r="G2534" s="31">
        <v>2492</v>
      </c>
      <c r="H2534" s="30" t="str">
        <f t="shared" si="90"/>
        <v/>
      </c>
      <c r="I2534" s="74" t="str">
        <f t="shared" si="91"/>
        <v/>
      </c>
      <c r="J2534" s="32"/>
    </row>
    <row r="2535" spans="2:10" ht="15">
      <c r="B2535" s="31"/>
      <c r="C2535" s="30"/>
      <c r="D2535" s="119"/>
      <c r="E2535" s="32"/>
      <c r="G2535" s="31">
        <v>2493</v>
      </c>
      <c r="H2535" s="30" t="str">
        <f t="shared" si="90"/>
        <v/>
      </c>
      <c r="I2535" s="74" t="str">
        <f t="shared" si="91"/>
        <v/>
      </c>
      <c r="J2535" s="32"/>
    </row>
    <row r="2536" spans="2:10" ht="15">
      <c r="B2536" s="31"/>
      <c r="C2536" s="30"/>
      <c r="D2536" s="119"/>
      <c r="E2536" s="32"/>
      <c r="G2536" s="31">
        <v>2494</v>
      </c>
      <c r="H2536" s="30" t="str">
        <f t="shared" si="90"/>
        <v/>
      </c>
      <c r="I2536" s="74" t="str">
        <f t="shared" si="91"/>
        <v/>
      </c>
      <c r="J2536" s="32"/>
    </row>
    <row r="2537" spans="2:10" ht="15">
      <c r="B2537" s="31"/>
      <c r="C2537" s="30"/>
      <c r="D2537" s="119"/>
      <c r="E2537" s="32"/>
      <c r="G2537" s="31">
        <v>2495</v>
      </c>
      <c r="H2537" s="30" t="str">
        <f t="shared" si="90"/>
        <v/>
      </c>
      <c r="I2537" s="74" t="str">
        <f t="shared" si="91"/>
        <v/>
      </c>
      <c r="J2537" s="32"/>
    </row>
    <row r="2538" spans="2:10" ht="15">
      <c r="B2538" s="31"/>
      <c r="C2538" s="30"/>
      <c r="D2538" s="119"/>
      <c r="E2538" s="32"/>
      <c r="G2538" s="31">
        <v>2496</v>
      </c>
      <c r="H2538" s="30" t="str">
        <f t="shared" si="90"/>
        <v/>
      </c>
      <c r="I2538" s="74" t="str">
        <f t="shared" si="91"/>
        <v/>
      </c>
      <c r="J2538" s="32"/>
    </row>
    <row r="2539" spans="2:10" ht="15">
      <c r="B2539" s="31"/>
      <c r="C2539" s="30"/>
      <c r="D2539" s="119"/>
      <c r="E2539" s="32"/>
      <c r="G2539" s="31">
        <v>2497</v>
      </c>
      <c r="H2539" s="30" t="str">
        <f t="shared" si="90"/>
        <v/>
      </c>
      <c r="I2539" s="74" t="str">
        <f t="shared" si="91"/>
        <v/>
      </c>
      <c r="J2539" s="32"/>
    </row>
    <row r="2540" spans="2:10" ht="15">
      <c r="B2540" s="31"/>
      <c r="C2540" s="30"/>
      <c r="D2540" s="119"/>
      <c r="E2540" s="32"/>
      <c r="G2540" s="31">
        <v>2498</v>
      </c>
      <c r="H2540" s="30" t="str">
        <f t="shared" ref="H2540:H2603" si="92">MID($I$41,G2540*8-7,8)</f>
        <v/>
      </c>
      <c r="I2540" s="74" t="str">
        <f t="shared" ref="I2540:I2603" si="93">IFERROR(BIN2DEC(VALUE(H2540)),"")</f>
        <v/>
      </c>
      <c r="J2540" s="32"/>
    </row>
    <row r="2541" spans="2:10" ht="15">
      <c r="B2541" s="31"/>
      <c r="C2541" s="30"/>
      <c r="D2541" s="119"/>
      <c r="E2541" s="32"/>
      <c r="G2541" s="31">
        <v>2499</v>
      </c>
      <c r="H2541" s="30" t="str">
        <f t="shared" si="92"/>
        <v/>
      </c>
      <c r="I2541" s="74" t="str">
        <f t="shared" si="93"/>
        <v/>
      </c>
      <c r="J2541" s="32"/>
    </row>
    <row r="2542" spans="2:10" ht="15">
      <c r="B2542" s="31"/>
      <c r="C2542" s="30"/>
      <c r="D2542" s="119"/>
      <c r="E2542" s="32"/>
      <c r="G2542" s="31">
        <v>2500</v>
      </c>
      <c r="H2542" s="30" t="str">
        <f t="shared" si="92"/>
        <v/>
      </c>
      <c r="I2542" s="74" t="str">
        <f t="shared" si="93"/>
        <v/>
      </c>
      <c r="J2542" s="32"/>
    </row>
    <row r="2543" spans="2:10" ht="15">
      <c r="B2543" s="31"/>
      <c r="C2543" s="30"/>
      <c r="D2543" s="119"/>
      <c r="E2543" s="32"/>
      <c r="G2543" s="31">
        <v>2501</v>
      </c>
      <c r="H2543" s="30" t="str">
        <f t="shared" si="92"/>
        <v/>
      </c>
      <c r="I2543" s="74" t="str">
        <f t="shared" si="93"/>
        <v/>
      </c>
      <c r="J2543" s="32"/>
    </row>
    <row r="2544" spans="2:10" ht="15">
      <c r="B2544" s="31"/>
      <c r="C2544" s="30"/>
      <c r="D2544" s="119"/>
      <c r="E2544" s="32"/>
      <c r="G2544" s="31">
        <v>2502</v>
      </c>
      <c r="H2544" s="30" t="str">
        <f t="shared" si="92"/>
        <v/>
      </c>
      <c r="I2544" s="74" t="str">
        <f t="shared" si="93"/>
        <v/>
      </c>
      <c r="J2544" s="32"/>
    </row>
    <row r="2545" spans="2:10" ht="15">
      <c r="B2545" s="31"/>
      <c r="C2545" s="30"/>
      <c r="D2545" s="119"/>
      <c r="E2545" s="32"/>
      <c r="G2545" s="31">
        <v>2503</v>
      </c>
      <c r="H2545" s="30" t="str">
        <f t="shared" si="92"/>
        <v/>
      </c>
      <c r="I2545" s="74" t="str">
        <f t="shared" si="93"/>
        <v/>
      </c>
      <c r="J2545" s="32"/>
    </row>
    <row r="2546" spans="2:10" ht="15">
      <c r="B2546" s="31"/>
      <c r="C2546" s="30"/>
      <c r="D2546" s="119"/>
      <c r="E2546" s="32"/>
      <c r="G2546" s="31">
        <v>2504</v>
      </c>
      <c r="H2546" s="30" t="str">
        <f t="shared" si="92"/>
        <v/>
      </c>
      <c r="I2546" s="74" t="str">
        <f t="shared" si="93"/>
        <v/>
      </c>
      <c r="J2546" s="32"/>
    </row>
    <row r="2547" spans="2:10" ht="15">
      <c r="B2547" s="31"/>
      <c r="C2547" s="30"/>
      <c r="D2547" s="119"/>
      <c r="E2547" s="32"/>
      <c r="G2547" s="31">
        <v>2505</v>
      </c>
      <c r="H2547" s="30" t="str">
        <f t="shared" si="92"/>
        <v/>
      </c>
      <c r="I2547" s="74" t="str">
        <f t="shared" si="93"/>
        <v/>
      </c>
      <c r="J2547" s="32"/>
    </row>
    <row r="2548" spans="2:10" ht="15">
      <c r="B2548" s="31"/>
      <c r="C2548" s="30"/>
      <c r="D2548" s="119"/>
      <c r="E2548" s="32"/>
      <c r="G2548" s="31">
        <v>2506</v>
      </c>
      <c r="H2548" s="30" t="str">
        <f t="shared" si="92"/>
        <v/>
      </c>
      <c r="I2548" s="74" t="str">
        <f t="shared" si="93"/>
        <v/>
      </c>
      <c r="J2548" s="32"/>
    </row>
    <row r="2549" spans="2:10" ht="15">
      <c r="B2549" s="31"/>
      <c r="C2549" s="30"/>
      <c r="D2549" s="119"/>
      <c r="E2549" s="32"/>
      <c r="G2549" s="31">
        <v>2507</v>
      </c>
      <c r="H2549" s="30" t="str">
        <f t="shared" si="92"/>
        <v/>
      </c>
      <c r="I2549" s="74" t="str">
        <f t="shared" si="93"/>
        <v/>
      </c>
      <c r="J2549" s="32"/>
    </row>
    <row r="2550" spans="2:10" ht="15">
      <c r="B2550" s="31"/>
      <c r="C2550" s="30"/>
      <c r="D2550" s="119"/>
      <c r="E2550" s="32"/>
      <c r="G2550" s="31">
        <v>2508</v>
      </c>
      <c r="H2550" s="30" t="str">
        <f t="shared" si="92"/>
        <v/>
      </c>
      <c r="I2550" s="74" t="str">
        <f t="shared" si="93"/>
        <v/>
      </c>
      <c r="J2550" s="32"/>
    </row>
    <row r="2551" spans="2:10" ht="15">
      <c r="B2551" s="31"/>
      <c r="C2551" s="30"/>
      <c r="D2551" s="119"/>
      <c r="E2551" s="32"/>
      <c r="G2551" s="31">
        <v>2509</v>
      </c>
      <c r="H2551" s="30" t="str">
        <f t="shared" si="92"/>
        <v/>
      </c>
      <c r="I2551" s="74" t="str">
        <f t="shared" si="93"/>
        <v/>
      </c>
      <c r="J2551" s="32"/>
    </row>
    <row r="2552" spans="2:10" ht="15">
      <c r="B2552" s="31"/>
      <c r="C2552" s="30"/>
      <c r="D2552" s="119"/>
      <c r="E2552" s="32"/>
      <c r="G2552" s="31">
        <v>2510</v>
      </c>
      <c r="H2552" s="30" t="str">
        <f t="shared" si="92"/>
        <v/>
      </c>
      <c r="I2552" s="74" t="str">
        <f t="shared" si="93"/>
        <v/>
      </c>
      <c r="J2552" s="32"/>
    </row>
    <row r="2553" spans="2:10" ht="15">
      <c r="B2553" s="31"/>
      <c r="C2553" s="30"/>
      <c r="D2553" s="119"/>
      <c r="E2553" s="32"/>
      <c r="G2553" s="31">
        <v>2511</v>
      </c>
      <c r="H2553" s="30" t="str">
        <f t="shared" si="92"/>
        <v/>
      </c>
      <c r="I2553" s="74" t="str">
        <f t="shared" si="93"/>
        <v/>
      </c>
      <c r="J2553" s="32"/>
    </row>
    <row r="2554" spans="2:10" ht="15">
      <c r="B2554" s="31"/>
      <c r="C2554" s="30"/>
      <c r="D2554" s="119"/>
      <c r="E2554" s="32"/>
      <c r="G2554" s="31">
        <v>2512</v>
      </c>
      <c r="H2554" s="30" t="str">
        <f t="shared" si="92"/>
        <v/>
      </c>
      <c r="I2554" s="74" t="str">
        <f t="shared" si="93"/>
        <v/>
      </c>
      <c r="J2554" s="32"/>
    </row>
    <row r="2555" spans="2:10" ht="15">
      <c r="B2555" s="31"/>
      <c r="C2555" s="30"/>
      <c r="D2555" s="119"/>
      <c r="E2555" s="32"/>
      <c r="G2555" s="31">
        <v>2513</v>
      </c>
      <c r="H2555" s="30" t="str">
        <f t="shared" si="92"/>
        <v/>
      </c>
      <c r="I2555" s="74" t="str">
        <f t="shared" si="93"/>
        <v/>
      </c>
      <c r="J2555" s="32"/>
    </row>
    <row r="2556" spans="2:10" ht="15">
      <c r="B2556" s="31"/>
      <c r="C2556" s="30"/>
      <c r="D2556" s="119"/>
      <c r="E2556" s="32"/>
      <c r="G2556" s="31">
        <v>2514</v>
      </c>
      <c r="H2556" s="30" t="str">
        <f t="shared" si="92"/>
        <v/>
      </c>
      <c r="I2556" s="74" t="str">
        <f t="shared" si="93"/>
        <v/>
      </c>
      <c r="J2556" s="32"/>
    </row>
    <row r="2557" spans="2:10" ht="15">
      <c r="B2557" s="31"/>
      <c r="C2557" s="30"/>
      <c r="D2557" s="119"/>
      <c r="E2557" s="32"/>
      <c r="G2557" s="31">
        <v>2515</v>
      </c>
      <c r="H2557" s="30" t="str">
        <f t="shared" si="92"/>
        <v/>
      </c>
      <c r="I2557" s="74" t="str">
        <f t="shared" si="93"/>
        <v/>
      </c>
      <c r="J2557" s="32"/>
    </row>
    <row r="2558" spans="2:10" ht="15">
      <c r="B2558" s="31"/>
      <c r="C2558" s="30"/>
      <c r="D2558" s="119"/>
      <c r="E2558" s="32"/>
      <c r="G2558" s="31">
        <v>2516</v>
      </c>
      <c r="H2558" s="30" t="str">
        <f t="shared" si="92"/>
        <v/>
      </c>
      <c r="I2558" s="74" t="str">
        <f t="shared" si="93"/>
        <v/>
      </c>
      <c r="J2558" s="32"/>
    </row>
    <row r="2559" spans="2:10" ht="15">
      <c r="B2559" s="31"/>
      <c r="C2559" s="30"/>
      <c r="D2559" s="119"/>
      <c r="E2559" s="32"/>
      <c r="G2559" s="31">
        <v>2517</v>
      </c>
      <c r="H2559" s="30" t="str">
        <f t="shared" si="92"/>
        <v/>
      </c>
      <c r="I2559" s="74" t="str">
        <f t="shared" si="93"/>
        <v/>
      </c>
      <c r="J2559" s="32"/>
    </row>
    <row r="2560" spans="2:10" ht="15">
      <c r="B2560" s="31"/>
      <c r="C2560" s="30"/>
      <c r="D2560" s="119"/>
      <c r="E2560" s="32"/>
      <c r="G2560" s="31">
        <v>2518</v>
      </c>
      <c r="H2560" s="30" t="str">
        <f t="shared" si="92"/>
        <v/>
      </c>
      <c r="I2560" s="74" t="str">
        <f t="shared" si="93"/>
        <v/>
      </c>
      <c r="J2560" s="32"/>
    </row>
    <row r="2561" spans="2:10" ht="15">
      <c r="B2561" s="31"/>
      <c r="C2561" s="30"/>
      <c r="D2561" s="119"/>
      <c r="E2561" s="32"/>
      <c r="G2561" s="31">
        <v>2519</v>
      </c>
      <c r="H2561" s="30" t="str">
        <f t="shared" si="92"/>
        <v/>
      </c>
      <c r="I2561" s="74" t="str">
        <f t="shared" si="93"/>
        <v/>
      </c>
      <c r="J2561" s="32"/>
    </row>
    <row r="2562" spans="2:10" ht="15">
      <c r="B2562" s="31"/>
      <c r="C2562" s="30"/>
      <c r="D2562" s="119"/>
      <c r="E2562" s="32"/>
      <c r="G2562" s="31">
        <v>2520</v>
      </c>
      <c r="H2562" s="30" t="str">
        <f t="shared" si="92"/>
        <v/>
      </c>
      <c r="I2562" s="74" t="str">
        <f t="shared" si="93"/>
        <v/>
      </c>
      <c r="J2562" s="32"/>
    </row>
    <row r="2563" spans="2:10" ht="15">
      <c r="B2563" s="31"/>
      <c r="C2563" s="30"/>
      <c r="D2563" s="119"/>
      <c r="E2563" s="32"/>
      <c r="G2563" s="31">
        <v>2521</v>
      </c>
      <c r="H2563" s="30" t="str">
        <f t="shared" si="92"/>
        <v/>
      </c>
      <c r="I2563" s="74" t="str">
        <f t="shared" si="93"/>
        <v/>
      </c>
      <c r="J2563" s="32"/>
    </row>
    <row r="2564" spans="2:10" ht="15">
      <c r="B2564" s="31"/>
      <c r="C2564" s="30"/>
      <c r="D2564" s="119"/>
      <c r="E2564" s="32"/>
      <c r="G2564" s="31">
        <v>2522</v>
      </c>
      <c r="H2564" s="30" t="str">
        <f t="shared" si="92"/>
        <v/>
      </c>
      <c r="I2564" s="74" t="str">
        <f t="shared" si="93"/>
        <v/>
      </c>
      <c r="J2564" s="32"/>
    </row>
    <row r="2565" spans="2:10" ht="15">
      <c r="B2565" s="31"/>
      <c r="C2565" s="30"/>
      <c r="D2565" s="119"/>
      <c r="E2565" s="32"/>
      <c r="G2565" s="31">
        <v>2523</v>
      </c>
      <c r="H2565" s="30" t="str">
        <f t="shared" si="92"/>
        <v/>
      </c>
      <c r="I2565" s="74" t="str">
        <f t="shared" si="93"/>
        <v/>
      </c>
      <c r="J2565" s="32"/>
    </row>
    <row r="2566" spans="2:10" ht="15">
      <c r="B2566" s="31"/>
      <c r="C2566" s="30"/>
      <c r="D2566" s="119"/>
      <c r="E2566" s="32"/>
      <c r="G2566" s="31">
        <v>2524</v>
      </c>
      <c r="H2566" s="30" t="str">
        <f t="shared" si="92"/>
        <v/>
      </c>
      <c r="I2566" s="74" t="str">
        <f t="shared" si="93"/>
        <v/>
      </c>
      <c r="J2566" s="32"/>
    </row>
    <row r="2567" spans="2:10" ht="15">
      <c r="B2567" s="31"/>
      <c r="C2567" s="30"/>
      <c r="D2567" s="119"/>
      <c r="E2567" s="32"/>
      <c r="G2567" s="31">
        <v>2525</v>
      </c>
      <c r="H2567" s="30" t="str">
        <f t="shared" si="92"/>
        <v/>
      </c>
      <c r="I2567" s="74" t="str">
        <f t="shared" si="93"/>
        <v/>
      </c>
      <c r="J2567" s="32"/>
    </row>
    <row r="2568" spans="2:10" ht="15">
      <c r="B2568" s="31"/>
      <c r="C2568" s="30"/>
      <c r="D2568" s="119"/>
      <c r="E2568" s="32"/>
      <c r="G2568" s="31">
        <v>2526</v>
      </c>
      <c r="H2568" s="30" t="str">
        <f t="shared" si="92"/>
        <v/>
      </c>
      <c r="I2568" s="74" t="str">
        <f t="shared" si="93"/>
        <v/>
      </c>
      <c r="J2568" s="32"/>
    </row>
    <row r="2569" spans="2:10" ht="15">
      <c r="B2569" s="31"/>
      <c r="C2569" s="30"/>
      <c r="D2569" s="119"/>
      <c r="E2569" s="32"/>
      <c r="G2569" s="31">
        <v>2527</v>
      </c>
      <c r="H2569" s="30" t="str">
        <f t="shared" si="92"/>
        <v/>
      </c>
      <c r="I2569" s="74" t="str">
        <f t="shared" si="93"/>
        <v/>
      </c>
      <c r="J2569" s="32"/>
    </row>
    <row r="2570" spans="2:10" ht="15">
      <c r="B2570" s="31"/>
      <c r="C2570" s="30"/>
      <c r="D2570" s="119"/>
      <c r="E2570" s="32"/>
      <c r="G2570" s="31">
        <v>2528</v>
      </c>
      <c r="H2570" s="30" t="str">
        <f t="shared" si="92"/>
        <v/>
      </c>
      <c r="I2570" s="74" t="str">
        <f t="shared" si="93"/>
        <v/>
      </c>
      <c r="J2570" s="32"/>
    </row>
    <row r="2571" spans="2:10" ht="15">
      <c r="B2571" s="31"/>
      <c r="C2571" s="30"/>
      <c r="D2571" s="119"/>
      <c r="E2571" s="32"/>
      <c r="G2571" s="31">
        <v>2529</v>
      </c>
      <c r="H2571" s="30" t="str">
        <f t="shared" si="92"/>
        <v/>
      </c>
      <c r="I2571" s="74" t="str">
        <f t="shared" si="93"/>
        <v/>
      </c>
      <c r="J2571" s="32"/>
    </row>
    <row r="2572" spans="2:10" ht="15">
      <c r="B2572" s="31"/>
      <c r="C2572" s="30"/>
      <c r="D2572" s="119"/>
      <c r="E2572" s="32"/>
      <c r="G2572" s="31">
        <v>2530</v>
      </c>
      <c r="H2572" s="30" t="str">
        <f t="shared" si="92"/>
        <v/>
      </c>
      <c r="I2572" s="74" t="str">
        <f t="shared" si="93"/>
        <v/>
      </c>
      <c r="J2572" s="32"/>
    </row>
    <row r="2573" spans="2:10" ht="15">
      <c r="B2573" s="31"/>
      <c r="C2573" s="30"/>
      <c r="D2573" s="119"/>
      <c r="E2573" s="32"/>
      <c r="G2573" s="31">
        <v>2531</v>
      </c>
      <c r="H2573" s="30" t="str">
        <f t="shared" si="92"/>
        <v/>
      </c>
      <c r="I2573" s="74" t="str">
        <f t="shared" si="93"/>
        <v/>
      </c>
      <c r="J2573" s="32"/>
    </row>
    <row r="2574" spans="2:10" ht="15">
      <c r="B2574" s="31"/>
      <c r="C2574" s="30"/>
      <c r="D2574" s="119"/>
      <c r="E2574" s="32"/>
      <c r="G2574" s="31">
        <v>2532</v>
      </c>
      <c r="H2574" s="30" t="str">
        <f t="shared" si="92"/>
        <v/>
      </c>
      <c r="I2574" s="74" t="str">
        <f t="shared" si="93"/>
        <v/>
      </c>
      <c r="J2574" s="32"/>
    </row>
    <row r="2575" spans="2:10" ht="15">
      <c r="B2575" s="31"/>
      <c r="C2575" s="30"/>
      <c r="D2575" s="119"/>
      <c r="E2575" s="32"/>
      <c r="G2575" s="31">
        <v>2533</v>
      </c>
      <c r="H2575" s="30" t="str">
        <f t="shared" si="92"/>
        <v/>
      </c>
      <c r="I2575" s="74" t="str">
        <f t="shared" si="93"/>
        <v/>
      </c>
      <c r="J2575" s="32"/>
    </row>
    <row r="2576" spans="2:10" ht="15">
      <c r="B2576" s="31"/>
      <c r="C2576" s="30"/>
      <c r="D2576" s="119"/>
      <c r="E2576" s="32"/>
      <c r="G2576" s="31">
        <v>2534</v>
      </c>
      <c r="H2576" s="30" t="str">
        <f t="shared" si="92"/>
        <v/>
      </c>
      <c r="I2576" s="74" t="str">
        <f t="shared" si="93"/>
        <v/>
      </c>
      <c r="J2576" s="32"/>
    </row>
    <row r="2577" spans="2:10" ht="15">
      <c r="B2577" s="31"/>
      <c r="C2577" s="30"/>
      <c r="D2577" s="119"/>
      <c r="E2577" s="32"/>
      <c r="G2577" s="31">
        <v>2535</v>
      </c>
      <c r="H2577" s="30" t="str">
        <f t="shared" si="92"/>
        <v/>
      </c>
      <c r="I2577" s="74" t="str">
        <f t="shared" si="93"/>
        <v/>
      </c>
      <c r="J2577" s="32"/>
    </row>
    <row r="2578" spans="2:10" ht="15">
      <c r="B2578" s="31"/>
      <c r="C2578" s="30"/>
      <c r="D2578" s="119"/>
      <c r="E2578" s="32"/>
      <c r="G2578" s="31">
        <v>2536</v>
      </c>
      <c r="H2578" s="30" t="str">
        <f t="shared" si="92"/>
        <v/>
      </c>
      <c r="I2578" s="74" t="str">
        <f t="shared" si="93"/>
        <v/>
      </c>
      <c r="J2578" s="32"/>
    </row>
    <row r="2579" spans="2:10" ht="15">
      <c r="B2579" s="31"/>
      <c r="C2579" s="30"/>
      <c r="D2579" s="119"/>
      <c r="E2579" s="32"/>
      <c r="G2579" s="31">
        <v>2537</v>
      </c>
      <c r="H2579" s="30" t="str">
        <f t="shared" si="92"/>
        <v/>
      </c>
      <c r="I2579" s="74" t="str">
        <f t="shared" si="93"/>
        <v/>
      </c>
      <c r="J2579" s="32"/>
    </row>
    <row r="2580" spans="2:10" ht="15">
      <c r="B2580" s="31"/>
      <c r="C2580" s="30"/>
      <c r="D2580" s="119"/>
      <c r="E2580" s="32"/>
      <c r="G2580" s="31">
        <v>2538</v>
      </c>
      <c r="H2580" s="30" t="str">
        <f t="shared" si="92"/>
        <v/>
      </c>
      <c r="I2580" s="74" t="str">
        <f t="shared" si="93"/>
        <v/>
      </c>
      <c r="J2580" s="32"/>
    </row>
    <row r="2581" spans="2:10" ht="15">
      <c r="B2581" s="31"/>
      <c r="C2581" s="30"/>
      <c r="D2581" s="119"/>
      <c r="E2581" s="32"/>
      <c r="G2581" s="31">
        <v>2539</v>
      </c>
      <c r="H2581" s="30" t="str">
        <f t="shared" si="92"/>
        <v/>
      </c>
      <c r="I2581" s="74" t="str">
        <f t="shared" si="93"/>
        <v/>
      </c>
      <c r="J2581" s="32"/>
    </row>
    <row r="2582" spans="2:10" ht="15">
      <c r="B2582" s="31"/>
      <c r="C2582" s="30"/>
      <c r="D2582" s="119"/>
      <c r="E2582" s="32"/>
      <c r="G2582" s="31">
        <v>2540</v>
      </c>
      <c r="H2582" s="30" t="str">
        <f t="shared" si="92"/>
        <v/>
      </c>
      <c r="I2582" s="74" t="str">
        <f t="shared" si="93"/>
        <v/>
      </c>
      <c r="J2582" s="32"/>
    </row>
    <row r="2583" spans="2:10" ht="15">
      <c r="B2583" s="31"/>
      <c r="C2583" s="30"/>
      <c r="D2583" s="119"/>
      <c r="E2583" s="32"/>
      <c r="G2583" s="31">
        <v>2541</v>
      </c>
      <c r="H2583" s="30" t="str">
        <f t="shared" si="92"/>
        <v/>
      </c>
      <c r="I2583" s="74" t="str">
        <f t="shared" si="93"/>
        <v/>
      </c>
      <c r="J2583" s="32"/>
    </row>
    <row r="2584" spans="2:10" ht="15">
      <c r="B2584" s="31"/>
      <c r="C2584" s="30"/>
      <c r="D2584" s="119"/>
      <c r="E2584" s="32"/>
      <c r="G2584" s="31">
        <v>2542</v>
      </c>
      <c r="H2584" s="30" t="str">
        <f t="shared" si="92"/>
        <v/>
      </c>
      <c r="I2584" s="74" t="str">
        <f t="shared" si="93"/>
        <v/>
      </c>
      <c r="J2584" s="32"/>
    </row>
    <row r="2585" spans="2:10" ht="15">
      <c r="B2585" s="31"/>
      <c r="C2585" s="30"/>
      <c r="D2585" s="119"/>
      <c r="E2585" s="32"/>
      <c r="G2585" s="31">
        <v>2543</v>
      </c>
      <c r="H2585" s="30" t="str">
        <f t="shared" si="92"/>
        <v/>
      </c>
      <c r="I2585" s="74" t="str">
        <f t="shared" si="93"/>
        <v/>
      </c>
      <c r="J2585" s="32"/>
    </row>
    <row r="2586" spans="2:10" ht="15">
      <c r="B2586" s="31"/>
      <c r="C2586" s="30"/>
      <c r="D2586" s="119"/>
      <c r="E2586" s="32"/>
      <c r="G2586" s="31">
        <v>2544</v>
      </c>
      <c r="H2586" s="30" t="str">
        <f t="shared" si="92"/>
        <v/>
      </c>
      <c r="I2586" s="74" t="str">
        <f t="shared" si="93"/>
        <v/>
      </c>
      <c r="J2586" s="32"/>
    </row>
    <row r="2587" spans="2:10" ht="15">
      <c r="B2587" s="31"/>
      <c r="C2587" s="30"/>
      <c r="D2587" s="119"/>
      <c r="E2587" s="32"/>
      <c r="G2587" s="31">
        <v>2545</v>
      </c>
      <c r="H2587" s="30" t="str">
        <f t="shared" si="92"/>
        <v/>
      </c>
      <c r="I2587" s="74" t="str">
        <f t="shared" si="93"/>
        <v/>
      </c>
      <c r="J2587" s="32"/>
    </row>
    <row r="2588" spans="2:10" ht="15">
      <c r="B2588" s="31"/>
      <c r="C2588" s="30"/>
      <c r="D2588" s="119"/>
      <c r="E2588" s="32"/>
      <c r="G2588" s="31">
        <v>2546</v>
      </c>
      <c r="H2588" s="30" t="str">
        <f t="shared" si="92"/>
        <v/>
      </c>
      <c r="I2588" s="74" t="str">
        <f t="shared" si="93"/>
        <v/>
      </c>
      <c r="J2588" s="32"/>
    </row>
    <row r="2589" spans="2:10" ht="15">
      <c r="B2589" s="31"/>
      <c r="C2589" s="30"/>
      <c r="D2589" s="119"/>
      <c r="E2589" s="32"/>
      <c r="G2589" s="31">
        <v>2547</v>
      </c>
      <c r="H2589" s="30" t="str">
        <f t="shared" si="92"/>
        <v/>
      </c>
      <c r="I2589" s="74" t="str">
        <f t="shared" si="93"/>
        <v/>
      </c>
      <c r="J2589" s="32"/>
    </row>
    <row r="2590" spans="2:10" ht="15">
      <c r="B2590" s="31"/>
      <c r="C2590" s="30"/>
      <c r="D2590" s="119"/>
      <c r="E2590" s="32"/>
      <c r="G2590" s="31">
        <v>2548</v>
      </c>
      <c r="H2590" s="30" t="str">
        <f t="shared" si="92"/>
        <v/>
      </c>
      <c r="I2590" s="74" t="str">
        <f t="shared" si="93"/>
        <v/>
      </c>
      <c r="J2590" s="32"/>
    </row>
    <row r="2591" spans="2:10" ht="15">
      <c r="B2591" s="31"/>
      <c r="C2591" s="30"/>
      <c r="D2591" s="119"/>
      <c r="E2591" s="32"/>
      <c r="G2591" s="31">
        <v>2549</v>
      </c>
      <c r="H2591" s="30" t="str">
        <f t="shared" si="92"/>
        <v/>
      </c>
      <c r="I2591" s="74" t="str">
        <f t="shared" si="93"/>
        <v/>
      </c>
      <c r="J2591" s="32"/>
    </row>
    <row r="2592" spans="2:10" ht="15">
      <c r="B2592" s="31"/>
      <c r="C2592" s="30"/>
      <c r="D2592" s="119"/>
      <c r="E2592" s="32"/>
      <c r="G2592" s="31">
        <v>2550</v>
      </c>
      <c r="H2592" s="30" t="str">
        <f t="shared" si="92"/>
        <v/>
      </c>
      <c r="I2592" s="74" t="str">
        <f t="shared" si="93"/>
        <v/>
      </c>
      <c r="J2592" s="32"/>
    </row>
    <row r="2593" spans="2:10" ht="15">
      <c r="B2593" s="31"/>
      <c r="C2593" s="30"/>
      <c r="D2593" s="119"/>
      <c r="E2593" s="32"/>
      <c r="G2593" s="31">
        <v>2551</v>
      </c>
      <c r="H2593" s="30" t="str">
        <f t="shared" si="92"/>
        <v/>
      </c>
      <c r="I2593" s="74" t="str">
        <f t="shared" si="93"/>
        <v/>
      </c>
      <c r="J2593" s="32"/>
    </row>
    <row r="2594" spans="2:10" ht="15">
      <c r="B2594" s="31"/>
      <c r="C2594" s="30"/>
      <c r="D2594" s="119"/>
      <c r="E2594" s="32"/>
      <c r="G2594" s="31">
        <v>2552</v>
      </c>
      <c r="H2594" s="30" t="str">
        <f t="shared" si="92"/>
        <v/>
      </c>
      <c r="I2594" s="74" t="str">
        <f t="shared" si="93"/>
        <v/>
      </c>
      <c r="J2594" s="32"/>
    </row>
    <row r="2595" spans="2:10" ht="15">
      <c r="B2595" s="31"/>
      <c r="C2595" s="30"/>
      <c r="D2595" s="119"/>
      <c r="E2595" s="32"/>
      <c r="G2595" s="31">
        <v>2553</v>
      </c>
      <c r="H2595" s="30" t="str">
        <f t="shared" si="92"/>
        <v/>
      </c>
      <c r="I2595" s="74" t="str">
        <f t="shared" si="93"/>
        <v/>
      </c>
      <c r="J2595" s="32"/>
    </row>
    <row r="2596" spans="2:10" ht="15">
      <c r="B2596" s="31"/>
      <c r="C2596" s="30"/>
      <c r="D2596" s="119"/>
      <c r="E2596" s="32"/>
      <c r="G2596" s="31">
        <v>2554</v>
      </c>
      <c r="H2596" s="30" t="str">
        <f t="shared" si="92"/>
        <v/>
      </c>
      <c r="I2596" s="74" t="str">
        <f t="shared" si="93"/>
        <v/>
      </c>
      <c r="J2596" s="32"/>
    </row>
    <row r="2597" spans="2:10" ht="15">
      <c r="B2597" s="31"/>
      <c r="C2597" s="30"/>
      <c r="D2597" s="119"/>
      <c r="E2597" s="32"/>
      <c r="G2597" s="31">
        <v>2555</v>
      </c>
      <c r="H2597" s="30" t="str">
        <f t="shared" si="92"/>
        <v/>
      </c>
      <c r="I2597" s="74" t="str">
        <f t="shared" si="93"/>
        <v/>
      </c>
      <c r="J2597" s="32"/>
    </row>
    <row r="2598" spans="2:10" ht="15">
      <c r="B2598" s="31"/>
      <c r="C2598" s="30"/>
      <c r="D2598" s="119"/>
      <c r="E2598" s="32"/>
      <c r="G2598" s="31">
        <v>2556</v>
      </c>
      <c r="H2598" s="30" t="str">
        <f t="shared" si="92"/>
        <v/>
      </c>
      <c r="I2598" s="74" t="str">
        <f t="shared" si="93"/>
        <v/>
      </c>
      <c r="J2598" s="32"/>
    </row>
    <row r="2599" spans="2:10" ht="15">
      <c r="B2599" s="31"/>
      <c r="C2599" s="30"/>
      <c r="D2599" s="119"/>
      <c r="E2599" s="32"/>
      <c r="G2599" s="31">
        <v>2557</v>
      </c>
      <c r="H2599" s="30" t="str">
        <f t="shared" si="92"/>
        <v/>
      </c>
      <c r="I2599" s="74" t="str">
        <f t="shared" si="93"/>
        <v/>
      </c>
      <c r="J2599" s="32"/>
    </row>
    <row r="2600" spans="2:10" ht="15">
      <c r="B2600" s="31"/>
      <c r="C2600" s="30"/>
      <c r="D2600" s="119"/>
      <c r="E2600" s="32"/>
      <c r="G2600" s="31">
        <v>2558</v>
      </c>
      <c r="H2600" s="30" t="str">
        <f t="shared" si="92"/>
        <v/>
      </c>
      <c r="I2600" s="74" t="str">
        <f t="shared" si="93"/>
        <v/>
      </c>
      <c r="J2600" s="32"/>
    </row>
    <row r="2601" spans="2:10" ht="15">
      <c r="B2601" s="31"/>
      <c r="C2601" s="30"/>
      <c r="D2601" s="119"/>
      <c r="E2601" s="32"/>
      <c r="G2601" s="31">
        <v>2559</v>
      </c>
      <c r="H2601" s="30" t="str">
        <f t="shared" si="92"/>
        <v/>
      </c>
      <c r="I2601" s="74" t="str">
        <f t="shared" si="93"/>
        <v/>
      </c>
      <c r="J2601" s="32"/>
    </row>
    <row r="2602" spans="2:10" ht="15">
      <c r="B2602" s="31"/>
      <c r="C2602" s="30"/>
      <c r="D2602" s="119"/>
      <c r="E2602" s="32"/>
      <c r="G2602" s="31">
        <v>2560</v>
      </c>
      <c r="H2602" s="30" t="str">
        <f t="shared" si="92"/>
        <v/>
      </c>
      <c r="I2602" s="74" t="str">
        <f t="shared" si="93"/>
        <v/>
      </c>
      <c r="J2602" s="32"/>
    </row>
    <row r="2603" spans="2:10" ht="15">
      <c r="B2603" s="31"/>
      <c r="C2603" s="30"/>
      <c r="D2603" s="119"/>
      <c r="E2603" s="32"/>
      <c r="G2603" s="31">
        <v>2561</v>
      </c>
      <c r="H2603" s="30" t="str">
        <f t="shared" si="92"/>
        <v/>
      </c>
      <c r="I2603" s="74" t="str">
        <f t="shared" si="93"/>
        <v/>
      </c>
      <c r="J2603" s="32"/>
    </row>
    <row r="2604" spans="2:10" ht="15">
      <c r="B2604" s="31"/>
      <c r="C2604" s="30"/>
      <c r="D2604" s="119"/>
      <c r="E2604" s="32"/>
      <c r="G2604" s="31">
        <v>2562</v>
      </c>
      <c r="H2604" s="30" t="str">
        <f t="shared" ref="H2604:H2667" si="94">MID($I$41,G2604*8-7,8)</f>
        <v/>
      </c>
      <c r="I2604" s="74" t="str">
        <f t="shared" ref="I2604:I2667" si="95">IFERROR(BIN2DEC(VALUE(H2604)),"")</f>
        <v/>
      </c>
      <c r="J2604" s="32"/>
    </row>
    <row r="2605" spans="2:10" ht="15">
      <c r="B2605" s="31"/>
      <c r="C2605" s="30"/>
      <c r="D2605" s="119"/>
      <c r="E2605" s="32"/>
      <c r="G2605" s="31">
        <v>2563</v>
      </c>
      <c r="H2605" s="30" t="str">
        <f t="shared" si="94"/>
        <v/>
      </c>
      <c r="I2605" s="74" t="str">
        <f t="shared" si="95"/>
        <v/>
      </c>
      <c r="J2605" s="32"/>
    </row>
    <row r="2606" spans="2:10" ht="15">
      <c r="B2606" s="31"/>
      <c r="C2606" s="30"/>
      <c r="D2606" s="119"/>
      <c r="E2606" s="32"/>
      <c r="G2606" s="31">
        <v>2564</v>
      </c>
      <c r="H2606" s="30" t="str">
        <f t="shared" si="94"/>
        <v/>
      </c>
      <c r="I2606" s="74" t="str">
        <f t="shared" si="95"/>
        <v/>
      </c>
      <c r="J2606" s="32"/>
    </row>
    <row r="2607" spans="2:10" ht="15">
      <c r="B2607" s="31"/>
      <c r="C2607" s="30"/>
      <c r="D2607" s="119"/>
      <c r="E2607" s="32"/>
      <c r="G2607" s="31">
        <v>2565</v>
      </c>
      <c r="H2607" s="30" t="str">
        <f t="shared" si="94"/>
        <v/>
      </c>
      <c r="I2607" s="74" t="str">
        <f t="shared" si="95"/>
        <v/>
      </c>
      <c r="J2607" s="32"/>
    </row>
    <row r="2608" spans="2:10" ht="15">
      <c r="B2608" s="31"/>
      <c r="C2608" s="30"/>
      <c r="D2608" s="119"/>
      <c r="E2608" s="32"/>
      <c r="G2608" s="31">
        <v>2566</v>
      </c>
      <c r="H2608" s="30" t="str">
        <f t="shared" si="94"/>
        <v/>
      </c>
      <c r="I2608" s="74" t="str">
        <f t="shared" si="95"/>
        <v/>
      </c>
      <c r="J2608" s="32"/>
    </row>
    <row r="2609" spans="2:10" ht="15">
      <c r="B2609" s="31"/>
      <c r="C2609" s="30"/>
      <c r="D2609" s="119"/>
      <c r="E2609" s="32"/>
      <c r="G2609" s="31">
        <v>2567</v>
      </c>
      <c r="H2609" s="30" t="str">
        <f t="shared" si="94"/>
        <v/>
      </c>
      <c r="I2609" s="74" t="str">
        <f t="shared" si="95"/>
        <v/>
      </c>
      <c r="J2609" s="32"/>
    </row>
    <row r="2610" spans="2:10" ht="15">
      <c r="B2610" s="31"/>
      <c r="C2610" s="30"/>
      <c r="D2610" s="119"/>
      <c r="E2610" s="32"/>
      <c r="G2610" s="31">
        <v>2568</v>
      </c>
      <c r="H2610" s="30" t="str">
        <f t="shared" si="94"/>
        <v/>
      </c>
      <c r="I2610" s="74" t="str">
        <f t="shared" si="95"/>
        <v/>
      </c>
      <c r="J2610" s="32"/>
    </row>
    <row r="2611" spans="2:10" ht="15">
      <c r="B2611" s="31"/>
      <c r="C2611" s="30"/>
      <c r="D2611" s="119"/>
      <c r="E2611" s="32"/>
      <c r="G2611" s="31">
        <v>2569</v>
      </c>
      <c r="H2611" s="30" t="str">
        <f t="shared" si="94"/>
        <v/>
      </c>
      <c r="I2611" s="74" t="str">
        <f t="shared" si="95"/>
        <v/>
      </c>
      <c r="J2611" s="32"/>
    </row>
    <row r="2612" spans="2:10" ht="15">
      <c r="B2612" s="31"/>
      <c r="C2612" s="30"/>
      <c r="D2612" s="119"/>
      <c r="E2612" s="32"/>
      <c r="G2612" s="31">
        <v>2570</v>
      </c>
      <c r="H2612" s="30" t="str">
        <f t="shared" si="94"/>
        <v/>
      </c>
      <c r="I2612" s="74" t="str">
        <f t="shared" si="95"/>
        <v/>
      </c>
      <c r="J2612" s="32"/>
    </row>
    <row r="2613" spans="2:10" ht="15">
      <c r="B2613" s="31"/>
      <c r="C2613" s="30"/>
      <c r="D2613" s="119"/>
      <c r="E2613" s="32"/>
      <c r="G2613" s="31">
        <v>2571</v>
      </c>
      <c r="H2613" s="30" t="str">
        <f t="shared" si="94"/>
        <v/>
      </c>
      <c r="I2613" s="74" t="str">
        <f t="shared" si="95"/>
        <v/>
      </c>
      <c r="J2613" s="32"/>
    </row>
    <row r="2614" spans="2:10" ht="15">
      <c r="B2614" s="31"/>
      <c r="C2614" s="30"/>
      <c r="D2614" s="119"/>
      <c r="E2614" s="32"/>
      <c r="G2614" s="31">
        <v>2572</v>
      </c>
      <c r="H2614" s="30" t="str">
        <f t="shared" si="94"/>
        <v/>
      </c>
      <c r="I2614" s="74" t="str">
        <f t="shared" si="95"/>
        <v/>
      </c>
      <c r="J2614" s="32"/>
    </row>
    <row r="2615" spans="2:10" ht="15">
      <c r="B2615" s="31"/>
      <c r="C2615" s="30"/>
      <c r="D2615" s="119"/>
      <c r="E2615" s="32"/>
      <c r="G2615" s="31">
        <v>2573</v>
      </c>
      <c r="H2615" s="30" t="str">
        <f t="shared" si="94"/>
        <v/>
      </c>
      <c r="I2615" s="74" t="str">
        <f t="shared" si="95"/>
        <v/>
      </c>
      <c r="J2615" s="32"/>
    </row>
    <row r="2616" spans="2:10" ht="15">
      <c r="B2616" s="31"/>
      <c r="C2616" s="30"/>
      <c r="D2616" s="119"/>
      <c r="E2616" s="32"/>
      <c r="G2616" s="31">
        <v>2574</v>
      </c>
      <c r="H2616" s="30" t="str">
        <f t="shared" si="94"/>
        <v/>
      </c>
      <c r="I2616" s="74" t="str">
        <f t="shared" si="95"/>
        <v/>
      </c>
      <c r="J2616" s="32"/>
    </row>
    <row r="2617" spans="2:10" ht="15">
      <c r="B2617" s="31"/>
      <c r="C2617" s="30"/>
      <c r="D2617" s="119"/>
      <c r="E2617" s="32"/>
      <c r="G2617" s="31">
        <v>2575</v>
      </c>
      <c r="H2617" s="30" t="str">
        <f t="shared" si="94"/>
        <v/>
      </c>
      <c r="I2617" s="74" t="str">
        <f t="shared" si="95"/>
        <v/>
      </c>
      <c r="J2617" s="32"/>
    </row>
    <row r="2618" spans="2:10" ht="15">
      <c r="B2618" s="31"/>
      <c r="C2618" s="30"/>
      <c r="D2618" s="119"/>
      <c r="E2618" s="32"/>
      <c r="G2618" s="31">
        <v>2576</v>
      </c>
      <c r="H2618" s="30" t="str">
        <f t="shared" si="94"/>
        <v/>
      </c>
      <c r="I2618" s="74" t="str">
        <f t="shared" si="95"/>
        <v/>
      </c>
      <c r="J2618" s="32"/>
    </row>
    <row r="2619" spans="2:10" ht="15">
      <c r="B2619" s="31"/>
      <c r="C2619" s="30"/>
      <c r="D2619" s="119"/>
      <c r="E2619" s="32"/>
      <c r="G2619" s="31">
        <v>2577</v>
      </c>
      <c r="H2619" s="30" t="str">
        <f t="shared" si="94"/>
        <v/>
      </c>
      <c r="I2619" s="74" t="str">
        <f t="shared" si="95"/>
        <v/>
      </c>
      <c r="J2619" s="32"/>
    </row>
    <row r="2620" spans="2:10" ht="15">
      <c r="B2620" s="31"/>
      <c r="C2620" s="30"/>
      <c r="D2620" s="119"/>
      <c r="E2620" s="32"/>
      <c r="G2620" s="31">
        <v>2578</v>
      </c>
      <c r="H2620" s="30" t="str">
        <f t="shared" si="94"/>
        <v/>
      </c>
      <c r="I2620" s="74" t="str">
        <f t="shared" si="95"/>
        <v/>
      </c>
      <c r="J2620" s="32"/>
    </row>
    <row r="2621" spans="2:10" ht="15">
      <c r="B2621" s="31"/>
      <c r="C2621" s="30"/>
      <c r="D2621" s="119"/>
      <c r="E2621" s="32"/>
      <c r="G2621" s="31">
        <v>2579</v>
      </c>
      <c r="H2621" s="30" t="str">
        <f t="shared" si="94"/>
        <v/>
      </c>
      <c r="I2621" s="74" t="str">
        <f t="shared" si="95"/>
        <v/>
      </c>
      <c r="J2621" s="32"/>
    </row>
    <row r="2622" spans="2:10" ht="15">
      <c r="B2622" s="31"/>
      <c r="C2622" s="30"/>
      <c r="D2622" s="119"/>
      <c r="E2622" s="32"/>
      <c r="G2622" s="31">
        <v>2580</v>
      </c>
      <c r="H2622" s="30" t="str">
        <f t="shared" si="94"/>
        <v/>
      </c>
      <c r="I2622" s="74" t="str">
        <f t="shared" si="95"/>
        <v/>
      </c>
      <c r="J2622" s="32"/>
    </row>
    <row r="2623" spans="2:10" ht="15">
      <c r="B2623" s="31"/>
      <c r="C2623" s="30"/>
      <c r="D2623" s="119"/>
      <c r="E2623" s="32"/>
      <c r="G2623" s="31">
        <v>2581</v>
      </c>
      <c r="H2623" s="30" t="str">
        <f t="shared" si="94"/>
        <v/>
      </c>
      <c r="I2623" s="74" t="str">
        <f t="shared" si="95"/>
        <v/>
      </c>
      <c r="J2623" s="32"/>
    </row>
    <row r="2624" spans="2:10" ht="15">
      <c r="B2624" s="31"/>
      <c r="C2624" s="30"/>
      <c r="D2624" s="119"/>
      <c r="E2624" s="32"/>
      <c r="G2624" s="31">
        <v>2582</v>
      </c>
      <c r="H2624" s="30" t="str">
        <f t="shared" si="94"/>
        <v/>
      </c>
      <c r="I2624" s="74" t="str">
        <f t="shared" si="95"/>
        <v/>
      </c>
      <c r="J2624" s="32"/>
    </row>
    <row r="2625" spans="2:10" ht="15">
      <c r="B2625" s="31"/>
      <c r="C2625" s="30"/>
      <c r="D2625" s="119"/>
      <c r="E2625" s="32"/>
      <c r="G2625" s="31">
        <v>2583</v>
      </c>
      <c r="H2625" s="30" t="str">
        <f t="shared" si="94"/>
        <v/>
      </c>
      <c r="I2625" s="74" t="str">
        <f t="shared" si="95"/>
        <v/>
      </c>
      <c r="J2625" s="32"/>
    </row>
    <row r="2626" spans="2:10" ht="15">
      <c r="B2626" s="31"/>
      <c r="C2626" s="30"/>
      <c r="D2626" s="119"/>
      <c r="E2626" s="32"/>
      <c r="G2626" s="31">
        <v>2584</v>
      </c>
      <c r="H2626" s="30" t="str">
        <f t="shared" si="94"/>
        <v/>
      </c>
      <c r="I2626" s="74" t="str">
        <f t="shared" si="95"/>
        <v/>
      </c>
      <c r="J2626" s="32"/>
    </row>
    <row r="2627" spans="2:10" ht="15">
      <c r="B2627" s="31"/>
      <c r="C2627" s="30"/>
      <c r="D2627" s="119"/>
      <c r="E2627" s="32"/>
      <c r="G2627" s="31">
        <v>2585</v>
      </c>
      <c r="H2627" s="30" t="str">
        <f t="shared" si="94"/>
        <v/>
      </c>
      <c r="I2627" s="74" t="str">
        <f t="shared" si="95"/>
        <v/>
      </c>
      <c r="J2627" s="32"/>
    </row>
    <row r="2628" spans="2:10" ht="15">
      <c r="B2628" s="31"/>
      <c r="C2628" s="30"/>
      <c r="D2628" s="119"/>
      <c r="E2628" s="32"/>
      <c r="G2628" s="31">
        <v>2586</v>
      </c>
      <c r="H2628" s="30" t="str">
        <f t="shared" si="94"/>
        <v/>
      </c>
      <c r="I2628" s="74" t="str">
        <f t="shared" si="95"/>
        <v/>
      </c>
      <c r="J2628" s="32"/>
    </row>
    <row r="2629" spans="2:10" ht="15">
      <c r="B2629" s="31"/>
      <c r="C2629" s="30"/>
      <c r="D2629" s="119"/>
      <c r="E2629" s="32"/>
      <c r="G2629" s="31">
        <v>2587</v>
      </c>
      <c r="H2629" s="30" t="str">
        <f t="shared" si="94"/>
        <v/>
      </c>
      <c r="I2629" s="74" t="str">
        <f t="shared" si="95"/>
        <v/>
      </c>
      <c r="J2629" s="32"/>
    </row>
    <row r="2630" spans="2:10" ht="15">
      <c r="B2630" s="31"/>
      <c r="C2630" s="30"/>
      <c r="D2630" s="119"/>
      <c r="E2630" s="32"/>
      <c r="G2630" s="31">
        <v>2588</v>
      </c>
      <c r="H2630" s="30" t="str">
        <f t="shared" si="94"/>
        <v/>
      </c>
      <c r="I2630" s="74" t="str">
        <f t="shared" si="95"/>
        <v/>
      </c>
      <c r="J2630" s="32"/>
    </row>
    <row r="2631" spans="2:10" ht="15">
      <c r="B2631" s="31"/>
      <c r="C2631" s="30"/>
      <c r="D2631" s="119"/>
      <c r="E2631" s="32"/>
      <c r="G2631" s="31">
        <v>2589</v>
      </c>
      <c r="H2631" s="30" t="str">
        <f t="shared" si="94"/>
        <v/>
      </c>
      <c r="I2631" s="74" t="str">
        <f t="shared" si="95"/>
        <v/>
      </c>
      <c r="J2631" s="32"/>
    </row>
    <row r="2632" spans="2:10" ht="15">
      <c r="B2632" s="31"/>
      <c r="C2632" s="30"/>
      <c r="D2632" s="119"/>
      <c r="E2632" s="32"/>
      <c r="G2632" s="31">
        <v>2590</v>
      </c>
      <c r="H2632" s="30" t="str">
        <f t="shared" si="94"/>
        <v/>
      </c>
      <c r="I2632" s="74" t="str">
        <f t="shared" si="95"/>
        <v/>
      </c>
      <c r="J2632" s="32"/>
    </row>
    <row r="2633" spans="2:10" ht="15">
      <c r="B2633" s="31"/>
      <c r="C2633" s="30"/>
      <c r="D2633" s="119"/>
      <c r="E2633" s="32"/>
      <c r="G2633" s="31">
        <v>2591</v>
      </c>
      <c r="H2633" s="30" t="str">
        <f t="shared" si="94"/>
        <v/>
      </c>
      <c r="I2633" s="74" t="str">
        <f t="shared" si="95"/>
        <v/>
      </c>
      <c r="J2633" s="32"/>
    </row>
    <row r="2634" spans="2:10" ht="15">
      <c r="B2634" s="31"/>
      <c r="C2634" s="30"/>
      <c r="D2634" s="119"/>
      <c r="E2634" s="32"/>
      <c r="G2634" s="31">
        <v>2592</v>
      </c>
      <c r="H2634" s="30" t="str">
        <f t="shared" si="94"/>
        <v/>
      </c>
      <c r="I2634" s="74" t="str">
        <f t="shared" si="95"/>
        <v/>
      </c>
      <c r="J2634" s="32"/>
    </row>
    <row r="2635" spans="2:10" ht="15">
      <c r="B2635" s="31"/>
      <c r="C2635" s="30"/>
      <c r="D2635" s="119"/>
      <c r="E2635" s="32"/>
      <c r="G2635" s="31">
        <v>2593</v>
      </c>
      <c r="H2635" s="30" t="str">
        <f t="shared" si="94"/>
        <v/>
      </c>
      <c r="I2635" s="74" t="str">
        <f t="shared" si="95"/>
        <v/>
      </c>
      <c r="J2635" s="32"/>
    </row>
    <row r="2636" spans="2:10" ht="15">
      <c r="B2636" s="31"/>
      <c r="C2636" s="30"/>
      <c r="D2636" s="119"/>
      <c r="E2636" s="32"/>
      <c r="G2636" s="31">
        <v>2594</v>
      </c>
      <c r="H2636" s="30" t="str">
        <f t="shared" si="94"/>
        <v/>
      </c>
      <c r="I2636" s="74" t="str">
        <f t="shared" si="95"/>
        <v/>
      </c>
      <c r="J2636" s="32"/>
    </row>
    <row r="2637" spans="2:10" ht="15">
      <c r="B2637" s="31"/>
      <c r="C2637" s="30"/>
      <c r="D2637" s="119"/>
      <c r="E2637" s="32"/>
      <c r="G2637" s="31">
        <v>2595</v>
      </c>
      <c r="H2637" s="30" t="str">
        <f t="shared" si="94"/>
        <v/>
      </c>
      <c r="I2637" s="74" t="str">
        <f t="shared" si="95"/>
        <v/>
      </c>
      <c r="J2637" s="32"/>
    </row>
    <row r="2638" spans="2:10" ht="15">
      <c r="B2638" s="31"/>
      <c r="C2638" s="30"/>
      <c r="D2638" s="119"/>
      <c r="E2638" s="32"/>
      <c r="G2638" s="31">
        <v>2596</v>
      </c>
      <c r="H2638" s="30" t="str">
        <f t="shared" si="94"/>
        <v/>
      </c>
      <c r="I2638" s="74" t="str">
        <f t="shared" si="95"/>
        <v/>
      </c>
      <c r="J2638" s="32"/>
    </row>
    <row r="2639" spans="2:10" ht="15">
      <c r="B2639" s="31"/>
      <c r="C2639" s="30"/>
      <c r="D2639" s="119"/>
      <c r="E2639" s="32"/>
      <c r="G2639" s="31">
        <v>2597</v>
      </c>
      <c r="H2639" s="30" t="str">
        <f t="shared" si="94"/>
        <v/>
      </c>
      <c r="I2639" s="74" t="str">
        <f t="shared" si="95"/>
        <v/>
      </c>
      <c r="J2639" s="32"/>
    </row>
    <row r="2640" spans="2:10" ht="15">
      <c r="B2640" s="31"/>
      <c r="C2640" s="30"/>
      <c r="D2640" s="119"/>
      <c r="E2640" s="32"/>
      <c r="G2640" s="31">
        <v>2598</v>
      </c>
      <c r="H2640" s="30" t="str">
        <f t="shared" si="94"/>
        <v/>
      </c>
      <c r="I2640" s="74" t="str">
        <f t="shared" si="95"/>
        <v/>
      </c>
      <c r="J2640" s="32"/>
    </row>
    <row r="2641" spans="2:10" ht="15">
      <c r="B2641" s="31"/>
      <c r="C2641" s="30"/>
      <c r="D2641" s="119"/>
      <c r="E2641" s="32"/>
      <c r="G2641" s="31">
        <v>2599</v>
      </c>
      <c r="H2641" s="30" t="str">
        <f t="shared" si="94"/>
        <v/>
      </c>
      <c r="I2641" s="74" t="str">
        <f t="shared" si="95"/>
        <v/>
      </c>
      <c r="J2641" s="32"/>
    </row>
    <row r="2642" spans="2:10" ht="15">
      <c r="B2642" s="31"/>
      <c r="C2642" s="30"/>
      <c r="D2642" s="119"/>
      <c r="E2642" s="32"/>
      <c r="G2642" s="31">
        <v>2600</v>
      </c>
      <c r="H2642" s="30" t="str">
        <f t="shared" si="94"/>
        <v/>
      </c>
      <c r="I2642" s="74" t="str">
        <f t="shared" si="95"/>
        <v/>
      </c>
      <c r="J2642" s="32"/>
    </row>
    <row r="2643" spans="2:10" ht="15">
      <c r="B2643" s="31"/>
      <c r="C2643" s="30"/>
      <c r="D2643" s="119"/>
      <c r="E2643" s="32"/>
      <c r="G2643" s="31">
        <v>2601</v>
      </c>
      <c r="H2643" s="30" t="str">
        <f t="shared" si="94"/>
        <v/>
      </c>
      <c r="I2643" s="74" t="str">
        <f t="shared" si="95"/>
        <v/>
      </c>
      <c r="J2643" s="32"/>
    </row>
    <row r="2644" spans="2:10" ht="15">
      <c r="B2644" s="31"/>
      <c r="C2644" s="30"/>
      <c r="D2644" s="119"/>
      <c r="E2644" s="32"/>
      <c r="G2644" s="31">
        <v>2602</v>
      </c>
      <c r="H2644" s="30" t="str">
        <f t="shared" si="94"/>
        <v/>
      </c>
      <c r="I2644" s="74" t="str">
        <f t="shared" si="95"/>
        <v/>
      </c>
      <c r="J2644" s="32"/>
    </row>
    <row r="2645" spans="2:10" ht="15">
      <c r="B2645" s="31"/>
      <c r="C2645" s="30"/>
      <c r="D2645" s="119"/>
      <c r="E2645" s="32"/>
      <c r="G2645" s="31">
        <v>2603</v>
      </c>
      <c r="H2645" s="30" t="str">
        <f t="shared" si="94"/>
        <v/>
      </c>
      <c r="I2645" s="74" t="str">
        <f t="shared" si="95"/>
        <v/>
      </c>
      <c r="J2645" s="32"/>
    </row>
    <row r="2646" spans="2:10" ht="15">
      <c r="B2646" s="31"/>
      <c r="C2646" s="30"/>
      <c r="D2646" s="119"/>
      <c r="E2646" s="32"/>
      <c r="G2646" s="31">
        <v>2604</v>
      </c>
      <c r="H2646" s="30" t="str">
        <f t="shared" si="94"/>
        <v/>
      </c>
      <c r="I2646" s="74" t="str">
        <f t="shared" si="95"/>
        <v/>
      </c>
      <c r="J2646" s="32"/>
    </row>
    <row r="2647" spans="2:10" ht="15">
      <c r="B2647" s="31"/>
      <c r="C2647" s="30"/>
      <c r="D2647" s="119"/>
      <c r="E2647" s="32"/>
      <c r="G2647" s="31">
        <v>2605</v>
      </c>
      <c r="H2647" s="30" t="str">
        <f t="shared" si="94"/>
        <v/>
      </c>
      <c r="I2647" s="74" t="str">
        <f t="shared" si="95"/>
        <v/>
      </c>
      <c r="J2647" s="32"/>
    </row>
    <row r="2648" spans="2:10" ht="15">
      <c r="B2648" s="31"/>
      <c r="C2648" s="30"/>
      <c r="D2648" s="119"/>
      <c r="E2648" s="32"/>
      <c r="G2648" s="31">
        <v>2606</v>
      </c>
      <c r="H2648" s="30" t="str">
        <f t="shared" si="94"/>
        <v/>
      </c>
      <c r="I2648" s="74" t="str">
        <f t="shared" si="95"/>
        <v/>
      </c>
      <c r="J2648" s="32"/>
    </row>
    <row r="2649" spans="2:10" ht="15">
      <c r="B2649" s="31"/>
      <c r="C2649" s="30"/>
      <c r="D2649" s="119"/>
      <c r="E2649" s="32"/>
      <c r="G2649" s="31">
        <v>2607</v>
      </c>
      <c r="H2649" s="30" t="str">
        <f t="shared" si="94"/>
        <v/>
      </c>
      <c r="I2649" s="74" t="str">
        <f t="shared" si="95"/>
        <v/>
      </c>
      <c r="J2649" s="32"/>
    </row>
    <row r="2650" spans="2:10" ht="15">
      <c r="B2650" s="31"/>
      <c r="C2650" s="30"/>
      <c r="D2650" s="119"/>
      <c r="E2650" s="32"/>
      <c r="G2650" s="31">
        <v>2608</v>
      </c>
      <c r="H2650" s="30" t="str">
        <f t="shared" si="94"/>
        <v/>
      </c>
      <c r="I2650" s="74" t="str">
        <f t="shared" si="95"/>
        <v/>
      </c>
      <c r="J2650" s="32"/>
    </row>
    <row r="2651" spans="2:10" ht="15">
      <c r="B2651" s="31"/>
      <c r="C2651" s="30"/>
      <c r="D2651" s="119"/>
      <c r="E2651" s="32"/>
      <c r="G2651" s="31">
        <v>2609</v>
      </c>
      <c r="H2651" s="30" t="str">
        <f t="shared" si="94"/>
        <v/>
      </c>
      <c r="I2651" s="74" t="str">
        <f t="shared" si="95"/>
        <v/>
      </c>
      <c r="J2651" s="32"/>
    </row>
    <row r="2652" spans="2:10" ht="15">
      <c r="B2652" s="31"/>
      <c r="C2652" s="30"/>
      <c r="D2652" s="119"/>
      <c r="E2652" s="32"/>
      <c r="G2652" s="31">
        <v>2610</v>
      </c>
      <c r="H2652" s="30" t="str">
        <f t="shared" si="94"/>
        <v/>
      </c>
      <c r="I2652" s="74" t="str">
        <f t="shared" si="95"/>
        <v/>
      </c>
      <c r="J2652" s="32"/>
    </row>
    <row r="2653" spans="2:10" ht="15">
      <c r="B2653" s="31"/>
      <c r="C2653" s="30"/>
      <c r="D2653" s="119"/>
      <c r="E2653" s="32"/>
      <c r="G2653" s="31">
        <v>2611</v>
      </c>
      <c r="H2653" s="30" t="str">
        <f t="shared" si="94"/>
        <v/>
      </c>
      <c r="I2653" s="74" t="str">
        <f t="shared" si="95"/>
        <v/>
      </c>
      <c r="J2653" s="32"/>
    </row>
    <row r="2654" spans="2:10" ht="15">
      <c r="B2654" s="31"/>
      <c r="C2654" s="30"/>
      <c r="D2654" s="119"/>
      <c r="E2654" s="32"/>
      <c r="G2654" s="31">
        <v>2612</v>
      </c>
      <c r="H2654" s="30" t="str">
        <f t="shared" si="94"/>
        <v/>
      </c>
      <c r="I2654" s="74" t="str">
        <f t="shared" si="95"/>
        <v/>
      </c>
      <c r="J2654" s="32"/>
    </row>
    <row r="2655" spans="2:10" ht="15">
      <c r="B2655" s="31"/>
      <c r="C2655" s="30"/>
      <c r="D2655" s="119"/>
      <c r="E2655" s="32"/>
      <c r="G2655" s="31">
        <v>2613</v>
      </c>
      <c r="H2655" s="30" t="str">
        <f t="shared" si="94"/>
        <v/>
      </c>
      <c r="I2655" s="74" t="str">
        <f t="shared" si="95"/>
        <v/>
      </c>
      <c r="J2655" s="32"/>
    </row>
    <row r="2656" spans="2:10" ht="15">
      <c r="B2656" s="31"/>
      <c r="C2656" s="30"/>
      <c r="D2656" s="119"/>
      <c r="E2656" s="32"/>
      <c r="G2656" s="31">
        <v>2614</v>
      </c>
      <c r="H2656" s="30" t="str">
        <f t="shared" si="94"/>
        <v/>
      </c>
      <c r="I2656" s="74" t="str">
        <f t="shared" si="95"/>
        <v/>
      </c>
      <c r="J2656" s="32"/>
    </row>
    <row r="2657" spans="2:10" ht="15">
      <c r="B2657" s="31"/>
      <c r="C2657" s="30"/>
      <c r="D2657" s="119"/>
      <c r="E2657" s="32"/>
      <c r="G2657" s="31">
        <v>2615</v>
      </c>
      <c r="H2657" s="30" t="str">
        <f t="shared" si="94"/>
        <v/>
      </c>
      <c r="I2657" s="74" t="str">
        <f t="shared" si="95"/>
        <v/>
      </c>
      <c r="J2657" s="32"/>
    </row>
    <row r="2658" spans="2:10" ht="15">
      <c r="B2658" s="31"/>
      <c r="C2658" s="30"/>
      <c r="D2658" s="119"/>
      <c r="E2658" s="32"/>
      <c r="G2658" s="31">
        <v>2616</v>
      </c>
      <c r="H2658" s="30" t="str">
        <f t="shared" si="94"/>
        <v/>
      </c>
      <c r="I2658" s="74" t="str">
        <f t="shared" si="95"/>
        <v/>
      </c>
      <c r="J2658" s="32"/>
    </row>
    <row r="2659" spans="2:10" ht="15">
      <c r="B2659" s="31"/>
      <c r="C2659" s="30"/>
      <c r="D2659" s="119"/>
      <c r="E2659" s="32"/>
      <c r="G2659" s="31">
        <v>2617</v>
      </c>
      <c r="H2659" s="30" t="str">
        <f t="shared" si="94"/>
        <v/>
      </c>
      <c r="I2659" s="74" t="str">
        <f t="shared" si="95"/>
        <v/>
      </c>
      <c r="J2659" s="32"/>
    </row>
    <row r="2660" spans="2:10" ht="15">
      <c r="B2660" s="31"/>
      <c r="C2660" s="30"/>
      <c r="D2660" s="119"/>
      <c r="E2660" s="32"/>
      <c r="G2660" s="31">
        <v>2618</v>
      </c>
      <c r="H2660" s="30" t="str">
        <f t="shared" si="94"/>
        <v/>
      </c>
      <c r="I2660" s="74" t="str">
        <f t="shared" si="95"/>
        <v/>
      </c>
      <c r="J2660" s="32"/>
    </row>
    <row r="2661" spans="2:10" ht="15">
      <c r="B2661" s="31"/>
      <c r="C2661" s="30"/>
      <c r="D2661" s="119"/>
      <c r="E2661" s="32"/>
      <c r="G2661" s="31">
        <v>2619</v>
      </c>
      <c r="H2661" s="30" t="str">
        <f t="shared" si="94"/>
        <v/>
      </c>
      <c r="I2661" s="74" t="str">
        <f t="shared" si="95"/>
        <v/>
      </c>
      <c r="J2661" s="32"/>
    </row>
    <row r="2662" spans="2:10" ht="15">
      <c r="B2662" s="31"/>
      <c r="C2662" s="30"/>
      <c r="D2662" s="119"/>
      <c r="E2662" s="32"/>
      <c r="G2662" s="31">
        <v>2620</v>
      </c>
      <c r="H2662" s="30" t="str">
        <f t="shared" si="94"/>
        <v/>
      </c>
      <c r="I2662" s="74" t="str">
        <f t="shared" si="95"/>
        <v/>
      </c>
      <c r="J2662" s="32"/>
    </row>
    <row r="2663" spans="2:10" ht="15">
      <c r="B2663" s="31"/>
      <c r="C2663" s="30"/>
      <c r="D2663" s="119"/>
      <c r="E2663" s="32"/>
      <c r="G2663" s="31">
        <v>2621</v>
      </c>
      <c r="H2663" s="30" t="str">
        <f t="shared" si="94"/>
        <v/>
      </c>
      <c r="I2663" s="74" t="str">
        <f t="shared" si="95"/>
        <v/>
      </c>
      <c r="J2663" s="32"/>
    </row>
    <row r="2664" spans="2:10" ht="15">
      <c r="B2664" s="31"/>
      <c r="C2664" s="30"/>
      <c r="D2664" s="119"/>
      <c r="E2664" s="32"/>
      <c r="G2664" s="31">
        <v>2622</v>
      </c>
      <c r="H2664" s="30" t="str">
        <f t="shared" si="94"/>
        <v/>
      </c>
      <c r="I2664" s="74" t="str">
        <f t="shared" si="95"/>
        <v/>
      </c>
      <c r="J2664" s="32"/>
    </row>
    <row r="2665" spans="2:10" ht="15">
      <c r="B2665" s="31"/>
      <c r="C2665" s="30"/>
      <c r="D2665" s="119"/>
      <c r="E2665" s="32"/>
      <c r="G2665" s="31">
        <v>2623</v>
      </c>
      <c r="H2665" s="30" t="str">
        <f t="shared" si="94"/>
        <v/>
      </c>
      <c r="I2665" s="74" t="str">
        <f t="shared" si="95"/>
        <v/>
      </c>
      <c r="J2665" s="32"/>
    </row>
    <row r="2666" spans="2:10" ht="15">
      <c r="B2666" s="31"/>
      <c r="C2666" s="30"/>
      <c r="D2666" s="119"/>
      <c r="E2666" s="32"/>
      <c r="G2666" s="31">
        <v>2624</v>
      </c>
      <c r="H2666" s="30" t="str">
        <f t="shared" si="94"/>
        <v/>
      </c>
      <c r="I2666" s="74" t="str">
        <f t="shared" si="95"/>
        <v/>
      </c>
      <c r="J2666" s="32"/>
    </row>
    <row r="2667" spans="2:10" ht="15">
      <c r="B2667" s="31"/>
      <c r="C2667" s="30"/>
      <c r="D2667" s="119"/>
      <c r="E2667" s="32"/>
      <c r="G2667" s="31">
        <v>2625</v>
      </c>
      <c r="H2667" s="30" t="str">
        <f t="shared" si="94"/>
        <v/>
      </c>
      <c r="I2667" s="74" t="str">
        <f t="shared" si="95"/>
        <v/>
      </c>
      <c r="J2667" s="32"/>
    </row>
    <row r="2668" spans="2:10" ht="15">
      <c r="B2668" s="31"/>
      <c r="C2668" s="30"/>
      <c r="D2668" s="119"/>
      <c r="E2668" s="32"/>
      <c r="G2668" s="31">
        <v>2626</v>
      </c>
      <c r="H2668" s="30" t="str">
        <f t="shared" ref="H2668:H2731" si="96">MID($I$41,G2668*8-7,8)</f>
        <v/>
      </c>
      <c r="I2668" s="74" t="str">
        <f t="shared" ref="I2668:I2731" si="97">IFERROR(BIN2DEC(VALUE(H2668)),"")</f>
        <v/>
      </c>
      <c r="J2668" s="32"/>
    </row>
    <row r="2669" spans="2:10" ht="15">
      <c r="B2669" s="31"/>
      <c r="C2669" s="30"/>
      <c r="D2669" s="119"/>
      <c r="E2669" s="32"/>
      <c r="G2669" s="31">
        <v>2627</v>
      </c>
      <c r="H2669" s="30" t="str">
        <f t="shared" si="96"/>
        <v/>
      </c>
      <c r="I2669" s="74" t="str">
        <f t="shared" si="97"/>
        <v/>
      </c>
      <c r="J2669" s="32"/>
    </row>
    <row r="2670" spans="2:10" ht="15">
      <c r="B2670" s="31"/>
      <c r="C2670" s="30"/>
      <c r="D2670" s="119"/>
      <c r="E2670" s="32"/>
      <c r="G2670" s="31">
        <v>2628</v>
      </c>
      <c r="H2670" s="30" t="str">
        <f t="shared" si="96"/>
        <v/>
      </c>
      <c r="I2670" s="74" t="str">
        <f t="shared" si="97"/>
        <v/>
      </c>
      <c r="J2670" s="32"/>
    </row>
    <row r="2671" spans="2:10" ht="15">
      <c r="B2671" s="31"/>
      <c r="C2671" s="30"/>
      <c r="D2671" s="119"/>
      <c r="E2671" s="32"/>
      <c r="G2671" s="31">
        <v>2629</v>
      </c>
      <c r="H2671" s="30" t="str">
        <f t="shared" si="96"/>
        <v/>
      </c>
      <c r="I2671" s="74" t="str">
        <f t="shared" si="97"/>
        <v/>
      </c>
      <c r="J2671" s="32"/>
    </row>
    <row r="2672" spans="2:10" ht="15">
      <c r="B2672" s="31"/>
      <c r="C2672" s="30"/>
      <c r="D2672" s="119"/>
      <c r="E2672" s="32"/>
      <c r="G2672" s="31">
        <v>2630</v>
      </c>
      <c r="H2672" s="30" t="str">
        <f t="shared" si="96"/>
        <v/>
      </c>
      <c r="I2672" s="74" t="str">
        <f t="shared" si="97"/>
        <v/>
      </c>
      <c r="J2672" s="32"/>
    </row>
    <row r="2673" spans="2:10" ht="15">
      <c r="B2673" s="31"/>
      <c r="C2673" s="30"/>
      <c r="D2673" s="119"/>
      <c r="E2673" s="32"/>
      <c r="G2673" s="31">
        <v>2631</v>
      </c>
      <c r="H2673" s="30" t="str">
        <f t="shared" si="96"/>
        <v/>
      </c>
      <c r="I2673" s="74" t="str">
        <f t="shared" si="97"/>
        <v/>
      </c>
      <c r="J2673" s="32"/>
    </row>
    <row r="2674" spans="2:10" ht="15">
      <c r="B2674" s="31"/>
      <c r="C2674" s="30"/>
      <c r="D2674" s="119"/>
      <c r="E2674" s="32"/>
      <c r="G2674" s="31">
        <v>2632</v>
      </c>
      <c r="H2674" s="30" t="str">
        <f t="shared" si="96"/>
        <v/>
      </c>
      <c r="I2674" s="74" t="str">
        <f t="shared" si="97"/>
        <v/>
      </c>
      <c r="J2674" s="32"/>
    </row>
    <row r="2675" spans="2:10" ht="15">
      <c r="B2675" s="31"/>
      <c r="C2675" s="30"/>
      <c r="D2675" s="119"/>
      <c r="E2675" s="32"/>
      <c r="G2675" s="31">
        <v>2633</v>
      </c>
      <c r="H2675" s="30" t="str">
        <f t="shared" si="96"/>
        <v/>
      </c>
      <c r="I2675" s="74" t="str">
        <f t="shared" si="97"/>
        <v/>
      </c>
      <c r="J2675" s="32"/>
    </row>
    <row r="2676" spans="2:10" ht="15">
      <c r="B2676" s="31"/>
      <c r="C2676" s="30"/>
      <c r="D2676" s="119"/>
      <c r="E2676" s="32"/>
      <c r="G2676" s="31">
        <v>2634</v>
      </c>
      <c r="H2676" s="30" t="str">
        <f t="shared" si="96"/>
        <v/>
      </c>
      <c r="I2676" s="74" t="str">
        <f t="shared" si="97"/>
        <v/>
      </c>
      <c r="J2676" s="32"/>
    </row>
    <row r="2677" spans="2:10" ht="15">
      <c r="B2677" s="31"/>
      <c r="C2677" s="30"/>
      <c r="D2677" s="119"/>
      <c r="E2677" s="32"/>
      <c r="G2677" s="31">
        <v>2635</v>
      </c>
      <c r="H2677" s="30" t="str">
        <f t="shared" si="96"/>
        <v/>
      </c>
      <c r="I2677" s="74" t="str">
        <f t="shared" si="97"/>
        <v/>
      </c>
      <c r="J2677" s="32"/>
    </row>
    <row r="2678" spans="2:10" ht="15">
      <c r="B2678" s="31"/>
      <c r="C2678" s="30"/>
      <c r="D2678" s="119"/>
      <c r="E2678" s="32"/>
      <c r="G2678" s="31">
        <v>2636</v>
      </c>
      <c r="H2678" s="30" t="str">
        <f t="shared" si="96"/>
        <v/>
      </c>
      <c r="I2678" s="74" t="str">
        <f t="shared" si="97"/>
        <v/>
      </c>
      <c r="J2678" s="32"/>
    </row>
    <row r="2679" spans="2:10" ht="15">
      <c r="B2679" s="31"/>
      <c r="C2679" s="30"/>
      <c r="D2679" s="119"/>
      <c r="E2679" s="32"/>
      <c r="G2679" s="31">
        <v>2637</v>
      </c>
      <c r="H2679" s="30" t="str">
        <f t="shared" si="96"/>
        <v/>
      </c>
      <c r="I2679" s="74" t="str">
        <f t="shared" si="97"/>
        <v/>
      </c>
      <c r="J2679" s="32"/>
    </row>
    <row r="2680" spans="2:10" ht="15">
      <c r="B2680" s="31"/>
      <c r="C2680" s="30"/>
      <c r="D2680" s="119"/>
      <c r="E2680" s="32"/>
      <c r="G2680" s="31">
        <v>2638</v>
      </c>
      <c r="H2680" s="30" t="str">
        <f t="shared" si="96"/>
        <v/>
      </c>
      <c r="I2680" s="74" t="str">
        <f t="shared" si="97"/>
        <v/>
      </c>
      <c r="J2680" s="32"/>
    </row>
    <row r="2681" spans="2:10" ht="15">
      <c r="B2681" s="31"/>
      <c r="C2681" s="30"/>
      <c r="D2681" s="119"/>
      <c r="E2681" s="32"/>
      <c r="G2681" s="31">
        <v>2639</v>
      </c>
      <c r="H2681" s="30" t="str">
        <f t="shared" si="96"/>
        <v/>
      </c>
      <c r="I2681" s="74" t="str">
        <f t="shared" si="97"/>
        <v/>
      </c>
      <c r="J2681" s="32"/>
    </row>
    <row r="2682" spans="2:10" ht="15">
      <c r="B2682" s="31"/>
      <c r="C2682" s="30"/>
      <c r="D2682" s="119"/>
      <c r="E2682" s="32"/>
      <c r="G2682" s="31">
        <v>2640</v>
      </c>
      <c r="H2682" s="30" t="str">
        <f t="shared" si="96"/>
        <v/>
      </c>
      <c r="I2682" s="74" t="str">
        <f t="shared" si="97"/>
        <v/>
      </c>
      <c r="J2682" s="32"/>
    </row>
    <row r="2683" spans="2:10" ht="15">
      <c r="B2683" s="31"/>
      <c r="C2683" s="30"/>
      <c r="D2683" s="119"/>
      <c r="E2683" s="32"/>
      <c r="G2683" s="31">
        <v>2641</v>
      </c>
      <c r="H2683" s="30" t="str">
        <f t="shared" si="96"/>
        <v/>
      </c>
      <c r="I2683" s="74" t="str">
        <f t="shared" si="97"/>
        <v/>
      </c>
      <c r="J2683" s="32"/>
    </row>
    <row r="2684" spans="2:10" ht="15">
      <c r="B2684" s="31"/>
      <c r="C2684" s="30"/>
      <c r="D2684" s="119"/>
      <c r="E2684" s="32"/>
      <c r="G2684" s="31">
        <v>2642</v>
      </c>
      <c r="H2684" s="30" t="str">
        <f t="shared" si="96"/>
        <v/>
      </c>
      <c r="I2684" s="74" t="str">
        <f t="shared" si="97"/>
        <v/>
      </c>
      <c r="J2684" s="32"/>
    </row>
    <row r="2685" spans="2:10" ht="15">
      <c r="B2685" s="31"/>
      <c r="C2685" s="30"/>
      <c r="D2685" s="119"/>
      <c r="E2685" s="32"/>
      <c r="G2685" s="31">
        <v>2643</v>
      </c>
      <c r="H2685" s="30" t="str">
        <f t="shared" si="96"/>
        <v/>
      </c>
      <c r="I2685" s="74" t="str">
        <f t="shared" si="97"/>
        <v/>
      </c>
      <c r="J2685" s="32"/>
    </row>
    <row r="2686" spans="2:10" ht="15">
      <c r="B2686" s="31"/>
      <c r="C2686" s="30"/>
      <c r="D2686" s="119"/>
      <c r="E2686" s="32"/>
      <c r="G2686" s="31">
        <v>2644</v>
      </c>
      <c r="H2686" s="30" t="str">
        <f t="shared" si="96"/>
        <v/>
      </c>
      <c r="I2686" s="74" t="str">
        <f t="shared" si="97"/>
        <v/>
      </c>
      <c r="J2686" s="32"/>
    </row>
    <row r="2687" spans="2:10" ht="15">
      <c r="B2687" s="31"/>
      <c r="C2687" s="30"/>
      <c r="D2687" s="119"/>
      <c r="E2687" s="32"/>
      <c r="G2687" s="31">
        <v>2645</v>
      </c>
      <c r="H2687" s="30" t="str">
        <f t="shared" si="96"/>
        <v/>
      </c>
      <c r="I2687" s="74" t="str">
        <f t="shared" si="97"/>
        <v/>
      </c>
      <c r="J2687" s="32"/>
    </row>
    <row r="2688" spans="2:10" ht="15">
      <c r="B2688" s="31"/>
      <c r="C2688" s="30"/>
      <c r="D2688" s="119"/>
      <c r="E2688" s="32"/>
      <c r="G2688" s="31">
        <v>2646</v>
      </c>
      <c r="H2688" s="30" t="str">
        <f t="shared" si="96"/>
        <v/>
      </c>
      <c r="I2688" s="74" t="str">
        <f t="shared" si="97"/>
        <v/>
      </c>
      <c r="J2688" s="32"/>
    </row>
    <row r="2689" spans="2:10" ht="15">
      <c r="B2689" s="31"/>
      <c r="C2689" s="30"/>
      <c r="D2689" s="119"/>
      <c r="E2689" s="32"/>
      <c r="G2689" s="31">
        <v>2647</v>
      </c>
      <c r="H2689" s="30" t="str">
        <f t="shared" si="96"/>
        <v/>
      </c>
      <c r="I2689" s="74" t="str">
        <f t="shared" si="97"/>
        <v/>
      </c>
      <c r="J2689" s="32"/>
    </row>
    <row r="2690" spans="2:10" ht="15">
      <c r="B2690" s="31"/>
      <c r="C2690" s="30"/>
      <c r="D2690" s="119"/>
      <c r="E2690" s="32"/>
      <c r="G2690" s="31">
        <v>2648</v>
      </c>
      <c r="H2690" s="30" t="str">
        <f t="shared" si="96"/>
        <v/>
      </c>
      <c r="I2690" s="74" t="str">
        <f t="shared" si="97"/>
        <v/>
      </c>
      <c r="J2690" s="32"/>
    </row>
    <row r="2691" spans="2:10" ht="15">
      <c r="B2691" s="31"/>
      <c r="C2691" s="30"/>
      <c r="D2691" s="119"/>
      <c r="E2691" s="32"/>
      <c r="G2691" s="31">
        <v>2649</v>
      </c>
      <c r="H2691" s="30" t="str">
        <f t="shared" si="96"/>
        <v/>
      </c>
      <c r="I2691" s="74" t="str">
        <f t="shared" si="97"/>
        <v/>
      </c>
      <c r="J2691" s="32"/>
    </row>
    <row r="2692" spans="2:10" ht="15">
      <c r="B2692" s="31"/>
      <c r="C2692" s="30"/>
      <c r="D2692" s="119"/>
      <c r="E2692" s="32"/>
      <c r="G2692" s="31">
        <v>2650</v>
      </c>
      <c r="H2692" s="30" t="str">
        <f t="shared" si="96"/>
        <v/>
      </c>
      <c r="I2692" s="74" t="str">
        <f t="shared" si="97"/>
        <v/>
      </c>
      <c r="J2692" s="32"/>
    </row>
    <row r="2693" spans="2:10" ht="15">
      <c r="B2693" s="31"/>
      <c r="C2693" s="30"/>
      <c r="D2693" s="119"/>
      <c r="E2693" s="32"/>
      <c r="G2693" s="31">
        <v>2651</v>
      </c>
      <c r="H2693" s="30" t="str">
        <f t="shared" si="96"/>
        <v/>
      </c>
      <c r="I2693" s="74" t="str">
        <f t="shared" si="97"/>
        <v/>
      </c>
      <c r="J2693" s="32"/>
    </row>
    <row r="2694" spans="2:10" ht="15">
      <c r="B2694" s="31"/>
      <c r="C2694" s="30"/>
      <c r="D2694" s="119"/>
      <c r="E2694" s="32"/>
      <c r="G2694" s="31">
        <v>2652</v>
      </c>
      <c r="H2694" s="30" t="str">
        <f t="shared" si="96"/>
        <v/>
      </c>
      <c r="I2694" s="74" t="str">
        <f t="shared" si="97"/>
        <v/>
      </c>
      <c r="J2694" s="32"/>
    </row>
    <row r="2695" spans="2:10" ht="15">
      <c r="B2695" s="31"/>
      <c r="C2695" s="30"/>
      <c r="D2695" s="119"/>
      <c r="E2695" s="32"/>
      <c r="G2695" s="31">
        <v>2653</v>
      </c>
      <c r="H2695" s="30" t="str">
        <f t="shared" si="96"/>
        <v/>
      </c>
      <c r="I2695" s="74" t="str">
        <f t="shared" si="97"/>
        <v/>
      </c>
      <c r="J2695" s="32"/>
    </row>
    <row r="2696" spans="2:10" ht="15">
      <c r="B2696" s="31"/>
      <c r="C2696" s="30"/>
      <c r="D2696" s="119"/>
      <c r="E2696" s="32"/>
      <c r="G2696" s="31">
        <v>2654</v>
      </c>
      <c r="H2696" s="30" t="str">
        <f t="shared" si="96"/>
        <v/>
      </c>
      <c r="I2696" s="74" t="str">
        <f t="shared" si="97"/>
        <v/>
      </c>
      <c r="J2696" s="32"/>
    </row>
    <row r="2697" spans="2:10" ht="15">
      <c r="B2697" s="31"/>
      <c r="C2697" s="30"/>
      <c r="D2697" s="119"/>
      <c r="E2697" s="32"/>
      <c r="G2697" s="31">
        <v>2655</v>
      </c>
      <c r="H2697" s="30" t="str">
        <f t="shared" si="96"/>
        <v/>
      </c>
      <c r="I2697" s="74" t="str">
        <f t="shared" si="97"/>
        <v/>
      </c>
      <c r="J2697" s="32"/>
    </row>
    <row r="2698" spans="2:10" ht="15">
      <c r="B2698" s="31"/>
      <c r="C2698" s="30"/>
      <c r="D2698" s="119"/>
      <c r="E2698" s="32"/>
      <c r="G2698" s="31">
        <v>2656</v>
      </c>
      <c r="H2698" s="30" t="str">
        <f t="shared" si="96"/>
        <v/>
      </c>
      <c r="I2698" s="74" t="str">
        <f t="shared" si="97"/>
        <v/>
      </c>
      <c r="J2698" s="32"/>
    </row>
    <row r="2699" spans="2:10" ht="15">
      <c r="B2699" s="31"/>
      <c r="C2699" s="30"/>
      <c r="D2699" s="119"/>
      <c r="E2699" s="32"/>
      <c r="G2699" s="31">
        <v>2657</v>
      </c>
      <c r="H2699" s="30" t="str">
        <f t="shared" si="96"/>
        <v/>
      </c>
      <c r="I2699" s="74" t="str">
        <f t="shared" si="97"/>
        <v/>
      </c>
      <c r="J2699" s="32"/>
    </row>
    <row r="2700" spans="2:10" ht="15">
      <c r="B2700" s="31"/>
      <c r="C2700" s="30"/>
      <c r="D2700" s="119"/>
      <c r="E2700" s="32"/>
      <c r="G2700" s="31">
        <v>2658</v>
      </c>
      <c r="H2700" s="30" t="str">
        <f t="shared" si="96"/>
        <v/>
      </c>
      <c r="I2700" s="74" t="str">
        <f t="shared" si="97"/>
        <v/>
      </c>
      <c r="J2700" s="32"/>
    </row>
    <row r="2701" spans="2:10" ht="15">
      <c r="B2701" s="31"/>
      <c r="C2701" s="30"/>
      <c r="D2701" s="119"/>
      <c r="E2701" s="32"/>
      <c r="G2701" s="31">
        <v>2659</v>
      </c>
      <c r="H2701" s="30" t="str">
        <f t="shared" si="96"/>
        <v/>
      </c>
      <c r="I2701" s="74" t="str">
        <f t="shared" si="97"/>
        <v/>
      </c>
      <c r="J2701" s="32"/>
    </row>
    <row r="2702" spans="2:10" ht="15">
      <c r="B2702" s="31"/>
      <c r="C2702" s="30"/>
      <c r="D2702" s="119"/>
      <c r="E2702" s="32"/>
      <c r="G2702" s="31">
        <v>2660</v>
      </c>
      <c r="H2702" s="30" t="str">
        <f t="shared" si="96"/>
        <v/>
      </c>
      <c r="I2702" s="74" t="str">
        <f t="shared" si="97"/>
        <v/>
      </c>
      <c r="J2702" s="32"/>
    </row>
    <row r="2703" spans="2:10" ht="15">
      <c r="B2703" s="31"/>
      <c r="C2703" s="30"/>
      <c r="D2703" s="119"/>
      <c r="E2703" s="32"/>
      <c r="G2703" s="31">
        <v>2661</v>
      </c>
      <c r="H2703" s="30" t="str">
        <f t="shared" si="96"/>
        <v/>
      </c>
      <c r="I2703" s="74" t="str">
        <f t="shared" si="97"/>
        <v/>
      </c>
      <c r="J2703" s="32"/>
    </row>
    <row r="2704" spans="2:10" ht="15">
      <c r="B2704" s="31"/>
      <c r="C2704" s="30"/>
      <c r="D2704" s="119"/>
      <c r="E2704" s="32"/>
      <c r="G2704" s="31">
        <v>2662</v>
      </c>
      <c r="H2704" s="30" t="str">
        <f t="shared" si="96"/>
        <v/>
      </c>
      <c r="I2704" s="74" t="str">
        <f t="shared" si="97"/>
        <v/>
      </c>
      <c r="J2704" s="32"/>
    </row>
    <row r="2705" spans="2:10" ht="15">
      <c r="B2705" s="31"/>
      <c r="C2705" s="30"/>
      <c r="D2705" s="119"/>
      <c r="E2705" s="32"/>
      <c r="G2705" s="31">
        <v>2663</v>
      </c>
      <c r="H2705" s="30" t="str">
        <f t="shared" si="96"/>
        <v/>
      </c>
      <c r="I2705" s="74" t="str">
        <f t="shared" si="97"/>
        <v/>
      </c>
      <c r="J2705" s="32"/>
    </row>
    <row r="2706" spans="2:10" ht="15">
      <c r="B2706" s="31"/>
      <c r="C2706" s="30"/>
      <c r="D2706" s="119"/>
      <c r="E2706" s="32"/>
      <c r="G2706" s="31">
        <v>2664</v>
      </c>
      <c r="H2706" s="30" t="str">
        <f t="shared" si="96"/>
        <v/>
      </c>
      <c r="I2706" s="74" t="str">
        <f t="shared" si="97"/>
        <v/>
      </c>
      <c r="J2706" s="32"/>
    </row>
    <row r="2707" spans="2:10" ht="15">
      <c r="B2707" s="31"/>
      <c r="C2707" s="30"/>
      <c r="D2707" s="119"/>
      <c r="E2707" s="32"/>
      <c r="G2707" s="31">
        <v>2665</v>
      </c>
      <c r="H2707" s="30" t="str">
        <f t="shared" si="96"/>
        <v/>
      </c>
      <c r="I2707" s="74" t="str">
        <f t="shared" si="97"/>
        <v/>
      </c>
      <c r="J2707" s="32"/>
    </row>
    <row r="2708" spans="2:10" ht="15">
      <c r="B2708" s="31"/>
      <c r="C2708" s="30"/>
      <c r="D2708" s="119"/>
      <c r="E2708" s="32"/>
      <c r="G2708" s="31">
        <v>2666</v>
      </c>
      <c r="H2708" s="30" t="str">
        <f t="shared" si="96"/>
        <v/>
      </c>
      <c r="I2708" s="74" t="str">
        <f t="shared" si="97"/>
        <v/>
      </c>
      <c r="J2708" s="32"/>
    </row>
    <row r="2709" spans="2:10" ht="15">
      <c r="B2709" s="31"/>
      <c r="C2709" s="30"/>
      <c r="D2709" s="119"/>
      <c r="E2709" s="32"/>
      <c r="G2709" s="31">
        <v>2667</v>
      </c>
      <c r="H2709" s="30" t="str">
        <f t="shared" si="96"/>
        <v/>
      </c>
      <c r="I2709" s="74" t="str">
        <f t="shared" si="97"/>
        <v/>
      </c>
      <c r="J2709" s="32"/>
    </row>
    <row r="2710" spans="2:10" ht="15">
      <c r="B2710" s="31"/>
      <c r="C2710" s="30"/>
      <c r="D2710" s="119"/>
      <c r="E2710" s="32"/>
      <c r="G2710" s="31">
        <v>2668</v>
      </c>
      <c r="H2710" s="30" t="str">
        <f t="shared" si="96"/>
        <v/>
      </c>
      <c r="I2710" s="74" t="str">
        <f t="shared" si="97"/>
        <v/>
      </c>
      <c r="J2710" s="32"/>
    </row>
    <row r="2711" spans="2:10" ht="15">
      <c r="B2711" s="31"/>
      <c r="C2711" s="30"/>
      <c r="D2711" s="119"/>
      <c r="E2711" s="32"/>
      <c r="G2711" s="31">
        <v>2669</v>
      </c>
      <c r="H2711" s="30" t="str">
        <f t="shared" si="96"/>
        <v/>
      </c>
      <c r="I2711" s="74" t="str">
        <f t="shared" si="97"/>
        <v/>
      </c>
      <c r="J2711" s="32"/>
    </row>
    <row r="2712" spans="2:10" ht="15">
      <c r="B2712" s="31"/>
      <c r="C2712" s="30"/>
      <c r="D2712" s="119"/>
      <c r="E2712" s="32"/>
      <c r="G2712" s="31">
        <v>2670</v>
      </c>
      <c r="H2712" s="30" t="str">
        <f t="shared" si="96"/>
        <v/>
      </c>
      <c r="I2712" s="74" t="str">
        <f t="shared" si="97"/>
        <v/>
      </c>
      <c r="J2712" s="32"/>
    </row>
    <row r="2713" spans="2:10" ht="15">
      <c r="B2713" s="31"/>
      <c r="C2713" s="30"/>
      <c r="D2713" s="119"/>
      <c r="E2713" s="32"/>
      <c r="G2713" s="31">
        <v>2671</v>
      </c>
      <c r="H2713" s="30" t="str">
        <f t="shared" si="96"/>
        <v/>
      </c>
      <c r="I2713" s="74" t="str">
        <f t="shared" si="97"/>
        <v/>
      </c>
      <c r="J2713" s="32"/>
    </row>
    <row r="2714" spans="2:10" ht="15">
      <c r="B2714" s="31"/>
      <c r="C2714" s="30"/>
      <c r="D2714" s="119"/>
      <c r="E2714" s="32"/>
      <c r="G2714" s="31">
        <v>2672</v>
      </c>
      <c r="H2714" s="30" t="str">
        <f t="shared" si="96"/>
        <v/>
      </c>
      <c r="I2714" s="74" t="str">
        <f t="shared" si="97"/>
        <v/>
      </c>
      <c r="J2714" s="32"/>
    </row>
    <row r="2715" spans="2:10" ht="15">
      <c r="B2715" s="31"/>
      <c r="C2715" s="30"/>
      <c r="D2715" s="119"/>
      <c r="E2715" s="32"/>
      <c r="G2715" s="31">
        <v>2673</v>
      </c>
      <c r="H2715" s="30" t="str">
        <f t="shared" si="96"/>
        <v/>
      </c>
      <c r="I2715" s="74" t="str">
        <f t="shared" si="97"/>
        <v/>
      </c>
      <c r="J2715" s="32"/>
    </row>
    <row r="2716" spans="2:10" ht="15">
      <c r="B2716" s="31"/>
      <c r="C2716" s="30"/>
      <c r="D2716" s="119"/>
      <c r="E2716" s="32"/>
      <c r="G2716" s="31">
        <v>2674</v>
      </c>
      <c r="H2716" s="30" t="str">
        <f t="shared" si="96"/>
        <v/>
      </c>
      <c r="I2716" s="74" t="str">
        <f t="shared" si="97"/>
        <v/>
      </c>
      <c r="J2716" s="32"/>
    </row>
    <row r="2717" spans="2:10" ht="15">
      <c r="B2717" s="31"/>
      <c r="C2717" s="30"/>
      <c r="D2717" s="119"/>
      <c r="E2717" s="32"/>
      <c r="G2717" s="31">
        <v>2675</v>
      </c>
      <c r="H2717" s="30" t="str">
        <f t="shared" si="96"/>
        <v/>
      </c>
      <c r="I2717" s="74" t="str">
        <f t="shared" si="97"/>
        <v/>
      </c>
      <c r="J2717" s="32"/>
    </row>
    <row r="2718" spans="2:10" ht="15">
      <c r="B2718" s="31"/>
      <c r="C2718" s="30"/>
      <c r="D2718" s="119"/>
      <c r="E2718" s="32"/>
      <c r="G2718" s="31">
        <v>2676</v>
      </c>
      <c r="H2718" s="30" t="str">
        <f t="shared" si="96"/>
        <v/>
      </c>
      <c r="I2718" s="74" t="str">
        <f t="shared" si="97"/>
        <v/>
      </c>
      <c r="J2718" s="32"/>
    </row>
    <row r="2719" spans="2:10" ht="15">
      <c r="B2719" s="31"/>
      <c r="C2719" s="30"/>
      <c r="D2719" s="119"/>
      <c r="E2719" s="32"/>
      <c r="G2719" s="31">
        <v>2677</v>
      </c>
      <c r="H2719" s="30" t="str">
        <f t="shared" si="96"/>
        <v/>
      </c>
      <c r="I2719" s="74" t="str">
        <f t="shared" si="97"/>
        <v/>
      </c>
      <c r="J2719" s="32"/>
    </row>
    <row r="2720" spans="2:10" ht="15">
      <c r="B2720" s="31"/>
      <c r="C2720" s="30"/>
      <c r="D2720" s="119"/>
      <c r="E2720" s="32"/>
      <c r="G2720" s="31">
        <v>2678</v>
      </c>
      <c r="H2720" s="30" t="str">
        <f t="shared" si="96"/>
        <v/>
      </c>
      <c r="I2720" s="74" t="str">
        <f t="shared" si="97"/>
        <v/>
      </c>
      <c r="J2720" s="32"/>
    </row>
    <row r="2721" spans="2:10" ht="15">
      <c r="B2721" s="31"/>
      <c r="C2721" s="30"/>
      <c r="D2721" s="119"/>
      <c r="E2721" s="32"/>
      <c r="G2721" s="31">
        <v>2679</v>
      </c>
      <c r="H2721" s="30" t="str">
        <f t="shared" si="96"/>
        <v/>
      </c>
      <c r="I2721" s="74" t="str">
        <f t="shared" si="97"/>
        <v/>
      </c>
      <c r="J2721" s="32"/>
    </row>
    <row r="2722" spans="2:10" ht="15">
      <c r="B2722" s="31"/>
      <c r="C2722" s="30"/>
      <c r="D2722" s="119"/>
      <c r="E2722" s="32"/>
      <c r="G2722" s="31">
        <v>2680</v>
      </c>
      <c r="H2722" s="30" t="str">
        <f t="shared" si="96"/>
        <v/>
      </c>
      <c r="I2722" s="74" t="str">
        <f t="shared" si="97"/>
        <v/>
      </c>
      <c r="J2722" s="32"/>
    </row>
    <row r="2723" spans="2:10" ht="15">
      <c r="B2723" s="31"/>
      <c r="C2723" s="30"/>
      <c r="D2723" s="119"/>
      <c r="E2723" s="32"/>
      <c r="G2723" s="31">
        <v>2681</v>
      </c>
      <c r="H2723" s="30" t="str">
        <f t="shared" si="96"/>
        <v/>
      </c>
      <c r="I2723" s="74" t="str">
        <f t="shared" si="97"/>
        <v/>
      </c>
      <c r="J2723" s="32"/>
    </row>
    <row r="2724" spans="2:10" ht="15">
      <c r="B2724" s="31"/>
      <c r="C2724" s="30"/>
      <c r="D2724" s="119"/>
      <c r="E2724" s="32"/>
      <c r="G2724" s="31">
        <v>2682</v>
      </c>
      <c r="H2724" s="30" t="str">
        <f t="shared" si="96"/>
        <v/>
      </c>
      <c r="I2724" s="74" t="str">
        <f t="shared" si="97"/>
        <v/>
      </c>
      <c r="J2724" s="32"/>
    </row>
    <row r="2725" spans="2:10" ht="15">
      <c r="B2725" s="31"/>
      <c r="C2725" s="30"/>
      <c r="D2725" s="119"/>
      <c r="E2725" s="32"/>
      <c r="G2725" s="31">
        <v>2683</v>
      </c>
      <c r="H2725" s="30" t="str">
        <f t="shared" si="96"/>
        <v/>
      </c>
      <c r="I2725" s="74" t="str">
        <f t="shared" si="97"/>
        <v/>
      </c>
      <c r="J2725" s="32"/>
    </row>
    <row r="2726" spans="2:10" ht="15">
      <c r="B2726" s="31"/>
      <c r="C2726" s="30"/>
      <c r="D2726" s="119"/>
      <c r="E2726" s="32"/>
      <c r="G2726" s="31">
        <v>2684</v>
      </c>
      <c r="H2726" s="30" t="str">
        <f t="shared" si="96"/>
        <v/>
      </c>
      <c r="I2726" s="74" t="str">
        <f t="shared" si="97"/>
        <v/>
      </c>
      <c r="J2726" s="32"/>
    </row>
    <row r="2727" spans="2:10" ht="15">
      <c r="B2727" s="31"/>
      <c r="C2727" s="30"/>
      <c r="D2727" s="119"/>
      <c r="E2727" s="32"/>
      <c r="G2727" s="31">
        <v>2685</v>
      </c>
      <c r="H2727" s="30" t="str">
        <f t="shared" si="96"/>
        <v/>
      </c>
      <c r="I2727" s="74" t="str">
        <f t="shared" si="97"/>
        <v/>
      </c>
      <c r="J2727" s="32"/>
    </row>
    <row r="2728" spans="2:10" ht="15">
      <c r="B2728" s="31"/>
      <c r="C2728" s="30"/>
      <c r="D2728" s="119"/>
      <c r="E2728" s="32"/>
      <c r="G2728" s="31">
        <v>2686</v>
      </c>
      <c r="H2728" s="30" t="str">
        <f t="shared" si="96"/>
        <v/>
      </c>
      <c r="I2728" s="74" t="str">
        <f t="shared" si="97"/>
        <v/>
      </c>
      <c r="J2728" s="32"/>
    </row>
    <row r="2729" spans="2:10" ht="15">
      <c r="B2729" s="31"/>
      <c r="C2729" s="30"/>
      <c r="D2729" s="119"/>
      <c r="E2729" s="32"/>
      <c r="G2729" s="31">
        <v>2687</v>
      </c>
      <c r="H2729" s="30" t="str">
        <f t="shared" si="96"/>
        <v/>
      </c>
      <c r="I2729" s="74" t="str">
        <f t="shared" si="97"/>
        <v/>
      </c>
      <c r="J2729" s="32"/>
    </row>
    <row r="2730" spans="2:10" ht="15">
      <c r="B2730" s="31"/>
      <c r="C2730" s="30"/>
      <c r="D2730" s="119"/>
      <c r="E2730" s="32"/>
      <c r="G2730" s="31">
        <v>2688</v>
      </c>
      <c r="H2730" s="30" t="str">
        <f t="shared" si="96"/>
        <v/>
      </c>
      <c r="I2730" s="74" t="str">
        <f t="shared" si="97"/>
        <v/>
      </c>
      <c r="J2730" s="32"/>
    </row>
    <row r="2731" spans="2:10" ht="15">
      <c r="B2731" s="31"/>
      <c r="C2731" s="30"/>
      <c r="D2731" s="119"/>
      <c r="E2731" s="32"/>
      <c r="G2731" s="31">
        <v>2689</v>
      </c>
      <c r="H2731" s="30" t="str">
        <f t="shared" si="96"/>
        <v/>
      </c>
      <c r="I2731" s="74" t="str">
        <f t="shared" si="97"/>
        <v/>
      </c>
      <c r="J2731" s="32"/>
    </row>
    <row r="2732" spans="2:10" ht="15">
      <c r="B2732" s="31"/>
      <c r="C2732" s="30"/>
      <c r="D2732" s="119"/>
      <c r="E2732" s="32"/>
      <c r="G2732" s="31">
        <v>2690</v>
      </c>
      <c r="H2732" s="30" t="str">
        <f t="shared" ref="H2732:H2795" si="98">MID($I$41,G2732*8-7,8)</f>
        <v/>
      </c>
      <c r="I2732" s="74" t="str">
        <f t="shared" ref="I2732:I2795" si="99">IFERROR(BIN2DEC(VALUE(H2732)),"")</f>
        <v/>
      </c>
      <c r="J2732" s="32"/>
    </row>
    <row r="2733" spans="2:10" ht="15">
      <c r="B2733" s="31"/>
      <c r="C2733" s="30"/>
      <c r="D2733" s="119"/>
      <c r="E2733" s="32"/>
      <c r="G2733" s="31">
        <v>2691</v>
      </c>
      <c r="H2733" s="30" t="str">
        <f t="shared" si="98"/>
        <v/>
      </c>
      <c r="I2733" s="74" t="str">
        <f t="shared" si="99"/>
        <v/>
      </c>
      <c r="J2733" s="32"/>
    </row>
    <row r="2734" spans="2:10" ht="15">
      <c r="B2734" s="31"/>
      <c r="C2734" s="30"/>
      <c r="D2734" s="119"/>
      <c r="E2734" s="32"/>
      <c r="G2734" s="31">
        <v>2692</v>
      </c>
      <c r="H2734" s="30" t="str">
        <f t="shared" si="98"/>
        <v/>
      </c>
      <c r="I2734" s="74" t="str">
        <f t="shared" si="99"/>
        <v/>
      </c>
      <c r="J2734" s="32"/>
    </row>
    <row r="2735" spans="2:10" ht="15">
      <c r="B2735" s="31"/>
      <c r="C2735" s="30"/>
      <c r="D2735" s="119"/>
      <c r="E2735" s="32"/>
      <c r="G2735" s="31">
        <v>2693</v>
      </c>
      <c r="H2735" s="30" t="str">
        <f t="shared" si="98"/>
        <v/>
      </c>
      <c r="I2735" s="74" t="str">
        <f t="shared" si="99"/>
        <v/>
      </c>
      <c r="J2735" s="32"/>
    </row>
    <row r="2736" spans="2:10" ht="15">
      <c r="B2736" s="31"/>
      <c r="C2736" s="30"/>
      <c r="D2736" s="119"/>
      <c r="E2736" s="32"/>
      <c r="G2736" s="31">
        <v>2694</v>
      </c>
      <c r="H2736" s="30" t="str">
        <f t="shared" si="98"/>
        <v/>
      </c>
      <c r="I2736" s="74" t="str">
        <f t="shared" si="99"/>
        <v/>
      </c>
      <c r="J2736" s="32"/>
    </row>
    <row r="2737" spans="2:10" ht="15">
      <c r="B2737" s="31"/>
      <c r="C2737" s="30"/>
      <c r="D2737" s="119"/>
      <c r="E2737" s="32"/>
      <c r="G2737" s="31">
        <v>2695</v>
      </c>
      <c r="H2737" s="30" t="str">
        <f t="shared" si="98"/>
        <v/>
      </c>
      <c r="I2737" s="74" t="str">
        <f t="shared" si="99"/>
        <v/>
      </c>
      <c r="J2737" s="32"/>
    </row>
    <row r="2738" spans="2:10" ht="15">
      <c r="B2738" s="31"/>
      <c r="C2738" s="30"/>
      <c r="D2738" s="119"/>
      <c r="E2738" s="32"/>
      <c r="G2738" s="31">
        <v>2696</v>
      </c>
      <c r="H2738" s="30" t="str">
        <f t="shared" si="98"/>
        <v/>
      </c>
      <c r="I2738" s="74" t="str">
        <f t="shared" si="99"/>
        <v/>
      </c>
      <c r="J2738" s="32"/>
    </row>
    <row r="2739" spans="2:10" ht="15">
      <c r="B2739" s="31"/>
      <c r="C2739" s="30"/>
      <c r="D2739" s="119"/>
      <c r="E2739" s="32"/>
      <c r="G2739" s="31">
        <v>2697</v>
      </c>
      <c r="H2739" s="30" t="str">
        <f t="shared" si="98"/>
        <v/>
      </c>
      <c r="I2739" s="74" t="str">
        <f t="shared" si="99"/>
        <v/>
      </c>
      <c r="J2739" s="32"/>
    </row>
    <row r="2740" spans="2:10" ht="15">
      <c r="B2740" s="31"/>
      <c r="C2740" s="30"/>
      <c r="D2740" s="119"/>
      <c r="E2740" s="32"/>
      <c r="G2740" s="31">
        <v>2698</v>
      </c>
      <c r="H2740" s="30" t="str">
        <f t="shared" si="98"/>
        <v/>
      </c>
      <c r="I2740" s="74" t="str">
        <f t="shared" si="99"/>
        <v/>
      </c>
      <c r="J2740" s="32"/>
    </row>
    <row r="2741" spans="2:10" ht="15">
      <c r="B2741" s="31"/>
      <c r="C2741" s="30"/>
      <c r="D2741" s="119"/>
      <c r="E2741" s="32"/>
      <c r="G2741" s="31">
        <v>2699</v>
      </c>
      <c r="H2741" s="30" t="str">
        <f t="shared" si="98"/>
        <v/>
      </c>
      <c r="I2741" s="74" t="str">
        <f t="shared" si="99"/>
        <v/>
      </c>
      <c r="J2741" s="32"/>
    </row>
    <row r="2742" spans="2:10" ht="15">
      <c r="B2742" s="31"/>
      <c r="C2742" s="30"/>
      <c r="D2742" s="119"/>
      <c r="E2742" s="32"/>
      <c r="G2742" s="31">
        <v>2700</v>
      </c>
      <c r="H2742" s="30" t="str">
        <f t="shared" si="98"/>
        <v/>
      </c>
      <c r="I2742" s="74" t="str">
        <f t="shared" si="99"/>
        <v/>
      </c>
      <c r="J2742" s="32"/>
    </row>
    <row r="2743" spans="2:10" ht="15">
      <c r="B2743" s="31"/>
      <c r="C2743" s="30"/>
      <c r="D2743" s="119"/>
      <c r="E2743" s="32"/>
      <c r="G2743" s="31">
        <v>2701</v>
      </c>
      <c r="H2743" s="30" t="str">
        <f t="shared" si="98"/>
        <v/>
      </c>
      <c r="I2743" s="74" t="str">
        <f t="shared" si="99"/>
        <v/>
      </c>
      <c r="J2743" s="32"/>
    </row>
    <row r="2744" spans="2:10" ht="15">
      <c r="B2744" s="31"/>
      <c r="C2744" s="30"/>
      <c r="D2744" s="119"/>
      <c r="E2744" s="32"/>
      <c r="G2744" s="31">
        <v>2702</v>
      </c>
      <c r="H2744" s="30" t="str">
        <f t="shared" si="98"/>
        <v/>
      </c>
      <c r="I2744" s="74" t="str">
        <f t="shared" si="99"/>
        <v/>
      </c>
      <c r="J2744" s="32"/>
    </row>
    <row r="2745" spans="2:10" ht="15">
      <c r="B2745" s="31"/>
      <c r="C2745" s="30"/>
      <c r="D2745" s="119"/>
      <c r="E2745" s="32"/>
      <c r="G2745" s="31">
        <v>2703</v>
      </c>
      <c r="H2745" s="30" t="str">
        <f t="shared" si="98"/>
        <v/>
      </c>
      <c r="I2745" s="74" t="str">
        <f t="shared" si="99"/>
        <v/>
      </c>
      <c r="J2745" s="32"/>
    </row>
    <row r="2746" spans="2:10" ht="15">
      <c r="B2746" s="31"/>
      <c r="C2746" s="30"/>
      <c r="D2746" s="119"/>
      <c r="E2746" s="32"/>
      <c r="G2746" s="31">
        <v>2704</v>
      </c>
      <c r="H2746" s="30" t="str">
        <f t="shared" si="98"/>
        <v/>
      </c>
      <c r="I2746" s="74" t="str">
        <f t="shared" si="99"/>
        <v/>
      </c>
      <c r="J2746" s="32"/>
    </row>
    <row r="2747" spans="2:10" ht="15">
      <c r="B2747" s="31"/>
      <c r="C2747" s="30"/>
      <c r="D2747" s="119"/>
      <c r="E2747" s="32"/>
      <c r="G2747" s="31">
        <v>2705</v>
      </c>
      <c r="H2747" s="30" t="str">
        <f t="shared" si="98"/>
        <v/>
      </c>
      <c r="I2747" s="74" t="str">
        <f t="shared" si="99"/>
        <v/>
      </c>
      <c r="J2747" s="32"/>
    </row>
    <row r="2748" spans="2:10" ht="15">
      <c r="B2748" s="31"/>
      <c r="C2748" s="30"/>
      <c r="D2748" s="119"/>
      <c r="E2748" s="32"/>
      <c r="G2748" s="31">
        <v>2706</v>
      </c>
      <c r="H2748" s="30" t="str">
        <f t="shared" si="98"/>
        <v/>
      </c>
      <c r="I2748" s="74" t="str">
        <f t="shared" si="99"/>
        <v/>
      </c>
      <c r="J2748" s="32"/>
    </row>
    <row r="2749" spans="2:10" ht="15">
      <c r="B2749" s="31"/>
      <c r="C2749" s="30"/>
      <c r="D2749" s="119"/>
      <c r="E2749" s="32"/>
      <c r="G2749" s="31">
        <v>2707</v>
      </c>
      <c r="H2749" s="30" t="str">
        <f t="shared" si="98"/>
        <v/>
      </c>
      <c r="I2749" s="74" t="str">
        <f t="shared" si="99"/>
        <v/>
      </c>
      <c r="J2749" s="32"/>
    </row>
    <row r="2750" spans="2:10" ht="15">
      <c r="B2750" s="31"/>
      <c r="C2750" s="30"/>
      <c r="D2750" s="119"/>
      <c r="E2750" s="32"/>
      <c r="G2750" s="31">
        <v>2708</v>
      </c>
      <c r="H2750" s="30" t="str">
        <f t="shared" si="98"/>
        <v/>
      </c>
      <c r="I2750" s="74" t="str">
        <f t="shared" si="99"/>
        <v/>
      </c>
      <c r="J2750" s="32"/>
    </row>
    <row r="2751" spans="2:10" ht="15">
      <c r="B2751" s="31"/>
      <c r="C2751" s="30"/>
      <c r="D2751" s="119"/>
      <c r="E2751" s="32"/>
      <c r="G2751" s="31">
        <v>2709</v>
      </c>
      <c r="H2751" s="30" t="str">
        <f t="shared" si="98"/>
        <v/>
      </c>
      <c r="I2751" s="74" t="str">
        <f t="shared" si="99"/>
        <v/>
      </c>
      <c r="J2751" s="32"/>
    </row>
    <row r="2752" spans="2:10" ht="15">
      <c r="B2752" s="31"/>
      <c r="C2752" s="30"/>
      <c r="D2752" s="119"/>
      <c r="E2752" s="32"/>
      <c r="G2752" s="31">
        <v>2710</v>
      </c>
      <c r="H2752" s="30" t="str">
        <f t="shared" si="98"/>
        <v/>
      </c>
      <c r="I2752" s="74" t="str">
        <f t="shared" si="99"/>
        <v/>
      </c>
      <c r="J2752" s="32"/>
    </row>
    <row r="2753" spans="2:10" ht="15">
      <c r="B2753" s="31"/>
      <c r="C2753" s="30"/>
      <c r="D2753" s="119"/>
      <c r="E2753" s="32"/>
      <c r="G2753" s="31">
        <v>2711</v>
      </c>
      <c r="H2753" s="30" t="str">
        <f t="shared" si="98"/>
        <v/>
      </c>
      <c r="I2753" s="74" t="str">
        <f t="shared" si="99"/>
        <v/>
      </c>
      <c r="J2753" s="32"/>
    </row>
    <row r="2754" spans="2:10" ht="15">
      <c r="B2754" s="31"/>
      <c r="C2754" s="30"/>
      <c r="D2754" s="119"/>
      <c r="E2754" s="32"/>
      <c r="G2754" s="31">
        <v>2712</v>
      </c>
      <c r="H2754" s="30" t="str">
        <f t="shared" si="98"/>
        <v/>
      </c>
      <c r="I2754" s="74" t="str">
        <f t="shared" si="99"/>
        <v/>
      </c>
      <c r="J2754" s="32"/>
    </row>
    <row r="2755" spans="2:10" ht="15">
      <c r="B2755" s="31"/>
      <c r="C2755" s="30"/>
      <c r="D2755" s="119"/>
      <c r="E2755" s="32"/>
      <c r="G2755" s="31">
        <v>2713</v>
      </c>
      <c r="H2755" s="30" t="str">
        <f t="shared" si="98"/>
        <v/>
      </c>
      <c r="I2755" s="74" t="str">
        <f t="shared" si="99"/>
        <v/>
      </c>
      <c r="J2755" s="32"/>
    </row>
    <row r="2756" spans="2:10" ht="15">
      <c r="B2756" s="31"/>
      <c r="C2756" s="30"/>
      <c r="D2756" s="119"/>
      <c r="E2756" s="32"/>
      <c r="G2756" s="31">
        <v>2714</v>
      </c>
      <c r="H2756" s="30" t="str">
        <f t="shared" si="98"/>
        <v/>
      </c>
      <c r="I2756" s="74" t="str">
        <f t="shared" si="99"/>
        <v/>
      </c>
      <c r="J2756" s="32"/>
    </row>
    <row r="2757" spans="2:10" ht="15">
      <c r="B2757" s="31"/>
      <c r="C2757" s="30"/>
      <c r="D2757" s="119"/>
      <c r="E2757" s="32"/>
      <c r="G2757" s="31">
        <v>2715</v>
      </c>
      <c r="H2757" s="30" t="str">
        <f t="shared" si="98"/>
        <v/>
      </c>
      <c r="I2757" s="74" t="str">
        <f t="shared" si="99"/>
        <v/>
      </c>
      <c r="J2757" s="32"/>
    </row>
    <row r="2758" spans="2:10" ht="15">
      <c r="B2758" s="31"/>
      <c r="C2758" s="30"/>
      <c r="D2758" s="119"/>
      <c r="E2758" s="32"/>
      <c r="G2758" s="31">
        <v>2716</v>
      </c>
      <c r="H2758" s="30" t="str">
        <f t="shared" si="98"/>
        <v/>
      </c>
      <c r="I2758" s="74" t="str">
        <f t="shared" si="99"/>
        <v/>
      </c>
      <c r="J2758" s="32"/>
    </row>
    <row r="2759" spans="2:10" ht="15">
      <c r="B2759" s="31"/>
      <c r="C2759" s="30"/>
      <c r="D2759" s="119"/>
      <c r="E2759" s="32"/>
      <c r="G2759" s="31">
        <v>2717</v>
      </c>
      <c r="H2759" s="30" t="str">
        <f t="shared" si="98"/>
        <v/>
      </c>
      <c r="I2759" s="74" t="str">
        <f t="shared" si="99"/>
        <v/>
      </c>
      <c r="J2759" s="32"/>
    </row>
    <row r="2760" spans="2:10" ht="15">
      <c r="B2760" s="31"/>
      <c r="C2760" s="30"/>
      <c r="D2760" s="119"/>
      <c r="E2760" s="32"/>
      <c r="G2760" s="31">
        <v>2718</v>
      </c>
      <c r="H2760" s="30" t="str">
        <f t="shared" si="98"/>
        <v/>
      </c>
      <c r="I2760" s="74" t="str">
        <f t="shared" si="99"/>
        <v/>
      </c>
      <c r="J2760" s="32"/>
    </row>
    <row r="2761" spans="2:10" ht="15">
      <c r="B2761" s="31"/>
      <c r="C2761" s="30"/>
      <c r="D2761" s="119"/>
      <c r="E2761" s="32"/>
      <c r="G2761" s="31">
        <v>2719</v>
      </c>
      <c r="H2761" s="30" t="str">
        <f t="shared" si="98"/>
        <v/>
      </c>
      <c r="I2761" s="74" t="str">
        <f t="shared" si="99"/>
        <v/>
      </c>
      <c r="J2761" s="32"/>
    </row>
    <row r="2762" spans="2:10" ht="15">
      <c r="B2762" s="31"/>
      <c r="C2762" s="30"/>
      <c r="D2762" s="119"/>
      <c r="E2762" s="32"/>
      <c r="G2762" s="31">
        <v>2720</v>
      </c>
      <c r="H2762" s="30" t="str">
        <f t="shared" si="98"/>
        <v/>
      </c>
      <c r="I2762" s="74" t="str">
        <f t="shared" si="99"/>
        <v/>
      </c>
      <c r="J2762" s="32"/>
    </row>
    <row r="2763" spans="2:10" ht="15">
      <c r="B2763" s="31"/>
      <c r="C2763" s="30"/>
      <c r="D2763" s="119"/>
      <c r="E2763" s="32"/>
      <c r="G2763" s="31">
        <v>2721</v>
      </c>
      <c r="H2763" s="30" t="str">
        <f t="shared" si="98"/>
        <v/>
      </c>
      <c r="I2763" s="74" t="str">
        <f t="shared" si="99"/>
        <v/>
      </c>
      <c r="J2763" s="32"/>
    </row>
    <row r="2764" spans="2:10" ht="15">
      <c r="B2764" s="31"/>
      <c r="C2764" s="30"/>
      <c r="D2764" s="119"/>
      <c r="E2764" s="32"/>
      <c r="G2764" s="31">
        <v>2722</v>
      </c>
      <c r="H2764" s="30" t="str">
        <f t="shared" si="98"/>
        <v/>
      </c>
      <c r="I2764" s="74" t="str">
        <f t="shared" si="99"/>
        <v/>
      </c>
      <c r="J2764" s="32"/>
    </row>
    <row r="2765" spans="2:10" ht="15">
      <c r="B2765" s="31"/>
      <c r="C2765" s="30"/>
      <c r="D2765" s="119"/>
      <c r="E2765" s="32"/>
      <c r="G2765" s="31">
        <v>2723</v>
      </c>
      <c r="H2765" s="30" t="str">
        <f t="shared" si="98"/>
        <v/>
      </c>
      <c r="I2765" s="74" t="str">
        <f t="shared" si="99"/>
        <v/>
      </c>
      <c r="J2765" s="32"/>
    </row>
    <row r="2766" spans="2:10" ht="15">
      <c r="B2766" s="31"/>
      <c r="C2766" s="30"/>
      <c r="D2766" s="119"/>
      <c r="E2766" s="32"/>
      <c r="G2766" s="31">
        <v>2724</v>
      </c>
      <c r="H2766" s="30" t="str">
        <f t="shared" si="98"/>
        <v/>
      </c>
      <c r="I2766" s="74" t="str">
        <f t="shared" si="99"/>
        <v/>
      </c>
      <c r="J2766" s="32"/>
    </row>
    <row r="2767" spans="2:10" ht="15">
      <c r="B2767" s="31"/>
      <c r="C2767" s="30"/>
      <c r="D2767" s="119"/>
      <c r="E2767" s="32"/>
      <c r="G2767" s="31">
        <v>2725</v>
      </c>
      <c r="H2767" s="30" t="str">
        <f t="shared" si="98"/>
        <v/>
      </c>
      <c r="I2767" s="74" t="str">
        <f t="shared" si="99"/>
        <v/>
      </c>
      <c r="J2767" s="32"/>
    </row>
    <row r="2768" spans="2:10" ht="15">
      <c r="B2768" s="31"/>
      <c r="C2768" s="30"/>
      <c r="D2768" s="119"/>
      <c r="E2768" s="32"/>
      <c r="G2768" s="31">
        <v>2726</v>
      </c>
      <c r="H2768" s="30" t="str">
        <f t="shared" si="98"/>
        <v/>
      </c>
      <c r="I2768" s="74" t="str">
        <f t="shared" si="99"/>
        <v/>
      </c>
      <c r="J2768" s="32"/>
    </row>
    <row r="2769" spans="2:10" ht="15">
      <c r="B2769" s="31"/>
      <c r="C2769" s="30"/>
      <c r="D2769" s="119"/>
      <c r="E2769" s="32"/>
      <c r="G2769" s="31">
        <v>2727</v>
      </c>
      <c r="H2769" s="30" t="str">
        <f t="shared" si="98"/>
        <v/>
      </c>
      <c r="I2769" s="74" t="str">
        <f t="shared" si="99"/>
        <v/>
      </c>
      <c r="J2769" s="32"/>
    </row>
    <row r="2770" spans="2:10" ht="15">
      <c r="B2770" s="31"/>
      <c r="C2770" s="30"/>
      <c r="D2770" s="119"/>
      <c r="E2770" s="32"/>
      <c r="G2770" s="31">
        <v>2728</v>
      </c>
      <c r="H2770" s="30" t="str">
        <f t="shared" si="98"/>
        <v/>
      </c>
      <c r="I2770" s="74" t="str">
        <f t="shared" si="99"/>
        <v/>
      </c>
      <c r="J2770" s="32"/>
    </row>
    <row r="2771" spans="2:10" ht="15">
      <c r="B2771" s="31"/>
      <c r="C2771" s="30"/>
      <c r="D2771" s="119"/>
      <c r="E2771" s="32"/>
      <c r="G2771" s="31">
        <v>2729</v>
      </c>
      <c r="H2771" s="30" t="str">
        <f t="shared" si="98"/>
        <v/>
      </c>
      <c r="I2771" s="74" t="str">
        <f t="shared" si="99"/>
        <v/>
      </c>
      <c r="J2771" s="32"/>
    </row>
    <row r="2772" spans="2:10" ht="15">
      <c r="B2772" s="31"/>
      <c r="C2772" s="30"/>
      <c r="D2772" s="119"/>
      <c r="E2772" s="32"/>
      <c r="G2772" s="31">
        <v>2730</v>
      </c>
      <c r="H2772" s="30" t="str">
        <f t="shared" si="98"/>
        <v/>
      </c>
      <c r="I2772" s="74" t="str">
        <f t="shared" si="99"/>
        <v/>
      </c>
      <c r="J2772" s="32"/>
    </row>
    <row r="2773" spans="2:10" ht="15">
      <c r="B2773" s="31"/>
      <c r="C2773" s="30"/>
      <c r="D2773" s="119"/>
      <c r="E2773" s="32"/>
      <c r="G2773" s="31">
        <v>2731</v>
      </c>
      <c r="H2773" s="30" t="str">
        <f t="shared" si="98"/>
        <v/>
      </c>
      <c r="I2773" s="74" t="str">
        <f t="shared" si="99"/>
        <v/>
      </c>
      <c r="J2773" s="32"/>
    </row>
    <row r="2774" spans="2:10" ht="15">
      <c r="B2774" s="31"/>
      <c r="C2774" s="30"/>
      <c r="D2774" s="119"/>
      <c r="E2774" s="32"/>
      <c r="G2774" s="31">
        <v>2732</v>
      </c>
      <c r="H2774" s="30" t="str">
        <f t="shared" si="98"/>
        <v/>
      </c>
      <c r="I2774" s="74" t="str">
        <f t="shared" si="99"/>
        <v/>
      </c>
      <c r="J2774" s="32"/>
    </row>
    <row r="2775" spans="2:10" ht="15">
      <c r="B2775" s="31"/>
      <c r="C2775" s="30"/>
      <c r="D2775" s="119"/>
      <c r="E2775" s="32"/>
      <c r="G2775" s="31">
        <v>2733</v>
      </c>
      <c r="H2775" s="30" t="str">
        <f t="shared" si="98"/>
        <v/>
      </c>
      <c r="I2775" s="74" t="str">
        <f t="shared" si="99"/>
        <v/>
      </c>
      <c r="J2775" s="32"/>
    </row>
    <row r="2776" spans="2:10" ht="15">
      <c r="B2776" s="31"/>
      <c r="C2776" s="30"/>
      <c r="D2776" s="119"/>
      <c r="E2776" s="32"/>
      <c r="G2776" s="31">
        <v>2734</v>
      </c>
      <c r="H2776" s="30" t="str">
        <f t="shared" si="98"/>
        <v/>
      </c>
      <c r="I2776" s="74" t="str">
        <f t="shared" si="99"/>
        <v/>
      </c>
      <c r="J2776" s="32"/>
    </row>
    <row r="2777" spans="2:10" ht="15">
      <c r="B2777" s="31"/>
      <c r="C2777" s="30"/>
      <c r="D2777" s="119"/>
      <c r="E2777" s="32"/>
      <c r="G2777" s="31">
        <v>2735</v>
      </c>
      <c r="H2777" s="30" t="str">
        <f t="shared" si="98"/>
        <v/>
      </c>
      <c r="I2777" s="74" t="str">
        <f t="shared" si="99"/>
        <v/>
      </c>
      <c r="J2777" s="32"/>
    </row>
    <row r="2778" spans="2:10" ht="15">
      <c r="B2778" s="31"/>
      <c r="C2778" s="30"/>
      <c r="D2778" s="119"/>
      <c r="E2778" s="32"/>
      <c r="G2778" s="31">
        <v>2736</v>
      </c>
      <c r="H2778" s="30" t="str">
        <f t="shared" si="98"/>
        <v/>
      </c>
      <c r="I2778" s="74" t="str">
        <f t="shared" si="99"/>
        <v/>
      </c>
      <c r="J2778" s="32"/>
    </row>
    <row r="2779" spans="2:10" ht="15">
      <c r="B2779" s="31"/>
      <c r="C2779" s="30"/>
      <c r="D2779" s="119"/>
      <c r="E2779" s="32"/>
      <c r="G2779" s="31">
        <v>2737</v>
      </c>
      <c r="H2779" s="30" t="str">
        <f t="shared" si="98"/>
        <v/>
      </c>
      <c r="I2779" s="74" t="str">
        <f t="shared" si="99"/>
        <v/>
      </c>
      <c r="J2779" s="32"/>
    </row>
    <row r="2780" spans="2:10" ht="15">
      <c r="B2780" s="31"/>
      <c r="C2780" s="30"/>
      <c r="D2780" s="119"/>
      <c r="E2780" s="32"/>
      <c r="G2780" s="31">
        <v>2738</v>
      </c>
      <c r="H2780" s="30" t="str">
        <f t="shared" si="98"/>
        <v/>
      </c>
      <c r="I2780" s="74" t="str">
        <f t="shared" si="99"/>
        <v/>
      </c>
      <c r="J2780" s="32"/>
    </row>
    <row r="2781" spans="2:10" ht="15">
      <c r="B2781" s="31"/>
      <c r="C2781" s="30"/>
      <c r="D2781" s="119"/>
      <c r="E2781" s="32"/>
      <c r="G2781" s="31">
        <v>2739</v>
      </c>
      <c r="H2781" s="30" t="str">
        <f t="shared" si="98"/>
        <v/>
      </c>
      <c r="I2781" s="74" t="str">
        <f t="shared" si="99"/>
        <v/>
      </c>
      <c r="J2781" s="32"/>
    </row>
    <row r="2782" spans="2:10" ht="15">
      <c r="B2782" s="31"/>
      <c r="C2782" s="30"/>
      <c r="D2782" s="119"/>
      <c r="E2782" s="32"/>
      <c r="G2782" s="31">
        <v>2740</v>
      </c>
      <c r="H2782" s="30" t="str">
        <f t="shared" si="98"/>
        <v/>
      </c>
      <c r="I2782" s="74" t="str">
        <f t="shared" si="99"/>
        <v/>
      </c>
      <c r="J2782" s="32"/>
    </row>
    <row r="2783" spans="2:10" ht="15">
      <c r="B2783" s="31"/>
      <c r="C2783" s="30"/>
      <c r="D2783" s="119"/>
      <c r="E2783" s="32"/>
      <c r="G2783" s="31">
        <v>2741</v>
      </c>
      <c r="H2783" s="30" t="str">
        <f t="shared" si="98"/>
        <v/>
      </c>
      <c r="I2783" s="74" t="str">
        <f t="shared" si="99"/>
        <v/>
      </c>
      <c r="J2783" s="32"/>
    </row>
    <row r="2784" spans="2:10" ht="15">
      <c r="B2784" s="31"/>
      <c r="C2784" s="30"/>
      <c r="D2784" s="119"/>
      <c r="E2784" s="32"/>
      <c r="G2784" s="31">
        <v>2742</v>
      </c>
      <c r="H2784" s="30" t="str">
        <f t="shared" si="98"/>
        <v/>
      </c>
      <c r="I2784" s="74" t="str">
        <f t="shared" si="99"/>
        <v/>
      </c>
      <c r="J2784" s="32"/>
    </row>
    <row r="2785" spans="2:10" ht="15">
      <c r="B2785" s="31"/>
      <c r="C2785" s="30"/>
      <c r="D2785" s="119"/>
      <c r="E2785" s="32"/>
      <c r="G2785" s="31">
        <v>2743</v>
      </c>
      <c r="H2785" s="30" t="str">
        <f t="shared" si="98"/>
        <v/>
      </c>
      <c r="I2785" s="74" t="str">
        <f t="shared" si="99"/>
        <v/>
      </c>
      <c r="J2785" s="32"/>
    </row>
    <row r="2786" spans="2:10" ht="15">
      <c r="B2786" s="31"/>
      <c r="C2786" s="30"/>
      <c r="D2786" s="119"/>
      <c r="E2786" s="32"/>
      <c r="G2786" s="31">
        <v>2744</v>
      </c>
      <c r="H2786" s="30" t="str">
        <f t="shared" si="98"/>
        <v/>
      </c>
      <c r="I2786" s="74" t="str">
        <f t="shared" si="99"/>
        <v/>
      </c>
      <c r="J2786" s="32"/>
    </row>
    <row r="2787" spans="2:10" ht="15">
      <c r="B2787" s="31"/>
      <c r="C2787" s="30"/>
      <c r="D2787" s="119"/>
      <c r="E2787" s="32"/>
      <c r="G2787" s="31">
        <v>2745</v>
      </c>
      <c r="H2787" s="30" t="str">
        <f t="shared" si="98"/>
        <v/>
      </c>
      <c r="I2787" s="74" t="str">
        <f t="shared" si="99"/>
        <v/>
      </c>
      <c r="J2787" s="32"/>
    </row>
    <row r="2788" spans="2:10" ht="15">
      <c r="B2788" s="31"/>
      <c r="C2788" s="30"/>
      <c r="D2788" s="119"/>
      <c r="E2788" s="32"/>
      <c r="G2788" s="31">
        <v>2746</v>
      </c>
      <c r="H2788" s="30" t="str">
        <f t="shared" si="98"/>
        <v/>
      </c>
      <c r="I2788" s="74" t="str">
        <f t="shared" si="99"/>
        <v/>
      </c>
      <c r="J2788" s="32"/>
    </row>
    <row r="2789" spans="2:10" ht="15">
      <c r="B2789" s="31"/>
      <c r="C2789" s="30"/>
      <c r="D2789" s="119"/>
      <c r="E2789" s="32"/>
      <c r="G2789" s="31">
        <v>2747</v>
      </c>
      <c r="H2789" s="30" t="str">
        <f t="shared" si="98"/>
        <v/>
      </c>
      <c r="I2789" s="74" t="str">
        <f t="shared" si="99"/>
        <v/>
      </c>
      <c r="J2789" s="32"/>
    </row>
    <row r="2790" spans="2:10" ht="15">
      <c r="B2790" s="31"/>
      <c r="C2790" s="30"/>
      <c r="D2790" s="119"/>
      <c r="E2790" s="32"/>
      <c r="G2790" s="31">
        <v>2748</v>
      </c>
      <c r="H2790" s="30" t="str">
        <f t="shared" si="98"/>
        <v/>
      </c>
      <c r="I2790" s="74" t="str">
        <f t="shared" si="99"/>
        <v/>
      </c>
      <c r="J2790" s="32"/>
    </row>
    <row r="2791" spans="2:10" ht="15">
      <c r="B2791" s="31"/>
      <c r="C2791" s="30"/>
      <c r="D2791" s="119"/>
      <c r="E2791" s="32"/>
      <c r="G2791" s="31">
        <v>2749</v>
      </c>
      <c r="H2791" s="30" t="str">
        <f t="shared" si="98"/>
        <v/>
      </c>
      <c r="I2791" s="74" t="str">
        <f t="shared" si="99"/>
        <v/>
      </c>
      <c r="J2791" s="32"/>
    </row>
    <row r="2792" spans="2:10" ht="15">
      <c r="B2792" s="31"/>
      <c r="C2792" s="30"/>
      <c r="D2792" s="119"/>
      <c r="E2792" s="32"/>
      <c r="G2792" s="31">
        <v>2750</v>
      </c>
      <c r="H2792" s="30" t="str">
        <f t="shared" si="98"/>
        <v/>
      </c>
      <c r="I2792" s="74" t="str">
        <f t="shared" si="99"/>
        <v/>
      </c>
      <c r="J2792" s="32"/>
    </row>
    <row r="2793" spans="2:10" ht="15">
      <c r="B2793" s="31"/>
      <c r="C2793" s="30"/>
      <c r="D2793" s="119"/>
      <c r="E2793" s="32"/>
      <c r="G2793" s="31">
        <v>2751</v>
      </c>
      <c r="H2793" s="30" t="str">
        <f t="shared" si="98"/>
        <v/>
      </c>
      <c r="I2793" s="74" t="str">
        <f t="shared" si="99"/>
        <v/>
      </c>
      <c r="J2793" s="32"/>
    </row>
    <row r="2794" spans="2:10" ht="15">
      <c r="B2794" s="31"/>
      <c r="C2794" s="30"/>
      <c r="D2794" s="119"/>
      <c r="E2794" s="32"/>
      <c r="G2794" s="31">
        <v>2752</v>
      </c>
      <c r="H2794" s="30" t="str">
        <f t="shared" si="98"/>
        <v/>
      </c>
      <c r="I2794" s="74" t="str">
        <f t="shared" si="99"/>
        <v/>
      </c>
      <c r="J2794" s="32"/>
    </row>
    <row r="2795" spans="2:10" ht="15">
      <c r="B2795" s="31"/>
      <c r="C2795" s="30"/>
      <c r="D2795" s="119"/>
      <c r="E2795" s="32"/>
      <c r="G2795" s="31">
        <v>2753</v>
      </c>
      <c r="H2795" s="30" t="str">
        <f t="shared" si="98"/>
        <v/>
      </c>
      <c r="I2795" s="74" t="str">
        <f t="shared" si="99"/>
        <v/>
      </c>
      <c r="J2795" s="32"/>
    </row>
    <row r="2796" spans="2:10" ht="15">
      <c r="B2796" s="31"/>
      <c r="C2796" s="30"/>
      <c r="D2796" s="119"/>
      <c r="E2796" s="32"/>
      <c r="G2796" s="31">
        <v>2754</v>
      </c>
      <c r="H2796" s="30" t="str">
        <f t="shared" ref="H2796:H2859" si="100">MID($I$41,G2796*8-7,8)</f>
        <v/>
      </c>
      <c r="I2796" s="74" t="str">
        <f t="shared" ref="I2796:I2859" si="101">IFERROR(BIN2DEC(VALUE(H2796)),"")</f>
        <v/>
      </c>
      <c r="J2796" s="32"/>
    </row>
    <row r="2797" spans="2:10" ht="15">
      <c r="B2797" s="31"/>
      <c r="C2797" s="30"/>
      <c r="D2797" s="119"/>
      <c r="E2797" s="32"/>
      <c r="G2797" s="31">
        <v>2755</v>
      </c>
      <c r="H2797" s="30" t="str">
        <f t="shared" si="100"/>
        <v/>
      </c>
      <c r="I2797" s="74" t="str">
        <f t="shared" si="101"/>
        <v/>
      </c>
      <c r="J2797" s="32"/>
    </row>
    <row r="2798" spans="2:10" ht="15">
      <c r="B2798" s="31"/>
      <c r="C2798" s="30"/>
      <c r="D2798" s="119"/>
      <c r="E2798" s="32"/>
      <c r="G2798" s="31">
        <v>2756</v>
      </c>
      <c r="H2798" s="30" t="str">
        <f t="shared" si="100"/>
        <v/>
      </c>
      <c r="I2798" s="74" t="str">
        <f t="shared" si="101"/>
        <v/>
      </c>
      <c r="J2798" s="32"/>
    </row>
    <row r="2799" spans="2:10" ht="15">
      <c r="B2799" s="31"/>
      <c r="C2799" s="30"/>
      <c r="D2799" s="119"/>
      <c r="E2799" s="32"/>
      <c r="G2799" s="31">
        <v>2757</v>
      </c>
      <c r="H2799" s="30" t="str">
        <f t="shared" si="100"/>
        <v/>
      </c>
      <c r="I2799" s="74" t="str">
        <f t="shared" si="101"/>
        <v/>
      </c>
      <c r="J2799" s="32"/>
    </row>
    <row r="2800" spans="2:10" ht="15">
      <c r="B2800" s="31"/>
      <c r="C2800" s="30"/>
      <c r="D2800" s="119"/>
      <c r="E2800" s="32"/>
      <c r="G2800" s="31">
        <v>2758</v>
      </c>
      <c r="H2800" s="30" t="str">
        <f t="shared" si="100"/>
        <v/>
      </c>
      <c r="I2800" s="74" t="str">
        <f t="shared" si="101"/>
        <v/>
      </c>
      <c r="J2800" s="32"/>
    </row>
    <row r="2801" spans="2:10" ht="15">
      <c r="B2801" s="31"/>
      <c r="C2801" s="30"/>
      <c r="D2801" s="119"/>
      <c r="E2801" s="32"/>
      <c r="G2801" s="31">
        <v>2759</v>
      </c>
      <c r="H2801" s="30" t="str">
        <f t="shared" si="100"/>
        <v/>
      </c>
      <c r="I2801" s="74" t="str">
        <f t="shared" si="101"/>
        <v/>
      </c>
      <c r="J2801" s="32"/>
    </row>
    <row r="2802" spans="2:10" ht="15">
      <c r="B2802" s="31"/>
      <c r="C2802" s="30"/>
      <c r="D2802" s="119"/>
      <c r="E2802" s="32"/>
      <c r="G2802" s="31">
        <v>2760</v>
      </c>
      <c r="H2802" s="30" t="str">
        <f t="shared" si="100"/>
        <v/>
      </c>
      <c r="I2802" s="74" t="str">
        <f t="shared" si="101"/>
        <v/>
      </c>
      <c r="J2802" s="32"/>
    </row>
    <row r="2803" spans="2:10" ht="15">
      <c r="B2803" s="31"/>
      <c r="C2803" s="30"/>
      <c r="D2803" s="119"/>
      <c r="E2803" s="32"/>
      <c r="G2803" s="31">
        <v>2761</v>
      </c>
      <c r="H2803" s="30" t="str">
        <f t="shared" si="100"/>
        <v/>
      </c>
      <c r="I2803" s="74" t="str">
        <f t="shared" si="101"/>
        <v/>
      </c>
      <c r="J2803" s="32"/>
    </row>
    <row r="2804" spans="2:10" ht="15">
      <c r="B2804" s="31"/>
      <c r="C2804" s="30"/>
      <c r="D2804" s="119"/>
      <c r="E2804" s="32"/>
      <c r="G2804" s="31">
        <v>2762</v>
      </c>
      <c r="H2804" s="30" t="str">
        <f t="shared" si="100"/>
        <v/>
      </c>
      <c r="I2804" s="74" t="str">
        <f t="shared" si="101"/>
        <v/>
      </c>
      <c r="J2804" s="32"/>
    </row>
    <row r="2805" spans="2:10" ht="15">
      <c r="B2805" s="31"/>
      <c r="C2805" s="30"/>
      <c r="D2805" s="119"/>
      <c r="E2805" s="32"/>
      <c r="G2805" s="31">
        <v>2763</v>
      </c>
      <c r="H2805" s="30" t="str">
        <f t="shared" si="100"/>
        <v/>
      </c>
      <c r="I2805" s="74" t="str">
        <f t="shared" si="101"/>
        <v/>
      </c>
      <c r="J2805" s="32"/>
    </row>
    <row r="2806" spans="2:10" ht="15">
      <c r="B2806" s="31"/>
      <c r="C2806" s="30"/>
      <c r="D2806" s="119"/>
      <c r="E2806" s="32"/>
      <c r="G2806" s="31">
        <v>2764</v>
      </c>
      <c r="H2806" s="30" t="str">
        <f t="shared" si="100"/>
        <v/>
      </c>
      <c r="I2806" s="74" t="str">
        <f t="shared" si="101"/>
        <v/>
      </c>
      <c r="J2806" s="32"/>
    </row>
    <row r="2807" spans="2:10" ht="15">
      <c r="B2807" s="31"/>
      <c r="C2807" s="30"/>
      <c r="D2807" s="119"/>
      <c r="E2807" s="32"/>
      <c r="G2807" s="31">
        <v>2765</v>
      </c>
      <c r="H2807" s="30" t="str">
        <f t="shared" si="100"/>
        <v/>
      </c>
      <c r="I2807" s="74" t="str">
        <f t="shared" si="101"/>
        <v/>
      </c>
      <c r="J2807" s="32"/>
    </row>
    <row r="2808" spans="2:10" ht="15">
      <c r="B2808" s="31"/>
      <c r="C2808" s="30"/>
      <c r="D2808" s="119"/>
      <c r="E2808" s="32"/>
      <c r="G2808" s="31">
        <v>2766</v>
      </c>
      <c r="H2808" s="30" t="str">
        <f t="shared" si="100"/>
        <v/>
      </c>
      <c r="I2808" s="74" t="str">
        <f t="shared" si="101"/>
        <v/>
      </c>
      <c r="J2808" s="32"/>
    </row>
    <row r="2809" spans="2:10" ht="15">
      <c r="B2809" s="31"/>
      <c r="C2809" s="30"/>
      <c r="D2809" s="119"/>
      <c r="E2809" s="32"/>
      <c r="G2809" s="31">
        <v>2767</v>
      </c>
      <c r="H2809" s="30" t="str">
        <f t="shared" si="100"/>
        <v/>
      </c>
      <c r="I2809" s="74" t="str">
        <f t="shared" si="101"/>
        <v/>
      </c>
      <c r="J2809" s="32"/>
    </row>
    <row r="2810" spans="2:10" ht="15">
      <c r="B2810" s="31"/>
      <c r="C2810" s="30"/>
      <c r="D2810" s="119"/>
      <c r="E2810" s="32"/>
      <c r="G2810" s="31">
        <v>2768</v>
      </c>
      <c r="H2810" s="30" t="str">
        <f t="shared" si="100"/>
        <v/>
      </c>
      <c r="I2810" s="74" t="str">
        <f t="shared" si="101"/>
        <v/>
      </c>
      <c r="J2810" s="32"/>
    </row>
    <row r="2811" spans="2:10" ht="15">
      <c r="B2811" s="31"/>
      <c r="C2811" s="30"/>
      <c r="D2811" s="119"/>
      <c r="E2811" s="32"/>
      <c r="G2811" s="31">
        <v>2769</v>
      </c>
      <c r="H2811" s="30" t="str">
        <f t="shared" si="100"/>
        <v/>
      </c>
      <c r="I2811" s="74" t="str">
        <f t="shared" si="101"/>
        <v/>
      </c>
      <c r="J2811" s="32"/>
    </row>
    <row r="2812" spans="2:10" ht="15">
      <c r="B2812" s="31"/>
      <c r="C2812" s="30"/>
      <c r="D2812" s="119"/>
      <c r="E2812" s="32"/>
      <c r="G2812" s="31">
        <v>2770</v>
      </c>
      <c r="H2812" s="30" t="str">
        <f t="shared" si="100"/>
        <v/>
      </c>
      <c r="I2812" s="74" t="str">
        <f t="shared" si="101"/>
        <v/>
      </c>
      <c r="J2812" s="32"/>
    </row>
    <row r="2813" spans="2:10" ht="15">
      <c r="B2813" s="31"/>
      <c r="C2813" s="30"/>
      <c r="D2813" s="119"/>
      <c r="E2813" s="32"/>
      <c r="G2813" s="31">
        <v>2771</v>
      </c>
      <c r="H2813" s="30" t="str">
        <f t="shared" si="100"/>
        <v/>
      </c>
      <c r="I2813" s="74" t="str">
        <f t="shared" si="101"/>
        <v/>
      </c>
      <c r="J2813" s="32"/>
    </row>
    <row r="2814" spans="2:10" ht="15">
      <c r="B2814" s="31"/>
      <c r="C2814" s="30"/>
      <c r="D2814" s="119"/>
      <c r="E2814" s="32"/>
      <c r="G2814" s="31">
        <v>2772</v>
      </c>
      <c r="H2814" s="30" t="str">
        <f t="shared" si="100"/>
        <v/>
      </c>
      <c r="I2814" s="74" t="str">
        <f t="shared" si="101"/>
        <v/>
      </c>
      <c r="J2814" s="32"/>
    </row>
    <row r="2815" spans="2:10" ht="15">
      <c r="B2815" s="31"/>
      <c r="C2815" s="30"/>
      <c r="D2815" s="119"/>
      <c r="E2815" s="32"/>
      <c r="G2815" s="31">
        <v>2773</v>
      </c>
      <c r="H2815" s="30" t="str">
        <f t="shared" si="100"/>
        <v/>
      </c>
      <c r="I2815" s="74" t="str">
        <f t="shared" si="101"/>
        <v/>
      </c>
      <c r="J2815" s="32"/>
    </row>
    <row r="2816" spans="2:10" ht="15">
      <c r="B2816" s="31"/>
      <c r="C2816" s="30"/>
      <c r="D2816" s="119"/>
      <c r="E2816" s="32"/>
      <c r="G2816" s="31">
        <v>2774</v>
      </c>
      <c r="H2816" s="30" t="str">
        <f t="shared" si="100"/>
        <v/>
      </c>
      <c r="I2816" s="74" t="str">
        <f t="shared" si="101"/>
        <v/>
      </c>
      <c r="J2816" s="32"/>
    </row>
    <row r="2817" spans="2:10" ht="15">
      <c r="B2817" s="31"/>
      <c r="C2817" s="30"/>
      <c r="D2817" s="119"/>
      <c r="E2817" s="32"/>
      <c r="G2817" s="31">
        <v>2775</v>
      </c>
      <c r="H2817" s="30" t="str">
        <f t="shared" si="100"/>
        <v/>
      </c>
      <c r="I2817" s="74" t="str">
        <f t="shared" si="101"/>
        <v/>
      </c>
      <c r="J2817" s="32"/>
    </row>
    <row r="2818" spans="2:10" ht="15">
      <c r="B2818" s="31"/>
      <c r="C2818" s="30"/>
      <c r="D2818" s="119"/>
      <c r="E2818" s="32"/>
      <c r="G2818" s="31">
        <v>2776</v>
      </c>
      <c r="H2818" s="30" t="str">
        <f t="shared" si="100"/>
        <v/>
      </c>
      <c r="I2818" s="74" t="str">
        <f t="shared" si="101"/>
        <v/>
      </c>
      <c r="J2818" s="32"/>
    </row>
    <row r="2819" spans="2:10" ht="15">
      <c r="B2819" s="31"/>
      <c r="C2819" s="30"/>
      <c r="D2819" s="119"/>
      <c r="E2819" s="32"/>
      <c r="G2819" s="31">
        <v>2777</v>
      </c>
      <c r="H2819" s="30" t="str">
        <f t="shared" si="100"/>
        <v/>
      </c>
      <c r="I2819" s="74" t="str">
        <f t="shared" si="101"/>
        <v/>
      </c>
      <c r="J2819" s="32"/>
    </row>
    <row r="2820" spans="2:10" ht="15">
      <c r="B2820" s="31"/>
      <c r="C2820" s="30"/>
      <c r="D2820" s="119"/>
      <c r="E2820" s="32"/>
      <c r="G2820" s="31">
        <v>2778</v>
      </c>
      <c r="H2820" s="30" t="str">
        <f t="shared" si="100"/>
        <v/>
      </c>
      <c r="I2820" s="74" t="str">
        <f t="shared" si="101"/>
        <v/>
      </c>
      <c r="J2820" s="32"/>
    </row>
    <row r="2821" spans="2:10" ht="15">
      <c r="B2821" s="31"/>
      <c r="C2821" s="30"/>
      <c r="D2821" s="119"/>
      <c r="E2821" s="32"/>
      <c r="G2821" s="31">
        <v>2779</v>
      </c>
      <c r="H2821" s="30" t="str">
        <f t="shared" si="100"/>
        <v/>
      </c>
      <c r="I2821" s="74" t="str">
        <f t="shared" si="101"/>
        <v/>
      </c>
      <c r="J2821" s="32"/>
    </row>
    <row r="2822" spans="2:10" ht="15">
      <c r="B2822" s="31"/>
      <c r="C2822" s="30"/>
      <c r="D2822" s="119"/>
      <c r="E2822" s="32"/>
      <c r="G2822" s="31">
        <v>2780</v>
      </c>
      <c r="H2822" s="30" t="str">
        <f t="shared" si="100"/>
        <v/>
      </c>
      <c r="I2822" s="74" t="str">
        <f t="shared" si="101"/>
        <v/>
      </c>
      <c r="J2822" s="32"/>
    </row>
    <row r="2823" spans="2:10" ht="15">
      <c r="B2823" s="31"/>
      <c r="C2823" s="30"/>
      <c r="D2823" s="119"/>
      <c r="E2823" s="32"/>
      <c r="G2823" s="31">
        <v>2781</v>
      </c>
      <c r="H2823" s="30" t="str">
        <f t="shared" si="100"/>
        <v/>
      </c>
      <c r="I2823" s="74" t="str">
        <f t="shared" si="101"/>
        <v/>
      </c>
      <c r="J2823" s="32"/>
    </row>
    <row r="2824" spans="2:10" ht="15">
      <c r="B2824" s="31"/>
      <c r="C2824" s="30"/>
      <c r="D2824" s="119"/>
      <c r="E2824" s="32"/>
      <c r="G2824" s="31">
        <v>2782</v>
      </c>
      <c r="H2824" s="30" t="str">
        <f t="shared" si="100"/>
        <v/>
      </c>
      <c r="I2824" s="74" t="str">
        <f t="shared" si="101"/>
        <v/>
      </c>
      <c r="J2824" s="32"/>
    </row>
    <row r="2825" spans="2:10" ht="15">
      <c r="B2825" s="31"/>
      <c r="C2825" s="30"/>
      <c r="D2825" s="119"/>
      <c r="E2825" s="32"/>
      <c r="G2825" s="31">
        <v>2783</v>
      </c>
      <c r="H2825" s="30" t="str">
        <f t="shared" si="100"/>
        <v/>
      </c>
      <c r="I2825" s="74" t="str">
        <f t="shared" si="101"/>
        <v/>
      </c>
      <c r="J2825" s="32"/>
    </row>
    <row r="2826" spans="2:10" ht="15">
      <c r="B2826" s="31"/>
      <c r="C2826" s="30"/>
      <c r="D2826" s="119"/>
      <c r="E2826" s="32"/>
      <c r="G2826" s="31">
        <v>2784</v>
      </c>
      <c r="H2826" s="30" t="str">
        <f t="shared" si="100"/>
        <v/>
      </c>
      <c r="I2826" s="74" t="str">
        <f t="shared" si="101"/>
        <v/>
      </c>
      <c r="J2826" s="32"/>
    </row>
    <row r="2827" spans="2:10" ht="15">
      <c r="B2827" s="31"/>
      <c r="C2827" s="30"/>
      <c r="D2827" s="119"/>
      <c r="E2827" s="32"/>
      <c r="G2827" s="31">
        <v>2785</v>
      </c>
      <c r="H2827" s="30" t="str">
        <f t="shared" si="100"/>
        <v/>
      </c>
      <c r="I2827" s="74" t="str">
        <f t="shared" si="101"/>
        <v/>
      </c>
      <c r="J2827" s="32"/>
    </row>
    <row r="2828" spans="2:10" ht="15">
      <c r="B2828" s="31"/>
      <c r="C2828" s="30"/>
      <c r="D2828" s="119"/>
      <c r="E2828" s="32"/>
      <c r="G2828" s="31">
        <v>2786</v>
      </c>
      <c r="H2828" s="30" t="str">
        <f t="shared" si="100"/>
        <v/>
      </c>
      <c r="I2828" s="74" t="str">
        <f t="shared" si="101"/>
        <v/>
      </c>
      <c r="J2828" s="32"/>
    </row>
    <row r="2829" spans="2:10" ht="15">
      <c r="B2829" s="31"/>
      <c r="C2829" s="30"/>
      <c r="D2829" s="119"/>
      <c r="E2829" s="32"/>
      <c r="G2829" s="31">
        <v>2787</v>
      </c>
      <c r="H2829" s="30" t="str">
        <f t="shared" si="100"/>
        <v/>
      </c>
      <c r="I2829" s="74" t="str">
        <f t="shared" si="101"/>
        <v/>
      </c>
      <c r="J2829" s="32"/>
    </row>
    <row r="2830" spans="2:10" ht="15">
      <c r="B2830" s="31"/>
      <c r="C2830" s="30"/>
      <c r="D2830" s="119"/>
      <c r="E2830" s="32"/>
      <c r="G2830" s="31">
        <v>2788</v>
      </c>
      <c r="H2830" s="30" t="str">
        <f t="shared" si="100"/>
        <v/>
      </c>
      <c r="I2830" s="74" t="str">
        <f t="shared" si="101"/>
        <v/>
      </c>
      <c r="J2830" s="32"/>
    </row>
    <row r="2831" spans="2:10" ht="15">
      <c r="B2831" s="31"/>
      <c r="C2831" s="30"/>
      <c r="D2831" s="119"/>
      <c r="E2831" s="32"/>
      <c r="G2831" s="31">
        <v>2789</v>
      </c>
      <c r="H2831" s="30" t="str">
        <f t="shared" si="100"/>
        <v/>
      </c>
      <c r="I2831" s="74" t="str">
        <f t="shared" si="101"/>
        <v/>
      </c>
      <c r="J2831" s="32"/>
    </row>
    <row r="2832" spans="2:10" ht="15">
      <c r="B2832" s="31"/>
      <c r="C2832" s="30"/>
      <c r="D2832" s="119"/>
      <c r="E2832" s="32"/>
      <c r="G2832" s="31">
        <v>2790</v>
      </c>
      <c r="H2832" s="30" t="str">
        <f t="shared" si="100"/>
        <v/>
      </c>
      <c r="I2832" s="74" t="str">
        <f t="shared" si="101"/>
        <v/>
      </c>
      <c r="J2832" s="32"/>
    </row>
    <row r="2833" spans="2:10" ht="15">
      <c r="B2833" s="31"/>
      <c r="C2833" s="30"/>
      <c r="D2833" s="119"/>
      <c r="E2833" s="32"/>
      <c r="G2833" s="31">
        <v>2791</v>
      </c>
      <c r="H2833" s="30" t="str">
        <f t="shared" si="100"/>
        <v/>
      </c>
      <c r="I2833" s="74" t="str">
        <f t="shared" si="101"/>
        <v/>
      </c>
      <c r="J2833" s="32"/>
    </row>
    <row r="2834" spans="2:10" ht="15">
      <c r="B2834" s="31"/>
      <c r="C2834" s="30"/>
      <c r="D2834" s="119"/>
      <c r="E2834" s="32"/>
      <c r="G2834" s="31">
        <v>2792</v>
      </c>
      <c r="H2834" s="30" t="str">
        <f t="shared" si="100"/>
        <v/>
      </c>
      <c r="I2834" s="74" t="str">
        <f t="shared" si="101"/>
        <v/>
      </c>
      <c r="J2834" s="32"/>
    </row>
    <row r="2835" spans="2:10" ht="15">
      <c r="B2835" s="31"/>
      <c r="C2835" s="30"/>
      <c r="D2835" s="119"/>
      <c r="E2835" s="32"/>
      <c r="G2835" s="31">
        <v>2793</v>
      </c>
      <c r="H2835" s="30" t="str">
        <f t="shared" si="100"/>
        <v/>
      </c>
      <c r="I2835" s="74" t="str">
        <f t="shared" si="101"/>
        <v/>
      </c>
      <c r="J2835" s="32"/>
    </row>
    <row r="2836" spans="2:10" ht="15">
      <c r="B2836" s="31"/>
      <c r="C2836" s="30"/>
      <c r="D2836" s="119"/>
      <c r="E2836" s="32"/>
      <c r="G2836" s="31">
        <v>2794</v>
      </c>
      <c r="H2836" s="30" t="str">
        <f t="shared" si="100"/>
        <v/>
      </c>
      <c r="I2836" s="74" t="str">
        <f t="shared" si="101"/>
        <v/>
      </c>
      <c r="J2836" s="32"/>
    </row>
    <row r="2837" spans="2:10" ht="15">
      <c r="B2837" s="31"/>
      <c r="C2837" s="30"/>
      <c r="D2837" s="119"/>
      <c r="E2837" s="32"/>
      <c r="G2837" s="31">
        <v>2795</v>
      </c>
      <c r="H2837" s="30" t="str">
        <f t="shared" si="100"/>
        <v/>
      </c>
      <c r="I2837" s="74" t="str">
        <f t="shared" si="101"/>
        <v/>
      </c>
      <c r="J2837" s="32"/>
    </row>
    <row r="2838" spans="2:10" ht="15">
      <c r="B2838" s="31"/>
      <c r="C2838" s="30"/>
      <c r="D2838" s="119"/>
      <c r="E2838" s="32"/>
      <c r="G2838" s="31">
        <v>2796</v>
      </c>
      <c r="H2838" s="30" t="str">
        <f t="shared" si="100"/>
        <v/>
      </c>
      <c r="I2838" s="74" t="str">
        <f t="shared" si="101"/>
        <v/>
      </c>
      <c r="J2838" s="32"/>
    </row>
    <row r="2839" spans="2:10" ht="15">
      <c r="B2839" s="31"/>
      <c r="C2839" s="30"/>
      <c r="D2839" s="119"/>
      <c r="E2839" s="32"/>
      <c r="G2839" s="31">
        <v>2797</v>
      </c>
      <c r="H2839" s="30" t="str">
        <f t="shared" si="100"/>
        <v/>
      </c>
      <c r="I2839" s="74" t="str">
        <f t="shared" si="101"/>
        <v/>
      </c>
      <c r="J2839" s="32"/>
    </row>
    <row r="2840" spans="2:10" ht="15">
      <c r="B2840" s="31"/>
      <c r="C2840" s="30"/>
      <c r="D2840" s="119"/>
      <c r="E2840" s="32"/>
      <c r="G2840" s="31">
        <v>2798</v>
      </c>
      <c r="H2840" s="30" t="str">
        <f t="shared" si="100"/>
        <v/>
      </c>
      <c r="I2840" s="74" t="str">
        <f t="shared" si="101"/>
        <v/>
      </c>
      <c r="J2840" s="32"/>
    </row>
    <row r="2841" spans="2:10" ht="15">
      <c r="B2841" s="31"/>
      <c r="C2841" s="30"/>
      <c r="D2841" s="119"/>
      <c r="E2841" s="32"/>
      <c r="G2841" s="31">
        <v>2799</v>
      </c>
      <c r="H2841" s="30" t="str">
        <f t="shared" si="100"/>
        <v/>
      </c>
      <c r="I2841" s="74" t="str">
        <f t="shared" si="101"/>
        <v/>
      </c>
      <c r="J2841" s="32"/>
    </row>
    <row r="2842" spans="2:10" ht="15">
      <c r="B2842" s="31"/>
      <c r="C2842" s="30"/>
      <c r="D2842" s="119"/>
      <c r="E2842" s="32"/>
      <c r="G2842" s="31">
        <v>2800</v>
      </c>
      <c r="H2842" s="30" t="str">
        <f t="shared" si="100"/>
        <v/>
      </c>
      <c r="I2842" s="74" t="str">
        <f t="shared" si="101"/>
        <v/>
      </c>
      <c r="J2842" s="32"/>
    </row>
    <row r="2843" spans="2:10" ht="15">
      <c r="B2843" s="31"/>
      <c r="C2843" s="30"/>
      <c r="D2843" s="119"/>
      <c r="E2843" s="32"/>
      <c r="G2843" s="31">
        <v>2801</v>
      </c>
      <c r="H2843" s="30" t="str">
        <f t="shared" si="100"/>
        <v/>
      </c>
      <c r="I2843" s="74" t="str">
        <f t="shared" si="101"/>
        <v/>
      </c>
      <c r="J2843" s="32"/>
    </row>
    <row r="2844" spans="2:10" ht="15">
      <c r="B2844" s="31"/>
      <c r="C2844" s="30"/>
      <c r="D2844" s="119"/>
      <c r="E2844" s="32"/>
      <c r="G2844" s="31">
        <v>2802</v>
      </c>
      <c r="H2844" s="30" t="str">
        <f t="shared" si="100"/>
        <v/>
      </c>
      <c r="I2844" s="74" t="str">
        <f t="shared" si="101"/>
        <v/>
      </c>
      <c r="J2844" s="32"/>
    </row>
    <row r="2845" spans="2:10" ht="15">
      <c r="B2845" s="31"/>
      <c r="C2845" s="30"/>
      <c r="D2845" s="119"/>
      <c r="E2845" s="32"/>
      <c r="G2845" s="31">
        <v>2803</v>
      </c>
      <c r="H2845" s="30" t="str">
        <f t="shared" si="100"/>
        <v/>
      </c>
      <c r="I2845" s="74" t="str">
        <f t="shared" si="101"/>
        <v/>
      </c>
      <c r="J2845" s="32"/>
    </row>
    <row r="2846" spans="2:10" ht="15">
      <c r="B2846" s="31"/>
      <c r="C2846" s="30"/>
      <c r="D2846" s="119"/>
      <c r="E2846" s="32"/>
      <c r="G2846" s="31">
        <v>2804</v>
      </c>
      <c r="H2846" s="30" t="str">
        <f t="shared" si="100"/>
        <v/>
      </c>
      <c r="I2846" s="74" t="str">
        <f t="shared" si="101"/>
        <v/>
      </c>
      <c r="J2846" s="32"/>
    </row>
    <row r="2847" spans="2:10" ht="15">
      <c r="B2847" s="31"/>
      <c r="C2847" s="30"/>
      <c r="D2847" s="119"/>
      <c r="E2847" s="32"/>
      <c r="G2847" s="31">
        <v>2805</v>
      </c>
      <c r="H2847" s="30" t="str">
        <f t="shared" si="100"/>
        <v/>
      </c>
      <c r="I2847" s="74" t="str">
        <f t="shared" si="101"/>
        <v/>
      </c>
      <c r="J2847" s="32"/>
    </row>
    <row r="2848" spans="2:10" ht="15">
      <c r="B2848" s="31"/>
      <c r="C2848" s="30"/>
      <c r="D2848" s="119"/>
      <c r="E2848" s="32"/>
      <c r="G2848" s="31">
        <v>2806</v>
      </c>
      <c r="H2848" s="30" t="str">
        <f t="shared" si="100"/>
        <v/>
      </c>
      <c r="I2848" s="74" t="str">
        <f t="shared" si="101"/>
        <v/>
      </c>
      <c r="J2848" s="32"/>
    </row>
    <row r="2849" spans="2:10" ht="15">
      <c r="B2849" s="31"/>
      <c r="C2849" s="30"/>
      <c r="D2849" s="119"/>
      <c r="E2849" s="32"/>
      <c r="G2849" s="31">
        <v>2807</v>
      </c>
      <c r="H2849" s="30" t="str">
        <f t="shared" si="100"/>
        <v/>
      </c>
      <c r="I2849" s="74" t="str">
        <f t="shared" si="101"/>
        <v/>
      </c>
      <c r="J2849" s="32"/>
    </row>
    <row r="2850" spans="2:10" ht="15">
      <c r="B2850" s="31"/>
      <c r="C2850" s="30"/>
      <c r="D2850" s="119"/>
      <c r="E2850" s="32"/>
      <c r="G2850" s="31">
        <v>2808</v>
      </c>
      <c r="H2850" s="30" t="str">
        <f t="shared" si="100"/>
        <v/>
      </c>
      <c r="I2850" s="74" t="str">
        <f t="shared" si="101"/>
        <v/>
      </c>
      <c r="J2850" s="32"/>
    </row>
    <row r="2851" spans="2:10" ht="15">
      <c r="B2851" s="31"/>
      <c r="C2851" s="30"/>
      <c r="D2851" s="119"/>
      <c r="E2851" s="32"/>
      <c r="G2851" s="31">
        <v>2809</v>
      </c>
      <c r="H2851" s="30" t="str">
        <f t="shared" si="100"/>
        <v/>
      </c>
      <c r="I2851" s="74" t="str">
        <f t="shared" si="101"/>
        <v/>
      </c>
      <c r="J2851" s="32"/>
    </row>
    <row r="2852" spans="2:10" ht="15">
      <c r="B2852" s="31"/>
      <c r="C2852" s="30"/>
      <c r="D2852" s="119"/>
      <c r="E2852" s="32"/>
      <c r="G2852" s="31">
        <v>2810</v>
      </c>
      <c r="H2852" s="30" t="str">
        <f t="shared" si="100"/>
        <v/>
      </c>
      <c r="I2852" s="74" t="str">
        <f t="shared" si="101"/>
        <v/>
      </c>
      <c r="J2852" s="32"/>
    </row>
    <row r="2853" spans="2:10" ht="15">
      <c r="B2853" s="31"/>
      <c r="C2853" s="30"/>
      <c r="D2853" s="119"/>
      <c r="E2853" s="32"/>
      <c r="G2853" s="31">
        <v>2811</v>
      </c>
      <c r="H2853" s="30" t="str">
        <f t="shared" si="100"/>
        <v/>
      </c>
      <c r="I2853" s="74" t="str">
        <f t="shared" si="101"/>
        <v/>
      </c>
      <c r="J2853" s="32"/>
    </row>
    <row r="2854" spans="2:10" ht="15">
      <c r="B2854" s="31"/>
      <c r="C2854" s="30"/>
      <c r="D2854" s="119"/>
      <c r="E2854" s="32"/>
      <c r="G2854" s="31">
        <v>2812</v>
      </c>
      <c r="H2854" s="30" t="str">
        <f t="shared" si="100"/>
        <v/>
      </c>
      <c r="I2854" s="74" t="str">
        <f t="shared" si="101"/>
        <v/>
      </c>
      <c r="J2854" s="32"/>
    </row>
    <row r="2855" spans="2:10" ht="15">
      <c r="B2855" s="31"/>
      <c r="C2855" s="30"/>
      <c r="D2855" s="119"/>
      <c r="E2855" s="32"/>
      <c r="G2855" s="31">
        <v>2813</v>
      </c>
      <c r="H2855" s="30" t="str">
        <f t="shared" si="100"/>
        <v/>
      </c>
      <c r="I2855" s="74" t="str">
        <f t="shared" si="101"/>
        <v/>
      </c>
      <c r="J2855" s="32"/>
    </row>
    <row r="2856" spans="2:10" ht="15">
      <c r="B2856" s="31"/>
      <c r="C2856" s="30"/>
      <c r="D2856" s="119"/>
      <c r="E2856" s="32"/>
      <c r="G2856" s="31">
        <v>2814</v>
      </c>
      <c r="H2856" s="30" t="str">
        <f t="shared" si="100"/>
        <v/>
      </c>
      <c r="I2856" s="74" t="str">
        <f t="shared" si="101"/>
        <v/>
      </c>
      <c r="J2856" s="32"/>
    </row>
    <row r="2857" spans="2:10" ht="15">
      <c r="B2857" s="31"/>
      <c r="C2857" s="30"/>
      <c r="D2857" s="119"/>
      <c r="E2857" s="32"/>
      <c r="G2857" s="31">
        <v>2815</v>
      </c>
      <c r="H2857" s="30" t="str">
        <f t="shared" si="100"/>
        <v/>
      </c>
      <c r="I2857" s="74" t="str">
        <f t="shared" si="101"/>
        <v/>
      </c>
      <c r="J2857" s="32"/>
    </row>
    <row r="2858" spans="2:10" ht="15">
      <c r="B2858" s="31"/>
      <c r="C2858" s="30"/>
      <c r="D2858" s="119"/>
      <c r="E2858" s="32"/>
      <c r="G2858" s="31">
        <v>2816</v>
      </c>
      <c r="H2858" s="30" t="str">
        <f t="shared" si="100"/>
        <v/>
      </c>
      <c r="I2858" s="74" t="str">
        <f t="shared" si="101"/>
        <v/>
      </c>
      <c r="J2858" s="32"/>
    </row>
    <row r="2859" spans="2:10" ht="15">
      <c r="B2859" s="31"/>
      <c r="C2859" s="30"/>
      <c r="D2859" s="119"/>
      <c r="E2859" s="32"/>
      <c r="G2859" s="31">
        <v>2817</v>
      </c>
      <c r="H2859" s="30" t="str">
        <f t="shared" si="100"/>
        <v/>
      </c>
      <c r="I2859" s="74" t="str">
        <f t="shared" si="101"/>
        <v/>
      </c>
      <c r="J2859" s="32"/>
    </row>
    <row r="2860" spans="2:10" ht="15">
      <c r="B2860" s="31"/>
      <c r="C2860" s="30"/>
      <c r="D2860" s="119"/>
      <c r="E2860" s="32"/>
      <c r="G2860" s="31">
        <v>2818</v>
      </c>
      <c r="H2860" s="30" t="str">
        <f t="shared" ref="H2860:H2923" si="102">MID($I$41,G2860*8-7,8)</f>
        <v/>
      </c>
      <c r="I2860" s="74" t="str">
        <f t="shared" ref="I2860:I2923" si="103">IFERROR(BIN2DEC(VALUE(H2860)),"")</f>
        <v/>
      </c>
      <c r="J2860" s="32"/>
    </row>
    <row r="2861" spans="2:10" ht="15">
      <c r="B2861" s="31"/>
      <c r="C2861" s="30"/>
      <c r="D2861" s="119"/>
      <c r="E2861" s="32"/>
      <c r="G2861" s="31">
        <v>2819</v>
      </c>
      <c r="H2861" s="30" t="str">
        <f t="shared" si="102"/>
        <v/>
      </c>
      <c r="I2861" s="74" t="str">
        <f t="shared" si="103"/>
        <v/>
      </c>
      <c r="J2861" s="32"/>
    </row>
    <row r="2862" spans="2:10" ht="15">
      <c r="B2862" s="31"/>
      <c r="C2862" s="30"/>
      <c r="D2862" s="119"/>
      <c r="E2862" s="32"/>
      <c r="G2862" s="31">
        <v>2820</v>
      </c>
      <c r="H2862" s="30" t="str">
        <f t="shared" si="102"/>
        <v/>
      </c>
      <c r="I2862" s="74" t="str">
        <f t="shared" si="103"/>
        <v/>
      </c>
      <c r="J2862" s="32"/>
    </row>
    <row r="2863" spans="2:10" ht="15">
      <c r="B2863" s="31"/>
      <c r="C2863" s="30"/>
      <c r="D2863" s="119"/>
      <c r="E2863" s="32"/>
      <c r="G2863" s="31">
        <v>2821</v>
      </c>
      <c r="H2863" s="30" t="str">
        <f t="shared" si="102"/>
        <v/>
      </c>
      <c r="I2863" s="74" t="str">
        <f t="shared" si="103"/>
        <v/>
      </c>
      <c r="J2863" s="32"/>
    </row>
    <row r="2864" spans="2:10" ht="15">
      <c r="B2864" s="31"/>
      <c r="C2864" s="30"/>
      <c r="D2864" s="119"/>
      <c r="E2864" s="32"/>
      <c r="G2864" s="31">
        <v>2822</v>
      </c>
      <c r="H2864" s="30" t="str">
        <f t="shared" si="102"/>
        <v/>
      </c>
      <c r="I2864" s="74" t="str">
        <f t="shared" si="103"/>
        <v/>
      </c>
      <c r="J2864" s="32"/>
    </row>
    <row r="2865" spans="2:10" ht="15">
      <c r="B2865" s="31"/>
      <c r="C2865" s="30"/>
      <c r="D2865" s="119"/>
      <c r="E2865" s="32"/>
      <c r="G2865" s="31">
        <v>2823</v>
      </c>
      <c r="H2865" s="30" t="str">
        <f t="shared" si="102"/>
        <v/>
      </c>
      <c r="I2865" s="74" t="str">
        <f t="shared" si="103"/>
        <v/>
      </c>
      <c r="J2865" s="32"/>
    </row>
    <row r="2866" spans="2:10" ht="15">
      <c r="B2866" s="31"/>
      <c r="C2866" s="30"/>
      <c r="D2866" s="119"/>
      <c r="E2866" s="32"/>
      <c r="G2866" s="31">
        <v>2824</v>
      </c>
      <c r="H2866" s="30" t="str">
        <f t="shared" si="102"/>
        <v/>
      </c>
      <c r="I2866" s="74" t="str">
        <f t="shared" si="103"/>
        <v/>
      </c>
      <c r="J2866" s="32"/>
    </row>
    <row r="2867" spans="2:10" ht="15">
      <c r="B2867" s="31"/>
      <c r="C2867" s="30"/>
      <c r="D2867" s="119"/>
      <c r="E2867" s="32"/>
      <c r="G2867" s="31">
        <v>2825</v>
      </c>
      <c r="H2867" s="30" t="str">
        <f t="shared" si="102"/>
        <v/>
      </c>
      <c r="I2867" s="74" t="str">
        <f t="shared" si="103"/>
        <v/>
      </c>
      <c r="J2867" s="32"/>
    </row>
    <row r="2868" spans="2:10" ht="15">
      <c r="B2868" s="31"/>
      <c r="C2868" s="30"/>
      <c r="D2868" s="119"/>
      <c r="E2868" s="32"/>
      <c r="G2868" s="31">
        <v>2826</v>
      </c>
      <c r="H2868" s="30" t="str">
        <f t="shared" si="102"/>
        <v/>
      </c>
      <c r="I2868" s="74" t="str">
        <f t="shared" si="103"/>
        <v/>
      </c>
      <c r="J2868" s="32"/>
    </row>
    <row r="2869" spans="2:10" ht="15">
      <c r="B2869" s="31"/>
      <c r="C2869" s="30"/>
      <c r="D2869" s="119"/>
      <c r="E2869" s="32"/>
      <c r="G2869" s="31">
        <v>2827</v>
      </c>
      <c r="H2869" s="30" t="str">
        <f t="shared" si="102"/>
        <v/>
      </c>
      <c r="I2869" s="74" t="str">
        <f t="shared" si="103"/>
        <v/>
      </c>
      <c r="J2869" s="32"/>
    </row>
    <row r="2870" spans="2:10" ht="15">
      <c r="B2870" s="31"/>
      <c r="C2870" s="30"/>
      <c r="D2870" s="119"/>
      <c r="E2870" s="32"/>
      <c r="G2870" s="31">
        <v>2828</v>
      </c>
      <c r="H2870" s="30" t="str">
        <f t="shared" si="102"/>
        <v/>
      </c>
      <c r="I2870" s="74" t="str">
        <f t="shared" si="103"/>
        <v/>
      </c>
      <c r="J2870" s="32"/>
    </row>
    <row r="2871" spans="2:10" ht="15">
      <c r="B2871" s="31"/>
      <c r="C2871" s="30"/>
      <c r="D2871" s="119"/>
      <c r="E2871" s="32"/>
      <c r="G2871" s="31">
        <v>2829</v>
      </c>
      <c r="H2871" s="30" t="str">
        <f t="shared" si="102"/>
        <v/>
      </c>
      <c r="I2871" s="74" t="str">
        <f t="shared" si="103"/>
        <v/>
      </c>
      <c r="J2871" s="32"/>
    </row>
    <row r="2872" spans="2:10" ht="15">
      <c r="B2872" s="31"/>
      <c r="C2872" s="30"/>
      <c r="D2872" s="119"/>
      <c r="E2872" s="32"/>
      <c r="G2872" s="31">
        <v>2830</v>
      </c>
      <c r="H2872" s="30" t="str">
        <f t="shared" si="102"/>
        <v/>
      </c>
      <c r="I2872" s="74" t="str">
        <f t="shared" si="103"/>
        <v/>
      </c>
      <c r="J2872" s="32"/>
    </row>
    <row r="2873" spans="2:10" ht="15">
      <c r="B2873" s="31"/>
      <c r="C2873" s="30"/>
      <c r="D2873" s="119"/>
      <c r="E2873" s="32"/>
      <c r="G2873" s="31">
        <v>2831</v>
      </c>
      <c r="H2873" s="30" t="str">
        <f t="shared" si="102"/>
        <v/>
      </c>
      <c r="I2873" s="74" t="str">
        <f t="shared" si="103"/>
        <v/>
      </c>
      <c r="J2873" s="32"/>
    </row>
    <row r="2874" spans="2:10" ht="15">
      <c r="B2874" s="31"/>
      <c r="C2874" s="30"/>
      <c r="D2874" s="119"/>
      <c r="E2874" s="32"/>
      <c r="G2874" s="31">
        <v>2832</v>
      </c>
      <c r="H2874" s="30" t="str">
        <f t="shared" si="102"/>
        <v/>
      </c>
      <c r="I2874" s="74" t="str">
        <f t="shared" si="103"/>
        <v/>
      </c>
      <c r="J2874" s="32"/>
    </row>
    <row r="2875" spans="2:10" ht="15">
      <c r="B2875" s="31"/>
      <c r="C2875" s="30"/>
      <c r="D2875" s="119"/>
      <c r="E2875" s="32"/>
      <c r="G2875" s="31">
        <v>2833</v>
      </c>
      <c r="H2875" s="30" t="str">
        <f t="shared" si="102"/>
        <v/>
      </c>
      <c r="I2875" s="74" t="str">
        <f t="shared" si="103"/>
        <v/>
      </c>
      <c r="J2875" s="32"/>
    </row>
    <row r="2876" spans="2:10" ht="15">
      <c r="B2876" s="31"/>
      <c r="C2876" s="30"/>
      <c r="D2876" s="119"/>
      <c r="E2876" s="32"/>
      <c r="G2876" s="31">
        <v>2834</v>
      </c>
      <c r="H2876" s="30" t="str">
        <f t="shared" si="102"/>
        <v/>
      </c>
      <c r="I2876" s="74" t="str">
        <f t="shared" si="103"/>
        <v/>
      </c>
      <c r="J2876" s="32"/>
    </row>
    <row r="2877" spans="2:10" ht="15">
      <c r="B2877" s="31"/>
      <c r="C2877" s="30"/>
      <c r="D2877" s="119"/>
      <c r="E2877" s="32"/>
      <c r="G2877" s="31">
        <v>2835</v>
      </c>
      <c r="H2877" s="30" t="str">
        <f t="shared" si="102"/>
        <v/>
      </c>
      <c r="I2877" s="74" t="str">
        <f t="shared" si="103"/>
        <v/>
      </c>
      <c r="J2877" s="32"/>
    </row>
    <row r="2878" spans="2:10" ht="15">
      <c r="B2878" s="31"/>
      <c r="C2878" s="30"/>
      <c r="D2878" s="119"/>
      <c r="E2878" s="32"/>
      <c r="G2878" s="31">
        <v>2836</v>
      </c>
      <c r="H2878" s="30" t="str">
        <f t="shared" si="102"/>
        <v/>
      </c>
      <c r="I2878" s="74" t="str">
        <f t="shared" si="103"/>
        <v/>
      </c>
      <c r="J2878" s="32"/>
    </row>
    <row r="2879" spans="2:10" ht="15">
      <c r="B2879" s="31"/>
      <c r="C2879" s="30"/>
      <c r="D2879" s="119"/>
      <c r="E2879" s="32"/>
      <c r="G2879" s="31">
        <v>2837</v>
      </c>
      <c r="H2879" s="30" t="str">
        <f t="shared" si="102"/>
        <v/>
      </c>
      <c r="I2879" s="74" t="str">
        <f t="shared" si="103"/>
        <v/>
      </c>
      <c r="J2879" s="32"/>
    </row>
    <row r="2880" spans="2:10" ht="15">
      <c r="B2880" s="31"/>
      <c r="C2880" s="30"/>
      <c r="D2880" s="119"/>
      <c r="E2880" s="32"/>
      <c r="G2880" s="31">
        <v>2838</v>
      </c>
      <c r="H2880" s="30" t="str">
        <f t="shared" si="102"/>
        <v/>
      </c>
      <c r="I2880" s="74" t="str">
        <f t="shared" si="103"/>
        <v/>
      </c>
      <c r="J2880" s="32"/>
    </row>
    <row r="2881" spans="2:10" ht="15">
      <c r="B2881" s="31"/>
      <c r="C2881" s="30"/>
      <c r="D2881" s="119"/>
      <c r="E2881" s="32"/>
      <c r="G2881" s="31">
        <v>2839</v>
      </c>
      <c r="H2881" s="30" t="str">
        <f t="shared" si="102"/>
        <v/>
      </c>
      <c r="I2881" s="74" t="str">
        <f t="shared" si="103"/>
        <v/>
      </c>
      <c r="J2881" s="32"/>
    </row>
    <row r="2882" spans="2:10" ht="15">
      <c r="B2882" s="31"/>
      <c r="C2882" s="30"/>
      <c r="D2882" s="119"/>
      <c r="E2882" s="32"/>
      <c r="G2882" s="31">
        <v>2840</v>
      </c>
      <c r="H2882" s="30" t="str">
        <f t="shared" si="102"/>
        <v/>
      </c>
      <c r="I2882" s="74" t="str">
        <f t="shared" si="103"/>
        <v/>
      </c>
      <c r="J2882" s="32"/>
    </row>
    <row r="2883" spans="2:10" ht="15">
      <c r="B2883" s="31"/>
      <c r="C2883" s="30"/>
      <c r="D2883" s="119"/>
      <c r="E2883" s="32"/>
      <c r="G2883" s="31">
        <v>2841</v>
      </c>
      <c r="H2883" s="30" t="str">
        <f t="shared" si="102"/>
        <v/>
      </c>
      <c r="I2883" s="74" t="str">
        <f t="shared" si="103"/>
        <v/>
      </c>
      <c r="J2883" s="32"/>
    </row>
    <row r="2884" spans="2:10" ht="15">
      <c r="B2884" s="31"/>
      <c r="C2884" s="30"/>
      <c r="D2884" s="119"/>
      <c r="E2884" s="32"/>
      <c r="G2884" s="31">
        <v>2842</v>
      </c>
      <c r="H2884" s="30" t="str">
        <f t="shared" si="102"/>
        <v/>
      </c>
      <c r="I2884" s="74" t="str">
        <f t="shared" si="103"/>
        <v/>
      </c>
      <c r="J2884" s="32"/>
    </row>
    <row r="2885" spans="2:10" ht="15">
      <c r="B2885" s="31"/>
      <c r="C2885" s="30"/>
      <c r="D2885" s="119"/>
      <c r="E2885" s="32"/>
      <c r="G2885" s="31">
        <v>2843</v>
      </c>
      <c r="H2885" s="30" t="str">
        <f t="shared" si="102"/>
        <v/>
      </c>
      <c r="I2885" s="74" t="str">
        <f t="shared" si="103"/>
        <v/>
      </c>
      <c r="J2885" s="32"/>
    </row>
    <row r="2886" spans="2:10" ht="15">
      <c r="B2886" s="31"/>
      <c r="C2886" s="30"/>
      <c r="D2886" s="119"/>
      <c r="E2886" s="32"/>
      <c r="G2886" s="31">
        <v>2844</v>
      </c>
      <c r="H2886" s="30" t="str">
        <f t="shared" si="102"/>
        <v/>
      </c>
      <c r="I2886" s="74" t="str">
        <f t="shared" si="103"/>
        <v/>
      </c>
      <c r="J2886" s="32"/>
    </row>
    <row r="2887" spans="2:10" ht="15">
      <c r="B2887" s="31"/>
      <c r="C2887" s="30"/>
      <c r="D2887" s="119"/>
      <c r="E2887" s="32"/>
      <c r="G2887" s="31">
        <v>2845</v>
      </c>
      <c r="H2887" s="30" t="str">
        <f t="shared" si="102"/>
        <v/>
      </c>
      <c r="I2887" s="74" t="str">
        <f t="shared" si="103"/>
        <v/>
      </c>
      <c r="J2887" s="32"/>
    </row>
    <row r="2888" spans="2:10" ht="15">
      <c r="B2888" s="31"/>
      <c r="C2888" s="30"/>
      <c r="D2888" s="119"/>
      <c r="E2888" s="32"/>
      <c r="G2888" s="31">
        <v>2846</v>
      </c>
      <c r="H2888" s="30" t="str">
        <f t="shared" si="102"/>
        <v/>
      </c>
      <c r="I2888" s="74" t="str">
        <f t="shared" si="103"/>
        <v/>
      </c>
      <c r="J2888" s="32"/>
    </row>
    <row r="2889" spans="2:10" ht="15">
      <c r="B2889" s="31"/>
      <c r="C2889" s="30"/>
      <c r="D2889" s="119"/>
      <c r="E2889" s="32"/>
      <c r="G2889" s="31">
        <v>2847</v>
      </c>
      <c r="H2889" s="30" t="str">
        <f t="shared" si="102"/>
        <v/>
      </c>
      <c r="I2889" s="74" t="str">
        <f t="shared" si="103"/>
        <v/>
      </c>
      <c r="J2889" s="32"/>
    </row>
    <row r="2890" spans="2:10" ht="15">
      <c r="B2890" s="31"/>
      <c r="C2890" s="30"/>
      <c r="D2890" s="119"/>
      <c r="E2890" s="32"/>
      <c r="G2890" s="31">
        <v>2848</v>
      </c>
      <c r="H2890" s="30" t="str">
        <f t="shared" si="102"/>
        <v/>
      </c>
      <c r="I2890" s="74" t="str">
        <f t="shared" si="103"/>
        <v/>
      </c>
      <c r="J2890" s="32"/>
    </row>
    <row r="2891" spans="2:10" ht="15">
      <c r="B2891" s="31"/>
      <c r="C2891" s="30"/>
      <c r="D2891" s="119"/>
      <c r="E2891" s="32"/>
      <c r="G2891" s="31">
        <v>2849</v>
      </c>
      <c r="H2891" s="30" t="str">
        <f t="shared" si="102"/>
        <v/>
      </c>
      <c r="I2891" s="74" t="str">
        <f t="shared" si="103"/>
        <v/>
      </c>
      <c r="J2891" s="32"/>
    </row>
    <row r="2892" spans="2:10" ht="15">
      <c r="B2892" s="31"/>
      <c r="C2892" s="30"/>
      <c r="D2892" s="119"/>
      <c r="E2892" s="32"/>
      <c r="G2892" s="31">
        <v>2850</v>
      </c>
      <c r="H2892" s="30" t="str">
        <f t="shared" si="102"/>
        <v/>
      </c>
      <c r="I2892" s="74" t="str">
        <f t="shared" si="103"/>
        <v/>
      </c>
      <c r="J2892" s="32"/>
    </row>
    <row r="2893" spans="2:10" ht="15">
      <c r="B2893" s="31"/>
      <c r="C2893" s="30"/>
      <c r="D2893" s="119"/>
      <c r="E2893" s="32"/>
      <c r="G2893" s="31">
        <v>2851</v>
      </c>
      <c r="H2893" s="30" t="str">
        <f t="shared" si="102"/>
        <v/>
      </c>
      <c r="I2893" s="74" t="str">
        <f t="shared" si="103"/>
        <v/>
      </c>
      <c r="J2893" s="32"/>
    </row>
    <row r="2894" spans="2:10" ht="15">
      <c r="B2894" s="31"/>
      <c r="C2894" s="30"/>
      <c r="D2894" s="119"/>
      <c r="E2894" s="32"/>
      <c r="G2894" s="31">
        <v>2852</v>
      </c>
      <c r="H2894" s="30" t="str">
        <f t="shared" si="102"/>
        <v/>
      </c>
      <c r="I2894" s="74" t="str">
        <f t="shared" si="103"/>
        <v/>
      </c>
      <c r="J2894" s="32"/>
    </row>
    <row r="2895" spans="2:10" ht="15">
      <c r="B2895" s="31"/>
      <c r="C2895" s="30"/>
      <c r="D2895" s="119"/>
      <c r="E2895" s="32"/>
      <c r="G2895" s="31">
        <v>2853</v>
      </c>
      <c r="H2895" s="30" t="str">
        <f t="shared" si="102"/>
        <v/>
      </c>
      <c r="I2895" s="74" t="str">
        <f t="shared" si="103"/>
        <v/>
      </c>
      <c r="J2895" s="32"/>
    </row>
    <row r="2896" spans="2:10" ht="15">
      <c r="B2896" s="31"/>
      <c r="C2896" s="30"/>
      <c r="D2896" s="119"/>
      <c r="E2896" s="32"/>
      <c r="G2896" s="31">
        <v>2854</v>
      </c>
      <c r="H2896" s="30" t="str">
        <f t="shared" si="102"/>
        <v/>
      </c>
      <c r="I2896" s="74" t="str">
        <f t="shared" si="103"/>
        <v/>
      </c>
      <c r="J2896" s="32"/>
    </row>
    <row r="2897" spans="2:10" ht="15">
      <c r="B2897" s="31"/>
      <c r="C2897" s="30"/>
      <c r="D2897" s="119"/>
      <c r="E2897" s="32"/>
      <c r="G2897" s="31">
        <v>2855</v>
      </c>
      <c r="H2897" s="30" t="str">
        <f t="shared" si="102"/>
        <v/>
      </c>
      <c r="I2897" s="74" t="str">
        <f t="shared" si="103"/>
        <v/>
      </c>
      <c r="J2897" s="32"/>
    </row>
    <row r="2898" spans="2:10" ht="15">
      <c r="B2898" s="31"/>
      <c r="C2898" s="30"/>
      <c r="D2898" s="119"/>
      <c r="E2898" s="32"/>
      <c r="G2898" s="31">
        <v>2856</v>
      </c>
      <c r="H2898" s="30" t="str">
        <f t="shared" si="102"/>
        <v/>
      </c>
      <c r="I2898" s="74" t="str">
        <f t="shared" si="103"/>
        <v/>
      </c>
      <c r="J2898" s="32"/>
    </row>
    <row r="2899" spans="2:10" ht="15">
      <c r="B2899" s="31"/>
      <c r="C2899" s="30"/>
      <c r="D2899" s="119"/>
      <c r="E2899" s="32"/>
      <c r="G2899" s="31">
        <v>2857</v>
      </c>
      <c r="H2899" s="30" t="str">
        <f t="shared" si="102"/>
        <v/>
      </c>
      <c r="I2899" s="74" t="str">
        <f t="shared" si="103"/>
        <v/>
      </c>
      <c r="J2899" s="32"/>
    </row>
    <row r="2900" spans="2:10" ht="15">
      <c r="B2900" s="31"/>
      <c r="C2900" s="30"/>
      <c r="D2900" s="119"/>
      <c r="E2900" s="32"/>
      <c r="G2900" s="31">
        <v>2858</v>
      </c>
      <c r="H2900" s="30" t="str">
        <f t="shared" si="102"/>
        <v/>
      </c>
      <c r="I2900" s="74" t="str">
        <f t="shared" si="103"/>
        <v/>
      </c>
      <c r="J2900" s="32"/>
    </row>
    <row r="2901" spans="2:10" ht="15">
      <c r="B2901" s="31"/>
      <c r="C2901" s="30"/>
      <c r="D2901" s="119"/>
      <c r="E2901" s="32"/>
      <c r="G2901" s="31">
        <v>2859</v>
      </c>
      <c r="H2901" s="30" t="str">
        <f t="shared" si="102"/>
        <v/>
      </c>
      <c r="I2901" s="74" t="str">
        <f t="shared" si="103"/>
        <v/>
      </c>
      <c r="J2901" s="32"/>
    </row>
    <row r="2902" spans="2:10" ht="15">
      <c r="B2902" s="31"/>
      <c r="C2902" s="30"/>
      <c r="D2902" s="119"/>
      <c r="E2902" s="32"/>
      <c r="G2902" s="31">
        <v>2860</v>
      </c>
      <c r="H2902" s="30" t="str">
        <f t="shared" si="102"/>
        <v/>
      </c>
      <c r="I2902" s="74" t="str">
        <f t="shared" si="103"/>
        <v/>
      </c>
      <c r="J2902" s="32"/>
    </row>
    <row r="2903" spans="2:10" ht="15">
      <c r="B2903" s="31"/>
      <c r="C2903" s="30"/>
      <c r="D2903" s="119"/>
      <c r="E2903" s="32"/>
      <c r="G2903" s="31">
        <v>2861</v>
      </c>
      <c r="H2903" s="30" t="str">
        <f t="shared" si="102"/>
        <v/>
      </c>
      <c r="I2903" s="74" t="str">
        <f t="shared" si="103"/>
        <v/>
      </c>
      <c r="J2903" s="32"/>
    </row>
    <row r="2904" spans="2:10" ht="15">
      <c r="B2904" s="31"/>
      <c r="C2904" s="30"/>
      <c r="D2904" s="119"/>
      <c r="E2904" s="32"/>
      <c r="G2904" s="31">
        <v>2862</v>
      </c>
      <c r="H2904" s="30" t="str">
        <f t="shared" si="102"/>
        <v/>
      </c>
      <c r="I2904" s="74" t="str">
        <f t="shared" si="103"/>
        <v/>
      </c>
      <c r="J2904" s="32"/>
    </row>
    <row r="2905" spans="2:10" ht="15">
      <c r="B2905" s="31"/>
      <c r="C2905" s="30"/>
      <c r="D2905" s="119"/>
      <c r="E2905" s="32"/>
      <c r="G2905" s="31">
        <v>2863</v>
      </c>
      <c r="H2905" s="30" t="str">
        <f t="shared" si="102"/>
        <v/>
      </c>
      <c r="I2905" s="74" t="str">
        <f t="shared" si="103"/>
        <v/>
      </c>
      <c r="J2905" s="32"/>
    </row>
    <row r="2906" spans="2:10" ht="15">
      <c r="B2906" s="31"/>
      <c r="C2906" s="30"/>
      <c r="D2906" s="119"/>
      <c r="E2906" s="32"/>
      <c r="G2906" s="31">
        <v>2864</v>
      </c>
      <c r="H2906" s="30" t="str">
        <f t="shared" si="102"/>
        <v/>
      </c>
      <c r="I2906" s="74" t="str">
        <f t="shared" si="103"/>
        <v/>
      </c>
      <c r="J2906" s="32"/>
    </row>
    <row r="2907" spans="2:10" ht="15">
      <c r="B2907" s="31"/>
      <c r="C2907" s="30"/>
      <c r="D2907" s="119"/>
      <c r="E2907" s="32"/>
      <c r="G2907" s="31">
        <v>2865</v>
      </c>
      <c r="H2907" s="30" t="str">
        <f t="shared" si="102"/>
        <v/>
      </c>
      <c r="I2907" s="74" t="str">
        <f t="shared" si="103"/>
        <v/>
      </c>
      <c r="J2907" s="32"/>
    </row>
    <row r="2908" spans="2:10" ht="15">
      <c r="B2908" s="31"/>
      <c r="C2908" s="30"/>
      <c r="D2908" s="119"/>
      <c r="E2908" s="32"/>
      <c r="G2908" s="31">
        <v>2866</v>
      </c>
      <c r="H2908" s="30" t="str">
        <f t="shared" si="102"/>
        <v/>
      </c>
      <c r="I2908" s="74" t="str">
        <f t="shared" si="103"/>
        <v/>
      </c>
      <c r="J2908" s="32"/>
    </row>
    <row r="2909" spans="2:10" ht="15">
      <c r="B2909" s="31"/>
      <c r="C2909" s="30"/>
      <c r="D2909" s="119"/>
      <c r="E2909" s="32"/>
      <c r="G2909" s="31">
        <v>2867</v>
      </c>
      <c r="H2909" s="30" t="str">
        <f t="shared" si="102"/>
        <v/>
      </c>
      <c r="I2909" s="74" t="str">
        <f t="shared" si="103"/>
        <v/>
      </c>
      <c r="J2909" s="32"/>
    </row>
    <row r="2910" spans="2:10" ht="15">
      <c r="B2910" s="31"/>
      <c r="C2910" s="30"/>
      <c r="D2910" s="119"/>
      <c r="E2910" s="32"/>
      <c r="G2910" s="31">
        <v>2868</v>
      </c>
      <c r="H2910" s="30" t="str">
        <f t="shared" si="102"/>
        <v/>
      </c>
      <c r="I2910" s="74" t="str">
        <f t="shared" si="103"/>
        <v/>
      </c>
      <c r="J2910" s="32"/>
    </row>
    <row r="2911" spans="2:10" ht="15">
      <c r="B2911" s="31"/>
      <c r="C2911" s="30"/>
      <c r="D2911" s="119"/>
      <c r="E2911" s="32"/>
      <c r="G2911" s="31">
        <v>2869</v>
      </c>
      <c r="H2911" s="30" t="str">
        <f t="shared" si="102"/>
        <v/>
      </c>
      <c r="I2911" s="74" t="str">
        <f t="shared" si="103"/>
        <v/>
      </c>
      <c r="J2911" s="32"/>
    </row>
    <row r="2912" spans="2:10" ht="15">
      <c r="B2912" s="31"/>
      <c r="C2912" s="30"/>
      <c r="D2912" s="119"/>
      <c r="E2912" s="32"/>
      <c r="G2912" s="31">
        <v>2870</v>
      </c>
      <c r="H2912" s="30" t="str">
        <f t="shared" si="102"/>
        <v/>
      </c>
      <c r="I2912" s="74" t="str">
        <f t="shared" si="103"/>
        <v/>
      </c>
      <c r="J2912" s="32"/>
    </row>
    <row r="2913" spans="2:10" ht="15">
      <c r="B2913" s="31"/>
      <c r="C2913" s="30"/>
      <c r="D2913" s="119"/>
      <c r="E2913" s="32"/>
      <c r="G2913" s="31">
        <v>2871</v>
      </c>
      <c r="H2913" s="30" t="str">
        <f t="shared" si="102"/>
        <v/>
      </c>
      <c r="I2913" s="74" t="str">
        <f t="shared" si="103"/>
        <v/>
      </c>
      <c r="J2913" s="32"/>
    </row>
    <row r="2914" spans="2:10" ht="15">
      <c r="B2914" s="31"/>
      <c r="C2914" s="30"/>
      <c r="D2914" s="119"/>
      <c r="E2914" s="32"/>
      <c r="G2914" s="31">
        <v>2872</v>
      </c>
      <c r="H2914" s="30" t="str">
        <f t="shared" si="102"/>
        <v/>
      </c>
      <c r="I2914" s="74" t="str">
        <f t="shared" si="103"/>
        <v/>
      </c>
      <c r="J2914" s="32"/>
    </row>
    <row r="2915" spans="2:10" ht="15">
      <c r="B2915" s="31"/>
      <c r="C2915" s="30"/>
      <c r="D2915" s="119"/>
      <c r="E2915" s="32"/>
      <c r="G2915" s="31">
        <v>2873</v>
      </c>
      <c r="H2915" s="30" t="str">
        <f t="shared" si="102"/>
        <v/>
      </c>
      <c r="I2915" s="74" t="str">
        <f t="shared" si="103"/>
        <v/>
      </c>
      <c r="J2915" s="32"/>
    </row>
    <row r="2916" spans="2:10" ht="15">
      <c r="B2916" s="31"/>
      <c r="C2916" s="30"/>
      <c r="D2916" s="119"/>
      <c r="E2916" s="32"/>
      <c r="G2916" s="31">
        <v>2874</v>
      </c>
      <c r="H2916" s="30" t="str">
        <f t="shared" si="102"/>
        <v/>
      </c>
      <c r="I2916" s="74" t="str">
        <f t="shared" si="103"/>
        <v/>
      </c>
      <c r="J2916" s="32"/>
    </row>
    <row r="2917" spans="2:10" ht="15">
      <c r="B2917" s="31"/>
      <c r="C2917" s="30"/>
      <c r="D2917" s="119"/>
      <c r="E2917" s="32"/>
      <c r="G2917" s="31">
        <v>2875</v>
      </c>
      <c r="H2917" s="30" t="str">
        <f t="shared" si="102"/>
        <v/>
      </c>
      <c r="I2917" s="74" t="str">
        <f t="shared" si="103"/>
        <v/>
      </c>
      <c r="J2917" s="32"/>
    </row>
    <row r="2918" spans="2:10" ht="15">
      <c r="B2918" s="31"/>
      <c r="C2918" s="30"/>
      <c r="D2918" s="119"/>
      <c r="E2918" s="32"/>
      <c r="G2918" s="31">
        <v>2876</v>
      </c>
      <c r="H2918" s="30" t="str">
        <f t="shared" si="102"/>
        <v/>
      </c>
      <c r="I2918" s="74" t="str">
        <f t="shared" si="103"/>
        <v/>
      </c>
      <c r="J2918" s="32"/>
    </row>
    <row r="2919" spans="2:10" ht="15">
      <c r="B2919" s="31"/>
      <c r="C2919" s="30"/>
      <c r="D2919" s="119"/>
      <c r="E2919" s="32"/>
      <c r="G2919" s="31">
        <v>2877</v>
      </c>
      <c r="H2919" s="30" t="str">
        <f t="shared" si="102"/>
        <v/>
      </c>
      <c r="I2919" s="74" t="str">
        <f t="shared" si="103"/>
        <v/>
      </c>
      <c r="J2919" s="32"/>
    </row>
    <row r="2920" spans="2:10" ht="15">
      <c r="B2920" s="31"/>
      <c r="C2920" s="30"/>
      <c r="D2920" s="119"/>
      <c r="E2920" s="32"/>
      <c r="G2920" s="31">
        <v>2878</v>
      </c>
      <c r="H2920" s="30" t="str">
        <f t="shared" si="102"/>
        <v/>
      </c>
      <c r="I2920" s="74" t="str">
        <f t="shared" si="103"/>
        <v/>
      </c>
      <c r="J2920" s="32"/>
    </row>
    <row r="2921" spans="2:10" ht="15">
      <c r="B2921" s="31"/>
      <c r="C2921" s="30"/>
      <c r="D2921" s="119"/>
      <c r="E2921" s="32"/>
      <c r="G2921" s="31">
        <v>2879</v>
      </c>
      <c r="H2921" s="30" t="str">
        <f t="shared" si="102"/>
        <v/>
      </c>
      <c r="I2921" s="74" t="str">
        <f t="shared" si="103"/>
        <v/>
      </c>
      <c r="J2921" s="32"/>
    </row>
    <row r="2922" spans="2:10" ht="15">
      <c r="B2922" s="31"/>
      <c r="C2922" s="30"/>
      <c r="D2922" s="119"/>
      <c r="E2922" s="32"/>
      <c r="G2922" s="31">
        <v>2880</v>
      </c>
      <c r="H2922" s="30" t="str">
        <f t="shared" si="102"/>
        <v/>
      </c>
      <c r="I2922" s="74" t="str">
        <f t="shared" si="103"/>
        <v/>
      </c>
      <c r="J2922" s="32"/>
    </row>
    <row r="2923" spans="2:10" ht="15">
      <c r="B2923" s="31"/>
      <c r="C2923" s="30"/>
      <c r="D2923" s="119"/>
      <c r="E2923" s="32"/>
      <c r="G2923" s="31">
        <v>2881</v>
      </c>
      <c r="H2923" s="30" t="str">
        <f t="shared" si="102"/>
        <v/>
      </c>
      <c r="I2923" s="74" t="str">
        <f t="shared" si="103"/>
        <v/>
      </c>
      <c r="J2923" s="32"/>
    </row>
    <row r="2924" spans="2:10" ht="15">
      <c r="B2924" s="31"/>
      <c r="C2924" s="30"/>
      <c r="D2924" s="119"/>
      <c r="E2924" s="32"/>
      <c r="G2924" s="31">
        <v>2882</v>
      </c>
      <c r="H2924" s="30" t="str">
        <f t="shared" ref="H2924:H2987" si="104">MID($I$41,G2924*8-7,8)</f>
        <v/>
      </c>
      <c r="I2924" s="74" t="str">
        <f t="shared" ref="I2924:I2987" si="105">IFERROR(BIN2DEC(VALUE(H2924)),"")</f>
        <v/>
      </c>
      <c r="J2924" s="32"/>
    </row>
    <row r="2925" spans="2:10" ht="15">
      <c r="B2925" s="31"/>
      <c r="C2925" s="30"/>
      <c r="D2925" s="119"/>
      <c r="E2925" s="32"/>
      <c r="G2925" s="31">
        <v>2883</v>
      </c>
      <c r="H2925" s="30" t="str">
        <f t="shared" si="104"/>
        <v/>
      </c>
      <c r="I2925" s="74" t="str">
        <f t="shared" si="105"/>
        <v/>
      </c>
      <c r="J2925" s="32"/>
    </row>
    <row r="2926" spans="2:10" ht="15">
      <c r="B2926" s="31"/>
      <c r="C2926" s="30"/>
      <c r="D2926" s="119"/>
      <c r="E2926" s="32"/>
      <c r="G2926" s="31">
        <v>2884</v>
      </c>
      <c r="H2926" s="30" t="str">
        <f t="shared" si="104"/>
        <v/>
      </c>
      <c r="I2926" s="74" t="str">
        <f t="shared" si="105"/>
        <v/>
      </c>
      <c r="J2926" s="32"/>
    </row>
    <row r="2927" spans="2:10" ht="15">
      <c r="B2927" s="31"/>
      <c r="C2927" s="30"/>
      <c r="D2927" s="119"/>
      <c r="E2927" s="32"/>
      <c r="G2927" s="31">
        <v>2885</v>
      </c>
      <c r="H2927" s="30" t="str">
        <f t="shared" si="104"/>
        <v/>
      </c>
      <c r="I2927" s="74" t="str">
        <f t="shared" si="105"/>
        <v/>
      </c>
      <c r="J2927" s="32"/>
    </row>
    <row r="2928" spans="2:10" ht="15">
      <c r="B2928" s="31"/>
      <c r="C2928" s="30"/>
      <c r="D2928" s="119"/>
      <c r="E2928" s="32"/>
      <c r="G2928" s="31">
        <v>2886</v>
      </c>
      <c r="H2928" s="30" t="str">
        <f t="shared" si="104"/>
        <v/>
      </c>
      <c r="I2928" s="74" t="str">
        <f t="shared" si="105"/>
        <v/>
      </c>
      <c r="J2928" s="32"/>
    </row>
    <row r="2929" spans="2:10" ht="15">
      <c r="B2929" s="31"/>
      <c r="C2929" s="30"/>
      <c r="D2929" s="119"/>
      <c r="E2929" s="32"/>
      <c r="G2929" s="31">
        <v>2887</v>
      </c>
      <c r="H2929" s="30" t="str">
        <f t="shared" si="104"/>
        <v/>
      </c>
      <c r="I2929" s="74" t="str">
        <f t="shared" si="105"/>
        <v/>
      </c>
      <c r="J2929" s="32"/>
    </row>
    <row r="2930" spans="2:10" ht="15">
      <c r="B2930" s="31"/>
      <c r="C2930" s="30"/>
      <c r="D2930" s="119"/>
      <c r="E2930" s="32"/>
      <c r="G2930" s="31">
        <v>2888</v>
      </c>
      <c r="H2930" s="30" t="str">
        <f t="shared" si="104"/>
        <v/>
      </c>
      <c r="I2930" s="74" t="str">
        <f t="shared" si="105"/>
        <v/>
      </c>
      <c r="J2930" s="32"/>
    </row>
    <row r="2931" spans="2:10" ht="15">
      <c r="B2931" s="31"/>
      <c r="C2931" s="30"/>
      <c r="D2931" s="119"/>
      <c r="E2931" s="32"/>
      <c r="G2931" s="31">
        <v>2889</v>
      </c>
      <c r="H2931" s="30" t="str">
        <f t="shared" si="104"/>
        <v/>
      </c>
      <c r="I2931" s="74" t="str">
        <f t="shared" si="105"/>
        <v/>
      </c>
      <c r="J2931" s="32"/>
    </row>
    <row r="2932" spans="2:10" ht="15">
      <c r="B2932" s="31"/>
      <c r="C2932" s="30"/>
      <c r="D2932" s="119"/>
      <c r="E2932" s="32"/>
      <c r="G2932" s="31">
        <v>2890</v>
      </c>
      <c r="H2932" s="30" t="str">
        <f t="shared" si="104"/>
        <v/>
      </c>
      <c r="I2932" s="74" t="str">
        <f t="shared" si="105"/>
        <v/>
      </c>
      <c r="J2932" s="32"/>
    </row>
    <row r="2933" spans="2:10" ht="15">
      <c r="B2933" s="31"/>
      <c r="C2933" s="30"/>
      <c r="D2933" s="119"/>
      <c r="E2933" s="32"/>
      <c r="G2933" s="31">
        <v>2891</v>
      </c>
      <c r="H2933" s="30" t="str">
        <f t="shared" si="104"/>
        <v/>
      </c>
      <c r="I2933" s="74" t="str">
        <f t="shared" si="105"/>
        <v/>
      </c>
      <c r="J2933" s="32"/>
    </row>
    <row r="2934" spans="2:10" ht="15">
      <c r="B2934" s="31"/>
      <c r="C2934" s="30"/>
      <c r="D2934" s="119"/>
      <c r="E2934" s="32"/>
      <c r="G2934" s="31">
        <v>2892</v>
      </c>
      <c r="H2934" s="30" t="str">
        <f t="shared" si="104"/>
        <v/>
      </c>
      <c r="I2934" s="74" t="str">
        <f t="shared" si="105"/>
        <v/>
      </c>
      <c r="J2934" s="32"/>
    </row>
    <row r="2935" spans="2:10" ht="15">
      <c r="B2935" s="31"/>
      <c r="C2935" s="30"/>
      <c r="D2935" s="119"/>
      <c r="E2935" s="32"/>
      <c r="G2935" s="31">
        <v>2893</v>
      </c>
      <c r="H2935" s="30" t="str">
        <f t="shared" si="104"/>
        <v/>
      </c>
      <c r="I2935" s="74" t="str">
        <f t="shared" si="105"/>
        <v/>
      </c>
      <c r="J2935" s="32"/>
    </row>
    <row r="2936" spans="2:10" ht="15">
      <c r="B2936" s="31"/>
      <c r="C2936" s="30"/>
      <c r="D2936" s="119"/>
      <c r="E2936" s="32"/>
      <c r="G2936" s="31">
        <v>2894</v>
      </c>
      <c r="H2936" s="30" t="str">
        <f t="shared" si="104"/>
        <v/>
      </c>
      <c r="I2936" s="74" t="str">
        <f t="shared" si="105"/>
        <v/>
      </c>
      <c r="J2936" s="32"/>
    </row>
    <row r="2937" spans="2:10" ht="15">
      <c r="B2937" s="31"/>
      <c r="C2937" s="30"/>
      <c r="D2937" s="119"/>
      <c r="E2937" s="32"/>
      <c r="G2937" s="31">
        <v>2895</v>
      </c>
      <c r="H2937" s="30" t="str">
        <f t="shared" si="104"/>
        <v/>
      </c>
      <c r="I2937" s="74" t="str">
        <f t="shared" si="105"/>
        <v/>
      </c>
      <c r="J2937" s="32"/>
    </row>
    <row r="2938" spans="2:10" ht="15">
      <c r="B2938" s="31"/>
      <c r="C2938" s="30"/>
      <c r="D2938" s="119"/>
      <c r="E2938" s="32"/>
      <c r="G2938" s="31">
        <v>2896</v>
      </c>
      <c r="H2938" s="30" t="str">
        <f t="shared" si="104"/>
        <v/>
      </c>
      <c r="I2938" s="74" t="str">
        <f t="shared" si="105"/>
        <v/>
      </c>
      <c r="J2938" s="32"/>
    </row>
    <row r="2939" spans="2:10" ht="15">
      <c r="B2939" s="31"/>
      <c r="C2939" s="30"/>
      <c r="D2939" s="119"/>
      <c r="E2939" s="32"/>
      <c r="G2939" s="31">
        <v>2897</v>
      </c>
      <c r="H2939" s="30" t="str">
        <f t="shared" si="104"/>
        <v/>
      </c>
      <c r="I2939" s="74" t="str">
        <f t="shared" si="105"/>
        <v/>
      </c>
      <c r="J2939" s="32"/>
    </row>
    <row r="2940" spans="2:10" ht="15">
      <c r="B2940" s="31"/>
      <c r="C2940" s="30"/>
      <c r="D2940" s="119"/>
      <c r="E2940" s="32"/>
      <c r="G2940" s="31">
        <v>2898</v>
      </c>
      <c r="H2940" s="30" t="str">
        <f t="shared" si="104"/>
        <v/>
      </c>
      <c r="I2940" s="74" t="str">
        <f t="shared" si="105"/>
        <v/>
      </c>
      <c r="J2940" s="32"/>
    </row>
    <row r="2941" spans="2:10" ht="15">
      <c r="B2941" s="31"/>
      <c r="C2941" s="30"/>
      <c r="D2941" s="119"/>
      <c r="E2941" s="32"/>
      <c r="G2941" s="31">
        <v>2899</v>
      </c>
      <c r="H2941" s="30" t="str">
        <f t="shared" si="104"/>
        <v/>
      </c>
      <c r="I2941" s="74" t="str">
        <f t="shared" si="105"/>
        <v/>
      </c>
      <c r="J2941" s="32"/>
    </row>
    <row r="2942" spans="2:10" ht="15">
      <c r="B2942" s="31"/>
      <c r="C2942" s="30"/>
      <c r="D2942" s="119"/>
      <c r="E2942" s="32"/>
      <c r="G2942" s="31">
        <v>2900</v>
      </c>
      <c r="H2942" s="30" t="str">
        <f t="shared" si="104"/>
        <v/>
      </c>
      <c r="I2942" s="74" t="str">
        <f t="shared" si="105"/>
        <v/>
      </c>
      <c r="J2942" s="32"/>
    </row>
    <row r="2943" spans="2:10" ht="15">
      <c r="B2943" s="31"/>
      <c r="C2943" s="30"/>
      <c r="D2943" s="119"/>
      <c r="E2943" s="32"/>
      <c r="G2943" s="31">
        <v>2901</v>
      </c>
      <c r="H2943" s="30" t="str">
        <f t="shared" si="104"/>
        <v/>
      </c>
      <c r="I2943" s="74" t="str">
        <f t="shared" si="105"/>
        <v/>
      </c>
      <c r="J2943" s="32"/>
    </row>
    <row r="2944" spans="2:10" ht="15">
      <c r="B2944" s="31"/>
      <c r="C2944" s="30"/>
      <c r="D2944" s="119"/>
      <c r="E2944" s="32"/>
      <c r="G2944" s="31">
        <v>2902</v>
      </c>
      <c r="H2944" s="30" t="str">
        <f t="shared" si="104"/>
        <v/>
      </c>
      <c r="I2944" s="74" t="str">
        <f t="shared" si="105"/>
        <v/>
      </c>
      <c r="J2944" s="32"/>
    </row>
    <row r="2945" spans="2:10" ht="15">
      <c r="B2945" s="31"/>
      <c r="C2945" s="30"/>
      <c r="D2945" s="119"/>
      <c r="E2945" s="32"/>
      <c r="G2945" s="31">
        <v>2903</v>
      </c>
      <c r="H2945" s="30" t="str">
        <f t="shared" si="104"/>
        <v/>
      </c>
      <c r="I2945" s="74" t="str">
        <f t="shared" si="105"/>
        <v/>
      </c>
      <c r="J2945" s="32"/>
    </row>
    <row r="2946" spans="2:10" ht="15">
      <c r="B2946" s="31"/>
      <c r="C2946" s="30"/>
      <c r="D2946" s="119"/>
      <c r="E2946" s="32"/>
      <c r="G2946" s="31">
        <v>2904</v>
      </c>
      <c r="H2946" s="30" t="str">
        <f t="shared" si="104"/>
        <v/>
      </c>
      <c r="I2946" s="74" t="str">
        <f t="shared" si="105"/>
        <v/>
      </c>
      <c r="J2946" s="32"/>
    </row>
    <row r="2947" spans="2:10" ht="15">
      <c r="B2947" s="31"/>
      <c r="C2947" s="30"/>
      <c r="D2947" s="119"/>
      <c r="E2947" s="32"/>
      <c r="G2947" s="31">
        <v>2905</v>
      </c>
      <c r="H2947" s="30" t="str">
        <f t="shared" si="104"/>
        <v/>
      </c>
      <c r="I2947" s="74" t="str">
        <f t="shared" si="105"/>
        <v/>
      </c>
      <c r="J2947" s="32"/>
    </row>
    <row r="2948" spans="2:10" ht="15">
      <c r="B2948" s="31"/>
      <c r="C2948" s="30"/>
      <c r="D2948" s="119"/>
      <c r="E2948" s="32"/>
      <c r="G2948" s="31">
        <v>2906</v>
      </c>
      <c r="H2948" s="30" t="str">
        <f t="shared" si="104"/>
        <v/>
      </c>
      <c r="I2948" s="74" t="str">
        <f t="shared" si="105"/>
        <v/>
      </c>
      <c r="J2948" s="32"/>
    </row>
    <row r="2949" spans="2:10" ht="15">
      <c r="B2949" s="31"/>
      <c r="C2949" s="30"/>
      <c r="D2949" s="119"/>
      <c r="E2949" s="32"/>
      <c r="G2949" s="31">
        <v>2907</v>
      </c>
      <c r="H2949" s="30" t="str">
        <f t="shared" si="104"/>
        <v/>
      </c>
      <c r="I2949" s="74" t="str">
        <f t="shared" si="105"/>
        <v/>
      </c>
      <c r="J2949" s="32"/>
    </row>
    <row r="2950" spans="2:10" ht="15">
      <c r="B2950" s="31"/>
      <c r="C2950" s="30"/>
      <c r="D2950" s="119"/>
      <c r="E2950" s="32"/>
      <c r="G2950" s="31">
        <v>2908</v>
      </c>
      <c r="H2950" s="30" t="str">
        <f t="shared" si="104"/>
        <v/>
      </c>
      <c r="I2950" s="74" t="str">
        <f t="shared" si="105"/>
        <v/>
      </c>
      <c r="J2950" s="32"/>
    </row>
    <row r="2951" spans="2:10" ht="15">
      <c r="B2951" s="31"/>
      <c r="C2951" s="30"/>
      <c r="D2951" s="119"/>
      <c r="E2951" s="32"/>
      <c r="G2951" s="31">
        <v>2909</v>
      </c>
      <c r="H2951" s="30" t="str">
        <f t="shared" si="104"/>
        <v/>
      </c>
      <c r="I2951" s="74" t="str">
        <f t="shared" si="105"/>
        <v/>
      </c>
      <c r="J2951" s="32"/>
    </row>
    <row r="2952" spans="2:10" ht="15">
      <c r="B2952" s="31"/>
      <c r="C2952" s="30"/>
      <c r="D2952" s="119"/>
      <c r="E2952" s="32"/>
      <c r="G2952" s="31">
        <v>2910</v>
      </c>
      <c r="H2952" s="30" t="str">
        <f t="shared" si="104"/>
        <v/>
      </c>
      <c r="I2952" s="74" t="str">
        <f t="shared" si="105"/>
        <v/>
      </c>
      <c r="J2952" s="32"/>
    </row>
    <row r="2953" spans="2:10" ht="15">
      <c r="B2953" s="31"/>
      <c r="C2953" s="30"/>
      <c r="D2953" s="119"/>
      <c r="E2953" s="32"/>
      <c r="G2953" s="31">
        <v>2911</v>
      </c>
      <c r="H2953" s="30" t="str">
        <f t="shared" si="104"/>
        <v/>
      </c>
      <c r="I2953" s="74" t="str">
        <f t="shared" si="105"/>
        <v/>
      </c>
      <c r="J2953" s="32"/>
    </row>
    <row r="2954" spans="2:10" ht="15">
      <c r="B2954" s="31"/>
      <c r="C2954" s="30"/>
      <c r="D2954" s="119"/>
      <c r="E2954" s="32"/>
      <c r="G2954" s="31">
        <v>2912</v>
      </c>
      <c r="H2954" s="30" t="str">
        <f t="shared" si="104"/>
        <v/>
      </c>
      <c r="I2954" s="74" t="str">
        <f t="shared" si="105"/>
        <v/>
      </c>
      <c r="J2954" s="32"/>
    </row>
    <row r="2955" spans="2:10" ht="15">
      <c r="B2955" s="31"/>
      <c r="C2955" s="30"/>
      <c r="D2955" s="119"/>
      <c r="E2955" s="32"/>
      <c r="G2955" s="31">
        <v>2913</v>
      </c>
      <c r="H2955" s="30" t="str">
        <f t="shared" si="104"/>
        <v/>
      </c>
      <c r="I2955" s="74" t="str">
        <f t="shared" si="105"/>
        <v/>
      </c>
      <c r="J2955" s="32"/>
    </row>
    <row r="2956" spans="2:10" ht="15">
      <c r="B2956" s="31"/>
      <c r="C2956" s="30"/>
      <c r="D2956" s="119"/>
      <c r="E2956" s="32"/>
      <c r="G2956" s="31">
        <v>2914</v>
      </c>
      <c r="H2956" s="30" t="str">
        <f t="shared" si="104"/>
        <v/>
      </c>
      <c r="I2956" s="74" t="str">
        <f t="shared" si="105"/>
        <v/>
      </c>
      <c r="J2956" s="32"/>
    </row>
    <row r="2957" spans="2:10" ht="15">
      <c r="B2957" s="31"/>
      <c r="C2957" s="30"/>
      <c r="D2957" s="119"/>
      <c r="E2957" s="32"/>
      <c r="G2957" s="31">
        <v>2915</v>
      </c>
      <c r="H2957" s="30" t="str">
        <f t="shared" si="104"/>
        <v/>
      </c>
      <c r="I2957" s="74" t="str">
        <f t="shared" si="105"/>
        <v/>
      </c>
      <c r="J2957" s="32"/>
    </row>
    <row r="2958" spans="2:10" ht="15">
      <c r="B2958" s="31"/>
      <c r="C2958" s="30"/>
      <c r="D2958" s="119"/>
      <c r="E2958" s="32"/>
      <c r="G2958" s="31">
        <v>2916</v>
      </c>
      <c r="H2958" s="30" t="str">
        <f t="shared" si="104"/>
        <v/>
      </c>
      <c r="I2958" s="74" t="str">
        <f t="shared" si="105"/>
        <v/>
      </c>
      <c r="J2958" s="32"/>
    </row>
    <row r="2959" spans="2:10" ht="15">
      <c r="B2959" s="31"/>
      <c r="C2959" s="30"/>
      <c r="D2959" s="119"/>
      <c r="E2959" s="32"/>
      <c r="G2959" s="31">
        <v>2917</v>
      </c>
      <c r="H2959" s="30" t="str">
        <f t="shared" si="104"/>
        <v/>
      </c>
      <c r="I2959" s="74" t="str">
        <f t="shared" si="105"/>
        <v/>
      </c>
      <c r="J2959" s="32"/>
    </row>
    <row r="2960" spans="2:10" ht="15">
      <c r="B2960" s="31"/>
      <c r="C2960" s="30"/>
      <c r="D2960" s="119"/>
      <c r="E2960" s="32"/>
      <c r="G2960" s="31">
        <v>2918</v>
      </c>
      <c r="H2960" s="30" t="str">
        <f t="shared" si="104"/>
        <v/>
      </c>
      <c r="I2960" s="74" t="str">
        <f t="shared" si="105"/>
        <v/>
      </c>
      <c r="J2960" s="32"/>
    </row>
    <row r="2961" spans="2:10" ht="15">
      <c r="B2961" s="31"/>
      <c r="C2961" s="30"/>
      <c r="D2961" s="119"/>
      <c r="E2961" s="32"/>
      <c r="G2961" s="31">
        <v>2919</v>
      </c>
      <c r="H2961" s="30" t="str">
        <f t="shared" si="104"/>
        <v/>
      </c>
      <c r="I2961" s="74" t="str">
        <f t="shared" si="105"/>
        <v/>
      </c>
      <c r="J2961" s="32"/>
    </row>
    <row r="2962" spans="2:10" ht="15">
      <c r="B2962" s="31"/>
      <c r="C2962" s="30"/>
      <c r="D2962" s="119"/>
      <c r="E2962" s="32"/>
      <c r="G2962" s="31">
        <v>2920</v>
      </c>
      <c r="H2962" s="30" t="str">
        <f t="shared" si="104"/>
        <v/>
      </c>
      <c r="I2962" s="74" t="str">
        <f t="shared" si="105"/>
        <v/>
      </c>
      <c r="J2962" s="32"/>
    </row>
    <row r="2963" spans="2:10" ht="15">
      <c r="B2963" s="31"/>
      <c r="C2963" s="30"/>
      <c r="D2963" s="119"/>
      <c r="E2963" s="32"/>
      <c r="G2963" s="31">
        <v>2921</v>
      </c>
      <c r="H2963" s="30" t="str">
        <f t="shared" si="104"/>
        <v/>
      </c>
      <c r="I2963" s="74" t="str">
        <f t="shared" si="105"/>
        <v/>
      </c>
      <c r="J2963" s="32"/>
    </row>
    <row r="2964" spans="2:10" ht="15">
      <c r="B2964" s="31"/>
      <c r="C2964" s="30"/>
      <c r="D2964" s="119"/>
      <c r="E2964" s="32"/>
      <c r="G2964" s="31">
        <v>2922</v>
      </c>
      <c r="H2964" s="30" t="str">
        <f t="shared" si="104"/>
        <v/>
      </c>
      <c r="I2964" s="74" t="str">
        <f t="shared" si="105"/>
        <v/>
      </c>
      <c r="J2964" s="32"/>
    </row>
    <row r="2965" spans="2:10" ht="15">
      <c r="B2965" s="31"/>
      <c r="C2965" s="30"/>
      <c r="D2965" s="119"/>
      <c r="E2965" s="32"/>
      <c r="G2965" s="31">
        <v>2923</v>
      </c>
      <c r="H2965" s="30" t="str">
        <f t="shared" si="104"/>
        <v/>
      </c>
      <c r="I2965" s="74" t="str">
        <f t="shared" si="105"/>
        <v/>
      </c>
      <c r="J2965" s="32"/>
    </row>
    <row r="2966" spans="2:10" ht="15">
      <c r="B2966" s="31"/>
      <c r="C2966" s="30"/>
      <c r="D2966" s="119"/>
      <c r="E2966" s="32"/>
      <c r="G2966" s="31">
        <v>2924</v>
      </c>
      <c r="H2966" s="30" t="str">
        <f t="shared" si="104"/>
        <v/>
      </c>
      <c r="I2966" s="74" t="str">
        <f t="shared" si="105"/>
        <v/>
      </c>
      <c r="J2966" s="32"/>
    </row>
    <row r="2967" spans="2:10" ht="15">
      <c r="B2967" s="31"/>
      <c r="C2967" s="30"/>
      <c r="D2967" s="119"/>
      <c r="E2967" s="32"/>
      <c r="G2967" s="31">
        <v>2925</v>
      </c>
      <c r="H2967" s="30" t="str">
        <f t="shared" si="104"/>
        <v/>
      </c>
      <c r="I2967" s="74" t="str">
        <f t="shared" si="105"/>
        <v/>
      </c>
      <c r="J2967" s="32"/>
    </row>
    <row r="2968" spans="2:10" ht="15">
      <c r="B2968" s="31"/>
      <c r="C2968" s="30"/>
      <c r="D2968" s="119"/>
      <c r="E2968" s="32"/>
      <c r="G2968" s="31">
        <v>2926</v>
      </c>
      <c r="H2968" s="30" t="str">
        <f t="shared" si="104"/>
        <v/>
      </c>
      <c r="I2968" s="74" t="str">
        <f t="shared" si="105"/>
        <v/>
      </c>
      <c r="J2968" s="32"/>
    </row>
    <row r="2969" spans="2:10" ht="15">
      <c r="B2969" s="31"/>
      <c r="C2969" s="30"/>
      <c r="D2969" s="119"/>
      <c r="E2969" s="32"/>
      <c r="G2969" s="31">
        <v>2927</v>
      </c>
      <c r="H2969" s="30" t="str">
        <f t="shared" si="104"/>
        <v/>
      </c>
      <c r="I2969" s="74" t="str">
        <f t="shared" si="105"/>
        <v/>
      </c>
      <c r="J2969" s="32"/>
    </row>
    <row r="2970" spans="2:10" ht="15">
      <c r="B2970" s="31"/>
      <c r="C2970" s="30"/>
      <c r="D2970" s="119"/>
      <c r="E2970" s="32"/>
      <c r="G2970" s="31">
        <v>2928</v>
      </c>
      <c r="H2970" s="30" t="str">
        <f t="shared" si="104"/>
        <v/>
      </c>
      <c r="I2970" s="74" t="str">
        <f t="shared" si="105"/>
        <v/>
      </c>
      <c r="J2970" s="32"/>
    </row>
    <row r="2971" spans="2:10" ht="15">
      <c r="B2971" s="31"/>
      <c r="C2971" s="30"/>
      <c r="D2971" s="119"/>
      <c r="E2971" s="32"/>
      <c r="G2971" s="31">
        <v>2929</v>
      </c>
      <c r="H2971" s="30" t="str">
        <f t="shared" si="104"/>
        <v/>
      </c>
      <c r="I2971" s="74" t="str">
        <f t="shared" si="105"/>
        <v/>
      </c>
      <c r="J2971" s="32"/>
    </row>
    <row r="2972" spans="2:10" ht="15">
      <c r="B2972" s="31"/>
      <c r="C2972" s="30"/>
      <c r="D2972" s="119"/>
      <c r="E2972" s="32"/>
      <c r="G2972" s="31">
        <v>2930</v>
      </c>
      <c r="H2972" s="30" t="str">
        <f t="shared" si="104"/>
        <v/>
      </c>
      <c r="I2972" s="74" t="str">
        <f t="shared" si="105"/>
        <v/>
      </c>
      <c r="J2972" s="32"/>
    </row>
    <row r="2973" spans="2:10" ht="15">
      <c r="B2973" s="31"/>
      <c r="C2973" s="30"/>
      <c r="D2973" s="119"/>
      <c r="E2973" s="32"/>
      <c r="G2973" s="31">
        <v>2931</v>
      </c>
      <c r="H2973" s="30" t="str">
        <f t="shared" si="104"/>
        <v/>
      </c>
      <c r="I2973" s="74" t="str">
        <f t="shared" si="105"/>
        <v/>
      </c>
      <c r="J2973" s="32"/>
    </row>
    <row r="2974" spans="2:10" ht="15">
      <c r="B2974" s="31"/>
      <c r="C2974" s="30"/>
      <c r="D2974" s="119"/>
      <c r="E2974" s="32"/>
      <c r="G2974" s="31">
        <v>2932</v>
      </c>
      <c r="H2974" s="30" t="str">
        <f t="shared" si="104"/>
        <v/>
      </c>
      <c r="I2974" s="74" t="str">
        <f t="shared" si="105"/>
        <v/>
      </c>
      <c r="J2974" s="32"/>
    </row>
    <row r="2975" spans="2:10" ht="15">
      <c r="B2975" s="31"/>
      <c r="C2975" s="30"/>
      <c r="D2975" s="119"/>
      <c r="E2975" s="32"/>
      <c r="G2975" s="31">
        <v>2933</v>
      </c>
      <c r="H2975" s="30" t="str">
        <f t="shared" si="104"/>
        <v/>
      </c>
      <c r="I2975" s="74" t="str">
        <f t="shared" si="105"/>
        <v/>
      </c>
      <c r="J2975" s="32"/>
    </row>
    <row r="2976" spans="2:10" ht="15">
      <c r="B2976" s="31"/>
      <c r="C2976" s="30"/>
      <c r="D2976" s="119"/>
      <c r="E2976" s="32"/>
      <c r="G2976" s="31">
        <v>2934</v>
      </c>
      <c r="H2976" s="30" t="str">
        <f t="shared" si="104"/>
        <v/>
      </c>
      <c r="I2976" s="74" t="str">
        <f t="shared" si="105"/>
        <v/>
      </c>
      <c r="J2976" s="32"/>
    </row>
    <row r="2977" spans="2:10" ht="15">
      <c r="B2977" s="31"/>
      <c r="C2977" s="30"/>
      <c r="D2977" s="119"/>
      <c r="E2977" s="32"/>
      <c r="G2977" s="31">
        <v>2935</v>
      </c>
      <c r="H2977" s="30" t="str">
        <f t="shared" si="104"/>
        <v/>
      </c>
      <c r="I2977" s="74" t="str">
        <f t="shared" si="105"/>
        <v/>
      </c>
      <c r="J2977" s="32"/>
    </row>
    <row r="2978" spans="2:10" ht="15">
      <c r="B2978" s="31"/>
      <c r="C2978" s="30"/>
      <c r="D2978" s="119"/>
      <c r="E2978" s="32"/>
      <c r="G2978" s="31">
        <v>2936</v>
      </c>
      <c r="H2978" s="30" t="str">
        <f t="shared" si="104"/>
        <v/>
      </c>
      <c r="I2978" s="74" t="str">
        <f t="shared" si="105"/>
        <v/>
      </c>
      <c r="J2978" s="32"/>
    </row>
    <row r="2979" spans="2:10" ht="15">
      <c r="B2979" s="31"/>
      <c r="C2979" s="30"/>
      <c r="D2979" s="119"/>
      <c r="E2979" s="32"/>
      <c r="G2979" s="31">
        <v>2937</v>
      </c>
      <c r="H2979" s="30" t="str">
        <f t="shared" si="104"/>
        <v/>
      </c>
      <c r="I2979" s="74" t="str">
        <f t="shared" si="105"/>
        <v/>
      </c>
      <c r="J2979" s="32"/>
    </row>
    <row r="2980" spans="2:10" ht="15">
      <c r="B2980" s="31"/>
      <c r="C2980" s="30"/>
      <c r="D2980" s="119"/>
      <c r="E2980" s="32"/>
      <c r="G2980" s="31">
        <v>2938</v>
      </c>
      <c r="H2980" s="30" t="str">
        <f t="shared" si="104"/>
        <v/>
      </c>
      <c r="I2980" s="74" t="str">
        <f t="shared" si="105"/>
        <v/>
      </c>
      <c r="J2980" s="32"/>
    </row>
    <row r="2981" spans="2:10" ht="15">
      <c r="B2981" s="31"/>
      <c r="C2981" s="30"/>
      <c r="D2981" s="119"/>
      <c r="E2981" s="32"/>
      <c r="G2981" s="31">
        <v>2939</v>
      </c>
      <c r="H2981" s="30" t="str">
        <f t="shared" si="104"/>
        <v/>
      </c>
      <c r="I2981" s="74" t="str">
        <f t="shared" si="105"/>
        <v/>
      </c>
      <c r="J2981" s="32"/>
    </row>
    <row r="2982" spans="2:10" ht="15">
      <c r="B2982" s="31"/>
      <c r="C2982" s="30"/>
      <c r="D2982" s="119"/>
      <c r="E2982" s="32"/>
      <c r="G2982" s="31">
        <v>2940</v>
      </c>
      <c r="H2982" s="30" t="str">
        <f t="shared" si="104"/>
        <v/>
      </c>
      <c r="I2982" s="74" t="str">
        <f t="shared" si="105"/>
        <v/>
      </c>
      <c r="J2982" s="32"/>
    </row>
    <row r="2983" spans="2:10" ht="15">
      <c r="B2983" s="31"/>
      <c r="C2983" s="30"/>
      <c r="D2983" s="119"/>
      <c r="E2983" s="32"/>
      <c r="G2983" s="31">
        <v>2941</v>
      </c>
      <c r="H2983" s="30" t="str">
        <f t="shared" si="104"/>
        <v/>
      </c>
      <c r="I2983" s="74" t="str">
        <f t="shared" si="105"/>
        <v/>
      </c>
      <c r="J2983" s="32"/>
    </row>
    <row r="2984" spans="2:10" ht="15">
      <c r="B2984" s="31"/>
      <c r="C2984" s="30"/>
      <c r="D2984" s="119"/>
      <c r="E2984" s="32"/>
      <c r="G2984" s="31">
        <v>2942</v>
      </c>
      <c r="H2984" s="30" t="str">
        <f t="shared" si="104"/>
        <v/>
      </c>
      <c r="I2984" s="74" t="str">
        <f t="shared" si="105"/>
        <v/>
      </c>
      <c r="J2984" s="32"/>
    </row>
    <row r="2985" spans="2:10" ht="15">
      <c r="B2985" s="31"/>
      <c r="C2985" s="30"/>
      <c r="D2985" s="119"/>
      <c r="E2985" s="32"/>
      <c r="G2985" s="31">
        <v>2943</v>
      </c>
      <c r="H2985" s="30" t="str">
        <f t="shared" si="104"/>
        <v/>
      </c>
      <c r="I2985" s="74" t="str">
        <f t="shared" si="105"/>
        <v/>
      </c>
      <c r="J2985" s="32"/>
    </row>
    <row r="2986" spans="2:10" ht="15">
      <c r="B2986" s="31"/>
      <c r="C2986" s="30"/>
      <c r="D2986" s="119"/>
      <c r="E2986" s="32"/>
      <c r="G2986" s="31">
        <v>2944</v>
      </c>
      <c r="H2986" s="30" t="str">
        <f t="shared" si="104"/>
        <v/>
      </c>
      <c r="I2986" s="74" t="str">
        <f t="shared" si="105"/>
        <v/>
      </c>
      <c r="J2986" s="32"/>
    </row>
    <row r="2987" spans="2:10" ht="15">
      <c r="B2987" s="31"/>
      <c r="C2987" s="30"/>
      <c r="D2987" s="119"/>
      <c r="E2987" s="32"/>
      <c r="G2987" s="31">
        <v>2945</v>
      </c>
      <c r="H2987" s="30" t="str">
        <f t="shared" si="104"/>
        <v/>
      </c>
      <c r="I2987" s="74" t="str">
        <f t="shared" si="105"/>
        <v/>
      </c>
      <c r="J2987" s="32"/>
    </row>
    <row r="2988" spans="2:10" ht="15">
      <c r="B2988" s="31"/>
      <c r="C2988" s="30"/>
      <c r="D2988" s="119"/>
      <c r="E2988" s="32"/>
      <c r="G2988" s="31">
        <v>2946</v>
      </c>
      <c r="H2988" s="30" t="str">
        <f t="shared" ref="H2988:H2998" si="106">MID($I$41,G2988*8-7,8)</f>
        <v/>
      </c>
      <c r="I2988" s="74" t="str">
        <f t="shared" ref="I2988:I2998" si="107">IFERROR(BIN2DEC(VALUE(H2988)),"")</f>
        <v/>
      </c>
      <c r="J2988" s="32"/>
    </row>
    <row r="2989" spans="2:10" ht="15">
      <c r="B2989" s="31"/>
      <c r="C2989" s="30"/>
      <c r="D2989" s="119"/>
      <c r="E2989" s="32"/>
      <c r="G2989" s="31">
        <v>2947</v>
      </c>
      <c r="H2989" s="30" t="str">
        <f t="shared" si="106"/>
        <v/>
      </c>
      <c r="I2989" s="74" t="str">
        <f t="shared" si="107"/>
        <v/>
      </c>
      <c r="J2989" s="32"/>
    </row>
    <row r="2990" spans="2:10" ht="15">
      <c r="B2990" s="31"/>
      <c r="C2990" s="30"/>
      <c r="D2990" s="119"/>
      <c r="E2990" s="32"/>
      <c r="G2990" s="31">
        <v>2948</v>
      </c>
      <c r="H2990" s="30" t="str">
        <f t="shared" si="106"/>
        <v/>
      </c>
      <c r="I2990" s="74" t="str">
        <f t="shared" si="107"/>
        <v/>
      </c>
      <c r="J2990" s="32"/>
    </row>
    <row r="2991" spans="2:10" ht="15">
      <c r="B2991" s="31"/>
      <c r="C2991" s="30"/>
      <c r="D2991" s="119"/>
      <c r="E2991" s="32"/>
      <c r="G2991" s="31">
        <v>2949</v>
      </c>
      <c r="H2991" s="30" t="str">
        <f t="shared" si="106"/>
        <v/>
      </c>
      <c r="I2991" s="74" t="str">
        <f t="shared" si="107"/>
        <v/>
      </c>
      <c r="J2991" s="32"/>
    </row>
    <row r="2992" spans="2:10" ht="15">
      <c r="B2992" s="31"/>
      <c r="C2992" s="30"/>
      <c r="D2992" s="119"/>
      <c r="E2992" s="32"/>
      <c r="G2992" s="31">
        <v>2950</v>
      </c>
      <c r="H2992" s="30" t="str">
        <f t="shared" si="106"/>
        <v/>
      </c>
      <c r="I2992" s="74" t="str">
        <f t="shared" si="107"/>
        <v/>
      </c>
      <c r="J2992" s="32"/>
    </row>
    <row r="2993" spans="2:10" ht="15">
      <c r="B2993" s="31"/>
      <c r="C2993" s="30"/>
      <c r="D2993" s="119"/>
      <c r="E2993" s="32"/>
      <c r="G2993" s="31">
        <v>2951</v>
      </c>
      <c r="H2993" s="30" t="str">
        <f t="shared" si="106"/>
        <v/>
      </c>
      <c r="I2993" s="74" t="str">
        <f t="shared" si="107"/>
        <v/>
      </c>
      <c r="J2993" s="32"/>
    </row>
    <row r="2994" spans="2:10" ht="15">
      <c r="B2994" s="31"/>
      <c r="C2994" s="30"/>
      <c r="D2994" s="119"/>
      <c r="E2994" s="32"/>
      <c r="G2994" s="31">
        <v>2952</v>
      </c>
      <c r="H2994" s="30" t="str">
        <f t="shared" si="106"/>
        <v/>
      </c>
      <c r="I2994" s="74" t="str">
        <f t="shared" si="107"/>
        <v/>
      </c>
      <c r="J2994" s="32"/>
    </row>
    <row r="2995" spans="2:10" ht="15.75" thickBot="1">
      <c r="B2995" s="33"/>
      <c r="C2995" s="29"/>
      <c r="D2995" s="119"/>
      <c r="E2995" s="34"/>
      <c r="G2995" s="31">
        <v>2953</v>
      </c>
      <c r="H2995" s="30" t="str">
        <f t="shared" si="106"/>
        <v/>
      </c>
      <c r="I2995" s="74" t="str">
        <f t="shared" si="107"/>
        <v/>
      </c>
      <c r="J2995" s="32"/>
    </row>
    <row r="2996" spans="2:10" ht="15">
      <c r="B2996" s="30"/>
      <c r="C2996" s="30"/>
      <c r="D2996" s="30"/>
      <c r="E2996" s="30"/>
      <c r="G2996" s="31">
        <v>2954</v>
      </c>
      <c r="H2996" s="30" t="str">
        <f t="shared" si="106"/>
        <v/>
      </c>
      <c r="I2996" s="74" t="str">
        <f t="shared" si="107"/>
        <v/>
      </c>
      <c r="J2996" s="32"/>
    </row>
    <row r="2997" spans="2:10" ht="15">
      <c r="B2997" s="30"/>
      <c r="C2997" s="30"/>
      <c r="D2997" s="30"/>
      <c r="E2997" s="30"/>
      <c r="G2997" s="31">
        <v>2955</v>
      </c>
      <c r="H2997" s="30" t="str">
        <f t="shared" si="106"/>
        <v/>
      </c>
      <c r="I2997" s="74" t="str">
        <f t="shared" si="107"/>
        <v/>
      </c>
      <c r="J2997" s="32"/>
    </row>
    <row r="2998" spans="2:10" ht="15">
      <c r="B2998" s="30"/>
      <c r="C2998" s="30"/>
      <c r="D2998" s="30"/>
      <c r="E2998" s="30"/>
      <c r="G2998" s="31">
        <v>2956</v>
      </c>
      <c r="H2998" s="30" t="str">
        <f t="shared" si="106"/>
        <v/>
      </c>
      <c r="I2998" s="74" t="str">
        <f t="shared" si="107"/>
        <v/>
      </c>
      <c r="J2998" s="32"/>
    </row>
    <row r="2999" spans="2:10" ht="15">
      <c r="B2999" s="30"/>
      <c r="C2999" s="30"/>
      <c r="D2999" s="30"/>
      <c r="E2999" s="30"/>
    </row>
    <row r="3000" spans="2:10" ht="15">
      <c r="B3000" s="30"/>
      <c r="C3000" s="30"/>
      <c r="D3000" s="30"/>
      <c r="E3000" s="30"/>
    </row>
    <row r="3001" spans="2:10" ht="15">
      <c r="B3001" s="30"/>
      <c r="C3001" s="30"/>
      <c r="D3001" s="30"/>
      <c r="E3001" s="30"/>
    </row>
    <row r="3002" spans="2:10" ht="15">
      <c r="B3002" s="30"/>
      <c r="C3002" s="30"/>
      <c r="D3002" s="30"/>
      <c r="E3002" s="30"/>
    </row>
    <row r="3003" spans="2:10" ht="15">
      <c r="B3003" s="30"/>
      <c r="C3003" s="30"/>
      <c r="D3003" s="30"/>
      <c r="E3003" s="30"/>
    </row>
    <row r="3004" spans="2:10" ht="15">
      <c r="B3004" s="30"/>
      <c r="C3004" s="30"/>
      <c r="D3004" s="30"/>
      <c r="E3004" s="30"/>
    </row>
    <row r="3005" spans="2:10" ht="15">
      <c r="B3005" s="30"/>
      <c r="C3005" s="30"/>
      <c r="D3005" s="30"/>
      <c r="E3005" s="30"/>
    </row>
    <row r="3006" spans="2:10" ht="15">
      <c r="B3006" s="30"/>
      <c r="C3006" s="30"/>
      <c r="D3006" s="30"/>
      <c r="E3006" s="30"/>
    </row>
    <row r="3007" spans="2:10" ht="15">
      <c r="B3007" s="30"/>
      <c r="C3007" s="30"/>
      <c r="D3007" s="30"/>
      <c r="E3007" s="30"/>
    </row>
    <row r="3008" spans="2:10" ht="15">
      <c r="B3008" s="30"/>
      <c r="C3008" s="30"/>
      <c r="D3008" s="30"/>
      <c r="E3008" s="30"/>
    </row>
    <row r="3009" spans="2:5" ht="15">
      <c r="B3009" s="30"/>
      <c r="C3009" s="30"/>
      <c r="D3009" s="30"/>
      <c r="E3009" s="30"/>
    </row>
    <row r="3010" spans="2:5" ht="15">
      <c r="B3010" s="30"/>
      <c r="C3010" s="30"/>
      <c r="D3010" s="30"/>
      <c r="E3010" s="30"/>
    </row>
    <row r="3011" spans="2:5" ht="15">
      <c r="B3011" s="30"/>
      <c r="C3011" s="30"/>
      <c r="D3011" s="30"/>
      <c r="E3011" s="30"/>
    </row>
    <row r="3012" spans="2:5" ht="15">
      <c r="B3012" s="30"/>
      <c r="C3012" s="30"/>
      <c r="D3012" s="30"/>
      <c r="E3012" s="30"/>
    </row>
    <row r="3013" spans="2:5" ht="15">
      <c r="B3013" s="30"/>
      <c r="C3013" s="30"/>
      <c r="D3013" s="30"/>
      <c r="E3013" s="30"/>
    </row>
    <row r="3014" spans="2:5" ht="15">
      <c r="B3014" s="30"/>
      <c r="C3014" s="30"/>
      <c r="D3014" s="30"/>
      <c r="E3014" s="30"/>
    </row>
    <row r="3015" spans="2:5" ht="15">
      <c r="B3015" s="30"/>
      <c r="C3015" s="30"/>
      <c r="D3015" s="30"/>
      <c r="E3015" s="30"/>
    </row>
    <row r="3016" spans="2:5" ht="15">
      <c r="B3016" s="30"/>
      <c r="C3016" s="30"/>
      <c r="D3016" s="30"/>
      <c r="E3016" s="30"/>
    </row>
    <row r="3017" spans="2:5" ht="15">
      <c r="B3017" s="30"/>
      <c r="C3017" s="30"/>
      <c r="D3017" s="30"/>
      <c r="E3017" s="30"/>
    </row>
    <row r="3018" spans="2:5" ht="15">
      <c r="B3018" s="30"/>
      <c r="C3018" s="30"/>
      <c r="D3018" s="30"/>
      <c r="E3018" s="30"/>
    </row>
    <row r="3019" spans="2:5" ht="15">
      <c r="B3019" s="30"/>
      <c r="C3019" s="30"/>
      <c r="D3019" s="30"/>
      <c r="E3019" s="30"/>
    </row>
    <row r="3020" spans="2:5" ht="15">
      <c r="B3020" s="30"/>
      <c r="C3020" s="30"/>
      <c r="D3020" s="30"/>
      <c r="E3020" s="30"/>
    </row>
    <row r="3021" spans="2:5" ht="15">
      <c r="B3021" s="30"/>
      <c r="C3021" s="30"/>
      <c r="D3021" s="30"/>
      <c r="E3021" s="30"/>
    </row>
    <row r="3022" spans="2:5" ht="15">
      <c r="B3022" s="30"/>
      <c r="C3022" s="30"/>
      <c r="D3022" s="30"/>
      <c r="E3022" s="30"/>
    </row>
    <row r="3023" spans="2:5" ht="15">
      <c r="B3023" s="30"/>
      <c r="C3023" s="30"/>
      <c r="D3023" s="30"/>
      <c r="E3023" s="30"/>
    </row>
    <row r="3024" spans="2:5" ht="15">
      <c r="B3024" s="30"/>
      <c r="C3024" s="30"/>
      <c r="D3024" s="30"/>
      <c r="E3024" s="30"/>
    </row>
    <row r="3025" spans="2:5" ht="15">
      <c r="B3025" s="30"/>
      <c r="C3025" s="30"/>
      <c r="D3025" s="30"/>
      <c r="E3025" s="30"/>
    </row>
    <row r="3026" spans="2:5" ht="15">
      <c r="B3026" s="30"/>
      <c r="C3026" s="30"/>
      <c r="D3026" s="30"/>
      <c r="E3026" s="30"/>
    </row>
    <row r="3027" spans="2:5" ht="15">
      <c r="B3027" s="30"/>
      <c r="C3027" s="30"/>
      <c r="D3027" s="30"/>
      <c r="E3027" s="30"/>
    </row>
    <row r="3028" spans="2:5" ht="15">
      <c r="B3028" s="30"/>
      <c r="C3028" s="30"/>
      <c r="D3028" s="30"/>
      <c r="E3028" s="30"/>
    </row>
    <row r="3029" spans="2:5" ht="15">
      <c r="B3029" s="30"/>
      <c r="C3029" s="30"/>
      <c r="D3029" s="30"/>
      <c r="E3029" s="30"/>
    </row>
    <row r="3030" spans="2:5" ht="15">
      <c r="B3030" s="30"/>
      <c r="C3030" s="30"/>
      <c r="D3030" s="30"/>
      <c r="E3030" s="30"/>
    </row>
    <row r="3031" spans="2:5" ht="15">
      <c r="B3031" s="30"/>
      <c r="C3031" s="30"/>
      <c r="D3031" s="30"/>
      <c r="E3031" s="30"/>
    </row>
    <row r="3032" spans="2:5" ht="15">
      <c r="B3032" s="30"/>
      <c r="C3032" s="30"/>
      <c r="D3032" s="30"/>
      <c r="E3032" s="30"/>
    </row>
    <row r="3033" spans="2:5" ht="15">
      <c r="B3033" s="30"/>
      <c r="C3033" s="30"/>
      <c r="D3033" s="30"/>
      <c r="E3033" s="30"/>
    </row>
    <row r="3034" spans="2:5" ht="15">
      <c r="B3034" s="30"/>
      <c r="C3034" s="30"/>
      <c r="D3034" s="30"/>
      <c r="E3034" s="30"/>
    </row>
    <row r="3035" spans="2:5" ht="15">
      <c r="B3035" s="30"/>
      <c r="C3035" s="30"/>
      <c r="D3035" s="30"/>
      <c r="E3035" s="30"/>
    </row>
    <row r="3036" spans="2:5" ht="15">
      <c r="B3036" s="30"/>
      <c r="C3036" s="30"/>
      <c r="D3036" s="30"/>
      <c r="E3036" s="30"/>
    </row>
    <row r="3037" spans="2:5" ht="15">
      <c r="B3037" s="30"/>
      <c r="C3037" s="30"/>
      <c r="D3037" s="30"/>
      <c r="E3037" s="30"/>
    </row>
    <row r="3038" spans="2:5" ht="15">
      <c r="B3038" s="30"/>
      <c r="C3038" s="30"/>
      <c r="D3038" s="30"/>
      <c r="E3038" s="30"/>
    </row>
    <row r="3039" spans="2:5" ht="15">
      <c r="B3039" s="30"/>
      <c r="C3039" s="30"/>
      <c r="D3039" s="30"/>
      <c r="E3039" s="30"/>
    </row>
    <row r="3040" spans="2:5" ht="15">
      <c r="B3040" s="30"/>
      <c r="C3040" s="30"/>
      <c r="D3040" s="30"/>
      <c r="E3040" s="30"/>
    </row>
    <row r="3041" spans="2:5" ht="15">
      <c r="B3041" s="30"/>
      <c r="C3041" s="30"/>
      <c r="D3041" s="30"/>
      <c r="E3041" s="30"/>
    </row>
    <row r="3042" spans="2:5" ht="15">
      <c r="B3042" s="30"/>
      <c r="C3042" s="30"/>
      <c r="D3042" s="30"/>
      <c r="E3042" s="30"/>
    </row>
    <row r="3043" spans="2:5" ht="15">
      <c r="B3043" s="30"/>
      <c r="C3043" s="30"/>
      <c r="D3043" s="30"/>
      <c r="E3043" s="30"/>
    </row>
    <row r="3044" spans="2:5" ht="15">
      <c r="B3044" s="30"/>
      <c r="C3044" s="30"/>
      <c r="D3044" s="30"/>
      <c r="E3044" s="30"/>
    </row>
    <row r="3045" spans="2:5" ht="15">
      <c r="B3045" s="30"/>
      <c r="C3045" s="30"/>
      <c r="D3045" s="30"/>
      <c r="E3045" s="30"/>
    </row>
    <row r="3046" spans="2:5" ht="15">
      <c r="B3046" s="30"/>
      <c r="C3046" s="30"/>
      <c r="D3046" s="30"/>
      <c r="E3046" s="30"/>
    </row>
    <row r="3047" spans="2:5" ht="15">
      <c r="B3047" s="30"/>
      <c r="C3047" s="30"/>
      <c r="D3047" s="30"/>
      <c r="E3047" s="30"/>
    </row>
    <row r="3048" spans="2:5" ht="15">
      <c r="B3048" s="30"/>
      <c r="C3048" s="30"/>
      <c r="D3048" s="30"/>
      <c r="E3048" s="30"/>
    </row>
    <row r="3049" spans="2:5" ht="15">
      <c r="B3049" s="30"/>
      <c r="C3049" s="30"/>
      <c r="D3049" s="30"/>
      <c r="E3049" s="30"/>
    </row>
    <row r="3050" spans="2:5" ht="15">
      <c r="B3050" s="30"/>
      <c r="C3050" s="30"/>
      <c r="D3050" s="30"/>
      <c r="E3050" s="30"/>
    </row>
    <row r="3051" spans="2:5" ht="15">
      <c r="B3051" s="30"/>
      <c r="C3051" s="30"/>
      <c r="D3051" s="30"/>
      <c r="E3051" s="30"/>
    </row>
    <row r="3052" spans="2:5" ht="15">
      <c r="B3052" s="30"/>
      <c r="C3052" s="30"/>
      <c r="D3052" s="30"/>
      <c r="E3052" s="30"/>
    </row>
    <row r="3053" spans="2:5" ht="15">
      <c r="B3053" s="30"/>
      <c r="C3053" s="30"/>
      <c r="D3053" s="30"/>
      <c r="E3053" s="30"/>
    </row>
    <row r="3054" spans="2:5" ht="15">
      <c r="B3054" s="30"/>
      <c r="C3054" s="30"/>
      <c r="D3054" s="30"/>
      <c r="E3054" s="30"/>
    </row>
    <row r="3055" spans="2:5" ht="15">
      <c r="B3055" s="30"/>
      <c r="C3055" s="30"/>
      <c r="D3055" s="30"/>
      <c r="E3055" s="30"/>
    </row>
    <row r="3056" spans="2:5" ht="15">
      <c r="B3056" s="30"/>
      <c r="C3056" s="30"/>
      <c r="D3056" s="30"/>
      <c r="E3056" s="30"/>
    </row>
    <row r="3057" spans="2:5" ht="15">
      <c r="B3057" s="30"/>
      <c r="C3057" s="30"/>
      <c r="D3057" s="30"/>
      <c r="E3057" s="30"/>
    </row>
    <row r="3058" spans="2:5" ht="15">
      <c r="B3058" s="30"/>
      <c r="C3058" s="30"/>
      <c r="D3058" s="30"/>
      <c r="E3058" s="30"/>
    </row>
    <row r="3059" spans="2:5" ht="15">
      <c r="B3059" s="30"/>
      <c r="C3059" s="30"/>
      <c r="D3059" s="30"/>
      <c r="E3059" s="30"/>
    </row>
    <row r="3060" spans="2:5" ht="15">
      <c r="B3060" s="30"/>
      <c r="C3060" s="30"/>
      <c r="D3060" s="30"/>
      <c r="E3060" s="30"/>
    </row>
    <row r="3061" spans="2:5" ht="15">
      <c r="B3061" s="30"/>
      <c r="C3061" s="30"/>
      <c r="D3061" s="30"/>
      <c r="E3061" s="30"/>
    </row>
    <row r="3062" spans="2:5" ht="15">
      <c r="B3062" s="30"/>
      <c r="C3062" s="30"/>
      <c r="D3062" s="30"/>
      <c r="E3062" s="30"/>
    </row>
    <row r="3063" spans="2:5" ht="15">
      <c r="B3063" s="30"/>
      <c r="C3063" s="30"/>
      <c r="D3063" s="30"/>
      <c r="E3063" s="30"/>
    </row>
    <row r="3064" spans="2:5" ht="15">
      <c r="B3064" s="30"/>
      <c r="C3064" s="30"/>
      <c r="D3064" s="30"/>
      <c r="E3064" s="30"/>
    </row>
    <row r="3065" spans="2:5" ht="15">
      <c r="B3065" s="30"/>
      <c r="C3065" s="30"/>
      <c r="D3065" s="30"/>
      <c r="E3065" s="30"/>
    </row>
    <row r="3066" spans="2:5" ht="15">
      <c r="B3066" s="30"/>
      <c r="C3066" s="30"/>
      <c r="D3066" s="30"/>
      <c r="E3066" s="30"/>
    </row>
    <row r="3067" spans="2:5" ht="15">
      <c r="B3067" s="30"/>
      <c r="C3067" s="30"/>
      <c r="D3067" s="30"/>
      <c r="E3067" s="30"/>
    </row>
    <row r="3068" spans="2:5" ht="15">
      <c r="B3068" s="30"/>
      <c r="C3068" s="30"/>
      <c r="D3068" s="30"/>
      <c r="E3068" s="30"/>
    </row>
    <row r="3069" spans="2:5" ht="15">
      <c r="B3069" s="30"/>
      <c r="C3069" s="30"/>
      <c r="D3069" s="30"/>
      <c r="E3069" s="30"/>
    </row>
    <row r="3070" spans="2:5" ht="15">
      <c r="B3070" s="30"/>
      <c r="C3070" s="30"/>
      <c r="D3070" s="30"/>
      <c r="E3070" s="30"/>
    </row>
    <row r="3071" spans="2:5" ht="15">
      <c r="B3071" s="30"/>
      <c r="C3071" s="30"/>
      <c r="D3071" s="30"/>
      <c r="E3071" s="30"/>
    </row>
    <row r="3072" spans="2:5" ht="15">
      <c r="B3072" s="30"/>
      <c r="C3072" s="30"/>
      <c r="D3072" s="30"/>
      <c r="E3072" s="30"/>
    </row>
    <row r="3073" spans="2:5" ht="15">
      <c r="B3073" s="30"/>
      <c r="C3073" s="30"/>
      <c r="D3073" s="30"/>
      <c r="E3073" s="30"/>
    </row>
    <row r="3074" spans="2:5" ht="15">
      <c r="B3074" s="30"/>
      <c r="C3074" s="30"/>
      <c r="D3074" s="30"/>
      <c r="E3074" s="30"/>
    </row>
    <row r="3075" spans="2:5" ht="15">
      <c r="B3075" s="30"/>
      <c r="C3075" s="30"/>
      <c r="D3075" s="30"/>
      <c r="E3075" s="30"/>
    </row>
    <row r="3076" spans="2:5" ht="15">
      <c r="B3076" s="30"/>
      <c r="C3076" s="30"/>
      <c r="D3076" s="30"/>
      <c r="E3076" s="30"/>
    </row>
    <row r="3077" spans="2:5" ht="15">
      <c r="B3077" s="30"/>
      <c r="C3077" s="30"/>
      <c r="D3077" s="30"/>
      <c r="E3077" s="30"/>
    </row>
    <row r="3078" spans="2:5" ht="15">
      <c r="B3078" s="30"/>
      <c r="C3078" s="30"/>
      <c r="D3078" s="30"/>
      <c r="E3078" s="30"/>
    </row>
    <row r="3079" spans="2:5" ht="15">
      <c r="B3079" s="30"/>
      <c r="C3079" s="30"/>
      <c r="D3079" s="30"/>
      <c r="E3079" s="30"/>
    </row>
    <row r="3080" spans="2:5" ht="15">
      <c r="B3080" s="30"/>
      <c r="C3080" s="30"/>
      <c r="D3080" s="30"/>
      <c r="E3080" s="30"/>
    </row>
    <row r="3081" spans="2:5" ht="15">
      <c r="B3081" s="30"/>
      <c r="C3081" s="30"/>
      <c r="D3081" s="30"/>
      <c r="E3081" s="30"/>
    </row>
    <row r="3082" spans="2:5" ht="15">
      <c r="B3082" s="30"/>
      <c r="C3082" s="30"/>
      <c r="D3082" s="30"/>
      <c r="E3082" s="30"/>
    </row>
    <row r="3083" spans="2:5" ht="15">
      <c r="B3083" s="30"/>
      <c r="C3083" s="30"/>
      <c r="D3083" s="30"/>
      <c r="E3083" s="30"/>
    </row>
    <row r="3084" spans="2:5" ht="15">
      <c r="B3084" s="30"/>
      <c r="C3084" s="30"/>
      <c r="D3084" s="30"/>
      <c r="E3084" s="30"/>
    </row>
    <row r="3085" spans="2:5" ht="15">
      <c r="B3085" s="30"/>
      <c r="C3085" s="30"/>
      <c r="D3085" s="30"/>
      <c r="E3085" s="30"/>
    </row>
    <row r="3086" spans="2:5" ht="15">
      <c r="B3086" s="30"/>
      <c r="C3086" s="30"/>
      <c r="D3086" s="30"/>
      <c r="E3086" s="30"/>
    </row>
    <row r="3087" spans="2:5" ht="15">
      <c r="B3087" s="30"/>
      <c r="C3087" s="30"/>
      <c r="D3087" s="30"/>
      <c r="E3087" s="30"/>
    </row>
    <row r="3088" spans="2:5" ht="15">
      <c r="B3088" s="30"/>
      <c r="C3088" s="30"/>
      <c r="D3088" s="30"/>
      <c r="E3088" s="30"/>
    </row>
    <row r="3089" spans="2:5" ht="15">
      <c r="B3089" s="30"/>
      <c r="C3089" s="30"/>
      <c r="D3089" s="30"/>
      <c r="E3089" s="30"/>
    </row>
    <row r="3090" spans="2:5" ht="15">
      <c r="B3090" s="30"/>
      <c r="C3090" s="30"/>
      <c r="D3090" s="30"/>
      <c r="E3090" s="30"/>
    </row>
    <row r="3091" spans="2:5" ht="15">
      <c r="B3091" s="30"/>
      <c r="C3091" s="30"/>
      <c r="D3091" s="30"/>
      <c r="E3091" s="30"/>
    </row>
    <row r="3092" spans="2:5" ht="15">
      <c r="B3092" s="30"/>
      <c r="C3092" s="30"/>
      <c r="D3092" s="30"/>
      <c r="E3092" s="30"/>
    </row>
    <row r="3093" spans="2:5" ht="15">
      <c r="B3093" s="30"/>
      <c r="C3093" s="30"/>
      <c r="D3093" s="30"/>
      <c r="E3093" s="30"/>
    </row>
    <row r="3094" spans="2:5" ht="15">
      <c r="B3094" s="30"/>
      <c r="C3094" s="30"/>
      <c r="D3094" s="30"/>
      <c r="E3094" s="30"/>
    </row>
    <row r="3095" spans="2:5" ht="15">
      <c r="B3095" s="30"/>
      <c r="C3095" s="30"/>
      <c r="D3095" s="30"/>
      <c r="E3095" s="30"/>
    </row>
    <row r="3096" spans="2:5" ht="15">
      <c r="B3096" s="30"/>
      <c r="C3096" s="30"/>
      <c r="D3096" s="30"/>
      <c r="E3096" s="30"/>
    </row>
    <row r="3097" spans="2:5" ht="15">
      <c r="B3097" s="30"/>
      <c r="C3097" s="30"/>
      <c r="D3097" s="30"/>
      <c r="E3097" s="30"/>
    </row>
    <row r="3098" spans="2:5" ht="15">
      <c r="B3098" s="30"/>
      <c r="C3098" s="30"/>
      <c r="D3098" s="30"/>
      <c r="E3098" s="30"/>
    </row>
    <row r="3099" spans="2:5" ht="15">
      <c r="B3099" s="30"/>
      <c r="C3099" s="30"/>
      <c r="D3099" s="30"/>
      <c r="E3099" s="30"/>
    </row>
    <row r="3100" spans="2:5" ht="15">
      <c r="B3100" s="30"/>
      <c r="C3100" s="30"/>
      <c r="D3100" s="30"/>
      <c r="E3100" s="30"/>
    </row>
    <row r="3101" spans="2:5" ht="15">
      <c r="B3101" s="30"/>
      <c r="C3101" s="30"/>
      <c r="D3101" s="30"/>
      <c r="E3101" s="30"/>
    </row>
    <row r="3102" spans="2:5" ht="15">
      <c r="B3102" s="30"/>
      <c r="C3102" s="30"/>
      <c r="D3102" s="30"/>
      <c r="E3102" s="30"/>
    </row>
    <row r="3103" spans="2:5" ht="15">
      <c r="B3103" s="30"/>
      <c r="C3103" s="30"/>
      <c r="D3103" s="30"/>
      <c r="E3103" s="30"/>
    </row>
    <row r="3104" spans="2:5" ht="15">
      <c r="B3104" s="30"/>
      <c r="C3104" s="30"/>
      <c r="D3104" s="30"/>
      <c r="E3104" s="30"/>
    </row>
    <row r="3105" spans="2:5" ht="15">
      <c r="B3105" s="30"/>
      <c r="C3105" s="30"/>
      <c r="D3105" s="30"/>
      <c r="E3105" s="30"/>
    </row>
    <row r="3106" spans="2:5" ht="15">
      <c r="B3106" s="30"/>
      <c r="C3106" s="30"/>
      <c r="D3106" s="30"/>
      <c r="E3106" s="30"/>
    </row>
    <row r="3107" spans="2:5" ht="15">
      <c r="B3107" s="30"/>
      <c r="C3107" s="30"/>
      <c r="D3107" s="30"/>
      <c r="E3107" s="30"/>
    </row>
    <row r="3108" spans="2:5" ht="15">
      <c r="B3108" s="30"/>
      <c r="C3108" s="30"/>
      <c r="D3108" s="30"/>
      <c r="E3108" s="30"/>
    </row>
    <row r="3109" spans="2:5" ht="15">
      <c r="B3109" s="30"/>
      <c r="C3109" s="30"/>
      <c r="D3109" s="30"/>
      <c r="E3109" s="30"/>
    </row>
    <row r="3110" spans="2:5" ht="15">
      <c r="B3110" s="30"/>
      <c r="C3110" s="30"/>
      <c r="D3110" s="30"/>
      <c r="E3110" s="30"/>
    </row>
    <row r="3111" spans="2:5" ht="15">
      <c r="B3111" s="30"/>
      <c r="C3111" s="30"/>
      <c r="D3111" s="30"/>
      <c r="E3111" s="30"/>
    </row>
    <row r="3112" spans="2:5" ht="15">
      <c r="B3112" s="30"/>
      <c r="C3112" s="30"/>
      <c r="D3112" s="30"/>
      <c r="E3112" s="30"/>
    </row>
    <row r="3113" spans="2:5" ht="15">
      <c r="B3113" s="30"/>
      <c r="C3113" s="30"/>
      <c r="D3113" s="30"/>
      <c r="E3113" s="30"/>
    </row>
    <row r="3114" spans="2:5" ht="15">
      <c r="B3114" s="30"/>
      <c r="C3114" s="30"/>
      <c r="D3114" s="30"/>
      <c r="E3114" s="30"/>
    </row>
    <row r="3115" spans="2:5" ht="15">
      <c r="B3115" s="30"/>
      <c r="C3115" s="30"/>
      <c r="D3115" s="30"/>
      <c r="E3115" s="30"/>
    </row>
    <row r="3116" spans="2:5" ht="15">
      <c r="B3116" s="30"/>
      <c r="C3116" s="30"/>
      <c r="D3116" s="30"/>
      <c r="E3116" s="30"/>
    </row>
    <row r="3117" spans="2:5" ht="15">
      <c r="B3117" s="30"/>
      <c r="C3117" s="30"/>
      <c r="D3117" s="30"/>
      <c r="E3117" s="30"/>
    </row>
    <row r="3118" spans="2:5" ht="15">
      <c r="B3118" s="30"/>
      <c r="C3118" s="30"/>
      <c r="D3118" s="30"/>
      <c r="E3118" s="30"/>
    </row>
    <row r="3119" spans="2:5" ht="15">
      <c r="B3119" s="30"/>
      <c r="C3119" s="30"/>
      <c r="D3119" s="30"/>
      <c r="E3119" s="30"/>
    </row>
  </sheetData>
  <mergeCells count="25">
    <mergeCell ref="Q30:AM30"/>
    <mergeCell ref="R31:AG31"/>
    <mergeCell ref="P31:Q31"/>
    <mergeCell ref="G42:J42"/>
    <mergeCell ref="C15:H15"/>
    <mergeCell ref="B24:H35"/>
    <mergeCell ref="H39:I39"/>
    <mergeCell ref="C7:H7"/>
    <mergeCell ref="C8:H8"/>
    <mergeCell ref="C9:H9"/>
    <mergeCell ref="C10:H10"/>
    <mergeCell ref="C11:H11"/>
    <mergeCell ref="C12:H12"/>
    <mergeCell ref="C13:H13"/>
    <mergeCell ref="C16:H16"/>
    <mergeCell ref="E19:G19"/>
    <mergeCell ref="E20:G20"/>
    <mergeCell ref="B17:H18"/>
    <mergeCell ref="C14:H14"/>
    <mergeCell ref="B1:E3"/>
    <mergeCell ref="B4:B5"/>
    <mergeCell ref="C4:C5"/>
    <mergeCell ref="B6:H6"/>
    <mergeCell ref="D4:G4"/>
    <mergeCell ref="D5:G5"/>
  </mergeCells>
  <conditionalFormatting sqref="C7:H15">
    <cfRule type="expression" dxfId="9" priority="1">
      <formula>IF($B7="",TRUE,FALSE)</formula>
    </cfRule>
  </conditionalFormatting>
  <dataValidations count="3">
    <dataValidation type="list" allowBlank="1" showInputMessage="1" showErrorMessage="1" sqref="C4:C5">
      <formula1>$K$7:$K$10</formula1>
    </dataValidation>
    <dataValidation type="list" allowBlank="1" showInputMessage="1" showErrorMessage="1" sqref="H4">
      <formula1>$K$12:$K$15</formula1>
    </dataValidation>
    <dataValidation type="list" allowBlank="1" showInputMessage="1" showErrorMessage="1" sqref="H5">
      <formula1>$U$17:$U$24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FT3473"/>
  <sheetViews>
    <sheetView zoomScaleNormal="100" workbookViewId="0">
      <pane xSplit="4" ySplit="3" topLeftCell="ER4" activePane="bottomRight" state="frozen"/>
      <selection pane="topRight" activeCell="E1" sqref="E1"/>
      <selection pane="bottomLeft" activeCell="A4" sqref="A4"/>
      <selection pane="bottomRight" activeCell="FK15" sqref="FK15"/>
    </sheetView>
  </sheetViews>
  <sheetFormatPr defaultColWidth="8.85546875" defaultRowHeight="15"/>
  <cols>
    <col min="1" max="1" width="4" bestFit="1" customWidth="1"/>
    <col min="2" max="2" width="5.42578125" customWidth="1"/>
    <col min="3" max="3" width="4.42578125" customWidth="1"/>
    <col min="4" max="4" width="5.140625" customWidth="1"/>
    <col min="5" max="156" width="4" customWidth="1"/>
    <col min="157" max="157" width="3.42578125" bestFit="1" customWidth="1"/>
    <col min="158" max="158" width="4.85546875" customWidth="1"/>
    <col min="159" max="159" width="5" bestFit="1" customWidth="1"/>
    <col min="160" max="160" width="4.85546875" bestFit="1" customWidth="1"/>
    <col min="161" max="161" width="5" bestFit="1" customWidth="1"/>
    <col min="162" max="162" width="4.42578125" bestFit="1" customWidth="1"/>
    <col min="163" max="163" width="5.140625" bestFit="1" customWidth="1"/>
    <col min="164" max="164" width="4.42578125" customWidth="1"/>
    <col min="165" max="165" width="5" bestFit="1" customWidth="1"/>
    <col min="166" max="166" width="8.42578125" bestFit="1" customWidth="1"/>
    <col min="167" max="167" width="6" customWidth="1"/>
    <col min="168" max="168" width="9" bestFit="1" customWidth="1"/>
    <col min="169" max="169" width="6" style="1" customWidth="1"/>
  </cols>
  <sheetData>
    <row r="1" spans="1:173" ht="15.75" thickBot="1">
      <c r="D1" s="176" t="s">
        <v>31</v>
      </c>
      <c r="E1" s="176"/>
      <c r="F1" s="176"/>
      <c r="G1" s="176"/>
      <c r="H1" s="176"/>
      <c r="I1" s="176"/>
      <c r="L1" t="str">
        <f>Input!H20</f>
        <v>13-H</v>
      </c>
      <c r="N1">
        <f>MATCH(L1,D90:D249,0)</f>
        <v>52</v>
      </c>
      <c r="P1">
        <f>MATCH(C4,'Basic Info'!B4:B21)</f>
        <v>14</v>
      </c>
      <c r="FA1" t="s">
        <v>143</v>
      </c>
      <c r="FB1">
        <f>VLOOKUP($L$1,$D$90:$CL$249,84,0)</f>
        <v>12</v>
      </c>
      <c r="FG1" t="s">
        <v>147</v>
      </c>
      <c r="FH1">
        <f>VLOOKUP($L$1,$D$90:$CL$249,2,0)</f>
        <v>22</v>
      </c>
      <c r="FN1" s="2"/>
      <c r="FO1" s="2"/>
      <c r="FP1" s="2"/>
      <c r="FQ1" s="2"/>
    </row>
    <row r="2" spans="1:173">
      <c r="A2" s="176" t="s">
        <v>33</v>
      </c>
      <c r="B2" s="176"/>
      <c r="C2" s="176"/>
      <c r="E2" t="s">
        <v>32</v>
      </c>
      <c r="L2" t="s">
        <v>138</v>
      </c>
      <c r="O2" s="65">
        <f>INDEX('Basic Info'!C4:C21,$P$1)</f>
        <v>1</v>
      </c>
      <c r="P2" s="65">
        <f>INDEX('Basic Info'!D4:D21,$P$1)</f>
        <v>89</v>
      </c>
      <c r="Q2" s="65">
        <f>INDEX('Basic Info'!E4:E21,$P$1)</f>
        <v>179</v>
      </c>
      <c r="R2" s="65">
        <f>INDEX('Basic Info'!F4:F21,$P$1)</f>
        <v>131</v>
      </c>
      <c r="S2" s="65">
        <f>INDEX('Basic Info'!G4:G21,$P$1)</f>
        <v>176</v>
      </c>
      <c r="T2" s="65">
        <f>INDEX('Basic Info'!H4:H21,$P$1)</f>
        <v>182</v>
      </c>
      <c r="U2" s="65">
        <f>INDEX('Basic Info'!I4:I21,$P$1)</f>
        <v>244</v>
      </c>
      <c r="V2" s="65">
        <f>INDEX('Basic Info'!J4:J21,$P$1)</f>
        <v>19</v>
      </c>
      <c r="W2" s="65">
        <f>INDEX('Basic Info'!K4:K21,$P$1)</f>
        <v>189</v>
      </c>
      <c r="X2" s="65">
        <f>INDEX('Basic Info'!L4:L21,$P$1)</f>
        <v>69</v>
      </c>
      <c r="Y2" s="65">
        <f>INDEX('Basic Info'!M4:M21,$P$1)</f>
        <v>40</v>
      </c>
      <c r="Z2" s="65">
        <f>INDEX('Basic Info'!N4:N21,$P$1)</f>
        <v>28</v>
      </c>
      <c r="AA2" s="65">
        <f>INDEX('Basic Info'!O4:O21,$P$1)</f>
        <v>137</v>
      </c>
      <c r="AB2" s="65">
        <f>INDEX('Basic Info'!P4:P21,$P$1)</f>
        <v>29</v>
      </c>
      <c r="AC2" s="65">
        <f>INDEX('Basic Info'!Q4:Q21,$P$1)</f>
        <v>123</v>
      </c>
      <c r="AD2" s="65">
        <f>INDEX('Basic Info'!R4:R21,$P$1)</f>
        <v>67</v>
      </c>
      <c r="AE2" s="65">
        <f>INDEX('Basic Info'!S4:S21,$P$1)</f>
        <v>253</v>
      </c>
      <c r="AF2" s="65">
        <f>INDEX('Basic Info'!T4:T21,$P$1)</f>
        <v>86</v>
      </c>
      <c r="AG2" s="65">
        <f>INDEX('Basic Info'!U4:U21,$P$1)</f>
        <v>218</v>
      </c>
      <c r="AH2" s="65">
        <f>INDEX('Basic Info'!V4:V21,$P$1)</f>
        <v>230</v>
      </c>
      <c r="AI2" s="65">
        <f>INDEX('Basic Info'!W4:W21,$P$1)</f>
        <v>26</v>
      </c>
      <c r="AJ2" s="65">
        <f>INDEX('Basic Info'!X4:X21,$P$1)</f>
        <v>145</v>
      </c>
      <c r="AK2" s="65">
        <f>INDEX('Basic Info'!Y4:Y21,$P$1)</f>
        <v>245</v>
      </c>
      <c r="AL2" s="65" t="str">
        <f>INDEX('Basic Info'!Z4:Z21,$P$1)</f>
        <v/>
      </c>
      <c r="AM2" s="65" t="str">
        <f>INDEX('Basic Info'!AA4:AA21,$P$1)</f>
        <v/>
      </c>
      <c r="AN2" s="65" t="str">
        <f>INDEX('Basic Info'!AB4:AB21,$P$1)</f>
        <v/>
      </c>
      <c r="AO2" s="65" t="str">
        <f>INDEX('Basic Info'!AC4:AC21,$P$1)</f>
        <v/>
      </c>
      <c r="AP2" s="65" t="str">
        <f>INDEX('Basic Info'!AD4:AD21,$P$1)</f>
        <v/>
      </c>
      <c r="AQ2" s="65" t="str">
        <f>INDEX('Basic Info'!AE4:AE21,$P$1)</f>
        <v/>
      </c>
      <c r="AR2" s="65" t="str">
        <f>INDEX('Basic Info'!AF4:AF21,$P$1)</f>
        <v/>
      </c>
      <c r="AS2" s="65" t="str">
        <f>INDEX('Basic Info'!AG4:AG21,$P$1)</f>
        <v/>
      </c>
      <c r="DW2" t="s">
        <v>136</v>
      </c>
      <c r="FA2" t="s">
        <v>144</v>
      </c>
      <c r="FB2">
        <f>VLOOKUP($L$1,$D$90:$CL$249,85,0)</f>
        <v>4</v>
      </c>
      <c r="FC2" s="179" t="s">
        <v>151</v>
      </c>
      <c r="FD2" s="179"/>
      <c r="FE2" s="179"/>
      <c r="FF2" s="179"/>
      <c r="FG2" t="s">
        <v>149</v>
      </c>
      <c r="FH2">
        <f>MAX(A4:A84)</f>
        <v>196</v>
      </c>
      <c r="FI2" s="177" t="s">
        <v>152</v>
      </c>
      <c r="FJ2" s="178"/>
      <c r="FK2" s="83" t="s">
        <v>154</v>
      </c>
      <c r="FL2" s="76"/>
      <c r="FM2" s="80"/>
      <c r="FN2" s="2"/>
      <c r="FO2" s="2"/>
      <c r="FP2" s="2"/>
      <c r="FQ2" s="2"/>
    </row>
    <row r="3" spans="1:173" ht="15.75" thickBot="1">
      <c r="A3">
        <v>0</v>
      </c>
      <c r="B3" t="s">
        <v>34</v>
      </c>
      <c r="C3" t="s">
        <v>49</v>
      </c>
      <c r="E3">
        <v>1</v>
      </c>
      <c r="F3">
        <v>2</v>
      </c>
      <c r="G3">
        <v>3</v>
      </c>
      <c r="H3">
        <v>4</v>
      </c>
      <c r="I3">
        <v>5</v>
      </c>
      <c r="J3">
        <v>6</v>
      </c>
      <c r="K3">
        <v>7</v>
      </c>
      <c r="L3">
        <v>8</v>
      </c>
      <c r="M3">
        <v>9</v>
      </c>
      <c r="N3">
        <v>10</v>
      </c>
      <c r="O3">
        <v>11</v>
      </c>
      <c r="P3">
        <v>12</v>
      </c>
      <c r="Q3">
        <v>13</v>
      </c>
      <c r="R3">
        <v>14</v>
      </c>
      <c r="S3">
        <v>15</v>
      </c>
      <c r="T3">
        <v>16</v>
      </c>
      <c r="U3">
        <v>17</v>
      </c>
      <c r="V3">
        <v>18</v>
      </c>
      <c r="W3">
        <v>19</v>
      </c>
      <c r="X3">
        <v>20</v>
      </c>
      <c r="Y3">
        <v>21</v>
      </c>
      <c r="Z3">
        <v>22</v>
      </c>
      <c r="AA3">
        <v>23</v>
      </c>
      <c r="AB3">
        <v>24</v>
      </c>
      <c r="AC3">
        <v>25</v>
      </c>
      <c r="AD3">
        <v>26</v>
      </c>
      <c r="AE3">
        <v>27</v>
      </c>
      <c r="AF3">
        <v>28</v>
      </c>
      <c r="AG3">
        <v>29</v>
      </c>
      <c r="AH3">
        <v>30</v>
      </c>
      <c r="AI3">
        <v>31</v>
      </c>
      <c r="AJ3">
        <v>32</v>
      </c>
      <c r="AK3">
        <v>33</v>
      </c>
      <c r="AL3">
        <v>34</v>
      </c>
      <c r="AM3">
        <v>35</v>
      </c>
      <c r="AN3">
        <v>36</v>
      </c>
      <c r="AO3">
        <v>37</v>
      </c>
      <c r="AP3">
        <v>38</v>
      </c>
      <c r="AQ3">
        <v>39</v>
      </c>
      <c r="AR3">
        <v>40</v>
      </c>
      <c r="AS3">
        <v>41</v>
      </c>
      <c r="AT3">
        <v>42</v>
      </c>
      <c r="AU3">
        <v>43</v>
      </c>
      <c r="AV3">
        <v>44</v>
      </c>
      <c r="AW3">
        <v>45</v>
      </c>
      <c r="AX3">
        <v>46</v>
      </c>
      <c r="AY3">
        <v>47</v>
      </c>
      <c r="AZ3">
        <v>48</v>
      </c>
      <c r="BA3">
        <v>49</v>
      </c>
      <c r="BB3">
        <v>50</v>
      </c>
      <c r="BC3">
        <v>51</v>
      </c>
      <c r="BD3">
        <v>52</v>
      </c>
      <c r="BE3">
        <v>53</v>
      </c>
      <c r="BF3">
        <v>54</v>
      </c>
      <c r="BG3">
        <v>55</v>
      </c>
      <c r="BH3">
        <v>56</v>
      </c>
      <c r="BI3">
        <v>57</v>
      </c>
      <c r="BJ3">
        <v>58</v>
      </c>
      <c r="BK3">
        <v>59</v>
      </c>
      <c r="BL3">
        <v>60</v>
      </c>
      <c r="BM3">
        <v>61</v>
      </c>
      <c r="BN3">
        <v>62</v>
      </c>
      <c r="BO3">
        <v>63</v>
      </c>
      <c r="BP3">
        <v>64</v>
      </c>
      <c r="BQ3">
        <v>65</v>
      </c>
      <c r="BR3">
        <v>66</v>
      </c>
      <c r="BS3">
        <v>67</v>
      </c>
      <c r="BT3">
        <v>68</v>
      </c>
      <c r="BU3">
        <v>69</v>
      </c>
      <c r="BV3">
        <v>70</v>
      </c>
      <c r="BW3">
        <v>71</v>
      </c>
      <c r="BX3">
        <v>72</v>
      </c>
      <c r="BY3">
        <v>73</v>
      </c>
      <c r="BZ3">
        <v>74</v>
      </c>
      <c r="CA3">
        <v>75</v>
      </c>
      <c r="CB3">
        <v>76</v>
      </c>
      <c r="CC3">
        <v>77</v>
      </c>
      <c r="CD3">
        <v>78</v>
      </c>
      <c r="CE3">
        <v>79</v>
      </c>
      <c r="CF3">
        <v>80</v>
      </c>
      <c r="CG3">
        <v>81</v>
      </c>
      <c r="CH3">
        <v>82</v>
      </c>
      <c r="CI3">
        <v>83</v>
      </c>
      <c r="CJ3">
        <v>84</v>
      </c>
      <c r="CK3">
        <v>85</v>
      </c>
      <c r="CL3">
        <v>86</v>
      </c>
      <c r="CM3">
        <v>87</v>
      </c>
      <c r="CN3">
        <v>88</v>
      </c>
      <c r="CO3">
        <v>89</v>
      </c>
      <c r="CP3">
        <v>90</v>
      </c>
      <c r="CQ3">
        <v>91</v>
      </c>
      <c r="CR3">
        <v>92</v>
      </c>
      <c r="CS3">
        <v>93</v>
      </c>
      <c r="CT3">
        <v>94</v>
      </c>
      <c r="CU3">
        <v>95</v>
      </c>
      <c r="CV3">
        <v>96</v>
      </c>
      <c r="CW3">
        <v>97</v>
      </c>
      <c r="CX3">
        <v>98</v>
      </c>
      <c r="CY3">
        <v>99</v>
      </c>
      <c r="CZ3">
        <v>100</v>
      </c>
      <c r="DA3">
        <v>101</v>
      </c>
      <c r="DB3">
        <v>102</v>
      </c>
      <c r="DC3">
        <v>103</v>
      </c>
      <c r="DD3">
        <v>104</v>
      </c>
      <c r="DE3">
        <v>105</v>
      </c>
      <c r="DF3">
        <v>106</v>
      </c>
      <c r="DG3">
        <v>107</v>
      </c>
      <c r="DH3">
        <v>108</v>
      </c>
      <c r="DI3">
        <v>109</v>
      </c>
      <c r="DJ3">
        <v>110</v>
      </c>
      <c r="DK3">
        <v>111</v>
      </c>
      <c r="DL3">
        <v>112</v>
      </c>
      <c r="DM3">
        <v>113</v>
      </c>
      <c r="DN3">
        <v>114</v>
      </c>
      <c r="DO3">
        <v>115</v>
      </c>
      <c r="DP3">
        <v>116</v>
      </c>
      <c r="DQ3">
        <v>117</v>
      </c>
      <c r="DR3">
        <v>118</v>
      </c>
      <c r="DS3">
        <v>119</v>
      </c>
      <c r="DT3">
        <v>120</v>
      </c>
      <c r="DU3">
        <v>121</v>
      </c>
      <c r="DV3">
        <v>122</v>
      </c>
      <c r="DW3">
        <v>1</v>
      </c>
      <c r="DX3">
        <v>2</v>
      </c>
      <c r="DY3">
        <v>3</v>
      </c>
      <c r="DZ3">
        <v>4</v>
      </c>
      <c r="EA3">
        <v>5</v>
      </c>
      <c r="EB3">
        <v>6</v>
      </c>
      <c r="EC3">
        <v>7</v>
      </c>
      <c r="ED3">
        <v>8</v>
      </c>
      <c r="EE3">
        <v>9</v>
      </c>
      <c r="EF3">
        <v>10</v>
      </c>
      <c r="EG3">
        <v>11</v>
      </c>
      <c r="EH3">
        <v>12</v>
      </c>
      <c r="EI3">
        <v>13</v>
      </c>
      <c r="EJ3">
        <v>14</v>
      </c>
      <c r="EK3">
        <v>15</v>
      </c>
      <c r="EL3">
        <v>16</v>
      </c>
      <c r="EM3">
        <v>17</v>
      </c>
      <c r="EN3">
        <v>18</v>
      </c>
      <c r="EO3">
        <v>19</v>
      </c>
      <c r="EP3">
        <v>20</v>
      </c>
      <c r="EQ3">
        <v>21</v>
      </c>
      <c r="ER3">
        <v>22</v>
      </c>
      <c r="ES3">
        <v>23</v>
      </c>
      <c r="ET3">
        <v>24</v>
      </c>
      <c r="EU3">
        <v>25</v>
      </c>
      <c r="EV3">
        <v>26</v>
      </c>
      <c r="EW3">
        <v>27</v>
      </c>
      <c r="EX3">
        <v>28</v>
      </c>
      <c r="EY3">
        <v>29</v>
      </c>
      <c r="EZ3">
        <v>30</v>
      </c>
      <c r="FA3" t="s">
        <v>145</v>
      </c>
      <c r="FB3">
        <f>VLOOKUP($L$1,$D$90:$CL$249,87,0)</f>
        <v>13</v>
      </c>
      <c r="FC3" s="69" t="s">
        <v>130</v>
      </c>
      <c r="FD3" s="69" t="s">
        <v>141</v>
      </c>
      <c r="FE3" s="69" t="s">
        <v>142</v>
      </c>
      <c r="FF3" s="69" t="s">
        <v>140</v>
      </c>
      <c r="FG3" s="75" t="s">
        <v>150</v>
      </c>
      <c r="FH3">
        <f>SUM(C4:C84)</f>
        <v>352</v>
      </c>
      <c r="FI3" s="77" t="s">
        <v>130</v>
      </c>
      <c r="FJ3" s="78" t="s">
        <v>148</v>
      </c>
      <c r="FK3" s="78" t="s">
        <v>153</v>
      </c>
      <c r="FL3" s="79" t="s">
        <v>60</v>
      </c>
      <c r="FM3" s="81"/>
      <c r="FN3" s="109"/>
      <c r="FO3" s="109"/>
      <c r="FP3" s="2"/>
      <c r="FQ3" s="2"/>
    </row>
    <row r="4" spans="1:173">
      <c r="A4">
        <f>B4</f>
        <v>12</v>
      </c>
      <c r="B4">
        <f>INDEX($F$90:$CH$249,$N$1,D4)</f>
        <v>12</v>
      </c>
      <c r="C4">
        <f>IF(B4&lt;&gt;0,INDEX($E$90:$E$249,$N$1),"")</f>
        <v>22</v>
      </c>
      <c r="D4">
        <v>1</v>
      </c>
      <c r="E4" s="38">
        <f>IF(E$3&lt;=$B4,INDEX(Input!$I$43:$I$2956,E$3+$A3),"")</f>
        <v>209</v>
      </c>
      <c r="F4" s="14">
        <f>IF(F$3&lt;=$B4,INDEX(Input!$I$43:$I$2956,F$3+$A3),"")</f>
        <v>7</v>
      </c>
      <c r="G4" s="14">
        <f>IF(G$3&lt;=$B4,INDEX(Input!$I$43:$I$2956,G$3+$A3),"")</f>
        <v>206</v>
      </c>
      <c r="H4" s="14">
        <f>IF(H$3&lt;=$B4,INDEX(Input!$I$43:$I$2956,H$3+$A3),"")</f>
        <v>130</v>
      </c>
      <c r="I4" s="14">
        <f>IF(I$3&lt;=$B4,INDEX(Input!$I$43:$I$2956,I$3+$A3),"")</f>
        <v>211</v>
      </c>
      <c r="J4" s="14">
        <f>IF(J$3&lt;=$B4,INDEX(Input!$I$43:$I$2956,J$3+$A3),"")</f>
        <v>199</v>
      </c>
      <c r="K4" s="14">
        <f>IF(K$3&lt;=$B4,INDEX(Input!$I$43:$I$2956,K$3+$A3),"")</f>
        <v>0</v>
      </c>
      <c r="L4" s="14">
        <f>IF(L$3&lt;=$B4,INDEX(Input!$I$43:$I$2956,L$3+$A3),"")</f>
        <v>144</v>
      </c>
      <c r="M4" s="14">
        <f>IF(M$3&lt;=$B4,INDEX(Input!$I$43:$I$2956,M$3+$A3),"")</f>
        <v>193</v>
      </c>
      <c r="N4" s="14">
        <f>IF(N$3&lt;=$B4,INDEX(Input!$I$43:$I$2956,N$3+$A3),"")</f>
        <v>14</v>
      </c>
      <c r="O4" s="14">
        <f>IF(O$3&lt;=$B4,INDEX(Input!$I$43:$I$2956,O$3+$A3),"")</f>
        <v>174</v>
      </c>
      <c r="P4" s="14">
        <f>IF(P$3&lt;=$B4,INDEX(Input!$I$43:$I$2956,P$3+$A3),"")</f>
        <v>163</v>
      </c>
      <c r="Q4" s="14" t="str">
        <f>IF(Q$3&lt;=$B4,INDEX(Input!$I$43:$I$2956,Q$3+$A3),"")</f>
        <v/>
      </c>
      <c r="R4" s="14" t="str">
        <f>IF(R$3&lt;=$B4,INDEX(Input!$I$43:$I$2956,R$3+$A3),"")</f>
        <v/>
      </c>
      <c r="S4" s="14" t="str">
        <f>IF(S$3&lt;=$B4,INDEX(Input!$I$43:$I$2956,S$3+$A3),"")</f>
        <v/>
      </c>
      <c r="T4" s="14" t="str">
        <f>IF(T$3&lt;=$B4,INDEX(Input!$I$43:$I$2956,T$3+$A3),"")</f>
        <v/>
      </c>
      <c r="U4" s="14" t="str">
        <f>IF(U$3&lt;=$B4,INDEX(Input!$I$43:$I$2956,U$3+$A3),"")</f>
        <v/>
      </c>
      <c r="V4" s="14" t="str">
        <f>IF(V$3&lt;=$B4,INDEX(Input!$I$43:$I$2956,V$3+$A3),"")</f>
        <v/>
      </c>
      <c r="W4" s="14" t="str">
        <f>IF(W$3&lt;=$B4,INDEX(Input!$I$43:$I$2956,W$3+$A3),"")</f>
        <v/>
      </c>
      <c r="X4" s="14" t="str">
        <f>IF(X$3&lt;=$B4,INDEX(Input!$I$43:$I$2956,X$3+$A3),"")</f>
        <v/>
      </c>
      <c r="Y4" s="14" t="str">
        <f>IF(Y$3&lt;=$B4,INDEX(Input!$I$43:$I$2956,Y$3+$A3),"")</f>
        <v/>
      </c>
      <c r="Z4" s="14" t="str">
        <f>IF(Z$3&lt;=$B4,INDEX(Input!$I$43:$I$2956,Z$3+$A3),"")</f>
        <v/>
      </c>
      <c r="AA4" s="14" t="str">
        <f>IF(AA$3&lt;=$B4,INDEX(Input!$I$43:$I$2956,AA$3+$A3),"")</f>
        <v/>
      </c>
      <c r="AB4" s="14" t="str">
        <f>IF(AB$3&lt;=$B4,INDEX(Input!$I$43:$I$2956,AB$3+$A3),"")</f>
        <v/>
      </c>
      <c r="AC4" s="14" t="str">
        <f>IF(AC$3&lt;=$B4,INDEX(Input!$I$43:$I$2956,AC$3+$A3),"")</f>
        <v/>
      </c>
      <c r="AD4" s="14" t="str">
        <f>IF(AD$3&lt;=$B4,INDEX(Input!$I$43:$I$2956,AD$3+$A3),"")</f>
        <v/>
      </c>
      <c r="AE4" s="14" t="str">
        <f>IF(AE$3&lt;=$B4,INDEX(Input!$I$43:$I$2956,AE$3+$A3),"")</f>
        <v/>
      </c>
      <c r="AF4" s="14" t="str">
        <f>IF(AF$3&lt;=$B4,INDEX(Input!$I$43:$I$2956,AF$3+$A3),"")</f>
        <v/>
      </c>
      <c r="AG4" s="14" t="str">
        <f>IF(AG$3&lt;=$B4,INDEX(Input!$I$43:$I$2956,AG$3+$A3),"")</f>
        <v/>
      </c>
      <c r="AH4" s="14" t="str">
        <f>IF(AH$3&lt;=$B4,INDEX(Input!$I$43:$I$2956,AH$3+$A3),"")</f>
        <v/>
      </c>
      <c r="AI4" s="14" t="str">
        <f>IF(AI$3&lt;=$B4,INDEX(Input!$I$43:$I$2956,AI$3+$A3),"")</f>
        <v/>
      </c>
      <c r="AJ4" s="14" t="str">
        <f>IF(AJ$3&lt;=$B4,INDEX(Input!$I$43:$I$2956,AJ$3+$A3),"")</f>
        <v/>
      </c>
      <c r="AK4" s="14" t="str">
        <f>IF(AK$3&lt;=$B4,INDEX(Input!$I$43:$I$2956,AK$3+$A3),"")</f>
        <v/>
      </c>
      <c r="AL4" s="14" t="str">
        <f>IF(AL$3&lt;=$B4,INDEX(Input!$I$43:$I$2956,AL$3+$A3),"")</f>
        <v/>
      </c>
      <c r="AM4" s="14" t="str">
        <f>IF(AM$3&lt;=$B4,INDEX(Input!$I$43:$I$2956,AM$3+$A3),"")</f>
        <v/>
      </c>
      <c r="AN4" s="14" t="str">
        <f>IF(AN$3&lt;=$B4,INDEX(Input!$I$43:$I$2956,AN$3+$A3),"")</f>
        <v/>
      </c>
      <c r="AO4" s="14" t="str">
        <f>IF(AO$3&lt;=$B4,INDEX(Input!$I$43:$I$2956,AO$3+$A3),"")</f>
        <v/>
      </c>
      <c r="AP4" s="14" t="str">
        <f>IF(AP$3&lt;=$B4,INDEX(Input!$I$43:$I$2956,AP$3+$A3),"")</f>
        <v/>
      </c>
      <c r="AQ4" s="14" t="str">
        <f>IF(AQ$3&lt;=$B4,INDEX(Input!$I$43:$I$2956,AQ$3+$A3),"")</f>
        <v/>
      </c>
      <c r="AR4" s="14" t="str">
        <f>IF(AR$3&lt;=$B4,INDEX(Input!$I$43:$I$2956,AR$3+$A3),"")</f>
        <v/>
      </c>
      <c r="AS4" s="14" t="str">
        <f>IF(AS$3&lt;=$B4,INDEX(Input!$I$43:$I$2956,AS$3+$A3),"")</f>
        <v/>
      </c>
      <c r="AT4" s="14" t="str">
        <f>IF(AT$3&lt;=$B4,INDEX(Input!$I$43:$I$2956,AT$3+$A3),"")</f>
        <v/>
      </c>
      <c r="AU4" s="14" t="str">
        <f>IF(AU$3&lt;=$B4,INDEX(Input!$I$43:$I$2956,AU$3+$A3),"")</f>
        <v/>
      </c>
      <c r="AV4" s="14" t="str">
        <f>IF(AV$3&lt;=$B4,INDEX(Input!$I$43:$I$2956,AV$3+$A3),"")</f>
        <v/>
      </c>
      <c r="AW4" s="14" t="str">
        <f>IF(AW$3&lt;=$B4,INDEX(Input!$I$43:$I$2956,AW$3+$A3),"")</f>
        <v/>
      </c>
      <c r="AX4" s="14" t="str">
        <f>IF(AX$3&lt;=$B4,INDEX(Input!$I$43:$I$2956,AX$3+$A3),"")</f>
        <v/>
      </c>
      <c r="AY4" s="14" t="str">
        <f>IF(AY$3&lt;=$B4,INDEX(Input!$I$43:$I$2956,AY$3+$A3),"")</f>
        <v/>
      </c>
      <c r="AZ4" s="14" t="str">
        <f>IF(AZ$3&lt;=$B4,INDEX(Input!$I$43:$I$2956,AZ$3+$A3),"")</f>
        <v/>
      </c>
      <c r="BA4" s="14" t="str">
        <f>IF(BA$3&lt;=$B4,INDEX(Input!$I$43:$I$2956,BA$3+$A3),"")</f>
        <v/>
      </c>
      <c r="BB4" s="14" t="str">
        <f>IF(BB$3&lt;=$B4,INDEX(Input!$I$43:$I$2956,BB$3+$A3),"")</f>
        <v/>
      </c>
      <c r="BC4" s="14" t="str">
        <f>IF(BC$3&lt;=$B4,INDEX(Input!$I$43:$I$2956,BC$3+$A3),"")</f>
        <v/>
      </c>
      <c r="BD4" s="14" t="str">
        <f>IF(BD$3&lt;=$B4,INDEX(Input!$I$43:$I$2956,BD$3+$A3),"")</f>
        <v/>
      </c>
      <c r="BE4" s="14" t="str">
        <f>IF(BE$3&lt;=$B4,INDEX(Input!$I$43:$I$2956,BE$3+$A3),"")</f>
        <v/>
      </c>
      <c r="BF4" s="14" t="str">
        <f>IF(BF$3&lt;=$B4,INDEX(Input!$I$43:$I$2956,BF$3+$A3),"")</f>
        <v/>
      </c>
      <c r="BG4" s="14" t="str">
        <f>IF(BG$3&lt;=$B4,INDEX(Input!$I$43:$I$2956,BG$3+$A3),"")</f>
        <v/>
      </c>
      <c r="BH4" s="14" t="str">
        <f>IF(BH$3&lt;=$B4,INDEX(Input!$I$43:$I$2956,BH$3+$A3),"")</f>
        <v/>
      </c>
      <c r="BI4" s="14" t="str">
        <f>IF(BI$3&lt;=$B4,INDEX(Input!$I$43:$I$2956,BI$3+$A3),"")</f>
        <v/>
      </c>
      <c r="BJ4" s="14" t="str">
        <f>IF(BJ$3&lt;=$B4,INDEX(Input!$I$43:$I$2956,BJ$3+$A3),"")</f>
        <v/>
      </c>
      <c r="BK4" s="14" t="str">
        <f>IF(BK$3&lt;=$B4,INDEX(Input!$I$43:$I$2956,BK$3+$A3),"")</f>
        <v/>
      </c>
      <c r="BL4" s="14" t="str">
        <f>IF(BL$3&lt;=$B4,INDEX(Input!$I$43:$I$2956,BL$3+$A3),"")</f>
        <v/>
      </c>
      <c r="BM4" s="14" t="str">
        <f>IF(BM$3&lt;=$B4,INDEX(Input!$I$43:$I$2956,BM$3+$A3),"")</f>
        <v/>
      </c>
      <c r="BN4" s="14" t="str">
        <f>IF(BN$3&lt;=$B4,INDEX(Input!$I$43:$I$2956,BN$3+$A3),"")</f>
        <v/>
      </c>
      <c r="BO4" s="14" t="str">
        <f>IF(BO$3&lt;=$B4,INDEX(Input!$I$43:$I$2956,BO$3+$A3),"")</f>
        <v/>
      </c>
      <c r="BP4" s="14" t="str">
        <f>IF(BP$3&lt;=$B4,INDEX(Input!$I$43:$I$2956,BP$3+$A3),"")</f>
        <v/>
      </c>
      <c r="BQ4" s="14" t="str">
        <f>IF(BQ$3&lt;=$B4,INDEX(Input!$I$43:$I$2956,BQ$3+$A3),"")</f>
        <v/>
      </c>
      <c r="BR4" s="14" t="str">
        <f>IF(BR$3&lt;=$B4,INDEX(Input!$I$43:$I$2956,BR$3+$A3),"")</f>
        <v/>
      </c>
      <c r="BS4" s="14" t="str">
        <f>IF(BS$3&lt;=$B4,INDEX(Input!$I$43:$I$2956,BS$3+$A3),"")</f>
        <v/>
      </c>
      <c r="BT4" s="14" t="str">
        <f>IF(BT$3&lt;=$B4,INDEX(Input!$I$43:$I$2956,BT$3+$A3),"")</f>
        <v/>
      </c>
      <c r="BU4" s="14" t="str">
        <f>IF(BU$3&lt;=$B4,INDEX(Input!$I$43:$I$2956,BU$3+$A3),"")</f>
        <v/>
      </c>
      <c r="BV4" s="14" t="str">
        <f>IF(BV$3&lt;=$B4,INDEX(Input!$I$43:$I$2956,BV$3+$A3),"")</f>
        <v/>
      </c>
      <c r="BW4" s="14" t="str">
        <f>IF(BW$3&lt;=$B4,INDEX(Input!$I$43:$I$2956,BW$3+$A3),"")</f>
        <v/>
      </c>
      <c r="BX4" s="14" t="str">
        <f>IF(BX$3&lt;=$B4,INDEX(Input!$I$43:$I$2956,BX$3+$A3),"")</f>
        <v/>
      </c>
      <c r="BY4" s="14" t="str">
        <f>IF(BY$3&lt;=$B4,INDEX(Input!$I$43:$I$2956,BY$3+$A3),"")</f>
        <v/>
      </c>
      <c r="BZ4" s="14" t="str">
        <f>IF(BZ$3&lt;=$B4,INDEX(Input!$I$43:$I$2956,BZ$3+$A3),"")</f>
        <v/>
      </c>
      <c r="CA4" s="14" t="str">
        <f>IF(CA$3&lt;=$B4,INDEX(Input!$I$43:$I$2956,CA$3+$A3),"")</f>
        <v/>
      </c>
      <c r="CB4" s="14" t="str">
        <f>IF(CB$3&lt;=$B4,INDEX(Input!$I$43:$I$2956,CB$3+$A3),"")</f>
        <v/>
      </c>
      <c r="CC4" s="14" t="str">
        <f>IF(CC$3&lt;=$B4,INDEX(Input!$I$43:$I$2956,CC$3+$A3),"")</f>
        <v/>
      </c>
      <c r="CD4" s="14" t="str">
        <f>IF(CD$3&lt;=$B4,INDEX(Input!$I$43:$I$2956,CD$3+$A3),"")</f>
        <v/>
      </c>
      <c r="CE4" s="14" t="str">
        <f>IF(CE$3&lt;=$B4,INDEX(Input!$I$43:$I$2956,CE$3+$A3),"")</f>
        <v/>
      </c>
      <c r="CF4" s="14" t="str">
        <f>IF(CF$3&lt;=$B4,INDEX(Input!$I$43:$I$2956,CF$3+$A3),"")</f>
        <v/>
      </c>
      <c r="CG4" s="14" t="str">
        <f>IF(CG$3&lt;=$B4,INDEX(Input!$I$43:$I$2956,CG$3+$A3),"")</f>
        <v/>
      </c>
      <c r="CH4" s="14" t="str">
        <f>IF(CH$3&lt;=$B4,INDEX(Input!$I$43:$I$2956,CH$3+$A3),"")</f>
        <v/>
      </c>
      <c r="CI4" s="14" t="str">
        <f>IF(CI$3&lt;=$B4,INDEX(Input!$I$43:$I$2956,CI$3+$A3),"")</f>
        <v/>
      </c>
      <c r="CJ4" s="14" t="str">
        <f>IF(CJ$3&lt;=$B4,INDEX(Input!$I$43:$I$2956,CJ$3+$A3),"")</f>
        <v/>
      </c>
      <c r="CK4" s="14" t="str">
        <f>IF(CK$3&lt;=$B4,INDEX(Input!$I$43:$I$2956,CK$3+$A3),"")</f>
        <v/>
      </c>
      <c r="CL4" s="14" t="str">
        <f>IF(CL$3&lt;=$B4,INDEX(Input!$I$43:$I$2956,CL$3+$A3),"")</f>
        <v/>
      </c>
      <c r="CM4" s="14" t="str">
        <f>IF(CM$3&lt;=$B4,INDEX(Input!$I$43:$I$2956,CM$3+$A3),"")</f>
        <v/>
      </c>
      <c r="CN4" s="14" t="str">
        <f>IF(CN$3&lt;=$B4,INDEX(Input!$I$43:$I$2956,CN$3+$A3),"")</f>
        <v/>
      </c>
      <c r="CO4" s="14" t="str">
        <f>IF(CO$3&lt;=$B4,INDEX(Input!$I$43:$I$2956,CO$3+$A3),"")</f>
        <v/>
      </c>
      <c r="CP4" s="14" t="str">
        <f>IF(CP$3&lt;=$B4,INDEX(Input!$I$43:$I$2956,CP$3+$A3),"")</f>
        <v/>
      </c>
      <c r="CQ4" s="14" t="str">
        <f>IF(CQ$3&lt;=$B4,INDEX(Input!$I$43:$I$2956,CQ$3+$A3),"")</f>
        <v/>
      </c>
      <c r="CR4" s="14" t="str">
        <f>IF(CR$3&lt;=$B4,INDEX(Input!$I$43:$I$2956,CR$3+$A3),"")</f>
        <v/>
      </c>
      <c r="CS4" s="14" t="str">
        <f>IF(CS$3&lt;=$B4,INDEX(Input!$I$43:$I$2956,CS$3+$A3),"")</f>
        <v/>
      </c>
      <c r="CT4" s="14" t="str">
        <f>IF(CT$3&lt;=$B4,INDEX(Input!$I$43:$I$2956,CT$3+$A3),"")</f>
        <v/>
      </c>
      <c r="CU4" s="14" t="str">
        <f>IF(CU$3&lt;=$B4,INDEX(Input!$I$43:$I$2956,CU$3+$A3),"")</f>
        <v/>
      </c>
      <c r="CV4" s="14" t="str">
        <f>IF(CV$3&lt;=$B4,INDEX(Input!$I$43:$I$2956,CV$3+$A3),"")</f>
        <v/>
      </c>
      <c r="CW4" s="14" t="str">
        <f>IF(CW$3&lt;=$B4,INDEX(Input!$I$43:$I$2956,CW$3+$A3),"")</f>
        <v/>
      </c>
      <c r="CX4" s="14" t="str">
        <f>IF(CX$3&lt;=$B4,INDEX(Input!$I$43:$I$2956,CX$3+$A3),"")</f>
        <v/>
      </c>
      <c r="CY4" s="14" t="str">
        <f>IF(CY$3&lt;=$B4,INDEX(Input!$I$43:$I$2956,CY$3+$A3),"")</f>
        <v/>
      </c>
      <c r="CZ4" s="14" t="str">
        <f>IF(CZ$3&lt;=$B4,INDEX(Input!$I$43:$I$2956,CZ$3+$A3),"")</f>
        <v/>
      </c>
      <c r="DA4" s="14" t="str">
        <f>IF(DA$3&lt;=$B4,INDEX(Input!$I$43:$I$2956,DA$3+$A3),"")</f>
        <v/>
      </c>
      <c r="DB4" s="14" t="str">
        <f>IF(DB$3&lt;=$B4,INDEX(Input!$I$43:$I$2956,DB$3+$A3),"")</f>
        <v/>
      </c>
      <c r="DC4" s="14" t="str">
        <f>IF(DC$3&lt;=$B4,INDEX(Input!$I$43:$I$2956,DC$3+$A3),"")</f>
        <v/>
      </c>
      <c r="DD4" s="14" t="str">
        <f>IF(DD$3&lt;=$B4,INDEX(Input!$I$43:$I$2956,DD$3+$A3),"")</f>
        <v/>
      </c>
      <c r="DE4" s="14" t="str">
        <f>IF(DE$3&lt;=$B4,INDEX(Input!$I$43:$I$2956,DE$3+$A3),"")</f>
        <v/>
      </c>
      <c r="DF4" s="14" t="str">
        <f>IF(DF$3&lt;=$B4,INDEX(Input!$I$43:$I$2956,DF$3+$A3),"")</f>
        <v/>
      </c>
      <c r="DG4" s="14" t="str">
        <f>IF(DG$3&lt;=$B4,INDEX(Input!$I$43:$I$2956,DG$3+$A3),"")</f>
        <v/>
      </c>
      <c r="DH4" s="14" t="str">
        <f>IF(DH$3&lt;=$B4,INDEX(Input!$I$43:$I$2956,DH$3+$A3),"")</f>
        <v/>
      </c>
      <c r="DI4" s="14" t="str">
        <f>IF(DI$3&lt;=$B4,INDEX(Input!$I$43:$I$2956,DI$3+$A3),"")</f>
        <v/>
      </c>
      <c r="DJ4" s="14" t="str">
        <f>IF(DJ$3&lt;=$B4,INDEX(Input!$I$43:$I$2956,DJ$3+$A3),"")</f>
        <v/>
      </c>
      <c r="DK4" s="14" t="str">
        <f>IF(DK$3&lt;=$B4,INDEX(Input!$I$43:$I$2956,DK$3+$A3),"")</f>
        <v/>
      </c>
      <c r="DL4" s="14" t="str">
        <f>IF(DL$3&lt;=$B4,INDEX(Input!$I$43:$I$2956,DL$3+$A3),"")</f>
        <v/>
      </c>
      <c r="DM4" s="14" t="str">
        <f>IF(DM$3&lt;=$B4,INDEX(Input!$I$43:$I$2956,DM$3+$A3),"")</f>
        <v/>
      </c>
      <c r="DN4" s="14" t="str">
        <f>IF(DN$3&lt;=$B4,INDEX(Input!$I$43:$I$2956,DN$3+$A3),"")</f>
        <v/>
      </c>
      <c r="DO4" s="14" t="str">
        <f>IF(DO$3&lt;=$B4,INDEX(Input!$I$43:$I$2956,DO$3+$A3),"")</f>
        <v/>
      </c>
      <c r="DP4" s="14" t="str">
        <f>IF(DP$3&lt;=$B4,INDEX(Input!$I$43:$I$2956,DP$3+$A3),"")</f>
        <v/>
      </c>
      <c r="DQ4" s="14" t="str">
        <f>IF(DQ$3&lt;=$B4,INDEX(Input!$I$43:$I$2956,DQ$3+$A3),"")</f>
        <v/>
      </c>
      <c r="DR4" s="14" t="str">
        <f>IF(DR$3&lt;=$B4,INDEX(Input!$I$43:$I$2956,DR$3+$A3),"")</f>
        <v/>
      </c>
      <c r="DS4" s="14" t="str">
        <f>IF(DS$3&lt;=$B4,INDEX(Input!$I$43:$I$2956,DS$3+$A3),"")</f>
        <v/>
      </c>
      <c r="DT4" s="14" t="str">
        <f>IF(DT$3&lt;=$B4,INDEX(Input!$I$43:$I$2956,DT$3+$A3),"")</f>
        <v/>
      </c>
      <c r="DU4" s="14" t="str">
        <f>IF(DU$3&lt;=$B4,INDEX(Input!$I$43:$I$2956,DU$3+$A3),"")</f>
        <v/>
      </c>
      <c r="DV4" s="14" t="str">
        <f>IF(DV$3&lt;=$B4,INDEX(Input!$I$43:$I$2956,DV$3+$A3),"")</f>
        <v/>
      </c>
      <c r="DW4" s="55">
        <f t="array" ref="DW4:EZ4">eccalc(E4:DV4,C4+B4,B4,$O$2:$AS$2)</f>
        <v>217</v>
      </c>
      <c r="DX4" s="56">
        <v>30</v>
      </c>
      <c r="DY4" s="56">
        <v>159</v>
      </c>
      <c r="DZ4" s="56">
        <v>109</v>
      </c>
      <c r="EA4" s="56">
        <v>150</v>
      </c>
      <c r="EB4" s="56">
        <v>254</v>
      </c>
      <c r="EC4" s="56">
        <v>113</v>
      </c>
      <c r="ED4" s="56">
        <v>157</v>
      </c>
      <c r="EE4" s="56">
        <v>246</v>
      </c>
      <c r="EF4" s="56">
        <v>198</v>
      </c>
      <c r="EG4" s="56">
        <v>240</v>
      </c>
      <c r="EH4" s="56">
        <v>14</v>
      </c>
      <c r="EI4" s="56">
        <v>177</v>
      </c>
      <c r="EJ4" s="56">
        <v>17</v>
      </c>
      <c r="EK4" s="56">
        <v>43</v>
      </c>
      <c r="EL4" s="56">
        <v>26</v>
      </c>
      <c r="EM4" s="56">
        <v>56</v>
      </c>
      <c r="EN4" s="56">
        <v>201</v>
      </c>
      <c r="EO4" s="56">
        <v>81</v>
      </c>
      <c r="EP4" s="56">
        <v>197</v>
      </c>
      <c r="EQ4" s="56">
        <v>175</v>
      </c>
      <c r="ER4" s="56">
        <v>248</v>
      </c>
      <c r="ES4" s="56">
        <v>0</v>
      </c>
      <c r="ET4" s="56">
        <v>0</v>
      </c>
      <c r="EU4" s="56">
        <v>0</v>
      </c>
      <c r="EV4" s="56">
        <v>0</v>
      </c>
      <c r="EW4" s="56">
        <v>0</v>
      </c>
      <c r="EX4" s="56">
        <v>0</v>
      </c>
      <c r="EY4" s="56">
        <v>0</v>
      </c>
      <c r="EZ4" s="57">
        <v>0</v>
      </c>
      <c r="FA4" s="17"/>
      <c r="FC4">
        <v>1</v>
      </c>
      <c r="FD4">
        <f>IF(MOD(FC4,$FB$1+$FB$2)=0,$FB$1+$FB$2,MOD(FC4,$FB$1+$FB$2))</f>
        <v>1</v>
      </c>
      <c r="FE4">
        <f>ROUNDUP(FC4/($FB$1+$FB$2),0)</f>
        <v>1</v>
      </c>
      <c r="FF4">
        <f>IF(FE4&lt;$FB$3,INDEX($E$4:$DV$84,FD4,FE4),IF(FE4=$FB$3,INDEX($E$4:$DV$84,FD4+$FB$1,FE4),""))</f>
        <v>209</v>
      </c>
      <c r="FI4" s="16">
        <v>1</v>
      </c>
      <c r="FJ4" s="17">
        <f>IF(FE4&lt;=$FH$1,INDEX($DW$4:$EZ$84,FD4,FE4),"")</f>
        <v>217</v>
      </c>
      <c r="FK4" s="17">
        <f>IF(FI4&lt;=$FH$2,FF4,IF(FI4&lt;=$FH$2+$FH$3,INDEX($FJ$4:$FJ$2494,FI4-$FH$2),""))</f>
        <v>209</v>
      </c>
      <c r="FL4" s="18" t="str">
        <f>IFERROR(TEXT(DEC2BIN(FK4),"00000000"),"")</f>
        <v>11010001</v>
      </c>
      <c r="FM4" s="2"/>
      <c r="FN4" s="17"/>
      <c r="FO4" s="17"/>
      <c r="FP4" s="17"/>
      <c r="FQ4" s="17"/>
    </row>
    <row r="5" spans="1:173">
      <c r="A5">
        <f>SUM($B$4:B5)</f>
        <v>24</v>
      </c>
      <c r="B5">
        <f t="shared" ref="B5:B68" si="0">INDEX($F$90:$CH$249,$N$1,D5)</f>
        <v>12</v>
      </c>
      <c r="C5">
        <f t="shared" ref="C5:C68" si="1">IF(B5&lt;&gt;0,INDEX($E$90:$E$249,$N$1),"")</f>
        <v>22</v>
      </c>
      <c r="D5">
        <v>2</v>
      </c>
      <c r="E5" s="16">
        <f>IF(E$3&lt;=$B5,INDEX(Input!$I$43:$I$2956,E$3+$A4),"")</f>
        <v>122</v>
      </c>
      <c r="F5" s="17">
        <f>IF(F$3&lt;=$B5,INDEX(Input!$I$43:$I$2956,F$3+$A4),"")</f>
        <v>176</v>
      </c>
      <c r="G5" s="17">
        <f>IF(G$3&lt;=$B5,INDEX(Input!$I$43:$I$2956,G$3+$A4),"")</f>
        <v>50</v>
      </c>
      <c r="H5" s="17">
        <f>IF(H$3&lt;=$B5,INDEX(Input!$I$43:$I$2956,H$3+$A4),"")</f>
        <v>219</v>
      </c>
      <c r="I5" s="17">
        <f>IF(I$3&lt;=$B5,INDEX(Input!$I$43:$I$2956,I$3+$A4),"")</f>
        <v>218</v>
      </c>
      <c r="J5" s="17">
        <f>IF(J$3&lt;=$B5,INDEX(Input!$I$43:$I$2956,J$3+$A4),"")</f>
        <v>178</v>
      </c>
      <c r="K5" s="17">
        <f>IF(K$3&lt;=$B5,INDEX(Input!$I$43:$I$2956,K$3+$A4),"")</f>
        <v>82</v>
      </c>
      <c r="L5" s="17">
        <f>IF(L$3&lt;=$B5,INDEX(Input!$I$43:$I$2956,L$3+$A4),"")</f>
        <v>154</v>
      </c>
      <c r="M5" s="17">
        <f>IF(M$3&lt;=$B5,INDEX(Input!$I$43:$I$2956,M$3+$A4),"")</f>
        <v>48</v>
      </c>
      <c r="N5" s="17">
        <f>IF(N$3&lt;=$B5,INDEX(Input!$I$43:$I$2956,N$3+$A4),"")</f>
        <v>114</v>
      </c>
      <c r="O5" s="17">
        <f>IF(O$3&lt;=$B5,INDEX(Input!$I$43:$I$2956,O$3+$A4),"")</f>
        <v>44</v>
      </c>
      <c r="P5" s="17">
        <f>IF(P$3&lt;=$B5,INDEX(Input!$I$43:$I$2956,P$3+$A4),"")</f>
        <v>168</v>
      </c>
      <c r="Q5" s="17" t="str">
        <f>IF(Q$3&lt;=$B5,INDEX(Input!$I$43:$I$2956,Q$3+$A4),"")</f>
        <v/>
      </c>
      <c r="R5" s="17" t="str">
        <f>IF(R$3&lt;=$B5,INDEX(Input!$I$43:$I$2956,R$3+$A4),"")</f>
        <v/>
      </c>
      <c r="S5" s="17" t="str">
        <f>IF(S$3&lt;=$B5,INDEX(Input!$I$43:$I$2956,S$3+$A4),"")</f>
        <v/>
      </c>
      <c r="T5" s="17" t="str">
        <f>IF(T$3&lt;=$B5,INDEX(Input!$I$43:$I$2956,T$3+$A4),"")</f>
        <v/>
      </c>
      <c r="U5" s="17" t="str">
        <f>IF(U$3&lt;=$B5,INDEX(Input!$I$43:$I$2956,U$3+$A4),"")</f>
        <v/>
      </c>
      <c r="V5" s="17" t="str">
        <f>IF(V$3&lt;=$B5,INDEX(Input!$I$43:$I$2956,V$3+$A4),"")</f>
        <v/>
      </c>
      <c r="W5" s="17" t="str">
        <f>IF(W$3&lt;=$B5,INDEX(Input!$I$43:$I$2956,W$3+$A4),"")</f>
        <v/>
      </c>
      <c r="X5" s="17" t="str">
        <f>IF(X$3&lt;=$B5,INDEX(Input!$I$43:$I$2956,X$3+$A4),"")</f>
        <v/>
      </c>
      <c r="Y5" s="17" t="str">
        <f>IF(Y$3&lt;=$B5,INDEX(Input!$I$43:$I$2956,Y$3+$A4),"")</f>
        <v/>
      </c>
      <c r="Z5" s="17" t="str">
        <f>IF(Z$3&lt;=$B5,INDEX(Input!$I$43:$I$2956,Z$3+$A4),"")</f>
        <v/>
      </c>
      <c r="AA5" s="17" t="str">
        <f>IF(AA$3&lt;=$B5,INDEX(Input!$I$43:$I$2956,AA$3+$A4),"")</f>
        <v/>
      </c>
      <c r="AB5" s="17" t="str">
        <f>IF(AB$3&lt;=$B5,INDEX(Input!$I$43:$I$2956,AB$3+$A4),"")</f>
        <v/>
      </c>
      <c r="AC5" s="17" t="str">
        <f>IF(AC$3&lt;=$B5,INDEX(Input!$I$43:$I$2956,AC$3+$A4),"")</f>
        <v/>
      </c>
      <c r="AD5" s="17" t="str">
        <f>IF(AD$3&lt;=$B5,INDEX(Input!$I$43:$I$2956,AD$3+$A4),"")</f>
        <v/>
      </c>
      <c r="AE5" s="17" t="str">
        <f>IF(AE$3&lt;=$B5,INDEX(Input!$I$43:$I$2956,AE$3+$A4),"")</f>
        <v/>
      </c>
      <c r="AF5" s="17" t="str">
        <f>IF(AF$3&lt;=$B5,INDEX(Input!$I$43:$I$2956,AF$3+$A4),"")</f>
        <v/>
      </c>
      <c r="AG5" s="17" t="str">
        <f>IF(AG$3&lt;=$B5,INDEX(Input!$I$43:$I$2956,AG$3+$A4),"")</f>
        <v/>
      </c>
      <c r="AH5" s="17" t="str">
        <f>IF(AH$3&lt;=$B5,INDEX(Input!$I$43:$I$2956,AH$3+$A4),"")</f>
        <v/>
      </c>
      <c r="AI5" s="17" t="str">
        <f>IF(AI$3&lt;=$B5,INDEX(Input!$I$43:$I$2956,AI$3+$A4),"")</f>
        <v/>
      </c>
      <c r="AJ5" s="17" t="str">
        <f>IF(AJ$3&lt;=$B5,INDEX(Input!$I$43:$I$2956,AJ$3+$A4),"")</f>
        <v/>
      </c>
      <c r="AK5" s="17" t="str">
        <f>IF(AK$3&lt;=$B5,INDEX(Input!$I$43:$I$2956,AK$3+$A4),"")</f>
        <v/>
      </c>
      <c r="AL5" s="17" t="str">
        <f>IF(AL$3&lt;=$B5,INDEX(Input!$I$43:$I$2956,AL$3+$A4),"")</f>
        <v/>
      </c>
      <c r="AM5" s="17" t="str">
        <f>IF(AM$3&lt;=$B5,INDEX(Input!$I$43:$I$2956,AM$3+$A4),"")</f>
        <v/>
      </c>
      <c r="AN5" s="17" t="str">
        <f>IF(AN$3&lt;=$B5,INDEX(Input!$I$43:$I$2956,AN$3+$A4),"")</f>
        <v/>
      </c>
      <c r="AO5" s="17" t="str">
        <f>IF(AO$3&lt;=$B5,INDEX(Input!$I$43:$I$2956,AO$3+$A4),"")</f>
        <v/>
      </c>
      <c r="AP5" s="17" t="str">
        <f>IF(AP$3&lt;=$B5,INDEX(Input!$I$43:$I$2956,AP$3+$A4),"")</f>
        <v/>
      </c>
      <c r="AQ5" s="17" t="str">
        <f>IF(AQ$3&lt;=$B5,INDEX(Input!$I$43:$I$2956,AQ$3+$A4),"")</f>
        <v/>
      </c>
      <c r="AR5" s="17" t="str">
        <f>IF(AR$3&lt;=$B5,INDEX(Input!$I$43:$I$2956,AR$3+$A4),"")</f>
        <v/>
      </c>
      <c r="AS5" s="17" t="str">
        <f>IF(AS$3&lt;=$B5,INDEX(Input!$I$43:$I$2956,AS$3+$A4),"")</f>
        <v/>
      </c>
      <c r="AT5" s="17" t="str">
        <f>IF(AT$3&lt;=$B5,INDEX(Input!$I$43:$I$2956,AT$3+$A4),"")</f>
        <v/>
      </c>
      <c r="AU5" s="17" t="str">
        <f>IF(AU$3&lt;=$B5,INDEX(Input!$I$43:$I$2956,AU$3+$A4),"")</f>
        <v/>
      </c>
      <c r="AV5" s="17" t="str">
        <f>IF(AV$3&lt;=$B5,INDEX(Input!$I$43:$I$2956,AV$3+$A4),"")</f>
        <v/>
      </c>
      <c r="AW5" s="17" t="str">
        <f>IF(AW$3&lt;=$B5,INDEX(Input!$I$43:$I$2956,AW$3+$A4),"")</f>
        <v/>
      </c>
      <c r="AX5" s="17" t="str">
        <f>IF(AX$3&lt;=$B5,INDEX(Input!$I$43:$I$2956,AX$3+$A4),"")</f>
        <v/>
      </c>
      <c r="AY5" s="17" t="str">
        <f>IF(AY$3&lt;=$B5,INDEX(Input!$I$43:$I$2956,AY$3+$A4),"")</f>
        <v/>
      </c>
      <c r="AZ5" s="17" t="str">
        <f>IF(AZ$3&lt;=$B5,INDEX(Input!$I$43:$I$2956,AZ$3+$A4),"")</f>
        <v/>
      </c>
      <c r="BA5" s="17" t="str">
        <f>IF(BA$3&lt;=$B5,INDEX(Input!$I$43:$I$2956,BA$3+$A4),"")</f>
        <v/>
      </c>
      <c r="BB5" s="17" t="str">
        <f>IF(BB$3&lt;=$B5,INDEX(Input!$I$43:$I$2956,BB$3+$A4),"")</f>
        <v/>
      </c>
      <c r="BC5" s="17" t="str">
        <f>IF(BC$3&lt;=$B5,INDEX(Input!$I$43:$I$2956,BC$3+$A4),"")</f>
        <v/>
      </c>
      <c r="BD5" s="17" t="str">
        <f>IF(BD$3&lt;=$B5,INDEX(Input!$I$43:$I$2956,BD$3+$A4),"")</f>
        <v/>
      </c>
      <c r="BE5" s="17" t="str">
        <f>IF(BE$3&lt;=$B5,INDEX(Input!$I$43:$I$2956,BE$3+$A4),"")</f>
        <v/>
      </c>
      <c r="BF5" s="17" t="str">
        <f>IF(BF$3&lt;=$B5,INDEX(Input!$I$43:$I$2956,BF$3+$A4),"")</f>
        <v/>
      </c>
      <c r="BG5" s="17" t="str">
        <f>IF(BG$3&lt;=$B5,INDEX(Input!$I$43:$I$2956,BG$3+$A4),"")</f>
        <v/>
      </c>
      <c r="BH5" s="17" t="str">
        <f>IF(BH$3&lt;=$B5,INDEX(Input!$I$43:$I$2956,BH$3+$A4),"")</f>
        <v/>
      </c>
      <c r="BI5" s="17" t="str">
        <f>IF(BI$3&lt;=$B5,INDEX(Input!$I$43:$I$2956,BI$3+$A4),"")</f>
        <v/>
      </c>
      <c r="BJ5" s="17" t="str">
        <f>IF(BJ$3&lt;=$B5,INDEX(Input!$I$43:$I$2956,BJ$3+$A4),"")</f>
        <v/>
      </c>
      <c r="BK5" s="17" t="str">
        <f>IF(BK$3&lt;=$B5,INDEX(Input!$I$43:$I$2956,BK$3+$A4),"")</f>
        <v/>
      </c>
      <c r="BL5" s="17" t="str">
        <f>IF(BL$3&lt;=$B5,INDEX(Input!$I$43:$I$2956,BL$3+$A4),"")</f>
        <v/>
      </c>
      <c r="BM5" s="17" t="str">
        <f>IF(BM$3&lt;=$B5,INDEX(Input!$I$43:$I$2956,BM$3+$A4),"")</f>
        <v/>
      </c>
      <c r="BN5" s="17" t="str">
        <f>IF(BN$3&lt;=$B5,INDEX(Input!$I$43:$I$2956,BN$3+$A4),"")</f>
        <v/>
      </c>
      <c r="BO5" s="17" t="str">
        <f>IF(BO$3&lt;=$B5,INDEX(Input!$I$43:$I$2956,BO$3+$A4),"")</f>
        <v/>
      </c>
      <c r="BP5" s="17" t="str">
        <f>IF(BP$3&lt;=$B5,INDEX(Input!$I$43:$I$2956,BP$3+$A4),"")</f>
        <v/>
      </c>
      <c r="BQ5" s="17" t="str">
        <f>IF(BQ$3&lt;=$B5,INDEX(Input!$I$43:$I$2956,BQ$3+$A4),"")</f>
        <v/>
      </c>
      <c r="BR5" s="17" t="str">
        <f>IF(BR$3&lt;=$B5,INDEX(Input!$I$43:$I$2956,BR$3+$A4),"")</f>
        <v/>
      </c>
      <c r="BS5" s="17" t="str">
        <f>IF(BS$3&lt;=$B5,INDEX(Input!$I$43:$I$2956,BS$3+$A4),"")</f>
        <v/>
      </c>
      <c r="BT5" s="17" t="str">
        <f>IF(BT$3&lt;=$B5,INDEX(Input!$I$43:$I$2956,BT$3+$A4),"")</f>
        <v/>
      </c>
      <c r="BU5" s="17" t="str">
        <f>IF(BU$3&lt;=$B5,INDEX(Input!$I$43:$I$2956,BU$3+$A4),"")</f>
        <v/>
      </c>
      <c r="BV5" s="17" t="str">
        <f>IF(BV$3&lt;=$B5,INDEX(Input!$I$43:$I$2956,BV$3+$A4),"")</f>
        <v/>
      </c>
      <c r="BW5" s="17" t="str">
        <f>IF(BW$3&lt;=$B5,INDEX(Input!$I$43:$I$2956,BW$3+$A4),"")</f>
        <v/>
      </c>
      <c r="BX5" s="17" t="str">
        <f>IF(BX$3&lt;=$B5,INDEX(Input!$I$43:$I$2956,BX$3+$A4),"")</f>
        <v/>
      </c>
      <c r="BY5" s="17" t="str">
        <f>IF(BY$3&lt;=$B5,INDEX(Input!$I$43:$I$2956,BY$3+$A4),"")</f>
        <v/>
      </c>
      <c r="BZ5" s="17" t="str">
        <f>IF(BZ$3&lt;=$B5,INDEX(Input!$I$43:$I$2956,BZ$3+$A4),"")</f>
        <v/>
      </c>
      <c r="CA5" s="17" t="str">
        <f>IF(CA$3&lt;=$B5,INDEX(Input!$I$43:$I$2956,CA$3+$A4),"")</f>
        <v/>
      </c>
      <c r="CB5" s="17" t="str">
        <f>IF(CB$3&lt;=$B5,INDEX(Input!$I$43:$I$2956,CB$3+$A4),"")</f>
        <v/>
      </c>
      <c r="CC5" s="17" t="str">
        <f>IF(CC$3&lt;=$B5,INDEX(Input!$I$43:$I$2956,CC$3+$A4),"")</f>
        <v/>
      </c>
      <c r="CD5" s="17" t="str">
        <f>IF(CD$3&lt;=$B5,INDEX(Input!$I$43:$I$2956,CD$3+$A4),"")</f>
        <v/>
      </c>
      <c r="CE5" s="17" t="str">
        <f>IF(CE$3&lt;=$B5,INDEX(Input!$I$43:$I$2956,CE$3+$A4),"")</f>
        <v/>
      </c>
      <c r="CF5" s="17" t="str">
        <f>IF(CF$3&lt;=$B5,INDEX(Input!$I$43:$I$2956,CF$3+$A4),"")</f>
        <v/>
      </c>
      <c r="CG5" s="17" t="str">
        <f>IF(CG$3&lt;=$B5,INDEX(Input!$I$43:$I$2956,CG$3+$A4),"")</f>
        <v/>
      </c>
      <c r="CH5" s="17" t="str">
        <f>IF(CH$3&lt;=$B5,INDEX(Input!$I$43:$I$2956,CH$3+$A4),"")</f>
        <v/>
      </c>
      <c r="CI5" s="17" t="str">
        <f>IF(CI$3&lt;=$B5,INDEX(Input!$I$43:$I$2956,CI$3+$A4),"")</f>
        <v/>
      </c>
      <c r="CJ5" s="17" t="str">
        <f>IF(CJ$3&lt;=$B5,INDEX(Input!$I$43:$I$2956,CJ$3+$A4),"")</f>
        <v/>
      </c>
      <c r="CK5" s="17" t="str">
        <f>IF(CK$3&lt;=$B5,INDEX(Input!$I$43:$I$2956,CK$3+$A4),"")</f>
        <v/>
      </c>
      <c r="CL5" s="17" t="str">
        <f>IF(CL$3&lt;=$B5,INDEX(Input!$I$43:$I$2956,CL$3+$A4),"")</f>
        <v/>
      </c>
      <c r="CM5" s="17" t="str">
        <f>IF(CM$3&lt;=$B5,INDEX(Input!$I$43:$I$2956,CM$3+$A4),"")</f>
        <v/>
      </c>
      <c r="CN5" s="17" t="str">
        <f>IF(CN$3&lt;=$B5,INDEX(Input!$I$43:$I$2956,CN$3+$A4),"")</f>
        <v/>
      </c>
      <c r="CO5" s="17" t="str">
        <f>IF(CO$3&lt;=$B5,INDEX(Input!$I$43:$I$2956,CO$3+$A4),"")</f>
        <v/>
      </c>
      <c r="CP5" s="17" t="str">
        <f>IF(CP$3&lt;=$B5,INDEX(Input!$I$43:$I$2956,CP$3+$A4),"")</f>
        <v/>
      </c>
      <c r="CQ5" s="17" t="str">
        <f>IF(CQ$3&lt;=$B5,INDEX(Input!$I$43:$I$2956,CQ$3+$A4),"")</f>
        <v/>
      </c>
      <c r="CR5" s="17" t="str">
        <f>IF(CR$3&lt;=$B5,INDEX(Input!$I$43:$I$2956,CR$3+$A4),"")</f>
        <v/>
      </c>
      <c r="CS5" s="17" t="str">
        <f>IF(CS$3&lt;=$B5,INDEX(Input!$I$43:$I$2956,CS$3+$A4),"")</f>
        <v/>
      </c>
      <c r="CT5" s="17" t="str">
        <f>IF(CT$3&lt;=$B5,INDEX(Input!$I$43:$I$2956,CT$3+$A4),"")</f>
        <v/>
      </c>
      <c r="CU5" s="17" t="str">
        <f>IF(CU$3&lt;=$B5,INDEX(Input!$I$43:$I$2956,CU$3+$A4),"")</f>
        <v/>
      </c>
      <c r="CV5" s="17" t="str">
        <f>IF(CV$3&lt;=$B5,INDEX(Input!$I$43:$I$2956,CV$3+$A4),"")</f>
        <v/>
      </c>
      <c r="CW5" s="17" t="str">
        <f>IF(CW$3&lt;=$B5,INDEX(Input!$I$43:$I$2956,CW$3+$A4),"")</f>
        <v/>
      </c>
      <c r="CX5" s="17" t="str">
        <f>IF(CX$3&lt;=$B5,INDEX(Input!$I$43:$I$2956,CX$3+$A4),"")</f>
        <v/>
      </c>
      <c r="CY5" s="17" t="str">
        <f>IF(CY$3&lt;=$B5,INDEX(Input!$I$43:$I$2956,CY$3+$A4),"")</f>
        <v/>
      </c>
      <c r="CZ5" s="17" t="str">
        <f>IF(CZ$3&lt;=$B5,INDEX(Input!$I$43:$I$2956,CZ$3+$A4),"")</f>
        <v/>
      </c>
      <c r="DA5" s="17" t="str">
        <f>IF(DA$3&lt;=$B5,INDEX(Input!$I$43:$I$2956,DA$3+$A4),"")</f>
        <v/>
      </c>
      <c r="DB5" s="17" t="str">
        <f>IF(DB$3&lt;=$B5,INDEX(Input!$I$43:$I$2956,DB$3+$A4),"")</f>
        <v/>
      </c>
      <c r="DC5" s="17" t="str">
        <f>IF(DC$3&lt;=$B5,INDEX(Input!$I$43:$I$2956,DC$3+$A4),"")</f>
        <v/>
      </c>
      <c r="DD5" s="17" t="str">
        <f>IF(DD$3&lt;=$B5,INDEX(Input!$I$43:$I$2956,DD$3+$A4),"")</f>
        <v/>
      </c>
      <c r="DE5" s="17" t="str">
        <f>IF(DE$3&lt;=$B5,INDEX(Input!$I$43:$I$2956,DE$3+$A4),"")</f>
        <v/>
      </c>
      <c r="DF5" s="17" t="str">
        <f>IF(DF$3&lt;=$B5,INDEX(Input!$I$43:$I$2956,DF$3+$A4),"")</f>
        <v/>
      </c>
      <c r="DG5" s="17" t="str">
        <f>IF(DG$3&lt;=$B5,INDEX(Input!$I$43:$I$2956,DG$3+$A4),"")</f>
        <v/>
      </c>
      <c r="DH5" s="17" t="str">
        <f>IF(DH$3&lt;=$B5,INDEX(Input!$I$43:$I$2956,DH$3+$A4),"")</f>
        <v/>
      </c>
      <c r="DI5" s="17" t="str">
        <f>IF(DI$3&lt;=$B5,INDEX(Input!$I$43:$I$2956,DI$3+$A4),"")</f>
        <v/>
      </c>
      <c r="DJ5" s="17" t="str">
        <f>IF(DJ$3&lt;=$B5,INDEX(Input!$I$43:$I$2956,DJ$3+$A4),"")</f>
        <v/>
      </c>
      <c r="DK5" s="17" t="str">
        <f>IF(DK$3&lt;=$B5,INDEX(Input!$I$43:$I$2956,DK$3+$A4),"")</f>
        <v/>
      </c>
      <c r="DL5" s="17" t="str">
        <f>IF(DL$3&lt;=$B5,INDEX(Input!$I$43:$I$2956,DL$3+$A4),"")</f>
        <v/>
      </c>
      <c r="DM5" s="17" t="str">
        <f>IF(DM$3&lt;=$B5,INDEX(Input!$I$43:$I$2956,DM$3+$A4),"")</f>
        <v/>
      </c>
      <c r="DN5" s="17" t="str">
        <f>IF(DN$3&lt;=$B5,INDEX(Input!$I$43:$I$2956,DN$3+$A4),"")</f>
        <v/>
      </c>
      <c r="DO5" s="17" t="str">
        <f>IF(DO$3&lt;=$B5,INDEX(Input!$I$43:$I$2956,DO$3+$A4),"")</f>
        <v/>
      </c>
      <c r="DP5" s="17" t="str">
        <f>IF(DP$3&lt;=$B5,INDEX(Input!$I$43:$I$2956,DP$3+$A4),"")</f>
        <v/>
      </c>
      <c r="DQ5" s="17" t="str">
        <f>IF(DQ$3&lt;=$B5,INDEX(Input!$I$43:$I$2956,DQ$3+$A4),"")</f>
        <v/>
      </c>
      <c r="DR5" s="17" t="str">
        <f>IF(DR$3&lt;=$B5,INDEX(Input!$I$43:$I$2956,DR$3+$A4),"")</f>
        <v/>
      </c>
      <c r="DS5" s="17" t="str">
        <f>IF(DS$3&lt;=$B5,INDEX(Input!$I$43:$I$2956,DS$3+$A4),"")</f>
        <v/>
      </c>
      <c r="DT5" s="17" t="str">
        <f>IF(DT$3&lt;=$B5,INDEX(Input!$I$43:$I$2956,DT$3+$A4),"")</f>
        <v/>
      </c>
      <c r="DU5" s="17" t="str">
        <f>IF(DU$3&lt;=$B5,INDEX(Input!$I$43:$I$2956,DU$3+$A4),"")</f>
        <v/>
      </c>
      <c r="DV5" s="17" t="str">
        <f>IF(DV$3&lt;=$B5,INDEX(Input!$I$43:$I$2956,DV$3+$A4),"")</f>
        <v/>
      </c>
      <c r="DW5" s="58">
        <f t="array" ref="DW5:EZ5">IFERROR(eccalc(E5:DV5,C5+B5,B5,$O$2:$AS$2),"")</f>
        <v>168</v>
      </c>
      <c r="DX5" s="59">
        <v>200</v>
      </c>
      <c r="DY5" s="59">
        <v>239</v>
      </c>
      <c r="DZ5" s="59">
        <v>182</v>
      </c>
      <c r="EA5" s="59">
        <v>167</v>
      </c>
      <c r="EB5" s="59">
        <v>251</v>
      </c>
      <c r="EC5" s="59">
        <v>109</v>
      </c>
      <c r="ED5" s="59">
        <v>163</v>
      </c>
      <c r="EE5" s="59">
        <v>129</v>
      </c>
      <c r="EF5" s="59">
        <v>217</v>
      </c>
      <c r="EG5" s="59">
        <v>34</v>
      </c>
      <c r="EH5" s="59">
        <v>85</v>
      </c>
      <c r="EI5" s="59">
        <v>82</v>
      </c>
      <c r="EJ5" s="59">
        <v>236</v>
      </c>
      <c r="EK5" s="59">
        <v>70</v>
      </c>
      <c r="EL5" s="59">
        <v>178</v>
      </c>
      <c r="EM5" s="59">
        <v>90</v>
      </c>
      <c r="EN5" s="59">
        <v>6</v>
      </c>
      <c r="EO5" s="59">
        <v>160</v>
      </c>
      <c r="EP5" s="59">
        <v>214</v>
      </c>
      <c r="EQ5" s="59">
        <v>200</v>
      </c>
      <c r="ER5" s="59">
        <v>105</v>
      </c>
      <c r="ES5" s="59">
        <v>0</v>
      </c>
      <c r="ET5" s="59">
        <v>0</v>
      </c>
      <c r="EU5" s="59">
        <v>0</v>
      </c>
      <c r="EV5" s="59">
        <v>0</v>
      </c>
      <c r="EW5" s="59">
        <v>0</v>
      </c>
      <c r="EX5" s="59">
        <v>0</v>
      </c>
      <c r="EY5" s="59">
        <v>0</v>
      </c>
      <c r="EZ5" s="60">
        <v>0</v>
      </c>
      <c r="FA5" s="17"/>
      <c r="FC5">
        <v>2</v>
      </c>
      <c r="FD5">
        <f t="shared" ref="FD5:FD68" si="2">IF(MOD(FC5,$FB$1+$FB$2)=0,$FB$1+$FB$2,MOD(FC5,$FB$1+$FB$2))</f>
        <v>2</v>
      </c>
      <c r="FE5">
        <f t="shared" ref="FE5:FE68" si="3">ROUNDUP(FC5/($FB$1+$FB$2),0)</f>
        <v>1</v>
      </c>
      <c r="FF5">
        <f t="shared" ref="FF5:FF68" si="4">IF(FE5&lt;$FB$3,INDEX($E$4:$DV$84,FD5,FE5),IF(FE5=$FB$3,INDEX($E$4:$DV$84,FD5+$FB$1,FE5),""))</f>
        <v>122</v>
      </c>
      <c r="FI5" s="16">
        <v>2</v>
      </c>
      <c r="FJ5" s="17">
        <f t="shared" ref="FJ5:FJ68" si="5">IF(FE5&lt;=$FH$1,INDEX($DW$4:$EZ$84,FD5,FE5),"")</f>
        <v>168</v>
      </c>
      <c r="FK5" s="17">
        <f t="shared" ref="FK5:FK68" si="6">IF(FI5&lt;=$FH$2,FF5,IF(FI5&lt;=$FH$2+$FH$3,INDEX($FJ$4:$FJ$2494,FI5-$FH$2),""))</f>
        <v>122</v>
      </c>
      <c r="FL5" s="18" t="str">
        <f t="shared" ref="FL5:FL68" si="7">IFERROR(TEXT(DEC2BIN(FK5),"00000000"),"")</f>
        <v>01111010</v>
      </c>
      <c r="FM5" s="2"/>
      <c r="FN5" s="17"/>
      <c r="FO5" s="17"/>
      <c r="FP5" s="17"/>
      <c r="FQ5" s="17"/>
    </row>
    <row r="6" spans="1:173">
      <c r="A6">
        <f>SUM($B$4:B6)</f>
        <v>36</v>
      </c>
      <c r="B6">
        <f t="shared" si="0"/>
        <v>12</v>
      </c>
      <c r="C6">
        <f t="shared" si="1"/>
        <v>22</v>
      </c>
      <c r="D6">
        <v>3</v>
      </c>
      <c r="E6" s="16">
        <f>IF(E$3&lt;=$B6,INDEX(Input!$I$43:$I$2956,E$3+$A5),"")</f>
        <v>196</v>
      </c>
      <c r="F6" s="17">
        <f>IF(F$3&lt;=$B6,INDEX(Input!$I$43:$I$2956,F$3+$A5),"")</f>
        <v>46</v>
      </c>
      <c r="G6" s="17">
        <f>IF(G$3&lt;=$B6,INDEX(Input!$I$43:$I$2956,G$3+$A5),"")</f>
        <v>96</v>
      </c>
      <c r="H6" s="17">
        <f>IF(H$3&lt;=$B6,INDEX(Input!$I$43:$I$2956,H$3+$A5),"")</f>
        <v>50</v>
      </c>
      <c r="I6" s="17">
        <f>IF(I$3&lt;=$B6,INDEX(Input!$I$43:$I$2956,I$3+$A5),"")</f>
        <v>208</v>
      </c>
      <c r="J6" s="17">
        <f>IF(J$3&lt;=$B6,INDEX(Input!$I$43:$I$2956,J$3+$A5),"")</f>
        <v>174</v>
      </c>
      <c r="K6" s="17">
        <f>IF(K$3&lt;=$B6,INDEX(Input!$I$43:$I$2956,K$3+$A5),"")</f>
        <v>84</v>
      </c>
      <c r="L6" s="17">
        <f>IF(L$3&lt;=$B6,INDEX(Input!$I$43:$I$2956,L$3+$A5),"")</f>
        <v>88</v>
      </c>
      <c r="M6" s="17">
        <f>IF(M$3&lt;=$B6,INDEX(Input!$I$43:$I$2956,M$3+$A5),"")</f>
        <v>195</v>
      </c>
      <c r="N6" s="17">
        <f>IF(N$3&lt;=$B6,INDEX(Input!$I$43:$I$2956,N$3+$A5),"")</f>
        <v>82</v>
      </c>
      <c r="O6" s="17">
        <f>IF(O$3&lt;=$B6,INDEX(Input!$I$43:$I$2956,O$3+$A5),"")</f>
        <v>230</v>
      </c>
      <c r="P6" s="17">
        <f>IF(P$3&lt;=$B6,INDEX(Input!$I$43:$I$2956,P$3+$A5),"")</f>
        <v>63</v>
      </c>
      <c r="Q6" s="17" t="str">
        <f>IF(Q$3&lt;=$B6,INDEX(Input!$I$43:$I$2956,Q$3+$A5),"")</f>
        <v/>
      </c>
      <c r="R6" s="17" t="str">
        <f>IF(R$3&lt;=$B6,INDEX(Input!$I$43:$I$2956,R$3+$A5),"")</f>
        <v/>
      </c>
      <c r="S6" s="17" t="str">
        <f>IF(S$3&lt;=$B6,INDEX(Input!$I$43:$I$2956,S$3+$A5),"")</f>
        <v/>
      </c>
      <c r="T6" s="17" t="str">
        <f>IF(T$3&lt;=$B6,INDEX(Input!$I$43:$I$2956,T$3+$A5),"")</f>
        <v/>
      </c>
      <c r="U6" s="17" t="str">
        <f>IF(U$3&lt;=$B6,INDEX(Input!$I$43:$I$2956,U$3+$A5),"")</f>
        <v/>
      </c>
      <c r="V6" s="17" t="str">
        <f>IF(V$3&lt;=$B6,INDEX(Input!$I$43:$I$2956,V$3+$A5),"")</f>
        <v/>
      </c>
      <c r="W6" s="17" t="str">
        <f>IF(W$3&lt;=$B6,INDEX(Input!$I$43:$I$2956,W$3+$A5),"")</f>
        <v/>
      </c>
      <c r="X6" s="17" t="str">
        <f>IF(X$3&lt;=$B6,INDEX(Input!$I$43:$I$2956,X$3+$A5),"")</f>
        <v/>
      </c>
      <c r="Y6" s="17" t="str">
        <f>IF(Y$3&lt;=$B6,INDEX(Input!$I$43:$I$2956,Y$3+$A5),"")</f>
        <v/>
      </c>
      <c r="Z6" s="17" t="str">
        <f>IF(Z$3&lt;=$B6,INDEX(Input!$I$43:$I$2956,Z$3+$A5),"")</f>
        <v/>
      </c>
      <c r="AA6" s="17" t="str">
        <f>IF(AA$3&lt;=$B6,INDEX(Input!$I$43:$I$2956,AA$3+$A5),"")</f>
        <v/>
      </c>
      <c r="AB6" s="17" t="str">
        <f>IF(AB$3&lt;=$B6,INDEX(Input!$I$43:$I$2956,AB$3+$A5),"")</f>
        <v/>
      </c>
      <c r="AC6" s="17" t="str">
        <f>IF(AC$3&lt;=$B6,INDEX(Input!$I$43:$I$2956,AC$3+$A5),"")</f>
        <v/>
      </c>
      <c r="AD6" s="17" t="str">
        <f>IF(AD$3&lt;=$B6,INDEX(Input!$I$43:$I$2956,AD$3+$A5),"")</f>
        <v/>
      </c>
      <c r="AE6" s="17" t="str">
        <f>IF(AE$3&lt;=$B6,INDEX(Input!$I$43:$I$2956,AE$3+$A5),"")</f>
        <v/>
      </c>
      <c r="AF6" s="17" t="str">
        <f>IF(AF$3&lt;=$B6,INDEX(Input!$I$43:$I$2956,AF$3+$A5),"")</f>
        <v/>
      </c>
      <c r="AG6" s="17" t="str">
        <f>IF(AG$3&lt;=$B6,INDEX(Input!$I$43:$I$2956,AG$3+$A5),"")</f>
        <v/>
      </c>
      <c r="AH6" s="17" t="str">
        <f>IF(AH$3&lt;=$B6,INDEX(Input!$I$43:$I$2956,AH$3+$A5),"")</f>
        <v/>
      </c>
      <c r="AI6" s="17" t="str">
        <f>IF(AI$3&lt;=$B6,INDEX(Input!$I$43:$I$2956,AI$3+$A5),"")</f>
        <v/>
      </c>
      <c r="AJ6" s="17" t="str">
        <f>IF(AJ$3&lt;=$B6,INDEX(Input!$I$43:$I$2956,AJ$3+$A5),"")</f>
        <v/>
      </c>
      <c r="AK6" s="17" t="str">
        <f>IF(AK$3&lt;=$B6,INDEX(Input!$I$43:$I$2956,AK$3+$A5),"")</f>
        <v/>
      </c>
      <c r="AL6" s="17" t="str">
        <f>IF(AL$3&lt;=$B6,INDEX(Input!$I$43:$I$2956,AL$3+$A5),"")</f>
        <v/>
      </c>
      <c r="AM6" s="17" t="str">
        <f>IF(AM$3&lt;=$B6,INDEX(Input!$I$43:$I$2956,AM$3+$A5),"")</f>
        <v/>
      </c>
      <c r="AN6" s="17" t="str">
        <f>IF(AN$3&lt;=$B6,INDEX(Input!$I$43:$I$2956,AN$3+$A5),"")</f>
        <v/>
      </c>
      <c r="AO6" s="17" t="str">
        <f>IF(AO$3&lt;=$B6,INDEX(Input!$I$43:$I$2956,AO$3+$A5),"")</f>
        <v/>
      </c>
      <c r="AP6" s="17" t="str">
        <f>IF(AP$3&lt;=$B6,INDEX(Input!$I$43:$I$2956,AP$3+$A5),"")</f>
        <v/>
      </c>
      <c r="AQ6" s="17" t="str">
        <f>IF(AQ$3&lt;=$B6,INDEX(Input!$I$43:$I$2956,AQ$3+$A5),"")</f>
        <v/>
      </c>
      <c r="AR6" s="17" t="str">
        <f>IF(AR$3&lt;=$B6,INDEX(Input!$I$43:$I$2956,AR$3+$A5),"")</f>
        <v/>
      </c>
      <c r="AS6" s="17" t="str">
        <f>IF(AS$3&lt;=$B6,INDEX(Input!$I$43:$I$2956,AS$3+$A5),"")</f>
        <v/>
      </c>
      <c r="AT6" s="17" t="str">
        <f>IF(AT$3&lt;=$B6,INDEX(Input!$I$43:$I$2956,AT$3+$A5),"")</f>
        <v/>
      </c>
      <c r="AU6" s="17" t="str">
        <f>IF(AU$3&lt;=$B6,INDEX(Input!$I$43:$I$2956,AU$3+$A5),"")</f>
        <v/>
      </c>
      <c r="AV6" s="17" t="str">
        <f>IF(AV$3&lt;=$B6,INDEX(Input!$I$43:$I$2956,AV$3+$A5),"")</f>
        <v/>
      </c>
      <c r="AW6" s="17" t="str">
        <f>IF(AW$3&lt;=$B6,INDEX(Input!$I$43:$I$2956,AW$3+$A5),"")</f>
        <v/>
      </c>
      <c r="AX6" s="17" t="str">
        <f>IF(AX$3&lt;=$B6,INDEX(Input!$I$43:$I$2956,AX$3+$A5),"")</f>
        <v/>
      </c>
      <c r="AY6" s="17" t="str">
        <f>IF(AY$3&lt;=$B6,INDEX(Input!$I$43:$I$2956,AY$3+$A5),"")</f>
        <v/>
      </c>
      <c r="AZ6" s="17" t="str">
        <f>IF(AZ$3&lt;=$B6,INDEX(Input!$I$43:$I$2956,AZ$3+$A5),"")</f>
        <v/>
      </c>
      <c r="BA6" s="17" t="str">
        <f>IF(BA$3&lt;=$B6,INDEX(Input!$I$43:$I$2956,BA$3+$A5),"")</f>
        <v/>
      </c>
      <c r="BB6" s="17" t="str">
        <f>IF(BB$3&lt;=$B6,INDEX(Input!$I$43:$I$2956,BB$3+$A5),"")</f>
        <v/>
      </c>
      <c r="BC6" s="17" t="str">
        <f>IF(BC$3&lt;=$B6,INDEX(Input!$I$43:$I$2956,BC$3+$A5),"")</f>
        <v/>
      </c>
      <c r="BD6" s="17" t="str">
        <f>IF(BD$3&lt;=$B6,INDEX(Input!$I$43:$I$2956,BD$3+$A5),"")</f>
        <v/>
      </c>
      <c r="BE6" s="17" t="str">
        <f>IF(BE$3&lt;=$B6,INDEX(Input!$I$43:$I$2956,BE$3+$A5),"")</f>
        <v/>
      </c>
      <c r="BF6" s="17" t="str">
        <f>IF(BF$3&lt;=$B6,INDEX(Input!$I$43:$I$2956,BF$3+$A5),"")</f>
        <v/>
      </c>
      <c r="BG6" s="17" t="str">
        <f>IF(BG$3&lt;=$B6,INDEX(Input!$I$43:$I$2956,BG$3+$A5),"")</f>
        <v/>
      </c>
      <c r="BH6" s="17" t="str">
        <f>IF(BH$3&lt;=$B6,INDEX(Input!$I$43:$I$2956,BH$3+$A5),"")</f>
        <v/>
      </c>
      <c r="BI6" s="17" t="str">
        <f>IF(BI$3&lt;=$B6,INDEX(Input!$I$43:$I$2956,BI$3+$A5),"")</f>
        <v/>
      </c>
      <c r="BJ6" s="17" t="str">
        <f>IF(BJ$3&lt;=$B6,INDEX(Input!$I$43:$I$2956,BJ$3+$A5),"")</f>
        <v/>
      </c>
      <c r="BK6" s="17" t="str">
        <f>IF(BK$3&lt;=$B6,INDEX(Input!$I$43:$I$2956,BK$3+$A5),"")</f>
        <v/>
      </c>
      <c r="BL6" s="17" t="str">
        <f>IF(BL$3&lt;=$B6,INDEX(Input!$I$43:$I$2956,BL$3+$A5),"")</f>
        <v/>
      </c>
      <c r="BM6" s="17" t="str">
        <f>IF(BM$3&lt;=$B6,INDEX(Input!$I$43:$I$2956,BM$3+$A5),"")</f>
        <v/>
      </c>
      <c r="BN6" s="17" t="str">
        <f>IF(BN$3&lt;=$B6,INDEX(Input!$I$43:$I$2956,BN$3+$A5),"")</f>
        <v/>
      </c>
      <c r="BO6" s="17" t="str">
        <f>IF(BO$3&lt;=$B6,INDEX(Input!$I$43:$I$2956,BO$3+$A5),"")</f>
        <v/>
      </c>
      <c r="BP6" s="17" t="str">
        <f>IF(BP$3&lt;=$B6,INDEX(Input!$I$43:$I$2956,BP$3+$A5),"")</f>
        <v/>
      </c>
      <c r="BQ6" s="17" t="str">
        <f>IF(BQ$3&lt;=$B6,INDEX(Input!$I$43:$I$2956,BQ$3+$A5),"")</f>
        <v/>
      </c>
      <c r="BR6" s="17" t="str">
        <f>IF(BR$3&lt;=$B6,INDEX(Input!$I$43:$I$2956,BR$3+$A5),"")</f>
        <v/>
      </c>
      <c r="BS6" s="17" t="str">
        <f>IF(BS$3&lt;=$B6,INDEX(Input!$I$43:$I$2956,BS$3+$A5),"")</f>
        <v/>
      </c>
      <c r="BT6" s="17" t="str">
        <f>IF(BT$3&lt;=$B6,INDEX(Input!$I$43:$I$2956,BT$3+$A5),"")</f>
        <v/>
      </c>
      <c r="BU6" s="17" t="str">
        <f>IF(BU$3&lt;=$B6,INDEX(Input!$I$43:$I$2956,BU$3+$A5),"")</f>
        <v/>
      </c>
      <c r="BV6" s="17" t="str">
        <f>IF(BV$3&lt;=$B6,INDEX(Input!$I$43:$I$2956,BV$3+$A5),"")</f>
        <v/>
      </c>
      <c r="BW6" s="17" t="str">
        <f>IF(BW$3&lt;=$B6,INDEX(Input!$I$43:$I$2956,BW$3+$A5),"")</f>
        <v/>
      </c>
      <c r="BX6" s="17" t="str">
        <f>IF(BX$3&lt;=$B6,INDEX(Input!$I$43:$I$2956,BX$3+$A5),"")</f>
        <v/>
      </c>
      <c r="BY6" s="17" t="str">
        <f>IF(BY$3&lt;=$B6,INDEX(Input!$I$43:$I$2956,BY$3+$A5),"")</f>
        <v/>
      </c>
      <c r="BZ6" s="17" t="str">
        <f>IF(BZ$3&lt;=$B6,INDEX(Input!$I$43:$I$2956,BZ$3+$A5),"")</f>
        <v/>
      </c>
      <c r="CA6" s="17" t="str">
        <f>IF(CA$3&lt;=$B6,INDEX(Input!$I$43:$I$2956,CA$3+$A5),"")</f>
        <v/>
      </c>
      <c r="CB6" s="17" t="str">
        <f>IF(CB$3&lt;=$B6,INDEX(Input!$I$43:$I$2956,CB$3+$A5),"")</f>
        <v/>
      </c>
      <c r="CC6" s="17" t="str">
        <f>IF(CC$3&lt;=$B6,INDEX(Input!$I$43:$I$2956,CC$3+$A5),"")</f>
        <v/>
      </c>
      <c r="CD6" s="17" t="str">
        <f>IF(CD$3&lt;=$B6,INDEX(Input!$I$43:$I$2956,CD$3+$A5),"")</f>
        <v/>
      </c>
      <c r="CE6" s="17" t="str">
        <f>IF(CE$3&lt;=$B6,INDEX(Input!$I$43:$I$2956,CE$3+$A5),"")</f>
        <v/>
      </c>
      <c r="CF6" s="17" t="str">
        <f>IF(CF$3&lt;=$B6,INDEX(Input!$I$43:$I$2956,CF$3+$A5),"")</f>
        <v/>
      </c>
      <c r="CG6" s="17" t="str">
        <f>IF(CG$3&lt;=$B6,INDEX(Input!$I$43:$I$2956,CG$3+$A5),"")</f>
        <v/>
      </c>
      <c r="CH6" s="17" t="str">
        <f>IF(CH$3&lt;=$B6,INDEX(Input!$I$43:$I$2956,CH$3+$A5),"")</f>
        <v/>
      </c>
      <c r="CI6" s="17" t="str">
        <f>IF(CI$3&lt;=$B6,INDEX(Input!$I$43:$I$2956,CI$3+$A5),"")</f>
        <v/>
      </c>
      <c r="CJ6" s="17" t="str">
        <f>IF(CJ$3&lt;=$B6,INDEX(Input!$I$43:$I$2956,CJ$3+$A5),"")</f>
        <v/>
      </c>
      <c r="CK6" s="17" t="str">
        <f>IF(CK$3&lt;=$B6,INDEX(Input!$I$43:$I$2956,CK$3+$A5),"")</f>
        <v/>
      </c>
      <c r="CL6" s="17" t="str">
        <f>IF(CL$3&lt;=$B6,INDEX(Input!$I$43:$I$2956,CL$3+$A5),"")</f>
        <v/>
      </c>
      <c r="CM6" s="17" t="str">
        <f>IF(CM$3&lt;=$B6,INDEX(Input!$I$43:$I$2956,CM$3+$A5),"")</f>
        <v/>
      </c>
      <c r="CN6" s="17" t="str">
        <f>IF(CN$3&lt;=$B6,INDEX(Input!$I$43:$I$2956,CN$3+$A5),"")</f>
        <v/>
      </c>
      <c r="CO6" s="17" t="str">
        <f>IF(CO$3&lt;=$B6,INDEX(Input!$I$43:$I$2956,CO$3+$A5),"")</f>
        <v/>
      </c>
      <c r="CP6" s="17" t="str">
        <f>IF(CP$3&lt;=$B6,INDEX(Input!$I$43:$I$2956,CP$3+$A5),"")</f>
        <v/>
      </c>
      <c r="CQ6" s="17" t="str">
        <f>IF(CQ$3&lt;=$B6,INDEX(Input!$I$43:$I$2956,CQ$3+$A5),"")</f>
        <v/>
      </c>
      <c r="CR6" s="17" t="str">
        <f>IF(CR$3&lt;=$B6,INDEX(Input!$I$43:$I$2956,CR$3+$A5),"")</f>
        <v/>
      </c>
      <c r="CS6" s="17" t="str">
        <f>IF(CS$3&lt;=$B6,INDEX(Input!$I$43:$I$2956,CS$3+$A5),"")</f>
        <v/>
      </c>
      <c r="CT6" s="17" t="str">
        <f>IF(CT$3&lt;=$B6,INDEX(Input!$I$43:$I$2956,CT$3+$A5),"")</f>
        <v/>
      </c>
      <c r="CU6" s="17" t="str">
        <f>IF(CU$3&lt;=$B6,INDEX(Input!$I$43:$I$2956,CU$3+$A5),"")</f>
        <v/>
      </c>
      <c r="CV6" s="17" t="str">
        <f>IF(CV$3&lt;=$B6,INDEX(Input!$I$43:$I$2956,CV$3+$A5),"")</f>
        <v/>
      </c>
      <c r="CW6" s="17" t="str">
        <f>IF(CW$3&lt;=$B6,INDEX(Input!$I$43:$I$2956,CW$3+$A5),"")</f>
        <v/>
      </c>
      <c r="CX6" s="17" t="str">
        <f>IF(CX$3&lt;=$B6,INDEX(Input!$I$43:$I$2956,CX$3+$A5),"")</f>
        <v/>
      </c>
      <c r="CY6" s="17" t="str">
        <f>IF(CY$3&lt;=$B6,INDEX(Input!$I$43:$I$2956,CY$3+$A5),"")</f>
        <v/>
      </c>
      <c r="CZ6" s="17" t="str">
        <f>IF(CZ$3&lt;=$B6,INDEX(Input!$I$43:$I$2956,CZ$3+$A5),"")</f>
        <v/>
      </c>
      <c r="DA6" s="17" t="str">
        <f>IF(DA$3&lt;=$B6,INDEX(Input!$I$43:$I$2956,DA$3+$A5),"")</f>
        <v/>
      </c>
      <c r="DB6" s="17" t="str">
        <f>IF(DB$3&lt;=$B6,INDEX(Input!$I$43:$I$2956,DB$3+$A5),"")</f>
        <v/>
      </c>
      <c r="DC6" s="17" t="str">
        <f>IF(DC$3&lt;=$B6,INDEX(Input!$I$43:$I$2956,DC$3+$A5),"")</f>
        <v/>
      </c>
      <c r="DD6" s="17" t="str">
        <f>IF(DD$3&lt;=$B6,INDEX(Input!$I$43:$I$2956,DD$3+$A5),"")</f>
        <v/>
      </c>
      <c r="DE6" s="17" t="str">
        <f>IF(DE$3&lt;=$B6,INDEX(Input!$I$43:$I$2956,DE$3+$A5),"")</f>
        <v/>
      </c>
      <c r="DF6" s="17" t="str">
        <f>IF(DF$3&lt;=$B6,INDEX(Input!$I$43:$I$2956,DF$3+$A5),"")</f>
        <v/>
      </c>
      <c r="DG6" s="17" t="str">
        <f>IF(DG$3&lt;=$B6,INDEX(Input!$I$43:$I$2956,DG$3+$A5),"")</f>
        <v/>
      </c>
      <c r="DH6" s="17" t="str">
        <f>IF(DH$3&lt;=$B6,INDEX(Input!$I$43:$I$2956,DH$3+$A5),"")</f>
        <v/>
      </c>
      <c r="DI6" s="17" t="str">
        <f>IF(DI$3&lt;=$B6,INDEX(Input!$I$43:$I$2956,DI$3+$A5),"")</f>
        <v/>
      </c>
      <c r="DJ6" s="17" t="str">
        <f>IF(DJ$3&lt;=$B6,INDEX(Input!$I$43:$I$2956,DJ$3+$A5),"")</f>
        <v/>
      </c>
      <c r="DK6" s="17" t="str">
        <f>IF(DK$3&lt;=$B6,INDEX(Input!$I$43:$I$2956,DK$3+$A5),"")</f>
        <v/>
      </c>
      <c r="DL6" s="17" t="str">
        <f>IF(DL$3&lt;=$B6,INDEX(Input!$I$43:$I$2956,DL$3+$A5),"")</f>
        <v/>
      </c>
      <c r="DM6" s="17" t="str">
        <f>IF(DM$3&lt;=$B6,INDEX(Input!$I$43:$I$2956,DM$3+$A5),"")</f>
        <v/>
      </c>
      <c r="DN6" s="17" t="str">
        <f>IF(DN$3&lt;=$B6,INDEX(Input!$I$43:$I$2956,DN$3+$A5),"")</f>
        <v/>
      </c>
      <c r="DO6" s="17" t="str">
        <f>IF(DO$3&lt;=$B6,INDEX(Input!$I$43:$I$2956,DO$3+$A5),"")</f>
        <v/>
      </c>
      <c r="DP6" s="17" t="str">
        <f>IF(DP$3&lt;=$B6,INDEX(Input!$I$43:$I$2956,DP$3+$A5),"")</f>
        <v/>
      </c>
      <c r="DQ6" s="17" t="str">
        <f>IF(DQ$3&lt;=$B6,INDEX(Input!$I$43:$I$2956,DQ$3+$A5),"")</f>
        <v/>
      </c>
      <c r="DR6" s="17" t="str">
        <f>IF(DR$3&lt;=$B6,INDEX(Input!$I$43:$I$2956,DR$3+$A5),"")</f>
        <v/>
      </c>
      <c r="DS6" s="17" t="str">
        <f>IF(DS$3&lt;=$B6,INDEX(Input!$I$43:$I$2956,DS$3+$A5),"")</f>
        <v/>
      </c>
      <c r="DT6" s="17" t="str">
        <f>IF(DT$3&lt;=$B6,INDEX(Input!$I$43:$I$2956,DT$3+$A5),"")</f>
        <v/>
      </c>
      <c r="DU6" s="17" t="str">
        <f>IF(DU$3&lt;=$B6,INDEX(Input!$I$43:$I$2956,DU$3+$A5),"")</f>
        <v/>
      </c>
      <c r="DV6" s="17" t="str">
        <f>IF(DV$3&lt;=$B6,INDEX(Input!$I$43:$I$2956,DV$3+$A5),"")</f>
        <v/>
      </c>
      <c r="DW6" s="58">
        <f t="array" ref="DW6:EZ6">IFERROR(eccalc(E6:DV6,C6+B6,B6,$O$2:$AS$2),"")</f>
        <v>93</v>
      </c>
      <c r="DX6" s="59">
        <v>22</v>
      </c>
      <c r="DY6" s="59">
        <v>35</v>
      </c>
      <c r="DZ6" s="59">
        <v>196</v>
      </c>
      <c r="EA6" s="59">
        <v>36</v>
      </c>
      <c r="EB6" s="59">
        <v>218</v>
      </c>
      <c r="EC6" s="59">
        <v>121</v>
      </c>
      <c r="ED6" s="59">
        <v>147</v>
      </c>
      <c r="EE6" s="59">
        <v>228</v>
      </c>
      <c r="EF6" s="59">
        <v>110</v>
      </c>
      <c r="EG6" s="59">
        <v>168</v>
      </c>
      <c r="EH6" s="59">
        <v>220</v>
      </c>
      <c r="EI6" s="59">
        <v>188</v>
      </c>
      <c r="EJ6" s="59">
        <v>216</v>
      </c>
      <c r="EK6" s="59">
        <v>155</v>
      </c>
      <c r="EL6" s="59">
        <v>157</v>
      </c>
      <c r="EM6" s="59">
        <v>212</v>
      </c>
      <c r="EN6" s="59">
        <v>141</v>
      </c>
      <c r="EO6" s="59">
        <v>106</v>
      </c>
      <c r="EP6" s="59">
        <v>143</v>
      </c>
      <c r="EQ6" s="59">
        <v>226</v>
      </c>
      <c r="ER6" s="59">
        <v>248</v>
      </c>
      <c r="ES6" s="59">
        <v>0</v>
      </c>
      <c r="ET6" s="59">
        <v>0</v>
      </c>
      <c r="EU6" s="59">
        <v>0</v>
      </c>
      <c r="EV6" s="59">
        <v>0</v>
      </c>
      <c r="EW6" s="59">
        <v>0</v>
      </c>
      <c r="EX6" s="59">
        <v>0</v>
      </c>
      <c r="EY6" s="59">
        <v>0</v>
      </c>
      <c r="EZ6" s="60">
        <v>0</v>
      </c>
      <c r="FA6" s="17"/>
      <c r="FC6">
        <v>3</v>
      </c>
      <c r="FD6">
        <f t="shared" si="2"/>
        <v>3</v>
      </c>
      <c r="FE6">
        <f t="shared" si="3"/>
        <v>1</v>
      </c>
      <c r="FF6">
        <f t="shared" si="4"/>
        <v>196</v>
      </c>
      <c r="FI6" s="16">
        <v>3</v>
      </c>
      <c r="FJ6" s="17">
        <f t="shared" si="5"/>
        <v>93</v>
      </c>
      <c r="FK6" s="17">
        <f t="shared" si="6"/>
        <v>196</v>
      </c>
      <c r="FL6" s="18" t="str">
        <f t="shared" si="7"/>
        <v>11000100</v>
      </c>
      <c r="FM6" s="2"/>
      <c r="FN6" s="17"/>
      <c r="FO6" s="17"/>
      <c r="FP6" s="17"/>
      <c r="FQ6" s="17"/>
    </row>
    <row r="7" spans="1:173">
      <c r="A7">
        <f>SUM($B$4:B7)</f>
        <v>48</v>
      </c>
      <c r="B7">
        <f t="shared" si="0"/>
        <v>12</v>
      </c>
      <c r="C7">
        <f t="shared" si="1"/>
        <v>22</v>
      </c>
      <c r="D7">
        <v>4</v>
      </c>
      <c r="E7" s="16">
        <f>IF(E$3&lt;=$B7,INDEX(Input!$I$43:$I$2956,E$3+$A6),"")</f>
        <v>11</v>
      </c>
      <c r="F7" s="17">
        <f>IF(F$3&lt;=$B7,INDEX(Input!$I$43:$I$2956,F$3+$A6),"")</f>
        <v>174</v>
      </c>
      <c r="G7" s="17">
        <f>IF(G$3&lt;=$B7,INDEX(Input!$I$43:$I$2956,G$3+$A6),"")</f>
        <v>110</v>
      </c>
      <c r="H7" s="17">
        <f>IF(H$3&lt;=$B7,INDEX(Input!$I$43:$I$2956,H$3+$A6),"")</f>
        <v>176</v>
      </c>
      <c r="I7" s="17">
        <f>IF(I$3&lt;=$B7,INDEX(Input!$I$43:$I$2956,I$3+$A6),"")</f>
        <v>50</v>
      </c>
      <c r="J7" s="17">
        <f>IF(J$3&lt;=$B7,INDEX(Input!$I$43:$I$2956,J$3+$A6),"")</f>
        <v>219</v>
      </c>
      <c r="K7" s="17">
        <f>IF(K$3&lt;=$B7,INDEX(Input!$I$43:$I$2956,K$3+$A6),"")</f>
        <v>216</v>
      </c>
      <c r="L7" s="17">
        <f>IF(L$3&lt;=$B7,INDEX(Input!$I$43:$I$2956,L$3+$A6),"")</f>
        <v>135</v>
      </c>
      <c r="M7" s="17">
        <f>IF(M$3&lt;=$B7,INDEX(Input!$I$43:$I$2956,M$3+$A6),"")</f>
        <v>23</v>
      </c>
      <c r="N7" s="17">
        <f>IF(N$3&lt;=$B7,INDEX(Input!$I$43:$I$2956,N$3+$A6),"")</f>
        <v>240</v>
      </c>
      <c r="O7" s="17">
        <f>IF(O$3&lt;=$B7,INDEX(Input!$I$43:$I$2956,O$3+$A6),"")</f>
        <v>193</v>
      </c>
      <c r="P7" s="17">
        <f>IF(P$3&lt;=$B7,INDEX(Input!$I$43:$I$2956,P$3+$A6),"")</f>
        <v>126</v>
      </c>
      <c r="Q7" s="17" t="str">
        <f>IF(Q$3&lt;=$B7,INDEX(Input!$I$43:$I$2956,Q$3+$A6),"")</f>
        <v/>
      </c>
      <c r="R7" s="17" t="str">
        <f>IF(R$3&lt;=$B7,INDEX(Input!$I$43:$I$2956,R$3+$A6),"")</f>
        <v/>
      </c>
      <c r="S7" s="17" t="str">
        <f>IF(S$3&lt;=$B7,INDEX(Input!$I$43:$I$2956,S$3+$A6),"")</f>
        <v/>
      </c>
      <c r="T7" s="17" t="str">
        <f>IF(T$3&lt;=$B7,INDEX(Input!$I$43:$I$2956,T$3+$A6),"")</f>
        <v/>
      </c>
      <c r="U7" s="17" t="str">
        <f>IF(U$3&lt;=$B7,INDEX(Input!$I$43:$I$2956,U$3+$A6),"")</f>
        <v/>
      </c>
      <c r="V7" s="17" t="str">
        <f>IF(V$3&lt;=$B7,INDEX(Input!$I$43:$I$2956,V$3+$A6),"")</f>
        <v/>
      </c>
      <c r="W7" s="17" t="str">
        <f>IF(W$3&lt;=$B7,INDEX(Input!$I$43:$I$2956,W$3+$A6),"")</f>
        <v/>
      </c>
      <c r="X7" s="17" t="str">
        <f>IF(X$3&lt;=$B7,INDEX(Input!$I$43:$I$2956,X$3+$A6),"")</f>
        <v/>
      </c>
      <c r="Y7" s="17" t="str">
        <f>IF(Y$3&lt;=$B7,INDEX(Input!$I$43:$I$2956,Y$3+$A6),"")</f>
        <v/>
      </c>
      <c r="Z7" s="17" t="str">
        <f>IF(Z$3&lt;=$B7,INDEX(Input!$I$43:$I$2956,Z$3+$A6),"")</f>
        <v/>
      </c>
      <c r="AA7" s="17" t="str">
        <f>IF(AA$3&lt;=$B7,INDEX(Input!$I$43:$I$2956,AA$3+$A6),"")</f>
        <v/>
      </c>
      <c r="AB7" s="17" t="str">
        <f>IF(AB$3&lt;=$B7,INDEX(Input!$I$43:$I$2956,AB$3+$A6),"")</f>
        <v/>
      </c>
      <c r="AC7" s="17" t="str">
        <f>IF(AC$3&lt;=$B7,INDEX(Input!$I$43:$I$2956,AC$3+$A6),"")</f>
        <v/>
      </c>
      <c r="AD7" s="17" t="str">
        <f>IF(AD$3&lt;=$B7,INDEX(Input!$I$43:$I$2956,AD$3+$A6),"")</f>
        <v/>
      </c>
      <c r="AE7" s="17" t="str">
        <f>IF(AE$3&lt;=$B7,INDEX(Input!$I$43:$I$2956,AE$3+$A6),"")</f>
        <v/>
      </c>
      <c r="AF7" s="17" t="str">
        <f>IF(AF$3&lt;=$B7,INDEX(Input!$I$43:$I$2956,AF$3+$A6),"")</f>
        <v/>
      </c>
      <c r="AG7" s="17" t="str">
        <f>IF(AG$3&lt;=$B7,INDEX(Input!$I$43:$I$2956,AG$3+$A6),"")</f>
        <v/>
      </c>
      <c r="AH7" s="17" t="str">
        <f>IF(AH$3&lt;=$B7,INDEX(Input!$I$43:$I$2956,AH$3+$A6),"")</f>
        <v/>
      </c>
      <c r="AI7" s="17" t="str">
        <f>IF(AI$3&lt;=$B7,INDEX(Input!$I$43:$I$2956,AI$3+$A6),"")</f>
        <v/>
      </c>
      <c r="AJ7" s="17" t="str">
        <f>IF(AJ$3&lt;=$B7,INDEX(Input!$I$43:$I$2956,AJ$3+$A6),"")</f>
        <v/>
      </c>
      <c r="AK7" s="17" t="str">
        <f>IF(AK$3&lt;=$B7,INDEX(Input!$I$43:$I$2956,AK$3+$A6),"")</f>
        <v/>
      </c>
      <c r="AL7" s="17" t="str">
        <f>IF(AL$3&lt;=$B7,INDEX(Input!$I$43:$I$2956,AL$3+$A6),"")</f>
        <v/>
      </c>
      <c r="AM7" s="17" t="str">
        <f>IF(AM$3&lt;=$B7,INDEX(Input!$I$43:$I$2956,AM$3+$A6),"")</f>
        <v/>
      </c>
      <c r="AN7" s="17" t="str">
        <f>IF(AN$3&lt;=$B7,INDEX(Input!$I$43:$I$2956,AN$3+$A6),"")</f>
        <v/>
      </c>
      <c r="AO7" s="17" t="str">
        <f>IF(AO$3&lt;=$B7,INDEX(Input!$I$43:$I$2956,AO$3+$A6),"")</f>
        <v/>
      </c>
      <c r="AP7" s="17" t="str">
        <f>IF(AP$3&lt;=$B7,INDEX(Input!$I$43:$I$2956,AP$3+$A6),"")</f>
        <v/>
      </c>
      <c r="AQ7" s="17" t="str">
        <f>IF(AQ$3&lt;=$B7,INDEX(Input!$I$43:$I$2956,AQ$3+$A6),"")</f>
        <v/>
      </c>
      <c r="AR7" s="17" t="str">
        <f>IF(AR$3&lt;=$B7,INDEX(Input!$I$43:$I$2956,AR$3+$A6),"")</f>
        <v/>
      </c>
      <c r="AS7" s="17" t="str">
        <f>IF(AS$3&lt;=$B7,INDEX(Input!$I$43:$I$2956,AS$3+$A6),"")</f>
        <v/>
      </c>
      <c r="AT7" s="17" t="str">
        <f>IF(AT$3&lt;=$B7,INDEX(Input!$I$43:$I$2956,AT$3+$A6),"")</f>
        <v/>
      </c>
      <c r="AU7" s="17" t="str">
        <f>IF(AU$3&lt;=$B7,INDEX(Input!$I$43:$I$2956,AU$3+$A6),"")</f>
        <v/>
      </c>
      <c r="AV7" s="17" t="str">
        <f>IF(AV$3&lt;=$B7,INDEX(Input!$I$43:$I$2956,AV$3+$A6),"")</f>
        <v/>
      </c>
      <c r="AW7" s="17" t="str">
        <f>IF(AW$3&lt;=$B7,INDEX(Input!$I$43:$I$2956,AW$3+$A6),"")</f>
        <v/>
      </c>
      <c r="AX7" s="17" t="str">
        <f>IF(AX$3&lt;=$B7,INDEX(Input!$I$43:$I$2956,AX$3+$A6),"")</f>
        <v/>
      </c>
      <c r="AY7" s="17" t="str">
        <f>IF(AY$3&lt;=$B7,INDEX(Input!$I$43:$I$2956,AY$3+$A6),"")</f>
        <v/>
      </c>
      <c r="AZ7" s="17" t="str">
        <f>IF(AZ$3&lt;=$B7,INDEX(Input!$I$43:$I$2956,AZ$3+$A6),"")</f>
        <v/>
      </c>
      <c r="BA7" s="17" t="str">
        <f>IF(BA$3&lt;=$B7,INDEX(Input!$I$43:$I$2956,BA$3+$A6),"")</f>
        <v/>
      </c>
      <c r="BB7" s="17" t="str">
        <f>IF(BB$3&lt;=$B7,INDEX(Input!$I$43:$I$2956,BB$3+$A6),"")</f>
        <v/>
      </c>
      <c r="BC7" s="17" t="str">
        <f>IF(BC$3&lt;=$B7,INDEX(Input!$I$43:$I$2956,BC$3+$A6),"")</f>
        <v/>
      </c>
      <c r="BD7" s="17" t="str">
        <f>IF(BD$3&lt;=$B7,INDEX(Input!$I$43:$I$2956,BD$3+$A6),"")</f>
        <v/>
      </c>
      <c r="BE7" s="17" t="str">
        <f>IF(BE$3&lt;=$B7,INDEX(Input!$I$43:$I$2956,BE$3+$A6),"")</f>
        <v/>
      </c>
      <c r="BF7" s="17" t="str">
        <f>IF(BF$3&lt;=$B7,INDEX(Input!$I$43:$I$2956,BF$3+$A6),"")</f>
        <v/>
      </c>
      <c r="BG7" s="17" t="str">
        <f>IF(BG$3&lt;=$B7,INDEX(Input!$I$43:$I$2956,BG$3+$A6),"")</f>
        <v/>
      </c>
      <c r="BH7" s="17" t="str">
        <f>IF(BH$3&lt;=$B7,INDEX(Input!$I$43:$I$2956,BH$3+$A6),"")</f>
        <v/>
      </c>
      <c r="BI7" s="17" t="str">
        <f>IF(BI$3&lt;=$B7,INDEX(Input!$I$43:$I$2956,BI$3+$A6),"")</f>
        <v/>
      </c>
      <c r="BJ7" s="17" t="str">
        <f>IF(BJ$3&lt;=$B7,INDEX(Input!$I$43:$I$2956,BJ$3+$A6),"")</f>
        <v/>
      </c>
      <c r="BK7" s="17" t="str">
        <f>IF(BK$3&lt;=$B7,INDEX(Input!$I$43:$I$2956,BK$3+$A6),"")</f>
        <v/>
      </c>
      <c r="BL7" s="17" t="str">
        <f>IF(BL$3&lt;=$B7,INDEX(Input!$I$43:$I$2956,BL$3+$A6),"")</f>
        <v/>
      </c>
      <c r="BM7" s="17" t="str">
        <f>IF(BM$3&lt;=$B7,INDEX(Input!$I$43:$I$2956,BM$3+$A6),"")</f>
        <v/>
      </c>
      <c r="BN7" s="17" t="str">
        <f>IF(BN$3&lt;=$B7,INDEX(Input!$I$43:$I$2956,BN$3+$A6),"")</f>
        <v/>
      </c>
      <c r="BO7" s="17" t="str">
        <f>IF(BO$3&lt;=$B7,INDEX(Input!$I$43:$I$2956,BO$3+$A6),"")</f>
        <v/>
      </c>
      <c r="BP7" s="17" t="str">
        <f>IF(BP$3&lt;=$B7,INDEX(Input!$I$43:$I$2956,BP$3+$A6),"")</f>
        <v/>
      </c>
      <c r="BQ7" s="17" t="str">
        <f>IF(BQ$3&lt;=$B7,INDEX(Input!$I$43:$I$2956,BQ$3+$A6),"")</f>
        <v/>
      </c>
      <c r="BR7" s="17" t="str">
        <f>IF(BR$3&lt;=$B7,INDEX(Input!$I$43:$I$2956,BR$3+$A6),"")</f>
        <v/>
      </c>
      <c r="BS7" s="17" t="str">
        <f>IF(BS$3&lt;=$B7,INDEX(Input!$I$43:$I$2956,BS$3+$A6),"")</f>
        <v/>
      </c>
      <c r="BT7" s="17" t="str">
        <f>IF(BT$3&lt;=$B7,INDEX(Input!$I$43:$I$2956,BT$3+$A6),"")</f>
        <v/>
      </c>
      <c r="BU7" s="17" t="str">
        <f>IF(BU$3&lt;=$B7,INDEX(Input!$I$43:$I$2956,BU$3+$A6),"")</f>
        <v/>
      </c>
      <c r="BV7" s="17" t="str">
        <f>IF(BV$3&lt;=$B7,INDEX(Input!$I$43:$I$2956,BV$3+$A6),"")</f>
        <v/>
      </c>
      <c r="BW7" s="17" t="str">
        <f>IF(BW$3&lt;=$B7,INDEX(Input!$I$43:$I$2956,BW$3+$A6),"")</f>
        <v/>
      </c>
      <c r="BX7" s="17" t="str">
        <f>IF(BX$3&lt;=$B7,INDEX(Input!$I$43:$I$2956,BX$3+$A6),"")</f>
        <v/>
      </c>
      <c r="BY7" s="17" t="str">
        <f>IF(BY$3&lt;=$B7,INDEX(Input!$I$43:$I$2956,BY$3+$A6),"")</f>
        <v/>
      </c>
      <c r="BZ7" s="17" t="str">
        <f>IF(BZ$3&lt;=$B7,INDEX(Input!$I$43:$I$2956,BZ$3+$A6),"")</f>
        <v/>
      </c>
      <c r="CA7" s="17" t="str">
        <f>IF(CA$3&lt;=$B7,INDEX(Input!$I$43:$I$2956,CA$3+$A6),"")</f>
        <v/>
      </c>
      <c r="CB7" s="17" t="str">
        <f>IF(CB$3&lt;=$B7,INDEX(Input!$I$43:$I$2956,CB$3+$A6),"")</f>
        <v/>
      </c>
      <c r="CC7" s="17" t="str">
        <f>IF(CC$3&lt;=$B7,INDEX(Input!$I$43:$I$2956,CC$3+$A6),"")</f>
        <v/>
      </c>
      <c r="CD7" s="17" t="str">
        <f>IF(CD$3&lt;=$B7,INDEX(Input!$I$43:$I$2956,CD$3+$A6),"")</f>
        <v/>
      </c>
      <c r="CE7" s="17" t="str">
        <f>IF(CE$3&lt;=$B7,INDEX(Input!$I$43:$I$2956,CE$3+$A6),"")</f>
        <v/>
      </c>
      <c r="CF7" s="17" t="str">
        <f>IF(CF$3&lt;=$B7,INDEX(Input!$I$43:$I$2956,CF$3+$A6),"")</f>
        <v/>
      </c>
      <c r="CG7" s="17" t="str">
        <f>IF(CG$3&lt;=$B7,INDEX(Input!$I$43:$I$2956,CG$3+$A6),"")</f>
        <v/>
      </c>
      <c r="CH7" s="17" t="str">
        <f>IF(CH$3&lt;=$B7,INDEX(Input!$I$43:$I$2956,CH$3+$A6),"")</f>
        <v/>
      </c>
      <c r="CI7" s="17" t="str">
        <f>IF(CI$3&lt;=$B7,INDEX(Input!$I$43:$I$2956,CI$3+$A6),"")</f>
        <v/>
      </c>
      <c r="CJ7" s="17" t="str">
        <f>IF(CJ$3&lt;=$B7,INDEX(Input!$I$43:$I$2956,CJ$3+$A6),"")</f>
        <v/>
      </c>
      <c r="CK7" s="17" t="str">
        <f>IF(CK$3&lt;=$B7,INDEX(Input!$I$43:$I$2956,CK$3+$A6),"")</f>
        <v/>
      </c>
      <c r="CL7" s="17" t="str">
        <f>IF(CL$3&lt;=$B7,INDEX(Input!$I$43:$I$2956,CL$3+$A6),"")</f>
        <v/>
      </c>
      <c r="CM7" s="17" t="str">
        <f>IF(CM$3&lt;=$B7,INDEX(Input!$I$43:$I$2956,CM$3+$A6),"")</f>
        <v/>
      </c>
      <c r="CN7" s="17" t="str">
        <f>IF(CN$3&lt;=$B7,INDEX(Input!$I$43:$I$2956,CN$3+$A6),"")</f>
        <v/>
      </c>
      <c r="CO7" s="17" t="str">
        <f>IF(CO$3&lt;=$B7,INDEX(Input!$I$43:$I$2956,CO$3+$A6),"")</f>
        <v/>
      </c>
      <c r="CP7" s="17" t="str">
        <f>IF(CP$3&lt;=$B7,INDEX(Input!$I$43:$I$2956,CP$3+$A6),"")</f>
        <v/>
      </c>
      <c r="CQ7" s="17" t="str">
        <f>IF(CQ$3&lt;=$B7,INDEX(Input!$I$43:$I$2956,CQ$3+$A6),"")</f>
        <v/>
      </c>
      <c r="CR7" s="17" t="str">
        <f>IF(CR$3&lt;=$B7,INDEX(Input!$I$43:$I$2956,CR$3+$A6),"")</f>
        <v/>
      </c>
      <c r="CS7" s="17" t="str">
        <f>IF(CS$3&lt;=$B7,INDEX(Input!$I$43:$I$2956,CS$3+$A6),"")</f>
        <v/>
      </c>
      <c r="CT7" s="17" t="str">
        <f>IF(CT$3&lt;=$B7,INDEX(Input!$I$43:$I$2956,CT$3+$A6),"")</f>
        <v/>
      </c>
      <c r="CU7" s="17" t="str">
        <f>IF(CU$3&lt;=$B7,INDEX(Input!$I$43:$I$2956,CU$3+$A6),"")</f>
        <v/>
      </c>
      <c r="CV7" s="17" t="str">
        <f>IF(CV$3&lt;=$B7,INDEX(Input!$I$43:$I$2956,CV$3+$A6),"")</f>
        <v/>
      </c>
      <c r="CW7" s="17" t="str">
        <f>IF(CW$3&lt;=$B7,INDEX(Input!$I$43:$I$2956,CW$3+$A6),"")</f>
        <v/>
      </c>
      <c r="CX7" s="17" t="str">
        <f>IF(CX$3&lt;=$B7,INDEX(Input!$I$43:$I$2956,CX$3+$A6),"")</f>
        <v/>
      </c>
      <c r="CY7" s="17" t="str">
        <f>IF(CY$3&lt;=$B7,INDEX(Input!$I$43:$I$2956,CY$3+$A6),"")</f>
        <v/>
      </c>
      <c r="CZ7" s="17" t="str">
        <f>IF(CZ$3&lt;=$B7,INDEX(Input!$I$43:$I$2956,CZ$3+$A6),"")</f>
        <v/>
      </c>
      <c r="DA7" s="17" t="str">
        <f>IF(DA$3&lt;=$B7,INDEX(Input!$I$43:$I$2956,DA$3+$A6),"")</f>
        <v/>
      </c>
      <c r="DB7" s="17" t="str">
        <f>IF(DB$3&lt;=$B7,INDEX(Input!$I$43:$I$2956,DB$3+$A6),"")</f>
        <v/>
      </c>
      <c r="DC7" s="17" t="str">
        <f>IF(DC$3&lt;=$B7,INDEX(Input!$I$43:$I$2956,DC$3+$A6),"")</f>
        <v/>
      </c>
      <c r="DD7" s="17" t="str">
        <f>IF(DD$3&lt;=$B7,INDEX(Input!$I$43:$I$2956,DD$3+$A6),"")</f>
        <v/>
      </c>
      <c r="DE7" s="17" t="str">
        <f>IF(DE$3&lt;=$B7,INDEX(Input!$I$43:$I$2956,DE$3+$A6),"")</f>
        <v/>
      </c>
      <c r="DF7" s="17" t="str">
        <f>IF(DF$3&lt;=$B7,INDEX(Input!$I$43:$I$2956,DF$3+$A6),"")</f>
        <v/>
      </c>
      <c r="DG7" s="17" t="str">
        <f>IF(DG$3&lt;=$B7,INDEX(Input!$I$43:$I$2956,DG$3+$A6),"")</f>
        <v/>
      </c>
      <c r="DH7" s="17" t="str">
        <f>IF(DH$3&lt;=$B7,INDEX(Input!$I$43:$I$2956,DH$3+$A6),"")</f>
        <v/>
      </c>
      <c r="DI7" s="17" t="str">
        <f>IF(DI$3&lt;=$B7,INDEX(Input!$I$43:$I$2956,DI$3+$A6),"")</f>
        <v/>
      </c>
      <c r="DJ7" s="17" t="str">
        <f>IF(DJ$3&lt;=$B7,INDEX(Input!$I$43:$I$2956,DJ$3+$A6),"")</f>
        <v/>
      </c>
      <c r="DK7" s="17" t="str">
        <f>IF(DK$3&lt;=$B7,INDEX(Input!$I$43:$I$2956,DK$3+$A6),"")</f>
        <v/>
      </c>
      <c r="DL7" s="17" t="str">
        <f>IF(DL$3&lt;=$B7,INDEX(Input!$I$43:$I$2956,DL$3+$A6),"")</f>
        <v/>
      </c>
      <c r="DM7" s="17" t="str">
        <f>IF(DM$3&lt;=$B7,INDEX(Input!$I$43:$I$2956,DM$3+$A6),"")</f>
        <v/>
      </c>
      <c r="DN7" s="17" t="str">
        <f>IF(DN$3&lt;=$B7,INDEX(Input!$I$43:$I$2956,DN$3+$A6),"")</f>
        <v/>
      </c>
      <c r="DO7" s="17" t="str">
        <f>IF(DO$3&lt;=$B7,INDEX(Input!$I$43:$I$2956,DO$3+$A6),"")</f>
        <v/>
      </c>
      <c r="DP7" s="17" t="str">
        <f>IF(DP$3&lt;=$B7,INDEX(Input!$I$43:$I$2956,DP$3+$A6),"")</f>
        <v/>
      </c>
      <c r="DQ7" s="17" t="str">
        <f>IF(DQ$3&lt;=$B7,INDEX(Input!$I$43:$I$2956,DQ$3+$A6),"")</f>
        <v/>
      </c>
      <c r="DR7" s="17" t="str">
        <f>IF(DR$3&lt;=$B7,INDEX(Input!$I$43:$I$2956,DR$3+$A6),"")</f>
        <v/>
      </c>
      <c r="DS7" s="17" t="str">
        <f>IF(DS$3&lt;=$B7,INDEX(Input!$I$43:$I$2956,DS$3+$A6),"")</f>
        <v/>
      </c>
      <c r="DT7" s="17" t="str">
        <f>IF(DT$3&lt;=$B7,INDEX(Input!$I$43:$I$2956,DT$3+$A6),"")</f>
        <v/>
      </c>
      <c r="DU7" s="17" t="str">
        <f>IF(DU$3&lt;=$B7,INDEX(Input!$I$43:$I$2956,DU$3+$A6),"")</f>
        <v/>
      </c>
      <c r="DV7" s="17" t="str">
        <f>IF(DV$3&lt;=$B7,INDEX(Input!$I$43:$I$2956,DV$3+$A6),"")</f>
        <v/>
      </c>
      <c r="DW7" s="58">
        <f t="array" ref="DW7:EZ7">IFERROR(eccalc(E7:DV7,C7+B7,B7,$O$2:$AS$2),"")</f>
        <v>110</v>
      </c>
      <c r="DX7" s="59">
        <v>21</v>
      </c>
      <c r="DY7" s="59">
        <v>36</v>
      </c>
      <c r="DZ7" s="59">
        <v>118</v>
      </c>
      <c r="EA7" s="59">
        <v>222</v>
      </c>
      <c r="EB7" s="59">
        <v>122</v>
      </c>
      <c r="EC7" s="59">
        <v>238</v>
      </c>
      <c r="ED7" s="59">
        <v>73</v>
      </c>
      <c r="EE7" s="59">
        <v>90</v>
      </c>
      <c r="EF7" s="59">
        <v>177</v>
      </c>
      <c r="EG7" s="59">
        <v>213</v>
      </c>
      <c r="EH7" s="59">
        <v>59</v>
      </c>
      <c r="EI7" s="59">
        <v>190</v>
      </c>
      <c r="EJ7" s="59">
        <v>113</v>
      </c>
      <c r="EK7" s="59">
        <v>159</v>
      </c>
      <c r="EL7" s="59">
        <v>77</v>
      </c>
      <c r="EM7" s="59">
        <v>211</v>
      </c>
      <c r="EN7" s="59">
        <v>16</v>
      </c>
      <c r="EO7" s="59">
        <v>184</v>
      </c>
      <c r="EP7" s="59">
        <v>141</v>
      </c>
      <c r="EQ7" s="59">
        <v>247</v>
      </c>
      <c r="ER7" s="59">
        <v>166</v>
      </c>
      <c r="ES7" s="59">
        <v>0</v>
      </c>
      <c r="ET7" s="59">
        <v>0</v>
      </c>
      <c r="EU7" s="59">
        <v>0</v>
      </c>
      <c r="EV7" s="59">
        <v>0</v>
      </c>
      <c r="EW7" s="59">
        <v>0</v>
      </c>
      <c r="EX7" s="59">
        <v>0</v>
      </c>
      <c r="EY7" s="59">
        <v>0</v>
      </c>
      <c r="EZ7" s="60">
        <v>0</v>
      </c>
      <c r="FA7" s="17"/>
      <c r="FC7">
        <v>4</v>
      </c>
      <c r="FD7">
        <f t="shared" si="2"/>
        <v>4</v>
      </c>
      <c r="FE7">
        <f t="shared" si="3"/>
        <v>1</v>
      </c>
      <c r="FF7">
        <f t="shared" si="4"/>
        <v>11</v>
      </c>
      <c r="FI7" s="16">
        <v>4</v>
      </c>
      <c r="FJ7" s="17">
        <f t="shared" si="5"/>
        <v>110</v>
      </c>
      <c r="FK7" s="17">
        <f t="shared" si="6"/>
        <v>11</v>
      </c>
      <c r="FL7" s="18" t="str">
        <f t="shared" si="7"/>
        <v>00001011</v>
      </c>
      <c r="FM7" s="2"/>
      <c r="FN7" s="17"/>
      <c r="FO7" s="17"/>
      <c r="FP7" s="17"/>
      <c r="FQ7" s="17"/>
    </row>
    <row r="8" spans="1:173">
      <c r="A8">
        <f>SUM($B$4:B8)</f>
        <v>60</v>
      </c>
      <c r="B8">
        <f t="shared" si="0"/>
        <v>12</v>
      </c>
      <c r="C8">
        <f t="shared" si="1"/>
        <v>22</v>
      </c>
      <c r="D8">
        <v>5</v>
      </c>
      <c r="E8" s="16">
        <f>IF(E$3&lt;=$B8,INDEX(Input!$I$43:$I$2956,E$3+$A7),"")</f>
        <v>80</v>
      </c>
      <c r="F8" s="17">
        <f>IF(F$3&lt;=$B8,INDEX(Input!$I$43:$I$2956,F$3+$A7),"")</f>
        <v>101</v>
      </c>
      <c r="G8" s="17">
        <f>IF(G$3&lt;=$B8,INDEX(Input!$I$43:$I$2956,G$3+$A7),"")</f>
        <v>89</v>
      </c>
      <c r="H8" s="17">
        <f>IF(H$3&lt;=$B8,INDEX(Input!$I$43:$I$2956,H$3+$A7),"")</f>
        <v>91</v>
      </c>
      <c r="I8" s="17">
        <f>IF(I$3&lt;=$B8,INDEX(Input!$I$43:$I$2956,I$3+$A7),"")</f>
        <v>250</v>
      </c>
      <c r="J8" s="17">
        <f>IF(J$3&lt;=$B8,INDEX(Input!$I$43:$I$2956,J$3+$A7),"")</f>
        <v>0</v>
      </c>
      <c r="K8" s="17">
        <f>IF(K$3&lt;=$B8,INDEX(Input!$I$43:$I$2956,K$3+$A7),"")</f>
        <v>0</v>
      </c>
      <c r="L8" s="17">
        <f>IF(L$3&lt;=$B8,INDEX(Input!$I$43:$I$2956,L$3+$A7),"")</f>
        <v>133</v>
      </c>
      <c r="M8" s="17">
        <f>IF(M$3&lt;=$B8,INDEX(Input!$I$43:$I$2956,M$3+$A7),"")</f>
        <v>104</v>
      </c>
      <c r="N8" s="17">
        <f>IF(N$3&lt;=$B8,INDEX(Input!$I$43:$I$2956,N$3+$A7),"")</f>
        <v>131</v>
      </c>
      <c r="O8" s="17">
        <f>IF(O$3&lt;=$B8,INDEX(Input!$I$43:$I$2956,O$3+$A7),"")</f>
        <v>234</v>
      </c>
      <c r="P8" s="17">
        <f>IF(P$3&lt;=$B8,INDEX(Input!$I$43:$I$2956,P$3+$A7),"")</f>
        <v>177</v>
      </c>
      <c r="Q8" s="17" t="str">
        <f>IF(Q$3&lt;=$B8,INDEX(Input!$I$43:$I$2956,Q$3+$A7),"")</f>
        <v/>
      </c>
      <c r="R8" s="17" t="str">
        <f>IF(R$3&lt;=$B8,INDEX(Input!$I$43:$I$2956,R$3+$A7),"")</f>
        <v/>
      </c>
      <c r="S8" s="17" t="str">
        <f>IF(S$3&lt;=$B8,INDEX(Input!$I$43:$I$2956,S$3+$A7),"")</f>
        <v/>
      </c>
      <c r="T8" s="17" t="str">
        <f>IF(T$3&lt;=$B8,INDEX(Input!$I$43:$I$2956,T$3+$A7),"")</f>
        <v/>
      </c>
      <c r="U8" s="17" t="str">
        <f>IF(U$3&lt;=$B8,INDEX(Input!$I$43:$I$2956,U$3+$A7),"")</f>
        <v/>
      </c>
      <c r="V8" s="17" t="str">
        <f>IF(V$3&lt;=$B8,INDEX(Input!$I$43:$I$2956,V$3+$A7),"")</f>
        <v/>
      </c>
      <c r="W8" s="17" t="str">
        <f>IF(W$3&lt;=$B8,INDEX(Input!$I$43:$I$2956,W$3+$A7),"")</f>
        <v/>
      </c>
      <c r="X8" s="17" t="str">
        <f>IF(X$3&lt;=$B8,INDEX(Input!$I$43:$I$2956,X$3+$A7),"")</f>
        <v/>
      </c>
      <c r="Y8" s="17" t="str">
        <f>IF(Y$3&lt;=$B8,INDEX(Input!$I$43:$I$2956,Y$3+$A7),"")</f>
        <v/>
      </c>
      <c r="Z8" s="17" t="str">
        <f>IF(Z$3&lt;=$B8,INDEX(Input!$I$43:$I$2956,Z$3+$A7),"")</f>
        <v/>
      </c>
      <c r="AA8" s="17" t="str">
        <f>IF(AA$3&lt;=$B8,INDEX(Input!$I$43:$I$2956,AA$3+$A7),"")</f>
        <v/>
      </c>
      <c r="AB8" s="17" t="str">
        <f>IF(AB$3&lt;=$B8,INDEX(Input!$I$43:$I$2956,AB$3+$A7),"")</f>
        <v/>
      </c>
      <c r="AC8" s="17" t="str">
        <f>IF(AC$3&lt;=$B8,INDEX(Input!$I$43:$I$2956,AC$3+$A7),"")</f>
        <v/>
      </c>
      <c r="AD8" s="17" t="str">
        <f>IF(AD$3&lt;=$B8,INDEX(Input!$I$43:$I$2956,AD$3+$A7),"")</f>
        <v/>
      </c>
      <c r="AE8" s="17" t="str">
        <f>IF(AE$3&lt;=$B8,INDEX(Input!$I$43:$I$2956,AE$3+$A7),"")</f>
        <v/>
      </c>
      <c r="AF8" s="17" t="str">
        <f>IF(AF$3&lt;=$B8,INDEX(Input!$I$43:$I$2956,AF$3+$A7),"")</f>
        <v/>
      </c>
      <c r="AG8" s="17" t="str">
        <f>IF(AG$3&lt;=$B8,INDEX(Input!$I$43:$I$2956,AG$3+$A7),"")</f>
        <v/>
      </c>
      <c r="AH8" s="17" t="str">
        <f>IF(AH$3&lt;=$B8,INDEX(Input!$I$43:$I$2956,AH$3+$A7),"")</f>
        <v/>
      </c>
      <c r="AI8" s="17" t="str">
        <f>IF(AI$3&lt;=$B8,INDEX(Input!$I$43:$I$2956,AI$3+$A7),"")</f>
        <v/>
      </c>
      <c r="AJ8" s="17" t="str">
        <f>IF(AJ$3&lt;=$B8,INDEX(Input!$I$43:$I$2956,AJ$3+$A7),"")</f>
        <v/>
      </c>
      <c r="AK8" s="17" t="str">
        <f>IF(AK$3&lt;=$B8,INDEX(Input!$I$43:$I$2956,AK$3+$A7),"")</f>
        <v/>
      </c>
      <c r="AL8" s="17" t="str">
        <f>IF(AL$3&lt;=$B8,INDEX(Input!$I$43:$I$2956,AL$3+$A7),"")</f>
        <v/>
      </c>
      <c r="AM8" s="17" t="str">
        <f>IF(AM$3&lt;=$B8,INDEX(Input!$I$43:$I$2956,AM$3+$A7),"")</f>
        <v/>
      </c>
      <c r="AN8" s="17" t="str">
        <f>IF(AN$3&lt;=$B8,INDEX(Input!$I$43:$I$2956,AN$3+$A7),"")</f>
        <v/>
      </c>
      <c r="AO8" s="17" t="str">
        <f>IF(AO$3&lt;=$B8,INDEX(Input!$I$43:$I$2956,AO$3+$A7),"")</f>
        <v/>
      </c>
      <c r="AP8" s="17" t="str">
        <f>IF(AP$3&lt;=$B8,INDEX(Input!$I$43:$I$2956,AP$3+$A7),"")</f>
        <v/>
      </c>
      <c r="AQ8" s="17" t="str">
        <f>IF(AQ$3&lt;=$B8,INDEX(Input!$I$43:$I$2956,AQ$3+$A7),"")</f>
        <v/>
      </c>
      <c r="AR8" s="17" t="str">
        <f>IF(AR$3&lt;=$B8,INDEX(Input!$I$43:$I$2956,AR$3+$A7),"")</f>
        <v/>
      </c>
      <c r="AS8" s="17" t="str">
        <f>IF(AS$3&lt;=$B8,INDEX(Input!$I$43:$I$2956,AS$3+$A7),"")</f>
        <v/>
      </c>
      <c r="AT8" s="17" t="str">
        <f>IF(AT$3&lt;=$B8,INDEX(Input!$I$43:$I$2956,AT$3+$A7),"")</f>
        <v/>
      </c>
      <c r="AU8" s="17" t="str">
        <f>IF(AU$3&lt;=$B8,INDEX(Input!$I$43:$I$2956,AU$3+$A7),"")</f>
        <v/>
      </c>
      <c r="AV8" s="17" t="str">
        <f>IF(AV$3&lt;=$B8,INDEX(Input!$I$43:$I$2956,AV$3+$A7),"")</f>
        <v/>
      </c>
      <c r="AW8" s="17" t="str">
        <f>IF(AW$3&lt;=$B8,INDEX(Input!$I$43:$I$2956,AW$3+$A7),"")</f>
        <v/>
      </c>
      <c r="AX8" s="17" t="str">
        <f>IF(AX$3&lt;=$B8,INDEX(Input!$I$43:$I$2956,AX$3+$A7),"")</f>
        <v/>
      </c>
      <c r="AY8" s="17" t="str">
        <f>IF(AY$3&lt;=$B8,INDEX(Input!$I$43:$I$2956,AY$3+$A7),"")</f>
        <v/>
      </c>
      <c r="AZ8" s="17" t="str">
        <f>IF(AZ$3&lt;=$B8,INDEX(Input!$I$43:$I$2956,AZ$3+$A7),"")</f>
        <v/>
      </c>
      <c r="BA8" s="17" t="str">
        <f>IF(BA$3&lt;=$B8,INDEX(Input!$I$43:$I$2956,BA$3+$A7),"")</f>
        <v/>
      </c>
      <c r="BB8" s="17" t="str">
        <f>IF(BB$3&lt;=$B8,INDEX(Input!$I$43:$I$2956,BB$3+$A7),"")</f>
        <v/>
      </c>
      <c r="BC8" s="17" t="str">
        <f>IF(BC$3&lt;=$B8,INDEX(Input!$I$43:$I$2956,BC$3+$A7),"")</f>
        <v/>
      </c>
      <c r="BD8" s="17" t="str">
        <f>IF(BD$3&lt;=$B8,INDEX(Input!$I$43:$I$2956,BD$3+$A7),"")</f>
        <v/>
      </c>
      <c r="BE8" s="17" t="str">
        <f>IF(BE$3&lt;=$B8,INDEX(Input!$I$43:$I$2956,BE$3+$A7),"")</f>
        <v/>
      </c>
      <c r="BF8" s="17" t="str">
        <f>IF(BF$3&lt;=$B8,INDEX(Input!$I$43:$I$2956,BF$3+$A7),"")</f>
        <v/>
      </c>
      <c r="BG8" s="17" t="str">
        <f>IF(BG$3&lt;=$B8,INDEX(Input!$I$43:$I$2956,BG$3+$A7),"")</f>
        <v/>
      </c>
      <c r="BH8" s="17" t="str">
        <f>IF(BH$3&lt;=$B8,INDEX(Input!$I$43:$I$2956,BH$3+$A7),"")</f>
        <v/>
      </c>
      <c r="BI8" s="17" t="str">
        <f>IF(BI$3&lt;=$B8,INDEX(Input!$I$43:$I$2956,BI$3+$A7),"")</f>
        <v/>
      </c>
      <c r="BJ8" s="17" t="str">
        <f>IF(BJ$3&lt;=$B8,INDEX(Input!$I$43:$I$2956,BJ$3+$A7),"")</f>
        <v/>
      </c>
      <c r="BK8" s="17" t="str">
        <f>IF(BK$3&lt;=$B8,INDEX(Input!$I$43:$I$2956,BK$3+$A7),"")</f>
        <v/>
      </c>
      <c r="BL8" s="17" t="str">
        <f>IF(BL$3&lt;=$B8,INDEX(Input!$I$43:$I$2956,BL$3+$A7),"")</f>
        <v/>
      </c>
      <c r="BM8" s="17" t="str">
        <f>IF(BM$3&lt;=$B8,INDEX(Input!$I$43:$I$2956,BM$3+$A7),"")</f>
        <v/>
      </c>
      <c r="BN8" s="17" t="str">
        <f>IF(BN$3&lt;=$B8,INDEX(Input!$I$43:$I$2956,BN$3+$A7),"")</f>
        <v/>
      </c>
      <c r="BO8" s="17" t="str">
        <f>IF(BO$3&lt;=$B8,INDEX(Input!$I$43:$I$2956,BO$3+$A7),"")</f>
        <v/>
      </c>
      <c r="BP8" s="17" t="str">
        <f>IF(BP$3&lt;=$B8,INDEX(Input!$I$43:$I$2956,BP$3+$A7),"")</f>
        <v/>
      </c>
      <c r="BQ8" s="17" t="str">
        <f>IF(BQ$3&lt;=$B8,INDEX(Input!$I$43:$I$2956,BQ$3+$A7),"")</f>
        <v/>
      </c>
      <c r="BR8" s="17" t="str">
        <f>IF(BR$3&lt;=$B8,INDEX(Input!$I$43:$I$2956,BR$3+$A7),"")</f>
        <v/>
      </c>
      <c r="BS8" s="17" t="str">
        <f>IF(BS$3&lt;=$B8,INDEX(Input!$I$43:$I$2956,BS$3+$A7),"")</f>
        <v/>
      </c>
      <c r="BT8" s="17" t="str">
        <f>IF(BT$3&lt;=$B8,INDEX(Input!$I$43:$I$2956,BT$3+$A7),"")</f>
        <v/>
      </c>
      <c r="BU8" s="17" t="str">
        <f>IF(BU$3&lt;=$B8,INDEX(Input!$I$43:$I$2956,BU$3+$A7),"")</f>
        <v/>
      </c>
      <c r="BV8" s="17" t="str">
        <f>IF(BV$3&lt;=$B8,INDEX(Input!$I$43:$I$2956,BV$3+$A7),"")</f>
        <v/>
      </c>
      <c r="BW8" s="17" t="str">
        <f>IF(BW$3&lt;=$B8,INDEX(Input!$I$43:$I$2956,BW$3+$A7),"")</f>
        <v/>
      </c>
      <c r="BX8" s="17" t="str">
        <f>IF(BX$3&lt;=$B8,INDEX(Input!$I$43:$I$2956,BX$3+$A7),"")</f>
        <v/>
      </c>
      <c r="BY8" s="17" t="str">
        <f>IF(BY$3&lt;=$B8,INDEX(Input!$I$43:$I$2956,BY$3+$A7),"")</f>
        <v/>
      </c>
      <c r="BZ8" s="17" t="str">
        <f>IF(BZ$3&lt;=$B8,INDEX(Input!$I$43:$I$2956,BZ$3+$A7),"")</f>
        <v/>
      </c>
      <c r="CA8" s="17" t="str">
        <f>IF(CA$3&lt;=$B8,INDEX(Input!$I$43:$I$2956,CA$3+$A7),"")</f>
        <v/>
      </c>
      <c r="CB8" s="17" t="str">
        <f>IF(CB$3&lt;=$B8,INDEX(Input!$I$43:$I$2956,CB$3+$A7),"")</f>
        <v/>
      </c>
      <c r="CC8" s="17" t="str">
        <f>IF(CC$3&lt;=$B8,INDEX(Input!$I$43:$I$2956,CC$3+$A7),"")</f>
        <v/>
      </c>
      <c r="CD8" s="17" t="str">
        <f>IF(CD$3&lt;=$B8,INDEX(Input!$I$43:$I$2956,CD$3+$A7),"")</f>
        <v/>
      </c>
      <c r="CE8" s="17" t="str">
        <f>IF(CE$3&lt;=$B8,INDEX(Input!$I$43:$I$2956,CE$3+$A7),"")</f>
        <v/>
      </c>
      <c r="CF8" s="17" t="str">
        <f>IF(CF$3&lt;=$B8,INDEX(Input!$I$43:$I$2956,CF$3+$A7),"")</f>
        <v/>
      </c>
      <c r="CG8" s="17" t="str">
        <f>IF(CG$3&lt;=$B8,INDEX(Input!$I$43:$I$2956,CG$3+$A7),"")</f>
        <v/>
      </c>
      <c r="CH8" s="17" t="str">
        <f>IF(CH$3&lt;=$B8,INDEX(Input!$I$43:$I$2956,CH$3+$A7),"")</f>
        <v/>
      </c>
      <c r="CI8" s="17" t="str">
        <f>IF(CI$3&lt;=$B8,INDEX(Input!$I$43:$I$2956,CI$3+$A7),"")</f>
        <v/>
      </c>
      <c r="CJ8" s="17" t="str">
        <f>IF(CJ$3&lt;=$B8,INDEX(Input!$I$43:$I$2956,CJ$3+$A7),"")</f>
        <v/>
      </c>
      <c r="CK8" s="17" t="str">
        <f>IF(CK$3&lt;=$B8,INDEX(Input!$I$43:$I$2956,CK$3+$A7),"")</f>
        <v/>
      </c>
      <c r="CL8" s="17" t="str">
        <f>IF(CL$3&lt;=$B8,INDEX(Input!$I$43:$I$2956,CL$3+$A7),"")</f>
        <v/>
      </c>
      <c r="CM8" s="17" t="str">
        <f>IF(CM$3&lt;=$B8,INDEX(Input!$I$43:$I$2956,CM$3+$A7),"")</f>
        <v/>
      </c>
      <c r="CN8" s="17" t="str">
        <f>IF(CN$3&lt;=$B8,INDEX(Input!$I$43:$I$2956,CN$3+$A7),"")</f>
        <v/>
      </c>
      <c r="CO8" s="17" t="str">
        <f>IF(CO$3&lt;=$B8,INDEX(Input!$I$43:$I$2956,CO$3+$A7),"")</f>
        <v/>
      </c>
      <c r="CP8" s="17" t="str">
        <f>IF(CP$3&lt;=$B8,INDEX(Input!$I$43:$I$2956,CP$3+$A7),"")</f>
        <v/>
      </c>
      <c r="CQ8" s="17" t="str">
        <f>IF(CQ$3&lt;=$B8,INDEX(Input!$I$43:$I$2956,CQ$3+$A7),"")</f>
        <v/>
      </c>
      <c r="CR8" s="17" t="str">
        <f>IF(CR$3&lt;=$B8,INDEX(Input!$I$43:$I$2956,CR$3+$A7),"")</f>
        <v/>
      </c>
      <c r="CS8" s="17" t="str">
        <f>IF(CS$3&lt;=$B8,INDEX(Input!$I$43:$I$2956,CS$3+$A7),"")</f>
        <v/>
      </c>
      <c r="CT8" s="17" t="str">
        <f>IF(CT$3&lt;=$B8,INDEX(Input!$I$43:$I$2956,CT$3+$A7),"")</f>
        <v/>
      </c>
      <c r="CU8" s="17" t="str">
        <f>IF(CU$3&lt;=$B8,INDEX(Input!$I$43:$I$2956,CU$3+$A7),"")</f>
        <v/>
      </c>
      <c r="CV8" s="17" t="str">
        <f>IF(CV$3&lt;=$B8,INDEX(Input!$I$43:$I$2956,CV$3+$A7),"")</f>
        <v/>
      </c>
      <c r="CW8" s="17" t="str">
        <f>IF(CW$3&lt;=$B8,INDEX(Input!$I$43:$I$2956,CW$3+$A7),"")</f>
        <v/>
      </c>
      <c r="CX8" s="17" t="str">
        <f>IF(CX$3&lt;=$B8,INDEX(Input!$I$43:$I$2956,CX$3+$A7),"")</f>
        <v/>
      </c>
      <c r="CY8" s="17" t="str">
        <f>IF(CY$3&lt;=$B8,INDEX(Input!$I$43:$I$2956,CY$3+$A7),"")</f>
        <v/>
      </c>
      <c r="CZ8" s="17" t="str">
        <f>IF(CZ$3&lt;=$B8,INDEX(Input!$I$43:$I$2956,CZ$3+$A7),"")</f>
        <v/>
      </c>
      <c r="DA8" s="17" t="str">
        <f>IF(DA$3&lt;=$B8,INDEX(Input!$I$43:$I$2956,DA$3+$A7),"")</f>
        <v/>
      </c>
      <c r="DB8" s="17" t="str">
        <f>IF(DB$3&lt;=$B8,INDEX(Input!$I$43:$I$2956,DB$3+$A7),"")</f>
        <v/>
      </c>
      <c r="DC8" s="17" t="str">
        <f>IF(DC$3&lt;=$B8,INDEX(Input!$I$43:$I$2956,DC$3+$A7),"")</f>
        <v/>
      </c>
      <c r="DD8" s="17" t="str">
        <f>IF(DD$3&lt;=$B8,INDEX(Input!$I$43:$I$2956,DD$3+$A7),"")</f>
        <v/>
      </c>
      <c r="DE8" s="17" t="str">
        <f>IF(DE$3&lt;=$B8,INDEX(Input!$I$43:$I$2956,DE$3+$A7),"")</f>
        <v/>
      </c>
      <c r="DF8" s="17" t="str">
        <f>IF(DF$3&lt;=$B8,INDEX(Input!$I$43:$I$2956,DF$3+$A7),"")</f>
        <v/>
      </c>
      <c r="DG8" s="17" t="str">
        <f>IF(DG$3&lt;=$B8,INDEX(Input!$I$43:$I$2956,DG$3+$A7),"")</f>
        <v/>
      </c>
      <c r="DH8" s="17" t="str">
        <f>IF(DH$3&lt;=$B8,INDEX(Input!$I$43:$I$2956,DH$3+$A7),"")</f>
        <v/>
      </c>
      <c r="DI8" s="17" t="str">
        <f>IF(DI$3&lt;=$B8,INDEX(Input!$I$43:$I$2956,DI$3+$A7),"")</f>
        <v/>
      </c>
      <c r="DJ8" s="17" t="str">
        <f>IF(DJ$3&lt;=$B8,INDEX(Input!$I$43:$I$2956,DJ$3+$A7),"")</f>
        <v/>
      </c>
      <c r="DK8" s="17" t="str">
        <f>IF(DK$3&lt;=$B8,INDEX(Input!$I$43:$I$2956,DK$3+$A7),"")</f>
        <v/>
      </c>
      <c r="DL8" s="17" t="str">
        <f>IF(DL$3&lt;=$B8,INDEX(Input!$I$43:$I$2956,DL$3+$A7),"")</f>
        <v/>
      </c>
      <c r="DM8" s="17" t="str">
        <f>IF(DM$3&lt;=$B8,INDEX(Input!$I$43:$I$2956,DM$3+$A7),"")</f>
        <v/>
      </c>
      <c r="DN8" s="17" t="str">
        <f>IF(DN$3&lt;=$B8,INDEX(Input!$I$43:$I$2956,DN$3+$A7),"")</f>
        <v/>
      </c>
      <c r="DO8" s="17" t="str">
        <f>IF(DO$3&lt;=$B8,INDEX(Input!$I$43:$I$2956,DO$3+$A7),"")</f>
        <v/>
      </c>
      <c r="DP8" s="17" t="str">
        <f>IF(DP$3&lt;=$B8,INDEX(Input!$I$43:$I$2956,DP$3+$A7),"")</f>
        <v/>
      </c>
      <c r="DQ8" s="17" t="str">
        <f>IF(DQ$3&lt;=$B8,INDEX(Input!$I$43:$I$2956,DQ$3+$A7),"")</f>
        <v/>
      </c>
      <c r="DR8" s="17" t="str">
        <f>IF(DR$3&lt;=$B8,INDEX(Input!$I$43:$I$2956,DR$3+$A7),"")</f>
        <v/>
      </c>
      <c r="DS8" s="17" t="str">
        <f>IF(DS$3&lt;=$B8,INDEX(Input!$I$43:$I$2956,DS$3+$A7),"")</f>
        <v/>
      </c>
      <c r="DT8" s="17" t="str">
        <f>IF(DT$3&lt;=$B8,INDEX(Input!$I$43:$I$2956,DT$3+$A7),"")</f>
        <v/>
      </c>
      <c r="DU8" s="17" t="str">
        <f>IF(DU$3&lt;=$B8,INDEX(Input!$I$43:$I$2956,DU$3+$A7),"")</f>
        <v/>
      </c>
      <c r="DV8" s="17" t="str">
        <f>IF(DV$3&lt;=$B8,INDEX(Input!$I$43:$I$2956,DV$3+$A7),"")</f>
        <v/>
      </c>
      <c r="DW8" s="58">
        <f t="array" ref="DW8:EZ8">IFERROR(eccalc(E8:DV8,C8+B8,B8,$O$2:$AS$2),"")</f>
        <v>163</v>
      </c>
      <c r="DX8" s="59">
        <v>164</v>
      </c>
      <c r="DY8" s="59">
        <v>46</v>
      </c>
      <c r="DZ8" s="59">
        <v>132</v>
      </c>
      <c r="EA8" s="59">
        <v>44</v>
      </c>
      <c r="EB8" s="59">
        <v>255</v>
      </c>
      <c r="EC8" s="59">
        <v>100</v>
      </c>
      <c r="ED8" s="59">
        <v>80</v>
      </c>
      <c r="EE8" s="59">
        <v>221</v>
      </c>
      <c r="EF8" s="59">
        <v>4</v>
      </c>
      <c r="EG8" s="59">
        <v>108</v>
      </c>
      <c r="EH8" s="59">
        <v>167</v>
      </c>
      <c r="EI8" s="59">
        <v>165</v>
      </c>
      <c r="EJ8" s="59">
        <v>178</v>
      </c>
      <c r="EK8" s="59">
        <v>96</v>
      </c>
      <c r="EL8" s="59">
        <v>200</v>
      </c>
      <c r="EM8" s="59">
        <v>26</v>
      </c>
      <c r="EN8" s="59">
        <v>198</v>
      </c>
      <c r="EO8" s="59">
        <v>206</v>
      </c>
      <c r="EP8" s="59">
        <v>221</v>
      </c>
      <c r="EQ8" s="59">
        <v>232</v>
      </c>
      <c r="ER8" s="59">
        <v>56</v>
      </c>
      <c r="ES8" s="59">
        <v>0</v>
      </c>
      <c r="ET8" s="59">
        <v>0</v>
      </c>
      <c r="EU8" s="59">
        <v>0</v>
      </c>
      <c r="EV8" s="59">
        <v>0</v>
      </c>
      <c r="EW8" s="59">
        <v>0</v>
      </c>
      <c r="EX8" s="59">
        <v>0</v>
      </c>
      <c r="EY8" s="59">
        <v>0</v>
      </c>
      <c r="EZ8" s="60">
        <v>0</v>
      </c>
      <c r="FA8" s="17"/>
      <c r="FC8">
        <v>5</v>
      </c>
      <c r="FD8">
        <f t="shared" si="2"/>
        <v>5</v>
      </c>
      <c r="FE8">
        <f t="shared" si="3"/>
        <v>1</v>
      </c>
      <c r="FF8">
        <f t="shared" si="4"/>
        <v>80</v>
      </c>
      <c r="FI8" s="16">
        <v>5</v>
      </c>
      <c r="FJ8" s="17">
        <f t="shared" si="5"/>
        <v>163</v>
      </c>
      <c r="FK8" s="17">
        <f t="shared" si="6"/>
        <v>80</v>
      </c>
      <c r="FL8" s="18" t="str">
        <f t="shared" si="7"/>
        <v>01010000</v>
      </c>
      <c r="FM8" s="2"/>
      <c r="FN8" s="17"/>
      <c r="FO8" s="17"/>
      <c r="FP8" s="17"/>
      <c r="FQ8" s="17"/>
    </row>
    <row r="9" spans="1:173">
      <c r="A9">
        <f>SUM($B$4:B9)</f>
        <v>72</v>
      </c>
      <c r="B9">
        <f t="shared" si="0"/>
        <v>12</v>
      </c>
      <c r="C9">
        <f t="shared" si="1"/>
        <v>22</v>
      </c>
      <c r="D9">
        <v>6</v>
      </c>
      <c r="E9" s="16">
        <f>IF(E$3&lt;=$B9,INDEX(Input!$I$43:$I$2956,E$3+$A8),"")</f>
        <v>63</v>
      </c>
      <c r="F9" s="17">
        <f>IF(F$3&lt;=$B9,INDEX(Input!$I$43:$I$2956,F$3+$A8),"")</f>
        <v>58</v>
      </c>
      <c r="G9" s="17">
        <f>IF(G$3&lt;=$B9,INDEX(Input!$I$43:$I$2956,G$3+$A8),"")</f>
        <v>41</v>
      </c>
      <c r="H9" s="17">
        <f>IF(H$3&lt;=$B9,INDEX(Input!$I$43:$I$2956,H$3+$A8),"")</f>
        <v>34</v>
      </c>
      <c r="I9" s="17">
        <f>IF(I$3&lt;=$B9,INDEX(Input!$I$43:$I$2956,I$3+$A8),"")</f>
        <v>116</v>
      </c>
      <c r="J9" s="17">
        <f>IF(J$3&lt;=$B9,INDEX(Input!$I$43:$I$2956,J$3+$A8),"")</f>
        <v>177</v>
      </c>
      <c r="K9" s="17">
        <f>IF(K$3&lt;=$B9,INDEX(Input!$I$43:$I$2956,K$3+$A8),"")</f>
        <v>54</v>
      </c>
      <c r="L9" s="17">
        <f>IF(L$3&lt;=$B9,INDEX(Input!$I$43:$I$2956,L$3+$A8),"")</f>
        <v>117</v>
      </c>
      <c r="M9" s="17">
        <f>IF(M$3&lt;=$B9,INDEX(Input!$I$43:$I$2956,M$3+$A8),"")</f>
        <v>65</v>
      </c>
      <c r="N9" s="17">
        <f>IF(N$3&lt;=$B9,INDEX(Input!$I$43:$I$2956,N$3+$A8),"")</f>
        <v>104</v>
      </c>
      <c r="O9" s="17">
        <f>IF(O$3&lt;=$B9,INDEX(Input!$I$43:$I$2956,O$3+$A8),"")</f>
        <v>25</v>
      </c>
      <c r="P9" s="17">
        <f>IF(P$3&lt;=$B9,INDEX(Input!$I$43:$I$2956,P$3+$A8),"")</f>
        <v>108</v>
      </c>
      <c r="Q9" s="17" t="str">
        <f>IF(Q$3&lt;=$B9,INDEX(Input!$I$43:$I$2956,Q$3+$A8),"")</f>
        <v/>
      </c>
      <c r="R9" s="17" t="str">
        <f>IF(R$3&lt;=$B9,INDEX(Input!$I$43:$I$2956,R$3+$A8),"")</f>
        <v/>
      </c>
      <c r="S9" s="17" t="str">
        <f>IF(S$3&lt;=$B9,INDEX(Input!$I$43:$I$2956,S$3+$A8),"")</f>
        <v/>
      </c>
      <c r="T9" s="17" t="str">
        <f>IF(T$3&lt;=$B9,INDEX(Input!$I$43:$I$2956,T$3+$A8),"")</f>
        <v/>
      </c>
      <c r="U9" s="17" t="str">
        <f>IF(U$3&lt;=$B9,INDEX(Input!$I$43:$I$2956,U$3+$A8),"")</f>
        <v/>
      </c>
      <c r="V9" s="17" t="str">
        <f>IF(V$3&lt;=$B9,INDEX(Input!$I$43:$I$2956,V$3+$A8),"")</f>
        <v/>
      </c>
      <c r="W9" s="17" t="str">
        <f>IF(W$3&lt;=$B9,INDEX(Input!$I$43:$I$2956,W$3+$A8),"")</f>
        <v/>
      </c>
      <c r="X9" s="17" t="str">
        <f>IF(X$3&lt;=$B9,INDEX(Input!$I$43:$I$2956,X$3+$A8),"")</f>
        <v/>
      </c>
      <c r="Y9" s="17" t="str">
        <f>IF(Y$3&lt;=$B9,INDEX(Input!$I$43:$I$2956,Y$3+$A8),"")</f>
        <v/>
      </c>
      <c r="Z9" s="17" t="str">
        <f>IF(Z$3&lt;=$B9,INDEX(Input!$I$43:$I$2956,Z$3+$A8),"")</f>
        <v/>
      </c>
      <c r="AA9" s="17" t="str">
        <f>IF(AA$3&lt;=$B9,INDEX(Input!$I$43:$I$2956,AA$3+$A8),"")</f>
        <v/>
      </c>
      <c r="AB9" s="17" t="str">
        <f>IF(AB$3&lt;=$B9,INDEX(Input!$I$43:$I$2956,AB$3+$A8),"")</f>
        <v/>
      </c>
      <c r="AC9" s="17" t="str">
        <f>IF(AC$3&lt;=$B9,INDEX(Input!$I$43:$I$2956,AC$3+$A8),"")</f>
        <v/>
      </c>
      <c r="AD9" s="17" t="str">
        <f>IF(AD$3&lt;=$B9,INDEX(Input!$I$43:$I$2956,AD$3+$A8),"")</f>
        <v/>
      </c>
      <c r="AE9" s="17" t="str">
        <f>IF(AE$3&lt;=$B9,INDEX(Input!$I$43:$I$2956,AE$3+$A8),"")</f>
        <v/>
      </c>
      <c r="AF9" s="17" t="str">
        <f>IF(AF$3&lt;=$B9,INDEX(Input!$I$43:$I$2956,AF$3+$A8),"")</f>
        <v/>
      </c>
      <c r="AG9" s="17" t="str">
        <f>IF(AG$3&lt;=$B9,INDEX(Input!$I$43:$I$2956,AG$3+$A8),"")</f>
        <v/>
      </c>
      <c r="AH9" s="17" t="str">
        <f>IF(AH$3&lt;=$B9,INDEX(Input!$I$43:$I$2956,AH$3+$A8),"")</f>
        <v/>
      </c>
      <c r="AI9" s="17" t="str">
        <f>IF(AI$3&lt;=$B9,INDEX(Input!$I$43:$I$2956,AI$3+$A8),"")</f>
        <v/>
      </c>
      <c r="AJ9" s="17" t="str">
        <f>IF(AJ$3&lt;=$B9,INDEX(Input!$I$43:$I$2956,AJ$3+$A8),"")</f>
        <v/>
      </c>
      <c r="AK9" s="17" t="str">
        <f>IF(AK$3&lt;=$B9,INDEX(Input!$I$43:$I$2956,AK$3+$A8),"")</f>
        <v/>
      </c>
      <c r="AL9" s="17" t="str">
        <f>IF(AL$3&lt;=$B9,INDEX(Input!$I$43:$I$2956,AL$3+$A8),"")</f>
        <v/>
      </c>
      <c r="AM9" s="17" t="str">
        <f>IF(AM$3&lt;=$B9,INDEX(Input!$I$43:$I$2956,AM$3+$A8),"")</f>
        <v/>
      </c>
      <c r="AN9" s="17" t="str">
        <f>IF(AN$3&lt;=$B9,INDEX(Input!$I$43:$I$2956,AN$3+$A8),"")</f>
        <v/>
      </c>
      <c r="AO9" s="17" t="str">
        <f>IF(AO$3&lt;=$B9,INDEX(Input!$I$43:$I$2956,AO$3+$A8),"")</f>
        <v/>
      </c>
      <c r="AP9" s="17" t="str">
        <f>IF(AP$3&lt;=$B9,INDEX(Input!$I$43:$I$2956,AP$3+$A8),"")</f>
        <v/>
      </c>
      <c r="AQ9" s="17" t="str">
        <f>IF(AQ$3&lt;=$B9,INDEX(Input!$I$43:$I$2956,AQ$3+$A8),"")</f>
        <v/>
      </c>
      <c r="AR9" s="17" t="str">
        <f>IF(AR$3&lt;=$B9,INDEX(Input!$I$43:$I$2956,AR$3+$A8),"")</f>
        <v/>
      </c>
      <c r="AS9" s="17" t="str">
        <f>IF(AS$3&lt;=$B9,INDEX(Input!$I$43:$I$2956,AS$3+$A8),"")</f>
        <v/>
      </c>
      <c r="AT9" s="17" t="str">
        <f>IF(AT$3&lt;=$B9,INDEX(Input!$I$43:$I$2956,AT$3+$A8),"")</f>
        <v/>
      </c>
      <c r="AU9" s="17" t="str">
        <f>IF(AU$3&lt;=$B9,INDEX(Input!$I$43:$I$2956,AU$3+$A8),"")</f>
        <v/>
      </c>
      <c r="AV9" s="17" t="str">
        <f>IF(AV$3&lt;=$B9,INDEX(Input!$I$43:$I$2956,AV$3+$A8),"")</f>
        <v/>
      </c>
      <c r="AW9" s="17" t="str">
        <f>IF(AW$3&lt;=$B9,INDEX(Input!$I$43:$I$2956,AW$3+$A8),"")</f>
        <v/>
      </c>
      <c r="AX9" s="17" t="str">
        <f>IF(AX$3&lt;=$B9,INDEX(Input!$I$43:$I$2956,AX$3+$A8),"")</f>
        <v/>
      </c>
      <c r="AY9" s="17" t="str">
        <f>IF(AY$3&lt;=$B9,INDEX(Input!$I$43:$I$2956,AY$3+$A8),"")</f>
        <v/>
      </c>
      <c r="AZ9" s="17" t="str">
        <f>IF(AZ$3&lt;=$B9,INDEX(Input!$I$43:$I$2956,AZ$3+$A8),"")</f>
        <v/>
      </c>
      <c r="BA9" s="17" t="str">
        <f>IF(BA$3&lt;=$B9,INDEX(Input!$I$43:$I$2956,BA$3+$A8),"")</f>
        <v/>
      </c>
      <c r="BB9" s="17" t="str">
        <f>IF(BB$3&lt;=$B9,INDEX(Input!$I$43:$I$2956,BB$3+$A8),"")</f>
        <v/>
      </c>
      <c r="BC9" s="17" t="str">
        <f>IF(BC$3&lt;=$B9,INDEX(Input!$I$43:$I$2956,BC$3+$A8),"")</f>
        <v/>
      </c>
      <c r="BD9" s="17" t="str">
        <f>IF(BD$3&lt;=$B9,INDEX(Input!$I$43:$I$2956,BD$3+$A8),"")</f>
        <v/>
      </c>
      <c r="BE9" s="17" t="str">
        <f>IF(BE$3&lt;=$B9,INDEX(Input!$I$43:$I$2956,BE$3+$A8),"")</f>
        <v/>
      </c>
      <c r="BF9" s="17" t="str">
        <f>IF(BF$3&lt;=$B9,INDEX(Input!$I$43:$I$2956,BF$3+$A8),"")</f>
        <v/>
      </c>
      <c r="BG9" s="17" t="str">
        <f>IF(BG$3&lt;=$B9,INDEX(Input!$I$43:$I$2956,BG$3+$A8),"")</f>
        <v/>
      </c>
      <c r="BH9" s="17" t="str">
        <f>IF(BH$3&lt;=$B9,INDEX(Input!$I$43:$I$2956,BH$3+$A8),"")</f>
        <v/>
      </c>
      <c r="BI9" s="17" t="str">
        <f>IF(BI$3&lt;=$B9,INDEX(Input!$I$43:$I$2956,BI$3+$A8),"")</f>
        <v/>
      </c>
      <c r="BJ9" s="17" t="str">
        <f>IF(BJ$3&lt;=$B9,INDEX(Input!$I$43:$I$2956,BJ$3+$A8),"")</f>
        <v/>
      </c>
      <c r="BK9" s="17" t="str">
        <f>IF(BK$3&lt;=$B9,INDEX(Input!$I$43:$I$2956,BK$3+$A8),"")</f>
        <v/>
      </c>
      <c r="BL9" s="17" t="str">
        <f>IF(BL$3&lt;=$B9,INDEX(Input!$I$43:$I$2956,BL$3+$A8),"")</f>
        <v/>
      </c>
      <c r="BM9" s="17" t="str">
        <f>IF(BM$3&lt;=$B9,INDEX(Input!$I$43:$I$2956,BM$3+$A8),"")</f>
        <v/>
      </c>
      <c r="BN9" s="17" t="str">
        <f>IF(BN$3&lt;=$B9,INDEX(Input!$I$43:$I$2956,BN$3+$A8),"")</f>
        <v/>
      </c>
      <c r="BO9" s="17" t="str">
        <f>IF(BO$3&lt;=$B9,INDEX(Input!$I$43:$I$2956,BO$3+$A8),"")</f>
        <v/>
      </c>
      <c r="BP9" s="17" t="str">
        <f>IF(BP$3&lt;=$B9,INDEX(Input!$I$43:$I$2956,BP$3+$A8),"")</f>
        <v/>
      </c>
      <c r="BQ9" s="17" t="str">
        <f>IF(BQ$3&lt;=$B9,INDEX(Input!$I$43:$I$2956,BQ$3+$A8),"")</f>
        <v/>
      </c>
      <c r="BR9" s="17" t="str">
        <f>IF(BR$3&lt;=$B9,INDEX(Input!$I$43:$I$2956,BR$3+$A8),"")</f>
        <v/>
      </c>
      <c r="BS9" s="17" t="str">
        <f>IF(BS$3&lt;=$B9,INDEX(Input!$I$43:$I$2956,BS$3+$A8),"")</f>
        <v/>
      </c>
      <c r="BT9" s="17" t="str">
        <f>IF(BT$3&lt;=$B9,INDEX(Input!$I$43:$I$2956,BT$3+$A8),"")</f>
        <v/>
      </c>
      <c r="BU9" s="17" t="str">
        <f>IF(BU$3&lt;=$B9,INDEX(Input!$I$43:$I$2956,BU$3+$A8),"")</f>
        <v/>
      </c>
      <c r="BV9" s="17" t="str">
        <f>IF(BV$3&lt;=$B9,INDEX(Input!$I$43:$I$2956,BV$3+$A8),"")</f>
        <v/>
      </c>
      <c r="BW9" s="17" t="str">
        <f>IF(BW$3&lt;=$B9,INDEX(Input!$I$43:$I$2956,BW$3+$A8),"")</f>
        <v/>
      </c>
      <c r="BX9" s="17" t="str">
        <f>IF(BX$3&lt;=$B9,INDEX(Input!$I$43:$I$2956,BX$3+$A8),"")</f>
        <v/>
      </c>
      <c r="BY9" s="17" t="str">
        <f>IF(BY$3&lt;=$B9,INDEX(Input!$I$43:$I$2956,BY$3+$A8),"")</f>
        <v/>
      </c>
      <c r="BZ9" s="17" t="str">
        <f>IF(BZ$3&lt;=$B9,INDEX(Input!$I$43:$I$2956,BZ$3+$A8),"")</f>
        <v/>
      </c>
      <c r="CA9" s="17" t="str">
        <f>IF(CA$3&lt;=$B9,INDEX(Input!$I$43:$I$2956,CA$3+$A8),"")</f>
        <v/>
      </c>
      <c r="CB9" s="17" t="str">
        <f>IF(CB$3&lt;=$B9,INDEX(Input!$I$43:$I$2956,CB$3+$A8),"")</f>
        <v/>
      </c>
      <c r="CC9" s="17" t="str">
        <f>IF(CC$3&lt;=$B9,INDEX(Input!$I$43:$I$2956,CC$3+$A8),"")</f>
        <v/>
      </c>
      <c r="CD9" s="17" t="str">
        <f>IF(CD$3&lt;=$B9,INDEX(Input!$I$43:$I$2956,CD$3+$A8),"")</f>
        <v/>
      </c>
      <c r="CE9" s="17" t="str">
        <f>IF(CE$3&lt;=$B9,INDEX(Input!$I$43:$I$2956,CE$3+$A8),"")</f>
        <v/>
      </c>
      <c r="CF9" s="17" t="str">
        <f>IF(CF$3&lt;=$B9,INDEX(Input!$I$43:$I$2956,CF$3+$A8),"")</f>
        <v/>
      </c>
      <c r="CG9" s="17" t="str">
        <f>IF(CG$3&lt;=$B9,INDEX(Input!$I$43:$I$2956,CG$3+$A8),"")</f>
        <v/>
      </c>
      <c r="CH9" s="17" t="str">
        <f>IF(CH$3&lt;=$B9,INDEX(Input!$I$43:$I$2956,CH$3+$A8),"")</f>
        <v/>
      </c>
      <c r="CI9" s="17" t="str">
        <f>IF(CI$3&lt;=$B9,INDEX(Input!$I$43:$I$2956,CI$3+$A8),"")</f>
        <v/>
      </c>
      <c r="CJ9" s="17" t="str">
        <f>IF(CJ$3&lt;=$B9,INDEX(Input!$I$43:$I$2956,CJ$3+$A8),"")</f>
        <v/>
      </c>
      <c r="CK9" s="17" t="str">
        <f>IF(CK$3&lt;=$B9,INDEX(Input!$I$43:$I$2956,CK$3+$A8),"")</f>
        <v/>
      </c>
      <c r="CL9" s="17" t="str">
        <f>IF(CL$3&lt;=$B9,INDEX(Input!$I$43:$I$2956,CL$3+$A8),"")</f>
        <v/>
      </c>
      <c r="CM9" s="17" t="str">
        <f>IF(CM$3&lt;=$B9,INDEX(Input!$I$43:$I$2956,CM$3+$A8),"")</f>
        <v/>
      </c>
      <c r="CN9" s="17" t="str">
        <f>IF(CN$3&lt;=$B9,INDEX(Input!$I$43:$I$2956,CN$3+$A8),"")</f>
        <v/>
      </c>
      <c r="CO9" s="17" t="str">
        <f>IF(CO$3&lt;=$B9,INDEX(Input!$I$43:$I$2956,CO$3+$A8),"")</f>
        <v/>
      </c>
      <c r="CP9" s="17" t="str">
        <f>IF(CP$3&lt;=$B9,INDEX(Input!$I$43:$I$2956,CP$3+$A8),"")</f>
        <v/>
      </c>
      <c r="CQ9" s="17" t="str">
        <f>IF(CQ$3&lt;=$B9,INDEX(Input!$I$43:$I$2956,CQ$3+$A8),"")</f>
        <v/>
      </c>
      <c r="CR9" s="17" t="str">
        <f>IF(CR$3&lt;=$B9,INDEX(Input!$I$43:$I$2956,CR$3+$A8),"")</f>
        <v/>
      </c>
      <c r="CS9" s="17" t="str">
        <f>IF(CS$3&lt;=$B9,INDEX(Input!$I$43:$I$2956,CS$3+$A8),"")</f>
        <v/>
      </c>
      <c r="CT9" s="17" t="str">
        <f>IF(CT$3&lt;=$B9,INDEX(Input!$I$43:$I$2956,CT$3+$A8),"")</f>
        <v/>
      </c>
      <c r="CU9" s="17" t="str">
        <f>IF(CU$3&lt;=$B9,INDEX(Input!$I$43:$I$2956,CU$3+$A8),"")</f>
        <v/>
      </c>
      <c r="CV9" s="17" t="str">
        <f>IF(CV$3&lt;=$B9,INDEX(Input!$I$43:$I$2956,CV$3+$A8),"")</f>
        <v/>
      </c>
      <c r="CW9" s="17" t="str">
        <f>IF(CW$3&lt;=$B9,INDEX(Input!$I$43:$I$2956,CW$3+$A8),"")</f>
        <v/>
      </c>
      <c r="CX9" s="17" t="str">
        <f>IF(CX$3&lt;=$B9,INDEX(Input!$I$43:$I$2956,CX$3+$A8),"")</f>
        <v/>
      </c>
      <c r="CY9" s="17" t="str">
        <f>IF(CY$3&lt;=$B9,INDEX(Input!$I$43:$I$2956,CY$3+$A8),"")</f>
        <v/>
      </c>
      <c r="CZ9" s="17" t="str">
        <f>IF(CZ$3&lt;=$B9,INDEX(Input!$I$43:$I$2956,CZ$3+$A8),"")</f>
        <v/>
      </c>
      <c r="DA9" s="17" t="str">
        <f>IF(DA$3&lt;=$B9,INDEX(Input!$I$43:$I$2956,DA$3+$A8),"")</f>
        <v/>
      </c>
      <c r="DB9" s="17" t="str">
        <f>IF(DB$3&lt;=$B9,INDEX(Input!$I$43:$I$2956,DB$3+$A8),"")</f>
        <v/>
      </c>
      <c r="DC9" s="17" t="str">
        <f>IF(DC$3&lt;=$B9,INDEX(Input!$I$43:$I$2956,DC$3+$A8),"")</f>
        <v/>
      </c>
      <c r="DD9" s="17" t="str">
        <f>IF(DD$3&lt;=$B9,INDEX(Input!$I$43:$I$2956,DD$3+$A8),"")</f>
        <v/>
      </c>
      <c r="DE9" s="17" t="str">
        <f>IF(DE$3&lt;=$B9,INDEX(Input!$I$43:$I$2956,DE$3+$A8),"")</f>
        <v/>
      </c>
      <c r="DF9" s="17" t="str">
        <f>IF(DF$3&lt;=$B9,INDEX(Input!$I$43:$I$2956,DF$3+$A8),"")</f>
        <v/>
      </c>
      <c r="DG9" s="17" t="str">
        <f>IF(DG$3&lt;=$B9,INDEX(Input!$I$43:$I$2956,DG$3+$A8),"")</f>
        <v/>
      </c>
      <c r="DH9" s="17" t="str">
        <f>IF(DH$3&lt;=$B9,INDEX(Input!$I$43:$I$2956,DH$3+$A8),"")</f>
        <v/>
      </c>
      <c r="DI9" s="17" t="str">
        <f>IF(DI$3&lt;=$B9,INDEX(Input!$I$43:$I$2956,DI$3+$A8),"")</f>
        <v/>
      </c>
      <c r="DJ9" s="17" t="str">
        <f>IF(DJ$3&lt;=$B9,INDEX(Input!$I$43:$I$2956,DJ$3+$A8),"")</f>
        <v/>
      </c>
      <c r="DK9" s="17" t="str">
        <f>IF(DK$3&lt;=$B9,INDEX(Input!$I$43:$I$2956,DK$3+$A8),"")</f>
        <v/>
      </c>
      <c r="DL9" s="17" t="str">
        <f>IF(DL$3&lt;=$B9,INDEX(Input!$I$43:$I$2956,DL$3+$A8),"")</f>
        <v/>
      </c>
      <c r="DM9" s="17" t="str">
        <f>IF(DM$3&lt;=$B9,INDEX(Input!$I$43:$I$2956,DM$3+$A8),"")</f>
        <v/>
      </c>
      <c r="DN9" s="17" t="str">
        <f>IF(DN$3&lt;=$B9,INDEX(Input!$I$43:$I$2956,DN$3+$A8),"")</f>
        <v/>
      </c>
      <c r="DO9" s="17" t="str">
        <f>IF(DO$3&lt;=$B9,INDEX(Input!$I$43:$I$2956,DO$3+$A8),"")</f>
        <v/>
      </c>
      <c r="DP9" s="17" t="str">
        <f>IF(DP$3&lt;=$B9,INDEX(Input!$I$43:$I$2956,DP$3+$A8),"")</f>
        <v/>
      </c>
      <c r="DQ9" s="17" t="str">
        <f>IF(DQ$3&lt;=$B9,INDEX(Input!$I$43:$I$2956,DQ$3+$A8),"")</f>
        <v/>
      </c>
      <c r="DR9" s="17" t="str">
        <f>IF(DR$3&lt;=$B9,INDEX(Input!$I$43:$I$2956,DR$3+$A8),"")</f>
        <v/>
      </c>
      <c r="DS9" s="17" t="str">
        <f>IF(DS$3&lt;=$B9,INDEX(Input!$I$43:$I$2956,DS$3+$A8),"")</f>
        <v/>
      </c>
      <c r="DT9" s="17" t="str">
        <f>IF(DT$3&lt;=$B9,INDEX(Input!$I$43:$I$2956,DT$3+$A8),"")</f>
        <v/>
      </c>
      <c r="DU9" s="17" t="str">
        <f>IF(DU$3&lt;=$B9,INDEX(Input!$I$43:$I$2956,DU$3+$A8),"")</f>
        <v/>
      </c>
      <c r="DV9" s="17" t="str">
        <f>IF(DV$3&lt;=$B9,INDEX(Input!$I$43:$I$2956,DV$3+$A8),"")</f>
        <v/>
      </c>
      <c r="DW9" s="58">
        <f t="array" ref="DW9:EZ9">IFERROR(eccalc(E9:DV9,C9+B9,B9,$O$2:$AS$2),"")</f>
        <v>169</v>
      </c>
      <c r="DX9" s="59">
        <v>29</v>
      </c>
      <c r="DY9" s="59">
        <v>237</v>
      </c>
      <c r="DZ9" s="59">
        <v>221</v>
      </c>
      <c r="EA9" s="59">
        <v>130</v>
      </c>
      <c r="EB9" s="59">
        <v>255</v>
      </c>
      <c r="EC9" s="59">
        <v>173</v>
      </c>
      <c r="ED9" s="59">
        <v>204</v>
      </c>
      <c r="EE9" s="59">
        <v>242</v>
      </c>
      <c r="EF9" s="59">
        <v>27</v>
      </c>
      <c r="EG9" s="59">
        <v>71</v>
      </c>
      <c r="EH9" s="59">
        <v>213</v>
      </c>
      <c r="EI9" s="59">
        <v>160</v>
      </c>
      <c r="EJ9" s="59">
        <v>173</v>
      </c>
      <c r="EK9" s="59">
        <v>116</v>
      </c>
      <c r="EL9" s="59">
        <v>218</v>
      </c>
      <c r="EM9" s="59">
        <v>108</v>
      </c>
      <c r="EN9" s="59">
        <v>194</v>
      </c>
      <c r="EO9" s="59">
        <v>147</v>
      </c>
      <c r="EP9" s="59">
        <v>164</v>
      </c>
      <c r="EQ9" s="59">
        <v>5</v>
      </c>
      <c r="ER9" s="59">
        <v>8</v>
      </c>
      <c r="ES9" s="59">
        <v>0</v>
      </c>
      <c r="ET9" s="59">
        <v>0</v>
      </c>
      <c r="EU9" s="59">
        <v>0</v>
      </c>
      <c r="EV9" s="59">
        <v>0</v>
      </c>
      <c r="EW9" s="59">
        <v>0</v>
      </c>
      <c r="EX9" s="59">
        <v>0</v>
      </c>
      <c r="EY9" s="59">
        <v>0</v>
      </c>
      <c r="EZ9" s="60">
        <v>0</v>
      </c>
      <c r="FA9" s="17"/>
      <c r="FC9">
        <v>6</v>
      </c>
      <c r="FD9">
        <f t="shared" si="2"/>
        <v>6</v>
      </c>
      <c r="FE9">
        <f t="shared" si="3"/>
        <v>1</v>
      </c>
      <c r="FF9">
        <f t="shared" si="4"/>
        <v>63</v>
      </c>
      <c r="FI9" s="16">
        <v>6</v>
      </c>
      <c r="FJ9" s="17">
        <f t="shared" si="5"/>
        <v>169</v>
      </c>
      <c r="FK9" s="17">
        <f t="shared" si="6"/>
        <v>63</v>
      </c>
      <c r="FL9" s="18" t="str">
        <f t="shared" si="7"/>
        <v>00111111</v>
      </c>
      <c r="FM9" s="2"/>
      <c r="FN9" s="17"/>
      <c r="FO9" s="17"/>
      <c r="FP9" s="17"/>
      <c r="FQ9" s="17"/>
    </row>
    <row r="10" spans="1:173">
      <c r="A10">
        <f>SUM($B$4:B10)</f>
        <v>84</v>
      </c>
      <c r="B10">
        <f t="shared" si="0"/>
        <v>12</v>
      </c>
      <c r="C10">
        <f t="shared" si="1"/>
        <v>22</v>
      </c>
      <c r="D10">
        <v>7</v>
      </c>
      <c r="E10" s="16">
        <f>IF(E$3&lt;=$B10,INDEX(Input!$I$43:$I$2956,E$3+$A9),"")</f>
        <v>114</v>
      </c>
      <c r="F10" s="17">
        <f>IF(F$3&lt;=$B10,INDEX(Input!$I$43:$I$2956,F$3+$A9),"")</f>
        <v>37</v>
      </c>
      <c r="G10" s="17">
        <f>IF(G$3&lt;=$B10,INDEX(Input!$I$43:$I$2956,G$3+$A9),"")</f>
        <v>225</v>
      </c>
      <c r="H10" s="17">
        <f>IF(H$3&lt;=$B10,INDEX(Input!$I$43:$I$2956,H$3+$A9),"")</f>
        <v>41</v>
      </c>
      <c r="I10" s="17">
        <f>IF(I$3&lt;=$B10,INDEX(Input!$I$43:$I$2956,I$3+$A9),"")</f>
        <v>22</v>
      </c>
      <c r="J10" s="17">
        <f>IF(J$3&lt;=$B10,INDEX(Input!$I$43:$I$2956,J$3+$A9),"")</f>
        <v>246</v>
      </c>
      <c r="K10" s="17">
        <f>IF(K$3&lt;=$B10,INDEX(Input!$I$43:$I$2956,K$3+$A9),"")</f>
        <v>175</v>
      </c>
      <c r="L10" s="17">
        <f>IF(L$3&lt;=$B10,INDEX(Input!$I$43:$I$2956,L$3+$A9),"")</f>
        <v>165</v>
      </c>
      <c r="M10" s="17">
        <f>IF(M$3&lt;=$B10,INDEX(Input!$I$43:$I$2956,M$3+$A9),"")</f>
        <v>102</v>
      </c>
      <c r="N10" s="17">
        <f>IF(N$3&lt;=$B10,INDEX(Input!$I$43:$I$2956,N$3+$A9),"")</f>
        <v>58</v>
      </c>
      <c r="O10" s="17">
        <f>IF(O$3&lt;=$B10,INDEX(Input!$I$43:$I$2956,O$3+$A9),"")</f>
        <v>8</v>
      </c>
      <c r="P10" s="17">
        <f>IF(P$3&lt;=$B10,INDEX(Input!$I$43:$I$2956,P$3+$A9),"")</f>
        <v>25</v>
      </c>
      <c r="Q10" s="17" t="str">
        <f>IF(Q$3&lt;=$B10,INDEX(Input!$I$43:$I$2956,Q$3+$A9),"")</f>
        <v/>
      </c>
      <c r="R10" s="17" t="str">
        <f>IF(R$3&lt;=$B10,INDEX(Input!$I$43:$I$2956,R$3+$A9),"")</f>
        <v/>
      </c>
      <c r="S10" s="17" t="str">
        <f>IF(S$3&lt;=$B10,INDEX(Input!$I$43:$I$2956,S$3+$A9),"")</f>
        <v/>
      </c>
      <c r="T10" s="17" t="str">
        <f>IF(T$3&lt;=$B10,INDEX(Input!$I$43:$I$2956,T$3+$A9),"")</f>
        <v/>
      </c>
      <c r="U10" s="17" t="str">
        <f>IF(U$3&lt;=$B10,INDEX(Input!$I$43:$I$2956,U$3+$A9),"")</f>
        <v/>
      </c>
      <c r="V10" s="17" t="str">
        <f>IF(V$3&lt;=$B10,INDEX(Input!$I$43:$I$2956,V$3+$A9),"")</f>
        <v/>
      </c>
      <c r="W10" s="17" t="str">
        <f>IF(W$3&lt;=$B10,INDEX(Input!$I$43:$I$2956,W$3+$A9),"")</f>
        <v/>
      </c>
      <c r="X10" s="17" t="str">
        <f>IF(X$3&lt;=$B10,INDEX(Input!$I$43:$I$2956,X$3+$A9),"")</f>
        <v/>
      </c>
      <c r="Y10" s="17" t="str">
        <f>IF(Y$3&lt;=$B10,INDEX(Input!$I$43:$I$2956,Y$3+$A9),"")</f>
        <v/>
      </c>
      <c r="Z10" s="17" t="str">
        <f>IF(Z$3&lt;=$B10,INDEX(Input!$I$43:$I$2956,Z$3+$A9),"")</f>
        <v/>
      </c>
      <c r="AA10" s="17" t="str">
        <f>IF(AA$3&lt;=$B10,INDEX(Input!$I$43:$I$2956,AA$3+$A9),"")</f>
        <v/>
      </c>
      <c r="AB10" s="17" t="str">
        <f>IF(AB$3&lt;=$B10,INDEX(Input!$I$43:$I$2956,AB$3+$A9),"")</f>
        <v/>
      </c>
      <c r="AC10" s="17" t="str">
        <f>IF(AC$3&lt;=$B10,INDEX(Input!$I$43:$I$2956,AC$3+$A9),"")</f>
        <v/>
      </c>
      <c r="AD10" s="17" t="str">
        <f>IF(AD$3&lt;=$B10,INDEX(Input!$I$43:$I$2956,AD$3+$A9),"")</f>
        <v/>
      </c>
      <c r="AE10" s="17" t="str">
        <f>IF(AE$3&lt;=$B10,INDEX(Input!$I$43:$I$2956,AE$3+$A9),"")</f>
        <v/>
      </c>
      <c r="AF10" s="17" t="str">
        <f>IF(AF$3&lt;=$B10,INDEX(Input!$I$43:$I$2956,AF$3+$A9),"")</f>
        <v/>
      </c>
      <c r="AG10" s="17" t="str">
        <f>IF(AG$3&lt;=$B10,INDEX(Input!$I$43:$I$2956,AG$3+$A9),"")</f>
        <v/>
      </c>
      <c r="AH10" s="17" t="str">
        <f>IF(AH$3&lt;=$B10,INDEX(Input!$I$43:$I$2956,AH$3+$A9),"")</f>
        <v/>
      </c>
      <c r="AI10" s="17" t="str">
        <f>IF(AI$3&lt;=$B10,INDEX(Input!$I$43:$I$2956,AI$3+$A9),"")</f>
        <v/>
      </c>
      <c r="AJ10" s="17" t="str">
        <f>IF(AJ$3&lt;=$B10,INDEX(Input!$I$43:$I$2956,AJ$3+$A9),"")</f>
        <v/>
      </c>
      <c r="AK10" s="17" t="str">
        <f>IF(AK$3&lt;=$B10,INDEX(Input!$I$43:$I$2956,AK$3+$A9),"")</f>
        <v/>
      </c>
      <c r="AL10" s="17" t="str">
        <f>IF(AL$3&lt;=$B10,INDEX(Input!$I$43:$I$2956,AL$3+$A9),"")</f>
        <v/>
      </c>
      <c r="AM10" s="17" t="str">
        <f>IF(AM$3&lt;=$B10,INDEX(Input!$I$43:$I$2956,AM$3+$A9),"")</f>
        <v/>
      </c>
      <c r="AN10" s="17" t="str">
        <f>IF(AN$3&lt;=$B10,INDEX(Input!$I$43:$I$2956,AN$3+$A9),"")</f>
        <v/>
      </c>
      <c r="AO10" s="17" t="str">
        <f>IF(AO$3&lt;=$B10,INDEX(Input!$I$43:$I$2956,AO$3+$A9),"")</f>
        <v/>
      </c>
      <c r="AP10" s="17" t="str">
        <f>IF(AP$3&lt;=$B10,INDEX(Input!$I$43:$I$2956,AP$3+$A9),"")</f>
        <v/>
      </c>
      <c r="AQ10" s="17" t="str">
        <f>IF(AQ$3&lt;=$B10,INDEX(Input!$I$43:$I$2956,AQ$3+$A9),"")</f>
        <v/>
      </c>
      <c r="AR10" s="17" t="str">
        <f>IF(AR$3&lt;=$B10,INDEX(Input!$I$43:$I$2956,AR$3+$A9),"")</f>
        <v/>
      </c>
      <c r="AS10" s="17" t="str">
        <f>IF(AS$3&lt;=$B10,INDEX(Input!$I$43:$I$2956,AS$3+$A9),"")</f>
        <v/>
      </c>
      <c r="AT10" s="17" t="str">
        <f>IF(AT$3&lt;=$B10,INDEX(Input!$I$43:$I$2956,AT$3+$A9),"")</f>
        <v/>
      </c>
      <c r="AU10" s="17" t="str">
        <f>IF(AU$3&lt;=$B10,INDEX(Input!$I$43:$I$2956,AU$3+$A9),"")</f>
        <v/>
      </c>
      <c r="AV10" s="17" t="str">
        <f>IF(AV$3&lt;=$B10,INDEX(Input!$I$43:$I$2956,AV$3+$A9),"")</f>
        <v/>
      </c>
      <c r="AW10" s="17" t="str">
        <f>IF(AW$3&lt;=$B10,INDEX(Input!$I$43:$I$2956,AW$3+$A9),"")</f>
        <v/>
      </c>
      <c r="AX10" s="17" t="str">
        <f>IF(AX$3&lt;=$B10,INDEX(Input!$I$43:$I$2956,AX$3+$A9),"")</f>
        <v/>
      </c>
      <c r="AY10" s="17" t="str">
        <f>IF(AY$3&lt;=$B10,INDEX(Input!$I$43:$I$2956,AY$3+$A9),"")</f>
        <v/>
      </c>
      <c r="AZ10" s="17" t="str">
        <f>IF(AZ$3&lt;=$B10,INDEX(Input!$I$43:$I$2956,AZ$3+$A9),"")</f>
        <v/>
      </c>
      <c r="BA10" s="17" t="str">
        <f>IF(BA$3&lt;=$B10,INDEX(Input!$I$43:$I$2956,BA$3+$A9),"")</f>
        <v/>
      </c>
      <c r="BB10" s="17" t="str">
        <f>IF(BB$3&lt;=$B10,INDEX(Input!$I$43:$I$2956,BB$3+$A9),"")</f>
        <v/>
      </c>
      <c r="BC10" s="17" t="str">
        <f>IF(BC$3&lt;=$B10,INDEX(Input!$I$43:$I$2956,BC$3+$A9),"")</f>
        <v/>
      </c>
      <c r="BD10" s="17" t="str">
        <f>IF(BD$3&lt;=$B10,INDEX(Input!$I$43:$I$2956,BD$3+$A9),"")</f>
        <v/>
      </c>
      <c r="BE10" s="17" t="str">
        <f>IF(BE$3&lt;=$B10,INDEX(Input!$I$43:$I$2956,BE$3+$A9),"")</f>
        <v/>
      </c>
      <c r="BF10" s="17" t="str">
        <f>IF(BF$3&lt;=$B10,INDEX(Input!$I$43:$I$2956,BF$3+$A9),"")</f>
        <v/>
      </c>
      <c r="BG10" s="17" t="str">
        <f>IF(BG$3&lt;=$B10,INDEX(Input!$I$43:$I$2956,BG$3+$A9),"")</f>
        <v/>
      </c>
      <c r="BH10" s="17" t="str">
        <f>IF(BH$3&lt;=$B10,INDEX(Input!$I$43:$I$2956,BH$3+$A9),"")</f>
        <v/>
      </c>
      <c r="BI10" s="17" t="str">
        <f>IF(BI$3&lt;=$B10,INDEX(Input!$I$43:$I$2956,BI$3+$A9),"")</f>
        <v/>
      </c>
      <c r="BJ10" s="17" t="str">
        <f>IF(BJ$3&lt;=$B10,INDEX(Input!$I$43:$I$2956,BJ$3+$A9),"")</f>
        <v/>
      </c>
      <c r="BK10" s="17" t="str">
        <f>IF(BK$3&lt;=$B10,INDEX(Input!$I$43:$I$2956,BK$3+$A9),"")</f>
        <v/>
      </c>
      <c r="BL10" s="17" t="str">
        <f>IF(BL$3&lt;=$B10,INDEX(Input!$I$43:$I$2956,BL$3+$A9),"")</f>
        <v/>
      </c>
      <c r="BM10" s="17" t="str">
        <f>IF(BM$3&lt;=$B10,INDEX(Input!$I$43:$I$2956,BM$3+$A9),"")</f>
        <v/>
      </c>
      <c r="BN10" s="17" t="str">
        <f>IF(BN$3&lt;=$B10,INDEX(Input!$I$43:$I$2956,BN$3+$A9),"")</f>
        <v/>
      </c>
      <c r="BO10" s="17" t="str">
        <f>IF(BO$3&lt;=$B10,INDEX(Input!$I$43:$I$2956,BO$3+$A9),"")</f>
        <v/>
      </c>
      <c r="BP10" s="17" t="str">
        <f>IF(BP$3&lt;=$B10,INDEX(Input!$I$43:$I$2956,BP$3+$A9),"")</f>
        <v/>
      </c>
      <c r="BQ10" s="17" t="str">
        <f>IF(BQ$3&lt;=$B10,INDEX(Input!$I$43:$I$2956,BQ$3+$A9),"")</f>
        <v/>
      </c>
      <c r="BR10" s="17" t="str">
        <f>IF(BR$3&lt;=$B10,INDEX(Input!$I$43:$I$2956,BR$3+$A9),"")</f>
        <v/>
      </c>
      <c r="BS10" s="17" t="str">
        <f>IF(BS$3&lt;=$B10,INDEX(Input!$I$43:$I$2956,BS$3+$A9),"")</f>
        <v/>
      </c>
      <c r="BT10" s="17" t="str">
        <f>IF(BT$3&lt;=$B10,INDEX(Input!$I$43:$I$2956,BT$3+$A9),"")</f>
        <v/>
      </c>
      <c r="BU10" s="17" t="str">
        <f>IF(BU$3&lt;=$B10,INDEX(Input!$I$43:$I$2956,BU$3+$A9),"")</f>
        <v/>
      </c>
      <c r="BV10" s="17" t="str">
        <f>IF(BV$3&lt;=$B10,INDEX(Input!$I$43:$I$2956,BV$3+$A9),"")</f>
        <v/>
      </c>
      <c r="BW10" s="17" t="str">
        <f>IF(BW$3&lt;=$B10,INDEX(Input!$I$43:$I$2956,BW$3+$A9),"")</f>
        <v/>
      </c>
      <c r="BX10" s="17" t="str">
        <f>IF(BX$3&lt;=$B10,INDEX(Input!$I$43:$I$2956,BX$3+$A9),"")</f>
        <v/>
      </c>
      <c r="BY10" s="17" t="str">
        <f>IF(BY$3&lt;=$B10,INDEX(Input!$I$43:$I$2956,BY$3+$A9),"")</f>
        <v/>
      </c>
      <c r="BZ10" s="17" t="str">
        <f>IF(BZ$3&lt;=$B10,INDEX(Input!$I$43:$I$2956,BZ$3+$A9),"")</f>
        <v/>
      </c>
      <c r="CA10" s="17" t="str">
        <f>IF(CA$3&lt;=$B10,INDEX(Input!$I$43:$I$2956,CA$3+$A9),"")</f>
        <v/>
      </c>
      <c r="CB10" s="17" t="str">
        <f>IF(CB$3&lt;=$B10,INDEX(Input!$I$43:$I$2956,CB$3+$A9),"")</f>
        <v/>
      </c>
      <c r="CC10" s="17" t="str">
        <f>IF(CC$3&lt;=$B10,INDEX(Input!$I$43:$I$2956,CC$3+$A9),"")</f>
        <v/>
      </c>
      <c r="CD10" s="17" t="str">
        <f>IF(CD$3&lt;=$B10,INDEX(Input!$I$43:$I$2956,CD$3+$A9),"")</f>
        <v/>
      </c>
      <c r="CE10" s="17" t="str">
        <f>IF(CE$3&lt;=$B10,INDEX(Input!$I$43:$I$2956,CE$3+$A9),"")</f>
        <v/>
      </c>
      <c r="CF10" s="17" t="str">
        <f>IF(CF$3&lt;=$B10,INDEX(Input!$I$43:$I$2956,CF$3+$A9),"")</f>
        <v/>
      </c>
      <c r="CG10" s="17" t="str">
        <f>IF(CG$3&lt;=$B10,INDEX(Input!$I$43:$I$2956,CG$3+$A9),"")</f>
        <v/>
      </c>
      <c r="CH10" s="17" t="str">
        <f>IF(CH$3&lt;=$B10,INDEX(Input!$I$43:$I$2956,CH$3+$A9),"")</f>
        <v/>
      </c>
      <c r="CI10" s="17" t="str">
        <f>IF(CI$3&lt;=$B10,INDEX(Input!$I$43:$I$2956,CI$3+$A9),"")</f>
        <v/>
      </c>
      <c r="CJ10" s="17" t="str">
        <f>IF(CJ$3&lt;=$B10,INDEX(Input!$I$43:$I$2956,CJ$3+$A9),"")</f>
        <v/>
      </c>
      <c r="CK10" s="17" t="str">
        <f>IF(CK$3&lt;=$B10,INDEX(Input!$I$43:$I$2956,CK$3+$A9),"")</f>
        <v/>
      </c>
      <c r="CL10" s="17" t="str">
        <f>IF(CL$3&lt;=$B10,INDEX(Input!$I$43:$I$2956,CL$3+$A9),"")</f>
        <v/>
      </c>
      <c r="CM10" s="17" t="str">
        <f>IF(CM$3&lt;=$B10,INDEX(Input!$I$43:$I$2956,CM$3+$A9),"")</f>
        <v/>
      </c>
      <c r="CN10" s="17" t="str">
        <f>IF(CN$3&lt;=$B10,INDEX(Input!$I$43:$I$2956,CN$3+$A9),"")</f>
        <v/>
      </c>
      <c r="CO10" s="17" t="str">
        <f>IF(CO$3&lt;=$B10,INDEX(Input!$I$43:$I$2956,CO$3+$A9),"")</f>
        <v/>
      </c>
      <c r="CP10" s="17" t="str">
        <f>IF(CP$3&lt;=$B10,INDEX(Input!$I$43:$I$2956,CP$3+$A9),"")</f>
        <v/>
      </c>
      <c r="CQ10" s="17" t="str">
        <f>IF(CQ$3&lt;=$B10,INDEX(Input!$I$43:$I$2956,CQ$3+$A9),"")</f>
        <v/>
      </c>
      <c r="CR10" s="17" t="str">
        <f>IF(CR$3&lt;=$B10,INDEX(Input!$I$43:$I$2956,CR$3+$A9),"")</f>
        <v/>
      </c>
      <c r="CS10" s="17" t="str">
        <f>IF(CS$3&lt;=$B10,INDEX(Input!$I$43:$I$2956,CS$3+$A9),"")</f>
        <v/>
      </c>
      <c r="CT10" s="17" t="str">
        <f>IF(CT$3&lt;=$B10,INDEX(Input!$I$43:$I$2956,CT$3+$A9),"")</f>
        <v/>
      </c>
      <c r="CU10" s="17" t="str">
        <f>IF(CU$3&lt;=$B10,INDEX(Input!$I$43:$I$2956,CU$3+$A9),"")</f>
        <v/>
      </c>
      <c r="CV10" s="17" t="str">
        <f>IF(CV$3&lt;=$B10,INDEX(Input!$I$43:$I$2956,CV$3+$A9),"")</f>
        <v/>
      </c>
      <c r="CW10" s="17" t="str">
        <f>IF(CW$3&lt;=$B10,INDEX(Input!$I$43:$I$2956,CW$3+$A9),"")</f>
        <v/>
      </c>
      <c r="CX10" s="17" t="str">
        <f>IF(CX$3&lt;=$B10,INDEX(Input!$I$43:$I$2956,CX$3+$A9),"")</f>
        <v/>
      </c>
      <c r="CY10" s="17" t="str">
        <f>IF(CY$3&lt;=$B10,INDEX(Input!$I$43:$I$2956,CY$3+$A9),"")</f>
        <v/>
      </c>
      <c r="CZ10" s="17" t="str">
        <f>IF(CZ$3&lt;=$B10,INDEX(Input!$I$43:$I$2956,CZ$3+$A9),"")</f>
        <v/>
      </c>
      <c r="DA10" s="17" t="str">
        <f>IF(DA$3&lt;=$B10,INDEX(Input!$I$43:$I$2956,DA$3+$A9),"")</f>
        <v/>
      </c>
      <c r="DB10" s="17" t="str">
        <f>IF(DB$3&lt;=$B10,INDEX(Input!$I$43:$I$2956,DB$3+$A9),"")</f>
        <v/>
      </c>
      <c r="DC10" s="17" t="str">
        <f>IF(DC$3&lt;=$B10,INDEX(Input!$I$43:$I$2956,DC$3+$A9),"")</f>
        <v/>
      </c>
      <c r="DD10" s="17" t="str">
        <f>IF(DD$3&lt;=$B10,INDEX(Input!$I$43:$I$2956,DD$3+$A9),"")</f>
        <v/>
      </c>
      <c r="DE10" s="17" t="str">
        <f>IF(DE$3&lt;=$B10,INDEX(Input!$I$43:$I$2956,DE$3+$A9),"")</f>
        <v/>
      </c>
      <c r="DF10" s="17" t="str">
        <f>IF(DF$3&lt;=$B10,INDEX(Input!$I$43:$I$2956,DF$3+$A9),"")</f>
        <v/>
      </c>
      <c r="DG10" s="17" t="str">
        <f>IF(DG$3&lt;=$B10,INDEX(Input!$I$43:$I$2956,DG$3+$A9),"")</f>
        <v/>
      </c>
      <c r="DH10" s="17" t="str">
        <f>IF(DH$3&lt;=$B10,INDEX(Input!$I$43:$I$2956,DH$3+$A9),"")</f>
        <v/>
      </c>
      <c r="DI10" s="17" t="str">
        <f>IF(DI$3&lt;=$B10,INDEX(Input!$I$43:$I$2956,DI$3+$A9),"")</f>
        <v/>
      </c>
      <c r="DJ10" s="17" t="str">
        <f>IF(DJ$3&lt;=$B10,INDEX(Input!$I$43:$I$2956,DJ$3+$A9),"")</f>
        <v/>
      </c>
      <c r="DK10" s="17" t="str">
        <f>IF(DK$3&lt;=$B10,INDEX(Input!$I$43:$I$2956,DK$3+$A9),"")</f>
        <v/>
      </c>
      <c r="DL10" s="17" t="str">
        <f>IF(DL$3&lt;=$B10,INDEX(Input!$I$43:$I$2956,DL$3+$A9),"")</f>
        <v/>
      </c>
      <c r="DM10" s="17" t="str">
        <f>IF(DM$3&lt;=$B10,INDEX(Input!$I$43:$I$2956,DM$3+$A9),"")</f>
        <v/>
      </c>
      <c r="DN10" s="17" t="str">
        <f>IF(DN$3&lt;=$B10,INDEX(Input!$I$43:$I$2956,DN$3+$A9),"")</f>
        <v/>
      </c>
      <c r="DO10" s="17" t="str">
        <f>IF(DO$3&lt;=$B10,INDEX(Input!$I$43:$I$2956,DO$3+$A9),"")</f>
        <v/>
      </c>
      <c r="DP10" s="17" t="str">
        <f>IF(DP$3&lt;=$B10,INDEX(Input!$I$43:$I$2956,DP$3+$A9),"")</f>
        <v/>
      </c>
      <c r="DQ10" s="17" t="str">
        <f>IF(DQ$3&lt;=$B10,INDEX(Input!$I$43:$I$2956,DQ$3+$A9),"")</f>
        <v/>
      </c>
      <c r="DR10" s="17" t="str">
        <f>IF(DR$3&lt;=$B10,INDEX(Input!$I$43:$I$2956,DR$3+$A9),"")</f>
        <v/>
      </c>
      <c r="DS10" s="17" t="str">
        <f>IF(DS$3&lt;=$B10,INDEX(Input!$I$43:$I$2956,DS$3+$A9),"")</f>
        <v/>
      </c>
      <c r="DT10" s="17" t="str">
        <f>IF(DT$3&lt;=$B10,INDEX(Input!$I$43:$I$2956,DT$3+$A9),"")</f>
        <v/>
      </c>
      <c r="DU10" s="17" t="str">
        <f>IF(DU$3&lt;=$B10,INDEX(Input!$I$43:$I$2956,DU$3+$A9),"")</f>
        <v/>
      </c>
      <c r="DV10" s="17" t="str">
        <f>IF(DV$3&lt;=$B10,INDEX(Input!$I$43:$I$2956,DV$3+$A9),"")</f>
        <v/>
      </c>
      <c r="DW10" s="58">
        <f t="array" ref="DW10:EZ10">IFERROR(eccalc(E10:DV10,C10+B10,B10,$O$2:$AS$2),"")</f>
        <v>107</v>
      </c>
      <c r="DX10" s="59">
        <v>93</v>
      </c>
      <c r="DY10" s="59">
        <v>160</v>
      </c>
      <c r="DZ10" s="59">
        <v>248</v>
      </c>
      <c r="EA10" s="59">
        <v>116</v>
      </c>
      <c r="EB10" s="59">
        <v>216</v>
      </c>
      <c r="EC10" s="59">
        <v>160</v>
      </c>
      <c r="ED10" s="59">
        <v>253</v>
      </c>
      <c r="EE10" s="59">
        <v>17</v>
      </c>
      <c r="EF10" s="59">
        <v>94</v>
      </c>
      <c r="EG10" s="59">
        <v>99</v>
      </c>
      <c r="EH10" s="59">
        <v>4</v>
      </c>
      <c r="EI10" s="59">
        <v>170</v>
      </c>
      <c r="EJ10" s="59">
        <v>42</v>
      </c>
      <c r="EK10" s="59">
        <v>112</v>
      </c>
      <c r="EL10" s="59">
        <v>240</v>
      </c>
      <c r="EM10" s="59">
        <v>10</v>
      </c>
      <c r="EN10" s="59">
        <v>128</v>
      </c>
      <c r="EO10" s="59">
        <v>92</v>
      </c>
      <c r="EP10" s="59">
        <v>32</v>
      </c>
      <c r="EQ10" s="59">
        <v>47</v>
      </c>
      <c r="ER10" s="59">
        <v>86</v>
      </c>
      <c r="ES10" s="59">
        <v>0</v>
      </c>
      <c r="ET10" s="59">
        <v>0</v>
      </c>
      <c r="EU10" s="59">
        <v>0</v>
      </c>
      <c r="EV10" s="59">
        <v>0</v>
      </c>
      <c r="EW10" s="59">
        <v>0</v>
      </c>
      <c r="EX10" s="59">
        <v>0</v>
      </c>
      <c r="EY10" s="59">
        <v>0</v>
      </c>
      <c r="EZ10" s="60">
        <v>0</v>
      </c>
      <c r="FA10" s="17"/>
      <c r="FC10">
        <v>7</v>
      </c>
      <c r="FD10">
        <f t="shared" si="2"/>
        <v>7</v>
      </c>
      <c r="FE10">
        <f t="shared" si="3"/>
        <v>1</v>
      </c>
      <c r="FF10">
        <f t="shared" si="4"/>
        <v>114</v>
      </c>
      <c r="FI10" s="16">
        <v>7</v>
      </c>
      <c r="FJ10" s="17">
        <f t="shared" si="5"/>
        <v>107</v>
      </c>
      <c r="FK10" s="17">
        <f t="shared" si="6"/>
        <v>114</v>
      </c>
      <c r="FL10" s="18" t="str">
        <f t="shared" si="7"/>
        <v>01110010</v>
      </c>
      <c r="FM10" s="2"/>
      <c r="FN10" s="17"/>
      <c r="FO10" s="17"/>
      <c r="FP10" s="17"/>
      <c r="FQ10" s="17"/>
    </row>
    <row r="11" spans="1:173">
      <c r="A11">
        <f>SUM($B$4:B11)</f>
        <v>96</v>
      </c>
      <c r="B11">
        <f t="shared" si="0"/>
        <v>12</v>
      </c>
      <c r="C11">
        <f t="shared" si="1"/>
        <v>22</v>
      </c>
      <c r="D11">
        <v>8</v>
      </c>
      <c r="E11" s="16">
        <f>IF(E$3&lt;=$B11,INDEX(Input!$I$43:$I$2956,E$3+$A10),"")</f>
        <v>114</v>
      </c>
      <c r="F11" s="17">
        <f>IF(F$3&lt;=$B11,INDEX(Input!$I$43:$I$2956,F$3+$A10),"")</f>
        <v>173</v>
      </c>
      <c r="G11" s="17">
        <f>IF(G$3&lt;=$B11,INDEX(Input!$I$43:$I$2956,G$3+$A10),"")</f>
        <v>30</v>
      </c>
      <c r="H11" s="17">
        <f>IF(H$3&lt;=$B11,INDEX(Input!$I$43:$I$2956,H$3+$A10),"")</f>
        <v>105</v>
      </c>
      <c r="I11" s="17">
        <f>IF(I$3&lt;=$B11,INDEX(Input!$I$43:$I$2956,I$3+$A10),"")</f>
        <v>247</v>
      </c>
      <c r="J11" s="17">
        <f>IF(J$3&lt;=$B11,INDEX(Input!$I$43:$I$2956,J$3+$A10),"")</f>
        <v>76</v>
      </c>
      <c r="K11" s="17">
        <f>IF(K$3&lt;=$B11,INDEX(Input!$I$43:$I$2956,K$3+$A10),"")</f>
        <v>20</v>
      </c>
      <c r="L11" s="17">
        <f>IF(L$3&lt;=$B11,INDEX(Input!$I$43:$I$2956,L$3+$A10),"")</f>
        <v>254</v>
      </c>
      <c r="M11" s="17">
        <f>IF(M$3&lt;=$B11,INDEX(Input!$I$43:$I$2956,M$3+$A10),"")</f>
        <v>242</v>
      </c>
      <c r="N11" s="17">
        <f>IF(N$3&lt;=$B11,INDEX(Input!$I$43:$I$2956,N$3+$A10),"")</f>
        <v>77</v>
      </c>
      <c r="O11" s="17">
        <f>IF(O$3&lt;=$B11,INDEX(Input!$I$43:$I$2956,O$3+$A10),"")</f>
        <v>74</v>
      </c>
      <c r="P11" s="17">
        <f>IF(P$3&lt;=$B11,INDEX(Input!$I$43:$I$2956,P$3+$A10),"")</f>
        <v>136</v>
      </c>
      <c r="Q11" s="17" t="str">
        <f>IF(Q$3&lt;=$B11,INDEX(Input!$I$43:$I$2956,Q$3+$A10),"")</f>
        <v/>
      </c>
      <c r="R11" s="17" t="str">
        <f>IF(R$3&lt;=$B11,INDEX(Input!$I$43:$I$2956,R$3+$A10),"")</f>
        <v/>
      </c>
      <c r="S11" s="17" t="str">
        <f>IF(S$3&lt;=$B11,INDEX(Input!$I$43:$I$2956,S$3+$A10),"")</f>
        <v/>
      </c>
      <c r="T11" s="17" t="str">
        <f>IF(T$3&lt;=$B11,INDEX(Input!$I$43:$I$2956,T$3+$A10),"")</f>
        <v/>
      </c>
      <c r="U11" s="17" t="str">
        <f>IF(U$3&lt;=$B11,INDEX(Input!$I$43:$I$2956,U$3+$A10),"")</f>
        <v/>
      </c>
      <c r="V11" s="17" t="str">
        <f>IF(V$3&lt;=$B11,INDEX(Input!$I$43:$I$2956,V$3+$A10),"")</f>
        <v/>
      </c>
      <c r="W11" s="17" t="str">
        <f>IF(W$3&lt;=$B11,INDEX(Input!$I$43:$I$2956,W$3+$A10),"")</f>
        <v/>
      </c>
      <c r="X11" s="17" t="str">
        <f>IF(X$3&lt;=$B11,INDEX(Input!$I$43:$I$2956,X$3+$A10),"")</f>
        <v/>
      </c>
      <c r="Y11" s="17" t="str">
        <f>IF(Y$3&lt;=$B11,INDEX(Input!$I$43:$I$2956,Y$3+$A10),"")</f>
        <v/>
      </c>
      <c r="Z11" s="17" t="str">
        <f>IF(Z$3&lt;=$B11,INDEX(Input!$I$43:$I$2956,Z$3+$A10),"")</f>
        <v/>
      </c>
      <c r="AA11" s="17" t="str">
        <f>IF(AA$3&lt;=$B11,INDEX(Input!$I$43:$I$2956,AA$3+$A10),"")</f>
        <v/>
      </c>
      <c r="AB11" s="17" t="str">
        <f>IF(AB$3&lt;=$B11,INDEX(Input!$I$43:$I$2956,AB$3+$A10),"")</f>
        <v/>
      </c>
      <c r="AC11" s="17" t="str">
        <f>IF(AC$3&lt;=$B11,INDEX(Input!$I$43:$I$2956,AC$3+$A10),"")</f>
        <v/>
      </c>
      <c r="AD11" s="17" t="str">
        <f>IF(AD$3&lt;=$B11,INDEX(Input!$I$43:$I$2956,AD$3+$A10),"")</f>
        <v/>
      </c>
      <c r="AE11" s="17" t="str">
        <f>IF(AE$3&lt;=$B11,INDEX(Input!$I$43:$I$2956,AE$3+$A10),"")</f>
        <v/>
      </c>
      <c r="AF11" s="17" t="str">
        <f>IF(AF$3&lt;=$B11,INDEX(Input!$I$43:$I$2956,AF$3+$A10),"")</f>
        <v/>
      </c>
      <c r="AG11" s="17" t="str">
        <f>IF(AG$3&lt;=$B11,INDEX(Input!$I$43:$I$2956,AG$3+$A10),"")</f>
        <v/>
      </c>
      <c r="AH11" s="17" t="str">
        <f>IF(AH$3&lt;=$B11,INDEX(Input!$I$43:$I$2956,AH$3+$A10),"")</f>
        <v/>
      </c>
      <c r="AI11" s="17" t="str">
        <f>IF(AI$3&lt;=$B11,INDEX(Input!$I$43:$I$2956,AI$3+$A10),"")</f>
        <v/>
      </c>
      <c r="AJ11" s="17" t="str">
        <f>IF(AJ$3&lt;=$B11,INDEX(Input!$I$43:$I$2956,AJ$3+$A10),"")</f>
        <v/>
      </c>
      <c r="AK11" s="17" t="str">
        <f>IF(AK$3&lt;=$B11,INDEX(Input!$I$43:$I$2956,AK$3+$A10),"")</f>
        <v/>
      </c>
      <c r="AL11" s="17" t="str">
        <f>IF(AL$3&lt;=$B11,INDEX(Input!$I$43:$I$2956,AL$3+$A10),"")</f>
        <v/>
      </c>
      <c r="AM11" s="17" t="str">
        <f>IF(AM$3&lt;=$B11,INDEX(Input!$I$43:$I$2956,AM$3+$A10),"")</f>
        <v/>
      </c>
      <c r="AN11" s="17" t="str">
        <f>IF(AN$3&lt;=$B11,INDEX(Input!$I$43:$I$2956,AN$3+$A10),"")</f>
        <v/>
      </c>
      <c r="AO11" s="17" t="str">
        <f>IF(AO$3&lt;=$B11,INDEX(Input!$I$43:$I$2956,AO$3+$A10),"")</f>
        <v/>
      </c>
      <c r="AP11" s="17" t="str">
        <f>IF(AP$3&lt;=$B11,INDEX(Input!$I$43:$I$2956,AP$3+$A10),"")</f>
        <v/>
      </c>
      <c r="AQ11" s="17" t="str">
        <f>IF(AQ$3&lt;=$B11,INDEX(Input!$I$43:$I$2956,AQ$3+$A10),"")</f>
        <v/>
      </c>
      <c r="AR11" s="17" t="str">
        <f>IF(AR$3&lt;=$B11,INDEX(Input!$I$43:$I$2956,AR$3+$A10),"")</f>
        <v/>
      </c>
      <c r="AS11" s="17" t="str">
        <f>IF(AS$3&lt;=$B11,INDEX(Input!$I$43:$I$2956,AS$3+$A10),"")</f>
        <v/>
      </c>
      <c r="AT11" s="17" t="str">
        <f>IF(AT$3&lt;=$B11,INDEX(Input!$I$43:$I$2956,AT$3+$A10),"")</f>
        <v/>
      </c>
      <c r="AU11" s="17" t="str">
        <f>IF(AU$3&lt;=$B11,INDEX(Input!$I$43:$I$2956,AU$3+$A10),"")</f>
        <v/>
      </c>
      <c r="AV11" s="17" t="str">
        <f>IF(AV$3&lt;=$B11,INDEX(Input!$I$43:$I$2956,AV$3+$A10),"")</f>
        <v/>
      </c>
      <c r="AW11" s="17" t="str">
        <f>IF(AW$3&lt;=$B11,INDEX(Input!$I$43:$I$2956,AW$3+$A10),"")</f>
        <v/>
      </c>
      <c r="AX11" s="17" t="str">
        <f>IF(AX$3&lt;=$B11,INDEX(Input!$I$43:$I$2956,AX$3+$A10),"")</f>
        <v/>
      </c>
      <c r="AY11" s="17" t="str">
        <f>IF(AY$3&lt;=$B11,INDEX(Input!$I$43:$I$2956,AY$3+$A10),"")</f>
        <v/>
      </c>
      <c r="AZ11" s="17" t="str">
        <f>IF(AZ$3&lt;=$B11,INDEX(Input!$I$43:$I$2956,AZ$3+$A10),"")</f>
        <v/>
      </c>
      <c r="BA11" s="17" t="str">
        <f>IF(BA$3&lt;=$B11,INDEX(Input!$I$43:$I$2956,BA$3+$A10),"")</f>
        <v/>
      </c>
      <c r="BB11" s="17" t="str">
        <f>IF(BB$3&lt;=$B11,INDEX(Input!$I$43:$I$2956,BB$3+$A10),"")</f>
        <v/>
      </c>
      <c r="BC11" s="17" t="str">
        <f>IF(BC$3&lt;=$B11,INDEX(Input!$I$43:$I$2956,BC$3+$A10),"")</f>
        <v/>
      </c>
      <c r="BD11" s="17" t="str">
        <f>IF(BD$3&lt;=$B11,INDEX(Input!$I$43:$I$2956,BD$3+$A10),"")</f>
        <v/>
      </c>
      <c r="BE11" s="17" t="str">
        <f>IF(BE$3&lt;=$B11,INDEX(Input!$I$43:$I$2956,BE$3+$A10),"")</f>
        <v/>
      </c>
      <c r="BF11" s="17" t="str">
        <f>IF(BF$3&lt;=$B11,INDEX(Input!$I$43:$I$2956,BF$3+$A10),"")</f>
        <v/>
      </c>
      <c r="BG11" s="17" t="str">
        <f>IF(BG$3&lt;=$B11,INDEX(Input!$I$43:$I$2956,BG$3+$A10),"")</f>
        <v/>
      </c>
      <c r="BH11" s="17" t="str">
        <f>IF(BH$3&lt;=$B11,INDEX(Input!$I$43:$I$2956,BH$3+$A10),"")</f>
        <v/>
      </c>
      <c r="BI11" s="17" t="str">
        <f>IF(BI$3&lt;=$B11,INDEX(Input!$I$43:$I$2956,BI$3+$A10),"")</f>
        <v/>
      </c>
      <c r="BJ11" s="17" t="str">
        <f>IF(BJ$3&lt;=$B11,INDEX(Input!$I$43:$I$2956,BJ$3+$A10),"")</f>
        <v/>
      </c>
      <c r="BK11" s="17" t="str">
        <f>IF(BK$3&lt;=$B11,INDEX(Input!$I$43:$I$2956,BK$3+$A10),"")</f>
        <v/>
      </c>
      <c r="BL11" s="17" t="str">
        <f>IF(BL$3&lt;=$B11,INDEX(Input!$I$43:$I$2956,BL$3+$A10),"")</f>
        <v/>
      </c>
      <c r="BM11" s="17" t="str">
        <f>IF(BM$3&lt;=$B11,INDEX(Input!$I$43:$I$2956,BM$3+$A10),"")</f>
        <v/>
      </c>
      <c r="BN11" s="17" t="str">
        <f>IF(BN$3&lt;=$B11,INDEX(Input!$I$43:$I$2956,BN$3+$A10),"")</f>
        <v/>
      </c>
      <c r="BO11" s="17" t="str">
        <f>IF(BO$3&lt;=$B11,INDEX(Input!$I$43:$I$2956,BO$3+$A10),"")</f>
        <v/>
      </c>
      <c r="BP11" s="17" t="str">
        <f>IF(BP$3&lt;=$B11,INDEX(Input!$I$43:$I$2956,BP$3+$A10),"")</f>
        <v/>
      </c>
      <c r="BQ11" s="17" t="str">
        <f>IF(BQ$3&lt;=$B11,INDEX(Input!$I$43:$I$2956,BQ$3+$A10),"")</f>
        <v/>
      </c>
      <c r="BR11" s="17" t="str">
        <f>IF(BR$3&lt;=$B11,INDEX(Input!$I$43:$I$2956,BR$3+$A10),"")</f>
        <v/>
      </c>
      <c r="BS11" s="17" t="str">
        <f>IF(BS$3&lt;=$B11,INDEX(Input!$I$43:$I$2956,BS$3+$A10),"")</f>
        <v/>
      </c>
      <c r="BT11" s="17" t="str">
        <f>IF(BT$3&lt;=$B11,INDEX(Input!$I$43:$I$2956,BT$3+$A10),"")</f>
        <v/>
      </c>
      <c r="BU11" s="17" t="str">
        <f>IF(BU$3&lt;=$B11,INDEX(Input!$I$43:$I$2956,BU$3+$A10),"")</f>
        <v/>
      </c>
      <c r="BV11" s="17" t="str">
        <f>IF(BV$3&lt;=$B11,INDEX(Input!$I$43:$I$2956,BV$3+$A10),"")</f>
        <v/>
      </c>
      <c r="BW11" s="17" t="str">
        <f>IF(BW$3&lt;=$B11,INDEX(Input!$I$43:$I$2956,BW$3+$A10),"")</f>
        <v/>
      </c>
      <c r="BX11" s="17" t="str">
        <f>IF(BX$3&lt;=$B11,INDEX(Input!$I$43:$I$2956,BX$3+$A10),"")</f>
        <v/>
      </c>
      <c r="BY11" s="17" t="str">
        <f>IF(BY$3&lt;=$B11,INDEX(Input!$I$43:$I$2956,BY$3+$A10),"")</f>
        <v/>
      </c>
      <c r="BZ11" s="17" t="str">
        <f>IF(BZ$3&lt;=$B11,INDEX(Input!$I$43:$I$2956,BZ$3+$A10),"")</f>
        <v/>
      </c>
      <c r="CA11" s="17" t="str">
        <f>IF(CA$3&lt;=$B11,INDEX(Input!$I$43:$I$2956,CA$3+$A10),"")</f>
        <v/>
      </c>
      <c r="CB11" s="17" t="str">
        <f>IF(CB$3&lt;=$B11,INDEX(Input!$I$43:$I$2956,CB$3+$A10),"")</f>
        <v/>
      </c>
      <c r="CC11" s="17" t="str">
        <f>IF(CC$3&lt;=$B11,INDEX(Input!$I$43:$I$2956,CC$3+$A10),"")</f>
        <v/>
      </c>
      <c r="CD11" s="17" t="str">
        <f>IF(CD$3&lt;=$B11,INDEX(Input!$I$43:$I$2956,CD$3+$A10),"")</f>
        <v/>
      </c>
      <c r="CE11" s="17" t="str">
        <f>IF(CE$3&lt;=$B11,INDEX(Input!$I$43:$I$2956,CE$3+$A10),"")</f>
        <v/>
      </c>
      <c r="CF11" s="17" t="str">
        <f>IF(CF$3&lt;=$B11,INDEX(Input!$I$43:$I$2956,CF$3+$A10),"")</f>
        <v/>
      </c>
      <c r="CG11" s="17" t="str">
        <f>IF(CG$3&lt;=$B11,INDEX(Input!$I$43:$I$2956,CG$3+$A10),"")</f>
        <v/>
      </c>
      <c r="CH11" s="17" t="str">
        <f>IF(CH$3&lt;=$B11,INDEX(Input!$I$43:$I$2956,CH$3+$A10),"")</f>
        <v/>
      </c>
      <c r="CI11" s="17" t="str">
        <f>IF(CI$3&lt;=$B11,INDEX(Input!$I$43:$I$2956,CI$3+$A10),"")</f>
        <v/>
      </c>
      <c r="CJ11" s="17" t="str">
        <f>IF(CJ$3&lt;=$B11,INDEX(Input!$I$43:$I$2956,CJ$3+$A10),"")</f>
        <v/>
      </c>
      <c r="CK11" s="17" t="str">
        <f>IF(CK$3&lt;=$B11,INDEX(Input!$I$43:$I$2956,CK$3+$A10),"")</f>
        <v/>
      </c>
      <c r="CL11" s="17" t="str">
        <f>IF(CL$3&lt;=$B11,INDEX(Input!$I$43:$I$2956,CL$3+$A10),"")</f>
        <v/>
      </c>
      <c r="CM11" s="17" t="str">
        <f>IF(CM$3&lt;=$B11,INDEX(Input!$I$43:$I$2956,CM$3+$A10),"")</f>
        <v/>
      </c>
      <c r="CN11" s="17" t="str">
        <f>IF(CN$3&lt;=$B11,INDEX(Input!$I$43:$I$2956,CN$3+$A10),"")</f>
        <v/>
      </c>
      <c r="CO11" s="17" t="str">
        <f>IF(CO$3&lt;=$B11,INDEX(Input!$I$43:$I$2956,CO$3+$A10),"")</f>
        <v/>
      </c>
      <c r="CP11" s="17" t="str">
        <f>IF(CP$3&lt;=$B11,INDEX(Input!$I$43:$I$2956,CP$3+$A10),"")</f>
        <v/>
      </c>
      <c r="CQ11" s="17" t="str">
        <f>IF(CQ$3&lt;=$B11,INDEX(Input!$I$43:$I$2956,CQ$3+$A10),"")</f>
        <v/>
      </c>
      <c r="CR11" s="17" t="str">
        <f>IF(CR$3&lt;=$B11,INDEX(Input!$I$43:$I$2956,CR$3+$A10),"")</f>
        <v/>
      </c>
      <c r="CS11" s="17" t="str">
        <f>IF(CS$3&lt;=$B11,INDEX(Input!$I$43:$I$2956,CS$3+$A10),"")</f>
        <v/>
      </c>
      <c r="CT11" s="17" t="str">
        <f>IF(CT$3&lt;=$B11,INDEX(Input!$I$43:$I$2956,CT$3+$A10),"")</f>
        <v/>
      </c>
      <c r="CU11" s="17" t="str">
        <f>IF(CU$3&lt;=$B11,INDEX(Input!$I$43:$I$2956,CU$3+$A10),"")</f>
        <v/>
      </c>
      <c r="CV11" s="17" t="str">
        <f>IF(CV$3&lt;=$B11,INDEX(Input!$I$43:$I$2956,CV$3+$A10),"")</f>
        <v/>
      </c>
      <c r="CW11" s="17" t="str">
        <f>IF(CW$3&lt;=$B11,INDEX(Input!$I$43:$I$2956,CW$3+$A10),"")</f>
        <v/>
      </c>
      <c r="CX11" s="17" t="str">
        <f>IF(CX$3&lt;=$B11,INDEX(Input!$I$43:$I$2956,CX$3+$A10),"")</f>
        <v/>
      </c>
      <c r="CY11" s="17" t="str">
        <f>IF(CY$3&lt;=$B11,INDEX(Input!$I$43:$I$2956,CY$3+$A10),"")</f>
        <v/>
      </c>
      <c r="CZ11" s="17" t="str">
        <f>IF(CZ$3&lt;=$B11,INDEX(Input!$I$43:$I$2956,CZ$3+$A10),"")</f>
        <v/>
      </c>
      <c r="DA11" s="17" t="str">
        <f>IF(DA$3&lt;=$B11,INDEX(Input!$I$43:$I$2956,DA$3+$A10),"")</f>
        <v/>
      </c>
      <c r="DB11" s="17" t="str">
        <f>IF(DB$3&lt;=$B11,INDEX(Input!$I$43:$I$2956,DB$3+$A10),"")</f>
        <v/>
      </c>
      <c r="DC11" s="17" t="str">
        <f>IF(DC$3&lt;=$B11,INDEX(Input!$I$43:$I$2956,DC$3+$A10),"")</f>
        <v/>
      </c>
      <c r="DD11" s="17" t="str">
        <f>IF(DD$3&lt;=$B11,INDEX(Input!$I$43:$I$2956,DD$3+$A10),"")</f>
        <v/>
      </c>
      <c r="DE11" s="17" t="str">
        <f>IF(DE$3&lt;=$B11,INDEX(Input!$I$43:$I$2956,DE$3+$A10),"")</f>
        <v/>
      </c>
      <c r="DF11" s="17" t="str">
        <f>IF(DF$3&lt;=$B11,INDEX(Input!$I$43:$I$2956,DF$3+$A10),"")</f>
        <v/>
      </c>
      <c r="DG11" s="17" t="str">
        <f>IF(DG$3&lt;=$B11,INDEX(Input!$I$43:$I$2956,DG$3+$A10),"")</f>
        <v/>
      </c>
      <c r="DH11" s="17" t="str">
        <f>IF(DH$3&lt;=$B11,INDEX(Input!$I$43:$I$2956,DH$3+$A10),"")</f>
        <v/>
      </c>
      <c r="DI11" s="17" t="str">
        <f>IF(DI$3&lt;=$B11,INDEX(Input!$I$43:$I$2956,DI$3+$A10),"")</f>
        <v/>
      </c>
      <c r="DJ11" s="17" t="str">
        <f>IF(DJ$3&lt;=$B11,INDEX(Input!$I$43:$I$2956,DJ$3+$A10),"")</f>
        <v/>
      </c>
      <c r="DK11" s="17" t="str">
        <f>IF(DK$3&lt;=$B11,INDEX(Input!$I$43:$I$2956,DK$3+$A10),"")</f>
        <v/>
      </c>
      <c r="DL11" s="17" t="str">
        <f>IF(DL$3&lt;=$B11,INDEX(Input!$I$43:$I$2956,DL$3+$A10),"")</f>
        <v/>
      </c>
      <c r="DM11" s="17" t="str">
        <f>IF(DM$3&lt;=$B11,INDEX(Input!$I$43:$I$2956,DM$3+$A10),"")</f>
        <v/>
      </c>
      <c r="DN11" s="17" t="str">
        <f>IF(DN$3&lt;=$B11,INDEX(Input!$I$43:$I$2956,DN$3+$A10),"")</f>
        <v/>
      </c>
      <c r="DO11" s="17" t="str">
        <f>IF(DO$3&lt;=$B11,INDEX(Input!$I$43:$I$2956,DO$3+$A10),"")</f>
        <v/>
      </c>
      <c r="DP11" s="17" t="str">
        <f>IF(DP$3&lt;=$B11,INDEX(Input!$I$43:$I$2956,DP$3+$A10),"")</f>
        <v/>
      </c>
      <c r="DQ11" s="17" t="str">
        <f>IF(DQ$3&lt;=$B11,INDEX(Input!$I$43:$I$2956,DQ$3+$A10),"")</f>
        <v/>
      </c>
      <c r="DR11" s="17" t="str">
        <f>IF(DR$3&lt;=$B11,INDEX(Input!$I$43:$I$2956,DR$3+$A10),"")</f>
        <v/>
      </c>
      <c r="DS11" s="17" t="str">
        <f>IF(DS$3&lt;=$B11,INDEX(Input!$I$43:$I$2956,DS$3+$A10),"")</f>
        <v/>
      </c>
      <c r="DT11" s="17" t="str">
        <f>IF(DT$3&lt;=$B11,INDEX(Input!$I$43:$I$2956,DT$3+$A10),"")</f>
        <v/>
      </c>
      <c r="DU11" s="17" t="str">
        <f>IF(DU$3&lt;=$B11,INDEX(Input!$I$43:$I$2956,DU$3+$A10),"")</f>
        <v/>
      </c>
      <c r="DV11" s="17" t="str">
        <f>IF(DV$3&lt;=$B11,INDEX(Input!$I$43:$I$2956,DV$3+$A10),"")</f>
        <v/>
      </c>
      <c r="DW11" s="58">
        <f t="array" ref="DW11:EZ11">IFERROR(eccalc(E11:DV11,C11+B11,B11,$O$2:$AS$2),"")</f>
        <v>188</v>
      </c>
      <c r="DX11" s="59">
        <v>200</v>
      </c>
      <c r="DY11" s="59">
        <v>229</v>
      </c>
      <c r="DZ11" s="59">
        <v>5</v>
      </c>
      <c r="EA11" s="59">
        <v>151</v>
      </c>
      <c r="EB11" s="59">
        <v>66</v>
      </c>
      <c r="EC11" s="59">
        <v>6</v>
      </c>
      <c r="ED11" s="59">
        <v>164</v>
      </c>
      <c r="EE11" s="59">
        <v>191</v>
      </c>
      <c r="EF11" s="59">
        <v>37</v>
      </c>
      <c r="EG11" s="59">
        <v>200</v>
      </c>
      <c r="EH11" s="59">
        <v>125</v>
      </c>
      <c r="EI11" s="59">
        <v>29</v>
      </c>
      <c r="EJ11" s="59">
        <v>240</v>
      </c>
      <c r="EK11" s="59">
        <v>49</v>
      </c>
      <c r="EL11" s="59">
        <v>111</v>
      </c>
      <c r="EM11" s="59">
        <v>243</v>
      </c>
      <c r="EN11" s="59">
        <v>232</v>
      </c>
      <c r="EO11" s="59">
        <v>90</v>
      </c>
      <c r="EP11" s="59">
        <v>230</v>
      </c>
      <c r="EQ11" s="59">
        <v>142</v>
      </c>
      <c r="ER11" s="59">
        <v>210</v>
      </c>
      <c r="ES11" s="59">
        <v>0</v>
      </c>
      <c r="ET11" s="59">
        <v>0</v>
      </c>
      <c r="EU11" s="59">
        <v>0</v>
      </c>
      <c r="EV11" s="59">
        <v>0</v>
      </c>
      <c r="EW11" s="59">
        <v>0</v>
      </c>
      <c r="EX11" s="59">
        <v>0</v>
      </c>
      <c r="EY11" s="59">
        <v>0</v>
      </c>
      <c r="EZ11" s="60">
        <v>0</v>
      </c>
      <c r="FA11" s="17"/>
      <c r="FC11">
        <v>8</v>
      </c>
      <c r="FD11">
        <f t="shared" si="2"/>
        <v>8</v>
      </c>
      <c r="FE11">
        <f t="shared" si="3"/>
        <v>1</v>
      </c>
      <c r="FF11">
        <f t="shared" si="4"/>
        <v>114</v>
      </c>
      <c r="FI11" s="16">
        <v>8</v>
      </c>
      <c r="FJ11" s="17">
        <f t="shared" si="5"/>
        <v>188</v>
      </c>
      <c r="FK11" s="17">
        <f t="shared" si="6"/>
        <v>114</v>
      </c>
      <c r="FL11" s="18" t="str">
        <f t="shared" si="7"/>
        <v>01110010</v>
      </c>
      <c r="FM11" s="2"/>
      <c r="FN11" s="17"/>
      <c r="FO11" s="17"/>
      <c r="FP11" s="17"/>
      <c r="FQ11" s="17"/>
    </row>
    <row r="12" spans="1:173">
      <c r="A12">
        <f>SUM($B$4:B12)</f>
        <v>108</v>
      </c>
      <c r="B12">
        <f t="shared" si="0"/>
        <v>12</v>
      </c>
      <c r="C12">
        <f t="shared" si="1"/>
        <v>22</v>
      </c>
      <c r="D12">
        <v>9</v>
      </c>
      <c r="E12" s="16">
        <f>IF(E$3&lt;=$B12,INDEX(Input!$I$43:$I$2956,E$3+$A11),"")</f>
        <v>25</v>
      </c>
      <c r="F12" s="17">
        <f>IF(F$3&lt;=$B12,INDEX(Input!$I$43:$I$2956,F$3+$A11),"")</f>
        <v>106</v>
      </c>
      <c r="G12" s="17">
        <f>IF(G$3&lt;=$B12,INDEX(Input!$I$43:$I$2956,G$3+$A11),"")</f>
        <v>171</v>
      </c>
      <c r="H12" s="17">
        <f>IF(H$3&lt;=$B12,INDEX(Input!$I$43:$I$2956,H$3+$A11),"")</f>
        <v>131</v>
      </c>
      <c r="I12" s="17">
        <f>IF(I$3&lt;=$B12,INDEX(Input!$I$43:$I$2956,I$3+$A11),"")</f>
        <v>108</v>
      </c>
      <c r="J12" s="17">
        <f>IF(J$3&lt;=$B12,INDEX(Input!$I$43:$I$2956,J$3+$A11),"")</f>
        <v>53</v>
      </c>
      <c r="K12" s="17">
        <f>IF(K$3&lt;=$B12,INDEX(Input!$I$43:$I$2956,K$3+$A11),"")</f>
        <v>20</v>
      </c>
      <c r="L12" s="17">
        <f>IF(L$3&lt;=$B12,INDEX(Input!$I$43:$I$2956,L$3+$A11),"")</f>
        <v>28</v>
      </c>
      <c r="M12" s="17">
        <f>IF(M$3&lt;=$B12,INDEX(Input!$I$43:$I$2956,M$3+$A11),"")</f>
        <v>63</v>
      </c>
      <c r="N12" s="17">
        <f>IF(N$3&lt;=$B12,INDEX(Input!$I$43:$I$2956,N$3+$A11),"")</f>
        <v>102</v>
      </c>
      <c r="O12" s="17">
        <f>IF(O$3&lt;=$B12,INDEX(Input!$I$43:$I$2956,O$3+$A11),"")</f>
        <v>153</v>
      </c>
      <c r="P12" s="17">
        <f>IF(P$3&lt;=$B12,INDEX(Input!$I$43:$I$2956,P$3+$A11),"")</f>
        <v>23</v>
      </c>
      <c r="Q12" s="17" t="str">
        <f>IF(Q$3&lt;=$B12,INDEX(Input!$I$43:$I$2956,Q$3+$A11),"")</f>
        <v/>
      </c>
      <c r="R12" s="17" t="str">
        <f>IF(R$3&lt;=$B12,INDEX(Input!$I$43:$I$2956,R$3+$A11),"")</f>
        <v/>
      </c>
      <c r="S12" s="17" t="str">
        <f>IF(S$3&lt;=$B12,INDEX(Input!$I$43:$I$2956,S$3+$A11),"")</f>
        <v/>
      </c>
      <c r="T12" s="17" t="str">
        <f>IF(T$3&lt;=$B12,INDEX(Input!$I$43:$I$2956,T$3+$A11),"")</f>
        <v/>
      </c>
      <c r="U12" s="17" t="str">
        <f>IF(U$3&lt;=$B12,INDEX(Input!$I$43:$I$2956,U$3+$A11),"")</f>
        <v/>
      </c>
      <c r="V12" s="17" t="str">
        <f>IF(V$3&lt;=$B12,INDEX(Input!$I$43:$I$2956,V$3+$A11),"")</f>
        <v/>
      </c>
      <c r="W12" s="17" t="str">
        <f>IF(W$3&lt;=$B12,INDEX(Input!$I$43:$I$2956,W$3+$A11),"")</f>
        <v/>
      </c>
      <c r="X12" s="17" t="str">
        <f>IF(X$3&lt;=$B12,INDEX(Input!$I$43:$I$2956,X$3+$A11),"")</f>
        <v/>
      </c>
      <c r="Y12" s="17" t="str">
        <f>IF(Y$3&lt;=$B12,INDEX(Input!$I$43:$I$2956,Y$3+$A11),"")</f>
        <v/>
      </c>
      <c r="Z12" s="17" t="str">
        <f>IF(Z$3&lt;=$B12,INDEX(Input!$I$43:$I$2956,Z$3+$A11),"")</f>
        <v/>
      </c>
      <c r="AA12" s="17" t="str">
        <f>IF(AA$3&lt;=$B12,INDEX(Input!$I$43:$I$2956,AA$3+$A11),"")</f>
        <v/>
      </c>
      <c r="AB12" s="17" t="str">
        <f>IF(AB$3&lt;=$B12,INDEX(Input!$I$43:$I$2956,AB$3+$A11),"")</f>
        <v/>
      </c>
      <c r="AC12" s="17" t="str">
        <f>IF(AC$3&lt;=$B12,INDEX(Input!$I$43:$I$2956,AC$3+$A11),"")</f>
        <v/>
      </c>
      <c r="AD12" s="17" t="str">
        <f>IF(AD$3&lt;=$B12,INDEX(Input!$I$43:$I$2956,AD$3+$A11),"")</f>
        <v/>
      </c>
      <c r="AE12" s="17" t="str">
        <f>IF(AE$3&lt;=$B12,INDEX(Input!$I$43:$I$2956,AE$3+$A11),"")</f>
        <v/>
      </c>
      <c r="AF12" s="17" t="str">
        <f>IF(AF$3&lt;=$B12,INDEX(Input!$I$43:$I$2956,AF$3+$A11),"")</f>
        <v/>
      </c>
      <c r="AG12" s="17" t="str">
        <f>IF(AG$3&lt;=$B12,INDEX(Input!$I$43:$I$2956,AG$3+$A11),"")</f>
        <v/>
      </c>
      <c r="AH12" s="17" t="str">
        <f>IF(AH$3&lt;=$B12,INDEX(Input!$I$43:$I$2956,AH$3+$A11),"")</f>
        <v/>
      </c>
      <c r="AI12" s="17" t="str">
        <f>IF(AI$3&lt;=$B12,INDEX(Input!$I$43:$I$2956,AI$3+$A11),"")</f>
        <v/>
      </c>
      <c r="AJ12" s="17" t="str">
        <f>IF(AJ$3&lt;=$B12,INDEX(Input!$I$43:$I$2956,AJ$3+$A11),"")</f>
        <v/>
      </c>
      <c r="AK12" s="17" t="str">
        <f>IF(AK$3&lt;=$B12,INDEX(Input!$I$43:$I$2956,AK$3+$A11),"")</f>
        <v/>
      </c>
      <c r="AL12" s="17" t="str">
        <f>IF(AL$3&lt;=$B12,INDEX(Input!$I$43:$I$2956,AL$3+$A11),"")</f>
        <v/>
      </c>
      <c r="AM12" s="17" t="str">
        <f>IF(AM$3&lt;=$B12,INDEX(Input!$I$43:$I$2956,AM$3+$A11),"")</f>
        <v/>
      </c>
      <c r="AN12" s="17" t="str">
        <f>IF(AN$3&lt;=$B12,INDEX(Input!$I$43:$I$2956,AN$3+$A11),"")</f>
        <v/>
      </c>
      <c r="AO12" s="17" t="str">
        <f>IF(AO$3&lt;=$B12,INDEX(Input!$I$43:$I$2956,AO$3+$A11),"")</f>
        <v/>
      </c>
      <c r="AP12" s="17" t="str">
        <f>IF(AP$3&lt;=$B12,INDEX(Input!$I$43:$I$2956,AP$3+$A11),"")</f>
        <v/>
      </c>
      <c r="AQ12" s="17" t="str">
        <f>IF(AQ$3&lt;=$B12,INDEX(Input!$I$43:$I$2956,AQ$3+$A11),"")</f>
        <v/>
      </c>
      <c r="AR12" s="17" t="str">
        <f>IF(AR$3&lt;=$B12,INDEX(Input!$I$43:$I$2956,AR$3+$A11),"")</f>
        <v/>
      </c>
      <c r="AS12" s="17" t="str">
        <f>IF(AS$3&lt;=$B12,INDEX(Input!$I$43:$I$2956,AS$3+$A11),"")</f>
        <v/>
      </c>
      <c r="AT12" s="17" t="str">
        <f>IF(AT$3&lt;=$B12,INDEX(Input!$I$43:$I$2956,AT$3+$A11),"")</f>
        <v/>
      </c>
      <c r="AU12" s="17" t="str">
        <f>IF(AU$3&lt;=$B12,INDEX(Input!$I$43:$I$2956,AU$3+$A11),"")</f>
        <v/>
      </c>
      <c r="AV12" s="17" t="str">
        <f>IF(AV$3&lt;=$B12,INDEX(Input!$I$43:$I$2956,AV$3+$A11),"")</f>
        <v/>
      </c>
      <c r="AW12" s="17" t="str">
        <f>IF(AW$3&lt;=$B12,INDEX(Input!$I$43:$I$2956,AW$3+$A11),"")</f>
        <v/>
      </c>
      <c r="AX12" s="17" t="str">
        <f>IF(AX$3&lt;=$B12,INDEX(Input!$I$43:$I$2956,AX$3+$A11),"")</f>
        <v/>
      </c>
      <c r="AY12" s="17" t="str">
        <f>IF(AY$3&lt;=$B12,INDEX(Input!$I$43:$I$2956,AY$3+$A11),"")</f>
        <v/>
      </c>
      <c r="AZ12" s="17" t="str">
        <f>IF(AZ$3&lt;=$B12,INDEX(Input!$I$43:$I$2956,AZ$3+$A11),"")</f>
        <v/>
      </c>
      <c r="BA12" s="17" t="str">
        <f>IF(BA$3&lt;=$B12,INDEX(Input!$I$43:$I$2956,BA$3+$A11),"")</f>
        <v/>
      </c>
      <c r="BB12" s="17" t="str">
        <f>IF(BB$3&lt;=$B12,INDEX(Input!$I$43:$I$2956,BB$3+$A11),"")</f>
        <v/>
      </c>
      <c r="BC12" s="17" t="str">
        <f>IF(BC$3&lt;=$B12,INDEX(Input!$I$43:$I$2956,BC$3+$A11),"")</f>
        <v/>
      </c>
      <c r="BD12" s="17" t="str">
        <f>IF(BD$3&lt;=$B12,INDEX(Input!$I$43:$I$2956,BD$3+$A11),"")</f>
        <v/>
      </c>
      <c r="BE12" s="17" t="str">
        <f>IF(BE$3&lt;=$B12,INDEX(Input!$I$43:$I$2956,BE$3+$A11),"")</f>
        <v/>
      </c>
      <c r="BF12" s="17" t="str">
        <f>IF(BF$3&lt;=$B12,INDEX(Input!$I$43:$I$2956,BF$3+$A11),"")</f>
        <v/>
      </c>
      <c r="BG12" s="17" t="str">
        <f>IF(BG$3&lt;=$B12,INDEX(Input!$I$43:$I$2956,BG$3+$A11),"")</f>
        <v/>
      </c>
      <c r="BH12" s="17" t="str">
        <f>IF(BH$3&lt;=$B12,INDEX(Input!$I$43:$I$2956,BH$3+$A11),"")</f>
        <v/>
      </c>
      <c r="BI12" s="17" t="str">
        <f>IF(BI$3&lt;=$B12,INDEX(Input!$I$43:$I$2956,BI$3+$A11),"")</f>
        <v/>
      </c>
      <c r="BJ12" s="17" t="str">
        <f>IF(BJ$3&lt;=$B12,INDEX(Input!$I$43:$I$2956,BJ$3+$A11),"")</f>
        <v/>
      </c>
      <c r="BK12" s="17" t="str">
        <f>IF(BK$3&lt;=$B12,INDEX(Input!$I$43:$I$2956,BK$3+$A11),"")</f>
        <v/>
      </c>
      <c r="BL12" s="17" t="str">
        <f>IF(BL$3&lt;=$B12,INDEX(Input!$I$43:$I$2956,BL$3+$A11),"")</f>
        <v/>
      </c>
      <c r="BM12" s="17" t="str">
        <f>IF(BM$3&lt;=$B12,INDEX(Input!$I$43:$I$2956,BM$3+$A11),"")</f>
        <v/>
      </c>
      <c r="BN12" s="17" t="str">
        <f>IF(BN$3&lt;=$B12,INDEX(Input!$I$43:$I$2956,BN$3+$A11),"")</f>
        <v/>
      </c>
      <c r="BO12" s="17" t="str">
        <f>IF(BO$3&lt;=$B12,INDEX(Input!$I$43:$I$2956,BO$3+$A11),"")</f>
        <v/>
      </c>
      <c r="BP12" s="17" t="str">
        <f>IF(BP$3&lt;=$B12,INDEX(Input!$I$43:$I$2956,BP$3+$A11),"")</f>
        <v/>
      </c>
      <c r="BQ12" s="17" t="str">
        <f>IF(BQ$3&lt;=$B12,INDEX(Input!$I$43:$I$2956,BQ$3+$A11),"")</f>
        <v/>
      </c>
      <c r="BR12" s="17" t="str">
        <f>IF(BR$3&lt;=$B12,INDEX(Input!$I$43:$I$2956,BR$3+$A11),"")</f>
        <v/>
      </c>
      <c r="BS12" s="17" t="str">
        <f>IF(BS$3&lt;=$B12,INDEX(Input!$I$43:$I$2956,BS$3+$A11),"")</f>
        <v/>
      </c>
      <c r="BT12" s="17" t="str">
        <f>IF(BT$3&lt;=$B12,INDEX(Input!$I$43:$I$2956,BT$3+$A11),"")</f>
        <v/>
      </c>
      <c r="BU12" s="17" t="str">
        <f>IF(BU$3&lt;=$B12,INDEX(Input!$I$43:$I$2956,BU$3+$A11),"")</f>
        <v/>
      </c>
      <c r="BV12" s="17" t="str">
        <f>IF(BV$3&lt;=$B12,INDEX(Input!$I$43:$I$2956,BV$3+$A11),"")</f>
        <v/>
      </c>
      <c r="BW12" s="17" t="str">
        <f>IF(BW$3&lt;=$B12,INDEX(Input!$I$43:$I$2956,BW$3+$A11),"")</f>
        <v/>
      </c>
      <c r="BX12" s="17" t="str">
        <f>IF(BX$3&lt;=$B12,INDEX(Input!$I$43:$I$2956,BX$3+$A11),"")</f>
        <v/>
      </c>
      <c r="BY12" s="17" t="str">
        <f>IF(BY$3&lt;=$B12,INDEX(Input!$I$43:$I$2956,BY$3+$A11),"")</f>
        <v/>
      </c>
      <c r="BZ12" s="17" t="str">
        <f>IF(BZ$3&lt;=$B12,INDEX(Input!$I$43:$I$2956,BZ$3+$A11),"")</f>
        <v/>
      </c>
      <c r="CA12" s="17" t="str">
        <f>IF(CA$3&lt;=$B12,INDEX(Input!$I$43:$I$2956,CA$3+$A11),"")</f>
        <v/>
      </c>
      <c r="CB12" s="17" t="str">
        <f>IF(CB$3&lt;=$B12,INDEX(Input!$I$43:$I$2956,CB$3+$A11),"")</f>
        <v/>
      </c>
      <c r="CC12" s="17" t="str">
        <f>IF(CC$3&lt;=$B12,INDEX(Input!$I$43:$I$2956,CC$3+$A11),"")</f>
        <v/>
      </c>
      <c r="CD12" s="17" t="str">
        <f>IF(CD$3&lt;=$B12,INDEX(Input!$I$43:$I$2956,CD$3+$A11),"")</f>
        <v/>
      </c>
      <c r="CE12" s="17" t="str">
        <f>IF(CE$3&lt;=$B12,INDEX(Input!$I$43:$I$2956,CE$3+$A11),"")</f>
        <v/>
      </c>
      <c r="CF12" s="17" t="str">
        <f>IF(CF$3&lt;=$B12,INDEX(Input!$I$43:$I$2956,CF$3+$A11),"")</f>
        <v/>
      </c>
      <c r="CG12" s="17" t="str">
        <f>IF(CG$3&lt;=$B12,INDEX(Input!$I$43:$I$2956,CG$3+$A11),"")</f>
        <v/>
      </c>
      <c r="CH12" s="17" t="str">
        <f>IF(CH$3&lt;=$B12,INDEX(Input!$I$43:$I$2956,CH$3+$A11),"")</f>
        <v/>
      </c>
      <c r="CI12" s="17" t="str">
        <f>IF(CI$3&lt;=$B12,INDEX(Input!$I$43:$I$2956,CI$3+$A11),"")</f>
        <v/>
      </c>
      <c r="CJ12" s="17" t="str">
        <f>IF(CJ$3&lt;=$B12,INDEX(Input!$I$43:$I$2956,CJ$3+$A11),"")</f>
        <v/>
      </c>
      <c r="CK12" s="17" t="str">
        <f>IF(CK$3&lt;=$B12,INDEX(Input!$I$43:$I$2956,CK$3+$A11),"")</f>
        <v/>
      </c>
      <c r="CL12" s="17" t="str">
        <f>IF(CL$3&lt;=$B12,INDEX(Input!$I$43:$I$2956,CL$3+$A11),"")</f>
        <v/>
      </c>
      <c r="CM12" s="17" t="str">
        <f>IF(CM$3&lt;=$B12,INDEX(Input!$I$43:$I$2956,CM$3+$A11),"")</f>
        <v/>
      </c>
      <c r="CN12" s="17" t="str">
        <f>IF(CN$3&lt;=$B12,INDEX(Input!$I$43:$I$2956,CN$3+$A11),"")</f>
        <v/>
      </c>
      <c r="CO12" s="17" t="str">
        <f>IF(CO$3&lt;=$B12,INDEX(Input!$I$43:$I$2956,CO$3+$A11),"")</f>
        <v/>
      </c>
      <c r="CP12" s="17" t="str">
        <f>IF(CP$3&lt;=$B12,INDEX(Input!$I$43:$I$2956,CP$3+$A11),"")</f>
        <v/>
      </c>
      <c r="CQ12" s="17" t="str">
        <f>IF(CQ$3&lt;=$B12,INDEX(Input!$I$43:$I$2956,CQ$3+$A11),"")</f>
        <v/>
      </c>
      <c r="CR12" s="17" t="str">
        <f>IF(CR$3&lt;=$B12,INDEX(Input!$I$43:$I$2956,CR$3+$A11),"")</f>
        <v/>
      </c>
      <c r="CS12" s="17" t="str">
        <f>IF(CS$3&lt;=$B12,INDEX(Input!$I$43:$I$2956,CS$3+$A11),"")</f>
        <v/>
      </c>
      <c r="CT12" s="17" t="str">
        <f>IF(CT$3&lt;=$B12,INDEX(Input!$I$43:$I$2956,CT$3+$A11),"")</f>
        <v/>
      </c>
      <c r="CU12" s="17" t="str">
        <f>IF(CU$3&lt;=$B12,INDEX(Input!$I$43:$I$2956,CU$3+$A11),"")</f>
        <v/>
      </c>
      <c r="CV12" s="17" t="str">
        <f>IF(CV$3&lt;=$B12,INDEX(Input!$I$43:$I$2956,CV$3+$A11),"")</f>
        <v/>
      </c>
      <c r="CW12" s="17" t="str">
        <f>IF(CW$3&lt;=$B12,INDEX(Input!$I$43:$I$2956,CW$3+$A11),"")</f>
        <v/>
      </c>
      <c r="CX12" s="17" t="str">
        <f>IF(CX$3&lt;=$B12,INDEX(Input!$I$43:$I$2956,CX$3+$A11),"")</f>
        <v/>
      </c>
      <c r="CY12" s="17" t="str">
        <f>IF(CY$3&lt;=$B12,INDEX(Input!$I$43:$I$2956,CY$3+$A11),"")</f>
        <v/>
      </c>
      <c r="CZ12" s="17" t="str">
        <f>IF(CZ$3&lt;=$B12,INDEX(Input!$I$43:$I$2956,CZ$3+$A11),"")</f>
        <v/>
      </c>
      <c r="DA12" s="17" t="str">
        <f>IF(DA$3&lt;=$B12,INDEX(Input!$I$43:$I$2956,DA$3+$A11),"")</f>
        <v/>
      </c>
      <c r="DB12" s="17" t="str">
        <f>IF(DB$3&lt;=$B12,INDEX(Input!$I$43:$I$2956,DB$3+$A11),"")</f>
        <v/>
      </c>
      <c r="DC12" s="17" t="str">
        <f>IF(DC$3&lt;=$B12,INDEX(Input!$I$43:$I$2956,DC$3+$A11),"")</f>
        <v/>
      </c>
      <c r="DD12" s="17" t="str">
        <f>IF(DD$3&lt;=$B12,INDEX(Input!$I$43:$I$2956,DD$3+$A11),"")</f>
        <v/>
      </c>
      <c r="DE12" s="17" t="str">
        <f>IF(DE$3&lt;=$B12,INDEX(Input!$I$43:$I$2956,DE$3+$A11),"")</f>
        <v/>
      </c>
      <c r="DF12" s="17" t="str">
        <f>IF(DF$3&lt;=$B12,INDEX(Input!$I$43:$I$2956,DF$3+$A11),"")</f>
        <v/>
      </c>
      <c r="DG12" s="17" t="str">
        <f>IF(DG$3&lt;=$B12,INDEX(Input!$I$43:$I$2956,DG$3+$A11),"")</f>
        <v/>
      </c>
      <c r="DH12" s="17" t="str">
        <f>IF(DH$3&lt;=$B12,INDEX(Input!$I$43:$I$2956,DH$3+$A11),"")</f>
        <v/>
      </c>
      <c r="DI12" s="17" t="str">
        <f>IF(DI$3&lt;=$B12,INDEX(Input!$I$43:$I$2956,DI$3+$A11),"")</f>
        <v/>
      </c>
      <c r="DJ12" s="17" t="str">
        <f>IF(DJ$3&lt;=$B12,INDEX(Input!$I$43:$I$2956,DJ$3+$A11),"")</f>
        <v/>
      </c>
      <c r="DK12" s="17" t="str">
        <f>IF(DK$3&lt;=$B12,INDEX(Input!$I$43:$I$2956,DK$3+$A11),"")</f>
        <v/>
      </c>
      <c r="DL12" s="17" t="str">
        <f>IF(DL$3&lt;=$B12,INDEX(Input!$I$43:$I$2956,DL$3+$A11),"")</f>
        <v/>
      </c>
      <c r="DM12" s="17" t="str">
        <f>IF(DM$3&lt;=$B12,INDEX(Input!$I$43:$I$2956,DM$3+$A11),"")</f>
        <v/>
      </c>
      <c r="DN12" s="17" t="str">
        <f>IF(DN$3&lt;=$B12,INDEX(Input!$I$43:$I$2956,DN$3+$A11),"")</f>
        <v/>
      </c>
      <c r="DO12" s="17" t="str">
        <f>IF(DO$3&lt;=$B12,INDEX(Input!$I$43:$I$2956,DO$3+$A11),"")</f>
        <v/>
      </c>
      <c r="DP12" s="17" t="str">
        <f>IF(DP$3&lt;=$B12,INDEX(Input!$I$43:$I$2956,DP$3+$A11),"")</f>
        <v/>
      </c>
      <c r="DQ12" s="17" t="str">
        <f>IF(DQ$3&lt;=$B12,INDEX(Input!$I$43:$I$2956,DQ$3+$A11),"")</f>
        <v/>
      </c>
      <c r="DR12" s="17" t="str">
        <f>IF(DR$3&lt;=$B12,INDEX(Input!$I$43:$I$2956,DR$3+$A11),"")</f>
        <v/>
      </c>
      <c r="DS12" s="17" t="str">
        <f>IF(DS$3&lt;=$B12,INDEX(Input!$I$43:$I$2956,DS$3+$A11),"")</f>
        <v/>
      </c>
      <c r="DT12" s="17" t="str">
        <f>IF(DT$3&lt;=$B12,INDEX(Input!$I$43:$I$2956,DT$3+$A11),"")</f>
        <v/>
      </c>
      <c r="DU12" s="17" t="str">
        <f>IF(DU$3&lt;=$B12,INDEX(Input!$I$43:$I$2956,DU$3+$A11),"")</f>
        <v/>
      </c>
      <c r="DV12" s="17" t="str">
        <f>IF(DV$3&lt;=$B12,INDEX(Input!$I$43:$I$2956,DV$3+$A11),"")</f>
        <v/>
      </c>
      <c r="DW12" s="58">
        <f t="array" ref="DW12:EZ12">IFERROR(eccalc(E12:DV12,C12+B12,B12,$O$2:$AS$2),"")</f>
        <v>50</v>
      </c>
      <c r="DX12" s="59">
        <v>156</v>
      </c>
      <c r="DY12" s="59">
        <v>178</v>
      </c>
      <c r="DZ12" s="59">
        <v>76</v>
      </c>
      <c r="EA12" s="59">
        <v>3</v>
      </c>
      <c r="EB12" s="59">
        <v>152</v>
      </c>
      <c r="EC12" s="59">
        <v>176</v>
      </c>
      <c r="ED12" s="59">
        <v>210</v>
      </c>
      <c r="EE12" s="59">
        <v>156</v>
      </c>
      <c r="EF12" s="59">
        <v>45</v>
      </c>
      <c r="EG12" s="59">
        <v>102</v>
      </c>
      <c r="EH12" s="59">
        <v>22</v>
      </c>
      <c r="EI12" s="59">
        <v>183</v>
      </c>
      <c r="EJ12" s="59">
        <v>203</v>
      </c>
      <c r="EK12" s="59">
        <v>216</v>
      </c>
      <c r="EL12" s="59">
        <v>27</v>
      </c>
      <c r="EM12" s="59">
        <v>94</v>
      </c>
      <c r="EN12" s="59">
        <v>4</v>
      </c>
      <c r="EO12" s="59">
        <v>98</v>
      </c>
      <c r="EP12" s="59">
        <v>87</v>
      </c>
      <c r="EQ12" s="59">
        <v>167</v>
      </c>
      <c r="ER12" s="59">
        <v>194</v>
      </c>
      <c r="ES12" s="59">
        <v>0</v>
      </c>
      <c r="ET12" s="59">
        <v>0</v>
      </c>
      <c r="EU12" s="59">
        <v>0</v>
      </c>
      <c r="EV12" s="59">
        <v>0</v>
      </c>
      <c r="EW12" s="59">
        <v>0</v>
      </c>
      <c r="EX12" s="59">
        <v>0</v>
      </c>
      <c r="EY12" s="59">
        <v>0</v>
      </c>
      <c r="EZ12" s="60">
        <v>0</v>
      </c>
      <c r="FA12" s="17"/>
      <c r="FC12">
        <v>9</v>
      </c>
      <c r="FD12">
        <f t="shared" si="2"/>
        <v>9</v>
      </c>
      <c r="FE12">
        <f t="shared" si="3"/>
        <v>1</v>
      </c>
      <c r="FF12">
        <f t="shared" si="4"/>
        <v>25</v>
      </c>
      <c r="FI12" s="16">
        <v>9</v>
      </c>
      <c r="FJ12" s="17">
        <f t="shared" si="5"/>
        <v>50</v>
      </c>
      <c r="FK12" s="17">
        <f t="shared" si="6"/>
        <v>25</v>
      </c>
      <c r="FL12" s="18" t="str">
        <f t="shared" si="7"/>
        <v>00011001</v>
      </c>
      <c r="FM12" s="2"/>
      <c r="FN12" s="17"/>
      <c r="FO12" s="17"/>
      <c r="FP12" s="17"/>
      <c r="FQ12" s="17"/>
    </row>
    <row r="13" spans="1:173">
      <c r="A13">
        <f>SUM($B$4:B13)</f>
        <v>120</v>
      </c>
      <c r="B13">
        <f t="shared" si="0"/>
        <v>12</v>
      </c>
      <c r="C13">
        <f t="shared" si="1"/>
        <v>22</v>
      </c>
      <c r="D13">
        <v>10</v>
      </c>
      <c r="E13" s="16">
        <f>IF(E$3&lt;=$B13,INDEX(Input!$I$43:$I$2956,E$3+$A12),"")</f>
        <v>45</v>
      </c>
      <c r="F13" s="17">
        <f>IF(F$3&lt;=$B13,INDEX(Input!$I$43:$I$2956,F$3+$A12),"")</f>
        <v>0</v>
      </c>
      <c r="G13" s="17">
        <f>IF(G$3&lt;=$B13,INDEX(Input!$I$43:$I$2956,G$3+$A12),"")</f>
        <v>0</v>
      </c>
      <c r="H13" s="17">
        <f>IF(H$3&lt;=$B13,INDEX(Input!$I$43:$I$2956,H$3+$A12),"")</f>
        <v>66</v>
      </c>
      <c r="I13" s="17">
        <f>IF(I$3&lt;=$B13,INDEX(Input!$I$43:$I$2956,I$3+$A12),"")</f>
        <v>180</v>
      </c>
      <c r="J13" s="17">
        <f>IF(J$3&lt;=$B13,INDEX(Input!$I$43:$I$2956,J$3+$A12),"")</f>
        <v>65</v>
      </c>
      <c r="K13" s="17">
        <f>IF(K$3&lt;=$B13,INDEX(Input!$I$43:$I$2956,K$3+$A12),"")</f>
        <v>246</v>
      </c>
      <c r="L13" s="17">
        <f>IF(L$3&lt;=$B13,INDEX(Input!$I$43:$I$2956,L$3+$A12),"")</f>
        <v>198</v>
      </c>
      <c r="M13" s="17">
        <f>IF(M$3&lt;=$B13,INDEX(Input!$I$43:$I$2956,M$3+$A12),"")</f>
        <v>143</v>
      </c>
      <c r="N13" s="17">
        <f>IF(N$3&lt;=$B13,INDEX(Input!$I$43:$I$2956,N$3+$A12),"")</f>
        <v>169</v>
      </c>
      <c r="O13" s="17">
        <f>IF(O$3&lt;=$B13,INDEX(Input!$I$43:$I$2956,O$3+$A12),"")</f>
        <v>252</v>
      </c>
      <c r="P13" s="17">
        <f>IF(P$3&lt;=$B13,INDEX(Input!$I$43:$I$2956,P$3+$A12),"")</f>
        <v>43</v>
      </c>
      <c r="Q13" s="17" t="str">
        <f>IF(Q$3&lt;=$B13,INDEX(Input!$I$43:$I$2956,Q$3+$A12),"")</f>
        <v/>
      </c>
      <c r="R13" s="17" t="str">
        <f>IF(R$3&lt;=$B13,INDEX(Input!$I$43:$I$2956,R$3+$A12),"")</f>
        <v/>
      </c>
      <c r="S13" s="17" t="str">
        <f>IF(S$3&lt;=$B13,INDEX(Input!$I$43:$I$2956,S$3+$A12),"")</f>
        <v/>
      </c>
      <c r="T13" s="17" t="str">
        <f>IF(T$3&lt;=$B13,INDEX(Input!$I$43:$I$2956,T$3+$A12),"")</f>
        <v/>
      </c>
      <c r="U13" s="17" t="str">
        <f>IF(U$3&lt;=$B13,INDEX(Input!$I$43:$I$2956,U$3+$A12),"")</f>
        <v/>
      </c>
      <c r="V13" s="17" t="str">
        <f>IF(V$3&lt;=$B13,INDEX(Input!$I$43:$I$2956,V$3+$A12),"")</f>
        <v/>
      </c>
      <c r="W13" s="17" t="str">
        <f>IF(W$3&lt;=$B13,INDEX(Input!$I$43:$I$2956,W$3+$A12),"")</f>
        <v/>
      </c>
      <c r="X13" s="17" t="str">
        <f>IF(X$3&lt;=$B13,INDEX(Input!$I$43:$I$2956,X$3+$A12),"")</f>
        <v/>
      </c>
      <c r="Y13" s="17" t="str">
        <f>IF(Y$3&lt;=$B13,INDEX(Input!$I$43:$I$2956,Y$3+$A12),"")</f>
        <v/>
      </c>
      <c r="Z13" s="17" t="str">
        <f>IF(Z$3&lt;=$B13,INDEX(Input!$I$43:$I$2956,Z$3+$A12),"")</f>
        <v/>
      </c>
      <c r="AA13" s="17" t="str">
        <f>IF(AA$3&lt;=$B13,INDEX(Input!$I$43:$I$2956,AA$3+$A12),"")</f>
        <v/>
      </c>
      <c r="AB13" s="17" t="str">
        <f>IF(AB$3&lt;=$B13,INDEX(Input!$I$43:$I$2956,AB$3+$A12),"")</f>
        <v/>
      </c>
      <c r="AC13" s="17" t="str">
        <f>IF(AC$3&lt;=$B13,INDEX(Input!$I$43:$I$2956,AC$3+$A12),"")</f>
        <v/>
      </c>
      <c r="AD13" s="17" t="str">
        <f>IF(AD$3&lt;=$B13,INDEX(Input!$I$43:$I$2956,AD$3+$A12),"")</f>
        <v/>
      </c>
      <c r="AE13" s="17" t="str">
        <f>IF(AE$3&lt;=$B13,INDEX(Input!$I$43:$I$2956,AE$3+$A12),"")</f>
        <v/>
      </c>
      <c r="AF13" s="17" t="str">
        <f>IF(AF$3&lt;=$B13,INDEX(Input!$I$43:$I$2956,AF$3+$A12),"")</f>
        <v/>
      </c>
      <c r="AG13" s="17" t="str">
        <f>IF(AG$3&lt;=$B13,INDEX(Input!$I$43:$I$2956,AG$3+$A12),"")</f>
        <v/>
      </c>
      <c r="AH13" s="17" t="str">
        <f>IF(AH$3&lt;=$B13,INDEX(Input!$I$43:$I$2956,AH$3+$A12),"")</f>
        <v/>
      </c>
      <c r="AI13" s="17" t="str">
        <f>IF(AI$3&lt;=$B13,INDEX(Input!$I$43:$I$2956,AI$3+$A12),"")</f>
        <v/>
      </c>
      <c r="AJ13" s="17" t="str">
        <f>IF(AJ$3&lt;=$B13,INDEX(Input!$I$43:$I$2956,AJ$3+$A12),"")</f>
        <v/>
      </c>
      <c r="AK13" s="17" t="str">
        <f>IF(AK$3&lt;=$B13,INDEX(Input!$I$43:$I$2956,AK$3+$A12),"")</f>
        <v/>
      </c>
      <c r="AL13" s="17" t="str">
        <f>IF(AL$3&lt;=$B13,INDEX(Input!$I$43:$I$2956,AL$3+$A12),"")</f>
        <v/>
      </c>
      <c r="AM13" s="17" t="str">
        <f>IF(AM$3&lt;=$B13,INDEX(Input!$I$43:$I$2956,AM$3+$A12),"")</f>
        <v/>
      </c>
      <c r="AN13" s="17" t="str">
        <f>IF(AN$3&lt;=$B13,INDEX(Input!$I$43:$I$2956,AN$3+$A12),"")</f>
        <v/>
      </c>
      <c r="AO13" s="17" t="str">
        <f>IF(AO$3&lt;=$B13,INDEX(Input!$I$43:$I$2956,AO$3+$A12),"")</f>
        <v/>
      </c>
      <c r="AP13" s="17" t="str">
        <f>IF(AP$3&lt;=$B13,INDEX(Input!$I$43:$I$2956,AP$3+$A12),"")</f>
        <v/>
      </c>
      <c r="AQ13" s="17" t="str">
        <f>IF(AQ$3&lt;=$B13,INDEX(Input!$I$43:$I$2956,AQ$3+$A12),"")</f>
        <v/>
      </c>
      <c r="AR13" s="17" t="str">
        <f>IF(AR$3&lt;=$B13,INDEX(Input!$I$43:$I$2956,AR$3+$A12),"")</f>
        <v/>
      </c>
      <c r="AS13" s="17" t="str">
        <f>IF(AS$3&lt;=$B13,INDEX(Input!$I$43:$I$2956,AS$3+$A12),"")</f>
        <v/>
      </c>
      <c r="AT13" s="17" t="str">
        <f>IF(AT$3&lt;=$B13,INDEX(Input!$I$43:$I$2956,AT$3+$A12),"")</f>
        <v/>
      </c>
      <c r="AU13" s="17" t="str">
        <f>IF(AU$3&lt;=$B13,INDEX(Input!$I$43:$I$2956,AU$3+$A12),"")</f>
        <v/>
      </c>
      <c r="AV13" s="17" t="str">
        <f>IF(AV$3&lt;=$B13,INDEX(Input!$I$43:$I$2956,AV$3+$A12),"")</f>
        <v/>
      </c>
      <c r="AW13" s="17" t="str">
        <f>IF(AW$3&lt;=$B13,INDEX(Input!$I$43:$I$2956,AW$3+$A12),"")</f>
        <v/>
      </c>
      <c r="AX13" s="17" t="str">
        <f>IF(AX$3&lt;=$B13,INDEX(Input!$I$43:$I$2956,AX$3+$A12),"")</f>
        <v/>
      </c>
      <c r="AY13" s="17" t="str">
        <f>IF(AY$3&lt;=$B13,INDEX(Input!$I$43:$I$2956,AY$3+$A12),"")</f>
        <v/>
      </c>
      <c r="AZ13" s="17" t="str">
        <f>IF(AZ$3&lt;=$B13,INDEX(Input!$I$43:$I$2956,AZ$3+$A12),"")</f>
        <v/>
      </c>
      <c r="BA13" s="17" t="str">
        <f>IF(BA$3&lt;=$B13,INDEX(Input!$I$43:$I$2956,BA$3+$A12),"")</f>
        <v/>
      </c>
      <c r="BB13" s="17" t="str">
        <f>IF(BB$3&lt;=$B13,INDEX(Input!$I$43:$I$2956,BB$3+$A12),"")</f>
        <v/>
      </c>
      <c r="BC13" s="17" t="str">
        <f>IF(BC$3&lt;=$B13,INDEX(Input!$I$43:$I$2956,BC$3+$A12),"")</f>
        <v/>
      </c>
      <c r="BD13" s="17" t="str">
        <f>IF(BD$3&lt;=$B13,INDEX(Input!$I$43:$I$2956,BD$3+$A12),"")</f>
        <v/>
      </c>
      <c r="BE13" s="17" t="str">
        <f>IF(BE$3&lt;=$B13,INDEX(Input!$I$43:$I$2956,BE$3+$A12),"")</f>
        <v/>
      </c>
      <c r="BF13" s="17" t="str">
        <f>IF(BF$3&lt;=$B13,INDEX(Input!$I$43:$I$2956,BF$3+$A12),"")</f>
        <v/>
      </c>
      <c r="BG13" s="17" t="str">
        <f>IF(BG$3&lt;=$B13,INDEX(Input!$I$43:$I$2956,BG$3+$A12),"")</f>
        <v/>
      </c>
      <c r="BH13" s="17" t="str">
        <f>IF(BH$3&lt;=$B13,INDEX(Input!$I$43:$I$2956,BH$3+$A12),"")</f>
        <v/>
      </c>
      <c r="BI13" s="17" t="str">
        <f>IF(BI$3&lt;=$B13,INDEX(Input!$I$43:$I$2956,BI$3+$A12),"")</f>
        <v/>
      </c>
      <c r="BJ13" s="17" t="str">
        <f>IF(BJ$3&lt;=$B13,INDEX(Input!$I$43:$I$2956,BJ$3+$A12),"")</f>
        <v/>
      </c>
      <c r="BK13" s="17" t="str">
        <f>IF(BK$3&lt;=$B13,INDEX(Input!$I$43:$I$2956,BK$3+$A12),"")</f>
        <v/>
      </c>
      <c r="BL13" s="17" t="str">
        <f>IF(BL$3&lt;=$B13,INDEX(Input!$I$43:$I$2956,BL$3+$A12),"")</f>
        <v/>
      </c>
      <c r="BM13" s="17" t="str">
        <f>IF(BM$3&lt;=$B13,INDEX(Input!$I$43:$I$2956,BM$3+$A12),"")</f>
        <v/>
      </c>
      <c r="BN13" s="17" t="str">
        <f>IF(BN$3&lt;=$B13,INDEX(Input!$I$43:$I$2956,BN$3+$A12),"")</f>
        <v/>
      </c>
      <c r="BO13" s="17" t="str">
        <f>IF(BO$3&lt;=$B13,INDEX(Input!$I$43:$I$2956,BO$3+$A12),"")</f>
        <v/>
      </c>
      <c r="BP13" s="17" t="str">
        <f>IF(BP$3&lt;=$B13,INDEX(Input!$I$43:$I$2956,BP$3+$A12),"")</f>
        <v/>
      </c>
      <c r="BQ13" s="17" t="str">
        <f>IF(BQ$3&lt;=$B13,INDEX(Input!$I$43:$I$2956,BQ$3+$A12),"")</f>
        <v/>
      </c>
      <c r="BR13" s="17" t="str">
        <f>IF(BR$3&lt;=$B13,INDEX(Input!$I$43:$I$2956,BR$3+$A12),"")</f>
        <v/>
      </c>
      <c r="BS13" s="17" t="str">
        <f>IF(BS$3&lt;=$B13,INDEX(Input!$I$43:$I$2956,BS$3+$A12),"")</f>
        <v/>
      </c>
      <c r="BT13" s="17" t="str">
        <f>IF(BT$3&lt;=$B13,INDEX(Input!$I$43:$I$2956,BT$3+$A12),"")</f>
        <v/>
      </c>
      <c r="BU13" s="17" t="str">
        <f>IF(BU$3&lt;=$B13,INDEX(Input!$I$43:$I$2956,BU$3+$A12),"")</f>
        <v/>
      </c>
      <c r="BV13" s="17" t="str">
        <f>IF(BV$3&lt;=$B13,INDEX(Input!$I$43:$I$2956,BV$3+$A12),"")</f>
        <v/>
      </c>
      <c r="BW13" s="17" t="str">
        <f>IF(BW$3&lt;=$B13,INDEX(Input!$I$43:$I$2956,BW$3+$A12),"")</f>
        <v/>
      </c>
      <c r="BX13" s="17" t="str">
        <f>IF(BX$3&lt;=$B13,INDEX(Input!$I$43:$I$2956,BX$3+$A12),"")</f>
        <v/>
      </c>
      <c r="BY13" s="17" t="str">
        <f>IF(BY$3&lt;=$B13,INDEX(Input!$I$43:$I$2956,BY$3+$A12),"")</f>
        <v/>
      </c>
      <c r="BZ13" s="17" t="str">
        <f>IF(BZ$3&lt;=$B13,INDEX(Input!$I$43:$I$2956,BZ$3+$A12),"")</f>
        <v/>
      </c>
      <c r="CA13" s="17" t="str">
        <f>IF(CA$3&lt;=$B13,INDEX(Input!$I$43:$I$2956,CA$3+$A12),"")</f>
        <v/>
      </c>
      <c r="CB13" s="17" t="str">
        <f>IF(CB$3&lt;=$B13,INDEX(Input!$I$43:$I$2956,CB$3+$A12),"")</f>
        <v/>
      </c>
      <c r="CC13" s="17" t="str">
        <f>IF(CC$3&lt;=$B13,INDEX(Input!$I$43:$I$2956,CC$3+$A12),"")</f>
        <v/>
      </c>
      <c r="CD13" s="17" t="str">
        <f>IF(CD$3&lt;=$B13,INDEX(Input!$I$43:$I$2956,CD$3+$A12),"")</f>
        <v/>
      </c>
      <c r="CE13" s="17" t="str">
        <f>IF(CE$3&lt;=$B13,INDEX(Input!$I$43:$I$2956,CE$3+$A12),"")</f>
        <v/>
      </c>
      <c r="CF13" s="17" t="str">
        <f>IF(CF$3&lt;=$B13,INDEX(Input!$I$43:$I$2956,CF$3+$A12),"")</f>
        <v/>
      </c>
      <c r="CG13" s="17" t="str">
        <f>IF(CG$3&lt;=$B13,INDEX(Input!$I$43:$I$2956,CG$3+$A12),"")</f>
        <v/>
      </c>
      <c r="CH13" s="17" t="str">
        <f>IF(CH$3&lt;=$B13,INDEX(Input!$I$43:$I$2956,CH$3+$A12),"")</f>
        <v/>
      </c>
      <c r="CI13" s="17" t="str">
        <f>IF(CI$3&lt;=$B13,INDEX(Input!$I$43:$I$2956,CI$3+$A12),"")</f>
        <v/>
      </c>
      <c r="CJ13" s="17" t="str">
        <f>IF(CJ$3&lt;=$B13,INDEX(Input!$I$43:$I$2956,CJ$3+$A12),"")</f>
        <v/>
      </c>
      <c r="CK13" s="17" t="str">
        <f>IF(CK$3&lt;=$B13,INDEX(Input!$I$43:$I$2956,CK$3+$A12),"")</f>
        <v/>
      </c>
      <c r="CL13" s="17" t="str">
        <f>IF(CL$3&lt;=$B13,INDEX(Input!$I$43:$I$2956,CL$3+$A12),"")</f>
        <v/>
      </c>
      <c r="CM13" s="17" t="str">
        <f>IF(CM$3&lt;=$B13,INDEX(Input!$I$43:$I$2956,CM$3+$A12),"")</f>
        <v/>
      </c>
      <c r="CN13" s="17" t="str">
        <f>IF(CN$3&lt;=$B13,INDEX(Input!$I$43:$I$2956,CN$3+$A12),"")</f>
        <v/>
      </c>
      <c r="CO13" s="17" t="str">
        <f>IF(CO$3&lt;=$B13,INDEX(Input!$I$43:$I$2956,CO$3+$A12),"")</f>
        <v/>
      </c>
      <c r="CP13" s="17" t="str">
        <f>IF(CP$3&lt;=$B13,INDEX(Input!$I$43:$I$2956,CP$3+$A12),"")</f>
        <v/>
      </c>
      <c r="CQ13" s="17" t="str">
        <f>IF(CQ$3&lt;=$B13,INDEX(Input!$I$43:$I$2956,CQ$3+$A12),"")</f>
        <v/>
      </c>
      <c r="CR13" s="17" t="str">
        <f>IF(CR$3&lt;=$B13,INDEX(Input!$I$43:$I$2956,CR$3+$A12),"")</f>
        <v/>
      </c>
      <c r="CS13" s="17" t="str">
        <f>IF(CS$3&lt;=$B13,INDEX(Input!$I$43:$I$2956,CS$3+$A12),"")</f>
        <v/>
      </c>
      <c r="CT13" s="17" t="str">
        <f>IF(CT$3&lt;=$B13,INDEX(Input!$I$43:$I$2956,CT$3+$A12),"")</f>
        <v/>
      </c>
      <c r="CU13" s="17" t="str">
        <f>IF(CU$3&lt;=$B13,INDEX(Input!$I$43:$I$2956,CU$3+$A12),"")</f>
        <v/>
      </c>
      <c r="CV13" s="17" t="str">
        <f>IF(CV$3&lt;=$B13,INDEX(Input!$I$43:$I$2956,CV$3+$A12),"")</f>
        <v/>
      </c>
      <c r="CW13" s="17" t="str">
        <f>IF(CW$3&lt;=$B13,INDEX(Input!$I$43:$I$2956,CW$3+$A12),"")</f>
        <v/>
      </c>
      <c r="CX13" s="17" t="str">
        <f>IF(CX$3&lt;=$B13,INDEX(Input!$I$43:$I$2956,CX$3+$A12),"")</f>
        <v/>
      </c>
      <c r="CY13" s="17" t="str">
        <f>IF(CY$3&lt;=$B13,INDEX(Input!$I$43:$I$2956,CY$3+$A12),"")</f>
        <v/>
      </c>
      <c r="CZ13" s="17" t="str">
        <f>IF(CZ$3&lt;=$B13,INDEX(Input!$I$43:$I$2956,CZ$3+$A12),"")</f>
        <v/>
      </c>
      <c r="DA13" s="17" t="str">
        <f>IF(DA$3&lt;=$B13,INDEX(Input!$I$43:$I$2956,DA$3+$A12),"")</f>
        <v/>
      </c>
      <c r="DB13" s="17" t="str">
        <f>IF(DB$3&lt;=$B13,INDEX(Input!$I$43:$I$2956,DB$3+$A12),"")</f>
        <v/>
      </c>
      <c r="DC13" s="17" t="str">
        <f>IF(DC$3&lt;=$B13,INDEX(Input!$I$43:$I$2956,DC$3+$A12),"")</f>
        <v/>
      </c>
      <c r="DD13" s="17" t="str">
        <f>IF(DD$3&lt;=$B13,INDEX(Input!$I$43:$I$2956,DD$3+$A12),"")</f>
        <v/>
      </c>
      <c r="DE13" s="17" t="str">
        <f>IF(DE$3&lt;=$B13,INDEX(Input!$I$43:$I$2956,DE$3+$A12),"")</f>
        <v/>
      </c>
      <c r="DF13" s="17" t="str">
        <f>IF(DF$3&lt;=$B13,INDEX(Input!$I$43:$I$2956,DF$3+$A12),"")</f>
        <v/>
      </c>
      <c r="DG13" s="17" t="str">
        <f>IF(DG$3&lt;=$B13,INDEX(Input!$I$43:$I$2956,DG$3+$A12),"")</f>
        <v/>
      </c>
      <c r="DH13" s="17" t="str">
        <f>IF(DH$3&lt;=$B13,INDEX(Input!$I$43:$I$2956,DH$3+$A12),"")</f>
        <v/>
      </c>
      <c r="DI13" s="17" t="str">
        <f>IF(DI$3&lt;=$B13,INDEX(Input!$I$43:$I$2956,DI$3+$A12),"")</f>
        <v/>
      </c>
      <c r="DJ13" s="17" t="str">
        <f>IF(DJ$3&lt;=$B13,INDEX(Input!$I$43:$I$2956,DJ$3+$A12),"")</f>
        <v/>
      </c>
      <c r="DK13" s="17" t="str">
        <f>IF(DK$3&lt;=$B13,INDEX(Input!$I$43:$I$2956,DK$3+$A12),"")</f>
        <v/>
      </c>
      <c r="DL13" s="17" t="str">
        <f>IF(DL$3&lt;=$B13,INDEX(Input!$I$43:$I$2956,DL$3+$A12),"")</f>
        <v/>
      </c>
      <c r="DM13" s="17" t="str">
        <f>IF(DM$3&lt;=$B13,INDEX(Input!$I$43:$I$2956,DM$3+$A12),"")</f>
        <v/>
      </c>
      <c r="DN13" s="17" t="str">
        <f>IF(DN$3&lt;=$B13,INDEX(Input!$I$43:$I$2956,DN$3+$A12),"")</f>
        <v/>
      </c>
      <c r="DO13" s="17" t="str">
        <f>IF(DO$3&lt;=$B13,INDEX(Input!$I$43:$I$2956,DO$3+$A12),"")</f>
        <v/>
      </c>
      <c r="DP13" s="17" t="str">
        <f>IF(DP$3&lt;=$B13,INDEX(Input!$I$43:$I$2956,DP$3+$A12),"")</f>
        <v/>
      </c>
      <c r="DQ13" s="17" t="str">
        <f>IF(DQ$3&lt;=$B13,INDEX(Input!$I$43:$I$2956,DQ$3+$A12),"")</f>
        <v/>
      </c>
      <c r="DR13" s="17" t="str">
        <f>IF(DR$3&lt;=$B13,INDEX(Input!$I$43:$I$2956,DR$3+$A12),"")</f>
        <v/>
      </c>
      <c r="DS13" s="17" t="str">
        <f>IF(DS$3&lt;=$B13,INDEX(Input!$I$43:$I$2956,DS$3+$A12),"")</f>
        <v/>
      </c>
      <c r="DT13" s="17" t="str">
        <f>IF(DT$3&lt;=$B13,INDEX(Input!$I$43:$I$2956,DT$3+$A12),"")</f>
        <v/>
      </c>
      <c r="DU13" s="17" t="str">
        <f>IF(DU$3&lt;=$B13,INDEX(Input!$I$43:$I$2956,DU$3+$A12),"")</f>
        <v/>
      </c>
      <c r="DV13" s="17" t="str">
        <f>IF(DV$3&lt;=$B13,INDEX(Input!$I$43:$I$2956,DV$3+$A12),"")</f>
        <v/>
      </c>
      <c r="DW13" s="58">
        <f t="array" ref="DW13:EZ13">IFERROR(eccalc(E13:DV13,C13+B13,B13,$O$2:$AS$2),"")</f>
        <v>130</v>
      </c>
      <c r="DX13" s="59">
        <v>210</v>
      </c>
      <c r="DY13" s="59">
        <v>37</v>
      </c>
      <c r="DZ13" s="59">
        <v>253</v>
      </c>
      <c r="EA13" s="59">
        <v>6</v>
      </c>
      <c r="EB13" s="59">
        <v>53</v>
      </c>
      <c r="EC13" s="59">
        <v>76</v>
      </c>
      <c r="ED13" s="59">
        <v>1</v>
      </c>
      <c r="EE13" s="59">
        <v>143</v>
      </c>
      <c r="EF13" s="59">
        <v>119</v>
      </c>
      <c r="EG13" s="59">
        <v>251</v>
      </c>
      <c r="EH13" s="59">
        <v>151</v>
      </c>
      <c r="EI13" s="59">
        <v>64</v>
      </c>
      <c r="EJ13" s="59">
        <v>5</v>
      </c>
      <c r="EK13" s="59">
        <v>175</v>
      </c>
      <c r="EL13" s="59">
        <v>31</v>
      </c>
      <c r="EM13" s="59">
        <v>63</v>
      </c>
      <c r="EN13" s="59">
        <v>109</v>
      </c>
      <c r="EO13" s="59">
        <v>178</v>
      </c>
      <c r="EP13" s="59">
        <v>85</v>
      </c>
      <c r="EQ13" s="59">
        <v>255</v>
      </c>
      <c r="ER13" s="59">
        <v>134</v>
      </c>
      <c r="ES13" s="59">
        <v>0</v>
      </c>
      <c r="ET13" s="59">
        <v>0</v>
      </c>
      <c r="EU13" s="59">
        <v>0</v>
      </c>
      <c r="EV13" s="59">
        <v>0</v>
      </c>
      <c r="EW13" s="59">
        <v>0</v>
      </c>
      <c r="EX13" s="59">
        <v>0</v>
      </c>
      <c r="EY13" s="59">
        <v>0</v>
      </c>
      <c r="EZ13" s="60">
        <v>0</v>
      </c>
      <c r="FA13" s="17"/>
      <c r="FC13">
        <v>10</v>
      </c>
      <c r="FD13">
        <f t="shared" si="2"/>
        <v>10</v>
      </c>
      <c r="FE13">
        <f t="shared" si="3"/>
        <v>1</v>
      </c>
      <c r="FF13">
        <f t="shared" si="4"/>
        <v>45</v>
      </c>
      <c r="FI13" s="16">
        <v>10</v>
      </c>
      <c r="FJ13" s="17">
        <f t="shared" si="5"/>
        <v>130</v>
      </c>
      <c r="FK13" s="17">
        <f t="shared" si="6"/>
        <v>45</v>
      </c>
      <c r="FL13" s="18" t="str">
        <f t="shared" si="7"/>
        <v>00101101</v>
      </c>
      <c r="FM13" s="2"/>
      <c r="FN13" s="17"/>
      <c r="FO13" s="17"/>
      <c r="FP13" s="17"/>
      <c r="FQ13" s="17"/>
    </row>
    <row r="14" spans="1:173">
      <c r="A14">
        <f>SUM($B$4:B14)</f>
        <v>132</v>
      </c>
      <c r="B14">
        <f t="shared" si="0"/>
        <v>12</v>
      </c>
      <c r="C14">
        <f t="shared" si="1"/>
        <v>22</v>
      </c>
      <c r="D14">
        <v>11</v>
      </c>
      <c r="E14" s="16">
        <f>IF(E$3&lt;=$B14,INDEX(Input!$I$43:$I$2956,E$3+$A13),"")</f>
        <v>142</v>
      </c>
      <c r="F14" s="17">
        <f>IF(F$3&lt;=$B14,INDEX(Input!$I$43:$I$2956,F$3+$A13),"")</f>
        <v>31</v>
      </c>
      <c r="G14" s="17">
        <f>IF(G$3&lt;=$B14,INDEX(Input!$I$43:$I$2956,G$3+$A13),"")</f>
        <v>83</v>
      </c>
      <c r="H14" s="17">
        <f>IF(H$3&lt;=$B14,INDEX(Input!$I$43:$I$2956,H$3+$A13),"")</f>
        <v>99</v>
      </c>
      <c r="I14" s="17">
        <f>IF(I$3&lt;=$B14,INDEX(Input!$I$43:$I$2956,I$3+$A13),"")</f>
        <v>83</v>
      </c>
      <c r="J14" s="17">
        <f>IF(J$3&lt;=$B14,INDEX(Input!$I$43:$I$2956,J$3+$A13),"")</f>
        <v>208</v>
      </c>
      <c r="K14" s="17">
        <f>IF(K$3&lt;=$B14,INDEX(Input!$I$43:$I$2956,K$3+$A13),"")</f>
        <v>12</v>
      </c>
      <c r="L14" s="17">
        <f>IF(L$3&lt;=$B14,INDEX(Input!$I$43:$I$2956,L$3+$A13),"")</f>
        <v>178</v>
      </c>
      <c r="M14" s="17">
        <f>IF(M$3&lt;=$B14,INDEX(Input!$I$43:$I$2956,M$3+$A13),"")</f>
        <v>89</v>
      </c>
      <c r="N14" s="17">
        <f>IF(N$3&lt;=$B14,INDEX(Input!$I$43:$I$2956,N$3+$A13),"")</f>
        <v>146</v>
      </c>
      <c r="O14" s="17">
        <f>IF(O$3&lt;=$B14,INDEX(Input!$I$43:$I$2956,O$3+$A13),"")</f>
        <v>204</v>
      </c>
      <c r="P14" s="17">
        <f>IF(P$3&lt;=$B14,INDEX(Input!$I$43:$I$2956,P$3+$A13),"")</f>
        <v>126</v>
      </c>
      <c r="Q14" s="17" t="str">
        <f>IF(Q$3&lt;=$B14,INDEX(Input!$I$43:$I$2956,Q$3+$A13),"")</f>
        <v/>
      </c>
      <c r="R14" s="17" t="str">
        <f>IF(R$3&lt;=$B14,INDEX(Input!$I$43:$I$2956,R$3+$A13),"")</f>
        <v/>
      </c>
      <c r="S14" s="17" t="str">
        <f>IF(S$3&lt;=$B14,INDEX(Input!$I$43:$I$2956,S$3+$A13),"")</f>
        <v/>
      </c>
      <c r="T14" s="17" t="str">
        <f>IF(T$3&lt;=$B14,INDEX(Input!$I$43:$I$2956,T$3+$A13),"")</f>
        <v/>
      </c>
      <c r="U14" s="17" t="str">
        <f>IF(U$3&lt;=$B14,INDEX(Input!$I$43:$I$2956,U$3+$A13),"")</f>
        <v/>
      </c>
      <c r="V14" s="17" t="str">
        <f>IF(V$3&lt;=$B14,INDEX(Input!$I$43:$I$2956,V$3+$A13),"")</f>
        <v/>
      </c>
      <c r="W14" s="17" t="str">
        <f>IF(W$3&lt;=$B14,INDEX(Input!$I$43:$I$2956,W$3+$A13),"")</f>
        <v/>
      </c>
      <c r="X14" s="17" t="str">
        <f>IF(X$3&lt;=$B14,INDEX(Input!$I$43:$I$2956,X$3+$A13),"")</f>
        <v/>
      </c>
      <c r="Y14" s="17" t="str">
        <f>IF(Y$3&lt;=$B14,INDEX(Input!$I$43:$I$2956,Y$3+$A13),"")</f>
        <v/>
      </c>
      <c r="Z14" s="17" t="str">
        <f>IF(Z$3&lt;=$B14,INDEX(Input!$I$43:$I$2956,Z$3+$A13),"")</f>
        <v/>
      </c>
      <c r="AA14" s="17" t="str">
        <f>IF(AA$3&lt;=$B14,INDEX(Input!$I$43:$I$2956,AA$3+$A13),"")</f>
        <v/>
      </c>
      <c r="AB14" s="17" t="str">
        <f>IF(AB$3&lt;=$B14,INDEX(Input!$I$43:$I$2956,AB$3+$A13),"")</f>
        <v/>
      </c>
      <c r="AC14" s="17" t="str">
        <f>IF(AC$3&lt;=$B14,INDEX(Input!$I$43:$I$2956,AC$3+$A13),"")</f>
        <v/>
      </c>
      <c r="AD14" s="17" t="str">
        <f>IF(AD$3&lt;=$B14,INDEX(Input!$I$43:$I$2956,AD$3+$A13),"")</f>
        <v/>
      </c>
      <c r="AE14" s="17" t="str">
        <f>IF(AE$3&lt;=$B14,INDEX(Input!$I$43:$I$2956,AE$3+$A13),"")</f>
        <v/>
      </c>
      <c r="AF14" s="17" t="str">
        <f>IF(AF$3&lt;=$B14,INDEX(Input!$I$43:$I$2956,AF$3+$A13),"")</f>
        <v/>
      </c>
      <c r="AG14" s="17" t="str">
        <f>IF(AG$3&lt;=$B14,INDEX(Input!$I$43:$I$2956,AG$3+$A13),"")</f>
        <v/>
      </c>
      <c r="AH14" s="17" t="str">
        <f>IF(AH$3&lt;=$B14,INDEX(Input!$I$43:$I$2956,AH$3+$A13),"")</f>
        <v/>
      </c>
      <c r="AI14" s="17" t="str">
        <f>IF(AI$3&lt;=$B14,INDEX(Input!$I$43:$I$2956,AI$3+$A13),"")</f>
        <v/>
      </c>
      <c r="AJ14" s="17" t="str">
        <f>IF(AJ$3&lt;=$B14,INDEX(Input!$I$43:$I$2956,AJ$3+$A13),"")</f>
        <v/>
      </c>
      <c r="AK14" s="17" t="str">
        <f>IF(AK$3&lt;=$B14,INDEX(Input!$I$43:$I$2956,AK$3+$A13),"")</f>
        <v/>
      </c>
      <c r="AL14" s="17" t="str">
        <f>IF(AL$3&lt;=$B14,INDEX(Input!$I$43:$I$2956,AL$3+$A13),"")</f>
        <v/>
      </c>
      <c r="AM14" s="17" t="str">
        <f>IF(AM$3&lt;=$B14,INDEX(Input!$I$43:$I$2956,AM$3+$A13),"")</f>
        <v/>
      </c>
      <c r="AN14" s="17" t="str">
        <f>IF(AN$3&lt;=$B14,INDEX(Input!$I$43:$I$2956,AN$3+$A13),"")</f>
        <v/>
      </c>
      <c r="AO14" s="17" t="str">
        <f>IF(AO$3&lt;=$B14,INDEX(Input!$I$43:$I$2956,AO$3+$A13),"")</f>
        <v/>
      </c>
      <c r="AP14" s="17" t="str">
        <f>IF(AP$3&lt;=$B14,INDEX(Input!$I$43:$I$2956,AP$3+$A13),"")</f>
        <v/>
      </c>
      <c r="AQ14" s="17" t="str">
        <f>IF(AQ$3&lt;=$B14,INDEX(Input!$I$43:$I$2956,AQ$3+$A13),"")</f>
        <v/>
      </c>
      <c r="AR14" s="17" t="str">
        <f>IF(AR$3&lt;=$B14,INDEX(Input!$I$43:$I$2956,AR$3+$A13),"")</f>
        <v/>
      </c>
      <c r="AS14" s="17" t="str">
        <f>IF(AS$3&lt;=$B14,INDEX(Input!$I$43:$I$2956,AS$3+$A13),"")</f>
        <v/>
      </c>
      <c r="AT14" s="17" t="str">
        <f>IF(AT$3&lt;=$B14,INDEX(Input!$I$43:$I$2956,AT$3+$A13),"")</f>
        <v/>
      </c>
      <c r="AU14" s="17" t="str">
        <f>IF(AU$3&lt;=$B14,INDEX(Input!$I$43:$I$2956,AU$3+$A13),"")</f>
        <v/>
      </c>
      <c r="AV14" s="17" t="str">
        <f>IF(AV$3&lt;=$B14,INDEX(Input!$I$43:$I$2956,AV$3+$A13),"")</f>
        <v/>
      </c>
      <c r="AW14" s="17" t="str">
        <f>IF(AW$3&lt;=$B14,INDEX(Input!$I$43:$I$2956,AW$3+$A13),"")</f>
        <v/>
      </c>
      <c r="AX14" s="17" t="str">
        <f>IF(AX$3&lt;=$B14,INDEX(Input!$I$43:$I$2956,AX$3+$A13),"")</f>
        <v/>
      </c>
      <c r="AY14" s="17" t="str">
        <f>IF(AY$3&lt;=$B14,INDEX(Input!$I$43:$I$2956,AY$3+$A13),"")</f>
        <v/>
      </c>
      <c r="AZ14" s="17" t="str">
        <f>IF(AZ$3&lt;=$B14,INDEX(Input!$I$43:$I$2956,AZ$3+$A13),"")</f>
        <v/>
      </c>
      <c r="BA14" s="17" t="str">
        <f>IF(BA$3&lt;=$B14,INDEX(Input!$I$43:$I$2956,BA$3+$A13),"")</f>
        <v/>
      </c>
      <c r="BB14" s="17" t="str">
        <f>IF(BB$3&lt;=$B14,INDEX(Input!$I$43:$I$2956,BB$3+$A13),"")</f>
        <v/>
      </c>
      <c r="BC14" s="17" t="str">
        <f>IF(BC$3&lt;=$B14,INDEX(Input!$I$43:$I$2956,BC$3+$A13),"")</f>
        <v/>
      </c>
      <c r="BD14" s="17" t="str">
        <f>IF(BD$3&lt;=$B14,INDEX(Input!$I$43:$I$2956,BD$3+$A13),"")</f>
        <v/>
      </c>
      <c r="BE14" s="17" t="str">
        <f>IF(BE$3&lt;=$B14,INDEX(Input!$I$43:$I$2956,BE$3+$A13),"")</f>
        <v/>
      </c>
      <c r="BF14" s="17" t="str">
        <f>IF(BF$3&lt;=$B14,INDEX(Input!$I$43:$I$2956,BF$3+$A13),"")</f>
        <v/>
      </c>
      <c r="BG14" s="17" t="str">
        <f>IF(BG$3&lt;=$B14,INDEX(Input!$I$43:$I$2956,BG$3+$A13),"")</f>
        <v/>
      </c>
      <c r="BH14" s="17" t="str">
        <f>IF(BH$3&lt;=$B14,INDEX(Input!$I$43:$I$2956,BH$3+$A13),"")</f>
        <v/>
      </c>
      <c r="BI14" s="17" t="str">
        <f>IF(BI$3&lt;=$B14,INDEX(Input!$I$43:$I$2956,BI$3+$A13),"")</f>
        <v/>
      </c>
      <c r="BJ14" s="17" t="str">
        <f>IF(BJ$3&lt;=$B14,INDEX(Input!$I$43:$I$2956,BJ$3+$A13),"")</f>
        <v/>
      </c>
      <c r="BK14" s="17" t="str">
        <f>IF(BK$3&lt;=$B14,INDEX(Input!$I$43:$I$2956,BK$3+$A13),"")</f>
        <v/>
      </c>
      <c r="BL14" s="17" t="str">
        <f>IF(BL$3&lt;=$B14,INDEX(Input!$I$43:$I$2956,BL$3+$A13),"")</f>
        <v/>
      </c>
      <c r="BM14" s="17" t="str">
        <f>IF(BM$3&lt;=$B14,INDEX(Input!$I$43:$I$2956,BM$3+$A13),"")</f>
        <v/>
      </c>
      <c r="BN14" s="17" t="str">
        <f>IF(BN$3&lt;=$B14,INDEX(Input!$I$43:$I$2956,BN$3+$A13),"")</f>
        <v/>
      </c>
      <c r="BO14" s="17" t="str">
        <f>IF(BO$3&lt;=$B14,INDEX(Input!$I$43:$I$2956,BO$3+$A13),"")</f>
        <v/>
      </c>
      <c r="BP14" s="17" t="str">
        <f>IF(BP$3&lt;=$B14,INDEX(Input!$I$43:$I$2956,BP$3+$A13),"")</f>
        <v/>
      </c>
      <c r="BQ14" s="17" t="str">
        <f>IF(BQ$3&lt;=$B14,INDEX(Input!$I$43:$I$2956,BQ$3+$A13),"")</f>
        <v/>
      </c>
      <c r="BR14" s="17" t="str">
        <f>IF(BR$3&lt;=$B14,INDEX(Input!$I$43:$I$2956,BR$3+$A13),"")</f>
        <v/>
      </c>
      <c r="BS14" s="17" t="str">
        <f>IF(BS$3&lt;=$B14,INDEX(Input!$I$43:$I$2956,BS$3+$A13),"")</f>
        <v/>
      </c>
      <c r="BT14" s="17" t="str">
        <f>IF(BT$3&lt;=$B14,INDEX(Input!$I$43:$I$2956,BT$3+$A13),"")</f>
        <v/>
      </c>
      <c r="BU14" s="17" t="str">
        <f>IF(BU$3&lt;=$B14,INDEX(Input!$I$43:$I$2956,BU$3+$A13),"")</f>
        <v/>
      </c>
      <c r="BV14" s="17" t="str">
        <f>IF(BV$3&lt;=$B14,INDEX(Input!$I$43:$I$2956,BV$3+$A13),"")</f>
        <v/>
      </c>
      <c r="BW14" s="17" t="str">
        <f>IF(BW$3&lt;=$B14,INDEX(Input!$I$43:$I$2956,BW$3+$A13),"")</f>
        <v/>
      </c>
      <c r="BX14" s="17" t="str">
        <f>IF(BX$3&lt;=$B14,INDEX(Input!$I$43:$I$2956,BX$3+$A13),"")</f>
        <v/>
      </c>
      <c r="BY14" s="17" t="str">
        <f>IF(BY$3&lt;=$B14,INDEX(Input!$I$43:$I$2956,BY$3+$A13),"")</f>
        <v/>
      </c>
      <c r="BZ14" s="17" t="str">
        <f>IF(BZ$3&lt;=$B14,INDEX(Input!$I$43:$I$2956,BZ$3+$A13),"")</f>
        <v/>
      </c>
      <c r="CA14" s="17" t="str">
        <f>IF(CA$3&lt;=$B14,INDEX(Input!$I$43:$I$2956,CA$3+$A13),"")</f>
        <v/>
      </c>
      <c r="CB14" s="17" t="str">
        <f>IF(CB$3&lt;=$B14,INDEX(Input!$I$43:$I$2956,CB$3+$A13),"")</f>
        <v/>
      </c>
      <c r="CC14" s="17" t="str">
        <f>IF(CC$3&lt;=$B14,INDEX(Input!$I$43:$I$2956,CC$3+$A13),"")</f>
        <v/>
      </c>
      <c r="CD14" s="17" t="str">
        <f>IF(CD$3&lt;=$B14,INDEX(Input!$I$43:$I$2956,CD$3+$A13),"")</f>
        <v/>
      </c>
      <c r="CE14" s="17" t="str">
        <f>IF(CE$3&lt;=$B14,INDEX(Input!$I$43:$I$2956,CE$3+$A13),"")</f>
        <v/>
      </c>
      <c r="CF14" s="17" t="str">
        <f>IF(CF$3&lt;=$B14,INDEX(Input!$I$43:$I$2956,CF$3+$A13),"")</f>
        <v/>
      </c>
      <c r="CG14" s="17" t="str">
        <f>IF(CG$3&lt;=$B14,INDEX(Input!$I$43:$I$2956,CG$3+$A13),"")</f>
        <v/>
      </c>
      <c r="CH14" s="17" t="str">
        <f>IF(CH$3&lt;=$B14,INDEX(Input!$I$43:$I$2956,CH$3+$A13),"")</f>
        <v/>
      </c>
      <c r="CI14" s="17" t="str">
        <f>IF(CI$3&lt;=$B14,INDEX(Input!$I$43:$I$2956,CI$3+$A13),"")</f>
        <v/>
      </c>
      <c r="CJ14" s="17" t="str">
        <f>IF(CJ$3&lt;=$B14,INDEX(Input!$I$43:$I$2956,CJ$3+$A13),"")</f>
        <v/>
      </c>
      <c r="CK14" s="17" t="str">
        <f>IF(CK$3&lt;=$B14,INDEX(Input!$I$43:$I$2956,CK$3+$A13),"")</f>
        <v/>
      </c>
      <c r="CL14" s="17" t="str">
        <f>IF(CL$3&lt;=$B14,INDEX(Input!$I$43:$I$2956,CL$3+$A13),"")</f>
        <v/>
      </c>
      <c r="CM14" s="17" t="str">
        <f>IF(CM$3&lt;=$B14,INDEX(Input!$I$43:$I$2956,CM$3+$A13),"")</f>
        <v/>
      </c>
      <c r="CN14" s="17" t="str">
        <f>IF(CN$3&lt;=$B14,INDEX(Input!$I$43:$I$2956,CN$3+$A13),"")</f>
        <v/>
      </c>
      <c r="CO14" s="17" t="str">
        <f>IF(CO$3&lt;=$B14,INDEX(Input!$I$43:$I$2956,CO$3+$A13),"")</f>
        <v/>
      </c>
      <c r="CP14" s="17" t="str">
        <f>IF(CP$3&lt;=$B14,INDEX(Input!$I$43:$I$2956,CP$3+$A13),"")</f>
        <v/>
      </c>
      <c r="CQ14" s="17" t="str">
        <f>IF(CQ$3&lt;=$B14,INDEX(Input!$I$43:$I$2956,CQ$3+$A13),"")</f>
        <v/>
      </c>
      <c r="CR14" s="17" t="str">
        <f>IF(CR$3&lt;=$B14,INDEX(Input!$I$43:$I$2956,CR$3+$A13),"")</f>
        <v/>
      </c>
      <c r="CS14" s="17" t="str">
        <f>IF(CS$3&lt;=$B14,INDEX(Input!$I$43:$I$2956,CS$3+$A13),"")</f>
        <v/>
      </c>
      <c r="CT14" s="17" t="str">
        <f>IF(CT$3&lt;=$B14,INDEX(Input!$I$43:$I$2956,CT$3+$A13),"")</f>
        <v/>
      </c>
      <c r="CU14" s="17" t="str">
        <f>IF(CU$3&lt;=$B14,INDEX(Input!$I$43:$I$2956,CU$3+$A13),"")</f>
        <v/>
      </c>
      <c r="CV14" s="17" t="str">
        <f>IF(CV$3&lt;=$B14,INDEX(Input!$I$43:$I$2956,CV$3+$A13),"")</f>
        <v/>
      </c>
      <c r="CW14" s="17" t="str">
        <f>IF(CW$3&lt;=$B14,INDEX(Input!$I$43:$I$2956,CW$3+$A13),"")</f>
        <v/>
      </c>
      <c r="CX14" s="17" t="str">
        <f>IF(CX$3&lt;=$B14,INDEX(Input!$I$43:$I$2956,CX$3+$A13),"")</f>
        <v/>
      </c>
      <c r="CY14" s="17" t="str">
        <f>IF(CY$3&lt;=$B14,INDEX(Input!$I$43:$I$2956,CY$3+$A13),"")</f>
        <v/>
      </c>
      <c r="CZ14" s="17" t="str">
        <f>IF(CZ$3&lt;=$B14,INDEX(Input!$I$43:$I$2956,CZ$3+$A13),"")</f>
        <v/>
      </c>
      <c r="DA14" s="17" t="str">
        <f>IF(DA$3&lt;=$B14,INDEX(Input!$I$43:$I$2956,DA$3+$A13),"")</f>
        <v/>
      </c>
      <c r="DB14" s="17" t="str">
        <f>IF(DB$3&lt;=$B14,INDEX(Input!$I$43:$I$2956,DB$3+$A13),"")</f>
        <v/>
      </c>
      <c r="DC14" s="17" t="str">
        <f>IF(DC$3&lt;=$B14,INDEX(Input!$I$43:$I$2956,DC$3+$A13),"")</f>
        <v/>
      </c>
      <c r="DD14" s="17" t="str">
        <f>IF(DD$3&lt;=$B14,INDEX(Input!$I$43:$I$2956,DD$3+$A13),"")</f>
        <v/>
      </c>
      <c r="DE14" s="17" t="str">
        <f>IF(DE$3&lt;=$B14,INDEX(Input!$I$43:$I$2956,DE$3+$A13),"")</f>
        <v/>
      </c>
      <c r="DF14" s="17" t="str">
        <f>IF(DF$3&lt;=$B14,INDEX(Input!$I$43:$I$2956,DF$3+$A13),"")</f>
        <v/>
      </c>
      <c r="DG14" s="17" t="str">
        <f>IF(DG$3&lt;=$B14,INDEX(Input!$I$43:$I$2956,DG$3+$A13),"")</f>
        <v/>
      </c>
      <c r="DH14" s="17" t="str">
        <f>IF(DH$3&lt;=$B14,INDEX(Input!$I$43:$I$2956,DH$3+$A13),"")</f>
        <v/>
      </c>
      <c r="DI14" s="17" t="str">
        <f>IF(DI$3&lt;=$B14,INDEX(Input!$I$43:$I$2956,DI$3+$A13),"")</f>
        <v/>
      </c>
      <c r="DJ14" s="17" t="str">
        <f>IF(DJ$3&lt;=$B14,INDEX(Input!$I$43:$I$2956,DJ$3+$A13),"")</f>
        <v/>
      </c>
      <c r="DK14" s="17" t="str">
        <f>IF(DK$3&lt;=$B14,INDEX(Input!$I$43:$I$2956,DK$3+$A13),"")</f>
        <v/>
      </c>
      <c r="DL14" s="17" t="str">
        <f>IF(DL$3&lt;=$B14,INDEX(Input!$I$43:$I$2956,DL$3+$A13),"")</f>
        <v/>
      </c>
      <c r="DM14" s="17" t="str">
        <f>IF(DM$3&lt;=$B14,INDEX(Input!$I$43:$I$2956,DM$3+$A13),"")</f>
        <v/>
      </c>
      <c r="DN14" s="17" t="str">
        <f>IF(DN$3&lt;=$B14,INDEX(Input!$I$43:$I$2956,DN$3+$A13),"")</f>
        <v/>
      </c>
      <c r="DO14" s="17" t="str">
        <f>IF(DO$3&lt;=$B14,INDEX(Input!$I$43:$I$2956,DO$3+$A13),"")</f>
        <v/>
      </c>
      <c r="DP14" s="17" t="str">
        <f>IF(DP$3&lt;=$B14,INDEX(Input!$I$43:$I$2956,DP$3+$A13),"")</f>
        <v/>
      </c>
      <c r="DQ14" s="17" t="str">
        <f>IF(DQ$3&lt;=$B14,INDEX(Input!$I$43:$I$2956,DQ$3+$A13),"")</f>
        <v/>
      </c>
      <c r="DR14" s="17" t="str">
        <f>IF(DR$3&lt;=$B14,INDEX(Input!$I$43:$I$2956,DR$3+$A13),"")</f>
        <v/>
      </c>
      <c r="DS14" s="17" t="str">
        <f>IF(DS$3&lt;=$B14,INDEX(Input!$I$43:$I$2956,DS$3+$A13),"")</f>
        <v/>
      </c>
      <c r="DT14" s="17" t="str">
        <f>IF(DT$3&lt;=$B14,INDEX(Input!$I$43:$I$2956,DT$3+$A13),"")</f>
        <v/>
      </c>
      <c r="DU14" s="17" t="str">
        <f>IF(DU$3&lt;=$B14,INDEX(Input!$I$43:$I$2956,DU$3+$A13),"")</f>
        <v/>
      </c>
      <c r="DV14" s="17" t="str">
        <f>IF(DV$3&lt;=$B14,INDEX(Input!$I$43:$I$2956,DV$3+$A13),"")</f>
        <v/>
      </c>
      <c r="DW14" s="58">
        <f t="array" ref="DW14:EZ14">IFERROR(eccalc(E14:DV14,C14+B14,B14,$O$2:$AS$2),"")</f>
        <v>148</v>
      </c>
      <c r="DX14" s="59">
        <v>211</v>
      </c>
      <c r="DY14" s="59">
        <v>179</v>
      </c>
      <c r="DZ14" s="59">
        <v>186</v>
      </c>
      <c r="EA14" s="59">
        <v>67</v>
      </c>
      <c r="EB14" s="59">
        <v>92</v>
      </c>
      <c r="EC14" s="59">
        <v>230</v>
      </c>
      <c r="ED14" s="59">
        <v>146</v>
      </c>
      <c r="EE14" s="59">
        <v>142</v>
      </c>
      <c r="EF14" s="59">
        <v>27</v>
      </c>
      <c r="EG14" s="59">
        <v>99</v>
      </c>
      <c r="EH14" s="59">
        <v>251</v>
      </c>
      <c r="EI14" s="59">
        <v>86</v>
      </c>
      <c r="EJ14" s="59">
        <v>39</v>
      </c>
      <c r="EK14" s="59">
        <v>218</v>
      </c>
      <c r="EL14" s="59">
        <v>179</v>
      </c>
      <c r="EM14" s="59">
        <v>42</v>
      </c>
      <c r="EN14" s="59">
        <v>113</v>
      </c>
      <c r="EO14" s="59">
        <v>133</v>
      </c>
      <c r="EP14" s="59">
        <v>117</v>
      </c>
      <c r="EQ14" s="59">
        <v>100</v>
      </c>
      <c r="ER14" s="59">
        <v>26</v>
      </c>
      <c r="ES14" s="59">
        <v>0</v>
      </c>
      <c r="ET14" s="59">
        <v>0</v>
      </c>
      <c r="EU14" s="59">
        <v>0</v>
      </c>
      <c r="EV14" s="59">
        <v>0</v>
      </c>
      <c r="EW14" s="59">
        <v>0</v>
      </c>
      <c r="EX14" s="59">
        <v>0</v>
      </c>
      <c r="EY14" s="59">
        <v>0</v>
      </c>
      <c r="EZ14" s="60">
        <v>0</v>
      </c>
      <c r="FA14" s="17"/>
      <c r="FC14">
        <v>11</v>
      </c>
      <c r="FD14">
        <f t="shared" si="2"/>
        <v>11</v>
      </c>
      <c r="FE14">
        <f t="shared" si="3"/>
        <v>1</v>
      </c>
      <c r="FF14">
        <f t="shared" si="4"/>
        <v>142</v>
      </c>
      <c r="FI14" s="16">
        <v>11</v>
      </c>
      <c r="FJ14" s="17">
        <f t="shared" si="5"/>
        <v>148</v>
      </c>
      <c r="FK14" s="17">
        <f t="shared" si="6"/>
        <v>142</v>
      </c>
      <c r="FL14" s="18" t="str">
        <f t="shared" si="7"/>
        <v>10001110</v>
      </c>
      <c r="FM14" s="2"/>
      <c r="FN14" s="17"/>
      <c r="FO14" s="17"/>
      <c r="FP14" s="17"/>
      <c r="FQ14" s="17"/>
    </row>
    <row r="15" spans="1:173">
      <c r="A15">
        <f>SUM($B$4:B15)</f>
        <v>144</v>
      </c>
      <c r="B15">
        <f t="shared" si="0"/>
        <v>12</v>
      </c>
      <c r="C15">
        <f t="shared" si="1"/>
        <v>22</v>
      </c>
      <c r="D15">
        <v>12</v>
      </c>
      <c r="E15" s="16">
        <f>IF(E$3&lt;=$B15,INDEX(Input!$I$43:$I$2956,E$3+$A14),"")</f>
        <v>198</v>
      </c>
      <c r="F15" s="17">
        <f>IF(F$3&lt;=$B15,INDEX(Input!$I$43:$I$2956,F$3+$A14),"")</f>
        <v>97</v>
      </c>
      <c r="G15" s="17">
        <f>IF(G$3&lt;=$B15,INDEX(Input!$I$43:$I$2956,G$3+$A14),"")</f>
        <v>49</v>
      </c>
      <c r="H15" s="17">
        <f>IF(H$3&lt;=$B15,INDEX(Input!$I$43:$I$2956,H$3+$A14),"")</f>
        <v>153</v>
      </c>
      <c r="I15" s="17">
        <f>IF(I$3&lt;=$B15,INDEX(Input!$I$43:$I$2956,I$3+$A14),"")</f>
        <v>242</v>
      </c>
      <c r="J15" s="17">
        <f>IF(J$3&lt;=$B15,INDEX(Input!$I$43:$I$2956,J$3+$A14),"")</f>
        <v>228</v>
      </c>
      <c r="K15" s="17">
        <f>IF(K$3&lt;=$B15,INDEX(Input!$I$43:$I$2956,K$3+$A14),"")</f>
        <v>222</v>
      </c>
      <c r="L15" s="17">
        <f>IF(L$3&lt;=$B15,INDEX(Input!$I$43:$I$2956,L$3+$A14),"")</f>
        <v>12</v>
      </c>
      <c r="M15" s="17">
        <f>IF(M$3&lt;=$B15,INDEX(Input!$I$43:$I$2956,M$3+$A14),"")</f>
        <v>184</v>
      </c>
      <c r="N15" s="17">
        <f>IF(N$3&lt;=$B15,INDEX(Input!$I$43:$I$2956,N$3+$A14),"")</f>
        <v>163</v>
      </c>
      <c r="O15" s="17">
        <f>IF(O$3&lt;=$B15,INDEX(Input!$I$43:$I$2956,O$3+$A14),"")</f>
        <v>65</v>
      </c>
      <c r="P15" s="17">
        <f>IF(P$3&lt;=$B15,INDEX(Input!$I$43:$I$2956,P$3+$A14),"")</f>
        <v>172</v>
      </c>
      <c r="Q15" s="17" t="str">
        <f>IF(Q$3&lt;=$B15,INDEX(Input!$I$43:$I$2956,Q$3+$A14),"")</f>
        <v/>
      </c>
      <c r="R15" s="17" t="str">
        <f>IF(R$3&lt;=$B15,INDEX(Input!$I$43:$I$2956,R$3+$A14),"")</f>
        <v/>
      </c>
      <c r="S15" s="17" t="str">
        <f>IF(S$3&lt;=$B15,INDEX(Input!$I$43:$I$2956,S$3+$A14),"")</f>
        <v/>
      </c>
      <c r="T15" s="17" t="str">
        <f>IF(T$3&lt;=$B15,INDEX(Input!$I$43:$I$2956,T$3+$A14),"")</f>
        <v/>
      </c>
      <c r="U15" s="17" t="str">
        <f>IF(U$3&lt;=$B15,INDEX(Input!$I$43:$I$2956,U$3+$A14),"")</f>
        <v/>
      </c>
      <c r="V15" s="17" t="str">
        <f>IF(V$3&lt;=$B15,INDEX(Input!$I$43:$I$2956,V$3+$A14),"")</f>
        <v/>
      </c>
      <c r="W15" s="17" t="str">
        <f>IF(W$3&lt;=$B15,INDEX(Input!$I$43:$I$2956,W$3+$A14),"")</f>
        <v/>
      </c>
      <c r="X15" s="17" t="str">
        <f>IF(X$3&lt;=$B15,INDEX(Input!$I$43:$I$2956,X$3+$A14),"")</f>
        <v/>
      </c>
      <c r="Y15" s="17" t="str">
        <f>IF(Y$3&lt;=$B15,INDEX(Input!$I$43:$I$2956,Y$3+$A14),"")</f>
        <v/>
      </c>
      <c r="Z15" s="17" t="str">
        <f>IF(Z$3&lt;=$B15,INDEX(Input!$I$43:$I$2956,Z$3+$A14),"")</f>
        <v/>
      </c>
      <c r="AA15" s="17" t="str">
        <f>IF(AA$3&lt;=$B15,INDEX(Input!$I$43:$I$2956,AA$3+$A14),"")</f>
        <v/>
      </c>
      <c r="AB15" s="17" t="str">
        <f>IF(AB$3&lt;=$B15,INDEX(Input!$I$43:$I$2956,AB$3+$A14),"")</f>
        <v/>
      </c>
      <c r="AC15" s="17" t="str">
        <f>IF(AC$3&lt;=$B15,INDEX(Input!$I$43:$I$2956,AC$3+$A14),"")</f>
        <v/>
      </c>
      <c r="AD15" s="17" t="str">
        <f>IF(AD$3&lt;=$B15,INDEX(Input!$I$43:$I$2956,AD$3+$A14),"")</f>
        <v/>
      </c>
      <c r="AE15" s="17" t="str">
        <f>IF(AE$3&lt;=$B15,INDEX(Input!$I$43:$I$2956,AE$3+$A14),"")</f>
        <v/>
      </c>
      <c r="AF15" s="17" t="str">
        <f>IF(AF$3&lt;=$B15,INDEX(Input!$I$43:$I$2956,AF$3+$A14),"")</f>
        <v/>
      </c>
      <c r="AG15" s="17" t="str">
        <f>IF(AG$3&lt;=$B15,INDEX(Input!$I$43:$I$2956,AG$3+$A14),"")</f>
        <v/>
      </c>
      <c r="AH15" s="17" t="str">
        <f>IF(AH$3&lt;=$B15,INDEX(Input!$I$43:$I$2956,AH$3+$A14),"")</f>
        <v/>
      </c>
      <c r="AI15" s="17" t="str">
        <f>IF(AI$3&lt;=$B15,INDEX(Input!$I$43:$I$2956,AI$3+$A14),"")</f>
        <v/>
      </c>
      <c r="AJ15" s="17" t="str">
        <f>IF(AJ$3&lt;=$B15,INDEX(Input!$I$43:$I$2956,AJ$3+$A14),"")</f>
        <v/>
      </c>
      <c r="AK15" s="17" t="str">
        <f>IF(AK$3&lt;=$B15,INDEX(Input!$I$43:$I$2956,AK$3+$A14),"")</f>
        <v/>
      </c>
      <c r="AL15" s="17" t="str">
        <f>IF(AL$3&lt;=$B15,INDEX(Input!$I$43:$I$2956,AL$3+$A14),"")</f>
        <v/>
      </c>
      <c r="AM15" s="17" t="str">
        <f>IF(AM$3&lt;=$B15,INDEX(Input!$I$43:$I$2956,AM$3+$A14),"")</f>
        <v/>
      </c>
      <c r="AN15" s="17" t="str">
        <f>IF(AN$3&lt;=$B15,INDEX(Input!$I$43:$I$2956,AN$3+$A14),"")</f>
        <v/>
      </c>
      <c r="AO15" s="17" t="str">
        <f>IF(AO$3&lt;=$B15,INDEX(Input!$I$43:$I$2956,AO$3+$A14),"")</f>
        <v/>
      </c>
      <c r="AP15" s="17" t="str">
        <f>IF(AP$3&lt;=$B15,INDEX(Input!$I$43:$I$2956,AP$3+$A14),"")</f>
        <v/>
      </c>
      <c r="AQ15" s="17" t="str">
        <f>IF(AQ$3&lt;=$B15,INDEX(Input!$I$43:$I$2956,AQ$3+$A14),"")</f>
        <v/>
      </c>
      <c r="AR15" s="17" t="str">
        <f>IF(AR$3&lt;=$B15,INDEX(Input!$I$43:$I$2956,AR$3+$A14),"")</f>
        <v/>
      </c>
      <c r="AS15" s="17" t="str">
        <f>IF(AS$3&lt;=$B15,INDEX(Input!$I$43:$I$2956,AS$3+$A14),"")</f>
        <v/>
      </c>
      <c r="AT15" s="17" t="str">
        <f>IF(AT$3&lt;=$B15,INDEX(Input!$I$43:$I$2956,AT$3+$A14),"")</f>
        <v/>
      </c>
      <c r="AU15" s="17" t="str">
        <f>IF(AU$3&lt;=$B15,INDEX(Input!$I$43:$I$2956,AU$3+$A14),"")</f>
        <v/>
      </c>
      <c r="AV15" s="17" t="str">
        <f>IF(AV$3&lt;=$B15,INDEX(Input!$I$43:$I$2956,AV$3+$A14),"")</f>
        <v/>
      </c>
      <c r="AW15" s="17" t="str">
        <f>IF(AW$3&lt;=$B15,INDEX(Input!$I$43:$I$2956,AW$3+$A14),"")</f>
        <v/>
      </c>
      <c r="AX15" s="17" t="str">
        <f>IF(AX$3&lt;=$B15,INDEX(Input!$I$43:$I$2956,AX$3+$A14),"")</f>
        <v/>
      </c>
      <c r="AY15" s="17" t="str">
        <f>IF(AY$3&lt;=$B15,INDEX(Input!$I$43:$I$2956,AY$3+$A14),"")</f>
        <v/>
      </c>
      <c r="AZ15" s="17" t="str">
        <f>IF(AZ$3&lt;=$B15,INDEX(Input!$I$43:$I$2956,AZ$3+$A14),"")</f>
        <v/>
      </c>
      <c r="BA15" s="17" t="str">
        <f>IF(BA$3&lt;=$B15,INDEX(Input!$I$43:$I$2956,BA$3+$A14),"")</f>
        <v/>
      </c>
      <c r="BB15" s="17" t="str">
        <f>IF(BB$3&lt;=$B15,INDEX(Input!$I$43:$I$2956,BB$3+$A14),"")</f>
        <v/>
      </c>
      <c r="BC15" s="17" t="str">
        <f>IF(BC$3&lt;=$B15,INDEX(Input!$I$43:$I$2956,BC$3+$A14),"")</f>
        <v/>
      </c>
      <c r="BD15" s="17" t="str">
        <f>IF(BD$3&lt;=$B15,INDEX(Input!$I$43:$I$2956,BD$3+$A14),"")</f>
        <v/>
      </c>
      <c r="BE15" s="17" t="str">
        <f>IF(BE$3&lt;=$B15,INDEX(Input!$I$43:$I$2956,BE$3+$A14),"")</f>
        <v/>
      </c>
      <c r="BF15" s="17" t="str">
        <f>IF(BF$3&lt;=$B15,INDEX(Input!$I$43:$I$2956,BF$3+$A14),"")</f>
        <v/>
      </c>
      <c r="BG15" s="17" t="str">
        <f>IF(BG$3&lt;=$B15,INDEX(Input!$I$43:$I$2956,BG$3+$A14),"")</f>
        <v/>
      </c>
      <c r="BH15" s="17" t="str">
        <f>IF(BH$3&lt;=$B15,INDEX(Input!$I$43:$I$2956,BH$3+$A14),"")</f>
        <v/>
      </c>
      <c r="BI15" s="17" t="str">
        <f>IF(BI$3&lt;=$B15,INDEX(Input!$I$43:$I$2956,BI$3+$A14),"")</f>
        <v/>
      </c>
      <c r="BJ15" s="17" t="str">
        <f>IF(BJ$3&lt;=$B15,INDEX(Input!$I$43:$I$2956,BJ$3+$A14),"")</f>
        <v/>
      </c>
      <c r="BK15" s="17" t="str">
        <f>IF(BK$3&lt;=$B15,INDEX(Input!$I$43:$I$2956,BK$3+$A14),"")</f>
        <v/>
      </c>
      <c r="BL15" s="17" t="str">
        <f>IF(BL$3&lt;=$B15,INDEX(Input!$I$43:$I$2956,BL$3+$A14),"")</f>
        <v/>
      </c>
      <c r="BM15" s="17" t="str">
        <f>IF(BM$3&lt;=$B15,INDEX(Input!$I$43:$I$2956,BM$3+$A14),"")</f>
        <v/>
      </c>
      <c r="BN15" s="17" t="str">
        <f>IF(BN$3&lt;=$B15,INDEX(Input!$I$43:$I$2956,BN$3+$A14),"")</f>
        <v/>
      </c>
      <c r="BO15" s="17" t="str">
        <f>IF(BO$3&lt;=$B15,INDEX(Input!$I$43:$I$2956,BO$3+$A14),"")</f>
        <v/>
      </c>
      <c r="BP15" s="17" t="str">
        <f>IF(BP$3&lt;=$B15,INDEX(Input!$I$43:$I$2956,BP$3+$A14),"")</f>
        <v/>
      </c>
      <c r="BQ15" s="17" t="str">
        <f>IF(BQ$3&lt;=$B15,INDEX(Input!$I$43:$I$2956,BQ$3+$A14),"")</f>
        <v/>
      </c>
      <c r="BR15" s="17" t="str">
        <f>IF(BR$3&lt;=$B15,INDEX(Input!$I$43:$I$2956,BR$3+$A14),"")</f>
        <v/>
      </c>
      <c r="BS15" s="17" t="str">
        <f>IF(BS$3&lt;=$B15,INDEX(Input!$I$43:$I$2956,BS$3+$A14),"")</f>
        <v/>
      </c>
      <c r="BT15" s="17" t="str">
        <f>IF(BT$3&lt;=$B15,INDEX(Input!$I$43:$I$2956,BT$3+$A14),"")</f>
        <v/>
      </c>
      <c r="BU15" s="17" t="str">
        <f>IF(BU$3&lt;=$B15,INDEX(Input!$I$43:$I$2956,BU$3+$A14),"")</f>
        <v/>
      </c>
      <c r="BV15" s="17" t="str">
        <f>IF(BV$3&lt;=$B15,INDEX(Input!$I$43:$I$2956,BV$3+$A14),"")</f>
        <v/>
      </c>
      <c r="BW15" s="17" t="str">
        <f>IF(BW$3&lt;=$B15,INDEX(Input!$I$43:$I$2956,BW$3+$A14),"")</f>
        <v/>
      </c>
      <c r="BX15" s="17" t="str">
        <f>IF(BX$3&lt;=$B15,INDEX(Input!$I$43:$I$2956,BX$3+$A14),"")</f>
        <v/>
      </c>
      <c r="BY15" s="17" t="str">
        <f>IF(BY$3&lt;=$B15,INDEX(Input!$I$43:$I$2956,BY$3+$A14),"")</f>
        <v/>
      </c>
      <c r="BZ15" s="17" t="str">
        <f>IF(BZ$3&lt;=$B15,INDEX(Input!$I$43:$I$2956,BZ$3+$A14),"")</f>
        <v/>
      </c>
      <c r="CA15" s="17" t="str">
        <f>IF(CA$3&lt;=$B15,INDEX(Input!$I$43:$I$2956,CA$3+$A14),"")</f>
        <v/>
      </c>
      <c r="CB15" s="17" t="str">
        <f>IF(CB$3&lt;=$B15,INDEX(Input!$I$43:$I$2956,CB$3+$A14),"")</f>
        <v/>
      </c>
      <c r="CC15" s="17" t="str">
        <f>IF(CC$3&lt;=$B15,INDEX(Input!$I$43:$I$2956,CC$3+$A14),"")</f>
        <v/>
      </c>
      <c r="CD15" s="17" t="str">
        <f>IF(CD$3&lt;=$B15,INDEX(Input!$I$43:$I$2956,CD$3+$A14),"")</f>
        <v/>
      </c>
      <c r="CE15" s="17" t="str">
        <f>IF(CE$3&lt;=$B15,INDEX(Input!$I$43:$I$2956,CE$3+$A14),"")</f>
        <v/>
      </c>
      <c r="CF15" s="17" t="str">
        <f>IF(CF$3&lt;=$B15,INDEX(Input!$I$43:$I$2956,CF$3+$A14),"")</f>
        <v/>
      </c>
      <c r="CG15" s="17" t="str">
        <f>IF(CG$3&lt;=$B15,INDEX(Input!$I$43:$I$2956,CG$3+$A14),"")</f>
        <v/>
      </c>
      <c r="CH15" s="17" t="str">
        <f>IF(CH$3&lt;=$B15,INDEX(Input!$I$43:$I$2956,CH$3+$A14),"")</f>
        <v/>
      </c>
      <c r="CI15" s="17" t="str">
        <f>IF(CI$3&lt;=$B15,INDEX(Input!$I$43:$I$2956,CI$3+$A14),"")</f>
        <v/>
      </c>
      <c r="CJ15" s="17" t="str">
        <f>IF(CJ$3&lt;=$B15,INDEX(Input!$I$43:$I$2956,CJ$3+$A14),"")</f>
        <v/>
      </c>
      <c r="CK15" s="17" t="str">
        <f>IF(CK$3&lt;=$B15,INDEX(Input!$I$43:$I$2956,CK$3+$A14),"")</f>
        <v/>
      </c>
      <c r="CL15" s="17" t="str">
        <f>IF(CL$3&lt;=$B15,INDEX(Input!$I$43:$I$2956,CL$3+$A14),"")</f>
        <v/>
      </c>
      <c r="CM15" s="17" t="str">
        <f>IF(CM$3&lt;=$B15,INDEX(Input!$I$43:$I$2956,CM$3+$A14),"")</f>
        <v/>
      </c>
      <c r="CN15" s="17" t="str">
        <f>IF(CN$3&lt;=$B15,INDEX(Input!$I$43:$I$2956,CN$3+$A14),"")</f>
        <v/>
      </c>
      <c r="CO15" s="17" t="str">
        <f>IF(CO$3&lt;=$B15,INDEX(Input!$I$43:$I$2956,CO$3+$A14),"")</f>
        <v/>
      </c>
      <c r="CP15" s="17" t="str">
        <f>IF(CP$3&lt;=$B15,INDEX(Input!$I$43:$I$2956,CP$3+$A14),"")</f>
        <v/>
      </c>
      <c r="CQ15" s="17" t="str">
        <f>IF(CQ$3&lt;=$B15,INDEX(Input!$I$43:$I$2956,CQ$3+$A14),"")</f>
        <v/>
      </c>
      <c r="CR15" s="17" t="str">
        <f>IF(CR$3&lt;=$B15,INDEX(Input!$I$43:$I$2956,CR$3+$A14),"")</f>
        <v/>
      </c>
      <c r="CS15" s="17" t="str">
        <f>IF(CS$3&lt;=$B15,INDEX(Input!$I$43:$I$2956,CS$3+$A14),"")</f>
        <v/>
      </c>
      <c r="CT15" s="17" t="str">
        <f>IF(CT$3&lt;=$B15,INDEX(Input!$I$43:$I$2956,CT$3+$A14),"")</f>
        <v/>
      </c>
      <c r="CU15" s="17" t="str">
        <f>IF(CU$3&lt;=$B15,INDEX(Input!$I$43:$I$2956,CU$3+$A14),"")</f>
        <v/>
      </c>
      <c r="CV15" s="17" t="str">
        <f>IF(CV$3&lt;=$B15,INDEX(Input!$I$43:$I$2956,CV$3+$A14),"")</f>
        <v/>
      </c>
      <c r="CW15" s="17" t="str">
        <f>IF(CW$3&lt;=$B15,INDEX(Input!$I$43:$I$2956,CW$3+$A14),"")</f>
        <v/>
      </c>
      <c r="CX15" s="17" t="str">
        <f>IF(CX$3&lt;=$B15,INDEX(Input!$I$43:$I$2956,CX$3+$A14),"")</f>
        <v/>
      </c>
      <c r="CY15" s="17" t="str">
        <f>IF(CY$3&lt;=$B15,INDEX(Input!$I$43:$I$2956,CY$3+$A14),"")</f>
        <v/>
      </c>
      <c r="CZ15" s="17" t="str">
        <f>IF(CZ$3&lt;=$B15,INDEX(Input!$I$43:$I$2956,CZ$3+$A14),"")</f>
        <v/>
      </c>
      <c r="DA15" s="17" t="str">
        <f>IF(DA$3&lt;=$B15,INDEX(Input!$I$43:$I$2956,DA$3+$A14),"")</f>
        <v/>
      </c>
      <c r="DB15" s="17" t="str">
        <f>IF(DB$3&lt;=$B15,INDEX(Input!$I$43:$I$2956,DB$3+$A14),"")</f>
        <v/>
      </c>
      <c r="DC15" s="17" t="str">
        <f>IF(DC$3&lt;=$B15,INDEX(Input!$I$43:$I$2956,DC$3+$A14),"")</f>
        <v/>
      </c>
      <c r="DD15" s="17" t="str">
        <f>IF(DD$3&lt;=$B15,INDEX(Input!$I$43:$I$2956,DD$3+$A14),"")</f>
        <v/>
      </c>
      <c r="DE15" s="17" t="str">
        <f>IF(DE$3&lt;=$B15,INDEX(Input!$I$43:$I$2956,DE$3+$A14),"")</f>
        <v/>
      </c>
      <c r="DF15" s="17" t="str">
        <f>IF(DF$3&lt;=$B15,INDEX(Input!$I$43:$I$2956,DF$3+$A14),"")</f>
        <v/>
      </c>
      <c r="DG15" s="17" t="str">
        <f>IF(DG$3&lt;=$B15,INDEX(Input!$I$43:$I$2956,DG$3+$A14),"")</f>
        <v/>
      </c>
      <c r="DH15" s="17" t="str">
        <f>IF(DH$3&lt;=$B15,INDEX(Input!$I$43:$I$2956,DH$3+$A14),"")</f>
        <v/>
      </c>
      <c r="DI15" s="17" t="str">
        <f>IF(DI$3&lt;=$B15,INDEX(Input!$I$43:$I$2956,DI$3+$A14),"")</f>
        <v/>
      </c>
      <c r="DJ15" s="17" t="str">
        <f>IF(DJ$3&lt;=$B15,INDEX(Input!$I$43:$I$2956,DJ$3+$A14),"")</f>
        <v/>
      </c>
      <c r="DK15" s="17" t="str">
        <f>IF(DK$3&lt;=$B15,INDEX(Input!$I$43:$I$2956,DK$3+$A14),"")</f>
        <v/>
      </c>
      <c r="DL15" s="17" t="str">
        <f>IF(DL$3&lt;=$B15,INDEX(Input!$I$43:$I$2956,DL$3+$A14),"")</f>
        <v/>
      </c>
      <c r="DM15" s="17" t="str">
        <f>IF(DM$3&lt;=$B15,INDEX(Input!$I$43:$I$2956,DM$3+$A14),"")</f>
        <v/>
      </c>
      <c r="DN15" s="17" t="str">
        <f>IF(DN$3&lt;=$B15,INDEX(Input!$I$43:$I$2956,DN$3+$A14),"")</f>
        <v/>
      </c>
      <c r="DO15" s="17" t="str">
        <f>IF(DO$3&lt;=$B15,INDEX(Input!$I$43:$I$2956,DO$3+$A14),"")</f>
        <v/>
      </c>
      <c r="DP15" s="17" t="str">
        <f>IF(DP$3&lt;=$B15,INDEX(Input!$I$43:$I$2956,DP$3+$A14),"")</f>
        <v/>
      </c>
      <c r="DQ15" s="17" t="str">
        <f>IF(DQ$3&lt;=$B15,INDEX(Input!$I$43:$I$2956,DQ$3+$A14),"")</f>
        <v/>
      </c>
      <c r="DR15" s="17" t="str">
        <f>IF(DR$3&lt;=$B15,INDEX(Input!$I$43:$I$2956,DR$3+$A14),"")</f>
        <v/>
      </c>
      <c r="DS15" s="17" t="str">
        <f>IF(DS$3&lt;=$B15,INDEX(Input!$I$43:$I$2956,DS$3+$A14),"")</f>
        <v/>
      </c>
      <c r="DT15" s="17" t="str">
        <f>IF(DT$3&lt;=$B15,INDEX(Input!$I$43:$I$2956,DT$3+$A14),"")</f>
        <v/>
      </c>
      <c r="DU15" s="17" t="str">
        <f>IF(DU$3&lt;=$B15,INDEX(Input!$I$43:$I$2956,DU$3+$A14),"")</f>
        <v/>
      </c>
      <c r="DV15" s="17" t="str">
        <f>IF(DV$3&lt;=$B15,INDEX(Input!$I$43:$I$2956,DV$3+$A14),"")</f>
        <v/>
      </c>
      <c r="DW15" s="58">
        <f t="array" ref="DW15:EZ15">IFERROR(eccalc(E15:DV15,C15+B15,B15,$O$2:$AS$2),"")</f>
        <v>124</v>
      </c>
      <c r="DX15" s="59">
        <v>43</v>
      </c>
      <c r="DY15" s="59">
        <v>162</v>
      </c>
      <c r="DZ15" s="59">
        <v>9</v>
      </c>
      <c r="EA15" s="59">
        <v>199</v>
      </c>
      <c r="EB15" s="59">
        <v>200</v>
      </c>
      <c r="EC15" s="59">
        <v>169</v>
      </c>
      <c r="ED15" s="59">
        <v>180</v>
      </c>
      <c r="EE15" s="59">
        <v>134</v>
      </c>
      <c r="EF15" s="59">
        <v>238</v>
      </c>
      <c r="EG15" s="59">
        <v>176</v>
      </c>
      <c r="EH15" s="59">
        <v>230</v>
      </c>
      <c r="EI15" s="59">
        <v>151</v>
      </c>
      <c r="EJ15" s="59">
        <v>167</v>
      </c>
      <c r="EK15" s="59">
        <v>247</v>
      </c>
      <c r="EL15" s="59">
        <v>153</v>
      </c>
      <c r="EM15" s="59">
        <v>111</v>
      </c>
      <c r="EN15" s="59">
        <v>253</v>
      </c>
      <c r="EO15" s="59">
        <v>207</v>
      </c>
      <c r="EP15" s="59">
        <v>63</v>
      </c>
      <c r="EQ15" s="59">
        <v>206</v>
      </c>
      <c r="ER15" s="59">
        <v>31</v>
      </c>
      <c r="ES15" s="59">
        <v>0</v>
      </c>
      <c r="ET15" s="59">
        <v>0</v>
      </c>
      <c r="EU15" s="59">
        <v>0</v>
      </c>
      <c r="EV15" s="59">
        <v>0</v>
      </c>
      <c r="EW15" s="59">
        <v>0</v>
      </c>
      <c r="EX15" s="59">
        <v>0</v>
      </c>
      <c r="EY15" s="59">
        <v>0</v>
      </c>
      <c r="EZ15" s="60">
        <v>0</v>
      </c>
      <c r="FA15" s="17"/>
      <c r="FC15">
        <v>12</v>
      </c>
      <c r="FD15">
        <f t="shared" si="2"/>
        <v>12</v>
      </c>
      <c r="FE15">
        <f t="shared" si="3"/>
        <v>1</v>
      </c>
      <c r="FF15">
        <f t="shared" si="4"/>
        <v>198</v>
      </c>
      <c r="FI15" s="16">
        <v>12</v>
      </c>
      <c r="FJ15" s="17">
        <f t="shared" si="5"/>
        <v>124</v>
      </c>
      <c r="FK15" s="17">
        <f t="shared" si="6"/>
        <v>198</v>
      </c>
      <c r="FL15" s="18" t="str">
        <f t="shared" si="7"/>
        <v>11000110</v>
      </c>
      <c r="FM15" s="2"/>
      <c r="FN15" s="17"/>
      <c r="FO15" s="17"/>
      <c r="FP15" s="17"/>
      <c r="FQ15" s="17"/>
    </row>
    <row r="16" spans="1:173">
      <c r="A16">
        <f>SUM($B$4:B16)</f>
        <v>157</v>
      </c>
      <c r="B16">
        <f t="shared" si="0"/>
        <v>13</v>
      </c>
      <c r="C16">
        <f t="shared" si="1"/>
        <v>22</v>
      </c>
      <c r="D16">
        <v>13</v>
      </c>
      <c r="E16" s="16">
        <f>IF(E$3&lt;=$B16,INDEX(Input!$I$43:$I$2956,E$3+$A15),"")</f>
        <v>135</v>
      </c>
      <c r="F16" s="17">
        <f>IF(F$3&lt;=$B16,INDEX(Input!$I$43:$I$2956,F$3+$A15),"")</f>
        <v>74</v>
      </c>
      <c r="G16" s="17">
        <f>IF(G$3&lt;=$B16,INDEX(Input!$I$43:$I$2956,G$3+$A15),"")</f>
        <v>14</v>
      </c>
      <c r="H16" s="17">
        <f>IF(H$3&lt;=$B16,INDEX(Input!$I$43:$I$2956,H$3+$A15),"")</f>
        <v>40</v>
      </c>
      <c r="I16" s="17">
        <f>IF(I$3&lt;=$B16,INDEX(Input!$I$43:$I$2956,I$3+$A15),"")</f>
        <v>67</v>
      </c>
      <c r="J16" s="17">
        <f>IF(J$3&lt;=$B16,INDEX(Input!$I$43:$I$2956,J$3+$A15),"")</f>
        <v>122</v>
      </c>
      <c r="K16" s="17">
        <f>IF(K$3&lt;=$B16,INDEX(Input!$I$43:$I$2956,K$3+$A15),"")</f>
        <v>161</v>
      </c>
      <c r="L16" s="17">
        <f>IF(L$3&lt;=$B16,INDEX(Input!$I$43:$I$2956,L$3+$A15),"")</f>
        <v>48</v>
      </c>
      <c r="M16" s="17">
        <f>IF(M$3&lt;=$B16,INDEX(Input!$I$43:$I$2956,M$3+$A15),"")</f>
        <v>12</v>
      </c>
      <c r="N16" s="17">
        <f>IF(N$3&lt;=$B16,INDEX(Input!$I$43:$I$2956,N$3+$A15),"")</f>
        <v>184</v>
      </c>
      <c r="O16" s="17">
        <f>IF(O$3&lt;=$B16,INDEX(Input!$I$43:$I$2956,O$3+$A15),"")</f>
        <v>77</v>
      </c>
      <c r="P16" s="17">
        <f>IF(P$3&lt;=$B16,INDEX(Input!$I$43:$I$2956,P$3+$A15),"")</f>
        <v>55</v>
      </c>
      <c r="Q16" s="17">
        <f>IF(Q$3&lt;=$B16,INDEX(Input!$I$43:$I$2956,Q$3+$A15),"")</f>
        <v>89</v>
      </c>
      <c r="R16" s="17" t="str">
        <f>IF(R$3&lt;=$B16,INDEX(Input!$I$43:$I$2956,R$3+$A15),"")</f>
        <v/>
      </c>
      <c r="S16" s="17" t="str">
        <f>IF(S$3&lt;=$B16,INDEX(Input!$I$43:$I$2956,S$3+$A15),"")</f>
        <v/>
      </c>
      <c r="T16" s="17" t="str">
        <f>IF(T$3&lt;=$B16,INDEX(Input!$I$43:$I$2956,T$3+$A15),"")</f>
        <v/>
      </c>
      <c r="U16" s="17" t="str">
        <f>IF(U$3&lt;=$B16,INDEX(Input!$I$43:$I$2956,U$3+$A15),"")</f>
        <v/>
      </c>
      <c r="V16" s="17" t="str">
        <f>IF(V$3&lt;=$B16,INDEX(Input!$I$43:$I$2956,V$3+$A15),"")</f>
        <v/>
      </c>
      <c r="W16" s="17" t="str">
        <f>IF(W$3&lt;=$B16,INDEX(Input!$I$43:$I$2956,W$3+$A15),"")</f>
        <v/>
      </c>
      <c r="X16" s="17" t="str">
        <f>IF(X$3&lt;=$B16,INDEX(Input!$I$43:$I$2956,X$3+$A15),"")</f>
        <v/>
      </c>
      <c r="Y16" s="17" t="str">
        <f>IF(Y$3&lt;=$B16,INDEX(Input!$I$43:$I$2956,Y$3+$A15),"")</f>
        <v/>
      </c>
      <c r="Z16" s="17" t="str">
        <f>IF(Z$3&lt;=$B16,INDEX(Input!$I$43:$I$2956,Z$3+$A15),"")</f>
        <v/>
      </c>
      <c r="AA16" s="17" t="str">
        <f>IF(AA$3&lt;=$B16,INDEX(Input!$I$43:$I$2956,AA$3+$A15),"")</f>
        <v/>
      </c>
      <c r="AB16" s="17" t="str">
        <f>IF(AB$3&lt;=$B16,INDEX(Input!$I$43:$I$2956,AB$3+$A15),"")</f>
        <v/>
      </c>
      <c r="AC16" s="17" t="str">
        <f>IF(AC$3&lt;=$B16,INDEX(Input!$I$43:$I$2956,AC$3+$A15),"")</f>
        <v/>
      </c>
      <c r="AD16" s="17" t="str">
        <f>IF(AD$3&lt;=$B16,INDEX(Input!$I$43:$I$2956,AD$3+$A15),"")</f>
        <v/>
      </c>
      <c r="AE16" s="17" t="str">
        <f>IF(AE$3&lt;=$B16,INDEX(Input!$I$43:$I$2956,AE$3+$A15),"")</f>
        <v/>
      </c>
      <c r="AF16" s="17" t="str">
        <f>IF(AF$3&lt;=$B16,INDEX(Input!$I$43:$I$2956,AF$3+$A15),"")</f>
        <v/>
      </c>
      <c r="AG16" s="17" t="str">
        <f>IF(AG$3&lt;=$B16,INDEX(Input!$I$43:$I$2956,AG$3+$A15),"")</f>
        <v/>
      </c>
      <c r="AH16" s="17" t="str">
        <f>IF(AH$3&lt;=$B16,INDEX(Input!$I$43:$I$2956,AH$3+$A15),"")</f>
        <v/>
      </c>
      <c r="AI16" s="17" t="str">
        <f>IF(AI$3&lt;=$B16,INDEX(Input!$I$43:$I$2956,AI$3+$A15),"")</f>
        <v/>
      </c>
      <c r="AJ16" s="17" t="str">
        <f>IF(AJ$3&lt;=$B16,INDEX(Input!$I$43:$I$2956,AJ$3+$A15),"")</f>
        <v/>
      </c>
      <c r="AK16" s="17" t="str">
        <f>IF(AK$3&lt;=$B16,INDEX(Input!$I$43:$I$2956,AK$3+$A15),"")</f>
        <v/>
      </c>
      <c r="AL16" s="17" t="str">
        <f>IF(AL$3&lt;=$B16,INDEX(Input!$I$43:$I$2956,AL$3+$A15),"")</f>
        <v/>
      </c>
      <c r="AM16" s="17" t="str">
        <f>IF(AM$3&lt;=$B16,INDEX(Input!$I$43:$I$2956,AM$3+$A15),"")</f>
        <v/>
      </c>
      <c r="AN16" s="17" t="str">
        <f>IF(AN$3&lt;=$B16,INDEX(Input!$I$43:$I$2956,AN$3+$A15),"")</f>
        <v/>
      </c>
      <c r="AO16" s="17" t="str">
        <f>IF(AO$3&lt;=$B16,INDEX(Input!$I$43:$I$2956,AO$3+$A15),"")</f>
        <v/>
      </c>
      <c r="AP16" s="17" t="str">
        <f>IF(AP$3&lt;=$B16,INDEX(Input!$I$43:$I$2956,AP$3+$A15),"")</f>
        <v/>
      </c>
      <c r="AQ16" s="17" t="str">
        <f>IF(AQ$3&lt;=$B16,INDEX(Input!$I$43:$I$2956,AQ$3+$A15),"")</f>
        <v/>
      </c>
      <c r="AR16" s="17" t="str">
        <f>IF(AR$3&lt;=$B16,INDEX(Input!$I$43:$I$2956,AR$3+$A15),"")</f>
        <v/>
      </c>
      <c r="AS16" s="17" t="str">
        <f>IF(AS$3&lt;=$B16,INDEX(Input!$I$43:$I$2956,AS$3+$A15),"")</f>
        <v/>
      </c>
      <c r="AT16" s="17" t="str">
        <f>IF(AT$3&lt;=$B16,INDEX(Input!$I$43:$I$2956,AT$3+$A15),"")</f>
        <v/>
      </c>
      <c r="AU16" s="17" t="str">
        <f>IF(AU$3&lt;=$B16,INDEX(Input!$I$43:$I$2956,AU$3+$A15),"")</f>
        <v/>
      </c>
      <c r="AV16" s="17" t="str">
        <f>IF(AV$3&lt;=$B16,INDEX(Input!$I$43:$I$2956,AV$3+$A15),"")</f>
        <v/>
      </c>
      <c r="AW16" s="17" t="str">
        <f>IF(AW$3&lt;=$B16,INDEX(Input!$I$43:$I$2956,AW$3+$A15),"")</f>
        <v/>
      </c>
      <c r="AX16" s="17" t="str">
        <f>IF(AX$3&lt;=$B16,INDEX(Input!$I$43:$I$2956,AX$3+$A15),"")</f>
        <v/>
      </c>
      <c r="AY16" s="17" t="str">
        <f>IF(AY$3&lt;=$B16,INDEX(Input!$I$43:$I$2956,AY$3+$A15),"")</f>
        <v/>
      </c>
      <c r="AZ16" s="17" t="str">
        <f>IF(AZ$3&lt;=$B16,INDEX(Input!$I$43:$I$2956,AZ$3+$A15),"")</f>
        <v/>
      </c>
      <c r="BA16" s="17" t="str">
        <f>IF(BA$3&lt;=$B16,INDEX(Input!$I$43:$I$2956,BA$3+$A15),"")</f>
        <v/>
      </c>
      <c r="BB16" s="17" t="str">
        <f>IF(BB$3&lt;=$B16,INDEX(Input!$I$43:$I$2956,BB$3+$A15),"")</f>
        <v/>
      </c>
      <c r="BC16" s="17" t="str">
        <f>IF(BC$3&lt;=$B16,INDEX(Input!$I$43:$I$2956,BC$3+$A15),"")</f>
        <v/>
      </c>
      <c r="BD16" s="17" t="str">
        <f>IF(BD$3&lt;=$B16,INDEX(Input!$I$43:$I$2956,BD$3+$A15),"")</f>
        <v/>
      </c>
      <c r="BE16" s="17" t="str">
        <f>IF(BE$3&lt;=$B16,INDEX(Input!$I$43:$I$2956,BE$3+$A15),"")</f>
        <v/>
      </c>
      <c r="BF16" s="17" t="str">
        <f>IF(BF$3&lt;=$B16,INDEX(Input!$I$43:$I$2956,BF$3+$A15),"")</f>
        <v/>
      </c>
      <c r="BG16" s="17" t="str">
        <f>IF(BG$3&lt;=$B16,INDEX(Input!$I$43:$I$2956,BG$3+$A15),"")</f>
        <v/>
      </c>
      <c r="BH16" s="17" t="str">
        <f>IF(BH$3&lt;=$B16,INDEX(Input!$I$43:$I$2956,BH$3+$A15),"")</f>
        <v/>
      </c>
      <c r="BI16" s="17" t="str">
        <f>IF(BI$3&lt;=$B16,INDEX(Input!$I$43:$I$2956,BI$3+$A15),"")</f>
        <v/>
      </c>
      <c r="BJ16" s="17" t="str">
        <f>IF(BJ$3&lt;=$B16,INDEX(Input!$I$43:$I$2956,BJ$3+$A15),"")</f>
        <v/>
      </c>
      <c r="BK16" s="17" t="str">
        <f>IF(BK$3&lt;=$B16,INDEX(Input!$I$43:$I$2956,BK$3+$A15),"")</f>
        <v/>
      </c>
      <c r="BL16" s="17" t="str">
        <f>IF(BL$3&lt;=$B16,INDEX(Input!$I$43:$I$2956,BL$3+$A15),"")</f>
        <v/>
      </c>
      <c r="BM16" s="17" t="str">
        <f>IF(BM$3&lt;=$B16,INDEX(Input!$I$43:$I$2956,BM$3+$A15),"")</f>
        <v/>
      </c>
      <c r="BN16" s="17" t="str">
        <f>IF(BN$3&lt;=$B16,INDEX(Input!$I$43:$I$2956,BN$3+$A15),"")</f>
        <v/>
      </c>
      <c r="BO16" s="17" t="str">
        <f>IF(BO$3&lt;=$B16,INDEX(Input!$I$43:$I$2956,BO$3+$A15),"")</f>
        <v/>
      </c>
      <c r="BP16" s="17" t="str">
        <f>IF(BP$3&lt;=$B16,INDEX(Input!$I$43:$I$2956,BP$3+$A15),"")</f>
        <v/>
      </c>
      <c r="BQ16" s="17" t="str">
        <f>IF(BQ$3&lt;=$B16,INDEX(Input!$I$43:$I$2956,BQ$3+$A15),"")</f>
        <v/>
      </c>
      <c r="BR16" s="17" t="str">
        <f>IF(BR$3&lt;=$B16,INDEX(Input!$I$43:$I$2956,BR$3+$A15),"")</f>
        <v/>
      </c>
      <c r="BS16" s="17" t="str">
        <f>IF(BS$3&lt;=$B16,INDEX(Input!$I$43:$I$2956,BS$3+$A15),"")</f>
        <v/>
      </c>
      <c r="BT16" s="17" t="str">
        <f>IF(BT$3&lt;=$B16,INDEX(Input!$I$43:$I$2956,BT$3+$A15),"")</f>
        <v/>
      </c>
      <c r="BU16" s="17" t="str">
        <f>IF(BU$3&lt;=$B16,INDEX(Input!$I$43:$I$2956,BU$3+$A15),"")</f>
        <v/>
      </c>
      <c r="BV16" s="17" t="str">
        <f>IF(BV$3&lt;=$B16,INDEX(Input!$I$43:$I$2956,BV$3+$A15),"")</f>
        <v/>
      </c>
      <c r="BW16" s="17" t="str">
        <f>IF(BW$3&lt;=$B16,INDEX(Input!$I$43:$I$2956,BW$3+$A15),"")</f>
        <v/>
      </c>
      <c r="BX16" s="17" t="str">
        <f>IF(BX$3&lt;=$B16,INDEX(Input!$I$43:$I$2956,BX$3+$A15),"")</f>
        <v/>
      </c>
      <c r="BY16" s="17" t="str">
        <f>IF(BY$3&lt;=$B16,INDEX(Input!$I$43:$I$2956,BY$3+$A15),"")</f>
        <v/>
      </c>
      <c r="BZ16" s="17" t="str">
        <f>IF(BZ$3&lt;=$B16,INDEX(Input!$I$43:$I$2956,BZ$3+$A15),"")</f>
        <v/>
      </c>
      <c r="CA16" s="17" t="str">
        <f>IF(CA$3&lt;=$B16,INDEX(Input!$I$43:$I$2956,CA$3+$A15),"")</f>
        <v/>
      </c>
      <c r="CB16" s="17" t="str">
        <f>IF(CB$3&lt;=$B16,INDEX(Input!$I$43:$I$2956,CB$3+$A15),"")</f>
        <v/>
      </c>
      <c r="CC16" s="17" t="str">
        <f>IF(CC$3&lt;=$B16,INDEX(Input!$I$43:$I$2956,CC$3+$A15),"")</f>
        <v/>
      </c>
      <c r="CD16" s="17" t="str">
        <f>IF(CD$3&lt;=$B16,INDEX(Input!$I$43:$I$2956,CD$3+$A15),"")</f>
        <v/>
      </c>
      <c r="CE16" s="17" t="str">
        <f>IF(CE$3&lt;=$B16,INDEX(Input!$I$43:$I$2956,CE$3+$A15),"")</f>
        <v/>
      </c>
      <c r="CF16" s="17" t="str">
        <f>IF(CF$3&lt;=$B16,INDEX(Input!$I$43:$I$2956,CF$3+$A15),"")</f>
        <v/>
      </c>
      <c r="CG16" s="17" t="str">
        <f>IF(CG$3&lt;=$B16,INDEX(Input!$I$43:$I$2956,CG$3+$A15),"")</f>
        <v/>
      </c>
      <c r="CH16" s="17" t="str">
        <f>IF(CH$3&lt;=$B16,INDEX(Input!$I$43:$I$2956,CH$3+$A15),"")</f>
        <v/>
      </c>
      <c r="CI16" s="17" t="str">
        <f>IF(CI$3&lt;=$B16,INDEX(Input!$I$43:$I$2956,CI$3+$A15),"")</f>
        <v/>
      </c>
      <c r="CJ16" s="17" t="str">
        <f>IF(CJ$3&lt;=$B16,INDEX(Input!$I$43:$I$2956,CJ$3+$A15),"")</f>
        <v/>
      </c>
      <c r="CK16" s="17" t="str">
        <f>IF(CK$3&lt;=$B16,INDEX(Input!$I$43:$I$2956,CK$3+$A15),"")</f>
        <v/>
      </c>
      <c r="CL16" s="17" t="str">
        <f>IF(CL$3&lt;=$B16,INDEX(Input!$I$43:$I$2956,CL$3+$A15),"")</f>
        <v/>
      </c>
      <c r="CM16" s="17" t="str">
        <f>IF(CM$3&lt;=$B16,INDEX(Input!$I$43:$I$2956,CM$3+$A15),"")</f>
        <v/>
      </c>
      <c r="CN16" s="17" t="str">
        <f>IF(CN$3&lt;=$B16,INDEX(Input!$I$43:$I$2956,CN$3+$A15),"")</f>
        <v/>
      </c>
      <c r="CO16" s="17" t="str">
        <f>IF(CO$3&lt;=$B16,INDEX(Input!$I$43:$I$2956,CO$3+$A15),"")</f>
        <v/>
      </c>
      <c r="CP16" s="17" t="str">
        <f>IF(CP$3&lt;=$B16,INDEX(Input!$I$43:$I$2956,CP$3+$A15),"")</f>
        <v/>
      </c>
      <c r="CQ16" s="17" t="str">
        <f>IF(CQ$3&lt;=$B16,INDEX(Input!$I$43:$I$2956,CQ$3+$A15),"")</f>
        <v/>
      </c>
      <c r="CR16" s="17" t="str">
        <f>IF(CR$3&lt;=$B16,INDEX(Input!$I$43:$I$2956,CR$3+$A15),"")</f>
        <v/>
      </c>
      <c r="CS16" s="17" t="str">
        <f>IF(CS$3&lt;=$B16,INDEX(Input!$I$43:$I$2956,CS$3+$A15),"")</f>
        <v/>
      </c>
      <c r="CT16" s="17" t="str">
        <f>IF(CT$3&lt;=$B16,INDEX(Input!$I$43:$I$2956,CT$3+$A15),"")</f>
        <v/>
      </c>
      <c r="CU16" s="17" t="str">
        <f>IF(CU$3&lt;=$B16,INDEX(Input!$I$43:$I$2956,CU$3+$A15),"")</f>
        <v/>
      </c>
      <c r="CV16" s="17" t="str">
        <f>IF(CV$3&lt;=$B16,INDEX(Input!$I$43:$I$2956,CV$3+$A15),"")</f>
        <v/>
      </c>
      <c r="CW16" s="17" t="str">
        <f>IF(CW$3&lt;=$B16,INDEX(Input!$I$43:$I$2956,CW$3+$A15),"")</f>
        <v/>
      </c>
      <c r="CX16" s="17" t="str">
        <f>IF(CX$3&lt;=$B16,INDEX(Input!$I$43:$I$2956,CX$3+$A15),"")</f>
        <v/>
      </c>
      <c r="CY16" s="17" t="str">
        <f>IF(CY$3&lt;=$B16,INDEX(Input!$I$43:$I$2956,CY$3+$A15),"")</f>
        <v/>
      </c>
      <c r="CZ16" s="17" t="str">
        <f>IF(CZ$3&lt;=$B16,INDEX(Input!$I$43:$I$2956,CZ$3+$A15),"")</f>
        <v/>
      </c>
      <c r="DA16" s="17" t="str">
        <f>IF(DA$3&lt;=$B16,INDEX(Input!$I$43:$I$2956,DA$3+$A15),"")</f>
        <v/>
      </c>
      <c r="DB16" s="17" t="str">
        <f>IF(DB$3&lt;=$B16,INDEX(Input!$I$43:$I$2956,DB$3+$A15),"")</f>
        <v/>
      </c>
      <c r="DC16" s="17" t="str">
        <f>IF(DC$3&lt;=$B16,INDEX(Input!$I$43:$I$2956,DC$3+$A15),"")</f>
        <v/>
      </c>
      <c r="DD16" s="17" t="str">
        <f>IF(DD$3&lt;=$B16,INDEX(Input!$I$43:$I$2956,DD$3+$A15),"")</f>
        <v/>
      </c>
      <c r="DE16" s="17" t="str">
        <f>IF(DE$3&lt;=$B16,INDEX(Input!$I$43:$I$2956,DE$3+$A15),"")</f>
        <v/>
      </c>
      <c r="DF16" s="17" t="str">
        <f>IF(DF$3&lt;=$B16,INDEX(Input!$I$43:$I$2956,DF$3+$A15),"")</f>
        <v/>
      </c>
      <c r="DG16" s="17" t="str">
        <f>IF(DG$3&lt;=$B16,INDEX(Input!$I$43:$I$2956,DG$3+$A15),"")</f>
        <v/>
      </c>
      <c r="DH16" s="17" t="str">
        <f>IF(DH$3&lt;=$B16,INDEX(Input!$I$43:$I$2956,DH$3+$A15),"")</f>
        <v/>
      </c>
      <c r="DI16" s="17" t="str">
        <f>IF(DI$3&lt;=$B16,INDEX(Input!$I$43:$I$2956,DI$3+$A15),"")</f>
        <v/>
      </c>
      <c r="DJ16" s="17" t="str">
        <f>IF(DJ$3&lt;=$B16,INDEX(Input!$I$43:$I$2956,DJ$3+$A15),"")</f>
        <v/>
      </c>
      <c r="DK16" s="17" t="str">
        <f>IF(DK$3&lt;=$B16,INDEX(Input!$I$43:$I$2956,DK$3+$A15),"")</f>
        <v/>
      </c>
      <c r="DL16" s="17" t="str">
        <f>IF(DL$3&lt;=$B16,INDEX(Input!$I$43:$I$2956,DL$3+$A15),"")</f>
        <v/>
      </c>
      <c r="DM16" s="17" t="str">
        <f>IF(DM$3&lt;=$B16,INDEX(Input!$I$43:$I$2956,DM$3+$A15),"")</f>
        <v/>
      </c>
      <c r="DN16" s="17" t="str">
        <f>IF(DN$3&lt;=$B16,INDEX(Input!$I$43:$I$2956,DN$3+$A15),"")</f>
        <v/>
      </c>
      <c r="DO16" s="17" t="str">
        <f>IF(DO$3&lt;=$B16,INDEX(Input!$I$43:$I$2956,DO$3+$A15),"")</f>
        <v/>
      </c>
      <c r="DP16" s="17" t="str">
        <f>IF(DP$3&lt;=$B16,INDEX(Input!$I$43:$I$2956,DP$3+$A15),"")</f>
        <v/>
      </c>
      <c r="DQ16" s="17" t="str">
        <f>IF(DQ$3&lt;=$B16,INDEX(Input!$I$43:$I$2956,DQ$3+$A15),"")</f>
        <v/>
      </c>
      <c r="DR16" s="17" t="str">
        <f>IF(DR$3&lt;=$B16,INDEX(Input!$I$43:$I$2956,DR$3+$A15),"")</f>
        <v/>
      </c>
      <c r="DS16" s="17" t="str">
        <f>IF(DS$3&lt;=$B16,INDEX(Input!$I$43:$I$2956,DS$3+$A15),"")</f>
        <v/>
      </c>
      <c r="DT16" s="17" t="str">
        <f>IF(DT$3&lt;=$B16,INDEX(Input!$I$43:$I$2956,DT$3+$A15),"")</f>
        <v/>
      </c>
      <c r="DU16" s="17" t="str">
        <f>IF(DU$3&lt;=$B16,INDEX(Input!$I$43:$I$2956,DU$3+$A15),"")</f>
        <v/>
      </c>
      <c r="DV16" s="17" t="str">
        <f>IF(DV$3&lt;=$B16,INDEX(Input!$I$43:$I$2956,DV$3+$A15),"")</f>
        <v/>
      </c>
      <c r="DW16" s="58">
        <f t="array" ref="DW16:EZ16">IFERROR(eccalc(E16:DV16,C16+B16,B16,$O$2:$AS$2),"")</f>
        <v>43</v>
      </c>
      <c r="DX16" s="59">
        <v>121</v>
      </c>
      <c r="DY16" s="59">
        <v>130</v>
      </c>
      <c r="DZ16" s="59">
        <v>224</v>
      </c>
      <c r="EA16" s="59">
        <v>32</v>
      </c>
      <c r="EB16" s="59">
        <v>205</v>
      </c>
      <c r="EC16" s="59">
        <v>240</v>
      </c>
      <c r="ED16" s="59">
        <v>69</v>
      </c>
      <c r="EE16" s="59">
        <v>115</v>
      </c>
      <c r="EF16" s="59">
        <v>83</v>
      </c>
      <c r="EG16" s="59">
        <v>231</v>
      </c>
      <c r="EH16" s="59">
        <v>105</v>
      </c>
      <c r="EI16" s="59">
        <v>151</v>
      </c>
      <c r="EJ16" s="59">
        <v>209</v>
      </c>
      <c r="EK16" s="59">
        <v>160</v>
      </c>
      <c r="EL16" s="59">
        <v>92</v>
      </c>
      <c r="EM16" s="59">
        <v>163</v>
      </c>
      <c r="EN16" s="59">
        <v>66</v>
      </c>
      <c r="EO16" s="59">
        <v>53</v>
      </c>
      <c r="EP16" s="59">
        <v>1</v>
      </c>
      <c r="EQ16" s="59">
        <v>57</v>
      </c>
      <c r="ER16" s="59">
        <v>68</v>
      </c>
      <c r="ES16" s="59">
        <v>0</v>
      </c>
      <c r="ET16" s="59">
        <v>0</v>
      </c>
      <c r="EU16" s="59">
        <v>0</v>
      </c>
      <c r="EV16" s="59">
        <v>0</v>
      </c>
      <c r="EW16" s="59">
        <v>0</v>
      </c>
      <c r="EX16" s="59">
        <v>0</v>
      </c>
      <c r="EY16" s="59">
        <v>0</v>
      </c>
      <c r="EZ16" s="60">
        <v>0</v>
      </c>
      <c r="FA16" s="17"/>
      <c r="FC16">
        <v>13</v>
      </c>
      <c r="FD16">
        <f t="shared" si="2"/>
        <v>13</v>
      </c>
      <c r="FE16">
        <f t="shared" si="3"/>
        <v>1</v>
      </c>
      <c r="FF16">
        <f t="shared" si="4"/>
        <v>135</v>
      </c>
      <c r="FI16" s="16">
        <v>13</v>
      </c>
      <c r="FJ16" s="17">
        <f t="shared" si="5"/>
        <v>43</v>
      </c>
      <c r="FK16" s="17">
        <f t="shared" si="6"/>
        <v>135</v>
      </c>
      <c r="FL16" s="18" t="str">
        <f t="shared" si="7"/>
        <v>10000111</v>
      </c>
      <c r="FM16" s="2"/>
      <c r="FN16" s="17"/>
      <c r="FO16" s="17"/>
      <c r="FP16" s="17"/>
      <c r="FQ16" s="17"/>
    </row>
    <row r="17" spans="1:176">
      <c r="A17">
        <f>SUM($B$4:B17)</f>
        <v>170</v>
      </c>
      <c r="B17">
        <f t="shared" si="0"/>
        <v>13</v>
      </c>
      <c r="C17">
        <f t="shared" si="1"/>
        <v>22</v>
      </c>
      <c r="D17">
        <v>14</v>
      </c>
      <c r="E17" s="16">
        <f>IF(E$3&lt;=$B17,INDEX(Input!$I$43:$I$2956,E$3+$A16),"")</f>
        <v>64</v>
      </c>
      <c r="F17" s="17">
        <f>IF(F$3&lt;=$B17,INDEX(Input!$I$43:$I$2956,F$3+$A16),"")</f>
        <v>167</v>
      </c>
      <c r="G17" s="17">
        <f>IF(G$3&lt;=$B17,INDEX(Input!$I$43:$I$2956,G$3+$A16),"")</f>
        <v>231</v>
      </c>
      <c r="H17" s="17">
        <f>IF(H$3&lt;=$B17,INDEX(Input!$I$43:$I$2956,H$3+$A16),"")</f>
        <v>129</v>
      </c>
      <c r="I17" s="17">
        <f>IF(I$3&lt;=$B17,INDEX(Input!$I$43:$I$2956,I$3+$A16),"")</f>
        <v>193</v>
      </c>
      <c r="J17" s="17">
        <f>IF(J$3&lt;=$B17,INDEX(Input!$I$43:$I$2956,J$3+$A16),"")</f>
        <v>224</v>
      </c>
      <c r="K17" s="17">
        <f>IF(K$3&lt;=$B17,INDEX(Input!$I$43:$I$2956,K$3+$A16),"")</f>
        <v>156</v>
      </c>
      <c r="L17" s="17">
        <f>IF(L$3&lt;=$B17,INDEX(Input!$I$43:$I$2956,L$3+$A16),"")</f>
        <v>198</v>
      </c>
      <c r="M17" s="17">
        <f>IF(M$3&lt;=$B17,INDEX(Input!$I$43:$I$2956,M$3+$A16),"")</f>
        <v>0</v>
      </c>
      <c r="N17" s="17">
        <f>IF(N$3&lt;=$B17,INDEX(Input!$I$43:$I$2956,N$3+$A16),"")</f>
        <v>236</v>
      </c>
      <c r="O17" s="17">
        <f>IF(O$3&lt;=$B17,INDEX(Input!$I$43:$I$2956,O$3+$A16),"")</f>
        <v>17</v>
      </c>
      <c r="P17" s="17">
        <f>IF(P$3&lt;=$B17,INDEX(Input!$I$43:$I$2956,P$3+$A16),"")</f>
        <v>236</v>
      </c>
      <c r="Q17" s="17">
        <f>IF(Q$3&lt;=$B17,INDEX(Input!$I$43:$I$2956,Q$3+$A16),"")</f>
        <v>17</v>
      </c>
      <c r="R17" s="17" t="str">
        <f>IF(R$3&lt;=$B17,INDEX(Input!$I$43:$I$2956,R$3+$A16),"")</f>
        <v/>
      </c>
      <c r="S17" s="17" t="str">
        <f>IF(S$3&lt;=$B17,INDEX(Input!$I$43:$I$2956,S$3+$A16),"")</f>
        <v/>
      </c>
      <c r="T17" s="17" t="str">
        <f>IF(T$3&lt;=$B17,INDEX(Input!$I$43:$I$2956,T$3+$A16),"")</f>
        <v/>
      </c>
      <c r="U17" s="17" t="str">
        <f>IF(U$3&lt;=$B17,INDEX(Input!$I$43:$I$2956,U$3+$A16),"")</f>
        <v/>
      </c>
      <c r="V17" s="17" t="str">
        <f>IF(V$3&lt;=$B17,INDEX(Input!$I$43:$I$2956,V$3+$A16),"")</f>
        <v/>
      </c>
      <c r="W17" s="17" t="str">
        <f>IF(W$3&lt;=$B17,INDEX(Input!$I$43:$I$2956,W$3+$A16),"")</f>
        <v/>
      </c>
      <c r="X17" s="17" t="str">
        <f>IF(X$3&lt;=$B17,INDEX(Input!$I$43:$I$2956,X$3+$A16),"")</f>
        <v/>
      </c>
      <c r="Y17" s="17" t="str">
        <f>IF(Y$3&lt;=$B17,INDEX(Input!$I$43:$I$2956,Y$3+$A16),"")</f>
        <v/>
      </c>
      <c r="Z17" s="17" t="str">
        <f>IF(Z$3&lt;=$B17,INDEX(Input!$I$43:$I$2956,Z$3+$A16),"")</f>
        <v/>
      </c>
      <c r="AA17" s="17" t="str">
        <f>IF(AA$3&lt;=$B17,INDEX(Input!$I$43:$I$2956,AA$3+$A16),"")</f>
        <v/>
      </c>
      <c r="AB17" s="17" t="str">
        <f>IF(AB$3&lt;=$B17,INDEX(Input!$I$43:$I$2956,AB$3+$A16),"")</f>
        <v/>
      </c>
      <c r="AC17" s="17" t="str">
        <f>IF(AC$3&lt;=$B17,INDEX(Input!$I$43:$I$2956,AC$3+$A16),"")</f>
        <v/>
      </c>
      <c r="AD17" s="17" t="str">
        <f>IF(AD$3&lt;=$B17,INDEX(Input!$I$43:$I$2956,AD$3+$A16),"")</f>
        <v/>
      </c>
      <c r="AE17" s="17" t="str">
        <f>IF(AE$3&lt;=$B17,INDEX(Input!$I$43:$I$2956,AE$3+$A16),"")</f>
        <v/>
      </c>
      <c r="AF17" s="17" t="str">
        <f>IF(AF$3&lt;=$B17,INDEX(Input!$I$43:$I$2956,AF$3+$A16),"")</f>
        <v/>
      </c>
      <c r="AG17" s="17" t="str">
        <f>IF(AG$3&lt;=$B17,INDEX(Input!$I$43:$I$2956,AG$3+$A16),"")</f>
        <v/>
      </c>
      <c r="AH17" s="17" t="str">
        <f>IF(AH$3&lt;=$B17,INDEX(Input!$I$43:$I$2956,AH$3+$A16),"")</f>
        <v/>
      </c>
      <c r="AI17" s="17" t="str">
        <f>IF(AI$3&lt;=$B17,INDEX(Input!$I$43:$I$2956,AI$3+$A16),"")</f>
        <v/>
      </c>
      <c r="AJ17" s="17" t="str">
        <f>IF(AJ$3&lt;=$B17,INDEX(Input!$I$43:$I$2956,AJ$3+$A16),"")</f>
        <v/>
      </c>
      <c r="AK17" s="17" t="str">
        <f>IF(AK$3&lt;=$B17,INDEX(Input!$I$43:$I$2956,AK$3+$A16),"")</f>
        <v/>
      </c>
      <c r="AL17" s="17" t="str">
        <f>IF(AL$3&lt;=$B17,INDEX(Input!$I$43:$I$2956,AL$3+$A16),"")</f>
        <v/>
      </c>
      <c r="AM17" s="17" t="str">
        <f>IF(AM$3&lt;=$B17,INDEX(Input!$I$43:$I$2956,AM$3+$A16),"")</f>
        <v/>
      </c>
      <c r="AN17" s="17" t="str">
        <f>IF(AN$3&lt;=$B17,INDEX(Input!$I$43:$I$2956,AN$3+$A16),"")</f>
        <v/>
      </c>
      <c r="AO17" s="17" t="str">
        <f>IF(AO$3&lt;=$B17,INDEX(Input!$I$43:$I$2956,AO$3+$A16),"")</f>
        <v/>
      </c>
      <c r="AP17" s="17" t="str">
        <f>IF(AP$3&lt;=$B17,INDEX(Input!$I$43:$I$2956,AP$3+$A16),"")</f>
        <v/>
      </c>
      <c r="AQ17" s="17" t="str">
        <f>IF(AQ$3&lt;=$B17,INDEX(Input!$I$43:$I$2956,AQ$3+$A16),"")</f>
        <v/>
      </c>
      <c r="AR17" s="17" t="str">
        <f>IF(AR$3&lt;=$B17,INDEX(Input!$I$43:$I$2956,AR$3+$A16),"")</f>
        <v/>
      </c>
      <c r="AS17" s="17" t="str">
        <f>IF(AS$3&lt;=$B17,INDEX(Input!$I$43:$I$2956,AS$3+$A16),"")</f>
        <v/>
      </c>
      <c r="AT17" s="17" t="str">
        <f>IF(AT$3&lt;=$B17,INDEX(Input!$I$43:$I$2956,AT$3+$A16),"")</f>
        <v/>
      </c>
      <c r="AU17" s="17" t="str">
        <f>IF(AU$3&lt;=$B17,INDEX(Input!$I$43:$I$2956,AU$3+$A16),"")</f>
        <v/>
      </c>
      <c r="AV17" s="17" t="str">
        <f>IF(AV$3&lt;=$B17,INDEX(Input!$I$43:$I$2956,AV$3+$A16),"")</f>
        <v/>
      </c>
      <c r="AW17" s="17" t="str">
        <f>IF(AW$3&lt;=$B17,INDEX(Input!$I$43:$I$2956,AW$3+$A16),"")</f>
        <v/>
      </c>
      <c r="AX17" s="17" t="str">
        <f>IF(AX$3&lt;=$B17,INDEX(Input!$I$43:$I$2956,AX$3+$A16),"")</f>
        <v/>
      </c>
      <c r="AY17" s="17" t="str">
        <f>IF(AY$3&lt;=$B17,INDEX(Input!$I$43:$I$2956,AY$3+$A16),"")</f>
        <v/>
      </c>
      <c r="AZ17" s="17" t="str">
        <f>IF(AZ$3&lt;=$B17,INDEX(Input!$I$43:$I$2956,AZ$3+$A16),"")</f>
        <v/>
      </c>
      <c r="BA17" s="17" t="str">
        <f>IF(BA$3&lt;=$B17,INDEX(Input!$I$43:$I$2956,BA$3+$A16),"")</f>
        <v/>
      </c>
      <c r="BB17" s="17" t="str">
        <f>IF(BB$3&lt;=$B17,INDEX(Input!$I$43:$I$2956,BB$3+$A16),"")</f>
        <v/>
      </c>
      <c r="BC17" s="17" t="str">
        <f>IF(BC$3&lt;=$B17,INDEX(Input!$I$43:$I$2956,BC$3+$A16),"")</f>
        <v/>
      </c>
      <c r="BD17" s="17" t="str">
        <f>IF(BD$3&lt;=$B17,INDEX(Input!$I$43:$I$2956,BD$3+$A16),"")</f>
        <v/>
      </c>
      <c r="BE17" s="17" t="str">
        <f>IF(BE$3&lt;=$B17,INDEX(Input!$I$43:$I$2956,BE$3+$A16),"")</f>
        <v/>
      </c>
      <c r="BF17" s="17" t="str">
        <f>IF(BF$3&lt;=$B17,INDEX(Input!$I$43:$I$2956,BF$3+$A16),"")</f>
        <v/>
      </c>
      <c r="BG17" s="17" t="str">
        <f>IF(BG$3&lt;=$B17,INDEX(Input!$I$43:$I$2956,BG$3+$A16),"")</f>
        <v/>
      </c>
      <c r="BH17" s="17" t="str">
        <f>IF(BH$3&lt;=$B17,INDEX(Input!$I$43:$I$2956,BH$3+$A16),"")</f>
        <v/>
      </c>
      <c r="BI17" s="17" t="str">
        <f>IF(BI$3&lt;=$B17,INDEX(Input!$I$43:$I$2956,BI$3+$A16),"")</f>
        <v/>
      </c>
      <c r="BJ17" s="17" t="str">
        <f>IF(BJ$3&lt;=$B17,INDEX(Input!$I$43:$I$2956,BJ$3+$A16),"")</f>
        <v/>
      </c>
      <c r="BK17" s="17" t="str">
        <f>IF(BK$3&lt;=$B17,INDEX(Input!$I$43:$I$2956,BK$3+$A16),"")</f>
        <v/>
      </c>
      <c r="BL17" s="17" t="str">
        <f>IF(BL$3&lt;=$B17,INDEX(Input!$I$43:$I$2956,BL$3+$A16),"")</f>
        <v/>
      </c>
      <c r="BM17" s="17" t="str">
        <f>IF(BM$3&lt;=$B17,INDEX(Input!$I$43:$I$2956,BM$3+$A16),"")</f>
        <v/>
      </c>
      <c r="BN17" s="17" t="str">
        <f>IF(BN$3&lt;=$B17,INDEX(Input!$I$43:$I$2956,BN$3+$A16),"")</f>
        <v/>
      </c>
      <c r="BO17" s="17" t="str">
        <f>IF(BO$3&lt;=$B17,INDEX(Input!$I$43:$I$2956,BO$3+$A16),"")</f>
        <v/>
      </c>
      <c r="BP17" s="17" t="str">
        <f>IF(BP$3&lt;=$B17,INDEX(Input!$I$43:$I$2956,BP$3+$A16),"")</f>
        <v/>
      </c>
      <c r="BQ17" s="17" t="str">
        <f>IF(BQ$3&lt;=$B17,INDEX(Input!$I$43:$I$2956,BQ$3+$A16),"")</f>
        <v/>
      </c>
      <c r="BR17" s="17" t="str">
        <f>IF(BR$3&lt;=$B17,INDEX(Input!$I$43:$I$2956,BR$3+$A16),"")</f>
        <v/>
      </c>
      <c r="BS17" s="17" t="str">
        <f>IF(BS$3&lt;=$B17,INDEX(Input!$I$43:$I$2956,BS$3+$A16),"")</f>
        <v/>
      </c>
      <c r="BT17" s="17" t="str">
        <f>IF(BT$3&lt;=$B17,INDEX(Input!$I$43:$I$2956,BT$3+$A16),"")</f>
        <v/>
      </c>
      <c r="BU17" s="17" t="str">
        <f>IF(BU$3&lt;=$B17,INDEX(Input!$I$43:$I$2956,BU$3+$A16),"")</f>
        <v/>
      </c>
      <c r="BV17" s="17" t="str">
        <f>IF(BV$3&lt;=$B17,INDEX(Input!$I$43:$I$2956,BV$3+$A16),"")</f>
        <v/>
      </c>
      <c r="BW17" s="17" t="str">
        <f>IF(BW$3&lt;=$B17,INDEX(Input!$I$43:$I$2956,BW$3+$A16),"")</f>
        <v/>
      </c>
      <c r="BX17" s="17" t="str">
        <f>IF(BX$3&lt;=$B17,INDEX(Input!$I$43:$I$2956,BX$3+$A16),"")</f>
        <v/>
      </c>
      <c r="BY17" s="17" t="str">
        <f>IF(BY$3&lt;=$B17,INDEX(Input!$I$43:$I$2956,BY$3+$A16),"")</f>
        <v/>
      </c>
      <c r="BZ17" s="17" t="str">
        <f>IF(BZ$3&lt;=$B17,INDEX(Input!$I$43:$I$2956,BZ$3+$A16),"")</f>
        <v/>
      </c>
      <c r="CA17" s="17" t="str">
        <f>IF(CA$3&lt;=$B17,INDEX(Input!$I$43:$I$2956,CA$3+$A16),"")</f>
        <v/>
      </c>
      <c r="CB17" s="17" t="str">
        <f>IF(CB$3&lt;=$B17,INDEX(Input!$I$43:$I$2956,CB$3+$A16),"")</f>
        <v/>
      </c>
      <c r="CC17" s="17" t="str">
        <f>IF(CC$3&lt;=$B17,INDEX(Input!$I$43:$I$2956,CC$3+$A16),"")</f>
        <v/>
      </c>
      <c r="CD17" s="17" t="str">
        <f>IF(CD$3&lt;=$B17,INDEX(Input!$I$43:$I$2956,CD$3+$A16),"")</f>
        <v/>
      </c>
      <c r="CE17" s="17" t="str">
        <f>IF(CE$3&lt;=$B17,INDEX(Input!$I$43:$I$2956,CE$3+$A16),"")</f>
        <v/>
      </c>
      <c r="CF17" s="17" t="str">
        <f>IF(CF$3&lt;=$B17,INDEX(Input!$I$43:$I$2956,CF$3+$A16),"")</f>
        <v/>
      </c>
      <c r="CG17" s="17" t="str">
        <f>IF(CG$3&lt;=$B17,INDEX(Input!$I$43:$I$2956,CG$3+$A16),"")</f>
        <v/>
      </c>
      <c r="CH17" s="17" t="str">
        <f>IF(CH$3&lt;=$B17,INDEX(Input!$I$43:$I$2956,CH$3+$A16),"")</f>
        <v/>
      </c>
      <c r="CI17" s="17" t="str">
        <f>IF(CI$3&lt;=$B17,INDEX(Input!$I$43:$I$2956,CI$3+$A16),"")</f>
        <v/>
      </c>
      <c r="CJ17" s="17" t="str">
        <f>IF(CJ$3&lt;=$B17,INDEX(Input!$I$43:$I$2956,CJ$3+$A16),"")</f>
        <v/>
      </c>
      <c r="CK17" s="17" t="str">
        <f>IF(CK$3&lt;=$B17,INDEX(Input!$I$43:$I$2956,CK$3+$A16),"")</f>
        <v/>
      </c>
      <c r="CL17" s="17" t="str">
        <f>IF(CL$3&lt;=$B17,INDEX(Input!$I$43:$I$2956,CL$3+$A16),"")</f>
        <v/>
      </c>
      <c r="CM17" s="17" t="str">
        <f>IF(CM$3&lt;=$B17,INDEX(Input!$I$43:$I$2956,CM$3+$A16),"")</f>
        <v/>
      </c>
      <c r="CN17" s="17" t="str">
        <f>IF(CN$3&lt;=$B17,INDEX(Input!$I$43:$I$2956,CN$3+$A16),"")</f>
        <v/>
      </c>
      <c r="CO17" s="17" t="str">
        <f>IF(CO$3&lt;=$B17,INDEX(Input!$I$43:$I$2956,CO$3+$A16),"")</f>
        <v/>
      </c>
      <c r="CP17" s="17" t="str">
        <f>IF(CP$3&lt;=$B17,INDEX(Input!$I$43:$I$2956,CP$3+$A16),"")</f>
        <v/>
      </c>
      <c r="CQ17" s="17" t="str">
        <f>IF(CQ$3&lt;=$B17,INDEX(Input!$I$43:$I$2956,CQ$3+$A16),"")</f>
        <v/>
      </c>
      <c r="CR17" s="17" t="str">
        <f>IF(CR$3&lt;=$B17,INDEX(Input!$I$43:$I$2956,CR$3+$A16),"")</f>
        <v/>
      </c>
      <c r="CS17" s="17" t="str">
        <f>IF(CS$3&lt;=$B17,INDEX(Input!$I$43:$I$2956,CS$3+$A16),"")</f>
        <v/>
      </c>
      <c r="CT17" s="17" t="str">
        <f>IF(CT$3&lt;=$B17,INDEX(Input!$I$43:$I$2956,CT$3+$A16),"")</f>
        <v/>
      </c>
      <c r="CU17" s="17" t="str">
        <f>IF(CU$3&lt;=$B17,INDEX(Input!$I$43:$I$2956,CU$3+$A16),"")</f>
        <v/>
      </c>
      <c r="CV17" s="17" t="str">
        <f>IF(CV$3&lt;=$B17,INDEX(Input!$I$43:$I$2956,CV$3+$A16),"")</f>
        <v/>
      </c>
      <c r="CW17" s="17" t="str">
        <f>IF(CW$3&lt;=$B17,INDEX(Input!$I$43:$I$2956,CW$3+$A16),"")</f>
        <v/>
      </c>
      <c r="CX17" s="17" t="str">
        <f>IF(CX$3&lt;=$B17,INDEX(Input!$I$43:$I$2956,CX$3+$A16),"")</f>
        <v/>
      </c>
      <c r="CY17" s="17" t="str">
        <f>IF(CY$3&lt;=$B17,INDEX(Input!$I$43:$I$2956,CY$3+$A16),"")</f>
        <v/>
      </c>
      <c r="CZ17" s="17" t="str">
        <f>IF(CZ$3&lt;=$B17,INDEX(Input!$I$43:$I$2956,CZ$3+$A16),"")</f>
        <v/>
      </c>
      <c r="DA17" s="17" t="str">
        <f>IF(DA$3&lt;=$B17,INDEX(Input!$I$43:$I$2956,DA$3+$A16),"")</f>
        <v/>
      </c>
      <c r="DB17" s="17" t="str">
        <f>IF(DB$3&lt;=$B17,INDEX(Input!$I$43:$I$2956,DB$3+$A16),"")</f>
        <v/>
      </c>
      <c r="DC17" s="17" t="str">
        <f>IF(DC$3&lt;=$B17,INDEX(Input!$I$43:$I$2956,DC$3+$A16),"")</f>
        <v/>
      </c>
      <c r="DD17" s="17" t="str">
        <f>IF(DD$3&lt;=$B17,INDEX(Input!$I$43:$I$2956,DD$3+$A16),"")</f>
        <v/>
      </c>
      <c r="DE17" s="17" t="str">
        <f>IF(DE$3&lt;=$B17,INDEX(Input!$I$43:$I$2956,DE$3+$A16),"")</f>
        <v/>
      </c>
      <c r="DF17" s="17" t="str">
        <f>IF(DF$3&lt;=$B17,INDEX(Input!$I$43:$I$2956,DF$3+$A16),"")</f>
        <v/>
      </c>
      <c r="DG17" s="17" t="str">
        <f>IF(DG$3&lt;=$B17,INDEX(Input!$I$43:$I$2956,DG$3+$A16),"")</f>
        <v/>
      </c>
      <c r="DH17" s="17" t="str">
        <f>IF(DH$3&lt;=$B17,INDEX(Input!$I$43:$I$2956,DH$3+$A16),"")</f>
        <v/>
      </c>
      <c r="DI17" s="17" t="str">
        <f>IF(DI$3&lt;=$B17,INDEX(Input!$I$43:$I$2956,DI$3+$A16),"")</f>
        <v/>
      </c>
      <c r="DJ17" s="17" t="str">
        <f>IF(DJ$3&lt;=$B17,INDEX(Input!$I$43:$I$2956,DJ$3+$A16),"")</f>
        <v/>
      </c>
      <c r="DK17" s="17" t="str">
        <f>IF(DK$3&lt;=$B17,INDEX(Input!$I$43:$I$2956,DK$3+$A16),"")</f>
        <v/>
      </c>
      <c r="DL17" s="17" t="str">
        <f>IF(DL$3&lt;=$B17,INDEX(Input!$I$43:$I$2956,DL$3+$A16),"")</f>
        <v/>
      </c>
      <c r="DM17" s="17" t="str">
        <f>IF(DM$3&lt;=$B17,INDEX(Input!$I$43:$I$2956,DM$3+$A16),"")</f>
        <v/>
      </c>
      <c r="DN17" s="17" t="str">
        <f>IF(DN$3&lt;=$B17,INDEX(Input!$I$43:$I$2956,DN$3+$A16),"")</f>
        <v/>
      </c>
      <c r="DO17" s="17" t="str">
        <f>IF(DO$3&lt;=$B17,INDEX(Input!$I$43:$I$2956,DO$3+$A16),"")</f>
        <v/>
      </c>
      <c r="DP17" s="17" t="str">
        <f>IF(DP$3&lt;=$B17,INDEX(Input!$I$43:$I$2956,DP$3+$A16),"")</f>
        <v/>
      </c>
      <c r="DQ17" s="17" t="str">
        <f>IF(DQ$3&lt;=$B17,INDEX(Input!$I$43:$I$2956,DQ$3+$A16),"")</f>
        <v/>
      </c>
      <c r="DR17" s="17" t="str">
        <f>IF(DR$3&lt;=$B17,INDEX(Input!$I$43:$I$2956,DR$3+$A16),"")</f>
        <v/>
      </c>
      <c r="DS17" s="17" t="str">
        <f>IF(DS$3&lt;=$B17,INDEX(Input!$I$43:$I$2956,DS$3+$A16),"")</f>
        <v/>
      </c>
      <c r="DT17" s="17" t="str">
        <f>IF(DT$3&lt;=$B17,INDEX(Input!$I$43:$I$2956,DT$3+$A16),"")</f>
        <v/>
      </c>
      <c r="DU17" s="17" t="str">
        <f>IF(DU$3&lt;=$B17,INDEX(Input!$I$43:$I$2956,DU$3+$A16),"")</f>
        <v/>
      </c>
      <c r="DV17" s="17" t="str">
        <f>IF(DV$3&lt;=$B17,INDEX(Input!$I$43:$I$2956,DV$3+$A16),"")</f>
        <v/>
      </c>
      <c r="DW17" s="58">
        <f t="array" ref="DW17:EZ17">IFERROR(eccalc(E17:DV17,C17+B17,B17,$O$2:$AS$2),"")</f>
        <v>234</v>
      </c>
      <c r="DX17" s="59">
        <v>13</v>
      </c>
      <c r="DY17" s="59">
        <v>148</v>
      </c>
      <c r="DZ17" s="59">
        <v>186</v>
      </c>
      <c r="EA17" s="59">
        <v>4</v>
      </c>
      <c r="EB17" s="59">
        <v>25</v>
      </c>
      <c r="EC17" s="59">
        <v>29</v>
      </c>
      <c r="ED17" s="59">
        <v>205</v>
      </c>
      <c r="EE17" s="59">
        <v>193</v>
      </c>
      <c r="EF17" s="59">
        <v>204</v>
      </c>
      <c r="EG17" s="59">
        <v>16</v>
      </c>
      <c r="EH17" s="59">
        <v>138</v>
      </c>
      <c r="EI17" s="59">
        <v>76</v>
      </c>
      <c r="EJ17" s="59">
        <v>63</v>
      </c>
      <c r="EK17" s="59">
        <v>232</v>
      </c>
      <c r="EL17" s="59">
        <v>55</v>
      </c>
      <c r="EM17" s="59">
        <v>102</v>
      </c>
      <c r="EN17" s="59">
        <v>41</v>
      </c>
      <c r="EO17" s="59">
        <v>54</v>
      </c>
      <c r="EP17" s="59">
        <v>39</v>
      </c>
      <c r="EQ17" s="59">
        <v>45</v>
      </c>
      <c r="ER17" s="59">
        <v>182</v>
      </c>
      <c r="ES17" s="59">
        <v>0</v>
      </c>
      <c r="ET17" s="59">
        <v>0</v>
      </c>
      <c r="EU17" s="59">
        <v>0</v>
      </c>
      <c r="EV17" s="59">
        <v>0</v>
      </c>
      <c r="EW17" s="59">
        <v>0</v>
      </c>
      <c r="EX17" s="59">
        <v>0</v>
      </c>
      <c r="EY17" s="59">
        <v>0</v>
      </c>
      <c r="EZ17" s="60">
        <v>0</v>
      </c>
      <c r="FA17" s="17"/>
      <c r="FC17">
        <v>14</v>
      </c>
      <c r="FD17">
        <f t="shared" si="2"/>
        <v>14</v>
      </c>
      <c r="FE17">
        <f t="shared" si="3"/>
        <v>1</v>
      </c>
      <c r="FF17">
        <f t="shared" si="4"/>
        <v>64</v>
      </c>
      <c r="FI17" s="16">
        <v>14</v>
      </c>
      <c r="FJ17" s="17">
        <f t="shared" si="5"/>
        <v>234</v>
      </c>
      <c r="FK17" s="17">
        <f t="shared" si="6"/>
        <v>64</v>
      </c>
      <c r="FL17" s="18" t="str">
        <f t="shared" si="7"/>
        <v>01000000</v>
      </c>
      <c r="FM17" s="2"/>
      <c r="FN17" s="17"/>
      <c r="FO17" s="17"/>
      <c r="FP17" s="17"/>
      <c r="FQ17" s="17"/>
    </row>
    <row r="18" spans="1:176">
      <c r="A18">
        <f>SUM($B$4:B18)</f>
        <v>183</v>
      </c>
      <c r="B18">
        <f t="shared" si="0"/>
        <v>13</v>
      </c>
      <c r="C18">
        <f t="shared" si="1"/>
        <v>22</v>
      </c>
      <c r="D18">
        <v>15</v>
      </c>
      <c r="E18" s="16">
        <f>IF(E$3&lt;=$B18,INDEX(Input!$I$43:$I$2956,E$3+$A17),"")</f>
        <v>236</v>
      </c>
      <c r="F18" s="17">
        <f>IF(F$3&lt;=$B18,INDEX(Input!$I$43:$I$2956,F$3+$A17),"")</f>
        <v>17</v>
      </c>
      <c r="G18" s="17">
        <f>IF(G$3&lt;=$B18,INDEX(Input!$I$43:$I$2956,G$3+$A17),"")</f>
        <v>236</v>
      </c>
      <c r="H18" s="17">
        <f>IF(H$3&lt;=$B18,INDEX(Input!$I$43:$I$2956,H$3+$A17),"")</f>
        <v>17</v>
      </c>
      <c r="I18" s="17">
        <f>IF(I$3&lt;=$B18,INDEX(Input!$I$43:$I$2956,I$3+$A17),"")</f>
        <v>236</v>
      </c>
      <c r="J18" s="17">
        <f>IF(J$3&lt;=$B18,INDEX(Input!$I$43:$I$2956,J$3+$A17),"")</f>
        <v>17</v>
      </c>
      <c r="K18" s="17">
        <f>IF(K$3&lt;=$B18,INDEX(Input!$I$43:$I$2956,K$3+$A17),"")</f>
        <v>236</v>
      </c>
      <c r="L18" s="17">
        <f>IF(L$3&lt;=$B18,INDEX(Input!$I$43:$I$2956,L$3+$A17),"")</f>
        <v>17</v>
      </c>
      <c r="M18" s="17">
        <f>IF(M$3&lt;=$B18,INDEX(Input!$I$43:$I$2956,M$3+$A17),"")</f>
        <v>236</v>
      </c>
      <c r="N18" s="17">
        <f>IF(N$3&lt;=$B18,INDEX(Input!$I$43:$I$2956,N$3+$A17),"")</f>
        <v>17</v>
      </c>
      <c r="O18" s="17" t="str">
        <f>IF(O$3&lt;=$B18,INDEX(Input!$I$43:$I$2956,O$3+$A17),"")</f>
        <v/>
      </c>
      <c r="P18" s="17" t="str">
        <f>IF(P$3&lt;=$B18,INDEX(Input!$I$43:$I$2956,P$3+$A17),"")</f>
        <v/>
      </c>
      <c r="Q18" s="17" t="str">
        <f>IF(Q$3&lt;=$B18,INDEX(Input!$I$43:$I$2956,Q$3+$A17),"")</f>
        <v/>
      </c>
      <c r="R18" s="17" t="str">
        <f>IF(R$3&lt;=$B18,INDEX(Input!$I$43:$I$2956,R$3+$A17),"")</f>
        <v/>
      </c>
      <c r="S18" s="17" t="str">
        <f>IF(S$3&lt;=$B18,INDEX(Input!$I$43:$I$2956,S$3+$A17),"")</f>
        <v/>
      </c>
      <c r="T18" s="17" t="str">
        <f>IF(T$3&lt;=$B18,INDEX(Input!$I$43:$I$2956,T$3+$A17),"")</f>
        <v/>
      </c>
      <c r="U18" s="17" t="str">
        <f>IF(U$3&lt;=$B18,INDEX(Input!$I$43:$I$2956,U$3+$A17),"")</f>
        <v/>
      </c>
      <c r="V18" s="17" t="str">
        <f>IF(V$3&lt;=$B18,INDEX(Input!$I$43:$I$2956,V$3+$A17),"")</f>
        <v/>
      </c>
      <c r="W18" s="17" t="str">
        <f>IF(W$3&lt;=$B18,INDEX(Input!$I$43:$I$2956,W$3+$A17),"")</f>
        <v/>
      </c>
      <c r="X18" s="17" t="str">
        <f>IF(X$3&lt;=$B18,INDEX(Input!$I$43:$I$2956,X$3+$A17),"")</f>
        <v/>
      </c>
      <c r="Y18" s="17" t="str">
        <f>IF(Y$3&lt;=$B18,INDEX(Input!$I$43:$I$2956,Y$3+$A17),"")</f>
        <v/>
      </c>
      <c r="Z18" s="17" t="str">
        <f>IF(Z$3&lt;=$B18,INDEX(Input!$I$43:$I$2956,Z$3+$A17),"")</f>
        <v/>
      </c>
      <c r="AA18" s="17" t="str">
        <f>IF(AA$3&lt;=$B18,INDEX(Input!$I$43:$I$2956,AA$3+$A17),"")</f>
        <v/>
      </c>
      <c r="AB18" s="17" t="str">
        <f>IF(AB$3&lt;=$B18,INDEX(Input!$I$43:$I$2956,AB$3+$A17),"")</f>
        <v/>
      </c>
      <c r="AC18" s="17" t="str">
        <f>IF(AC$3&lt;=$B18,INDEX(Input!$I$43:$I$2956,AC$3+$A17),"")</f>
        <v/>
      </c>
      <c r="AD18" s="17" t="str">
        <f>IF(AD$3&lt;=$B18,INDEX(Input!$I$43:$I$2956,AD$3+$A17),"")</f>
        <v/>
      </c>
      <c r="AE18" s="17" t="str">
        <f>IF(AE$3&lt;=$B18,INDEX(Input!$I$43:$I$2956,AE$3+$A17),"")</f>
        <v/>
      </c>
      <c r="AF18" s="17" t="str">
        <f>IF(AF$3&lt;=$B18,INDEX(Input!$I$43:$I$2956,AF$3+$A17),"")</f>
        <v/>
      </c>
      <c r="AG18" s="17" t="str">
        <f>IF(AG$3&lt;=$B18,INDEX(Input!$I$43:$I$2956,AG$3+$A17),"")</f>
        <v/>
      </c>
      <c r="AH18" s="17" t="str">
        <f>IF(AH$3&lt;=$B18,INDEX(Input!$I$43:$I$2956,AH$3+$A17),"")</f>
        <v/>
      </c>
      <c r="AI18" s="17" t="str">
        <f>IF(AI$3&lt;=$B18,INDEX(Input!$I$43:$I$2956,AI$3+$A17),"")</f>
        <v/>
      </c>
      <c r="AJ18" s="17" t="str">
        <f>IF(AJ$3&lt;=$B18,INDEX(Input!$I$43:$I$2956,AJ$3+$A17),"")</f>
        <v/>
      </c>
      <c r="AK18" s="17" t="str">
        <f>IF(AK$3&lt;=$B18,INDEX(Input!$I$43:$I$2956,AK$3+$A17),"")</f>
        <v/>
      </c>
      <c r="AL18" s="17" t="str">
        <f>IF(AL$3&lt;=$B18,INDEX(Input!$I$43:$I$2956,AL$3+$A17),"")</f>
        <v/>
      </c>
      <c r="AM18" s="17" t="str">
        <f>IF(AM$3&lt;=$B18,INDEX(Input!$I$43:$I$2956,AM$3+$A17),"")</f>
        <v/>
      </c>
      <c r="AN18" s="17" t="str">
        <f>IF(AN$3&lt;=$B18,INDEX(Input!$I$43:$I$2956,AN$3+$A17),"")</f>
        <v/>
      </c>
      <c r="AO18" s="17" t="str">
        <f>IF(AO$3&lt;=$B18,INDEX(Input!$I$43:$I$2956,AO$3+$A17),"")</f>
        <v/>
      </c>
      <c r="AP18" s="17" t="str">
        <f>IF(AP$3&lt;=$B18,INDEX(Input!$I$43:$I$2956,AP$3+$A17),"")</f>
        <v/>
      </c>
      <c r="AQ18" s="17" t="str">
        <f>IF(AQ$3&lt;=$B18,INDEX(Input!$I$43:$I$2956,AQ$3+$A17),"")</f>
        <v/>
      </c>
      <c r="AR18" s="17" t="str">
        <f>IF(AR$3&lt;=$B18,INDEX(Input!$I$43:$I$2956,AR$3+$A17),"")</f>
        <v/>
      </c>
      <c r="AS18" s="17" t="str">
        <f>IF(AS$3&lt;=$B18,INDEX(Input!$I$43:$I$2956,AS$3+$A17),"")</f>
        <v/>
      </c>
      <c r="AT18" s="17" t="str">
        <f>IF(AT$3&lt;=$B18,INDEX(Input!$I$43:$I$2956,AT$3+$A17),"")</f>
        <v/>
      </c>
      <c r="AU18" s="17" t="str">
        <f>IF(AU$3&lt;=$B18,INDEX(Input!$I$43:$I$2956,AU$3+$A17),"")</f>
        <v/>
      </c>
      <c r="AV18" s="17" t="str">
        <f>IF(AV$3&lt;=$B18,INDEX(Input!$I$43:$I$2956,AV$3+$A17),"")</f>
        <v/>
      </c>
      <c r="AW18" s="17" t="str">
        <f>IF(AW$3&lt;=$B18,INDEX(Input!$I$43:$I$2956,AW$3+$A17),"")</f>
        <v/>
      </c>
      <c r="AX18" s="17" t="str">
        <f>IF(AX$3&lt;=$B18,INDEX(Input!$I$43:$I$2956,AX$3+$A17),"")</f>
        <v/>
      </c>
      <c r="AY18" s="17" t="str">
        <f>IF(AY$3&lt;=$B18,INDEX(Input!$I$43:$I$2956,AY$3+$A17),"")</f>
        <v/>
      </c>
      <c r="AZ18" s="17" t="str">
        <f>IF(AZ$3&lt;=$B18,INDEX(Input!$I$43:$I$2956,AZ$3+$A17),"")</f>
        <v/>
      </c>
      <c r="BA18" s="17" t="str">
        <f>IF(BA$3&lt;=$B18,INDEX(Input!$I$43:$I$2956,BA$3+$A17),"")</f>
        <v/>
      </c>
      <c r="BB18" s="17" t="str">
        <f>IF(BB$3&lt;=$B18,INDEX(Input!$I$43:$I$2956,BB$3+$A17),"")</f>
        <v/>
      </c>
      <c r="BC18" s="17" t="str">
        <f>IF(BC$3&lt;=$B18,INDEX(Input!$I$43:$I$2956,BC$3+$A17),"")</f>
        <v/>
      </c>
      <c r="BD18" s="17" t="str">
        <f>IF(BD$3&lt;=$B18,INDEX(Input!$I$43:$I$2956,BD$3+$A17),"")</f>
        <v/>
      </c>
      <c r="BE18" s="17" t="str">
        <f>IF(BE$3&lt;=$B18,INDEX(Input!$I$43:$I$2956,BE$3+$A17),"")</f>
        <v/>
      </c>
      <c r="BF18" s="17" t="str">
        <f>IF(BF$3&lt;=$B18,INDEX(Input!$I$43:$I$2956,BF$3+$A17),"")</f>
        <v/>
      </c>
      <c r="BG18" s="17" t="str">
        <f>IF(BG$3&lt;=$B18,INDEX(Input!$I$43:$I$2956,BG$3+$A17),"")</f>
        <v/>
      </c>
      <c r="BH18" s="17" t="str">
        <f>IF(BH$3&lt;=$B18,INDEX(Input!$I$43:$I$2956,BH$3+$A17),"")</f>
        <v/>
      </c>
      <c r="BI18" s="17" t="str">
        <f>IF(BI$3&lt;=$B18,INDEX(Input!$I$43:$I$2956,BI$3+$A17),"")</f>
        <v/>
      </c>
      <c r="BJ18" s="17" t="str">
        <f>IF(BJ$3&lt;=$B18,INDEX(Input!$I$43:$I$2956,BJ$3+$A17),"")</f>
        <v/>
      </c>
      <c r="BK18" s="17" t="str">
        <f>IF(BK$3&lt;=$B18,INDEX(Input!$I$43:$I$2956,BK$3+$A17),"")</f>
        <v/>
      </c>
      <c r="BL18" s="17" t="str">
        <f>IF(BL$3&lt;=$B18,INDEX(Input!$I$43:$I$2956,BL$3+$A17),"")</f>
        <v/>
      </c>
      <c r="BM18" s="17" t="str">
        <f>IF(BM$3&lt;=$B18,INDEX(Input!$I$43:$I$2956,BM$3+$A17),"")</f>
        <v/>
      </c>
      <c r="BN18" s="17" t="str">
        <f>IF(BN$3&lt;=$B18,INDEX(Input!$I$43:$I$2956,BN$3+$A17),"")</f>
        <v/>
      </c>
      <c r="BO18" s="17" t="str">
        <f>IF(BO$3&lt;=$B18,INDEX(Input!$I$43:$I$2956,BO$3+$A17),"")</f>
        <v/>
      </c>
      <c r="BP18" s="17" t="str">
        <f>IF(BP$3&lt;=$B18,INDEX(Input!$I$43:$I$2956,BP$3+$A17),"")</f>
        <v/>
      </c>
      <c r="BQ18" s="17" t="str">
        <f>IF(BQ$3&lt;=$B18,INDEX(Input!$I$43:$I$2956,BQ$3+$A17),"")</f>
        <v/>
      </c>
      <c r="BR18" s="17" t="str">
        <f>IF(BR$3&lt;=$B18,INDEX(Input!$I$43:$I$2956,BR$3+$A17),"")</f>
        <v/>
      </c>
      <c r="BS18" s="17" t="str">
        <f>IF(BS$3&lt;=$B18,INDEX(Input!$I$43:$I$2956,BS$3+$A17),"")</f>
        <v/>
      </c>
      <c r="BT18" s="17" t="str">
        <f>IF(BT$3&lt;=$B18,INDEX(Input!$I$43:$I$2956,BT$3+$A17),"")</f>
        <v/>
      </c>
      <c r="BU18" s="17" t="str">
        <f>IF(BU$3&lt;=$B18,INDEX(Input!$I$43:$I$2956,BU$3+$A17),"")</f>
        <v/>
      </c>
      <c r="BV18" s="17" t="str">
        <f>IF(BV$3&lt;=$B18,INDEX(Input!$I$43:$I$2956,BV$3+$A17),"")</f>
        <v/>
      </c>
      <c r="BW18" s="17" t="str">
        <f>IF(BW$3&lt;=$B18,INDEX(Input!$I$43:$I$2956,BW$3+$A17),"")</f>
        <v/>
      </c>
      <c r="BX18" s="17" t="str">
        <f>IF(BX$3&lt;=$B18,INDEX(Input!$I$43:$I$2956,BX$3+$A17),"")</f>
        <v/>
      </c>
      <c r="BY18" s="17" t="str">
        <f>IF(BY$3&lt;=$B18,INDEX(Input!$I$43:$I$2956,BY$3+$A17),"")</f>
        <v/>
      </c>
      <c r="BZ18" s="17" t="str">
        <f>IF(BZ$3&lt;=$B18,INDEX(Input!$I$43:$I$2956,BZ$3+$A17),"")</f>
        <v/>
      </c>
      <c r="CA18" s="17" t="str">
        <f>IF(CA$3&lt;=$B18,INDEX(Input!$I$43:$I$2956,CA$3+$A17),"")</f>
        <v/>
      </c>
      <c r="CB18" s="17" t="str">
        <f>IF(CB$3&lt;=$B18,INDEX(Input!$I$43:$I$2956,CB$3+$A17),"")</f>
        <v/>
      </c>
      <c r="CC18" s="17" t="str">
        <f>IF(CC$3&lt;=$B18,INDEX(Input!$I$43:$I$2956,CC$3+$A17),"")</f>
        <v/>
      </c>
      <c r="CD18" s="17" t="str">
        <f>IF(CD$3&lt;=$B18,INDEX(Input!$I$43:$I$2956,CD$3+$A17),"")</f>
        <v/>
      </c>
      <c r="CE18" s="17" t="str">
        <f>IF(CE$3&lt;=$B18,INDEX(Input!$I$43:$I$2956,CE$3+$A17),"")</f>
        <v/>
      </c>
      <c r="CF18" s="17" t="str">
        <f>IF(CF$3&lt;=$B18,INDEX(Input!$I$43:$I$2956,CF$3+$A17),"")</f>
        <v/>
      </c>
      <c r="CG18" s="17" t="str">
        <f>IF(CG$3&lt;=$B18,INDEX(Input!$I$43:$I$2956,CG$3+$A17),"")</f>
        <v/>
      </c>
      <c r="CH18" s="17" t="str">
        <f>IF(CH$3&lt;=$B18,INDEX(Input!$I$43:$I$2956,CH$3+$A17),"")</f>
        <v/>
      </c>
      <c r="CI18" s="17" t="str">
        <f>IF(CI$3&lt;=$B18,INDEX(Input!$I$43:$I$2956,CI$3+$A17),"")</f>
        <v/>
      </c>
      <c r="CJ18" s="17" t="str">
        <f>IF(CJ$3&lt;=$B18,INDEX(Input!$I$43:$I$2956,CJ$3+$A17),"")</f>
        <v/>
      </c>
      <c r="CK18" s="17" t="str">
        <f>IF(CK$3&lt;=$B18,INDEX(Input!$I$43:$I$2956,CK$3+$A17),"")</f>
        <v/>
      </c>
      <c r="CL18" s="17" t="str">
        <f>IF(CL$3&lt;=$B18,INDEX(Input!$I$43:$I$2956,CL$3+$A17),"")</f>
        <v/>
      </c>
      <c r="CM18" s="17" t="str">
        <f>IF(CM$3&lt;=$B18,INDEX(Input!$I$43:$I$2956,CM$3+$A17),"")</f>
        <v/>
      </c>
      <c r="CN18" s="17" t="str">
        <f>IF(CN$3&lt;=$B18,INDEX(Input!$I$43:$I$2956,CN$3+$A17),"")</f>
        <v/>
      </c>
      <c r="CO18" s="17" t="str">
        <f>IF(CO$3&lt;=$B18,INDEX(Input!$I$43:$I$2956,CO$3+$A17),"")</f>
        <v/>
      </c>
      <c r="CP18" s="17" t="str">
        <f>IF(CP$3&lt;=$B18,INDEX(Input!$I$43:$I$2956,CP$3+$A17),"")</f>
        <v/>
      </c>
      <c r="CQ18" s="17" t="str">
        <f>IF(CQ$3&lt;=$B18,INDEX(Input!$I$43:$I$2956,CQ$3+$A17),"")</f>
        <v/>
      </c>
      <c r="CR18" s="17" t="str">
        <f>IF(CR$3&lt;=$B18,INDEX(Input!$I$43:$I$2956,CR$3+$A17),"")</f>
        <v/>
      </c>
      <c r="CS18" s="17" t="str">
        <f>IF(CS$3&lt;=$B18,INDEX(Input!$I$43:$I$2956,CS$3+$A17),"")</f>
        <v/>
      </c>
      <c r="CT18" s="17" t="str">
        <f>IF(CT$3&lt;=$B18,INDEX(Input!$I$43:$I$2956,CT$3+$A17),"")</f>
        <v/>
      </c>
      <c r="CU18" s="17" t="str">
        <f>IF(CU$3&lt;=$B18,INDEX(Input!$I$43:$I$2956,CU$3+$A17),"")</f>
        <v/>
      </c>
      <c r="CV18" s="17" t="str">
        <f>IF(CV$3&lt;=$B18,INDEX(Input!$I$43:$I$2956,CV$3+$A17),"")</f>
        <v/>
      </c>
      <c r="CW18" s="17" t="str">
        <f>IF(CW$3&lt;=$B18,INDEX(Input!$I$43:$I$2956,CW$3+$A17),"")</f>
        <v/>
      </c>
      <c r="CX18" s="17" t="str">
        <f>IF(CX$3&lt;=$B18,INDEX(Input!$I$43:$I$2956,CX$3+$A17),"")</f>
        <v/>
      </c>
      <c r="CY18" s="17" t="str">
        <f>IF(CY$3&lt;=$B18,INDEX(Input!$I$43:$I$2956,CY$3+$A17),"")</f>
        <v/>
      </c>
      <c r="CZ18" s="17" t="str">
        <f>IF(CZ$3&lt;=$B18,INDEX(Input!$I$43:$I$2956,CZ$3+$A17),"")</f>
        <v/>
      </c>
      <c r="DA18" s="17" t="str">
        <f>IF(DA$3&lt;=$B18,INDEX(Input!$I$43:$I$2956,DA$3+$A17),"")</f>
        <v/>
      </c>
      <c r="DB18" s="17" t="str">
        <f>IF(DB$3&lt;=$B18,INDEX(Input!$I$43:$I$2956,DB$3+$A17),"")</f>
        <v/>
      </c>
      <c r="DC18" s="17" t="str">
        <f>IF(DC$3&lt;=$B18,INDEX(Input!$I$43:$I$2956,DC$3+$A17),"")</f>
        <v/>
      </c>
      <c r="DD18" s="17" t="str">
        <f>IF(DD$3&lt;=$B18,INDEX(Input!$I$43:$I$2956,DD$3+$A17),"")</f>
        <v/>
      </c>
      <c r="DE18" s="17" t="str">
        <f>IF(DE$3&lt;=$B18,INDEX(Input!$I$43:$I$2956,DE$3+$A17),"")</f>
        <v/>
      </c>
      <c r="DF18" s="17" t="str">
        <f>IF(DF$3&lt;=$B18,INDEX(Input!$I$43:$I$2956,DF$3+$A17),"")</f>
        <v/>
      </c>
      <c r="DG18" s="17" t="str">
        <f>IF(DG$3&lt;=$B18,INDEX(Input!$I$43:$I$2956,DG$3+$A17),"")</f>
        <v/>
      </c>
      <c r="DH18" s="17" t="str">
        <f>IF(DH$3&lt;=$B18,INDEX(Input!$I$43:$I$2956,DH$3+$A17),"")</f>
        <v/>
      </c>
      <c r="DI18" s="17" t="str">
        <f>IF(DI$3&lt;=$B18,INDEX(Input!$I$43:$I$2956,DI$3+$A17),"")</f>
        <v/>
      </c>
      <c r="DJ18" s="17" t="str">
        <f>IF(DJ$3&lt;=$B18,INDEX(Input!$I$43:$I$2956,DJ$3+$A17),"")</f>
        <v/>
      </c>
      <c r="DK18" s="17" t="str">
        <f>IF(DK$3&lt;=$B18,INDEX(Input!$I$43:$I$2956,DK$3+$A17),"")</f>
        <v/>
      </c>
      <c r="DL18" s="17" t="str">
        <f>IF(DL$3&lt;=$B18,INDEX(Input!$I$43:$I$2956,DL$3+$A17),"")</f>
        <v/>
      </c>
      <c r="DM18" s="17" t="str">
        <f>IF(DM$3&lt;=$B18,INDEX(Input!$I$43:$I$2956,DM$3+$A17),"")</f>
        <v/>
      </c>
      <c r="DN18" s="17" t="str">
        <f>IF(DN$3&lt;=$B18,INDEX(Input!$I$43:$I$2956,DN$3+$A17),"")</f>
        <v/>
      </c>
      <c r="DO18" s="17" t="str">
        <f>IF(DO$3&lt;=$B18,INDEX(Input!$I$43:$I$2956,DO$3+$A17),"")</f>
        <v/>
      </c>
      <c r="DP18" s="17" t="str">
        <f>IF(DP$3&lt;=$B18,INDEX(Input!$I$43:$I$2956,DP$3+$A17),"")</f>
        <v/>
      </c>
      <c r="DQ18" s="17" t="str">
        <f>IF(DQ$3&lt;=$B18,INDEX(Input!$I$43:$I$2956,DQ$3+$A17),"")</f>
        <v/>
      </c>
      <c r="DR18" s="17" t="str">
        <f>IF(DR$3&lt;=$B18,INDEX(Input!$I$43:$I$2956,DR$3+$A17),"")</f>
        <v/>
      </c>
      <c r="DS18" s="17" t="str">
        <f>IF(DS$3&lt;=$B18,INDEX(Input!$I$43:$I$2956,DS$3+$A17),"")</f>
        <v/>
      </c>
      <c r="DT18" s="17" t="str">
        <f>IF(DT$3&lt;=$B18,INDEX(Input!$I$43:$I$2956,DT$3+$A17),"")</f>
        <v/>
      </c>
      <c r="DU18" s="17" t="str">
        <f>IF(DU$3&lt;=$B18,INDEX(Input!$I$43:$I$2956,DU$3+$A17),"")</f>
        <v/>
      </c>
      <c r="DV18" s="17" t="str">
        <f>IF(DV$3&lt;=$B18,INDEX(Input!$I$43:$I$2956,DV$3+$A17),"")</f>
        <v/>
      </c>
      <c r="DW18" s="58">
        <f t="array" ref="DW18:EZ18">IFERROR(eccalc(E18:DV18,C18+B18,B18,$O$2:$AS$2),"")</f>
        <v>179</v>
      </c>
      <c r="DX18" s="59">
        <v>235</v>
      </c>
      <c r="DY18" s="59">
        <v>154</v>
      </c>
      <c r="DZ18" s="59">
        <v>132</v>
      </c>
      <c r="EA18" s="59">
        <v>46</v>
      </c>
      <c r="EB18" s="59">
        <v>29</v>
      </c>
      <c r="EC18" s="59">
        <v>10</v>
      </c>
      <c r="ED18" s="59">
        <v>77</v>
      </c>
      <c r="EE18" s="59">
        <v>169</v>
      </c>
      <c r="EF18" s="59">
        <v>31</v>
      </c>
      <c r="EG18" s="59">
        <v>153</v>
      </c>
      <c r="EH18" s="59">
        <v>35</v>
      </c>
      <c r="EI18" s="59">
        <v>140</v>
      </c>
      <c r="EJ18" s="59">
        <v>158</v>
      </c>
      <c r="EK18" s="59">
        <v>174</v>
      </c>
      <c r="EL18" s="59">
        <v>132</v>
      </c>
      <c r="EM18" s="59">
        <v>79</v>
      </c>
      <c r="EN18" s="59">
        <v>166</v>
      </c>
      <c r="EO18" s="59">
        <v>211</v>
      </c>
      <c r="EP18" s="59">
        <v>252</v>
      </c>
      <c r="EQ18" s="59">
        <v>72</v>
      </c>
      <c r="ER18" s="59">
        <v>117</v>
      </c>
      <c r="ES18" s="59">
        <v>0</v>
      </c>
      <c r="ET18" s="59">
        <v>0</v>
      </c>
      <c r="EU18" s="59">
        <v>0</v>
      </c>
      <c r="EV18" s="59">
        <v>0</v>
      </c>
      <c r="EW18" s="59">
        <v>0</v>
      </c>
      <c r="EX18" s="59">
        <v>0</v>
      </c>
      <c r="EY18" s="59">
        <v>0</v>
      </c>
      <c r="EZ18" s="60">
        <v>0</v>
      </c>
      <c r="FA18" s="17"/>
      <c r="FC18">
        <v>15</v>
      </c>
      <c r="FD18">
        <f t="shared" si="2"/>
        <v>15</v>
      </c>
      <c r="FE18">
        <f t="shared" si="3"/>
        <v>1</v>
      </c>
      <c r="FF18">
        <f t="shared" si="4"/>
        <v>236</v>
      </c>
      <c r="FI18" s="16">
        <v>15</v>
      </c>
      <c r="FJ18" s="17">
        <f t="shared" si="5"/>
        <v>179</v>
      </c>
      <c r="FK18" s="17">
        <f t="shared" si="6"/>
        <v>236</v>
      </c>
      <c r="FL18" s="18" t="str">
        <f t="shared" si="7"/>
        <v>11101100</v>
      </c>
      <c r="FM18" s="2"/>
      <c r="FN18" s="17"/>
      <c r="FO18" s="17"/>
      <c r="FP18" s="17"/>
      <c r="FQ18" s="17"/>
    </row>
    <row r="19" spans="1:176">
      <c r="A19">
        <f>SUM($B$4:B19)</f>
        <v>196</v>
      </c>
      <c r="B19">
        <f t="shared" si="0"/>
        <v>13</v>
      </c>
      <c r="C19">
        <f t="shared" si="1"/>
        <v>22</v>
      </c>
      <c r="D19">
        <v>16</v>
      </c>
      <c r="E19" s="16" t="str">
        <f>IF(E$3&lt;=$B19,INDEX(Input!$I$43:$I$2956,E$3+$A18),"")</f>
        <v/>
      </c>
      <c r="F19" s="17" t="str">
        <f>IF(F$3&lt;=$B19,INDEX(Input!$I$43:$I$2956,F$3+$A18),"")</f>
        <v/>
      </c>
      <c r="G19" s="17" t="str">
        <f>IF(G$3&lt;=$B19,INDEX(Input!$I$43:$I$2956,G$3+$A18),"")</f>
        <v/>
      </c>
      <c r="H19" s="17" t="str">
        <f>IF(H$3&lt;=$B19,INDEX(Input!$I$43:$I$2956,H$3+$A18),"")</f>
        <v/>
      </c>
      <c r="I19" s="17" t="str">
        <f>IF(I$3&lt;=$B19,INDEX(Input!$I$43:$I$2956,I$3+$A18),"")</f>
        <v/>
      </c>
      <c r="J19" s="17" t="str">
        <f>IF(J$3&lt;=$B19,INDEX(Input!$I$43:$I$2956,J$3+$A18),"")</f>
        <v/>
      </c>
      <c r="K19" s="17" t="str">
        <f>IF(K$3&lt;=$B19,INDEX(Input!$I$43:$I$2956,K$3+$A18),"")</f>
        <v/>
      </c>
      <c r="L19" s="17" t="str">
        <f>IF(L$3&lt;=$B19,INDEX(Input!$I$43:$I$2956,L$3+$A18),"")</f>
        <v/>
      </c>
      <c r="M19" s="17" t="str">
        <f>IF(M$3&lt;=$B19,INDEX(Input!$I$43:$I$2956,M$3+$A18),"")</f>
        <v/>
      </c>
      <c r="N19" s="17" t="str">
        <f>IF(N$3&lt;=$B19,INDEX(Input!$I$43:$I$2956,N$3+$A18),"")</f>
        <v/>
      </c>
      <c r="O19" s="17" t="str">
        <f>IF(O$3&lt;=$B19,INDEX(Input!$I$43:$I$2956,O$3+$A18),"")</f>
        <v/>
      </c>
      <c r="P19" s="17" t="str">
        <f>IF(P$3&lt;=$B19,INDEX(Input!$I$43:$I$2956,P$3+$A18),"")</f>
        <v/>
      </c>
      <c r="Q19" s="17" t="str">
        <f>IF(Q$3&lt;=$B19,INDEX(Input!$I$43:$I$2956,Q$3+$A18),"")</f>
        <v/>
      </c>
      <c r="R19" s="17" t="str">
        <f>IF(R$3&lt;=$B19,INDEX(Input!$I$43:$I$2956,R$3+$A18),"")</f>
        <v/>
      </c>
      <c r="S19" s="17" t="str">
        <f>IF(S$3&lt;=$B19,INDEX(Input!$I$43:$I$2956,S$3+$A18),"")</f>
        <v/>
      </c>
      <c r="T19" s="17" t="str">
        <f>IF(T$3&lt;=$B19,INDEX(Input!$I$43:$I$2956,T$3+$A18),"")</f>
        <v/>
      </c>
      <c r="U19" s="17" t="str">
        <f>IF(U$3&lt;=$B19,INDEX(Input!$I$43:$I$2956,U$3+$A18),"")</f>
        <v/>
      </c>
      <c r="V19" s="17" t="str">
        <f>IF(V$3&lt;=$B19,INDEX(Input!$I$43:$I$2956,V$3+$A18),"")</f>
        <v/>
      </c>
      <c r="W19" s="17" t="str">
        <f>IF(W$3&lt;=$B19,INDEX(Input!$I$43:$I$2956,W$3+$A18),"")</f>
        <v/>
      </c>
      <c r="X19" s="17" t="str">
        <f>IF(X$3&lt;=$B19,INDEX(Input!$I$43:$I$2956,X$3+$A18),"")</f>
        <v/>
      </c>
      <c r="Y19" s="17" t="str">
        <f>IF(Y$3&lt;=$B19,INDEX(Input!$I$43:$I$2956,Y$3+$A18),"")</f>
        <v/>
      </c>
      <c r="Z19" s="17" t="str">
        <f>IF(Z$3&lt;=$B19,INDEX(Input!$I$43:$I$2956,Z$3+$A18),"")</f>
        <v/>
      </c>
      <c r="AA19" s="17" t="str">
        <f>IF(AA$3&lt;=$B19,INDEX(Input!$I$43:$I$2956,AA$3+$A18),"")</f>
        <v/>
      </c>
      <c r="AB19" s="17" t="str">
        <f>IF(AB$3&lt;=$B19,INDEX(Input!$I$43:$I$2956,AB$3+$A18),"")</f>
        <v/>
      </c>
      <c r="AC19" s="17" t="str">
        <f>IF(AC$3&lt;=$B19,INDEX(Input!$I$43:$I$2956,AC$3+$A18),"")</f>
        <v/>
      </c>
      <c r="AD19" s="17" t="str">
        <f>IF(AD$3&lt;=$B19,INDEX(Input!$I$43:$I$2956,AD$3+$A18),"")</f>
        <v/>
      </c>
      <c r="AE19" s="17" t="str">
        <f>IF(AE$3&lt;=$B19,INDEX(Input!$I$43:$I$2956,AE$3+$A18),"")</f>
        <v/>
      </c>
      <c r="AF19" s="17" t="str">
        <f>IF(AF$3&lt;=$B19,INDEX(Input!$I$43:$I$2956,AF$3+$A18),"")</f>
        <v/>
      </c>
      <c r="AG19" s="17" t="str">
        <f>IF(AG$3&lt;=$B19,INDEX(Input!$I$43:$I$2956,AG$3+$A18),"")</f>
        <v/>
      </c>
      <c r="AH19" s="17" t="str">
        <f>IF(AH$3&lt;=$B19,INDEX(Input!$I$43:$I$2956,AH$3+$A18),"")</f>
        <v/>
      </c>
      <c r="AI19" s="17" t="str">
        <f>IF(AI$3&lt;=$B19,INDEX(Input!$I$43:$I$2956,AI$3+$A18),"")</f>
        <v/>
      </c>
      <c r="AJ19" s="17" t="str">
        <f>IF(AJ$3&lt;=$B19,INDEX(Input!$I$43:$I$2956,AJ$3+$A18),"")</f>
        <v/>
      </c>
      <c r="AK19" s="17" t="str">
        <f>IF(AK$3&lt;=$B19,INDEX(Input!$I$43:$I$2956,AK$3+$A18),"")</f>
        <v/>
      </c>
      <c r="AL19" s="17" t="str">
        <f>IF(AL$3&lt;=$B19,INDEX(Input!$I$43:$I$2956,AL$3+$A18),"")</f>
        <v/>
      </c>
      <c r="AM19" s="17" t="str">
        <f>IF(AM$3&lt;=$B19,INDEX(Input!$I$43:$I$2956,AM$3+$A18),"")</f>
        <v/>
      </c>
      <c r="AN19" s="17" t="str">
        <f>IF(AN$3&lt;=$B19,INDEX(Input!$I$43:$I$2956,AN$3+$A18),"")</f>
        <v/>
      </c>
      <c r="AO19" s="17" t="str">
        <f>IF(AO$3&lt;=$B19,INDEX(Input!$I$43:$I$2956,AO$3+$A18),"")</f>
        <v/>
      </c>
      <c r="AP19" s="17" t="str">
        <f>IF(AP$3&lt;=$B19,INDEX(Input!$I$43:$I$2956,AP$3+$A18),"")</f>
        <v/>
      </c>
      <c r="AQ19" s="17" t="str">
        <f>IF(AQ$3&lt;=$B19,INDEX(Input!$I$43:$I$2956,AQ$3+$A18),"")</f>
        <v/>
      </c>
      <c r="AR19" s="17" t="str">
        <f>IF(AR$3&lt;=$B19,INDEX(Input!$I$43:$I$2956,AR$3+$A18),"")</f>
        <v/>
      </c>
      <c r="AS19" s="17" t="str">
        <f>IF(AS$3&lt;=$B19,INDEX(Input!$I$43:$I$2956,AS$3+$A18),"")</f>
        <v/>
      </c>
      <c r="AT19" s="17" t="str">
        <f>IF(AT$3&lt;=$B19,INDEX(Input!$I$43:$I$2956,AT$3+$A18),"")</f>
        <v/>
      </c>
      <c r="AU19" s="17" t="str">
        <f>IF(AU$3&lt;=$B19,INDEX(Input!$I$43:$I$2956,AU$3+$A18),"")</f>
        <v/>
      </c>
      <c r="AV19" s="17" t="str">
        <f>IF(AV$3&lt;=$B19,INDEX(Input!$I$43:$I$2956,AV$3+$A18),"")</f>
        <v/>
      </c>
      <c r="AW19" s="17" t="str">
        <f>IF(AW$3&lt;=$B19,INDEX(Input!$I$43:$I$2956,AW$3+$A18),"")</f>
        <v/>
      </c>
      <c r="AX19" s="17" t="str">
        <f>IF(AX$3&lt;=$B19,INDEX(Input!$I$43:$I$2956,AX$3+$A18),"")</f>
        <v/>
      </c>
      <c r="AY19" s="17" t="str">
        <f>IF(AY$3&lt;=$B19,INDEX(Input!$I$43:$I$2956,AY$3+$A18),"")</f>
        <v/>
      </c>
      <c r="AZ19" s="17" t="str">
        <f>IF(AZ$3&lt;=$B19,INDEX(Input!$I$43:$I$2956,AZ$3+$A18),"")</f>
        <v/>
      </c>
      <c r="BA19" s="17" t="str">
        <f>IF(BA$3&lt;=$B19,INDEX(Input!$I$43:$I$2956,BA$3+$A18),"")</f>
        <v/>
      </c>
      <c r="BB19" s="17" t="str">
        <f>IF(BB$3&lt;=$B19,INDEX(Input!$I$43:$I$2956,BB$3+$A18),"")</f>
        <v/>
      </c>
      <c r="BC19" s="17" t="str">
        <f>IF(BC$3&lt;=$B19,INDEX(Input!$I$43:$I$2956,BC$3+$A18),"")</f>
        <v/>
      </c>
      <c r="BD19" s="17" t="str">
        <f>IF(BD$3&lt;=$B19,INDEX(Input!$I$43:$I$2956,BD$3+$A18),"")</f>
        <v/>
      </c>
      <c r="BE19" s="17" t="str">
        <f>IF(BE$3&lt;=$B19,INDEX(Input!$I$43:$I$2956,BE$3+$A18),"")</f>
        <v/>
      </c>
      <c r="BF19" s="17" t="str">
        <f>IF(BF$3&lt;=$B19,INDEX(Input!$I$43:$I$2956,BF$3+$A18),"")</f>
        <v/>
      </c>
      <c r="BG19" s="17" t="str">
        <f>IF(BG$3&lt;=$B19,INDEX(Input!$I$43:$I$2956,BG$3+$A18),"")</f>
        <v/>
      </c>
      <c r="BH19" s="17" t="str">
        <f>IF(BH$3&lt;=$B19,INDEX(Input!$I$43:$I$2956,BH$3+$A18),"")</f>
        <v/>
      </c>
      <c r="BI19" s="17" t="str">
        <f>IF(BI$3&lt;=$B19,INDEX(Input!$I$43:$I$2956,BI$3+$A18),"")</f>
        <v/>
      </c>
      <c r="BJ19" s="17" t="str">
        <f>IF(BJ$3&lt;=$B19,INDEX(Input!$I$43:$I$2956,BJ$3+$A18),"")</f>
        <v/>
      </c>
      <c r="BK19" s="17" t="str">
        <f>IF(BK$3&lt;=$B19,INDEX(Input!$I$43:$I$2956,BK$3+$A18),"")</f>
        <v/>
      </c>
      <c r="BL19" s="17" t="str">
        <f>IF(BL$3&lt;=$B19,INDEX(Input!$I$43:$I$2956,BL$3+$A18),"")</f>
        <v/>
      </c>
      <c r="BM19" s="17" t="str">
        <f>IF(BM$3&lt;=$B19,INDEX(Input!$I$43:$I$2956,BM$3+$A18),"")</f>
        <v/>
      </c>
      <c r="BN19" s="17" t="str">
        <f>IF(BN$3&lt;=$B19,INDEX(Input!$I$43:$I$2956,BN$3+$A18),"")</f>
        <v/>
      </c>
      <c r="BO19" s="17" t="str">
        <f>IF(BO$3&lt;=$B19,INDEX(Input!$I$43:$I$2956,BO$3+$A18),"")</f>
        <v/>
      </c>
      <c r="BP19" s="17" t="str">
        <f>IF(BP$3&lt;=$B19,INDEX(Input!$I$43:$I$2956,BP$3+$A18),"")</f>
        <v/>
      </c>
      <c r="BQ19" s="17" t="str">
        <f>IF(BQ$3&lt;=$B19,INDEX(Input!$I$43:$I$2956,BQ$3+$A18),"")</f>
        <v/>
      </c>
      <c r="BR19" s="17" t="str">
        <f>IF(BR$3&lt;=$B19,INDEX(Input!$I$43:$I$2956,BR$3+$A18),"")</f>
        <v/>
      </c>
      <c r="BS19" s="17" t="str">
        <f>IF(BS$3&lt;=$B19,INDEX(Input!$I$43:$I$2956,BS$3+$A18),"")</f>
        <v/>
      </c>
      <c r="BT19" s="17" t="str">
        <f>IF(BT$3&lt;=$B19,INDEX(Input!$I$43:$I$2956,BT$3+$A18),"")</f>
        <v/>
      </c>
      <c r="BU19" s="17" t="str">
        <f>IF(BU$3&lt;=$B19,INDEX(Input!$I$43:$I$2956,BU$3+$A18),"")</f>
        <v/>
      </c>
      <c r="BV19" s="17" t="str">
        <f>IF(BV$3&lt;=$B19,INDEX(Input!$I$43:$I$2956,BV$3+$A18),"")</f>
        <v/>
      </c>
      <c r="BW19" s="17" t="str">
        <f>IF(BW$3&lt;=$B19,INDEX(Input!$I$43:$I$2956,BW$3+$A18),"")</f>
        <v/>
      </c>
      <c r="BX19" s="17" t="str">
        <f>IF(BX$3&lt;=$B19,INDEX(Input!$I$43:$I$2956,BX$3+$A18),"")</f>
        <v/>
      </c>
      <c r="BY19" s="17" t="str">
        <f>IF(BY$3&lt;=$B19,INDEX(Input!$I$43:$I$2956,BY$3+$A18),"")</f>
        <v/>
      </c>
      <c r="BZ19" s="17" t="str">
        <f>IF(BZ$3&lt;=$B19,INDEX(Input!$I$43:$I$2956,BZ$3+$A18),"")</f>
        <v/>
      </c>
      <c r="CA19" s="17" t="str">
        <f>IF(CA$3&lt;=$B19,INDEX(Input!$I$43:$I$2956,CA$3+$A18),"")</f>
        <v/>
      </c>
      <c r="CB19" s="17" t="str">
        <f>IF(CB$3&lt;=$B19,INDEX(Input!$I$43:$I$2956,CB$3+$A18),"")</f>
        <v/>
      </c>
      <c r="CC19" s="17" t="str">
        <f>IF(CC$3&lt;=$B19,INDEX(Input!$I$43:$I$2956,CC$3+$A18),"")</f>
        <v/>
      </c>
      <c r="CD19" s="17" t="str">
        <f>IF(CD$3&lt;=$B19,INDEX(Input!$I$43:$I$2956,CD$3+$A18),"")</f>
        <v/>
      </c>
      <c r="CE19" s="17" t="str">
        <f>IF(CE$3&lt;=$B19,INDEX(Input!$I$43:$I$2956,CE$3+$A18),"")</f>
        <v/>
      </c>
      <c r="CF19" s="17" t="str">
        <f>IF(CF$3&lt;=$B19,INDEX(Input!$I$43:$I$2956,CF$3+$A18),"")</f>
        <v/>
      </c>
      <c r="CG19" s="17" t="str">
        <f>IF(CG$3&lt;=$B19,INDEX(Input!$I$43:$I$2956,CG$3+$A18),"")</f>
        <v/>
      </c>
      <c r="CH19" s="17" t="str">
        <f>IF(CH$3&lt;=$B19,INDEX(Input!$I$43:$I$2956,CH$3+$A18),"")</f>
        <v/>
      </c>
      <c r="CI19" s="17" t="str">
        <f>IF(CI$3&lt;=$B19,INDEX(Input!$I$43:$I$2956,CI$3+$A18),"")</f>
        <v/>
      </c>
      <c r="CJ19" s="17" t="str">
        <f>IF(CJ$3&lt;=$B19,INDEX(Input!$I$43:$I$2956,CJ$3+$A18),"")</f>
        <v/>
      </c>
      <c r="CK19" s="17" t="str">
        <f>IF(CK$3&lt;=$B19,INDEX(Input!$I$43:$I$2956,CK$3+$A18),"")</f>
        <v/>
      </c>
      <c r="CL19" s="17" t="str">
        <f>IF(CL$3&lt;=$B19,INDEX(Input!$I$43:$I$2956,CL$3+$A18),"")</f>
        <v/>
      </c>
      <c r="CM19" s="17" t="str">
        <f>IF(CM$3&lt;=$B19,INDEX(Input!$I$43:$I$2956,CM$3+$A18),"")</f>
        <v/>
      </c>
      <c r="CN19" s="17" t="str">
        <f>IF(CN$3&lt;=$B19,INDEX(Input!$I$43:$I$2956,CN$3+$A18),"")</f>
        <v/>
      </c>
      <c r="CO19" s="17" t="str">
        <f>IF(CO$3&lt;=$B19,INDEX(Input!$I$43:$I$2956,CO$3+$A18),"")</f>
        <v/>
      </c>
      <c r="CP19" s="17" t="str">
        <f>IF(CP$3&lt;=$B19,INDEX(Input!$I$43:$I$2956,CP$3+$A18),"")</f>
        <v/>
      </c>
      <c r="CQ19" s="17" t="str">
        <f>IF(CQ$3&lt;=$B19,INDEX(Input!$I$43:$I$2956,CQ$3+$A18),"")</f>
        <v/>
      </c>
      <c r="CR19" s="17" t="str">
        <f>IF(CR$3&lt;=$B19,INDEX(Input!$I$43:$I$2956,CR$3+$A18),"")</f>
        <v/>
      </c>
      <c r="CS19" s="17" t="str">
        <f>IF(CS$3&lt;=$B19,INDEX(Input!$I$43:$I$2956,CS$3+$A18),"")</f>
        <v/>
      </c>
      <c r="CT19" s="17" t="str">
        <f>IF(CT$3&lt;=$B19,INDEX(Input!$I$43:$I$2956,CT$3+$A18),"")</f>
        <v/>
      </c>
      <c r="CU19" s="17" t="str">
        <f>IF(CU$3&lt;=$B19,INDEX(Input!$I$43:$I$2956,CU$3+$A18),"")</f>
        <v/>
      </c>
      <c r="CV19" s="17" t="str">
        <f>IF(CV$3&lt;=$B19,INDEX(Input!$I$43:$I$2956,CV$3+$A18),"")</f>
        <v/>
      </c>
      <c r="CW19" s="17" t="str">
        <f>IF(CW$3&lt;=$B19,INDEX(Input!$I$43:$I$2956,CW$3+$A18),"")</f>
        <v/>
      </c>
      <c r="CX19" s="17" t="str">
        <f>IF(CX$3&lt;=$B19,INDEX(Input!$I$43:$I$2956,CX$3+$A18),"")</f>
        <v/>
      </c>
      <c r="CY19" s="17" t="str">
        <f>IF(CY$3&lt;=$B19,INDEX(Input!$I$43:$I$2956,CY$3+$A18),"")</f>
        <v/>
      </c>
      <c r="CZ19" s="17" t="str">
        <f>IF(CZ$3&lt;=$B19,INDEX(Input!$I$43:$I$2956,CZ$3+$A18),"")</f>
        <v/>
      </c>
      <c r="DA19" s="17" t="str">
        <f>IF(DA$3&lt;=$B19,INDEX(Input!$I$43:$I$2956,DA$3+$A18),"")</f>
        <v/>
      </c>
      <c r="DB19" s="17" t="str">
        <f>IF(DB$3&lt;=$B19,INDEX(Input!$I$43:$I$2956,DB$3+$A18),"")</f>
        <v/>
      </c>
      <c r="DC19" s="17" t="str">
        <f>IF(DC$3&lt;=$B19,INDEX(Input!$I$43:$I$2956,DC$3+$A18),"")</f>
        <v/>
      </c>
      <c r="DD19" s="17" t="str">
        <f>IF(DD$3&lt;=$B19,INDEX(Input!$I$43:$I$2956,DD$3+$A18),"")</f>
        <v/>
      </c>
      <c r="DE19" s="17" t="str">
        <f>IF(DE$3&lt;=$B19,INDEX(Input!$I$43:$I$2956,DE$3+$A18),"")</f>
        <v/>
      </c>
      <c r="DF19" s="17" t="str">
        <f>IF(DF$3&lt;=$B19,INDEX(Input!$I$43:$I$2956,DF$3+$A18),"")</f>
        <v/>
      </c>
      <c r="DG19" s="17" t="str">
        <f>IF(DG$3&lt;=$B19,INDEX(Input!$I$43:$I$2956,DG$3+$A18),"")</f>
        <v/>
      </c>
      <c r="DH19" s="17" t="str">
        <f>IF(DH$3&lt;=$B19,INDEX(Input!$I$43:$I$2956,DH$3+$A18),"")</f>
        <v/>
      </c>
      <c r="DI19" s="17" t="str">
        <f>IF(DI$3&lt;=$B19,INDEX(Input!$I$43:$I$2956,DI$3+$A18),"")</f>
        <v/>
      </c>
      <c r="DJ19" s="17" t="str">
        <f>IF(DJ$3&lt;=$B19,INDEX(Input!$I$43:$I$2956,DJ$3+$A18),"")</f>
        <v/>
      </c>
      <c r="DK19" s="17" t="str">
        <f>IF(DK$3&lt;=$B19,INDEX(Input!$I$43:$I$2956,DK$3+$A18),"")</f>
        <v/>
      </c>
      <c r="DL19" s="17" t="str">
        <f>IF(DL$3&lt;=$B19,INDEX(Input!$I$43:$I$2956,DL$3+$A18),"")</f>
        <v/>
      </c>
      <c r="DM19" s="17" t="str">
        <f>IF(DM$3&lt;=$B19,INDEX(Input!$I$43:$I$2956,DM$3+$A18),"")</f>
        <v/>
      </c>
      <c r="DN19" s="17" t="str">
        <f>IF(DN$3&lt;=$B19,INDEX(Input!$I$43:$I$2956,DN$3+$A18),"")</f>
        <v/>
      </c>
      <c r="DO19" s="17" t="str">
        <f>IF(DO$3&lt;=$B19,INDEX(Input!$I$43:$I$2956,DO$3+$A18),"")</f>
        <v/>
      </c>
      <c r="DP19" s="17" t="str">
        <f>IF(DP$3&lt;=$B19,INDEX(Input!$I$43:$I$2956,DP$3+$A18),"")</f>
        <v/>
      </c>
      <c r="DQ19" s="17" t="str">
        <f>IF(DQ$3&lt;=$B19,INDEX(Input!$I$43:$I$2956,DQ$3+$A18),"")</f>
        <v/>
      </c>
      <c r="DR19" s="17" t="str">
        <f>IF(DR$3&lt;=$B19,INDEX(Input!$I$43:$I$2956,DR$3+$A18),"")</f>
        <v/>
      </c>
      <c r="DS19" s="17" t="str">
        <f>IF(DS$3&lt;=$B19,INDEX(Input!$I$43:$I$2956,DS$3+$A18),"")</f>
        <v/>
      </c>
      <c r="DT19" s="17" t="str">
        <f>IF(DT$3&lt;=$B19,INDEX(Input!$I$43:$I$2956,DT$3+$A18),"")</f>
        <v/>
      </c>
      <c r="DU19" s="17" t="str">
        <f>IF(DU$3&lt;=$B19,INDEX(Input!$I$43:$I$2956,DU$3+$A18),"")</f>
        <v/>
      </c>
      <c r="DV19" s="17" t="str">
        <f>IF(DV$3&lt;=$B19,INDEX(Input!$I$43:$I$2956,DV$3+$A18),"")</f>
        <v/>
      </c>
      <c r="DW19" s="58">
        <f t="array" ref="DW19:EZ19">IFERROR(eccalc(E19:DV19,C19+B19,B19,$O$2:$AS$2),"")</f>
        <v>0</v>
      </c>
      <c r="DX19" s="59">
        <v>0</v>
      </c>
      <c r="DY19" s="59">
        <v>0</v>
      </c>
      <c r="DZ19" s="59">
        <v>0</v>
      </c>
      <c r="EA19" s="59">
        <v>0</v>
      </c>
      <c r="EB19" s="59">
        <v>0</v>
      </c>
      <c r="EC19" s="59">
        <v>0</v>
      </c>
      <c r="ED19" s="59">
        <v>0</v>
      </c>
      <c r="EE19" s="59">
        <v>0</v>
      </c>
      <c r="EF19" s="59">
        <v>0</v>
      </c>
      <c r="EG19" s="59">
        <v>0</v>
      </c>
      <c r="EH19" s="59">
        <v>0</v>
      </c>
      <c r="EI19" s="59">
        <v>0</v>
      </c>
      <c r="EJ19" s="59">
        <v>0</v>
      </c>
      <c r="EK19" s="59">
        <v>0</v>
      </c>
      <c r="EL19" s="59">
        <v>0</v>
      </c>
      <c r="EM19" s="59">
        <v>0</v>
      </c>
      <c r="EN19" s="59">
        <v>0</v>
      </c>
      <c r="EO19" s="59">
        <v>0</v>
      </c>
      <c r="EP19" s="59">
        <v>0</v>
      </c>
      <c r="EQ19" s="59">
        <v>0</v>
      </c>
      <c r="ER19" s="59">
        <v>0</v>
      </c>
      <c r="ES19" s="59">
        <v>0</v>
      </c>
      <c r="ET19" s="59">
        <v>0</v>
      </c>
      <c r="EU19" s="59">
        <v>0</v>
      </c>
      <c r="EV19" s="59">
        <v>0</v>
      </c>
      <c r="EW19" s="59">
        <v>0</v>
      </c>
      <c r="EX19" s="59">
        <v>0</v>
      </c>
      <c r="EY19" s="59">
        <v>0</v>
      </c>
      <c r="EZ19" s="60">
        <v>0</v>
      </c>
      <c r="FA19" s="17"/>
      <c r="FC19">
        <v>16</v>
      </c>
      <c r="FD19">
        <f t="shared" si="2"/>
        <v>16</v>
      </c>
      <c r="FE19">
        <f t="shared" si="3"/>
        <v>1</v>
      </c>
      <c r="FF19" t="str">
        <f t="shared" si="4"/>
        <v/>
      </c>
      <c r="FI19" s="16">
        <v>16</v>
      </c>
      <c r="FJ19" s="17">
        <f t="shared" si="5"/>
        <v>0</v>
      </c>
      <c r="FK19" s="17" t="str">
        <f t="shared" si="6"/>
        <v/>
      </c>
      <c r="FL19" s="18" t="str">
        <f t="shared" si="7"/>
        <v/>
      </c>
      <c r="FM19" s="2"/>
    </row>
    <row r="20" spans="1:176" ht="15.75" thickBot="1">
      <c r="A20">
        <f>SUM($B$4:B20)</f>
        <v>196</v>
      </c>
      <c r="B20">
        <f t="shared" si="0"/>
        <v>0</v>
      </c>
      <c r="C20" t="str">
        <f t="shared" si="1"/>
        <v/>
      </c>
      <c r="D20">
        <v>17</v>
      </c>
      <c r="E20" s="16" t="str">
        <f>IF(E$3&lt;=$B20,INDEX(Input!$I$43:$I$2956,E$3+$A19),"")</f>
        <v/>
      </c>
      <c r="F20" s="17" t="str">
        <f>IF(F$3&lt;=$B20,INDEX(Input!$I$43:$I$2956,F$3+$A19),"")</f>
        <v/>
      </c>
      <c r="G20" s="17" t="str">
        <f>IF(G$3&lt;=$B20,INDEX(Input!$I$43:$I$2956,G$3+$A19),"")</f>
        <v/>
      </c>
      <c r="H20" s="17" t="str">
        <f>IF(H$3&lt;=$B20,INDEX(Input!$I$43:$I$2956,H$3+$A19),"")</f>
        <v/>
      </c>
      <c r="I20" s="17" t="str">
        <f>IF(I$3&lt;=$B20,INDEX(Input!$I$43:$I$2956,I$3+$A19),"")</f>
        <v/>
      </c>
      <c r="J20" s="17" t="str">
        <f>IF(J$3&lt;=$B20,INDEX(Input!$I$43:$I$2956,J$3+$A19),"")</f>
        <v/>
      </c>
      <c r="K20" s="17" t="str">
        <f>IF(K$3&lt;=$B20,INDEX(Input!$I$43:$I$2956,K$3+$A19),"")</f>
        <v/>
      </c>
      <c r="L20" s="17" t="str">
        <f>IF(L$3&lt;=$B20,INDEX(Input!$I$43:$I$2956,L$3+$A19),"")</f>
        <v/>
      </c>
      <c r="M20" s="17" t="str">
        <f>IF(M$3&lt;=$B20,INDEX(Input!$I$43:$I$2956,M$3+$A19),"")</f>
        <v/>
      </c>
      <c r="N20" s="17" t="str">
        <f>IF(N$3&lt;=$B20,INDEX(Input!$I$43:$I$2956,N$3+$A19),"")</f>
        <v/>
      </c>
      <c r="O20" s="17" t="str">
        <f>IF(O$3&lt;=$B20,INDEX(Input!$I$43:$I$2956,O$3+$A19),"")</f>
        <v/>
      </c>
      <c r="P20" s="17" t="str">
        <f>IF(P$3&lt;=$B20,INDEX(Input!$I$43:$I$2956,P$3+$A19),"")</f>
        <v/>
      </c>
      <c r="Q20" s="17" t="str">
        <f>IF(Q$3&lt;=$B20,INDEX(Input!$I$43:$I$2956,Q$3+$A19),"")</f>
        <v/>
      </c>
      <c r="R20" s="17" t="str">
        <f>IF(R$3&lt;=$B20,INDEX(Input!$I$43:$I$2956,R$3+$A19),"")</f>
        <v/>
      </c>
      <c r="S20" s="17" t="str">
        <f>IF(S$3&lt;=$B20,INDEX(Input!$I$43:$I$2956,S$3+$A19),"")</f>
        <v/>
      </c>
      <c r="T20" s="17" t="str">
        <f>IF(T$3&lt;=$B20,INDEX(Input!$I$43:$I$2956,T$3+$A19),"")</f>
        <v/>
      </c>
      <c r="U20" s="17" t="str">
        <f>IF(U$3&lt;=$B20,INDEX(Input!$I$43:$I$2956,U$3+$A19),"")</f>
        <v/>
      </c>
      <c r="V20" s="17" t="str">
        <f>IF(V$3&lt;=$B20,INDEX(Input!$I$43:$I$2956,V$3+$A19),"")</f>
        <v/>
      </c>
      <c r="W20" s="17" t="str">
        <f>IF(W$3&lt;=$B20,INDEX(Input!$I$43:$I$2956,W$3+$A19),"")</f>
        <v/>
      </c>
      <c r="X20" s="17" t="str">
        <f>IF(X$3&lt;=$B20,INDEX(Input!$I$43:$I$2956,X$3+$A19),"")</f>
        <v/>
      </c>
      <c r="Y20" s="17" t="str">
        <f>IF(Y$3&lt;=$B20,INDEX(Input!$I$43:$I$2956,Y$3+$A19),"")</f>
        <v/>
      </c>
      <c r="Z20" s="17" t="str">
        <f>IF(Z$3&lt;=$B20,INDEX(Input!$I$43:$I$2956,Z$3+$A19),"")</f>
        <v/>
      </c>
      <c r="AA20" s="17" t="str">
        <f>IF(AA$3&lt;=$B20,INDEX(Input!$I$43:$I$2956,AA$3+$A19),"")</f>
        <v/>
      </c>
      <c r="AB20" s="17" t="str">
        <f>IF(AB$3&lt;=$B20,INDEX(Input!$I$43:$I$2956,AB$3+$A19),"")</f>
        <v/>
      </c>
      <c r="AC20" s="17" t="str">
        <f>IF(AC$3&lt;=$B20,INDEX(Input!$I$43:$I$2956,AC$3+$A19),"")</f>
        <v/>
      </c>
      <c r="AD20" s="17" t="str">
        <f>IF(AD$3&lt;=$B20,INDEX(Input!$I$43:$I$2956,AD$3+$A19),"")</f>
        <v/>
      </c>
      <c r="AE20" s="17" t="str">
        <f>IF(AE$3&lt;=$B20,INDEX(Input!$I$43:$I$2956,AE$3+$A19),"")</f>
        <v/>
      </c>
      <c r="AF20" s="17" t="str">
        <f>IF(AF$3&lt;=$B20,INDEX(Input!$I$43:$I$2956,AF$3+$A19),"")</f>
        <v/>
      </c>
      <c r="AG20" s="17" t="str">
        <f>IF(AG$3&lt;=$B20,INDEX(Input!$I$43:$I$2956,AG$3+$A19),"")</f>
        <v/>
      </c>
      <c r="AH20" s="17" t="str">
        <f>IF(AH$3&lt;=$B20,INDEX(Input!$I$43:$I$2956,AH$3+$A19),"")</f>
        <v/>
      </c>
      <c r="AI20" s="17" t="str">
        <f>IF(AI$3&lt;=$B20,INDEX(Input!$I$43:$I$2956,AI$3+$A19),"")</f>
        <v/>
      </c>
      <c r="AJ20" s="17" t="str">
        <f>IF(AJ$3&lt;=$B20,INDEX(Input!$I$43:$I$2956,AJ$3+$A19),"")</f>
        <v/>
      </c>
      <c r="AK20" s="17" t="str">
        <f>IF(AK$3&lt;=$B20,INDEX(Input!$I$43:$I$2956,AK$3+$A19),"")</f>
        <v/>
      </c>
      <c r="AL20" s="17" t="str">
        <f>IF(AL$3&lt;=$B20,INDEX(Input!$I$43:$I$2956,AL$3+$A19),"")</f>
        <v/>
      </c>
      <c r="AM20" s="17" t="str">
        <f>IF(AM$3&lt;=$B20,INDEX(Input!$I$43:$I$2956,AM$3+$A19),"")</f>
        <v/>
      </c>
      <c r="AN20" s="17" t="str">
        <f>IF(AN$3&lt;=$B20,INDEX(Input!$I$43:$I$2956,AN$3+$A19),"")</f>
        <v/>
      </c>
      <c r="AO20" s="17" t="str">
        <f>IF(AO$3&lt;=$B20,INDEX(Input!$I$43:$I$2956,AO$3+$A19),"")</f>
        <v/>
      </c>
      <c r="AP20" s="17" t="str">
        <f>IF(AP$3&lt;=$B20,INDEX(Input!$I$43:$I$2956,AP$3+$A19),"")</f>
        <v/>
      </c>
      <c r="AQ20" s="17" t="str">
        <f>IF(AQ$3&lt;=$B20,INDEX(Input!$I$43:$I$2956,AQ$3+$A19),"")</f>
        <v/>
      </c>
      <c r="AR20" s="17" t="str">
        <f>IF(AR$3&lt;=$B20,INDEX(Input!$I$43:$I$2956,AR$3+$A19),"")</f>
        <v/>
      </c>
      <c r="AS20" s="17" t="str">
        <f>IF(AS$3&lt;=$B20,INDEX(Input!$I$43:$I$2956,AS$3+$A19),"")</f>
        <v/>
      </c>
      <c r="AT20" s="17" t="str">
        <f>IF(AT$3&lt;=$B20,INDEX(Input!$I$43:$I$2956,AT$3+$A19),"")</f>
        <v/>
      </c>
      <c r="AU20" s="17" t="str">
        <f>IF(AU$3&lt;=$B20,INDEX(Input!$I$43:$I$2956,AU$3+$A19),"")</f>
        <v/>
      </c>
      <c r="AV20" s="17" t="str">
        <f>IF(AV$3&lt;=$B20,INDEX(Input!$I$43:$I$2956,AV$3+$A19),"")</f>
        <v/>
      </c>
      <c r="AW20" s="17" t="str">
        <f>IF(AW$3&lt;=$B20,INDEX(Input!$I$43:$I$2956,AW$3+$A19),"")</f>
        <v/>
      </c>
      <c r="AX20" s="17" t="str">
        <f>IF(AX$3&lt;=$B20,INDEX(Input!$I$43:$I$2956,AX$3+$A19),"")</f>
        <v/>
      </c>
      <c r="AY20" s="17" t="str">
        <f>IF(AY$3&lt;=$B20,INDEX(Input!$I$43:$I$2956,AY$3+$A19),"")</f>
        <v/>
      </c>
      <c r="AZ20" s="17" t="str">
        <f>IF(AZ$3&lt;=$B20,INDEX(Input!$I$43:$I$2956,AZ$3+$A19),"")</f>
        <v/>
      </c>
      <c r="BA20" s="17" t="str">
        <f>IF(BA$3&lt;=$B20,INDEX(Input!$I$43:$I$2956,BA$3+$A19),"")</f>
        <v/>
      </c>
      <c r="BB20" s="17" t="str">
        <f>IF(BB$3&lt;=$B20,INDEX(Input!$I$43:$I$2956,BB$3+$A19),"")</f>
        <v/>
      </c>
      <c r="BC20" s="17" t="str">
        <f>IF(BC$3&lt;=$B20,INDEX(Input!$I$43:$I$2956,BC$3+$A19),"")</f>
        <v/>
      </c>
      <c r="BD20" s="17" t="str">
        <f>IF(BD$3&lt;=$B20,INDEX(Input!$I$43:$I$2956,BD$3+$A19),"")</f>
        <v/>
      </c>
      <c r="BE20" s="17" t="str">
        <f>IF(BE$3&lt;=$B20,INDEX(Input!$I$43:$I$2956,BE$3+$A19),"")</f>
        <v/>
      </c>
      <c r="BF20" s="17" t="str">
        <f>IF(BF$3&lt;=$B20,INDEX(Input!$I$43:$I$2956,BF$3+$A19),"")</f>
        <v/>
      </c>
      <c r="BG20" s="17" t="str">
        <f>IF(BG$3&lt;=$B20,INDEX(Input!$I$43:$I$2956,BG$3+$A19),"")</f>
        <v/>
      </c>
      <c r="BH20" s="17" t="str">
        <f>IF(BH$3&lt;=$B20,INDEX(Input!$I$43:$I$2956,BH$3+$A19),"")</f>
        <v/>
      </c>
      <c r="BI20" s="17" t="str">
        <f>IF(BI$3&lt;=$B20,INDEX(Input!$I$43:$I$2956,BI$3+$A19),"")</f>
        <v/>
      </c>
      <c r="BJ20" s="17" t="str">
        <f>IF(BJ$3&lt;=$B20,INDEX(Input!$I$43:$I$2956,BJ$3+$A19),"")</f>
        <v/>
      </c>
      <c r="BK20" s="17" t="str">
        <f>IF(BK$3&lt;=$B20,INDEX(Input!$I$43:$I$2956,BK$3+$A19),"")</f>
        <v/>
      </c>
      <c r="BL20" s="17" t="str">
        <f>IF(BL$3&lt;=$B20,INDEX(Input!$I$43:$I$2956,BL$3+$A19),"")</f>
        <v/>
      </c>
      <c r="BM20" s="17" t="str">
        <f>IF(BM$3&lt;=$B20,INDEX(Input!$I$43:$I$2956,BM$3+$A19),"")</f>
        <v/>
      </c>
      <c r="BN20" s="17" t="str">
        <f>IF(BN$3&lt;=$B20,INDEX(Input!$I$43:$I$2956,BN$3+$A19),"")</f>
        <v/>
      </c>
      <c r="BO20" s="17" t="str">
        <f>IF(BO$3&lt;=$B20,INDEX(Input!$I$43:$I$2956,BO$3+$A19),"")</f>
        <v/>
      </c>
      <c r="BP20" s="17" t="str">
        <f>IF(BP$3&lt;=$B20,INDEX(Input!$I$43:$I$2956,BP$3+$A19),"")</f>
        <v/>
      </c>
      <c r="BQ20" s="17" t="str">
        <f>IF(BQ$3&lt;=$B20,INDEX(Input!$I$43:$I$2956,BQ$3+$A19),"")</f>
        <v/>
      </c>
      <c r="BR20" s="17" t="str">
        <f>IF(BR$3&lt;=$B20,INDEX(Input!$I$43:$I$2956,BR$3+$A19),"")</f>
        <v/>
      </c>
      <c r="BS20" s="17" t="str">
        <f>IF(BS$3&lt;=$B20,INDEX(Input!$I$43:$I$2956,BS$3+$A19),"")</f>
        <v/>
      </c>
      <c r="BT20" s="17" t="str">
        <f>IF(BT$3&lt;=$B20,INDEX(Input!$I$43:$I$2956,BT$3+$A19),"")</f>
        <v/>
      </c>
      <c r="BU20" s="17" t="str">
        <f>IF(BU$3&lt;=$B20,INDEX(Input!$I$43:$I$2956,BU$3+$A19),"")</f>
        <v/>
      </c>
      <c r="BV20" s="17" t="str">
        <f>IF(BV$3&lt;=$B20,INDEX(Input!$I$43:$I$2956,BV$3+$A19),"")</f>
        <v/>
      </c>
      <c r="BW20" s="17" t="str">
        <f>IF(BW$3&lt;=$B20,INDEX(Input!$I$43:$I$2956,BW$3+$A19),"")</f>
        <v/>
      </c>
      <c r="BX20" s="17" t="str">
        <f>IF(BX$3&lt;=$B20,INDEX(Input!$I$43:$I$2956,BX$3+$A19),"")</f>
        <v/>
      </c>
      <c r="BY20" s="17" t="str">
        <f>IF(BY$3&lt;=$B20,INDEX(Input!$I$43:$I$2956,BY$3+$A19),"")</f>
        <v/>
      </c>
      <c r="BZ20" s="17" t="str">
        <f>IF(BZ$3&lt;=$B20,INDEX(Input!$I$43:$I$2956,BZ$3+$A19),"")</f>
        <v/>
      </c>
      <c r="CA20" s="17" t="str">
        <f>IF(CA$3&lt;=$B20,INDEX(Input!$I$43:$I$2956,CA$3+$A19),"")</f>
        <v/>
      </c>
      <c r="CB20" s="17" t="str">
        <f>IF(CB$3&lt;=$B20,INDEX(Input!$I$43:$I$2956,CB$3+$A19),"")</f>
        <v/>
      </c>
      <c r="CC20" s="17" t="str">
        <f>IF(CC$3&lt;=$B20,INDEX(Input!$I$43:$I$2956,CC$3+$A19),"")</f>
        <v/>
      </c>
      <c r="CD20" s="17" t="str">
        <f>IF(CD$3&lt;=$B20,INDEX(Input!$I$43:$I$2956,CD$3+$A19),"")</f>
        <v/>
      </c>
      <c r="CE20" s="17" t="str">
        <f>IF(CE$3&lt;=$B20,INDEX(Input!$I$43:$I$2956,CE$3+$A19),"")</f>
        <v/>
      </c>
      <c r="CF20" s="17" t="str">
        <f>IF(CF$3&lt;=$B20,INDEX(Input!$I$43:$I$2956,CF$3+$A19),"")</f>
        <v/>
      </c>
      <c r="CG20" s="17" t="str">
        <f>IF(CG$3&lt;=$B20,INDEX(Input!$I$43:$I$2956,CG$3+$A19),"")</f>
        <v/>
      </c>
      <c r="CH20" s="17" t="str">
        <f>IF(CH$3&lt;=$B20,INDEX(Input!$I$43:$I$2956,CH$3+$A19),"")</f>
        <v/>
      </c>
      <c r="CI20" s="17" t="str">
        <f>IF(CI$3&lt;=$B20,INDEX(Input!$I$43:$I$2956,CI$3+$A19),"")</f>
        <v/>
      </c>
      <c r="CJ20" s="17" t="str">
        <f>IF(CJ$3&lt;=$B20,INDEX(Input!$I$43:$I$2956,CJ$3+$A19),"")</f>
        <v/>
      </c>
      <c r="CK20" s="17" t="str">
        <f>IF(CK$3&lt;=$B20,INDEX(Input!$I$43:$I$2956,CK$3+$A19),"")</f>
        <v/>
      </c>
      <c r="CL20" s="17" t="str">
        <f>IF(CL$3&lt;=$B20,INDEX(Input!$I$43:$I$2956,CL$3+$A19),"")</f>
        <v/>
      </c>
      <c r="CM20" s="17" t="str">
        <f>IF(CM$3&lt;=$B20,INDEX(Input!$I$43:$I$2956,CM$3+$A19),"")</f>
        <v/>
      </c>
      <c r="CN20" s="17" t="str">
        <f>IF(CN$3&lt;=$B20,INDEX(Input!$I$43:$I$2956,CN$3+$A19),"")</f>
        <v/>
      </c>
      <c r="CO20" s="17" t="str">
        <f>IF(CO$3&lt;=$B20,INDEX(Input!$I$43:$I$2956,CO$3+$A19),"")</f>
        <v/>
      </c>
      <c r="CP20" s="17" t="str">
        <f>IF(CP$3&lt;=$B20,INDEX(Input!$I$43:$I$2956,CP$3+$A19),"")</f>
        <v/>
      </c>
      <c r="CQ20" s="17" t="str">
        <f>IF(CQ$3&lt;=$B20,INDEX(Input!$I$43:$I$2956,CQ$3+$A19),"")</f>
        <v/>
      </c>
      <c r="CR20" s="17" t="str">
        <f>IF(CR$3&lt;=$B20,INDEX(Input!$I$43:$I$2956,CR$3+$A19),"")</f>
        <v/>
      </c>
      <c r="CS20" s="17" t="str">
        <f>IF(CS$3&lt;=$B20,INDEX(Input!$I$43:$I$2956,CS$3+$A19),"")</f>
        <v/>
      </c>
      <c r="CT20" s="17" t="str">
        <f>IF(CT$3&lt;=$B20,INDEX(Input!$I$43:$I$2956,CT$3+$A19),"")</f>
        <v/>
      </c>
      <c r="CU20" s="17" t="str">
        <f>IF(CU$3&lt;=$B20,INDEX(Input!$I$43:$I$2956,CU$3+$A19),"")</f>
        <v/>
      </c>
      <c r="CV20" s="17" t="str">
        <f>IF(CV$3&lt;=$B20,INDEX(Input!$I$43:$I$2956,CV$3+$A19),"")</f>
        <v/>
      </c>
      <c r="CW20" s="17" t="str">
        <f>IF(CW$3&lt;=$B20,INDEX(Input!$I$43:$I$2956,CW$3+$A19),"")</f>
        <v/>
      </c>
      <c r="CX20" s="17" t="str">
        <f>IF(CX$3&lt;=$B20,INDEX(Input!$I$43:$I$2956,CX$3+$A19),"")</f>
        <v/>
      </c>
      <c r="CY20" s="17" t="str">
        <f>IF(CY$3&lt;=$B20,INDEX(Input!$I$43:$I$2956,CY$3+$A19),"")</f>
        <v/>
      </c>
      <c r="CZ20" s="17" t="str">
        <f>IF(CZ$3&lt;=$B20,INDEX(Input!$I$43:$I$2956,CZ$3+$A19),"")</f>
        <v/>
      </c>
      <c r="DA20" s="17" t="str">
        <f>IF(DA$3&lt;=$B20,INDEX(Input!$I$43:$I$2956,DA$3+$A19),"")</f>
        <v/>
      </c>
      <c r="DB20" s="17" t="str">
        <f>IF(DB$3&lt;=$B20,INDEX(Input!$I$43:$I$2956,DB$3+$A19),"")</f>
        <v/>
      </c>
      <c r="DC20" s="17" t="str">
        <f>IF(DC$3&lt;=$B20,INDEX(Input!$I$43:$I$2956,DC$3+$A19),"")</f>
        <v/>
      </c>
      <c r="DD20" s="17" t="str">
        <f>IF(DD$3&lt;=$B20,INDEX(Input!$I$43:$I$2956,DD$3+$A19),"")</f>
        <v/>
      </c>
      <c r="DE20" s="17" t="str">
        <f>IF(DE$3&lt;=$B20,INDEX(Input!$I$43:$I$2956,DE$3+$A19),"")</f>
        <v/>
      </c>
      <c r="DF20" s="17" t="str">
        <f>IF(DF$3&lt;=$B20,INDEX(Input!$I$43:$I$2956,DF$3+$A19),"")</f>
        <v/>
      </c>
      <c r="DG20" s="17" t="str">
        <f>IF(DG$3&lt;=$B20,INDEX(Input!$I$43:$I$2956,DG$3+$A19),"")</f>
        <v/>
      </c>
      <c r="DH20" s="17" t="str">
        <f>IF(DH$3&lt;=$B20,INDEX(Input!$I$43:$I$2956,DH$3+$A19),"")</f>
        <v/>
      </c>
      <c r="DI20" s="17" t="str">
        <f>IF(DI$3&lt;=$B20,INDEX(Input!$I$43:$I$2956,DI$3+$A19),"")</f>
        <v/>
      </c>
      <c r="DJ20" s="17" t="str">
        <f>IF(DJ$3&lt;=$B20,INDEX(Input!$I$43:$I$2956,DJ$3+$A19),"")</f>
        <v/>
      </c>
      <c r="DK20" s="17" t="str">
        <f>IF(DK$3&lt;=$B20,INDEX(Input!$I$43:$I$2956,DK$3+$A19),"")</f>
        <v/>
      </c>
      <c r="DL20" s="17" t="str">
        <f>IF(DL$3&lt;=$B20,INDEX(Input!$I$43:$I$2956,DL$3+$A19),"")</f>
        <v/>
      </c>
      <c r="DM20" s="17" t="str">
        <f>IF(DM$3&lt;=$B20,INDEX(Input!$I$43:$I$2956,DM$3+$A19),"")</f>
        <v/>
      </c>
      <c r="DN20" s="17" t="str">
        <f>IF(DN$3&lt;=$B20,INDEX(Input!$I$43:$I$2956,DN$3+$A19),"")</f>
        <v/>
      </c>
      <c r="DO20" s="17" t="str">
        <f>IF(DO$3&lt;=$B20,INDEX(Input!$I$43:$I$2956,DO$3+$A19),"")</f>
        <v/>
      </c>
      <c r="DP20" s="17" t="str">
        <f>IF(DP$3&lt;=$B20,INDEX(Input!$I$43:$I$2956,DP$3+$A19),"")</f>
        <v/>
      </c>
      <c r="DQ20" s="17" t="str">
        <f>IF(DQ$3&lt;=$B20,INDEX(Input!$I$43:$I$2956,DQ$3+$A19),"")</f>
        <v/>
      </c>
      <c r="DR20" s="17" t="str">
        <f>IF(DR$3&lt;=$B20,INDEX(Input!$I$43:$I$2956,DR$3+$A19),"")</f>
        <v/>
      </c>
      <c r="DS20" s="17" t="str">
        <f>IF(DS$3&lt;=$B20,INDEX(Input!$I$43:$I$2956,DS$3+$A19),"")</f>
        <v/>
      </c>
      <c r="DT20" s="17" t="str">
        <f>IF(DT$3&lt;=$B20,INDEX(Input!$I$43:$I$2956,DT$3+$A19),"")</f>
        <v/>
      </c>
      <c r="DU20" s="17" t="str">
        <f>IF(DU$3&lt;=$B20,INDEX(Input!$I$43:$I$2956,DU$3+$A19),"")</f>
        <v/>
      </c>
      <c r="DV20" s="17" t="str">
        <f>IF(DV$3&lt;=$B20,INDEX(Input!$I$43:$I$2956,DV$3+$A19),"")</f>
        <v/>
      </c>
      <c r="DW20" s="58" t="str">
        <f t="array" ref="DW20:EZ20">IFERROR(eccalc(E20:DV20,C20+B20,B20,$O$2:$AS$2),"")</f>
        <v/>
      </c>
      <c r="DX20" s="59" t="str">
        <v/>
      </c>
      <c r="DY20" s="59" t="str">
        <v/>
      </c>
      <c r="DZ20" s="59" t="str">
        <v/>
      </c>
      <c r="EA20" s="59" t="str">
        <v/>
      </c>
      <c r="EB20" s="59" t="str">
        <v/>
      </c>
      <c r="EC20" s="59" t="str">
        <v/>
      </c>
      <c r="ED20" s="59" t="str">
        <v/>
      </c>
      <c r="EE20" s="59" t="str">
        <v/>
      </c>
      <c r="EF20" s="59" t="str">
        <v/>
      </c>
      <c r="EG20" s="59" t="str">
        <v/>
      </c>
      <c r="EH20" s="59" t="str">
        <v/>
      </c>
      <c r="EI20" s="59" t="str">
        <v/>
      </c>
      <c r="EJ20" s="59" t="str">
        <v/>
      </c>
      <c r="EK20" s="59" t="str">
        <v/>
      </c>
      <c r="EL20" s="59" t="str">
        <v/>
      </c>
      <c r="EM20" s="59" t="str">
        <v/>
      </c>
      <c r="EN20" s="59" t="str">
        <v/>
      </c>
      <c r="EO20" s="59" t="str">
        <v/>
      </c>
      <c r="EP20" s="59" t="str">
        <v/>
      </c>
      <c r="EQ20" s="59" t="str">
        <v/>
      </c>
      <c r="ER20" s="59" t="str">
        <v/>
      </c>
      <c r="ES20" s="59" t="str">
        <v/>
      </c>
      <c r="ET20" s="59" t="str">
        <v/>
      </c>
      <c r="EU20" s="59" t="str">
        <v/>
      </c>
      <c r="EV20" s="59" t="str">
        <v/>
      </c>
      <c r="EW20" s="59" t="str">
        <v/>
      </c>
      <c r="EX20" s="59" t="str">
        <v/>
      </c>
      <c r="EY20" s="59" t="str">
        <v/>
      </c>
      <c r="EZ20" s="60" t="str">
        <v/>
      </c>
      <c r="FA20" s="17"/>
      <c r="FC20">
        <v>17</v>
      </c>
      <c r="FD20">
        <f t="shared" si="2"/>
        <v>1</v>
      </c>
      <c r="FE20">
        <f t="shared" si="3"/>
        <v>2</v>
      </c>
      <c r="FF20">
        <f t="shared" si="4"/>
        <v>7</v>
      </c>
      <c r="FI20" s="16">
        <v>17</v>
      </c>
      <c r="FJ20" s="17">
        <f t="shared" si="5"/>
        <v>30</v>
      </c>
      <c r="FK20" s="17">
        <f t="shared" si="6"/>
        <v>7</v>
      </c>
      <c r="FL20" s="18" t="str">
        <f t="shared" si="7"/>
        <v>00000111</v>
      </c>
      <c r="FM20" s="2"/>
      <c r="FN20" t="s">
        <v>156</v>
      </c>
      <c r="FP20">
        <f>LEN(FN21)</f>
        <v>4256</v>
      </c>
    </row>
    <row r="21" spans="1:176" ht="15.75" thickBot="1">
      <c r="A21">
        <f>SUM($B$4:B21)</f>
        <v>196</v>
      </c>
      <c r="B21">
        <f t="shared" si="0"/>
        <v>0</v>
      </c>
      <c r="C21" t="str">
        <f t="shared" si="1"/>
        <v/>
      </c>
      <c r="D21">
        <v>18</v>
      </c>
      <c r="E21" s="16" t="str">
        <f>IF(E$3&lt;=$B21,INDEX(Input!$I$43:$I$2956,E$3+$A20),"")</f>
        <v/>
      </c>
      <c r="F21" s="17" t="str">
        <f>IF(F$3&lt;=$B21,INDEX(Input!$I$43:$I$2956,F$3+$A20),"")</f>
        <v/>
      </c>
      <c r="G21" s="17" t="str">
        <f>IF(G$3&lt;=$B21,INDEX(Input!$I$43:$I$2956,G$3+$A20),"")</f>
        <v/>
      </c>
      <c r="H21" s="17" t="str">
        <f>IF(H$3&lt;=$B21,INDEX(Input!$I$43:$I$2956,H$3+$A20),"")</f>
        <v/>
      </c>
      <c r="I21" s="17" t="str">
        <f>IF(I$3&lt;=$B21,INDEX(Input!$I$43:$I$2956,I$3+$A20),"")</f>
        <v/>
      </c>
      <c r="J21" s="17" t="str">
        <f>IF(J$3&lt;=$B21,INDEX(Input!$I$43:$I$2956,J$3+$A20),"")</f>
        <v/>
      </c>
      <c r="K21" s="17" t="str">
        <f>IF(K$3&lt;=$B21,INDEX(Input!$I$43:$I$2956,K$3+$A20),"")</f>
        <v/>
      </c>
      <c r="L21" s="17" t="str">
        <f>IF(L$3&lt;=$B21,INDEX(Input!$I$43:$I$2956,L$3+$A20),"")</f>
        <v/>
      </c>
      <c r="M21" s="17" t="str">
        <f>IF(M$3&lt;=$B21,INDEX(Input!$I$43:$I$2956,M$3+$A20),"")</f>
        <v/>
      </c>
      <c r="N21" s="17" t="str">
        <f>IF(N$3&lt;=$B21,INDEX(Input!$I$43:$I$2956,N$3+$A20),"")</f>
        <v/>
      </c>
      <c r="O21" s="17" t="str">
        <f>IF(O$3&lt;=$B21,INDEX(Input!$I$43:$I$2956,O$3+$A20),"")</f>
        <v/>
      </c>
      <c r="P21" s="17" t="str">
        <f>IF(P$3&lt;=$B21,INDEX(Input!$I$43:$I$2956,P$3+$A20),"")</f>
        <v/>
      </c>
      <c r="Q21" s="17" t="str">
        <f>IF(Q$3&lt;=$B21,INDEX(Input!$I$43:$I$2956,Q$3+$A20),"")</f>
        <v/>
      </c>
      <c r="R21" s="17" t="str">
        <f>IF(R$3&lt;=$B21,INDEX(Input!$I$43:$I$2956,R$3+$A20),"")</f>
        <v/>
      </c>
      <c r="S21" s="17" t="str">
        <f>IF(S$3&lt;=$B21,INDEX(Input!$I$43:$I$2956,S$3+$A20),"")</f>
        <v/>
      </c>
      <c r="T21" s="17" t="str">
        <f>IF(T$3&lt;=$B21,INDEX(Input!$I$43:$I$2956,T$3+$A20),"")</f>
        <v/>
      </c>
      <c r="U21" s="17" t="str">
        <f>IF(U$3&lt;=$B21,INDEX(Input!$I$43:$I$2956,U$3+$A20),"")</f>
        <v/>
      </c>
      <c r="V21" s="17" t="str">
        <f>IF(V$3&lt;=$B21,INDEX(Input!$I$43:$I$2956,V$3+$A20),"")</f>
        <v/>
      </c>
      <c r="W21" s="17" t="str">
        <f>IF(W$3&lt;=$B21,INDEX(Input!$I$43:$I$2956,W$3+$A20),"")</f>
        <v/>
      </c>
      <c r="X21" s="17" t="str">
        <f>IF(X$3&lt;=$B21,INDEX(Input!$I$43:$I$2956,X$3+$A20),"")</f>
        <v/>
      </c>
      <c r="Y21" s="17" t="str">
        <f>IF(Y$3&lt;=$B21,INDEX(Input!$I$43:$I$2956,Y$3+$A20),"")</f>
        <v/>
      </c>
      <c r="Z21" s="17" t="str">
        <f>IF(Z$3&lt;=$B21,INDEX(Input!$I$43:$I$2956,Z$3+$A20),"")</f>
        <v/>
      </c>
      <c r="AA21" s="17" t="str">
        <f>IF(AA$3&lt;=$B21,INDEX(Input!$I$43:$I$2956,AA$3+$A20),"")</f>
        <v/>
      </c>
      <c r="AB21" s="17" t="str">
        <f>IF(AB$3&lt;=$B21,INDEX(Input!$I$43:$I$2956,AB$3+$A20),"")</f>
        <v/>
      </c>
      <c r="AC21" s="17" t="str">
        <f>IF(AC$3&lt;=$B21,INDEX(Input!$I$43:$I$2956,AC$3+$A20),"")</f>
        <v/>
      </c>
      <c r="AD21" s="17" t="str">
        <f>IF(AD$3&lt;=$B21,INDEX(Input!$I$43:$I$2956,AD$3+$A20),"")</f>
        <v/>
      </c>
      <c r="AE21" s="17" t="str">
        <f>IF(AE$3&lt;=$B21,INDEX(Input!$I$43:$I$2956,AE$3+$A20),"")</f>
        <v/>
      </c>
      <c r="AF21" s="17" t="str">
        <f>IF(AF$3&lt;=$B21,INDEX(Input!$I$43:$I$2956,AF$3+$A20),"")</f>
        <v/>
      </c>
      <c r="AG21" s="17" t="str">
        <f>IF(AG$3&lt;=$B21,INDEX(Input!$I$43:$I$2956,AG$3+$A20),"")</f>
        <v/>
      </c>
      <c r="AH21" s="17" t="str">
        <f>IF(AH$3&lt;=$B21,INDEX(Input!$I$43:$I$2956,AH$3+$A20),"")</f>
        <v/>
      </c>
      <c r="AI21" s="17" t="str">
        <f>IF(AI$3&lt;=$B21,INDEX(Input!$I$43:$I$2956,AI$3+$A20),"")</f>
        <v/>
      </c>
      <c r="AJ21" s="17" t="str">
        <f>IF(AJ$3&lt;=$B21,INDEX(Input!$I$43:$I$2956,AJ$3+$A20),"")</f>
        <v/>
      </c>
      <c r="AK21" s="17" t="str">
        <f>IF(AK$3&lt;=$B21,INDEX(Input!$I$43:$I$2956,AK$3+$A20),"")</f>
        <v/>
      </c>
      <c r="AL21" s="17" t="str">
        <f>IF(AL$3&lt;=$B21,INDEX(Input!$I$43:$I$2956,AL$3+$A20),"")</f>
        <v/>
      </c>
      <c r="AM21" s="17" t="str">
        <f>IF(AM$3&lt;=$B21,INDEX(Input!$I$43:$I$2956,AM$3+$A20),"")</f>
        <v/>
      </c>
      <c r="AN21" s="17" t="str">
        <f>IF(AN$3&lt;=$B21,INDEX(Input!$I$43:$I$2956,AN$3+$A20),"")</f>
        <v/>
      </c>
      <c r="AO21" s="17" t="str">
        <f>IF(AO$3&lt;=$B21,INDEX(Input!$I$43:$I$2956,AO$3+$A20),"")</f>
        <v/>
      </c>
      <c r="AP21" s="17" t="str">
        <f>IF(AP$3&lt;=$B21,INDEX(Input!$I$43:$I$2956,AP$3+$A20),"")</f>
        <v/>
      </c>
      <c r="AQ21" s="17" t="str">
        <f>IF(AQ$3&lt;=$B21,INDEX(Input!$I$43:$I$2956,AQ$3+$A20),"")</f>
        <v/>
      </c>
      <c r="AR21" s="17" t="str">
        <f>IF(AR$3&lt;=$B21,INDEX(Input!$I$43:$I$2956,AR$3+$A20),"")</f>
        <v/>
      </c>
      <c r="AS21" s="17" t="str">
        <f>IF(AS$3&lt;=$B21,INDEX(Input!$I$43:$I$2956,AS$3+$A20),"")</f>
        <v/>
      </c>
      <c r="AT21" s="17" t="str">
        <f>IF(AT$3&lt;=$B21,INDEX(Input!$I$43:$I$2956,AT$3+$A20),"")</f>
        <v/>
      </c>
      <c r="AU21" s="17" t="str">
        <f>IF(AU$3&lt;=$B21,INDEX(Input!$I$43:$I$2956,AU$3+$A20),"")</f>
        <v/>
      </c>
      <c r="AV21" s="17" t="str">
        <f>IF(AV$3&lt;=$B21,INDEX(Input!$I$43:$I$2956,AV$3+$A20),"")</f>
        <v/>
      </c>
      <c r="AW21" s="17" t="str">
        <f>IF(AW$3&lt;=$B21,INDEX(Input!$I$43:$I$2956,AW$3+$A20),"")</f>
        <v/>
      </c>
      <c r="AX21" s="17" t="str">
        <f>IF(AX$3&lt;=$B21,INDEX(Input!$I$43:$I$2956,AX$3+$A20),"")</f>
        <v/>
      </c>
      <c r="AY21" s="17" t="str">
        <f>IF(AY$3&lt;=$B21,INDEX(Input!$I$43:$I$2956,AY$3+$A20),"")</f>
        <v/>
      </c>
      <c r="AZ21" s="17" t="str">
        <f>IF(AZ$3&lt;=$B21,INDEX(Input!$I$43:$I$2956,AZ$3+$A20),"")</f>
        <v/>
      </c>
      <c r="BA21" s="17" t="str">
        <f>IF(BA$3&lt;=$B21,INDEX(Input!$I$43:$I$2956,BA$3+$A20),"")</f>
        <v/>
      </c>
      <c r="BB21" s="17" t="str">
        <f>IF(BB$3&lt;=$B21,INDEX(Input!$I$43:$I$2956,BB$3+$A20),"")</f>
        <v/>
      </c>
      <c r="BC21" s="17" t="str">
        <f>IF(BC$3&lt;=$B21,INDEX(Input!$I$43:$I$2956,BC$3+$A20),"")</f>
        <v/>
      </c>
      <c r="BD21" s="17" t="str">
        <f>IF(BD$3&lt;=$B21,INDEX(Input!$I$43:$I$2956,BD$3+$A20),"")</f>
        <v/>
      </c>
      <c r="BE21" s="17" t="str">
        <f>IF(BE$3&lt;=$B21,INDEX(Input!$I$43:$I$2956,BE$3+$A20),"")</f>
        <v/>
      </c>
      <c r="BF21" s="17" t="str">
        <f>IF(BF$3&lt;=$B21,INDEX(Input!$I$43:$I$2956,BF$3+$A20),"")</f>
        <v/>
      </c>
      <c r="BG21" s="17" t="str">
        <f>IF(BG$3&lt;=$B21,INDEX(Input!$I$43:$I$2956,BG$3+$A20),"")</f>
        <v/>
      </c>
      <c r="BH21" s="17" t="str">
        <f>IF(BH$3&lt;=$B21,INDEX(Input!$I$43:$I$2956,BH$3+$A20),"")</f>
        <v/>
      </c>
      <c r="BI21" s="17" t="str">
        <f>IF(BI$3&lt;=$B21,INDEX(Input!$I$43:$I$2956,BI$3+$A20),"")</f>
        <v/>
      </c>
      <c r="BJ21" s="17" t="str">
        <f>IF(BJ$3&lt;=$B21,INDEX(Input!$I$43:$I$2956,BJ$3+$A20),"")</f>
        <v/>
      </c>
      <c r="BK21" s="17" t="str">
        <f>IF(BK$3&lt;=$B21,INDEX(Input!$I$43:$I$2956,BK$3+$A20),"")</f>
        <v/>
      </c>
      <c r="BL21" s="17" t="str">
        <f>IF(BL$3&lt;=$B21,INDEX(Input!$I$43:$I$2956,BL$3+$A20),"")</f>
        <v/>
      </c>
      <c r="BM21" s="17" t="str">
        <f>IF(BM$3&lt;=$B21,INDEX(Input!$I$43:$I$2956,BM$3+$A20),"")</f>
        <v/>
      </c>
      <c r="BN21" s="17" t="str">
        <f>IF(BN$3&lt;=$B21,INDEX(Input!$I$43:$I$2956,BN$3+$A20),"")</f>
        <v/>
      </c>
      <c r="BO21" s="17" t="str">
        <f>IF(BO$3&lt;=$B21,INDEX(Input!$I$43:$I$2956,BO$3+$A20),"")</f>
        <v/>
      </c>
      <c r="BP21" s="17" t="str">
        <f>IF(BP$3&lt;=$B21,INDEX(Input!$I$43:$I$2956,BP$3+$A20),"")</f>
        <v/>
      </c>
      <c r="BQ21" s="17" t="str">
        <f>IF(BQ$3&lt;=$B21,INDEX(Input!$I$43:$I$2956,BQ$3+$A20),"")</f>
        <v/>
      </c>
      <c r="BR21" s="17" t="str">
        <f>IF(BR$3&lt;=$B21,INDEX(Input!$I$43:$I$2956,BR$3+$A20),"")</f>
        <v/>
      </c>
      <c r="BS21" s="17" t="str">
        <f>IF(BS$3&lt;=$B21,INDEX(Input!$I$43:$I$2956,BS$3+$A20),"")</f>
        <v/>
      </c>
      <c r="BT21" s="17" t="str">
        <f>IF(BT$3&lt;=$B21,INDEX(Input!$I$43:$I$2956,BT$3+$A20),"")</f>
        <v/>
      </c>
      <c r="BU21" s="17" t="str">
        <f>IF(BU$3&lt;=$B21,INDEX(Input!$I$43:$I$2956,BU$3+$A20),"")</f>
        <v/>
      </c>
      <c r="BV21" s="17" t="str">
        <f>IF(BV$3&lt;=$B21,INDEX(Input!$I$43:$I$2956,BV$3+$A20),"")</f>
        <v/>
      </c>
      <c r="BW21" s="17" t="str">
        <f>IF(BW$3&lt;=$B21,INDEX(Input!$I$43:$I$2956,BW$3+$A20),"")</f>
        <v/>
      </c>
      <c r="BX21" s="17" t="str">
        <f>IF(BX$3&lt;=$B21,INDEX(Input!$I$43:$I$2956,BX$3+$A20),"")</f>
        <v/>
      </c>
      <c r="BY21" s="17" t="str">
        <f>IF(BY$3&lt;=$B21,INDEX(Input!$I$43:$I$2956,BY$3+$A20),"")</f>
        <v/>
      </c>
      <c r="BZ21" s="17" t="str">
        <f>IF(BZ$3&lt;=$B21,INDEX(Input!$I$43:$I$2956,BZ$3+$A20),"")</f>
        <v/>
      </c>
      <c r="CA21" s="17" t="str">
        <f>IF(CA$3&lt;=$B21,INDEX(Input!$I$43:$I$2956,CA$3+$A20),"")</f>
        <v/>
      </c>
      <c r="CB21" s="17" t="str">
        <f>IF(CB$3&lt;=$B21,INDEX(Input!$I$43:$I$2956,CB$3+$A20),"")</f>
        <v/>
      </c>
      <c r="CC21" s="17" t="str">
        <f>IF(CC$3&lt;=$B21,INDEX(Input!$I$43:$I$2956,CC$3+$A20),"")</f>
        <v/>
      </c>
      <c r="CD21" s="17" t="str">
        <f>IF(CD$3&lt;=$B21,INDEX(Input!$I$43:$I$2956,CD$3+$A20),"")</f>
        <v/>
      </c>
      <c r="CE21" s="17" t="str">
        <f>IF(CE$3&lt;=$B21,INDEX(Input!$I$43:$I$2956,CE$3+$A20),"")</f>
        <v/>
      </c>
      <c r="CF21" s="17" t="str">
        <f>IF(CF$3&lt;=$B21,INDEX(Input!$I$43:$I$2956,CF$3+$A20),"")</f>
        <v/>
      </c>
      <c r="CG21" s="17" t="str">
        <f>IF(CG$3&lt;=$B21,INDEX(Input!$I$43:$I$2956,CG$3+$A20),"")</f>
        <v/>
      </c>
      <c r="CH21" s="17" t="str">
        <f>IF(CH$3&lt;=$B21,INDEX(Input!$I$43:$I$2956,CH$3+$A20),"")</f>
        <v/>
      </c>
      <c r="CI21" s="17" t="str">
        <f>IF(CI$3&lt;=$B21,INDEX(Input!$I$43:$I$2956,CI$3+$A20),"")</f>
        <v/>
      </c>
      <c r="CJ21" s="17" t="str">
        <f>IF(CJ$3&lt;=$B21,INDEX(Input!$I$43:$I$2956,CJ$3+$A20),"")</f>
        <v/>
      </c>
      <c r="CK21" s="17" t="str">
        <f>IF(CK$3&lt;=$B21,INDEX(Input!$I$43:$I$2956,CK$3+$A20),"")</f>
        <v/>
      </c>
      <c r="CL21" s="17" t="str">
        <f>IF(CL$3&lt;=$B21,INDEX(Input!$I$43:$I$2956,CL$3+$A20),"")</f>
        <v/>
      </c>
      <c r="CM21" s="17" t="str">
        <f>IF(CM$3&lt;=$B21,INDEX(Input!$I$43:$I$2956,CM$3+$A20),"")</f>
        <v/>
      </c>
      <c r="CN21" s="17" t="str">
        <f>IF(CN$3&lt;=$B21,INDEX(Input!$I$43:$I$2956,CN$3+$A20),"")</f>
        <v/>
      </c>
      <c r="CO21" s="17" t="str">
        <f>IF(CO$3&lt;=$B21,INDEX(Input!$I$43:$I$2956,CO$3+$A20),"")</f>
        <v/>
      </c>
      <c r="CP21" s="17" t="str">
        <f>IF(CP$3&lt;=$B21,INDEX(Input!$I$43:$I$2956,CP$3+$A20),"")</f>
        <v/>
      </c>
      <c r="CQ21" s="17" t="str">
        <f>IF(CQ$3&lt;=$B21,INDEX(Input!$I$43:$I$2956,CQ$3+$A20),"")</f>
        <v/>
      </c>
      <c r="CR21" s="17" t="str">
        <f>IF(CR$3&lt;=$B21,INDEX(Input!$I$43:$I$2956,CR$3+$A20),"")</f>
        <v/>
      </c>
      <c r="CS21" s="17" t="str">
        <f>IF(CS$3&lt;=$B21,INDEX(Input!$I$43:$I$2956,CS$3+$A20),"")</f>
        <v/>
      </c>
      <c r="CT21" s="17" t="str">
        <f>IF(CT$3&lt;=$B21,INDEX(Input!$I$43:$I$2956,CT$3+$A20),"")</f>
        <v/>
      </c>
      <c r="CU21" s="17" t="str">
        <f>IF(CU$3&lt;=$B21,INDEX(Input!$I$43:$I$2956,CU$3+$A20),"")</f>
        <v/>
      </c>
      <c r="CV21" s="17" t="str">
        <f>IF(CV$3&lt;=$B21,INDEX(Input!$I$43:$I$2956,CV$3+$A20),"")</f>
        <v/>
      </c>
      <c r="CW21" s="17" t="str">
        <f>IF(CW$3&lt;=$B21,INDEX(Input!$I$43:$I$2956,CW$3+$A20),"")</f>
        <v/>
      </c>
      <c r="CX21" s="17" t="str">
        <f>IF(CX$3&lt;=$B21,INDEX(Input!$I$43:$I$2956,CX$3+$A20),"")</f>
        <v/>
      </c>
      <c r="CY21" s="17" t="str">
        <f>IF(CY$3&lt;=$B21,INDEX(Input!$I$43:$I$2956,CY$3+$A20),"")</f>
        <v/>
      </c>
      <c r="CZ21" s="17" t="str">
        <f>IF(CZ$3&lt;=$B21,INDEX(Input!$I$43:$I$2956,CZ$3+$A20),"")</f>
        <v/>
      </c>
      <c r="DA21" s="17" t="str">
        <f>IF(DA$3&lt;=$B21,INDEX(Input!$I$43:$I$2956,DA$3+$A20),"")</f>
        <v/>
      </c>
      <c r="DB21" s="17" t="str">
        <f>IF(DB$3&lt;=$B21,INDEX(Input!$I$43:$I$2956,DB$3+$A20),"")</f>
        <v/>
      </c>
      <c r="DC21" s="17" t="str">
        <f>IF(DC$3&lt;=$B21,INDEX(Input!$I$43:$I$2956,DC$3+$A20),"")</f>
        <v/>
      </c>
      <c r="DD21" s="17" t="str">
        <f>IF(DD$3&lt;=$B21,INDEX(Input!$I$43:$I$2956,DD$3+$A20),"")</f>
        <v/>
      </c>
      <c r="DE21" s="17" t="str">
        <f>IF(DE$3&lt;=$B21,INDEX(Input!$I$43:$I$2956,DE$3+$A20),"")</f>
        <v/>
      </c>
      <c r="DF21" s="17" t="str">
        <f>IF(DF$3&lt;=$B21,INDEX(Input!$I$43:$I$2956,DF$3+$A20),"")</f>
        <v/>
      </c>
      <c r="DG21" s="17" t="str">
        <f>IF(DG$3&lt;=$B21,INDEX(Input!$I$43:$I$2956,DG$3+$A20),"")</f>
        <v/>
      </c>
      <c r="DH21" s="17" t="str">
        <f>IF(DH$3&lt;=$B21,INDEX(Input!$I$43:$I$2956,DH$3+$A20),"")</f>
        <v/>
      </c>
      <c r="DI21" s="17" t="str">
        <f>IF(DI$3&lt;=$B21,INDEX(Input!$I$43:$I$2956,DI$3+$A20),"")</f>
        <v/>
      </c>
      <c r="DJ21" s="17" t="str">
        <f>IF(DJ$3&lt;=$B21,INDEX(Input!$I$43:$I$2956,DJ$3+$A20),"")</f>
        <v/>
      </c>
      <c r="DK21" s="17" t="str">
        <f>IF(DK$3&lt;=$B21,INDEX(Input!$I$43:$I$2956,DK$3+$A20),"")</f>
        <v/>
      </c>
      <c r="DL21" s="17" t="str">
        <f>IF(DL$3&lt;=$B21,INDEX(Input!$I$43:$I$2956,DL$3+$A20),"")</f>
        <v/>
      </c>
      <c r="DM21" s="17" t="str">
        <f>IF(DM$3&lt;=$B21,INDEX(Input!$I$43:$I$2956,DM$3+$A20),"")</f>
        <v/>
      </c>
      <c r="DN21" s="17" t="str">
        <f>IF(DN$3&lt;=$B21,INDEX(Input!$I$43:$I$2956,DN$3+$A20),"")</f>
        <v/>
      </c>
      <c r="DO21" s="17" t="str">
        <f>IF(DO$3&lt;=$B21,INDEX(Input!$I$43:$I$2956,DO$3+$A20),"")</f>
        <v/>
      </c>
      <c r="DP21" s="17" t="str">
        <f>IF(DP$3&lt;=$B21,INDEX(Input!$I$43:$I$2956,DP$3+$A20),"")</f>
        <v/>
      </c>
      <c r="DQ21" s="17" t="str">
        <f>IF(DQ$3&lt;=$B21,INDEX(Input!$I$43:$I$2956,DQ$3+$A20),"")</f>
        <v/>
      </c>
      <c r="DR21" s="17" t="str">
        <f>IF(DR$3&lt;=$B21,INDEX(Input!$I$43:$I$2956,DR$3+$A20),"")</f>
        <v/>
      </c>
      <c r="DS21" s="17" t="str">
        <f>IF(DS$3&lt;=$B21,INDEX(Input!$I$43:$I$2956,DS$3+$A20),"")</f>
        <v/>
      </c>
      <c r="DT21" s="17" t="str">
        <f>IF(DT$3&lt;=$B21,INDEX(Input!$I$43:$I$2956,DT$3+$A20),"")</f>
        <v/>
      </c>
      <c r="DU21" s="17" t="str">
        <f>IF(DU$3&lt;=$B21,INDEX(Input!$I$43:$I$2956,DU$3+$A20),"")</f>
        <v/>
      </c>
      <c r="DV21" s="17" t="str">
        <f>IF(DV$3&lt;=$B21,INDEX(Input!$I$43:$I$2956,DV$3+$A20),"")</f>
        <v/>
      </c>
      <c r="DW21" s="58" t="str">
        <f t="array" ref="DW21:EZ21">IFERROR(eccalc(E21:DV21,C21+B21,B21,$O$2:$AS$2),"")</f>
        <v/>
      </c>
      <c r="DX21" s="59" t="str">
        <v/>
      </c>
      <c r="DY21" s="59" t="str">
        <v/>
      </c>
      <c r="DZ21" s="59" t="str">
        <v/>
      </c>
      <c r="EA21" s="59" t="str">
        <v/>
      </c>
      <c r="EB21" s="59" t="str">
        <v/>
      </c>
      <c r="EC21" s="59" t="str">
        <v/>
      </c>
      <c r="ED21" s="59" t="str">
        <v/>
      </c>
      <c r="EE21" s="59" t="str">
        <v/>
      </c>
      <c r="EF21" s="59" t="str">
        <v/>
      </c>
      <c r="EG21" s="59" t="str">
        <v/>
      </c>
      <c r="EH21" s="59" t="str">
        <v/>
      </c>
      <c r="EI21" s="59" t="str">
        <v/>
      </c>
      <c r="EJ21" s="59" t="str">
        <v/>
      </c>
      <c r="EK21" s="59" t="str">
        <v/>
      </c>
      <c r="EL21" s="59" t="str">
        <v/>
      </c>
      <c r="EM21" s="59" t="str">
        <v/>
      </c>
      <c r="EN21" s="59" t="str">
        <v/>
      </c>
      <c r="EO21" s="59" t="str">
        <v/>
      </c>
      <c r="EP21" s="59" t="str">
        <v/>
      </c>
      <c r="EQ21" s="59" t="str">
        <v/>
      </c>
      <c r="ER21" s="59" t="str">
        <v/>
      </c>
      <c r="ES21" s="59" t="str">
        <v/>
      </c>
      <c r="ET21" s="59" t="str">
        <v/>
      </c>
      <c r="EU21" s="59" t="str">
        <v/>
      </c>
      <c r="EV21" s="59" t="str">
        <v/>
      </c>
      <c r="EW21" s="59" t="str">
        <v/>
      </c>
      <c r="EX21" s="59" t="str">
        <v/>
      </c>
      <c r="EY21" s="59" t="str">
        <v/>
      </c>
      <c r="EZ21" s="60" t="str">
        <v/>
      </c>
      <c r="FA21" s="17"/>
      <c r="FC21">
        <v>18</v>
      </c>
      <c r="FD21">
        <f t="shared" si="2"/>
        <v>2</v>
      </c>
      <c r="FE21">
        <f t="shared" si="3"/>
        <v>2</v>
      </c>
      <c r="FF21">
        <f t="shared" si="4"/>
        <v>176</v>
      </c>
      <c r="FI21" s="16">
        <v>18</v>
      </c>
      <c r="FJ21" s="17">
        <f t="shared" si="5"/>
        <v>200</v>
      </c>
      <c r="FK21" s="17">
        <f t="shared" si="6"/>
        <v>176</v>
      </c>
      <c r="FL21" s="18" t="str">
        <f t="shared" si="7"/>
        <v>10110000</v>
      </c>
      <c r="FM21" s="2"/>
      <c r="FN21" s="180" t="str">
        <f>connecttext(FL4:FL2495)&amp;FP21</f>
        <v>11010001011110101100010000001011010100000011111101110010011100100001100100101101100011101100011010000111010000001110110000000111101100000010111010101110011001010011101000100101101011010110101000000000000111110110000101001010101001110001000111001110001100100110000001101110010110010010100111100001000111101010101100000000010100110011000100001110111001111110110010000010110110110011001010110000010110110010001000101001011010011000001101000010011000111001100100101000100000010001000111010011110110101101000000110010111110100111010000010110111101110110110010110100010100111111001001000011110000011110110011000111101100101010111011011011000000001011000111110110010011000011010101000001110100001110010001111010111000000001000100000000010100100101010011011000000000000011011010101111000101000001010011110110000011001101111010100001100111001110110010010000100110100101100010000111100001010111010110100101111111100001110011000110101100100000110000110000110001100001000111000001001100001100001100010111011010000100000101100110111100100011111110001111010110011011100000001100000000001110110000001110011100100101001011110000100000110110100000111010010011010110011010101001100100101010001110111000111011000001000110101110001011001110011011000001111010100001100100001000010010101001100111111100110011000100000101001101000100011010001110101000001111110111111010110001011011000001100110001000000101110010101101111110101011000011011111101100010110010001000111011001101010000101110101101110101000111010100101101011101111000011001010000010100101000111110000101011111010101011001100000000000111101100100000010110000101011010010000011101010111011100100010011100110100101101001100101011011110010000110111101011000000001001111111101111001000110010010000101110111011011010000011100101101100100010010110110011101000101000001010010100100110100000000001101101101101101100010001110110100001001101110111111000000001010100110011111101101110100000100111100000101110101000010000000000100101101010011100100100110111100010110010000010011101001001011100000011000001100100001111000111001000000000010000101110000000001111111011111011110110100111101011111111111111111101100001000010100110000011010101011100110010001100110100011001000111010000000001110001011011010111100111101110011001001010110110100000000001101011000001001100111001101010100111110000000111010000101000000000100111011010001110010011010010010101000011001100111111011010010011010010000000011001001010110100010001011100110101001101000000001111011010000001111001000101101011011101111100100001000110111111100111001000111110001110100001100111001111000001101010010000000011000110110110010110111010110001000001000001101101011110001001010010110101110111000110111110111001010011110011000001111100000000111100000010001010101000110101010110110001000111011000111100100001100110111110110110001110110000111001110001000010011001000000000000111001010101110111000011101110100111110101010000010001111101000101101001011111111011111001100110100110001010001000110000000010110001010100101011110010111110101001011010000010101010000111011011011101000000010101101001011110010111010011001000110000000000000100011110110011011000011100011011001010101101001010101111000011001011000001010010011110100111110100010011111110011110000000000010101101000110100110111001111101100000011101000111000000110001110110001010111111011010111101111010000011101000101011100000000000011010101100101001110101001101110010001101101011110000011011110001101100011111101100111001100101011100001101111000010000000000001110000101101011010100110100110001101001101100000010101111001101011110001111110010101001101111101000110110011001001111000000001100100100000110100011010001000011000110110000101000000011101000000001000110110101110001111111010100001000101001101001100000000001010001101000000110101010111000110011101001001101011100010110100110001010110010100001011100111100110101001101101101001100000000110001011101011010001111100011011101110110100100001000001110011001010111010101010111010100111111000000010010011111111100000000001010111111001000111000101111011111101000000001010010111110001110101001111111111101100100110011100011100100101101010010000000000011111000011010011111100010100110001110000000100001010110110100101100001010000110000110100001111101000100101101100111010100000000</v>
      </c>
      <c r="FO21" s="181"/>
      <c r="FP21" s="116" t="str">
        <f>REPT("0",FQ21)</f>
        <v/>
      </c>
      <c r="FQ21" s="115">
        <f>VLOOKUP(FO23,'Basic Info'!A28:C67,3,0)</f>
        <v>0</v>
      </c>
    </row>
    <row r="22" spans="1:176" ht="15.75" thickBot="1">
      <c r="A22">
        <f>SUM($B$4:B22)</f>
        <v>196</v>
      </c>
      <c r="B22">
        <f t="shared" si="0"/>
        <v>0</v>
      </c>
      <c r="C22" t="str">
        <f t="shared" si="1"/>
        <v/>
      </c>
      <c r="D22">
        <v>19</v>
      </c>
      <c r="E22" s="16" t="str">
        <f>IF(E$3&lt;=$B22,INDEX(Input!$I$43:$I$2956,E$3+$A21),"")</f>
        <v/>
      </c>
      <c r="F22" s="17" t="str">
        <f>IF(F$3&lt;=$B22,INDEX(Input!$I$43:$I$2956,F$3+$A21),"")</f>
        <v/>
      </c>
      <c r="G22" s="17" t="str">
        <f>IF(G$3&lt;=$B22,INDEX(Input!$I$43:$I$2956,G$3+$A21),"")</f>
        <v/>
      </c>
      <c r="H22" s="17" t="str">
        <f>IF(H$3&lt;=$B22,INDEX(Input!$I$43:$I$2956,H$3+$A21),"")</f>
        <v/>
      </c>
      <c r="I22" s="17" t="str">
        <f>IF(I$3&lt;=$B22,INDEX(Input!$I$43:$I$2956,I$3+$A21),"")</f>
        <v/>
      </c>
      <c r="J22" s="17" t="str">
        <f>IF(J$3&lt;=$B22,INDEX(Input!$I$43:$I$2956,J$3+$A21),"")</f>
        <v/>
      </c>
      <c r="K22" s="17" t="str">
        <f>IF(K$3&lt;=$B22,INDEX(Input!$I$43:$I$2956,K$3+$A21),"")</f>
        <v/>
      </c>
      <c r="L22" s="17" t="str">
        <f>IF(L$3&lt;=$B22,INDEX(Input!$I$43:$I$2956,L$3+$A21),"")</f>
        <v/>
      </c>
      <c r="M22" s="17" t="str">
        <f>IF(M$3&lt;=$B22,INDEX(Input!$I$43:$I$2956,M$3+$A21),"")</f>
        <v/>
      </c>
      <c r="N22" s="17" t="str">
        <f>IF(N$3&lt;=$B22,INDEX(Input!$I$43:$I$2956,N$3+$A21),"")</f>
        <v/>
      </c>
      <c r="O22" s="17" t="str">
        <f>IF(O$3&lt;=$B22,INDEX(Input!$I$43:$I$2956,O$3+$A21),"")</f>
        <v/>
      </c>
      <c r="P22" s="17" t="str">
        <f>IF(P$3&lt;=$B22,INDEX(Input!$I$43:$I$2956,P$3+$A21),"")</f>
        <v/>
      </c>
      <c r="Q22" s="17" t="str">
        <f>IF(Q$3&lt;=$B22,INDEX(Input!$I$43:$I$2956,Q$3+$A21),"")</f>
        <v/>
      </c>
      <c r="R22" s="17" t="str">
        <f>IF(R$3&lt;=$B22,INDEX(Input!$I$43:$I$2956,R$3+$A21),"")</f>
        <v/>
      </c>
      <c r="S22" s="17" t="str">
        <f>IF(S$3&lt;=$B22,INDEX(Input!$I$43:$I$2956,S$3+$A21),"")</f>
        <v/>
      </c>
      <c r="T22" s="17" t="str">
        <f>IF(T$3&lt;=$B22,INDEX(Input!$I$43:$I$2956,T$3+$A21),"")</f>
        <v/>
      </c>
      <c r="U22" s="17" t="str">
        <f>IF(U$3&lt;=$B22,INDEX(Input!$I$43:$I$2956,U$3+$A21),"")</f>
        <v/>
      </c>
      <c r="V22" s="17" t="str">
        <f>IF(V$3&lt;=$B22,INDEX(Input!$I$43:$I$2956,V$3+$A21),"")</f>
        <v/>
      </c>
      <c r="W22" s="17" t="str">
        <f>IF(W$3&lt;=$B22,INDEX(Input!$I$43:$I$2956,W$3+$A21),"")</f>
        <v/>
      </c>
      <c r="X22" s="17" t="str">
        <f>IF(X$3&lt;=$B22,INDEX(Input!$I$43:$I$2956,X$3+$A21),"")</f>
        <v/>
      </c>
      <c r="Y22" s="17" t="str">
        <f>IF(Y$3&lt;=$B22,INDEX(Input!$I$43:$I$2956,Y$3+$A21),"")</f>
        <v/>
      </c>
      <c r="Z22" s="17" t="str">
        <f>IF(Z$3&lt;=$B22,INDEX(Input!$I$43:$I$2956,Z$3+$A21),"")</f>
        <v/>
      </c>
      <c r="AA22" s="17" t="str">
        <f>IF(AA$3&lt;=$B22,INDEX(Input!$I$43:$I$2956,AA$3+$A21),"")</f>
        <v/>
      </c>
      <c r="AB22" s="17" t="str">
        <f>IF(AB$3&lt;=$B22,INDEX(Input!$I$43:$I$2956,AB$3+$A21),"")</f>
        <v/>
      </c>
      <c r="AC22" s="17" t="str">
        <f>IF(AC$3&lt;=$B22,INDEX(Input!$I$43:$I$2956,AC$3+$A21),"")</f>
        <v/>
      </c>
      <c r="AD22" s="17" t="str">
        <f>IF(AD$3&lt;=$B22,INDEX(Input!$I$43:$I$2956,AD$3+$A21),"")</f>
        <v/>
      </c>
      <c r="AE22" s="17" t="str">
        <f>IF(AE$3&lt;=$B22,INDEX(Input!$I$43:$I$2956,AE$3+$A21),"")</f>
        <v/>
      </c>
      <c r="AF22" s="17" t="str">
        <f>IF(AF$3&lt;=$B22,INDEX(Input!$I$43:$I$2956,AF$3+$A21),"")</f>
        <v/>
      </c>
      <c r="AG22" s="17" t="str">
        <f>IF(AG$3&lt;=$B22,INDEX(Input!$I$43:$I$2956,AG$3+$A21),"")</f>
        <v/>
      </c>
      <c r="AH22" s="17" t="str">
        <f>IF(AH$3&lt;=$B22,INDEX(Input!$I$43:$I$2956,AH$3+$A21),"")</f>
        <v/>
      </c>
      <c r="AI22" s="17" t="str">
        <f>IF(AI$3&lt;=$B22,INDEX(Input!$I$43:$I$2956,AI$3+$A21),"")</f>
        <v/>
      </c>
      <c r="AJ22" s="17" t="str">
        <f>IF(AJ$3&lt;=$B22,INDEX(Input!$I$43:$I$2956,AJ$3+$A21),"")</f>
        <v/>
      </c>
      <c r="AK22" s="17" t="str">
        <f>IF(AK$3&lt;=$B22,INDEX(Input!$I$43:$I$2956,AK$3+$A21),"")</f>
        <v/>
      </c>
      <c r="AL22" s="17" t="str">
        <f>IF(AL$3&lt;=$B22,INDEX(Input!$I$43:$I$2956,AL$3+$A21),"")</f>
        <v/>
      </c>
      <c r="AM22" s="17" t="str">
        <f>IF(AM$3&lt;=$B22,INDEX(Input!$I$43:$I$2956,AM$3+$A21),"")</f>
        <v/>
      </c>
      <c r="AN22" s="17" t="str">
        <f>IF(AN$3&lt;=$B22,INDEX(Input!$I$43:$I$2956,AN$3+$A21),"")</f>
        <v/>
      </c>
      <c r="AO22" s="17" t="str">
        <f>IF(AO$3&lt;=$B22,INDEX(Input!$I$43:$I$2956,AO$3+$A21),"")</f>
        <v/>
      </c>
      <c r="AP22" s="17" t="str">
        <f>IF(AP$3&lt;=$B22,INDEX(Input!$I$43:$I$2956,AP$3+$A21),"")</f>
        <v/>
      </c>
      <c r="AQ22" s="17" t="str">
        <f>IF(AQ$3&lt;=$B22,INDEX(Input!$I$43:$I$2956,AQ$3+$A21),"")</f>
        <v/>
      </c>
      <c r="AR22" s="17" t="str">
        <f>IF(AR$3&lt;=$B22,INDEX(Input!$I$43:$I$2956,AR$3+$A21),"")</f>
        <v/>
      </c>
      <c r="AS22" s="17" t="str">
        <f>IF(AS$3&lt;=$B22,INDEX(Input!$I$43:$I$2956,AS$3+$A21),"")</f>
        <v/>
      </c>
      <c r="AT22" s="17" t="str">
        <f>IF(AT$3&lt;=$B22,INDEX(Input!$I$43:$I$2956,AT$3+$A21),"")</f>
        <v/>
      </c>
      <c r="AU22" s="17" t="str">
        <f>IF(AU$3&lt;=$B22,INDEX(Input!$I$43:$I$2956,AU$3+$A21),"")</f>
        <v/>
      </c>
      <c r="AV22" s="17" t="str">
        <f>IF(AV$3&lt;=$B22,INDEX(Input!$I$43:$I$2956,AV$3+$A21),"")</f>
        <v/>
      </c>
      <c r="AW22" s="17" t="str">
        <f>IF(AW$3&lt;=$B22,INDEX(Input!$I$43:$I$2956,AW$3+$A21),"")</f>
        <v/>
      </c>
      <c r="AX22" s="17" t="str">
        <f>IF(AX$3&lt;=$B22,INDEX(Input!$I$43:$I$2956,AX$3+$A21),"")</f>
        <v/>
      </c>
      <c r="AY22" s="17" t="str">
        <f>IF(AY$3&lt;=$B22,INDEX(Input!$I$43:$I$2956,AY$3+$A21),"")</f>
        <v/>
      </c>
      <c r="AZ22" s="17" t="str">
        <f>IF(AZ$3&lt;=$B22,INDEX(Input!$I$43:$I$2956,AZ$3+$A21),"")</f>
        <v/>
      </c>
      <c r="BA22" s="17" t="str">
        <f>IF(BA$3&lt;=$B22,INDEX(Input!$I$43:$I$2956,BA$3+$A21),"")</f>
        <v/>
      </c>
      <c r="BB22" s="17" t="str">
        <f>IF(BB$3&lt;=$B22,INDEX(Input!$I$43:$I$2956,BB$3+$A21),"")</f>
        <v/>
      </c>
      <c r="BC22" s="17" t="str">
        <f>IF(BC$3&lt;=$B22,INDEX(Input!$I$43:$I$2956,BC$3+$A21),"")</f>
        <v/>
      </c>
      <c r="BD22" s="17" t="str">
        <f>IF(BD$3&lt;=$B22,INDEX(Input!$I$43:$I$2956,BD$3+$A21),"")</f>
        <v/>
      </c>
      <c r="BE22" s="17" t="str">
        <f>IF(BE$3&lt;=$B22,INDEX(Input!$I$43:$I$2956,BE$3+$A21),"")</f>
        <v/>
      </c>
      <c r="BF22" s="17" t="str">
        <f>IF(BF$3&lt;=$B22,INDEX(Input!$I$43:$I$2956,BF$3+$A21),"")</f>
        <v/>
      </c>
      <c r="BG22" s="17" t="str">
        <f>IF(BG$3&lt;=$B22,INDEX(Input!$I$43:$I$2956,BG$3+$A21),"")</f>
        <v/>
      </c>
      <c r="BH22" s="17" t="str">
        <f>IF(BH$3&lt;=$B22,INDEX(Input!$I$43:$I$2956,BH$3+$A21),"")</f>
        <v/>
      </c>
      <c r="BI22" s="17" t="str">
        <f>IF(BI$3&lt;=$B22,INDEX(Input!$I$43:$I$2956,BI$3+$A21),"")</f>
        <v/>
      </c>
      <c r="BJ22" s="17" t="str">
        <f>IF(BJ$3&lt;=$B22,INDEX(Input!$I$43:$I$2956,BJ$3+$A21),"")</f>
        <v/>
      </c>
      <c r="BK22" s="17" t="str">
        <f>IF(BK$3&lt;=$B22,INDEX(Input!$I$43:$I$2956,BK$3+$A21),"")</f>
        <v/>
      </c>
      <c r="BL22" s="17" t="str">
        <f>IF(BL$3&lt;=$B22,INDEX(Input!$I$43:$I$2956,BL$3+$A21),"")</f>
        <v/>
      </c>
      <c r="BM22" s="17" t="str">
        <f>IF(BM$3&lt;=$B22,INDEX(Input!$I$43:$I$2956,BM$3+$A21),"")</f>
        <v/>
      </c>
      <c r="BN22" s="17" t="str">
        <f>IF(BN$3&lt;=$B22,INDEX(Input!$I$43:$I$2956,BN$3+$A21),"")</f>
        <v/>
      </c>
      <c r="BO22" s="17" t="str">
        <f>IF(BO$3&lt;=$B22,INDEX(Input!$I$43:$I$2956,BO$3+$A21),"")</f>
        <v/>
      </c>
      <c r="BP22" s="17" t="str">
        <f>IF(BP$3&lt;=$B22,INDEX(Input!$I$43:$I$2956,BP$3+$A21),"")</f>
        <v/>
      </c>
      <c r="BQ22" s="17" t="str">
        <f>IF(BQ$3&lt;=$B22,INDEX(Input!$I$43:$I$2956,BQ$3+$A21),"")</f>
        <v/>
      </c>
      <c r="BR22" s="17" t="str">
        <f>IF(BR$3&lt;=$B22,INDEX(Input!$I$43:$I$2956,BR$3+$A21),"")</f>
        <v/>
      </c>
      <c r="BS22" s="17" t="str">
        <f>IF(BS$3&lt;=$B22,INDEX(Input!$I$43:$I$2956,BS$3+$A21),"")</f>
        <v/>
      </c>
      <c r="BT22" s="17" t="str">
        <f>IF(BT$3&lt;=$B22,INDEX(Input!$I$43:$I$2956,BT$3+$A21),"")</f>
        <v/>
      </c>
      <c r="BU22" s="17" t="str">
        <f>IF(BU$3&lt;=$B22,INDEX(Input!$I$43:$I$2956,BU$3+$A21),"")</f>
        <v/>
      </c>
      <c r="BV22" s="17" t="str">
        <f>IF(BV$3&lt;=$B22,INDEX(Input!$I$43:$I$2956,BV$3+$A21),"")</f>
        <v/>
      </c>
      <c r="BW22" s="17" t="str">
        <f>IF(BW$3&lt;=$B22,INDEX(Input!$I$43:$I$2956,BW$3+$A21),"")</f>
        <v/>
      </c>
      <c r="BX22" s="17" t="str">
        <f>IF(BX$3&lt;=$B22,INDEX(Input!$I$43:$I$2956,BX$3+$A21),"")</f>
        <v/>
      </c>
      <c r="BY22" s="17" t="str">
        <f>IF(BY$3&lt;=$B22,INDEX(Input!$I$43:$I$2956,BY$3+$A21),"")</f>
        <v/>
      </c>
      <c r="BZ22" s="17" t="str">
        <f>IF(BZ$3&lt;=$B22,INDEX(Input!$I$43:$I$2956,BZ$3+$A21),"")</f>
        <v/>
      </c>
      <c r="CA22" s="17" t="str">
        <f>IF(CA$3&lt;=$B22,INDEX(Input!$I$43:$I$2956,CA$3+$A21),"")</f>
        <v/>
      </c>
      <c r="CB22" s="17" t="str">
        <f>IF(CB$3&lt;=$B22,INDEX(Input!$I$43:$I$2956,CB$3+$A21),"")</f>
        <v/>
      </c>
      <c r="CC22" s="17" t="str">
        <f>IF(CC$3&lt;=$B22,INDEX(Input!$I$43:$I$2956,CC$3+$A21),"")</f>
        <v/>
      </c>
      <c r="CD22" s="17" t="str">
        <f>IF(CD$3&lt;=$B22,INDEX(Input!$I$43:$I$2956,CD$3+$A21),"")</f>
        <v/>
      </c>
      <c r="CE22" s="17" t="str">
        <f>IF(CE$3&lt;=$B22,INDEX(Input!$I$43:$I$2956,CE$3+$A21),"")</f>
        <v/>
      </c>
      <c r="CF22" s="17" t="str">
        <f>IF(CF$3&lt;=$B22,INDEX(Input!$I$43:$I$2956,CF$3+$A21),"")</f>
        <v/>
      </c>
      <c r="CG22" s="17" t="str">
        <f>IF(CG$3&lt;=$B22,INDEX(Input!$I$43:$I$2956,CG$3+$A21),"")</f>
        <v/>
      </c>
      <c r="CH22" s="17" t="str">
        <f>IF(CH$3&lt;=$B22,INDEX(Input!$I$43:$I$2956,CH$3+$A21),"")</f>
        <v/>
      </c>
      <c r="CI22" s="17" t="str">
        <f>IF(CI$3&lt;=$B22,INDEX(Input!$I$43:$I$2956,CI$3+$A21),"")</f>
        <v/>
      </c>
      <c r="CJ22" s="17" t="str">
        <f>IF(CJ$3&lt;=$B22,INDEX(Input!$I$43:$I$2956,CJ$3+$A21),"")</f>
        <v/>
      </c>
      <c r="CK22" s="17" t="str">
        <f>IF(CK$3&lt;=$B22,INDEX(Input!$I$43:$I$2956,CK$3+$A21),"")</f>
        <v/>
      </c>
      <c r="CL22" s="17" t="str">
        <f>IF(CL$3&lt;=$B22,INDEX(Input!$I$43:$I$2956,CL$3+$A21),"")</f>
        <v/>
      </c>
      <c r="CM22" s="17" t="str">
        <f>IF(CM$3&lt;=$B22,INDEX(Input!$I$43:$I$2956,CM$3+$A21),"")</f>
        <v/>
      </c>
      <c r="CN22" s="17" t="str">
        <f>IF(CN$3&lt;=$B22,INDEX(Input!$I$43:$I$2956,CN$3+$A21),"")</f>
        <v/>
      </c>
      <c r="CO22" s="17" t="str">
        <f>IF(CO$3&lt;=$B22,INDEX(Input!$I$43:$I$2956,CO$3+$A21),"")</f>
        <v/>
      </c>
      <c r="CP22" s="17" t="str">
        <f>IF(CP$3&lt;=$B22,INDEX(Input!$I$43:$I$2956,CP$3+$A21),"")</f>
        <v/>
      </c>
      <c r="CQ22" s="17" t="str">
        <f>IF(CQ$3&lt;=$B22,INDEX(Input!$I$43:$I$2956,CQ$3+$A21),"")</f>
        <v/>
      </c>
      <c r="CR22" s="17" t="str">
        <f>IF(CR$3&lt;=$B22,INDEX(Input!$I$43:$I$2956,CR$3+$A21),"")</f>
        <v/>
      </c>
      <c r="CS22" s="17" t="str">
        <f>IF(CS$3&lt;=$B22,INDEX(Input!$I$43:$I$2956,CS$3+$A21),"")</f>
        <v/>
      </c>
      <c r="CT22" s="17" t="str">
        <f>IF(CT$3&lt;=$B22,INDEX(Input!$I$43:$I$2956,CT$3+$A21),"")</f>
        <v/>
      </c>
      <c r="CU22" s="17" t="str">
        <f>IF(CU$3&lt;=$B22,INDEX(Input!$I$43:$I$2956,CU$3+$A21),"")</f>
        <v/>
      </c>
      <c r="CV22" s="17" t="str">
        <f>IF(CV$3&lt;=$B22,INDEX(Input!$I$43:$I$2956,CV$3+$A21),"")</f>
        <v/>
      </c>
      <c r="CW22" s="17" t="str">
        <f>IF(CW$3&lt;=$B22,INDEX(Input!$I$43:$I$2956,CW$3+$A21),"")</f>
        <v/>
      </c>
      <c r="CX22" s="17" t="str">
        <f>IF(CX$3&lt;=$B22,INDEX(Input!$I$43:$I$2956,CX$3+$A21),"")</f>
        <v/>
      </c>
      <c r="CY22" s="17" t="str">
        <f>IF(CY$3&lt;=$B22,INDEX(Input!$I$43:$I$2956,CY$3+$A21),"")</f>
        <v/>
      </c>
      <c r="CZ22" s="17" t="str">
        <f>IF(CZ$3&lt;=$B22,INDEX(Input!$I$43:$I$2956,CZ$3+$A21),"")</f>
        <v/>
      </c>
      <c r="DA22" s="17" t="str">
        <f>IF(DA$3&lt;=$B22,INDEX(Input!$I$43:$I$2956,DA$3+$A21),"")</f>
        <v/>
      </c>
      <c r="DB22" s="17" t="str">
        <f>IF(DB$3&lt;=$B22,INDEX(Input!$I$43:$I$2956,DB$3+$A21),"")</f>
        <v/>
      </c>
      <c r="DC22" s="17" t="str">
        <f>IF(DC$3&lt;=$B22,INDEX(Input!$I$43:$I$2956,DC$3+$A21),"")</f>
        <v/>
      </c>
      <c r="DD22" s="17" t="str">
        <f>IF(DD$3&lt;=$B22,INDEX(Input!$I$43:$I$2956,DD$3+$A21),"")</f>
        <v/>
      </c>
      <c r="DE22" s="17" t="str">
        <f>IF(DE$3&lt;=$B22,INDEX(Input!$I$43:$I$2956,DE$3+$A21),"")</f>
        <v/>
      </c>
      <c r="DF22" s="17" t="str">
        <f>IF(DF$3&lt;=$B22,INDEX(Input!$I$43:$I$2956,DF$3+$A21),"")</f>
        <v/>
      </c>
      <c r="DG22" s="17" t="str">
        <f>IF(DG$3&lt;=$B22,INDEX(Input!$I$43:$I$2956,DG$3+$A21),"")</f>
        <v/>
      </c>
      <c r="DH22" s="17" t="str">
        <f>IF(DH$3&lt;=$B22,INDEX(Input!$I$43:$I$2956,DH$3+$A21),"")</f>
        <v/>
      </c>
      <c r="DI22" s="17" t="str">
        <f>IF(DI$3&lt;=$B22,INDEX(Input!$I$43:$I$2956,DI$3+$A21),"")</f>
        <v/>
      </c>
      <c r="DJ22" s="17" t="str">
        <f>IF(DJ$3&lt;=$B22,INDEX(Input!$I$43:$I$2956,DJ$3+$A21),"")</f>
        <v/>
      </c>
      <c r="DK22" s="17" t="str">
        <f>IF(DK$3&lt;=$B22,INDEX(Input!$I$43:$I$2956,DK$3+$A21),"")</f>
        <v/>
      </c>
      <c r="DL22" s="17" t="str">
        <f>IF(DL$3&lt;=$B22,INDEX(Input!$I$43:$I$2956,DL$3+$A21),"")</f>
        <v/>
      </c>
      <c r="DM22" s="17" t="str">
        <f>IF(DM$3&lt;=$B22,INDEX(Input!$I$43:$I$2956,DM$3+$A21),"")</f>
        <v/>
      </c>
      <c r="DN22" s="17" t="str">
        <f>IF(DN$3&lt;=$B22,INDEX(Input!$I$43:$I$2956,DN$3+$A21),"")</f>
        <v/>
      </c>
      <c r="DO22" s="17" t="str">
        <f>IF(DO$3&lt;=$B22,INDEX(Input!$I$43:$I$2956,DO$3+$A21),"")</f>
        <v/>
      </c>
      <c r="DP22" s="17" t="str">
        <f>IF(DP$3&lt;=$B22,INDEX(Input!$I$43:$I$2956,DP$3+$A21),"")</f>
        <v/>
      </c>
      <c r="DQ22" s="17" t="str">
        <f>IF(DQ$3&lt;=$B22,INDEX(Input!$I$43:$I$2956,DQ$3+$A21),"")</f>
        <v/>
      </c>
      <c r="DR22" s="17" t="str">
        <f>IF(DR$3&lt;=$B22,INDEX(Input!$I$43:$I$2956,DR$3+$A21),"")</f>
        <v/>
      </c>
      <c r="DS22" s="17" t="str">
        <f>IF(DS$3&lt;=$B22,INDEX(Input!$I$43:$I$2956,DS$3+$A21),"")</f>
        <v/>
      </c>
      <c r="DT22" s="17" t="str">
        <f>IF(DT$3&lt;=$B22,INDEX(Input!$I$43:$I$2956,DT$3+$A21),"")</f>
        <v/>
      </c>
      <c r="DU22" s="17" t="str">
        <f>IF(DU$3&lt;=$B22,INDEX(Input!$I$43:$I$2956,DU$3+$A21),"")</f>
        <v/>
      </c>
      <c r="DV22" s="17" t="str">
        <f>IF(DV$3&lt;=$B22,INDEX(Input!$I$43:$I$2956,DV$3+$A21),"")</f>
        <v/>
      </c>
      <c r="DW22" s="58" t="str">
        <f t="array" ref="DW22:EZ22">IFERROR(eccalc(E22:DV22,C22+B22,B22,$O$2:$AS$2),"")</f>
        <v/>
      </c>
      <c r="DX22" s="59" t="str">
        <v/>
      </c>
      <c r="DY22" s="59" t="str">
        <v/>
      </c>
      <c r="DZ22" s="59" t="str">
        <v/>
      </c>
      <c r="EA22" s="59" t="str">
        <v/>
      </c>
      <c r="EB22" s="59" t="str">
        <v/>
      </c>
      <c r="EC22" s="59" t="str">
        <v/>
      </c>
      <c r="ED22" s="59" t="str">
        <v/>
      </c>
      <c r="EE22" s="59" t="str">
        <v/>
      </c>
      <c r="EF22" s="59" t="str">
        <v/>
      </c>
      <c r="EG22" s="59" t="str">
        <v/>
      </c>
      <c r="EH22" s="59" t="str">
        <v/>
      </c>
      <c r="EI22" s="59" t="str">
        <v/>
      </c>
      <c r="EJ22" s="59" t="str">
        <v/>
      </c>
      <c r="EK22" s="59" t="str">
        <v/>
      </c>
      <c r="EL22" s="59" t="str">
        <v/>
      </c>
      <c r="EM22" s="59" t="str">
        <v/>
      </c>
      <c r="EN22" s="59" t="str">
        <v/>
      </c>
      <c r="EO22" s="59" t="str">
        <v/>
      </c>
      <c r="EP22" s="59" t="str">
        <v/>
      </c>
      <c r="EQ22" s="59" t="str">
        <v/>
      </c>
      <c r="ER22" s="59" t="str">
        <v/>
      </c>
      <c r="ES22" s="59" t="str">
        <v/>
      </c>
      <c r="ET22" s="59" t="str">
        <v/>
      </c>
      <c r="EU22" s="59" t="str">
        <v/>
      </c>
      <c r="EV22" s="59" t="str">
        <v/>
      </c>
      <c r="EW22" s="59" t="str">
        <v/>
      </c>
      <c r="EX22" s="59" t="str">
        <v/>
      </c>
      <c r="EY22" s="59" t="str">
        <v/>
      </c>
      <c r="EZ22" s="60" t="str">
        <v/>
      </c>
      <c r="FA22" s="17"/>
      <c r="FC22">
        <v>19</v>
      </c>
      <c r="FD22">
        <f t="shared" si="2"/>
        <v>3</v>
      </c>
      <c r="FE22">
        <f t="shared" si="3"/>
        <v>2</v>
      </c>
      <c r="FF22">
        <f t="shared" si="4"/>
        <v>46</v>
      </c>
      <c r="FI22" s="16">
        <v>19</v>
      </c>
      <c r="FJ22" s="17">
        <f t="shared" si="5"/>
        <v>22</v>
      </c>
      <c r="FK22" s="17">
        <f t="shared" si="6"/>
        <v>46</v>
      </c>
      <c r="FL22" s="18" t="str">
        <f t="shared" si="7"/>
        <v>00101110</v>
      </c>
      <c r="FM22" s="2"/>
      <c r="FN22" t="s">
        <v>162</v>
      </c>
      <c r="FO22" t="s">
        <v>158</v>
      </c>
      <c r="FP22" t="s">
        <v>155</v>
      </c>
      <c r="FQ22" t="s">
        <v>163</v>
      </c>
    </row>
    <row r="23" spans="1:176" ht="15.75" thickBot="1">
      <c r="A23">
        <f>SUM($B$4:B23)</f>
        <v>196</v>
      </c>
      <c r="B23">
        <f t="shared" si="0"/>
        <v>0</v>
      </c>
      <c r="C23" t="str">
        <f t="shared" si="1"/>
        <v/>
      </c>
      <c r="D23">
        <v>20</v>
      </c>
      <c r="E23" s="16" t="str">
        <f>IF(E$3&lt;=$B23,INDEX(Input!$I$43:$I$2956,E$3+$A22),"")</f>
        <v/>
      </c>
      <c r="F23" s="17" t="str">
        <f>IF(F$3&lt;=$B23,INDEX(Input!$I$43:$I$2956,F$3+$A22),"")</f>
        <v/>
      </c>
      <c r="G23" s="17" t="str">
        <f>IF(G$3&lt;=$B23,INDEX(Input!$I$43:$I$2956,G$3+$A22),"")</f>
        <v/>
      </c>
      <c r="H23" s="17" t="str">
        <f>IF(H$3&lt;=$B23,INDEX(Input!$I$43:$I$2956,H$3+$A22),"")</f>
        <v/>
      </c>
      <c r="I23" s="17" t="str">
        <f>IF(I$3&lt;=$B23,INDEX(Input!$I$43:$I$2956,I$3+$A22),"")</f>
        <v/>
      </c>
      <c r="J23" s="17" t="str">
        <f>IF(J$3&lt;=$B23,INDEX(Input!$I$43:$I$2956,J$3+$A22),"")</f>
        <v/>
      </c>
      <c r="K23" s="17" t="str">
        <f>IF(K$3&lt;=$B23,INDEX(Input!$I$43:$I$2956,K$3+$A22),"")</f>
        <v/>
      </c>
      <c r="L23" s="17" t="str">
        <f>IF(L$3&lt;=$B23,INDEX(Input!$I$43:$I$2956,L$3+$A22),"")</f>
        <v/>
      </c>
      <c r="M23" s="17" t="str">
        <f>IF(M$3&lt;=$B23,INDEX(Input!$I$43:$I$2956,M$3+$A22),"")</f>
        <v/>
      </c>
      <c r="N23" s="17" t="str">
        <f>IF(N$3&lt;=$B23,INDEX(Input!$I$43:$I$2956,N$3+$A22),"")</f>
        <v/>
      </c>
      <c r="O23" s="17" t="str">
        <f>IF(O$3&lt;=$B23,INDEX(Input!$I$43:$I$2956,O$3+$A22),"")</f>
        <v/>
      </c>
      <c r="P23" s="17" t="str">
        <f>IF(P$3&lt;=$B23,INDEX(Input!$I$43:$I$2956,P$3+$A22),"")</f>
        <v/>
      </c>
      <c r="Q23" s="17" t="str">
        <f>IF(Q$3&lt;=$B23,INDEX(Input!$I$43:$I$2956,Q$3+$A22),"")</f>
        <v/>
      </c>
      <c r="R23" s="17" t="str">
        <f>IF(R$3&lt;=$B23,INDEX(Input!$I$43:$I$2956,R$3+$A22),"")</f>
        <v/>
      </c>
      <c r="S23" s="17" t="str">
        <f>IF(S$3&lt;=$B23,INDEX(Input!$I$43:$I$2956,S$3+$A22),"")</f>
        <v/>
      </c>
      <c r="T23" s="17" t="str">
        <f>IF(T$3&lt;=$B23,INDEX(Input!$I$43:$I$2956,T$3+$A22),"")</f>
        <v/>
      </c>
      <c r="U23" s="17" t="str">
        <f>IF(U$3&lt;=$B23,INDEX(Input!$I$43:$I$2956,U$3+$A22),"")</f>
        <v/>
      </c>
      <c r="V23" s="17" t="str">
        <f>IF(V$3&lt;=$B23,INDEX(Input!$I$43:$I$2956,V$3+$A22),"")</f>
        <v/>
      </c>
      <c r="W23" s="17" t="str">
        <f>IF(W$3&lt;=$B23,INDEX(Input!$I$43:$I$2956,W$3+$A22),"")</f>
        <v/>
      </c>
      <c r="X23" s="17" t="str">
        <f>IF(X$3&lt;=$B23,INDEX(Input!$I$43:$I$2956,X$3+$A22),"")</f>
        <v/>
      </c>
      <c r="Y23" s="17" t="str">
        <f>IF(Y$3&lt;=$B23,INDEX(Input!$I$43:$I$2956,Y$3+$A22),"")</f>
        <v/>
      </c>
      <c r="Z23" s="17" t="str">
        <f>IF(Z$3&lt;=$B23,INDEX(Input!$I$43:$I$2956,Z$3+$A22),"")</f>
        <v/>
      </c>
      <c r="AA23" s="17" t="str">
        <f>IF(AA$3&lt;=$B23,INDEX(Input!$I$43:$I$2956,AA$3+$A22),"")</f>
        <v/>
      </c>
      <c r="AB23" s="17" t="str">
        <f>IF(AB$3&lt;=$B23,INDEX(Input!$I$43:$I$2956,AB$3+$A22),"")</f>
        <v/>
      </c>
      <c r="AC23" s="17" t="str">
        <f>IF(AC$3&lt;=$B23,INDEX(Input!$I$43:$I$2956,AC$3+$A22),"")</f>
        <v/>
      </c>
      <c r="AD23" s="17" t="str">
        <f>IF(AD$3&lt;=$B23,INDEX(Input!$I$43:$I$2956,AD$3+$A22),"")</f>
        <v/>
      </c>
      <c r="AE23" s="17" t="str">
        <f>IF(AE$3&lt;=$B23,INDEX(Input!$I$43:$I$2956,AE$3+$A22),"")</f>
        <v/>
      </c>
      <c r="AF23" s="17" t="str">
        <f>IF(AF$3&lt;=$B23,INDEX(Input!$I$43:$I$2956,AF$3+$A22),"")</f>
        <v/>
      </c>
      <c r="AG23" s="17" t="str">
        <f>IF(AG$3&lt;=$B23,INDEX(Input!$I$43:$I$2956,AG$3+$A22),"")</f>
        <v/>
      </c>
      <c r="AH23" s="17" t="str">
        <f>IF(AH$3&lt;=$B23,INDEX(Input!$I$43:$I$2956,AH$3+$A22),"")</f>
        <v/>
      </c>
      <c r="AI23" s="17" t="str">
        <f>IF(AI$3&lt;=$B23,INDEX(Input!$I$43:$I$2956,AI$3+$A22),"")</f>
        <v/>
      </c>
      <c r="AJ23" s="17" t="str">
        <f>IF(AJ$3&lt;=$B23,INDEX(Input!$I$43:$I$2956,AJ$3+$A22),"")</f>
        <v/>
      </c>
      <c r="AK23" s="17" t="str">
        <f>IF(AK$3&lt;=$B23,INDEX(Input!$I$43:$I$2956,AK$3+$A22),"")</f>
        <v/>
      </c>
      <c r="AL23" s="17" t="str">
        <f>IF(AL$3&lt;=$B23,INDEX(Input!$I$43:$I$2956,AL$3+$A22),"")</f>
        <v/>
      </c>
      <c r="AM23" s="17" t="str">
        <f>IF(AM$3&lt;=$B23,INDEX(Input!$I$43:$I$2956,AM$3+$A22),"")</f>
        <v/>
      </c>
      <c r="AN23" s="17" t="str">
        <f>IF(AN$3&lt;=$B23,INDEX(Input!$I$43:$I$2956,AN$3+$A22),"")</f>
        <v/>
      </c>
      <c r="AO23" s="17" t="str">
        <f>IF(AO$3&lt;=$B23,INDEX(Input!$I$43:$I$2956,AO$3+$A22),"")</f>
        <v/>
      </c>
      <c r="AP23" s="17" t="str">
        <f>IF(AP$3&lt;=$B23,INDEX(Input!$I$43:$I$2956,AP$3+$A22),"")</f>
        <v/>
      </c>
      <c r="AQ23" s="17" t="str">
        <f>IF(AQ$3&lt;=$B23,INDEX(Input!$I$43:$I$2956,AQ$3+$A22),"")</f>
        <v/>
      </c>
      <c r="AR23" s="17" t="str">
        <f>IF(AR$3&lt;=$B23,INDEX(Input!$I$43:$I$2956,AR$3+$A22),"")</f>
        <v/>
      </c>
      <c r="AS23" s="17" t="str">
        <f>IF(AS$3&lt;=$B23,INDEX(Input!$I$43:$I$2956,AS$3+$A22),"")</f>
        <v/>
      </c>
      <c r="AT23" s="17" t="str">
        <f>IF(AT$3&lt;=$B23,INDEX(Input!$I$43:$I$2956,AT$3+$A22),"")</f>
        <v/>
      </c>
      <c r="AU23" s="17" t="str">
        <f>IF(AU$3&lt;=$B23,INDEX(Input!$I$43:$I$2956,AU$3+$A22),"")</f>
        <v/>
      </c>
      <c r="AV23" s="17" t="str">
        <f>IF(AV$3&lt;=$B23,INDEX(Input!$I$43:$I$2956,AV$3+$A22),"")</f>
        <v/>
      </c>
      <c r="AW23" s="17" t="str">
        <f>IF(AW$3&lt;=$B23,INDEX(Input!$I$43:$I$2956,AW$3+$A22),"")</f>
        <v/>
      </c>
      <c r="AX23" s="17" t="str">
        <f>IF(AX$3&lt;=$B23,INDEX(Input!$I$43:$I$2956,AX$3+$A22),"")</f>
        <v/>
      </c>
      <c r="AY23" s="17" t="str">
        <f>IF(AY$3&lt;=$B23,INDEX(Input!$I$43:$I$2956,AY$3+$A22),"")</f>
        <v/>
      </c>
      <c r="AZ23" s="17" t="str">
        <f>IF(AZ$3&lt;=$B23,INDEX(Input!$I$43:$I$2956,AZ$3+$A22),"")</f>
        <v/>
      </c>
      <c r="BA23" s="17" t="str">
        <f>IF(BA$3&lt;=$B23,INDEX(Input!$I$43:$I$2956,BA$3+$A22),"")</f>
        <v/>
      </c>
      <c r="BB23" s="17" t="str">
        <f>IF(BB$3&lt;=$B23,INDEX(Input!$I$43:$I$2956,BB$3+$A22),"")</f>
        <v/>
      </c>
      <c r="BC23" s="17" t="str">
        <f>IF(BC$3&lt;=$B23,INDEX(Input!$I$43:$I$2956,BC$3+$A22),"")</f>
        <v/>
      </c>
      <c r="BD23" s="17" t="str">
        <f>IF(BD$3&lt;=$B23,INDEX(Input!$I$43:$I$2956,BD$3+$A22),"")</f>
        <v/>
      </c>
      <c r="BE23" s="17" t="str">
        <f>IF(BE$3&lt;=$B23,INDEX(Input!$I$43:$I$2956,BE$3+$A22),"")</f>
        <v/>
      </c>
      <c r="BF23" s="17" t="str">
        <f>IF(BF$3&lt;=$B23,INDEX(Input!$I$43:$I$2956,BF$3+$A22),"")</f>
        <v/>
      </c>
      <c r="BG23" s="17" t="str">
        <f>IF(BG$3&lt;=$B23,INDEX(Input!$I$43:$I$2956,BG$3+$A22),"")</f>
        <v/>
      </c>
      <c r="BH23" s="17" t="str">
        <f>IF(BH$3&lt;=$B23,INDEX(Input!$I$43:$I$2956,BH$3+$A22),"")</f>
        <v/>
      </c>
      <c r="BI23" s="17" t="str">
        <f>IF(BI$3&lt;=$B23,INDEX(Input!$I$43:$I$2956,BI$3+$A22),"")</f>
        <v/>
      </c>
      <c r="BJ23" s="17" t="str">
        <f>IF(BJ$3&lt;=$B23,INDEX(Input!$I$43:$I$2956,BJ$3+$A22),"")</f>
        <v/>
      </c>
      <c r="BK23" s="17" t="str">
        <f>IF(BK$3&lt;=$B23,INDEX(Input!$I$43:$I$2956,BK$3+$A22),"")</f>
        <v/>
      </c>
      <c r="BL23" s="17" t="str">
        <f>IF(BL$3&lt;=$B23,INDEX(Input!$I$43:$I$2956,BL$3+$A22),"")</f>
        <v/>
      </c>
      <c r="BM23" s="17" t="str">
        <f>IF(BM$3&lt;=$B23,INDEX(Input!$I$43:$I$2956,BM$3+$A22),"")</f>
        <v/>
      </c>
      <c r="BN23" s="17" t="str">
        <f>IF(BN$3&lt;=$B23,INDEX(Input!$I$43:$I$2956,BN$3+$A22),"")</f>
        <v/>
      </c>
      <c r="BO23" s="17" t="str">
        <f>IF(BO$3&lt;=$B23,INDEX(Input!$I$43:$I$2956,BO$3+$A22),"")</f>
        <v/>
      </c>
      <c r="BP23" s="17" t="str">
        <f>IF(BP$3&lt;=$B23,INDEX(Input!$I$43:$I$2956,BP$3+$A22),"")</f>
        <v/>
      </c>
      <c r="BQ23" s="17" t="str">
        <f>IF(BQ$3&lt;=$B23,INDEX(Input!$I$43:$I$2956,BQ$3+$A22),"")</f>
        <v/>
      </c>
      <c r="BR23" s="17" t="str">
        <f>IF(BR$3&lt;=$B23,INDEX(Input!$I$43:$I$2956,BR$3+$A22),"")</f>
        <v/>
      </c>
      <c r="BS23" s="17" t="str">
        <f>IF(BS$3&lt;=$B23,INDEX(Input!$I$43:$I$2956,BS$3+$A22),"")</f>
        <v/>
      </c>
      <c r="BT23" s="17" t="str">
        <f>IF(BT$3&lt;=$B23,INDEX(Input!$I$43:$I$2956,BT$3+$A22),"")</f>
        <v/>
      </c>
      <c r="BU23" s="17" t="str">
        <f>IF(BU$3&lt;=$B23,INDEX(Input!$I$43:$I$2956,BU$3+$A22),"")</f>
        <v/>
      </c>
      <c r="BV23" s="17" t="str">
        <f>IF(BV$3&lt;=$B23,INDEX(Input!$I$43:$I$2956,BV$3+$A22),"")</f>
        <v/>
      </c>
      <c r="BW23" s="17" t="str">
        <f>IF(BW$3&lt;=$B23,INDEX(Input!$I$43:$I$2956,BW$3+$A22),"")</f>
        <v/>
      </c>
      <c r="BX23" s="17" t="str">
        <f>IF(BX$3&lt;=$B23,INDEX(Input!$I$43:$I$2956,BX$3+$A22),"")</f>
        <v/>
      </c>
      <c r="BY23" s="17" t="str">
        <f>IF(BY$3&lt;=$B23,INDEX(Input!$I$43:$I$2956,BY$3+$A22),"")</f>
        <v/>
      </c>
      <c r="BZ23" s="17" t="str">
        <f>IF(BZ$3&lt;=$B23,INDEX(Input!$I$43:$I$2956,BZ$3+$A22),"")</f>
        <v/>
      </c>
      <c r="CA23" s="17" t="str">
        <f>IF(CA$3&lt;=$B23,INDEX(Input!$I$43:$I$2956,CA$3+$A22),"")</f>
        <v/>
      </c>
      <c r="CB23" s="17" t="str">
        <f>IF(CB$3&lt;=$B23,INDEX(Input!$I$43:$I$2956,CB$3+$A22),"")</f>
        <v/>
      </c>
      <c r="CC23" s="17" t="str">
        <f>IF(CC$3&lt;=$B23,INDEX(Input!$I$43:$I$2956,CC$3+$A22),"")</f>
        <v/>
      </c>
      <c r="CD23" s="17" t="str">
        <f>IF(CD$3&lt;=$B23,INDEX(Input!$I$43:$I$2956,CD$3+$A22),"")</f>
        <v/>
      </c>
      <c r="CE23" s="17" t="str">
        <f>IF(CE$3&lt;=$B23,INDEX(Input!$I$43:$I$2956,CE$3+$A22),"")</f>
        <v/>
      </c>
      <c r="CF23" s="17" t="str">
        <f>IF(CF$3&lt;=$B23,INDEX(Input!$I$43:$I$2956,CF$3+$A22),"")</f>
        <v/>
      </c>
      <c r="CG23" s="17" t="str">
        <f>IF(CG$3&lt;=$B23,INDEX(Input!$I$43:$I$2956,CG$3+$A22),"")</f>
        <v/>
      </c>
      <c r="CH23" s="17" t="str">
        <f>IF(CH$3&lt;=$B23,INDEX(Input!$I$43:$I$2956,CH$3+$A22),"")</f>
        <v/>
      </c>
      <c r="CI23" s="17" t="str">
        <f>IF(CI$3&lt;=$B23,INDEX(Input!$I$43:$I$2956,CI$3+$A22),"")</f>
        <v/>
      </c>
      <c r="CJ23" s="17" t="str">
        <f>IF(CJ$3&lt;=$B23,INDEX(Input!$I$43:$I$2956,CJ$3+$A22),"")</f>
        <v/>
      </c>
      <c r="CK23" s="17" t="str">
        <f>IF(CK$3&lt;=$B23,INDEX(Input!$I$43:$I$2956,CK$3+$A22),"")</f>
        <v/>
      </c>
      <c r="CL23" s="17" t="str">
        <f>IF(CL$3&lt;=$B23,INDEX(Input!$I$43:$I$2956,CL$3+$A22),"")</f>
        <v/>
      </c>
      <c r="CM23" s="17" t="str">
        <f>IF(CM$3&lt;=$B23,INDEX(Input!$I$43:$I$2956,CM$3+$A22),"")</f>
        <v/>
      </c>
      <c r="CN23" s="17" t="str">
        <f>IF(CN$3&lt;=$B23,INDEX(Input!$I$43:$I$2956,CN$3+$A22),"")</f>
        <v/>
      </c>
      <c r="CO23" s="17" t="str">
        <f>IF(CO$3&lt;=$B23,INDEX(Input!$I$43:$I$2956,CO$3+$A22),"")</f>
        <v/>
      </c>
      <c r="CP23" s="17" t="str">
        <f>IF(CP$3&lt;=$B23,INDEX(Input!$I$43:$I$2956,CP$3+$A22),"")</f>
        <v/>
      </c>
      <c r="CQ23" s="17" t="str">
        <f>IF(CQ$3&lt;=$B23,INDEX(Input!$I$43:$I$2956,CQ$3+$A22),"")</f>
        <v/>
      </c>
      <c r="CR23" s="17" t="str">
        <f>IF(CR$3&lt;=$B23,INDEX(Input!$I$43:$I$2956,CR$3+$A22),"")</f>
        <v/>
      </c>
      <c r="CS23" s="17" t="str">
        <f>IF(CS$3&lt;=$B23,INDEX(Input!$I$43:$I$2956,CS$3+$A22),"")</f>
        <v/>
      </c>
      <c r="CT23" s="17" t="str">
        <f>IF(CT$3&lt;=$B23,INDEX(Input!$I$43:$I$2956,CT$3+$A22),"")</f>
        <v/>
      </c>
      <c r="CU23" s="17" t="str">
        <f>IF(CU$3&lt;=$B23,INDEX(Input!$I$43:$I$2956,CU$3+$A22),"")</f>
        <v/>
      </c>
      <c r="CV23" s="17" t="str">
        <f>IF(CV$3&lt;=$B23,INDEX(Input!$I$43:$I$2956,CV$3+$A22),"")</f>
        <v/>
      </c>
      <c r="CW23" s="17" t="str">
        <f>IF(CW$3&lt;=$B23,INDEX(Input!$I$43:$I$2956,CW$3+$A22),"")</f>
        <v/>
      </c>
      <c r="CX23" s="17" t="str">
        <f>IF(CX$3&lt;=$B23,INDEX(Input!$I$43:$I$2956,CX$3+$A22),"")</f>
        <v/>
      </c>
      <c r="CY23" s="17" t="str">
        <f>IF(CY$3&lt;=$B23,INDEX(Input!$I$43:$I$2956,CY$3+$A22),"")</f>
        <v/>
      </c>
      <c r="CZ23" s="17" t="str">
        <f>IF(CZ$3&lt;=$B23,INDEX(Input!$I$43:$I$2956,CZ$3+$A22),"")</f>
        <v/>
      </c>
      <c r="DA23" s="17" t="str">
        <f>IF(DA$3&lt;=$B23,INDEX(Input!$I$43:$I$2956,DA$3+$A22),"")</f>
        <v/>
      </c>
      <c r="DB23" s="17" t="str">
        <f>IF(DB$3&lt;=$B23,INDEX(Input!$I$43:$I$2956,DB$3+$A22),"")</f>
        <v/>
      </c>
      <c r="DC23" s="17" t="str">
        <f>IF(DC$3&lt;=$B23,INDEX(Input!$I$43:$I$2956,DC$3+$A22),"")</f>
        <v/>
      </c>
      <c r="DD23" s="17" t="str">
        <f>IF(DD$3&lt;=$B23,INDEX(Input!$I$43:$I$2956,DD$3+$A22),"")</f>
        <v/>
      </c>
      <c r="DE23" s="17" t="str">
        <f>IF(DE$3&lt;=$B23,INDEX(Input!$I$43:$I$2956,DE$3+$A22),"")</f>
        <v/>
      </c>
      <c r="DF23" s="17" t="str">
        <f>IF(DF$3&lt;=$B23,INDEX(Input!$I$43:$I$2956,DF$3+$A22),"")</f>
        <v/>
      </c>
      <c r="DG23" s="17" t="str">
        <f>IF(DG$3&lt;=$B23,INDEX(Input!$I$43:$I$2956,DG$3+$A22),"")</f>
        <v/>
      </c>
      <c r="DH23" s="17" t="str">
        <f>IF(DH$3&lt;=$B23,INDEX(Input!$I$43:$I$2956,DH$3+$A22),"")</f>
        <v/>
      </c>
      <c r="DI23" s="17" t="str">
        <f>IF(DI$3&lt;=$B23,INDEX(Input!$I$43:$I$2956,DI$3+$A22),"")</f>
        <v/>
      </c>
      <c r="DJ23" s="17" t="str">
        <f>IF(DJ$3&lt;=$B23,INDEX(Input!$I$43:$I$2956,DJ$3+$A22),"")</f>
        <v/>
      </c>
      <c r="DK23" s="17" t="str">
        <f>IF(DK$3&lt;=$B23,INDEX(Input!$I$43:$I$2956,DK$3+$A22),"")</f>
        <v/>
      </c>
      <c r="DL23" s="17" t="str">
        <f>IF(DL$3&lt;=$B23,INDEX(Input!$I$43:$I$2956,DL$3+$A22),"")</f>
        <v/>
      </c>
      <c r="DM23" s="17" t="str">
        <f>IF(DM$3&lt;=$B23,INDEX(Input!$I$43:$I$2956,DM$3+$A22),"")</f>
        <v/>
      </c>
      <c r="DN23" s="17" t="str">
        <f>IF(DN$3&lt;=$B23,INDEX(Input!$I$43:$I$2956,DN$3+$A22),"")</f>
        <v/>
      </c>
      <c r="DO23" s="17" t="str">
        <f>IF(DO$3&lt;=$B23,INDEX(Input!$I$43:$I$2956,DO$3+$A22),"")</f>
        <v/>
      </c>
      <c r="DP23" s="17" t="str">
        <f>IF(DP$3&lt;=$B23,INDEX(Input!$I$43:$I$2956,DP$3+$A22),"")</f>
        <v/>
      </c>
      <c r="DQ23" s="17" t="str">
        <f>IF(DQ$3&lt;=$B23,INDEX(Input!$I$43:$I$2956,DQ$3+$A22),"")</f>
        <v/>
      </c>
      <c r="DR23" s="17" t="str">
        <f>IF(DR$3&lt;=$B23,INDEX(Input!$I$43:$I$2956,DR$3+$A22),"")</f>
        <v/>
      </c>
      <c r="DS23" s="17" t="str">
        <f>IF(DS$3&lt;=$B23,INDEX(Input!$I$43:$I$2956,DS$3+$A22),"")</f>
        <v/>
      </c>
      <c r="DT23" s="17" t="str">
        <f>IF(DT$3&lt;=$B23,INDEX(Input!$I$43:$I$2956,DT$3+$A22),"")</f>
        <v/>
      </c>
      <c r="DU23" s="17" t="str">
        <f>IF(DU$3&lt;=$B23,INDEX(Input!$I$43:$I$2956,DU$3+$A22),"")</f>
        <v/>
      </c>
      <c r="DV23" s="17" t="str">
        <f>IF(DV$3&lt;=$B23,INDEX(Input!$I$43:$I$2956,DV$3+$A22),"")</f>
        <v/>
      </c>
      <c r="DW23" s="58" t="str">
        <f t="array" ref="DW23:EZ23">IFERROR(eccalc(E23:DV23,C23+B23,B23,$O$2:$AS$2),"")</f>
        <v/>
      </c>
      <c r="DX23" s="59" t="str">
        <v/>
      </c>
      <c r="DY23" s="59" t="str">
        <v/>
      </c>
      <c r="DZ23" s="59" t="str">
        <v/>
      </c>
      <c r="EA23" s="59" t="str">
        <v/>
      </c>
      <c r="EB23" s="59" t="str">
        <v/>
      </c>
      <c r="EC23" s="59" t="str">
        <v/>
      </c>
      <c r="ED23" s="59" t="str">
        <v/>
      </c>
      <c r="EE23" s="59" t="str">
        <v/>
      </c>
      <c r="EF23" s="59" t="str">
        <v/>
      </c>
      <c r="EG23" s="59" t="str">
        <v/>
      </c>
      <c r="EH23" s="59" t="str">
        <v/>
      </c>
      <c r="EI23" s="59" t="str">
        <v/>
      </c>
      <c r="EJ23" s="59" t="str">
        <v/>
      </c>
      <c r="EK23" s="59" t="str">
        <v/>
      </c>
      <c r="EL23" s="59" t="str">
        <v/>
      </c>
      <c r="EM23" s="59" t="str">
        <v/>
      </c>
      <c r="EN23" s="59" t="str">
        <v/>
      </c>
      <c r="EO23" s="59" t="str">
        <v/>
      </c>
      <c r="EP23" s="59" t="str">
        <v/>
      </c>
      <c r="EQ23" s="59" t="str">
        <v/>
      </c>
      <c r="ER23" s="59" t="str">
        <v/>
      </c>
      <c r="ES23" s="59" t="str">
        <v/>
      </c>
      <c r="ET23" s="59" t="str">
        <v/>
      </c>
      <c r="EU23" s="59" t="str">
        <v/>
      </c>
      <c r="EV23" s="59" t="str">
        <v/>
      </c>
      <c r="EW23" s="59" t="str">
        <v/>
      </c>
      <c r="EX23" s="59" t="str">
        <v/>
      </c>
      <c r="EY23" s="59" t="str">
        <v/>
      </c>
      <c r="EZ23" s="60" t="str">
        <v/>
      </c>
      <c r="FA23" s="17"/>
      <c r="FC23">
        <v>20</v>
      </c>
      <c r="FD23">
        <f t="shared" si="2"/>
        <v>4</v>
      </c>
      <c r="FE23">
        <f t="shared" si="3"/>
        <v>2</v>
      </c>
      <c r="FF23">
        <f t="shared" si="4"/>
        <v>174</v>
      </c>
      <c r="FI23" s="16">
        <v>20</v>
      </c>
      <c r="FJ23" s="17">
        <f t="shared" si="5"/>
        <v>21</v>
      </c>
      <c r="FK23" s="17">
        <f t="shared" si="6"/>
        <v>174</v>
      </c>
      <c r="FL23" s="18" t="str">
        <f t="shared" si="7"/>
        <v>10101110</v>
      </c>
      <c r="FM23" s="2"/>
      <c r="FN23" s="99" t="str">
        <f>'RS Calc'!K19</f>
        <v>000100000111011</v>
      </c>
      <c r="FO23" s="96">
        <f>Input!L11</f>
        <v>13</v>
      </c>
      <c r="FP23" s="95">
        <f>17+4*FO23</f>
        <v>69</v>
      </c>
      <c r="FQ23" s="98">
        <f>Input!V26</f>
        <v>8</v>
      </c>
    </row>
    <row r="24" spans="1:176" ht="15.75" thickBot="1">
      <c r="A24">
        <f>SUM($B$4:B24)</f>
        <v>196</v>
      </c>
      <c r="B24">
        <f t="shared" si="0"/>
        <v>0</v>
      </c>
      <c r="C24" t="str">
        <f t="shared" si="1"/>
        <v/>
      </c>
      <c r="D24">
        <v>21</v>
      </c>
      <c r="E24" s="16" t="str">
        <f>IF(E$3&lt;=$B24,INDEX(Input!$I$43:$I$2956,E$3+$A23),"")</f>
        <v/>
      </c>
      <c r="F24" s="17" t="str">
        <f>IF(F$3&lt;=$B24,INDEX(Input!$I$43:$I$2956,F$3+$A23),"")</f>
        <v/>
      </c>
      <c r="G24" s="17" t="str">
        <f>IF(G$3&lt;=$B24,INDEX(Input!$I$43:$I$2956,G$3+$A23),"")</f>
        <v/>
      </c>
      <c r="H24" s="17" t="str">
        <f>IF(H$3&lt;=$B24,INDEX(Input!$I$43:$I$2956,H$3+$A23),"")</f>
        <v/>
      </c>
      <c r="I24" s="17" t="str">
        <f>IF(I$3&lt;=$B24,INDEX(Input!$I$43:$I$2956,I$3+$A23),"")</f>
        <v/>
      </c>
      <c r="J24" s="17" t="str">
        <f>IF(J$3&lt;=$B24,INDEX(Input!$I$43:$I$2956,J$3+$A23),"")</f>
        <v/>
      </c>
      <c r="K24" s="17" t="str">
        <f>IF(K$3&lt;=$B24,INDEX(Input!$I$43:$I$2956,K$3+$A23),"")</f>
        <v/>
      </c>
      <c r="L24" s="17" t="str">
        <f>IF(L$3&lt;=$B24,INDEX(Input!$I$43:$I$2956,L$3+$A23),"")</f>
        <v/>
      </c>
      <c r="M24" s="17" t="str">
        <f>IF(M$3&lt;=$B24,INDEX(Input!$I$43:$I$2956,M$3+$A23),"")</f>
        <v/>
      </c>
      <c r="N24" s="17" t="str">
        <f>IF(N$3&lt;=$B24,INDEX(Input!$I$43:$I$2956,N$3+$A23),"")</f>
        <v/>
      </c>
      <c r="O24" s="17" t="str">
        <f>IF(O$3&lt;=$B24,INDEX(Input!$I$43:$I$2956,O$3+$A23),"")</f>
        <v/>
      </c>
      <c r="P24" s="17" t="str">
        <f>IF(P$3&lt;=$B24,INDEX(Input!$I$43:$I$2956,P$3+$A23),"")</f>
        <v/>
      </c>
      <c r="Q24" s="17" t="str">
        <f>IF(Q$3&lt;=$B24,INDEX(Input!$I$43:$I$2956,Q$3+$A23),"")</f>
        <v/>
      </c>
      <c r="R24" s="17" t="str">
        <f>IF(R$3&lt;=$B24,INDEX(Input!$I$43:$I$2956,R$3+$A23),"")</f>
        <v/>
      </c>
      <c r="S24" s="17" t="str">
        <f>IF(S$3&lt;=$B24,INDEX(Input!$I$43:$I$2956,S$3+$A23),"")</f>
        <v/>
      </c>
      <c r="T24" s="17" t="str">
        <f>IF(T$3&lt;=$B24,INDEX(Input!$I$43:$I$2956,T$3+$A23),"")</f>
        <v/>
      </c>
      <c r="U24" s="17" t="str">
        <f>IF(U$3&lt;=$B24,INDEX(Input!$I$43:$I$2956,U$3+$A23),"")</f>
        <v/>
      </c>
      <c r="V24" s="17" t="str">
        <f>IF(V$3&lt;=$B24,INDEX(Input!$I$43:$I$2956,V$3+$A23),"")</f>
        <v/>
      </c>
      <c r="W24" s="17" t="str">
        <f>IF(W$3&lt;=$B24,INDEX(Input!$I$43:$I$2956,W$3+$A23),"")</f>
        <v/>
      </c>
      <c r="X24" s="17" t="str">
        <f>IF(X$3&lt;=$B24,INDEX(Input!$I$43:$I$2956,X$3+$A23),"")</f>
        <v/>
      </c>
      <c r="Y24" s="17" t="str">
        <f>IF(Y$3&lt;=$B24,INDEX(Input!$I$43:$I$2956,Y$3+$A23),"")</f>
        <v/>
      </c>
      <c r="Z24" s="17" t="str">
        <f>IF(Z$3&lt;=$B24,INDEX(Input!$I$43:$I$2956,Z$3+$A23),"")</f>
        <v/>
      </c>
      <c r="AA24" s="17" t="str">
        <f>IF(AA$3&lt;=$B24,INDEX(Input!$I$43:$I$2956,AA$3+$A23),"")</f>
        <v/>
      </c>
      <c r="AB24" s="17" t="str">
        <f>IF(AB$3&lt;=$B24,INDEX(Input!$I$43:$I$2956,AB$3+$A23),"")</f>
        <v/>
      </c>
      <c r="AC24" s="17" t="str">
        <f>IF(AC$3&lt;=$B24,INDEX(Input!$I$43:$I$2956,AC$3+$A23),"")</f>
        <v/>
      </c>
      <c r="AD24" s="17" t="str">
        <f>IF(AD$3&lt;=$B24,INDEX(Input!$I$43:$I$2956,AD$3+$A23),"")</f>
        <v/>
      </c>
      <c r="AE24" s="17" t="str">
        <f>IF(AE$3&lt;=$B24,INDEX(Input!$I$43:$I$2956,AE$3+$A23),"")</f>
        <v/>
      </c>
      <c r="AF24" s="17" t="str">
        <f>IF(AF$3&lt;=$B24,INDEX(Input!$I$43:$I$2956,AF$3+$A23),"")</f>
        <v/>
      </c>
      <c r="AG24" s="17" t="str">
        <f>IF(AG$3&lt;=$B24,INDEX(Input!$I$43:$I$2956,AG$3+$A23),"")</f>
        <v/>
      </c>
      <c r="AH24" s="17" t="str">
        <f>IF(AH$3&lt;=$B24,INDEX(Input!$I$43:$I$2956,AH$3+$A23),"")</f>
        <v/>
      </c>
      <c r="AI24" s="17" t="str">
        <f>IF(AI$3&lt;=$B24,INDEX(Input!$I$43:$I$2956,AI$3+$A23),"")</f>
        <v/>
      </c>
      <c r="AJ24" s="17" t="str">
        <f>IF(AJ$3&lt;=$B24,INDEX(Input!$I$43:$I$2956,AJ$3+$A23),"")</f>
        <v/>
      </c>
      <c r="AK24" s="17" t="str">
        <f>IF(AK$3&lt;=$B24,INDEX(Input!$I$43:$I$2956,AK$3+$A23),"")</f>
        <v/>
      </c>
      <c r="AL24" s="17" t="str">
        <f>IF(AL$3&lt;=$B24,INDEX(Input!$I$43:$I$2956,AL$3+$A23),"")</f>
        <v/>
      </c>
      <c r="AM24" s="17" t="str">
        <f>IF(AM$3&lt;=$B24,INDEX(Input!$I$43:$I$2956,AM$3+$A23),"")</f>
        <v/>
      </c>
      <c r="AN24" s="17" t="str">
        <f>IF(AN$3&lt;=$B24,INDEX(Input!$I$43:$I$2956,AN$3+$A23),"")</f>
        <v/>
      </c>
      <c r="AO24" s="17" t="str">
        <f>IF(AO$3&lt;=$B24,INDEX(Input!$I$43:$I$2956,AO$3+$A23),"")</f>
        <v/>
      </c>
      <c r="AP24" s="17" t="str">
        <f>IF(AP$3&lt;=$B24,INDEX(Input!$I$43:$I$2956,AP$3+$A23),"")</f>
        <v/>
      </c>
      <c r="AQ24" s="17" t="str">
        <f>IF(AQ$3&lt;=$B24,INDEX(Input!$I$43:$I$2956,AQ$3+$A23),"")</f>
        <v/>
      </c>
      <c r="AR24" s="17" t="str">
        <f>IF(AR$3&lt;=$B24,INDEX(Input!$I$43:$I$2956,AR$3+$A23),"")</f>
        <v/>
      </c>
      <c r="AS24" s="17" t="str">
        <f>IF(AS$3&lt;=$B24,INDEX(Input!$I$43:$I$2956,AS$3+$A23),"")</f>
        <v/>
      </c>
      <c r="AT24" s="17" t="str">
        <f>IF(AT$3&lt;=$B24,INDEX(Input!$I$43:$I$2956,AT$3+$A23),"")</f>
        <v/>
      </c>
      <c r="AU24" s="17" t="str">
        <f>IF(AU$3&lt;=$B24,INDEX(Input!$I$43:$I$2956,AU$3+$A23),"")</f>
        <v/>
      </c>
      <c r="AV24" s="17" t="str">
        <f>IF(AV$3&lt;=$B24,INDEX(Input!$I$43:$I$2956,AV$3+$A23),"")</f>
        <v/>
      </c>
      <c r="AW24" s="17" t="str">
        <f>IF(AW$3&lt;=$B24,INDEX(Input!$I$43:$I$2956,AW$3+$A23),"")</f>
        <v/>
      </c>
      <c r="AX24" s="17" t="str">
        <f>IF(AX$3&lt;=$B24,INDEX(Input!$I$43:$I$2956,AX$3+$A23),"")</f>
        <v/>
      </c>
      <c r="AY24" s="17" t="str">
        <f>IF(AY$3&lt;=$B24,INDEX(Input!$I$43:$I$2956,AY$3+$A23),"")</f>
        <v/>
      </c>
      <c r="AZ24" s="17" t="str">
        <f>IF(AZ$3&lt;=$B24,INDEX(Input!$I$43:$I$2956,AZ$3+$A23),"")</f>
        <v/>
      </c>
      <c r="BA24" s="17" t="str">
        <f>IF(BA$3&lt;=$B24,INDEX(Input!$I$43:$I$2956,BA$3+$A23),"")</f>
        <v/>
      </c>
      <c r="BB24" s="17" t="str">
        <f>IF(BB$3&lt;=$B24,INDEX(Input!$I$43:$I$2956,BB$3+$A23),"")</f>
        <v/>
      </c>
      <c r="BC24" s="17" t="str">
        <f>IF(BC$3&lt;=$B24,INDEX(Input!$I$43:$I$2956,BC$3+$A23),"")</f>
        <v/>
      </c>
      <c r="BD24" s="17" t="str">
        <f>IF(BD$3&lt;=$B24,INDEX(Input!$I$43:$I$2956,BD$3+$A23),"")</f>
        <v/>
      </c>
      <c r="BE24" s="17" t="str">
        <f>IF(BE$3&lt;=$B24,INDEX(Input!$I$43:$I$2956,BE$3+$A23),"")</f>
        <v/>
      </c>
      <c r="BF24" s="17" t="str">
        <f>IF(BF$3&lt;=$B24,INDEX(Input!$I$43:$I$2956,BF$3+$A23),"")</f>
        <v/>
      </c>
      <c r="BG24" s="17" t="str">
        <f>IF(BG$3&lt;=$B24,INDEX(Input!$I$43:$I$2956,BG$3+$A23),"")</f>
        <v/>
      </c>
      <c r="BH24" s="17" t="str">
        <f>IF(BH$3&lt;=$B24,INDEX(Input!$I$43:$I$2956,BH$3+$A23),"")</f>
        <v/>
      </c>
      <c r="BI24" s="17" t="str">
        <f>IF(BI$3&lt;=$B24,INDEX(Input!$I$43:$I$2956,BI$3+$A23),"")</f>
        <v/>
      </c>
      <c r="BJ24" s="17" t="str">
        <f>IF(BJ$3&lt;=$B24,INDEX(Input!$I$43:$I$2956,BJ$3+$A23),"")</f>
        <v/>
      </c>
      <c r="BK24" s="17" t="str">
        <f>IF(BK$3&lt;=$B24,INDEX(Input!$I$43:$I$2956,BK$3+$A23),"")</f>
        <v/>
      </c>
      <c r="BL24" s="17" t="str">
        <f>IF(BL$3&lt;=$B24,INDEX(Input!$I$43:$I$2956,BL$3+$A23),"")</f>
        <v/>
      </c>
      <c r="BM24" s="17" t="str">
        <f>IF(BM$3&lt;=$B24,INDEX(Input!$I$43:$I$2956,BM$3+$A23),"")</f>
        <v/>
      </c>
      <c r="BN24" s="17" t="str">
        <f>IF(BN$3&lt;=$B24,INDEX(Input!$I$43:$I$2956,BN$3+$A23),"")</f>
        <v/>
      </c>
      <c r="BO24" s="17" t="str">
        <f>IF(BO$3&lt;=$B24,INDEX(Input!$I$43:$I$2956,BO$3+$A23),"")</f>
        <v/>
      </c>
      <c r="BP24" s="17" t="str">
        <f>IF(BP$3&lt;=$B24,INDEX(Input!$I$43:$I$2956,BP$3+$A23),"")</f>
        <v/>
      </c>
      <c r="BQ24" s="17" t="str">
        <f>IF(BQ$3&lt;=$B24,INDEX(Input!$I$43:$I$2956,BQ$3+$A23),"")</f>
        <v/>
      </c>
      <c r="BR24" s="17" t="str">
        <f>IF(BR$3&lt;=$B24,INDEX(Input!$I$43:$I$2956,BR$3+$A23),"")</f>
        <v/>
      </c>
      <c r="BS24" s="17" t="str">
        <f>IF(BS$3&lt;=$B24,INDEX(Input!$I$43:$I$2956,BS$3+$A23),"")</f>
        <v/>
      </c>
      <c r="BT24" s="17" t="str">
        <f>IF(BT$3&lt;=$B24,INDEX(Input!$I$43:$I$2956,BT$3+$A23),"")</f>
        <v/>
      </c>
      <c r="BU24" s="17" t="str">
        <f>IF(BU$3&lt;=$B24,INDEX(Input!$I$43:$I$2956,BU$3+$A23),"")</f>
        <v/>
      </c>
      <c r="BV24" s="17" t="str">
        <f>IF(BV$3&lt;=$B24,INDEX(Input!$I$43:$I$2956,BV$3+$A23),"")</f>
        <v/>
      </c>
      <c r="BW24" s="17" t="str">
        <f>IF(BW$3&lt;=$B24,INDEX(Input!$I$43:$I$2956,BW$3+$A23),"")</f>
        <v/>
      </c>
      <c r="BX24" s="17" t="str">
        <f>IF(BX$3&lt;=$B24,INDEX(Input!$I$43:$I$2956,BX$3+$A23),"")</f>
        <v/>
      </c>
      <c r="BY24" s="17" t="str">
        <f>IF(BY$3&lt;=$B24,INDEX(Input!$I$43:$I$2956,BY$3+$A23),"")</f>
        <v/>
      </c>
      <c r="BZ24" s="17" t="str">
        <f>IF(BZ$3&lt;=$B24,INDEX(Input!$I$43:$I$2956,BZ$3+$A23),"")</f>
        <v/>
      </c>
      <c r="CA24" s="17" t="str">
        <f>IF(CA$3&lt;=$B24,INDEX(Input!$I$43:$I$2956,CA$3+$A23),"")</f>
        <v/>
      </c>
      <c r="CB24" s="17" t="str">
        <f>IF(CB$3&lt;=$B24,INDEX(Input!$I$43:$I$2956,CB$3+$A23),"")</f>
        <v/>
      </c>
      <c r="CC24" s="17" t="str">
        <f>IF(CC$3&lt;=$B24,INDEX(Input!$I$43:$I$2956,CC$3+$A23),"")</f>
        <v/>
      </c>
      <c r="CD24" s="17" t="str">
        <f>IF(CD$3&lt;=$B24,INDEX(Input!$I$43:$I$2956,CD$3+$A23),"")</f>
        <v/>
      </c>
      <c r="CE24" s="17" t="str">
        <f>IF(CE$3&lt;=$B24,INDEX(Input!$I$43:$I$2956,CE$3+$A23),"")</f>
        <v/>
      </c>
      <c r="CF24" s="17" t="str">
        <f>IF(CF$3&lt;=$B24,INDEX(Input!$I$43:$I$2956,CF$3+$A23),"")</f>
        <v/>
      </c>
      <c r="CG24" s="17" t="str">
        <f>IF(CG$3&lt;=$B24,INDEX(Input!$I$43:$I$2956,CG$3+$A23),"")</f>
        <v/>
      </c>
      <c r="CH24" s="17" t="str">
        <f>IF(CH$3&lt;=$B24,INDEX(Input!$I$43:$I$2956,CH$3+$A23),"")</f>
        <v/>
      </c>
      <c r="CI24" s="17" t="str">
        <f>IF(CI$3&lt;=$B24,INDEX(Input!$I$43:$I$2956,CI$3+$A23),"")</f>
        <v/>
      </c>
      <c r="CJ24" s="17" t="str">
        <f>IF(CJ$3&lt;=$B24,INDEX(Input!$I$43:$I$2956,CJ$3+$A23),"")</f>
        <v/>
      </c>
      <c r="CK24" s="17" t="str">
        <f>IF(CK$3&lt;=$B24,INDEX(Input!$I$43:$I$2956,CK$3+$A23),"")</f>
        <v/>
      </c>
      <c r="CL24" s="17" t="str">
        <f>IF(CL$3&lt;=$B24,INDEX(Input!$I$43:$I$2956,CL$3+$A23),"")</f>
        <v/>
      </c>
      <c r="CM24" s="17" t="str">
        <f>IF(CM$3&lt;=$B24,INDEX(Input!$I$43:$I$2956,CM$3+$A23),"")</f>
        <v/>
      </c>
      <c r="CN24" s="17" t="str">
        <f>IF(CN$3&lt;=$B24,INDEX(Input!$I$43:$I$2956,CN$3+$A23),"")</f>
        <v/>
      </c>
      <c r="CO24" s="17" t="str">
        <f>IF(CO$3&lt;=$B24,INDEX(Input!$I$43:$I$2956,CO$3+$A23),"")</f>
        <v/>
      </c>
      <c r="CP24" s="17" t="str">
        <f>IF(CP$3&lt;=$B24,INDEX(Input!$I$43:$I$2956,CP$3+$A23),"")</f>
        <v/>
      </c>
      <c r="CQ24" s="17" t="str">
        <f>IF(CQ$3&lt;=$B24,INDEX(Input!$I$43:$I$2956,CQ$3+$A23),"")</f>
        <v/>
      </c>
      <c r="CR24" s="17" t="str">
        <f>IF(CR$3&lt;=$B24,INDEX(Input!$I$43:$I$2956,CR$3+$A23),"")</f>
        <v/>
      </c>
      <c r="CS24" s="17" t="str">
        <f>IF(CS$3&lt;=$B24,INDEX(Input!$I$43:$I$2956,CS$3+$A23),"")</f>
        <v/>
      </c>
      <c r="CT24" s="17" t="str">
        <f>IF(CT$3&lt;=$B24,INDEX(Input!$I$43:$I$2956,CT$3+$A23),"")</f>
        <v/>
      </c>
      <c r="CU24" s="17" t="str">
        <f>IF(CU$3&lt;=$B24,INDEX(Input!$I$43:$I$2956,CU$3+$A23),"")</f>
        <v/>
      </c>
      <c r="CV24" s="17" t="str">
        <f>IF(CV$3&lt;=$B24,INDEX(Input!$I$43:$I$2956,CV$3+$A23),"")</f>
        <v/>
      </c>
      <c r="CW24" s="17" t="str">
        <f>IF(CW$3&lt;=$B24,INDEX(Input!$I$43:$I$2956,CW$3+$A23),"")</f>
        <v/>
      </c>
      <c r="CX24" s="17" t="str">
        <f>IF(CX$3&lt;=$B24,INDEX(Input!$I$43:$I$2956,CX$3+$A23),"")</f>
        <v/>
      </c>
      <c r="CY24" s="17" t="str">
        <f>IF(CY$3&lt;=$B24,INDEX(Input!$I$43:$I$2956,CY$3+$A23),"")</f>
        <v/>
      </c>
      <c r="CZ24" s="17" t="str">
        <f>IF(CZ$3&lt;=$B24,INDEX(Input!$I$43:$I$2956,CZ$3+$A23),"")</f>
        <v/>
      </c>
      <c r="DA24" s="17" t="str">
        <f>IF(DA$3&lt;=$B24,INDEX(Input!$I$43:$I$2956,DA$3+$A23),"")</f>
        <v/>
      </c>
      <c r="DB24" s="17" t="str">
        <f>IF(DB$3&lt;=$B24,INDEX(Input!$I$43:$I$2956,DB$3+$A23),"")</f>
        <v/>
      </c>
      <c r="DC24" s="17" t="str">
        <f>IF(DC$3&lt;=$B24,INDEX(Input!$I$43:$I$2956,DC$3+$A23),"")</f>
        <v/>
      </c>
      <c r="DD24" s="17" t="str">
        <f>IF(DD$3&lt;=$B24,INDEX(Input!$I$43:$I$2956,DD$3+$A23),"")</f>
        <v/>
      </c>
      <c r="DE24" s="17" t="str">
        <f>IF(DE$3&lt;=$B24,INDEX(Input!$I$43:$I$2956,DE$3+$A23),"")</f>
        <v/>
      </c>
      <c r="DF24" s="17" t="str">
        <f>IF(DF$3&lt;=$B24,INDEX(Input!$I$43:$I$2956,DF$3+$A23),"")</f>
        <v/>
      </c>
      <c r="DG24" s="17" t="str">
        <f>IF(DG$3&lt;=$B24,INDEX(Input!$I$43:$I$2956,DG$3+$A23),"")</f>
        <v/>
      </c>
      <c r="DH24" s="17" t="str">
        <f>IF(DH$3&lt;=$B24,INDEX(Input!$I$43:$I$2956,DH$3+$A23),"")</f>
        <v/>
      </c>
      <c r="DI24" s="17" t="str">
        <f>IF(DI$3&lt;=$B24,INDEX(Input!$I$43:$I$2956,DI$3+$A23),"")</f>
        <v/>
      </c>
      <c r="DJ24" s="17" t="str">
        <f>IF(DJ$3&lt;=$B24,INDEX(Input!$I$43:$I$2956,DJ$3+$A23),"")</f>
        <v/>
      </c>
      <c r="DK24" s="17" t="str">
        <f>IF(DK$3&lt;=$B24,INDEX(Input!$I$43:$I$2956,DK$3+$A23),"")</f>
        <v/>
      </c>
      <c r="DL24" s="17" t="str">
        <f>IF(DL$3&lt;=$B24,INDEX(Input!$I$43:$I$2956,DL$3+$A23),"")</f>
        <v/>
      </c>
      <c r="DM24" s="17" t="str">
        <f>IF(DM$3&lt;=$B24,INDEX(Input!$I$43:$I$2956,DM$3+$A23),"")</f>
        <v/>
      </c>
      <c r="DN24" s="17" t="str">
        <f>IF(DN$3&lt;=$B24,INDEX(Input!$I$43:$I$2956,DN$3+$A23),"")</f>
        <v/>
      </c>
      <c r="DO24" s="17" t="str">
        <f>IF(DO$3&lt;=$B24,INDEX(Input!$I$43:$I$2956,DO$3+$A23),"")</f>
        <v/>
      </c>
      <c r="DP24" s="17" t="str">
        <f>IF(DP$3&lt;=$B24,INDEX(Input!$I$43:$I$2956,DP$3+$A23),"")</f>
        <v/>
      </c>
      <c r="DQ24" s="17" t="str">
        <f>IF(DQ$3&lt;=$B24,INDEX(Input!$I$43:$I$2956,DQ$3+$A23),"")</f>
        <v/>
      </c>
      <c r="DR24" s="17" t="str">
        <f>IF(DR$3&lt;=$B24,INDEX(Input!$I$43:$I$2956,DR$3+$A23),"")</f>
        <v/>
      </c>
      <c r="DS24" s="17" t="str">
        <f>IF(DS$3&lt;=$B24,INDEX(Input!$I$43:$I$2956,DS$3+$A23),"")</f>
        <v/>
      </c>
      <c r="DT24" s="17" t="str">
        <f>IF(DT$3&lt;=$B24,INDEX(Input!$I$43:$I$2956,DT$3+$A23),"")</f>
        <v/>
      </c>
      <c r="DU24" s="17" t="str">
        <f>IF(DU$3&lt;=$B24,INDEX(Input!$I$43:$I$2956,DU$3+$A23),"")</f>
        <v/>
      </c>
      <c r="DV24" s="17" t="str">
        <f>IF(DV$3&lt;=$B24,INDEX(Input!$I$43:$I$2956,DV$3+$A23),"")</f>
        <v/>
      </c>
      <c r="DW24" s="58" t="str">
        <f t="array" ref="DW24:EZ24">IFERROR(eccalc(E24:DV24,C24+B24,B24,$O$2:$AS$2),"")</f>
        <v/>
      </c>
      <c r="DX24" s="59" t="str">
        <v/>
      </c>
      <c r="DY24" s="59" t="str">
        <v/>
      </c>
      <c r="DZ24" s="59" t="str">
        <v/>
      </c>
      <c r="EA24" s="59" t="str">
        <v/>
      </c>
      <c r="EB24" s="59" t="str">
        <v/>
      </c>
      <c r="EC24" s="59" t="str">
        <v/>
      </c>
      <c r="ED24" s="59" t="str">
        <v/>
      </c>
      <c r="EE24" s="59" t="str">
        <v/>
      </c>
      <c r="EF24" s="59" t="str">
        <v/>
      </c>
      <c r="EG24" s="59" t="str">
        <v/>
      </c>
      <c r="EH24" s="59" t="str">
        <v/>
      </c>
      <c r="EI24" s="59" t="str">
        <v/>
      </c>
      <c r="EJ24" s="59" t="str">
        <v/>
      </c>
      <c r="EK24" s="59" t="str">
        <v/>
      </c>
      <c r="EL24" s="59" t="str">
        <v/>
      </c>
      <c r="EM24" s="59" t="str">
        <v/>
      </c>
      <c r="EN24" s="59" t="str">
        <v/>
      </c>
      <c r="EO24" s="59" t="str">
        <v/>
      </c>
      <c r="EP24" s="59" t="str">
        <v/>
      </c>
      <c r="EQ24" s="59" t="str">
        <v/>
      </c>
      <c r="ER24" s="59" t="str">
        <v/>
      </c>
      <c r="ES24" s="59" t="str">
        <v/>
      </c>
      <c r="ET24" s="59" t="str">
        <v/>
      </c>
      <c r="EU24" s="59" t="str">
        <v/>
      </c>
      <c r="EV24" s="59" t="str">
        <v/>
      </c>
      <c r="EW24" s="59" t="str">
        <v/>
      </c>
      <c r="EX24" s="59" t="str">
        <v/>
      </c>
      <c r="EY24" s="59" t="str">
        <v/>
      </c>
      <c r="EZ24" s="60" t="str">
        <v/>
      </c>
      <c r="FA24" s="17"/>
      <c r="FC24">
        <v>21</v>
      </c>
      <c r="FD24">
        <f t="shared" si="2"/>
        <v>5</v>
      </c>
      <c r="FE24">
        <f t="shared" si="3"/>
        <v>2</v>
      </c>
      <c r="FF24">
        <f t="shared" si="4"/>
        <v>101</v>
      </c>
      <c r="FI24" s="16">
        <v>21</v>
      </c>
      <c r="FJ24" s="17">
        <f t="shared" si="5"/>
        <v>164</v>
      </c>
      <c r="FK24" s="17">
        <f t="shared" si="6"/>
        <v>101</v>
      </c>
      <c r="FL24" s="18" t="str">
        <f t="shared" si="7"/>
        <v>01100101</v>
      </c>
      <c r="FM24" s="2"/>
      <c r="FN24" t="s">
        <v>164</v>
      </c>
    </row>
    <row r="25" spans="1:176" ht="15.75" thickBot="1">
      <c r="A25">
        <f>SUM($B$4:B25)</f>
        <v>196</v>
      </c>
      <c r="B25">
        <f t="shared" si="0"/>
        <v>0</v>
      </c>
      <c r="C25" t="str">
        <f t="shared" si="1"/>
        <v/>
      </c>
      <c r="D25">
        <v>22</v>
      </c>
      <c r="E25" s="16" t="str">
        <f>IF(E$3&lt;=$B25,INDEX(Input!$I$43:$I$2956,E$3+$A24),"")</f>
        <v/>
      </c>
      <c r="F25" s="17" t="str">
        <f>IF(F$3&lt;=$B25,INDEX(Input!$I$43:$I$2956,F$3+$A24),"")</f>
        <v/>
      </c>
      <c r="G25" s="17" t="str">
        <f>IF(G$3&lt;=$B25,INDEX(Input!$I$43:$I$2956,G$3+$A24),"")</f>
        <v/>
      </c>
      <c r="H25" s="17" t="str">
        <f>IF(H$3&lt;=$B25,INDEX(Input!$I$43:$I$2956,H$3+$A24),"")</f>
        <v/>
      </c>
      <c r="I25" s="17" t="str">
        <f>IF(I$3&lt;=$B25,INDEX(Input!$I$43:$I$2956,I$3+$A24),"")</f>
        <v/>
      </c>
      <c r="J25" s="17" t="str">
        <f>IF(J$3&lt;=$B25,INDEX(Input!$I$43:$I$2956,J$3+$A24),"")</f>
        <v/>
      </c>
      <c r="K25" s="17" t="str">
        <f>IF(K$3&lt;=$B25,INDEX(Input!$I$43:$I$2956,K$3+$A24),"")</f>
        <v/>
      </c>
      <c r="L25" s="17" t="str">
        <f>IF(L$3&lt;=$B25,INDEX(Input!$I$43:$I$2956,L$3+$A24),"")</f>
        <v/>
      </c>
      <c r="M25" s="17" t="str">
        <f>IF(M$3&lt;=$B25,INDEX(Input!$I$43:$I$2956,M$3+$A24),"")</f>
        <v/>
      </c>
      <c r="N25" s="17" t="str">
        <f>IF(N$3&lt;=$B25,INDEX(Input!$I$43:$I$2956,N$3+$A24),"")</f>
        <v/>
      </c>
      <c r="O25" s="17" t="str">
        <f>IF(O$3&lt;=$B25,INDEX(Input!$I$43:$I$2956,O$3+$A24),"")</f>
        <v/>
      </c>
      <c r="P25" s="17" t="str">
        <f>IF(P$3&lt;=$B25,INDEX(Input!$I$43:$I$2956,P$3+$A24),"")</f>
        <v/>
      </c>
      <c r="Q25" s="17" t="str">
        <f>IF(Q$3&lt;=$B25,INDEX(Input!$I$43:$I$2956,Q$3+$A24),"")</f>
        <v/>
      </c>
      <c r="R25" s="17" t="str">
        <f>IF(R$3&lt;=$B25,INDEX(Input!$I$43:$I$2956,R$3+$A24),"")</f>
        <v/>
      </c>
      <c r="S25" s="17" t="str">
        <f>IF(S$3&lt;=$B25,INDEX(Input!$I$43:$I$2956,S$3+$A24),"")</f>
        <v/>
      </c>
      <c r="T25" s="17" t="str">
        <f>IF(T$3&lt;=$B25,INDEX(Input!$I$43:$I$2956,T$3+$A24),"")</f>
        <v/>
      </c>
      <c r="U25" s="17" t="str">
        <f>IF(U$3&lt;=$B25,INDEX(Input!$I$43:$I$2956,U$3+$A24),"")</f>
        <v/>
      </c>
      <c r="V25" s="17" t="str">
        <f>IF(V$3&lt;=$B25,INDEX(Input!$I$43:$I$2956,V$3+$A24),"")</f>
        <v/>
      </c>
      <c r="W25" s="17" t="str">
        <f>IF(W$3&lt;=$B25,INDEX(Input!$I$43:$I$2956,W$3+$A24),"")</f>
        <v/>
      </c>
      <c r="X25" s="17" t="str">
        <f>IF(X$3&lt;=$B25,INDEX(Input!$I$43:$I$2956,X$3+$A24),"")</f>
        <v/>
      </c>
      <c r="Y25" s="17" t="str">
        <f>IF(Y$3&lt;=$B25,INDEX(Input!$I$43:$I$2956,Y$3+$A24),"")</f>
        <v/>
      </c>
      <c r="Z25" s="17" t="str">
        <f>IF(Z$3&lt;=$B25,INDEX(Input!$I$43:$I$2956,Z$3+$A24),"")</f>
        <v/>
      </c>
      <c r="AA25" s="17" t="str">
        <f>IF(AA$3&lt;=$B25,INDEX(Input!$I$43:$I$2956,AA$3+$A24),"")</f>
        <v/>
      </c>
      <c r="AB25" s="17" t="str">
        <f>IF(AB$3&lt;=$B25,INDEX(Input!$I$43:$I$2956,AB$3+$A24),"")</f>
        <v/>
      </c>
      <c r="AC25" s="17" t="str">
        <f>IF(AC$3&lt;=$B25,INDEX(Input!$I$43:$I$2956,AC$3+$A24),"")</f>
        <v/>
      </c>
      <c r="AD25" s="17" t="str">
        <f>IF(AD$3&lt;=$B25,INDEX(Input!$I$43:$I$2956,AD$3+$A24),"")</f>
        <v/>
      </c>
      <c r="AE25" s="17" t="str">
        <f>IF(AE$3&lt;=$B25,INDEX(Input!$I$43:$I$2956,AE$3+$A24),"")</f>
        <v/>
      </c>
      <c r="AF25" s="17" t="str">
        <f>IF(AF$3&lt;=$B25,INDEX(Input!$I$43:$I$2956,AF$3+$A24),"")</f>
        <v/>
      </c>
      <c r="AG25" s="17" t="str">
        <f>IF(AG$3&lt;=$B25,INDEX(Input!$I$43:$I$2956,AG$3+$A24),"")</f>
        <v/>
      </c>
      <c r="AH25" s="17" t="str">
        <f>IF(AH$3&lt;=$B25,INDEX(Input!$I$43:$I$2956,AH$3+$A24),"")</f>
        <v/>
      </c>
      <c r="AI25" s="17" t="str">
        <f>IF(AI$3&lt;=$B25,INDEX(Input!$I$43:$I$2956,AI$3+$A24),"")</f>
        <v/>
      </c>
      <c r="AJ25" s="17" t="str">
        <f>IF(AJ$3&lt;=$B25,INDEX(Input!$I$43:$I$2956,AJ$3+$A24),"")</f>
        <v/>
      </c>
      <c r="AK25" s="17" t="str">
        <f>IF(AK$3&lt;=$B25,INDEX(Input!$I$43:$I$2956,AK$3+$A24),"")</f>
        <v/>
      </c>
      <c r="AL25" s="17" t="str">
        <f>IF(AL$3&lt;=$B25,INDEX(Input!$I$43:$I$2956,AL$3+$A24),"")</f>
        <v/>
      </c>
      <c r="AM25" s="17" t="str">
        <f>IF(AM$3&lt;=$B25,INDEX(Input!$I$43:$I$2956,AM$3+$A24),"")</f>
        <v/>
      </c>
      <c r="AN25" s="17" t="str">
        <f>IF(AN$3&lt;=$B25,INDEX(Input!$I$43:$I$2956,AN$3+$A24),"")</f>
        <v/>
      </c>
      <c r="AO25" s="17" t="str">
        <f>IF(AO$3&lt;=$B25,INDEX(Input!$I$43:$I$2956,AO$3+$A24),"")</f>
        <v/>
      </c>
      <c r="AP25" s="17" t="str">
        <f>IF(AP$3&lt;=$B25,INDEX(Input!$I$43:$I$2956,AP$3+$A24),"")</f>
        <v/>
      </c>
      <c r="AQ25" s="17" t="str">
        <f>IF(AQ$3&lt;=$B25,INDEX(Input!$I$43:$I$2956,AQ$3+$A24),"")</f>
        <v/>
      </c>
      <c r="AR25" s="17" t="str">
        <f>IF(AR$3&lt;=$B25,INDEX(Input!$I$43:$I$2956,AR$3+$A24),"")</f>
        <v/>
      </c>
      <c r="AS25" s="17" t="str">
        <f>IF(AS$3&lt;=$B25,INDEX(Input!$I$43:$I$2956,AS$3+$A24),"")</f>
        <v/>
      </c>
      <c r="AT25" s="17" t="str">
        <f>IF(AT$3&lt;=$B25,INDEX(Input!$I$43:$I$2956,AT$3+$A24),"")</f>
        <v/>
      </c>
      <c r="AU25" s="17" t="str">
        <f>IF(AU$3&lt;=$B25,INDEX(Input!$I$43:$I$2956,AU$3+$A24),"")</f>
        <v/>
      </c>
      <c r="AV25" s="17" t="str">
        <f>IF(AV$3&lt;=$B25,INDEX(Input!$I$43:$I$2956,AV$3+$A24),"")</f>
        <v/>
      </c>
      <c r="AW25" s="17" t="str">
        <f>IF(AW$3&lt;=$B25,INDEX(Input!$I$43:$I$2956,AW$3+$A24),"")</f>
        <v/>
      </c>
      <c r="AX25" s="17" t="str">
        <f>IF(AX$3&lt;=$B25,INDEX(Input!$I$43:$I$2956,AX$3+$A24),"")</f>
        <v/>
      </c>
      <c r="AY25" s="17" t="str">
        <f>IF(AY$3&lt;=$B25,INDEX(Input!$I$43:$I$2956,AY$3+$A24),"")</f>
        <v/>
      </c>
      <c r="AZ25" s="17" t="str">
        <f>IF(AZ$3&lt;=$B25,INDEX(Input!$I$43:$I$2956,AZ$3+$A24),"")</f>
        <v/>
      </c>
      <c r="BA25" s="17" t="str">
        <f>IF(BA$3&lt;=$B25,INDEX(Input!$I$43:$I$2956,BA$3+$A24),"")</f>
        <v/>
      </c>
      <c r="BB25" s="17" t="str">
        <f>IF(BB$3&lt;=$B25,INDEX(Input!$I$43:$I$2956,BB$3+$A24),"")</f>
        <v/>
      </c>
      <c r="BC25" s="17" t="str">
        <f>IF(BC$3&lt;=$B25,INDEX(Input!$I$43:$I$2956,BC$3+$A24),"")</f>
        <v/>
      </c>
      <c r="BD25" s="17" t="str">
        <f>IF(BD$3&lt;=$B25,INDEX(Input!$I$43:$I$2956,BD$3+$A24),"")</f>
        <v/>
      </c>
      <c r="BE25" s="17" t="str">
        <f>IF(BE$3&lt;=$B25,INDEX(Input!$I$43:$I$2956,BE$3+$A24),"")</f>
        <v/>
      </c>
      <c r="BF25" s="17" t="str">
        <f>IF(BF$3&lt;=$B25,INDEX(Input!$I$43:$I$2956,BF$3+$A24),"")</f>
        <v/>
      </c>
      <c r="BG25" s="17" t="str">
        <f>IF(BG$3&lt;=$B25,INDEX(Input!$I$43:$I$2956,BG$3+$A24),"")</f>
        <v/>
      </c>
      <c r="BH25" s="17" t="str">
        <f>IF(BH$3&lt;=$B25,INDEX(Input!$I$43:$I$2956,BH$3+$A24),"")</f>
        <v/>
      </c>
      <c r="BI25" s="17" t="str">
        <f>IF(BI$3&lt;=$B25,INDEX(Input!$I$43:$I$2956,BI$3+$A24),"")</f>
        <v/>
      </c>
      <c r="BJ25" s="17" t="str">
        <f>IF(BJ$3&lt;=$B25,INDEX(Input!$I$43:$I$2956,BJ$3+$A24),"")</f>
        <v/>
      </c>
      <c r="BK25" s="17" t="str">
        <f>IF(BK$3&lt;=$B25,INDEX(Input!$I$43:$I$2956,BK$3+$A24),"")</f>
        <v/>
      </c>
      <c r="BL25" s="17" t="str">
        <f>IF(BL$3&lt;=$B25,INDEX(Input!$I$43:$I$2956,BL$3+$A24),"")</f>
        <v/>
      </c>
      <c r="BM25" s="17" t="str">
        <f>IF(BM$3&lt;=$B25,INDEX(Input!$I$43:$I$2956,BM$3+$A24),"")</f>
        <v/>
      </c>
      <c r="BN25" s="17" t="str">
        <f>IF(BN$3&lt;=$B25,INDEX(Input!$I$43:$I$2956,BN$3+$A24),"")</f>
        <v/>
      </c>
      <c r="BO25" s="17" t="str">
        <f>IF(BO$3&lt;=$B25,INDEX(Input!$I$43:$I$2956,BO$3+$A24),"")</f>
        <v/>
      </c>
      <c r="BP25" s="17" t="str">
        <f>IF(BP$3&lt;=$B25,INDEX(Input!$I$43:$I$2956,BP$3+$A24),"")</f>
        <v/>
      </c>
      <c r="BQ25" s="17" t="str">
        <f>IF(BQ$3&lt;=$B25,INDEX(Input!$I$43:$I$2956,BQ$3+$A24),"")</f>
        <v/>
      </c>
      <c r="BR25" s="17" t="str">
        <f>IF(BR$3&lt;=$B25,INDEX(Input!$I$43:$I$2956,BR$3+$A24),"")</f>
        <v/>
      </c>
      <c r="BS25" s="17" t="str">
        <f>IF(BS$3&lt;=$B25,INDEX(Input!$I$43:$I$2956,BS$3+$A24),"")</f>
        <v/>
      </c>
      <c r="BT25" s="17" t="str">
        <f>IF(BT$3&lt;=$B25,INDEX(Input!$I$43:$I$2956,BT$3+$A24),"")</f>
        <v/>
      </c>
      <c r="BU25" s="17" t="str">
        <f>IF(BU$3&lt;=$B25,INDEX(Input!$I$43:$I$2956,BU$3+$A24),"")</f>
        <v/>
      </c>
      <c r="BV25" s="17" t="str">
        <f>IF(BV$3&lt;=$B25,INDEX(Input!$I$43:$I$2956,BV$3+$A24),"")</f>
        <v/>
      </c>
      <c r="BW25" s="17" t="str">
        <f>IF(BW$3&lt;=$B25,INDEX(Input!$I$43:$I$2956,BW$3+$A24),"")</f>
        <v/>
      </c>
      <c r="BX25" s="17" t="str">
        <f>IF(BX$3&lt;=$B25,INDEX(Input!$I$43:$I$2956,BX$3+$A24),"")</f>
        <v/>
      </c>
      <c r="BY25" s="17" t="str">
        <f>IF(BY$3&lt;=$B25,INDEX(Input!$I$43:$I$2956,BY$3+$A24),"")</f>
        <v/>
      </c>
      <c r="BZ25" s="17" t="str">
        <f>IF(BZ$3&lt;=$B25,INDEX(Input!$I$43:$I$2956,BZ$3+$A24),"")</f>
        <v/>
      </c>
      <c r="CA25" s="17" t="str">
        <f>IF(CA$3&lt;=$B25,INDEX(Input!$I$43:$I$2956,CA$3+$A24),"")</f>
        <v/>
      </c>
      <c r="CB25" s="17" t="str">
        <f>IF(CB$3&lt;=$B25,INDEX(Input!$I$43:$I$2956,CB$3+$A24),"")</f>
        <v/>
      </c>
      <c r="CC25" s="17" t="str">
        <f>IF(CC$3&lt;=$B25,INDEX(Input!$I$43:$I$2956,CC$3+$A24),"")</f>
        <v/>
      </c>
      <c r="CD25" s="17" t="str">
        <f>IF(CD$3&lt;=$B25,INDEX(Input!$I$43:$I$2956,CD$3+$A24),"")</f>
        <v/>
      </c>
      <c r="CE25" s="17" t="str">
        <f>IF(CE$3&lt;=$B25,INDEX(Input!$I$43:$I$2956,CE$3+$A24),"")</f>
        <v/>
      </c>
      <c r="CF25" s="17" t="str">
        <f>IF(CF$3&lt;=$B25,INDEX(Input!$I$43:$I$2956,CF$3+$A24),"")</f>
        <v/>
      </c>
      <c r="CG25" s="17" t="str">
        <f>IF(CG$3&lt;=$B25,INDEX(Input!$I$43:$I$2956,CG$3+$A24),"")</f>
        <v/>
      </c>
      <c r="CH25" s="17" t="str">
        <f>IF(CH$3&lt;=$B25,INDEX(Input!$I$43:$I$2956,CH$3+$A24),"")</f>
        <v/>
      </c>
      <c r="CI25" s="17" t="str">
        <f>IF(CI$3&lt;=$B25,INDEX(Input!$I$43:$I$2956,CI$3+$A24),"")</f>
        <v/>
      </c>
      <c r="CJ25" s="17" t="str">
        <f>IF(CJ$3&lt;=$B25,INDEX(Input!$I$43:$I$2956,CJ$3+$A24),"")</f>
        <v/>
      </c>
      <c r="CK25" s="17" t="str">
        <f>IF(CK$3&lt;=$B25,INDEX(Input!$I$43:$I$2956,CK$3+$A24),"")</f>
        <v/>
      </c>
      <c r="CL25" s="17" t="str">
        <f>IF(CL$3&lt;=$B25,INDEX(Input!$I$43:$I$2956,CL$3+$A24),"")</f>
        <v/>
      </c>
      <c r="CM25" s="17" t="str">
        <f>IF(CM$3&lt;=$B25,INDEX(Input!$I$43:$I$2956,CM$3+$A24),"")</f>
        <v/>
      </c>
      <c r="CN25" s="17" t="str">
        <f>IF(CN$3&lt;=$B25,INDEX(Input!$I$43:$I$2956,CN$3+$A24),"")</f>
        <v/>
      </c>
      <c r="CO25" s="17" t="str">
        <f>IF(CO$3&lt;=$B25,INDEX(Input!$I$43:$I$2956,CO$3+$A24),"")</f>
        <v/>
      </c>
      <c r="CP25" s="17" t="str">
        <f>IF(CP$3&lt;=$B25,INDEX(Input!$I$43:$I$2956,CP$3+$A24),"")</f>
        <v/>
      </c>
      <c r="CQ25" s="17" t="str">
        <f>IF(CQ$3&lt;=$B25,INDEX(Input!$I$43:$I$2956,CQ$3+$A24),"")</f>
        <v/>
      </c>
      <c r="CR25" s="17" t="str">
        <f>IF(CR$3&lt;=$B25,INDEX(Input!$I$43:$I$2956,CR$3+$A24),"")</f>
        <v/>
      </c>
      <c r="CS25" s="17" t="str">
        <f>IF(CS$3&lt;=$B25,INDEX(Input!$I$43:$I$2956,CS$3+$A24),"")</f>
        <v/>
      </c>
      <c r="CT25" s="17" t="str">
        <f>IF(CT$3&lt;=$B25,INDEX(Input!$I$43:$I$2956,CT$3+$A24),"")</f>
        <v/>
      </c>
      <c r="CU25" s="17" t="str">
        <f>IF(CU$3&lt;=$B25,INDEX(Input!$I$43:$I$2956,CU$3+$A24),"")</f>
        <v/>
      </c>
      <c r="CV25" s="17" t="str">
        <f>IF(CV$3&lt;=$B25,INDEX(Input!$I$43:$I$2956,CV$3+$A24),"")</f>
        <v/>
      </c>
      <c r="CW25" s="17" t="str">
        <f>IF(CW$3&lt;=$B25,INDEX(Input!$I$43:$I$2956,CW$3+$A24),"")</f>
        <v/>
      </c>
      <c r="CX25" s="17" t="str">
        <f>IF(CX$3&lt;=$B25,INDEX(Input!$I$43:$I$2956,CX$3+$A24),"")</f>
        <v/>
      </c>
      <c r="CY25" s="17" t="str">
        <f>IF(CY$3&lt;=$B25,INDEX(Input!$I$43:$I$2956,CY$3+$A24),"")</f>
        <v/>
      </c>
      <c r="CZ25" s="17" t="str">
        <f>IF(CZ$3&lt;=$B25,INDEX(Input!$I$43:$I$2956,CZ$3+$A24),"")</f>
        <v/>
      </c>
      <c r="DA25" s="17" t="str">
        <f>IF(DA$3&lt;=$B25,INDEX(Input!$I$43:$I$2956,DA$3+$A24),"")</f>
        <v/>
      </c>
      <c r="DB25" s="17" t="str">
        <f>IF(DB$3&lt;=$B25,INDEX(Input!$I$43:$I$2956,DB$3+$A24),"")</f>
        <v/>
      </c>
      <c r="DC25" s="17" t="str">
        <f>IF(DC$3&lt;=$B25,INDEX(Input!$I$43:$I$2956,DC$3+$A24),"")</f>
        <v/>
      </c>
      <c r="DD25" s="17" t="str">
        <f>IF(DD$3&lt;=$B25,INDEX(Input!$I$43:$I$2956,DD$3+$A24),"")</f>
        <v/>
      </c>
      <c r="DE25" s="17" t="str">
        <f>IF(DE$3&lt;=$B25,INDEX(Input!$I$43:$I$2956,DE$3+$A24),"")</f>
        <v/>
      </c>
      <c r="DF25" s="17" t="str">
        <f>IF(DF$3&lt;=$B25,INDEX(Input!$I$43:$I$2956,DF$3+$A24),"")</f>
        <v/>
      </c>
      <c r="DG25" s="17" t="str">
        <f>IF(DG$3&lt;=$B25,INDEX(Input!$I$43:$I$2956,DG$3+$A24),"")</f>
        <v/>
      </c>
      <c r="DH25" s="17" t="str">
        <f>IF(DH$3&lt;=$B25,INDEX(Input!$I$43:$I$2956,DH$3+$A24),"")</f>
        <v/>
      </c>
      <c r="DI25" s="17" t="str">
        <f>IF(DI$3&lt;=$B25,INDEX(Input!$I$43:$I$2956,DI$3+$A24),"")</f>
        <v/>
      </c>
      <c r="DJ25" s="17" t="str">
        <f>IF(DJ$3&lt;=$B25,INDEX(Input!$I$43:$I$2956,DJ$3+$A24),"")</f>
        <v/>
      </c>
      <c r="DK25" s="17" t="str">
        <f>IF(DK$3&lt;=$B25,INDEX(Input!$I$43:$I$2956,DK$3+$A24),"")</f>
        <v/>
      </c>
      <c r="DL25" s="17" t="str">
        <f>IF(DL$3&lt;=$B25,INDEX(Input!$I$43:$I$2956,DL$3+$A24),"")</f>
        <v/>
      </c>
      <c r="DM25" s="17" t="str">
        <f>IF(DM$3&lt;=$B25,INDEX(Input!$I$43:$I$2956,DM$3+$A24),"")</f>
        <v/>
      </c>
      <c r="DN25" s="17" t="str">
        <f>IF(DN$3&lt;=$B25,INDEX(Input!$I$43:$I$2956,DN$3+$A24),"")</f>
        <v/>
      </c>
      <c r="DO25" s="17" t="str">
        <f>IF(DO$3&lt;=$B25,INDEX(Input!$I$43:$I$2956,DO$3+$A24),"")</f>
        <v/>
      </c>
      <c r="DP25" s="17" t="str">
        <f>IF(DP$3&lt;=$B25,INDEX(Input!$I$43:$I$2956,DP$3+$A24),"")</f>
        <v/>
      </c>
      <c r="DQ25" s="17" t="str">
        <f>IF(DQ$3&lt;=$B25,INDEX(Input!$I$43:$I$2956,DQ$3+$A24),"")</f>
        <v/>
      </c>
      <c r="DR25" s="17" t="str">
        <f>IF(DR$3&lt;=$B25,INDEX(Input!$I$43:$I$2956,DR$3+$A24),"")</f>
        <v/>
      </c>
      <c r="DS25" s="17" t="str">
        <f>IF(DS$3&lt;=$B25,INDEX(Input!$I$43:$I$2956,DS$3+$A24),"")</f>
        <v/>
      </c>
      <c r="DT25" s="17" t="str">
        <f>IF(DT$3&lt;=$B25,INDEX(Input!$I$43:$I$2956,DT$3+$A24),"")</f>
        <v/>
      </c>
      <c r="DU25" s="17" t="str">
        <f>IF(DU$3&lt;=$B25,INDEX(Input!$I$43:$I$2956,DU$3+$A24),"")</f>
        <v/>
      </c>
      <c r="DV25" s="17" t="str">
        <f>IF(DV$3&lt;=$B25,INDEX(Input!$I$43:$I$2956,DV$3+$A24),"")</f>
        <v/>
      </c>
      <c r="DW25" s="58" t="str">
        <f t="array" ref="DW25:EZ25">IFERROR(eccalc(E25:DV25,C25+B25,B25,$O$2:$AS$2),"")</f>
        <v/>
      </c>
      <c r="DX25" s="59" t="str">
        <v/>
      </c>
      <c r="DY25" s="59" t="str">
        <v/>
      </c>
      <c r="DZ25" s="59" t="str">
        <v/>
      </c>
      <c r="EA25" s="59" t="str">
        <v/>
      </c>
      <c r="EB25" s="59" t="str">
        <v/>
      </c>
      <c r="EC25" s="59" t="str">
        <v/>
      </c>
      <c r="ED25" s="59" t="str">
        <v/>
      </c>
      <c r="EE25" s="59" t="str">
        <v/>
      </c>
      <c r="EF25" s="59" t="str">
        <v/>
      </c>
      <c r="EG25" s="59" t="str">
        <v/>
      </c>
      <c r="EH25" s="59" t="str">
        <v/>
      </c>
      <c r="EI25" s="59" t="str">
        <v/>
      </c>
      <c r="EJ25" s="59" t="str">
        <v/>
      </c>
      <c r="EK25" s="59" t="str">
        <v/>
      </c>
      <c r="EL25" s="59" t="str">
        <v/>
      </c>
      <c r="EM25" s="59" t="str">
        <v/>
      </c>
      <c r="EN25" s="59" t="str">
        <v/>
      </c>
      <c r="EO25" s="59" t="str">
        <v/>
      </c>
      <c r="EP25" s="59" t="str">
        <v/>
      </c>
      <c r="EQ25" s="59" t="str">
        <v/>
      </c>
      <c r="ER25" s="59" t="str">
        <v/>
      </c>
      <c r="ES25" s="59" t="str">
        <v/>
      </c>
      <c r="ET25" s="59" t="str">
        <v/>
      </c>
      <c r="EU25" s="59" t="str">
        <v/>
      </c>
      <c r="EV25" s="59" t="str">
        <v/>
      </c>
      <c r="EW25" s="59" t="str">
        <v/>
      </c>
      <c r="EX25" s="59" t="str">
        <v/>
      </c>
      <c r="EY25" s="59" t="str">
        <v/>
      </c>
      <c r="EZ25" s="60" t="str">
        <v/>
      </c>
      <c r="FA25" s="17"/>
      <c r="FC25">
        <v>22</v>
      </c>
      <c r="FD25">
        <f t="shared" si="2"/>
        <v>6</v>
      </c>
      <c r="FE25">
        <f t="shared" si="3"/>
        <v>2</v>
      </c>
      <c r="FF25">
        <f t="shared" si="4"/>
        <v>58</v>
      </c>
      <c r="FI25" s="16">
        <v>22</v>
      </c>
      <c r="FJ25" s="17">
        <f t="shared" si="5"/>
        <v>29</v>
      </c>
      <c r="FK25" s="17">
        <f t="shared" si="6"/>
        <v>58</v>
      </c>
      <c r="FL25" s="18" t="str">
        <f t="shared" si="7"/>
        <v>00111010</v>
      </c>
      <c r="FM25" s="2"/>
      <c r="FN25" s="96">
        <f>VLOOKUP($FO$23,'Basic Info'!$A$28:$J$67,4,0)</f>
        <v>7</v>
      </c>
      <c r="FO25" s="97">
        <f>VLOOKUP($FO$23,'Basic Info'!$A$28:$J$67,5,0)</f>
        <v>35</v>
      </c>
      <c r="FP25" s="97">
        <f>VLOOKUP($FO$23,'Basic Info'!$A$28:$J$67,6,0)</f>
        <v>63</v>
      </c>
      <c r="FQ25" s="97" t="e">
        <f>VLOOKUP($FO$23,'Basic Info'!$A$28:$J$67,7,0)</f>
        <v>#VALUE!</v>
      </c>
      <c r="FR25" s="97" t="e">
        <f>VLOOKUP($FO$23,'Basic Info'!$A$28:$J$67,8,0)</f>
        <v>#VALUE!</v>
      </c>
      <c r="FS25" s="97" t="e">
        <f>VLOOKUP($FO$23,'Basic Info'!$A$28:$J$67,9,0)</f>
        <v>#VALUE!</v>
      </c>
      <c r="FT25" s="98" t="e">
        <f>VLOOKUP($FO$23,'Basic Info'!$A$28:$J$67,10,0)</f>
        <v>#VALUE!</v>
      </c>
    </row>
    <row r="26" spans="1:176" ht="15.75" thickBot="1">
      <c r="A26">
        <f>SUM($B$4:B26)</f>
        <v>196</v>
      </c>
      <c r="B26">
        <f t="shared" si="0"/>
        <v>0</v>
      </c>
      <c r="C26" t="str">
        <f t="shared" si="1"/>
        <v/>
      </c>
      <c r="D26">
        <v>23</v>
      </c>
      <c r="E26" s="16" t="str">
        <f>IF(E$3&lt;=$B26,INDEX(Input!$I$43:$I$2956,E$3+$A25),"")</f>
        <v/>
      </c>
      <c r="F26" s="17" t="str">
        <f>IF(F$3&lt;=$B26,INDEX(Input!$I$43:$I$2956,F$3+$A25),"")</f>
        <v/>
      </c>
      <c r="G26" s="17" t="str">
        <f>IF(G$3&lt;=$B26,INDEX(Input!$I$43:$I$2956,G$3+$A25),"")</f>
        <v/>
      </c>
      <c r="H26" s="17" t="str">
        <f>IF(H$3&lt;=$B26,INDEX(Input!$I$43:$I$2956,H$3+$A25),"")</f>
        <v/>
      </c>
      <c r="I26" s="17" t="str">
        <f>IF(I$3&lt;=$B26,INDEX(Input!$I$43:$I$2956,I$3+$A25),"")</f>
        <v/>
      </c>
      <c r="J26" s="17" t="str">
        <f>IF(J$3&lt;=$B26,INDEX(Input!$I$43:$I$2956,J$3+$A25),"")</f>
        <v/>
      </c>
      <c r="K26" s="17" t="str">
        <f>IF(K$3&lt;=$B26,INDEX(Input!$I$43:$I$2956,K$3+$A25),"")</f>
        <v/>
      </c>
      <c r="L26" s="17" t="str">
        <f>IF(L$3&lt;=$B26,INDEX(Input!$I$43:$I$2956,L$3+$A25),"")</f>
        <v/>
      </c>
      <c r="M26" s="17" t="str">
        <f>IF(M$3&lt;=$B26,INDEX(Input!$I$43:$I$2956,M$3+$A25),"")</f>
        <v/>
      </c>
      <c r="N26" s="17" t="str">
        <f>IF(N$3&lt;=$B26,INDEX(Input!$I$43:$I$2956,N$3+$A25),"")</f>
        <v/>
      </c>
      <c r="O26" s="17" t="str">
        <f>IF(O$3&lt;=$B26,INDEX(Input!$I$43:$I$2956,O$3+$A25),"")</f>
        <v/>
      </c>
      <c r="P26" s="17" t="str">
        <f>IF(P$3&lt;=$B26,INDEX(Input!$I$43:$I$2956,P$3+$A25),"")</f>
        <v/>
      </c>
      <c r="Q26" s="17" t="str">
        <f>IF(Q$3&lt;=$B26,INDEX(Input!$I$43:$I$2956,Q$3+$A25),"")</f>
        <v/>
      </c>
      <c r="R26" s="17" t="str">
        <f>IF(R$3&lt;=$B26,INDEX(Input!$I$43:$I$2956,R$3+$A25),"")</f>
        <v/>
      </c>
      <c r="S26" s="17" t="str">
        <f>IF(S$3&lt;=$B26,INDEX(Input!$I$43:$I$2956,S$3+$A25),"")</f>
        <v/>
      </c>
      <c r="T26" s="17" t="str">
        <f>IF(T$3&lt;=$B26,INDEX(Input!$I$43:$I$2956,T$3+$A25),"")</f>
        <v/>
      </c>
      <c r="U26" s="17" t="str">
        <f>IF(U$3&lt;=$B26,INDEX(Input!$I$43:$I$2956,U$3+$A25),"")</f>
        <v/>
      </c>
      <c r="V26" s="17" t="str">
        <f>IF(V$3&lt;=$B26,INDEX(Input!$I$43:$I$2956,V$3+$A25),"")</f>
        <v/>
      </c>
      <c r="W26" s="17" t="str">
        <f>IF(W$3&lt;=$B26,INDEX(Input!$I$43:$I$2956,W$3+$A25),"")</f>
        <v/>
      </c>
      <c r="X26" s="17" t="str">
        <f>IF(X$3&lt;=$B26,INDEX(Input!$I$43:$I$2956,X$3+$A25),"")</f>
        <v/>
      </c>
      <c r="Y26" s="17" t="str">
        <f>IF(Y$3&lt;=$B26,INDEX(Input!$I$43:$I$2956,Y$3+$A25),"")</f>
        <v/>
      </c>
      <c r="Z26" s="17" t="str">
        <f>IF(Z$3&lt;=$B26,INDEX(Input!$I$43:$I$2956,Z$3+$A25),"")</f>
        <v/>
      </c>
      <c r="AA26" s="17" t="str">
        <f>IF(AA$3&lt;=$B26,INDEX(Input!$I$43:$I$2956,AA$3+$A25),"")</f>
        <v/>
      </c>
      <c r="AB26" s="17" t="str">
        <f>IF(AB$3&lt;=$B26,INDEX(Input!$I$43:$I$2956,AB$3+$A25),"")</f>
        <v/>
      </c>
      <c r="AC26" s="17" t="str">
        <f>IF(AC$3&lt;=$B26,INDEX(Input!$I$43:$I$2956,AC$3+$A25),"")</f>
        <v/>
      </c>
      <c r="AD26" s="17" t="str">
        <f>IF(AD$3&lt;=$B26,INDEX(Input!$I$43:$I$2956,AD$3+$A25),"")</f>
        <v/>
      </c>
      <c r="AE26" s="17" t="str">
        <f>IF(AE$3&lt;=$B26,INDEX(Input!$I$43:$I$2956,AE$3+$A25),"")</f>
        <v/>
      </c>
      <c r="AF26" s="17" t="str">
        <f>IF(AF$3&lt;=$B26,INDEX(Input!$I$43:$I$2956,AF$3+$A25),"")</f>
        <v/>
      </c>
      <c r="AG26" s="17" t="str">
        <f>IF(AG$3&lt;=$B26,INDEX(Input!$I$43:$I$2956,AG$3+$A25),"")</f>
        <v/>
      </c>
      <c r="AH26" s="17" t="str">
        <f>IF(AH$3&lt;=$B26,INDEX(Input!$I$43:$I$2956,AH$3+$A25),"")</f>
        <v/>
      </c>
      <c r="AI26" s="17" t="str">
        <f>IF(AI$3&lt;=$B26,INDEX(Input!$I$43:$I$2956,AI$3+$A25),"")</f>
        <v/>
      </c>
      <c r="AJ26" s="17" t="str">
        <f>IF(AJ$3&lt;=$B26,INDEX(Input!$I$43:$I$2956,AJ$3+$A25),"")</f>
        <v/>
      </c>
      <c r="AK26" s="17" t="str">
        <f>IF(AK$3&lt;=$B26,INDEX(Input!$I$43:$I$2956,AK$3+$A25),"")</f>
        <v/>
      </c>
      <c r="AL26" s="17" t="str">
        <f>IF(AL$3&lt;=$B26,INDEX(Input!$I$43:$I$2956,AL$3+$A25),"")</f>
        <v/>
      </c>
      <c r="AM26" s="17" t="str">
        <f>IF(AM$3&lt;=$B26,INDEX(Input!$I$43:$I$2956,AM$3+$A25),"")</f>
        <v/>
      </c>
      <c r="AN26" s="17" t="str">
        <f>IF(AN$3&lt;=$B26,INDEX(Input!$I$43:$I$2956,AN$3+$A25),"")</f>
        <v/>
      </c>
      <c r="AO26" s="17" t="str">
        <f>IF(AO$3&lt;=$B26,INDEX(Input!$I$43:$I$2956,AO$3+$A25),"")</f>
        <v/>
      </c>
      <c r="AP26" s="17" t="str">
        <f>IF(AP$3&lt;=$B26,INDEX(Input!$I$43:$I$2956,AP$3+$A25),"")</f>
        <v/>
      </c>
      <c r="AQ26" s="17" t="str">
        <f>IF(AQ$3&lt;=$B26,INDEX(Input!$I$43:$I$2956,AQ$3+$A25),"")</f>
        <v/>
      </c>
      <c r="AR26" s="17" t="str">
        <f>IF(AR$3&lt;=$B26,INDEX(Input!$I$43:$I$2956,AR$3+$A25),"")</f>
        <v/>
      </c>
      <c r="AS26" s="17" t="str">
        <f>IF(AS$3&lt;=$B26,INDEX(Input!$I$43:$I$2956,AS$3+$A25),"")</f>
        <v/>
      </c>
      <c r="AT26" s="17" t="str">
        <f>IF(AT$3&lt;=$B26,INDEX(Input!$I$43:$I$2956,AT$3+$A25),"")</f>
        <v/>
      </c>
      <c r="AU26" s="17" t="str">
        <f>IF(AU$3&lt;=$B26,INDEX(Input!$I$43:$I$2956,AU$3+$A25),"")</f>
        <v/>
      </c>
      <c r="AV26" s="17" t="str">
        <f>IF(AV$3&lt;=$B26,INDEX(Input!$I$43:$I$2956,AV$3+$A25),"")</f>
        <v/>
      </c>
      <c r="AW26" s="17" t="str">
        <f>IF(AW$3&lt;=$B26,INDEX(Input!$I$43:$I$2956,AW$3+$A25),"")</f>
        <v/>
      </c>
      <c r="AX26" s="17" t="str">
        <f>IF(AX$3&lt;=$B26,INDEX(Input!$I$43:$I$2956,AX$3+$A25),"")</f>
        <v/>
      </c>
      <c r="AY26" s="17" t="str">
        <f>IF(AY$3&lt;=$B26,INDEX(Input!$I$43:$I$2956,AY$3+$A25),"")</f>
        <v/>
      </c>
      <c r="AZ26" s="17" t="str">
        <f>IF(AZ$3&lt;=$B26,INDEX(Input!$I$43:$I$2956,AZ$3+$A25),"")</f>
        <v/>
      </c>
      <c r="BA26" s="17" t="str">
        <f>IF(BA$3&lt;=$B26,INDEX(Input!$I$43:$I$2956,BA$3+$A25),"")</f>
        <v/>
      </c>
      <c r="BB26" s="17" t="str">
        <f>IF(BB$3&lt;=$B26,INDEX(Input!$I$43:$I$2956,BB$3+$A25),"")</f>
        <v/>
      </c>
      <c r="BC26" s="17" t="str">
        <f>IF(BC$3&lt;=$B26,INDEX(Input!$I$43:$I$2956,BC$3+$A25),"")</f>
        <v/>
      </c>
      <c r="BD26" s="17" t="str">
        <f>IF(BD$3&lt;=$B26,INDEX(Input!$I$43:$I$2956,BD$3+$A25),"")</f>
        <v/>
      </c>
      <c r="BE26" s="17" t="str">
        <f>IF(BE$3&lt;=$B26,INDEX(Input!$I$43:$I$2956,BE$3+$A25),"")</f>
        <v/>
      </c>
      <c r="BF26" s="17" t="str">
        <f>IF(BF$3&lt;=$B26,INDEX(Input!$I$43:$I$2956,BF$3+$A25),"")</f>
        <v/>
      </c>
      <c r="BG26" s="17" t="str">
        <f>IF(BG$3&lt;=$B26,INDEX(Input!$I$43:$I$2956,BG$3+$A25),"")</f>
        <v/>
      </c>
      <c r="BH26" s="17" t="str">
        <f>IF(BH$3&lt;=$B26,INDEX(Input!$I$43:$I$2956,BH$3+$A25),"")</f>
        <v/>
      </c>
      <c r="BI26" s="17" t="str">
        <f>IF(BI$3&lt;=$B26,INDEX(Input!$I$43:$I$2956,BI$3+$A25),"")</f>
        <v/>
      </c>
      <c r="BJ26" s="17" t="str">
        <f>IF(BJ$3&lt;=$B26,INDEX(Input!$I$43:$I$2956,BJ$3+$A25),"")</f>
        <v/>
      </c>
      <c r="BK26" s="17" t="str">
        <f>IF(BK$3&lt;=$B26,INDEX(Input!$I$43:$I$2956,BK$3+$A25),"")</f>
        <v/>
      </c>
      <c r="BL26" s="17" t="str">
        <f>IF(BL$3&lt;=$B26,INDEX(Input!$I$43:$I$2956,BL$3+$A25),"")</f>
        <v/>
      </c>
      <c r="BM26" s="17" t="str">
        <f>IF(BM$3&lt;=$B26,INDEX(Input!$I$43:$I$2956,BM$3+$A25),"")</f>
        <v/>
      </c>
      <c r="BN26" s="17" t="str">
        <f>IF(BN$3&lt;=$B26,INDEX(Input!$I$43:$I$2956,BN$3+$A25),"")</f>
        <v/>
      </c>
      <c r="BO26" s="17" t="str">
        <f>IF(BO$3&lt;=$B26,INDEX(Input!$I$43:$I$2956,BO$3+$A25),"")</f>
        <v/>
      </c>
      <c r="BP26" s="17" t="str">
        <f>IF(BP$3&lt;=$B26,INDEX(Input!$I$43:$I$2956,BP$3+$A25),"")</f>
        <v/>
      </c>
      <c r="BQ26" s="17" t="str">
        <f>IF(BQ$3&lt;=$B26,INDEX(Input!$I$43:$I$2956,BQ$3+$A25),"")</f>
        <v/>
      </c>
      <c r="BR26" s="17" t="str">
        <f>IF(BR$3&lt;=$B26,INDEX(Input!$I$43:$I$2956,BR$3+$A25),"")</f>
        <v/>
      </c>
      <c r="BS26" s="17" t="str">
        <f>IF(BS$3&lt;=$B26,INDEX(Input!$I$43:$I$2956,BS$3+$A25),"")</f>
        <v/>
      </c>
      <c r="BT26" s="17" t="str">
        <f>IF(BT$3&lt;=$B26,INDEX(Input!$I$43:$I$2956,BT$3+$A25),"")</f>
        <v/>
      </c>
      <c r="BU26" s="17" t="str">
        <f>IF(BU$3&lt;=$B26,INDEX(Input!$I$43:$I$2956,BU$3+$A25),"")</f>
        <v/>
      </c>
      <c r="BV26" s="17" t="str">
        <f>IF(BV$3&lt;=$B26,INDEX(Input!$I$43:$I$2956,BV$3+$A25),"")</f>
        <v/>
      </c>
      <c r="BW26" s="17" t="str">
        <f>IF(BW$3&lt;=$B26,INDEX(Input!$I$43:$I$2956,BW$3+$A25),"")</f>
        <v/>
      </c>
      <c r="BX26" s="17" t="str">
        <f>IF(BX$3&lt;=$B26,INDEX(Input!$I$43:$I$2956,BX$3+$A25),"")</f>
        <v/>
      </c>
      <c r="BY26" s="17" t="str">
        <f>IF(BY$3&lt;=$B26,INDEX(Input!$I$43:$I$2956,BY$3+$A25),"")</f>
        <v/>
      </c>
      <c r="BZ26" s="17" t="str">
        <f>IF(BZ$3&lt;=$B26,INDEX(Input!$I$43:$I$2956,BZ$3+$A25),"")</f>
        <v/>
      </c>
      <c r="CA26" s="17" t="str">
        <f>IF(CA$3&lt;=$B26,INDEX(Input!$I$43:$I$2956,CA$3+$A25),"")</f>
        <v/>
      </c>
      <c r="CB26" s="17" t="str">
        <f>IF(CB$3&lt;=$B26,INDEX(Input!$I$43:$I$2956,CB$3+$A25),"")</f>
        <v/>
      </c>
      <c r="CC26" s="17" t="str">
        <f>IF(CC$3&lt;=$B26,INDEX(Input!$I$43:$I$2956,CC$3+$A25),"")</f>
        <v/>
      </c>
      <c r="CD26" s="17" t="str">
        <f>IF(CD$3&lt;=$B26,INDEX(Input!$I$43:$I$2956,CD$3+$A25),"")</f>
        <v/>
      </c>
      <c r="CE26" s="17" t="str">
        <f>IF(CE$3&lt;=$B26,INDEX(Input!$I$43:$I$2956,CE$3+$A25),"")</f>
        <v/>
      </c>
      <c r="CF26" s="17" t="str">
        <f>IF(CF$3&lt;=$B26,INDEX(Input!$I$43:$I$2956,CF$3+$A25),"")</f>
        <v/>
      </c>
      <c r="CG26" s="17" t="str">
        <f>IF(CG$3&lt;=$B26,INDEX(Input!$I$43:$I$2956,CG$3+$A25),"")</f>
        <v/>
      </c>
      <c r="CH26" s="17" t="str">
        <f>IF(CH$3&lt;=$B26,INDEX(Input!$I$43:$I$2956,CH$3+$A25),"")</f>
        <v/>
      </c>
      <c r="CI26" s="17" t="str">
        <f>IF(CI$3&lt;=$B26,INDEX(Input!$I$43:$I$2956,CI$3+$A25),"")</f>
        <v/>
      </c>
      <c r="CJ26" s="17" t="str">
        <f>IF(CJ$3&lt;=$B26,INDEX(Input!$I$43:$I$2956,CJ$3+$A25),"")</f>
        <v/>
      </c>
      <c r="CK26" s="17" t="str">
        <f>IF(CK$3&lt;=$B26,INDEX(Input!$I$43:$I$2956,CK$3+$A25),"")</f>
        <v/>
      </c>
      <c r="CL26" s="17" t="str">
        <f>IF(CL$3&lt;=$B26,INDEX(Input!$I$43:$I$2956,CL$3+$A25),"")</f>
        <v/>
      </c>
      <c r="CM26" s="17" t="str">
        <f>IF(CM$3&lt;=$B26,INDEX(Input!$I$43:$I$2956,CM$3+$A25),"")</f>
        <v/>
      </c>
      <c r="CN26" s="17" t="str">
        <f>IF(CN$3&lt;=$B26,INDEX(Input!$I$43:$I$2956,CN$3+$A25),"")</f>
        <v/>
      </c>
      <c r="CO26" s="17" t="str">
        <f>IF(CO$3&lt;=$B26,INDEX(Input!$I$43:$I$2956,CO$3+$A25),"")</f>
        <v/>
      </c>
      <c r="CP26" s="17" t="str">
        <f>IF(CP$3&lt;=$B26,INDEX(Input!$I$43:$I$2956,CP$3+$A25),"")</f>
        <v/>
      </c>
      <c r="CQ26" s="17" t="str">
        <f>IF(CQ$3&lt;=$B26,INDEX(Input!$I$43:$I$2956,CQ$3+$A25),"")</f>
        <v/>
      </c>
      <c r="CR26" s="17" t="str">
        <f>IF(CR$3&lt;=$B26,INDEX(Input!$I$43:$I$2956,CR$3+$A25),"")</f>
        <v/>
      </c>
      <c r="CS26" s="17" t="str">
        <f>IF(CS$3&lt;=$B26,INDEX(Input!$I$43:$I$2956,CS$3+$A25),"")</f>
        <v/>
      </c>
      <c r="CT26" s="17" t="str">
        <f>IF(CT$3&lt;=$B26,INDEX(Input!$I$43:$I$2956,CT$3+$A25),"")</f>
        <v/>
      </c>
      <c r="CU26" s="17" t="str">
        <f>IF(CU$3&lt;=$B26,INDEX(Input!$I$43:$I$2956,CU$3+$A25),"")</f>
        <v/>
      </c>
      <c r="CV26" s="17" t="str">
        <f>IF(CV$3&lt;=$B26,INDEX(Input!$I$43:$I$2956,CV$3+$A25),"")</f>
        <v/>
      </c>
      <c r="CW26" s="17" t="str">
        <f>IF(CW$3&lt;=$B26,INDEX(Input!$I$43:$I$2956,CW$3+$A25),"")</f>
        <v/>
      </c>
      <c r="CX26" s="17" t="str">
        <f>IF(CX$3&lt;=$B26,INDEX(Input!$I$43:$I$2956,CX$3+$A25),"")</f>
        <v/>
      </c>
      <c r="CY26" s="17" t="str">
        <f>IF(CY$3&lt;=$B26,INDEX(Input!$I$43:$I$2956,CY$3+$A25),"")</f>
        <v/>
      </c>
      <c r="CZ26" s="17" t="str">
        <f>IF(CZ$3&lt;=$B26,INDEX(Input!$I$43:$I$2956,CZ$3+$A25),"")</f>
        <v/>
      </c>
      <c r="DA26" s="17" t="str">
        <f>IF(DA$3&lt;=$B26,INDEX(Input!$I$43:$I$2956,DA$3+$A25),"")</f>
        <v/>
      </c>
      <c r="DB26" s="17" t="str">
        <f>IF(DB$3&lt;=$B26,INDEX(Input!$I$43:$I$2956,DB$3+$A25),"")</f>
        <v/>
      </c>
      <c r="DC26" s="17" t="str">
        <f>IF(DC$3&lt;=$B26,INDEX(Input!$I$43:$I$2956,DC$3+$A25),"")</f>
        <v/>
      </c>
      <c r="DD26" s="17" t="str">
        <f>IF(DD$3&lt;=$B26,INDEX(Input!$I$43:$I$2956,DD$3+$A25),"")</f>
        <v/>
      </c>
      <c r="DE26" s="17" t="str">
        <f>IF(DE$3&lt;=$B26,INDEX(Input!$I$43:$I$2956,DE$3+$A25),"")</f>
        <v/>
      </c>
      <c r="DF26" s="17" t="str">
        <f>IF(DF$3&lt;=$B26,INDEX(Input!$I$43:$I$2956,DF$3+$A25),"")</f>
        <v/>
      </c>
      <c r="DG26" s="17" t="str">
        <f>IF(DG$3&lt;=$B26,INDEX(Input!$I$43:$I$2956,DG$3+$A25),"")</f>
        <v/>
      </c>
      <c r="DH26" s="17" t="str">
        <f>IF(DH$3&lt;=$B26,INDEX(Input!$I$43:$I$2956,DH$3+$A25),"")</f>
        <v/>
      </c>
      <c r="DI26" s="17" t="str">
        <f>IF(DI$3&lt;=$B26,INDEX(Input!$I$43:$I$2956,DI$3+$A25),"")</f>
        <v/>
      </c>
      <c r="DJ26" s="17" t="str">
        <f>IF(DJ$3&lt;=$B26,INDEX(Input!$I$43:$I$2956,DJ$3+$A25),"")</f>
        <v/>
      </c>
      <c r="DK26" s="17" t="str">
        <f>IF(DK$3&lt;=$B26,INDEX(Input!$I$43:$I$2956,DK$3+$A25),"")</f>
        <v/>
      </c>
      <c r="DL26" s="17" t="str">
        <f>IF(DL$3&lt;=$B26,INDEX(Input!$I$43:$I$2956,DL$3+$A25),"")</f>
        <v/>
      </c>
      <c r="DM26" s="17" t="str">
        <f>IF(DM$3&lt;=$B26,INDEX(Input!$I$43:$I$2956,DM$3+$A25),"")</f>
        <v/>
      </c>
      <c r="DN26" s="17" t="str">
        <f>IF(DN$3&lt;=$B26,INDEX(Input!$I$43:$I$2956,DN$3+$A25),"")</f>
        <v/>
      </c>
      <c r="DO26" s="17" t="str">
        <f>IF(DO$3&lt;=$B26,INDEX(Input!$I$43:$I$2956,DO$3+$A25),"")</f>
        <v/>
      </c>
      <c r="DP26" s="17" t="str">
        <f>IF(DP$3&lt;=$B26,INDEX(Input!$I$43:$I$2956,DP$3+$A25),"")</f>
        <v/>
      </c>
      <c r="DQ26" s="17" t="str">
        <f>IF(DQ$3&lt;=$B26,INDEX(Input!$I$43:$I$2956,DQ$3+$A25),"")</f>
        <v/>
      </c>
      <c r="DR26" s="17" t="str">
        <f>IF(DR$3&lt;=$B26,INDEX(Input!$I$43:$I$2956,DR$3+$A25),"")</f>
        <v/>
      </c>
      <c r="DS26" s="17" t="str">
        <f>IF(DS$3&lt;=$B26,INDEX(Input!$I$43:$I$2956,DS$3+$A25),"")</f>
        <v/>
      </c>
      <c r="DT26" s="17" t="str">
        <f>IF(DT$3&lt;=$B26,INDEX(Input!$I$43:$I$2956,DT$3+$A25),"")</f>
        <v/>
      </c>
      <c r="DU26" s="17" t="str">
        <f>IF(DU$3&lt;=$B26,INDEX(Input!$I$43:$I$2956,DU$3+$A25),"")</f>
        <v/>
      </c>
      <c r="DV26" s="17" t="str">
        <f>IF(DV$3&lt;=$B26,INDEX(Input!$I$43:$I$2956,DV$3+$A25),"")</f>
        <v/>
      </c>
      <c r="DW26" s="58" t="str">
        <f t="array" ref="DW26:EZ26">IFERROR(eccalc(E26:DV26,C26+B26,B26,$O$2:$AS$2),"")</f>
        <v/>
      </c>
      <c r="DX26" s="59" t="str">
        <v/>
      </c>
      <c r="DY26" s="59" t="str">
        <v/>
      </c>
      <c r="DZ26" s="59" t="str">
        <v/>
      </c>
      <c r="EA26" s="59" t="str">
        <v/>
      </c>
      <c r="EB26" s="59" t="str">
        <v/>
      </c>
      <c r="EC26" s="59" t="str">
        <v/>
      </c>
      <c r="ED26" s="59" t="str">
        <v/>
      </c>
      <c r="EE26" s="59" t="str">
        <v/>
      </c>
      <c r="EF26" s="59" t="str">
        <v/>
      </c>
      <c r="EG26" s="59" t="str">
        <v/>
      </c>
      <c r="EH26" s="59" t="str">
        <v/>
      </c>
      <c r="EI26" s="59" t="str">
        <v/>
      </c>
      <c r="EJ26" s="59" t="str">
        <v/>
      </c>
      <c r="EK26" s="59" t="str">
        <v/>
      </c>
      <c r="EL26" s="59" t="str">
        <v/>
      </c>
      <c r="EM26" s="59" t="str">
        <v/>
      </c>
      <c r="EN26" s="59" t="str">
        <v/>
      </c>
      <c r="EO26" s="59" t="str">
        <v/>
      </c>
      <c r="EP26" s="59" t="str">
        <v/>
      </c>
      <c r="EQ26" s="59" t="str">
        <v/>
      </c>
      <c r="ER26" s="59" t="str">
        <v/>
      </c>
      <c r="ES26" s="59" t="str">
        <v/>
      </c>
      <c r="ET26" s="59" t="str">
        <v/>
      </c>
      <c r="EU26" s="59" t="str">
        <v/>
      </c>
      <c r="EV26" s="59" t="str">
        <v/>
      </c>
      <c r="EW26" s="59" t="str">
        <v/>
      </c>
      <c r="EX26" s="59" t="str">
        <v/>
      </c>
      <c r="EY26" s="59" t="str">
        <v/>
      </c>
      <c r="EZ26" s="60" t="str">
        <v/>
      </c>
      <c r="FA26" s="17"/>
      <c r="FC26">
        <v>23</v>
      </c>
      <c r="FD26">
        <f t="shared" si="2"/>
        <v>7</v>
      </c>
      <c r="FE26">
        <f t="shared" si="3"/>
        <v>2</v>
      </c>
      <c r="FF26">
        <f t="shared" si="4"/>
        <v>37</v>
      </c>
      <c r="FI26" s="16">
        <v>23</v>
      </c>
      <c r="FJ26" s="17">
        <f t="shared" si="5"/>
        <v>93</v>
      </c>
      <c r="FK26" s="17">
        <f t="shared" si="6"/>
        <v>37</v>
      </c>
      <c r="FL26" s="18" t="str">
        <f t="shared" si="7"/>
        <v>00100101</v>
      </c>
      <c r="FM26" s="2"/>
      <c r="FN26" t="s">
        <v>196</v>
      </c>
    </row>
    <row r="27" spans="1:176" ht="15.75" thickBot="1">
      <c r="A27">
        <f>SUM($B$4:B27)</f>
        <v>196</v>
      </c>
      <c r="B27">
        <f t="shared" si="0"/>
        <v>0</v>
      </c>
      <c r="C27" t="str">
        <f t="shared" si="1"/>
        <v/>
      </c>
      <c r="D27">
        <v>24</v>
      </c>
      <c r="E27" s="16" t="str">
        <f>IF(E$3&lt;=$B27,INDEX(Input!$I$43:$I$2956,E$3+$A26),"")</f>
        <v/>
      </c>
      <c r="F27" s="17" t="str">
        <f>IF(F$3&lt;=$B27,INDEX(Input!$I$43:$I$2956,F$3+$A26),"")</f>
        <v/>
      </c>
      <c r="G27" s="17" t="str">
        <f>IF(G$3&lt;=$B27,INDEX(Input!$I$43:$I$2956,G$3+$A26),"")</f>
        <v/>
      </c>
      <c r="H27" s="17" t="str">
        <f>IF(H$3&lt;=$B27,INDEX(Input!$I$43:$I$2956,H$3+$A26),"")</f>
        <v/>
      </c>
      <c r="I27" s="17" t="str">
        <f>IF(I$3&lt;=$B27,INDEX(Input!$I$43:$I$2956,I$3+$A26),"")</f>
        <v/>
      </c>
      <c r="J27" s="17" t="str">
        <f>IF(J$3&lt;=$B27,INDEX(Input!$I$43:$I$2956,J$3+$A26),"")</f>
        <v/>
      </c>
      <c r="K27" s="17" t="str">
        <f>IF(K$3&lt;=$B27,INDEX(Input!$I$43:$I$2956,K$3+$A26),"")</f>
        <v/>
      </c>
      <c r="L27" s="17" t="str">
        <f>IF(L$3&lt;=$B27,INDEX(Input!$I$43:$I$2956,L$3+$A26),"")</f>
        <v/>
      </c>
      <c r="M27" s="17" t="str">
        <f>IF(M$3&lt;=$B27,INDEX(Input!$I$43:$I$2956,M$3+$A26),"")</f>
        <v/>
      </c>
      <c r="N27" s="17" t="str">
        <f>IF(N$3&lt;=$B27,INDEX(Input!$I$43:$I$2956,N$3+$A26),"")</f>
        <v/>
      </c>
      <c r="O27" s="17" t="str">
        <f>IF(O$3&lt;=$B27,INDEX(Input!$I$43:$I$2956,O$3+$A26),"")</f>
        <v/>
      </c>
      <c r="P27" s="17" t="str">
        <f>IF(P$3&lt;=$B27,INDEX(Input!$I$43:$I$2956,P$3+$A26),"")</f>
        <v/>
      </c>
      <c r="Q27" s="17" t="str">
        <f>IF(Q$3&lt;=$B27,INDEX(Input!$I$43:$I$2956,Q$3+$A26),"")</f>
        <v/>
      </c>
      <c r="R27" s="17" t="str">
        <f>IF(R$3&lt;=$B27,INDEX(Input!$I$43:$I$2956,R$3+$A26),"")</f>
        <v/>
      </c>
      <c r="S27" s="17" t="str">
        <f>IF(S$3&lt;=$B27,INDEX(Input!$I$43:$I$2956,S$3+$A26),"")</f>
        <v/>
      </c>
      <c r="T27" s="17" t="str">
        <f>IF(T$3&lt;=$B27,INDEX(Input!$I$43:$I$2956,T$3+$A26),"")</f>
        <v/>
      </c>
      <c r="U27" s="17" t="str">
        <f>IF(U$3&lt;=$B27,INDEX(Input!$I$43:$I$2956,U$3+$A26),"")</f>
        <v/>
      </c>
      <c r="V27" s="17" t="str">
        <f>IF(V$3&lt;=$B27,INDEX(Input!$I$43:$I$2956,V$3+$A26),"")</f>
        <v/>
      </c>
      <c r="W27" s="17" t="str">
        <f>IF(W$3&lt;=$B27,INDEX(Input!$I$43:$I$2956,W$3+$A26),"")</f>
        <v/>
      </c>
      <c r="X27" s="17" t="str">
        <f>IF(X$3&lt;=$B27,INDEX(Input!$I$43:$I$2956,X$3+$A26),"")</f>
        <v/>
      </c>
      <c r="Y27" s="17" t="str">
        <f>IF(Y$3&lt;=$B27,INDEX(Input!$I$43:$I$2956,Y$3+$A26),"")</f>
        <v/>
      </c>
      <c r="Z27" s="17" t="str">
        <f>IF(Z$3&lt;=$B27,INDEX(Input!$I$43:$I$2956,Z$3+$A26),"")</f>
        <v/>
      </c>
      <c r="AA27" s="17" t="str">
        <f>IF(AA$3&lt;=$B27,INDEX(Input!$I$43:$I$2956,AA$3+$A26),"")</f>
        <v/>
      </c>
      <c r="AB27" s="17" t="str">
        <f>IF(AB$3&lt;=$B27,INDEX(Input!$I$43:$I$2956,AB$3+$A26),"")</f>
        <v/>
      </c>
      <c r="AC27" s="17" t="str">
        <f>IF(AC$3&lt;=$B27,INDEX(Input!$I$43:$I$2956,AC$3+$A26),"")</f>
        <v/>
      </c>
      <c r="AD27" s="17" t="str">
        <f>IF(AD$3&lt;=$B27,INDEX(Input!$I$43:$I$2956,AD$3+$A26),"")</f>
        <v/>
      </c>
      <c r="AE27" s="17" t="str">
        <f>IF(AE$3&lt;=$B27,INDEX(Input!$I$43:$I$2956,AE$3+$A26),"")</f>
        <v/>
      </c>
      <c r="AF27" s="17" t="str">
        <f>IF(AF$3&lt;=$B27,INDEX(Input!$I$43:$I$2956,AF$3+$A26),"")</f>
        <v/>
      </c>
      <c r="AG27" s="17" t="str">
        <f>IF(AG$3&lt;=$B27,INDEX(Input!$I$43:$I$2956,AG$3+$A26),"")</f>
        <v/>
      </c>
      <c r="AH27" s="17" t="str">
        <f>IF(AH$3&lt;=$B27,INDEX(Input!$I$43:$I$2956,AH$3+$A26),"")</f>
        <v/>
      </c>
      <c r="AI27" s="17" t="str">
        <f>IF(AI$3&lt;=$B27,INDEX(Input!$I$43:$I$2956,AI$3+$A26),"")</f>
        <v/>
      </c>
      <c r="AJ27" s="17" t="str">
        <f>IF(AJ$3&lt;=$B27,INDEX(Input!$I$43:$I$2956,AJ$3+$A26),"")</f>
        <v/>
      </c>
      <c r="AK27" s="17" t="str">
        <f>IF(AK$3&lt;=$B27,INDEX(Input!$I$43:$I$2956,AK$3+$A26),"")</f>
        <v/>
      </c>
      <c r="AL27" s="17" t="str">
        <f>IF(AL$3&lt;=$B27,INDEX(Input!$I$43:$I$2956,AL$3+$A26),"")</f>
        <v/>
      </c>
      <c r="AM27" s="17" t="str">
        <f>IF(AM$3&lt;=$B27,INDEX(Input!$I$43:$I$2956,AM$3+$A26),"")</f>
        <v/>
      </c>
      <c r="AN27" s="17" t="str">
        <f>IF(AN$3&lt;=$B27,INDEX(Input!$I$43:$I$2956,AN$3+$A26),"")</f>
        <v/>
      </c>
      <c r="AO27" s="17" t="str">
        <f>IF(AO$3&lt;=$B27,INDEX(Input!$I$43:$I$2956,AO$3+$A26),"")</f>
        <v/>
      </c>
      <c r="AP27" s="17" t="str">
        <f>IF(AP$3&lt;=$B27,INDEX(Input!$I$43:$I$2956,AP$3+$A26),"")</f>
        <v/>
      </c>
      <c r="AQ27" s="17" t="str">
        <f>IF(AQ$3&lt;=$B27,INDEX(Input!$I$43:$I$2956,AQ$3+$A26),"")</f>
        <v/>
      </c>
      <c r="AR27" s="17" t="str">
        <f>IF(AR$3&lt;=$B27,INDEX(Input!$I$43:$I$2956,AR$3+$A26),"")</f>
        <v/>
      </c>
      <c r="AS27" s="17" t="str">
        <f>IF(AS$3&lt;=$B27,INDEX(Input!$I$43:$I$2956,AS$3+$A26),"")</f>
        <v/>
      </c>
      <c r="AT27" s="17" t="str">
        <f>IF(AT$3&lt;=$B27,INDEX(Input!$I$43:$I$2956,AT$3+$A26),"")</f>
        <v/>
      </c>
      <c r="AU27" s="17" t="str">
        <f>IF(AU$3&lt;=$B27,INDEX(Input!$I$43:$I$2956,AU$3+$A26),"")</f>
        <v/>
      </c>
      <c r="AV27" s="17" t="str">
        <f>IF(AV$3&lt;=$B27,INDEX(Input!$I$43:$I$2956,AV$3+$A26),"")</f>
        <v/>
      </c>
      <c r="AW27" s="17" t="str">
        <f>IF(AW$3&lt;=$B27,INDEX(Input!$I$43:$I$2956,AW$3+$A26),"")</f>
        <v/>
      </c>
      <c r="AX27" s="17" t="str">
        <f>IF(AX$3&lt;=$B27,INDEX(Input!$I$43:$I$2956,AX$3+$A26),"")</f>
        <v/>
      </c>
      <c r="AY27" s="17" t="str">
        <f>IF(AY$3&lt;=$B27,INDEX(Input!$I$43:$I$2956,AY$3+$A26),"")</f>
        <v/>
      </c>
      <c r="AZ27" s="17" t="str">
        <f>IF(AZ$3&lt;=$B27,INDEX(Input!$I$43:$I$2956,AZ$3+$A26),"")</f>
        <v/>
      </c>
      <c r="BA27" s="17" t="str">
        <f>IF(BA$3&lt;=$B27,INDEX(Input!$I$43:$I$2956,BA$3+$A26),"")</f>
        <v/>
      </c>
      <c r="BB27" s="17" t="str">
        <f>IF(BB$3&lt;=$B27,INDEX(Input!$I$43:$I$2956,BB$3+$A26),"")</f>
        <v/>
      </c>
      <c r="BC27" s="17" t="str">
        <f>IF(BC$3&lt;=$B27,INDEX(Input!$I$43:$I$2956,BC$3+$A26),"")</f>
        <v/>
      </c>
      <c r="BD27" s="17" t="str">
        <f>IF(BD$3&lt;=$B27,INDEX(Input!$I$43:$I$2956,BD$3+$A26),"")</f>
        <v/>
      </c>
      <c r="BE27" s="17" t="str">
        <f>IF(BE$3&lt;=$B27,INDEX(Input!$I$43:$I$2956,BE$3+$A26),"")</f>
        <v/>
      </c>
      <c r="BF27" s="17" t="str">
        <f>IF(BF$3&lt;=$B27,INDEX(Input!$I$43:$I$2956,BF$3+$A26),"")</f>
        <v/>
      </c>
      <c r="BG27" s="17" t="str">
        <f>IF(BG$3&lt;=$B27,INDEX(Input!$I$43:$I$2956,BG$3+$A26),"")</f>
        <v/>
      </c>
      <c r="BH27" s="17" t="str">
        <f>IF(BH$3&lt;=$B27,INDEX(Input!$I$43:$I$2956,BH$3+$A26),"")</f>
        <v/>
      </c>
      <c r="BI27" s="17" t="str">
        <f>IF(BI$3&lt;=$B27,INDEX(Input!$I$43:$I$2956,BI$3+$A26),"")</f>
        <v/>
      </c>
      <c r="BJ27" s="17" t="str">
        <f>IF(BJ$3&lt;=$B27,INDEX(Input!$I$43:$I$2956,BJ$3+$A26),"")</f>
        <v/>
      </c>
      <c r="BK27" s="17" t="str">
        <f>IF(BK$3&lt;=$B27,INDEX(Input!$I$43:$I$2956,BK$3+$A26),"")</f>
        <v/>
      </c>
      <c r="BL27" s="17" t="str">
        <f>IF(BL$3&lt;=$B27,INDEX(Input!$I$43:$I$2956,BL$3+$A26),"")</f>
        <v/>
      </c>
      <c r="BM27" s="17" t="str">
        <f>IF(BM$3&lt;=$B27,INDEX(Input!$I$43:$I$2956,BM$3+$A26),"")</f>
        <v/>
      </c>
      <c r="BN27" s="17" t="str">
        <f>IF(BN$3&lt;=$B27,INDEX(Input!$I$43:$I$2956,BN$3+$A26),"")</f>
        <v/>
      </c>
      <c r="BO27" s="17" t="str">
        <f>IF(BO$3&lt;=$B27,INDEX(Input!$I$43:$I$2956,BO$3+$A26),"")</f>
        <v/>
      </c>
      <c r="BP27" s="17" t="str">
        <f>IF(BP$3&lt;=$B27,INDEX(Input!$I$43:$I$2956,BP$3+$A26),"")</f>
        <v/>
      </c>
      <c r="BQ27" s="17" t="str">
        <f>IF(BQ$3&lt;=$B27,INDEX(Input!$I$43:$I$2956,BQ$3+$A26),"")</f>
        <v/>
      </c>
      <c r="BR27" s="17" t="str">
        <f>IF(BR$3&lt;=$B27,INDEX(Input!$I$43:$I$2956,BR$3+$A26),"")</f>
        <v/>
      </c>
      <c r="BS27" s="17" t="str">
        <f>IF(BS$3&lt;=$B27,INDEX(Input!$I$43:$I$2956,BS$3+$A26),"")</f>
        <v/>
      </c>
      <c r="BT27" s="17" t="str">
        <f>IF(BT$3&lt;=$B27,INDEX(Input!$I$43:$I$2956,BT$3+$A26),"")</f>
        <v/>
      </c>
      <c r="BU27" s="17" t="str">
        <f>IF(BU$3&lt;=$B27,INDEX(Input!$I$43:$I$2956,BU$3+$A26),"")</f>
        <v/>
      </c>
      <c r="BV27" s="17" t="str">
        <f>IF(BV$3&lt;=$B27,INDEX(Input!$I$43:$I$2956,BV$3+$A26),"")</f>
        <v/>
      </c>
      <c r="BW27" s="17" t="str">
        <f>IF(BW$3&lt;=$B27,INDEX(Input!$I$43:$I$2956,BW$3+$A26),"")</f>
        <v/>
      </c>
      <c r="BX27" s="17" t="str">
        <f>IF(BX$3&lt;=$B27,INDEX(Input!$I$43:$I$2956,BX$3+$A26),"")</f>
        <v/>
      </c>
      <c r="BY27" s="17" t="str">
        <f>IF(BY$3&lt;=$B27,INDEX(Input!$I$43:$I$2956,BY$3+$A26),"")</f>
        <v/>
      </c>
      <c r="BZ27" s="17" t="str">
        <f>IF(BZ$3&lt;=$B27,INDEX(Input!$I$43:$I$2956,BZ$3+$A26),"")</f>
        <v/>
      </c>
      <c r="CA27" s="17" t="str">
        <f>IF(CA$3&lt;=$B27,INDEX(Input!$I$43:$I$2956,CA$3+$A26),"")</f>
        <v/>
      </c>
      <c r="CB27" s="17" t="str">
        <f>IF(CB$3&lt;=$B27,INDEX(Input!$I$43:$I$2956,CB$3+$A26),"")</f>
        <v/>
      </c>
      <c r="CC27" s="17" t="str">
        <f>IF(CC$3&lt;=$B27,INDEX(Input!$I$43:$I$2956,CC$3+$A26),"")</f>
        <v/>
      </c>
      <c r="CD27" s="17" t="str">
        <f>IF(CD$3&lt;=$B27,INDEX(Input!$I$43:$I$2956,CD$3+$A26),"")</f>
        <v/>
      </c>
      <c r="CE27" s="17" t="str">
        <f>IF(CE$3&lt;=$B27,INDEX(Input!$I$43:$I$2956,CE$3+$A26),"")</f>
        <v/>
      </c>
      <c r="CF27" s="17" t="str">
        <f>IF(CF$3&lt;=$B27,INDEX(Input!$I$43:$I$2956,CF$3+$A26),"")</f>
        <v/>
      </c>
      <c r="CG27" s="17" t="str">
        <f>IF(CG$3&lt;=$B27,INDEX(Input!$I$43:$I$2956,CG$3+$A26),"")</f>
        <v/>
      </c>
      <c r="CH27" s="17" t="str">
        <f>IF(CH$3&lt;=$B27,INDEX(Input!$I$43:$I$2956,CH$3+$A26),"")</f>
        <v/>
      </c>
      <c r="CI27" s="17" t="str">
        <f>IF(CI$3&lt;=$B27,INDEX(Input!$I$43:$I$2956,CI$3+$A26),"")</f>
        <v/>
      </c>
      <c r="CJ27" s="17" t="str">
        <f>IF(CJ$3&lt;=$B27,INDEX(Input!$I$43:$I$2956,CJ$3+$A26),"")</f>
        <v/>
      </c>
      <c r="CK27" s="17" t="str">
        <f>IF(CK$3&lt;=$B27,INDEX(Input!$I$43:$I$2956,CK$3+$A26),"")</f>
        <v/>
      </c>
      <c r="CL27" s="17" t="str">
        <f>IF(CL$3&lt;=$B27,INDEX(Input!$I$43:$I$2956,CL$3+$A26),"")</f>
        <v/>
      </c>
      <c r="CM27" s="17" t="str">
        <f>IF(CM$3&lt;=$B27,INDEX(Input!$I$43:$I$2956,CM$3+$A26),"")</f>
        <v/>
      </c>
      <c r="CN27" s="17" t="str">
        <f>IF(CN$3&lt;=$B27,INDEX(Input!$I$43:$I$2956,CN$3+$A26),"")</f>
        <v/>
      </c>
      <c r="CO27" s="17" t="str">
        <f>IF(CO$3&lt;=$B27,INDEX(Input!$I$43:$I$2956,CO$3+$A26),"")</f>
        <v/>
      </c>
      <c r="CP27" s="17" t="str">
        <f>IF(CP$3&lt;=$B27,INDEX(Input!$I$43:$I$2956,CP$3+$A26),"")</f>
        <v/>
      </c>
      <c r="CQ27" s="17" t="str">
        <f>IF(CQ$3&lt;=$B27,INDEX(Input!$I$43:$I$2956,CQ$3+$A26),"")</f>
        <v/>
      </c>
      <c r="CR27" s="17" t="str">
        <f>IF(CR$3&lt;=$B27,INDEX(Input!$I$43:$I$2956,CR$3+$A26),"")</f>
        <v/>
      </c>
      <c r="CS27" s="17" t="str">
        <f>IF(CS$3&lt;=$B27,INDEX(Input!$I$43:$I$2956,CS$3+$A26),"")</f>
        <v/>
      </c>
      <c r="CT27" s="17" t="str">
        <f>IF(CT$3&lt;=$B27,INDEX(Input!$I$43:$I$2956,CT$3+$A26),"")</f>
        <v/>
      </c>
      <c r="CU27" s="17" t="str">
        <f>IF(CU$3&lt;=$B27,INDEX(Input!$I$43:$I$2956,CU$3+$A26),"")</f>
        <v/>
      </c>
      <c r="CV27" s="17" t="str">
        <f>IF(CV$3&lt;=$B27,INDEX(Input!$I$43:$I$2956,CV$3+$A26),"")</f>
        <v/>
      </c>
      <c r="CW27" s="17" t="str">
        <f>IF(CW$3&lt;=$B27,INDEX(Input!$I$43:$I$2956,CW$3+$A26),"")</f>
        <v/>
      </c>
      <c r="CX27" s="17" t="str">
        <f>IF(CX$3&lt;=$B27,INDEX(Input!$I$43:$I$2956,CX$3+$A26),"")</f>
        <v/>
      </c>
      <c r="CY27" s="17" t="str">
        <f>IF(CY$3&lt;=$B27,INDEX(Input!$I$43:$I$2956,CY$3+$A26),"")</f>
        <v/>
      </c>
      <c r="CZ27" s="17" t="str">
        <f>IF(CZ$3&lt;=$B27,INDEX(Input!$I$43:$I$2956,CZ$3+$A26),"")</f>
        <v/>
      </c>
      <c r="DA27" s="17" t="str">
        <f>IF(DA$3&lt;=$B27,INDEX(Input!$I$43:$I$2956,DA$3+$A26),"")</f>
        <v/>
      </c>
      <c r="DB27" s="17" t="str">
        <f>IF(DB$3&lt;=$B27,INDEX(Input!$I$43:$I$2956,DB$3+$A26),"")</f>
        <v/>
      </c>
      <c r="DC27" s="17" t="str">
        <f>IF(DC$3&lt;=$B27,INDEX(Input!$I$43:$I$2956,DC$3+$A26),"")</f>
        <v/>
      </c>
      <c r="DD27" s="17" t="str">
        <f>IF(DD$3&lt;=$B27,INDEX(Input!$I$43:$I$2956,DD$3+$A26),"")</f>
        <v/>
      </c>
      <c r="DE27" s="17" t="str">
        <f>IF(DE$3&lt;=$B27,INDEX(Input!$I$43:$I$2956,DE$3+$A26),"")</f>
        <v/>
      </c>
      <c r="DF27" s="17" t="str">
        <f>IF(DF$3&lt;=$B27,INDEX(Input!$I$43:$I$2956,DF$3+$A26),"")</f>
        <v/>
      </c>
      <c r="DG27" s="17" t="str">
        <f>IF(DG$3&lt;=$B27,INDEX(Input!$I$43:$I$2956,DG$3+$A26),"")</f>
        <v/>
      </c>
      <c r="DH27" s="17" t="str">
        <f>IF(DH$3&lt;=$B27,INDEX(Input!$I$43:$I$2956,DH$3+$A26),"")</f>
        <v/>
      </c>
      <c r="DI27" s="17" t="str">
        <f>IF(DI$3&lt;=$B27,INDEX(Input!$I$43:$I$2956,DI$3+$A26),"")</f>
        <v/>
      </c>
      <c r="DJ27" s="17" t="str">
        <f>IF(DJ$3&lt;=$B27,INDEX(Input!$I$43:$I$2956,DJ$3+$A26),"")</f>
        <v/>
      </c>
      <c r="DK27" s="17" t="str">
        <f>IF(DK$3&lt;=$B27,INDEX(Input!$I$43:$I$2956,DK$3+$A26),"")</f>
        <v/>
      </c>
      <c r="DL27" s="17" t="str">
        <f>IF(DL$3&lt;=$B27,INDEX(Input!$I$43:$I$2956,DL$3+$A26),"")</f>
        <v/>
      </c>
      <c r="DM27" s="17" t="str">
        <f>IF(DM$3&lt;=$B27,INDEX(Input!$I$43:$I$2956,DM$3+$A26),"")</f>
        <v/>
      </c>
      <c r="DN27" s="17" t="str">
        <f>IF(DN$3&lt;=$B27,INDEX(Input!$I$43:$I$2956,DN$3+$A26),"")</f>
        <v/>
      </c>
      <c r="DO27" s="17" t="str">
        <f>IF(DO$3&lt;=$B27,INDEX(Input!$I$43:$I$2956,DO$3+$A26),"")</f>
        <v/>
      </c>
      <c r="DP27" s="17" t="str">
        <f>IF(DP$3&lt;=$B27,INDEX(Input!$I$43:$I$2956,DP$3+$A26),"")</f>
        <v/>
      </c>
      <c r="DQ27" s="17" t="str">
        <f>IF(DQ$3&lt;=$B27,INDEX(Input!$I$43:$I$2956,DQ$3+$A26),"")</f>
        <v/>
      </c>
      <c r="DR27" s="17" t="str">
        <f>IF(DR$3&lt;=$B27,INDEX(Input!$I$43:$I$2956,DR$3+$A26),"")</f>
        <v/>
      </c>
      <c r="DS27" s="17" t="str">
        <f>IF(DS$3&lt;=$B27,INDEX(Input!$I$43:$I$2956,DS$3+$A26),"")</f>
        <v/>
      </c>
      <c r="DT27" s="17" t="str">
        <f>IF(DT$3&lt;=$B27,INDEX(Input!$I$43:$I$2956,DT$3+$A26),"")</f>
        <v/>
      </c>
      <c r="DU27" s="17" t="str">
        <f>IF(DU$3&lt;=$B27,INDEX(Input!$I$43:$I$2956,DU$3+$A26),"")</f>
        <v/>
      </c>
      <c r="DV27" s="17" t="str">
        <f>IF(DV$3&lt;=$B27,INDEX(Input!$I$43:$I$2956,DV$3+$A26),"")</f>
        <v/>
      </c>
      <c r="DW27" s="58" t="str">
        <f t="array" ref="DW27:EZ27">IFERROR(eccalc(E27:DV27,C27+B27,B27,$O$2:$AS$2),"")</f>
        <v/>
      </c>
      <c r="DX27" s="59" t="str">
        <v/>
      </c>
      <c r="DY27" s="59" t="str">
        <v/>
      </c>
      <c r="DZ27" s="59" t="str">
        <v/>
      </c>
      <c r="EA27" s="59" t="str">
        <v/>
      </c>
      <c r="EB27" s="59" t="str">
        <v/>
      </c>
      <c r="EC27" s="59" t="str">
        <v/>
      </c>
      <c r="ED27" s="59" t="str">
        <v/>
      </c>
      <c r="EE27" s="59" t="str">
        <v/>
      </c>
      <c r="EF27" s="59" t="str">
        <v/>
      </c>
      <c r="EG27" s="59" t="str">
        <v/>
      </c>
      <c r="EH27" s="59" t="str">
        <v/>
      </c>
      <c r="EI27" s="59" t="str">
        <v/>
      </c>
      <c r="EJ27" s="59" t="str">
        <v/>
      </c>
      <c r="EK27" s="59" t="str">
        <v/>
      </c>
      <c r="EL27" s="59" t="str">
        <v/>
      </c>
      <c r="EM27" s="59" t="str">
        <v/>
      </c>
      <c r="EN27" s="59" t="str">
        <v/>
      </c>
      <c r="EO27" s="59" t="str">
        <v/>
      </c>
      <c r="EP27" s="59" t="str">
        <v/>
      </c>
      <c r="EQ27" s="59" t="str">
        <v/>
      </c>
      <c r="ER27" s="59" t="str">
        <v/>
      </c>
      <c r="ES27" s="59" t="str">
        <v/>
      </c>
      <c r="ET27" s="59" t="str">
        <v/>
      </c>
      <c r="EU27" s="59" t="str">
        <v/>
      </c>
      <c r="EV27" s="59" t="str">
        <v/>
      </c>
      <c r="EW27" s="59" t="str">
        <v/>
      </c>
      <c r="EX27" s="59" t="str">
        <v/>
      </c>
      <c r="EY27" s="59" t="str">
        <v/>
      </c>
      <c r="EZ27" s="60" t="str">
        <v/>
      </c>
      <c r="FA27" s="17"/>
      <c r="FC27">
        <v>24</v>
      </c>
      <c r="FD27">
        <f t="shared" si="2"/>
        <v>8</v>
      </c>
      <c r="FE27">
        <f t="shared" si="3"/>
        <v>2</v>
      </c>
      <c r="FF27">
        <f t="shared" si="4"/>
        <v>173</v>
      </c>
      <c r="FI27" s="16">
        <v>24</v>
      </c>
      <c r="FJ27" s="17">
        <f t="shared" si="5"/>
        <v>200</v>
      </c>
      <c r="FK27" s="17">
        <f t="shared" si="6"/>
        <v>173</v>
      </c>
      <c r="FL27" s="18" t="str">
        <f t="shared" si="7"/>
        <v>10101101</v>
      </c>
      <c r="FM27" s="2"/>
      <c r="FN27" s="95" t="str">
        <f>VLOOKUP(FO23,'Basic Info'!A28:B67,2,0)</f>
        <v>001101100001000111</v>
      </c>
    </row>
    <row r="28" spans="1:176">
      <c r="A28">
        <f>SUM($B$4:B28)</f>
        <v>196</v>
      </c>
      <c r="B28">
        <f t="shared" si="0"/>
        <v>0</v>
      </c>
      <c r="C28" t="str">
        <f t="shared" si="1"/>
        <v/>
      </c>
      <c r="D28">
        <v>25</v>
      </c>
      <c r="E28" s="16" t="str">
        <f>IF(E$3&lt;=$B28,INDEX(Input!$I$43:$I$2956,E$3+$A27),"")</f>
        <v/>
      </c>
      <c r="F28" s="17" t="str">
        <f>IF(F$3&lt;=$B28,INDEX(Input!$I$43:$I$2956,F$3+$A27),"")</f>
        <v/>
      </c>
      <c r="G28" s="17" t="str">
        <f>IF(G$3&lt;=$B28,INDEX(Input!$I$43:$I$2956,G$3+$A27),"")</f>
        <v/>
      </c>
      <c r="H28" s="17" t="str">
        <f>IF(H$3&lt;=$B28,INDEX(Input!$I$43:$I$2956,H$3+$A27),"")</f>
        <v/>
      </c>
      <c r="I28" s="17" t="str">
        <f>IF(I$3&lt;=$B28,INDEX(Input!$I$43:$I$2956,I$3+$A27),"")</f>
        <v/>
      </c>
      <c r="J28" s="17" t="str">
        <f>IF(J$3&lt;=$B28,INDEX(Input!$I$43:$I$2956,J$3+$A27),"")</f>
        <v/>
      </c>
      <c r="K28" s="17" t="str">
        <f>IF(K$3&lt;=$B28,INDEX(Input!$I$43:$I$2956,K$3+$A27),"")</f>
        <v/>
      </c>
      <c r="L28" s="17" t="str">
        <f>IF(L$3&lt;=$B28,INDEX(Input!$I$43:$I$2956,L$3+$A27),"")</f>
        <v/>
      </c>
      <c r="M28" s="17" t="str">
        <f>IF(M$3&lt;=$B28,INDEX(Input!$I$43:$I$2956,M$3+$A27),"")</f>
        <v/>
      </c>
      <c r="N28" s="17" t="str">
        <f>IF(N$3&lt;=$B28,INDEX(Input!$I$43:$I$2956,N$3+$A27),"")</f>
        <v/>
      </c>
      <c r="O28" s="17" t="str">
        <f>IF(O$3&lt;=$B28,INDEX(Input!$I$43:$I$2956,O$3+$A27),"")</f>
        <v/>
      </c>
      <c r="P28" s="17" t="str">
        <f>IF(P$3&lt;=$B28,INDEX(Input!$I$43:$I$2956,P$3+$A27),"")</f>
        <v/>
      </c>
      <c r="Q28" s="17" t="str">
        <f>IF(Q$3&lt;=$B28,INDEX(Input!$I$43:$I$2956,Q$3+$A27),"")</f>
        <v/>
      </c>
      <c r="R28" s="17" t="str">
        <f>IF(R$3&lt;=$B28,INDEX(Input!$I$43:$I$2956,R$3+$A27),"")</f>
        <v/>
      </c>
      <c r="S28" s="17" t="str">
        <f>IF(S$3&lt;=$B28,INDEX(Input!$I$43:$I$2956,S$3+$A27),"")</f>
        <v/>
      </c>
      <c r="T28" s="17" t="str">
        <f>IF(T$3&lt;=$B28,INDEX(Input!$I$43:$I$2956,T$3+$A27),"")</f>
        <v/>
      </c>
      <c r="U28" s="17" t="str">
        <f>IF(U$3&lt;=$B28,INDEX(Input!$I$43:$I$2956,U$3+$A27),"")</f>
        <v/>
      </c>
      <c r="V28" s="17" t="str">
        <f>IF(V$3&lt;=$B28,INDEX(Input!$I$43:$I$2956,V$3+$A27),"")</f>
        <v/>
      </c>
      <c r="W28" s="17" t="str">
        <f>IF(W$3&lt;=$B28,INDEX(Input!$I$43:$I$2956,W$3+$A27),"")</f>
        <v/>
      </c>
      <c r="X28" s="17" t="str">
        <f>IF(X$3&lt;=$B28,INDEX(Input!$I$43:$I$2956,X$3+$A27),"")</f>
        <v/>
      </c>
      <c r="Y28" s="17" t="str">
        <f>IF(Y$3&lt;=$B28,INDEX(Input!$I$43:$I$2956,Y$3+$A27),"")</f>
        <v/>
      </c>
      <c r="Z28" s="17" t="str">
        <f>IF(Z$3&lt;=$B28,INDEX(Input!$I$43:$I$2956,Z$3+$A27),"")</f>
        <v/>
      </c>
      <c r="AA28" s="17" t="str">
        <f>IF(AA$3&lt;=$B28,INDEX(Input!$I$43:$I$2956,AA$3+$A27),"")</f>
        <v/>
      </c>
      <c r="AB28" s="17" t="str">
        <f>IF(AB$3&lt;=$B28,INDEX(Input!$I$43:$I$2956,AB$3+$A27),"")</f>
        <v/>
      </c>
      <c r="AC28" s="17" t="str">
        <f>IF(AC$3&lt;=$B28,INDEX(Input!$I$43:$I$2956,AC$3+$A27),"")</f>
        <v/>
      </c>
      <c r="AD28" s="17" t="str">
        <f>IF(AD$3&lt;=$B28,INDEX(Input!$I$43:$I$2956,AD$3+$A27),"")</f>
        <v/>
      </c>
      <c r="AE28" s="17" t="str">
        <f>IF(AE$3&lt;=$B28,INDEX(Input!$I$43:$I$2956,AE$3+$A27),"")</f>
        <v/>
      </c>
      <c r="AF28" s="17" t="str">
        <f>IF(AF$3&lt;=$B28,INDEX(Input!$I$43:$I$2956,AF$3+$A27),"")</f>
        <v/>
      </c>
      <c r="AG28" s="17" t="str">
        <f>IF(AG$3&lt;=$B28,INDEX(Input!$I$43:$I$2956,AG$3+$A27),"")</f>
        <v/>
      </c>
      <c r="AH28" s="17" t="str">
        <f>IF(AH$3&lt;=$B28,INDEX(Input!$I$43:$I$2956,AH$3+$A27),"")</f>
        <v/>
      </c>
      <c r="AI28" s="17" t="str">
        <f>IF(AI$3&lt;=$B28,INDEX(Input!$I$43:$I$2956,AI$3+$A27),"")</f>
        <v/>
      </c>
      <c r="AJ28" s="17" t="str">
        <f>IF(AJ$3&lt;=$B28,INDEX(Input!$I$43:$I$2956,AJ$3+$A27),"")</f>
        <v/>
      </c>
      <c r="AK28" s="17" t="str">
        <f>IF(AK$3&lt;=$B28,INDEX(Input!$I$43:$I$2956,AK$3+$A27),"")</f>
        <v/>
      </c>
      <c r="AL28" s="17" t="str">
        <f>IF(AL$3&lt;=$B28,INDEX(Input!$I$43:$I$2956,AL$3+$A27),"")</f>
        <v/>
      </c>
      <c r="AM28" s="17" t="str">
        <f>IF(AM$3&lt;=$B28,INDEX(Input!$I$43:$I$2956,AM$3+$A27),"")</f>
        <v/>
      </c>
      <c r="AN28" s="17" t="str">
        <f>IF(AN$3&lt;=$B28,INDEX(Input!$I$43:$I$2956,AN$3+$A27),"")</f>
        <v/>
      </c>
      <c r="AO28" s="17" t="str">
        <f>IF(AO$3&lt;=$B28,INDEX(Input!$I$43:$I$2956,AO$3+$A27),"")</f>
        <v/>
      </c>
      <c r="AP28" s="17" t="str">
        <f>IF(AP$3&lt;=$B28,INDEX(Input!$I$43:$I$2956,AP$3+$A27),"")</f>
        <v/>
      </c>
      <c r="AQ28" s="17" t="str">
        <f>IF(AQ$3&lt;=$B28,INDEX(Input!$I$43:$I$2956,AQ$3+$A27),"")</f>
        <v/>
      </c>
      <c r="AR28" s="17" t="str">
        <f>IF(AR$3&lt;=$B28,INDEX(Input!$I$43:$I$2956,AR$3+$A27),"")</f>
        <v/>
      </c>
      <c r="AS28" s="17" t="str">
        <f>IF(AS$3&lt;=$B28,INDEX(Input!$I$43:$I$2956,AS$3+$A27),"")</f>
        <v/>
      </c>
      <c r="AT28" s="17" t="str">
        <f>IF(AT$3&lt;=$B28,INDEX(Input!$I$43:$I$2956,AT$3+$A27),"")</f>
        <v/>
      </c>
      <c r="AU28" s="17" t="str">
        <f>IF(AU$3&lt;=$B28,INDEX(Input!$I$43:$I$2956,AU$3+$A27),"")</f>
        <v/>
      </c>
      <c r="AV28" s="17" t="str">
        <f>IF(AV$3&lt;=$B28,INDEX(Input!$I$43:$I$2956,AV$3+$A27),"")</f>
        <v/>
      </c>
      <c r="AW28" s="17" t="str">
        <f>IF(AW$3&lt;=$B28,INDEX(Input!$I$43:$I$2956,AW$3+$A27),"")</f>
        <v/>
      </c>
      <c r="AX28" s="17" t="str">
        <f>IF(AX$3&lt;=$B28,INDEX(Input!$I$43:$I$2956,AX$3+$A27),"")</f>
        <v/>
      </c>
      <c r="AY28" s="17" t="str">
        <f>IF(AY$3&lt;=$B28,INDEX(Input!$I$43:$I$2956,AY$3+$A27),"")</f>
        <v/>
      </c>
      <c r="AZ28" s="17" t="str">
        <f>IF(AZ$3&lt;=$B28,INDEX(Input!$I$43:$I$2956,AZ$3+$A27),"")</f>
        <v/>
      </c>
      <c r="BA28" s="17" t="str">
        <f>IF(BA$3&lt;=$B28,INDEX(Input!$I$43:$I$2956,BA$3+$A27),"")</f>
        <v/>
      </c>
      <c r="BB28" s="17" t="str">
        <f>IF(BB$3&lt;=$B28,INDEX(Input!$I$43:$I$2956,BB$3+$A27),"")</f>
        <v/>
      </c>
      <c r="BC28" s="17" t="str">
        <f>IF(BC$3&lt;=$B28,INDEX(Input!$I$43:$I$2956,BC$3+$A27),"")</f>
        <v/>
      </c>
      <c r="BD28" s="17" t="str">
        <f>IF(BD$3&lt;=$B28,INDEX(Input!$I$43:$I$2956,BD$3+$A27),"")</f>
        <v/>
      </c>
      <c r="BE28" s="17" t="str">
        <f>IF(BE$3&lt;=$B28,INDEX(Input!$I$43:$I$2956,BE$3+$A27),"")</f>
        <v/>
      </c>
      <c r="BF28" s="17" t="str">
        <f>IF(BF$3&lt;=$B28,INDEX(Input!$I$43:$I$2956,BF$3+$A27),"")</f>
        <v/>
      </c>
      <c r="BG28" s="17" t="str">
        <f>IF(BG$3&lt;=$B28,INDEX(Input!$I$43:$I$2956,BG$3+$A27),"")</f>
        <v/>
      </c>
      <c r="BH28" s="17" t="str">
        <f>IF(BH$3&lt;=$B28,INDEX(Input!$I$43:$I$2956,BH$3+$A27),"")</f>
        <v/>
      </c>
      <c r="BI28" s="17" t="str">
        <f>IF(BI$3&lt;=$B28,INDEX(Input!$I$43:$I$2956,BI$3+$A27),"")</f>
        <v/>
      </c>
      <c r="BJ28" s="17" t="str">
        <f>IF(BJ$3&lt;=$B28,INDEX(Input!$I$43:$I$2956,BJ$3+$A27),"")</f>
        <v/>
      </c>
      <c r="BK28" s="17" t="str">
        <f>IF(BK$3&lt;=$B28,INDEX(Input!$I$43:$I$2956,BK$3+$A27),"")</f>
        <v/>
      </c>
      <c r="BL28" s="17" t="str">
        <f>IF(BL$3&lt;=$B28,INDEX(Input!$I$43:$I$2956,BL$3+$A27),"")</f>
        <v/>
      </c>
      <c r="BM28" s="17" t="str">
        <f>IF(BM$3&lt;=$B28,INDEX(Input!$I$43:$I$2956,BM$3+$A27),"")</f>
        <v/>
      </c>
      <c r="BN28" s="17" t="str">
        <f>IF(BN$3&lt;=$B28,INDEX(Input!$I$43:$I$2956,BN$3+$A27),"")</f>
        <v/>
      </c>
      <c r="BO28" s="17" t="str">
        <f>IF(BO$3&lt;=$B28,INDEX(Input!$I$43:$I$2956,BO$3+$A27),"")</f>
        <v/>
      </c>
      <c r="BP28" s="17" t="str">
        <f>IF(BP$3&lt;=$B28,INDEX(Input!$I$43:$I$2956,BP$3+$A27),"")</f>
        <v/>
      </c>
      <c r="BQ28" s="17" t="str">
        <f>IF(BQ$3&lt;=$B28,INDEX(Input!$I$43:$I$2956,BQ$3+$A27),"")</f>
        <v/>
      </c>
      <c r="BR28" s="17" t="str">
        <f>IF(BR$3&lt;=$B28,INDEX(Input!$I$43:$I$2956,BR$3+$A27),"")</f>
        <v/>
      </c>
      <c r="BS28" s="17" t="str">
        <f>IF(BS$3&lt;=$B28,INDEX(Input!$I$43:$I$2956,BS$3+$A27),"")</f>
        <v/>
      </c>
      <c r="BT28" s="17" t="str">
        <f>IF(BT$3&lt;=$B28,INDEX(Input!$I$43:$I$2956,BT$3+$A27),"")</f>
        <v/>
      </c>
      <c r="BU28" s="17" t="str">
        <f>IF(BU$3&lt;=$B28,INDEX(Input!$I$43:$I$2956,BU$3+$A27),"")</f>
        <v/>
      </c>
      <c r="BV28" s="17" t="str">
        <f>IF(BV$3&lt;=$B28,INDEX(Input!$I$43:$I$2956,BV$3+$A27),"")</f>
        <v/>
      </c>
      <c r="BW28" s="17" t="str">
        <f>IF(BW$3&lt;=$B28,INDEX(Input!$I$43:$I$2956,BW$3+$A27),"")</f>
        <v/>
      </c>
      <c r="BX28" s="17" t="str">
        <f>IF(BX$3&lt;=$B28,INDEX(Input!$I$43:$I$2956,BX$3+$A27),"")</f>
        <v/>
      </c>
      <c r="BY28" s="17" t="str">
        <f>IF(BY$3&lt;=$B28,INDEX(Input!$I$43:$I$2956,BY$3+$A27),"")</f>
        <v/>
      </c>
      <c r="BZ28" s="17" t="str">
        <f>IF(BZ$3&lt;=$B28,INDEX(Input!$I$43:$I$2956,BZ$3+$A27),"")</f>
        <v/>
      </c>
      <c r="CA28" s="17" t="str">
        <f>IF(CA$3&lt;=$B28,INDEX(Input!$I$43:$I$2956,CA$3+$A27),"")</f>
        <v/>
      </c>
      <c r="CB28" s="17" t="str">
        <f>IF(CB$3&lt;=$B28,INDEX(Input!$I$43:$I$2956,CB$3+$A27),"")</f>
        <v/>
      </c>
      <c r="CC28" s="17" t="str">
        <f>IF(CC$3&lt;=$B28,INDEX(Input!$I$43:$I$2956,CC$3+$A27),"")</f>
        <v/>
      </c>
      <c r="CD28" s="17" t="str">
        <f>IF(CD$3&lt;=$B28,INDEX(Input!$I$43:$I$2956,CD$3+$A27),"")</f>
        <v/>
      </c>
      <c r="CE28" s="17" t="str">
        <f>IF(CE$3&lt;=$B28,INDEX(Input!$I$43:$I$2956,CE$3+$A27),"")</f>
        <v/>
      </c>
      <c r="CF28" s="17" t="str">
        <f>IF(CF$3&lt;=$B28,INDEX(Input!$I$43:$I$2956,CF$3+$A27),"")</f>
        <v/>
      </c>
      <c r="CG28" s="17" t="str">
        <f>IF(CG$3&lt;=$B28,INDEX(Input!$I$43:$I$2956,CG$3+$A27),"")</f>
        <v/>
      </c>
      <c r="CH28" s="17" t="str">
        <f>IF(CH$3&lt;=$B28,INDEX(Input!$I$43:$I$2956,CH$3+$A27),"")</f>
        <v/>
      </c>
      <c r="CI28" s="17" t="str">
        <f>IF(CI$3&lt;=$B28,INDEX(Input!$I$43:$I$2956,CI$3+$A27),"")</f>
        <v/>
      </c>
      <c r="CJ28" s="17" t="str">
        <f>IF(CJ$3&lt;=$B28,INDEX(Input!$I$43:$I$2956,CJ$3+$A27),"")</f>
        <v/>
      </c>
      <c r="CK28" s="17" t="str">
        <f>IF(CK$3&lt;=$B28,INDEX(Input!$I$43:$I$2956,CK$3+$A27),"")</f>
        <v/>
      </c>
      <c r="CL28" s="17" t="str">
        <f>IF(CL$3&lt;=$B28,INDEX(Input!$I$43:$I$2956,CL$3+$A27),"")</f>
        <v/>
      </c>
      <c r="CM28" s="17" t="str">
        <f>IF(CM$3&lt;=$B28,INDEX(Input!$I$43:$I$2956,CM$3+$A27),"")</f>
        <v/>
      </c>
      <c r="CN28" s="17" t="str">
        <f>IF(CN$3&lt;=$B28,INDEX(Input!$I$43:$I$2956,CN$3+$A27),"")</f>
        <v/>
      </c>
      <c r="CO28" s="17" t="str">
        <f>IF(CO$3&lt;=$B28,INDEX(Input!$I$43:$I$2956,CO$3+$A27),"")</f>
        <v/>
      </c>
      <c r="CP28" s="17" t="str">
        <f>IF(CP$3&lt;=$B28,INDEX(Input!$I$43:$I$2956,CP$3+$A27),"")</f>
        <v/>
      </c>
      <c r="CQ28" s="17" t="str">
        <f>IF(CQ$3&lt;=$B28,INDEX(Input!$I$43:$I$2956,CQ$3+$A27),"")</f>
        <v/>
      </c>
      <c r="CR28" s="17" t="str">
        <f>IF(CR$3&lt;=$B28,INDEX(Input!$I$43:$I$2956,CR$3+$A27),"")</f>
        <v/>
      </c>
      <c r="CS28" s="17" t="str">
        <f>IF(CS$3&lt;=$B28,INDEX(Input!$I$43:$I$2956,CS$3+$A27),"")</f>
        <v/>
      </c>
      <c r="CT28" s="17" t="str">
        <f>IF(CT$3&lt;=$B28,INDEX(Input!$I$43:$I$2956,CT$3+$A27),"")</f>
        <v/>
      </c>
      <c r="CU28" s="17" t="str">
        <f>IF(CU$3&lt;=$B28,INDEX(Input!$I$43:$I$2956,CU$3+$A27),"")</f>
        <v/>
      </c>
      <c r="CV28" s="17" t="str">
        <f>IF(CV$3&lt;=$B28,INDEX(Input!$I$43:$I$2956,CV$3+$A27),"")</f>
        <v/>
      </c>
      <c r="CW28" s="17" t="str">
        <f>IF(CW$3&lt;=$B28,INDEX(Input!$I$43:$I$2956,CW$3+$A27),"")</f>
        <v/>
      </c>
      <c r="CX28" s="17" t="str">
        <f>IF(CX$3&lt;=$B28,INDEX(Input!$I$43:$I$2956,CX$3+$A27),"")</f>
        <v/>
      </c>
      <c r="CY28" s="17" t="str">
        <f>IF(CY$3&lt;=$B28,INDEX(Input!$I$43:$I$2956,CY$3+$A27),"")</f>
        <v/>
      </c>
      <c r="CZ28" s="17" t="str">
        <f>IF(CZ$3&lt;=$B28,INDEX(Input!$I$43:$I$2956,CZ$3+$A27),"")</f>
        <v/>
      </c>
      <c r="DA28" s="17" t="str">
        <f>IF(DA$3&lt;=$B28,INDEX(Input!$I$43:$I$2956,DA$3+$A27),"")</f>
        <v/>
      </c>
      <c r="DB28" s="17" t="str">
        <f>IF(DB$3&lt;=$B28,INDEX(Input!$I$43:$I$2956,DB$3+$A27),"")</f>
        <v/>
      </c>
      <c r="DC28" s="17" t="str">
        <f>IF(DC$3&lt;=$B28,INDEX(Input!$I$43:$I$2956,DC$3+$A27),"")</f>
        <v/>
      </c>
      <c r="DD28" s="17" t="str">
        <f>IF(DD$3&lt;=$B28,INDEX(Input!$I$43:$I$2956,DD$3+$A27),"")</f>
        <v/>
      </c>
      <c r="DE28" s="17" t="str">
        <f>IF(DE$3&lt;=$B28,INDEX(Input!$I$43:$I$2956,DE$3+$A27),"")</f>
        <v/>
      </c>
      <c r="DF28" s="17" t="str">
        <f>IF(DF$3&lt;=$B28,INDEX(Input!$I$43:$I$2956,DF$3+$A27),"")</f>
        <v/>
      </c>
      <c r="DG28" s="17" t="str">
        <f>IF(DG$3&lt;=$B28,INDEX(Input!$I$43:$I$2956,DG$3+$A27),"")</f>
        <v/>
      </c>
      <c r="DH28" s="17" t="str">
        <f>IF(DH$3&lt;=$B28,INDEX(Input!$I$43:$I$2956,DH$3+$A27),"")</f>
        <v/>
      </c>
      <c r="DI28" s="17" t="str">
        <f>IF(DI$3&lt;=$B28,INDEX(Input!$I$43:$I$2956,DI$3+$A27),"")</f>
        <v/>
      </c>
      <c r="DJ28" s="17" t="str">
        <f>IF(DJ$3&lt;=$B28,INDEX(Input!$I$43:$I$2956,DJ$3+$A27),"")</f>
        <v/>
      </c>
      <c r="DK28" s="17" t="str">
        <f>IF(DK$3&lt;=$B28,INDEX(Input!$I$43:$I$2956,DK$3+$A27),"")</f>
        <v/>
      </c>
      <c r="DL28" s="17" t="str">
        <f>IF(DL$3&lt;=$B28,INDEX(Input!$I$43:$I$2956,DL$3+$A27),"")</f>
        <v/>
      </c>
      <c r="DM28" s="17" t="str">
        <f>IF(DM$3&lt;=$B28,INDEX(Input!$I$43:$I$2956,DM$3+$A27),"")</f>
        <v/>
      </c>
      <c r="DN28" s="17" t="str">
        <f>IF(DN$3&lt;=$B28,INDEX(Input!$I$43:$I$2956,DN$3+$A27),"")</f>
        <v/>
      </c>
      <c r="DO28" s="17" t="str">
        <f>IF(DO$3&lt;=$B28,INDEX(Input!$I$43:$I$2956,DO$3+$A27),"")</f>
        <v/>
      </c>
      <c r="DP28" s="17" t="str">
        <f>IF(DP$3&lt;=$B28,INDEX(Input!$I$43:$I$2956,DP$3+$A27),"")</f>
        <v/>
      </c>
      <c r="DQ28" s="17" t="str">
        <f>IF(DQ$3&lt;=$B28,INDEX(Input!$I$43:$I$2956,DQ$3+$A27),"")</f>
        <v/>
      </c>
      <c r="DR28" s="17" t="str">
        <f>IF(DR$3&lt;=$B28,INDEX(Input!$I$43:$I$2956,DR$3+$A27),"")</f>
        <v/>
      </c>
      <c r="DS28" s="17" t="str">
        <f>IF(DS$3&lt;=$B28,INDEX(Input!$I$43:$I$2956,DS$3+$A27),"")</f>
        <v/>
      </c>
      <c r="DT28" s="17" t="str">
        <f>IF(DT$3&lt;=$B28,INDEX(Input!$I$43:$I$2956,DT$3+$A27),"")</f>
        <v/>
      </c>
      <c r="DU28" s="17" t="str">
        <f>IF(DU$3&lt;=$B28,INDEX(Input!$I$43:$I$2956,DU$3+$A27),"")</f>
        <v/>
      </c>
      <c r="DV28" s="17" t="str">
        <f>IF(DV$3&lt;=$B28,INDEX(Input!$I$43:$I$2956,DV$3+$A27),"")</f>
        <v/>
      </c>
      <c r="DW28" s="58" t="str">
        <f t="array" ref="DW28:EZ28">IFERROR(eccalc(E28:DV28,C28+B28,B28,$O$2:$AS$2),"")</f>
        <v/>
      </c>
      <c r="DX28" s="59" t="str">
        <v/>
      </c>
      <c r="DY28" s="59" t="str">
        <v/>
      </c>
      <c r="DZ28" s="59" t="str">
        <v/>
      </c>
      <c r="EA28" s="59" t="str">
        <v/>
      </c>
      <c r="EB28" s="59" t="str">
        <v/>
      </c>
      <c r="EC28" s="59" t="str">
        <v/>
      </c>
      <c r="ED28" s="59" t="str">
        <v/>
      </c>
      <c r="EE28" s="59" t="str">
        <v/>
      </c>
      <c r="EF28" s="59" t="str">
        <v/>
      </c>
      <c r="EG28" s="59" t="str">
        <v/>
      </c>
      <c r="EH28" s="59" t="str">
        <v/>
      </c>
      <c r="EI28" s="59" t="str">
        <v/>
      </c>
      <c r="EJ28" s="59" t="str">
        <v/>
      </c>
      <c r="EK28" s="59" t="str">
        <v/>
      </c>
      <c r="EL28" s="59" t="str">
        <v/>
      </c>
      <c r="EM28" s="59" t="str">
        <v/>
      </c>
      <c r="EN28" s="59" t="str">
        <v/>
      </c>
      <c r="EO28" s="59" t="str">
        <v/>
      </c>
      <c r="EP28" s="59" t="str">
        <v/>
      </c>
      <c r="EQ28" s="59" t="str">
        <v/>
      </c>
      <c r="ER28" s="59" t="str">
        <v/>
      </c>
      <c r="ES28" s="59" t="str">
        <v/>
      </c>
      <c r="ET28" s="59" t="str">
        <v/>
      </c>
      <c r="EU28" s="59" t="str">
        <v/>
      </c>
      <c r="EV28" s="59" t="str">
        <v/>
      </c>
      <c r="EW28" s="59" t="str">
        <v/>
      </c>
      <c r="EX28" s="59" t="str">
        <v/>
      </c>
      <c r="EY28" s="59" t="str">
        <v/>
      </c>
      <c r="EZ28" s="60" t="str">
        <v/>
      </c>
      <c r="FA28" s="17"/>
      <c r="FC28">
        <v>25</v>
      </c>
      <c r="FD28">
        <f t="shared" si="2"/>
        <v>9</v>
      </c>
      <c r="FE28">
        <f t="shared" si="3"/>
        <v>2</v>
      </c>
      <c r="FF28">
        <f t="shared" si="4"/>
        <v>106</v>
      </c>
      <c r="FI28" s="16">
        <v>25</v>
      </c>
      <c r="FJ28" s="17">
        <f t="shared" si="5"/>
        <v>156</v>
      </c>
      <c r="FK28" s="17">
        <f t="shared" si="6"/>
        <v>106</v>
      </c>
      <c r="FL28" s="18" t="str">
        <f t="shared" si="7"/>
        <v>01101010</v>
      </c>
      <c r="FM28" s="2"/>
    </row>
    <row r="29" spans="1:176">
      <c r="A29">
        <f>SUM($B$4:B29)</f>
        <v>196</v>
      </c>
      <c r="B29">
        <f t="shared" si="0"/>
        <v>0</v>
      </c>
      <c r="C29" t="str">
        <f t="shared" si="1"/>
        <v/>
      </c>
      <c r="D29">
        <v>26</v>
      </c>
      <c r="E29" s="16" t="str">
        <f>IF(E$3&lt;=$B29,INDEX(Input!$I$43:$I$2956,E$3+$A28),"")</f>
        <v/>
      </c>
      <c r="F29" s="17" t="str">
        <f>IF(F$3&lt;=$B29,INDEX(Input!$I$43:$I$2956,F$3+$A28),"")</f>
        <v/>
      </c>
      <c r="G29" s="17" t="str">
        <f>IF(G$3&lt;=$B29,INDEX(Input!$I$43:$I$2956,G$3+$A28),"")</f>
        <v/>
      </c>
      <c r="H29" s="17" t="str">
        <f>IF(H$3&lt;=$B29,INDEX(Input!$I$43:$I$2956,H$3+$A28),"")</f>
        <v/>
      </c>
      <c r="I29" s="17" t="str">
        <f>IF(I$3&lt;=$B29,INDEX(Input!$I$43:$I$2956,I$3+$A28),"")</f>
        <v/>
      </c>
      <c r="J29" s="17" t="str">
        <f>IF(J$3&lt;=$B29,INDEX(Input!$I$43:$I$2956,J$3+$A28),"")</f>
        <v/>
      </c>
      <c r="K29" s="17" t="str">
        <f>IF(K$3&lt;=$B29,INDEX(Input!$I$43:$I$2956,K$3+$A28),"")</f>
        <v/>
      </c>
      <c r="L29" s="17" t="str">
        <f>IF(L$3&lt;=$B29,INDEX(Input!$I$43:$I$2956,L$3+$A28),"")</f>
        <v/>
      </c>
      <c r="M29" s="17" t="str">
        <f>IF(M$3&lt;=$B29,INDEX(Input!$I$43:$I$2956,M$3+$A28),"")</f>
        <v/>
      </c>
      <c r="N29" s="17" t="str">
        <f>IF(N$3&lt;=$B29,INDEX(Input!$I$43:$I$2956,N$3+$A28),"")</f>
        <v/>
      </c>
      <c r="O29" s="17" t="str">
        <f>IF(O$3&lt;=$B29,INDEX(Input!$I$43:$I$2956,O$3+$A28),"")</f>
        <v/>
      </c>
      <c r="P29" s="17" t="str">
        <f>IF(P$3&lt;=$B29,INDEX(Input!$I$43:$I$2956,P$3+$A28),"")</f>
        <v/>
      </c>
      <c r="Q29" s="17" t="str">
        <f>IF(Q$3&lt;=$B29,INDEX(Input!$I$43:$I$2956,Q$3+$A28),"")</f>
        <v/>
      </c>
      <c r="R29" s="17" t="str">
        <f>IF(R$3&lt;=$B29,INDEX(Input!$I$43:$I$2956,R$3+$A28),"")</f>
        <v/>
      </c>
      <c r="S29" s="17" t="str">
        <f>IF(S$3&lt;=$B29,INDEX(Input!$I$43:$I$2956,S$3+$A28),"")</f>
        <v/>
      </c>
      <c r="T29" s="17" t="str">
        <f>IF(T$3&lt;=$B29,INDEX(Input!$I$43:$I$2956,T$3+$A28),"")</f>
        <v/>
      </c>
      <c r="U29" s="17" t="str">
        <f>IF(U$3&lt;=$B29,INDEX(Input!$I$43:$I$2956,U$3+$A28),"")</f>
        <v/>
      </c>
      <c r="V29" s="17" t="str">
        <f>IF(V$3&lt;=$B29,INDEX(Input!$I$43:$I$2956,V$3+$A28),"")</f>
        <v/>
      </c>
      <c r="W29" s="17" t="str">
        <f>IF(W$3&lt;=$B29,INDEX(Input!$I$43:$I$2956,W$3+$A28),"")</f>
        <v/>
      </c>
      <c r="X29" s="17" t="str">
        <f>IF(X$3&lt;=$B29,INDEX(Input!$I$43:$I$2956,X$3+$A28),"")</f>
        <v/>
      </c>
      <c r="Y29" s="17" t="str">
        <f>IF(Y$3&lt;=$B29,INDEX(Input!$I$43:$I$2956,Y$3+$A28),"")</f>
        <v/>
      </c>
      <c r="Z29" s="17" t="str">
        <f>IF(Z$3&lt;=$B29,INDEX(Input!$I$43:$I$2956,Z$3+$A28),"")</f>
        <v/>
      </c>
      <c r="AA29" s="17" t="str">
        <f>IF(AA$3&lt;=$B29,INDEX(Input!$I$43:$I$2956,AA$3+$A28),"")</f>
        <v/>
      </c>
      <c r="AB29" s="17" t="str">
        <f>IF(AB$3&lt;=$B29,INDEX(Input!$I$43:$I$2956,AB$3+$A28),"")</f>
        <v/>
      </c>
      <c r="AC29" s="17" t="str">
        <f>IF(AC$3&lt;=$B29,INDEX(Input!$I$43:$I$2956,AC$3+$A28),"")</f>
        <v/>
      </c>
      <c r="AD29" s="17" t="str">
        <f>IF(AD$3&lt;=$B29,INDEX(Input!$I$43:$I$2956,AD$3+$A28),"")</f>
        <v/>
      </c>
      <c r="AE29" s="17" t="str">
        <f>IF(AE$3&lt;=$B29,INDEX(Input!$I$43:$I$2956,AE$3+$A28),"")</f>
        <v/>
      </c>
      <c r="AF29" s="17" t="str">
        <f>IF(AF$3&lt;=$B29,INDEX(Input!$I$43:$I$2956,AF$3+$A28),"")</f>
        <v/>
      </c>
      <c r="AG29" s="17" t="str">
        <f>IF(AG$3&lt;=$B29,INDEX(Input!$I$43:$I$2956,AG$3+$A28),"")</f>
        <v/>
      </c>
      <c r="AH29" s="17" t="str">
        <f>IF(AH$3&lt;=$B29,INDEX(Input!$I$43:$I$2956,AH$3+$A28),"")</f>
        <v/>
      </c>
      <c r="AI29" s="17" t="str">
        <f>IF(AI$3&lt;=$B29,INDEX(Input!$I$43:$I$2956,AI$3+$A28),"")</f>
        <v/>
      </c>
      <c r="AJ29" s="17" t="str">
        <f>IF(AJ$3&lt;=$B29,INDEX(Input!$I$43:$I$2956,AJ$3+$A28),"")</f>
        <v/>
      </c>
      <c r="AK29" s="17" t="str">
        <f>IF(AK$3&lt;=$B29,INDEX(Input!$I$43:$I$2956,AK$3+$A28),"")</f>
        <v/>
      </c>
      <c r="AL29" s="17" t="str">
        <f>IF(AL$3&lt;=$B29,INDEX(Input!$I$43:$I$2956,AL$3+$A28),"")</f>
        <v/>
      </c>
      <c r="AM29" s="17" t="str">
        <f>IF(AM$3&lt;=$B29,INDEX(Input!$I$43:$I$2956,AM$3+$A28),"")</f>
        <v/>
      </c>
      <c r="AN29" s="17" t="str">
        <f>IF(AN$3&lt;=$B29,INDEX(Input!$I$43:$I$2956,AN$3+$A28),"")</f>
        <v/>
      </c>
      <c r="AO29" s="17" t="str">
        <f>IF(AO$3&lt;=$B29,INDEX(Input!$I$43:$I$2956,AO$3+$A28),"")</f>
        <v/>
      </c>
      <c r="AP29" s="17" t="str">
        <f>IF(AP$3&lt;=$B29,INDEX(Input!$I$43:$I$2956,AP$3+$A28),"")</f>
        <v/>
      </c>
      <c r="AQ29" s="17" t="str">
        <f>IF(AQ$3&lt;=$B29,INDEX(Input!$I$43:$I$2956,AQ$3+$A28),"")</f>
        <v/>
      </c>
      <c r="AR29" s="17" t="str">
        <f>IF(AR$3&lt;=$B29,INDEX(Input!$I$43:$I$2956,AR$3+$A28),"")</f>
        <v/>
      </c>
      <c r="AS29" s="17" t="str">
        <f>IF(AS$3&lt;=$B29,INDEX(Input!$I$43:$I$2956,AS$3+$A28),"")</f>
        <v/>
      </c>
      <c r="AT29" s="17" t="str">
        <f>IF(AT$3&lt;=$B29,INDEX(Input!$I$43:$I$2956,AT$3+$A28),"")</f>
        <v/>
      </c>
      <c r="AU29" s="17" t="str">
        <f>IF(AU$3&lt;=$B29,INDEX(Input!$I$43:$I$2956,AU$3+$A28),"")</f>
        <v/>
      </c>
      <c r="AV29" s="17" t="str">
        <f>IF(AV$3&lt;=$B29,INDEX(Input!$I$43:$I$2956,AV$3+$A28),"")</f>
        <v/>
      </c>
      <c r="AW29" s="17" t="str">
        <f>IF(AW$3&lt;=$B29,INDEX(Input!$I$43:$I$2956,AW$3+$A28),"")</f>
        <v/>
      </c>
      <c r="AX29" s="17" t="str">
        <f>IF(AX$3&lt;=$B29,INDEX(Input!$I$43:$I$2956,AX$3+$A28),"")</f>
        <v/>
      </c>
      <c r="AY29" s="17" t="str">
        <f>IF(AY$3&lt;=$B29,INDEX(Input!$I$43:$I$2956,AY$3+$A28),"")</f>
        <v/>
      </c>
      <c r="AZ29" s="17" t="str">
        <f>IF(AZ$3&lt;=$B29,INDEX(Input!$I$43:$I$2956,AZ$3+$A28),"")</f>
        <v/>
      </c>
      <c r="BA29" s="17" t="str">
        <f>IF(BA$3&lt;=$B29,INDEX(Input!$I$43:$I$2956,BA$3+$A28),"")</f>
        <v/>
      </c>
      <c r="BB29" s="17" t="str">
        <f>IF(BB$3&lt;=$B29,INDEX(Input!$I$43:$I$2956,BB$3+$A28),"")</f>
        <v/>
      </c>
      <c r="BC29" s="17" t="str">
        <f>IF(BC$3&lt;=$B29,INDEX(Input!$I$43:$I$2956,BC$3+$A28),"")</f>
        <v/>
      </c>
      <c r="BD29" s="17" t="str">
        <f>IF(BD$3&lt;=$B29,INDEX(Input!$I$43:$I$2956,BD$3+$A28),"")</f>
        <v/>
      </c>
      <c r="BE29" s="17" t="str">
        <f>IF(BE$3&lt;=$B29,INDEX(Input!$I$43:$I$2956,BE$3+$A28),"")</f>
        <v/>
      </c>
      <c r="BF29" s="17" t="str">
        <f>IF(BF$3&lt;=$B29,INDEX(Input!$I$43:$I$2956,BF$3+$A28),"")</f>
        <v/>
      </c>
      <c r="BG29" s="17" t="str">
        <f>IF(BG$3&lt;=$B29,INDEX(Input!$I$43:$I$2956,BG$3+$A28),"")</f>
        <v/>
      </c>
      <c r="BH29" s="17" t="str">
        <f>IF(BH$3&lt;=$B29,INDEX(Input!$I$43:$I$2956,BH$3+$A28),"")</f>
        <v/>
      </c>
      <c r="BI29" s="17" t="str">
        <f>IF(BI$3&lt;=$B29,INDEX(Input!$I$43:$I$2956,BI$3+$A28),"")</f>
        <v/>
      </c>
      <c r="BJ29" s="17" t="str">
        <f>IF(BJ$3&lt;=$B29,INDEX(Input!$I$43:$I$2956,BJ$3+$A28),"")</f>
        <v/>
      </c>
      <c r="BK29" s="17" t="str">
        <f>IF(BK$3&lt;=$B29,INDEX(Input!$I$43:$I$2956,BK$3+$A28),"")</f>
        <v/>
      </c>
      <c r="BL29" s="17" t="str">
        <f>IF(BL$3&lt;=$B29,INDEX(Input!$I$43:$I$2956,BL$3+$A28),"")</f>
        <v/>
      </c>
      <c r="BM29" s="17" t="str">
        <f>IF(BM$3&lt;=$B29,INDEX(Input!$I$43:$I$2956,BM$3+$A28),"")</f>
        <v/>
      </c>
      <c r="BN29" s="17" t="str">
        <f>IF(BN$3&lt;=$B29,INDEX(Input!$I$43:$I$2956,BN$3+$A28),"")</f>
        <v/>
      </c>
      <c r="BO29" s="17" t="str">
        <f>IF(BO$3&lt;=$B29,INDEX(Input!$I$43:$I$2956,BO$3+$A28),"")</f>
        <v/>
      </c>
      <c r="BP29" s="17" t="str">
        <f>IF(BP$3&lt;=$B29,INDEX(Input!$I$43:$I$2956,BP$3+$A28),"")</f>
        <v/>
      </c>
      <c r="BQ29" s="17" t="str">
        <f>IF(BQ$3&lt;=$B29,INDEX(Input!$I$43:$I$2956,BQ$3+$A28),"")</f>
        <v/>
      </c>
      <c r="BR29" s="17" t="str">
        <f>IF(BR$3&lt;=$B29,INDEX(Input!$I$43:$I$2956,BR$3+$A28),"")</f>
        <v/>
      </c>
      <c r="BS29" s="17" t="str">
        <f>IF(BS$3&lt;=$B29,INDEX(Input!$I$43:$I$2956,BS$3+$A28),"")</f>
        <v/>
      </c>
      <c r="BT29" s="17" t="str">
        <f>IF(BT$3&lt;=$B29,INDEX(Input!$I$43:$I$2956,BT$3+$A28),"")</f>
        <v/>
      </c>
      <c r="BU29" s="17" t="str">
        <f>IF(BU$3&lt;=$B29,INDEX(Input!$I$43:$I$2956,BU$3+$A28),"")</f>
        <v/>
      </c>
      <c r="BV29" s="17" t="str">
        <f>IF(BV$3&lt;=$B29,INDEX(Input!$I$43:$I$2956,BV$3+$A28),"")</f>
        <v/>
      </c>
      <c r="BW29" s="17" t="str">
        <f>IF(BW$3&lt;=$B29,INDEX(Input!$I$43:$I$2956,BW$3+$A28),"")</f>
        <v/>
      </c>
      <c r="BX29" s="17" t="str">
        <f>IF(BX$3&lt;=$B29,INDEX(Input!$I$43:$I$2956,BX$3+$A28),"")</f>
        <v/>
      </c>
      <c r="BY29" s="17" t="str">
        <f>IF(BY$3&lt;=$B29,INDEX(Input!$I$43:$I$2956,BY$3+$A28),"")</f>
        <v/>
      </c>
      <c r="BZ29" s="17" t="str">
        <f>IF(BZ$3&lt;=$B29,INDEX(Input!$I$43:$I$2956,BZ$3+$A28),"")</f>
        <v/>
      </c>
      <c r="CA29" s="17" t="str">
        <f>IF(CA$3&lt;=$B29,INDEX(Input!$I$43:$I$2956,CA$3+$A28),"")</f>
        <v/>
      </c>
      <c r="CB29" s="17" t="str">
        <f>IF(CB$3&lt;=$B29,INDEX(Input!$I$43:$I$2956,CB$3+$A28),"")</f>
        <v/>
      </c>
      <c r="CC29" s="17" t="str">
        <f>IF(CC$3&lt;=$B29,INDEX(Input!$I$43:$I$2956,CC$3+$A28),"")</f>
        <v/>
      </c>
      <c r="CD29" s="17" t="str">
        <f>IF(CD$3&lt;=$B29,INDEX(Input!$I$43:$I$2956,CD$3+$A28),"")</f>
        <v/>
      </c>
      <c r="CE29" s="17" t="str">
        <f>IF(CE$3&lt;=$B29,INDEX(Input!$I$43:$I$2956,CE$3+$A28),"")</f>
        <v/>
      </c>
      <c r="CF29" s="17" t="str">
        <f>IF(CF$3&lt;=$B29,INDEX(Input!$I$43:$I$2956,CF$3+$A28),"")</f>
        <v/>
      </c>
      <c r="CG29" s="17" t="str">
        <f>IF(CG$3&lt;=$B29,INDEX(Input!$I$43:$I$2956,CG$3+$A28),"")</f>
        <v/>
      </c>
      <c r="CH29" s="17" t="str">
        <f>IF(CH$3&lt;=$B29,INDEX(Input!$I$43:$I$2956,CH$3+$A28),"")</f>
        <v/>
      </c>
      <c r="CI29" s="17" t="str">
        <f>IF(CI$3&lt;=$B29,INDEX(Input!$I$43:$I$2956,CI$3+$A28),"")</f>
        <v/>
      </c>
      <c r="CJ29" s="17" t="str">
        <f>IF(CJ$3&lt;=$B29,INDEX(Input!$I$43:$I$2956,CJ$3+$A28),"")</f>
        <v/>
      </c>
      <c r="CK29" s="17" t="str">
        <f>IF(CK$3&lt;=$B29,INDEX(Input!$I$43:$I$2956,CK$3+$A28),"")</f>
        <v/>
      </c>
      <c r="CL29" s="17" t="str">
        <f>IF(CL$3&lt;=$B29,INDEX(Input!$I$43:$I$2956,CL$3+$A28),"")</f>
        <v/>
      </c>
      <c r="CM29" s="17" t="str">
        <f>IF(CM$3&lt;=$B29,INDEX(Input!$I$43:$I$2956,CM$3+$A28),"")</f>
        <v/>
      </c>
      <c r="CN29" s="17" t="str">
        <f>IF(CN$3&lt;=$B29,INDEX(Input!$I$43:$I$2956,CN$3+$A28),"")</f>
        <v/>
      </c>
      <c r="CO29" s="17" t="str">
        <f>IF(CO$3&lt;=$B29,INDEX(Input!$I$43:$I$2956,CO$3+$A28),"")</f>
        <v/>
      </c>
      <c r="CP29" s="17" t="str">
        <f>IF(CP$3&lt;=$B29,INDEX(Input!$I$43:$I$2956,CP$3+$A28),"")</f>
        <v/>
      </c>
      <c r="CQ29" s="17" t="str">
        <f>IF(CQ$3&lt;=$B29,INDEX(Input!$I$43:$I$2956,CQ$3+$A28),"")</f>
        <v/>
      </c>
      <c r="CR29" s="17" t="str">
        <f>IF(CR$3&lt;=$B29,INDEX(Input!$I$43:$I$2956,CR$3+$A28),"")</f>
        <v/>
      </c>
      <c r="CS29" s="17" t="str">
        <f>IF(CS$3&lt;=$B29,INDEX(Input!$I$43:$I$2956,CS$3+$A28),"")</f>
        <v/>
      </c>
      <c r="CT29" s="17" t="str">
        <f>IF(CT$3&lt;=$B29,INDEX(Input!$I$43:$I$2956,CT$3+$A28),"")</f>
        <v/>
      </c>
      <c r="CU29" s="17" t="str">
        <f>IF(CU$3&lt;=$B29,INDEX(Input!$I$43:$I$2956,CU$3+$A28),"")</f>
        <v/>
      </c>
      <c r="CV29" s="17" t="str">
        <f>IF(CV$3&lt;=$B29,INDEX(Input!$I$43:$I$2956,CV$3+$A28),"")</f>
        <v/>
      </c>
      <c r="CW29" s="17" t="str">
        <f>IF(CW$3&lt;=$B29,INDEX(Input!$I$43:$I$2956,CW$3+$A28),"")</f>
        <v/>
      </c>
      <c r="CX29" s="17" t="str">
        <f>IF(CX$3&lt;=$B29,INDEX(Input!$I$43:$I$2956,CX$3+$A28),"")</f>
        <v/>
      </c>
      <c r="CY29" s="17" t="str">
        <f>IF(CY$3&lt;=$B29,INDEX(Input!$I$43:$I$2956,CY$3+$A28),"")</f>
        <v/>
      </c>
      <c r="CZ29" s="17" t="str">
        <f>IF(CZ$3&lt;=$B29,INDEX(Input!$I$43:$I$2956,CZ$3+$A28),"")</f>
        <v/>
      </c>
      <c r="DA29" s="17" t="str">
        <f>IF(DA$3&lt;=$B29,INDEX(Input!$I$43:$I$2956,DA$3+$A28),"")</f>
        <v/>
      </c>
      <c r="DB29" s="17" t="str">
        <f>IF(DB$3&lt;=$B29,INDEX(Input!$I$43:$I$2956,DB$3+$A28),"")</f>
        <v/>
      </c>
      <c r="DC29" s="17" t="str">
        <f>IF(DC$3&lt;=$B29,INDEX(Input!$I$43:$I$2956,DC$3+$A28),"")</f>
        <v/>
      </c>
      <c r="DD29" s="17" t="str">
        <f>IF(DD$3&lt;=$B29,INDEX(Input!$I$43:$I$2956,DD$3+$A28),"")</f>
        <v/>
      </c>
      <c r="DE29" s="17" t="str">
        <f>IF(DE$3&lt;=$B29,INDEX(Input!$I$43:$I$2956,DE$3+$A28),"")</f>
        <v/>
      </c>
      <c r="DF29" s="17" t="str">
        <f>IF(DF$3&lt;=$B29,INDEX(Input!$I$43:$I$2956,DF$3+$A28),"")</f>
        <v/>
      </c>
      <c r="DG29" s="17" t="str">
        <f>IF(DG$3&lt;=$B29,INDEX(Input!$I$43:$I$2956,DG$3+$A28),"")</f>
        <v/>
      </c>
      <c r="DH29" s="17" t="str">
        <f>IF(DH$3&lt;=$B29,INDEX(Input!$I$43:$I$2956,DH$3+$A28),"")</f>
        <v/>
      </c>
      <c r="DI29" s="17" t="str">
        <f>IF(DI$3&lt;=$B29,INDEX(Input!$I$43:$I$2956,DI$3+$A28),"")</f>
        <v/>
      </c>
      <c r="DJ29" s="17" t="str">
        <f>IF(DJ$3&lt;=$B29,INDEX(Input!$I$43:$I$2956,DJ$3+$A28),"")</f>
        <v/>
      </c>
      <c r="DK29" s="17" t="str">
        <f>IF(DK$3&lt;=$B29,INDEX(Input!$I$43:$I$2956,DK$3+$A28),"")</f>
        <v/>
      </c>
      <c r="DL29" s="17" t="str">
        <f>IF(DL$3&lt;=$B29,INDEX(Input!$I$43:$I$2956,DL$3+$A28),"")</f>
        <v/>
      </c>
      <c r="DM29" s="17" t="str">
        <f>IF(DM$3&lt;=$B29,INDEX(Input!$I$43:$I$2956,DM$3+$A28),"")</f>
        <v/>
      </c>
      <c r="DN29" s="17" t="str">
        <f>IF(DN$3&lt;=$B29,INDEX(Input!$I$43:$I$2956,DN$3+$A28),"")</f>
        <v/>
      </c>
      <c r="DO29" s="17" t="str">
        <f>IF(DO$3&lt;=$B29,INDEX(Input!$I$43:$I$2956,DO$3+$A28),"")</f>
        <v/>
      </c>
      <c r="DP29" s="17" t="str">
        <f>IF(DP$3&lt;=$B29,INDEX(Input!$I$43:$I$2956,DP$3+$A28),"")</f>
        <v/>
      </c>
      <c r="DQ29" s="17" t="str">
        <f>IF(DQ$3&lt;=$B29,INDEX(Input!$I$43:$I$2956,DQ$3+$A28),"")</f>
        <v/>
      </c>
      <c r="DR29" s="17" t="str">
        <f>IF(DR$3&lt;=$B29,INDEX(Input!$I$43:$I$2956,DR$3+$A28),"")</f>
        <v/>
      </c>
      <c r="DS29" s="17" t="str">
        <f>IF(DS$3&lt;=$B29,INDEX(Input!$I$43:$I$2956,DS$3+$A28),"")</f>
        <v/>
      </c>
      <c r="DT29" s="17" t="str">
        <f>IF(DT$3&lt;=$B29,INDEX(Input!$I$43:$I$2956,DT$3+$A28),"")</f>
        <v/>
      </c>
      <c r="DU29" s="17" t="str">
        <f>IF(DU$3&lt;=$B29,INDEX(Input!$I$43:$I$2956,DU$3+$A28),"")</f>
        <v/>
      </c>
      <c r="DV29" s="17" t="str">
        <f>IF(DV$3&lt;=$B29,INDEX(Input!$I$43:$I$2956,DV$3+$A28),"")</f>
        <v/>
      </c>
      <c r="DW29" s="58" t="str">
        <f t="array" ref="DW29:EZ29">IFERROR(eccalc(E29:DV29,C29+B29,B29,$O$2:$AS$2),"")</f>
        <v/>
      </c>
      <c r="DX29" s="59" t="str">
        <v/>
      </c>
      <c r="DY29" s="59" t="str">
        <v/>
      </c>
      <c r="DZ29" s="59" t="str">
        <v/>
      </c>
      <c r="EA29" s="59" t="str">
        <v/>
      </c>
      <c r="EB29" s="59" t="str">
        <v/>
      </c>
      <c r="EC29" s="59" t="str">
        <v/>
      </c>
      <c r="ED29" s="59" t="str">
        <v/>
      </c>
      <c r="EE29" s="59" t="str">
        <v/>
      </c>
      <c r="EF29" s="59" t="str">
        <v/>
      </c>
      <c r="EG29" s="59" t="str">
        <v/>
      </c>
      <c r="EH29" s="59" t="str">
        <v/>
      </c>
      <c r="EI29" s="59" t="str">
        <v/>
      </c>
      <c r="EJ29" s="59" t="str">
        <v/>
      </c>
      <c r="EK29" s="59" t="str">
        <v/>
      </c>
      <c r="EL29" s="59" t="str">
        <v/>
      </c>
      <c r="EM29" s="59" t="str">
        <v/>
      </c>
      <c r="EN29" s="59" t="str">
        <v/>
      </c>
      <c r="EO29" s="59" t="str">
        <v/>
      </c>
      <c r="EP29" s="59" t="str">
        <v/>
      </c>
      <c r="EQ29" s="59" t="str">
        <v/>
      </c>
      <c r="ER29" s="59" t="str">
        <v/>
      </c>
      <c r="ES29" s="59" t="str">
        <v/>
      </c>
      <c r="ET29" s="59" t="str">
        <v/>
      </c>
      <c r="EU29" s="59" t="str">
        <v/>
      </c>
      <c r="EV29" s="59" t="str">
        <v/>
      </c>
      <c r="EW29" s="59" t="str">
        <v/>
      </c>
      <c r="EX29" s="59" t="str">
        <v/>
      </c>
      <c r="EY29" s="59" t="str">
        <v/>
      </c>
      <c r="EZ29" s="60" t="str">
        <v/>
      </c>
      <c r="FA29" s="17"/>
      <c r="FC29">
        <v>26</v>
      </c>
      <c r="FD29">
        <f t="shared" si="2"/>
        <v>10</v>
      </c>
      <c r="FE29">
        <f t="shared" si="3"/>
        <v>2</v>
      </c>
      <c r="FF29">
        <f t="shared" si="4"/>
        <v>0</v>
      </c>
      <c r="FI29" s="16">
        <v>26</v>
      </c>
      <c r="FJ29" s="17">
        <f t="shared" si="5"/>
        <v>210</v>
      </c>
      <c r="FK29" s="17">
        <f t="shared" si="6"/>
        <v>0</v>
      </c>
      <c r="FL29" s="18" t="str">
        <f t="shared" si="7"/>
        <v>00000000</v>
      </c>
      <c r="FM29" s="2"/>
    </row>
    <row r="30" spans="1:176">
      <c r="A30">
        <f>SUM($B$4:B30)</f>
        <v>196</v>
      </c>
      <c r="B30">
        <f t="shared" si="0"/>
        <v>0</v>
      </c>
      <c r="C30" t="str">
        <f t="shared" si="1"/>
        <v/>
      </c>
      <c r="D30">
        <v>27</v>
      </c>
      <c r="E30" s="16" t="str">
        <f>IF(E$3&lt;=$B30,INDEX(Input!$I$43:$I$2956,E$3+$A29),"")</f>
        <v/>
      </c>
      <c r="F30" s="17" t="str">
        <f>IF(F$3&lt;=$B30,INDEX(Input!$I$43:$I$2956,F$3+$A29),"")</f>
        <v/>
      </c>
      <c r="G30" s="17" t="str">
        <f>IF(G$3&lt;=$B30,INDEX(Input!$I$43:$I$2956,G$3+$A29),"")</f>
        <v/>
      </c>
      <c r="H30" s="17" t="str">
        <f>IF(H$3&lt;=$B30,INDEX(Input!$I$43:$I$2956,H$3+$A29),"")</f>
        <v/>
      </c>
      <c r="I30" s="17" t="str">
        <f>IF(I$3&lt;=$B30,INDEX(Input!$I$43:$I$2956,I$3+$A29),"")</f>
        <v/>
      </c>
      <c r="J30" s="17" t="str">
        <f>IF(J$3&lt;=$B30,INDEX(Input!$I$43:$I$2956,J$3+$A29),"")</f>
        <v/>
      </c>
      <c r="K30" s="17" t="str">
        <f>IF(K$3&lt;=$B30,INDEX(Input!$I$43:$I$2956,K$3+$A29),"")</f>
        <v/>
      </c>
      <c r="L30" s="17" t="str">
        <f>IF(L$3&lt;=$B30,INDEX(Input!$I$43:$I$2956,L$3+$A29),"")</f>
        <v/>
      </c>
      <c r="M30" s="17" t="str">
        <f>IF(M$3&lt;=$B30,INDEX(Input!$I$43:$I$2956,M$3+$A29),"")</f>
        <v/>
      </c>
      <c r="N30" s="17" t="str">
        <f>IF(N$3&lt;=$B30,INDEX(Input!$I$43:$I$2956,N$3+$A29),"")</f>
        <v/>
      </c>
      <c r="O30" s="17" t="str">
        <f>IF(O$3&lt;=$B30,INDEX(Input!$I$43:$I$2956,O$3+$A29),"")</f>
        <v/>
      </c>
      <c r="P30" s="17" t="str">
        <f>IF(P$3&lt;=$B30,INDEX(Input!$I$43:$I$2956,P$3+$A29),"")</f>
        <v/>
      </c>
      <c r="Q30" s="17" t="str">
        <f>IF(Q$3&lt;=$B30,INDEX(Input!$I$43:$I$2956,Q$3+$A29),"")</f>
        <v/>
      </c>
      <c r="R30" s="17" t="str">
        <f>IF(R$3&lt;=$B30,INDEX(Input!$I$43:$I$2956,R$3+$A29),"")</f>
        <v/>
      </c>
      <c r="S30" s="17" t="str">
        <f>IF(S$3&lt;=$B30,INDEX(Input!$I$43:$I$2956,S$3+$A29),"")</f>
        <v/>
      </c>
      <c r="T30" s="17" t="str">
        <f>IF(T$3&lt;=$B30,INDEX(Input!$I$43:$I$2956,T$3+$A29),"")</f>
        <v/>
      </c>
      <c r="U30" s="17" t="str">
        <f>IF(U$3&lt;=$B30,INDEX(Input!$I$43:$I$2956,U$3+$A29),"")</f>
        <v/>
      </c>
      <c r="V30" s="17" t="str">
        <f>IF(V$3&lt;=$B30,INDEX(Input!$I$43:$I$2956,V$3+$A29),"")</f>
        <v/>
      </c>
      <c r="W30" s="17" t="str">
        <f>IF(W$3&lt;=$B30,INDEX(Input!$I$43:$I$2956,W$3+$A29),"")</f>
        <v/>
      </c>
      <c r="X30" s="17" t="str">
        <f>IF(X$3&lt;=$B30,INDEX(Input!$I$43:$I$2956,X$3+$A29),"")</f>
        <v/>
      </c>
      <c r="Y30" s="17" t="str">
        <f>IF(Y$3&lt;=$B30,INDEX(Input!$I$43:$I$2956,Y$3+$A29),"")</f>
        <v/>
      </c>
      <c r="Z30" s="17" t="str">
        <f>IF(Z$3&lt;=$B30,INDEX(Input!$I$43:$I$2956,Z$3+$A29),"")</f>
        <v/>
      </c>
      <c r="AA30" s="17" t="str">
        <f>IF(AA$3&lt;=$B30,INDEX(Input!$I$43:$I$2956,AA$3+$A29),"")</f>
        <v/>
      </c>
      <c r="AB30" s="17" t="str">
        <f>IF(AB$3&lt;=$B30,INDEX(Input!$I$43:$I$2956,AB$3+$A29),"")</f>
        <v/>
      </c>
      <c r="AC30" s="17" t="str">
        <f>IF(AC$3&lt;=$B30,INDEX(Input!$I$43:$I$2956,AC$3+$A29),"")</f>
        <v/>
      </c>
      <c r="AD30" s="17" t="str">
        <f>IF(AD$3&lt;=$B30,INDEX(Input!$I$43:$I$2956,AD$3+$A29),"")</f>
        <v/>
      </c>
      <c r="AE30" s="17" t="str">
        <f>IF(AE$3&lt;=$B30,INDEX(Input!$I$43:$I$2956,AE$3+$A29),"")</f>
        <v/>
      </c>
      <c r="AF30" s="17" t="str">
        <f>IF(AF$3&lt;=$B30,INDEX(Input!$I$43:$I$2956,AF$3+$A29),"")</f>
        <v/>
      </c>
      <c r="AG30" s="17" t="str">
        <f>IF(AG$3&lt;=$B30,INDEX(Input!$I$43:$I$2956,AG$3+$A29),"")</f>
        <v/>
      </c>
      <c r="AH30" s="17" t="str">
        <f>IF(AH$3&lt;=$B30,INDEX(Input!$I$43:$I$2956,AH$3+$A29),"")</f>
        <v/>
      </c>
      <c r="AI30" s="17" t="str">
        <f>IF(AI$3&lt;=$B30,INDEX(Input!$I$43:$I$2956,AI$3+$A29),"")</f>
        <v/>
      </c>
      <c r="AJ30" s="17" t="str">
        <f>IF(AJ$3&lt;=$B30,INDEX(Input!$I$43:$I$2956,AJ$3+$A29),"")</f>
        <v/>
      </c>
      <c r="AK30" s="17" t="str">
        <f>IF(AK$3&lt;=$B30,INDEX(Input!$I$43:$I$2956,AK$3+$A29),"")</f>
        <v/>
      </c>
      <c r="AL30" s="17" t="str">
        <f>IF(AL$3&lt;=$B30,INDEX(Input!$I$43:$I$2956,AL$3+$A29),"")</f>
        <v/>
      </c>
      <c r="AM30" s="17" t="str">
        <f>IF(AM$3&lt;=$B30,INDEX(Input!$I$43:$I$2956,AM$3+$A29),"")</f>
        <v/>
      </c>
      <c r="AN30" s="17" t="str">
        <f>IF(AN$3&lt;=$B30,INDEX(Input!$I$43:$I$2956,AN$3+$A29),"")</f>
        <v/>
      </c>
      <c r="AO30" s="17" t="str">
        <f>IF(AO$3&lt;=$B30,INDEX(Input!$I$43:$I$2956,AO$3+$A29),"")</f>
        <v/>
      </c>
      <c r="AP30" s="17" t="str">
        <f>IF(AP$3&lt;=$B30,INDEX(Input!$I$43:$I$2956,AP$3+$A29),"")</f>
        <v/>
      </c>
      <c r="AQ30" s="17" t="str">
        <f>IF(AQ$3&lt;=$B30,INDEX(Input!$I$43:$I$2956,AQ$3+$A29),"")</f>
        <v/>
      </c>
      <c r="AR30" s="17" t="str">
        <f>IF(AR$3&lt;=$B30,INDEX(Input!$I$43:$I$2956,AR$3+$A29),"")</f>
        <v/>
      </c>
      <c r="AS30" s="17" t="str">
        <f>IF(AS$3&lt;=$B30,INDEX(Input!$I$43:$I$2956,AS$3+$A29),"")</f>
        <v/>
      </c>
      <c r="AT30" s="17" t="str">
        <f>IF(AT$3&lt;=$B30,INDEX(Input!$I$43:$I$2956,AT$3+$A29),"")</f>
        <v/>
      </c>
      <c r="AU30" s="17" t="str">
        <f>IF(AU$3&lt;=$B30,INDEX(Input!$I$43:$I$2956,AU$3+$A29),"")</f>
        <v/>
      </c>
      <c r="AV30" s="17" t="str">
        <f>IF(AV$3&lt;=$B30,INDEX(Input!$I$43:$I$2956,AV$3+$A29),"")</f>
        <v/>
      </c>
      <c r="AW30" s="17" t="str">
        <f>IF(AW$3&lt;=$B30,INDEX(Input!$I$43:$I$2956,AW$3+$A29),"")</f>
        <v/>
      </c>
      <c r="AX30" s="17" t="str">
        <f>IF(AX$3&lt;=$B30,INDEX(Input!$I$43:$I$2956,AX$3+$A29),"")</f>
        <v/>
      </c>
      <c r="AY30" s="17" t="str">
        <f>IF(AY$3&lt;=$B30,INDEX(Input!$I$43:$I$2956,AY$3+$A29),"")</f>
        <v/>
      </c>
      <c r="AZ30" s="17" t="str">
        <f>IF(AZ$3&lt;=$B30,INDEX(Input!$I$43:$I$2956,AZ$3+$A29),"")</f>
        <v/>
      </c>
      <c r="BA30" s="17" t="str">
        <f>IF(BA$3&lt;=$B30,INDEX(Input!$I$43:$I$2956,BA$3+$A29),"")</f>
        <v/>
      </c>
      <c r="BB30" s="17" t="str">
        <f>IF(BB$3&lt;=$B30,INDEX(Input!$I$43:$I$2956,BB$3+$A29),"")</f>
        <v/>
      </c>
      <c r="BC30" s="17" t="str">
        <f>IF(BC$3&lt;=$B30,INDEX(Input!$I$43:$I$2956,BC$3+$A29),"")</f>
        <v/>
      </c>
      <c r="BD30" s="17" t="str">
        <f>IF(BD$3&lt;=$B30,INDEX(Input!$I$43:$I$2956,BD$3+$A29),"")</f>
        <v/>
      </c>
      <c r="BE30" s="17" t="str">
        <f>IF(BE$3&lt;=$B30,INDEX(Input!$I$43:$I$2956,BE$3+$A29),"")</f>
        <v/>
      </c>
      <c r="BF30" s="17" t="str">
        <f>IF(BF$3&lt;=$B30,INDEX(Input!$I$43:$I$2956,BF$3+$A29),"")</f>
        <v/>
      </c>
      <c r="BG30" s="17" t="str">
        <f>IF(BG$3&lt;=$B30,INDEX(Input!$I$43:$I$2956,BG$3+$A29),"")</f>
        <v/>
      </c>
      <c r="BH30" s="17" t="str">
        <f>IF(BH$3&lt;=$B30,INDEX(Input!$I$43:$I$2956,BH$3+$A29),"")</f>
        <v/>
      </c>
      <c r="BI30" s="17" t="str">
        <f>IF(BI$3&lt;=$B30,INDEX(Input!$I$43:$I$2956,BI$3+$A29),"")</f>
        <v/>
      </c>
      <c r="BJ30" s="17" t="str">
        <f>IF(BJ$3&lt;=$B30,INDEX(Input!$I$43:$I$2956,BJ$3+$A29),"")</f>
        <v/>
      </c>
      <c r="BK30" s="17" t="str">
        <f>IF(BK$3&lt;=$B30,INDEX(Input!$I$43:$I$2956,BK$3+$A29),"")</f>
        <v/>
      </c>
      <c r="BL30" s="17" t="str">
        <f>IF(BL$3&lt;=$B30,INDEX(Input!$I$43:$I$2956,BL$3+$A29),"")</f>
        <v/>
      </c>
      <c r="BM30" s="17" t="str">
        <f>IF(BM$3&lt;=$B30,INDEX(Input!$I$43:$I$2956,BM$3+$A29),"")</f>
        <v/>
      </c>
      <c r="BN30" s="17" t="str">
        <f>IF(BN$3&lt;=$B30,INDEX(Input!$I$43:$I$2956,BN$3+$A29),"")</f>
        <v/>
      </c>
      <c r="BO30" s="17" t="str">
        <f>IF(BO$3&lt;=$B30,INDEX(Input!$I$43:$I$2956,BO$3+$A29),"")</f>
        <v/>
      </c>
      <c r="BP30" s="17" t="str">
        <f>IF(BP$3&lt;=$B30,INDEX(Input!$I$43:$I$2956,BP$3+$A29),"")</f>
        <v/>
      </c>
      <c r="BQ30" s="17" t="str">
        <f>IF(BQ$3&lt;=$B30,INDEX(Input!$I$43:$I$2956,BQ$3+$A29),"")</f>
        <v/>
      </c>
      <c r="BR30" s="17" t="str">
        <f>IF(BR$3&lt;=$B30,INDEX(Input!$I$43:$I$2956,BR$3+$A29),"")</f>
        <v/>
      </c>
      <c r="BS30" s="17" t="str">
        <f>IF(BS$3&lt;=$B30,INDEX(Input!$I$43:$I$2956,BS$3+$A29),"")</f>
        <v/>
      </c>
      <c r="BT30" s="17" t="str">
        <f>IF(BT$3&lt;=$B30,INDEX(Input!$I$43:$I$2956,BT$3+$A29),"")</f>
        <v/>
      </c>
      <c r="BU30" s="17" t="str">
        <f>IF(BU$3&lt;=$B30,INDEX(Input!$I$43:$I$2956,BU$3+$A29),"")</f>
        <v/>
      </c>
      <c r="BV30" s="17" t="str">
        <f>IF(BV$3&lt;=$B30,INDEX(Input!$I$43:$I$2956,BV$3+$A29),"")</f>
        <v/>
      </c>
      <c r="BW30" s="17" t="str">
        <f>IF(BW$3&lt;=$B30,INDEX(Input!$I$43:$I$2956,BW$3+$A29),"")</f>
        <v/>
      </c>
      <c r="BX30" s="17" t="str">
        <f>IF(BX$3&lt;=$B30,INDEX(Input!$I$43:$I$2956,BX$3+$A29),"")</f>
        <v/>
      </c>
      <c r="BY30" s="17" t="str">
        <f>IF(BY$3&lt;=$B30,INDEX(Input!$I$43:$I$2956,BY$3+$A29),"")</f>
        <v/>
      </c>
      <c r="BZ30" s="17" t="str">
        <f>IF(BZ$3&lt;=$B30,INDEX(Input!$I$43:$I$2956,BZ$3+$A29),"")</f>
        <v/>
      </c>
      <c r="CA30" s="17" t="str">
        <f>IF(CA$3&lt;=$B30,INDEX(Input!$I$43:$I$2956,CA$3+$A29),"")</f>
        <v/>
      </c>
      <c r="CB30" s="17" t="str">
        <f>IF(CB$3&lt;=$B30,INDEX(Input!$I$43:$I$2956,CB$3+$A29),"")</f>
        <v/>
      </c>
      <c r="CC30" s="17" t="str">
        <f>IF(CC$3&lt;=$B30,INDEX(Input!$I$43:$I$2956,CC$3+$A29),"")</f>
        <v/>
      </c>
      <c r="CD30" s="17" t="str">
        <f>IF(CD$3&lt;=$B30,INDEX(Input!$I$43:$I$2956,CD$3+$A29),"")</f>
        <v/>
      </c>
      <c r="CE30" s="17" t="str">
        <f>IF(CE$3&lt;=$B30,INDEX(Input!$I$43:$I$2956,CE$3+$A29),"")</f>
        <v/>
      </c>
      <c r="CF30" s="17" t="str">
        <f>IF(CF$3&lt;=$B30,INDEX(Input!$I$43:$I$2956,CF$3+$A29),"")</f>
        <v/>
      </c>
      <c r="CG30" s="17" t="str">
        <f>IF(CG$3&lt;=$B30,INDEX(Input!$I$43:$I$2956,CG$3+$A29),"")</f>
        <v/>
      </c>
      <c r="CH30" s="17" t="str">
        <f>IF(CH$3&lt;=$B30,INDEX(Input!$I$43:$I$2956,CH$3+$A29),"")</f>
        <v/>
      </c>
      <c r="CI30" s="17" t="str">
        <f>IF(CI$3&lt;=$B30,INDEX(Input!$I$43:$I$2956,CI$3+$A29),"")</f>
        <v/>
      </c>
      <c r="CJ30" s="17" t="str">
        <f>IF(CJ$3&lt;=$B30,INDEX(Input!$I$43:$I$2956,CJ$3+$A29),"")</f>
        <v/>
      </c>
      <c r="CK30" s="17" t="str">
        <f>IF(CK$3&lt;=$B30,INDEX(Input!$I$43:$I$2956,CK$3+$A29),"")</f>
        <v/>
      </c>
      <c r="CL30" s="17" t="str">
        <f>IF(CL$3&lt;=$B30,INDEX(Input!$I$43:$I$2956,CL$3+$A29),"")</f>
        <v/>
      </c>
      <c r="CM30" s="17" t="str">
        <f>IF(CM$3&lt;=$B30,INDEX(Input!$I$43:$I$2956,CM$3+$A29),"")</f>
        <v/>
      </c>
      <c r="CN30" s="17" t="str">
        <f>IF(CN$3&lt;=$B30,INDEX(Input!$I$43:$I$2956,CN$3+$A29),"")</f>
        <v/>
      </c>
      <c r="CO30" s="17" t="str">
        <f>IF(CO$3&lt;=$B30,INDEX(Input!$I$43:$I$2956,CO$3+$A29),"")</f>
        <v/>
      </c>
      <c r="CP30" s="17" t="str">
        <f>IF(CP$3&lt;=$B30,INDEX(Input!$I$43:$I$2956,CP$3+$A29),"")</f>
        <v/>
      </c>
      <c r="CQ30" s="17" t="str">
        <f>IF(CQ$3&lt;=$B30,INDEX(Input!$I$43:$I$2956,CQ$3+$A29),"")</f>
        <v/>
      </c>
      <c r="CR30" s="17" t="str">
        <f>IF(CR$3&lt;=$B30,INDEX(Input!$I$43:$I$2956,CR$3+$A29),"")</f>
        <v/>
      </c>
      <c r="CS30" s="17" t="str">
        <f>IF(CS$3&lt;=$B30,INDEX(Input!$I$43:$I$2956,CS$3+$A29),"")</f>
        <v/>
      </c>
      <c r="CT30" s="17" t="str">
        <f>IF(CT$3&lt;=$B30,INDEX(Input!$I$43:$I$2956,CT$3+$A29),"")</f>
        <v/>
      </c>
      <c r="CU30" s="17" t="str">
        <f>IF(CU$3&lt;=$B30,INDEX(Input!$I$43:$I$2956,CU$3+$A29),"")</f>
        <v/>
      </c>
      <c r="CV30" s="17" t="str">
        <f>IF(CV$3&lt;=$B30,INDEX(Input!$I$43:$I$2956,CV$3+$A29),"")</f>
        <v/>
      </c>
      <c r="CW30" s="17" t="str">
        <f>IF(CW$3&lt;=$B30,INDEX(Input!$I$43:$I$2956,CW$3+$A29),"")</f>
        <v/>
      </c>
      <c r="CX30" s="17" t="str">
        <f>IF(CX$3&lt;=$B30,INDEX(Input!$I$43:$I$2956,CX$3+$A29),"")</f>
        <v/>
      </c>
      <c r="CY30" s="17" t="str">
        <f>IF(CY$3&lt;=$B30,INDEX(Input!$I$43:$I$2956,CY$3+$A29),"")</f>
        <v/>
      </c>
      <c r="CZ30" s="17" t="str">
        <f>IF(CZ$3&lt;=$B30,INDEX(Input!$I$43:$I$2956,CZ$3+$A29),"")</f>
        <v/>
      </c>
      <c r="DA30" s="17" t="str">
        <f>IF(DA$3&lt;=$B30,INDEX(Input!$I$43:$I$2956,DA$3+$A29),"")</f>
        <v/>
      </c>
      <c r="DB30" s="17" t="str">
        <f>IF(DB$3&lt;=$B30,INDEX(Input!$I$43:$I$2956,DB$3+$A29),"")</f>
        <v/>
      </c>
      <c r="DC30" s="17" t="str">
        <f>IF(DC$3&lt;=$B30,INDEX(Input!$I$43:$I$2956,DC$3+$A29),"")</f>
        <v/>
      </c>
      <c r="DD30" s="17" t="str">
        <f>IF(DD$3&lt;=$B30,INDEX(Input!$I$43:$I$2956,DD$3+$A29),"")</f>
        <v/>
      </c>
      <c r="DE30" s="17" t="str">
        <f>IF(DE$3&lt;=$B30,INDEX(Input!$I$43:$I$2956,DE$3+$A29),"")</f>
        <v/>
      </c>
      <c r="DF30" s="17" t="str">
        <f>IF(DF$3&lt;=$B30,INDEX(Input!$I$43:$I$2956,DF$3+$A29),"")</f>
        <v/>
      </c>
      <c r="DG30" s="17" t="str">
        <f>IF(DG$3&lt;=$B30,INDEX(Input!$I$43:$I$2956,DG$3+$A29),"")</f>
        <v/>
      </c>
      <c r="DH30" s="17" t="str">
        <f>IF(DH$3&lt;=$B30,INDEX(Input!$I$43:$I$2956,DH$3+$A29),"")</f>
        <v/>
      </c>
      <c r="DI30" s="17" t="str">
        <f>IF(DI$3&lt;=$B30,INDEX(Input!$I$43:$I$2956,DI$3+$A29),"")</f>
        <v/>
      </c>
      <c r="DJ30" s="17" t="str">
        <f>IF(DJ$3&lt;=$B30,INDEX(Input!$I$43:$I$2956,DJ$3+$A29),"")</f>
        <v/>
      </c>
      <c r="DK30" s="17" t="str">
        <f>IF(DK$3&lt;=$B30,INDEX(Input!$I$43:$I$2956,DK$3+$A29),"")</f>
        <v/>
      </c>
      <c r="DL30" s="17" t="str">
        <f>IF(DL$3&lt;=$B30,INDEX(Input!$I$43:$I$2956,DL$3+$A29),"")</f>
        <v/>
      </c>
      <c r="DM30" s="17" t="str">
        <f>IF(DM$3&lt;=$B30,INDEX(Input!$I$43:$I$2956,DM$3+$A29),"")</f>
        <v/>
      </c>
      <c r="DN30" s="17" t="str">
        <f>IF(DN$3&lt;=$B30,INDEX(Input!$I$43:$I$2956,DN$3+$A29),"")</f>
        <v/>
      </c>
      <c r="DO30" s="17" t="str">
        <f>IF(DO$3&lt;=$B30,INDEX(Input!$I$43:$I$2956,DO$3+$A29),"")</f>
        <v/>
      </c>
      <c r="DP30" s="17" t="str">
        <f>IF(DP$3&lt;=$B30,INDEX(Input!$I$43:$I$2956,DP$3+$A29),"")</f>
        <v/>
      </c>
      <c r="DQ30" s="17" t="str">
        <f>IF(DQ$3&lt;=$B30,INDEX(Input!$I$43:$I$2956,DQ$3+$A29),"")</f>
        <v/>
      </c>
      <c r="DR30" s="17" t="str">
        <f>IF(DR$3&lt;=$B30,INDEX(Input!$I$43:$I$2956,DR$3+$A29),"")</f>
        <v/>
      </c>
      <c r="DS30" s="17" t="str">
        <f>IF(DS$3&lt;=$B30,INDEX(Input!$I$43:$I$2956,DS$3+$A29),"")</f>
        <v/>
      </c>
      <c r="DT30" s="17" t="str">
        <f>IF(DT$3&lt;=$B30,INDEX(Input!$I$43:$I$2956,DT$3+$A29),"")</f>
        <v/>
      </c>
      <c r="DU30" s="17" t="str">
        <f>IF(DU$3&lt;=$B30,INDEX(Input!$I$43:$I$2956,DU$3+$A29),"")</f>
        <v/>
      </c>
      <c r="DV30" s="17" t="str">
        <f>IF(DV$3&lt;=$B30,INDEX(Input!$I$43:$I$2956,DV$3+$A29),"")</f>
        <v/>
      </c>
      <c r="DW30" s="58" t="str">
        <f t="array" ref="DW30:EZ30">IFERROR(eccalc(E30:DV30,C30+B30,B30,$O$2:$AS$2),"")</f>
        <v/>
      </c>
      <c r="DX30" s="59" t="str">
        <v/>
      </c>
      <c r="DY30" s="59" t="str">
        <v/>
      </c>
      <c r="DZ30" s="59" t="str">
        <v/>
      </c>
      <c r="EA30" s="59" t="str">
        <v/>
      </c>
      <c r="EB30" s="59" t="str">
        <v/>
      </c>
      <c r="EC30" s="59" t="str">
        <v/>
      </c>
      <c r="ED30" s="59" t="str">
        <v/>
      </c>
      <c r="EE30" s="59" t="str">
        <v/>
      </c>
      <c r="EF30" s="59" t="str">
        <v/>
      </c>
      <c r="EG30" s="59" t="str">
        <v/>
      </c>
      <c r="EH30" s="59" t="str">
        <v/>
      </c>
      <c r="EI30" s="59" t="str">
        <v/>
      </c>
      <c r="EJ30" s="59" t="str">
        <v/>
      </c>
      <c r="EK30" s="59" t="str">
        <v/>
      </c>
      <c r="EL30" s="59" t="str">
        <v/>
      </c>
      <c r="EM30" s="59" t="str">
        <v/>
      </c>
      <c r="EN30" s="59" t="str">
        <v/>
      </c>
      <c r="EO30" s="59" t="str">
        <v/>
      </c>
      <c r="EP30" s="59" t="str">
        <v/>
      </c>
      <c r="EQ30" s="59" t="str">
        <v/>
      </c>
      <c r="ER30" s="59" t="str">
        <v/>
      </c>
      <c r="ES30" s="59" t="str">
        <v/>
      </c>
      <c r="ET30" s="59" t="str">
        <v/>
      </c>
      <c r="EU30" s="59" t="str">
        <v/>
      </c>
      <c r="EV30" s="59" t="str">
        <v/>
      </c>
      <c r="EW30" s="59" t="str">
        <v/>
      </c>
      <c r="EX30" s="59" t="str">
        <v/>
      </c>
      <c r="EY30" s="59" t="str">
        <v/>
      </c>
      <c r="EZ30" s="60" t="str">
        <v/>
      </c>
      <c r="FA30" s="17"/>
      <c r="FC30">
        <v>27</v>
      </c>
      <c r="FD30">
        <f t="shared" si="2"/>
        <v>11</v>
      </c>
      <c r="FE30">
        <f t="shared" si="3"/>
        <v>2</v>
      </c>
      <c r="FF30">
        <f t="shared" si="4"/>
        <v>31</v>
      </c>
      <c r="FI30" s="16">
        <v>27</v>
      </c>
      <c r="FJ30" s="17">
        <f t="shared" si="5"/>
        <v>211</v>
      </c>
      <c r="FK30" s="17">
        <f t="shared" si="6"/>
        <v>31</v>
      </c>
      <c r="FL30" s="18" t="str">
        <f t="shared" si="7"/>
        <v>00011111</v>
      </c>
      <c r="FM30" s="2"/>
    </row>
    <row r="31" spans="1:176">
      <c r="A31">
        <f>SUM($B$4:B31)</f>
        <v>196</v>
      </c>
      <c r="B31">
        <f t="shared" si="0"/>
        <v>0</v>
      </c>
      <c r="C31" t="str">
        <f t="shared" si="1"/>
        <v/>
      </c>
      <c r="D31">
        <v>28</v>
      </c>
      <c r="E31" s="16" t="str">
        <f>IF(E$3&lt;=$B31,INDEX(Input!$I$43:$I$2956,E$3+$A30),"")</f>
        <v/>
      </c>
      <c r="F31" s="17" t="str">
        <f>IF(F$3&lt;=$B31,INDEX(Input!$I$43:$I$2956,F$3+$A30),"")</f>
        <v/>
      </c>
      <c r="G31" s="17" t="str">
        <f>IF(G$3&lt;=$B31,INDEX(Input!$I$43:$I$2956,G$3+$A30),"")</f>
        <v/>
      </c>
      <c r="H31" s="17" t="str">
        <f>IF(H$3&lt;=$B31,INDEX(Input!$I$43:$I$2956,H$3+$A30),"")</f>
        <v/>
      </c>
      <c r="I31" s="17" t="str">
        <f>IF(I$3&lt;=$B31,INDEX(Input!$I$43:$I$2956,I$3+$A30),"")</f>
        <v/>
      </c>
      <c r="J31" s="17" t="str">
        <f>IF(J$3&lt;=$B31,INDEX(Input!$I$43:$I$2956,J$3+$A30),"")</f>
        <v/>
      </c>
      <c r="K31" s="17" t="str">
        <f>IF(K$3&lt;=$B31,INDEX(Input!$I$43:$I$2956,K$3+$A30),"")</f>
        <v/>
      </c>
      <c r="L31" s="17" t="str">
        <f>IF(L$3&lt;=$B31,INDEX(Input!$I$43:$I$2956,L$3+$A30),"")</f>
        <v/>
      </c>
      <c r="M31" s="17" t="str">
        <f>IF(M$3&lt;=$B31,INDEX(Input!$I$43:$I$2956,M$3+$A30),"")</f>
        <v/>
      </c>
      <c r="N31" s="17" t="str">
        <f>IF(N$3&lt;=$B31,INDEX(Input!$I$43:$I$2956,N$3+$A30),"")</f>
        <v/>
      </c>
      <c r="O31" s="17" t="str">
        <f>IF(O$3&lt;=$B31,INDEX(Input!$I$43:$I$2956,O$3+$A30),"")</f>
        <v/>
      </c>
      <c r="P31" s="17" t="str">
        <f>IF(P$3&lt;=$B31,INDEX(Input!$I$43:$I$2956,P$3+$A30),"")</f>
        <v/>
      </c>
      <c r="Q31" s="17" t="str">
        <f>IF(Q$3&lt;=$B31,INDEX(Input!$I$43:$I$2956,Q$3+$A30),"")</f>
        <v/>
      </c>
      <c r="R31" s="17" t="str">
        <f>IF(R$3&lt;=$B31,INDEX(Input!$I$43:$I$2956,R$3+$A30),"")</f>
        <v/>
      </c>
      <c r="S31" s="17" t="str">
        <f>IF(S$3&lt;=$B31,INDEX(Input!$I$43:$I$2956,S$3+$A30),"")</f>
        <v/>
      </c>
      <c r="T31" s="17" t="str">
        <f>IF(T$3&lt;=$B31,INDEX(Input!$I$43:$I$2956,T$3+$A30),"")</f>
        <v/>
      </c>
      <c r="U31" s="17" t="str">
        <f>IF(U$3&lt;=$B31,INDEX(Input!$I$43:$I$2956,U$3+$A30),"")</f>
        <v/>
      </c>
      <c r="V31" s="17" t="str">
        <f>IF(V$3&lt;=$B31,INDEX(Input!$I$43:$I$2956,V$3+$A30),"")</f>
        <v/>
      </c>
      <c r="W31" s="17" t="str">
        <f>IF(W$3&lt;=$B31,INDEX(Input!$I$43:$I$2956,W$3+$A30),"")</f>
        <v/>
      </c>
      <c r="X31" s="17" t="str">
        <f>IF(X$3&lt;=$B31,INDEX(Input!$I$43:$I$2956,X$3+$A30),"")</f>
        <v/>
      </c>
      <c r="Y31" s="17" t="str">
        <f>IF(Y$3&lt;=$B31,INDEX(Input!$I$43:$I$2956,Y$3+$A30),"")</f>
        <v/>
      </c>
      <c r="Z31" s="17" t="str">
        <f>IF(Z$3&lt;=$B31,INDEX(Input!$I$43:$I$2956,Z$3+$A30),"")</f>
        <v/>
      </c>
      <c r="AA31" s="17" t="str">
        <f>IF(AA$3&lt;=$B31,INDEX(Input!$I$43:$I$2956,AA$3+$A30),"")</f>
        <v/>
      </c>
      <c r="AB31" s="17" t="str">
        <f>IF(AB$3&lt;=$B31,INDEX(Input!$I$43:$I$2956,AB$3+$A30),"")</f>
        <v/>
      </c>
      <c r="AC31" s="17" t="str">
        <f>IF(AC$3&lt;=$B31,INDEX(Input!$I$43:$I$2956,AC$3+$A30),"")</f>
        <v/>
      </c>
      <c r="AD31" s="17" t="str">
        <f>IF(AD$3&lt;=$B31,INDEX(Input!$I$43:$I$2956,AD$3+$A30),"")</f>
        <v/>
      </c>
      <c r="AE31" s="17" t="str">
        <f>IF(AE$3&lt;=$B31,INDEX(Input!$I$43:$I$2956,AE$3+$A30),"")</f>
        <v/>
      </c>
      <c r="AF31" s="17" t="str">
        <f>IF(AF$3&lt;=$B31,INDEX(Input!$I$43:$I$2956,AF$3+$A30),"")</f>
        <v/>
      </c>
      <c r="AG31" s="17" t="str">
        <f>IF(AG$3&lt;=$B31,INDEX(Input!$I$43:$I$2956,AG$3+$A30),"")</f>
        <v/>
      </c>
      <c r="AH31" s="17" t="str">
        <f>IF(AH$3&lt;=$B31,INDEX(Input!$I$43:$I$2956,AH$3+$A30),"")</f>
        <v/>
      </c>
      <c r="AI31" s="17" t="str">
        <f>IF(AI$3&lt;=$B31,INDEX(Input!$I$43:$I$2956,AI$3+$A30),"")</f>
        <v/>
      </c>
      <c r="AJ31" s="17" t="str">
        <f>IF(AJ$3&lt;=$B31,INDEX(Input!$I$43:$I$2956,AJ$3+$A30),"")</f>
        <v/>
      </c>
      <c r="AK31" s="17" t="str">
        <f>IF(AK$3&lt;=$B31,INDEX(Input!$I$43:$I$2956,AK$3+$A30),"")</f>
        <v/>
      </c>
      <c r="AL31" s="17" t="str">
        <f>IF(AL$3&lt;=$B31,INDEX(Input!$I$43:$I$2956,AL$3+$A30),"")</f>
        <v/>
      </c>
      <c r="AM31" s="17" t="str">
        <f>IF(AM$3&lt;=$B31,INDEX(Input!$I$43:$I$2956,AM$3+$A30),"")</f>
        <v/>
      </c>
      <c r="AN31" s="17" t="str">
        <f>IF(AN$3&lt;=$B31,INDEX(Input!$I$43:$I$2956,AN$3+$A30),"")</f>
        <v/>
      </c>
      <c r="AO31" s="17" t="str">
        <f>IF(AO$3&lt;=$B31,INDEX(Input!$I$43:$I$2956,AO$3+$A30),"")</f>
        <v/>
      </c>
      <c r="AP31" s="17" t="str">
        <f>IF(AP$3&lt;=$B31,INDEX(Input!$I$43:$I$2956,AP$3+$A30),"")</f>
        <v/>
      </c>
      <c r="AQ31" s="17" t="str">
        <f>IF(AQ$3&lt;=$B31,INDEX(Input!$I$43:$I$2956,AQ$3+$A30),"")</f>
        <v/>
      </c>
      <c r="AR31" s="17" t="str">
        <f>IF(AR$3&lt;=$B31,INDEX(Input!$I$43:$I$2956,AR$3+$A30),"")</f>
        <v/>
      </c>
      <c r="AS31" s="17" t="str">
        <f>IF(AS$3&lt;=$B31,INDEX(Input!$I$43:$I$2956,AS$3+$A30),"")</f>
        <v/>
      </c>
      <c r="AT31" s="17" t="str">
        <f>IF(AT$3&lt;=$B31,INDEX(Input!$I$43:$I$2956,AT$3+$A30),"")</f>
        <v/>
      </c>
      <c r="AU31" s="17" t="str">
        <f>IF(AU$3&lt;=$B31,INDEX(Input!$I$43:$I$2956,AU$3+$A30),"")</f>
        <v/>
      </c>
      <c r="AV31" s="17" t="str">
        <f>IF(AV$3&lt;=$B31,INDEX(Input!$I$43:$I$2956,AV$3+$A30),"")</f>
        <v/>
      </c>
      <c r="AW31" s="17" t="str">
        <f>IF(AW$3&lt;=$B31,INDEX(Input!$I$43:$I$2956,AW$3+$A30),"")</f>
        <v/>
      </c>
      <c r="AX31" s="17" t="str">
        <f>IF(AX$3&lt;=$B31,INDEX(Input!$I$43:$I$2956,AX$3+$A30),"")</f>
        <v/>
      </c>
      <c r="AY31" s="17" t="str">
        <f>IF(AY$3&lt;=$B31,INDEX(Input!$I$43:$I$2956,AY$3+$A30),"")</f>
        <v/>
      </c>
      <c r="AZ31" s="17" t="str">
        <f>IF(AZ$3&lt;=$B31,INDEX(Input!$I$43:$I$2956,AZ$3+$A30),"")</f>
        <v/>
      </c>
      <c r="BA31" s="17" t="str">
        <f>IF(BA$3&lt;=$B31,INDEX(Input!$I$43:$I$2956,BA$3+$A30),"")</f>
        <v/>
      </c>
      <c r="BB31" s="17" t="str">
        <f>IF(BB$3&lt;=$B31,INDEX(Input!$I$43:$I$2956,BB$3+$A30),"")</f>
        <v/>
      </c>
      <c r="BC31" s="17" t="str">
        <f>IF(BC$3&lt;=$B31,INDEX(Input!$I$43:$I$2956,BC$3+$A30),"")</f>
        <v/>
      </c>
      <c r="BD31" s="17" t="str">
        <f>IF(BD$3&lt;=$B31,INDEX(Input!$I$43:$I$2956,BD$3+$A30),"")</f>
        <v/>
      </c>
      <c r="BE31" s="17" t="str">
        <f>IF(BE$3&lt;=$B31,INDEX(Input!$I$43:$I$2956,BE$3+$A30),"")</f>
        <v/>
      </c>
      <c r="BF31" s="17" t="str">
        <f>IF(BF$3&lt;=$B31,INDEX(Input!$I$43:$I$2956,BF$3+$A30),"")</f>
        <v/>
      </c>
      <c r="BG31" s="17" t="str">
        <f>IF(BG$3&lt;=$B31,INDEX(Input!$I$43:$I$2956,BG$3+$A30),"")</f>
        <v/>
      </c>
      <c r="BH31" s="17" t="str">
        <f>IF(BH$3&lt;=$B31,INDEX(Input!$I$43:$I$2956,BH$3+$A30),"")</f>
        <v/>
      </c>
      <c r="BI31" s="17" t="str">
        <f>IF(BI$3&lt;=$B31,INDEX(Input!$I$43:$I$2956,BI$3+$A30),"")</f>
        <v/>
      </c>
      <c r="BJ31" s="17" t="str">
        <f>IF(BJ$3&lt;=$B31,INDEX(Input!$I$43:$I$2956,BJ$3+$A30),"")</f>
        <v/>
      </c>
      <c r="BK31" s="17" t="str">
        <f>IF(BK$3&lt;=$B31,INDEX(Input!$I$43:$I$2956,BK$3+$A30),"")</f>
        <v/>
      </c>
      <c r="BL31" s="17" t="str">
        <f>IF(BL$3&lt;=$B31,INDEX(Input!$I$43:$I$2956,BL$3+$A30),"")</f>
        <v/>
      </c>
      <c r="BM31" s="17" t="str">
        <f>IF(BM$3&lt;=$B31,INDEX(Input!$I$43:$I$2956,BM$3+$A30),"")</f>
        <v/>
      </c>
      <c r="BN31" s="17" t="str">
        <f>IF(BN$3&lt;=$B31,INDEX(Input!$I$43:$I$2956,BN$3+$A30),"")</f>
        <v/>
      </c>
      <c r="BO31" s="17" t="str">
        <f>IF(BO$3&lt;=$B31,INDEX(Input!$I$43:$I$2956,BO$3+$A30),"")</f>
        <v/>
      </c>
      <c r="BP31" s="17" t="str">
        <f>IF(BP$3&lt;=$B31,INDEX(Input!$I$43:$I$2956,BP$3+$A30),"")</f>
        <v/>
      </c>
      <c r="BQ31" s="17" t="str">
        <f>IF(BQ$3&lt;=$B31,INDEX(Input!$I$43:$I$2956,BQ$3+$A30),"")</f>
        <v/>
      </c>
      <c r="BR31" s="17" t="str">
        <f>IF(BR$3&lt;=$B31,INDEX(Input!$I$43:$I$2956,BR$3+$A30),"")</f>
        <v/>
      </c>
      <c r="BS31" s="17" t="str">
        <f>IF(BS$3&lt;=$B31,INDEX(Input!$I$43:$I$2956,BS$3+$A30),"")</f>
        <v/>
      </c>
      <c r="BT31" s="17" t="str">
        <f>IF(BT$3&lt;=$B31,INDEX(Input!$I$43:$I$2956,BT$3+$A30),"")</f>
        <v/>
      </c>
      <c r="BU31" s="17" t="str">
        <f>IF(BU$3&lt;=$B31,INDEX(Input!$I$43:$I$2956,BU$3+$A30),"")</f>
        <v/>
      </c>
      <c r="BV31" s="17" t="str">
        <f>IF(BV$3&lt;=$B31,INDEX(Input!$I$43:$I$2956,BV$3+$A30),"")</f>
        <v/>
      </c>
      <c r="BW31" s="17" t="str">
        <f>IF(BW$3&lt;=$B31,INDEX(Input!$I$43:$I$2956,BW$3+$A30),"")</f>
        <v/>
      </c>
      <c r="BX31" s="17" t="str">
        <f>IF(BX$3&lt;=$B31,INDEX(Input!$I$43:$I$2956,BX$3+$A30),"")</f>
        <v/>
      </c>
      <c r="BY31" s="17" t="str">
        <f>IF(BY$3&lt;=$B31,INDEX(Input!$I$43:$I$2956,BY$3+$A30),"")</f>
        <v/>
      </c>
      <c r="BZ31" s="17" t="str">
        <f>IF(BZ$3&lt;=$B31,INDEX(Input!$I$43:$I$2956,BZ$3+$A30),"")</f>
        <v/>
      </c>
      <c r="CA31" s="17" t="str">
        <f>IF(CA$3&lt;=$B31,INDEX(Input!$I$43:$I$2956,CA$3+$A30),"")</f>
        <v/>
      </c>
      <c r="CB31" s="17" t="str">
        <f>IF(CB$3&lt;=$B31,INDEX(Input!$I$43:$I$2956,CB$3+$A30),"")</f>
        <v/>
      </c>
      <c r="CC31" s="17" t="str">
        <f>IF(CC$3&lt;=$B31,INDEX(Input!$I$43:$I$2956,CC$3+$A30),"")</f>
        <v/>
      </c>
      <c r="CD31" s="17" t="str">
        <f>IF(CD$3&lt;=$B31,INDEX(Input!$I$43:$I$2956,CD$3+$A30),"")</f>
        <v/>
      </c>
      <c r="CE31" s="17" t="str">
        <f>IF(CE$3&lt;=$B31,INDEX(Input!$I$43:$I$2956,CE$3+$A30),"")</f>
        <v/>
      </c>
      <c r="CF31" s="17" t="str">
        <f>IF(CF$3&lt;=$B31,INDEX(Input!$I$43:$I$2956,CF$3+$A30),"")</f>
        <v/>
      </c>
      <c r="CG31" s="17" t="str">
        <f>IF(CG$3&lt;=$B31,INDEX(Input!$I$43:$I$2956,CG$3+$A30),"")</f>
        <v/>
      </c>
      <c r="CH31" s="17" t="str">
        <f>IF(CH$3&lt;=$B31,INDEX(Input!$I$43:$I$2956,CH$3+$A30),"")</f>
        <v/>
      </c>
      <c r="CI31" s="17" t="str">
        <f>IF(CI$3&lt;=$B31,INDEX(Input!$I$43:$I$2956,CI$3+$A30),"")</f>
        <v/>
      </c>
      <c r="CJ31" s="17" t="str">
        <f>IF(CJ$3&lt;=$B31,INDEX(Input!$I$43:$I$2956,CJ$3+$A30),"")</f>
        <v/>
      </c>
      <c r="CK31" s="17" t="str">
        <f>IF(CK$3&lt;=$B31,INDEX(Input!$I$43:$I$2956,CK$3+$A30),"")</f>
        <v/>
      </c>
      <c r="CL31" s="17" t="str">
        <f>IF(CL$3&lt;=$B31,INDEX(Input!$I$43:$I$2956,CL$3+$A30),"")</f>
        <v/>
      </c>
      <c r="CM31" s="17" t="str">
        <f>IF(CM$3&lt;=$B31,INDEX(Input!$I$43:$I$2956,CM$3+$A30),"")</f>
        <v/>
      </c>
      <c r="CN31" s="17" t="str">
        <f>IF(CN$3&lt;=$B31,INDEX(Input!$I$43:$I$2956,CN$3+$A30),"")</f>
        <v/>
      </c>
      <c r="CO31" s="17" t="str">
        <f>IF(CO$3&lt;=$B31,INDEX(Input!$I$43:$I$2956,CO$3+$A30),"")</f>
        <v/>
      </c>
      <c r="CP31" s="17" t="str">
        <f>IF(CP$3&lt;=$B31,INDEX(Input!$I$43:$I$2956,CP$3+$A30),"")</f>
        <v/>
      </c>
      <c r="CQ31" s="17" t="str">
        <f>IF(CQ$3&lt;=$B31,INDEX(Input!$I$43:$I$2956,CQ$3+$A30),"")</f>
        <v/>
      </c>
      <c r="CR31" s="17" t="str">
        <f>IF(CR$3&lt;=$B31,INDEX(Input!$I$43:$I$2956,CR$3+$A30),"")</f>
        <v/>
      </c>
      <c r="CS31" s="17" t="str">
        <f>IF(CS$3&lt;=$B31,INDEX(Input!$I$43:$I$2956,CS$3+$A30),"")</f>
        <v/>
      </c>
      <c r="CT31" s="17" t="str">
        <f>IF(CT$3&lt;=$B31,INDEX(Input!$I$43:$I$2956,CT$3+$A30),"")</f>
        <v/>
      </c>
      <c r="CU31" s="17" t="str">
        <f>IF(CU$3&lt;=$B31,INDEX(Input!$I$43:$I$2956,CU$3+$A30),"")</f>
        <v/>
      </c>
      <c r="CV31" s="17" t="str">
        <f>IF(CV$3&lt;=$B31,INDEX(Input!$I$43:$I$2956,CV$3+$A30),"")</f>
        <v/>
      </c>
      <c r="CW31" s="17" t="str">
        <f>IF(CW$3&lt;=$B31,INDEX(Input!$I$43:$I$2956,CW$3+$A30),"")</f>
        <v/>
      </c>
      <c r="CX31" s="17" t="str">
        <f>IF(CX$3&lt;=$B31,INDEX(Input!$I$43:$I$2956,CX$3+$A30),"")</f>
        <v/>
      </c>
      <c r="CY31" s="17" t="str">
        <f>IF(CY$3&lt;=$B31,INDEX(Input!$I$43:$I$2956,CY$3+$A30),"")</f>
        <v/>
      </c>
      <c r="CZ31" s="17" t="str">
        <f>IF(CZ$3&lt;=$B31,INDEX(Input!$I$43:$I$2956,CZ$3+$A30),"")</f>
        <v/>
      </c>
      <c r="DA31" s="17" t="str">
        <f>IF(DA$3&lt;=$B31,INDEX(Input!$I$43:$I$2956,DA$3+$A30),"")</f>
        <v/>
      </c>
      <c r="DB31" s="17" t="str">
        <f>IF(DB$3&lt;=$B31,INDEX(Input!$I$43:$I$2956,DB$3+$A30),"")</f>
        <v/>
      </c>
      <c r="DC31" s="17" t="str">
        <f>IF(DC$3&lt;=$B31,INDEX(Input!$I$43:$I$2956,DC$3+$A30),"")</f>
        <v/>
      </c>
      <c r="DD31" s="17" t="str">
        <f>IF(DD$3&lt;=$B31,INDEX(Input!$I$43:$I$2956,DD$3+$A30),"")</f>
        <v/>
      </c>
      <c r="DE31" s="17" t="str">
        <f>IF(DE$3&lt;=$B31,INDEX(Input!$I$43:$I$2956,DE$3+$A30),"")</f>
        <v/>
      </c>
      <c r="DF31" s="17" t="str">
        <f>IF(DF$3&lt;=$B31,INDEX(Input!$I$43:$I$2956,DF$3+$A30),"")</f>
        <v/>
      </c>
      <c r="DG31" s="17" t="str">
        <f>IF(DG$3&lt;=$B31,INDEX(Input!$I$43:$I$2956,DG$3+$A30),"")</f>
        <v/>
      </c>
      <c r="DH31" s="17" t="str">
        <f>IF(DH$3&lt;=$B31,INDEX(Input!$I$43:$I$2956,DH$3+$A30),"")</f>
        <v/>
      </c>
      <c r="DI31" s="17" t="str">
        <f>IF(DI$3&lt;=$B31,INDEX(Input!$I$43:$I$2956,DI$3+$A30),"")</f>
        <v/>
      </c>
      <c r="DJ31" s="17" t="str">
        <f>IF(DJ$3&lt;=$B31,INDEX(Input!$I$43:$I$2956,DJ$3+$A30),"")</f>
        <v/>
      </c>
      <c r="DK31" s="17" t="str">
        <f>IF(DK$3&lt;=$B31,INDEX(Input!$I$43:$I$2956,DK$3+$A30),"")</f>
        <v/>
      </c>
      <c r="DL31" s="17" t="str">
        <f>IF(DL$3&lt;=$B31,INDEX(Input!$I$43:$I$2956,DL$3+$A30),"")</f>
        <v/>
      </c>
      <c r="DM31" s="17" t="str">
        <f>IF(DM$3&lt;=$B31,INDEX(Input!$I$43:$I$2956,DM$3+$A30),"")</f>
        <v/>
      </c>
      <c r="DN31" s="17" t="str">
        <f>IF(DN$3&lt;=$B31,INDEX(Input!$I$43:$I$2956,DN$3+$A30),"")</f>
        <v/>
      </c>
      <c r="DO31" s="17" t="str">
        <f>IF(DO$3&lt;=$B31,INDEX(Input!$I$43:$I$2956,DO$3+$A30),"")</f>
        <v/>
      </c>
      <c r="DP31" s="17" t="str">
        <f>IF(DP$3&lt;=$B31,INDEX(Input!$I$43:$I$2956,DP$3+$A30),"")</f>
        <v/>
      </c>
      <c r="DQ31" s="17" t="str">
        <f>IF(DQ$3&lt;=$B31,INDEX(Input!$I$43:$I$2956,DQ$3+$A30),"")</f>
        <v/>
      </c>
      <c r="DR31" s="17" t="str">
        <f>IF(DR$3&lt;=$B31,INDEX(Input!$I$43:$I$2956,DR$3+$A30),"")</f>
        <v/>
      </c>
      <c r="DS31" s="17" t="str">
        <f>IF(DS$3&lt;=$B31,INDEX(Input!$I$43:$I$2956,DS$3+$A30),"")</f>
        <v/>
      </c>
      <c r="DT31" s="17" t="str">
        <f>IF(DT$3&lt;=$B31,INDEX(Input!$I$43:$I$2956,DT$3+$A30),"")</f>
        <v/>
      </c>
      <c r="DU31" s="17" t="str">
        <f>IF(DU$3&lt;=$B31,INDEX(Input!$I$43:$I$2956,DU$3+$A30),"")</f>
        <v/>
      </c>
      <c r="DV31" s="17" t="str">
        <f>IF(DV$3&lt;=$B31,INDEX(Input!$I$43:$I$2956,DV$3+$A30),"")</f>
        <v/>
      </c>
      <c r="DW31" s="58" t="str">
        <f t="array" ref="DW31:EZ31">IFERROR(eccalc(E31:DV31,C31+B31,B31,$O$2:$AS$2),"")</f>
        <v/>
      </c>
      <c r="DX31" s="59" t="str">
        <v/>
      </c>
      <c r="DY31" s="59" t="str">
        <v/>
      </c>
      <c r="DZ31" s="59" t="str">
        <v/>
      </c>
      <c r="EA31" s="59" t="str">
        <v/>
      </c>
      <c r="EB31" s="59" t="str">
        <v/>
      </c>
      <c r="EC31" s="59" t="str">
        <v/>
      </c>
      <c r="ED31" s="59" t="str">
        <v/>
      </c>
      <c r="EE31" s="59" t="str">
        <v/>
      </c>
      <c r="EF31" s="59" t="str">
        <v/>
      </c>
      <c r="EG31" s="59" t="str">
        <v/>
      </c>
      <c r="EH31" s="59" t="str">
        <v/>
      </c>
      <c r="EI31" s="59" t="str">
        <v/>
      </c>
      <c r="EJ31" s="59" t="str">
        <v/>
      </c>
      <c r="EK31" s="59" t="str">
        <v/>
      </c>
      <c r="EL31" s="59" t="str">
        <v/>
      </c>
      <c r="EM31" s="59" t="str">
        <v/>
      </c>
      <c r="EN31" s="59" t="str">
        <v/>
      </c>
      <c r="EO31" s="59" t="str">
        <v/>
      </c>
      <c r="EP31" s="59" t="str">
        <v/>
      </c>
      <c r="EQ31" s="59" t="str">
        <v/>
      </c>
      <c r="ER31" s="59" t="str">
        <v/>
      </c>
      <c r="ES31" s="59" t="str">
        <v/>
      </c>
      <c r="ET31" s="59" t="str">
        <v/>
      </c>
      <c r="EU31" s="59" t="str">
        <v/>
      </c>
      <c r="EV31" s="59" t="str">
        <v/>
      </c>
      <c r="EW31" s="59" t="str">
        <v/>
      </c>
      <c r="EX31" s="59" t="str">
        <v/>
      </c>
      <c r="EY31" s="59" t="str">
        <v/>
      </c>
      <c r="EZ31" s="60" t="str">
        <v/>
      </c>
      <c r="FA31" s="17"/>
      <c r="FC31">
        <v>28</v>
      </c>
      <c r="FD31">
        <f t="shared" si="2"/>
        <v>12</v>
      </c>
      <c r="FE31">
        <f t="shared" si="3"/>
        <v>2</v>
      </c>
      <c r="FF31">
        <f t="shared" si="4"/>
        <v>97</v>
      </c>
      <c r="FI31" s="16">
        <v>28</v>
      </c>
      <c r="FJ31" s="17">
        <f t="shared" si="5"/>
        <v>43</v>
      </c>
      <c r="FK31" s="17">
        <f t="shared" si="6"/>
        <v>97</v>
      </c>
      <c r="FL31" s="18" t="str">
        <f t="shared" si="7"/>
        <v>01100001</v>
      </c>
      <c r="FM31" s="2"/>
    </row>
    <row r="32" spans="1:176">
      <c r="A32">
        <f>SUM($B$4:B32)</f>
        <v>196</v>
      </c>
      <c r="B32">
        <f t="shared" si="0"/>
        <v>0</v>
      </c>
      <c r="C32" t="str">
        <f t="shared" si="1"/>
        <v/>
      </c>
      <c r="D32">
        <v>29</v>
      </c>
      <c r="E32" s="16" t="str">
        <f>IF(E$3&lt;=$B32,INDEX(Input!$I$43:$I$2956,E$3+$A31),"")</f>
        <v/>
      </c>
      <c r="F32" s="17" t="str">
        <f>IF(F$3&lt;=$B32,INDEX(Input!$I$43:$I$2956,F$3+$A31),"")</f>
        <v/>
      </c>
      <c r="G32" s="17" t="str">
        <f>IF(G$3&lt;=$B32,INDEX(Input!$I$43:$I$2956,G$3+$A31),"")</f>
        <v/>
      </c>
      <c r="H32" s="17" t="str">
        <f>IF(H$3&lt;=$B32,INDEX(Input!$I$43:$I$2956,H$3+$A31),"")</f>
        <v/>
      </c>
      <c r="I32" s="17" t="str">
        <f>IF(I$3&lt;=$B32,INDEX(Input!$I$43:$I$2956,I$3+$A31),"")</f>
        <v/>
      </c>
      <c r="J32" s="17" t="str">
        <f>IF(J$3&lt;=$B32,INDEX(Input!$I$43:$I$2956,J$3+$A31),"")</f>
        <v/>
      </c>
      <c r="K32" s="17" t="str">
        <f>IF(K$3&lt;=$B32,INDEX(Input!$I$43:$I$2956,K$3+$A31),"")</f>
        <v/>
      </c>
      <c r="L32" s="17" t="str">
        <f>IF(L$3&lt;=$B32,INDEX(Input!$I$43:$I$2956,L$3+$A31),"")</f>
        <v/>
      </c>
      <c r="M32" s="17" t="str">
        <f>IF(M$3&lt;=$B32,INDEX(Input!$I$43:$I$2956,M$3+$A31),"")</f>
        <v/>
      </c>
      <c r="N32" s="17" t="str">
        <f>IF(N$3&lt;=$B32,INDEX(Input!$I$43:$I$2956,N$3+$A31),"")</f>
        <v/>
      </c>
      <c r="O32" s="17" t="str">
        <f>IF(O$3&lt;=$B32,INDEX(Input!$I$43:$I$2956,O$3+$A31),"")</f>
        <v/>
      </c>
      <c r="P32" s="17" t="str">
        <f>IF(P$3&lt;=$B32,INDEX(Input!$I$43:$I$2956,P$3+$A31),"")</f>
        <v/>
      </c>
      <c r="Q32" s="17" t="str">
        <f>IF(Q$3&lt;=$B32,INDEX(Input!$I$43:$I$2956,Q$3+$A31),"")</f>
        <v/>
      </c>
      <c r="R32" s="17" t="str">
        <f>IF(R$3&lt;=$B32,INDEX(Input!$I$43:$I$2956,R$3+$A31),"")</f>
        <v/>
      </c>
      <c r="S32" s="17" t="str">
        <f>IF(S$3&lt;=$B32,INDEX(Input!$I$43:$I$2956,S$3+$A31),"")</f>
        <v/>
      </c>
      <c r="T32" s="17" t="str">
        <f>IF(T$3&lt;=$B32,INDEX(Input!$I$43:$I$2956,T$3+$A31),"")</f>
        <v/>
      </c>
      <c r="U32" s="17" t="str">
        <f>IF(U$3&lt;=$B32,INDEX(Input!$I$43:$I$2956,U$3+$A31),"")</f>
        <v/>
      </c>
      <c r="V32" s="17" t="str">
        <f>IF(V$3&lt;=$B32,INDEX(Input!$I$43:$I$2956,V$3+$A31),"")</f>
        <v/>
      </c>
      <c r="W32" s="17" t="str">
        <f>IF(W$3&lt;=$B32,INDEX(Input!$I$43:$I$2956,W$3+$A31),"")</f>
        <v/>
      </c>
      <c r="X32" s="17" t="str">
        <f>IF(X$3&lt;=$B32,INDEX(Input!$I$43:$I$2956,X$3+$A31),"")</f>
        <v/>
      </c>
      <c r="Y32" s="17" t="str">
        <f>IF(Y$3&lt;=$B32,INDEX(Input!$I$43:$I$2956,Y$3+$A31),"")</f>
        <v/>
      </c>
      <c r="Z32" s="17" t="str">
        <f>IF(Z$3&lt;=$B32,INDEX(Input!$I$43:$I$2956,Z$3+$A31),"")</f>
        <v/>
      </c>
      <c r="AA32" s="17" t="str">
        <f>IF(AA$3&lt;=$B32,INDEX(Input!$I$43:$I$2956,AA$3+$A31),"")</f>
        <v/>
      </c>
      <c r="AB32" s="17" t="str">
        <f>IF(AB$3&lt;=$B32,INDEX(Input!$I$43:$I$2956,AB$3+$A31),"")</f>
        <v/>
      </c>
      <c r="AC32" s="17" t="str">
        <f>IF(AC$3&lt;=$B32,INDEX(Input!$I$43:$I$2956,AC$3+$A31),"")</f>
        <v/>
      </c>
      <c r="AD32" s="17" t="str">
        <f>IF(AD$3&lt;=$B32,INDEX(Input!$I$43:$I$2956,AD$3+$A31),"")</f>
        <v/>
      </c>
      <c r="AE32" s="17" t="str">
        <f>IF(AE$3&lt;=$B32,INDEX(Input!$I$43:$I$2956,AE$3+$A31),"")</f>
        <v/>
      </c>
      <c r="AF32" s="17" t="str">
        <f>IF(AF$3&lt;=$B32,INDEX(Input!$I$43:$I$2956,AF$3+$A31),"")</f>
        <v/>
      </c>
      <c r="AG32" s="17" t="str">
        <f>IF(AG$3&lt;=$B32,INDEX(Input!$I$43:$I$2956,AG$3+$A31),"")</f>
        <v/>
      </c>
      <c r="AH32" s="17" t="str">
        <f>IF(AH$3&lt;=$B32,INDEX(Input!$I$43:$I$2956,AH$3+$A31),"")</f>
        <v/>
      </c>
      <c r="AI32" s="17" t="str">
        <f>IF(AI$3&lt;=$B32,INDEX(Input!$I$43:$I$2956,AI$3+$A31),"")</f>
        <v/>
      </c>
      <c r="AJ32" s="17" t="str">
        <f>IF(AJ$3&lt;=$B32,INDEX(Input!$I$43:$I$2956,AJ$3+$A31),"")</f>
        <v/>
      </c>
      <c r="AK32" s="17" t="str">
        <f>IF(AK$3&lt;=$B32,INDEX(Input!$I$43:$I$2956,AK$3+$A31),"")</f>
        <v/>
      </c>
      <c r="AL32" s="17" t="str">
        <f>IF(AL$3&lt;=$B32,INDEX(Input!$I$43:$I$2956,AL$3+$A31),"")</f>
        <v/>
      </c>
      <c r="AM32" s="17" t="str">
        <f>IF(AM$3&lt;=$B32,INDEX(Input!$I$43:$I$2956,AM$3+$A31),"")</f>
        <v/>
      </c>
      <c r="AN32" s="17" t="str">
        <f>IF(AN$3&lt;=$B32,INDEX(Input!$I$43:$I$2956,AN$3+$A31),"")</f>
        <v/>
      </c>
      <c r="AO32" s="17" t="str">
        <f>IF(AO$3&lt;=$B32,INDEX(Input!$I$43:$I$2956,AO$3+$A31),"")</f>
        <v/>
      </c>
      <c r="AP32" s="17" t="str">
        <f>IF(AP$3&lt;=$B32,INDEX(Input!$I$43:$I$2956,AP$3+$A31),"")</f>
        <v/>
      </c>
      <c r="AQ32" s="17" t="str">
        <f>IF(AQ$3&lt;=$B32,INDEX(Input!$I$43:$I$2956,AQ$3+$A31),"")</f>
        <v/>
      </c>
      <c r="AR32" s="17" t="str">
        <f>IF(AR$3&lt;=$B32,INDEX(Input!$I$43:$I$2956,AR$3+$A31),"")</f>
        <v/>
      </c>
      <c r="AS32" s="17" t="str">
        <f>IF(AS$3&lt;=$B32,INDEX(Input!$I$43:$I$2956,AS$3+$A31),"")</f>
        <v/>
      </c>
      <c r="AT32" s="17" t="str">
        <f>IF(AT$3&lt;=$B32,INDEX(Input!$I$43:$I$2956,AT$3+$A31),"")</f>
        <v/>
      </c>
      <c r="AU32" s="17" t="str">
        <f>IF(AU$3&lt;=$B32,INDEX(Input!$I$43:$I$2956,AU$3+$A31),"")</f>
        <v/>
      </c>
      <c r="AV32" s="17" t="str">
        <f>IF(AV$3&lt;=$B32,INDEX(Input!$I$43:$I$2956,AV$3+$A31),"")</f>
        <v/>
      </c>
      <c r="AW32" s="17" t="str">
        <f>IF(AW$3&lt;=$B32,INDEX(Input!$I$43:$I$2956,AW$3+$A31),"")</f>
        <v/>
      </c>
      <c r="AX32" s="17" t="str">
        <f>IF(AX$3&lt;=$B32,INDEX(Input!$I$43:$I$2956,AX$3+$A31),"")</f>
        <v/>
      </c>
      <c r="AY32" s="17" t="str">
        <f>IF(AY$3&lt;=$B32,INDEX(Input!$I$43:$I$2956,AY$3+$A31),"")</f>
        <v/>
      </c>
      <c r="AZ32" s="17" t="str">
        <f>IF(AZ$3&lt;=$B32,INDEX(Input!$I$43:$I$2956,AZ$3+$A31),"")</f>
        <v/>
      </c>
      <c r="BA32" s="17" t="str">
        <f>IF(BA$3&lt;=$B32,INDEX(Input!$I$43:$I$2956,BA$3+$A31),"")</f>
        <v/>
      </c>
      <c r="BB32" s="17" t="str">
        <f>IF(BB$3&lt;=$B32,INDEX(Input!$I$43:$I$2956,BB$3+$A31),"")</f>
        <v/>
      </c>
      <c r="BC32" s="17" t="str">
        <f>IF(BC$3&lt;=$B32,INDEX(Input!$I$43:$I$2956,BC$3+$A31),"")</f>
        <v/>
      </c>
      <c r="BD32" s="17" t="str">
        <f>IF(BD$3&lt;=$B32,INDEX(Input!$I$43:$I$2956,BD$3+$A31),"")</f>
        <v/>
      </c>
      <c r="BE32" s="17" t="str">
        <f>IF(BE$3&lt;=$B32,INDEX(Input!$I$43:$I$2956,BE$3+$A31),"")</f>
        <v/>
      </c>
      <c r="BF32" s="17" t="str">
        <f>IF(BF$3&lt;=$B32,INDEX(Input!$I$43:$I$2956,BF$3+$A31),"")</f>
        <v/>
      </c>
      <c r="BG32" s="17" t="str">
        <f>IF(BG$3&lt;=$B32,INDEX(Input!$I$43:$I$2956,BG$3+$A31),"")</f>
        <v/>
      </c>
      <c r="BH32" s="17" t="str">
        <f>IF(BH$3&lt;=$B32,INDEX(Input!$I$43:$I$2956,BH$3+$A31),"")</f>
        <v/>
      </c>
      <c r="BI32" s="17" t="str">
        <f>IF(BI$3&lt;=$B32,INDEX(Input!$I$43:$I$2956,BI$3+$A31),"")</f>
        <v/>
      </c>
      <c r="BJ32" s="17" t="str">
        <f>IF(BJ$3&lt;=$B32,INDEX(Input!$I$43:$I$2956,BJ$3+$A31),"")</f>
        <v/>
      </c>
      <c r="BK32" s="17" t="str">
        <f>IF(BK$3&lt;=$B32,INDEX(Input!$I$43:$I$2956,BK$3+$A31),"")</f>
        <v/>
      </c>
      <c r="BL32" s="17" t="str">
        <f>IF(BL$3&lt;=$B32,INDEX(Input!$I$43:$I$2956,BL$3+$A31),"")</f>
        <v/>
      </c>
      <c r="BM32" s="17" t="str">
        <f>IF(BM$3&lt;=$B32,INDEX(Input!$I$43:$I$2956,BM$3+$A31),"")</f>
        <v/>
      </c>
      <c r="BN32" s="17" t="str">
        <f>IF(BN$3&lt;=$B32,INDEX(Input!$I$43:$I$2956,BN$3+$A31),"")</f>
        <v/>
      </c>
      <c r="BO32" s="17" t="str">
        <f>IF(BO$3&lt;=$B32,INDEX(Input!$I$43:$I$2956,BO$3+$A31),"")</f>
        <v/>
      </c>
      <c r="BP32" s="17" t="str">
        <f>IF(BP$3&lt;=$B32,INDEX(Input!$I$43:$I$2956,BP$3+$A31),"")</f>
        <v/>
      </c>
      <c r="BQ32" s="17" t="str">
        <f>IF(BQ$3&lt;=$B32,INDEX(Input!$I$43:$I$2956,BQ$3+$A31),"")</f>
        <v/>
      </c>
      <c r="BR32" s="17" t="str">
        <f>IF(BR$3&lt;=$B32,INDEX(Input!$I$43:$I$2956,BR$3+$A31),"")</f>
        <v/>
      </c>
      <c r="BS32" s="17" t="str">
        <f>IF(BS$3&lt;=$B32,INDEX(Input!$I$43:$I$2956,BS$3+$A31),"")</f>
        <v/>
      </c>
      <c r="BT32" s="17" t="str">
        <f>IF(BT$3&lt;=$B32,INDEX(Input!$I$43:$I$2956,BT$3+$A31),"")</f>
        <v/>
      </c>
      <c r="BU32" s="17" t="str">
        <f>IF(BU$3&lt;=$B32,INDEX(Input!$I$43:$I$2956,BU$3+$A31),"")</f>
        <v/>
      </c>
      <c r="BV32" s="17" t="str">
        <f>IF(BV$3&lt;=$B32,INDEX(Input!$I$43:$I$2956,BV$3+$A31),"")</f>
        <v/>
      </c>
      <c r="BW32" s="17" t="str">
        <f>IF(BW$3&lt;=$B32,INDEX(Input!$I$43:$I$2956,BW$3+$A31),"")</f>
        <v/>
      </c>
      <c r="BX32" s="17" t="str">
        <f>IF(BX$3&lt;=$B32,INDEX(Input!$I$43:$I$2956,BX$3+$A31),"")</f>
        <v/>
      </c>
      <c r="BY32" s="17" t="str">
        <f>IF(BY$3&lt;=$B32,INDEX(Input!$I$43:$I$2956,BY$3+$A31),"")</f>
        <v/>
      </c>
      <c r="BZ32" s="17" t="str">
        <f>IF(BZ$3&lt;=$B32,INDEX(Input!$I$43:$I$2956,BZ$3+$A31),"")</f>
        <v/>
      </c>
      <c r="CA32" s="17" t="str">
        <f>IF(CA$3&lt;=$B32,INDEX(Input!$I$43:$I$2956,CA$3+$A31),"")</f>
        <v/>
      </c>
      <c r="CB32" s="17" t="str">
        <f>IF(CB$3&lt;=$B32,INDEX(Input!$I$43:$I$2956,CB$3+$A31),"")</f>
        <v/>
      </c>
      <c r="CC32" s="17" t="str">
        <f>IF(CC$3&lt;=$B32,INDEX(Input!$I$43:$I$2956,CC$3+$A31),"")</f>
        <v/>
      </c>
      <c r="CD32" s="17" t="str">
        <f>IF(CD$3&lt;=$B32,INDEX(Input!$I$43:$I$2956,CD$3+$A31),"")</f>
        <v/>
      </c>
      <c r="CE32" s="17" t="str">
        <f>IF(CE$3&lt;=$B32,INDEX(Input!$I$43:$I$2956,CE$3+$A31),"")</f>
        <v/>
      </c>
      <c r="CF32" s="17" t="str">
        <f>IF(CF$3&lt;=$B32,INDEX(Input!$I$43:$I$2956,CF$3+$A31),"")</f>
        <v/>
      </c>
      <c r="CG32" s="17" t="str">
        <f>IF(CG$3&lt;=$B32,INDEX(Input!$I$43:$I$2956,CG$3+$A31),"")</f>
        <v/>
      </c>
      <c r="CH32" s="17" t="str">
        <f>IF(CH$3&lt;=$B32,INDEX(Input!$I$43:$I$2956,CH$3+$A31),"")</f>
        <v/>
      </c>
      <c r="CI32" s="17" t="str">
        <f>IF(CI$3&lt;=$B32,INDEX(Input!$I$43:$I$2956,CI$3+$A31),"")</f>
        <v/>
      </c>
      <c r="CJ32" s="17" t="str">
        <f>IF(CJ$3&lt;=$B32,INDEX(Input!$I$43:$I$2956,CJ$3+$A31),"")</f>
        <v/>
      </c>
      <c r="CK32" s="17" t="str">
        <f>IF(CK$3&lt;=$B32,INDEX(Input!$I$43:$I$2956,CK$3+$A31),"")</f>
        <v/>
      </c>
      <c r="CL32" s="17" t="str">
        <f>IF(CL$3&lt;=$B32,INDEX(Input!$I$43:$I$2956,CL$3+$A31),"")</f>
        <v/>
      </c>
      <c r="CM32" s="17" t="str">
        <f>IF(CM$3&lt;=$B32,INDEX(Input!$I$43:$I$2956,CM$3+$A31),"")</f>
        <v/>
      </c>
      <c r="CN32" s="17" t="str">
        <f>IF(CN$3&lt;=$B32,INDEX(Input!$I$43:$I$2956,CN$3+$A31),"")</f>
        <v/>
      </c>
      <c r="CO32" s="17" t="str">
        <f>IF(CO$3&lt;=$B32,INDEX(Input!$I$43:$I$2956,CO$3+$A31),"")</f>
        <v/>
      </c>
      <c r="CP32" s="17" t="str">
        <f>IF(CP$3&lt;=$B32,INDEX(Input!$I$43:$I$2956,CP$3+$A31),"")</f>
        <v/>
      </c>
      <c r="CQ32" s="17" t="str">
        <f>IF(CQ$3&lt;=$B32,INDEX(Input!$I$43:$I$2956,CQ$3+$A31),"")</f>
        <v/>
      </c>
      <c r="CR32" s="17" t="str">
        <f>IF(CR$3&lt;=$B32,INDEX(Input!$I$43:$I$2956,CR$3+$A31),"")</f>
        <v/>
      </c>
      <c r="CS32" s="17" t="str">
        <f>IF(CS$3&lt;=$B32,INDEX(Input!$I$43:$I$2956,CS$3+$A31),"")</f>
        <v/>
      </c>
      <c r="CT32" s="17" t="str">
        <f>IF(CT$3&lt;=$B32,INDEX(Input!$I$43:$I$2956,CT$3+$A31),"")</f>
        <v/>
      </c>
      <c r="CU32" s="17" t="str">
        <f>IF(CU$3&lt;=$B32,INDEX(Input!$I$43:$I$2956,CU$3+$A31),"")</f>
        <v/>
      </c>
      <c r="CV32" s="17" t="str">
        <f>IF(CV$3&lt;=$B32,INDEX(Input!$I$43:$I$2956,CV$3+$A31),"")</f>
        <v/>
      </c>
      <c r="CW32" s="17" t="str">
        <f>IF(CW$3&lt;=$B32,INDEX(Input!$I$43:$I$2956,CW$3+$A31),"")</f>
        <v/>
      </c>
      <c r="CX32" s="17" t="str">
        <f>IF(CX$3&lt;=$B32,INDEX(Input!$I$43:$I$2956,CX$3+$A31),"")</f>
        <v/>
      </c>
      <c r="CY32" s="17" t="str">
        <f>IF(CY$3&lt;=$B32,INDEX(Input!$I$43:$I$2956,CY$3+$A31),"")</f>
        <v/>
      </c>
      <c r="CZ32" s="17" t="str">
        <f>IF(CZ$3&lt;=$B32,INDEX(Input!$I$43:$I$2956,CZ$3+$A31),"")</f>
        <v/>
      </c>
      <c r="DA32" s="17" t="str">
        <f>IF(DA$3&lt;=$B32,INDEX(Input!$I$43:$I$2956,DA$3+$A31),"")</f>
        <v/>
      </c>
      <c r="DB32" s="17" t="str">
        <f>IF(DB$3&lt;=$B32,INDEX(Input!$I$43:$I$2956,DB$3+$A31),"")</f>
        <v/>
      </c>
      <c r="DC32" s="17" t="str">
        <f>IF(DC$3&lt;=$B32,INDEX(Input!$I$43:$I$2956,DC$3+$A31),"")</f>
        <v/>
      </c>
      <c r="DD32" s="17" t="str">
        <f>IF(DD$3&lt;=$B32,INDEX(Input!$I$43:$I$2956,DD$3+$A31),"")</f>
        <v/>
      </c>
      <c r="DE32" s="17" t="str">
        <f>IF(DE$3&lt;=$B32,INDEX(Input!$I$43:$I$2956,DE$3+$A31),"")</f>
        <v/>
      </c>
      <c r="DF32" s="17" t="str">
        <f>IF(DF$3&lt;=$B32,INDEX(Input!$I$43:$I$2956,DF$3+$A31),"")</f>
        <v/>
      </c>
      <c r="DG32" s="17" t="str">
        <f>IF(DG$3&lt;=$B32,INDEX(Input!$I$43:$I$2956,DG$3+$A31),"")</f>
        <v/>
      </c>
      <c r="DH32" s="17" t="str">
        <f>IF(DH$3&lt;=$B32,INDEX(Input!$I$43:$I$2956,DH$3+$A31),"")</f>
        <v/>
      </c>
      <c r="DI32" s="17" t="str">
        <f>IF(DI$3&lt;=$B32,INDEX(Input!$I$43:$I$2956,DI$3+$A31),"")</f>
        <v/>
      </c>
      <c r="DJ32" s="17" t="str">
        <f>IF(DJ$3&lt;=$B32,INDEX(Input!$I$43:$I$2956,DJ$3+$A31),"")</f>
        <v/>
      </c>
      <c r="DK32" s="17" t="str">
        <f>IF(DK$3&lt;=$B32,INDEX(Input!$I$43:$I$2956,DK$3+$A31),"")</f>
        <v/>
      </c>
      <c r="DL32" s="17" t="str">
        <f>IF(DL$3&lt;=$B32,INDEX(Input!$I$43:$I$2956,DL$3+$A31),"")</f>
        <v/>
      </c>
      <c r="DM32" s="17" t="str">
        <f>IF(DM$3&lt;=$B32,INDEX(Input!$I$43:$I$2956,DM$3+$A31),"")</f>
        <v/>
      </c>
      <c r="DN32" s="17" t="str">
        <f>IF(DN$3&lt;=$B32,INDEX(Input!$I$43:$I$2956,DN$3+$A31),"")</f>
        <v/>
      </c>
      <c r="DO32" s="17" t="str">
        <f>IF(DO$3&lt;=$B32,INDEX(Input!$I$43:$I$2956,DO$3+$A31),"")</f>
        <v/>
      </c>
      <c r="DP32" s="17" t="str">
        <f>IF(DP$3&lt;=$B32,INDEX(Input!$I$43:$I$2956,DP$3+$A31),"")</f>
        <v/>
      </c>
      <c r="DQ32" s="17" t="str">
        <f>IF(DQ$3&lt;=$B32,INDEX(Input!$I$43:$I$2956,DQ$3+$A31),"")</f>
        <v/>
      </c>
      <c r="DR32" s="17" t="str">
        <f>IF(DR$3&lt;=$B32,INDEX(Input!$I$43:$I$2956,DR$3+$A31),"")</f>
        <v/>
      </c>
      <c r="DS32" s="17" t="str">
        <f>IF(DS$3&lt;=$B32,INDEX(Input!$I$43:$I$2956,DS$3+$A31),"")</f>
        <v/>
      </c>
      <c r="DT32" s="17" t="str">
        <f>IF(DT$3&lt;=$B32,INDEX(Input!$I$43:$I$2956,DT$3+$A31),"")</f>
        <v/>
      </c>
      <c r="DU32" s="17" t="str">
        <f>IF(DU$3&lt;=$B32,INDEX(Input!$I$43:$I$2956,DU$3+$A31),"")</f>
        <v/>
      </c>
      <c r="DV32" s="17" t="str">
        <f>IF(DV$3&lt;=$B32,INDEX(Input!$I$43:$I$2956,DV$3+$A31),"")</f>
        <v/>
      </c>
      <c r="DW32" s="58" t="str">
        <f t="array" ref="DW32:EZ32">IFERROR(eccalc(E32:DV32,C32+B32,B32,$O$2:$AS$2),"")</f>
        <v/>
      </c>
      <c r="DX32" s="59" t="str">
        <v/>
      </c>
      <c r="DY32" s="59" t="str">
        <v/>
      </c>
      <c r="DZ32" s="59" t="str">
        <v/>
      </c>
      <c r="EA32" s="59" t="str">
        <v/>
      </c>
      <c r="EB32" s="59" t="str">
        <v/>
      </c>
      <c r="EC32" s="59" t="str">
        <v/>
      </c>
      <c r="ED32" s="59" t="str">
        <v/>
      </c>
      <c r="EE32" s="59" t="str">
        <v/>
      </c>
      <c r="EF32" s="59" t="str">
        <v/>
      </c>
      <c r="EG32" s="59" t="str">
        <v/>
      </c>
      <c r="EH32" s="59" t="str">
        <v/>
      </c>
      <c r="EI32" s="59" t="str">
        <v/>
      </c>
      <c r="EJ32" s="59" t="str">
        <v/>
      </c>
      <c r="EK32" s="59" t="str">
        <v/>
      </c>
      <c r="EL32" s="59" t="str">
        <v/>
      </c>
      <c r="EM32" s="59" t="str">
        <v/>
      </c>
      <c r="EN32" s="59" t="str">
        <v/>
      </c>
      <c r="EO32" s="59" t="str">
        <v/>
      </c>
      <c r="EP32" s="59" t="str">
        <v/>
      </c>
      <c r="EQ32" s="59" t="str">
        <v/>
      </c>
      <c r="ER32" s="59" t="str">
        <v/>
      </c>
      <c r="ES32" s="59" t="str">
        <v/>
      </c>
      <c r="ET32" s="59" t="str">
        <v/>
      </c>
      <c r="EU32" s="59" t="str">
        <v/>
      </c>
      <c r="EV32" s="59" t="str">
        <v/>
      </c>
      <c r="EW32" s="59" t="str">
        <v/>
      </c>
      <c r="EX32" s="59" t="str">
        <v/>
      </c>
      <c r="EY32" s="59" t="str">
        <v/>
      </c>
      <c r="EZ32" s="60" t="str">
        <v/>
      </c>
      <c r="FA32" s="17"/>
      <c r="FC32">
        <v>29</v>
      </c>
      <c r="FD32">
        <f t="shared" si="2"/>
        <v>13</v>
      </c>
      <c r="FE32">
        <f t="shared" si="3"/>
        <v>2</v>
      </c>
      <c r="FF32">
        <f t="shared" si="4"/>
        <v>74</v>
      </c>
      <c r="FI32" s="16">
        <v>29</v>
      </c>
      <c r="FJ32" s="17">
        <f t="shared" si="5"/>
        <v>121</v>
      </c>
      <c r="FK32" s="17">
        <f t="shared" si="6"/>
        <v>74</v>
      </c>
      <c r="FL32" s="18" t="str">
        <f t="shared" si="7"/>
        <v>01001010</v>
      </c>
      <c r="FM32" s="2"/>
    </row>
    <row r="33" spans="1:169">
      <c r="A33">
        <f>SUM($B$4:B33)</f>
        <v>196</v>
      </c>
      <c r="B33">
        <f t="shared" si="0"/>
        <v>0</v>
      </c>
      <c r="C33" t="str">
        <f t="shared" si="1"/>
        <v/>
      </c>
      <c r="D33">
        <v>30</v>
      </c>
      <c r="E33" s="16" t="str">
        <f>IF(E$3&lt;=$B33,INDEX(Input!$I$43:$I$2956,E$3+$A32),"")</f>
        <v/>
      </c>
      <c r="F33" s="17" t="str">
        <f>IF(F$3&lt;=$B33,INDEX(Input!$I$43:$I$2956,F$3+$A32),"")</f>
        <v/>
      </c>
      <c r="G33" s="17" t="str">
        <f>IF(G$3&lt;=$B33,INDEX(Input!$I$43:$I$2956,G$3+$A32),"")</f>
        <v/>
      </c>
      <c r="H33" s="17" t="str">
        <f>IF(H$3&lt;=$B33,INDEX(Input!$I$43:$I$2956,H$3+$A32),"")</f>
        <v/>
      </c>
      <c r="I33" s="17" t="str">
        <f>IF(I$3&lt;=$B33,INDEX(Input!$I$43:$I$2956,I$3+$A32),"")</f>
        <v/>
      </c>
      <c r="J33" s="17" t="str">
        <f>IF(J$3&lt;=$B33,INDEX(Input!$I$43:$I$2956,J$3+$A32),"")</f>
        <v/>
      </c>
      <c r="K33" s="17" t="str">
        <f>IF(K$3&lt;=$B33,INDEX(Input!$I$43:$I$2956,K$3+$A32),"")</f>
        <v/>
      </c>
      <c r="L33" s="17" t="str">
        <f>IF(L$3&lt;=$B33,INDEX(Input!$I$43:$I$2956,L$3+$A32),"")</f>
        <v/>
      </c>
      <c r="M33" s="17" t="str">
        <f>IF(M$3&lt;=$B33,INDEX(Input!$I$43:$I$2956,M$3+$A32),"")</f>
        <v/>
      </c>
      <c r="N33" s="17" t="str">
        <f>IF(N$3&lt;=$B33,INDEX(Input!$I$43:$I$2956,N$3+$A32),"")</f>
        <v/>
      </c>
      <c r="O33" s="17" t="str">
        <f>IF(O$3&lt;=$B33,INDEX(Input!$I$43:$I$2956,O$3+$A32),"")</f>
        <v/>
      </c>
      <c r="P33" s="17" t="str">
        <f>IF(P$3&lt;=$B33,INDEX(Input!$I$43:$I$2956,P$3+$A32),"")</f>
        <v/>
      </c>
      <c r="Q33" s="17" t="str">
        <f>IF(Q$3&lt;=$B33,INDEX(Input!$I$43:$I$2956,Q$3+$A32),"")</f>
        <v/>
      </c>
      <c r="R33" s="17" t="str">
        <f>IF(R$3&lt;=$B33,INDEX(Input!$I$43:$I$2956,R$3+$A32),"")</f>
        <v/>
      </c>
      <c r="S33" s="17" t="str">
        <f>IF(S$3&lt;=$B33,INDEX(Input!$I$43:$I$2956,S$3+$A32),"")</f>
        <v/>
      </c>
      <c r="T33" s="17" t="str">
        <f>IF(T$3&lt;=$B33,INDEX(Input!$I$43:$I$2956,T$3+$A32),"")</f>
        <v/>
      </c>
      <c r="U33" s="17" t="str">
        <f>IF(U$3&lt;=$B33,INDEX(Input!$I$43:$I$2956,U$3+$A32),"")</f>
        <v/>
      </c>
      <c r="V33" s="17" t="str">
        <f>IF(V$3&lt;=$B33,INDEX(Input!$I$43:$I$2956,V$3+$A32),"")</f>
        <v/>
      </c>
      <c r="W33" s="17" t="str">
        <f>IF(W$3&lt;=$B33,INDEX(Input!$I$43:$I$2956,W$3+$A32),"")</f>
        <v/>
      </c>
      <c r="X33" s="17" t="str">
        <f>IF(X$3&lt;=$B33,INDEX(Input!$I$43:$I$2956,X$3+$A32),"")</f>
        <v/>
      </c>
      <c r="Y33" s="17" t="str">
        <f>IF(Y$3&lt;=$B33,INDEX(Input!$I$43:$I$2956,Y$3+$A32),"")</f>
        <v/>
      </c>
      <c r="Z33" s="17" t="str">
        <f>IF(Z$3&lt;=$B33,INDEX(Input!$I$43:$I$2956,Z$3+$A32),"")</f>
        <v/>
      </c>
      <c r="AA33" s="17" t="str">
        <f>IF(AA$3&lt;=$B33,INDEX(Input!$I$43:$I$2956,AA$3+$A32),"")</f>
        <v/>
      </c>
      <c r="AB33" s="17" t="str">
        <f>IF(AB$3&lt;=$B33,INDEX(Input!$I$43:$I$2956,AB$3+$A32),"")</f>
        <v/>
      </c>
      <c r="AC33" s="17" t="str">
        <f>IF(AC$3&lt;=$B33,INDEX(Input!$I$43:$I$2956,AC$3+$A32),"")</f>
        <v/>
      </c>
      <c r="AD33" s="17" t="str">
        <f>IF(AD$3&lt;=$B33,INDEX(Input!$I$43:$I$2956,AD$3+$A32),"")</f>
        <v/>
      </c>
      <c r="AE33" s="17" t="str">
        <f>IF(AE$3&lt;=$B33,INDEX(Input!$I$43:$I$2956,AE$3+$A32),"")</f>
        <v/>
      </c>
      <c r="AF33" s="17" t="str">
        <f>IF(AF$3&lt;=$B33,INDEX(Input!$I$43:$I$2956,AF$3+$A32),"")</f>
        <v/>
      </c>
      <c r="AG33" s="17" t="str">
        <f>IF(AG$3&lt;=$B33,INDEX(Input!$I$43:$I$2956,AG$3+$A32),"")</f>
        <v/>
      </c>
      <c r="AH33" s="17" t="str">
        <f>IF(AH$3&lt;=$B33,INDEX(Input!$I$43:$I$2956,AH$3+$A32),"")</f>
        <v/>
      </c>
      <c r="AI33" s="17" t="str">
        <f>IF(AI$3&lt;=$B33,INDEX(Input!$I$43:$I$2956,AI$3+$A32),"")</f>
        <v/>
      </c>
      <c r="AJ33" s="17" t="str">
        <f>IF(AJ$3&lt;=$B33,INDEX(Input!$I$43:$I$2956,AJ$3+$A32),"")</f>
        <v/>
      </c>
      <c r="AK33" s="17" t="str">
        <f>IF(AK$3&lt;=$B33,INDEX(Input!$I$43:$I$2956,AK$3+$A32),"")</f>
        <v/>
      </c>
      <c r="AL33" s="17" t="str">
        <f>IF(AL$3&lt;=$B33,INDEX(Input!$I$43:$I$2956,AL$3+$A32),"")</f>
        <v/>
      </c>
      <c r="AM33" s="17" t="str">
        <f>IF(AM$3&lt;=$B33,INDEX(Input!$I$43:$I$2956,AM$3+$A32),"")</f>
        <v/>
      </c>
      <c r="AN33" s="17" t="str">
        <f>IF(AN$3&lt;=$B33,INDEX(Input!$I$43:$I$2956,AN$3+$A32),"")</f>
        <v/>
      </c>
      <c r="AO33" s="17" t="str">
        <f>IF(AO$3&lt;=$B33,INDEX(Input!$I$43:$I$2956,AO$3+$A32),"")</f>
        <v/>
      </c>
      <c r="AP33" s="17" t="str">
        <f>IF(AP$3&lt;=$B33,INDEX(Input!$I$43:$I$2956,AP$3+$A32),"")</f>
        <v/>
      </c>
      <c r="AQ33" s="17" t="str">
        <f>IF(AQ$3&lt;=$B33,INDEX(Input!$I$43:$I$2956,AQ$3+$A32),"")</f>
        <v/>
      </c>
      <c r="AR33" s="17" t="str">
        <f>IF(AR$3&lt;=$B33,INDEX(Input!$I$43:$I$2956,AR$3+$A32),"")</f>
        <v/>
      </c>
      <c r="AS33" s="17" t="str">
        <f>IF(AS$3&lt;=$B33,INDEX(Input!$I$43:$I$2956,AS$3+$A32),"")</f>
        <v/>
      </c>
      <c r="AT33" s="17" t="str">
        <f>IF(AT$3&lt;=$B33,INDEX(Input!$I$43:$I$2956,AT$3+$A32),"")</f>
        <v/>
      </c>
      <c r="AU33" s="17" t="str">
        <f>IF(AU$3&lt;=$B33,INDEX(Input!$I$43:$I$2956,AU$3+$A32),"")</f>
        <v/>
      </c>
      <c r="AV33" s="17" t="str">
        <f>IF(AV$3&lt;=$B33,INDEX(Input!$I$43:$I$2956,AV$3+$A32),"")</f>
        <v/>
      </c>
      <c r="AW33" s="17" t="str">
        <f>IF(AW$3&lt;=$B33,INDEX(Input!$I$43:$I$2956,AW$3+$A32),"")</f>
        <v/>
      </c>
      <c r="AX33" s="17" t="str">
        <f>IF(AX$3&lt;=$B33,INDEX(Input!$I$43:$I$2956,AX$3+$A32),"")</f>
        <v/>
      </c>
      <c r="AY33" s="17" t="str">
        <f>IF(AY$3&lt;=$B33,INDEX(Input!$I$43:$I$2956,AY$3+$A32),"")</f>
        <v/>
      </c>
      <c r="AZ33" s="17" t="str">
        <f>IF(AZ$3&lt;=$B33,INDEX(Input!$I$43:$I$2956,AZ$3+$A32),"")</f>
        <v/>
      </c>
      <c r="BA33" s="17" t="str">
        <f>IF(BA$3&lt;=$B33,INDEX(Input!$I$43:$I$2956,BA$3+$A32),"")</f>
        <v/>
      </c>
      <c r="BB33" s="17" t="str">
        <f>IF(BB$3&lt;=$B33,INDEX(Input!$I$43:$I$2956,BB$3+$A32),"")</f>
        <v/>
      </c>
      <c r="BC33" s="17" t="str">
        <f>IF(BC$3&lt;=$B33,INDEX(Input!$I$43:$I$2956,BC$3+$A32),"")</f>
        <v/>
      </c>
      <c r="BD33" s="17" t="str">
        <f>IF(BD$3&lt;=$B33,INDEX(Input!$I$43:$I$2956,BD$3+$A32),"")</f>
        <v/>
      </c>
      <c r="BE33" s="17" t="str">
        <f>IF(BE$3&lt;=$B33,INDEX(Input!$I$43:$I$2956,BE$3+$A32),"")</f>
        <v/>
      </c>
      <c r="BF33" s="17" t="str">
        <f>IF(BF$3&lt;=$B33,INDEX(Input!$I$43:$I$2956,BF$3+$A32),"")</f>
        <v/>
      </c>
      <c r="BG33" s="17" t="str">
        <f>IF(BG$3&lt;=$B33,INDEX(Input!$I$43:$I$2956,BG$3+$A32),"")</f>
        <v/>
      </c>
      <c r="BH33" s="17" t="str">
        <f>IF(BH$3&lt;=$B33,INDEX(Input!$I$43:$I$2956,BH$3+$A32),"")</f>
        <v/>
      </c>
      <c r="BI33" s="17" t="str">
        <f>IF(BI$3&lt;=$B33,INDEX(Input!$I$43:$I$2956,BI$3+$A32),"")</f>
        <v/>
      </c>
      <c r="BJ33" s="17" t="str">
        <f>IF(BJ$3&lt;=$B33,INDEX(Input!$I$43:$I$2956,BJ$3+$A32),"")</f>
        <v/>
      </c>
      <c r="BK33" s="17" t="str">
        <f>IF(BK$3&lt;=$B33,INDEX(Input!$I$43:$I$2956,BK$3+$A32),"")</f>
        <v/>
      </c>
      <c r="BL33" s="17" t="str">
        <f>IF(BL$3&lt;=$B33,INDEX(Input!$I$43:$I$2956,BL$3+$A32),"")</f>
        <v/>
      </c>
      <c r="BM33" s="17" t="str">
        <f>IF(BM$3&lt;=$B33,INDEX(Input!$I$43:$I$2956,BM$3+$A32),"")</f>
        <v/>
      </c>
      <c r="BN33" s="17" t="str">
        <f>IF(BN$3&lt;=$B33,INDEX(Input!$I$43:$I$2956,BN$3+$A32),"")</f>
        <v/>
      </c>
      <c r="BO33" s="17" t="str">
        <f>IF(BO$3&lt;=$B33,INDEX(Input!$I$43:$I$2956,BO$3+$A32),"")</f>
        <v/>
      </c>
      <c r="BP33" s="17" t="str">
        <f>IF(BP$3&lt;=$B33,INDEX(Input!$I$43:$I$2956,BP$3+$A32),"")</f>
        <v/>
      </c>
      <c r="BQ33" s="17" t="str">
        <f>IF(BQ$3&lt;=$B33,INDEX(Input!$I$43:$I$2956,BQ$3+$A32),"")</f>
        <v/>
      </c>
      <c r="BR33" s="17" t="str">
        <f>IF(BR$3&lt;=$B33,INDEX(Input!$I$43:$I$2956,BR$3+$A32),"")</f>
        <v/>
      </c>
      <c r="BS33" s="17" t="str">
        <f>IF(BS$3&lt;=$B33,INDEX(Input!$I$43:$I$2956,BS$3+$A32),"")</f>
        <v/>
      </c>
      <c r="BT33" s="17" t="str">
        <f>IF(BT$3&lt;=$B33,INDEX(Input!$I$43:$I$2956,BT$3+$A32),"")</f>
        <v/>
      </c>
      <c r="BU33" s="17" t="str">
        <f>IF(BU$3&lt;=$B33,INDEX(Input!$I$43:$I$2956,BU$3+$A32),"")</f>
        <v/>
      </c>
      <c r="BV33" s="17" t="str">
        <f>IF(BV$3&lt;=$B33,INDEX(Input!$I$43:$I$2956,BV$3+$A32),"")</f>
        <v/>
      </c>
      <c r="BW33" s="17" t="str">
        <f>IF(BW$3&lt;=$B33,INDEX(Input!$I$43:$I$2956,BW$3+$A32),"")</f>
        <v/>
      </c>
      <c r="BX33" s="17" t="str">
        <f>IF(BX$3&lt;=$B33,INDEX(Input!$I$43:$I$2956,BX$3+$A32),"")</f>
        <v/>
      </c>
      <c r="BY33" s="17" t="str">
        <f>IF(BY$3&lt;=$B33,INDEX(Input!$I$43:$I$2956,BY$3+$A32),"")</f>
        <v/>
      </c>
      <c r="BZ33" s="17" t="str">
        <f>IF(BZ$3&lt;=$B33,INDEX(Input!$I$43:$I$2956,BZ$3+$A32),"")</f>
        <v/>
      </c>
      <c r="CA33" s="17" t="str">
        <f>IF(CA$3&lt;=$B33,INDEX(Input!$I$43:$I$2956,CA$3+$A32),"")</f>
        <v/>
      </c>
      <c r="CB33" s="17" t="str">
        <f>IF(CB$3&lt;=$B33,INDEX(Input!$I$43:$I$2956,CB$3+$A32),"")</f>
        <v/>
      </c>
      <c r="CC33" s="17" t="str">
        <f>IF(CC$3&lt;=$B33,INDEX(Input!$I$43:$I$2956,CC$3+$A32),"")</f>
        <v/>
      </c>
      <c r="CD33" s="17" t="str">
        <f>IF(CD$3&lt;=$B33,INDEX(Input!$I$43:$I$2956,CD$3+$A32),"")</f>
        <v/>
      </c>
      <c r="CE33" s="17" t="str">
        <f>IF(CE$3&lt;=$B33,INDEX(Input!$I$43:$I$2956,CE$3+$A32),"")</f>
        <v/>
      </c>
      <c r="CF33" s="17" t="str">
        <f>IF(CF$3&lt;=$B33,INDEX(Input!$I$43:$I$2956,CF$3+$A32),"")</f>
        <v/>
      </c>
      <c r="CG33" s="17" t="str">
        <f>IF(CG$3&lt;=$B33,INDEX(Input!$I$43:$I$2956,CG$3+$A32),"")</f>
        <v/>
      </c>
      <c r="CH33" s="17" t="str">
        <f>IF(CH$3&lt;=$B33,INDEX(Input!$I$43:$I$2956,CH$3+$A32),"")</f>
        <v/>
      </c>
      <c r="CI33" s="17" t="str">
        <f>IF(CI$3&lt;=$B33,INDEX(Input!$I$43:$I$2956,CI$3+$A32),"")</f>
        <v/>
      </c>
      <c r="CJ33" s="17" t="str">
        <f>IF(CJ$3&lt;=$B33,INDEX(Input!$I$43:$I$2956,CJ$3+$A32),"")</f>
        <v/>
      </c>
      <c r="CK33" s="17" t="str">
        <f>IF(CK$3&lt;=$B33,INDEX(Input!$I$43:$I$2956,CK$3+$A32),"")</f>
        <v/>
      </c>
      <c r="CL33" s="17" t="str">
        <f>IF(CL$3&lt;=$B33,INDEX(Input!$I$43:$I$2956,CL$3+$A32),"")</f>
        <v/>
      </c>
      <c r="CM33" s="17" t="str">
        <f>IF(CM$3&lt;=$B33,INDEX(Input!$I$43:$I$2956,CM$3+$A32),"")</f>
        <v/>
      </c>
      <c r="CN33" s="17" t="str">
        <f>IF(CN$3&lt;=$B33,INDEX(Input!$I$43:$I$2956,CN$3+$A32),"")</f>
        <v/>
      </c>
      <c r="CO33" s="17" t="str">
        <f>IF(CO$3&lt;=$B33,INDEX(Input!$I$43:$I$2956,CO$3+$A32),"")</f>
        <v/>
      </c>
      <c r="CP33" s="17" t="str">
        <f>IF(CP$3&lt;=$B33,INDEX(Input!$I$43:$I$2956,CP$3+$A32),"")</f>
        <v/>
      </c>
      <c r="CQ33" s="17" t="str">
        <f>IF(CQ$3&lt;=$B33,INDEX(Input!$I$43:$I$2956,CQ$3+$A32),"")</f>
        <v/>
      </c>
      <c r="CR33" s="17" t="str">
        <f>IF(CR$3&lt;=$B33,INDEX(Input!$I$43:$I$2956,CR$3+$A32),"")</f>
        <v/>
      </c>
      <c r="CS33" s="17" t="str">
        <f>IF(CS$3&lt;=$B33,INDEX(Input!$I$43:$I$2956,CS$3+$A32),"")</f>
        <v/>
      </c>
      <c r="CT33" s="17" t="str">
        <f>IF(CT$3&lt;=$B33,INDEX(Input!$I$43:$I$2956,CT$3+$A32),"")</f>
        <v/>
      </c>
      <c r="CU33" s="17" t="str">
        <f>IF(CU$3&lt;=$B33,INDEX(Input!$I$43:$I$2956,CU$3+$A32),"")</f>
        <v/>
      </c>
      <c r="CV33" s="17" t="str">
        <f>IF(CV$3&lt;=$B33,INDEX(Input!$I$43:$I$2956,CV$3+$A32),"")</f>
        <v/>
      </c>
      <c r="CW33" s="17" t="str">
        <f>IF(CW$3&lt;=$B33,INDEX(Input!$I$43:$I$2956,CW$3+$A32),"")</f>
        <v/>
      </c>
      <c r="CX33" s="17" t="str">
        <f>IF(CX$3&lt;=$B33,INDEX(Input!$I$43:$I$2956,CX$3+$A32),"")</f>
        <v/>
      </c>
      <c r="CY33" s="17" t="str">
        <f>IF(CY$3&lt;=$B33,INDEX(Input!$I$43:$I$2956,CY$3+$A32),"")</f>
        <v/>
      </c>
      <c r="CZ33" s="17" t="str">
        <f>IF(CZ$3&lt;=$B33,INDEX(Input!$I$43:$I$2956,CZ$3+$A32),"")</f>
        <v/>
      </c>
      <c r="DA33" s="17" t="str">
        <f>IF(DA$3&lt;=$B33,INDEX(Input!$I$43:$I$2956,DA$3+$A32),"")</f>
        <v/>
      </c>
      <c r="DB33" s="17" t="str">
        <f>IF(DB$3&lt;=$B33,INDEX(Input!$I$43:$I$2956,DB$3+$A32),"")</f>
        <v/>
      </c>
      <c r="DC33" s="17" t="str">
        <f>IF(DC$3&lt;=$B33,INDEX(Input!$I$43:$I$2956,DC$3+$A32),"")</f>
        <v/>
      </c>
      <c r="DD33" s="17" t="str">
        <f>IF(DD$3&lt;=$B33,INDEX(Input!$I$43:$I$2956,DD$3+$A32),"")</f>
        <v/>
      </c>
      <c r="DE33" s="17" t="str">
        <f>IF(DE$3&lt;=$B33,INDEX(Input!$I$43:$I$2956,DE$3+$A32),"")</f>
        <v/>
      </c>
      <c r="DF33" s="17" t="str">
        <f>IF(DF$3&lt;=$B33,INDEX(Input!$I$43:$I$2956,DF$3+$A32),"")</f>
        <v/>
      </c>
      <c r="DG33" s="17" t="str">
        <f>IF(DG$3&lt;=$B33,INDEX(Input!$I$43:$I$2956,DG$3+$A32),"")</f>
        <v/>
      </c>
      <c r="DH33" s="17" t="str">
        <f>IF(DH$3&lt;=$B33,INDEX(Input!$I$43:$I$2956,DH$3+$A32),"")</f>
        <v/>
      </c>
      <c r="DI33" s="17" t="str">
        <f>IF(DI$3&lt;=$B33,INDEX(Input!$I$43:$I$2956,DI$3+$A32),"")</f>
        <v/>
      </c>
      <c r="DJ33" s="17" t="str">
        <f>IF(DJ$3&lt;=$B33,INDEX(Input!$I$43:$I$2956,DJ$3+$A32),"")</f>
        <v/>
      </c>
      <c r="DK33" s="17" t="str">
        <f>IF(DK$3&lt;=$B33,INDEX(Input!$I$43:$I$2956,DK$3+$A32),"")</f>
        <v/>
      </c>
      <c r="DL33" s="17" t="str">
        <f>IF(DL$3&lt;=$B33,INDEX(Input!$I$43:$I$2956,DL$3+$A32),"")</f>
        <v/>
      </c>
      <c r="DM33" s="17" t="str">
        <f>IF(DM$3&lt;=$B33,INDEX(Input!$I$43:$I$2956,DM$3+$A32),"")</f>
        <v/>
      </c>
      <c r="DN33" s="17" t="str">
        <f>IF(DN$3&lt;=$B33,INDEX(Input!$I$43:$I$2956,DN$3+$A32),"")</f>
        <v/>
      </c>
      <c r="DO33" s="17" t="str">
        <f>IF(DO$3&lt;=$B33,INDEX(Input!$I$43:$I$2956,DO$3+$A32),"")</f>
        <v/>
      </c>
      <c r="DP33" s="17" t="str">
        <f>IF(DP$3&lt;=$B33,INDEX(Input!$I$43:$I$2956,DP$3+$A32),"")</f>
        <v/>
      </c>
      <c r="DQ33" s="17" t="str">
        <f>IF(DQ$3&lt;=$B33,INDEX(Input!$I$43:$I$2956,DQ$3+$A32),"")</f>
        <v/>
      </c>
      <c r="DR33" s="17" t="str">
        <f>IF(DR$3&lt;=$B33,INDEX(Input!$I$43:$I$2956,DR$3+$A32),"")</f>
        <v/>
      </c>
      <c r="DS33" s="17" t="str">
        <f>IF(DS$3&lt;=$B33,INDEX(Input!$I$43:$I$2956,DS$3+$A32),"")</f>
        <v/>
      </c>
      <c r="DT33" s="17" t="str">
        <f>IF(DT$3&lt;=$B33,INDEX(Input!$I$43:$I$2956,DT$3+$A32),"")</f>
        <v/>
      </c>
      <c r="DU33" s="17" t="str">
        <f>IF(DU$3&lt;=$B33,INDEX(Input!$I$43:$I$2956,DU$3+$A32),"")</f>
        <v/>
      </c>
      <c r="DV33" s="17" t="str">
        <f>IF(DV$3&lt;=$B33,INDEX(Input!$I$43:$I$2956,DV$3+$A32),"")</f>
        <v/>
      </c>
      <c r="DW33" s="58" t="str">
        <f t="array" ref="DW33:EZ33">IFERROR(eccalc(E33:DV33,C33+B33,B33,$O$2:$AS$2),"")</f>
        <v/>
      </c>
      <c r="DX33" s="59" t="str">
        <v/>
      </c>
      <c r="DY33" s="59" t="str">
        <v/>
      </c>
      <c r="DZ33" s="59" t="str">
        <v/>
      </c>
      <c r="EA33" s="59" t="str">
        <v/>
      </c>
      <c r="EB33" s="59" t="str">
        <v/>
      </c>
      <c r="EC33" s="59" t="str">
        <v/>
      </c>
      <c r="ED33" s="59" t="str">
        <v/>
      </c>
      <c r="EE33" s="59" t="str">
        <v/>
      </c>
      <c r="EF33" s="59" t="str">
        <v/>
      </c>
      <c r="EG33" s="59" t="str">
        <v/>
      </c>
      <c r="EH33" s="59" t="str">
        <v/>
      </c>
      <c r="EI33" s="59" t="str">
        <v/>
      </c>
      <c r="EJ33" s="59" t="str">
        <v/>
      </c>
      <c r="EK33" s="59" t="str">
        <v/>
      </c>
      <c r="EL33" s="59" t="str">
        <v/>
      </c>
      <c r="EM33" s="59" t="str">
        <v/>
      </c>
      <c r="EN33" s="59" t="str">
        <v/>
      </c>
      <c r="EO33" s="59" t="str">
        <v/>
      </c>
      <c r="EP33" s="59" t="str">
        <v/>
      </c>
      <c r="EQ33" s="59" t="str">
        <v/>
      </c>
      <c r="ER33" s="59" t="str">
        <v/>
      </c>
      <c r="ES33" s="59" t="str">
        <v/>
      </c>
      <c r="ET33" s="59" t="str">
        <v/>
      </c>
      <c r="EU33" s="59" t="str">
        <v/>
      </c>
      <c r="EV33" s="59" t="str">
        <v/>
      </c>
      <c r="EW33" s="59" t="str">
        <v/>
      </c>
      <c r="EX33" s="59" t="str">
        <v/>
      </c>
      <c r="EY33" s="59" t="str">
        <v/>
      </c>
      <c r="EZ33" s="60" t="str">
        <v/>
      </c>
      <c r="FA33" s="17"/>
      <c r="FC33">
        <v>30</v>
      </c>
      <c r="FD33">
        <f t="shared" si="2"/>
        <v>14</v>
      </c>
      <c r="FE33">
        <f t="shared" si="3"/>
        <v>2</v>
      </c>
      <c r="FF33">
        <f t="shared" si="4"/>
        <v>167</v>
      </c>
      <c r="FI33" s="16">
        <v>30</v>
      </c>
      <c r="FJ33" s="17">
        <f t="shared" si="5"/>
        <v>13</v>
      </c>
      <c r="FK33" s="17">
        <f t="shared" si="6"/>
        <v>167</v>
      </c>
      <c r="FL33" s="18" t="str">
        <f t="shared" si="7"/>
        <v>10100111</v>
      </c>
      <c r="FM33" s="2"/>
    </row>
    <row r="34" spans="1:169">
      <c r="A34">
        <f>SUM($B$4:B34)</f>
        <v>196</v>
      </c>
      <c r="B34">
        <f t="shared" si="0"/>
        <v>0</v>
      </c>
      <c r="C34" t="str">
        <f t="shared" si="1"/>
        <v/>
      </c>
      <c r="D34">
        <v>31</v>
      </c>
      <c r="E34" s="16" t="str">
        <f>IF(E$3&lt;=$B34,INDEX(Input!$I$43:$I$2956,E$3+$A33),"")</f>
        <v/>
      </c>
      <c r="F34" s="17" t="str">
        <f>IF(F$3&lt;=$B34,INDEX(Input!$I$43:$I$2956,F$3+$A33),"")</f>
        <v/>
      </c>
      <c r="G34" s="17" t="str">
        <f>IF(G$3&lt;=$B34,INDEX(Input!$I$43:$I$2956,G$3+$A33),"")</f>
        <v/>
      </c>
      <c r="H34" s="17" t="str">
        <f>IF(H$3&lt;=$B34,INDEX(Input!$I$43:$I$2956,H$3+$A33),"")</f>
        <v/>
      </c>
      <c r="I34" s="17" t="str">
        <f>IF(I$3&lt;=$B34,INDEX(Input!$I$43:$I$2956,I$3+$A33),"")</f>
        <v/>
      </c>
      <c r="J34" s="17" t="str">
        <f>IF(J$3&lt;=$B34,INDEX(Input!$I$43:$I$2956,J$3+$A33),"")</f>
        <v/>
      </c>
      <c r="K34" s="17" t="str">
        <f>IF(K$3&lt;=$B34,INDEX(Input!$I$43:$I$2956,K$3+$A33),"")</f>
        <v/>
      </c>
      <c r="L34" s="17" t="str">
        <f>IF(L$3&lt;=$B34,INDEX(Input!$I$43:$I$2956,L$3+$A33),"")</f>
        <v/>
      </c>
      <c r="M34" s="17" t="str">
        <f>IF(M$3&lt;=$B34,INDEX(Input!$I$43:$I$2956,M$3+$A33),"")</f>
        <v/>
      </c>
      <c r="N34" s="17" t="str">
        <f>IF(N$3&lt;=$B34,INDEX(Input!$I$43:$I$2956,N$3+$A33),"")</f>
        <v/>
      </c>
      <c r="O34" s="17" t="str">
        <f>IF(O$3&lt;=$B34,INDEX(Input!$I$43:$I$2956,O$3+$A33),"")</f>
        <v/>
      </c>
      <c r="P34" s="17" t="str">
        <f>IF(P$3&lt;=$B34,INDEX(Input!$I$43:$I$2956,P$3+$A33),"")</f>
        <v/>
      </c>
      <c r="Q34" s="17" t="str">
        <f>IF(Q$3&lt;=$B34,INDEX(Input!$I$43:$I$2956,Q$3+$A33),"")</f>
        <v/>
      </c>
      <c r="R34" s="17" t="str">
        <f>IF(R$3&lt;=$B34,INDEX(Input!$I$43:$I$2956,R$3+$A33),"")</f>
        <v/>
      </c>
      <c r="S34" s="17" t="str">
        <f>IF(S$3&lt;=$B34,INDEX(Input!$I$43:$I$2956,S$3+$A33),"")</f>
        <v/>
      </c>
      <c r="T34" s="17" t="str">
        <f>IF(T$3&lt;=$B34,INDEX(Input!$I$43:$I$2956,T$3+$A33),"")</f>
        <v/>
      </c>
      <c r="U34" s="17" t="str">
        <f>IF(U$3&lt;=$B34,INDEX(Input!$I$43:$I$2956,U$3+$A33),"")</f>
        <v/>
      </c>
      <c r="V34" s="17" t="str">
        <f>IF(V$3&lt;=$B34,INDEX(Input!$I$43:$I$2956,V$3+$A33),"")</f>
        <v/>
      </c>
      <c r="W34" s="17" t="str">
        <f>IF(W$3&lt;=$B34,INDEX(Input!$I$43:$I$2956,W$3+$A33),"")</f>
        <v/>
      </c>
      <c r="X34" s="17" t="str">
        <f>IF(X$3&lt;=$B34,INDEX(Input!$I$43:$I$2956,X$3+$A33),"")</f>
        <v/>
      </c>
      <c r="Y34" s="17" t="str">
        <f>IF(Y$3&lt;=$B34,INDEX(Input!$I$43:$I$2956,Y$3+$A33),"")</f>
        <v/>
      </c>
      <c r="Z34" s="17" t="str">
        <f>IF(Z$3&lt;=$B34,INDEX(Input!$I$43:$I$2956,Z$3+$A33),"")</f>
        <v/>
      </c>
      <c r="AA34" s="17" t="str">
        <f>IF(AA$3&lt;=$B34,INDEX(Input!$I$43:$I$2956,AA$3+$A33),"")</f>
        <v/>
      </c>
      <c r="AB34" s="17" t="str">
        <f>IF(AB$3&lt;=$B34,INDEX(Input!$I$43:$I$2956,AB$3+$A33),"")</f>
        <v/>
      </c>
      <c r="AC34" s="17" t="str">
        <f>IF(AC$3&lt;=$B34,INDEX(Input!$I$43:$I$2956,AC$3+$A33),"")</f>
        <v/>
      </c>
      <c r="AD34" s="17" t="str">
        <f>IF(AD$3&lt;=$B34,INDEX(Input!$I$43:$I$2956,AD$3+$A33),"")</f>
        <v/>
      </c>
      <c r="AE34" s="17" t="str">
        <f>IF(AE$3&lt;=$B34,INDEX(Input!$I$43:$I$2956,AE$3+$A33),"")</f>
        <v/>
      </c>
      <c r="AF34" s="17" t="str">
        <f>IF(AF$3&lt;=$B34,INDEX(Input!$I$43:$I$2956,AF$3+$A33),"")</f>
        <v/>
      </c>
      <c r="AG34" s="17" t="str">
        <f>IF(AG$3&lt;=$B34,INDEX(Input!$I$43:$I$2956,AG$3+$A33),"")</f>
        <v/>
      </c>
      <c r="AH34" s="17" t="str">
        <f>IF(AH$3&lt;=$B34,INDEX(Input!$I$43:$I$2956,AH$3+$A33),"")</f>
        <v/>
      </c>
      <c r="AI34" s="17" t="str">
        <f>IF(AI$3&lt;=$B34,INDEX(Input!$I$43:$I$2956,AI$3+$A33),"")</f>
        <v/>
      </c>
      <c r="AJ34" s="17" t="str">
        <f>IF(AJ$3&lt;=$B34,INDEX(Input!$I$43:$I$2956,AJ$3+$A33),"")</f>
        <v/>
      </c>
      <c r="AK34" s="17" t="str">
        <f>IF(AK$3&lt;=$B34,INDEX(Input!$I$43:$I$2956,AK$3+$A33),"")</f>
        <v/>
      </c>
      <c r="AL34" s="17" t="str">
        <f>IF(AL$3&lt;=$B34,INDEX(Input!$I$43:$I$2956,AL$3+$A33),"")</f>
        <v/>
      </c>
      <c r="AM34" s="17" t="str">
        <f>IF(AM$3&lt;=$B34,INDEX(Input!$I$43:$I$2956,AM$3+$A33),"")</f>
        <v/>
      </c>
      <c r="AN34" s="17" t="str">
        <f>IF(AN$3&lt;=$B34,INDEX(Input!$I$43:$I$2956,AN$3+$A33),"")</f>
        <v/>
      </c>
      <c r="AO34" s="17" t="str">
        <f>IF(AO$3&lt;=$B34,INDEX(Input!$I$43:$I$2956,AO$3+$A33),"")</f>
        <v/>
      </c>
      <c r="AP34" s="17" t="str">
        <f>IF(AP$3&lt;=$B34,INDEX(Input!$I$43:$I$2956,AP$3+$A33),"")</f>
        <v/>
      </c>
      <c r="AQ34" s="17" t="str">
        <f>IF(AQ$3&lt;=$B34,INDEX(Input!$I$43:$I$2956,AQ$3+$A33),"")</f>
        <v/>
      </c>
      <c r="AR34" s="17" t="str">
        <f>IF(AR$3&lt;=$B34,INDEX(Input!$I$43:$I$2956,AR$3+$A33),"")</f>
        <v/>
      </c>
      <c r="AS34" s="17" t="str">
        <f>IF(AS$3&lt;=$B34,INDEX(Input!$I$43:$I$2956,AS$3+$A33),"")</f>
        <v/>
      </c>
      <c r="AT34" s="17" t="str">
        <f>IF(AT$3&lt;=$B34,INDEX(Input!$I$43:$I$2956,AT$3+$A33),"")</f>
        <v/>
      </c>
      <c r="AU34" s="17" t="str">
        <f>IF(AU$3&lt;=$B34,INDEX(Input!$I$43:$I$2956,AU$3+$A33),"")</f>
        <v/>
      </c>
      <c r="AV34" s="17" t="str">
        <f>IF(AV$3&lt;=$B34,INDEX(Input!$I$43:$I$2956,AV$3+$A33),"")</f>
        <v/>
      </c>
      <c r="AW34" s="17" t="str">
        <f>IF(AW$3&lt;=$B34,INDEX(Input!$I$43:$I$2956,AW$3+$A33),"")</f>
        <v/>
      </c>
      <c r="AX34" s="17" t="str">
        <f>IF(AX$3&lt;=$B34,INDEX(Input!$I$43:$I$2956,AX$3+$A33),"")</f>
        <v/>
      </c>
      <c r="AY34" s="17" t="str">
        <f>IF(AY$3&lt;=$B34,INDEX(Input!$I$43:$I$2956,AY$3+$A33),"")</f>
        <v/>
      </c>
      <c r="AZ34" s="17" t="str">
        <f>IF(AZ$3&lt;=$B34,INDEX(Input!$I$43:$I$2956,AZ$3+$A33),"")</f>
        <v/>
      </c>
      <c r="BA34" s="17" t="str">
        <f>IF(BA$3&lt;=$B34,INDEX(Input!$I$43:$I$2956,BA$3+$A33),"")</f>
        <v/>
      </c>
      <c r="BB34" s="17" t="str">
        <f>IF(BB$3&lt;=$B34,INDEX(Input!$I$43:$I$2956,BB$3+$A33),"")</f>
        <v/>
      </c>
      <c r="BC34" s="17" t="str">
        <f>IF(BC$3&lt;=$B34,INDEX(Input!$I$43:$I$2956,BC$3+$A33),"")</f>
        <v/>
      </c>
      <c r="BD34" s="17" t="str">
        <f>IF(BD$3&lt;=$B34,INDEX(Input!$I$43:$I$2956,BD$3+$A33),"")</f>
        <v/>
      </c>
      <c r="BE34" s="17" t="str">
        <f>IF(BE$3&lt;=$B34,INDEX(Input!$I$43:$I$2956,BE$3+$A33),"")</f>
        <v/>
      </c>
      <c r="BF34" s="17" t="str">
        <f>IF(BF$3&lt;=$B34,INDEX(Input!$I$43:$I$2956,BF$3+$A33),"")</f>
        <v/>
      </c>
      <c r="BG34" s="17" t="str">
        <f>IF(BG$3&lt;=$B34,INDEX(Input!$I$43:$I$2956,BG$3+$A33),"")</f>
        <v/>
      </c>
      <c r="BH34" s="17" t="str">
        <f>IF(BH$3&lt;=$B34,INDEX(Input!$I$43:$I$2956,BH$3+$A33),"")</f>
        <v/>
      </c>
      <c r="BI34" s="17" t="str">
        <f>IF(BI$3&lt;=$B34,INDEX(Input!$I$43:$I$2956,BI$3+$A33),"")</f>
        <v/>
      </c>
      <c r="BJ34" s="17" t="str">
        <f>IF(BJ$3&lt;=$B34,INDEX(Input!$I$43:$I$2956,BJ$3+$A33),"")</f>
        <v/>
      </c>
      <c r="BK34" s="17" t="str">
        <f>IF(BK$3&lt;=$B34,INDEX(Input!$I$43:$I$2956,BK$3+$A33),"")</f>
        <v/>
      </c>
      <c r="BL34" s="17" t="str">
        <f>IF(BL$3&lt;=$B34,INDEX(Input!$I$43:$I$2956,BL$3+$A33),"")</f>
        <v/>
      </c>
      <c r="BM34" s="17" t="str">
        <f>IF(BM$3&lt;=$B34,INDEX(Input!$I$43:$I$2956,BM$3+$A33),"")</f>
        <v/>
      </c>
      <c r="BN34" s="17" t="str">
        <f>IF(BN$3&lt;=$B34,INDEX(Input!$I$43:$I$2956,BN$3+$A33),"")</f>
        <v/>
      </c>
      <c r="BO34" s="17" t="str">
        <f>IF(BO$3&lt;=$B34,INDEX(Input!$I$43:$I$2956,BO$3+$A33),"")</f>
        <v/>
      </c>
      <c r="BP34" s="17" t="str">
        <f>IF(BP$3&lt;=$B34,INDEX(Input!$I$43:$I$2956,BP$3+$A33),"")</f>
        <v/>
      </c>
      <c r="BQ34" s="17" t="str">
        <f>IF(BQ$3&lt;=$B34,INDEX(Input!$I$43:$I$2956,BQ$3+$A33),"")</f>
        <v/>
      </c>
      <c r="BR34" s="17" t="str">
        <f>IF(BR$3&lt;=$B34,INDEX(Input!$I$43:$I$2956,BR$3+$A33),"")</f>
        <v/>
      </c>
      <c r="BS34" s="17" t="str">
        <f>IF(BS$3&lt;=$B34,INDEX(Input!$I$43:$I$2956,BS$3+$A33),"")</f>
        <v/>
      </c>
      <c r="BT34" s="17" t="str">
        <f>IF(BT$3&lt;=$B34,INDEX(Input!$I$43:$I$2956,BT$3+$A33),"")</f>
        <v/>
      </c>
      <c r="BU34" s="17" t="str">
        <f>IF(BU$3&lt;=$B34,INDEX(Input!$I$43:$I$2956,BU$3+$A33),"")</f>
        <v/>
      </c>
      <c r="BV34" s="17" t="str">
        <f>IF(BV$3&lt;=$B34,INDEX(Input!$I$43:$I$2956,BV$3+$A33),"")</f>
        <v/>
      </c>
      <c r="BW34" s="17" t="str">
        <f>IF(BW$3&lt;=$B34,INDEX(Input!$I$43:$I$2956,BW$3+$A33),"")</f>
        <v/>
      </c>
      <c r="BX34" s="17" t="str">
        <f>IF(BX$3&lt;=$B34,INDEX(Input!$I$43:$I$2956,BX$3+$A33),"")</f>
        <v/>
      </c>
      <c r="BY34" s="17" t="str">
        <f>IF(BY$3&lt;=$B34,INDEX(Input!$I$43:$I$2956,BY$3+$A33),"")</f>
        <v/>
      </c>
      <c r="BZ34" s="17" t="str">
        <f>IF(BZ$3&lt;=$B34,INDEX(Input!$I$43:$I$2956,BZ$3+$A33),"")</f>
        <v/>
      </c>
      <c r="CA34" s="17" t="str">
        <f>IF(CA$3&lt;=$B34,INDEX(Input!$I$43:$I$2956,CA$3+$A33),"")</f>
        <v/>
      </c>
      <c r="CB34" s="17" t="str">
        <f>IF(CB$3&lt;=$B34,INDEX(Input!$I$43:$I$2956,CB$3+$A33),"")</f>
        <v/>
      </c>
      <c r="CC34" s="17" t="str">
        <f>IF(CC$3&lt;=$B34,INDEX(Input!$I$43:$I$2956,CC$3+$A33),"")</f>
        <v/>
      </c>
      <c r="CD34" s="17" t="str">
        <f>IF(CD$3&lt;=$B34,INDEX(Input!$I$43:$I$2956,CD$3+$A33),"")</f>
        <v/>
      </c>
      <c r="CE34" s="17" t="str">
        <f>IF(CE$3&lt;=$B34,INDEX(Input!$I$43:$I$2956,CE$3+$A33),"")</f>
        <v/>
      </c>
      <c r="CF34" s="17" t="str">
        <f>IF(CF$3&lt;=$B34,INDEX(Input!$I$43:$I$2956,CF$3+$A33),"")</f>
        <v/>
      </c>
      <c r="CG34" s="17" t="str">
        <f>IF(CG$3&lt;=$B34,INDEX(Input!$I$43:$I$2956,CG$3+$A33),"")</f>
        <v/>
      </c>
      <c r="CH34" s="17" t="str">
        <f>IF(CH$3&lt;=$B34,INDEX(Input!$I$43:$I$2956,CH$3+$A33),"")</f>
        <v/>
      </c>
      <c r="CI34" s="17" t="str">
        <f>IF(CI$3&lt;=$B34,INDEX(Input!$I$43:$I$2956,CI$3+$A33),"")</f>
        <v/>
      </c>
      <c r="CJ34" s="17" t="str">
        <f>IF(CJ$3&lt;=$B34,INDEX(Input!$I$43:$I$2956,CJ$3+$A33),"")</f>
        <v/>
      </c>
      <c r="CK34" s="17" t="str">
        <f>IF(CK$3&lt;=$B34,INDEX(Input!$I$43:$I$2956,CK$3+$A33),"")</f>
        <v/>
      </c>
      <c r="CL34" s="17" t="str">
        <f>IF(CL$3&lt;=$B34,INDEX(Input!$I$43:$I$2956,CL$3+$A33),"")</f>
        <v/>
      </c>
      <c r="CM34" s="17" t="str">
        <f>IF(CM$3&lt;=$B34,INDEX(Input!$I$43:$I$2956,CM$3+$A33),"")</f>
        <v/>
      </c>
      <c r="CN34" s="17" t="str">
        <f>IF(CN$3&lt;=$B34,INDEX(Input!$I$43:$I$2956,CN$3+$A33),"")</f>
        <v/>
      </c>
      <c r="CO34" s="17" t="str">
        <f>IF(CO$3&lt;=$B34,INDEX(Input!$I$43:$I$2956,CO$3+$A33),"")</f>
        <v/>
      </c>
      <c r="CP34" s="17" t="str">
        <f>IF(CP$3&lt;=$B34,INDEX(Input!$I$43:$I$2956,CP$3+$A33),"")</f>
        <v/>
      </c>
      <c r="CQ34" s="17" t="str">
        <f>IF(CQ$3&lt;=$B34,INDEX(Input!$I$43:$I$2956,CQ$3+$A33),"")</f>
        <v/>
      </c>
      <c r="CR34" s="17" t="str">
        <f>IF(CR$3&lt;=$B34,INDEX(Input!$I$43:$I$2956,CR$3+$A33),"")</f>
        <v/>
      </c>
      <c r="CS34" s="17" t="str">
        <f>IF(CS$3&lt;=$B34,INDEX(Input!$I$43:$I$2956,CS$3+$A33),"")</f>
        <v/>
      </c>
      <c r="CT34" s="17" t="str">
        <f>IF(CT$3&lt;=$B34,INDEX(Input!$I$43:$I$2956,CT$3+$A33),"")</f>
        <v/>
      </c>
      <c r="CU34" s="17" t="str">
        <f>IF(CU$3&lt;=$B34,INDEX(Input!$I$43:$I$2956,CU$3+$A33),"")</f>
        <v/>
      </c>
      <c r="CV34" s="17" t="str">
        <f>IF(CV$3&lt;=$B34,INDEX(Input!$I$43:$I$2956,CV$3+$A33),"")</f>
        <v/>
      </c>
      <c r="CW34" s="17" t="str">
        <f>IF(CW$3&lt;=$B34,INDEX(Input!$I$43:$I$2956,CW$3+$A33),"")</f>
        <v/>
      </c>
      <c r="CX34" s="17" t="str">
        <f>IF(CX$3&lt;=$B34,INDEX(Input!$I$43:$I$2956,CX$3+$A33),"")</f>
        <v/>
      </c>
      <c r="CY34" s="17" t="str">
        <f>IF(CY$3&lt;=$B34,INDEX(Input!$I$43:$I$2956,CY$3+$A33),"")</f>
        <v/>
      </c>
      <c r="CZ34" s="17" t="str">
        <f>IF(CZ$3&lt;=$B34,INDEX(Input!$I$43:$I$2956,CZ$3+$A33),"")</f>
        <v/>
      </c>
      <c r="DA34" s="17" t="str">
        <f>IF(DA$3&lt;=$B34,INDEX(Input!$I$43:$I$2956,DA$3+$A33),"")</f>
        <v/>
      </c>
      <c r="DB34" s="17" t="str">
        <f>IF(DB$3&lt;=$B34,INDEX(Input!$I$43:$I$2956,DB$3+$A33),"")</f>
        <v/>
      </c>
      <c r="DC34" s="17" t="str">
        <f>IF(DC$3&lt;=$B34,INDEX(Input!$I$43:$I$2956,DC$3+$A33),"")</f>
        <v/>
      </c>
      <c r="DD34" s="17" t="str">
        <f>IF(DD$3&lt;=$B34,INDEX(Input!$I$43:$I$2956,DD$3+$A33),"")</f>
        <v/>
      </c>
      <c r="DE34" s="17" t="str">
        <f>IF(DE$3&lt;=$B34,INDEX(Input!$I$43:$I$2956,DE$3+$A33),"")</f>
        <v/>
      </c>
      <c r="DF34" s="17" t="str">
        <f>IF(DF$3&lt;=$B34,INDEX(Input!$I$43:$I$2956,DF$3+$A33),"")</f>
        <v/>
      </c>
      <c r="DG34" s="17" t="str">
        <f>IF(DG$3&lt;=$B34,INDEX(Input!$I$43:$I$2956,DG$3+$A33),"")</f>
        <v/>
      </c>
      <c r="DH34" s="17" t="str">
        <f>IF(DH$3&lt;=$B34,INDEX(Input!$I$43:$I$2956,DH$3+$A33),"")</f>
        <v/>
      </c>
      <c r="DI34" s="17" t="str">
        <f>IF(DI$3&lt;=$B34,INDEX(Input!$I$43:$I$2956,DI$3+$A33),"")</f>
        <v/>
      </c>
      <c r="DJ34" s="17" t="str">
        <f>IF(DJ$3&lt;=$B34,INDEX(Input!$I$43:$I$2956,DJ$3+$A33),"")</f>
        <v/>
      </c>
      <c r="DK34" s="17" t="str">
        <f>IF(DK$3&lt;=$B34,INDEX(Input!$I$43:$I$2956,DK$3+$A33),"")</f>
        <v/>
      </c>
      <c r="DL34" s="17" t="str">
        <f>IF(DL$3&lt;=$B34,INDEX(Input!$I$43:$I$2956,DL$3+$A33),"")</f>
        <v/>
      </c>
      <c r="DM34" s="17" t="str">
        <f>IF(DM$3&lt;=$B34,INDEX(Input!$I$43:$I$2956,DM$3+$A33),"")</f>
        <v/>
      </c>
      <c r="DN34" s="17" t="str">
        <f>IF(DN$3&lt;=$B34,INDEX(Input!$I$43:$I$2956,DN$3+$A33),"")</f>
        <v/>
      </c>
      <c r="DO34" s="17" t="str">
        <f>IF(DO$3&lt;=$B34,INDEX(Input!$I$43:$I$2956,DO$3+$A33),"")</f>
        <v/>
      </c>
      <c r="DP34" s="17" t="str">
        <f>IF(DP$3&lt;=$B34,INDEX(Input!$I$43:$I$2956,DP$3+$A33),"")</f>
        <v/>
      </c>
      <c r="DQ34" s="17" t="str">
        <f>IF(DQ$3&lt;=$B34,INDEX(Input!$I$43:$I$2956,DQ$3+$A33),"")</f>
        <v/>
      </c>
      <c r="DR34" s="17" t="str">
        <f>IF(DR$3&lt;=$B34,INDEX(Input!$I$43:$I$2956,DR$3+$A33),"")</f>
        <v/>
      </c>
      <c r="DS34" s="17" t="str">
        <f>IF(DS$3&lt;=$B34,INDEX(Input!$I$43:$I$2956,DS$3+$A33),"")</f>
        <v/>
      </c>
      <c r="DT34" s="17" t="str">
        <f>IF(DT$3&lt;=$B34,INDEX(Input!$I$43:$I$2956,DT$3+$A33),"")</f>
        <v/>
      </c>
      <c r="DU34" s="17" t="str">
        <f>IF(DU$3&lt;=$B34,INDEX(Input!$I$43:$I$2956,DU$3+$A33),"")</f>
        <v/>
      </c>
      <c r="DV34" s="17" t="str">
        <f>IF(DV$3&lt;=$B34,INDEX(Input!$I$43:$I$2956,DV$3+$A33),"")</f>
        <v/>
      </c>
      <c r="DW34" s="58" t="str">
        <f t="array" ref="DW34:EZ34">IFERROR(eccalc(E34:DV34,C34+B34,B34,$O$2:$AS$2),"")</f>
        <v/>
      </c>
      <c r="DX34" s="59" t="str">
        <v/>
      </c>
      <c r="DY34" s="59" t="str">
        <v/>
      </c>
      <c r="DZ34" s="59" t="str">
        <v/>
      </c>
      <c r="EA34" s="59" t="str">
        <v/>
      </c>
      <c r="EB34" s="59" t="str">
        <v/>
      </c>
      <c r="EC34" s="59" t="str">
        <v/>
      </c>
      <c r="ED34" s="59" t="str">
        <v/>
      </c>
      <c r="EE34" s="59" t="str">
        <v/>
      </c>
      <c r="EF34" s="59" t="str">
        <v/>
      </c>
      <c r="EG34" s="59" t="str">
        <v/>
      </c>
      <c r="EH34" s="59" t="str">
        <v/>
      </c>
      <c r="EI34" s="59" t="str">
        <v/>
      </c>
      <c r="EJ34" s="59" t="str">
        <v/>
      </c>
      <c r="EK34" s="59" t="str">
        <v/>
      </c>
      <c r="EL34" s="59" t="str">
        <v/>
      </c>
      <c r="EM34" s="59" t="str">
        <v/>
      </c>
      <c r="EN34" s="59" t="str">
        <v/>
      </c>
      <c r="EO34" s="59" t="str">
        <v/>
      </c>
      <c r="EP34" s="59" t="str">
        <v/>
      </c>
      <c r="EQ34" s="59" t="str">
        <v/>
      </c>
      <c r="ER34" s="59" t="str">
        <v/>
      </c>
      <c r="ES34" s="59" t="str">
        <v/>
      </c>
      <c r="ET34" s="59" t="str">
        <v/>
      </c>
      <c r="EU34" s="59" t="str">
        <v/>
      </c>
      <c r="EV34" s="59" t="str">
        <v/>
      </c>
      <c r="EW34" s="59" t="str">
        <v/>
      </c>
      <c r="EX34" s="59" t="str">
        <v/>
      </c>
      <c r="EY34" s="59" t="str">
        <v/>
      </c>
      <c r="EZ34" s="60" t="str">
        <v/>
      </c>
      <c r="FA34" s="17"/>
      <c r="FC34">
        <v>31</v>
      </c>
      <c r="FD34">
        <f t="shared" si="2"/>
        <v>15</v>
      </c>
      <c r="FE34">
        <f t="shared" si="3"/>
        <v>2</v>
      </c>
      <c r="FF34">
        <f t="shared" si="4"/>
        <v>17</v>
      </c>
      <c r="FI34" s="16">
        <v>31</v>
      </c>
      <c r="FJ34" s="17">
        <f t="shared" si="5"/>
        <v>235</v>
      </c>
      <c r="FK34" s="17">
        <f t="shared" si="6"/>
        <v>17</v>
      </c>
      <c r="FL34" s="18" t="str">
        <f t="shared" si="7"/>
        <v>00010001</v>
      </c>
      <c r="FM34" s="2"/>
    </row>
    <row r="35" spans="1:169">
      <c r="A35">
        <f>SUM($B$4:B35)</f>
        <v>196</v>
      </c>
      <c r="B35">
        <f t="shared" si="0"/>
        <v>0</v>
      </c>
      <c r="C35" t="str">
        <f t="shared" si="1"/>
        <v/>
      </c>
      <c r="D35">
        <v>32</v>
      </c>
      <c r="E35" s="16" t="str">
        <f>IF(E$3&lt;=$B35,INDEX(Input!$I$43:$I$2956,E$3+$A34),"")</f>
        <v/>
      </c>
      <c r="F35" s="17" t="str">
        <f>IF(F$3&lt;=$B35,INDEX(Input!$I$43:$I$2956,F$3+$A34),"")</f>
        <v/>
      </c>
      <c r="G35" s="17" t="str">
        <f>IF(G$3&lt;=$B35,INDEX(Input!$I$43:$I$2956,G$3+$A34),"")</f>
        <v/>
      </c>
      <c r="H35" s="17" t="str">
        <f>IF(H$3&lt;=$B35,INDEX(Input!$I$43:$I$2956,H$3+$A34),"")</f>
        <v/>
      </c>
      <c r="I35" s="17" t="str">
        <f>IF(I$3&lt;=$B35,INDEX(Input!$I$43:$I$2956,I$3+$A34),"")</f>
        <v/>
      </c>
      <c r="J35" s="17" t="str">
        <f>IF(J$3&lt;=$B35,INDEX(Input!$I$43:$I$2956,J$3+$A34),"")</f>
        <v/>
      </c>
      <c r="K35" s="17" t="str">
        <f>IF(K$3&lt;=$B35,INDEX(Input!$I$43:$I$2956,K$3+$A34),"")</f>
        <v/>
      </c>
      <c r="L35" s="17" t="str">
        <f>IF(L$3&lt;=$B35,INDEX(Input!$I$43:$I$2956,L$3+$A34),"")</f>
        <v/>
      </c>
      <c r="M35" s="17" t="str">
        <f>IF(M$3&lt;=$B35,INDEX(Input!$I$43:$I$2956,M$3+$A34),"")</f>
        <v/>
      </c>
      <c r="N35" s="17" t="str">
        <f>IF(N$3&lt;=$B35,INDEX(Input!$I$43:$I$2956,N$3+$A34),"")</f>
        <v/>
      </c>
      <c r="O35" s="17" t="str">
        <f>IF(O$3&lt;=$B35,INDEX(Input!$I$43:$I$2956,O$3+$A34),"")</f>
        <v/>
      </c>
      <c r="P35" s="17" t="str">
        <f>IF(P$3&lt;=$B35,INDEX(Input!$I$43:$I$2956,P$3+$A34),"")</f>
        <v/>
      </c>
      <c r="Q35" s="17" t="str">
        <f>IF(Q$3&lt;=$B35,INDEX(Input!$I$43:$I$2956,Q$3+$A34),"")</f>
        <v/>
      </c>
      <c r="R35" s="17" t="str">
        <f>IF(R$3&lt;=$B35,INDEX(Input!$I$43:$I$2956,R$3+$A34),"")</f>
        <v/>
      </c>
      <c r="S35" s="17" t="str">
        <f>IF(S$3&lt;=$B35,INDEX(Input!$I$43:$I$2956,S$3+$A34),"")</f>
        <v/>
      </c>
      <c r="T35" s="17" t="str">
        <f>IF(T$3&lt;=$B35,INDEX(Input!$I$43:$I$2956,T$3+$A34),"")</f>
        <v/>
      </c>
      <c r="U35" s="17" t="str">
        <f>IF(U$3&lt;=$B35,INDEX(Input!$I$43:$I$2956,U$3+$A34),"")</f>
        <v/>
      </c>
      <c r="V35" s="17" t="str">
        <f>IF(V$3&lt;=$B35,INDEX(Input!$I$43:$I$2956,V$3+$A34),"")</f>
        <v/>
      </c>
      <c r="W35" s="17" t="str">
        <f>IF(W$3&lt;=$B35,INDEX(Input!$I$43:$I$2956,W$3+$A34),"")</f>
        <v/>
      </c>
      <c r="X35" s="17" t="str">
        <f>IF(X$3&lt;=$B35,INDEX(Input!$I$43:$I$2956,X$3+$A34),"")</f>
        <v/>
      </c>
      <c r="Y35" s="17" t="str">
        <f>IF(Y$3&lt;=$B35,INDEX(Input!$I$43:$I$2956,Y$3+$A34),"")</f>
        <v/>
      </c>
      <c r="Z35" s="17" t="str">
        <f>IF(Z$3&lt;=$B35,INDEX(Input!$I$43:$I$2956,Z$3+$A34),"")</f>
        <v/>
      </c>
      <c r="AA35" s="17" t="str">
        <f>IF(AA$3&lt;=$B35,INDEX(Input!$I$43:$I$2956,AA$3+$A34),"")</f>
        <v/>
      </c>
      <c r="AB35" s="17" t="str">
        <f>IF(AB$3&lt;=$B35,INDEX(Input!$I$43:$I$2956,AB$3+$A34),"")</f>
        <v/>
      </c>
      <c r="AC35" s="17" t="str">
        <f>IF(AC$3&lt;=$B35,INDEX(Input!$I$43:$I$2956,AC$3+$A34),"")</f>
        <v/>
      </c>
      <c r="AD35" s="17" t="str">
        <f>IF(AD$3&lt;=$B35,INDEX(Input!$I$43:$I$2956,AD$3+$A34),"")</f>
        <v/>
      </c>
      <c r="AE35" s="17" t="str">
        <f>IF(AE$3&lt;=$B35,INDEX(Input!$I$43:$I$2956,AE$3+$A34),"")</f>
        <v/>
      </c>
      <c r="AF35" s="17" t="str">
        <f>IF(AF$3&lt;=$B35,INDEX(Input!$I$43:$I$2956,AF$3+$A34),"")</f>
        <v/>
      </c>
      <c r="AG35" s="17" t="str">
        <f>IF(AG$3&lt;=$B35,INDEX(Input!$I$43:$I$2956,AG$3+$A34),"")</f>
        <v/>
      </c>
      <c r="AH35" s="17" t="str">
        <f>IF(AH$3&lt;=$B35,INDEX(Input!$I$43:$I$2956,AH$3+$A34),"")</f>
        <v/>
      </c>
      <c r="AI35" s="17" t="str">
        <f>IF(AI$3&lt;=$B35,INDEX(Input!$I$43:$I$2956,AI$3+$A34),"")</f>
        <v/>
      </c>
      <c r="AJ35" s="17" t="str">
        <f>IF(AJ$3&lt;=$B35,INDEX(Input!$I$43:$I$2956,AJ$3+$A34),"")</f>
        <v/>
      </c>
      <c r="AK35" s="17" t="str">
        <f>IF(AK$3&lt;=$B35,INDEX(Input!$I$43:$I$2956,AK$3+$A34),"")</f>
        <v/>
      </c>
      <c r="AL35" s="17" t="str">
        <f>IF(AL$3&lt;=$B35,INDEX(Input!$I$43:$I$2956,AL$3+$A34),"")</f>
        <v/>
      </c>
      <c r="AM35" s="17" t="str">
        <f>IF(AM$3&lt;=$B35,INDEX(Input!$I$43:$I$2956,AM$3+$A34),"")</f>
        <v/>
      </c>
      <c r="AN35" s="17" t="str">
        <f>IF(AN$3&lt;=$B35,INDEX(Input!$I$43:$I$2956,AN$3+$A34),"")</f>
        <v/>
      </c>
      <c r="AO35" s="17" t="str">
        <f>IF(AO$3&lt;=$B35,INDEX(Input!$I$43:$I$2956,AO$3+$A34),"")</f>
        <v/>
      </c>
      <c r="AP35" s="17" t="str">
        <f>IF(AP$3&lt;=$B35,INDEX(Input!$I$43:$I$2956,AP$3+$A34),"")</f>
        <v/>
      </c>
      <c r="AQ35" s="17" t="str">
        <f>IF(AQ$3&lt;=$B35,INDEX(Input!$I$43:$I$2956,AQ$3+$A34),"")</f>
        <v/>
      </c>
      <c r="AR35" s="17" t="str">
        <f>IF(AR$3&lt;=$B35,INDEX(Input!$I$43:$I$2956,AR$3+$A34),"")</f>
        <v/>
      </c>
      <c r="AS35" s="17" t="str">
        <f>IF(AS$3&lt;=$B35,INDEX(Input!$I$43:$I$2956,AS$3+$A34),"")</f>
        <v/>
      </c>
      <c r="AT35" s="17" t="str">
        <f>IF(AT$3&lt;=$B35,INDEX(Input!$I$43:$I$2956,AT$3+$A34),"")</f>
        <v/>
      </c>
      <c r="AU35" s="17" t="str">
        <f>IF(AU$3&lt;=$B35,INDEX(Input!$I$43:$I$2956,AU$3+$A34),"")</f>
        <v/>
      </c>
      <c r="AV35" s="17" t="str">
        <f>IF(AV$3&lt;=$B35,INDEX(Input!$I$43:$I$2956,AV$3+$A34),"")</f>
        <v/>
      </c>
      <c r="AW35" s="17" t="str">
        <f>IF(AW$3&lt;=$B35,INDEX(Input!$I$43:$I$2956,AW$3+$A34),"")</f>
        <v/>
      </c>
      <c r="AX35" s="17" t="str">
        <f>IF(AX$3&lt;=$B35,INDEX(Input!$I$43:$I$2956,AX$3+$A34),"")</f>
        <v/>
      </c>
      <c r="AY35" s="17" t="str">
        <f>IF(AY$3&lt;=$B35,INDEX(Input!$I$43:$I$2956,AY$3+$A34),"")</f>
        <v/>
      </c>
      <c r="AZ35" s="17" t="str">
        <f>IF(AZ$3&lt;=$B35,INDEX(Input!$I$43:$I$2956,AZ$3+$A34),"")</f>
        <v/>
      </c>
      <c r="BA35" s="17" t="str">
        <f>IF(BA$3&lt;=$B35,INDEX(Input!$I$43:$I$2956,BA$3+$A34),"")</f>
        <v/>
      </c>
      <c r="BB35" s="17" t="str">
        <f>IF(BB$3&lt;=$B35,INDEX(Input!$I$43:$I$2956,BB$3+$A34),"")</f>
        <v/>
      </c>
      <c r="BC35" s="17" t="str">
        <f>IF(BC$3&lt;=$B35,INDEX(Input!$I$43:$I$2956,BC$3+$A34),"")</f>
        <v/>
      </c>
      <c r="BD35" s="17" t="str">
        <f>IF(BD$3&lt;=$B35,INDEX(Input!$I$43:$I$2956,BD$3+$A34),"")</f>
        <v/>
      </c>
      <c r="BE35" s="17" t="str">
        <f>IF(BE$3&lt;=$B35,INDEX(Input!$I$43:$I$2956,BE$3+$A34),"")</f>
        <v/>
      </c>
      <c r="BF35" s="17" t="str">
        <f>IF(BF$3&lt;=$B35,INDEX(Input!$I$43:$I$2956,BF$3+$A34),"")</f>
        <v/>
      </c>
      <c r="BG35" s="17" t="str">
        <f>IF(BG$3&lt;=$B35,INDEX(Input!$I$43:$I$2956,BG$3+$A34),"")</f>
        <v/>
      </c>
      <c r="BH35" s="17" t="str">
        <f>IF(BH$3&lt;=$B35,INDEX(Input!$I$43:$I$2956,BH$3+$A34),"")</f>
        <v/>
      </c>
      <c r="BI35" s="17" t="str">
        <f>IF(BI$3&lt;=$B35,INDEX(Input!$I$43:$I$2956,BI$3+$A34),"")</f>
        <v/>
      </c>
      <c r="BJ35" s="17" t="str">
        <f>IF(BJ$3&lt;=$B35,INDEX(Input!$I$43:$I$2956,BJ$3+$A34),"")</f>
        <v/>
      </c>
      <c r="BK35" s="17" t="str">
        <f>IF(BK$3&lt;=$B35,INDEX(Input!$I$43:$I$2956,BK$3+$A34),"")</f>
        <v/>
      </c>
      <c r="BL35" s="17" t="str">
        <f>IF(BL$3&lt;=$B35,INDEX(Input!$I$43:$I$2956,BL$3+$A34),"")</f>
        <v/>
      </c>
      <c r="BM35" s="17" t="str">
        <f>IF(BM$3&lt;=$B35,INDEX(Input!$I$43:$I$2956,BM$3+$A34),"")</f>
        <v/>
      </c>
      <c r="BN35" s="17" t="str">
        <f>IF(BN$3&lt;=$B35,INDEX(Input!$I$43:$I$2956,BN$3+$A34),"")</f>
        <v/>
      </c>
      <c r="BO35" s="17" t="str">
        <f>IF(BO$3&lt;=$B35,INDEX(Input!$I$43:$I$2956,BO$3+$A34),"")</f>
        <v/>
      </c>
      <c r="BP35" s="17" t="str">
        <f>IF(BP$3&lt;=$B35,INDEX(Input!$I$43:$I$2956,BP$3+$A34),"")</f>
        <v/>
      </c>
      <c r="BQ35" s="17" t="str">
        <f>IF(BQ$3&lt;=$B35,INDEX(Input!$I$43:$I$2956,BQ$3+$A34),"")</f>
        <v/>
      </c>
      <c r="BR35" s="17" t="str">
        <f>IF(BR$3&lt;=$B35,INDEX(Input!$I$43:$I$2956,BR$3+$A34),"")</f>
        <v/>
      </c>
      <c r="BS35" s="17" t="str">
        <f>IF(BS$3&lt;=$B35,INDEX(Input!$I$43:$I$2956,BS$3+$A34),"")</f>
        <v/>
      </c>
      <c r="BT35" s="17" t="str">
        <f>IF(BT$3&lt;=$B35,INDEX(Input!$I$43:$I$2956,BT$3+$A34),"")</f>
        <v/>
      </c>
      <c r="BU35" s="17" t="str">
        <f>IF(BU$3&lt;=$B35,INDEX(Input!$I$43:$I$2956,BU$3+$A34),"")</f>
        <v/>
      </c>
      <c r="BV35" s="17" t="str">
        <f>IF(BV$3&lt;=$B35,INDEX(Input!$I$43:$I$2956,BV$3+$A34),"")</f>
        <v/>
      </c>
      <c r="BW35" s="17" t="str">
        <f>IF(BW$3&lt;=$B35,INDEX(Input!$I$43:$I$2956,BW$3+$A34),"")</f>
        <v/>
      </c>
      <c r="BX35" s="17" t="str">
        <f>IF(BX$3&lt;=$B35,INDEX(Input!$I$43:$I$2956,BX$3+$A34),"")</f>
        <v/>
      </c>
      <c r="BY35" s="17" t="str">
        <f>IF(BY$3&lt;=$B35,INDEX(Input!$I$43:$I$2956,BY$3+$A34),"")</f>
        <v/>
      </c>
      <c r="BZ35" s="17" t="str">
        <f>IF(BZ$3&lt;=$B35,INDEX(Input!$I$43:$I$2956,BZ$3+$A34),"")</f>
        <v/>
      </c>
      <c r="CA35" s="17" t="str">
        <f>IF(CA$3&lt;=$B35,INDEX(Input!$I$43:$I$2956,CA$3+$A34),"")</f>
        <v/>
      </c>
      <c r="CB35" s="17" t="str">
        <f>IF(CB$3&lt;=$B35,INDEX(Input!$I$43:$I$2956,CB$3+$A34),"")</f>
        <v/>
      </c>
      <c r="CC35" s="17" t="str">
        <f>IF(CC$3&lt;=$B35,INDEX(Input!$I$43:$I$2956,CC$3+$A34),"")</f>
        <v/>
      </c>
      <c r="CD35" s="17" t="str">
        <f>IF(CD$3&lt;=$B35,INDEX(Input!$I$43:$I$2956,CD$3+$A34),"")</f>
        <v/>
      </c>
      <c r="CE35" s="17" t="str">
        <f>IF(CE$3&lt;=$B35,INDEX(Input!$I$43:$I$2956,CE$3+$A34),"")</f>
        <v/>
      </c>
      <c r="CF35" s="17" t="str">
        <f>IF(CF$3&lt;=$B35,INDEX(Input!$I$43:$I$2956,CF$3+$A34),"")</f>
        <v/>
      </c>
      <c r="CG35" s="17" t="str">
        <f>IF(CG$3&lt;=$B35,INDEX(Input!$I$43:$I$2956,CG$3+$A34),"")</f>
        <v/>
      </c>
      <c r="CH35" s="17" t="str">
        <f>IF(CH$3&lt;=$B35,INDEX(Input!$I$43:$I$2956,CH$3+$A34),"")</f>
        <v/>
      </c>
      <c r="CI35" s="17" t="str">
        <f>IF(CI$3&lt;=$B35,INDEX(Input!$I$43:$I$2956,CI$3+$A34),"")</f>
        <v/>
      </c>
      <c r="CJ35" s="17" t="str">
        <f>IF(CJ$3&lt;=$B35,INDEX(Input!$I$43:$I$2956,CJ$3+$A34),"")</f>
        <v/>
      </c>
      <c r="CK35" s="17" t="str">
        <f>IF(CK$3&lt;=$B35,INDEX(Input!$I$43:$I$2956,CK$3+$A34),"")</f>
        <v/>
      </c>
      <c r="CL35" s="17" t="str">
        <f>IF(CL$3&lt;=$B35,INDEX(Input!$I$43:$I$2956,CL$3+$A34),"")</f>
        <v/>
      </c>
      <c r="CM35" s="17" t="str">
        <f>IF(CM$3&lt;=$B35,INDEX(Input!$I$43:$I$2956,CM$3+$A34),"")</f>
        <v/>
      </c>
      <c r="CN35" s="17" t="str">
        <f>IF(CN$3&lt;=$B35,INDEX(Input!$I$43:$I$2956,CN$3+$A34),"")</f>
        <v/>
      </c>
      <c r="CO35" s="17" t="str">
        <f>IF(CO$3&lt;=$B35,INDEX(Input!$I$43:$I$2956,CO$3+$A34),"")</f>
        <v/>
      </c>
      <c r="CP35" s="17" t="str">
        <f>IF(CP$3&lt;=$B35,INDEX(Input!$I$43:$I$2956,CP$3+$A34),"")</f>
        <v/>
      </c>
      <c r="CQ35" s="17" t="str">
        <f>IF(CQ$3&lt;=$B35,INDEX(Input!$I$43:$I$2956,CQ$3+$A34),"")</f>
        <v/>
      </c>
      <c r="CR35" s="17" t="str">
        <f>IF(CR$3&lt;=$B35,INDEX(Input!$I$43:$I$2956,CR$3+$A34),"")</f>
        <v/>
      </c>
      <c r="CS35" s="17" t="str">
        <f>IF(CS$3&lt;=$B35,INDEX(Input!$I$43:$I$2956,CS$3+$A34),"")</f>
        <v/>
      </c>
      <c r="CT35" s="17" t="str">
        <f>IF(CT$3&lt;=$B35,INDEX(Input!$I$43:$I$2956,CT$3+$A34),"")</f>
        <v/>
      </c>
      <c r="CU35" s="17" t="str">
        <f>IF(CU$3&lt;=$B35,INDEX(Input!$I$43:$I$2956,CU$3+$A34),"")</f>
        <v/>
      </c>
      <c r="CV35" s="17" t="str">
        <f>IF(CV$3&lt;=$B35,INDEX(Input!$I$43:$I$2956,CV$3+$A34),"")</f>
        <v/>
      </c>
      <c r="CW35" s="17" t="str">
        <f>IF(CW$3&lt;=$B35,INDEX(Input!$I$43:$I$2956,CW$3+$A34),"")</f>
        <v/>
      </c>
      <c r="CX35" s="17" t="str">
        <f>IF(CX$3&lt;=$B35,INDEX(Input!$I$43:$I$2956,CX$3+$A34),"")</f>
        <v/>
      </c>
      <c r="CY35" s="17" t="str">
        <f>IF(CY$3&lt;=$B35,INDEX(Input!$I$43:$I$2956,CY$3+$A34),"")</f>
        <v/>
      </c>
      <c r="CZ35" s="17" t="str">
        <f>IF(CZ$3&lt;=$B35,INDEX(Input!$I$43:$I$2956,CZ$3+$A34),"")</f>
        <v/>
      </c>
      <c r="DA35" s="17" t="str">
        <f>IF(DA$3&lt;=$B35,INDEX(Input!$I$43:$I$2956,DA$3+$A34),"")</f>
        <v/>
      </c>
      <c r="DB35" s="17" t="str">
        <f>IF(DB$3&lt;=$B35,INDEX(Input!$I$43:$I$2956,DB$3+$A34),"")</f>
        <v/>
      </c>
      <c r="DC35" s="17" t="str">
        <f>IF(DC$3&lt;=$B35,INDEX(Input!$I$43:$I$2956,DC$3+$A34),"")</f>
        <v/>
      </c>
      <c r="DD35" s="17" t="str">
        <f>IF(DD$3&lt;=$B35,INDEX(Input!$I$43:$I$2956,DD$3+$A34),"")</f>
        <v/>
      </c>
      <c r="DE35" s="17" t="str">
        <f>IF(DE$3&lt;=$B35,INDEX(Input!$I$43:$I$2956,DE$3+$A34),"")</f>
        <v/>
      </c>
      <c r="DF35" s="17" t="str">
        <f>IF(DF$3&lt;=$B35,INDEX(Input!$I$43:$I$2956,DF$3+$A34),"")</f>
        <v/>
      </c>
      <c r="DG35" s="17" t="str">
        <f>IF(DG$3&lt;=$B35,INDEX(Input!$I$43:$I$2956,DG$3+$A34),"")</f>
        <v/>
      </c>
      <c r="DH35" s="17" t="str">
        <f>IF(DH$3&lt;=$B35,INDEX(Input!$I$43:$I$2956,DH$3+$A34),"")</f>
        <v/>
      </c>
      <c r="DI35" s="17" t="str">
        <f>IF(DI$3&lt;=$B35,INDEX(Input!$I$43:$I$2956,DI$3+$A34),"")</f>
        <v/>
      </c>
      <c r="DJ35" s="17" t="str">
        <f>IF(DJ$3&lt;=$B35,INDEX(Input!$I$43:$I$2956,DJ$3+$A34),"")</f>
        <v/>
      </c>
      <c r="DK35" s="17" t="str">
        <f>IF(DK$3&lt;=$B35,INDEX(Input!$I$43:$I$2956,DK$3+$A34),"")</f>
        <v/>
      </c>
      <c r="DL35" s="17" t="str">
        <f>IF(DL$3&lt;=$B35,INDEX(Input!$I$43:$I$2956,DL$3+$A34),"")</f>
        <v/>
      </c>
      <c r="DM35" s="17" t="str">
        <f>IF(DM$3&lt;=$B35,INDEX(Input!$I$43:$I$2956,DM$3+$A34),"")</f>
        <v/>
      </c>
      <c r="DN35" s="17" t="str">
        <f>IF(DN$3&lt;=$B35,INDEX(Input!$I$43:$I$2956,DN$3+$A34),"")</f>
        <v/>
      </c>
      <c r="DO35" s="17" t="str">
        <f>IF(DO$3&lt;=$B35,INDEX(Input!$I$43:$I$2956,DO$3+$A34),"")</f>
        <v/>
      </c>
      <c r="DP35" s="17" t="str">
        <f>IF(DP$3&lt;=$B35,INDEX(Input!$I$43:$I$2956,DP$3+$A34),"")</f>
        <v/>
      </c>
      <c r="DQ35" s="17" t="str">
        <f>IF(DQ$3&lt;=$B35,INDEX(Input!$I$43:$I$2956,DQ$3+$A34),"")</f>
        <v/>
      </c>
      <c r="DR35" s="17" t="str">
        <f>IF(DR$3&lt;=$B35,INDEX(Input!$I$43:$I$2956,DR$3+$A34),"")</f>
        <v/>
      </c>
      <c r="DS35" s="17" t="str">
        <f>IF(DS$3&lt;=$B35,INDEX(Input!$I$43:$I$2956,DS$3+$A34),"")</f>
        <v/>
      </c>
      <c r="DT35" s="17" t="str">
        <f>IF(DT$3&lt;=$B35,INDEX(Input!$I$43:$I$2956,DT$3+$A34),"")</f>
        <v/>
      </c>
      <c r="DU35" s="17" t="str">
        <f>IF(DU$3&lt;=$B35,INDEX(Input!$I$43:$I$2956,DU$3+$A34),"")</f>
        <v/>
      </c>
      <c r="DV35" s="17" t="str">
        <f>IF(DV$3&lt;=$B35,INDEX(Input!$I$43:$I$2956,DV$3+$A34),"")</f>
        <v/>
      </c>
      <c r="DW35" s="58" t="str">
        <f t="array" ref="DW35:EZ35">IFERROR(eccalc(E35:DV35,C35+B35,B35,$O$2:$AS$2),"")</f>
        <v/>
      </c>
      <c r="DX35" s="59" t="str">
        <v/>
      </c>
      <c r="DY35" s="59" t="str">
        <v/>
      </c>
      <c r="DZ35" s="59" t="str">
        <v/>
      </c>
      <c r="EA35" s="59" t="str">
        <v/>
      </c>
      <c r="EB35" s="59" t="str">
        <v/>
      </c>
      <c r="EC35" s="59" t="str">
        <v/>
      </c>
      <c r="ED35" s="59" t="str">
        <v/>
      </c>
      <c r="EE35" s="59" t="str">
        <v/>
      </c>
      <c r="EF35" s="59" t="str">
        <v/>
      </c>
      <c r="EG35" s="59" t="str">
        <v/>
      </c>
      <c r="EH35" s="59" t="str">
        <v/>
      </c>
      <c r="EI35" s="59" t="str">
        <v/>
      </c>
      <c r="EJ35" s="59" t="str">
        <v/>
      </c>
      <c r="EK35" s="59" t="str">
        <v/>
      </c>
      <c r="EL35" s="59" t="str">
        <v/>
      </c>
      <c r="EM35" s="59" t="str">
        <v/>
      </c>
      <c r="EN35" s="59" t="str">
        <v/>
      </c>
      <c r="EO35" s="59" t="str">
        <v/>
      </c>
      <c r="EP35" s="59" t="str">
        <v/>
      </c>
      <c r="EQ35" s="59" t="str">
        <v/>
      </c>
      <c r="ER35" s="59" t="str">
        <v/>
      </c>
      <c r="ES35" s="59" t="str">
        <v/>
      </c>
      <c r="ET35" s="59" t="str">
        <v/>
      </c>
      <c r="EU35" s="59" t="str">
        <v/>
      </c>
      <c r="EV35" s="59" t="str">
        <v/>
      </c>
      <c r="EW35" s="59" t="str">
        <v/>
      </c>
      <c r="EX35" s="59" t="str">
        <v/>
      </c>
      <c r="EY35" s="59" t="str">
        <v/>
      </c>
      <c r="EZ35" s="60" t="str">
        <v/>
      </c>
      <c r="FA35" s="17"/>
      <c r="FC35">
        <v>32</v>
      </c>
      <c r="FD35">
        <f t="shared" si="2"/>
        <v>16</v>
      </c>
      <c r="FE35">
        <f t="shared" si="3"/>
        <v>2</v>
      </c>
      <c r="FF35" t="str">
        <f t="shared" si="4"/>
        <v/>
      </c>
      <c r="FI35" s="16">
        <v>32</v>
      </c>
      <c r="FJ35" s="17">
        <f t="shared" si="5"/>
        <v>0</v>
      </c>
      <c r="FK35" s="17" t="str">
        <f t="shared" si="6"/>
        <v/>
      </c>
      <c r="FL35" s="18" t="str">
        <f t="shared" si="7"/>
        <v/>
      </c>
      <c r="FM35" s="2"/>
    </row>
    <row r="36" spans="1:169">
      <c r="A36">
        <f>SUM($B$4:B36)</f>
        <v>196</v>
      </c>
      <c r="B36">
        <f t="shared" si="0"/>
        <v>0</v>
      </c>
      <c r="C36" t="str">
        <f t="shared" si="1"/>
        <v/>
      </c>
      <c r="D36">
        <v>33</v>
      </c>
      <c r="E36" s="16" t="str">
        <f>IF(E$3&lt;=$B36,INDEX(Input!$I$43:$I$2956,E$3+$A35),"")</f>
        <v/>
      </c>
      <c r="F36" s="17" t="str">
        <f>IF(F$3&lt;=$B36,INDEX(Input!$I$43:$I$2956,F$3+$A35),"")</f>
        <v/>
      </c>
      <c r="G36" s="17" t="str">
        <f>IF(G$3&lt;=$B36,INDEX(Input!$I$43:$I$2956,G$3+$A35),"")</f>
        <v/>
      </c>
      <c r="H36" s="17" t="str">
        <f>IF(H$3&lt;=$B36,INDEX(Input!$I$43:$I$2956,H$3+$A35),"")</f>
        <v/>
      </c>
      <c r="I36" s="17" t="str">
        <f>IF(I$3&lt;=$B36,INDEX(Input!$I$43:$I$2956,I$3+$A35),"")</f>
        <v/>
      </c>
      <c r="J36" s="17" t="str">
        <f>IF(J$3&lt;=$B36,INDEX(Input!$I$43:$I$2956,J$3+$A35),"")</f>
        <v/>
      </c>
      <c r="K36" s="17" t="str">
        <f>IF(K$3&lt;=$B36,INDEX(Input!$I$43:$I$2956,K$3+$A35),"")</f>
        <v/>
      </c>
      <c r="L36" s="17" t="str">
        <f>IF(L$3&lt;=$B36,INDEX(Input!$I$43:$I$2956,L$3+$A35),"")</f>
        <v/>
      </c>
      <c r="M36" s="17" t="str">
        <f>IF(M$3&lt;=$B36,INDEX(Input!$I$43:$I$2956,M$3+$A35),"")</f>
        <v/>
      </c>
      <c r="N36" s="17" t="str">
        <f>IF(N$3&lt;=$B36,INDEX(Input!$I$43:$I$2956,N$3+$A35),"")</f>
        <v/>
      </c>
      <c r="O36" s="17" t="str">
        <f>IF(O$3&lt;=$B36,INDEX(Input!$I$43:$I$2956,O$3+$A35),"")</f>
        <v/>
      </c>
      <c r="P36" s="17" t="str">
        <f>IF(P$3&lt;=$B36,INDEX(Input!$I$43:$I$2956,P$3+$A35),"")</f>
        <v/>
      </c>
      <c r="Q36" s="17" t="str">
        <f>IF(Q$3&lt;=$B36,INDEX(Input!$I$43:$I$2956,Q$3+$A35),"")</f>
        <v/>
      </c>
      <c r="R36" s="17" t="str">
        <f>IF(R$3&lt;=$B36,INDEX(Input!$I$43:$I$2956,R$3+$A35),"")</f>
        <v/>
      </c>
      <c r="S36" s="17" t="str">
        <f>IF(S$3&lt;=$B36,INDEX(Input!$I$43:$I$2956,S$3+$A35),"")</f>
        <v/>
      </c>
      <c r="T36" s="17" t="str">
        <f>IF(T$3&lt;=$B36,INDEX(Input!$I$43:$I$2956,T$3+$A35),"")</f>
        <v/>
      </c>
      <c r="U36" s="17" t="str">
        <f>IF(U$3&lt;=$B36,INDEX(Input!$I$43:$I$2956,U$3+$A35),"")</f>
        <v/>
      </c>
      <c r="V36" s="17" t="str">
        <f>IF(V$3&lt;=$B36,INDEX(Input!$I$43:$I$2956,V$3+$A35),"")</f>
        <v/>
      </c>
      <c r="W36" s="17" t="str">
        <f>IF(W$3&lt;=$B36,INDEX(Input!$I$43:$I$2956,W$3+$A35),"")</f>
        <v/>
      </c>
      <c r="X36" s="17" t="str">
        <f>IF(X$3&lt;=$B36,INDEX(Input!$I$43:$I$2956,X$3+$A35),"")</f>
        <v/>
      </c>
      <c r="Y36" s="17" t="str">
        <f>IF(Y$3&lt;=$B36,INDEX(Input!$I$43:$I$2956,Y$3+$A35),"")</f>
        <v/>
      </c>
      <c r="Z36" s="17" t="str">
        <f>IF(Z$3&lt;=$B36,INDEX(Input!$I$43:$I$2956,Z$3+$A35),"")</f>
        <v/>
      </c>
      <c r="AA36" s="17" t="str">
        <f>IF(AA$3&lt;=$B36,INDEX(Input!$I$43:$I$2956,AA$3+$A35),"")</f>
        <v/>
      </c>
      <c r="AB36" s="17" t="str">
        <f>IF(AB$3&lt;=$B36,INDEX(Input!$I$43:$I$2956,AB$3+$A35),"")</f>
        <v/>
      </c>
      <c r="AC36" s="17" t="str">
        <f>IF(AC$3&lt;=$B36,INDEX(Input!$I$43:$I$2956,AC$3+$A35),"")</f>
        <v/>
      </c>
      <c r="AD36" s="17" t="str">
        <f>IF(AD$3&lt;=$B36,INDEX(Input!$I$43:$I$2956,AD$3+$A35),"")</f>
        <v/>
      </c>
      <c r="AE36" s="17" t="str">
        <f>IF(AE$3&lt;=$B36,INDEX(Input!$I$43:$I$2956,AE$3+$A35),"")</f>
        <v/>
      </c>
      <c r="AF36" s="17" t="str">
        <f>IF(AF$3&lt;=$B36,INDEX(Input!$I$43:$I$2956,AF$3+$A35),"")</f>
        <v/>
      </c>
      <c r="AG36" s="17" t="str">
        <f>IF(AG$3&lt;=$B36,INDEX(Input!$I$43:$I$2956,AG$3+$A35),"")</f>
        <v/>
      </c>
      <c r="AH36" s="17" t="str">
        <f>IF(AH$3&lt;=$B36,INDEX(Input!$I$43:$I$2956,AH$3+$A35),"")</f>
        <v/>
      </c>
      <c r="AI36" s="17" t="str">
        <f>IF(AI$3&lt;=$B36,INDEX(Input!$I$43:$I$2956,AI$3+$A35),"")</f>
        <v/>
      </c>
      <c r="AJ36" s="17" t="str">
        <f>IF(AJ$3&lt;=$B36,INDEX(Input!$I$43:$I$2956,AJ$3+$A35),"")</f>
        <v/>
      </c>
      <c r="AK36" s="17" t="str">
        <f>IF(AK$3&lt;=$B36,INDEX(Input!$I$43:$I$2956,AK$3+$A35),"")</f>
        <v/>
      </c>
      <c r="AL36" s="17" t="str">
        <f>IF(AL$3&lt;=$B36,INDEX(Input!$I$43:$I$2956,AL$3+$A35),"")</f>
        <v/>
      </c>
      <c r="AM36" s="17" t="str">
        <f>IF(AM$3&lt;=$B36,INDEX(Input!$I$43:$I$2956,AM$3+$A35),"")</f>
        <v/>
      </c>
      <c r="AN36" s="17" t="str">
        <f>IF(AN$3&lt;=$B36,INDEX(Input!$I$43:$I$2956,AN$3+$A35),"")</f>
        <v/>
      </c>
      <c r="AO36" s="17" t="str">
        <f>IF(AO$3&lt;=$B36,INDEX(Input!$I$43:$I$2956,AO$3+$A35),"")</f>
        <v/>
      </c>
      <c r="AP36" s="17" t="str">
        <f>IF(AP$3&lt;=$B36,INDEX(Input!$I$43:$I$2956,AP$3+$A35),"")</f>
        <v/>
      </c>
      <c r="AQ36" s="17" t="str">
        <f>IF(AQ$3&lt;=$B36,INDEX(Input!$I$43:$I$2956,AQ$3+$A35),"")</f>
        <v/>
      </c>
      <c r="AR36" s="17" t="str">
        <f>IF(AR$3&lt;=$B36,INDEX(Input!$I$43:$I$2956,AR$3+$A35),"")</f>
        <v/>
      </c>
      <c r="AS36" s="17" t="str">
        <f>IF(AS$3&lt;=$B36,INDEX(Input!$I$43:$I$2956,AS$3+$A35),"")</f>
        <v/>
      </c>
      <c r="AT36" s="17" t="str">
        <f>IF(AT$3&lt;=$B36,INDEX(Input!$I$43:$I$2956,AT$3+$A35),"")</f>
        <v/>
      </c>
      <c r="AU36" s="17" t="str">
        <f>IF(AU$3&lt;=$B36,INDEX(Input!$I$43:$I$2956,AU$3+$A35),"")</f>
        <v/>
      </c>
      <c r="AV36" s="17" t="str">
        <f>IF(AV$3&lt;=$B36,INDEX(Input!$I$43:$I$2956,AV$3+$A35),"")</f>
        <v/>
      </c>
      <c r="AW36" s="17" t="str">
        <f>IF(AW$3&lt;=$B36,INDEX(Input!$I$43:$I$2956,AW$3+$A35),"")</f>
        <v/>
      </c>
      <c r="AX36" s="17" t="str">
        <f>IF(AX$3&lt;=$B36,INDEX(Input!$I$43:$I$2956,AX$3+$A35),"")</f>
        <v/>
      </c>
      <c r="AY36" s="17" t="str">
        <f>IF(AY$3&lt;=$B36,INDEX(Input!$I$43:$I$2956,AY$3+$A35),"")</f>
        <v/>
      </c>
      <c r="AZ36" s="17" t="str">
        <f>IF(AZ$3&lt;=$B36,INDEX(Input!$I$43:$I$2956,AZ$3+$A35),"")</f>
        <v/>
      </c>
      <c r="BA36" s="17" t="str">
        <f>IF(BA$3&lt;=$B36,INDEX(Input!$I$43:$I$2956,BA$3+$A35),"")</f>
        <v/>
      </c>
      <c r="BB36" s="17" t="str">
        <f>IF(BB$3&lt;=$B36,INDEX(Input!$I$43:$I$2956,BB$3+$A35),"")</f>
        <v/>
      </c>
      <c r="BC36" s="17" t="str">
        <f>IF(BC$3&lt;=$B36,INDEX(Input!$I$43:$I$2956,BC$3+$A35),"")</f>
        <v/>
      </c>
      <c r="BD36" s="17" t="str">
        <f>IF(BD$3&lt;=$B36,INDEX(Input!$I$43:$I$2956,BD$3+$A35),"")</f>
        <v/>
      </c>
      <c r="BE36" s="17" t="str">
        <f>IF(BE$3&lt;=$B36,INDEX(Input!$I$43:$I$2956,BE$3+$A35),"")</f>
        <v/>
      </c>
      <c r="BF36" s="17" t="str">
        <f>IF(BF$3&lt;=$B36,INDEX(Input!$I$43:$I$2956,BF$3+$A35),"")</f>
        <v/>
      </c>
      <c r="BG36" s="17" t="str">
        <f>IF(BG$3&lt;=$B36,INDEX(Input!$I$43:$I$2956,BG$3+$A35),"")</f>
        <v/>
      </c>
      <c r="BH36" s="17" t="str">
        <f>IF(BH$3&lt;=$B36,INDEX(Input!$I$43:$I$2956,BH$3+$A35),"")</f>
        <v/>
      </c>
      <c r="BI36" s="17" t="str">
        <f>IF(BI$3&lt;=$B36,INDEX(Input!$I$43:$I$2956,BI$3+$A35),"")</f>
        <v/>
      </c>
      <c r="BJ36" s="17" t="str">
        <f>IF(BJ$3&lt;=$B36,INDEX(Input!$I$43:$I$2956,BJ$3+$A35),"")</f>
        <v/>
      </c>
      <c r="BK36" s="17" t="str">
        <f>IF(BK$3&lt;=$B36,INDEX(Input!$I$43:$I$2956,BK$3+$A35),"")</f>
        <v/>
      </c>
      <c r="BL36" s="17" t="str">
        <f>IF(BL$3&lt;=$B36,INDEX(Input!$I$43:$I$2956,BL$3+$A35),"")</f>
        <v/>
      </c>
      <c r="BM36" s="17" t="str">
        <f>IF(BM$3&lt;=$B36,INDEX(Input!$I$43:$I$2956,BM$3+$A35),"")</f>
        <v/>
      </c>
      <c r="BN36" s="17" t="str">
        <f>IF(BN$3&lt;=$B36,INDEX(Input!$I$43:$I$2956,BN$3+$A35),"")</f>
        <v/>
      </c>
      <c r="BO36" s="17" t="str">
        <f>IF(BO$3&lt;=$B36,INDEX(Input!$I$43:$I$2956,BO$3+$A35),"")</f>
        <v/>
      </c>
      <c r="BP36" s="17" t="str">
        <f>IF(BP$3&lt;=$B36,INDEX(Input!$I$43:$I$2956,BP$3+$A35),"")</f>
        <v/>
      </c>
      <c r="BQ36" s="17" t="str">
        <f>IF(BQ$3&lt;=$B36,INDEX(Input!$I$43:$I$2956,BQ$3+$A35),"")</f>
        <v/>
      </c>
      <c r="BR36" s="17" t="str">
        <f>IF(BR$3&lt;=$B36,INDEX(Input!$I$43:$I$2956,BR$3+$A35),"")</f>
        <v/>
      </c>
      <c r="BS36" s="17" t="str">
        <f>IF(BS$3&lt;=$B36,INDEX(Input!$I$43:$I$2956,BS$3+$A35),"")</f>
        <v/>
      </c>
      <c r="BT36" s="17" t="str">
        <f>IF(BT$3&lt;=$B36,INDEX(Input!$I$43:$I$2956,BT$3+$A35),"")</f>
        <v/>
      </c>
      <c r="BU36" s="17" t="str">
        <f>IF(BU$3&lt;=$B36,INDEX(Input!$I$43:$I$2956,BU$3+$A35),"")</f>
        <v/>
      </c>
      <c r="BV36" s="17" t="str">
        <f>IF(BV$3&lt;=$B36,INDEX(Input!$I$43:$I$2956,BV$3+$A35),"")</f>
        <v/>
      </c>
      <c r="BW36" s="17" t="str">
        <f>IF(BW$3&lt;=$B36,INDEX(Input!$I$43:$I$2956,BW$3+$A35),"")</f>
        <v/>
      </c>
      <c r="BX36" s="17" t="str">
        <f>IF(BX$3&lt;=$B36,INDEX(Input!$I$43:$I$2956,BX$3+$A35),"")</f>
        <v/>
      </c>
      <c r="BY36" s="17" t="str">
        <f>IF(BY$3&lt;=$B36,INDEX(Input!$I$43:$I$2956,BY$3+$A35),"")</f>
        <v/>
      </c>
      <c r="BZ36" s="17" t="str">
        <f>IF(BZ$3&lt;=$B36,INDEX(Input!$I$43:$I$2956,BZ$3+$A35),"")</f>
        <v/>
      </c>
      <c r="CA36" s="17" t="str">
        <f>IF(CA$3&lt;=$B36,INDEX(Input!$I$43:$I$2956,CA$3+$A35),"")</f>
        <v/>
      </c>
      <c r="CB36" s="17" t="str">
        <f>IF(CB$3&lt;=$B36,INDEX(Input!$I$43:$I$2956,CB$3+$A35),"")</f>
        <v/>
      </c>
      <c r="CC36" s="17" t="str">
        <f>IF(CC$3&lt;=$B36,INDEX(Input!$I$43:$I$2956,CC$3+$A35),"")</f>
        <v/>
      </c>
      <c r="CD36" s="17" t="str">
        <f>IF(CD$3&lt;=$B36,INDEX(Input!$I$43:$I$2956,CD$3+$A35),"")</f>
        <v/>
      </c>
      <c r="CE36" s="17" t="str">
        <f>IF(CE$3&lt;=$B36,INDEX(Input!$I$43:$I$2956,CE$3+$A35),"")</f>
        <v/>
      </c>
      <c r="CF36" s="17" t="str">
        <f>IF(CF$3&lt;=$B36,INDEX(Input!$I$43:$I$2956,CF$3+$A35),"")</f>
        <v/>
      </c>
      <c r="CG36" s="17" t="str">
        <f>IF(CG$3&lt;=$B36,INDEX(Input!$I$43:$I$2956,CG$3+$A35),"")</f>
        <v/>
      </c>
      <c r="CH36" s="17" t="str">
        <f>IF(CH$3&lt;=$B36,INDEX(Input!$I$43:$I$2956,CH$3+$A35),"")</f>
        <v/>
      </c>
      <c r="CI36" s="17" t="str">
        <f>IF(CI$3&lt;=$B36,INDEX(Input!$I$43:$I$2956,CI$3+$A35),"")</f>
        <v/>
      </c>
      <c r="CJ36" s="17" t="str">
        <f>IF(CJ$3&lt;=$B36,INDEX(Input!$I$43:$I$2956,CJ$3+$A35),"")</f>
        <v/>
      </c>
      <c r="CK36" s="17" t="str">
        <f>IF(CK$3&lt;=$B36,INDEX(Input!$I$43:$I$2956,CK$3+$A35),"")</f>
        <v/>
      </c>
      <c r="CL36" s="17" t="str">
        <f>IF(CL$3&lt;=$B36,INDEX(Input!$I$43:$I$2956,CL$3+$A35),"")</f>
        <v/>
      </c>
      <c r="CM36" s="17" t="str">
        <f>IF(CM$3&lt;=$B36,INDEX(Input!$I$43:$I$2956,CM$3+$A35),"")</f>
        <v/>
      </c>
      <c r="CN36" s="17" t="str">
        <f>IF(CN$3&lt;=$B36,INDEX(Input!$I$43:$I$2956,CN$3+$A35),"")</f>
        <v/>
      </c>
      <c r="CO36" s="17" t="str">
        <f>IF(CO$3&lt;=$B36,INDEX(Input!$I$43:$I$2956,CO$3+$A35),"")</f>
        <v/>
      </c>
      <c r="CP36" s="17" t="str">
        <f>IF(CP$3&lt;=$B36,INDEX(Input!$I$43:$I$2956,CP$3+$A35),"")</f>
        <v/>
      </c>
      <c r="CQ36" s="17" t="str">
        <f>IF(CQ$3&lt;=$B36,INDEX(Input!$I$43:$I$2956,CQ$3+$A35),"")</f>
        <v/>
      </c>
      <c r="CR36" s="17" t="str">
        <f>IF(CR$3&lt;=$B36,INDEX(Input!$I$43:$I$2956,CR$3+$A35),"")</f>
        <v/>
      </c>
      <c r="CS36" s="17" t="str">
        <f>IF(CS$3&lt;=$B36,INDEX(Input!$I$43:$I$2956,CS$3+$A35),"")</f>
        <v/>
      </c>
      <c r="CT36" s="17" t="str">
        <f>IF(CT$3&lt;=$B36,INDEX(Input!$I$43:$I$2956,CT$3+$A35),"")</f>
        <v/>
      </c>
      <c r="CU36" s="17" t="str">
        <f>IF(CU$3&lt;=$B36,INDEX(Input!$I$43:$I$2956,CU$3+$A35),"")</f>
        <v/>
      </c>
      <c r="CV36" s="17" t="str">
        <f>IF(CV$3&lt;=$B36,INDEX(Input!$I$43:$I$2956,CV$3+$A35),"")</f>
        <v/>
      </c>
      <c r="CW36" s="17" t="str">
        <f>IF(CW$3&lt;=$B36,INDEX(Input!$I$43:$I$2956,CW$3+$A35),"")</f>
        <v/>
      </c>
      <c r="CX36" s="17" t="str">
        <f>IF(CX$3&lt;=$B36,INDEX(Input!$I$43:$I$2956,CX$3+$A35),"")</f>
        <v/>
      </c>
      <c r="CY36" s="17" t="str">
        <f>IF(CY$3&lt;=$B36,INDEX(Input!$I$43:$I$2956,CY$3+$A35),"")</f>
        <v/>
      </c>
      <c r="CZ36" s="17" t="str">
        <f>IF(CZ$3&lt;=$B36,INDEX(Input!$I$43:$I$2956,CZ$3+$A35),"")</f>
        <v/>
      </c>
      <c r="DA36" s="17" t="str">
        <f>IF(DA$3&lt;=$B36,INDEX(Input!$I$43:$I$2956,DA$3+$A35),"")</f>
        <v/>
      </c>
      <c r="DB36" s="17" t="str">
        <f>IF(DB$3&lt;=$B36,INDEX(Input!$I$43:$I$2956,DB$3+$A35),"")</f>
        <v/>
      </c>
      <c r="DC36" s="17" t="str">
        <f>IF(DC$3&lt;=$B36,INDEX(Input!$I$43:$I$2956,DC$3+$A35),"")</f>
        <v/>
      </c>
      <c r="DD36" s="17" t="str">
        <f>IF(DD$3&lt;=$B36,INDEX(Input!$I$43:$I$2956,DD$3+$A35),"")</f>
        <v/>
      </c>
      <c r="DE36" s="17" t="str">
        <f>IF(DE$3&lt;=$B36,INDEX(Input!$I$43:$I$2956,DE$3+$A35),"")</f>
        <v/>
      </c>
      <c r="DF36" s="17" t="str">
        <f>IF(DF$3&lt;=$B36,INDEX(Input!$I$43:$I$2956,DF$3+$A35),"")</f>
        <v/>
      </c>
      <c r="DG36" s="17" t="str">
        <f>IF(DG$3&lt;=$B36,INDEX(Input!$I$43:$I$2956,DG$3+$A35),"")</f>
        <v/>
      </c>
      <c r="DH36" s="17" t="str">
        <f>IF(DH$3&lt;=$B36,INDEX(Input!$I$43:$I$2956,DH$3+$A35),"")</f>
        <v/>
      </c>
      <c r="DI36" s="17" t="str">
        <f>IF(DI$3&lt;=$B36,INDEX(Input!$I$43:$I$2956,DI$3+$A35),"")</f>
        <v/>
      </c>
      <c r="DJ36" s="17" t="str">
        <f>IF(DJ$3&lt;=$B36,INDEX(Input!$I$43:$I$2956,DJ$3+$A35),"")</f>
        <v/>
      </c>
      <c r="DK36" s="17" t="str">
        <f>IF(DK$3&lt;=$B36,INDEX(Input!$I$43:$I$2956,DK$3+$A35),"")</f>
        <v/>
      </c>
      <c r="DL36" s="17" t="str">
        <f>IF(DL$3&lt;=$B36,INDEX(Input!$I$43:$I$2956,DL$3+$A35),"")</f>
        <v/>
      </c>
      <c r="DM36" s="17" t="str">
        <f>IF(DM$3&lt;=$B36,INDEX(Input!$I$43:$I$2956,DM$3+$A35),"")</f>
        <v/>
      </c>
      <c r="DN36" s="17" t="str">
        <f>IF(DN$3&lt;=$B36,INDEX(Input!$I$43:$I$2956,DN$3+$A35),"")</f>
        <v/>
      </c>
      <c r="DO36" s="17" t="str">
        <f>IF(DO$3&lt;=$B36,INDEX(Input!$I$43:$I$2956,DO$3+$A35),"")</f>
        <v/>
      </c>
      <c r="DP36" s="17" t="str">
        <f>IF(DP$3&lt;=$B36,INDEX(Input!$I$43:$I$2956,DP$3+$A35),"")</f>
        <v/>
      </c>
      <c r="DQ36" s="17" t="str">
        <f>IF(DQ$3&lt;=$B36,INDEX(Input!$I$43:$I$2956,DQ$3+$A35),"")</f>
        <v/>
      </c>
      <c r="DR36" s="17" t="str">
        <f>IF(DR$3&lt;=$B36,INDEX(Input!$I$43:$I$2956,DR$3+$A35),"")</f>
        <v/>
      </c>
      <c r="DS36" s="17" t="str">
        <f>IF(DS$3&lt;=$B36,INDEX(Input!$I$43:$I$2956,DS$3+$A35),"")</f>
        <v/>
      </c>
      <c r="DT36" s="17" t="str">
        <f>IF(DT$3&lt;=$B36,INDEX(Input!$I$43:$I$2956,DT$3+$A35),"")</f>
        <v/>
      </c>
      <c r="DU36" s="17" t="str">
        <f>IF(DU$3&lt;=$B36,INDEX(Input!$I$43:$I$2956,DU$3+$A35),"")</f>
        <v/>
      </c>
      <c r="DV36" s="17" t="str">
        <f>IF(DV$3&lt;=$B36,INDEX(Input!$I$43:$I$2956,DV$3+$A35),"")</f>
        <v/>
      </c>
      <c r="DW36" s="58" t="str">
        <f t="array" ref="DW36:EZ36">IFERROR(eccalc(E36:DV36,C36+B36,B36,$O$2:$AS$2),"")</f>
        <v/>
      </c>
      <c r="DX36" s="59" t="str">
        <v/>
      </c>
      <c r="DY36" s="59" t="str">
        <v/>
      </c>
      <c r="DZ36" s="59" t="str">
        <v/>
      </c>
      <c r="EA36" s="59" t="str">
        <v/>
      </c>
      <c r="EB36" s="59" t="str">
        <v/>
      </c>
      <c r="EC36" s="59" t="str">
        <v/>
      </c>
      <c r="ED36" s="59" t="str">
        <v/>
      </c>
      <c r="EE36" s="59" t="str">
        <v/>
      </c>
      <c r="EF36" s="59" t="str">
        <v/>
      </c>
      <c r="EG36" s="59" t="str">
        <v/>
      </c>
      <c r="EH36" s="59" t="str">
        <v/>
      </c>
      <c r="EI36" s="59" t="str">
        <v/>
      </c>
      <c r="EJ36" s="59" t="str">
        <v/>
      </c>
      <c r="EK36" s="59" t="str">
        <v/>
      </c>
      <c r="EL36" s="59" t="str">
        <v/>
      </c>
      <c r="EM36" s="59" t="str">
        <v/>
      </c>
      <c r="EN36" s="59" t="str">
        <v/>
      </c>
      <c r="EO36" s="59" t="str">
        <v/>
      </c>
      <c r="EP36" s="59" t="str">
        <v/>
      </c>
      <c r="EQ36" s="59" t="str">
        <v/>
      </c>
      <c r="ER36" s="59" t="str">
        <v/>
      </c>
      <c r="ES36" s="59" t="str">
        <v/>
      </c>
      <c r="ET36" s="59" t="str">
        <v/>
      </c>
      <c r="EU36" s="59" t="str">
        <v/>
      </c>
      <c r="EV36" s="59" t="str">
        <v/>
      </c>
      <c r="EW36" s="59" t="str">
        <v/>
      </c>
      <c r="EX36" s="59" t="str">
        <v/>
      </c>
      <c r="EY36" s="59" t="str">
        <v/>
      </c>
      <c r="EZ36" s="60" t="str">
        <v/>
      </c>
      <c r="FA36" s="17"/>
      <c r="FC36">
        <v>33</v>
      </c>
      <c r="FD36">
        <f t="shared" si="2"/>
        <v>1</v>
      </c>
      <c r="FE36">
        <f t="shared" si="3"/>
        <v>3</v>
      </c>
      <c r="FF36">
        <f t="shared" si="4"/>
        <v>206</v>
      </c>
      <c r="FI36" s="16">
        <v>33</v>
      </c>
      <c r="FJ36" s="17">
        <f t="shared" si="5"/>
        <v>159</v>
      </c>
      <c r="FK36" s="17">
        <f t="shared" si="6"/>
        <v>206</v>
      </c>
      <c r="FL36" s="18" t="str">
        <f t="shared" si="7"/>
        <v>11001110</v>
      </c>
      <c r="FM36" s="2"/>
    </row>
    <row r="37" spans="1:169">
      <c r="A37">
        <f>SUM($B$4:B37)</f>
        <v>196</v>
      </c>
      <c r="B37">
        <f t="shared" si="0"/>
        <v>0</v>
      </c>
      <c r="C37" t="str">
        <f t="shared" si="1"/>
        <v/>
      </c>
      <c r="D37">
        <v>34</v>
      </c>
      <c r="E37" s="16" t="str">
        <f>IF(E$3&lt;=$B37,INDEX(Input!$I$43:$I$2956,E$3+$A36),"")</f>
        <v/>
      </c>
      <c r="F37" s="17" t="str">
        <f>IF(F$3&lt;=$B37,INDEX(Input!$I$43:$I$2956,F$3+$A36),"")</f>
        <v/>
      </c>
      <c r="G37" s="17" t="str">
        <f>IF(G$3&lt;=$B37,INDEX(Input!$I$43:$I$2956,G$3+$A36),"")</f>
        <v/>
      </c>
      <c r="H37" s="17" t="str">
        <f>IF(H$3&lt;=$B37,INDEX(Input!$I$43:$I$2956,H$3+$A36),"")</f>
        <v/>
      </c>
      <c r="I37" s="17" t="str">
        <f>IF(I$3&lt;=$B37,INDEX(Input!$I$43:$I$2956,I$3+$A36),"")</f>
        <v/>
      </c>
      <c r="J37" s="17" t="str">
        <f>IF(J$3&lt;=$B37,INDEX(Input!$I$43:$I$2956,J$3+$A36),"")</f>
        <v/>
      </c>
      <c r="K37" s="17" t="str">
        <f>IF(K$3&lt;=$B37,INDEX(Input!$I$43:$I$2956,K$3+$A36),"")</f>
        <v/>
      </c>
      <c r="L37" s="17" t="str">
        <f>IF(L$3&lt;=$B37,INDEX(Input!$I$43:$I$2956,L$3+$A36),"")</f>
        <v/>
      </c>
      <c r="M37" s="17" t="str">
        <f>IF(M$3&lt;=$B37,INDEX(Input!$I$43:$I$2956,M$3+$A36),"")</f>
        <v/>
      </c>
      <c r="N37" s="17" t="str">
        <f>IF(N$3&lt;=$B37,INDEX(Input!$I$43:$I$2956,N$3+$A36),"")</f>
        <v/>
      </c>
      <c r="O37" s="17" t="str">
        <f>IF(O$3&lt;=$B37,INDEX(Input!$I$43:$I$2956,O$3+$A36),"")</f>
        <v/>
      </c>
      <c r="P37" s="17" t="str">
        <f>IF(P$3&lt;=$B37,INDEX(Input!$I$43:$I$2956,P$3+$A36),"")</f>
        <v/>
      </c>
      <c r="Q37" s="17" t="str">
        <f>IF(Q$3&lt;=$B37,INDEX(Input!$I$43:$I$2956,Q$3+$A36),"")</f>
        <v/>
      </c>
      <c r="R37" s="17" t="str">
        <f>IF(R$3&lt;=$B37,INDEX(Input!$I$43:$I$2956,R$3+$A36),"")</f>
        <v/>
      </c>
      <c r="S37" s="17" t="str">
        <f>IF(S$3&lt;=$B37,INDEX(Input!$I$43:$I$2956,S$3+$A36),"")</f>
        <v/>
      </c>
      <c r="T37" s="17" t="str">
        <f>IF(T$3&lt;=$B37,INDEX(Input!$I$43:$I$2956,T$3+$A36),"")</f>
        <v/>
      </c>
      <c r="U37" s="17" t="str">
        <f>IF(U$3&lt;=$B37,INDEX(Input!$I$43:$I$2956,U$3+$A36),"")</f>
        <v/>
      </c>
      <c r="V37" s="17" t="str">
        <f>IF(V$3&lt;=$B37,INDEX(Input!$I$43:$I$2956,V$3+$A36),"")</f>
        <v/>
      </c>
      <c r="W37" s="17" t="str">
        <f>IF(W$3&lt;=$B37,INDEX(Input!$I$43:$I$2956,W$3+$A36),"")</f>
        <v/>
      </c>
      <c r="X37" s="17" t="str">
        <f>IF(X$3&lt;=$B37,INDEX(Input!$I$43:$I$2956,X$3+$A36),"")</f>
        <v/>
      </c>
      <c r="Y37" s="17" t="str">
        <f>IF(Y$3&lt;=$B37,INDEX(Input!$I$43:$I$2956,Y$3+$A36),"")</f>
        <v/>
      </c>
      <c r="Z37" s="17" t="str">
        <f>IF(Z$3&lt;=$B37,INDEX(Input!$I$43:$I$2956,Z$3+$A36),"")</f>
        <v/>
      </c>
      <c r="AA37" s="17" t="str">
        <f>IF(AA$3&lt;=$B37,INDEX(Input!$I$43:$I$2956,AA$3+$A36),"")</f>
        <v/>
      </c>
      <c r="AB37" s="17" t="str">
        <f>IF(AB$3&lt;=$B37,INDEX(Input!$I$43:$I$2956,AB$3+$A36),"")</f>
        <v/>
      </c>
      <c r="AC37" s="17" t="str">
        <f>IF(AC$3&lt;=$B37,INDEX(Input!$I$43:$I$2956,AC$3+$A36),"")</f>
        <v/>
      </c>
      <c r="AD37" s="17" t="str">
        <f>IF(AD$3&lt;=$B37,INDEX(Input!$I$43:$I$2956,AD$3+$A36),"")</f>
        <v/>
      </c>
      <c r="AE37" s="17" t="str">
        <f>IF(AE$3&lt;=$B37,INDEX(Input!$I$43:$I$2956,AE$3+$A36),"")</f>
        <v/>
      </c>
      <c r="AF37" s="17" t="str">
        <f>IF(AF$3&lt;=$B37,INDEX(Input!$I$43:$I$2956,AF$3+$A36),"")</f>
        <v/>
      </c>
      <c r="AG37" s="17" t="str">
        <f>IF(AG$3&lt;=$B37,INDEX(Input!$I$43:$I$2956,AG$3+$A36),"")</f>
        <v/>
      </c>
      <c r="AH37" s="17" t="str">
        <f>IF(AH$3&lt;=$B37,INDEX(Input!$I$43:$I$2956,AH$3+$A36),"")</f>
        <v/>
      </c>
      <c r="AI37" s="17" t="str">
        <f>IF(AI$3&lt;=$B37,INDEX(Input!$I$43:$I$2956,AI$3+$A36),"")</f>
        <v/>
      </c>
      <c r="AJ37" s="17" t="str">
        <f>IF(AJ$3&lt;=$B37,INDEX(Input!$I$43:$I$2956,AJ$3+$A36),"")</f>
        <v/>
      </c>
      <c r="AK37" s="17" t="str">
        <f>IF(AK$3&lt;=$B37,INDEX(Input!$I$43:$I$2956,AK$3+$A36),"")</f>
        <v/>
      </c>
      <c r="AL37" s="17" t="str">
        <f>IF(AL$3&lt;=$B37,INDEX(Input!$I$43:$I$2956,AL$3+$A36),"")</f>
        <v/>
      </c>
      <c r="AM37" s="17" t="str">
        <f>IF(AM$3&lt;=$B37,INDEX(Input!$I$43:$I$2956,AM$3+$A36),"")</f>
        <v/>
      </c>
      <c r="AN37" s="17" t="str">
        <f>IF(AN$3&lt;=$B37,INDEX(Input!$I$43:$I$2956,AN$3+$A36),"")</f>
        <v/>
      </c>
      <c r="AO37" s="17" t="str">
        <f>IF(AO$3&lt;=$B37,INDEX(Input!$I$43:$I$2956,AO$3+$A36),"")</f>
        <v/>
      </c>
      <c r="AP37" s="17" t="str">
        <f>IF(AP$3&lt;=$B37,INDEX(Input!$I$43:$I$2956,AP$3+$A36),"")</f>
        <v/>
      </c>
      <c r="AQ37" s="17" t="str">
        <f>IF(AQ$3&lt;=$B37,INDEX(Input!$I$43:$I$2956,AQ$3+$A36),"")</f>
        <v/>
      </c>
      <c r="AR37" s="17" t="str">
        <f>IF(AR$3&lt;=$B37,INDEX(Input!$I$43:$I$2956,AR$3+$A36),"")</f>
        <v/>
      </c>
      <c r="AS37" s="17" t="str">
        <f>IF(AS$3&lt;=$B37,INDEX(Input!$I$43:$I$2956,AS$3+$A36),"")</f>
        <v/>
      </c>
      <c r="AT37" s="17" t="str">
        <f>IF(AT$3&lt;=$B37,INDEX(Input!$I$43:$I$2956,AT$3+$A36),"")</f>
        <v/>
      </c>
      <c r="AU37" s="17" t="str">
        <f>IF(AU$3&lt;=$B37,INDEX(Input!$I$43:$I$2956,AU$3+$A36),"")</f>
        <v/>
      </c>
      <c r="AV37" s="17" t="str">
        <f>IF(AV$3&lt;=$B37,INDEX(Input!$I$43:$I$2956,AV$3+$A36),"")</f>
        <v/>
      </c>
      <c r="AW37" s="17" t="str">
        <f>IF(AW$3&lt;=$B37,INDEX(Input!$I$43:$I$2956,AW$3+$A36),"")</f>
        <v/>
      </c>
      <c r="AX37" s="17" t="str">
        <f>IF(AX$3&lt;=$B37,INDEX(Input!$I$43:$I$2956,AX$3+$A36),"")</f>
        <v/>
      </c>
      <c r="AY37" s="17" t="str">
        <f>IF(AY$3&lt;=$B37,INDEX(Input!$I$43:$I$2956,AY$3+$A36),"")</f>
        <v/>
      </c>
      <c r="AZ37" s="17" t="str">
        <f>IF(AZ$3&lt;=$B37,INDEX(Input!$I$43:$I$2956,AZ$3+$A36),"")</f>
        <v/>
      </c>
      <c r="BA37" s="17" t="str">
        <f>IF(BA$3&lt;=$B37,INDEX(Input!$I$43:$I$2956,BA$3+$A36),"")</f>
        <v/>
      </c>
      <c r="BB37" s="17" t="str">
        <f>IF(BB$3&lt;=$B37,INDEX(Input!$I$43:$I$2956,BB$3+$A36),"")</f>
        <v/>
      </c>
      <c r="BC37" s="17" t="str">
        <f>IF(BC$3&lt;=$B37,INDEX(Input!$I$43:$I$2956,BC$3+$A36),"")</f>
        <v/>
      </c>
      <c r="BD37" s="17" t="str">
        <f>IF(BD$3&lt;=$B37,INDEX(Input!$I$43:$I$2956,BD$3+$A36),"")</f>
        <v/>
      </c>
      <c r="BE37" s="17" t="str">
        <f>IF(BE$3&lt;=$B37,INDEX(Input!$I$43:$I$2956,BE$3+$A36),"")</f>
        <v/>
      </c>
      <c r="BF37" s="17" t="str">
        <f>IF(BF$3&lt;=$B37,INDEX(Input!$I$43:$I$2956,BF$3+$A36),"")</f>
        <v/>
      </c>
      <c r="BG37" s="17" t="str">
        <f>IF(BG$3&lt;=$B37,INDEX(Input!$I$43:$I$2956,BG$3+$A36),"")</f>
        <v/>
      </c>
      <c r="BH37" s="17" t="str">
        <f>IF(BH$3&lt;=$B37,INDEX(Input!$I$43:$I$2956,BH$3+$A36),"")</f>
        <v/>
      </c>
      <c r="BI37" s="17" t="str">
        <f>IF(BI$3&lt;=$B37,INDEX(Input!$I$43:$I$2956,BI$3+$A36),"")</f>
        <v/>
      </c>
      <c r="BJ37" s="17" t="str">
        <f>IF(BJ$3&lt;=$B37,INDEX(Input!$I$43:$I$2956,BJ$3+$A36),"")</f>
        <v/>
      </c>
      <c r="BK37" s="17" t="str">
        <f>IF(BK$3&lt;=$B37,INDEX(Input!$I$43:$I$2956,BK$3+$A36),"")</f>
        <v/>
      </c>
      <c r="BL37" s="17" t="str">
        <f>IF(BL$3&lt;=$B37,INDEX(Input!$I$43:$I$2956,BL$3+$A36),"")</f>
        <v/>
      </c>
      <c r="BM37" s="17" t="str">
        <f>IF(BM$3&lt;=$B37,INDEX(Input!$I$43:$I$2956,BM$3+$A36),"")</f>
        <v/>
      </c>
      <c r="BN37" s="17" t="str">
        <f>IF(BN$3&lt;=$B37,INDEX(Input!$I$43:$I$2956,BN$3+$A36),"")</f>
        <v/>
      </c>
      <c r="BO37" s="17" t="str">
        <f>IF(BO$3&lt;=$B37,INDEX(Input!$I$43:$I$2956,BO$3+$A36),"")</f>
        <v/>
      </c>
      <c r="BP37" s="17" t="str">
        <f>IF(BP$3&lt;=$B37,INDEX(Input!$I$43:$I$2956,BP$3+$A36),"")</f>
        <v/>
      </c>
      <c r="BQ37" s="17" t="str">
        <f>IF(BQ$3&lt;=$B37,INDEX(Input!$I$43:$I$2956,BQ$3+$A36),"")</f>
        <v/>
      </c>
      <c r="BR37" s="17" t="str">
        <f>IF(BR$3&lt;=$B37,INDEX(Input!$I$43:$I$2956,BR$3+$A36),"")</f>
        <v/>
      </c>
      <c r="BS37" s="17" t="str">
        <f>IF(BS$3&lt;=$B37,INDEX(Input!$I$43:$I$2956,BS$3+$A36),"")</f>
        <v/>
      </c>
      <c r="BT37" s="17" t="str">
        <f>IF(BT$3&lt;=$B37,INDEX(Input!$I$43:$I$2956,BT$3+$A36),"")</f>
        <v/>
      </c>
      <c r="BU37" s="17" t="str">
        <f>IF(BU$3&lt;=$B37,INDEX(Input!$I$43:$I$2956,BU$3+$A36),"")</f>
        <v/>
      </c>
      <c r="BV37" s="17" t="str">
        <f>IF(BV$3&lt;=$B37,INDEX(Input!$I$43:$I$2956,BV$3+$A36),"")</f>
        <v/>
      </c>
      <c r="BW37" s="17" t="str">
        <f>IF(BW$3&lt;=$B37,INDEX(Input!$I$43:$I$2956,BW$3+$A36),"")</f>
        <v/>
      </c>
      <c r="BX37" s="17" t="str">
        <f>IF(BX$3&lt;=$B37,INDEX(Input!$I$43:$I$2956,BX$3+$A36),"")</f>
        <v/>
      </c>
      <c r="BY37" s="17" t="str">
        <f>IF(BY$3&lt;=$B37,INDEX(Input!$I$43:$I$2956,BY$3+$A36),"")</f>
        <v/>
      </c>
      <c r="BZ37" s="17" t="str">
        <f>IF(BZ$3&lt;=$B37,INDEX(Input!$I$43:$I$2956,BZ$3+$A36),"")</f>
        <v/>
      </c>
      <c r="CA37" s="17" t="str">
        <f>IF(CA$3&lt;=$B37,INDEX(Input!$I$43:$I$2956,CA$3+$A36),"")</f>
        <v/>
      </c>
      <c r="CB37" s="17" t="str">
        <f>IF(CB$3&lt;=$B37,INDEX(Input!$I$43:$I$2956,CB$3+$A36),"")</f>
        <v/>
      </c>
      <c r="CC37" s="17" t="str">
        <f>IF(CC$3&lt;=$B37,INDEX(Input!$I$43:$I$2956,CC$3+$A36),"")</f>
        <v/>
      </c>
      <c r="CD37" s="17" t="str">
        <f>IF(CD$3&lt;=$B37,INDEX(Input!$I$43:$I$2956,CD$3+$A36),"")</f>
        <v/>
      </c>
      <c r="CE37" s="17" t="str">
        <f>IF(CE$3&lt;=$B37,INDEX(Input!$I$43:$I$2956,CE$3+$A36),"")</f>
        <v/>
      </c>
      <c r="CF37" s="17" t="str">
        <f>IF(CF$3&lt;=$B37,INDEX(Input!$I$43:$I$2956,CF$3+$A36),"")</f>
        <v/>
      </c>
      <c r="CG37" s="17" t="str">
        <f>IF(CG$3&lt;=$B37,INDEX(Input!$I$43:$I$2956,CG$3+$A36),"")</f>
        <v/>
      </c>
      <c r="CH37" s="17" t="str">
        <f>IF(CH$3&lt;=$B37,INDEX(Input!$I$43:$I$2956,CH$3+$A36),"")</f>
        <v/>
      </c>
      <c r="CI37" s="17" t="str">
        <f>IF(CI$3&lt;=$B37,INDEX(Input!$I$43:$I$2956,CI$3+$A36),"")</f>
        <v/>
      </c>
      <c r="CJ37" s="17" t="str">
        <f>IF(CJ$3&lt;=$B37,INDEX(Input!$I$43:$I$2956,CJ$3+$A36),"")</f>
        <v/>
      </c>
      <c r="CK37" s="17" t="str">
        <f>IF(CK$3&lt;=$B37,INDEX(Input!$I$43:$I$2956,CK$3+$A36),"")</f>
        <v/>
      </c>
      <c r="CL37" s="17" t="str">
        <f>IF(CL$3&lt;=$B37,INDEX(Input!$I$43:$I$2956,CL$3+$A36),"")</f>
        <v/>
      </c>
      <c r="CM37" s="17" t="str">
        <f>IF(CM$3&lt;=$B37,INDEX(Input!$I$43:$I$2956,CM$3+$A36),"")</f>
        <v/>
      </c>
      <c r="CN37" s="17" t="str">
        <f>IF(CN$3&lt;=$B37,INDEX(Input!$I$43:$I$2956,CN$3+$A36),"")</f>
        <v/>
      </c>
      <c r="CO37" s="17" t="str">
        <f>IF(CO$3&lt;=$B37,INDEX(Input!$I$43:$I$2956,CO$3+$A36),"")</f>
        <v/>
      </c>
      <c r="CP37" s="17" t="str">
        <f>IF(CP$3&lt;=$B37,INDEX(Input!$I$43:$I$2956,CP$3+$A36),"")</f>
        <v/>
      </c>
      <c r="CQ37" s="17" t="str">
        <f>IF(CQ$3&lt;=$B37,INDEX(Input!$I$43:$I$2956,CQ$3+$A36),"")</f>
        <v/>
      </c>
      <c r="CR37" s="17" t="str">
        <f>IF(CR$3&lt;=$B37,INDEX(Input!$I$43:$I$2956,CR$3+$A36),"")</f>
        <v/>
      </c>
      <c r="CS37" s="17" t="str">
        <f>IF(CS$3&lt;=$B37,INDEX(Input!$I$43:$I$2956,CS$3+$A36),"")</f>
        <v/>
      </c>
      <c r="CT37" s="17" t="str">
        <f>IF(CT$3&lt;=$B37,INDEX(Input!$I$43:$I$2956,CT$3+$A36),"")</f>
        <v/>
      </c>
      <c r="CU37" s="17" t="str">
        <f>IF(CU$3&lt;=$B37,INDEX(Input!$I$43:$I$2956,CU$3+$A36),"")</f>
        <v/>
      </c>
      <c r="CV37" s="17" t="str">
        <f>IF(CV$3&lt;=$B37,INDEX(Input!$I$43:$I$2956,CV$3+$A36),"")</f>
        <v/>
      </c>
      <c r="CW37" s="17" t="str">
        <f>IF(CW$3&lt;=$B37,INDEX(Input!$I$43:$I$2956,CW$3+$A36),"")</f>
        <v/>
      </c>
      <c r="CX37" s="17" t="str">
        <f>IF(CX$3&lt;=$B37,INDEX(Input!$I$43:$I$2956,CX$3+$A36),"")</f>
        <v/>
      </c>
      <c r="CY37" s="17" t="str">
        <f>IF(CY$3&lt;=$B37,INDEX(Input!$I$43:$I$2956,CY$3+$A36),"")</f>
        <v/>
      </c>
      <c r="CZ37" s="17" t="str">
        <f>IF(CZ$3&lt;=$B37,INDEX(Input!$I$43:$I$2956,CZ$3+$A36),"")</f>
        <v/>
      </c>
      <c r="DA37" s="17" t="str">
        <f>IF(DA$3&lt;=$B37,INDEX(Input!$I$43:$I$2956,DA$3+$A36),"")</f>
        <v/>
      </c>
      <c r="DB37" s="17" t="str">
        <f>IF(DB$3&lt;=$B37,INDEX(Input!$I$43:$I$2956,DB$3+$A36),"")</f>
        <v/>
      </c>
      <c r="DC37" s="17" t="str">
        <f>IF(DC$3&lt;=$B37,INDEX(Input!$I$43:$I$2956,DC$3+$A36),"")</f>
        <v/>
      </c>
      <c r="DD37" s="17" t="str">
        <f>IF(DD$3&lt;=$B37,INDEX(Input!$I$43:$I$2956,DD$3+$A36),"")</f>
        <v/>
      </c>
      <c r="DE37" s="17" t="str">
        <f>IF(DE$3&lt;=$B37,INDEX(Input!$I$43:$I$2956,DE$3+$A36),"")</f>
        <v/>
      </c>
      <c r="DF37" s="17" t="str">
        <f>IF(DF$3&lt;=$B37,INDEX(Input!$I$43:$I$2956,DF$3+$A36),"")</f>
        <v/>
      </c>
      <c r="DG37" s="17" t="str">
        <f>IF(DG$3&lt;=$B37,INDEX(Input!$I$43:$I$2956,DG$3+$A36),"")</f>
        <v/>
      </c>
      <c r="DH37" s="17" t="str">
        <f>IF(DH$3&lt;=$B37,INDEX(Input!$I$43:$I$2956,DH$3+$A36),"")</f>
        <v/>
      </c>
      <c r="DI37" s="17" t="str">
        <f>IF(DI$3&lt;=$B37,INDEX(Input!$I$43:$I$2956,DI$3+$A36),"")</f>
        <v/>
      </c>
      <c r="DJ37" s="17" t="str">
        <f>IF(DJ$3&lt;=$B37,INDEX(Input!$I$43:$I$2956,DJ$3+$A36),"")</f>
        <v/>
      </c>
      <c r="DK37" s="17" t="str">
        <f>IF(DK$3&lt;=$B37,INDEX(Input!$I$43:$I$2956,DK$3+$A36),"")</f>
        <v/>
      </c>
      <c r="DL37" s="17" t="str">
        <f>IF(DL$3&lt;=$B37,INDEX(Input!$I$43:$I$2956,DL$3+$A36),"")</f>
        <v/>
      </c>
      <c r="DM37" s="17" t="str">
        <f>IF(DM$3&lt;=$B37,INDEX(Input!$I$43:$I$2956,DM$3+$A36),"")</f>
        <v/>
      </c>
      <c r="DN37" s="17" t="str">
        <f>IF(DN$3&lt;=$B37,INDEX(Input!$I$43:$I$2956,DN$3+$A36),"")</f>
        <v/>
      </c>
      <c r="DO37" s="17" t="str">
        <f>IF(DO$3&lt;=$B37,INDEX(Input!$I$43:$I$2956,DO$3+$A36),"")</f>
        <v/>
      </c>
      <c r="DP37" s="17" t="str">
        <f>IF(DP$3&lt;=$B37,INDEX(Input!$I$43:$I$2956,DP$3+$A36),"")</f>
        <v/>
      </c>
      <c r="DQ37" s="17" t="str">
        <f>IF(DQ$3&lt;=$B37,INDEX(Input!$I$43:$I$2956,DQ$3+$A36),"")</f>
        <v/>
      </c>
      <c r="DR37" s="17" t="str">
        <f>IF(DR$3&lt;=$B37,INDEX(Input!$I$43:$I$2956,DR$3+$A36),"")</f>
        <v/>
      </c>
      <c r="DS37" s="17" t="str">
        <f>IF(DS$3&lt;=$B37,INDEX(Input!$I$43:$I$2956,DS$3+$A36),"")</f>
        <v/>
      </c>
      <c r="DT37" s="17" t="str">
        <f>IF(DT$3&lt;=$B37,INDEX(Input!$I$43:$I$2956,DT$3+$A36),"")</f>
        <v/>
      </c>
      <c r="DU37" s="17" t="str">
        <f>IF(DU$3&lt;=$B37,INDEX(Input!$I$43:$I$2956,DU$3+$A36),"")</f>
        <v/>
      </c>
      <c r="DV37" s="17" t="str">
        <f>IF(DV$3&lt;=$B37,INDEX(Input!$I$43:$I$2956,DV$3+$A36),"")</f>
        <v/>
      </c>
      <c r="DW37" s="58" t="str">
        <f t="array" ref="DW37:EZ37">IFERROR(eccalc(E37:DV37,C37+B37,B37,$O$2:$AS$2),"")</f>
        <v/>
      </c>
      <c r="DX37" s="59" t="str">
        <v/>
      </c>
      <c r="DY37" s="59" t="str">
        <v/>
      </c>
      <c r="DZ37" s="59" t="str">
        <v/>
      </c>
      <c r="EA37" s="59" t="str">
        <v/>
      </c>
      <c r="EB37" s="59" t="str">
        <v/>
      </c>
      <c r="EC37" s="59" t="str">
        <v/>
      </c>
      <c r="ED37" s="59" t="str">
        <v/>
      </c>
      <c r="EE37" s="59" t="str">
        <v/>
      </c>
      <c r="EF37" s="59" t="str">
        <v/>
      </c>
      <c r="EG37" s="59" t="str">
        <v/>
      </c>
      <c r="EH37" s="59" t="str">
        <v/>
      </c>
      <c r="EI37" s="59" t="str">
        <v/>
      </c>
      <c r="EJ37" s="59" t="str">
        <v/>
      </c>
      <c r="EK37" s="59" t="str">
        <v/>
      </c>
      <c r="EL37" s="59" t="str">
        <v/>
      </c>
      <c r="EM37" s="59" t="str">
        <v/>
      </c>
      <c r="EN37" s="59" t="str">
        <v/>
      </c>
      <c r="EO37" s="59" t="str">
        <v/>
      </c>
      <c r="EP37" s="59" t="str">
        <v/>
      </c>
      <c r="EQ37" s="59" t="str">
        <v/>
      </c>
      <c r="ER37" s="59" t="str">
        <v/>
      </c>
      <c r="ES37" s="59" t="str">
        <v/>
      </c>
      <c r="ET37" s="59" t="str">
        <v/>
      </c>
      <c r="EU37" s="59" t="str">
        <v/>
      </c>
      <c r="EV37" s="59" t="str">
        <v/>
      </c>
      <c r="EW37" s="59" t="str">
        <v/>
      </c>
      <c r="EX37" s="59" t="str">
        <v/>
      </c>
      <c r="EY37" s="59" t="str">
        <v/>
      </c>
      <c r="EZ37" s="60" t="str">
        <v/>
      </c>
      <c r="FA37" s="17"/>
      <c r="FC37">
        <v>34</v>
      </c>
      <c r="FD37">
        <f t="shared" si="2"/>
        <v>2</v>
      </c>
      <c r="FE37">
        <f t="shared" si="3"/>
        <v>3</v>
      </c>
      <c r="FF37">
        <f t="shared" si="4"/>
        <v>50</v>
      </c>
      <c r="FI37" s="16">
        <v>34</v>
      </c>
      <c r="FJ37" s="17">
        <f t="shared" si="5"/>
        <v>239</v>
      </c>
      <c r="FK37" s="17">
        <f t="shared" si="6"/>
        <v>50</v>
      </c>
      <c r="FL37" s="18" t="str">
        <f t="shared" si="7"/>
        <v>00110010</v>
      </c>
      <c r="FM37" s="2"/>
    </row>
    <row r="38" spans="1:169">
      <c r="A38">
        <f>SUM($B$4:B38)</f>
        <v>196</v>
      </c>
      <c r="B38">
        <f t="shared" si="0"/>
        <v>0</v>
      </c>
      <c r="C38" t="str">
        <f t="shared" si="1"/>
        <v/>
      </c>
      <c r="D38">
        <v>35</v>
      </c>
      <c r="E38" s="16" t="str">
        <f>IF(E$3&lt;=$B38,INDEX(Input!$I$43:$I$2956,E$3+$A37),"")</f>
        <v/>
      </c>
      <c r="F38" s="17" t="str">
        <f>IF(F$3&lt;=$B38,INDEX(Input!$I$43:$I$2956,F$3+$A37),"")</f>
        <v/>
      </c>
      <c r="G38" s="17" t="str">
        <f>IF(G$3&lt;=$B38,INDEX(Input!$I$43:$I$2956,G$3+$A37),"")</f>
        <v/>
      </c>
      <c r="H38" s="17" t="str">
        <f>IF(H$3&lt;=$B38,INDEX(Input!$I$43:$I$2956,H$3+$A37),"")</f>
        <v/>
      </c>
      <c r="I38" s="17" t="str">
        <f>IF(I$3&lt;=$B38,INDEX(Input!$I$43:$I$2956,I$3+$A37),"")</f>
        <v/>
      </c>
      <c r="J38" s="17" t="str">
        <f>IF(J$3&lt;=$B38,INDEX(Input!$I$43:$I$2956,J$3+$A37),"")</f>
        <v/>
      </c>
      <c r="K38" s="17" t="str">
        <f>IF(K$3&lt;=$B38,INDEX(Input!$I$43:$I$2956,K$3+$A37),"")</f>
        <v/>
      </c>
      <c r="L38" s="17" t="str">
        <f>IF(L$3&lt;=$B38,INDEX(Input!$I$43:$I$2956,L$3+$A37),"")</f>
        <v/>
      </c>
      <c r="M38" s="17" t="str">
        <f>IF(M$3&lt;=$B38,INDEX(Input!$I$43:$I$2956,M$3+$A37),"")</f>
        <v/>
      </c>
      <c r="N38" s="17" t="str">
        <f>IF(N$3&lt;=$B38,INDEX(Input!$I$43:$I$2956,N$3+$A37),"")</f>
        <v/>
      </c>
      <c r="O38" s="17" t="str">
        <f>IF(O$3&lt;=$B38,INDEX(Input!$I$43:$I$2956,O$3+$A37),"")</f>
        <v/>
      </c>
      <c r="P38" s="17" t="str">
        <f>IF(P$3&lt;=$B38,INDEX(Input!$I$43:$I$2956,P$3+$A37),"")</f>
        <v/>
      </c>
      <c r="Q38" s="17" t="str">
        <f>IF(Q$3&lt;=$B38,INDEX(Input!$I$43:$I$2956,Q$3+$A37),"")</f>
        <v/>
      </c>
      <c r="R38" s="17" t="str">
        <f>IF(R$3&lt;=$B38,INDEX(Input!$I$43:$I$2956,R$3+$A37),"")</f>
        <v/>
      </c>
      <c r="S38" s="17" t="str">
        <f>IF(S$3&lt;=$B38,INDEX(Input!$I$43:$I$2956,S$3+$A37),"")</f>
        <v/>
      </c>
      <c r="T38" s="17" t="str">
        <f>IF(T$3&lt;=$B38,INDEX(Input!$I$43:$I$2956,T$3+$A37),"")</f>
        <v/>
      </c>
      <c r="U38" s="17" t="str">
        <f>IF(U$3&lt;=$B38,INDEX(Input!$I$43:$I$2956,U$3+$A37),"")</f>
        <v/>
      </c>
      <c r="V38" s="17" t="str">
        <f>IF(V$3&lt;=$B38,INDEX(Input!$I$43:$I$2956,V$3+$A37),"")</f>
        <v/>
      </c>
      <c r="W38" s="17" t="str">
        <f>IF(W$3&lt;=$B38,INDEX(Input!$I$43:$I$2956,W$3+$A37),"")</f>
        <v/>
      </c>
      <c r="X38" s="17" t="str">
        <f>IF(X$3&lt;=$B38,INDEX(Input!$I$43:$I$2956,X$3+$A37),"")</f>
        <v/>
      </c>
      <c r="Y38" s="17" t="str">
        <f>IF(Y$3&lt;=$B38,INDEX(Input!$I$43:$I$2956,Y$3+$A37),"")</f>
        <v/>
      </c>
      <c r="Z38" s="17" t="str">
        <f>IF(Z$3&lt;=$B38,INDEX(Input!$I$43:$I$2956,Z$3+$A37),"")</f>
        <v/>
      </c>
      <c r="AA38" s="17" t="str">
        <f>IF(AA$3&lt;=$B38,INDEX(Input!$I$43:$I$2956,AA$3+$A37),"")</f>
        <v/>
      </c>
      <c r="AB38" s="17" t="str">
        <f>IF(AB$3&lt;=$B38,INDEX(Input!$I$43:$I$2956,AB$3+$A37),"")</f>
        <v/>
      </c>
      <c r="AC38" s="17" t="str">
        <f>IF(AC$3&lt;=$B38,INDEX(Input!$I$43:$I$2956,AC$3+$A37),"")</f>
        <v/>
      </c>
      <c r="AD38" s="17" t="str">
        <f>IF(AD$3&lt;=$B38,INDEX(Input!$I$43:$I$2956,AD$3+$A37),"")</f>
        <v/>
      </c>
      <c r="AE38" s="17" t="str">
        <f>IF(AE$3&lt;=$B38,INDEX(Input!$I$43:$I$2956,AE$3+$A37),"")</f>
        <v/>
      </c>
      <c r="AF38" s="17" t="str">
        <f>IF(AF$3&lt;=$B38,INDEX(Input!$I$43:$I$2956,AF$3+$A37),"")</f>
        <v/>
      </c>
      <c r="AG38" s="17" t="str">
        <f>IF(AG$3&lt;=$B38,INDEX(Input!$I$43:$I$2956,AG$3+$A37),"")</f>
        <v/>
      </c>
      <c r="AH38" s="17" t="str">
        <f>IF(AH$3&lt;=$B38,INDEX(Input!$I$43:$I$2956,AH$3+$A37),"")</f>
        <v/>
      </c>
      <c r="AI38" s="17" t="str">
        <f>IF(AI$3&lt;=$B38,INDEX(Input!$I$43:$I$2956,AI$3+$A37),"")</f>
        <v/>
      </c>
      <c r="AJ38" s="17" t="str">
        <f>IF(AJ$3&lt;=$B38,INDEX(Input!$I$43:$I$2956,AJ$3+$A37),"")</f>
        <v/>
      </c>
      <c r="AK38" s="17" t="str">
        <f>IF(AK$3&lt;=$B38,INDEX(Input!$I$43:$I$2956,AK$3+$A37),"")</f>
        <v/>
      </c>
      <c r="AL38" s="17" t="str">
        <f>IF(AL$3&lt;=$B38,INDEX(Input!$I$43:$I$2956,AL$3+$A37),"")</f>
        <v/>
      </c>
      <c r="AM38" s="17" t="str">
        <f>IF(AM$3&lt;=$B38,INDEX(Input!$I$43:$I$2956,AM$3+$A37),"")</f>
        <v/>
      </c>
      <c r="AN38" s="17" t="str">
        <f>IF(AN$3&lt;=$B38,INDEX(Input!$I$43:$I$2956,AN$3+$A37),"")</f>
        <v/>
      </c>
      <c r="AO38" s="17" t="str">
        <f>IF(AO$3&lt;=$B38,INDEX(Input!$I$43:$I$2956,AO$3+$A37),"")</f>
        <v/>
      </c>
      <c r="AP38" s="17" t="str">
        <f>IF(AP$3&lt;=$B38,INDEX(Input!$I$43:$I$2956,AP$3+$A37),"")</f>
        <v/>
      </c>
      <c r="AQ38" s="17" t="str">
        <f>IF(AQ$3&lt;=$B38,INDEX(Input!$I$43:$I$2956,AQ$3+$A37),"")</f>
        <v/>
      </c>
      <c r="AR38" s="17" t="str">
        <f>IF(AR$3&lt;=$B38,INDEX(Input!$I$43:$I$2956,AR$3+$A37),"")</f>
        <v/>
      </c>
      <c r="AS38" s="17" t="str">
        <f>IF(AS$3&lt;=$B38,INDEX(Input!$I$43:$I$2956,AS$3+$A37),"")</f>
        <v/>
      </c>
      <c r="AT38" s="17" t="str">
        <f>IF(AT$3&lt;=$B38,INDEX(Input!$I$43:$I$2956,AT$3+$A37),"")</f>
        <v/>
      </c>
      <c r="AU38" s="17" t="str">
        <f>IF(AU$3&lt;=$B38,INDEX(Input!$I$43:$I$2956,AU$3+$A37),"")</f>
        <v/>
      </c>
      <c r="AV38" s="17" t="str">
        <f>IF(AV$3&lt;=$B38,INDEX(Input!$I$43:$I$2956,AV$3+$A37),"")</f>
        <v/>
      </c>
      <c r="AW38" s="17" t="str">
        <f>IF(AW$3&lt;=$B38,INDEX(Input!$I$43:$I$2956,AW$3+$A37),"")</f>
        <v/>
      </c>
      <c r="AX38" s="17" t="str">
        <f>IF(AX$3&lt;=$B38,INDEX(Input!$I$43:$I$2956,AX$3+$A37),"")</f>
        <v/>
      </c>
      <c r="AY38" s="17" t="str">
        <f>IF(AY$3&lt;=$B38,INDEX(Input!$I$43:$I$2956,AY$3+$A37),"")</f>
        <v/>
      </c>
      <c r="AZ38" s="17" t="str">
        <f>IF(AZ$3&lt;=$B38,INDEX(Input!$I$43:$I$2956,AZ$3+$A37),"")</f>
        <v/>
      </c>
      <c r="BA38" s="17" t="str">
        <f>IF(BA$3&lt;=$B38,INDEX(Input!$I$43:$I$2956,BA$3+$A37),"")</f>
        <v/>
      </c>
      <c r="BB38" s="17" t="str">
        <f>IF(BB$3&lt;=$B38,INDEX(Input!$I$43:$I$2956,BB$3+$A37),"")</f>
        <v/>
      </c>
      <c r="BC38" s="17" t="str">
        <f>IF(BC$3&lt;=$B38,INDEX(Input!$I$43:$I$2956,BC$3+$A37),"")</f>
        <v/>
      </c>
      <c r="BD38" s="17" t="str">
        <f>IF(BD$3&lt;=$B38,INDEX(Input!$I$43:$I$2956,BD$3+$A37),"")</f>
        <v/>
      </c>
      <c r="BE38" s="17" t="str">
        <f>IF(BE$3&lt;=$B38,INDEX(Input!$I$43:$I$2956,BE$3+$A37),"")</f>
        <v/>
      </c>
      <c r="BF38" s="17" t="str">
        <f>IF(BF$3&lt;=$B38,INDEX(Input!$I$43:$I$2956,BF$3+$A37),"")</f>
        <v/>
      </c>
      <c r="BG38" s="17" t="str">
        <f>IF(BG$3&lt;=$B38,INDEX(Input!$I$43:$I$2956,BG$3+$A37),"")</f>
        <v/>
      </c>
      <c r="BH38" s="17" t="str">
        <f>IF(BH$3&lt;=$B38,INDEX(Input!$I$43:$I$2956,BH$3+$A37),"")</f>
        <v/>
      </c>
      <c r="BI38" s="17" t="str">
        <f>IF(BI$3&lt;=$B38,INDEX(Input!$I$43:$I$2956,BI$3+$A37),"")</f>
        <v/>
      </c>
      <c r="BJ38" s="17" t="str">
        <f>IF(BJ$3&lt;=$B38,INDEX(Input!$I$43:$I$2956,BJ$3+$A37),"")</f>
        <v/>
      </c>
      <c r="BK38" s="17" t="str">
        <f>IF(BK$3&lt;=$B38,INDEX(Input!$I$43:$I$2956,BK$3+$A37),"")</f>
        <v/>
      </c>
      <c r="BL38" s="17" t="str">
        <f>IF(BL$3&lt;=$B38,INDEX(Input!$I$43:$I$2956,BL$3+$A37),"")</f>
        <v/>
      </c>
      <c r="BM38" s="17" t="str">
        <f>IF(BM$3&lt;=$B38,INDEX(Input!$I$43:$I$2956,BM$3+$A37),"")</f>
        <v/>
      </c>
      <c r="BN38" s="17" t="str">
        <f>IF(BN$3&lt;=$B38,INDEX(Input!$I$43:$I$2956,BN$3+$A37),"")</f>
        <v/>
      </c>
      <c r="BO38" s="17" t="str">
        <f>IF(BO$3&lt;=$B38,INDEX(Input!$I$43:$I$2956,BO$3+$A37),"")</f>
        <v/>
      </c>
      <c r="BP38" s="17" t="str">
        <f>IF(BP$3&lt;=$B38,INDEX(Input!$I$43:$I$2956,BP$3+$A37),"")</f>
        <v/>
      </c>
      <c r="BQ38" s="17" t="str">
        <f>IF(BQ$3&lt;=$B38,INDEX(Input!$I$43:$I$2956,BQ$3+$A37),"")</f>
        <v/>
      </c>
      <c r="BR38" s="17" t="str">
        <f>IF(BR$3&lt;=$B38,INDEX(Input!$I$43:$I$2956,BR$3+$A37),"")</f>
        <v/>
      </c>
      <c r="BS38" s="17" t="str">
        <f>IF(BS$3&lt;=$B38,INDEX(Input!$I$43:$I$2956,BS$3+$A37),"")</f>
        <v/>
      </c>
      <c r="BT38" s="17" t="str">
        <f>IF(BT$3&lt;=$B38,INDEX(Input!$I$43:$I$2956,BT$3+$A37),"")</f>
        <v/>
      </c>
      <c r="BU38" s="17" t="str">
        <f>IF(BU$3&lt;=$B38,INDEX(Input!$I$43:$I$2956,BU$3+$A37),"")</f>
        <v/>
      </c>
      <c r="BV38" s="17" t="str">
        <f>IF(BV$3&lt;=$B38,INDEX(Input!$I$43:$I$2956,BV$3+$A37),"")</f>
        <v/>
      </c>
      <c r="BW38" s="17" t="str">
        <f>IF(BW$3&lt;=$B38,INDEX(Input!$I$43:$I$2956,BW$3+$A37),"")</f>
        <v/>
      </c>
      <c r="BX38" s="17" t="str">
        <f>IF(BX$3&lt;=$B38,INDEX(Input!$I$43:$I$2956,BX$3+$A37),"")</f>
        <v/>
      </c>
      <c r="BY38" s="17" t="str">
        <f>IF(BY$3&lt;=$B38,INDEX(Input!$I$43:$I$2956,BY$3+$A37),"")</f>
        <v/>
      </c>
      <c r="BZ38" s="17" t="str">
        <f>IF(BZ$3&lt;=$B38,INDEX(Input!$I$43:$I$2956,BZ$3+$A37),"")</f>
        <v/>
      </c>
      <c r="CA38" s="17" t="str">
        <f>IF(CA$3&lt;=$B38,INDEX(Input!$I$43:$I$2956,CA$3+$A37),"")</f>
        <v/>
      </c>
      <c r="CB38" s="17" t="str">
        <f>IF(CB$3&lt;=$B38,INDEX(Input!$I$43:$I$2956,CB$3+$A37),"")</f>
        <v/>
      </c>
      <c r="CC38" s="17" t="str">
        <f>IF(CC$3&lt;=$B38,INDEX(Input!$I$43:$I$2956,CC$3+$A37),"")</f>
        <v/>
      </c>
      <c r="CD38" s="17" t="str">
        <f>IF(CD$3&lt;=$B38,INDEX(Input!$I$43:$I$2956,CD$3+$A37),"")</f>
        <v/>
      </c>
      <c r="CE38" s="17" t="str">
        <f>IF(CE$3&lt;=$B38,INDEX(Input!$I$43:$I$2956,CE$3+$A37),"")</f>
        <v/>
      </c>
      <c r="CF38" s="17" t="str">
        <f>IF(CF$3&lt;=$B38,INDEX(Input!$I$43:$I$2956,CF$3+$A37),"")</f>
        <v/>
      </c>
      <c r="CG38" s="17" t="str">
        <f>IF(CG$3&lt;=$B38,INDEX(Input!$I$43:$I$2956,CG$3+$A37),"")</f>
        <v/>
      </c>
      <c r="CH38" s="17" t="str">
        <f>IF(CH$3&lt;=$B38,INDEX(Input!$I$43:$I$2956,CH$3+$A37),"")</f>
        <v/>
      </c>
      <c r="CI38" s="17" t="str">
        <f>IF(CI$3&lt;=$B38,INDEX(Input!$I$43:$I$2956,CI$3+$A37),"")</f>
        <v/>
      </c>
      <c r="CJ38" s="17" t="str">
        <f>IF(CJ$3&lt;=$B38,INDEX(Input!$I$43:$I$2956,CJ$3+$A37),"")</f>
        <v/>
      </c>
      <c r="CK38" s="17" t="str">
        <f>IF(CK$3&lt;=$B38,INDEX(Input!$I$43:$I$2956,CK$3+$A37),"")</f>
        <v/>
      </c>
      <c r="CL38" s="17" t="str">
        <f>IF(CL$3&lt;=$B38,INDEX(Input!$I$43:$I$2956,CL$3+$A37),"")</f>
        <v/>
      </c>
      <c r="CM38" s="17" t="str">
        <f>IF(CM$3&lt;=$B38,INDEX(Input!$I$43:$I$2956,CM$3+$A37),"")</f>
        <v/>
      </c>
      <c r="CN38" s="17" t="str">
        <f>IF(CN$3&lt;=$B38,INDEX(Input!$I$43:$I$2956,CN$3+$A37),"")</f>
        <v/>
      </c>
      <c r="CO38" s="17" t="str">
        <f>IF(CO$3&lt;=$B38,INDEX(Input!$I$43:$I$2956,CO$3+$A37),"")</f>
        <v/>
      </c>
      <c r="CP38" s="17" t="str">
        <f>IF(CP$3&lt;=$B38,INDEX(Input!$I$43:$I$2956,CP$3+$A37),"")</f>
        <v/>
      </c>
      <c r="CQ38" s="17" t="str">
        <f>IF(CQ$3&lt;=$B38,INDEX(Input!$I$43:$I$2956,CQ$3+$A37),"")</f>
        <v/>
      </c>
      <c r="CR38" s="17" t="str">
        <f>IF(CR$3&lt;=$B38,INDEX(Input!$I$43:$I$2956,CR$3+$A37),"")</f>
        <v/>
      </c>
      <c r="CS38" s="17" t="str">
        <f>IF(CS$3&lt;=$B38,INDEX(Input!$I$43:$I$2956,CS$3+$A37),"")</f>
        <v/>
      </c>
      <c r="CT38" s="17" t="str">
        <f>IF(CT$3&lt;=$B38,INDEX(Input!$I$43:$I$2956,CT$3+$A37),"")</f>
        <v/>
      </c>
      <c r="CU38" s="17" t="str">
        <f>IF(CU$3&lt;=$B38,INDEX(Input!$I$43:$I$2956,CU$3+$A37),"")</f>
        <v/>
      </c>
      <c r="CV38" s="17" t="str">
        <f>IF(CV$3&lt;=$B38,INDEX(Input!$I$43:$I$2956,CV$3+$A37),"")</f>
        <v/>
      </c>
      <c r="CW38" s="17" t="str">
        <f>IF(CW$3&lt;=$B38,INDEX(Input!$I$43:$I$2956,CW$3+$A37),"")</f>
        <v/>
      </c>
      <c r="CX38" s="17" t="str">
        <f>IF(CX$3&lt;=$B38,INDEX(Input!$I$43:$I$2956,CX$3+$A37),"")</f>
        <v/>
      </c>
      <c r="CY38" s="17" t="str">
        <f>IF(CY$3&lt;=$B38,INDEX(Input!$I$43:$I$2956,CY$3+$A37),"")</f>
        <v/>
      </c>
      <c r="CZ38" s="17" t="str">
        <f>IF(CZ$3&lt;=$B38,INDEX(Input!$I$43:$I$2956,CZ$3+$A37),"")</f>
        <v/>
      </c>
      <c r="DA38" s="17" t="str">
        <f>IF(DA$3&lt;=$B38,INDEX(Input!$I$43:$I$2956,DA$3+$A37),"")</f>
        <v/>
      </c>
      <c r="DB38" s="17" t="str">
        <f>IF(DB$3&lt;=$B38,INDEX(Input!$I$43:$I$2956,DB$3+$A37),"")</f>
        <v/>
      </c>
      <c r="DC38" s="17" t="str">
        <f>IF(DC$3&lt;=$B38,INDEX(Input!$I$43:$I$2956,DC$3+$A37),"")</f>
        <v/>
      </c>
      <c r="DD38" s="17" t="str">
        <f>IF(DD$3&lt;=$B38,INDEX(Input!$I$43:$I$2956,DD$3+$A37),"")</f>
        <v/>
      </c>
      <c r="DE38" s="17" t="str">
        <f>IF(DE$3&lt;=$B38,INDEX(Input!$I$43:$I$2956,DE$3+$A37),"")</f>
        <v/>
      </c>
      <c r="DF38" s="17" t="str">
        <f>IF(DF$3&lt;=$B38,INDEX(Input!$I$43:$I$2956,DF$3+$A37),"")</f>
        <v/>
      </c>
      <c r="DG38" s="17" t="str">
        <f>IF(DG$3&lt;=$B38,INDEX(Input!$I$43:$I$2956,DG$3+$A37),"")</f>
        <v/>
      </c>
      <c r="DH38" s="17" t="str">
        <f>IF(DH$3&lt;=$B38,INDEX(Input!$I$43:$I$2956,DH$3+$A37),"")</f>
        <v/>
      </c>
      <c r="DI38" s="17" t="str">
        <f>IF(DI$3&lt;=$B38,INDEX(Input!$I$43:$I$2956,DI$3+$A37),"")</f>
        <v/>
      </c>
      <c r="DJ38" s="17" t="str">
        <f>IF(DJ$3&lt;=$B38,INDEX(Input!$I$43:$I$2956,DJ$3+$A37),"")</f>
        <v/>
      </c>
      <c r="DK38" s="17" t="str">
        <f>IF(DK$3&lt;=$B38,INDEX(Input!$I$43:$I$2956,DK$3+$A37),"")</f>
        <v/>
      </c>
      <c r="DL38" s="17" t="str">
        <f>IF(DL$3&lt;=$B38,INDEX(Input!$I$43:$I$2956,DL$3+$A37),"")</f>
        <v/>
      </c>
      <c r="DM38" s="17" t="str">
        <f>IF(DM$3&lt;=$B38,INDEX(Input!$I$43:$I$2956,DM$3+$A37),"")</f>
        <v/>
      </c>
      <c r="DN38" s="17" t="str">
        <f>IF(DN$3&lt;=$B38,INDEX(Input!$I$43:$I$2956,DN$3+$A37),"")</f>
        <v/>
      </c>
      <c r="DO38" s="17" t="str">
        <f>IF(DO$3&lt;=$B38,INDEX(Input!$I$43:$I$2956,DO$3+$A37),"")</f>
        <v/>
      </c>
      <c r="DP38" s="17" t="str">
        <f>IF(DP$3&lt;=$B38,INDEX(Input!$I$43:$I$2956,DP$3+$A37),"")</f>
        <v/>
      </c>
      <c r="DQ38" s="17" t="str">
        <f>IF(DQ$3&lt;=$B38,INDEX(Input!$I$43:$I$2956,DQ$3+$A37),"")</f>
        <v/>
      </c>
      <c r="DR38" s="17" t="str">
        <f>IF(DR$3&lt;=$B38,INDEX(Input!$I$43:$I$2956,DR$3+$A37),"")</f>
        <v/>
      </c>
      <c r="DS38" s="17" t="str">
        <f>IF(DS$3&lt;=$B38,INDEX(Input!$I$43:$I$2956,DS$3+$A37),"")</f>
        <v/>
      </c>
      <c r="DT38" s="17" t="str">
        <f>IF(DT$3&lt;=$B38,INDEX(Input!$I$43:$I$2956,DT$3+$A37),"")</f>
        <v/>
      </c>
      <c r="DU38" s="17" t="str">
        <f>IF(DU$3&lt;=$B38,INDEX(Input!$I$43:$I$2956,DU$3+$A37),"")</f>
        <v/>
      </c>
      <c r="DV38" s="17" t="str">
        <f>IF(DV$3&lt;=$B38,INDEX(Input!$I$43:$I$2956,DV$3+$A37),"")</f>
        <v/>
      </c>
      <c r="DW38" s="58" t="str">
        <f t="array" ref="DW38:EZ38">IFERROR(eccalc(E38:DV38,C38+B38,B38,$O$2:$AS$2),"")</f>
        <v/>
      </c>
      <c r="DX38" s="59" t="str">
        <v/>
      </c>
      <c r="DY38" s="59" t="str">
        <v/>
      </c>
      <c r="DZ38" s="59" t="str">
        <v/>
      </c>
      <c r="EA38" s="59" t="str">
        <v/>
      </c>
      <c r="EB38" s="59" t="str">
        <v/>
      </c>
      <c r="EC38" s="59" t="str">
        <v/>
      </c>
      <c r="ED38" s="59" t="str">
        <v/>
      </c>
      <c r="EE38" s="59" t="str">
        <v/>
      </c>
      <c r="EF38" s="59" t="str">
        <v/>
      </c>
      <c r="EG38" s="59" t="str">
        <v/>
      </c>
      <c r="EH38" s="59" t="str">
        <v/>
      </c>
      <c r="EI38" s="59" t="str">
        <v/>
      </c>
      <c r="EJ38" s="59" t="str">
        <v/>
      </c>
      <c r="EK38" s="59" t="str">
        <v/>
      </c>
      <c r="EL38" s="59" t="str">
        <v/>
      </c>
      <c r="EM38" s="59" t="str">
        <v/>
      </c>
      <c r="EN38" s="59" t="str">
        <v/>
      </c>
      <c r="EO38" s="59" t="str">
        <v/>
      </c>
      <c r="EP38" s="59" t="str">
        <v/>
      </c>
      <c r="EQ38" s="59" t="str">
        <v/>
      </c>
      <c r="ER38" s="59" t="str">
        <v/>
      </c>
      <c r="ES38" s="59" t="str">
        <v/>
      </c>
      <c r="ET38" s="59" t="str">
        <v/>
      </c>
      <c r="EU38" s="59" t="str">
        <v/>
      </c>
      <c r="EV38" s="59" t="str">
        <v/>
      </c>
      <c r="EW38" s="59" t="str">
        <v/>
      </c>
      <c r="EX38" s="59" t="str">
        <v/>
      </c>
      <c r="EY38" s="59" t="str">
        <v/>
      </c>
      <c r="EZ38" s="60" t="str">
        <v/>
      </c>
      <c r="FA38" s="17"/>
      <c r="FC38">
        <v>35</v>
      </c>
      <c r="FD38">
        <f t="shared" si="2"/>
        <v>3</v>
      </c>
      <c r="FE38">
        <f t="shared" si="3"/>
        <v>3</v>
      </c>
      <c r="FF38">
        <f t="shared" si="4"/>
        <v>96</v>
      </c>
      <c r="FI38" s="16">
        <v>35</v>
      </c>
      <c r="FJ38" s="17">
        <f t="shared" si="5"/>
        <v>35</v>
      </c>
      <c r="FK38" s="17">
        <f t="shared" si="6"/>
        <v>96</v>
      </c>
      <c r="FL38" s="18" t="str">
        <f t="shared" si="7"/>
        <v>01100000</v>
      </c>
      <c r="FM38" s="2"/>
    </row>
    <row r="39" spans="1:169">
      <c r="A39">
        <f>SUM($B$4:B39)</f>
        <v>196</v>
      </c>
      <c r="B39">
        <f t="shared" si="0"/>
        <v>0</v>
      </c>
      <c r="C39" t="str">
        <f t="shared" si="1"/>
        <v/>
      </c>
      <c r="D39">
        <v>36</v>
      </c>
      <c r="E39" s="16" t="str">
        <f>IF(E$3&lt;=$B39,INDEX(Input!$I$43:$I$2956,E$3+$A38),"")</f>
        <v/>
      </c>
      <c r="F39" s="17" t="str">
        <f>IF(F$3&lt;=$B39,INDEX(Input!$I$43:$I$2956,F$3+$A38),"")</f>
        <v/>
      </c>
      <c r="G39" s="17" t="str">
        <f>IF(G$3&lt;=$B39,INDEX(Input!$I$43:$I$2956,G$3+$A38),"")</f>
        <v/>
      </c>
      <c r="H39" s="17" t="str">
        <f>IF(H$3&lt;=$B39,INDEX(Input!$I$43:$I$2956,H$3+$A38),"")</f>
        <v/>
      </c>
      <c r="I39" s="17" t="str">
        <f>IF(I$3&lt;=$B39,INDEX(Input!$I$43:$I$2956,I$3+$A38),"")</f>
        <v/>
      </c>
      <c r="J39" s="17" t="str">
        <f>IF(J$3&lt;=$B39,INDEX(Input!$I$43:$I$2956,J$3+$A38),"")</f>
        <v/>
      </c>
      <c r="K39" s="17" t="str">
        <f>IF(K$3&lt;=$B39,INDEX(Input!$I$43:$I$2956,K$3+$A38),"")</f>
        <v/>
      </c>
      <c r="L39" s="17" t="str">
        <f>IF(L$3&lt;=$B39,INDEX(Input!$I$43:$I$2956,L$3+$A38),"")</f>
        <v/>
      </c>
      <c r="M39" s="17" t="str">
        <f>IF(M$3&lt;=$B39,INDEX(Input!$I$43:$I$2956,M$3+$A38),"")</f>
        <v/>
      </c>
      <c r="N39" s="17" t="str">
        <f>IF(N$3&lt;=$B39,INDEX(Input!$I$43:$I$2956,N$3+$A38),"")</f>
        <v/>
      </c>
      <c r="O39" s="17" t="str">
        <f>IF(O$3&lt;=$B39,INDEX(Input!$I$43:$I$2956,O$3+$A38),"")</f>
        <v/>
      </c>
      <c r="P39" s="17" t="str">
        <f>IF(P$3&lt;=$B39,INDEX(Input!$I$43:$I$2956,P$3+$A38),"")</f>
        <v/>
      </c>
      <c r="Q39" s="17" t="str">
        <f>IF(Q$3&lt;=$B39,INDEX(Input!$I$43:$I$2956,Q$3+$A38),"")</f>
        <v/>
      </c>
      <c r="R39" s="17" t="str">
        <f>IF(R$3&lt;=$B39,INDEX(Input!$I$43:$I$2956,R$3+$A38),"")</f>
        <v/>
      </c>
      <c r="S39" s="17" t="str">
        <f>IF(S$3&lt;=$B39,INDEX(Input!$I$43:$I$2956,S$3+$A38),"")</f>
        <v/>
      </c>
      <c r="T39" s="17" t="str">
        <f>IF(T$3&lt;=$B39,INDEX(Input!$I$43:$I$2956,T$3+$A38),"")</f>
        <v/>
      </c>
      <c r="U39" s="17" t="str">
        <f>IF(U$3&lt;=$B39,INDEX(Input!$I$43:$I$2956,U$3+$A38),"")</f>
        <v/>
      </c>
      <c r="V39" s="17" t="str">
        <f>IF(V$3&lt;=$B39,INDEX(Input!$I$43:$I$2956,V$3+$A38),"")</f>
        <v/>
      </c>
      <c r="W39" s="17" t="str">
        <f>IF(W$3&lt;=$B39,INDEX(Input!$I$43:$I$2956,W$3+$A38),"")</f>
        <v/>
      </c>
      <c r="X39" s="17" t="str">
        <f>IF(X$3&lt;=$B39,INDEX(Input!$I$43:$I$2956,X$3+$A38),"")</f>
        <v/>
      </c>
      <c r="Y39" s="17" t="str">
        <f>IF(Y$3&lt;=$B39,INDEX(Input!$I$43:$I$2956,Y$3+$A38),"")</f>
        <v/>
      </c>
      <c r="Z39" s="17" t="str">
        <f>IF(Z$3&lt;=$B39,INDEX(Input!$I$43:$I$2956,Z$3+$A38),"")</f>
        <v/>
      </c>
      <c r="AA39" s="17" t="str">
        <f>IF(AA$3&lt;=$B39,INDEX(Input!$I$43:$I$2956,AA$3+$A38),"")</f>
        <v/>
      </c>
      <c r="AB39" s="17" t="str">
        <f>IF(AB$3&lt;=$B39,INDEX(Input!$I$43:$I$2956,AB$3+$A38),"")</f>
        <v/>
      </c>
      <c r="AC39" s="17" t="str">
        <f>IF(AC$3&lt;=$B39,INDEX(Input!$I$43:$I$2956,AC$3+$A38),"")</f>
        <v/>
      </c>
      <c r="AD39" s="17" t="str">
        <f>IF(AD$3&lt;=$B39,INDEX(Input!$I$43:$I$2956,AD$3+$A38),"")</f>
        <v/>
      </c>
      <c r="AE39" s="17" t="str">
        <f>IF(AE$3&lt;=$B39,INDEX(Input!$I$43:$I$2956,AE$3+$A38),"")</f>
        <v/>
      </c>
      <c r="AF39" s="17" t="str">
        <f>IF(AF$3&lt;=$B39,INDEX(Input!$I$43:$I$2956,AF$3+$A38),"")</f>
        <v/>
      </c>
      <c r="AG39" s="17" t="str">
        <f>IF(AG$3&lt;=$B39,INDEX(Input!$I$43:$I$2956,AG$3+$A38),"")</f>
        <v/>
      </c>
      <c r="AH39" s="17" t="str">
        <f>IF(AH$3&lt;=$B39,INDEX(Input!$I$43:$I$2956,AH$3+$A38),"")</f>
        <v/>
      </c>
      <c r="AI39" s="17" t="str">
        <f>IF(AI$3&lt;=$B39,INDEX(Input!$I$43:$I$2956,AI$3+$A38),"")</f>
        <v/>
      </c>
      <c r="AJ39" s="17" t="str">
        <f>IF(AJ$3&lt;=$B39,INDEX(Input!$I$43:$I$2956,AJ$3+$A38),"")</f>
        <v/>
      </c>
      <c r="AK39" s="17" t="str">
        <f>IF(AK$3&lt;=$B39,INDEX(Input!$I$43:$I$2956,AK$3+$A38),"")</f>
        <v/>
      </c>
      <c r="AL39" s="17" t="str">
        <f>IF(AL$3&lt;=$B39,INDEX(Input!$I$43:$I$2956,AL$3+$A38),"")</f>
        <v/>
      </c>
      <c r="AM39" s="17" t="str">
        <f>IF(AM$3&lt;=$B39,INDEX(Input!$I$43:$I$2956,AM$3+$A38),"")</f>
        <v/>
      </c>
      <c r="AN39" s="17" t="str">
        <f>IF(AN$3&lt;=$B39,INDEX(Input!$I$43:$I$2956,AN$3+$A38),"")</f>
        <v/>
      </c>
      <c r="AO39" s="17" t="str">
        <f>IF(AO$3&lt;=$B39,INDEX(Input!$I$43:$I$2956,AO$3+$A38),"")</f>
        <v/>
      </c>
      <c r="AP39" s="17" t="str">
        <f>IF(AP$3&lt;=$B39,INDEX(Input!$I$43:$I$2956,AP$3+$A38),"")</f>
        <v/>
      </c>
      <c r="AQ39" s="17" t="str">
        <f>IF(AQ$3&lt;=$B39,INDEX(Input!$I$43:$I$2956,AQ$3+$A38),"")</f>
        <v/>
      </c>
      <c r="AR39" s="17" t="str">
        <f>IF(AR$3&lt;=$B39,INDEX(Input!$I$43:$I$2956,AR$3+$A38),"")</f>
        <v/>
      </c>
      <c r="AS39" s="17" t="str">
        <f>IF(AS$3&lt;=$B39,INDEX(Input!$I$43:$I$2956,AS$3+$A38),"")</f>
        <v/>
      </c>
      <c r="AT39" s="17" t="str">
        <f>IF(AT$3&lt;=$B39,INDEX(Input!$I$43:$I$2956,AT$3+$A38),"")</f>
        <v/>
      </c>
      <c r="AU39" s="17" t="str">
        <f>IF(AU$3&lt;=$B39,INDEX(Input!$I$43:$I$2956,AU$3+$A38),"")</f>
        <v/>
      </c>
      <c r="AV39" s="17" t="str">
        <f>IF(AV$3&lt;=$B39,INDEX(Input!$I$43:$I$2956,AV$3+$A38),"")</f>
        <v/>
      </c>
      <c r="AW39" s="17" t="str">
        <f>IF(AW$3&lt;=$B39,INDEX(Input!$I$43:$I$2956,AW$3+$A38),"")</f>
        <v/>
      </c>
      <c r="AX39" s="17" t="str">
        <f>IF(AX$3&lt;=$B39,INDEX(Input!$I$43:$I$2956,AX$3+$A38),"")</f>
        <v/>
      </c>
      <c r="AY39" s="17" t="str">
        <f>IF(AY$3&lt;=$B39,INDEX(Input!$I$43:$I$2956,AY$3+$A38),"")</f>
        <v/>
      </c>
      <c r="AZ39" s="17" t="str">
        <f>IF(AZ$3&lt;=$B39,INDEX(Input!$I$43:$I$2956,AZ$3+$A38),"")</f>
        <v/>
      </c>
      <c r="BA39" s="17" t="str">
        <f>IF(BA$3&lt;=$B39,INDEX(Input!$I$43:$I$2956,BA$3+$A38),"")</f>
        <v/>
      </c>
      <c r="BB39" s="17" t="str">
        <f>IF(BB$3&lt;=$B39,INDEX(Input!$I$43:$I$2956,BB$3+$A38),"")</f>
        <v/>
      </c>
      <c r="BC39" s="17" t="str">
        <f>IF(BC$3&lt;=$B39,INDEX(Input!$I$43:$I$2956,BC$3+$A38),"")</f>
        <v/>
      </c>
      <c r="BD39" s="17" t="str">
        <f>IF(BD$3&lt;=$B39,INDEX(Input!$I$43:$I$2956,BD$3+$A38),"")</f>
        <v/>
      </c>
      <c r="BE39" s="17" t="str">
        <f>IF(BE$3&lt;=$B39,INDEX(Input!$I$43:$I$2956,BE$3+$A38),"")</f>
        <v/>
      </c>
      <c r="BF39" s="17" t="str">
        <f>IF(BF$3&lt;=$B39,INDEX(Input!$I$43:$I$2956,BF$3+$A38),"")</f>
        <v/>
      </c>
      <c r="BG39" s="17" t="str">
        <f>IF(BG$3&lt;=$B39,INDEX(Input!$I$43:$I$2956,BG$3+$A38),"")</f>
        <v/>
      </c>
      <c r="BH39" s="17" t="str">
        <f>IF(BH$3&lt;=$B39,INDEX(Input!$I$43:$I$2956,BH$3+$A38),"")</f>
        <v/>
      </c>
      <c r="BI39" s="17" t="str">
        <f>IF(BI$3&lt;=$B39,INDEX(Input!$I$43:$I$2956,BI$3+$A38),"")</f>
        <v/>
      </c>
      <c r="BJ39" s="17" t="str">
        <f>IF(BJ$3&lt;=$B39,INDEX(Input!$I$43:$I$2956,BJ$3+$A38),"")</f>
        <v/>
      </c>
      <c r="BK39" s="17" t="str">
        <f>IF(BK$3&lt;=$B39,INDEX(Input!$I$43:$I$2956,BK$3+$A38),"")</f>
        <v/>
      </c>
      <c r="BL39" s="17" t="str">
        <f>IF(BL$3&lt;=$B39,INDEX(Input!$I$43:$I$2956,BL$3+$A38),"")</f>
        <v/>
      </c>
      <c r="BM39" s="17" t="str">
        <f>IF(BM$3&lt;=$B39,INDEX(Input!$I$43:$I$2956,BM$3+$A38),"")</f>
        <v/>
      </c>
      <c r="BN39" s="17" t="str">
        <f>IF(BN$3&lt;=$B39,INDEX(Input!$I$43:$I$2956,BN$3+$A38),"")</f>
        <v/>
      </c>
      <c r="BO39" s="17" t="str">
        <f>IF(BO$3&lt;=$B39,INDEX(Input!$I$43:$I$2956,BO$3+$A38),"")</f>
        <v/>
      </c>
      <c r="BP39" s="17" t="str">
        <f>IF(BP$3&lt;=$B39,INDEX(Input!$I$43:$I$2956,BP$3+$A38),"")</f>
        <v/>
      </c>
      <c r="BQ39" s="17" t="str">
        <f>IF(BQ$3&lt;=$B39,INDEX(Input!$I$43:$I$2956,BQ$3+$A38),"")</f>
        <v/>
      </c>
      <c r="BR39" s="17" t="str">
        <f>IF(BR$3&lt;=$B39,INDEX(Input!$I$43:$I$2956,BR$3+$A38),"")</f>
        <v/>
      </c>
      <c r="BS39" s="17" t="str">
        <f>IF(BS$3&lt;=$B39,INDEX(Input!$I$43:$I$2956,BS$3+$A38),"")</f>
        <v/>
      </c>
      <c r="BT39" s="17" t="str">
        <f>IF(BT$3&lt;=$B39,INDEX(Input!$I$43:$I$2956,BT$3+$A38),"")</f>
        <v/>
      </c>
      <c r="BU39" s="17" t="str">
        <f>IF(BU$3&lt;=$B39,INDEX(Input!$I$43:$I$2956,BU$3+$A38),"")</f>
        <v/>
      </c>
      <c r="BV39" s="17" t="str">
        <f>IF(BV$3&lt;=$B39,INDEX(Input!$I$43:$I$2956,BV$3+$A38),"")</f>
        <v/>
      </c>
      <c r="BW39" s="17" t="str">
        <f>IF(BW$3&lt;=$B39,INDEX(Input!$I$43:$I$2956,BW$3+$A38),"")</f>
        <v/>
      </c>
      <c r="BX39" s="17" t="str">
        <f>IF(BX$3&lt;=$B39,INDEX(Input!$I$43:$I$2956,BX$3+$A38),"")</f>
        <v/>
      </c>
      <c r="BY39" s="17" t="str">
        <f>IF(BY$3&lt;=$B39,INDEX(Input!$I$43:$I$2956,BY$3+$A38),"")</f>
        <v/>
      </c>
      <c r="BZ39" s="17" t="str">
        <f>IF(BZ$3&lt;=$B39,INDEX(Input!$I$43:$I$2956,BZ$3+$A38),"")</f>
        <v/>
      </c>
      <c r="CA39" s="17" t="str">
        <f>IF(CA$3&lt;=$B39,INDEX(Input!$I$43:$I$2956,CA$3+$A38),"")</f>
        <v/>
      </c>
      <c r="CB39" s="17" t="str">
        <f>IF(CB$3&lt;=$B39,INDEX(Input!$I$43:$I$2956,CB$3+$A38),"")</f>
        <v/>
      </c>
      <c r="CC39" s="17" t="str">
        <f>IF(CC$3&lt;=$B39,INDEX(Input!$I$43:$I$2956,CC$3+$A38),"")</f>
        <v/>
      </c>
      <c r="CD39" s="17" t="str">
        <f>IF(CD$3&lt;=$B39,INDEX(Input!$I$43:$I$2956,CD$3+$A38),"")</f>
        <v/>
      </c>
      <c r="CE39" s="17" t="str">
        <f>IF(CE$3&lt;=$B39,INDEX(Input!$I$43:$I$2956,CE$3+$A38),"")</f>
        <v/>
      </c>
      <c r="CF39" s="17" t="str">
        <f>IF(CF$3&lt;=$B39,INDEX(Input!$I$43:$I$2956,CF$3+$A38),"")</f>
        <v/>
      </c>
      <c r="CG39" s="17" t="str">
        <f>IF(CG$3&lt;=$B39,INDEX(Input!$I$43:$I$2956,CG$3+$A38),"")</f>
        <v/>
      </c>
      <c r="CH39" s="17" t="str">
        <f>IF(CH$3&lt;=$B39,INDEX(Input!$I$43:$I$2956,CH$3+$A38),"")</f>
        <v/>
      </c>
      <c r="CI39" s="17" t="str">
        <f>IF(CI$3&lt;=$B39,INDEX(Input!$I$43:$I$2956,CI$3+$A38),"")</f>
        <v/>
      </c>
      <c r="CJ39" s="17" t="str">
        <f>IF(CJ$3&lt;=$B39,INDEX(Input!$I$43:$I$2956,CJ$3+$A38),"")</f>
        <v/>
      </c>
      <c r="CK39" s="17" t="str">
        <f>IF(CK$3&lt;=$B39,INDEX(Input!$I$43:$I$2956,CK$3+$A38),"")</f>
        <v/>
      </c>
      <c r="CL39" s="17" t="str">
        <f>IF(CL$3&lt;=$B39,INDEX(Input!$I$43:$I$2956,CL$3+$A38),"")</f>
        <v/>
      </c>
      <c r="CM39" s="17" t="str">
        <f>IF(CM$3&lt;=$B39,INDEX(Input!$I$43:$I$2956,CM$3+$A38),"")</f>
        <v/>
      </c>
      <c r="CN39" s="17" t="str">
        <f>IF(CN$3&lt;=$B39,INDEX(Input!$I$43:$I$2956,CN$3+$A38),"")</f>
        <v/>
      </c>
      <c r="CO39" s="17" t="str">
        <f>IF(CO$3&lt;=$B39,INDEX(Input!$I$43:$I$2956,CO$3+$A38),"")</f>
        <v/>
      </c>
      <c r="CP39" s="17" t="str">
        <f>IF(CP$3&lt;=$B39,INDEX(Input!$I$43:$I$2956,CP$3+$A38),"")</f>
        <v/>
      </c>
      <c r="CQ39" s="17" t="str">
        <f>IF(CQ$3&lt;=$B39,INDEX(Input!$I$43:$I$2956,CQ$3+$A38),"")</f>
        <v/>
      </c>
      <c r="CR39" s="17" t="str">
        <f>IF(CR$3&lt;=$B39,INDEX(Input!$I$43:$I$2956,CR$3+$A38),"")</f>
        <v/>
      </c>
      <c r="CS39" s="17" t="str">
        <f>IF(CS$3&lt;=$B39,INDEX(Input!$I$43:$I$2956,CS$3+$A38),"")</f>
        <v/>
      </c>
      <c r="CT39" s="17" t="str">
        <f>IF(CT$3&lt;=$B39,INDEX(Input!$I$43:$I$2956,CT$3+$A38),"")</f>
        <v/>
      </c>
      <c r="CU39" s="17" t="str">
        <f>IF(CU$3&lt;=$B39,INDEX(Input!$I$43:$I$2956,CU$3+$A38),"")</f>
        <v/>
      </c>
      <c r="CV39" s="17" t="str">
        <f>IF(CV$3&lt;=$B39,INDEX(Input!$I$43:$I$2956,CV$3+$A38),"")</f>
        <v/>
      </c>
      <c r="CW39" s="17" t="str">
        <f>IF(CW$3&lt;=$B39,INDEX(Input!$I$43:$I$2956,CW$3+$A38),"")</f>
        <v/>
      </c>
      <c r="CX39" s="17" t="str">
        <f>IF(CX$3&lt;=$B39,INDEX(Input!$I$43:$I$2956,CX$3+$A38),"")</f>
        <v/>
      </c>
      <c r="CY39" s="17" t="str">
        <f>IF(CY$3&lt;=$B39,INDEX(Input!$I$43:$I$2956,CY$3+$A38),"")</f>
        <v/>
      </c>
      <c r="CZ39" s="17" t="str">
        <f>IF(CZ$3&lt;=$B39,INDEX(Input!$I$43:$I$2956,CZ$3+$A38),"")</f>
        <v/>
      </c>
      <c r="DA39" s="17" t="str">
        <f>IF(DA$3&lt;=$B39,INDEX(Input!$I$43:$I$2956,DA$3+$A38),"")</f>
        <v/>
      </c>
      <c r="DB39" s="17" t="str">
        <f>IF(DB$3&lt;=$B39,INDEX(Input!$I$43:$I$2956,DB$3+$A38),"")</f>
        <v/>
      </c>
      <c r="DC39" s="17" t="str">
        <f>IF(DC$3&lt;=$B39,INDEX(Input!$I$43:$I$2956,DC$3+$A38),"")</f>
        <v/>
      </c>
      <c r="DD39" s="17" t="str">
        <f>IF(DD$3&lt;=$B39,INDEX(Input!$I$43:$I$2956,DD$3+$A38),"")</f>
        <v/>
      </c>
      <c r="DE39" s="17" t="str">
        <f>IF(DE$3&lt;=$B39,INDEX(Input!$I$43:$I$2956,DE$3+$A38),"")</f>
        <v/>
      </c>
      <c r="DF39" s="17" t="str">
        <f>IF(DF$3&lt;=$B39,INDEX(Input!$I$43:$I$2956,DF$3+$A38),"")</f>
        <v/>
      </c>
      <c r="DG39" s="17" t="str">
        <f>IF(DG$3&lt;=$B39,INDEX(Input!$I$43:$I$2956,DG$3+$A38),"")</f>
        <v/>
      </c>
      <c r="DH39" s="17" t="str">
        <f>IF(DH$3&lt;=$B39,INDEX(Input!$I$43:$I$2956,DH$3+$A38),"")</f>
        <v/>
      </c>
      <c r="DI39" s="17" t="str">
        <f>IF(DI$3&lt;=$B39,INDEX(Input!$I$43:$I$2956,DI$3+$A38),"")</f>
        <v/>
      </c>
      <c r="DJ39" s="17" t="str">
        <f>IF(DJ$3&lt;=$B39,INDEX(Input!$I$43:$I$2956,DJ$3+$A38),"")</f>
        <v/>
      </c>
      <c r="DK39" s="17" t="str">
        <f>IF(DK$3&lt;=$B39,INDEX(Input!$I$43:$I$2956,DK$3+$A38),"")</f>
        <v/>
      </c>
      <c r="DL39" s="17" t="str">
        <f>IF(DL$3&lt;=$B39,INDEX(Input!$I$43:$I$2956,DL$3+$A38),"")</f>
        <v/>
      </c>
      <c r="DM39" s="17" t="str">
        <f>IF(DM$3&lt;=$B39,INDEX(Input!$I$43:$I$2956,DM$3+$A38),"")</f>
        <v/>
      </c>
      <c r="DN39" s="17" t="str">
        <f>IF(DN$3&lt;=$B39,INDEX(Input!$I$43:$I$2956,DN$3+$A38),"")</f>
        <v/>
      </c>
      <c r="DO39" s="17" t="str">
        <f>IF(DO$3&lt;=$B39,INDEX(Input!$I$43:$I$2956,DO$3+$A38),"")</f>
        <v/>
      </c>
      <c r="DP39" s="17" t="str">
        <f>IF(DP$3&lt;=$B39,INDEX(Input!$I$43:$I$2956,DP$3+$A38),"")</f>
        <v/>
      </c>
      <c r="DQ39" s="17" t="str">
        <f>IF(DQ$3&lt;=$B39,INDEX(Input!$I$43:$I$2956,DQ$3+$A38),"")</f>
        <v/>
      </c>
      <c r="DR39" s="17" t="str">
        <f>IF(DR$3&lt;=$B39,INDEX(Input!$I$43:$I$2956,DR$3+$A38),"")</f>
        <v/>
      </c>
      <c r="DS39" s="17" t="str">
        <f>IF(DS$3&lt;=$B39,INDEX(Input!$I$43:$I$2956,DS$3+$A38),"")</f>
        <v/>
      </c>
      <c r="DT39" s="17" t="str">
        <f>IF(DT$3&lt;=$B39,INDEX(Input!$I$43:$I$2956,DT$3+$A38),"")</f>
        <v/>
      </c>
      <c r="DU39" s="17" t="str">
        <f>IF(DU$3&lt;=$B39,INDEX(Input!$I$43:$I$2956,DU$3+$A38),"")</f>
        <v/>
      </c>
      <c r="DV39" s="17" t="str">
        <f>IF(DV$3&lt;=$B39,INDEX(Input!$I$43:$I$2956,DV$3+$A38),"")</f>
        <v/>
      </c>
      <c r="DW39" s="58" t="str">
        <f t="array" ref="DW39:EZ39">IFERROR(eccalc(E39:DV39,C39+B39,B39,$O$2:$AS$2),"")</f>
        <v/>
      </c>
      <c r="DX39" s="59" t="str">
        <v/>
      </c>
      <c r="DY39" s="59" t="str">
        <v/>
      </c>
      <c r="DZ39" s="59" t="str">
        <v/>
      </c>
      <c r="EA39" s="59" t="str">
        <v/>
      </c>
      <c r="EB39" s="59" t="str">
        <v/>
      </c>
      <c r="EC39" s="59" t="str">
        <v/>
      </c>
      <c r="ED39" s="59" t="str">
        <v/>
      </c>
      <c r="EE39" s="59" t="str">
        <v/>
      </c>
      <c r="EF39" s="59" t="str">
        <v/>
      </c>
      <c r="EG39" s="59" t="str">
        <v/>
      </c>
      <c r="EH39" s="59" t="str">
        <v/>
      </c>
      <c r="EI39" s="59" t="str">
        <v/>
      </c>
      <c r="EJ39" s="59" t="str">
        <v/>
      </c>
      <c r="EK39" s="59" t="str">
        <v/>
      </c>
      <c r="EL39" s="59" t="str">
        <v/>
      </c>
      <c r="EM39" s="59" t="str">
        <v/>
      </c>
      <c r="EN39" s="59" t="str">
        <v/>
      </c>
      <c r="EO39" s="59" t="str">
        <v/>
      </c>
      <c r="EP39" s="59" t="str">
        <v/>
      </c>
      <c r="EQ39" s="59" t="str">
        <v/>
      </c>
      <c r="ER39" s="59" t="str">
        <v/>
      </c>
      <c r="ES39" s="59" t="str">
        <v/>
      </c>
      <c r="ET39" s="59" t="str">
        <v/>
      </c>
      <c r="EU39" s="59" t="str">
        <v/>
      </c>
      <c r="EV39" s="59" t="str">
        <v/>
      </c>
      <c r="EW39" s="59" t="str">
        <v/>
      </c>
      <c r="EX39" s="59" t="str">
        <v/>
      </c>
      <c r="EY39" s="59" t="str">
        <v/>
      </c>
      <c r="EZ39" s="60" t="str">
        <v/>
      </c>
      <c r="FA39" s="17"/>
      <c r="FC39">
        <v>36</v>
      </c>
      <c r="FD39">
        <f t="shared" si="2"/>
        <v>4</v>
      </c>
      <c r="FE39">
        <f t="shared" si="3"/>
        <v>3</v>
      </c>
      <c r="FF39">
        <f t="shared" si="4"/>
        <v>110</v>
      </c>
      <c r="FI39" s="16">
        <v>36</v>
      </c>
      <c r="FJ39" s="17">
        <f t="shared" si="5"/>
        <v>36</v>
      </c>
      <c r="FK39" s="17">
        <f t="shared" si="6"/>
        <v>110</v>
      </c>
      <c r="FL39" s="18" t="str">
        <f t="shared" si="7"/>
        <v>01101110</v>
      </c>
      <c r="FM39" s="2"/>
    </row>
    <row r="40" spans="1:169">
      <c r="A40">
        <f>SUM($B$4:B40)</f>
        <v>196</v>
      </c>
      <c r="B40">
        <f t="shared" si="0"/>
        <v>0</v>
      </c>
      <c r="C40" t="str">
        <f t="shared" si="1"/>
        <v/>
      </c>
      <c r="D40">
        <v>37</v>
      </c>
      <c r="E40" s="16" t="str">
        <f>IF(E$3&lt;=$B40,INDEX(Input!$I$43:$I$2956,E$3+$A39),"")</f>
        <v/>
      </c>
      <c r="F40" s="17" t="str">
        <f>IF(F$3&lt;=$B40,INDEX(Input!$I$43:$I$2956,F$3+$A39),"")</f>
        <v/>
      </c>
      <c r="G40" s="17" t="str">
        <f>IF(G$3&lt;=$B40,INDEX(Input!$I$43:$I$2956,G$3+$A39),"")</f>
        <v/>
      </c>
      <c r="H40" s="17" t="str">
        <f>IF(H$3&lt;=$B40,INDEX(Input!$I$43:$I$2956,H$3+$A39),"")</f>
        <v/>
      </c>
      <c r="I40" s="17" t="str">
        <f>IF(I$3&lt;=$B40,INDEX(Input!$I$43:$I$2956,I$3+$A39),"")</f>
        <v/>
      </c>
      <c r="J40" s="17" t="str">
        <f>IF(J$3&lt;=$B40,INDEX(Input!$I$43:$I$2956,J$3+$A39),"")</f>
        <v/>
      </c>
      <c r="K40" s="17" t="str">
        <f>IF(K$3&lt;=$B40,INDEX(Input!$I$43:$I$2956,K$3+$A39),"")</f>
        <v/>
      </c>
      <c r="L40" s="17" t="str">
        <f>IF(L$3&lt;=$B40,INDEX(Input!$I$43:$I$2956,L$3+$A39),"")</f>
        <v/>
      </c>
      <c r="M40" s="17" t="str">
        <f>IF(M$3&lt;=$B40,INDEX(Input!$I$43:$I$2956,M$3+$A39),"")</f>
        <v/>
      </c>
      <c r="N40" s="17" t="str">
        <f>IF(N$3&lt;=$B40,INDEX(Input!$I$43:$I$2956,N$3+$A39),"")</f>
        <v/>
      </c>
      <c r="O40" s="17" t="str">
        <f>IF(O$3&lt;=$B40,INDEX(Input!$I$43:$I$2956,O$3+$A39),"")</f>
        <v/>
      </c>
      <c r="P40" s="17" t="str">
        <f>IF(P$3&lt;=$B40,INDEX(Input!$I$43:$I$2956,P$3+$A39),"")</f>
        <v/>
      </c>
      <c r="Q40" s="17" t="str">
        <f>IF(Q$3&lt;=$B40,INDEX(Input!$I$43:$I$2956,Q$3+$A39),"")</f>
        <v/>
      </c>
      <c r="R40" s="17" t="str">
        <f>IF(R$3&lt;=$B40,INDEX(Input!$I$43:$I$2956,R$3+$A39),"")</f>
        <v/>
      </c>
      <c r="S40" s="17" t="str">
        <f>IF(S$3&lt;=$B40,INDEX(Input!$I$43:$I$2956,S$3+$A39),"")</f>
        <v/>
      </c>
      <c r="T40" s="17" t="str">
        <f>IF(T$3&lt;=$B40,INDEX(Input!$I$43:$I$2956,T$3+$A39),"")</f>
        <v/>
      </c>
      <c r="U40" s="17" t="str">
        <f>IF(U$3&lt;=$B40,INDEX(Input!$I$43:$I$2956,U$3+$A39),"")</f>
        <v/>
      </c>
      <c r="V40" s="17" t="str">
        <f>IF(V$3&lt;=$B40,INDEX(Input!$I$43:$I$2956,V$3+$A39),"")</f>
        <v/>
      </c>
      <c r="W40" s="17" t="str">
        <f>IF(W$3&lt;=$B40,INDEX(Input!$I$43:$I$2956,W$3+$A39),"")</f>
        <v/>
      </c>
      <c r="X40" s="17" t="str">
        <f>IF(X$3&lt;=$B40,INDEX(Input!$I$43:$I$2956,X$3+$A39),"")</f>
        <v/>
      </c>
      <c r="Y40" s="17" t="str">
        <f>IF(Y$3&lt;=$B40,INDEX(Input!$I$43:$I$2956,Y$3+$A39),"")</f>
        <v/>
      </c>
      <c r="Z40" s="17" t="str">
        <f>IF(Z$3&lt;=$B40,INDEX(Input!$I$43:$I$2956,Z$3+$A39),"")</f>
        <v/>
      </c>
      <c r="AA40" s="17" t="str">
        <f>IF(AA$3&lt;=$B40,INDEX(Input!$I$43:$I$2956,AA$3+$A39),"")</f>
        <v/>
      </c>
      <c r="AB40" s="17" t="str">
        <f>IF(AB$3&lt;=$B40,INDEX(Input!$I$43:$I$2956,AB$3+$A39),"")</f>
        <v/>
      </c>
      <c r="AC40" s="17" t="str">
        <f>IF(AC$3&lt;=$B40,INDEX(Input!$I$43:$I$2956,AC$3+$A39),"")</f>
        <v/>
      </c>
      <c r="AD40" s="17" t="str">
        <f>IF(AD$3&lt;=$B40,INDEX(Input!$I$43:$I$2956,AD$3+$A39),"")</f>
        <v/>
      </c>
      <c r="AE40" s="17" t="str">
        <f>IF(AE$3&lt;=$B40,INDEX(Input!$I$43:$I$2956,AE$3+$A39),"")</f>
        <v/>
      </c>
      <c r="AF40" s="17" t="str">
        <f>IF(AF$3&lt;=$B40,INDEX(Input!$I$43:$I$2956,AF$3+$A39),"")</f>
        <v/>
      </c>
      <c r="AG40" s="17" t="str">
        <f>IF(AG$3&lt;=$B40,INDEX(Input!$I$43:$I$2956,AG$3+$A39),"")</f>
        <v/>
      </c>
      <c r="AH40" s="17" t="str">
        <f>IF(AH$3&lt;=$B40,INDEX(Input!$I$43:$I$2956,AH$3+$A39),"")</f>
        <v/>
      </c>
      <c r="AI40" s="17" t="str">
        <f>IF(AI$3&lt;=$B40,INDEX(Input!$I$43:$I$2956,AI$3+$A39),"")</f>
        <v/>
      </c>
      <c r="AJ40" s="17" t="str">
        <f>IF(AJ$3&lt;=$B40,INDEX(Input!$I$43:$I$2956,AJ$3+$A39),"")</f>
        <v/>
      </c>
      <c r="AK40" s="17" t="str">
        <f>IF(AK$3&lt;=$B40,INDEX(Input!$I$43:$I$2956,AK$3+$A39),"")</f>
        <v/>
      </c>
      <c r="AL40" s="17" t="str">
        <f>IF(AL$3&lt;=$B40,INDEX(Input!$I$43:$I$2956,AL$3+$A39),"")</f>
        <v/>
      </c>
      <c r="AM40" s="17" t="str">
        <f>IF(AM$3&lt;=$B40,INDEX(Input!$I$43:$I$2956,AM$3+$A39),"")</f>
        <v/>
      </c>
      <c r="AN40" s="17" t="str">
        <f>IF(AN$3&lt;=$B40,INDEX(Input!$I$43:$I$2956,AN$3+$A39),"")</f>
        <v/>
      </c>
      <c r="AO40" s="17" t="str">
        <f>IF(AO$3&lt;=$B40,INDEX(Input!$I$43:$I$2956,AO$3+$A39),"")</f>
        <v/>
      </c>
      <c r="AP40" s="17" t="str">
        <f>IF(AP$3&lt;=$B40,INDEX(Input!$I$43:$I$2956,AP$3+$A39),"")</f>
        <v/>
      </c>
      <c r="AQ40" s="17" t="str">
        <f>IF(AQ$3&lt;=$B40,INDEX(Input!$I$43:$I$2956,AQ$3+$A39),"")</f>
        <v/>
      </c>
      <c r="AR40" s="17" t="str">
        <f>IF(AR$3&lt;=$B40,INDEX(Input!$I$43:$I$2956,AR$3+$A39),"")</f>
        <v/>
      </c>
      <c r="AS40" s="17" t="str">
        <f>IF(AS$3&lt;=$B40,INDEX(Input!$I$43:$I$2956,AS$3+$A39),"")</f>
        <v/>
      </c>
      <c r="AT40" s="17" t="str">
        <f>IF(AT$3&lt;=$B40,INDEX(Input!$I$43:$I$2956,AT$3+$A39),"")</f>
        <v/>
      </c>
      <c r="AU40" s="17" t="str">
        <f>IF(AU$3&lt;=$B40,INDEX(Input!$I$43:$I$2956,AU$3+$A39),"")</f>
        <v/>
      </c>
      <c r="AV40" s="17" t="str">
        <f>IF(AV$3&lt;=$B40,INDEX(Input!$I$43:$I$2956,AV$3+$A39),"")</f>
        <v/>
      </c>
      <c r="AW40" s="17" t="str">
        <f>IF(AW$3&lt;=$B40,INDEX(Input!$I$43:$I$2956,AW$3+$A39),"")</f>
        <v/>
      </c>
      <c r="AX40" s="17" t="str">
        <f>IF(AX$3&lt;=$B40,INDEX(Input!$I$43:$I$2956,AX$3+$A39),"")</f>
        <v/>
      </c>
      <c r="AY40" s="17" t="str">
        <f>IF(AY$3&lt;=$B40,INDEX(Input!$I$43:$I$2956,AY$3+$A39),"")</f>
        <v/>
      </c>
      <c r="AZ40" s="17" t="str">
        <f>IF(AZ$3&lt;=$B40,INDEX(Input!$I$43:$I$2956,AZ$3+$A39),"")</f>
        <v/>
      </c>
      <c r="BA40" s="17" t="str">
        <f>IF(BA$3&lt;=$B40,INDEX(Input!$I$43:$I$2956,BA$3+$A39),"")</f>
        <v/>
      </c>
      <c r="BB40" s="17" t="str">
        <f>IF(BB$3&lt;=$B40,INDEX(Input!$I$43:$I$2956,BB$3+$A39),"")</f>
        <v/>
      </c>
      <c r="BC40" s="17" t="str">
        <f>IF(BC$3&lt;=$B40,INDEX(Input!$I$43:$I$2956,BC$3+$A39),"")</f>
        <v/>
      </c>
      <c r="BD40" s="17" t="str">
        <f>IF(BD$3&lt;=$B40,INDEX(Input!$I$43:$I$2956,BD$3+$A39),"")</f>
        <v/>
      </c>
      <c r="BE40" s="17" t="str">
        <f>IF(BE$3&lt;=$B40,INDEX(Input!$I$43:$I$2956,BE$3+$A39),"")</f>
        <v/>
      </c>
      <c r="BF40" s="17" t="str">
        <f>IF(BF$3&lt;=$B40,INDEX(Input!$I$43:$I$2956,BF$3+$A39),"")</f>
        <v/>
      </c>
      <c r="BG40" s="17" t="str">
        <f>IF(BG$3&lt;=$B40,INDEX(Input!$I$43:$I$2956,BG$3+$A39),"")</f>
        <v/>
      </c>
      <c r="BH40" s="17" t="str">
        <f>IF(BH$3&lt;=$B40,INDEX(Input!$I$43:$I$2956,BH$3+$A39),"")</f>
        <v/>
      </c>
      <c r="BI40" s="17" t="str">
        <f>IF(BI$3&lt;=$B40,INDEX(Input!$I$43:$I$2956,BI$3+$A39),"")</f>
        <v/>
      </c>
      <c r="BJ40" s="17" t="str">
        <f>IF(BJ$3&lt;=$B40,INDEX(Input!$I$43:$I$2956,BJ$3+$A39),"")</f>
        <v/>
      </c>
      <c r="BK40" s="17" t="str">
        <f>IF(BK$3&lt;=$B40,INDEX(Input!$I$43:$I$2956,BK$3+$A39),"")</f>
        <v/>
      </c>
      <c r="BL40" s="17" t="str">
        <f>IF(BL$3&lt;=$B40,INDEX(Input!$I$43:$I$2956,BL$3+$A39),"")</f>
        <v/>
      </c>
      <c r="BM40" s="17" t="str">
        <f>IF(BM$3&lt;=$B40,INDEX(Input!$I$43:$I$2956,BM$3+$A39),"")</f>
        <v/>
      </c>
      <c r="BN40" s="17" t="str">
        <f>IF(BN$3&lt;=$B40,INDEX(Input!$I$43:$I$2956,BN$3+$A39),"")</f>
        <v/>
      </c>
      <c r="BO40" s="17" t="str">
        <f>IF(BO$3&lt;=$B40,INDEX(Input!$I$43:$I$2956,BO$3+$A39),"")</f>
        <v/>
      </c>
      <c r="BP40" s="17" t="str">
        <f>IF(BP$3&lt;=$B40,INDEX(Input!$I$43:$I$2956,BP$3+$A39),"")</f>
        <v/>
      </c>
      <c r="BQ40" s="17" t="str">
        <f>IF(BQ$3&lt;=$B40,INDEX(Input!$I$43:$I$2956,BQ$3+$A39),"")</f>
        <v/>
      </c>
      <c r="BR40" s="17" t="str">
        <f>IF(BR$3&lt;=$B40,INDEX(Input!$I$43:$I$2956,BR$3+$A39),"")</f>
        <v/>
      </c>
      <c r="BS40" s="17" t="str">
        <f>IF(BS$3&lt;=$B40,INDEX(Input!$I$43:$I$2956,BS$3+$A39),"")</f>
        <v/>
      </c>
      <c r="BT40" s="17" t="str">
        <f>IF(BT$3&lt;=$B40,INDEX(Input!$I$43:$I$2956,BT$3+$A39),"")</f>
        <v/>
      </c>
      <c r="BU40" s="17" t="str">
        <f>IF(BU$3&lt;=$B40,INDEX(Input!$I$43:$I$2956,BU$3+$A39),"")</f>
        <v/>
      </c>
      <c r="BV40" s="17" t="str">
        <f>IF(BV$3&lt;=$B40,INDEX(Input!$I$43:$I$2956,BV$3+$A39),"")</f>
        <v/>
      </c>
      <c r="BW40" s="17" t="str">
        <f>IF(BW$3&lt;=$B40,INDEX(Input!$I$43:$I$2956,BW$3+$A39),"")</f>
        <v/>
      </c>
      <c r="BX40" s="17" t="str">
        <f>IF(BX$3&lt;=$B40,INDEX(Input!$I$43:$I$2956,BX$3+$A39),"")</f>
        <v/>
      </c>
      <c r="BY40" s="17" t="str">
        <f>IF(BY$3&lt;=$B40,INDEX(Input!$I$43:$I$2956,BY$3+$A39),"")</f>
        <v/>
      </c>
      <c r="BZ40" s="17" t="str">
        <f>IF(BZ$3&lt;=$B40,INDEX(Input!$I$43:$I$2956,BZ$3+$A39),"")</f>
        <v/>
      </c>
      <c r="CA40" s="17" t="str">
        <f>IF(CA$3&lt;=$B40,INDEX(Input!$I$43:$I$2956,CA$3+$A39),"")</f>
        <v/>
      </c>
      <c r="CB40" s="17" t="str">
        <f>IF(CB$3&lt;=$B40,INDEX(Input!$I$43:$I$2956,CB$3+$A39),"")</f>
        <v/>
      </c>
      <c r="CC40" s="17" t="str">
        <f>IF(CC$3&lt;=$B40,INDEX(Input!$I$43:$I$2956,CC$3+$A39),"")</f>
        <v/>
      </c>
      <c r="CD40" s="17" t="str">
        <f>IF(CD$3&lt;=$B40,INDEX(Input!$I$43:$I$2956,CD$3+$A39),"")</f>
        <v/>
      </c>
      <c r="CE40" s="17" t="str">
        <f>IF(CE$3&lt;=$B40,INDEX(Input!$I$43:$I$2956,CE$3+$A39),"")</f>
        <v/>
      </c>
      <c r="CF40" s="17" t="str">
        <f>IF(CF$3&lt;=$B40,INDEX(Input!$I$43:$I$2956,CF$3+$A39),"")</f>
        <v/>
      </c>
      <c r="CG40" s="17" t="str">
        <f>IF(CG$3&lt;=$B40,INDEX(Input!$I$43:$I$2956,CG$3+$A39),"")</f>
        <v/>
      </c>
      <c r="CH40" s="17" t="str">
        <f>IF(CH$3&lt;=$B40,INDEX(Input!$I$43:$I$2956,CH$3+$A39),"")</f>
        <v/>
      </c>
      <c r="CI40" s="17" t="str">
        <f>IF(CI$3&lt;=$B40,INDEX(Input!$I$43:$I$2956,CI$3+$A39),"")</f>
        <v/>
      </c>
      <c r="CJ40" s="17" t="str">
        <f>IF(CJ$3&lt;=$B40,INDEX(Input!$I$43:$I$2956,CJ$3+$A39),"")</f>
        <v/>
      </c>
      <c r="CK40" s="17" t="str">
        <f>IF(CK$3&lt;=$B40,INDEX(Input!$I$43:$I$2956,CK$3+$A39),"")</f>
        <v/>
      </c>
      <c r="CL40" s="17" t="str">
        <f>IF(CL$3&lt;=$B40,INDEX(Input!$I$43:$I$2956,CL$3+$A39),"")</f>
        <v/>
      </c>
      <c r="CM40" s="17" t="str">
        <f>IF(CM$3&lt;=$B40,INDEX(Input!$I$43:$I$2956,CM$3+$A39),"")</f>
        <v/>
      </c>
      <c r="CN40" s="17" t="str">
        <f>IF(CN$3&lt;=$B40,INDEX(Input!$I$43:$I$2956,CN$3+$A39),"")</f>
        <v/>
      </c>
      <c r="CO40" s="17" t="str">
        <f>IF(CO$3&lt;=$B40,INDEX(Input!$I$43:$I$2956,CO$3+$A39),"")</f>
        <v/>
      </c>
      <c r="CP40" s="17" t="str">
        <f>IF(CP$3&lt;=$B40,INDEX(Input!$I$43:$I$2956,CP$3+$A39),"")</f>
        <v/>
      </c>
      <c r="CQ40" s="17" t="str">
        <f>IF(CQ$3&lt;=$B40,INDEX(Input!$I$43:$I$2956,CQ$3+$A39),"")</f>
        <v/>
      </c>
      <c r="CR40" s="17" t="str">
        <f>IF(CR$3&lt;=$B40,INDEX(Input!$I$43:$I$2956,CR$3+$A39),"")</f>
        <v/>
      </c>
      <c r="CS40" s="17" t="str">
        <f>IF(CS$3&lt;=$B40,INDEX(Input!$I$43:$I$2956,CS$3+$A39),"")</f>
        <v/>
      </c>
      <c r="CT40" s="17" t="str">
        <f>IF(CT$3&lt;=$B40,INDEX(Input!$I$43:$I$2956,CT$3+$A39),"")</f>
        <v/>
      </c>
      <c r="CU40" s="17" t="str">
        <f>IF(CU$3&lt;=$B40,INDEX(Input!$I$43:$I$2956,CU$3+$A39),"")</f>
        <v/>
      </c>
      <c r="CV40" s="17" t="str">
        <f>IF(CV$3&lt;=$B40,INDEX(Input!$I$43:$I$2956,CV$3+$A39),"")</f>
        <v/>
      </c>
      <c r="CW40" s="17" t="str">
        <f>IF(CW$3&lt;=$B40,INDEX(Input!$I$43:$I$2956,CW$3+$A39),"")</f>
        <v/>
      </c>
      <c r="CX40" s="17" t="str">
        <f>IF(CX$3&lt;=$B40,INDEX(Input!$I$43:$I$2956,CX$3+$A39),"")</f>
        <v/>
      </c>
      <c r="CY40" s="17" t="str">
        <f>IF(CY$3&lt;=$B40,INDEX(Input!$I$43:$I$2956,CY$3+$A39),"")</f>
        <v/>
      </c>
      <c r="CZ40" s="17" t="str">
        <f>IF(CZ$3&lt;=$B40,INDEX(Input!$I$43:$I$2956,CZ$3+$A39),"")</f>
        <v/>
      </c>
      <c r="DA40" s="17" t="str">
        <f>IF(DA$3&lt;=$B40,INDEX(Input!$I$43:$I$2956,DA$3+$A39),"")</f>
        <v/>
      </c>
      <c r="DB40" s="17" t="str">
        <f>IF(DB$3&lt;=$B40,INDEX(Input!$I$43:$I$2956,DB$3+$A39),"")</f>
        <v/>
      </c>
      <c r="DC40" s="17" t="str">
        <f>IF(DC$3&lt;=$B40,INDEX(Input!$I$43:$I$2956,DC$3+$A39),"")</f>
        <v/>
      </c>
      <c r="DD40" s="17" t="str">
        <f>IF(DD$3&lt;=$B40,INDEX(Input!$I$43:$I$2956,DD$3+$A39),"")</f>
        <v/>
      </c>
      <c r="DE40" s="17" t="str">
        <f>IF(DE$3&lt;=$B40,INDEX(Input!$I$43:$I$2956,DE$3+$A39),"")</f>
        <v/>
      </c>
      <c r="DF40" s="17" t="str">
        <f>IF(DF$3&lt;=$B40,INDEX(Input!$I$43:$I$2956,DF$3+$A39),"")</f>
        <v/>
      </c>
      <c r="DG40" s="17" t="str">
        <f>IF(DG$3&lt;=$B40,INDEX(Input!$I$43:$I$2956,DG$3+$A39),"")</f>
        <v/>
      </c>
      <c r="DH40" s="17" t="str">
        <f>IF(DH$3&lt;=$B40,INDEX(Input!$I$43:$I$2956,DH$3+$A39),"")</f>
        <v/>
      </c>
      <c r="DI40" s="17" t="str">
        <f>IF(DI$3&lt;=$B40,INDEX(Input!$I$43:$I$2956,DI$3+$A39),"")</f>
        <v/>
      </c>
      <c r="DJ40" s="17" t="str">
        <f>IF(DJ$3&lt;=$B40,INDEX(Input!$I$43:$I$2956,DJ$3+$A39),"")</f>
        <v/>
      </c>
      <c r="DK40" s="17" t="str">
        <f>IF(DK$3&lt;=$B40,INDEX(Input!$I$43:$I$2956,DK$3+$A39),"")</f>
        <v/>
      </c>
      <c r="DL40" s="17" t="str">
        <f>IF(DL$3&lt;=$B40,INDEX(Input!$I$43:$I$2956,DL$3+$A39),"")</f>
        <v/>
      </c>
      <c r="DM40" s="17" t="str">
        <f>IF(DM$3&lt;=$B40,INDEX(Input!$I$43:$I$2956,DM$3+$A39),"")</f>
        <v/>
      </c>
      <c r="DN40" s="17" t="str">
        <f>IF(DN$3&lt;=$B40,INDEX(Input!$I$43:$I$2956,DN$3+$A39),"")</f>
        <v/>
      </c>
      <c r="DO40" s="17" t="str">
        <f>IF(DO$3&lt;=$B40,INDEX(Input!$I$43:$I$2956,DO$3+$A39),"")</f>
        <v/>
      </c>
      <c r="DP40" s="17" t="str">
        <f>IF(DP$3&lt;=$B40,INDEX(Input!$I$43:$I$2956,DP$3+$A39),"")</f>
        <v/>
      </c>
      <c r="DQ40" s="17" t="str">
        <f>IF(DQ$3&lt;=$B40,INDEX(Input!$I$43:$I$2956,DQ$3+$A39),"")</f>
        <v/>
      </c>
      <c r="DR40" s="17" t="str">
        <f>IF(DR$3&lt;=$B40,INDEX(Input!$I$43:$I$2956,DR$3+$A39),"")</f>
        <v/>
      </c>
      <c r="DS40" s="17" t="str">
        <f>IF(DS$3&lt;=$B40,INDEX(Input!$I$43:$I$2956,DS$3+$A39),"")</f>
        <v/>
      </c>
      <c r="DT40" s="17" t="str">
        <f>IF(DT$3&lt;=$B40,INDEX(Input!$I$43:$I$2956,DT$3+$A39),"")</f>
        <v/>
      </c>
      <c r="DU40" s="17" t="str">
        <f>IF(DU$3&lt;=$B40,INDEX(Input!$I$43:$I$2956,DU$3+$A39),"")</f>
        <v/>
      </c>
      <c r="DV40" s="17" t="str">
        <f>IF(DV$3&lt;=$B40,INDEX(Input!$I$43:$I$2956,DV$3+$A39),"")</f>
        <v/>
      </c>
      <c r="DW40" s="58" t="str">
        <f t="array" ref="DW40:EZ40">IFERROR(eccalc(E40:DV40,C40+B40,B40,$O$2:$AS$2),"")</f>
        <v/>
      </c>
      <c r="DX40" s="59" t="str">
        <v/>
      </c>
      <c r="DY40" s="59" t="str">
        <v/>
      </c>
      <c r="DZ40" s="59" t="str">
        <v/>
      </c>
      <c r="EA40" s="59" t="str">
        <v/>
      </c>
      <c r="EB40" s="59" t="str">
        <v/>
      </c>
      <c r="EC40" s="59" t="str">
        <v/>
      </c>
      <c r="ED40" s="59" t="str">
        <v/>
      </c>
      <c r="EE40" s="59" t="str">
        <v/>
      </c>
      <c r="EF40" s="59" t="str">
        <v/>
      </c>
      <c r="EG40" s="59" t="str">
        <v/>
      </c>
      <c r="EH40" s="59" t="str">
        <v/>
      </c>
      <c r="EI40" s="59" t="str">
        <v/>
      </c>
      <c r="EJ40" s="59" t="str">
        <v/>
      </c>
      <c r="EK40" s="59" t="str">
        <v/>
      </c>
      <c r="EL40" s="59" t="str">
        <v/>
      </c>
      <c r="EM40" s="59" t="str">
        <v/>
      </c>
      <c r="EN40" s="59" t="str">
        <v/>
      </c>
      <c r="EO40" s="59" t="str">
        <v/>
      </c>
      <c r="EP40" s="59" t="str">
        <v/>
      </c>
      <c r="EQ40" s="59" t="str">
        <v/>
      </c>
      <c r="ER40" s="59" t="str">
        <v/>
      </c>
      <c r="ES40" s="59" t="str">
        <v/>
      </c>
      <c r="ET40" s="59" t="str">
        <v/>
      </c>
      <c r="EU40" s="59" t="str">
        <v/>
      </c>
      <c r="EV40" s="59" t="str">
        <v/>
      </c>
      <c r="EW40" s="59" t="str">
        <v/>
      </c>
      <c r="EX40" s="59" t="str">
        <v/>
      </c>
      <c r="EY40" s="59" t="str">
        <v/>
      </c>
      <c r="EZ40" s="60" t="str">
        <v/>
      </c>
      <c r="FA40" s="17"/>
      <c r="FC40">
        <v>37</v>
      </c>
      <c r="FD40">
        <f t="shared" si="2"/>
        <v>5</v>
      </c>
      <c r="FE40">
        <f t="shared" si="3"/>
        <v>3</v>
      </c>
      <c r="FF40">
        <f t="shared" si="4"/>
        <v>89</v>
      </c>
      <c r="FI40" s="16">
        <v>37</v>
      </c>
      <c r="FJ40" s="17">
        <f t="shared" si="5"/>
        <v>46</v>
      </c>
      <c r="FK40" s="17">
        <f t="shared" si="6"/>
        <v>89</v>
      </c>
      <c r="FL40" s="18" t="str">
        <f t="shared" si="7"/>
        <v>01011001</v>
      </c>
      <c r="FM40" s="2"/>
    </row>
    <row r="41" spans="1:169">
      <c r="A41">
        <f>SUM($B$4:B41)</f>
        <v>196</v>
      </c>
      <c r="B41">
        <f t="shared" si="0"/>
        <v>0</v>
      </c>
      <c r="C41" t="str">
        <f t="shared" si="1"/>
        <v/>
      </c>
      <c r="D41">
        <v>38</v>
      </c>
      <c r="E41" s="16" t="str">
        <f>IF(E$3&lt;=$B41,INDEX(Input!$I$43:$I$2956,E$3+$A40),"")</f>
        <v/>
      </c>
      <c r="F41" s="17" t="str">
        <f>IF(F$3&lt;=$B41,INDEX(Input!$I$43:$I$2956,F$3+$A40),"")</f>
        <v/>
      </c>
      <c r="G41" s="17" t="str">
        <f>IF(G$3&lt;=$B41,INDEX(Input!$I$43:$I$2956,G$3+$A40),"")</f>
        <v/>
      </c>
      <c r="H41" s="17" t="str">
        <f>IF(H$3&lt;=$B41,INDEX(Input!$I$43:$I$2956,H$3+$A40),"")</f>
        <v/>
      </c>
      <c r="I41" s="17" t="str">
        <f>IF(I$3&lt;=$B41,INDEX(Input!$I$43:$I$2956,I$3+$A40),"")</f>
        <v/>
      </c>
      <c r="J41" s="17" t="str">
        <f>IF(J$3&lt;=$B41,INDEX(Input!$I$43:$I$2956,J$3+$A40),"")</f>
        <v/>
      </c>
      <c r="K41" s="17" t="str">
        <f>IF(K$3&lt;=$B41,INDEX(Input!$I$43:$I$2956,K$3+$A40),"")</f>
        <v/>
      </c>
      <c r="L41" s="17" t="str">
        <f>IF(L$3&lt;=$B41,INDEX(Input!$I$43:$I$2956,L$3+$A40),"")</f>
        <v/>
      </c>
      <c r="M41" s="17" t="str">
        <f>IF(M$3&lt;=$B41,INDEX(Input!$I$43:$I$2956,M$3+$A40),"")</f>
        <v/>
      </c>
      <c r="N41" s="17" t="str">
        <f>IF(N$3&lt;=$B41,INDEX(Input!$I$43:$I$2956,N$3+$A40),"")</f>
        <v/>
      </c>
      <c r="O41" s="17" t="str">
        <f>IF(O$3&lt;=$B41,INDEX(Input!$I$43:$I$2956,O$3+$A40),"")</f>
        <v/>
      </c>
      <c r="P41" s="17" t="str">
        <f>IF(P$3&lt;=$B41,INDEX(Input!$I$43:$I$2956,P$3+$A40),"")</f>
        <v/>
      </c>
      <c r="Q41" s="17" t="str">
        <f>IF(Q$3&lt;=$B41,INDEX(Input!$I$43:$I$2956,Q$3+$A40),"")</f>
        <v/>
      </c>
      <c r="R41" s="17" t="str">
        <f>IF(R$3&lt;=$B41,INDEX(Input!$I$43:$I$2956,R$3+$A40),"")</f>
        <v/>
      </c>
      <c r="S41" s="17" t="str">
        <f>IF(S$3&lt;=$B41,INDEX(Input!$I$43:$I$2956,S$3+$A40),"")</f>
        <v/>
      </c>
      <c r="T41" s="17" t="str">
        <f>IF(T$3&lt;=$B41,INDEX(Input!$I$43:$I$2956,T$3+$A40),"")</f>
        <v/>
      </c>
      <c r="U41" s="17" t="str">
        <f>IF(U$3&lt;=$B41,INDEX(Input!$I$43:$I$2956,U$3+$A40),"")</f>
        <v/>
      </c>
      <c r="V41" s="17" t="str">
        <f>IF(V$3&lt;=$B41,INDEX(Input!$I$43:$I$2956,V$3+$A40),"")</f>
        <v/>
      </c>
      <c r="W41" s="17" t="str">
        <f>IF(W$3&lt;=$B41,INDEX(Input!$I$43:$I$2956,W$3+$A40),"")</f>
        <v/>
      </c>
      <c r="X41" s="17" t="str">
        <f>IF(X$3&lt;=$B41,INDEX(Input!$I$43:$I$2956,X$3+$A40),"")</f>
        <v/>
      </c>
      <c r="Y41" s="17" t="str">
        <f>IF(Y$3&lt;=$B41,INDEX(Input!$I$43:$I$2956,Y$3+$A40),"")</f>
        <v/>
      </c>
      <c r="Z41" s="17" t="str">
        <f>IF(Z$3&lt;=$B41,INDEX(Input!$I$43:$I$2956,Z$3+$A40),"")</f>
        <v/>
      </c>
      <c r="AA41" s="17" t="str">
        <f>IF(AA$3&lt;=$B41,INDEX(Input!$I$43:$I$2956,AA$3+$A40),"")</f>
        <v/>
      </c>
      <c r="AB41" s="17" t="str">
        <f>IF(AB$3&lt;=$B41,INDEX(Input!$I$43:$I$2956,AB$3+$A40),"")</f>
        <v/>
      </c>
      <c r="AC41" s="17" t="str">
        <f>IF(AC$3&lt;=$B41,INDEX(Input!$I$43:$I$2956,AC$3+$A40),"")</f>
        <v/>
      </c>
      <c r="AD41" s="17" t="str">
        <f>IF(AD$3&lt;=$B41,INDEX(Input!$I$43:$I$2956,AD$3+$A40),"")</f>
        <v/>
      </c>
      <c r="AE41" s="17" t="str">
        <f>IF(AE$3&lt;=$B41,INDEX(Input!$I$43:$I$2956,AE$3+$A40),"")</f>
        <v/>
      </c>
      <c r="AF41" s="17" t="str">
        <f>IF(AF$3&lt;=$B41,INDEX(Input!$I$43:$I$2956,AF$3+$A40),"")</f>
        <v/>
      </c>
      <c r="AG41" s="17" t="str">
        <f>IF(AG$3&lt;=$B41,INDEX(Input!$I$43:$I$2956,AG$3+$A40),"")</f>
        <v/>
      </c>
      <c r="AH41" s="17" t="str">
        <f>IF(AH$3&lt;=$B41,INDEX(Input!$I$43:$I$2956,AH$3+$A40),"")</f>
        <v/>
      </c>
      <c r="AI41" s="17" t="str">
        <f>IF(AI$3&lt;=$B41,INDEX(Input!$I$43:$I$2956,AI$3+$A40),"")</f>
        <v/>
      </c>
      <c r="AJ41" s="17" t="str">
        <f>IF(AJ$3&lt;=$B41,INDEX(Input!$I$43:$I$2956,AJ$3+$A40),"")</f>
        <v/>
      </c>
      <c r="AK41" s="17" t="str">
        <f>IF(AK$3&lt;=$B41,INDEX(Input!$I$43:$I$2956,AK$3+$A40),"")</f>
        <v/>
      </c>
      <c r="AL41" s="17" t="str">
        <f>IF(AL$3&lt;=$B41,INDEX(Input!$I$43:$I$2956,AL$3+$A40),"")</f>
        <v/>
      </c>
      <c r="AM41" s="17" t="str">
        <f>IF(AM$3&lt;=$B41,INDEX(Input!$I$43:$I$2956,AM$3+$A40),"")</f>
        <v/>
      </c>
      <c r="AN41" s="17" t="str">
        <f>IF(AN$3&lt;=$B41,INDEX(Input!$I$43:$I$2956,AN$3+$A40),"")</f>
        <v/>
      </c>
      <c r="AO41" s="17" t="str">
        <f>IF(AO$3&lt;=$B41,INDEX(Input!$I$43:$I$2956,AO$3+$A40),"")</f>
        <v/>
      </c>
      <c r="AP41" s="17" t="str">
        <f>IF(AP$3&lt;=$B41,INDEX(Input!$I$43:$I$2956,AP$3+$A40),"")</f>
        <v/>
      </c>
      <c r="AQ41" s="17" t="str">
        <f>IF(AQ$3&lt;=$B41,INDEX(Input!$I$43:$I$2956,AQ$3+$A40),"")</f>
        <v/>
      </c>
      <c r="AR41" s="17" t="str">
        <f>IF(AR$3&lt;=$B41,INDEX(Input!$I$43:$I$2956,AR$3+$A40),"")</f>
        <v/>
      </c>
      <c r="AS41" s="17" t="str">
        <f>IF(AS$3&lt;=$B41,INDEX(Input!$I$43:$I$2956,AS$3+$A40),"")</f>
        <v/>
      </c>
      <c r="AT41" s="17" t="str">
        <f>IF(AT$3&lt;=$B41,INDEX(Input!$I$43:$I$2956,AT$3+$A40),"")</f>
        <v/>
      </c>
      <c r="AU41" s="17" t="str">
        <f>IF(AU$3&lt;=$B41,INDEX(Input!$I$43:$I$2956,AU$3+$A40),"")</f>
        <v/>
      </c>
      <c r="AV41" s="17" t="str">
        <f>IF(AV$3&lt;=$B41,INDEX(Input!$I$43:$I$2956,AV$3+$A40),"")</f>
        <v/>
      </c>
      <c r="AW41" s="17" t="str">
        <f>IF(AW$3&lt;=$B41,INDEX(Input!$I$43:$I$2956,AW$3+$A40),"")</f>
        <v/>
      </c>
      <c r="AX41" s="17" t="str">
        <f>IF(AX$3&lt;=$B41,INDEX(Input!$I$43:$I$2956,AX$3+$A40),"")</f>
        <v/>
      </c>
      <c r="AY41" s="17" t="str">
        <f>IF(AY$3&lt;=$B41,INDEX(Input!$I$43:$I$2956,AY$3+$A40),"")</f>
        <v/>
      </c>
      <c r="AZ41" s="17" t="str">
        <f>IF(AZ$3&lt;=$B41,INDEX(Input!$I$43:$I$2956,AZ$3+$A40),"")</f>
        <v/>
      </c>
      <c r="BA41" s="17" t="str">
        <f>IF(BA$3&lt;=$B41,INDEX(Input!$I$43:$I$2956,BA$3+$A40),"")</f>
        <v/>
      </c>
      <c r="BB41" s="17" t="str">
        <f>IF(BB$3&lt;=$B41,INDEX(Input!$I$43:$I$2956,BB$3+$A40),"")</f>
        <v/>
      </c>
      <c r="BC41" s="17" t="str">
        <f>IF(BC$3&lt;=$B41,INDEX(Input!$I$43:$I$2956,BC$3+$A40),"")</f>
        <v/>
      </c>
      <c r="BD41" s="17" t="str">
        <f>IF(BD$3&lt;=$B41,INDEX(Input!$I$43:$I$2956,BD$3+$A40),"")</f>
        <v/>
      </c>
      <c r="BE41" s="17" t="str">
        <f>IF(BE$3&lt;=$B41,INDEX(Input!$I$43:$I$2956,BE$3+$A40),"")</f>
        <v/>
      </c>
      <c r="BF41" s="17" t="str">
        <f>IF(BF$3&lt;=$B41,INDEX(Input!$I$43:$I$2956,BF$3+$A40),"")</f>
        <v/>
      </c>
      <c r="BG41" s="17" t="str">
        <f>IF(BG$3&lt;=$B41,INDEX(Input!$I$43:$I$2956,BG$3+$A40),"")</f>
        <v/>
      </c>
      <c r="BH41" s="17" t="str">
        <f>IF(BH$3&lt;=$B41,INDEX(Input!$I$43:$I$2956,BH$3+$A40),"")</f>
        <v/>
      </c>
      <c r="BI41" s="17" t="str">
        <f>IF(BI$3&lt;=$B41,INDEX(Input!$I$43:$I$2956,BI$3+$A40),"")</f>
        <v/>
      </c>
      <c r="BJ41" s="17" t="str">
        <f>IF(BJ$3&lt;=$B41,INDEX(Input!$I$43:$I$2956,BJ$3+$A40),"")</f>
        <v/>
      </c>
      <c r="BK41" s="17" t="str">
        <f>IF(BK$3&lt;=$B41,INDEX(Input!$I$43:$I$2956,BK$3+$A40),"")</f>
        <v/>
      </c>
      <c r="BL41" s="17" t="str">
        <f>IF(BL$3&lt;=$B41,INDEX(Input!$I$43:$I$2956,BL$3+$A40),"")</f>
        <v/>
      </c>
      <c r="BM41" s="17" t="str">
        <f>IF(BM$3&lt;=$B41,INDEX(Input!$I$43:$I$2956,BM$3+$A40),"")</f>
        <v/>
      </c>
      <c r="BN41" s="17" t="str">
        <f>IF(BN$3&lt;=$B41,INDEX(Input!$I$43:$I$2956,BN$3+$A40),"")</f>
        <v/>
      </c>
      <c r="BO41" s="17" t="str">
        <f>IF(BO$3&lt;=$B41,INDEX(Input!$I$43:$I$2956,BO$3+$A40),"")</f>
        <v/>
      </c>
      <c r="BP41" s="17" t="str">
        <f>IF(BP$3&lt;=$B41,INDEX(Input!$I$43:$I$2956,BP$3+$A40),"")</f>
        <v/>
      </c>
      <c r="BQ41" s="17" t="str">
        <f>IF(BQ$3&lt;=$B41,INDEX(Input!$I$43:$I$2956,BQ$3+$A40),"")</f>
        <v/>
      </c>
      <c r="BR41" s="17" t="str">
        <f>IF(BR$3&lt;=$B41,INDEX(Input!$I$43:$I$2956,BR$3+$A40),"")</f>
        <v/>
      </c>
      <c r="BS41" s="17" t="str">
        <f>IF(BS$3&lt;=$B41,INDEX(Input!$I$43:$I$2956,BS$3+$A40),"")</f>
        <v/>
      </c>
      <c r="BT41" s="17" t="str">
        <f>IF(BT$3&lt;=$B41,INDEX(Input!$I$43:$I$2956,BT$3+$A40),"")</f>
        <v/>
      </c>
      <c r="BU41" s="17" t="str">
        <f>IF(BU$3&lt;=$B41,INDEX(Input!$I$43:$I$2956,BU$3+$A40),"")</f>
        <v/>
      </c>
      <c r="BV41" s="17" t="str">
        <f>IF(BV$3&lt;=$B41,INDEX(Input!$I$43:$I$2956,BV$3+$A40),"")</f>
        <v/>
      </c>
      <c r="BW41" s="17" t="str">
        <f>IF(BW$3&lt;=$B41,INDEX(Input!$I$43:$I$2956,BW$3+$A40),"")</f>
        <v/>
      </c>
      <c r="BX41" s="17" t="str">
        <f>IF(BX$3&lt;=$B41,INDEX(Input!$I$43:$I$2956,BX$3+$A40),"")</f>
        <v/>
      </c>
      <c r="BY41" s="17" t="str">
        <f>IF(BY$3&lt;=$B41,INDEX(Input!$I$43:$I$2956,BY$3+$A40),"")</f>
        <v/>
      </c>
      <c r="BZ41" s="17" t="str">
        <f>IF(BZ$3&lt;=$B41,INDEX(Input!$I$43:$I$2956,BZ$3+$A40),"")</f>
        <v/>
      </c>
      <c r="CA41" s="17" t="str">
        <f>IF(CA$3&lt;=$B41,INDEX(Input!$I$43:$I$2956,CA$3+$A40),"")</f>
        <v/>
      </c>
      <c r="CB41" s="17" t="str">
        <f>IF(CB$3&lt;=$B41,INDEX(Input!$I$43:$I$2956,CB$3+$A40),"")</f>
        <v/>
      </c>
      <c r="CC41" s="17" t="str">
        <f>IF(CC$3&lt;=$B41,INDEX(Input!$I$43:$I$2956,CC$3+$A40),"")</f>
        <v/>
      </c>
      <c r="CD41" s="17" t="str">
        <f>IF(CD$3&lt;=$B41,INDEX(Input!$I$43:$I$2956,CD$3+$A40),"")</f>
        <v/>
      </c>
      <c r="CE41" s="17" t="str">
        <f>IF(CE$3&lt;=$B41,INDEX(Input!$I$43:$I$2956,CE$3+$A40),"")</f>
        <v/>
      </c>
      <c r="CF41" s="17" t="str">
        <f>IF(CF$3&lt;=$B41,INDEX(Input!$I$43:$I$2956,CF$3+$A40),"")</f>
        <v/>
      </c>
      <c r="CG41" s="17" t="str">
        <f>IF(CG$3&lt;=$B41,INDEX(Input!$I$43:$I$2956,CG$3+$A40),"")</f>
        <v/>
      </c>
      <c r="CH41" s="17" t="str">
        <f>IF(CH$3&lt;=$B41,INDEX(Input!$I$43:$I$2956,CH$3+$A40),"")</f>
        <v/>
      </c>
      <c r="CI41" s="17" t="str">
        <f>IF(CI$3&lt;=$B41,INDEX(Input!$I$43:$I$2956,CI$3+$A40),"")</f>
        <v/>
      </c>
      <c r="CJ41" s="17" t="str">
        <f>IF(CJ$3&lt;=$B41,INDEX(Input!$I$43:$I$2956,CJ$3+$A40),"")</f>
        <v/>
      </c>
      <c r="CK41" s="17" t="str">
        <f>IF(CK$3&lt;=$B41,INDEX(Input!$I$43:$I$2956,CK$3+$A40),"")</f>
        <v/>
      </c>
      <c r="CL41" s="17" t="str">
        <f>IF(CL$3&lt;=$B41,INDEX(Input!$I$43:$I$2956,CL$3+$A40),"")</f>
        <v/>
      </c>
      <c r="CM41" s="17" t="str">
        <f>IF(CM$3&lt;=$B41,INDEX(Input!$I$43:$I$2956,CM$3+$A40),"")</f>
        <v/>
      </c>
      <c r="CN41" s="17" t="str">
        <f>IF(CN$3&lt;=$B41,INDEX(Input!$I$43:$I$2956,CN$3+$A40),"")</f>
        <v/>
      </c>
      <c r="CO41" s="17" t="str">
        <f>IF(CO$3&lt;=$B41,INDEX(Input!$I$43:$I$2956,CO$3+$A40),"")</f>
        <v/>
      </c>
      <c r="CP41" s="17" t="str">
        <f>IF(CP$3&lt;=$B41,INDEX(Input!$I$43:$I$2956,CP$3+$A40),"")</f>
        <v/>
      </c>
      <c r="CQ41" s="17" t="str">
        <f>IF(CQ$3&lt;=$B41,INDEX(Input!$I$43:$I$2956,CQ$3+$A40),"")</f>
        <v/>
      </c>
      <c r="CR41" s="17" t="str">
        <f>IF(CR$3&lt;=$B41,INDEX(Input!$I$43:$I$2956,CR$3+$A40),"")</f>
        <v/>
      </c>
      <c r="CS41" s="17" t="str">
        <f>IF(CS$3&lt;=$B41,INDEX(Input!$I$43:$I$2956,CS$3+$A40),"")</f>
        <v/>
      </c>
      <c r="CT41" s="17" t="str">
        <f>IF(CT$3&lt;=$B41,INDEX(Input!$I$43:$I$2956,CT$3+$A40),"")</f>
        <v/>
      </c>
      <c r="CU41" s="17" t="str">
        <f>IF(CU$3&lt;=$B41,INDEX(Input!$I$43:$I$2956,CU$3+$A40),"")</f>
        <v/>
      </c>
      <c r="CV41" s="17" t="str">
        <f>IF(CV$3&lt;=$B41,INDEX(Input!$I$43:$I$2956,CV$3+$A40),"")</f>
        <v/>
      </c>
      <c r="CW41" s="17" t="str">
        <f>IF(CW$3&lt;=$B41,INDEX(Input!$I$43:$I$2956,CW$3+$A40),"")</f>
        <v/>
      </c>
      <c r="CX41" s="17" t="str">
        <f>IF(CX$3&lt;=$B41,INDEX(Input!$I$43:$I$2956,CX$3+$A40),"")</f>
        <v/>
      </c>
      <c r="CY41" s="17" t="str">
        <f>IF(CY$3&lt;=$B41,INDEX(Input!$I$43:$I$2956,CY$3+$A40),"")</f>
        <v/>
      </c>
      <c r="CZ41" s="17" t="str">
        <f>IF(CZ$3&lt;=$B41,INDEX(Input!$I$43:$I$2956,CZ$3+$A40),"")</f>
        <v/>
      </c>
      <c r="DA41" s="17" t="str">
        <f>IF(DA$3&lt;=$B41,INDEX(Input!$I$43:$I$2956,DA$3+$A40),"")</f>
        <v/>
      </c>
      <c r="DB41" s="17" t="str">
        <f>IF(DB$3&lt;=$B41,INDEX(Input!$I$43:$I$2956,DB$3+$A40),"")</f>
        <v/>
      </c>
      <c r="DC41" s="17" t="str">
        <f>IF(DC$3&lt;=$B41,INDEX(Input!$I$43:$I$2956,DC$3+$A40),"")</f>
        <v/>
      </c>
      <c r="DD41" s="17" t="str">
        <f>IF(DD$3&lt;=$B41,INDEX(Input!$I$43:$I$2956,DD$3+$A40),"")</f>
        <v/>
      </c>
      <c r="DE41" s="17" t="str">
        <f>IF(DE$3&lt;=$B41,INDEX(Input!$I$43:$I$2956,DE$3+$A40),"")</f>
        <v/>
      </c>
      <c r="DF41" s="17" t="str">
        <f>IF(DF$3&lt;=$B41,INDEX(Input!$I$43:$I$2956,DF$3+$A40),"")</f>
        <v/>
      </c>
      <c r="DG41" s="17" t="str">
        <f>IF(DG$3&lt;=$B41,INDEX(Input!$I$43:$I$2956,DG$3+$A40),"")</f>
        <v/>
      </c>
      <c r="DH41" s="17" t="str">
        <f>IF(DH$3&lt;=$B41,INDEX(Input!$I$43:$I$2956,DH$3+$A40),"")</f>
        <v/>
      </c>
      <c r="DI41" s="17" t="str">
        <f>IF(DI$3&lt;=$B41,INDEX(Input!$I$43:$I$2956,DI$3+$A40),"")</f>
        <v/>
      </c>
      <c r="DJ41" s="17" t="str">
        <f>IF(DJ$3&lt;=$B41,INDEX(Input!$I$43:$I$2956,DJ$3+$A40),"")</f>
        <v/>
      </c>
      <c r="DK41" s="17" t="str">
        <f>IF(DK$3&lt;=$B41,INDEX(Input!$I$43:$I$2956,DK$3+$A40),"")</f>
        <v/>
      </c>
      <c r="DL41" s="17" t="str">
        <f>IF(DL$3&lt;=$B41,INDEX(Input!$I$43:$I$2956,DL$3+$A40),"")</f>
        <v/>
      </c>
      <c r="DM41" s="17" t="str">
        <f>IF(DM$3&lt;=$B41,INDEX(Input!$I$43:$I$2956,DM$3+$A40),"")</f>
        <v/>
      </c>
      <c r="DN41" s="17" t="str">
        <f>IF(DN$3&lt;=$B41,INDEX(Input!$I$43:$I$2956,DN$3+$A40),"")</f>
        <v/>
      </c>
      <c r="DO41" s="17" t="str">
        <f>IF(DO$3&lt;=$B41,INDEX(Input!$I$43:$I$2956,DO$3+$A40),"")</f>
        <v/>
      </c>
      <c r="DP41" s="17" t="str">
        <f>IF(DP$3&lt;=$B41,INDEX(Input!$I$43:$I$2956,DP$3+$A40),"")</f>
        <v/>
      </c>
      <c r="DQ41" s="17" t="str">
        <f>IF(DQ$3&lt;=$B41,INDEX(Input!$I$43:$I$2956,DQ$3+$A40),"")</f>
        <v/>
      </c>
      <c r="DR41" s="17" t="str">
        <f>IF(DR$3&lt;=$B41,INDEX(Input!$I$43:$I$2956,DR$3+$A40),"")</f>
        <v/>
      </c>
      <c r="DS41" s="17" t="str">
        <f>IF(DS$3&lt;=$B41,INDEX(Input!$I$43:$I$2956,DS$3+$A40),"")</f>
        <v/>
      </c>
      <c r="DT41" s="17" t="str">
        <f>IF(DT$3&lt;=$B41,INDEX(Input!$I$43:$I$2956,DT$3+$A40),"")</f>
        <v/>
      </c>
      <c r="DU41" s="17" t="str">
        <f>IF(DU$3&lt;=$B41,INDEX(Input!$I$43:$I$2956,DU$3+$A40),"")</f>
        <v/>
      </c>
      <c r="DV41" s="17" t="str">
        <f>IF(DV$3&lt;=$B41,INDEX(Input!$I$43:$I$2956,DV$3+$A40),"")</f>
        <v/>
      </c>
      <c r="DW41" s="58" t="str">
        <f t="array" ref="DW41:EZ41">IFERROR(eccalc(E41:DV41,C41+B41,B41,$O$2:$AS$2),"")</f>
        <v/>
      </c>
      <c r="DX41" s="59" t="str">
        <v/>
      </c>
      <c r="DY41" s="59" t="str">
        <v/>
      </c>
      <c r="DZ41" s="59" t="str">
        <v/>
      </c>
      <c r="EA41" s="59" t="str">
        <v/>
      </c>
      <c r="EB41" s="59" t="str">
        <v/>
      </c>
      <c r="EC41" s="59" t="str">
        <v/>
      </c>
      <c r="ED41" s="59" t="str">
        <v/>
      </c>
      <c r="EE41" s="59" t="str">
        <v/>
      </c>
      <c r="EF41" s="59" t="str">
        <v/>
      </c>
      <c r="EG41" s="59" t="str">
        <v/>
      </c>
      <c r="EH41" s="59" t="str">
        <v/>
      </c>
      <c r="EI41" s="59" t="str">
        <v/>
      </c>
      <c r="EJ41" s="59" t="str">
        <v/>
      </c>
      <c r="EK41" s="59" t="str">
        <v/>
      </c>
      <c r="EL41" s="59" t="str">
        <v/>
      </c>
      <c r="EM41" s="59" t="str">
        <v/>
      </c>
      <c r="EN41" s="59" t="str">
        <v/>
      </c>
      <c r="EO41" s="59" t="str">
        <v/>
      </c>
      <c r="EP41" s="59" t="str">
        <v/>
      </c>
      <c r="EQ41" s="59" t="str">
        <v/>
      </c>
      <c r="ER41" s="59" t="str">
        <v/>
      </c>
      <c r="ES41" s="59" t="str">
        <v/>
      </c>
      <c r="ET41" s="59" t="str">
        <v/>
      </c>
      <c r="EU41" s="59" t="str">
        <v/>
      </c>
      <c r="EV41" s="59" t="str">
        <v/>
      </c>
      <c r="EW41" s="59" t="str">
        <v/>
      </c>
      <c r="EX41" s="59" t="str">
        <v/>
      </c>
      <c r="EY41" s="59" t="str">
        <v/>
      </c>
      <c r="EZ41" s="60" t="str">
        <v/>
      </c>
      <c r="FA41" s="17"/>
      <c r="FC41">
        <v>38</v>
      </c>
      <c r="FD41">
        <f t="shared" si="2"/>
        <v>6</v>
      </c>
      <c r="FE41">
        <f t="shared" si="3"/>
        <v>3</v>
      </c>
      <c r="FF41">
        <f t="shared" si="4"/>
        <v>41</v>
      </c>
      <c r="FI41" s="16">
        <v>38</v>
      </c>
      <c r="FJ41" s="17">
        <f t="shared" si="5"/>
        <v>237</v>
      </c>
      <c r="FK41" s="17">
        <f t="shared" si="6"/>
        <v>41</v>
      </c>
      <c r="FL41" s="18" t="str">
        <f t="shared" si="7"/>
        <v>00101001</v>
      </c>
      <c r="FM41" s="2"/>
    </row>
    <row r="42" spans="1:169">
      <c r="A42">
        <f>SUM($B$4:B42)</f>
        <v>196</v>
      </c>
      <c r="B42">
        <f t="shared" si="0"/>
        <v>0</v>
      </c>
      <c r="C42" t="str">
        <f t="shared" si="1"/>
        <v/>
      </c>
      <c r="D42">
        <v>39</v>
      </c>
      <c r="E42" s="16" t="str">
        <f>IF(E$3&lt;=$B42,INDEX(Input!$I$43:$I$2956,E$3+$A41),"")</f>
        <v/>
      </c>
      <c r="F42" s="17" t="str">
        <f>IF(F$3&lt;=$B42,INDEX(Input!$I$43:$I$2956,F$3+$A41),"")</f>
        <v/>
      </c>
      <c r="G42" s="17" t="str">
        <f>IF(G$3&lt;=$B42,INDEX(Input!$I$43:$I$2956,G$3+$A41),"")</f>
        <v/>
      </c>
      <c r="H42" s="17" t="str">
        <f>IF(H$3&lt;=$B42,INDEX(Input!$I$43:$I$2956,H$3+$A41),"")</f>
        <v/>
      </c>
      <c r="I42" s="17" t="str">
        <f>IF(I$3&lt;=$B42,INDEX(Input!$I$43:$I$2956,I$3+$A41),"")</f>
        <v/>
      </c>
      <c r="J42" s="17" t="str">
        <f>IF(J$3&lt;=$B42,INDEX(Input!$I$43:$I$2956,J$3+$A41),"")</f>
        <v/>
      </c>
      <c r="K42" s="17" t="str">
        <f>IF(K$3&lt;=$B42,INDEX(Input!$I$43:$I$2956,K$3+$A41),"")</f>
        <v/>
      </c>
      <c r="L42" s="17" t="str">
        <f>IF(L$3&lt;=$B42,INDEX(Input!$I$43:$I$2956,L$3+$A41),"")</f>
        <v/>
      </c>
      <c r="M42" s="17" t="str">
        <f>IF(M$3&lt;=$B42,INDEX(Input!$I$43:$I$2956,M$3+$A41),"")</f>
        <v/>
      </c>
      <c r="N42" s="17" t="str">
        <f>IF(N$3&lt;=$B42,INDEX(Input!$I$43:$I$2956,N$3+$A41),"")</f>
        <v/>
      </c>
      <c r="O42" s="17" t="str">
        <f>IF(O$3&lt;=$B42,INDEX(Input!$I$43:$I$2956,O$3+$A41),"")</f>
        <v/>
      </c>
      <c r="P42" s="17" t="str">
        <f>IF(P$3&lt;=$B42,INDEX(Input!$I$43:$I$2956,P$3+$A41),"")</f>
        <v/>
      </c>
      <c r="Q42" s="17" t="str">
        <f>IF(Q$3&lt;=$B42,INDEX(Input!$I$43:$I$2956,Q$3+$A41),"")</f>
        <v/>
      </c>
      <c r="R42" s="17" t="str">
        <f>IF(R$3&lt;=$B42,INDEX(Input!$I$43:$I$2956,R$3+$A41),"")</f>
        <v/>
      </c>
      <c r="S42" s="17" t="str">
        <f>IF(S$3&lt;=$B42,INDEX(Input!$I$43:$I$2956,S$3+$A41),"")</f>
        <v/>
      </c>
      <c r="T42" s="17" t="str">
        <f>IF(T$3&lt;=$B42,INDEX(Input!$I$43:$I$2956,T$3+$A41),"")</f>
        <v/>
      </c>
      <c r="U42" s="17" t="str">
        <f>IF(U$3&lt;=$B42,INDEX(Input!$I$43:$I$2956,U$3+$A41),"")</f>
        <v/>
      </c>
      <c r="V42" s="17" t="str">
        <f>IF(V$3&lt;=$B42,INDEX(Input!$I$43:$I$2956,V$3+$A41),"")</f>
        <v/>
      </c>
      <c r="W42" s="17" t="str">
        <f>IF(W$3&lt;=$B42,INDEX(Input!$I$43:$I$2956,W$3+$A41),"")</f>
        <v/>
      </c>
      <c r="X42" s="17" t="str">
        <f>IF(X$3&lt;=$B42,INDEX(Input!$I$43:$I$2956,X$3+$A41),"")</f>
        <v/>
      </c>
      <c r="Y42" s="17" t="str">
        <f>IF(Y$3&lt;=$B42,INDEX(Input!$I$43:$I$2956,Y$3+$A41),"")</f>
        <v/>
      </c>
      <c r="Z42" s="17" t="str">
        <f>IF(Z$3&lt;=$B42,INDEX(Input!$I$43:$I$2956,Z$3+$A41),"")</f>
        <v/>
      </c>
      <c r="AA42" s="17" t="str">
        <f>IF(AA$3&lt;=$B42,INDEX(Input!$I$43:$I$2956,AA$3+$A41),"")</f>
        <v/>
      </c>
      <c r="AB42" s="17" t="str">
        <f>IF(AB$3&lt;=$B42,INDEX(Input!$I$43:$I$2956,AB$3+$A41),"")</f>
        <v/>
      </c>
      <c r="AC42" s="17" t="str">
        <f>IF(AC$3&lt;=$B42,INDEX(Input!$I$43:$I$2956,AC$3+$A41),"")</f>
        <v/>
      </c>
      <c r="AD42" s="17" t="str">
        <f>IF(AD$3&lt;=$B42,INDEX(Input!$I$43:$I$2956,AD$3+$A41),"")</f>
        <v/>
      </c>
      <c r="AE42" s="17" t="str">
        <f>IF(AE$3&lt;=$B42,INDEX(Input!$I$43:$I$2956,AE$3+$A41),"")</f>
        <v/>
      </c>
      <c r="AF42" s="17" t="str">
        <f>IF(AF$3&lt;=$B42,INDEX(Input!$I$43:$I$2956,AF$3+$A41),"")</f>
        <v/>
      </c>
      <c r="AG42" s="17" t="str">
        <f>IF(AG$3&lt;=$B42,INDEX(Input!$I$43:$I$2956,AG$3+$A41),"")</f>
        <v/>
      </c>
      <c r="AH42" s="17" t="str">
        <f>IF(AH$3&lt;=$B42,INDEX(Input!$I$43:$I$2956,AH$3+$A41),"")</f>
        <v/>
      </c>
      <c r="AI42" s="17" t="str">
        <f>IF(AI$3&lt;=$B42,INDEX(Input!$I$43:$I$2956,AI$3+$A41),"")</f>
        <v/>
      </c>
      <c r="AJ42" s="17" t="str">
        <f>IF(AJ$3&lt;=$B42,INDEX(Input!$I$43:$I$2956,AJ$3+$A41),"")</f>
        <v/>
      </c>
      <c r="AK42" s="17" t="str">
        <f>IF(AK$3&lt;=$B42,INDEX(Input!$I$43:$I$2956,AK$3+$A41),"")</f>
        <v/>
      </c>
      <c r="AL42" s="17" t="str">
        <f>IF(AL$3&lt;=$B42,INDEX(Input!$I$43:$I$2956,AL$3+$A41),"")</f>
        <v/>
      </c>
      <c r="AM42" s="17" t="str">
        <f>IF(AM$3&lt;=$B42,INDEX(Input!$I$43:$I$2956,AM$3+$A41),"")</f>
        <v/>
      </c>
      <c r="AN42" s="17" t="str">
        <f>IF(AN$3&lt;=$B42,INDEX(Input!$I$43:$I$2956,AN$3+$A41),"")</f>
        <v/>
      </c>
      <c r="AO42" s="17" t="str">
        <f>IF(AO$3&lt;=$B42,INDEX(Input!$I$43:$I$2956,AO$3+$A41),"")</f>
        <v/>
      </c>
      <c r="AP42" s="17" t="str">
        <f>IF(AP$3&lt;=$B42,INDEX(Input!$I$43:$I$2956,AP$3+$A41),"")</f>
        <v/>
      </c>
      <c r="AQ42" s="17" t="str">
        <f>IF(AQ$3&lt;=$B42,INDEX(Input!$I$43:$I$2956,AQ$3+$A41),"")</f>
        <v/>
      </c>
      <c r="AR42" s="17" t="str">
        <f>IF(AR$3&lt;=$B42,INDEX(Input!$I$43:$I$2956,AR$3+$A41),"")</f>
        <v/>
      </c>
      <c r="AS42" s="17" t="str">
        <f>IF(AS$3&lt;=$B42,INDEX(Input!$I$43:$I$2956,AS$3+$A41),"")</f>
        <v/>
      </c>
      <c r="AT42" s="17" t="str">
        <f>IF(AT$3&lt;=$B42,INDEX(Input!$I$43:$I$2956,AT$3+$A41),"")</f>
        <v/>
      </c>
      <c r="AU42" s="17" t="str">
        <f>IF(AU$3&lt;=$B42,INDEX(Input!$I$43:$I$2956,AU$3+$A41),"")</f>
        <v/>
      </c>
      <c r="AV42" s="17" t="str">
        <f>IF(AV$3&lt;=$B42,INDEX(Input!$I$43:$I$2956,AV$3+$A41),"")</f>
        <v/>
      </c>
      <c r="AW42" s="17" t="str">
        <f>IF(AW$3&lt;=$B42,INDEX(Input!$I$43:$I$2956,AW$3+$A41),"")</f>
        <v/>
      </c>
      <c r="AX42" s="17" t="str">
        <f>IF(AX$3&lt;=$B42,INDEX(Input!$I$43:$I$2956,AX$3+$A41),"")</f>
        <v/>
      </c>
      <c r="AY42" s="17" t="str">
        <f>IF(AY$3&lt;=$B42,INDEX(Input!$I$43:$I$2956,AY$3+$A41),"")</f>
        <v/>
      </c>
      <c r="AZ42" s="17" t="str">
        <f>IF(AZ$3&lt;=$B42,INDEX(Input!$I$43:$I$2956,AZ$3+$A41),"")</f>
        <v/>
      </c>
      <c r="BA42" s="17" t="str">
        <f>IF(BA$3&lt;=$B42,INDEX(Input!$I$43:$I$2956,BA$3+$A41),"")</f>
        <v/>
      </c>
      <c r="BB42" s="17" t="str">
        <f>IF(BB$3&lt;=$B42,INDEX(Input!$I$43:$I$2956,BB$3+$A41),"")</f>
        <v/>
      </c>
      <c r="BC42" s="17" t="str">
        <f>IF(BC$3&lt;=$B42,INDEX(Input!$I$43:$I$2956,BC$3+$A41),"")</f>
        <v/>
      </c>
      <c r="BD42" s="17" t="str">
        <f>IF(BD$3&lt;=$B42,INDEX(Input!$I$43:$I$2956,BD$3+$A41),"")</f>
        <v/>
      </c>
      <c r="BE42" s="17" t="str">
        <f>IF(BE$3&lt;=$B42,INDEX(Input!$I$43:$I$2956,BE$3+$A41),"")</f>
        <v/>
      </c>
      <c r="BF42" s="17" t="str">
        <f>IF(BF$3&lt;=$B42,INDEX(Input!$I$43:$I$2956,BF$3+$A41),"")</f>
        <v/>
      </c>
      <c r="BG42" s="17" t="str">
        <f>IF(BG$3&lt;=$B42,INDEX(Input!$I$43:$I$2956,BG$3+$A41),"")</f>
        <v/>
      </c>
      <c r="BH42" s="17" t="str">
        <f>IF(BH$3&lt;=$B42,INDEX(Input!$I$43:$I$2956,BH$3+$A41),"")</f>
        <v/>
      </c>
      <c r="BI42" s="17" t="str">
        <f>IF(BI$3&lt;=$B42,INDEX(Input!$I$43:$I$2956,BI$3+$A41),"")</f>
        <v/>
      </c>
      <c r="BJ42" s="17" t="str">
        <f>IF(BJ$3&lt;=$B42,INDEX(Input!$I$43:$I$2956,BJ$3+$A41),"")</f>
        <v/>
      </c>
      <c r="BK42" s="17" t="str">
        <f>IF(BK$3&lt;=$B42,INDEX(Input!$I$43:$I$2956,BK$3+$A41),"")</f>
        <v/>
      </c>
      <c r="BL42" s="17" t="str">
        <f>IF(BL$3&lt;=$B42,INDEX(Input!$I$43:$I$2956,BL$3+$A41),"")</f>
        <v/>
      </c>
      <c r="BM42" s="17" t="str">
        <f>IF(BM$3&lt;=$B42,INDEX(Input!$I$43:$I$2956,BM$3+$A41),"")</f>
        <v/>
      </c>
      <c r="BN42" s="17" t="str">
        <f>IF(BN$3&lt;=$B42,INDEX(Input!$I$43:$I$2956,BN$3+$A41),"")</f>
        <v/>
      </c>
      <c r="BO42" s="17" t="str">
        <f>IF(BO$3&lt;=$B42,INDEX(Input!$I$43:$I$2956,BO$3+$A41),"")</f>
        <v/>
      </c>
      <c r="BP42" s="17" t="str">
        <f>IF(BP$3&lt;=$B42,INDEX(Input!$I$43:$I$2956,BP$3+$A41),"")</f>
        <v/>
      </c>
      <c r="BQ42" s="17" t="str">
        <f>IF(BQ$3&lt;=$B42,INDEX(Input!$I$43:$I$2956,BQ$3+$A41),"")</f>
        <v/>
      </c>
      <c r="BR42" s="17" t="str">
        <f>IF(BR$3&lt;=$B42,INDEX(Input!$I$43:$I$2956,BR$3+$A41),"")</f>
        <v/>
      </c>
      <c r="BS42" s="17" t="str">
        <f>IF(BS$3&lt;=$B42,INDEX(Input!$I$43:$I$2956,BS$3+$A41),"")</f>
        <v/>
      </c>
      <c r="BT42" s="17" t="str">
        <f>IF(BT$3&lt;=$B42,INDEX(Input!$I$43:$I$2956,BT$3+$A41),"")</f>
        <v/>
      </c>
      <c r="BU42" s="17" t="str">
        <f>IF(BU$3&lt;=$B42,INDEX(Input!$I$43:$I$2956,BU$3+$A41),"")</f>
        <v/>
      </c>
      <c r="BV42" s="17" t="str">
        <f>IF(BV$3&lt;=$B42,INDEX(Input!$I$43:$I$2956,BV$3+$A41),"")</f>
        <v/>
      </c>
      <c r="BW42" s="17" t="str">
        <f>IF(BW$3&lt;=$B42,INDEX(Input!$I$43:$I$2956,BW$3+$A41),"")</f>
        <v/>
      </c>
      <c r="BX42" s="17" t="str">
        <f>IF(BX$3&lt;=$B42,INDEX(Input!$I$43:$I$2956,BX$3+$A41),"")</f>
        <v/>
      </c>
      <c r="BY42" s="17" t="str">
        <f>IF(BY$3&lt;=$B42,INDEX(Input!$I$43:$I$2956,BY$3+$A41),"")</f>
        <v/>
      </c>
      <c r="BZ42" s="17" t="str">
        <f>IF(BZ$3&lt;=$B42,INDEX(Input!$I$43:$I$2956,BZ$3+$A41),"")</f>
        <v/>
      </c>
      <c r="CA42" s="17" t="str">
        <f>IF(CA$3&lt;=$B42,INDEX(Input!$I$43:$I$2956,CA$3+$A41),"")</f>
        <v/>
      </c>
      <c r="CB42" s="17" t="str">
        <f>IF(CB$3&lt;=$B42,INDEX(Input!$I$43:$I$2956,CB$3+$A41),"")</f>
        <v/>
      </c>
      <c r="CC42" s="17" t="str">
        <f>IF(CC$3&lt;=$B42,INDEX(Input!$I$43:$I$2956,CC$3+$A41),"")</f>
        <v/>
      </c>
      <c r="CD42" s="17" t="str">
        <f>IF(CD$3&lt;=$B42,INDEX(Input!$I$43:$I$2956,CD$3+$A41),"")</f>
        <v/>
      </c>
      <c r="CE42" s="17" t="str">
        <f>IF(CE$3&lt;=$B42,INDEX(Input!$I$43:$I$2956,CE$3+$A41),"")</f>
        <v/>
      </c>
      <c r="CF42" s="17" t="str">
        <f>IF(CF$3&lt;=$B42,INDEX(Input!$I$43:$I$2956,CF$3+$A41),"")</f>
        <v/>
      </c>
      <c r="CG42" s="17" t="str">
        <f>IF(CG$3&lt;=$B42,INDEX(Input!$I$43:$I$2956,CG$3+$A41),"")</f>
        <v/>
      </c>
      <c r="CH42" s="17" t="str">
        <f>IF(CH$3&lt;=$B42,INDEX(Input!$I$43:$I$2956,CH$3+$A41),"")</f>
        <v/>
      </c>
      <c r="CI42" s="17" t="str">
        <f>IF(CI$3&lt;=$B42,INDEX(Input!$I$43:$I$2956,CI$3+$A41),"")</f>
        <v/>
      </c>
      <c r="CJ42" s="17" t="str">
        <f>IF(CJ$3&lt;=$B42,INDEX(Input!$I$43:$I$2956,CJ$3+$A41),"")</f>
        <v/>
      </c>
      <c r="CK42" s="17" t="str">
        <f>IF(CK$3&lt;=$B42,INDEX(Input!$I$43:$I$2956,CK$3+$A41),"")</f>
        <v/>
      </c>
      <c r="CL42" s="17" t="str">
        <f>IF(CL$3&lt;=$B42,INDEX(Input!$I$43:$I$2956,CL$3+$A41),"")</f>
        <v/>
      </c>
      <c r="CM42" s="17" t="str">
        <f>IF(CM$3&lt;=$B42,INDEX(Input!$I$43:$I$2956,CM$3+$A41),"")</f>
        <v/>
      </c>
      <c r="CN42" s="17" t="str">
        <f>IF(CN$3&lt;=$B42,INDEX(Input!$I$43:$I$2956,CN$3+$A41),"")</f>
        <v/>
      </c>
      <c r="CO42" s="17" t="str">
        <f>IF(CO$3&lt;=$B42,INDEX(Input!$I$43:$I$2956,CO$3+$A41),"")</f>
        <v/>
      </c>
      <c r="CP42" s="17" t="str">
        <f>IF(CP$3&lt;=$B42,INDEX(Input!$I$43:$I$2956,CP$3+$A41),"")</f>
        <v/>
      </c>
      <c r="CQ42" s="17" t="str">
        <f>IF(CQ$3&lt;=$B42,INDEX(Input!$I$43:$I$2956,CQ$3+$A41),"")</f>
        <v/>
      </c>
      <c r="CR42" s="17" t="str">
        <f>IF(CR$3&lt;=$B42,INDEX(Input!$I$43:$I$2956,CR$3+$A41),"")</f>
        <v/>
      </c>
      <c r="CS42" s="17" t="str">
        <f>IF(CS$3&lt;=$B42,INDEX(Input!$I$43:$I$2956,CS$3+$A41),"")</f>
        <v/>
      </c>
      <c r="CT42" s="17" t="str">
        <f>IF(CT$3&lt;=$B42,INDEX(Input!$I$43:$I$2956,CT$3+$A41),"")</f>
        <v/>
      </c>
      <c r="CU42" s="17" t="str">
        <f>IF(CU$3&lt;=$B42,INDEX(Input!$I$43:$I$2956,CU$3+$A41),"")</f>
        <v/>
      </c>
      <c r="CV42" s="17" t="str">
        <f>IF(CV$3&lt;=$B42,INDEX(Input!$I$43:$I$2956,CV$3+$A41),"")</f>
        <v/>
      </c>
      <c r="CW42" s="17" t="str">
        <f>IF(CW$3&lt;=$B42,INDEX(Input!$I$43:$I$2956,CW$3+$A41),"")</f>
        <v/>
      </c>
      <c r="CX42" s="17" t="str">
        <f>IF(CX$3&lt;=$B42,INDEX(Input!$I$43:$I$2956,CX$3+$A41),"")</f>
        <v/>
      </c>
      <c r="CY42" s="17" t="str">
        <f>IF(CY$3&lt;=$B42,INDEX(Input!$I$43:$I$2956,CY$3+$A41),"")</f>
        <v/>
      </c>
      <c r="CZ42" s="17" t="str">
        <f>IF(CZ$3&lt;=$B42,INDEX(Input!$I$43:$I$2956,CZ$3+$A41),"")</f>
        <v/>
      </c>
      <c r="DA42" s="17" t="str">
        <f>IF(DA$3&lt;=$B42,INDEX(Input!$I$43:$I$2956,DA$3+$A41),"")</f>
        <v/>
      </c>
      <c r="DB42" s="17" t="str">
        <f>IF(DB$3&lt;=$B42,INDEX(Input!$I$43:$I$2956,DB$3+$A41),"")</f>
        <v/>
      </c>
      <c r="DC42" s="17" t="str">
        <f>IF(DC$3&lt;=$B42,INDEX(Input!$I$43:$I$2956,DC$3+$A41),"")</f>
        <v/>
      </c>
      <c r="DD42" s="17" t="str">
        <f>IF(DD$3&lt;=$B42,INDEX(Input!$I$43:$I$2956,DD$3+$A41),"")</f>
        <v/>
      </c>
      <c r="DE42" s="17" t="str">
        <f>IF(DE$3&lt;=$B42,INDEX(Input!$I$43:$I$2956,DE$3+$A41),"")</f>
        <v/>
      </c>
      <c r="DF42" s="17" t="str">
        <f>IF(DF$3&lt;=$B42,INDEX(Input!$I$43:$I$2956,DF$3+$A41),"")</f>
        <v/>
      </c>
      <c r="DG42" s="17" t="str">
        <f>IF(DG$3&lt;=$B42,INDEX(Input!$I$43:$I$2956,DG$3+$A41),"")</f>
        <v/>
      </c>
      <c r="DH42" s="17" t="str">
        <f>IF(DH$3&lt;=$B42,INDEX(Input!$I$43:$I$2956,DH$3+$A41),"")</f>
        <v/>
      </c>
      <c r="DI42" s="17" t="str">
        <f>IF(DI$3&lt;=$B42,INDEX(Input!$I$43:$I$2956,DI$3+$A41),"")</f>
        <v/>
      </c>
      <c r="DJ42" s="17" t="str">
        <f>IF(DJ$3&lt;=$B42,INDEX(Input!$I$43:$I$2956,DJ$3+$A41),"")</f>
        <v/>
      </c>
      <c r="DK42" s="17" t="str">
        <f>IF(DK$3&lt;=$B42,INDEX(Input!$I$43:$I$2956,DK$3+$A41),"")</f>
        <v/>
      </c>
      <c r="DL42" s="17" t="str">
        <f>IF(DL$3&lt;=$B42,INDEX(Input!$I$43:$I$2956,DL$3+$A41),"")</f>
        <v/>
      </c>
      <c r="DM42" s="17" t="str">
        <f>IF(DM$3&lt;=$B42,INDEX(Input!$I$43:$I$2956,DM$3+$A41),"")</f>
        <v/>
      </c>
      <c r="DN42" s="17" t="str">
        <f>IF(DN$3&lt;=$B42,INDEX(Input!$I$43:$I$2956,DN$3+$A41),"")</f>
        <v/>
      </c>
      <c r="DO42" s="17" t="str">
        <f>IF(DO$3&lt;=$B42,INDEX(Input!$I$43:$I$2956,DO$3+$A41),"")</f>
        <v/>
      </c>
      <c r="DP42" s="17" t="str">
        <f>IF(DP$3&lt;=$B42,INDEX(Input!$I$43:$I$2956,DP$3+$A41),"")</f>
        <v/>
      </c>
      <c r="DQ42" s="17" t="str">
        <f>IF(DQ$3&lt;=$B42,INDEX(Input!$I$43:$I$2956,DQ$3+$A41),"")</f>
        <v/>
      </c>
      <c r="DR42" s="17" t="str">
        <f>IF(DR$3&lt;=$B42,INDEX(Input!$I$43:$I$2956,DR$3+$A41),"")</f>
        <v/>
      </c>
      <c r="DS42" s="17" t="str">
        <f>IF(DS$3&lt;=$B42,INDEX(Input!$I$43:$I$2956,DS$3+$A41),"")</f>
        <v/>
      </c>
      <c r="DT42" s="17" t="str">
        <f>IF(DT$3&lt;=$B42,INDEX(Input!$I$43:$I$2956,DT$3+$A41),"")</f>
        <v/>
      </c>
      <c r="DU42" s="17" t="str">
        <f>IF(DU$3&lt;=$B42,INDEX(Input!$I$43:$I$2956,DU$3+$A41),"")</f>
        <v/>
      </c>
      <c r="DV42" s="17" t="str">
        <f>IF(DV$3&lt;=$B42,INDEX(Input!$I$43:$I$2956,DV$3+$A41),"")</f>
        <v/>
      </c>
      <c r="DW42" s="58" t="str">
        <f t="array" ref="DW42:EZ42">IFERROR(eccalc(E42:DV42,C42+B42,B42,$O$2:$AS$2),"")</f>
        <v/>
      </c>
      <c r="DX42" s="59" t="str">
        <v/>
      </c>
      <c r="DY42" s="59" t="str">
        <v/>
      </c>
      <c r="DZ42" s="59" t="str">
        <v/>
      </c>
      <c r="EA42" s="59" t="str">
        <v/>
      </c>
      <c r="EB42" s="59" t="str">
        <v/>
      </c>
      <c r="EC42" s="59" t="str">
        <v/>
      </c>
      <c r="ED42" s="59" t="str">
        <v/>
      </c>
      <c r="EE42" s="59" t="str">
        <v/>
      </c>
      <c r="EF42" s="59" t="str">
        <v/>
      </c>
      <c r="EG42" s="59" t="str">
        <v/>
      </c>
      <c r="EH42" s="59" t="str">
        <v/>
      </c>
      <c r="EI42" s="59" t="str">
        <v/>
      </c>
      <c r="EJ42" s="59" t="str">
        <v/>
      </c>
      <c r="EK42" s="59" t="str">
        <v/>
      </c>
      <c r="EL42" s="59" t="str">
        <v/>
      </c>
      <c r="EM42" s="59" t="str">
        <v/>
      </c>
      <c r="EN42" s="59" t="str">
        <v/>
      </c>
      <c r="EO42" s="59" t="str">
        <v/>
      </c>
      <c r="EP42" s="59" t="str">
        <v/>
      </c>
      <c r="EQ42" s="59" t="str">
        <v/>
      </c>
      <c r="ER42" s="59" t="str">
        <v/>
      </c>
      <c r="ES42" s="59" t="str">
        <v/>
      </c>
      <c r="ET42" s="59" t="str">
        <v/>
      </c>
      <c r="EU42" s="59" t="str">
        <v/>
      </c>
      <c r="EV42" s="59" t="str">
        <v/>
      </c>
      <c r="EW42" s="59" t="str">
        <v/>
      </c>
      <c r="EX42" s="59" t="str">
        <v/>
      </c>
      <c r="EY42" s="59" t="str">
        <v/>
      </c>
      <c r="EZ42" s="60" t="str">
        <v/>
      </c>
      <c r="FA42" s="17"/>
      <c r="FC42">
        <v>39</v>
      </c>
      <c r="FD42">
        <f t="shared" si="2"/>
        <v>7</v>
      </c>
      <c r="FE42">
        <f t="shared" si="3"/>
        <v>3</v>
      </c>
      <c r="FF42">
        <f t="shared" si="4"/>
        <v>225</v>
      </c>
      <c r="FI42" s="16">
        <v>39</v>
      </c>
      <c r="FJ42" s="17">
        <f t="shared" si="5"/>
        <v>160</v>
      </c>
      <c r="FK42" s="17">
        <f t="shared" si="6"/>
        <v>225</v>
      </c>
      <c r="FL42" s="18" t="str">
        <f t="shared" si="7"/>
        <v>11100001</v>
      </c>
      <c r="FM42" s="2"/>
    </row>
    <row r="43" spans="1:169">
      <c r="A43">
        <f>SUM($B$4:B43)</f>
        <v>196</v>
      </c>
      <c r="B43">
        <f t="shared" si="0"/>
        <v>0</v>
      </c>
      <c r="C43" t="str">
        <f t="shared" si="1"/>
        <v/>
      </c>
      <c r="D43">
        <v>40</v>
      </c>
      <c r="E43" s="16" t="str">
        <f>IF(E$3&lt;=$B43,INDEX(Input!$I$43:$I$2956,E$3+$A42),"")</f>
        <v/>
      </c>
      <c r="F43" s="17" t="str">
        <f>IF(F$3&lt;=$B43,INDEX(Input!$I$43:$I$2956,F$3+$A42),"")</f>
        <v/>
      </c>
      <c r="G43" s="17" t="str">
        <f>IF(G$3&lt;=$B43,INDEX(Input!$I$43:$I$2956,G$3+$A42),"")</f>
        <v/>
      </c>
      <c r="H43" s="17" t="str">
        <f>IF(H$3&lt;=$B43,INDEX(Input!$I$43:$I$2956,H$3+$A42),"")</f>
        <v/>
      </c>
      <c r="I43" s="17" t="str">
        <f>IF(I$3&lt;=$B43,INDEX(Input!$I$43:$I$2956,I$3+$A42),"")</f>
        <v/>
      </c>
      <c r="J43" s="17" t="str">
        <f>IF(J$3&lt;=$B43,INDEX(Input!$I$43:$I$2956,J$3+$A42),"")</f>
        <v/>
      </c>
      <c r="K43" s="17" t="str">
        <f>IF(K$3&lt;=$B43,INDEX(Input!$I$43:$I$2956,K$3+$A42),"")</f>
        <v/>
      </c>
      <c r="L43" s="17" t="str">
        <f>IF(L$3&lt;=$B43,INDEX(Input!$I$43:$I$2956,L$3+$A42),"")</f>
        <v/>
      </c>
      <c r="M43" s="17" t="str">
        <f>IF(M$3&lt;=$B43,INDEX(Input!$I$43:$I$2956,M$3+$A42),"")</f>
        <v/>
      </c>
      <c r="N43" s="17" t="str">
        <f>IF(N$3&lt;=$B43,INDEX(Input!$I$43:$I$2956,N$3+$A42),"")</f>
        <v/>
      </c>
      <c r="O43" s="17" t="str">
        <f>IF(O$3&lt;=$B43,INDEX(Input!$I$43:$I$2956,O$3+$A42),"")</f>
        <v/>
      </c>
      <c r="P43" s="17" t="str">
        <f>IF(P$3&lt;=$B43,INDEX(Input!$I$43:$I$2956,P$3+$A42),"")</f>
        <v/>
      </c>
      <c r="Q43" s="17" t="str">
        <f>IF(Q$3&lt;=$B43,INDEX(Input!$I$43:$I$2956,Q$3+$A42),"")</f>
        <v/>
      </c>
      <c r="R43" s="17" t="str">
        <f>IF(R$3&lt;=$B43,INDEX(Input!$I$43:$I$2956,R$3+$A42),"")</f>
        <v/>
      </c>
      <c r="S43" s="17" t="str">
        <f>IF(S$3&lt;=$B43,INDEX(Input!$I$43:$I$2956,S$3+$A42),"")</f>
        <v/>
      </c>
      <c r="T43" s="17" t="str">
        <f>IF(T$3&lt;=$B43,INDEX(Input!$I$43:$I$2956,T$3+$A42),"")</f>
        <v/>
      </c>
      <c r="U43" s="17" t="str">
        <f>IF(U$3&lt;=$B43,INDEX(Input!$I$43:$I$2956,U$3+$A42),"")</f>
        <v/>
      </c>
      <c r="V43" s="17" t="str">
        <f>IF(V$3&lt;=$B43,INDEX(Input!$I$43:$I$2956,V$3+$A42),"")</f>
        <v/>
      </c>
      <c r="W43" s="17" t="str">
        <f>IF(W$3&lt;=$B43,INDEX(Input!$I$43:$I$2956,W$3+$A42),"")</f>
        <v/>
      </c>
      <c r="X43" s="17" t="str">
        <f>IF(X$3&lt;=$B43,INDEX(Input!$I$43:$I$2956,X$3+$A42),"")</f>
        <v/>
      </c>
      <c r="Y43" s="17" t="str">
        <f>IF(Y$3&lt;=$B43,INDEX(Input!$I$43:$I$2956,Y$3+$A42),"")</f>
        <v/>
      </c>
      <c r="Z43" s="17" t="str">
        <f>IF(Z$3&lt;=$B43,INDEX(Input!$I$43:$I$2956,Z$3+$A42),"")</f>
        <v/>
      </c>
      <c r="AA43" s="17" t="str">
        <f>IF(AA$3&lt;=$B43,INDEX(Input!$I$43:$I$2956,AA$3+$A42),"")</f>
        <v/>
      </c>
      <c r="AB43" s="17" t="str">
        <f>IF(AB$3&lt;=$B43,INDEX(Input!$I$43:$I$2956,AB$3+$A42),"")</f>
        <v/>
      </c>
      <c r="AC43" s="17" t="str">
        <f>IF(AC$3&lt;=$B43,INDEX(Input!$I$43:$I$2956,AC$3+$A42),"")</f>
        <v/>
      </c>
      <c r="AD43" s="17" t="str">
        <f>IF(AD$3&lt;=$B43,INDEX(Input!$I$43:$I$2956,AD$3+$A42),"")</f>
        <v/>
      </c>
      <c r="AE43" s="17" t="str">
        <f>IF(AE$3&lt;=$B43,INDEX(Input!$I$43:$I$2956,AE$3+$A42),"")</f>
        <v/>
      </c>
      <c r="AF43" s="17" t="str">
        <f>IF(AF$3&lt;=$B43,INDEX(Input!$I$43:$I$2956,AF$3+$A42),"")</f>
        <v/>
      </c>
      <c r="AG43" s="17" t="str">
        <f>IF(AG$3&lt;=$B43,INDEX(Input!$I$43:$I$2956,AG$3+$A42),"")</f>
        <v/>
      </c>
      <c r="AH43" s="17" t="str">
        <f>IF(AH$3&lt;=$B43,INDEX(Input!$I$43:$I$2956,AH$3+$A42),"")</f>
        <v/>
      </c>
      <c r="AI43" s="17" t="str">
        <f>IF(AI$3&lt;=$B43,INDEX(Input!$I$43:$I$2956,AI$3+$A42),"")</f>
        <v/>
      </c>
      <c r="AJ43" s="17" t="str">
        <f>IF(AJ$3&lt;=$B43,INDEX(Input!$I$43:$I$2956,AJ$3+$A42),"")</f>
        <v/>
      </c>
      <c r="AK43" s="17" t="str">
        <f>IF(AK$3&lt;=$B43,INDEX(Input!$I$43:$I$2956,AK$3+$A42),"")</f>
        <v/>
      </c>
      <c r="AL43" s="17" t="str">
        <f>IF(AL$3&lt;=$B43,INDEX(Input!$I$43:$I$2956,AL$3+$A42),"")</f>
        <v/>
      </c>
      <c r="AM43" s="17" t="str">
        <f>IF(AM$3&lt;=$B43,INDEX(Input!$I$43:$I$2956,AM$3+$A42),"")</f>
        <v/>
      </c>
      <c r="AN43" s="17" t="str">
        <f>IF(AN$3&lt;=$B43,INDEX(Input!$I$43:$I$2956,AN$3+$A42),"")</f>
        <v/>
      </c>
      <c r="AO43" s="17" t="str">
        <f>IF(AO$3&lt;=$B43,INDEX(Input!$I$43:$I$2956,AO$3+$A42),"")</f>
        <v/>
      </c>
      <c r="AP43" s="17" t="str">
        <f>IF(AP$3&lt;=$B43,INDEX(Input!$I$43:$I$2956,AP$3+$A42),"")</f>
        <v/>
      </c>
      <c r="AQ43" s="17" t="str">
        <f>IF(AQ$3&lt;=$B43,INDEX(Input!$I$43:$I$2956,AQ$3+$A42),"")</f>
        <v/>
      </c>
      <c r="AR43" s="17" t="str">
        <f>IF(AR$3&lt;=$B43,INDEX(Input!$I$43:$I$2956,AR$3+$A42),"")</f>
        <v/>
      </c>
      <c r="AS43" s="17" t="str">
        <f>IF(AS$3&lt;=$B43,INDEX(Input!$I$43:$I$2956,AS$3+$A42),"")</f>
        <v/>
      </c>
      <c r="AT43" s="17" t="str">
        <f>IF(AT$3&lt;=$B43,INDEX(Input!$I$43:$I$2956,AT$3+$A42),"")</f>
        <v/>
      </c>
      <c r="AU43" s="17" t="str">
        <f>IF(AU$3&lt;=$B43,INDEX(Input!$I$43:$I$2956,AU$3+$A42),"")</f>
        <v/>
      </c>
      <c r="AV43" s="17" t="str">
        <f>IF(AV$3&lt;=$B43,INDEX(Input!$I$43:$I$2956,AV$3+$A42),"")</f>
        <v/>
      </c>
      <c r="AW43" s="17" t="str">
        <f>IF(AW$3&lt;=$B43,INDEX(Input!$I$43:$I$2956,AW$3+$A42),"")</f>
        <v/>
      </c>
      <c r="AX43" s="17" t="str">
        <f>IF(AX$3&lt;=$B43,INDEX(Input!$I$43:$I$2956,AX$3+$A42),"")</f>
        <v/>
      </c>
      <c r="AY43" s="17" t="str">
        <f>IF(AY$3&lt;=$B43,INDEX(Input!$I$43:$I$2956,AY$3+$A42),"")</f>
        <v/>
      </c>
      <c r="AZ43" s="17" t="str">
        <f>IF(AZ$3&lt;=$B43,INDEX(Input!$I$43:$I$2956,AZ$3+$A42),"")</f>
        <v/>
      </c>
      <c r="BA43" s="17" t="str">
        <f>IF(BA$3&lt;=$B43,INDEX(Input!$I$43:$I$2956,BA$3+$A42),"")</f>
        <v/>
      </c>
      <c r="BB43" s="17" t="str">
        <f>IF(BB$3&lt;=$B43,INDEX(Input!$I$43:$I$2956,BB$3+$A42),"")</f>
        <v/>
      </c>
      <c r="BC43" s="17" t="str">
        <f>IF(BC$3&lt;=$B43,INDEX(Input!$I$43:$I$2956,BC$3+$A42),"")</f>
        <v/>
      </c>
      <c r="BD43" s="17" t="str">
        <f>IF(BD$3&lt;=$B43,INDEX(Input!$I$43:$I$2956,BD$3+$A42),"")</f>
        <v/>
      </c>
      <c r="BE43" s="17" t="str">
        <f>IF(BE$3&lt;=$B43,INDEX(Input!$I$43:$I$2956,BE$3+$A42),"")</f>
        <v/>
      </c>
      <c r="BF43" s="17" t="str">
        <f>IF(BF$3&lt;=$B43,INDEX(Input!$I$43:$I$2956,BF$3+$A42),"")</f>
        <v/>
      </c>
      <c r="BG43" s="17" t="str">
        <f>IF(BG$3&lt;=$B43,INDEX(Input!$I$43:$I$2956,BG$3+$A42),"")</f>
        <v/>
      </c>
      <c r="BH43" s="17" t="str">
        <f>IF(BH$3&lt;=$B43,INDEX(Input!$I$43:$I$2956,BH$3+$A42),"")</f>
        <v/>
      </c>
      <c r="BI43" s="17" t="str">
        <f>IF(BI$3&lt;=$B43,INDEX(Input!$I$43:$I$2956,BI$3+$A42),"")</f>
        <v/>
      </c>
      <c r="BJ43" s="17" t="str">
        <f>IF(BJ$3&lt;=$B43,INDEX(Input!$I$43:$I$2956,BJ$3+$A42),"")</f>
        <v/>
      </c>
      <c r="BK43" s="17" t="str">
        <f>IF(BK$3&lt;=$B43,INDEX(Input!$I$43:$I$2956,BK$3+$A42),"")</f>
        <v/>
      </c>
      <c r="BL43" s="17" t="str">
        <f>IF(BL$3&lt;=$B43,INDEX(Input!$I$43:$I$2956,BL$3+$A42),"")</f>
        <v/>
      </c>
      <c r="BM43" s="17" t="str">
        <f>IF(BM$3&lt;=$B43,INDEX(Input!$I$43:$I$2956,BM$3+$A42),"")</f>
        <v/>
      </c>
      <c r="BN43" s="17" t="str">
        <f>IF(BN$3&lt;=$B43,INDEX(Input!$I$43:$I$2956,BN$3+$A42),"")</f>
        <v/>
      </c>
      <c r="BO43" s="17" t="str">
        <f>IF(BO$3&lt;=$B43,INDEX(Input!$I$43:$I$2956,BO$3+$A42),"")</f>
        <v/>
      </c>
      <c r="BP43" s="17" t="str">
        <f>IF(BP$3&lt;=$B43,INDEX(Input!$I$43:$I$2956,BP$3+$A42),"")</f>
        <v/>
      </c>
      <c r="BQ43" s="17" t="str">
        <f>IF(BQ$3&lt;=$B43,INDEX(Input!$I$43:$I$2956,BQ$3+$A42),"")</f>
        <v/>
      </c>
      <c r="BR43" s="17" t="str">
        <f>IF(BR$3&lt;=$B43,INDEX(Input!$I$43:$I$2956,BR$3+$A42),"")</f>
        <v/>
      </c>
      <c r="BS43" s="17" t="str">
        <f>IF(BS$3&lt;=$B43,INDEX(Input!$I$43:$I$2956,BS$3+$A42),"")</f>
        <v/>
      </c>
      <c r="BT43" s="17" t="str">
        <f>IF(BT$3&lt;=$B43,INDEX(Input!$I$43:$I$2956,BT$3+$A42),"")</f>
        <v/>
      </c>
      <c r="BU43" s="17" t="str">
        <f>IF(BU$3&lt;=$B43,INDEX(Input!$I$43:$I$2956,BU$3+$A42),"")</f>
        <v/>
      </c>
      <c r="BV43" s="17" t="str">
        <f>IF(BV$3&lt;=$B43,INDEX(Input!$I$43:$I$2956,BV$3+$A42),"")</f>
        <v/>
      </c>
      <c r="BW43" s="17" t="str">
        <f>IF(BW$3&lt;=$B43,INDEX(Input!$I$43:$I$2956,BW$3+$A42),"")</f>
        <v/>
      </c>
      <c r="BX43" s="17" t="str">
        <f>IF(BX$3&lt;=$B43,INDEX(Input!$I$43:$I$2956,BX$3+$A42),"")</f>
        <v/>
      </c>
      <c r="BY43" s="17" t="str">
        <f>IF(BY$3&lt;=$B43,INDEX(Input!$I$43:$I$2956,BY$3+$A42),"")</f>
        <v/>
      </c>
      <c r="BZ43" s="17" t="str">
        <f>IF(BZ$3&lt;=$B43,INDEX(Input!$I$43:$I$2956,BZ$3+$A42),"")</f>
        <v/>
      </c>
      <c r="CA43" s="17" t="str">
        <f>IF(CA$3&lt;=$B43,INDEX(Input!$I$43:$I$2956,CA$3+$A42),"")</f>
        <v/>
      </c>
      <c r="CB43" s="17" t="str">
        <f>IF(CB$3&lt;=$B43,INDEX(Input!$I$43:$I$2956,CB$3+$A42),"")</f>
        <v/>
      </c>
      <c r="CC43" s="17" t="str">
        <f>IF(CC$3&lt;=$B43,INDEX(Input!$I$43:$I$2956,CC$3+$A42),"")</f>
        <v/>
      </c>
      <c r="CD43" s="17" t="str">
        <f>IF(CD$3&lt;=$B43,INDEX(Input!$I$43:$I$2956,CD$3+$A42),"")</f>
        <v/>
      </c>
      <c r="CE43" s="17" t="str">
        <f>IF(CE$3&lt;=$B43,INDEX(Input!$I$43:$I$2956,CE$3+$A42),"")</f>
        <v/>
      </c>
      <c r="CF43" s="17" t="str">
        <f>IF(CF$3&lt;=$B43,INDEX(Input!$I$43:$I$2956,CF$3+$A42),"")</f>
        <v/>
      </c>
      <c r="CG43" s="17" t="str">
        <f>IF(CG$3&lt;=$B43,INDEX(Input!$I$43:$I$2956,CG$3+$A42),"")</f>
        <v/>
      </c>
      <c r="CH43" s="17" t="str">
        <f>IF(CH$3&lt;=$B43,INDEX(Input!$I$43:$I$2956,CH$3+$A42),"")</f>
        <v/>
      </c>
      <c r="CI43" s="17" t="str">
        <f>IF(CI$3&lt;=$B43,INDEX(Input!$I$43:$I$2956,CI$3+$A42),"")</f>
        <v/>
      </c>
      <c r="CJ43" s="17" t="str">
        <f>IF(CJ$3&lt;=$B43,INDEX(Input!$I$43:$I$2956,CJ$3+$A42),"")</f>
        <v/>
      </c>
      <c r="CK43" s="17" t="str">
        <f>IF(CK$3&lt;=$B43,INDEX(Input!$I$43:$I$2956,CK$3+$A42),"")</f>
        <v/>
      </c>
      <c r="CL43" s="17" t="str">
        <f>IF(CL$3&lt;=$B43,INDEX(Input!$I$43:$I$2956,CL$3+$A42),"")</f>
        <v/>
      </c>
      <c r="CM43" s="17" t="str">
        <f>IF(CM$3&lt;=$B43,INDEX(Input!$I$43:$I$2956,CM$3+$A42),"")</f>
        <v/>
      </c>
      <c r="CN43" s="17" t="str">
        <f>IF(CN$3&lt;=$B43,INDEX(Input!$I$43:$I$2956,CN$3+$A42),"")</f>
        <v/>
      </c>
      <c r="CO43" s="17" t="str">
        <f>IF(CO$3&lt;=$B43,INDEX(Input!$I$43:$I$2956,CO$3+$A42),"")</f>
        <v/>
      </c>
      <c r="CP43" s="17" t="str">
        <f>IF(CP$3&lt;=$B43,INDEX(Input!$I$43:$I$2956,CP$3+$A42),"")</f>
        <v/>
      </c>
      <c r="CQ43" s="17" t="str">
        <f>IF(CQ$3&lt;=$B43,INDEX(Input!$I$43:$I$2956,CQ$3+$A42),"")</f>
        <v/>
      </c>
      <c r="CR43" s="17" t="str">
        <f>IF(CR$3&lt;=$B43,INDEX(Input!$I$43:$I$2956,CR$3+$A42),"")</f>
        <v/>
      </c>
      <c r="CS43" s="17" t="str">
        <f>IF(CS$3&lt;=$B43,INDEX(Input!$I$43:$I$2956,CS$3+$A42),"")</f>
        <v/>
      </c>
      <c r="CT43" s="17" t="str">
        <f>IF(CT$3&lt;=$B43,INDEX(Input!$I$43:$I$2956,CT$3+$A42),"")</f>
        <v/>
      </c>
      <c r="CU43" s="17" t="str">
        <f>IF(CU$3&lt;=$B43,INDEX(Input!$I$43:$I$2956,CU$3+$A42),"")</f>
        <v/>
      </c>
      <c r="CV43" s="17" t="str">
        <f>IF(CV$3&lt;=$B43,INDEX(Input!$I$43:$I$2956,CV$3+$A42),"")</f>
        <v/>
      </c>
      <c r="CW43" s="17" t="str">
        <f>IF(CW$3&lt;=$B43,INDEX(Input!$I$43:$I$2956,CW$3+$A42),"")</f>
        <v/>
      </c>
      <c r="CX43" s="17" t="str">
        <f>IF(CX$3&lt;=$B43,INDEX(Input!$I$43:$I$2956,CX$3+$A42),"")</f>
        <v/>
      </c>
      <c r="CY43" s="17" t="str">
        <f>IF(CY$3&lt;=$B43,INDEX(Input!$I$43:$I$2956,CY$3+$A42),"")</f>
        <v/>
      </c>
      <c r="CZ43" s="17" t="str">
        <f>IF(CZ$3&lt;=$B43,INDEX(Input!$I$43:$I$2956,CZ$3+$A42),"")</f>
        <v/>
      </c>
      <c r="DA43" s="17" t="str">
        <f>IF(DA$3&lt;=$B43,INDEX(Input!$I$43:$I$2956,DA$3+$A42),"")</f>
        <v/>
      </c>
      <c r="DB43" s="17" t="str">
        <f>IF(DB$3&lt;=$B43,INDEX(Input!$I$43:$I$2956,DB$3+$A42),"")</f>
        <v/>
      </c>
      <c r="DC43" s="17" t="str">
        <f>IF(DC$3&lt;=$B43,INDEX(Input!$I$43:$I$2956,DC$3+$A42),"")</f>
        <v/>
      </c>
      <c r="DD43" s="17" t="str">
        <f>IF(DD$3&lt;=$B43,INDEX(Input!$I$43:$I$2956,DD$3+$A42),"")</f>
        <v/>
      </c>
      <c r="DE43" s="17" t="str">
        <f>IF(DE$3&lt;=$B43,INDEX(Input!$I$43:$I$2956,DE$3+$A42),"")</f>
        <v/>
      </c>
      <c r="DF43" s="17" t="str">
        <f>IF(DF$3&lt;=$B43,INDEX(Input!$I$43:$I$2956,DF$3+$A42),"")</f>
        <v/>
      </c>
      <c r="DG43" s="17" t="str">
        <f>IF(DG$3&lt;=$B43,INDEX(Input!$I$43:$I$2956,DG$3+$A42),"")</f>
        <v/>
      </c>
      <c r="DH43" s="17" t="str">
        <f>IF(DH$3&lt;=$B43,INDEX(Input!$I$43:$I$2956,DH$3+$A42),"")</f>
        <v/>
      </c>
      <c r="DI43" s="17" t="str">
        <f>IF(DI$3&lt;=$B43,INDEX(Input!$I$43:$I$2956,DI$3+$A42),"")</f>
        <v/>
      </c>
      <c r="DJ43" s="17" t="str">
        <f>IF(DJ$3&lt;=$B43,INDEX(Input!$I$43:$I$2956,DJ$3+$A42),"")</f>
        <v/>
      </c>
      <c r="DK43" s="17" t="str">
        <f>IF(DK$3&lt;=$B43,INDEX(Input!$I$43:$I$2956,DK$3+$A42),"")</f>
        <v/>
      </c>
      <c r="DL43" s="17" t="str">
        <f>IF(DL$3&lt;=$B43,INDEX(Input!$I$43:$I$2956,DL$3+$A42),"")</f>
        <v/>
      </c>
      <c r="DM43" s="17" t="str">
        <f>IF(DM$3&lt;=$B43,INDEX(Input!$I$43:$I$2956,DM$3+$A42),"")</f>
        <v/>
      </c>
      <c r="DN43" s="17" t="str">
        <f>IF(DN$3&lt;=$B43,INDEX(Input!$I$43:$I$2956,DN$3+$A42),"")</f>
        <v/>
      </c>
      <c r="DO43" s="17" t="str">
        <f>IF(DO$3&lt;=$B43,INDEX(Input!$I$43:$I$2956,DO$3+$A42),"")</f>
        <v/>
      </c>
      <c r="DP43" s="17" t="str">
        <f>IF(DP$3&lt;=$B43,INDEX(Input!$I$43:$I$2956,DP$3+$A42),"")</f>
        <v/>
      </c>
      <c r="DQ43" s="17" t="str">
        <f>IF(DQ$3&lt;=$B43,INDEX(Input!$I$43:$I$2956,DQ$3+$A42),"")</f>
        <v/>
      </c>
      <c r="DR43" s="17" t="str">
        <f>IF(DR$3&lt;=$B43,INDEX(Input!$I$43:$I$2956,DR$3+$A42),"")</f>
        <v/>
      </c>
      <c r="DS43" s="17" t="str">
        <f>IF(DS$3&lt;=$B43,INDEX(Input!$I$43:$I$2956,DS$3+$A42),"")</f>
        <v/>
      </c>
      <c r="DT43" s="17" t="str">
        <f>IF(DT$3&lt;=$B43,INDEX(Input!$I$43:$I$2956,DT$3+$A42),"")</f>
        <v/>
      </c>
      <c r="DU43" s="17" t="str">
        <f>IF(DU$3&lt;=$B43,INDEX(Input!$I$43:$I$2956,DU$3+$A42),"")</f>
        <v/>
      </c>
      <c r="DV43" s="17" t="str">
        <f>IF(DV$3&lt;=$B43,INDEX(Input!$I$43:$I$2956,DV$3+$A42),"")</f>
        <v/>
      </c>
      <c r="DW43" s="58" t="str">
        <f t="array" ref="DW43:EZ43">IFERROR(eccalc(E43:DV43,C43+B43,B43,$O$2:$AS$2),"")</f>
        <v/>
      </c>
      <c r="DX43" s="59" t="str">
        <v/>
      </c>
      <c r="DY43" s="59" t="str">
        <v/>
      </c>
      <c r="DZ43" s="59" t="str">
        <v/>
      </c>
      <c r="EA43" s="59" t="str">
        <v/>
      </c>
      <c r="EB43" s="59" t="str">
        <v/>
      </c>
      <c r="EC43" s="59" t="str">
        <v/>
      </c>
      <c r="ED43" s="59" t="str">
        <v/>
      </c>
      <c r="EE43" s="59" t="str">
        <v/>
      </c>
      <c r="EF43" s="59" t="str">
        <v/>
      </c>
      <c r="EG43" s="59" t="str">
        <v/>
      </c>
      <c r="EH43" s="59" t="str">
        <v/>
      </c>
      <c r="EI43" s="59" t="str">
        <v/>
      </c>
      <c r="EJ43" s="59" t="str">
        <v/>
      </c>
      <c r="EK43" s="59" t="str">
        <v/>
      </c>
      <c r="EL43" s="59" t="str">
        <v/>
      </c>
      <c r="EM43" s="59" t="str">
        <v/>
      </c>
      <c r="EN43" s="59" t="str">
        <v/>
      </c>
      <c r="EO43" s="59" t="str">
        <v/>
      </c>
      <c r="EP43" s="59" t="str">
        <v/>
      </c>
      <c r="EQ43" s="59" t="str">
        <v/>
      </c>
      <c r="ER43" s="59" t="str">
        <v/>
      </c>
      <c r="ES43" s="59" t="str">
        <v/>
      </c>
      <c r="ET43" s="59" t="str">
        <v/>
      </c>
      <c r="EU43" s="59" t="str">
        <v/>
      </c>
      <c r="EV43" s="59" t="str">
        <v/>
      </c>
      <c r="EW43" s="59" t="str">
        <v/>
      </c>
      <c r="EX43" s="59" t="str">
        <v/>
      </c>
      <c r="EY43" s="59" t="str">
        <v/>
      </c>
      <c r="EZ43" s="60" t="str">
        <v/>
      </c>
      <c r="FA43" s="17"/>
      <c r="FC43">
        <v>40</v>
      </c>
      <c r="FD43">
        <f t="shared" si="2"/>
        <v>8</v>
      </c>
      <c r="FE43">
        <f t="shared" si="3"/>
        <v>3</v>
      </c>
      <c r="FF43">
        <f t="shared" si="4"/>
        <v>30</v>
      </c>
      <c r="FI43" s="16">
        <v>40</v>
      </c>
      <c r="FJ43" s="17">
        <f t="shared" si="5"/>
        <v>229</v>
      </c>
      <c r="FK43" s="17">
        <f t="shared" si="6"/>
        <v>30</v>
      </c>
      <c r="FL43" s="18" t="str">
        <f t="shared" si="7"/>
        <v>00011110</v>
      </c>
      <c r="FM43" s="2"/>
    </row>
    <row r="44" spans="1:169">
      <c r="A44">
        <f>SUM($B$4:B44)</f>
        <v>196</v>
      </c>
      <c r="B44">
        <f t="shared" si="0"/>
        <v>0</v>
      </c>
      <c r="C44" t="str">
        <f t="shared" si="1"/>
        <v/>
      </c>
      <c r="D44">
        <v>41</v>
      </c>
      <c r="E44" s="16" t="str">
        <f>IF(E$3&lt;=$B44,INDEX(Input!$I$43:$I$2956,E$3+$A43),"")</f>
        <v/>
      </c>
      <c r="F44" s="17" t="str">
        <f>IF(F$3&lt;=$B44,INDEX(Input!$I$43:$I$2956,F$3+$A43),"")</f>
        <v/>
      </c>
      <c r="G44" s="17" t="str">
        <f>IF(G$3&lt;=$B44,INDEX(Input!$I$43:$I$2956,G$3+$A43),"")</f>
        <v/>
      </c>
      <c r="H44" s="17" t="str">
        <f>IF(H$3&lt;=$B44,INDEX(Input!$I$43:$I$2956,H$3+$A43),"")</f>
        <v/>
      </c>
      <c r="I44" s="17" t="str">
        <f>IF(I$3&lt;=$B44,INDEX(Input!$I$43:$I$2956,I$3+$A43),"")</f>
        <v/>
      </c>
      <c r="J44" s="17" t="str">
        <f>IF(J$3&lt;=$B44,INDEX(Input!$I$43:$I$2956,J$3+$A43),"")</f>
        <v/>
      </c>
      <c r="K44" s="17" t="str">
        <f>IF(K$3&lt;=$B44,INDEX(Input!$I$43:$I$2956,K$3+$A43),"")</f>
        <v/>
      </c>
      <c r="L44" s="17" t="str">
        <f>IF(L$3&lt;=$B44,INDEX(Input!$I$43:$I$2956,L$3+$A43),"")</f>
        <v/>
      </c>
      <c r="M44" s="17" t="str">
        <f>IF(M$3&lt;=$B44,INDEX(Input!$I$43:$I$2956,M$3+$A43),"")</f>
        <v/>
      </c>
      <c r="N44" s="17" t="str">
        <f>IF(N$3&lt;=$B44,INDEX(Input!$I$43:$I$2956,N$3+$A43),"")</f>
        <v/>
      </c>
      <c r="O44" s="17" t="str">
        <f>IF(O$3&lt;=$B44,INDEX(Input!$I$43:$I$2956,O$3+$A43),"")</f>
        <v/>
      </c>
      <c r="P44" s="17" t="str">
        <f>IF(P$3&lt;=$B44,INDEX(Input!$I$43:$I$2956,P$3+$A43),"")</f>
        <v/>
      </c>
      <c r="Q44" s="17" t="str">
        <f>IF(Q$3&lt;=$B44,INDEX(Input!$I$43:$I$2956,Q$3+$A43),"")</f>
        <v/>
      </c>
      <c r="R44" s="17" t="str">
        <f>IF(R$3&lt;=$B44,INDEX(Input!$I$43:$I$2956,R$3+$A43),"")</f>
        <v/>
      </c>
      <c r="S44" s="17" t="str">
        <f>IF(S$3&lt;=$B44,INDEX(Input!$I$43:$I$2956,S$3+$A43),"")</f>
        <v/>
      </c>
      <c r="T44" s="17" t="str">
        <f>IF(T$3&lt;=$B44,INDEX(Input!$I$43:$I$2956,T$3+$A43),"")</f>
        <v/>
      </c>
      <c r="U44" s="17" t="str">
        <f>IF(U$3&lt;=$B44,INDEX(Input!$I$43:$I$2956,U$3+$A43),"")</f>
        <v/>
      </c>
      <c r="V44" s="17" t="str">
        <f>IF(V$3&lt;=$B44,INDEX(Input!$I$43:$I$2956,V$3+$A43),"")</f>
        <v/>
      </c>
      <c r="W44" s="17" t="str">
        <f>IF(W$3&lt;=$B44,INDEX(Input!$I$43:$I$2956,W$3+$A43),"")</f>
        <v/>
      </c>
      <c r="X44" s="17" t="str">
        <f>IF(X$3&lt;=$B44,INDEX(Input!$I$43:$I$2956,X$3+$A43),"")</f>
        <v/>
      </c>
      <c r="Y44" s="17" t="str">
        <f>IF(Y$3&lt;=$B44,INDEX(Input!$I$43:$I$2956,Y$3+$A43),"")</f>
        <v/>
      </c>
      <c r="Z44" s="17" t="str">
        <f>IF(Z$3&lt;=$B44,INDEX(Input!$I$43:$I$2956,Z$3+$A43),"")</f>
        <v/>
      </c>
      <c r="AA44" s="17" t="str">
        <f>IF(AA$3&lt;=$B44,INDEX(Input!$I$43:$I$2956,AA$3+$A43),"")</f>
        <v/>
      </c>
      <c r="AB44" s="17" t="str">
        <f>IF(AB$3&lt;=$B44,INDEX(Input!$I$43:$I$2956,AB$3+$A43),"")</f>
        <v/>
      </c>
      <c r="AC44" s="17" t="str">
        <f>IF(AC$3&lt;=$B44,INDEX(Input!$I$43:$I$2956,AC$3+$A43),"")</f>
        <v/>
      </c>
      <c r="AD44" s="17" t="str">
        <f>IF(AD$3&lt;=$B44,INDEX(Input!$I$43:$I$2956,AD$3+$A43),"")</f>
        <v/>
      </c>
      <c r="AE44" s="17" t="str">
        <f>IF(AE$3&lt;=$B44,INDEX(Input!$I$43:$I$2956,AE$3+$A43),"")</f>
        <v/>
      </c>
      <c r="AF44" s="17" t="str">
        <f>IF(AF$3&lt;=$B44,INDEX(Input!$I$43:$I$2956,AF$3+$A43),"")</f>
        <v/>
      </c>
      <c r="AG44" s="17" t="str">
        <f>IF(AG$3&lt;=$B44,INDEX(Input!$I$43:$I$2956,AG$3+$A43),"")</f>
        <v/>
      </c>
      <c r="AH44" s="17" t="str">
        <f>IF(AH$3&lt;=$B44,INDEX(Input!$I$43:$I$2956,AH$3+$A43),"")</f>
        <v/>
      </c>
      <c r="AI44" s="17" t="str">
        <f>IF(AI$3&lt;=$B44,INDEX(Input!$I$43:$I$2956,AI$3+$A43),"")</f>
        <v/>
      </c>
      <c r="AJ44" s="17" t="str">
        <f>IF(AJ$3&lt;=$B44,INDEX(Input!$I$43:$I$2956,AJ$3+$A43),"")</f>
        <v/>
      </c>
      <c r="AK44" s="17" t="str">
        <f>IF(AK$3&lt;=$B44,INDEX(Input!$I$43:$I$2956,AK$3+$A43),"")</f>
        <v/>
      </c>
      <c r="AL44" s="17" t="str">
        <f>IF(AL$3&lt;=$B44,INDEX(Input!$I$43:$I$2956,AL$3+$A43),"")</f>
        <v/>
      </c>
      <c r="AM44" s="17" t="str">
        <f>IF(AM$3&lt;=$B44,INDEX(Input!$I$43:$I$2956,AM$3+$A43),"")</f>
        <v/>
      </c>
      <c r="AN44" s="17" t="str">
        <f>IF(AN$3&lt;=$B44,INDEX(Input!$I$43:$I$2956,AN$3+$A43),"")</f>
        <v/>
      </c>
      <c r="AO44" s="17" t="str">
        <f>IF(AO$3&lt;=$B44,INDEX(Input!$I$43:$I$2956,AO$3+$A43),"")</f>
        <v/>
      </c>
      <c r="AP44" s="17" t="str">
        <f>IF(AP$3&lt;=$B44,INDEX(Input!$I$43:$I$2956,AP$3+$A43),"")</f>
        <v/>
      </c>
      <c r="AQ44" s="17" t="str">
        <f>IF(AQ$3&lt;=$B44,INDEX(Input!$I$43:$I$2956,AQ$3+$A43),"")</f>
        <v/>
      </c>
      <c r="AR44" s="17" t="str">
        <f>IF(AR$3&lt;=$B44,INDEX(Input!$I$43:$I$2956,AR$3+$A43),"")</f>
        <v/>
      </c>
      <c r="AS44" s="17" t="str">
        <f>IF(AS$3&lt;=$B44,INDEX(Input!$I$43:$I$2956,AS$3+$A43),"")</f>
        <v/>
      </c>
      <c r="AT44" s="17" t="str">
        <f>IF(AT$3&lt;=$B44,INDEX(Input!$I$43:$I$2956,AT$3+$A43),"")</f>
        <v/>
      </c>
      <c r="AU44" s="17" t="str">
        <f>IF(AU$3&lt;=$B44,INDEX(Input!$I$43:$I$2956,AU$3+$A43),"")</f>
        <v/>
      </c>
      <c r="AV44" s="17" t="str">
        <f>IF(AV$3&lt;=$B44,INDEX(Input!$I$43:$I$2956,AV$3+$A43),"")</f>
        <v/>
      </c>
      <c r="AW44" s="17" t="str">
        <f>IF(AW$3&lt;=$B44,INDEX(Input!$I$43:$I$2956,AW$3+$A43),"")</f>
        <v/>
      </c>
      <c r="AX44" s="17" t="str">
        <f>IF(AX$3&lt;=$B44,INDEX(Input!$I$43:$I$2956,AX$3+$A43),"")</f>
        <v/>
      </c>
      <c r="AY44" s="17" t="str">
        <f>IF(AY$3&lt;=$B44,INDEX(Input!$I$43:$I$2956,AY$3+$A43),"")</f>
        <v/>
      </c>
      <c r="AZ44" s="17" t="str">
        <f>IF(AZ$3&lt;=$B44,INDEX(Input!$I$43:$I$2956,AZ$3+$A43),"")</f>
        <v/>
      </c>
      <c r="BA44" s="17" t="str">
        <f>IF(BA$3&lt;=$B44,INDEX(Input!$I$43:$I$2956,BA$3+$A43),"")</f>
        <v/>
      </c>
      <c r="BB44" s="17" t="str">
        <f>IF(BB$3&lt;=$B44,INDEX(Input!$I$43:$I$2956,BB$3+$A43),"")</f>
        <v/>
      </c>
      <c r="BC44" s="17" t="str">
        <f>IF(BC$3&lt;=$B44,INDEX(Input!$I$43:$I$2956,BC$3+$A43),"")</f>
        <v/>
      </c>
      <c r="BD44" s="17" t="str">
        <f>IF(BD$3&lt;=$B44,INDEX(Input!$I$43:$I$2956,BD$3+$A43),"")</f>
        <v/>
      </c>
      <c r="BE44" s="17" t="str">
        <f>IF(BE$3&lt;=$B44,INDEX(Input!$I$43:$I$2956,BE$3+$A43),"")</f>
        <v/>
      </c>
      <c r="BF44" s="17" t="str">
        <f>IF(BF$3&lt;=$B44,INDEX(Input!$I$43:$I$2956,BF$3+$A43),"")</f>
        <v/>
      </c>
      <c r="BG44" s="17" t="str">
        <f>IF(BG$3&lt;=$B44,INDEX(Input!$I$43:$I$2956,BG$3+$A43),"")</f>
        <v/>
      </c>
      <c r="BH44" s="17" t="str">
        <f>IF(BH$3&lt;=$B44,INDEX(Input!$I$43:$I$2956,BH$3+$A43),"")</f>
        <v/>
      </c>
      <c r="BI44" s="17" t="str">
        <f>IF(BI$3&lt;=$B44,INDEX(Input!$I$43:$I$2956,BI$3+$A43),"")</f>
        <v/>
      </c>
      <c r="BJ44" s="17" t="str">
        <f>IF(BJ$3&lt;=$B44,INDEX(Input!$I$43:$I$2956,BJ$3+$A43),"")</f>
        <v/>
      </c>
      <c r="BK44" s="17" t="str">
        <f>IF(BK$3&lt;=$B44,INDEX(Input!$I$43:$I$2956,BK$3+$A43),"")</f>
        <v/>
      </c>
      <c r="BL44" s="17" t="str">
        <f>IF(BL$3&lt;=$B44,INDEX(Input!$I$43:$I$2956,BL$3+$A43),"")</f>
        <v/>
      </c>
      <c r="BM44" s="17" t="str">
        <f>IF(BM$3&lt;=$B44,INDEX(Input!$I$43:$I$2956,BM$3+$A43),"")</f>
        <v/>
      </c>
      <c r="BN44" s="17" t="str">
        <f>IF(BN$3&lt;=$B44,INDEX(Input!$I$43:$I$2956,BN$3+$A43),"")</f>
        <v/>
      </c>
      <c r="BO44" s="17" t="str">
        <f>IF(BO$3&lt;=$B44,INDEX(Input!$I$43:$I$2956,BO$3+$A43),"")</f>
        <v/>
      </c>
      <c r="BP44" s="17" t="str">
        <f>IF(BP$3&lt;=$B44,INDEX(Input!$I$43:$I$2956,BP$3+$A43),"")</f>
        <v/>
      </c>
      <c r="BQ44" s="17" t="str">
        <f>IF(BQ$3&lt;=$B44,INDEX(Input!$I$43:$I$2956,BQ$3+$A43),"")</f>
        <v/>
      </c>
      <c r="BR44" s="17" t="str">
        <f>IF(BR$3&lt;=$B44,INDEX(Input!$I$43:$I$2956,BR$3+$A43),"")</f>
        <v/>
      </c>
      <c r="BS44" s="17" t="str">
        <f>IF(BS$3&lt;=$B44,INDEX(Input!$I$43:$I$2956,BS$3+$A43),"")</f>
        <v/>
      </c>
      <c r="BT44" s="17" t="str">
        <f>IF(BT$3&lt;=$B44,INDEX(Input!$I$43:$I$2956,BT$3+$A43),"")</f>
        <v/>
      </c>
      <c r="BU44" s="17" t="str">
        <f>IF(BU$3&lt;=$B44,INDEX(Input!$I$43:$I$2956,BU$3+$A43),"")</f>
        <v/>
      </c>
      <c r="BV44" s="17" t="str">
        <f>IF(BV$3&lt;=$B44,INDEX(Input!$I$43:$I$2956,BV$3+$A43),"")</f>
        <v/>
      </c>
      <c r="BW44" s="17" t="str">
        <f>IF(BW$3&lt;=$B44,INDEX(Input!$I$43:$I$2956,BW$3+$A43),"")</f>
        <v/>
      </c>
      <c r="BX44" s="17" t="str">
        <f>IF(BX$3&lt;=$B44,INDEX(Input!$I$43:$I$2956,BX$3+$A43),"")</f>
        <v/>
      </c>
      <c r="BY44" s="17" t="str">
        <f>IF(BY$3&lt;=$B44,INDEX(Input!$I$43:$I$2956,BY$3+$A43),"")</f>
        <v/>
      </c>
      <c r="BZ44" s="17" t="str">
        <f>IF(BZ$3&lt;=$B44,INDEX(Input!$I$43:$I$2956,BZ$3+$A43),"")</f>
        <v/>
      </c>
      <c r="CA44" s="17" t="str">
        <f>IF(CA$3&lt;=$B44,INDEX(Input!$I$43:$I$2956,CA$3+$A43),"")</f>
        <v/>
      </c>
      <c r="CB44" s="17" t="str">
        <f>IF(CB$3&lt;=$B44,INDEX(Input!$I$43:$I$2956,CB$3+$A43),"")</f>
        <v/>
      </c>
      <c r="CC44" s="17" t="str">
        <f>IF(CC$3&lt;=$B44,INDEX(Input!$I$43:$I$2956,CC$3+$A43),"")</f>
        <v/>
      </c>
      <c r="CD44" s="17" t="str">
        <f>IF(CD$3&lt;=$B44,INDEX(Input!$I$43:$I$2956,CD$3+$A43),"")</f>
        <v/>
      </c>
      <c r="CE44" s="17" t="str">
        <f>IF(CE$3&lt;=$B44,INDEX(Input!$I$43:$I$2956,CE$3+$A43),"")</f>
        <v/>
      </c>
      <c r="CF44" s="17" t="str">
        <f>IF(CF$3&lt;=$B44,INDEX(Input!$I$43:$I$2956,CF$3+$A43),"")</f>
        <v/>
      </c>
      <c r="CG44" s="17" t="str">
        <f>IF(CG$3&lt;=$B44,INDEX(Input!$I$43:$I$2956,CG$3+$A43),"")</f>
        <v/>
      </c>
      <c r="CH44" s="17" t="str">
        <f>IF(CH$3&lt;=$B44,INDEX(Input!$I$43:$I$2956,CH$3+$A43),"")</f>
        <v/>
      </c>
      <c r="CI44" s="17" t="str">
        <f>IF(CI$3&lt;=$B44,INDEX(Input!$I$43:$I$2956,CI$3+$A43),"")</f>
        <v/>
      </c>
      <c r="CJ44" s="17" t="str">
        <f>IF(CJ$3&lt;=$B44,INDEX(Input!$I$43:$I$2956,CJ$3+$A43),"")</f>
        <v/>
      </c>
      <c r="CK44" s="17" t="str">
        <f>IF(CK$3&lt;=$B44,INDEX(Input!$I$43:$I$2956,CK$3+$A43),"")</f>
        <v/>
      </c>
      <c r="CL44" s="17" t="str">
        <f>IF(CL$3&lt;=$B44,INDEX(Input!$I$43:$I$2956,CL$3+$A43),"")</f>
        <v/>
      </c>
      <c r="CM44" s="17" t="str">
        <f>IF(CM$3&lt;=$B44,INDEX(Input!$I$43:$I$2956,CM$3+$A43),"")</f>
        <v/>
      </c>
      <c r="CN44" s="17" t="str">
        <f>IF(CN$3&lt;=$B44,INDEX(Input!$I$43:$I$2956,CN$3+$A43),"")</f>
        <v/>
      </c>
      <c r="CO44" s="17" t="str">
        <f>IF(CO$3&lt;=$B44,INDEX(Input!$I$43:$I$2956,CO$3+$A43),"")</f>
        <v/>
      </c>
      <c r="CP44" s="17" t="str">
        <f>IF(CP$3&lt;=$B44,INDEX(Input!$I$43:$I$2956,CP$3+$A43),"")</f>
        <v/>
      </c>
      <c r="CQ44" s="17" t="str">
        <f>IF(CQ$3&lt;=$B44,INDEX(Input!$I$43:$I$2956,CQ$3+$A43),"")</f>
        <v/>
      </c>
      <c r="CR44" s="17" t="str">
        <f>IF(CR$3&lt;=$B44,INDEX(Input!$I$43:$I$2956,CR$3+$A43),"")</f>
        <v/>
      </c>
      <c r="CS44" s="17" t="str">
        <f>IF(CS$3&lt;=$B44,INDEX(Input!$I$43:$I$2956,CS$3+$A43),"")</f>
        <v/>
      </c>
      <c r="CT44" s="17" t="str">
        <f>IF(CT$3&lt;=$B44,INDEX(Input!$I$43:$I$2956,CT$3+$A43),"")</f>
        <v/>
      </c>
      <c r="CU44" s="17" t="str">
        <f>IF(CU$3&lt;=$B44,INDEX(Input!$I$43:$I$2956,CU$3+$A43),"")</f>
        <v/>
      </c>
      <c r="CV44" s="17" t="str">
        <f>IF(CV$3&lt;=$B44,INDEX(Input!$I$43:$I$2956,CV$3+$A43),"")</f>
        <v/>
      </c>
      <c r="CW44" s="17" t="str">
        <f>IF(CW$3&lt;=$B44,INDEX(Input!$I$43:$I$2956,CW$3+$A43),"")</f>
        <v/>
      </c>
      <c r="CX44" s="17" t="str">
        <f>IF(CX$3&lt;=$B44,INDEX(Input!$I$43:$I$2956,CX$3+$A43),"")</f>
        <v/>
      </c>
      <c r="CY44" s="17" t="str">
        <f>IF(CY$3&lt;=$B44,INDEX(Input!$I$43:$I$2956,CY$3+$A43),"")</f>
        <v/>
      </c>
      <c r="CZ44" s="17" t="str">
        <f>IF(CZ$3&lt;=$B44,INDEX(Input!$I$43:$I$2956,CZ$3+$A43),"")</f>
        <v/>
      </c>
      <c r="DA44" s="17" t="str">
        <f>IF(DA$3&lt;=$B44,INDEX(Input!$I$43:$I$2956,DA$3+$A43),"")</f>
        <v/>
      </c>
      <c r="DB44" s="17" t="str">
        <f>IF(DB$3&lt;=$B44,INDEX(Input!$I$43:$I$2956,DB$3+$A43),"")</f>
        <v/>
      </c>
      <c r="DC44" s="17" t="str">
        <f>IF(DC$3&lt;=$B44,INDEX(Input!$I$43:$I$2956,DC$3+$A43),"")</f>
        <v/>
      </c>
      <c r="DD44" s="17" t="str">
        <f>IF(DD$3&lt;=$B44,INDEX(Input!$I$43:$I$2956,DD$3+$A43),"")</f>
        <v/>
      </c>
      <c r="DE44" s="17" t="str">
        <f>IF(DE$3&lt;=$B44,INDEX(Input!$I$43:$I$2956,DE$3+$A43),"")</f>
        <v/>
      </c>
      <c r="DF44" s="17" t="str">
        <f>IF(DF$3&lt;=$B44,INDEX(Input!$I$43:$I$2956,DF$3+$A43),"")</f>
        <v/>
      </c>
      <c r="DG44" s="17" t="str">
        <f>IF(DG$3&lt;=$B44,INDEX(Input!$I$43:$I$2956,DG$3+$A43),"")</f>
        <v/>
      </c>
      <c r="DH44" s="17" t="str">
        <f>IF(DH$3&lt;=$B44,INDEX(Input!$I$43:$I$2956,DH$3+$A43),"")</f>
        <v/>
      </c>
      <c r="DI44" s="17" t="str">
        <f>IF(DI$3&lt;=$B44,INDEX(Input!$I$43:$I$2956,DI$3+$A43),"")</f>
        <v/>
      </c>
      <c r="DJ44" s="17" t="str">
        <f>IF(DJ$3&lt;=$B44,INDEX(Input!$I$43:$I$2956,DJ$3+$A43),"")</f>
        <v/>
      </c>
      <c r="DK44" s="17" t="str">
        <f>IF(DK$3&lt;=$B44,INDEX(Input!$I$43:$I$2956,DK$3+$A43),"")</f>
        <v/>
      </c>
      <c r="DL44" s="17" t="str">
        <f>IF(DL$3&lt;=$B44,INDEX(Input!$I$43:$I$2956,DL$3+$A43),"")</f>
        <v/>
      </c>
      <c r="DM44" s="17" t="str">
        <f>IF(DM$3&lt;=$B44,INDEX(Input!$I$43:$I$2956,DM$3+$A43),"")</f>
        <v/>
      </c>
      <c r="DN44" s="17" t="str">
        <f>IF(DN$3&lt;=$B44,INDEX(Input!$I$43:$I$2956,DN$3+$A43),"")</f>
        <v/>
      </c>
      <c r="DO44" s="17" t="str">
        <f>IF(DO$3&lt;=$B44,INDEX(Input!$I$43:$I$2956,DO$3+$A43),"")</f>
        <v/>
      </c>
      <c r="DP44" s="17" t="str">
        <f>IF(DP$3&lt;=$B44,INDEX(Input!$I$43:$I$2956,DP$3+$A43),"")</f>
        <v/>
      </c>
      <c r="DQ44" s="17" t="str">
        <f>IF(DQ$3&lt;=$B44,INDEX(Input!$I$43:$I$2956,DQ$3+$A43),"")</f>
        <v/>
      </c>
      <c r="DR44" s="17" t="str">
        <f>IF(DR$3&lt;=$B44,INDEX(Input!$I$43:$I$2956,DR$3+$A43),"")</f>
        <v/>
      </c>
      <c r="DS44" s="17" t="str">
        <f>IF(DS$3&lt;=$B44,INDEX(Input!$I$43:$I$2956,DS$3+$A43),"")</f>
        <v/>
      </c>
      <c r="DT44" s="17" t="str">
        <f>IF(DT$3&lt;=$B44,INDEX(Input!$I$43:$I$2956,DT$3+$A43),"")</f>
        <v/>
      </c>
      <c r="DU44" s="17" t="str">
        <f>IF(DU$3&lt;=$B44,INDEX(Input!$I$43:$I$2956,DU$3+$A43),"")</f>
        <v/>
      </c>
      <c r="DV44" s="17" t="str">
        <f>IF(DV$3&lt;=$B44,INDEX(Input!$I$43:$I$2956,DV$3+$A43),"")</f>
        <v/>
      </c>
      <c r="DW44" s="58" t="str">
        <f t="array" ref="DW44:EZ44">IFERROR(eccalc(E44:DV44,C44+B44,B44,$O$2:$AS$2),"")</f>
        <v/>
      </c>
      <c r="DX44" s="59" t="str">
        <v/>
      </c>
      <c r="DY44" s="59" t="str">
        <v/>
      </c>
      <c r="DZ44" s="59" t="str">
        <v/>
      </c>
      <c r="EA44" s="59" t="str">
        <v/>
      </c>
      <c r="EB44" s="59" t="str">
        <v/>
      </c>
      <c r="EC44" s="59" t="str">
        <v/>
      </c>
      <c r="ED44" s="59" t="str">
        <v/>
      </c>
      <c r="EE44" s="59" t="str">
        <v/>
      </c>
      <c r="EF44" s="59" t="str">
        <v/>
      </c>
      <c r="EG44" s="59" t="str">
        <v/>
      </c>
      <c r="EH44" s="59" t="str">
        <v/>
      </c>
      <c r="EI44" s="59" t="str">
        <v/>
      </c>
      <c r="EJ44" s="59" t="str">
        <v/>
      </c>
      <c r="EK44" s="59" t="str">
        <v/>
      </c>
      <c r="EL44" s="59" t="str">
        <v/>
      </c>
      <c r="EM44" s="59" t="str">
        <v/>
      </c>
      <c r="EN44" s="59" t="str">
        <v/>
      </c>
      <c r="EO44" s="59" t="str">
        <v/>
      </c>
      <c r="EP44" s="59" t="str">
        <v/>
      </c>
      <c r="EQ44" s="59" t="str">
        <v/>
      </c>
      <c r="ER44" s="59" t="str">
        <v/>
      </c>
      <c r="ES44" s="59" t="str">
        <v/>
      </c>
      <c r="ET44" s="59" t="str">
        <v/>
      </c>
      <c r="EU44" s="59" t="str">
        <v/>
      </c>
      <c r="EV44" s="59" t="str">
        <v/>
      </c>
      <c r="EW44" s="59" t="str">
        <v/>
      </c>
      <c r="EX44" s="59" t="str">
        <v/>
      </c>
      <c r="EY44" s="59" t="str">
        <v/>
      </c>
      <c r="EZ44" s="60" t="str">
        <v/>
      </c>
      <c r="FA44" s="17"/>
      <c r="FC44">
        <v>41</v>
      </c>
      <c r="FD44">
        <f t="shared" si="2"/>
        <v>9</v>
      </c>
      <c r="FE44">
        <f t="shared" si="3"/>
        <v>3</v>
      </c>
      <c r="FF44">
        <f t="shared" si="4"/>
        <v>171</v>
      </c>
      <c r="FI44" s="16">
        <v>41</v>
      </c>
      <c r="FJ44" s="17">
        <f t="shared" si="5"/>
        <v>178</v>
      </c>
      <c r="FK44" s="17">
        <f t="shared" si="6"/>
        <v>171</v>
      </c>
      <c r="FL44" s="18" t="str">
        <f t="shared" si="7"/>
        <v>10101011</v>
      </c>
      <c r="FM44" s="2"/>
    </row>
    <row r="45" spans="1:169">
      <c r="A45">
        <f>SUM($B$4:B45)</f>
        <v>196</v>
      </c>
      <c r="B45">
        <f t="shared" si="0"/>
        <v>0</v>
      </c>
      <c r="C45" t="str">
        <f t="shared" si="1"/>
        <v/>
      </c>
      <c r="D45">
        <v>42</v>
      </c>
      <c r="E45" s="16" t="str">
        <f>IF(E$3&lt;=$B45,INDEX(Input!$I$43:$I$2956,E$3+$A44),"")</f>
        <v/>
      </c>
      <c r="F45" s="17" t="str">
        <f>IF(F$3&lt;=$B45,INDEX(Input!$I$43:$I$2956,F$3+$A44),"")</f>
        <v/>
      </c>
      <c r="G45" s="17" t="str">
        <f>IF(G$3&lt;=$B45,INDEX(Input!$I$43:$I$2956,G$3+$A44),"")</f>
        <v/>
      </c>
      <c r="H45" s="17" t="str">
        <f>IF(H$3&lt;=$B45,INDEX(Input!$I$43:$I$2956,H$3+$A44),"")</f>
        <v/>
      </c>
      <c r="I45" s="17" t="str">
        <f>IF(I$3&lt;=$B45,INDEX(Input!$I$43:$I$2956,I$3+$A44),"")</f>
        <v/>
      </c>
      <c r="J45" s="17" t="str">
        <f>IF(J$3&lt;=$B45,INDEX(Input!$I$43:$I$2956,J$3+$A44),"")</f>
        <v/>
      </c>
      <c r="K45" s="17" t="str">
        <f>IF(K$3&lt;=$B45,INDEX(Input!$I$43:$I$2956,K$3+$A44),"")</f>
        <v/>
      </c>
      <c r="L45" s="17" t="str">
        <f>IF(L$3&lt;=$B45,INDEX(Input!$I$43:$I$2956,L$3+$A44),"")</f>
        <v/>
      </c>
      <c r="M45" s="17" t="str">
        <f>IF(M$3&lt;=$B45,INDEX(Input!$I$43:$I$2956,M$3+$A44),"")</f>
        <v/>
      </c>
      <c r="N45" s="17" t="str">
        <f>IF(N$3&lt;=$B45,INDEX(Input!$I$43:$I$2956,N$3+$A44),"")</f>
        <v/>
      </c>
      <c r="O45" s="17" t="str">
        <f>IF(O$3&lt;=$B45,INDEX(Input!$I$43:$I$2956,O$3+$A44),"")</f>
        <v/>
      </c>
      <c r="P45" s="17" t="str">
        <f>IF(P$3&lt;=$B45,INDEX(Input!$I$43:$I$2956,P$3+$A44),"")</f>
        <v/>
      </c>
      <c r="Q45" s="17" t="str">
        <f>IF(Q$3&lt;=$B45,INDEX(Input!$I$43:$I$2956,Q$3+$A44),"")</f>
        <v/>
      </c>
      <c r="R45" s="17" t="str">
        <f>IF(R$3&lt;=$B45,INDEX(Input!$I$43:$I$2956,R$3+$A44),"")</f>
        <v/>
      </c>
      <c r="S45" s="17" t="str">
        <f>IF(S$3&lt;=$B45,INDEX(Input!$I$43:$I$2956,S$3+$A44),"")</f>
        <v/>
      </c>
      <c r="T45" s="17" t="str">
        <f>IF(T$3&lt;=$B45,INDEX(Input!$I$43:$I$2956,T$3+$A44),"")</f>
        <v/>
      </c>
      <c r="U45" s="17" t="str">
        <f>IF(U$3&lt;=$B45,INDEX(Input!$I$43:$I$2956,U$3+$A44),"")</f>
        <v/>
      </c>
      <c r="V45" s="17" t="str">
        <f>IF(V$3&lt;=$B45,INDEX(Input!$I$43:$I$2956,V$3+$A44),"")</f>
        <v/>
      </c>
      <c r="W45" s="17" t="str">
        <f>IF(W$3&lt;=$B45,INDEX(Input!$I$43:$I$2956,W$3+$A44),"")</f>
        <v/>
      </c>
      <c r="X45" s="17" t="str">
        <f>IF(X$3&lt;=$B45,INDEX(Input!$I$43:$I$2956,X$3+$A44),"")</f>
        <v/>
      </c>
      <c r="Y45" s="17" t="str">
        <f>IF(Y$3&lt;=$B45,INDEX(Input!$I$43:$I$2956,Y$3+$A44),"")</f>
        <v/>
      </c>
      <c r="Z45" s="17" t="str">
        <f>IF(Z$3&lt;=$B45,INDEX(Input!$I$43:$I$2956,Z$3+$A44),"")</f>
        <v/>
      </c>
      <c r="AA45" s="17" t="str">
        <f>IF(AA$3&lt;=$B45,INDEX(Input!$I$43:$I$2956,AA$3+$A44),"")</f>
        <v/>
      </c>
      <c r="AB45" s="17" t="str">
        <f>IF(AB$3&lt;=$B45,INDEX(Input!$I$43:$I$2956,AB$3+$A44),"")</f>
        <v/>
      </c>
      <c r="AC45" s="17" t="str">
        <f>IF(AC$3&lt;=$B45,INDEX(Input!$I$43:$I$2956,AC$3+$A44),"")</f>
        <v/>
      </c>
      <c r="AD45" s="17" t="str">
        <f>IF(AD$3&lt;=$B45,INDEX(Input!$I$43:$I$2956,AD$3+$A44),"")</f>
        <v/>
      </c>
      <c r="AE45" s="17" t="str">
        <f>IF(AE$3&lt;=$B45,INDEX(Input!$I$43:$I$2956,AE$3+$A44),"")</f>
        <v/>
      </c>
      <c r="AF45" s="17" t="str">
        <f>IF(AF$3&lt;=$B45,INDEX(Input!$I$43:$I$2956,AF$3+$A44),"")</f>
        <v/>
      </c>
      <c r="AG45" s="17" t="str">
        <f>IF(AG$3&lt;=$B45,INDEX(Input!$I$43:$I$2956,AG$3+$A44),"")</f>
        <v/>
      </c>
      <c r="AH45" s="17" t="str">
        <f>IF(AH$3&lt;=$B45,INDEX(Input!$I$43:$I$2956,AH$3+$A44),"")</f>
        <v/>
      </c>
      <c r="AI45" s="17" t="str">
        <f>IF(AI$3&lt;=$B45,INDEX(Input!$I$43:$I$2956,AI$3+$A44),"")</f>
        <v/>
      </c>
      <c r="AJ45" s="17" t="str">
        <f>IF(AJ$3&lt;=$B45,INDEX(Input!$I$43:$I$2956,AJ$3+$A44),"")</f>
        <v/>
      </c>
      <c r="AK45" s="17" t="str">
        <f>IF(AK$3&lt;=$B45,INDEX(Input!$I$43:$I$2956,AK$3+$A44),"")</f>
        <v/>
      </c>
      <c r="AL45" s="17" t="str">
        <f>IF(AL$3&lt;=$B45,INDEX(Input!$I$43:$I$2956,AL$3+$A44),"")</f>
        <v/>
      </c>
      <c r="AM45" s="17" t="str">
        <f>IF(AM$3&lt;=$B45,INDEX(Input!$I$43:$I$2956,AM$3+$A44),"")</f>
        <v/>
      </c>
      <c r="AN45" s="17" t="str">
        <f>IF(AN$3&lt;=$B45,INDEX(Input!$I$43:$I$2956,AN$3+$A44),"")</f>
        <v/>
      </c>
      <c r="AO45" s="17" t="str">
        <f>IF(AO$3&lt;=$B45,INDEX(Input!$I$43:$I$2956,AO$3+$A44),"")</f>
        <v/>
      </c>
      <c r="AP45" s="17" t="str">
        <f>IF(AP$3&lt;=$B45,INDEX(Input!$I$43:$I$2956,AP$3+$A44),"")</f>
        <v/>
      </c>
      <c r="AQ45" s="17" t="str">
        <f>IF(AQ$3&lt;=$B45,INDEX(Input!$I$43:$I$2956,AQ$3+$A44),"")</f>
        <v/>
      </c>
      <c r="AR45" s="17" t="str">
        <f>IF(AR$3&lt;=$B45,INDEX(Input!$I$43:$I$2956,AR$3+$A44),"")</f>
        <v/>
      </c>
      <c r="AS45" s="17" t="str">
        <f>IF(AS$3&lt;=$B45,INDEX(Input!$I$43:$I$2956,AS$3+$A44),"")</f>
        <v/>
      </c>
      <c r="AT45" s="17" t="str">
        <f>IF(AT$3&lt;=$B45,INDEX(Input!$I$43:$I$2956,AT$3+$A44),"")</f>
        <v/>
      </c>
      <c r="AU45" s="17" t="str">
        <f>IF(AU$3&lt;=$B45,INDEX(Input!$I$43:$I$2956,AU$3+$A44),"")</f>
        <v/>
      </c>
      <c r="AV45" s="17" t="str">
        <f>IF(AV$3&lt;=$B45,INDEX(Input!$I$43:$I$2956,AV$3+$A44),"")</f>
        <v/>
      </c>
      <c r="AW45" s="17" t="str">
        <f>IF(AW$3&lt;=$B45,INDEX(Input!$I$43:$I$2956,AW$3+$A44),"")</f>
        <v/>
      </c>
      <c r="AX45" s="17" t="str">
        <f>IF(AX$3&lt;=$B45,INDEX(Input!$I$43:$I$2956,AX$3+$A44),"")</f>
        <v/>
      </c>
      <c r="AY45" s="17" t="str">
        <f>IF(AY$3&lt;=$B45,INDEX(Input!$I$43:$I$2956,AY$3+$A44),"")</f>
        <v/>
      </c>
      <c r="AZ45" s="17" t="str">
        <f>IF(AZ$3&lt;=$B45,INDEX(Input!$I$43:$I$2956,AZ$3+$A44),"")</f>
        <v/>
      </c>
      <c r="BA45" s="17" t="str">
        <f>IF(BA$3&lt;=$B45,INDEX(Input!$I$43:$I$2956,BA$3+$A44),"")</f>
        <v/>
      </c>
      <c r="BB45" s="17" t="str">
        <f>IF(BB$3&lt;=$B45,INDEX(Input!$I$43:$I$2956,BB$3+$A44),"")</f>
        <v/>
      </c>
      <c r="BC45" s="17" t="str">
        <f>IF(BC$3&lt;=$B45,INDEX(Input!$I$43:$I$2956,BC$3+$A44),"")</f>
        <v/>
      </c>
      <c r="BD45" s="17" t="str">
        <f>IF(BD$3&lt;=$B45,INDEX(Input!$I$43:$I$2956,BD$3+$A44),"")</f>
        <v/>
      </c>
      <c r="BE45" s="17" t="str">
        <f>IF(BE$3&lt;=$B45,INDEX(Input!$I$43:$I$2956,BE$3+$A44),"")</f>
        <v/>
      </c>
      <c r="BF45" s="17" t="str">
        <f>IF(BF$3&lt;=$B45,INDEX(Input!$I$43:$I$2956,BF$3+$A44),"")</f>
        <v/>
      </c>
      <c r="BG45" s="17" t="str">
        <f>IF(BG$3&lt;=$B45,INDEX(Input!$I$43:$I$2956,BG$3+$A44),"")</f>
        <v/>
      </c>
      <c r="BH45" s="17" t="str">
        <f>IF(BH$3&lt;=$B45,INDEX(Input!$I$43:$I$2956,BH$3+$A44),"")</f>
        <v/>
      </c>
      <c r="BI45" s="17" t="str">
        <f>IF(BI$3&lt;=$B45,INDEX(Input!$I$43:$I$2956,BI$3+$A44),"")</f>
        <v/>
      </c>
      <c r="BJ45" s="17" t="str">
        <f>IF(BJ$3&lt;=$B45,INDEX(Input!$I$43:$I$2956,BJ$3+$A44),"")</f>
        <v/>
      </c>
      <c r="BK45" s="17" t="str">
        <f>IF(BK$3&lt;=$B45,INDEX(Input!$I$43:$I$2956,BK$3+$A44),"")</f>
        <v/>
      </c>
      <c r="BL45" s="17" t="str">
        <f>IF(BL$3&lt;=$B45,INDEX(Input!$I$43:$I$2956,BL$3+$A44),"")</f>
        <v/>
      </c>
      <c r="BM45" s="17" t="str">
        <f>IF(BM$3&lt;=$B45,INDEX(Input!$I$43:$I$2956,BM$3+$A44),"")</f>
        <v/>
      </c>
      <c r="BN45" s="17" t="str">
        <f>IF(BN$3&lt;=$B45,INDEX(Input!$I$43:$I$2956,BN$3+$A44),"")</f>
        <v/>
      </c>
      <c r="BO45" s="17" t="str">
        <f>IF(BO$3&lt;=$B45,INDEX(Input!$I$43:$I$2956,BO$3+$A44),"")</f>
        <v/>
      </c>
      <c r="BP45" s="17" t="str">
        <f>IF(BP$3&lt;=$B45,INDEX(Input!$I$43:$I$2956,BP$3+$A44),"")</f>
        <v/>
      </c>
      <c r="BQ45" s="17" t="str">
        <f>IF(BQ$3&lt;=$B45,INDEX(Input!$I$43:$I$2956,BQ$3+$A44),"")</f>
        <v/>
      </c>
      <c r="BR45" s="17" t="str">
        <f>IF(BR$3&lt;=$B45,INDEX(Input!$I$43:$I$2956,BR$3+$A44),"")</f>
        <v/>
      </c>
      <c r="BS45" s="17" t="str">
        <f>IF(BS$3&lt;=$B45,INDEX(Input!$I$43:$I$2956,BS$3+$A44),"")</f>
        <v/>
      </c>
      <c r="BT45" s="17" t="str">
        <f>IF(BT$3&lt;=$B45,INDEX(Input!$I$43:$I$2956,BT$3+$A44),"")</f>
        <v/>
      </c>
      <c r="BU45" s="17" t="str">
        <f>IF(BU$3&lt;=$B45,INDEX(Input!$I$43:$I$2956,BU$3+$A44),"")</f>
        <v/>
      </c>
      <c r="BV45" s="17" t="str">
        <f>IF(BV$3&lt;=$B45,INDEX(Input!$I$43:$I$2956,BV$3+$A44),"")</f>
        <v/>
      </c>
      <c r="BW45" s="17" t="str">
        <f>IF(BW$3&lt;=$B45,INDEX(Input!$I$43:$I$2956,BW$3+$A44),"")</f>
        <v/>
      </c>
      <c r="BX45" s="17" t="str">
        <f>IF(BX$3&lt;=$B45,INDEX(Input!$I$43:$I$2956,BX$3+$A44),"")</f>
        <v/>
      </c>
      <c r="BY45" s="17" t="str">
        <f>IF(BY$3&lt;=$B45,INDEX(Input!$I$43:$I$2956,BY$3+$A44),"")</f>
        <v/>
      </c>
      <c r="BZ45" s="17" t="str">
        <f>IF(BZ$3&lt;=$B45,INDEX(Input!$I$43:$I$2956,BZ$3+$A44),"")</f>
        <v/>
      </c>
      <c r="CA45" s="17" t="str">
        <f>IF(CA$3&lt;=$B45,INDEX(Input!$I$43:$I$2956,CA$3+$A44),"")</f>
        <v/>
      </c>
      <c r="CB45" s="17" t="str">
        <f>IF(CB$3&lt;=$B45,INDEX(Input!$I$43:$I$2956,CB$3+$A44),"")</f>
        <v/>
      </c>
      <c r="CC45" s="17" t="str">
        <f>IF(CC$3&lt;=$B45,INDEX(Input!$I$43:$I$2956,CC$3+$A44),"")</f>
        <v/>
      </c>
      <c r="CD45" s="17" t="str">
        <f>IF(CD$3&lt;=$B45,INDEX(Input!$I$43:$I$2956,CD$3+$A44),"")</f>
        <v/>
      </c>
      <c r="CE45" s="17" t="str">
        <f>IF(CE$3&lt;=$B45,INDEX(Input!$I$43:$I$2956,CE$3+$A44),"")</f>
        <v/>
      </c>
      <c r="CF45" s="17" t="str">
        <f>IF(CF$3&lt;=$B45,INDEX(Input!$I$43:$I$2956,CF$3+$A44),"")</f>
        <v/>
      </c>
      <c r="CG45" s="17" t="str">
        <f>IF(CG$3&lt;=$B45,INDEX(Input!$I$43:$I$2956,CG$3+$A44),"")</f>
        <v/>
      </c>
      <c r="CH45" s="17" t="str">
        <f>IF(CH$3&lt;=$B45,INDEX(Input!$I$43:$I$2956,CH$3+$A44),"")</f>
        <v/>
      </c>
      <c r="CI45" s="17" t="str">
        <f>IF(CI$3&lt;=$B45,INDEX(Input!$I$43:$I$2956,CI$3+$A44),"")</f>
        <v/>
      </c>
      <c r="CJ45" s="17" t="str">
        <f>IF(CJ$3&lt;=$B45,INDEX(Input!$I$43:$I$2956,CJ$3+$A44),"")</f>
        <v/>
      </c>
      <c r="CK45" s="17" t="str">
        <f>IF(CK$3&lt;=$B45,INDEX(Input!$I$43:$I$2956,CK$3+$A44),"")</f>
        <v/>
      </c>
      <c r="CL45" s="17" t="str">
        <f>IF(CL$3&lt;=$B45,INDEX(Input!$I$43:$I$2956,CL$3+$A44),"")</f>
        <v/>
      </c>
      <c r="CM45" s="17" t="str">
        <f>IF(CM$3&lt;=$B45,INDEX(Input!$I$43:$I$2956,CM$3+$A44),"")</f>
        <v/>
      </c>
      <c r="CN45" s="17" t="str">
        <f>IF(CN$3&lt;=$B45,INDEX(Input!$I$43:$I$2956,CN$3+$A44),"")</f>
        <v/>
      </c>
      <c r="CO45" s="17" t="str">
        <f>IF(CO$3&lt;=$B45,INDEX(Input!$I$43:$I$2956,CO$3+$A44),"")</f>
        <v/>
      </c>
      <c r="CP45" s="17" t="str">
        <f>IF(CP$3&lt;=$B45,INDEX(Input!$I$43:$I$2956,CP$3+$A44),"")</f>
        <v/>
      </c>
      <c r="CQ45" s="17" t="str">
        <f>IF(CQ$3&lt;=$B45,INDEX(Input!$I$43:$I$2956,CQ$3+$A44),"")</f>
        <v/>
      </c>
      <c r="CR45" s="17" t="str">
        <f>IF(CR$3&lt;=$B45,INDEX(Input!$I$43:$I$2956,CR$3+$A44),"")</f>
        <v/>
      </c>
      <c r="CS45" s="17" t="str">
        <f>IF(CS$3&lt;=$B45,INDEX(Input!$I$43:$I$2956,CS$3+$A44),"")</f>
        <v/>
      </c>
      <c r="CT45" s="17" t="str">
        <f>IF(CT$3&lt;=$B45,INDEX(Input!$I$43:$I$2956,CT$3+$A44),"")</f>
        <v/>
      </c>
      <c r="CU45" s="17" t="str">
        <f>IF(CU$3&lt;=$B45,INDEX(Input!$I$43:$I$2956,CU$3+$A44),"")</f>
        <v/>
      </c>
      <c r="CV45" s="17" t="str">
        <f>IF(CV$3&lt;=$B45,INDEX(Input!$I$43:$I$2956,CV$3+$A44),"")</f>
        <v/>
      </c>
      <c r="CW45" s="17" t="str">
        <f>IF(CW$3&lt;=$B45,INDEX(Input!$I$43:$I$2956,CW$3+$A44),"")</f>
        <v/>
      </c>
      <c r="CX45" s="17" t="str">
        <f>IF(CX$3&lt;=$B45,INDEX(Input!$I$43:$I$2956,CX$3+$A44),"")</f>
        <v/>
      </c>
      <c r="CY45" s="17" t="str">
        <f>IF(CY$3&lt;=$B45,INDEX(Input!$I$43:$I$2956,CY$3+$A44),"")</f>
        <v/>
      </c>
      <c r="CZ45" s="17" t="str">
        <f>IF(CZ$3&lt;=$B45,INDEX(Input!$I$43:$I$2956,CZ$3+$A44),"")</f>
        <v/>
      </c>
      <c r="DA45" s="17" t="str">
        <f>IF(DA$3&lt;=$B45,INDEX(Input!$I$43:$I$2956,DA$3+$A44),"")</f>
        <v/>
      </c>
      <c r="DB45" s="17" t="str">
        <f>IF(DB$3&lt;=$B45,INDEX(Input!$I$43:$I$2956,DB$3+$A44),"")</f>
        <v/>
      </c>
      <c r="DC45" s="17" t="str">
        <f>IF(DC$3&lt;=$B45,INDEX(Input!$I$43:$I$2956,DC$3+$A44),"")</f>
        <v/>
      </c>
      <c r="DD45" s="17" t="str">
        <f>IF(DD$3&lt;=$B45,INDEX(Input!$I$43:$I$2956,DD$3+$A44),"")</f>
        <v/>
      </c>
      <c r="DE45" s="17" t="str">
        <f>IF(DE$3&lt;=$B45,INDEX(Input!$I$43:$I$2956,DE$3+$A44),"")</f>
        <v/>
      </c>
      <c r="DF45" s="17" t="str">
        <f>IF(DF$3&lt;=$B45,INDEX(Input!$I$43:$I$2956,DF$3+$A44),"")</f>
        <v/>
      </c>
      <c r="DG45" s="17" t="str">
        <f>IF(DG$3&lt;=$B45,INDEX(Input!$I$43:$I$2956,DG$3+$A44),"")</f>
        <v/>
      </c>
      <c r="DH45" s="17" t="str">
        <f>IF(DH$3&lt;=$B45,INDEX(Input!$I$43:$I$2956,DH$3+$A44),"")</f>
        <v/>
      </c>
      <c r="DI45" s="17" t="str">
        <f>IF(DI$3&lt;=$B45,INDEX(Input!$I$43:$I$2956,DI$3+$A44),"")</f>
        <v/>
      </c>
      <c r="DJ45" s="17" t="str">
        <f>IF(DJ$3&lt;=$B45,INDEX(Input!$I$43:$I$2956,DJ$3+$A44),"")</f>
        <v/>
      </c>
      <c r="DK45" s="17" t="str">
        <f>IF(DK$3&lt;=$B45,INDEX(Input!$I$43:$I$2956,DK$3+$A44),"")</f>
        <v/>
      </c>
      <c r="DL45" s="17" t="str">
        <f>IF(DL$3&lt;=$B45,INDEX(Input!$I$43:$I$2956,DL$3+$A44),"")</f>
        <v/>
      </c>
      <c r="DM45" s="17" t="str">
        <f>IF(DM$3&lt;=$B45,INDEX(Input!$I$43:$I$2956,DM$3+$A44),"")</f>
        <v/>
      </c>
      <c r="DN45" s="17" t="str">
        <f>IF(DN$3&lt;=$B45,INDEX(Input!$I$43:$I$2956,DN$3+$A44),"")</f>
        <v/>
      </c>
      <c r="DO45" s="17" t="str">
        <f>IF(DO$3&lt;=$B45,INDEX(Input!$I$43:$I$2956,DO$3+$A44),"")</f>
        <v/>
      </c>
      <c r="DP45" s="17" t="str">
        <f>IF(DP$3&lt;=$B45,INDEX(Input!$I$43:$I$2956,DP$3+$A44),"")</f>
        <v/>
      </c>
      <c r="DQ45" s="17" t="str">
        <f>IF(DQ$3&lt;=$B45,INDEX(Input!$I$43:$I$2956,DQ$3+$A44),"")</f>
        <v/>
      </c>
      <c r="DR45" s="17" t="str">
        <f>IF(DR$3&lt;=$B45,INDEX(Input!$I$43:$I$2956,DR$3+$A44),"")</f>
        <v/>
      </c>
      <c r="DS45" s="17" t="str">
        <f>IF(DS$3&lt;=$B45,INDEX(Input!$I$43:$I$2956,DS$3+$A44),"")</f>
        <v/>
      </c>
      <c r="DT45" s="17" t="str">
        <f>IF(DT$3&lt;=$B45,INDEX(Input!$I$43:$I$2956,DT$3+$A44),"")</f>
        <v/>
      </c>
      <c r="DU45" s="17" t="str">
        <f>IF(DU$3&lt;=$B45,INDEX(Input!$I$43:$I$2956,DU$3+$A44),"")</f>
        <v/>
      </c>
      <c r="DV45" s="17" t="str">
        <f>IF(DV$3&lt;=$B45,INDEX(Input!$I$43:$I$2956,DV$3+$A44),"")</f>
        <v/>
      </c>
      <c r="DW45" s="58" t="str">
        <f t="array" ref="DW45:EZ45">IFERROR(eccalc(E45:DV45,C45+B45,B45,$O$2:$AS$2),"")</f>
        <v/>
      </c>
      <c r="DX45" s="59" t="str">
        <v/>
      </c>
      <c r="DY45" s="59" t="str">
        <v/>
      </c>
      <c r="DZ45" s="59" t="str">
        <v/>
      </c>
      <c r="EA45" s="59" t="str">
        <v/>
      </c>
      <c r="EB45" s="59" t="str">
        <v/>
      </c>
      <c r="EC45" s="59" t="str">
        <v/>
      </c>
      <c r="ED45" s="59" t="str">
        <v/>
      </c>
      <c r="EE45" s="59" t="str">
        <v/>
      </c>
      <c r="EF45" s="59" t="str">
        <v/>
      </c>
      <c r="EG45" s="59" t="str">
        <v/>
      </c>
      <c r="EH45" s="59" t="str">
        <v/>
      </c>
      <c r="EI45" s="59" t="str">
        <v/>
      </c>
      <c r="EJ45" s="59" t="str">
        <v/>
      </c>
      <c r="EK45" s="59" t="str">
        <v/>
      </c>
      <c r="EL45" s="59" t="str">
        <v/>
      </c>
      <c r="EM45" s="59" t="str">
        <v/>
      </c>
      <c r="EN45" s="59" t="str">
        <v/>
      </c>
      <c r="EO45" s="59" t="str">
        <v/>
      </c>
      <c r="EP45" s="59" t="str">
        <v/>
      </c>
      <c r="EQ45" s="59" t="str">
        <v/>
      </c>
      <c r="ER45" s="59" t="str">
        <v/>
      </c>
      <c r="ES45" s="59" t="str">
        <v/>
      </c>
      <c r="ET45" s="59" t="str">
        <v/>
      </c>
      <c r="EU45" s="59" t="str">
        <v/>
      </c>
      <c r="EV45" s="59" t="str">
        <v/>
      </c>
      <c r="EW45" s="59" t="str">
        <v/>
      </c>
      <c r="EX45" s="59" t="str">
        <v/>
      </c>
      <c r="EY45" s="59" t="str">
        <v/>
      </c>
      <c r="EZ45" s="60" t="str">
        <v/>
      </c>
      <c r="FA45" s="17"/>
      <c r="FC45">
        <v>42</v>
      </c>
      <c r="FD45">
        <f t="shared" si="2"/>
        <v>10</v>
      </c>
      <c r="FE45">
        <f t="shared" si="3"/>
        <v>3</v>
      </c>
      <c r="FF45">
        <f t="shared" si="4"/>
        <v>0</v>
      </c>
      <c r="FI45" s="16">
        <v>42</v>
      </c>
      <c r="FJ45" s="17">
        <f t="shared" si="5"/>
        <v>37</v>
      </c>
      <c r="FK45" s="17">
        <f t="shared" si="6"/>
        <v>0</v>
      </c>
      <c r="FL45" s="18" t="str">
        <f t="shared" si="7"/>
        <v>00000000</v>
      </c>
      <c r="FM45" s="2"/>
    </row>
    <row r="46" spans="1:169">
      <c r="A46">
        <f>SUM($B$4:B46)</f>
        <v>196</v>
      </c>
      <c r="B46">
        <f t="shared" si="0"/>
        <v>0</v>
      </c>
      <c r="C46" t="str">
        <f t="shared" si="1"/>
        <v/>
      </c>
      <c r="D46">
        <v>43</v>
      </c>
      <c r="E46" s="16" t="str">
        <f>IF(E$3&lt;=$B46,INDEX(Input!$I$43:$I$2956,E$3+$A45),"")</f>
        <v/>
      </c>
      <c r="F46" s="17" t="str">
        <f>IF(F$3&lt;=$B46,INDEX(Input!$I$43:$I$2956,F$3+$A45),"")</f>
        <v/>
      </c>
      <c r="G46" s="17" t="str">
        <f>IF(G$3&lt;=$B46,INDEX(Input!$I$43:$I$2956,G$3+$A45),"")</f>
        <v/>
      </c>
      <c r="H46" s="17" t="str">
        <f>IF(H$3&lt;=$B46,INDEX(Input!$I$43:$I$2956,H$3+$A45),"")</f>
        <v/>
      </c>
      <c r="I46" s="17" t="str">
        <f>IF(I$3&lt;=$B46,INDEX(Input!$I$43:$I$2956,I$3+$A45),"")</f>
        <v/>
      </c>
      <c r="J46" s="17" t="str">
        <f>IF(J$3&lt;=$B46,INDEX(Input!$I$43:$I$2956,J$3+$A45),"")</f>
        <v/>
      </c>
      <c r="K46" s="17" t="str">
        <f>IF(K$3&lt;=$B46,INDEX(Input!$I$43:$I$2956,K$3+$A45),"")</f>
        <v/>
      </c>
      <c r="L46" s="17" t="str">
        <f>IF(L$3&lt;=$B46,INDEX(Input!$I$43:$I$2956,L$3+$A45),"")</f>
        <v/>
      </c>
      <c r="M46" s="17" t="str">
        <f>IF(M$3&lt;=$B46,INDEX(Input!$I$43:$I$2956,M$3+$A45),"")</f>
        <v/>
      </c>
      <c r="N46" s="17" t="str">
        <f>IF(N$3&lt;=$B46,INDEX(Input!$I$43:$I$2956,N$3+$A45),"")</f>
        <v/>
      </c>
      <c r="O46" s="17" t="str">
        <f>IF(O$3&lt;=$B46,INDEX(Input!$I$43:$I$2956,O$3+$A45),"")</f>
        <v/>
      </c>
      <c r="P46" s="17" t="str">
        <f>IF(P$3&lt;=$B46,INDEX(Input!$I$43:$I$2956,P$3+$A45),"")</f>
        <v/>
      </c>
      <c r="Q46" s="17" t="str">
        <f>IF(Q$3&lt;=$B46,INDEX(Input!$I$43:$I$2956,Q$3+$A45),"")</f>
        <v/>
      </c>
      <c r="R46" s="17" t="str">
        <f>IF(R$3&lt;=$B46,INDEX(Input!$I$43:$I$2956,R$3+$A45),"")</f>
        <v/>
      </c>
      <c r="S46" s="17" t="str">
        <f>IF(S$3&lt;=$B46,INDEX(Input!$I$43:$I$2956,S$3+$A45),"")</f>
        <v/>
      </c>
      <c r="T46" s="17" t="str">
        <f>IF(T$3&lt;=$B46,INDEX(Input!$I$43:$I$2956,T$3+$A45),"")</f>
        <v/>
      </c>
      <c r="U46" s="17" t="str">
        <f>IF(U$3&lt;=$B46,INDEX(Input!$I$43:$I$2956,U$3+$A45),"")</f>
        <v/>
      </c>
      <c r="V46" s="17" t="str">
        <f>IF(V$3&lt;=$B46,INDEX(Input!$I$43:$I$2956,V$3+$A45),"")</f>
        <v/>
      </c>
      <c r="W46" s="17" t="str">
        <f>IF(W$3&lt;=$B46,INDEX(Input!$I$43:$I$2956,W$3+$A45),"")</f>
        <v/>
      </c>
      <c r="X46" s="17" t="str">
        <f>IF(X$3&lt;=$B46,INDEX(Input!$I$43:$I$2956,X$3+$A45),"")</f>
        <v/>
      </c>
      <c r="Y46" s="17" t="str">
        <f>IF(Y$3&lt;=$B46,INDEX(Input!$I$43:$I$2956,Y$3+$A45),"")</f>
        <v/>
      </c>
      <c r="Z46" s="17" t="str">
        <f>IF(Z$3&lt;=$B46,INDEX(Input!$I$43:$I$2956,Z$3+$A45),"")</f>
        <v/>
      </c>
      <c r="AA46" s="17" t="str">
        <f>IF(AA$3&lt;=$B46,INDEX(Input!$I$43:$I$2956,AA$3+$A45),"")</f>
        <v/>
      </c>
      <c r="AB46" s="17" t="str">
        <f>IF(AB$3&lt;=$B46,INDEX(Input!$I$43:$I$2956,AB$3+$A45),"")</f>
        <v/>
      </c>
      <c r="AC46" s="17" t="str">
        <f>IF(AC$3&lt;=$B46,INDEX(Input!$I$43:$I$2956,AC$3+$A45),"")</f>
        <v/>
      </c>
      <c r="AD46" s="17" t="str">
        <f>IF(AD$3&lt;=$B46,INDEX(Input!$I$43:$I$2956,AD$3+$A45),"")</f>
        <v/>
      </c>
      <c r="AE46" s="17" t="str">
        <f>IF(AE$3&lt;=$B46,INDEX(Input!$I$43:$I$2956,AE$3+$A45),"")</f>
        <v/>
      </c>
      <c r="AF46" s="17" t="str">
        <f>IF(AF$3&lt;=$B46,INDEX(Input!$I$43:$I$2956,AF$3+$A45),"")</f>
        <v/>
      </c>
      <c r="AG46" s="17" t="str">
        <f>IF(AG$3&lt;=$B46,INDEX(Input!$I$43:$I$2956,AG$3+$A45),"")</f>
        <v/>
      </c>
      <c r="AH46" s="17" t="str">
        <f>IF(AH$3&lt;=$B46,INDEX(Input!$I$43:$I$2956,AH$3+$A45),"")</f>
        <v/>
      </c>
      <c r="AI46" s="17" t="str">
        <f>IF(AI$3&lt;=$B46,INDEX(Input!$I$43:$I$2956,AI$3+$A45),"")</f>
        <v/>
      </c>
      <c r="AJ46" s="17" t="str">
        <f>IF(AJ$3&lt;=$B46,INDEX(Input!$I$43:$I$2956,AJ$3+$A45),"")</f>
        <v/>
      </c>
      <c r="AK46" s="17" t="str">
        <f>IF(AK$3&lt;=$B46,INDEX(Input!$I$43:$I$2956,AK$3+$A45),"")</f>
        <v/>
      </c>
      <c r="AL46" s="17" t="str">
        <f>IF(AL$3&lt;=$B46,INDEX(Input!$I$43:$I$2956,AL$3+$A45),"")</f>
        <v/>
      </c>
      <c r="AM46" s="17" t="str">
        <f>IF(AM$3&lt;=$B46,INDEX(Input!$I$43:$I$2956,AM$3+$A45),"")</f>
        <v/>
      </c>
      <c r="AN46" s="17" t="str">
        <f>IF(AN$3&lt;=$B46,INDEX(Input!$I$43:$I$2956,AN$3+$A45),"")</f>
        <v/>
      </c>
      <c r="AO46" s="17" t="str">
        <f>IF(AO$3&lt;=$B46,INDEX(Input!$I$43:$I$2956,AO$3+$A45),"")</f>
        <v/>
      </c>
      <c r="AP46" s="17" t="str">
        <f>IF(AP$3&lt;=$B46,INDEX(Input!$I$43:$I$2956,AP$3+$A45),"")</f>
        <v/>
      </c>
      <c r="AQ46" s="17" t="str">
        <f>IF(AQ$3&lt;=$B46,INDEX(Input!$I$43:$I$2956,AQ$3+$A45),"")</f>
        <v/>
      </c>
      <c r="AR46" s="17" t="str">
        <f>IF(AR$3&lt;=$B46,INDEX(Input!$I$43:$I$2956,AR$3+$A45),"")</f>
        <v/>
      </c>
      <c r="AS46" s="17" t="str">
        <f>IF(AS$3&lt;=$B46,INDEX(Input!$I$43:$I$2956,AS$3+$A45),"")</f>
        <v/>
      </c>
      <c r="AT46" s="17" t="str">
        <f>IF(AT$3&lt;=$B46,INDEX(Input!$I$43:$I$2956,AT$3+$A45),"")</f>
        <v/>
      </c>
      <c r="AU46" s="17" t="str">
        <f>IF(AU$3&lt;=$B46,INDEX(Input!$I$43:$I$2956,AU$3+$A45),"")</f>
        <v/>
      </c>
      <c r="AV46" s="17" t="str">
        <f>IF(AV$3&lt;=$B46,INDEX(Input!$I$43:$I$2956,AV$3+$A45),"")</f>
        <v/>
      </c>
      <c r="AW46" s="17" t="str">
        <f>IF(AW$3&lt;=$B46,INDEX(Input!$I$43:$I$2956,AW$3+$A45),"")</f>
        <v/>
      </c>
      <c r="AX46" s="17" t="str">
        <f>IF(AX$3&lt;=$B46,INDEX(Input!$I$43:$I$2956,AX$3+$A45),"")</f>
        <v/>
      </c>
      <c r="AY46" s="17" t="str">
        <f>IF(AY$3&lt;=$B46,INDEX(Input!$I$43:$I$2956,AY$3+$A45),"")</f>
        <v/>
      </c>
      <c r="AZ46" s="17" t="str">
        <f>IF(AZ$3&lt;=$B46,INDEX(Input!$I$43:$I$2956,AZ$3+$A45),"")</f>
        <v/>
      </c>
      <c r="BA46" s="17" t="str">
        <f>IF(BA$3&lt;=$B46,INDEX(Input!$I$43:$I$2956,BA$3+$A45),"")</f>
        <v/>
      </c>
      <c r="BB46" s="17" t="str">
        <f>IF(BB$3&lt;=$B46,INDEX(Input!$I$43:$I$2956,BB$3+$A45),"")</f>
        <v/>
      </c>
      <c r="BC46" s="17" t="str">
        <f>IF(BC$3&lt;=$B46,INDEX(Input!$I$43:$I$2956,BC$3+$A45),"")</f>
        <v/>
      </c>
      <c r="BD46" s="17" t="str">
        <f>IF(BD$3&lt;=$B46,INDEX(Input!$I$43:$I$2956,BD$3+$A45),"")</f>
        <v/>
      </c>
      <c r="BE46" s="17" t="str">
        <f>IF(BE$3&lt;=$B46,INDEX(Input!$I$43:$I$2956,BE$3+$A45),"")</f>
        <v/>
      </c>
      <c r="BF46" s="17" t="str">
        <f>IF(BF$3&lt;=$B46,INDEX(Input!$I$43:$I$2956,BF$3+$A45),"")</f>
        <v/>
      </c>
      <c r="BG46" s="17" t="str">
        <f>IF(BG$3&lt;=$B46,INDEX(Input!$I$43:$I$2956,BG$3+$A45),"")</f>
        <v/>
      </c>
      <c r="BH46" s="17" t="str">
        <f>IF(BH$3&lt;=$B46,INDEX(Input!$I$43:$I$2956,BH$3+$A45),"")</f>
        <v/>
      </c>
      <c r="BI46" s="17" t="str">
        <f>IF(BI$3&lt;=$B46,INDEX(Input!$I$43:$I$2956,BI$3+$A45),"")</f>
        <v/>
      </c>
      <c r="BJ46" s="17" t="str">
        <f>IF(BJ$3&lt;=$B46,INDEX(Input!$I$43:$I$2956,BJ$3+$A45),"")</f>
        <v/>
      </c>
      <c r="BK46" s="17" t="str">
        <f>IF(BK$3&lt;=$B46,INDEX(Input!$I$43:$I$2956,BK$3+$A45),"")</f>
        <v/>
      </c>
      <c r="BL46" s="17" t="str">
        <f>IF(BL$3&lt;=$B46,INDEX(Input!$I$43:$I$2956,BL$3+$A45),"")</f>
        <v/>
      </c>
      <c r="BM46" s="17" t="str">
        <f>IF(BM$3&lt;=$B46,INDEX(Input!$I$43:$I$2956,BM$3+$A45),"")</f>
        <v/>
      </c>
      <c r="BN46" s="17" t="str">
        <f>IF(BN$3&lt;=$B46,INDEX(Input!$I$43:$I$2956,BN$3+$A45),"")</f>
        <v/>
      </c>
      <c r="BO46" s="17" t="str">
        <f>IF(BO$3&lt;=$B46,INDEX(Input!$I$43:$I$2956,BO$3+$A45),"")</f>
        <v/>
      </c>
      <c r="BP46" s="17" t="str">
        <f>IF(BP$3&lt;=$B46,INDEX(Input!$I$43:$I$2956,BP$3+$A45),"")</f>
        <v/>
      </c>
      <c r="BQ46" s="17" t="str">
        <f>IF(BQ$3&lt;=$B46,INDEX(Input!$I$43:$I$2956,BQ$3+$A45),"")</f>
        <v/>
      </c>
      <c r="BR46" s="17" t="str">
        <f>IF(BR$3&lt;=$B46,INDEX(Input!$I$43:$I$2956,BR$3+$A45),"")</f>
        <v/>
      </c>
      <c r="BS46" s="17" t="str">
        <f>IF(BS$3&lt;=$B46,INDEX(Input!$I$43:$I$2956,BS$3+$A45),"")</f>
        <v/>
      </c>
      <c r="BT46" s="17" t="str">
        <f>IF(BT$3&lt;=$B46,INDEX(Input!$I$43:$I$2956,BT$3+$A45),"")</f>
        <v/>
      </c>
      <c r="BU46" s="17" t="str">
        <f>IF(BU$3&lt;=$B46,INDEX(Input!$I$43:$I$2956,BU$3+$A45),"")</f>
        <v/>
      </c>
      <c r="BV46" s="17" t="str">
        <f>IF(BV$3&lt;=$B46,INDEX(Input!$I$43:$I$2956,BV$3+$A45),"")</f>
        <v/>
      </c>
      <c r="BW46" s="17" t="str">
        <f>IF(BW$3&lt;=$B46,INDEX(Input!$I$43:$I$2956,BW$3+$A45),"")</f>
        <v/>
      </c>
      <c r="BX46" s="17" t="str">
        <f>IF(BX$3&lt;=$B46,INDEX(Input!$I$43:$I$2956,BX$3+$A45),"")</f>
        <v/>
      </c>
      <c r="BY46" s="17" t="str">
        <f>IF(BY$3&lt;=$B46,INDEX(Input!$I$43:$I$2956,BY$3+$A45),"")</f>
        <v/>
      </c>
      <c r="BZ46" s="17" t="str">
        <f>IF(BZ$3&lt;=$B46,INDEX(Input!$I$43:$I$2956,BZ$3+$A45),"")</f>
        <v/>
      </c>
      <c r="CA46" s="17" t="str">
        <f>IF(CA$3&lt;=$B46,INDEX(Input!$I$43:$I$2956,CA$3+$A45),"")</f>
        <v/>
      </c>
      <c r="CB46" s="17" t="str">
        <f>IF(CB$3&lt;=$B46,INDEX(Input!$I$43:$I$2956,CB$3+$A45),"")</f>
        <v/>
      </c>
      <c r="CC46" s="17" t="str">
        <f>IF(CC$3&lt;=$B46,INDEX(Input!$I$43:$I$2956,CC$3+$A45),"")</f>
        <v/>
      </c>
      <c r="CD46" s="17" t="str">
        <f>IF(CD$3&lt;=$B46,INDEX(Input!$I$43:$I$2956,CD$3+$A45),"")</f>
        <v/>
      </c>
      <c r="CE46" s="17" t="str">
        <f>IF(CE$3&lt;=$B46,INDEX(Input!$I$43:$I$2956,CE$3+$A45),"")</f>
        <v/>
      </c>
      <c r="CF46" s="17" t="str">
        <f>IF(CF$3&lt;=$B46,INDEX(Input!$I$43:$I$2956,CF$3+$A45),"")</f>
        <v/>
      </c>
      <c r="CG46" s="17" t="str">
        <f>IF(CG$3&lt;=$B46,INDEX(Input!$I$43:$I$2956,CG$3+$A45),"")</f>
        <v/>
      </c>
      <c r="CH46" s="17" t="str">
        <f>IF(CH$3&lt;=$B46,INDEX(Input!$I$43:$I$2956,CH$3+$A45),"")</f>
        <v/>
      </c>
      <c r="CI46" s="17" t="str">
        <f>IF(CI$3&lt;=$B46,INDEX(Input!$I$43:$I$2956,CI$3+$A45),"")</f>
        <v/>
      </c>
      <c r="CJ46" s="17" t="str">
        <f>IF(CJ$3&lt;=$B46,INDEX(Input!$I$43:$I$2956,CJ$3+$A45),"")</f>
        <v/>
      </c>
      <c r="CK46" s="17" t="str">
        <f>IF(CK$3&lt;=$B46,INDEX(Input!$I$43:$I$2956,CK$3+$A45),"")</f>
        <v/>
      </c>
      <c r="CL46" s="17" t="str">
        <f>IF(CL$3&lt;=$B46,INDEX(Input!$I$43:$I$2956,CL$3+$A45),"")</f>
        <v/>
      </c>
      <c r="CM46" s="17" t="str">
        <f>IF(CM$3&lt;=$B46,INDEX(Input!$I$43:$I$2956,CM$3+$A45),"")</f>
        <v/>
      </c>
      <c r="CN46" s="17" t="str">
        <f>IF(CN$3&lt;=$B46,INDEX(Input!$I$43:$I$2956,CN$3+$A45),"")</f>
        <v/>
      </c>
      <c r="CO46" s="17" t="str">
        <f>IF(CO$3&lt;=$B46,INDEX(Input!$I$43:$I$2956,CO$3+$A45),"")</f>
        <v/>
      </c>
      <c r="CP46" s="17" t="str">
        <f>IF(CP$3&lt;=$B46,INDEX(Input!$I$43:$I$2956,CP$3+$A45),"")</f>
        <v/>
      </c>
      <c r="CQ46" s="17" t="str">
        <f>IF(CQ$3&lt;=$B46,INDEX(Input!$I$43:$I$2956,CQ$3+$A45),"")</f>
        <v/>
      </c>
      <c r="CR46" s="17" t="str">
        <f>IF(CR$3&lt;=$B46,INDEX(Input!$I$43:$I$2956,CR$3+$A45),"")</f>
        <v/>
      </c>
      <c r="CS46" s="17" t="str">
        <f>IF(CS$3&lt;=$B46,INDEX(Input!$I$43:$I$2956,CS$3+$A45),"")</f>
        <v/>
      </c>
      <c r="CT46" s="17" t="str">
        <f>IF(CT$3&lt;=$B46,INDEX(Input!$I$43:$I$2956,CT$3+$A45),"")</f>
        <v/>
      </c>
      <c r="CU46" s="17" t="str">
        <f>IF(CU$3&lt;=$B46,INDEX(Input!$I$43:$I$2956,CU$3+$A45),"")</f>
        <v/>
      </c>
      <c r="CV46" s="17" t="str">
        <f>IF(CV$3&lt;=$B46,INDEX(Input!$I$43:$I$2956,CV$3+$A45),"")</f>
        <v/>
      </c>
      <c r="CW46" s="17" t="str">
        <f>IF(CW$3&lt;=$B46,INDEX(Input!$I$43:$I$2956,CW$3+$A45),"")</f>
        <v/>
      </c>
      <c r="CX46" s="17" t="str">
        <f>IF(CX$3&lt;=$B46,INDEX(Input!$I$43:$I$2956,CX$3+$A45),"")</f>
        <v/>
      </c>
      <c r="CY46" s="17" t="str">
        <f>IF(CY$3&lt;=$B46,INDEX(Input!$I$43:$I$2956,CY$3+$A45),"")</f>
        <v/>
      </c>
      <c r="CZ46" s="17" t="str">
        <f>IF(CZ$3&lt;=$B46,INDEX(Input!$I$43:$I$2956,CZ$3+$A45),"")</f>
        <v/>
      </c>
      <c r="DA46" s="17" t="str">
        <f>IF(DA$3&lt;=$B46,INDEX(Input!$I$43:$I$2956,DA$3+$A45),"")</f>
        <v/>
      </c>
      <c r="DB46" s="17" t="str">
        <f>IF(DB$3&lt;=$B46,INDEX(Input!$I$43:$I$2956,DB$3+$A45),"")</f>
        <v/>
      </c>
      <c r="DC46" s="17" t="str">
        <f>IF(DC$3&lt;=$B46,INDEX(Input!$I$43:$I$2956,DC$3+$A45),"")</f>
        <v/>
      </c>
      <c r="DD46" s="17" t="str">
        <f>IF(DD$3&lt;=$B46,INDEX(Input!$I$43:$I$2956,DD$3+$A45),"")</f>
        <v/>
      </c>
      <c r="DE46" s="17" t="str">
        <f>IF(DE$3&lt;=$B46,INDEX(Input!$I$43:$I$2956,DE$3+$A45),"")</f>
        <v/>
      </c>
      <c r="DF46" s="17" t="str">
        <f>IF(DF$3&lt;=$B46,INDEX(Input!$I$43:$I$2956,DF$3+$A45),"")</f>
        <v/>
      </c>
      <c r="DG46" s="17" t="str">
        <f>IF(DG$3&lt;=$B46,INDEX(Input!$I$43:$I$2956,DG$3+$A45),"")</f>
        <v/>
      </c>
      <c r="DH46" s="17" t="str">
        <f>IF(DH$3&lt;=$B46,INDEX(Input!$I$43:$I$2956,DH$3+$A45),"")</f>
        <v/>
      </c>
      <c r="DI46" s="17" t="str">
        <f>IF(DI$3&lt;=$B46,INDEX(Input!$I$43:$I$2956,DI$3+$A45),"")</f>
        <v/>
      </c>
      <c r="DJ46" s="17" t="str">
        <f>IF(DJ$3&lt;=$B46,INDEX(Input!$I$43:$I$2956,DJ$3+$A45),"")</f>
        <v/>
      </c>
      <c r="DK46" s="17" t="str">
        <f>IF(DK$3&lt;=$B46,INDEX(Input!$I$43:$I$2956,DK$3+$A45),"")</f>
        <v/>
      </c>
      <c r="DL46" s="17" t="str">
        <f>IF(DL$3&lt;=$B46,INDEX(Input!$I$43:$I$2956,DL$3+$A45),"")</f>
        <v/>
      </c>
      <c r="DM46" s="17" t="str">
        <f>IF(DM$3&lt;=$B46,INDEX(Input!$I$43:$I$2956,DM$3+$A45),"")</f>
        <v/>
      </c>
      <c r="DN46" s="17" t="str">
        <f>IF(DN$3&lt;=$B46,INDEX(Input!$I$43:$I$2956,DN$3+$A45),"")</f>
        <v/>
      </c>
      <c r="DO46" s="17" t="str">
        <f>IF(DO$3&lt;=$B46,INDEX(Input!$I$43:$I$2956,DO$3+$A45),"")</f>
        <v/>
      </c>
      <c r="DP46" s="17" t="str">
        <f>IF(DP$3&lt;=$B46,INDEX(Input!$I$43:$I$2956,DP$3+$A45),"")</f>
        <v/>
      </c>
      <c r="DQ46" s="17" t="str">
        <f>IF(DQ$3&lt;=$B46,INDEX(Input!$I$43:$I$2956,DQ$3+$A45),"")</f>
        <v/>
      </c>
      <c r="DR46" s="17" t="str">
        <f>IF(DR$3&lt;=$B46,INDEX(Input!$I$43:$I$2956,DR$3+$A45),"")</f>
        <v/>
      </c>
      <c r="DS46" s="17" t="str">
        <f>IF(DS$3&lt;=$B46,INDEX(Input!$I$43:$I$2956,DS$3+$A45),"")</f>
        <v/>
      </c>
      <c r="DT46" s="17" t="str">
        <f>IF(DT$3&lt;=$B46,INDEX(Input!$I$43:$I$2956,DT$3+$A45),"")</f>
        <v/>
      </c>
      <c r="DU46" s="17" t="str">
        <f>IF(DU$3&lt;=$B46,INDEX(Input!$I$43:$I$2956,DU$3+$A45),"")</f>
        <v/>
      </c>
      <c r="DV46" s="17" t="str">
        <f>IF(DV$3&lt;=$B46,INDEX(Input!$I$43:$I$2956,DV$3+$A45),"")</f>
        <v/>
      </c>
      <c r="DW46" s="58" t="str">
        <f t="array" ref="DW46:EZ46">IFERROR(eccalc(E46:DV46,C46+B46,B46,$O$2:$AS$2),"")</f>
        <v/>
      </c>
      <c r="DX46" s="59" t="str">
        <v/>
      </c>
      <c r="DY46" s="59" t="str">
        <v/>
      </c>
      <c r="DZ46" s="59" t="str">
        <v/>
      </c>
      <c r="EA46" s="59" t="str">
        <v/>
      </c>
      <c r="EB46" s="59" t="str">
        <v/>
      </c>
      <c r="EC46" s="59" t="str">
        <v/>
      </c>
      <c r="ED46" s="59" t="str">
        <v/>
      </c>
      <c r="EE46" s="59" t="str">
        <v/>
      </c>
      <c r="EF46" s="59" t="str">
        <v/>
      </c>
      <c r="EG46" s="59" t="str">
        <v/>
      </c>
      <c r="EH46" s="59" t="str">
        <v/>
      </c>
      <c r="EI46" s="59" t="str">
        <v/>
      </c>
      <c r="EJ46" s="59" t="str">
        <v/>
      </c>
      <c r="EK46" s="59" t="str">
        <v/>
      </c>
      <c r="EL46" s="59" t="str">
        <v/>
      </c>
      <c r="EM46" s="59" t="str">
        <v/>
      </c>
      <c r="EN46" s="59" t="str">
        <v/>
      </c>
      <c r="EO46" s="59" t="str">
        <v/>
      </c>
      <c r="EP46" s="59" t="str">
        <v/>
      </c>
      <c r="EQ46" s="59" t="str">
        <v/>
      </c>
      <c r="ER46" s="59" t="str">
        <v/>
      </c>
      <c r="ES46" s="59" t="str">
        <v/>
      </c>
      <c r="ET46" s="59" t="str">
        <v/>
      </c>
      <c r="EU46" s="59" t="str">
        <v/>
      </c>
      <c r="EV46" s="59" t="str">
        <v/>
      </c>
      <c r="EW46" s="59" t="str">
        <v/>
      </c>
      <c r="EX46" s="59" t="str">
        <v/>
      </c>
      <c r="EY46" s="59" t="str">
        <v/>
      </c>
      <c r="EZ46" s="60" t="str">
        <v/>
      </c>
      <c r="FA46" s="17"/>
      <c r="FC46">
        <v>43</v>
      </c>
      <c r="FD46">
        <f t="shared" si="2"/>
        <v>11</v>
      </c>
      <c r="FE46">
        <f t="shared" si="3"/>
        <v>3</v>
      </c>
      <c r="FF46">
        <f t="shared" si="4"/>
        <v>83</v>
      </c>
      <c r="FI46" s="16">
        <v>43</v>
      </c>
      <c r="FJ46" s="17">
        <f t="shared" si="5"/>
        <v>179</v>
      </c>
      <c r="FK46" s="17">
        <f t="shared" si="6"/>
        <v>83</v>
      </c>
      <c r="FL46" s="18" t="str">
        <f t="shared" si="7"/>
        <v>01010011</v>
      </c>
      <c r="FM46" s="2"/>
    </row>
    <row r="47" spans="1:169">
      <c r="A47">
        <f>SUM($B$4:B47)</f>
        <v>196</v>
      </c>
      <c r="B47">
        <f t="shared" si="0"/>
        <v>0</v>
      </c>
      <c r="C47" t="str">
        <f t="shared" si="1"/>
        <v/>
      </c>
      <c r="D47">
        <v>44</v>
      </c>
      <c r="E47" s="16" t="str">
        <f>IF(E$3&lt;=$B47,INDEX(Input!$I$43:$I$2956,E$3+$A46),"")</f>
        <v/>
      </c>
      <c r="F47" s="17" t="str">
        <f>IF(F$3&lt;=$B47,INDEX(Input!$I$43:$I$2956,F$3+$A46),"")</f>
        <v/>
      </c>
      <c r="G47" s="17" t="str">
        <f>IF(G$3&lt;=$B47,INDEX(Input!$I$43:$I$2956,G$3+$A46),"")</f>
        <v/>
      </c>
      <c r="H47" s="17" t="str">
        <f>IF(H$3&lt;=$B47,INDEX(Input!$I$43:$I$2956,H$3+$A46),"")</f>
        <v/>
      </c>
      <c r="I47" s="17" t="str">
        <f>IF(I$3&lt;=$B47,INDEX(Input!$I$43:$I$2956,I$3+$A46),"")</f>
        <v/>
      </c>
      <c r="J47" s="17" t="str">
        <f>IF(J$3&lt;=$B47,INDEX(Input!$I$43:$I$2956,J$3+$A46),"")</f>
        <v/>
      </c>
      <c r="K47" s="17" t="str">
        <f>IF(K$3&lt;=$B47,INDEX(Input!$I$43:$I$2956,K$3+$A46),"")</f>
        <v/>
      </c>
      <c r="L47" s="17" t="str">
        <f>IF(L$3&lt;=$B47,INDEX(Input!$I$43:$I$2956,L$3+$A46),"")</f>
        <v/>
      </c>
      <c r="M47" s="17" t="str">
        <f>IF(M$3&lt;=$B47,INDEX(Input!$I$43:$I$2956,M$3+$A46),"")</f>
        <v/>
      </c>
      <c r="N47" s="17" t="str">
        <f>IF(N$3&lt;=$B47,INDEX(Input!$I$43:$I$2956,N$3+$A46),"")</f>
        <v/>
      </c>
      <c r="O47" s="17" t="str">
        <f>IF(O$3&lt;=$B47,INDEX(Input!$I$43:$I$2956,O$3+$A46),"")</f>
        <v/>
      </c>
      <c r="P47" s="17" t="str">
        <f>IF(P$3&lt;=$B47,INDEX(Input!$I$43:$I$2956,P$3+$A46),"")</f>
        <v/>
      </c>
      <c r="Q47" s="17" t="str">
        <f>IF(Q$3&lt;=$B47,INDEX(Input!$I$43:$I$2956,Q$3+$A46),"")</f>
        <v/>
      </c>
      <c r="R47" s="17" t="str">
        <f>IF(R$3&lt;=$B47,INDEX(Input!$I$43:$I$2956,R$3+$A46),"")</f>
        <v/>
      </c>
      <c r="S47" s="17" t="str">
        <f>IF(S$3&lt;=$B47,INDEX(Input!$I$43:$I$2956,S$3+$A46),"")</f>
        <v/>
      </c>
      <c r="T47" s="17" t="str">
        <f>IF(T$3&lt;=$B47,INDEX(Input!$I$43:$I$2956,T$3+$A46),"")</f>
        <v/>
      </c>
      <c r="U47" s="17" t="str">
        <f>IF(U$3&lt;=$B47,INDEX(Input!$I$43:$I$2956,U$3+$A46),"")</f>
        <v/>
      </c>
      <c r="V47" s="17" t="str">
        <f>IF(V$3&lt;=$B47,INDEX(Input!$I$43:$I$2956,V$3+$A46),"")</f>
        <v/>
      </c>
      <c r="W47" s="17" t="str">
        <f>IF(W$3&lt;=$B47,INDEX(Input!$I$43:$I$2956,W$3+$A46),"")</f>
        <v/>
      </c>
      <c r="X47" s="17" t="str">
        <f>IF(X$3&lt;=$B47,INDEX(Input!$I$43:$I$2956,X$3+$A46),"")</f>
        <v/>
      </c>
      <c r="Y47" s="17" t="str">
        <f>IF(Y$3&lt;=$B47,INDEX(Input!$I$43:$I$2956,Y$3+$A46),"")</f>
        <v/>
      </c>
      <c r="Z47" s="17" t="str">
        <f>IF(Z$3&lt;=$B47,INDEX(Input!$I$43:$I$2956,Z$3+$A46),"")</f>
        <v/>
      </c>
      <c r="AA47" s="17" t="str">
        <f>IF(AA$3&lt;=$B47,INDEX(Input!$I$43:$I$2956,AA$3+$A46),"")</f>
        <v/>
      </c>
      <c r="AB47" s="17" t="str">
        <f>IF(AB$3&lt;=$B47,INDEX(Input!$I$43:$I$2956,AB$3+$A46),"")</f>
        <v/>
      </c>
      <c r="AC47" s="17" t="str">
        <f>IF(AC$3&lt;=$B47,INDEX(Input!$I$43:$I$2956,AC$3+$A46),"")</f>
        <v/>
      </c>
      <c r="AD47" s="17" t="str">
        <f>IF(AD$3&lt;=$B47,INDEX(Input!$I$43:$I$2956,AD$3+$A46),"")</f>
        <v/>
      </c>
      <c r="AE47" s="17" t="str">
        <f>IF(AE$3&lt;=$B47,INDEX(Input!$I$43:$I$2956,AE$3+$A46),"")</f>
        <v/>
      </c>
      <c r="AF47" s="17" t="str">
        <f>IF(AF$3&lt;=$B47,INDEX(Input!$I$43:$I$2956,AF$3+$A46),"")</f>
        <v/>
      </c>
      <c r="AG47" s="17" t="str">
        <f>IF(AG$3&lt;=$B47,INDEX(Input!$I$43:$I$2956,AG$3+$A46),"")</f>
        <v/>
      </c>
      <c r="AH47" s="17" t="str">
        <f>IF(AH$3&lt;=$B47,INDEX(Input!$I$43:$I$2956,AH$3+$A46),"")</f>
        <v/>
      </c>
      <c r="AI47" s="17" t="str">
        <f>IF(AI$3&lt;=$B47,INDEX(Input!$I$43:$I$2956,AI$3+$A46),"")</f>
        <v/>
      </c>
      <c r="AJ47" s="17" t="str">
        <f>IF(AJ$3&lt;=$B47,INDEX(Input!$I$43:$I$2956,AJ$3+$A46),"")</f>
        <v/>
      </c>
      <c r="AK47" s="17" t="str">
        <f>IF(AK$3&lt;=$B47,INDEX(Input!$I$43:$I$2956,AK$3+$A46),"")</f>
        <v/>
      </c>
      <c r="AL47" s="17" t="str">
        <f>IF(AL$3&lt;=$B47,INDEX(Input!$I$43:$I$2956,AL$3+$A46),"")</f>
        <v/>
      </c>
      <c r="AM47" s="17" t="str">
        <f>IF(AM$3&lt;=$B47,INDEX(Input!$I$43:$I$2956,AM$3+$A46),"")</f>
        <v/>
      </c>
      <c r="AN47" s="17" t="str">
        <f>IF(AN$3&lt;=$B47,INDEX(Input!$I$43:$I$2956,AN$3+$A46),"")</f>
        <v/>
      </c>
      <c r="AO47" s="17" t="str">
        <f>IF(AO$3&lt;=$B47,INDEX(Input!$I$43:$I$2956,AO$3+$A46),"")</f>
        <v/>
      </c>
      <c r="AP47" s="17" t="str">
        <f>IF(AP$3&lt;=$B47,INDEX(Input!$I$43:$I$2956,AP$3+$A46),"")</f>
        <v/>
      </c>
      <c r="AQ47" s="17" t="str">
        <f>IF(AQ$3&lt;=$B47,INDEX(Input!$I$43:$I$2956,AQ$3+$A46),"")</f>
        <v/>
      </c>
      <c r="AR47" s="17" t="str">
        <f>IF(AR$3&lt;=$B47,INDEX(Input!$I$43:$I$2956,AR$3+$A46),"")</f>
        <v/>
      </c>
      <c r="AS47" s="17" t="str">
        <f>IF(AS$3&lt;=$B47,INDEX(Input!$I$43:$I$2956,AS$3+$A46),"")</f>
        <v/>
      </c>
      <c r="AT47" s="17" t="str">
        <f>IF(AT$3&lt;=$B47,INDEX(Input!$I$43:$I$2956,AT$3+$A46),"")</f>
        <v/>
      </c>
      <c r="AU47" s="17" t="str">
        <f>IF(AU$3&lt;=$B47,INDEX(Input!$I$43:$I$2956,AU$3+$A46),"")</f>
        <v/>
      </c>
      <c r="AV47" s="17" t="str">
        <f>IF(AV$3&lt;=$B47,INDEX(Input!$I$43:$I$2956,AV$3+$A46),"")</f>
        <v/>
      </c>
      <c r="AW47" s="17" t="str">
        <f>IF(AW$3&lt;=$B47,INDEX(Input!$I$43:$I$2956,AW$3+$A46),"")</f>
        <v/>
      </c>
      <c r="AX47" s="17" t="str">
        <f>IF(AX$3&lt;=$B47,INDEX(Input!$I$43:$I$2956,AX$3+$A46),"")</f>
        <v/>
      </c>
      <c r="AY47" s="17" t="str">
        <f>IF(AY$3&lt;=$B47,INDEX(Input!$I$43:$I$2956,AY$3+$A46),"")</f>
        <v/>
      </c>
      <c r="AZ47" s="17" t="str">
        <f>IF(AZ$3&lt;=$B47,INDEX(Input!$I$43:$I$2956,AZ$3+$A46),"")</f>
        <v/>
      </c>
      <c r="BA47" s="17" t="str">
        <f>IF(BA$3&lt;=$B47,INDEX(Input!$I$43:$I$2956,BA$3+$A46),"")</f>
        <v/>
      </c>
      <c r="BB47" s="17" t="str">
        <f>IF(BB$3&lt;=$B47,INDEX(Input!$I$43:$I$2956,BB$3+$A46),"")</f>
        <v/>
      </c>
      <c r="BC47" s="17" t="str">
        <f>IF(BC$3&lt;=$B47,INDEX(Input!$I$43:$I$2956,BC$3+$A46),"")</f>
        <v/>
      </c>
      <c r="BD47" s="17" t="str">
        <f>IF(BD$3&lt;=$B47,INDEX(Input!$I$43:$I$2956,BD$3+$A46),"")</f>
        <v/>
      </c>
      <c r="BE47" s="17" t="str">
        <f>IF(BE$3&lt;=$B47,INDEX(Input!$I$43:$I$2956,BE$3+$A46),"")</f>
        <v/>
      </c>
      <c r="BF47" s="17" t="str">
        <f>IF(BF$3&lt;=$B47,INDEX(Input!$I$43:$I$2956,BF$3+$A46),"")</f>
        <v/>
      </c>
      <c r="BG47" s="17" t="str">
        <f>IF(BG$3&lt;=$B47,INDEX(Input!$I$43:$I$2956,BG$3+$A46),"")</f>
        <v/>
      </c>
      <c r="BH47" s="17" t="str">
        <f>IF(BH$3&lt;=$B47,INDEX(Input!$I$43:$I$2956,BH$3+$A46),"")</f>
        <v/>
      </c>
      <c r="BI47" s="17" t="str">
        <f>IF(BI$3&lt;=$B47,INDEX(Input!$I$43:$I$2956,BI$3+$A46),"")</f>
        <v/>
      </c>
      <c r="BJ47" s="17" t="str">
        <f>IF(BJ$3&lt;=$B47,INDEX(Input!$I$43:$I$2956,BJ$3+$A46),"")</f>
        <v/>
      </c>
      <c r="BK47" s="17" t="str">
        <f>IF(BK$3&lt;=$B47,INDEX(Input!$I$43:$I$2956,BK$3+$A46),"")</f>
        <v/>
      </c>
      <c r="BL47" s="17" t="str">
        <f>IF(BL$3&lt;=$B47,INDEX(Input!$I$43:$I$2956,BL$3+$A46),"")</f>
        <v/>
      </c>
      <c r="BM47" s="17" t="str">
        <f>IF(BM$3&lt;=$B47,INDEX(Input!$I$43:$I$2956,BM$3+$A46),"")</f>
        <v/>
      </c>
      <c r="BN47" s="17" t="str">
        <f>IF(BN$3&lt;=$B47,INDEX(Input!$I$43:$I$2956,BN$3+$A46),"")</f>
        <v/>
      </c>
      <c r="BO47" s="17" t="str">
        <f>IF(BO$3&lt;=$B47,INDEX(Input!$I$43:$I$2956,BO$3+$A46),"")</f>
        <v/>
      </c>
      <c r="BP47" s="17" t="str">
        <f>IF(BP$3&lt;=$B47,INDEX(Input!$I$43:$I$2956,BP$3+$A46),"")</f>
        <v/>
      </c>
      <c r="BQ47" s="17" t="str">
        <f>IF(BQ$3&lt;=$B47,INDEX(Input!$I$43:$I$2956,BQ$3+$A46),"")</f>
        <v/>
      </c>
      <c r="BR47" s="17" t="str">
        <f>IF(BR$3&lt;=$B47,INDEX(Input!$I$43:$I$2956,BR$3+$A46),"")</f>
        <v/>
      </c>
      <c r="BS47" s="17" t="str">
        <f>IF(BS$3&lt;=$B47,INDEX(Input!$I$43:$I$2956,BS$3+$A46),"")</f>
        <v/>
      </c>
      <c r="BT47" s="17" t="str">
        <f>IF(BT$3&lt;=$B47,INDEX(Input!$I$43:$I$2956,BT$3+$A46),"")</f>
        <v/>
      </c>
      <c r="BU47" s="17" t="str">
        <f>IF(BU$3&lt;=$B47,INDEX(Input!$I$43:$I$2956,BU$3+$A46),"")</f>
        <v/>
      </c>
      <c r="BV47" s="17" t="str">
        <f>IF(BV$3&lt;=$B47,INDEX(Input!$I$43:$I$2956,BV$3+$A46),"")</f>
        <v/>
      </c>
      <c r="BW47" s="17" t="str">
        <f>IF(BW$3&lt;=$B47,INDEX(Input!$I$43:$I$2956,BW$3+$A46),"")</f>
        <v/>
      </c>
      <c r="BX47" s="17" t="str">
        <f>IF(BX$3&lt;=$B47,INDEX(Input!$I$43:$I$2956,BX$3+$A46),"")</f>
        <v/>
      </c>
      <c r="BY47" s="17" t="str">
        <f>IF(BY$3&lt;=$B47,INDEX(Input!$I$43:$I$2956,BY$3+$A46),"")</f>
        <v/>
      </c>
      <c r="BZ47" s="17" t="str">
        <f>IF(BZ$3&lt;=$B47,INDEX(Input!$I$43:$I$2956,BZ$3+$A46),"")</f>
        <v/>
      </c>
      <c r="CA47" s="17" t="str">
        <f>IF(CA$3&lt;=$B47,INDEX(Input!$I$43:$I$2956,CA$3+$A46),"")</f>
        <v/>
      </c>
      <c r="CB47" s="17" t="str">
        <f>IF(CB$3&lt;=$B47,INDEX(Input!$I$43:$I$2956,CB$3+$A46),"")</f>
        <v/>
      </c>
      <c r="CC47" s="17" t="str">
        <f>IF(CC$3&lt;=$B47,INDEX(Input!$I$43:$I$2956,CC$3+$A46),"")</f>
        <v/>
      </c>
      <c r="CD47" s="17" t="str">
        <f>IF(CD$3&lt;=$B47,INDEX(Input!$I$43:$I$2956,CD$3+$A46),"")</f>
        <v/>
      </c>
      <c r="CE47" s="17" t="str">
        <f>IF(CE$3&lt;=$B47,INDEX(Input!$I$43:$I$2956,CE$3+$A46),"")</f>
        <v/>
      </c>
      <c r="CF47" s="17" t="str">
        <f>IF(CF$3&lt;=$B47,INDEX(Input!$I$43:$I$2956,CF$3+$A46),"")</f>
        <v/>
      </c>
      <c r="CG47" s="17" t="str">
        <f>IF(CG$3&lt;=$B47,INDEX(Input!$I$43:$I$2956,CG$3+$A46),"")</f>
        <v/>
      </c>
      <c r="CH47" s="17" t="str">
        <f>IF(CH$3&lt;=$B47,INDEX(Input!$I$43:$I$2956,CH$3+$A46),"")</f>
        <v/>
      </c>
      <c r="CI47" s="17" t="str">
        <f>IF(CI$3&lt;=$B47,INDEX(Input!$I$43:$I$2956,CI$3+$A46),"")</f>
        <v/>
      </c>
      <c r="CJ47" s="17" t="str">
        <f>IF(CJ$3&lt;=$B47,INDEX(Input!$I$43:$I$2956,CJ$3+$A46),"")</f>
        <v/>
      </c>
      <c r="CK47" s="17" t="str">
        <f>IF(CK$3&lt;=$B47,INDEX(Input!$I$43:$I$2956,CK$3+$A46),"")</f>
        <v/>
      </c>
      <c r="CL47" s="17" t="str">
        <f>IF(CL$3&lt;=$B47,INDEX(Input!$I$43:$I$2956,CL$3+$A46),"")</f>
        <v/>
      </c>
      <c r="CM47" s="17" t="str">
        <f>IF(CM$3&lt;=$B47,INDEX(Input!$I$43:$I$2956,CM$3+$A46),"")</f>
        <v/>
      </c>
      <c r="CN47" s="17" t="str">
        <f>IF(CN$3&lt;=$B47,INDEX(Input!$I$43:$I$2956,CN$3+$A46),"")</f>
        <v/>
      </c>
      <c r="CO47" s="17" t="str">
        <f>IF(CO$3&lt;=$B47,INDEX(Input!$I$43:$I$2956,CO$3+$A46),"")</f>
        <v/>
      </c>
      <c r="CP47" s="17" t="str">
        <f>IF(CP$3&lt;=$B47,INDEX(Input!$I$43:$I$2956,CP$3+$A46),"")</f>
        <v/>
      </c>
      <c r="CQ47" s="17" t="str">
        <f>IF(CQ$3&lt;=$B47,INDEX(Input!$I$43:$I$2956,CQ$3+$A46),"")</f>
        <v/>
      </c>
      <c r="CR47" s="17" t="str">
        <f>IF(CR$3&lt;=$B47,INDEX(Input!$I$43:$I$2956,CR$3+$A46),"")</f>
        <v/>
      </c>
      <c r="CS47" s="17" t="str">
        <f>IF(CS$3&lt;=$B47,INDEX(Input!$I$43:$I$2956,CS$3+$A46),"")</f>
        <v/>
      </c>
      <c r="CT47" s="17" t="str">
        <f>IF(CT$3&lt;=$B47,INDEX(Input!$I$43:$I$2956,CT$3+$A46),"")</f>
        <v/>
      </c>
      <c r="CU47" s="17" t="str">
        <f>IF(CU$3&lt;=$B47,INDEX(Input!$I$43:$I$2956,CU$3+$A46),"")</f>
        <v/>
      </c>
      <c r="CV47" s="17" t="str">
        <f>IF(CV$3&lt;=$B47,INDEX(Input!$I$43:$I$2956,CV$3+$A46),"")</f>
        <v/>
      </c>
      <c r="CW47" s="17" t="str">
        <f>IF(CW$3&lt;=$B47,INDEX(Input!$I$43:$I$2956,CW$3+$A46),"")</f>
        <v/>
      </c>
      <c r="CX47" s="17" t="str">
        <f>IF(CX$3&lt;=$B47,INDEX(Input!$I$43:$I$2956,CX$3+$A46),"")</f>
        <v/>
      </c>
      <c r="CY47" s="17" t="str">
        <f>IF(CY$3&lt;=$B47,INDEX(Input!$I$43:$I$2956,CY$3+$A46),"")</f>
        <v/>
      </c>
      <c r="CZ47" s="17" t="str">
        <f>IF(CZ$3&lt;=$B47,INDEX(Input!$I$43:$I$2956,CZ$3+$A46),"")</f>
        <v/>
      </c>
      <c r="DA47" s="17" t="str">
        <f>IF(DA$3&lt;=$B47,INDEX(Input!$I$43:$I$2956,DA$3+$A46),"")</f>
        <v/>
      </c>
      <c r="DB47" s="17" t="str">
        <f>IF(DB$3&lt;=$B47,INDEX(Input!$I$43:$I$2956,DB$3+$A46),"")</f>
        <v/>
      </c>
      <c r="DC47" s="17" t="str">
        <f>IF(DC$3&lt;=$B47,INDEX(Input!$I$43:$I$2956,DC$3+$A46),"")</f>
        <v/>
      </c>
      <c r="DD47" s="17" t="str">
        <f>IF(DD$3&lt;=$B47,INDEX(Input!$I$43:$I$2956,DD$3+$A46),"")</f>
        <v/>
      </c>
      <c r="DE47" s="17" t="str">
        <f>IF(DE$3&lt;=$B47,INDEX(Input!$I$43:$I$2956,DE$3+$A46),"")</f>
        <v/>
      </c>
      <c r="DF47" s="17" t="str">
        <f>IF(DF$3&lt;=$B47,INDEX(Input!$I$43:$I$2956,DF$3+$A46),"")</f>
        <v/>
      </c>
      <c r="DG47" s="17" t="str">
        <f>IF(DG$3&lt;=$B47,INDEX(Input!$I$43:$I$2956,DG$3+$A46),"")</f>
        <v/>
      </c>
      <c r="DH47" s="17" t="str">
        <f>IF(DH$3&lt;=$B47,INDEX(Input!$I$43:$I$2956,DH$3+$A46),"")</f>
        <v/>
      </c>
      <c r="DI47" s="17" t="str">
        <f>IF(DI$3&lt;=$B47,INDEX(Input!$I$43:$I$2956,DI$3+$A46),"")</f>
        <v/>
      </c>
      <c r="DJ47" s="17" t="str">
        <f>IF(DJ$3&lt;=$B47,INDEX(Input!$I$43:$I$2956,DJ$3+$A46),"")</f>
        <v/>
      </c>
      <c r="DK47" s="17" t="str">
        <f>IF(DK$3&lt;=$B47,INDEX(Input!$I$43:$I$2956,DK$3+$A46),"")</f>
        <v/>
      </c>
      <c r="DL47" s="17" t="str">
        <f>IF(DL$3&lt;=$B47,INDEX(Input!$I$43:$I$2956,DL$3+$A46),"")</f>
        <v/>
      </c>
      <c r="DM47" s="17" t="str">
        <f>IF(DM$3&lt;=$B47,INDEX(Input!$I$43:$I$2956,DM$3+$A46),"")</f>
        <v/>
      </c>
      <c r="DN47" s="17" t="str">
        <f>IF(DN$3&lt;=$B47,INDEX(Input!$I$43:$I$2956,DN$3+$A46),"")</f>
        <v/>
      </c>
      <c r="DO47" s="17" t="str">
        <f>IF(DO$3&lt;=$B47,INDEX(Input!$I$43:$I$2956,DO$3+$A46),"")</f>
        <v/>
      </c>
      <c r="DP47" s="17" t="str">
        <f>IF(DP$3&lt;=$B47,INDEX(Input!$I$43:$I$2956,DP$3+$A46),"")</f>
        <v/>
      </c>
      <c r="DQ47" s="17" t="str">
        <f>IF(DQ$3&lt;=$B47,INDEX(Input!$I$43:$I$2956,DQ$3+$A46),"")</f>
        <v/>
      </c>
      <c r="DR47" s="17" t="str">
        <f>IF(DR$3&lt;=$B47,INDEX(Input!$I$43:$I$2956,DR$3+$A46),"")</f>
        <v/>
      </c>
      <c r="DS47" s="17" t="str">
        <f>IF(DS$3&lt;=$B47,INDEX(Input!$I$43:$I$2956,DS$3+$A46),"")</f>
        <v/>
      </c>
      <c r="DT47" s="17" t="str">
        <f>IF(DT$3&lt;=$B47,INDEX(Input!$I$43:$I$2956,DT$3+$A46),"")</f>
        <v/>
      </c>
      <c r="DU47" s="17" t="str">
        <f>IF(DU$3&lt;=$B47,INDEX(Input!$I$43:$I$2956,DU$3+$A46),"")</f>
        <v/>
      </c>
      <c r="DV47" s="17" t="str">
        <f>IF(DV$3&lt;=$B47,INDEX(Input!$I$43:$I$2956,DV$3+$A46),"")</f>
        <v/>
      </c>
      <c r="DW47" s="58" t="str">
        <f t="array" ref="DW47:EZ47">IFERROR(eccalc(E47:DV47,C47+B47,B47,$O$2:$AS$2),"")</f>
        <v/>
      </c>
      <c r="DX47" s="59" t="str">
        <v/>
      </c>
      <c r="DY47" s="59" t="str">
        <v/>
      </c>
      <c r="DZ47" s="59" t="str">
        <v/>
      </c>
      <c r="EA47" s="59" t="str">
        <v/>
      </c>
      <c r="EB47" s="59" t="str">
        <v/>
      </c>
      <c r="EC47" s="59" t="str">
        <v/>
      </c>
      <c r="ED47" s="59" t="str">
        <v/>
      </c>
      <c r="EE47" s="59" t="str">
        <v/>
      </c>
      <c r="EF47" s="59" t="str">
        <v/>
      </c>
      <c r="EG47" s="59" t="str">
        <v/>
      </c>
      <c r="EH47" s="59" t="str">
        <v/>
      </c>
      <c r="EI47" s="59" t="str">
        <v/>
      </c>
      <c r="EJ47" s="59" t="str">
        <v/>
      </c>
      <c r="EK47" s="59" t="str">
        <v/>
      </c>
      <c r="EL47" s="59" t="str">
        <v/>
      </c>
      <c r="EM47" s="59" t="str">
        <v/>
      </c>
      <c r="EN47" s="59" t="str">
        <v/>
      </c>
      <c r="EO47" s="59" t="str">
        <v/>
      </c>
      <c r="EP47" s="59" t="str">
        <v/>
      </c>
      <c r="EQ47" s="59" t="str">
        <v/>
      </c>
      <c r="ER47" s="59" t="str">
        <v/>
      </c>
      <c r="ES47" s="59" t="str">
        <v/>
      </c>
      <c r="ET47" s="59" t="str">
        <v/>
      </c>
      <c r="EU47" s="59" t="str">
        <v/>
      </c>
      <c r="EV47" s="59" t="str">
        <v/>
      </c>
      <c r="EW47" s="59" t="str">
        <v/>
      </c>
      <c r="EX47" s="59" t="str">
        <v/>
      </c>
      <c r="EY47" s="59" t="str">
        <v/>
      </c>
      <c r="EZ47" s="60" t="str">
        <v/>
      </c>
      <c r="FA47" s="17"/>
      <c r="FC47">
        <v>44</v>
      </c>
      <c r="FD47">
        <f t="shared" si="2"/>
        <v>12</v>
      </c>
      <c r="FE47">
        <f t="shared" si="3"/>
        <v>3</v>
      </c>
      <c r="FF47">
        <f t="shared" si="4"/>
        <v>49</v>
      </c>
      <c r="FI47" s="16">
        <v>44</v>
      </c>
      <c r="FJ47" s="17">
        <f t="shared" si="5"/>
        <v>162</v>
      </c>
      <c r="FK47" s="17">
        <f t="shared" si="6"/>
        <v>49</v>
      </c>
      <c r="FL47" s="18" t="str">
        <f t="shared" si="7"/>
        <v>00110001</v>
      </c>
      <c r="FM47" s="2"/>
    </row>
    <row r="48" spans="1:169">
      <c r="A48">
        <f>SUM($B$4:B48)</f>
        <v>196</v>
      </c>
      <c r="B48">
        <f t="shared" si="0"/>
        <v>0</v>
      </c>
      <c r="C48" t="str">
        <f t="shared" si="1"/>
        <v/>
      </c>
      <c r="D48">
        <v>45</v>
      </c>
      <c r="E48" s="16" t="str">
        <f>IF(E$3&lt;=$B48,INDEX(Input!$I$43:$I$2956,E$3+$A47),"")</f>
        <v/>
      </c>
      <c r="F48" s="17" t="str">
        <f>IF(F$3&lt;=$B48,INDEX(Input!$I$43:$I$2956,F$3+$A47),"")</f>
        <v/>
      </c>
      <c r="G48" s="17" t="str">
        <f>IF(G$3&lt;=$B48,INDEX(Input!$I$43:$I$2956,G$3+$A47),"")</f>
        <v/>
      </c>
      <c r="H48" s="17" t="str">
        <f>IF(H$3&lt;=$B48,INDEX(Input!$I$43:$I$2956,H$3+$A47),"")</f>
        <v/>
      </c>
      <c r="I48" s="17" t="str">
        <f>IF(I$3&lt;=$B48,INDEX(Input!$I$43:$I$2956,I$3+$A47),"")</f>
        <v/>
      </c>
      <c r="J48" s="17" t="str">
        <f>IF(J$3&lt;=$B48,INDEX(Input!$I$43:$I$2956,J$3+$A47),"")</f>
        <v/>
      </c>
      <c r="K48" s="17" t="str">
        <f>IF(K$3&lt;=$B48,INDEX(Input!$I$43:$I$2956,K$3+$A47),"")</f>
        <v/>
      </c>
      <c r="L48" s="17" t="str">
        <f>IF(L$3&lt;=$B48,INDEX(Input!$I$43:$I$2956,L$3+$A47),"")</f>
        <v/>
      </c>
      <c r="M48" s="17" t="str">
        <f>IF(M$3&lt;=$B48,INDEX(Input!$I$43:$I$2956,M$3+$A47),"")</f>
        <v/>
      </c>
      <c r="N48" s="17" t="str">
        <f>IF(N$3&lt;=$B48,INDEX(Input!$I$43:$I$2956,N$3+$A47),"")</f>
        <v/>
      </c>
      <c r="O48" s="17" t="str">
        <f>IF(O$3&lt;=$B48,INDEX(Input!$I$43:$I$2956,O$3+$A47),"")</f>
        <v/>
      </c>
      <c r="P48" s="17" t="str">
        <f>IF(P$3&lt;=$B48,INDEX(Input!$I$43:$I$2956,P$3+$A47),"")</f>
        <v/>
      </c>
      <c r="Q48" s="17" t="str">
        <f>IF(Q$3&lt;=$B48,INDEX(Input!$I$43:$I$2956,Q$3+$A47),"")</f>
        <v/>
      </c>
      <c r="R48" s="17" t="str">
        <f>IF(R$3&lt;=$B48,INDEX(Input!$I$43:$I$2956,R$3+$A47),"")</f>
        <v/>
      </c>
      <c r="S48" s="17" t="str">
        <f>IF(S$3&lt;=$B48,INDEX(Input!$I$43:$I$2956,S$3+$A47),"")</f>
        <v/>
      </c>
      <c r="T48" s="17" t="str">
        <f>IF(T$3&lt;=$B48,INDEX(Input!$I$43:$I$2956,T$3+$A47),"")</f>
        <v/>
      </c>
      <c r="U48" s="17" t="str">
        <f>IF(U$3&lt;=$B48,INDEX(Input!$I$43:$I$2956,U$3+$A47),"")</f>
        <v/>
      </c>
      <c r="V48" s="17" t="str">
        <f>IF(V$3&lt;=$B48,INDEX(Input!$I$43:$I$2956,V$3+$A47),"")</f>
        <v/>
      </c>
      <c r="W48" s="17" t="str">
        <f>IF(W$3&lt;=$B48,INDEX(Input!$I$43:$I$2956,W$3+$A47),"")</f>
        <v/>
      </c>
      <c r="X48" s="17" t="str">
        <f>IF(X$3&lt;=$B48,INDEX(Input!$I$43:$I$2956,X$3+$A47),"")</f>
        <v/>
      </c>
      <c r="Y48" s="17" t="str">
        <f>IF(Y$3&lt;=$B48,INDEX(Input!$I$43:$I$2956,Y$3+$A47),"")</f>
        <v/>
      </c>
      <c r="Z48" s="17" t="str">
        <f>IF(Z$3&lt;=$B48,INDEX(Input!$I$43:$I$2956,Z$3+$A47),"")</f>
        <v/>
      </c>
      <c r="AA48" s="17" t="str">
        <f>IF(AA$3&lt;=$B48,INDEX(Input!$I$43:$I$2956,AA$3+$A47),"")</f>
        <v/>
      </c>
      <c r="AB48" s="17" t="str">
        <f>IF(AB$3&lt;=$B48,INDEX(Input!$I$43:$I$2956,AB$3+$A47),"")</f>
        <v/>
      </c>
      <c r="AC48" s="17" t="str">
        <f>IF(AC$3&lt;=$B48,INDEX(Input!$I$43:$I$2956,AC$3+$A47),"")</f>
        <v/>
      </c>
      <c r="AD48" s="17" t="str">
        <f>IF(AD$3&lt;=$B48,INDEX(Input!$I$43:$I$2956,AD$3+$A47),"")</f>
        <v/>
      </c>
      <c r="AE48" s="17" t="str">
        <f>IF(AE$3&lt;=$B48,INDEX(Input!$I$43:$I$2956,AE$3+$A47),"")</f>
        <v/>
      </c>
      <c r="AF48" s="17" t="str">
        <f>IF(AF$3&lt;=$B48,INDEX(Input!$I$43:$I$2956,AF$3+$A47),"")</f>
        <v/>
      </c>
      <c r="AG48" s="17" t="str">
        <f>IF(AG$3&lt;=$B48,INDEX(Input!$I$43:$I$2956,AG$3+$A47),"")</f>
        <v/>
      </c>
      <c r="AH48" s="17" t="str">
        <f>IF(AH$3&lt;=$B48,INDEX(Input!$I$43:$I$2956,AH$3+$A47),"")</f>
        <v/>
      </c>
      <c r="AI48" s="17" t="str">
        <f>IF(AI$3&lt;=$B48,INDEX(Input!$I$43:$I$2956,AI$3+$A47),"")</f>
        <v/>
      </c>
      <c r="AJ48" s="17" t="str">
        <f>IF(AJ$3&lt;=$B48,INDEX(Input!$I$43:$I$2956,AJ$3+$A47),"")</f>
        <v/>
      </c>
      <c r="AK48" s="17" t="str">
        <f>IF(AK$3&lt;=$B48,INDEX(Input!$I$43:$I$2956,AK$3+$A47),"")</f>
        <v/>
      </c>
      <c r="AL48" s="17" t="str">
        <f>IF(AL$3&lt;=$B48,INDEX(Input!$I$43:$I$2956,AL$3+$A47),"")</f>
        <v/>
      </c>
      <c r="AM48" s="17" t="str">
        <f>IF(AM$3&lt;=$B48,INDEX(Input!$I$43:$I$2956,AM$3+$A47),"")</f>
        <v/>
      </c>
      <c r="AN48" s="17" t="str">
        <f>IF(AN$3&lt;=$B48,INDEX(Input!$I$43:$I$2956,AN$3+$A47),"")</f>
        <v/>
      </c>
      <c r="AO48" s="17" t="str">
        <f>IF(AO$3&lt;=$B48,INDEX(Input!$I$43:$I$2956,AO$3+$A47),"")</f>
        <v/>
      </c>
      <c r="AP48" s="17" t="str">
        <f>IF(AP$3&lt;=$B48,INDEX(Input!$I$43:$I$2956,AP$3+$A47),"")</f>
        <v/>
      </c>
      <c r="AQ48" s="17" t="str">
        <f>IF(AQ$3&lt;=$B48,INDEX(Input!$I$43:$I$2956,AQ$3+$A47),"")</f>
        <v/>
      </c>
      <c r="AR48" s="17" t="str">
        <f>IF(AR$3&lt;=$B48,INDEX(Input!$I$43:$I$2956,AR$3+$A47),"")</f>
        <v/>
      </c>
      <c r="AS48" s="17" t="str">
        <f>IF(AS$3&lt;=$B48,INDEX(Input!$I$43:$I$2956,AS$3+$A47),"")</f>
        <v/>
      </c>
      <c r="AT48" s="17" t="str">
        <f>IF(AT$3&lt;=$B48,INDEX(Input!$I$43:$I$2956,AT$3+$A47),"")</f>
        <v/>
      </c>
      <c r="AU48" s="17" t="str">
        <f>IF(AU$3&lt;=$B48,INDEX(Input!$I$43:$I$2956,AU$3+$A47),"")</f>
        <v/>
      </c>
      <c r="AV48" s="17" t="str">
        <f>IF(AV$3&lt;=$B48,INDEX(Input!$I$43:$I$2956,AV$3+$A47),"")</f>
        <v/>
      </c>
      <c r="AW48" s="17" t="str">
        <f>IF(AW$3&lt;=$B48,INDEX(Input!$I$43:$I$2956,AW$3+$A47),"")</f>
        <v/>
      </c>
      <c r="AX48" s="17" t="str">
        <f>IF(AX$3&lt;=$B48,INDEX(Input!$I$43:$I$2956,AX$3+$A47),"")</f>
        <v/>
      </c>
      <c r="AY48" s="17" t="str">
        <f>IF(AY$3&lt;=$B48,INDEX(Input!$I$43:$I$2956,AY$3+$A47),"")</f>
        <v/>
      </c>
      <c r="AZ48" s="17" t="str">
        <f>IF(AZ$3&lt;=$B48,INDEX(Input!$I$43:$I$2956,AZ$3+$A47),"")</f>
        <v/>
      </c>
      <c r="BA48" s="17" t="str">
        <f>IF(BA$3&lt;=$B48,INDEX(Input!$I$43:$I$2956,BA$3+$A47),"")</f>
        <v/>
      </c>
      <c r="BB48" s="17" t="str">
        <f>IF(BB$3&lt;=$B48,INDEX(Input!$I$43:$I$2956,BB$3+$A47),"")</f>
        <v/>
      </c>
      <c r="BC48" s="17" t="str">
        <f>IF(BC$3&lt;=$B48,INDEX(Input!$I$43:$I$2956,BC$3+$A47),"")</f>
        <v/>
      </c>
      <c r="BD48" s="17" t="str">
        <f>IF(BD$3&lt;=$B48,INDEX(Input!$I$43:$I$2956,BD$3+$A47),"")</f>
        <v/>
      </c>
      <c r="BE48" s="17" t="str">
        <f>IF(BE$3&lt;=$B48,INDEX(Input!$I$43:$I$2956,BE$3+$A47),"")</f>
        <v/>
      </c>
      <c r="BF48" s="17" t="str">
        <f>IF(BF$3&lt;=$B48,INDEX(Input!$I$43:$I$2956,BF$3+$A47),"")</f>
        <v/>
      </c>
      <c r="BG48" s="17" t="str">
        <f>IF(BG$3&lt;=$B48,INDEX(Input!$I$43:$I$2956,BG$3+$A47),"")</f>
        <v/>
      </c>
      <c r="BH48" s="17" t="str">
        <f>IF(BH$3&lt;=$B48,INDEX(Input!$I$43:$I$2956,BH$3+$A47),"")</f>
        <v/>
      </c>
      <c r="BI48" s="17" t="str">
        <f>IF(BI$3&lt;=$B48,INDEX(Input!$I$43:$I$2956,BI$3+$A47),"")</f>
        <v/>
      </c>
      <c r="BJ48" s="17" t="str">
        <f>IF(BJ$3&lt;=$B48,INDEX(Input!$I$43:$I$2956,BJ$3+$A47),"")</f>
        <v/>
      </c>
      <c r="BK48" s="17" t="str">
        <f>IF(BK$3&lt;=$B48,INDEX(Input!$I$43:$I$2956,BK$3+$A47),"")</f>
        <v/>
      </c>
      <c r="BL48" s="17" t="str">
        <f>IF(BL$3&lt;=$B48,INDEX(Input!$I$43:$I$2956,BL$3+$A47),"")</f>
        <v/>
      </c>
      <c r="BM48" s="17" t="str">
        <f>IF(BM$3&lt;=$B48,INDEX(Input!$I$43:$I$2956,BM$3+$A47),"")</f>
        <v/>
      </c>
      <c r="BN48" s="17" t="str">
        <f>IF(BN$3&lt;=$B48,INDEX(Input!$I$43:$I$2956,BN$3+$A47),"")</f>
        <v/>
      </c>
      <c r="BO48" s="17" t="str">
        <f>IF(BO$3&lt;=$B48,INDEX(Input!$I$43:$I$2956,BO$3+$A47),"")</f>
        <v/>
      </c>
      <c r="BP48" s="17" t="str">
        <f>IF(BP$3&lt;=$B48,INDEX(Input!$I$43:$I$2956,BP$3+$A47),"")</f>
        <v/>
      </c>
      <c r="BQ48" s="17" t="str">
        <f>IF(BQ$3&lt;=$B48,INDEX(Input!$I$43:$I$2956,BQ$3+$A47),"")</f>
        <v/>
      </c>
      <c r="BR48" s="17" t="str">
        <f>IF(BR$3&lt;=$B48,INDEX(Input!$I$43:$I$2956,BR$3+$A47),"")</f>
        <v/>
      </c>
      <c r="BS48" s="17" t="str">
        <f>IF(BS$3&lt;=$B48,INDEX(Input!$I$43:$I$2956,BS$3+$A47),"")</f>
        <v/>
      </c>
      <c r="BT48" s="17" t="str">
        <f>IF(BT$3&lt;=$B48,INDEX(Input!$I$43:$I$2956,BT$3+$A47),"")</f>
        <v/>
      </c>
      <c r="BU48" s="17" t="str">
        <f>IF(BU$3&lt;=$B48,INDEX(Input!$I$43:$I$2956,BU$3+$A47),"")</f>
        <v/>
      </c>
      <c r="BV48" s="17" t="str">
        <f>IF(BV$3&lt;=$B48,INDEX(Input!$I$43:$I$2956,BV$3+$A47),"")</f>
        <v/>
      </c>
      <c r="BW48" s="17" t="str">
        <f>IF(BW$3&lt;=$B48,INDEX(Input!$I$43:$I$2956,BW$3+$A47),"")</f>
        <v/>
      </c>
      <c r="BX48" s="17" t="str">
        <f>IF(BX$3&lt;=$B48,INDEX(Input!$I$43:$I$2956,BX$3+$A47),"")</f>
        <v/>
      </c>
      <c r="BY48" s="17" t="str">
        <f>IF(BY$3&lt;=$B48,INDEX(Input!$I$43:$I$2956,BY$3+$A47),"")</f>
        <v/>
      </c>
      <c r="BZ48" s="17" t="str">
        <f>IF(BZ$3&lt;=$B48,INDEX(Input!$I$43:$I$2956,BZ$3+$A47),"")</f>
        <v/>
      </c>
      <c r="CA48" s="17" t="str">
        <f>IF(CA$3&lt;=$B48,INDEX(Input!$I$43:$I$2956,CA$3+$A47),"")</f>
        <v/>
      </c>
      <c r="CB48" s="17" t="str">
        <f>IF(CB$3&lt;=$B48,INDEX(Input!$I$43:$I$2956,CB$3+$A47),"")</f>
        <v/>
      </c>
      <c r="CC48" s="17" t="str">
        <f>IF(CC$3&lt;=$B48,INDEX(Input!$I$43:$I$2956,CC$3+$A47),"")</f>
        <v/>
      </c>
      <c r="CD48" s="17" t="str">
        <f>IF(CD$3&lt;=$B48,INDEX(Input!$I$43:$I$2956,CD$3+$A47),"")</f>
        <v/>
      </c>
      <c r="CE48" s="17" t="str">
        <f>IF(CE$3&lt;=$B48,INDEX(Input!$I$43:$I$2956,CE$3+$A47),"")</f>
        <v/>
      </c>
      <c r="CF48" s="17" t="str">
        <f>IF(CF$3&lt;=$B48,INDEX(Input!$I$43:$I$2956,CF$3+$A47),"")</f>
        <v/>
      </c>
      <c r="CG48" s="17" t="str">
        <f>IF(CG$3&lt;=$B48,INDEX(Input!$I$43:$I$2956,CG$3+$A47),"")</f>
        <v/>
      </c>
      <c r="CH48" s="17" t="str">
        <f>IF(CH$3&lt;=$B48,INDEX(Input!$I$43:$I$2956,CH$3+$A47),"")</f>
        <v/>
      </c>
      <c r="CI48" s="17" t="str">
        <f>IF(CI$3&lt;=$B48,INDEX(Input!$I$43:$I$2956,CI$3+$A47),"")</f>
        <v/>
      </c>
      <c r="CJ48" s="17" t="str">
        <f>IF(CJ$3&lt;=$B48,INDEX(Input!$I$43:$I$2956,CJ$3+$A47),"")</f>
        <v/>
      </c>
      <c r="CK48" s="17" t="str">
        <f>IF(CK$3&lt;=$B48,INDEX(Input!$I$43:$I$2956,CK$3+$A47),"")</f>
        <v/>
      </c>
      <c r="CL48" s="17" t="str">
        <f>IF(CL$3&lt;=$B48,INDEX(Input!$I$43:$I$2956,CL$3+$A47),"")</f>
        <v/>
      </c>
      <c r="CM48" s="17" t="str">
        <f>IF(CM$3&lt;=$B48,INDEX(Input!$I$43:$I$2956,CM$3+$A47),"")</f>
        <v/>
      </c>
      <c r="CN48" s="17" t="str">
        <f>IF(CN$3&lt;=$B48,INDEX(Input!$I$43:$I$2956,CN$3+$A47),"")</f>
        <v/>
      </c>
      <c r="CO48" s="17" t="str">
        <f>IF(CO$3&lt;=$B48,INDEX(Input!$I$43:$I$2956,CO$3+$A47),"")</f>
        <v/>
      </c>
      <c r="CP48" s="17" t="str">
        <f>IF(CP$3&lt;=$B48,INDEX(Input!$I$43:$I$2956,CP$3+$A47),"")</f>
        <v/>
      </c>
      <c r="CQ48" s="17" t="str">
        <f>IF(CQ$3&lt;=$B48,INDEX(Input!$I$43:$I$2956,CQ$3+$A47),"")</f>
        <v/>
      </c>
      <c r="CR48" s="17" t="str">
        <f>IF(CR$3&lt;=$B48,INDEX(Input!$I$43:$I$2956,CR$3+$A47),"")</f>
        <v/>
      </c>
      <c r="CS48" s="17" t="str">
        <f>IF(CS$3&lt;=$B48,INDEX(Input!$I$43:$I$2956,CS$3+$A47),"")</f>
        <v/>
      </c>
      <c r="CT48" s="17" t="str">
        <f>IF(CT$3&lt;=$B48,INDEX(Input!$I$43:$I$2956,CT$3+$A47),"")</f>
        <v/>
      </c>
      <c r="CU48" s="17" t="str">
        <f>IF(CU$3&lt;=$B48,INDEX(Input!$I$43:$I$2956,CU$3+$A47),"")</f>
        <v/>
      </c>
      <c r="CV48" s="17" t="str">
        <f>IF(CV$3&lt;=$B48,INDEX(Input!$I$43:$I$2956,CV$3+$A47),"")</f>
        <v/>
      </c>
      <c r="CW48" s="17" t="str">
        <f>IF(CW$3&lt;=$B48,INDEX(Input!$I$43:$I$2956,CW$3+$A47),"")</f>
        <v/>
      </c>
      <c r="CX48" s="17" t="str">
        <f>IF(CX$3&lt;=$B48,INDEX(Input!$I$43:$I$2956,CX$3+$A47),"")</f>
        <v/>
      </c>
      <c r="CY48" s="17" t="str">
        <f>IF(CY$3&lt;=$B48,INDEX(Input!$I$43:$I$2956,CY$3+$A47),"")</f>
        <v/>
      </c>
      <c r="CZ48" s="17" t="str">
        <f>IF(CZ$3&lt;=$B48,INDEX(Input!$I$43:$I$2956,CZ$3+$A47),"")</f>
        <v/>
      </c>
      <c r="DA48" s="17" t="str">
        <f>IF(DA$3&lt;=$B48,INDEX(Input!$I$43:$I$2956,DA$3+$A47),"")</f>
        <v/>
      </c>
      <c r="DB48" s="17" t="str">
        <f>IF(DB$3&lt;=$B48,INDEX(Input!$I$43:$I$2956,DB$3+$A47),"")</f>
        <v/>
      </c>
      <c r="DC48" s="17" t="str">
        <f>IF(DC$3&lt;=$B48,INDEX(Input!$I$43:$I$2956,DC$3+$A47),"")</f>
        <v/>
      </c>
      <c r="DD48" s="17" t="str">
        <f>IF(DD$3&lt;=$B48,INDEX(Input!$I$43:$I$2956,DD$3+$A47),"")</f>
        <v/>
      </c>
      <c r="DE48" s="17" t="str">
        <f>IF(DE$3&lt;=$B48,INDEX(Input!$I$43:$I$2956,DE$3+$A47),"")</f>
        <v/>
      </c>
      <c r="DF48" s="17" t="str">
        <f>IF(DF$3&lt;=$B48,INDEX(Input!$I$43:$I$2956,DF$3+$A47),"")</f>
        <v/>
      </c>
      <c r="DG48" s="17" t="str">
        <f>IF(DG$3&lt;=$B48,INDEX(Input!$I$43:$I$2956,DG$3+$A47),"")</f>
        <v/>
      </c>
      <c r="DH48" s="17" t="str">
        <f>IF(DH$3&lt;=$B48,INDEX(Input!$I$43:$I$2956,DH$3+$A47),"")</f>
        <v/>
      </c>
      <c r="DI48" s="17" t="str">
        <f>IF(DI$3&lt;=$B48,INDEX(Input!$I$43:$I$2956,DI$3+$A47),"")</f>
        <v/>
      </c>
      <c r="DJ48" s="17" t="str">
        <f>IF(DJ$3&lt;=$B48,INDEX(Input!$I$43:$I$2956,DJ$3+$A47),"")</f>
        <v/>
      </c>
      <c r="DK48" s="17" t="str">
        <f>IF(DK$3&lt;=$B48,INDEX(Input!$I$43:$I$2956,DK$3+$A47),"")</f>
        <v/>
      </c>
      <c r="DL48" s="17" t="str">
        <f>IF(DL$3&lt;=$B48,INDEX(Input!$I$43:$I$2956,DL$3+$A47),"")</f>
        <v/>
      </c>
      <c r="DM48" s="17" t="str">
        <f>IF(DM$3&lt;=$B48,INDEX(Input!$I$43:$I$2956,DM$3+$A47),"")</f>
        <v/>
      </c>
      <c r="DN48" s="17" t="str">
        <f>IF(DN$3&lt;=$B48,INDEX(Input!$I$43:$I$2956,DN$3+$A47),"")</f>
        <v/>
      </c>
      <c r="DO48" s="17" t="str">
        <f>IF(DO$3&lt;=$B48,INDEX(Input!$I$43:$I$2956,DO$3+$A47),"")</f>
        <v/>
      </c>
      <c r="DP48" s="17" t="str">
        <f>IF(DP$3&lt;=$B48,INDEX(Input!$I$43:$I$2956,DP$3+$A47),"")</f>
        <v/>
      </c>
      <c r="DQ48" s="17" t="str">
        <f>IF(DQ$3&lt;=$B48,INDEX(Input!$I$43:$I$2956,DQ$3+$A47),"")</f>
        <v/>
      </c>
      <c r="DR48" s="17" t="str">
        <f>IF(DR$3&lt;=$B48,INDEX(Input!$I$43:$I$2956,DR$3+$A47),"")</f>
        <v/>
      </c>
      <c r="DS48" s="17" t="str">
        <f>IF(DS$3&lt;=$B48,INDEX(Input!$I$43:$I$2956,DS$3+$A47),"")</f>
        <v/>
      </c>
      <c r="DT48" s="17" t="str">
        <f>IF(DT$3&lt;=$B48,INDEX(Input!$I$43:$I$2956,DT$3+$A47),"")</f>
        <v/>
      </c>
      <c r="DU48" s="17" t="str">
        <f>IF(DU$3&lt;=$B48,INDEX(Input!$I$43:$I$2956,DU$3+$A47),"")</f>
        <v/>
      </c>
      <c r="DV48" s="17" t="str">
        <f>IF(DV$3&lt;=$B48,INDEX(Input!$I$43:$I$2956,DV$3+$A47),"")</f>
        <v/>
      </c>
      <c r="DW48" s="58" t="str">
        <f t="array" ref="DW48:EZ48">IFERROR(eccalc(E48:DV48,C48+B48,B48,$O$2:$AS$2),"")</f>
        <v/>
      </c>
      <c r="DX48" s="59" t="str">
        <v/>
      </c>
      <c r="DY48" s="59" t="str">
        <v/>
      </c>
      <c r="DZ48" s="59" t="str">
        <v/>
      </c>
      <c r="EA48" s="59" t="str">
        <v/>
      </c>
      <c r="EB48" s="59" t="str">
        <v/>
      </c>
      <c r="EC48" s="59" t="str">
        <v/>
      </c>
      <c r="ED48" s="59" t="str">
        <v/>
      </c>
      <c r="EE48" s="59" t="str">
        <v/>
      </c>
      <c r="EF48" s="59" t="str">
        <v/>
      </c>
      <c r="EG48" s="59" t="str">
        <v/>
      </c>
      <c r="EH48" s="59" t="str">
        <v/>
      </c>
      <c r="EI48" s="59" t="str">
        <v/>
      </c>
      <c r="EJ48" s="59" t="str">
        <v/>
      </c>
      <c r="EK48" s="59" t="str">
        <v/>
      </c>
      <c r="EL48" s="59" t="str">
        <v/>
      </c>
      <c r="EM48" s="59" t="str">
        <v/>
      </c>
      <c r="EN48" s="59" t="str">
        <v/>
      </c>
      <c r="EO48" s="59" t="str">
        <v/>
      </c>
      <c r="EP48" s="59" t="str">
        <v/>
      </c>
      <c r="EQ48" s="59" t="str">
        <v/>
      </c>
      <c r="ER48" s="59" t="str">
        <v/>
      </c>
      <c r="ES48" s="59" t="str">
        <v/>
      </c>
      <c r="ET48" s="59" t="str">
        <v/>
      </c>
      <c r="EU48" s="59" t="str">
        <v/>
      </c>
      <c r="EV48" s="59" t="str">
        <v/>
      </c>
      <c r="EW48" s="59" t="str">
        <v/>
      </c>
      <c r="EX48" s="59" t="str">
        <v/>
      </c>
      <c r="EY48" s="59" t="str">
        <v/>
      </c>
      <c r="EZ48" s="60" t="str">
        <v/>
      </c>
      <c r="FA48" s="17"/>
      <c r="FC48">
        <v>45</v>
      </c>
      <c r="FD48">
        <f t="shared" si="2"/>
        <v>13</v>
      </c>
      <c r="FE48">
        <f t="shared" si="3"/>
        <v>3</v>
      </c>
      <c r="FF48">
        <f t="shared" si="4"/>
        <v>14</v>
      </c>
      <c r="FI48" s="16">
        <v>45</v>
      </c>
      <c r="FJ48" s="17">
        <f t="shared" si="5"/>
        <v>130</v>
      </c>
      <c r="FK48" s="17">
        <f t="shared" si="6"/>
        <v>14</v>
      </c>
      <c r="FL48" s="18" t="str">
        <f t="shared" si="7"/>
        <v>00001110</v>
      </c>
      <c r="FM48" s="2"/>
    </row>
    <row r="49" spans="1:169">
      <c r="A49">
        <f>SUM($B$4:B49)</f>
        <v>196</v>
      </c>
      <c r="B49">
        <f t="shared" si="0"/>
        <v>0</v>
      </c>
      <c r="C49" t="str">
        <f t="shared" si="1"/>
        <v/>
      </c>
      <c r="D49">
        <v>46</v>
      </c>
      <c r="E49" s="16" t="str">
        <f>IF(E$3&lt;=$B49,INDEX(Input!$I$43:$I$2956,E$3+$A48),"")</f>
        <v/>
      </c>
      <c r="F49" s="17" t="str">
        <f>IF(F$3&lt;=$B49,INDEX(Input!$I$43:$I$2956,F$3+$A48),"")</f>
        <v/>
      </c>
      <c r="G49" s="17" t="str">
        <f>IF(G$3&lt;=$B49,INDEX(Input!$I$43:$I$2956,G$3+$A48),"")</f>
        <v/>
      </c>
      <c r="H49" s="17" t="str">
        <f>IF(H$3&lt;=$B49,INDEX(Input!$I$43:$I$2956,H$3+$A48),"")</f>
        <v/>
      </c>
      <c r="I49" s="17" t="str">
        <f>IF(I$3&lt;=$B49,INDEX(Input!$I$43:$I$2956,I$3+$A48),"")</f>
        <v/>
      </c>
      <c r="J49" s="17" t="str">
        <f>IF(J$3&lt;=$B49,INDEX(Input!$I$43:$I$2956,J$3+$A48),"")</f>
        <v/>
      </c>
      <c r="K49" s="17" t="str">
        <f>IF(K$3&lt;=$B49,INDEX(Input!$I$43:$I$2956,K$3+$A48),"")</f>
        <v/>
      </c>
      <c r="L49" s="17" t="str">
        <f>IF(L$3&lt;=$B49,INDEX(Input!$I$43:$I$2956,L$3+$A48),"")</f>
        <v/>
      </c>
      <c r="M49" s="17" t="str">
        <f>IF(M$3&lt;=$B49,INDEX(Input!$I$43:$I$2956,M$3+$A48),"")</f>
        <v/>
      </c>
      <c r="N49" s="17" t="str">
        <f>IF(N$3&lt;=$B49,INDEX(Input!$I$43:$I$2956,N$3+$A48),"")</f>
        <v/>
      </c>
      <c r="O49" s="17" t="str">
        <f>IF(O$3&lt;=$B49,INDEX(Input!$I$43:$I$2956,O$3+$A48),"")</f>
        <v/>
      </c>
      <c r="P49" s="17" t="str">
        <f>IF(P$3&lt;=$B49,INDEX(Input!$I$43:$I$2956,P$3+$A48),"")</f>
        <v/>
      </c>
      <c r="Q49" s="17" t="str">
        <f>IF(Q$3&lt;=$B49,INDEX(Input!$I$43:$I$2956,Q$3+$A48),"")</f>
        <v/>
      </c>
      <c r="R49" s="17" t="str">
        <f>IF(R$3&lt;=$B49,INDEX(Input!$I$43:$I$2956,R$3+$A48),"")</f>
        <v/>
      </c>
      <c r="S49" s="17" t="str">
        <f>IF(S$3&lt;=$B49,INDEX(Input!$I$43:$I$2956,S$3+$A48),"")</f>
        <v/>
      </c>
      <c r="T49" s="17" t="str">
        <f>IF(T$3&lt;=$B49,INDEX(Input!$I$43:$I$2956,T$3+$A48),"")</f>
        <v/>
      </c>
      <c r="U49" s="17" t="str">
        <f>IF(U$3&lt;=$B49,INDEX(Input!$I$43:$I$2956,U$3+$A48),"")</f>
        <v/>
      </c>
      <c r="V49" s="17" t="str">
        <f>IF(V$3&lt;=$B49,INDEX(Input!$I$43:$I$2956,V$3+$A48),"")</f>
        <v/>
      </c>
      <c r="W49" s="17" t="str">
        <f>IF(W$3&lt;=$B49,INDEX(Input!$I$43:$I$2956,W$3+$A48),"")</f>
        <v/>
      </c>
      <c r="X49" s="17" t="str">
        <f>IF(X$3&lt;=$B49,INDEX(Input!$I$43:$I$2956,X$3+$A48),"")</f>
        <v/>
      </c>
      <c r="Y49" s="17" t="str">
        <f>IF(Y$3&lt;=$B49,INDEX(Input!$I$43:$I$2956,Y$3+$A48),"")</f>
        <v/>
      </c>
      <c r="Z49" s="17" t="str">
        <f>IF(Z$3&lt;=$B49,INDEX(Input!$I$43:$I$2956,Z$3+$A48),"")</f>
        <v/>
      </c>
      <c r="AA49" s="17" t="str">
        <f>IF(AA$3&lt;=$B49,INDEX(Input!$I$43:$I$2956,AA$3+$A48),"")</f>
        <v/>
      </c>
      <c r="AB49" s="17" t="str">
        <f>IF(AB$3&lt;=$B49,INDEX(Input!$I$43:$I$2956,AB$3+$A48),"")</f>
        <v/>
      </c>
      <c r="AC49" s="17" t="str">
        <f>IF(AC$3&lt;=$B49,INDEX(Input!$I$43:$I$2956,AC$3+$A48),"")</f>
        <v/>
      </c>
      <c r="AD49" s="17" t="str">
        <f>IF(AD$3&lt;=$B49,INDEX(Input!$I$43:$I$2956,AD$3+$A48),"")</f>
        <v/>
      </c>
      <c r="AE49" s="17" t="str">
        <f>IF(AE$3&lt;=$B49,INDEX(Input!$I$43:$I$2956,AE$3+$A48),"")</f>
        <v/>
      </c>
      <c r="AF49" s="17" t="str">
        <f>IF(AF$3&lt;=$B49,INDEX(Input!$I$43:$I$2956,AF$3+$A48),"")</f>
        <v/>
      </c>
      <c r="AG49" s="17" t="str">
        <f>IF(AG$3&lt;=$B49,INDEX(Input!$I$43:$I$2956,AG$3+$A48),"")</f>
        <v/>
      </c>
      <c r="AH49" s="17" t="str">
        <f>IF(AH$3&lt;=$B49,INDEX(Input!$I$43:$I$2956,AH$3+$A48),"")</f>
        <v/>
      </c>
      <c r="AI49" s="17" t="str">
        <f>IF(AI$3&lt;=$B49,INDEX(Input!$I$43:$I$2956,AI$3+$A48),"")</f>
        <v/>
      </c>
      <c r="AJ49" s="17" t="str">
        <f>IF(AJ$3&lt;=$B49,INDEX(Input!$I$43:$I$2956,AJ$3+$A48),"")</f>
        <v/>
      </c>
      <c r="AK49" s="17" t="str">
        <f>IF(AK$3&lt;=$B49,INDEX(Input!$I$43:$I$2956,AK$3+$A48),"")</f>
        <v/>
      </c>
      <c r="AL49" s="17" t="str">
        <f>IF(AL$3&lt;=$B49,INDEX(Input!$I$43:$I$2956,AL$3+$A48),"")</f>
        <v/>
      </c>
      <c r="AM49" s="17" t="str">
        <f>IF(AM$3&lt;=$B49,INDEX(Input!$I$43:$I$2956,AM$3+$A48),"")</f>
        <v/>
      </c>
      <c r="AN49" s="17" t="str">
        <f>IF(AN$3&lt;=$B49,INDEX(Input!$I$43:$I$2956,AN$3+$A48),"")</f>
        <v/>
      </c>
      <c r="AO49" s="17" t="str">
        <f>IF(AO$3&lt;=$B49,INDEX(Input!$I$43:$I$2956,AO$3+$A48),"")</f>
        <v/>
      </c>
      <c r="AP49" s="17" t="str">
        <f>IF(AP$3&lt;=$B49,INDEX(Input!$I$43:$I$2956,AP$3+$A48),"")</f>
        <v/>
      </c>
      <c r="AQ49" s="17" t="str">
        <f>IF(AQ$3&lt;=$B49,INDEX(Input!$I$43:$I$2956,AQ$3+$A48),"")</f>
        <v/>
      </c>
      <c r="AR49" s="17" t="str">
        <f>IF(AR$3&lt;=$B49,INDEX(Input!$I$43:$I$2956,AR$3+$A48),"")</f>
        <v/>
      </c>
      <c r="AS49" s="17" t="str">
        <f>IF(AS$3&lt;=$B49,INDEX(Input!$I$43:$I$2956,AS$3+$A48),"")</f>
        <v/>
      </c>
      <c r="AT49" s="17" t="str">
        <f>IF(AT$3&lt;=$B49,INDEX(Input!$I$43:$I$2956,AT$3+$A48),"")</f>
        <v/>
      </c>
      <c r="AU49" s="17" t="str">
        <f>IF(AU$3&lt;=$B49,INDEX(Input!$I$43:$I$2956,AU$3+$A48),"")</f>
        <v/>
      </c>
      <c r="AV49" s="17" t="str">
        <f>IF(AV$3&lt;=$B49,INDEX(Input!$I$43:$I$2956,AV$3+$A48),"")</f>
        <v/>
      </c>
      <c r="AW49" s="17" t="str">
        <f>IF(AW$3&lt;=$B49,INDEX(Input!$I$43:$I$2956,AW$3+$A48),"")</f>
        <v/>
      </c>
      <c r="AX49" s="17" t="str">
        <f>IF(AX$3&lt;=$B49,INDEX(Input!$I$43:$I$2956,AX$3+$A48),"")</f>
        <v/>
      </c>
      <c r="AY49" s="17" t="str">
        <f>IF(AY$3&lt;=$B49,INDEX(Input!$I$43:$I$2956,AY$3+$A48),"")</f>
        <v/>
      </c>
      <c r="AZ49" s="17" t="str">
        <f>IF(AZ$3&lt;=$B49,INDEX(Input!$I$43:$I$2956,AZ$3+$A48),"")</f>
        <v/>
      </c>
      <c r="BA49" s="17" t="str">
        <f>IF(BA$3&lt;=$B49,INDEX(Input!$I$43:$I$2956,BA$3+$A48),"")</f>
        <v/>
      </c>
      <c r="BB49" s="17" t="str">
        <f>IF(BB$3&lt;=$B49,INDEX(Input!$I$43:$I$2956,BB$3+$A48),"")</f>
        <v/>
      </c>
      <c r="BC49" s="17" t="str">
        <f>IF(BC$3&lt;=$B49,INDEX(Input!$I$43:$I$2956,BC$3+$A48),"")</f>
        <v/>
      </c>
      <c r="BD49" s="17" t="str">
        <f>IF(BD$3&lt;=$B49,INDEX(Input!$I$43:$I$2956,BD$3+$A48),"")</f>
        <v/>
      </c>
      <c r="BE49" s="17" t="str">
        <f>IF(BE$3&lt;=$B49,INDEX(Input!$I$43:$I$2956,BE$3+$A48),"")</f>
        <v/>
      </c>
      <c r="BF49" s="17" t="str">
        <f>IF(BF$3&lt;=$B49,INDEX(Input!$I$43:$I$2956,BF$3+$A48),"")</f>
        <v/>
      </c>
      <c r="BG49" s="17" t="str">
        <f>IF(BG$3&lt;=$B49,INDEX(Input!$I$43:$I$2956,BG$3+$A48),"")</f>
        <v/>
      </c>
      <c r="BH49" s="17" t="str">
        <f>IF(BH$3&lt;=$B49,INDEX(Input!$I$43:$I$2956,BH$3+$A48),"")</f>
        <v/>
      </c>
      <c r="BI49" s="17" t="str">
        <f>IF(BI$3&lt;=$B49,INDEX(Input!$I$43:$I$2956,BI$3+$A48),"")</f>
        <v/>
      </c>
      <c r="BJ49" s="17" t="str">
        <f>IF(BJ$3&lt;=$B49,INDEX(Input!$I$43:$I$2956,BJ$3+$A48),"")</f>
        <v/>
      </c>
      <c r="BK49" s="17" t="str">
        <f>IF(BK$3&lt;=$B49,INDEX(Input!$I$43:$I$2956,BK$3+$A48),"")</f>
        <v/>
      </c>
      <c r="BL49" s="17" t="str">
        <f>IF(BL$3&lt;=$B49,INDEX(Input!$I$43:$I$2956,BL$3+$A48),"")</f>
        <v/>
      </c>
      <c r="BM49" s="17" t="str">
        <f>IF(BM$3&lt;=$B49,INDEX(Input!$I$43:$I$2956,BM$3+$A48),"")</f>
        <v/>
      </c>
      <c r="BN49" s="17" t="str">
        <f>IF(BN$3&lt;=$B49,INDEX(Input!$I$43:$I$2956,BN$3+$A48),"")</f>
        <v/>
      </c>
      <c r="BO49" s="17" t="str">
        <f>IF(BO$3&lt;=$B49,INDEX(Input!$I$43:$I$2956,BO$3+$A48),"")</f>
        <v/>
      </c>
      <c r="BP49" s="17" t="str">
        <f>IF(BP$3&lt;=$B49,INDEX(Input!$I$43:$I$2956,BP$3+$A48),"")</f>
        <v/>
      </c>
      <c r="BQ49" s="17" t="str">
        <f>IF(BQ$3&lt;=$B49,INDEX(Input!$I$43:$I$2956,BQ$3+$A48),"")</f>
        <v/>
      </c>
      <c r="BR49" s="17" t="str">
        <f>IF(BR$3&lt;=$B49,INDEX(Input!$I$43:$I$2956,BR$3+$A48),"")</f>
        <v/>
      </c>
      <c r="BS49" s="17" t="str">
        <f>IF(BS$3&lt;=$B49,INDEX(Input!$I$43:$I$2956,BS$3+$A48),"")</f>
        <v/>
      </c>
      <c r="BT49" s="17" t="str">
        <f>IF(BT$3&lt;=$B49,INDEX(Input!$I$43:$I$2956,BT$3+$A48),"")</f>
        <v/>
      </c>
      <c r="BU49" s="17" t="str">
        <f>IF(BU$3&lt;=$B49,INDEX(Input!$I$43:$I$2956,BU$3+$A48),"")</f>
        <v/>
      </c>
      <c r="BV49" s="17" t="str">
        <f>IF(BV$3&lt;=$B49,INDEX(Input!$I$43:$I$2956,BV$3+$A48),"")</f>
        <v/>
      </c>
      <c r="BW49" s="17" t="str">
        <f>IF(BW$3&lt;=$B49,INDEX(Input!$I$43:$I$2956,BW$3+$A48),"")</f>
        <v/>
      </c>
      <c r="BX49" s="17" t="str">
        <f>IF(BX$3&lt;=$B49,INDEX(Input!$I$43:$I$2956,BX$3+$A48),"")</f>
        <v/>
      </c>
      <c r="BY49" s="17" t="str">
        <f>IF(BY$3&lt;=$B49,INDEX(Input!$I$43:$I$2956,BY$3+$A48),"")</f>
        <v/>
      </c>
      <c r="BZ49" s="17" t="str">
        <f>IF(BZ$3&lt;=$B49,INDEX(Input!$I$43:$I$2956,BZ$3+$A48),"")</f>
        <v/>
      </c>
      <c r="CA49" s="17" t="str">
        <f>IF(CA$3&lt;=$B49,INDEX(Input!$I$43:$I$2956,CA$3+$A48),"")</f>
        <v/>
      </c>
      <c r="CB49" s="17" t="str">
        <f>IF(CB$3&lt;=$B49,INDEX(Input!$I$43:$I$2956,CB$3+$A48),"")</f>
        <v/>
      </c>
      <c r="CC49" s="17" t="str">
        <f>IF(CC$3&lt;=$B49,INDEX(Input!$I$43:$I$2956,CC$3+$A48),"")</f>
        <v/>
      </c>
      <c r="CD49" s="17" t="str">
        <f>IF(CD$3&lt;=$B49,INDEX(Input!$I$43:$I$2956,CD$3+$A48),"")</f>
        <v/>
      </c>
      <c r="CE49" s="17" t="str">
        <f>IF(CE$3&lt;=$B49,INDEX(Input!$I$43:$I$2956,CE$3+$A48),"")</f>
        <v/>
      </c>
      <c r="CF49" s="17" t="str">
        <f>IF(CF$3&lt;=$B49,INDEX(Input!$I$43:$I$2956,CF$3+$A48),"")</f>
        <v/>
      </c>
      <c r="CG49" s="17" t="str">
        <f>IF(CG$3&lt;=$B49,INDEX(Input!$I$43:$I$2956,CG$3+$A48),"")</f>
        <v/>
      </c>
      <c r="CH49" s="17" t="str">
        <f>IF(CH$3&lt;=$B49,INDEX(Input!$I$43:$I$2956,CH$3+$A48),"")</f>
        <v/>
      </c>
      <c r="CI49" s="17" t="str">
        <f>IF(CI$3&lt;=$B49,INDEX(Input!$I$43:$I$2956,CI$3+$A48),"")</f>
        <v/>
      </c>
      <c r="CJ49" s="17" t="str">
        <f>IF(CJ$3&lt;=$B49,INDEX(Input!$I$43:$I$2956,CJ$3+$A48),"")</f>
        <v/>
      </c>
      <c r="CK49" s="17" t="str">
        <f>IF(CK$3&lt;=$B49,INDEX(Input!$I$43:$I$2956,CK$3+$A48),"")</f>
        <v/>
      </c>
      <c r="CL49" s="17" t="str">
        <f>IF(CL$3&lt;=$B49,INDEX(Input!$I$43:$I$2956,CL$3+$A48),"")</f>
        <v/>
      </c>
      <c r="CM49" s="17" t="str">
        <f>IF(CM$3&lt;=$B49,INDEX(Input!$I$43:$I$2956,CM$3+$A48),"")</f>
        <v/>
      </c>
      <c r="CN49" s="17" t="str">
        <f>IF(CN$3&lt;=$B49,INDEX(Input!$I$43:$I$2956,CN$3+$A48),"")</f>
        <v/>
      </c>
      <c r="CO49" s="17" t="str">
        <f>IF(CO$3&lt;=$B49,INDEX(Input!$I$43:$I$2956,CO$3+$A48),"")</f>
        <v/>
      </c>
      <c r="CP49" s="17" t="str">
        <f>IF(CP$3&lt;=$B49,INDEX(Input!$I$43:$I$2956,CP$3+$A48),"")</f>
        <v/>
      </c>
      <c r="CQ49" s="17" t="str">
        <f>IF(CQ$3&lt;=$B49,INDEX(Input!$I$43:$I$2956,CQ$3+$A48),"")</f>
        <v/>
      </c>
      <c r="CR49" s="17" t="str">
        <f>IF(CR$3&lt;=$B49,INDEX(Input!$I$43:$I$2956,CR$3+$A48),"")</f>
        <v/>
      </c>
      <c r="CS49" s="17" t="str">
        <f>IF(CS$3&lt;=$B49,INDEX(Input!$I$43:$I$2956,CS$3+$A48),"")</f>
        <v/>
      </c>
      <c r="CT49" s="17" t="str">
        <f>IF(CT$3&lt;=$B49,INDEX(Input!$I$43:$I$2956,CT$3+$A48),"")</f>
        <v/>
      </c>
      <c r="CU49" s="17" t="str">
        <f>IF(CU$3&lt;=$B49,INDEX(Input!$I$43:$I$2956,CU$3+$A48),"")</f>
        <v/>
      </c>
      <c r="CV49" s="17" t="str">
        <f>IF(CV$3&lt;=$B49,INDEX(Input!$I$43:$I$2956,CV$3+$A48),"")</f>
        <v/>
      </c>
      <c r="CW49" s="17" t="str">
        <f>IF(CW$3&lt;=$B49,INDEX(Input!$I$43:$I$2956,CW$3+$A48),"")</f>
        <v/>
      </c>
      <c r="CX49" s="17" t="str">
        <f>IF(CX$3&lt;=$B49,INDEX(Input!$I$43:$I$2956,CX$3+$A48),"")</f>
        <v/>
      </c>
      <c r="CY49" s="17" t="str">
        <f>IF(CY$3&lt;=$B49,INDEX(Input!$I$43:$I$2956,CY$3+$A48),"")</f>
        <v/>
      </c>
      <c r="CZ49" s="17" t="str">
        <f>IF(CZ$3&lt;=$B49,INDEX(Input!$I$43:$I$2956,CZ$3+$A48),"")</f>
        <v/>
      </c>
      <c r="DA49" s="17" t="str">
        <f>IF(DA$3&lt;=$B49,INDEX(Input!$I$43:$I$2956,DA$3+$A48),"")</f>
        <v/>
      </c>
      <c r="DB49" s="17" t="str">
        <f>IF(DB$3&lt;=$B49,INDEX(Input!$I$43:$I$2956,DB$3+$A48),"")</f>
        <v/>
      </c>
      <c r="DC49" s="17" t="str">
        <f>IF(DC$3&lt;=$B49,INDEX(Input!$I$43:$I$2956,DC$3+$A48),"")</f>
        <v/>
      </c>
      <c r="DD49" s="17" t="str">
        <f>IF(DD$3&lt;=$B49,INDEX(Input!$I$43:$I$2956,DD$3+$A48),"")</f>
        <v/>
      </c>
      <c r="DE49" s="17" t="str">
        <f>IF(DE$3&lt;=$B49,INDEX(Input!$I$43:$I$2956,DE$3+$A48),"")</f>
        <v/>
      </c>
      <c r="DF49" s="17" t="str">
        <f>IF(DF$3&lt;=$B49,INDEX(Input!$I$43:$I$2956,DF$3+$A48),"")</f>
        <v/>
      </c>
      <c r="DG49" s="17" t="str">
        <f>IF(DG$3&lt;=$B49,INDEX(Input!$I$43:$I$2956,DG$3+$A48),"")</f>
        <v/>
      </c>
      <c r="DH49" s="17" t="str">
        <f>IF(DH$3&lt;=$B49,INDEX(Input!$I$43:$I$2956,DH$3+$A48),"")</f>
        <v/>
      </c>
      <c r="DI49" s="17" t="str">
        <f>IF(DI$3&lt;=$B49,INDEX(Input!$I$43:$I$2956,DI$3+$A48),"")</f>
        <v/>
      </c>
      <c r="DJ49" s="17" t="str">
        <f>IF(DJ$3&lt;=$B49,INDEX(Input!$I$43:$I$2956,DJ$3+$A48),"")</f>
        <v/>
      </c>
      <c r="DK49" s="17" t="str">
        <f>IF(DK$3&lt;=$B49,INDEX(Input!$I$43:$I$2956,DK$3+$A48),"")</f>
        <v/>
      </c>
      <c r="DL49" s="17" t="str">
        <f>IF(DL$3&lt;=$B49,INDEX(Input!$I$43:$I$2956,DL$3+$A48),"")</f>
        <v/>
      </c>
      <c r="DM49" s="17" t="str">
        <f>IF(DM$3&lt;=$B49,INDEX(Input!$I$43:$I$2956,DM$3+$A48),"")</f>
        <v/>
      </c>
      <c r="DN49" s="17" t="str">
        <f>IF(DN$3&lt;=$B49,INDEX(Input!$I$43:$I$2956,DN$3+$A48),"")</f>
        <v/>
      </c>
      <c r="DO49" s="17" t="str">
        <f>IF(DO$3&lt;=$B49,INDEX(Input!$I$43:$I$2956,DO$3+$A48),"")</f>
        <v/>
      </c>
      <c r="DP49" s="17" t="str">
        <f>IF(DP$3&lt;=$B49,INDEX(Input!$I$43:$I$2956,DP$3+$A48),"")</f>
        <v/>
      </c>
      <c r="DQ49" s="17" t="str">
        <f>IF(DQ$3&lt;=$B49,INDEX(Input!$I$43:$I$2956,DQ$3+$A48),"")</f>
        <v/>
      </c>
      <c r="DR49" s="17" t="str">
        <f>IF(DR$3&lt;=$B49,INDEX(Input!$I$43:$I$2956,DR$3+$A48),"")</f>
        <v/>
      </c>
      <c r="DS49" s="17" t="str">
        <f>IF(DS$3&lt;=$B49,INDEX(Input!$I$43:$I$2956,DS$3+$A48),"")</f>
        <v/>
      </c>
      <c r="DT49" s="17" t="str">
        <f>IF(DT$3&lt;=$B49,INDEX(Input!$I$43:$I$2956,DT$3+$A48),"")</f>
        <v/>
      </c>
      <c r="DU49" s="17" t="str">
        <f>IF(DU$3&lt;=$B49,INDEX(Input!$I$43:$I$2956,DU$3+$A48),"")</f>
        <v/>
      </c>
      <c r="DV49" s="17" t="str">
        <f>IF(DV$3&lt;=$B49,INDEX(Input!$I$43:$I$2956,DV$3+$A48),"")</f>
        <v/>
      </c>
      <c r="DW49" s="58" t="str">
        <f t="array" ref="DW49:EZ49">IFERROR(eccalc(E49:DV49,C49+B49,B49,$O$2:$AS$2),"")</f>
        <v/>
      </c>
      <c r="DX49" s="59" t="str">
        <v/>
      </c>
      <c r="DY49" s="59" t="str">
        <v/>
      </c>
      <c r="DZ49" s="59" t="str">
        <v/>
      </c>
      <c r="EA49" s="59" t="str">
        <v/>
      </c>
      <c r="EB49" s="59" t="str">
        <v/>
      </c>
      <c r="EC49" s="59" t="str">
        <v/>
      </c>
      <c r="ED49" s="59" t="str">
        <v/>
      </c>
      <c r="EE49" s="59" t="str">
        <v/>
      </c>
      <c r="EF49" s="59" t="str">
        <v/>
      </c>
      <c r="EG49" s="59" t="str">
        <v/>
      </c>
      <c r="EH49" s="59" t="str">
        <v/>
      </c>
      <c r="EI49" s="59" t="str">
        <v/>
      </c>
      <c r="EJ49" s="59" t="str">
        <v/>
      </c>
      <c r="EK49" s="59" t="str">
        <v/>
      </c>
      <c r="EL49" s="59" t="str">
        <v/>
      </c>
      <c r="EM49" s="59" t="str">
        <v/>
      </c>
      <c r="EN49" s="59" t="str">
        <v/>
      </c>
      <c r="EO49" s="59" t="str">
        <v/>
      </c>
      <c r="EP49" s="59" t="str">
        <v/>
      </c>
      <c r="EQ49" s="59" t="str">
        <v/>
      </c>
      <c r="ER49" s="59" t="str">
        <v/>
      </c>
      <c r="ES49" s="59" t="str">
        <v/>
      </c>
      <c r="ET49" s="59" t="str">
        <v/>
      </c>
      <c r="EU49" s="59" t="str">
        <v/>
      </c>
      <c r="EV49" s="59" t="str">
        <v/>
      </c>
      <c r="EW49" s="59" t="str">
        <v/>
      </c>
      <c r="EX49" s="59" t="str">
        <v/>
      </c>
      <c r="EY49" s="59" t="str">
        <v/>
      </c>
      <c r="EZ49" s="60" t="str">
        <v/>
      </c>
      <c r="FA49" s="17"/>
      <c r="FC49">
        <v>46</v>
      </c>
      <c r="FD49">
        <f t="shared" si="2"/>
        <v>14</v>
      </c>
      <c r="FE49">
        <f t="shared" si="3"/>
        <v>3</v>
      </c>
      <c r="FF49">
        <f t="shared" si="4"/>
        <v>231</v>
      </c>
      <c r="FI49" s="16">
        <v>46</v>
      </c>
      <c r="FJ49" s="17">
        <f t="shared" si="5"/>
        <v>148</v>
      </c>
      <c r="FK49" s="17">
        <f t="shared" si="6"/>
        <v>231</v>
      </c>
      <c r="FL49" s="18" t="str">
        <f t="shared" si="7"/>
        <v>11100111</v>
      </c>
      <c r="FM49" s="2"/>
    </row>
    <row r="50" spans="1:169">
      <c r="A50">
        <f>SUM($B$4:B50)</f>
        <v>196</v>
      </c>
      <c r="B50">
        <f t="shared" si="0"/>
        <v>0</v>
      </c>
      <c r="C50" t="str">
        <f t="shared" si="1"/>
        <v/>
      </c>
      <c r="D50">
        <v>47</v>
      </c>
      <c r="E50" s="16" t="str">
        <f>IF(E$3&lt;=$B50,INDEX(Input!$I$43:$I$2956,E$3+$A49),"")</f>
        <v/>
      </c>
      <c r="F50" s="17" t="str">
        <f>IF(F$3&lt;=$B50,INDEX(Input!$I$43:$I$2956,F$3+$A49),"")</f>
        <v/>
      </c>
      <c r="G50" s="17" t="str">
        <f>IF(G$3&lt;=$B50,INDEX(Input!$I$43:$I$2956,G$3+$A49),"")</f>
        <v/>
      </c>
      <c r="H50" s="17" t="str">
        <f>IF(H$3&lt;=$B50,INDEX(Input!$I$43:$I$2956,H$3+$A49),"")</f>
        <v/>
      </c>
      <c r="I50" s="17" t="str">
        <f>IF(I$3&lt;=$B50,INDEX(Input!$I$43:$I$2956,I$3+$A49),"")</f>
        <v/>
      </c>
      <c r="J50" s="17" t="str">
        <f>IF(J$3&lt;=$B50,INDEX(Input!$I$43:$I$2956,J$3+$A49),"")</f>
        <v/>
      </c>
      <c r="K50" s="17" t="str">
        <f>IF(K$3&lt;=$B50,INDEX(Input!$I$43:$I$2956,K$3+$A49),"")</f>
        <v/>
      </c>
      <c r="L50" s="17" t="str">
        <f>IF(L$3&lt;=$B50,INDEX(Input!$I$43:$I$2956,L$3+$A49),"")</f>
        <v/>
      </c>
      <c r="M50" s="17" t="str">
        <f>IF(M$3&lt;=$B50,INDEX(Input!$I$43:$I$2956,M$3+$A49),"")</f>
        <v/>
      </c>
      <c r="N50" s="17" t="str">
        <f>IF(N$3&lt;=$B50,INDEX(Input!$I$43:$I$2956,N$3+$A49),"")</f>
        <v/>
      </c>
      <c r="O50" s="17" t="str">
        <f>IF(O$3&lt;=$B50,INDEX(Input!$I$43:$I$2956,O$3+$A49),"")</f>
        <v/>
      </c>
      <c r="P50" s="17" t="str">
        <f>IF(P$3&lt;=$B50,INDEX(Input!$I$43:$I$2956,P$3+$A49),"")</f>
        <v/>
      </c>
      <c r="Q50" s="17" t="str">
        <f>IF(Q$3&lt;=$B50,INDEX(Input!$I$43:$I$2956,Q$3+$A49),"")</f>
        <v/>
      </c>
      <c r="R50" s="17" t="str">
        <f>IF(R$3&lt;=$B50,INDEX(Input!$I$43:$I$2956,R$3+$A49),"")</f>
        <v/>
      </c>
      <c r="S50" s="17" t="str">
        <f>IF(S$3&lt;=$B50,INDEX(Input!$I$43:$I$2956,S$3+$A49),"")</f>
        <v/>
      </c>
      <c r="T50" s="17" t="str">
        <f>IF(T$3&lt;=$B50,INDEX(Input!$I$43:$I$2956,T$3+$A49),"")</f>
        <v/>
      </c>
      <c r="U50" s="17" t="str">
        <f>IF(U$3&lt;=$B50,INDEX(Input!$I$43:$I$2956,U$3+$A49),"")</f>
        <v/>
      </c>
      <c r="V50" s="17" t="str">
        <f>IF(V$3&lt;=$B50,INDEX(Input!$I$43:$I$2956,V$3+$A49),"")</f>
        <v/>
      </c>
      <c r="W50" s="17" t="str">
        <f>IF(W$3&lt;=$B50,INDEX(Input!$I$43:$I$2956,W$3+$A49),"")</f>
        <v/>
      </c>
      <c r="X50" s="17" t="str">
        <f>IF(X$3&lt;=$B50,INDEX(Input!$I$43:$I$2956,X$3+$A49),"")</f>
        <v/>
      </c>
      <c r="Y50" s="17" t="str">
        <f>IF(Y$3&lt;=$B50,INDEX(Input!$I$43:$I$2956,Y$3+$A49),"")</f>
        <v/>
      </c>
      <c r="Z50" s="17" t="str">
        <f>IF(Z$3&lt;=$B50,INDEX(Input!$I$43:$I$2956,Z$3+$A49),"")</f>
        <v/>
      </c>
      <c r="AA50" s="17" t="str">
        <f>IF(AA$3&lt;=$B50,INDEX(Input!$I$43:$I$2956,AA$3+$A49),"")</f>
        <v/>
      </c>
      <c r="AB50" s="17" t="str">
        <f>IF(AB$3&lt;=$B50,INDEX(Input!$I$43:$I$2956,AB$3+$A49),"")</f>
        <v/>
      </c>
      <c r="AC50" s="17" t="str">
        <f>IF(AC$3&lt;=$B50,INDEX(Input!$I$43:$I$2956,AC$3+$A49),"")</f>
        <v/>
      </c>
      <c r="AD50" s="17" t="str">
        <f>IF(AD$3&lt;=$B50,INDEX(Input!$I$43:$I$2956,AD$3+$A49),"")</f>
        <v/>
      </c>
      <c r="AE50" s="17" t="str">
        <f>IF(AE$3&lt;=$B50,INDEX(Input!$I$43:$I$2956,AE$3+$A49),"")</f>
        <v/>
      </c>
      <c r="AF50" s="17" t="str">
        <f>IF(AF$3&lt;=$B50,INDEX(Input!$I$43:$I$2956,AF$3+$A49),"")</f>
        <v/>
      </c>
      <c r="AG50" s="17" t="str">
        <f>IF(AG$3&lt;=$B50,INDEX(Input!$I$43:$I$2956,AG$3+$A49),"")</f>
        <v/>
      </c>
      <c r="AH50" s="17" t="str">
        <f>IF(AH$3&lt;=$B50,INDEX(Input!$I$43:$I$2956,AH$3+$A49),"")</f>
        <v/>
      </c>
      <c r="AI50" s="17" t="str">
        <f>IF(AI$3&lt;=$B50,INDEX(Input!$I$43:$I$2956,AI$3+$A49),"")</f>
        <v/>
      </c>
      <c r="AJ50" s="17" t="str">
        <f>IF(AJ$3&lt;=$B50,INDEX(Input!$I$43:$I$2956,AJ$3+$A49),"")</f>
        <v/>
      </c>
      <c r="AK50" s="17" t="str">
        <f>IF(AK$3&lt;=$B50,INDEX(Input!$I$43:$I$2956,AK$3+$A49),"")</f>
        <v/>
      </c>
      <c r="AL50" s="17" t="str">
        <f>IF(AL$3&lt;=$B50,INDEX(Input!$I$43:$I$2956,AL$3+$A49),"")</f>
        <v/>
      </c>
      <c r="AM50" s="17" t="str">
        <f>IF(AM$3&lt;=$B50,INDEX(Input!$I$43:$I$2956,AM$3+$A49),"")</f>
        <v/>
      </c>
      <c r="AN50" s="17" t="str">
        <f>IF(AN$3&lt;=$B50,INDEX(Input!$I$43:$I$2956,AN$3+$A49),"")</f>
        <v/>
      </c>
      <c r="AO50" s="17" t="str">
        <f>IF(AO$3&lt;=$B50,INDEX(Input!$I$43:$I$2956,AO$3+$A49),"")</f>
        <v/>
      </c>
      <c r="AP50" s="17" t="str">
        <f>IF(AP$3&lt;=$B50,INDEX(Input!$I$43:$I$2956,AP$3+$A49),"")</f>
        <v/>
      </c>
      <c r="AQ50" s="17" t="str">
        <f>IF(AQ$3&lt;=$B50,INDEX(Input!$I$43:$I$2956,AQ$3+$A49),"")</f>
        <v/>
      </c>
      <c r="AR50" s="17" t="str">
        <f>IF(AR$3&lt;=$B50,INDEX(Input!$I$43:$I$2956,AR$3+$A49),"")</f>
        <v/>
      </c>
      <c r="AS50" s="17" t="str">
        <f>IF(AS$3&lt;=$B50,INDEX(Input!$I$43:$I$2956,AS$3+$A49),"")</f>
        <v/>
      </c>
      <c r="AT50" s="17" t="str">
        <f>IF(AT$3&lt;=$B50,INDEX(Input!$I$43:$I$2956,AT$3+$A49),"")</f>
        <v/>
      </c>
      <c r="AU50" s="17" t="str">
        <f>IF(AU$3&lt;=$B50,INDEX(Input!$I$43:$I$2956,AU$3+$A49),"")</f>
        <v/>
      </c>
      <c r="AV50" s="17" t="str">
        <f>IF(AV$3&lt;=$B50,INDEX(Input!$I$43:$I$2956,AV$3+$A49),"")</f>
        <v/>
      </c>
      <c r="AW50" s="17" t="str">
        <f>IF(AW$3&lt;=$B50,INDEX(Input!$I$43:$I$2956,AW$3+$A49),"")</f>
        <v/>
      </c>
      <c r="AX50" s="17" t="str">
        <f>IF(AX$3&lt;=$B50,INDEX(Input!$I$43:$I$2956,AX$3+$A49),"")</f>
        <v/>
      </c>
      <c r="AY50" s="17" t="str">
        <f>IF(AY$3&lt;=$B50,INDEX(Input!$I$43:$I$2956,AY$3+$A49),"")</f>
        <v/>
      </c>
      <c r="AZ50" s="17" t="str">
        <f>IF(AZ$3&lt;=$B50,INDEX(Input!$I$43:$I$2956,AZ$3+$A49),"")</f>
        <v/>
      </c>
      <c r="BA50" s="17" t="str">
        <f>IF(BA$3&lt;=$B50,INDEX(Input!$I$43:$I$2956,BA$3+$A49),"")</f>
        <v/>
      </c>
      <c r="BB50" s="17" t="str">
        <f>IF(BB$3&lt;=$B50,INDEX(Input!$I$43:$I$2956,BB$3+$A49),"")</f>
        <v/>
      </c>
      <c r="BC50" s="17" t="str">
        <f>IF(BC$3&lt;=$B50,INDEX(Input!$I$43:$I$2956,BC$3+$A49),"")</f>
        <v/>
      </c>
      <c r="BD50" s="17" t="str">
        <f>IF(BD$3&lt;=$B50,INDEX(Input!$I$43:$I$2956,BD$3+$A49),"")</f>
        <v/>
      </c>
      <c r="BE50" s="17" t="str">
        <f>IF(BE$3&lt;=$B50,INDEX(Input!$I$43:$I$2956,BE$3+$A49),"")</f>
        <v/>
      </c>
      <c r="BF50" s="17" t="str">
        <f>IF(BF$3&lt;=$B50,INDEX(Input!$I$43:$I$2956,BF$3+$A49),"")</f>
        <v/>
      </c>
      <c r="BG50" s="17" t="str">
        <f>IF(BG$3&lt;=$B50,INDEX(Input!$I$43:$I$2956,BG$3+$A49),"")</f>
        <v/>
      </c>
      <c r="BH50" s="17" t="str">
        <f>IF(BH$3&lt;=$B50,INDEX(Input!$I$43:$I$2956,BH$3+$A49),"")</f>
        <v/>
      </c>
      <c r="BI50" s="17" t="str">
        <f>IF(BI$3&lt;=$B50,INDEX(Input!$I$43:$I$2956,BI$3+$A49),"")</f>
        <v/>
      </c>
      <c r="BJ50" s="17" t="str">
        <f>IF(BJ$3&lt;=$B50,INDEX(Input!$I$43:$I$2956,BJ$3+$A49),"")</f>
        <v/>
      </c>
      <c r="BK50" s="17" t="str">
        <f>IF(BK$3&lt;=$B50,INDEX(Input!$I$43:$I$2956,BK$3+$A49),"")</f>
        <v/>
      </c>
      <c r="BL50" s="17" t="str">
        <f>IF(BL$3&lt;=$B50,INDEX(Input!$I$43:$I$2956,BL$3+$A49),"")</f>
        <v/>
      </c>
      <c r="BM50" s="17" t="str">
        <f>IF(BM$3&lt;=$B50,INDEX(Input!$I$43:$I$2956,BM$3+$A49),"")</f>
        <v/>
      </c>
      <c r="BN50" s="17" t="str">
        <f>IF(BN$3&lt;=$B50,INDEX(Input!$I$43:$I$2956,BN$3+$A49),"")</f>
        <v/>
      </c>
      <c r="BO50" s="17" t="str">
        <f>IF(BO$3&lt;=$B50,INDEX(Input!$I$43:$I$2956,BO$3+$A49),"")</f>
        <v/>
      </c>
      <c r="BP50" s="17" t="str">
        <f>IF(BP$3&lt;=$B50,INDEX(Input!$I$43:$I$2956,BP$3+$A49),"")</f>
        <v/>
      </c>
      <c r="BQ50" s="17" t="str">
        <f>IF(BQ$3&lt;=$B50,INDEX(Input!$I$43:$I$2956,BQ$3+$A49),"")</f>
        <v/>
      </c>
      <c r="BR50" s="17" t="str">
        <f>IF(BR$3&lt;=$B50,INDEX(Input!$I$43:$I$2956,BR$3+$A49),"")</f>
        <v/>
      </c>
      <c r="BS50" s="17" t="str">
        <f>IF(BS$3&lt;=$B50,INDEX(Input!$I$43:$I$2956,BS$3+$A49),"")</f>
        <v/>
      </c>
      <c r="BT50" s="17" t="str">
        <f>IF(BT$3&lt;=$B50,INDEX(Input!$I$43:$I$2956,BT$3+$A49),"")</f>
        <v/>
      </c>
      <c r="BU50" s="17" t="str">
        <f>IF(BU$3&lt;=$B50,INDEX(Input!$I$43:$I$2956,BU$3+$A49),"")</f>
        <v/>
      </c>
      <c r="BV50" s="17" t="str">
        <f>IF(BV$3&lt;=$B50,INDEX(Input!$I$43:$I$2956,BV$3+$A49),"")</f>
        <v/>
      </c>
      <c r="BW50" s="17" t="str">
        <f>IF(BW$3&lt;=$B50,INDEX(Input!$I$43:$I$2956,BW$3+$A49),"")</f>
        <v/>
      </c>
      <c r="BX50" s="17" t="str">
        <f>IF(BX$3&lt;=$B50,INDEX(Input!$I$43:$I$2956,BX$3+$A49),"")</f>
        <v/>
      </c>
      <c r="BY50" s="17" t="str">
        <f>IF(BY$3&lt;=$B50,INDEX(Input!$I$43:$I$2956,BY$3+$A49),"")</f>
        <v/>
      </c>
      <c r="BZ50" s="17" t="str">
        <f>IF(BZ$3&lt;=$B50,INDEX(Input!$I$43:$I$2956,BZ$3+$A49),"")</f>
        <v/>
      </c>
      <c r="CA50" s="17" t="str">
        <f>IF(CA$3&lt;=$B50,INDEX(Input!$I$43:$I$2956,CA$3+$A49),"")</f>
        <v/>
      </c>
      <c r="CB50" s="17" t="str">
        <f>IF(CB$3&lt;=$B50,INDEX(Input!$I$43:$I$2956,CB$3+$A49),"")</f>
        <v/>
      </c>
      <c r="CC50" s="17" t="str">
        <f>IF(CC$3&lt;=$B50,INDEX(Input!$I$43:$I$2956,CC$3+$A49),"")</f>
        <v/>
      </c>
      <c r="CD50" s="17" t="str">
        <f>IF(CD$3&lt;=$B50,INDEX(Input!$I$43:$I$2956,CD$3+$A49),"")</f>
        <v/>
      </c>
      <c r="CE50" s="17" t="str">
        <f>IF(CE$3&lt;=$B50,INDEX(Input!$I$43:$I$2956,CE$3+$A49),"")</f>
        <v/>
      </c>
      <c r="CF50" s="17" t="str">
        <f>IF(CF$3&lt;=$B50,INDEX(Input!$I$43:$I$2956,CF$3+$A49),"")</f>
        <v/>
      </c>
      <c r="CG50" s="17" t="str">
        <f>IF(CG$3&lt;=$B50,INDEX(Input!$I$43:$I$2956,CG$3+$A49),"")</f>
        <v/>
      </c>
      <c r="CH50" s="17" t="str">
        <f>IF(CH$3&lt;=$B50,INDEX(Input!$I$43:$I$2956,CH$3+$A49),"")</f>
        <v/>
      </c>
      <c r="CI50" s="17" t="str">
        <f>IF(CI$3&lt;=$B50,INDEX(Input!$I$43:$I$2956,CI$3+$A49),"")</f>
        <v/>
      </c>
      <c r="CJ50" s="17" t="str">
        <f>IF(CJ$3&lt;=$B50,INDEX(Input!$I$43:$I$2956,CJ$3+$A49),"")</f>
        <v/>
      </c>
      <c r="CK50" s="17" t="str">
        <f>IF(CK$3&lt;=$B50,INDEX(Input!$I$43:$I$2956,CK$3+$A49),"")</f>
        <v/>
      </c>
      <c r="CL50" s="17" t="str">
        <f>IF(CL$3&lt;=$B50,INDEX(Input!$I$43:$I$2956,CL$3+$A49),"")</f>
        <v/>
      </c>
      <c r="CM50" s="17" t="str">
        <f>IF(CM$3&lt;=$B50,INDEX(Input!$I$43:$I$2956,CM$3+$A49),"")</f>
        <v/>
      </c>
      <c r="CN50" s="17" t="str">
        <f>IF(CN$3&lt;=$B50,INDEX(Input!$I$43:$I$2956,CN$3+$A49),"")</f>
        <v/>
      </c>
      <c r="CO50" s="17" t="str">
        <f>IF(CO$3&lt;=$B50,INDEX(Input!$I$43:$I$2956,CO$3+$A49),"")</f>
        <v/>
      </c>
      <c r="CP50" s="17" t="str">
        <f>IF(CP$3&lt;=$B50,INDEX(Input!$I$43:$I$2956,CP$3+$A49),"")</f>
        <v/>
      </c>
      <c r="CQ50" s="17" t="str">
        <f>IF(CQ$3&lt;=$B50,INDEX(Input!$I$43:$I$2956,CQ$3+$A49),"")</f>
        <v/>
      </c>
      <c r="CR50" s="17" t="str">
        <f>IF(CR$3&lt;=$B50,INDEX(Input!$I$43:$I$2956,CR$3+$A49),"")</f>
        <v/>
      </c>
      <c r="CS50" s="17" t="str">
        <f>IF(CS$3&lt;=$B50,INDEX(Input!$I$43:$I$2956,CS$3+$A49),"")</f>
        <v/>
      </c>
      <c r="CT50" s="17" t="str">
        <f>IF(CT$3&lt;=$B50,INDEX(Input!$I$43:$I$2956,CT$3+$A49),"")</f>
        <v/>
      </c>
      <c r="CU50" s="17" t="str">
        <f>IF(CU$3&lt;=$B50,INDEX(Input!$I$43:$I$2956,CU$3+$A49),"")</f>
        <v/>
      </c>
      <c r="CV50" s="17" t="str">
        <f>IF(CV$3&lt;=$B50,INDEX(Input!$I$43:$I$2956,CV$3+$A49),"")</f>
        <v/>
      </c>
      <c r="CW50" s="17" t="str">
        <f>IF(CW$3&lt;=$B50,INDEX(Input!$I$43:$I$2956,CW$3+$A49),"")</f>
        <v/>
      </c>
      <c r="CX50" s="17" t="str">
        <f>IF(CX$3&lt;=$B50,INDEX(Input!$I$43:$I$2956,CX$3+$A49),"")</f>
        <v/>
      </c>
      <c r="CY50" s="17" t="str">
        <f>IF(CY$3&lt;=$B50,INDEX(Input!$I$43:$I$2956,CY$3+$A49),"")</f>
        <v/>
      </c>
      <c r="CZ50" s="17" t="str">
        <f>IF(CZ$3&lt;=$B50,INDEX(Input!$I$43:$I$2956,CZ$3+$A49),"")</f>
        <v/>
      </c>
      <c r="DA50" s="17" t="str">
        <f>IF(DA$3&lt;=$B50,INDEX(Input!$I$43:$I$2956,DA$3+$A49),"")</f>
        <v/>
      </c>
      <c r="DB50" s="17" t="str">
        <f>IF(DB$3&lt;=$B50,INDEX(Input!$I$43:$I$2956,DB$3+$A49),"")</f>
        <v/>
      </c>
      <c r="DC50" s="17" t="str">
        <f>IF(DC$3&lt;=$B50,INDEX(Input!$I$43:$I$2956,DC$3+$A49),"")</f>
        <v/>
      </c>
      <c r="DD50" s="17" t="str">
        <f>IF(DD$3&lt;=$B50,INDEX(Input!$I$43:$I$2956,DD$3+$A49),"")</f>
        <v/>
      </c>
      <c r="DE50" s="17" t="str">
        <f>IF(DE$3&lt;=$B50,INDEX(Input!$I$43:$I$2956,DE$3+$A49),"")</f>
        <v/>
      </c>
      <c r="DF50" s="17" t="str">
        <f>IF(DF$3&lt;=$B50,INDEX(Input!$I$43:$I$2956,DF$3+$A49),"")</f>
        <v/>
      </c>
      <c r="DG50" s="17" t="str">
        <f>IF(DG$3&lt;=$B50,INDEX(Input!$I$43:$I$2956,DG$3+$A49),"")</f>
        <v/>
      </c>
      <c r="DH50" s="17" t="str">
        <f>IF(DH$3&lt;=$B50,INDEX(Input!$I$43:$I$2956,DH$3+$A49),"")</f>
        <v/>
      </c>
      <c r="DI50" s="17" t="str">
        <f>IF(DI$3&lt;=$B50,INDEX(Input!$I$43:$I$2956,DI$3+$A49),"")</f>
        <v/>
      </c>
      <c r="DJ50" s="17" t="str">
        <f>IF(DJ$3&lt;=$B50,INDEX(Input!$I$43:$I$2956,DJ$3+$A49),"")</f>
        <v/>
      </c>
      <c r="DK50" s="17" t="str">
        <f>IF(DK$3&lt;=$B50,INDEX(Input!$I$43:$I$2956,DK$3+$A49),"")</f>
        <v/>
      </c>
      <c r="DL50" s="17" t="str">
        <f>IF(DL$3&lt;=$B50,INDEX(Input!$I$43:$I$2956,DL$3+$A49),"")</f>
        <v/>
      </c>
      <c r="DM50" s="17" t="str">
        <f>IF(DM$3&lt;=$B50,INDEX(Input!$I$43:$I$2956,DM$3+$A49),"")</f>
        <v/>
      </c>
      <c r="DN50" s="17" t="str">
        <f>IF(DN$3&lt;=$B50,INDEX(Input!$I$43:$I$2956,DN$3+$A49),"")</f>
        <v/>
      </c>
      <c r="DO50" s="17" t="str">
        <f>IF(DO$3&lt;=$B50,INDEX(Input!$I$43:$I$2956,DO$3+$A49),"")</f>
        <v/>
      </c>
      <c r="DP50" s="17" t="str">
        <f>IF(DP$3&lt;=$B50,INDEX(Input!$I$43:$I$2956,DP$3+$A49),"")</f>
        <v/>
      </c>
      <c r="DQ50" s="17" t="str">
        <f>IF(DQ$3&lt;=$B50,INDEX(Input!$I$43:$I$2956,DQ$3+$A49),"")</f>
        <v/>
      </c>
      <c r="DR50" s="17" t="str">
        <f>IF(DR$3&lt;=$B50,INDEX(Input!$I$43:$I$2956,DR$3+$A49),"")</f>
        <v/>
      </c>
      <c r="DS50" s="17" t="str">
        <f>IF(DS$3&lt;=$B50,INDEX(Input!$I$43:$I$2956,DS$3+$A49),"")</f>
        <v/>
      </c>
      <c r="DT50" s="17" t="str">
        <f>IF(DT$3&lt;=$B50,INDEX(Input!$I$43:$I$2956,DT$3+$A49),"")</f>
        <v/>
      </c>
      <c r="DU50" s="17" t="str">
        <f>IF(DU$3&lt;=$B50,INDEX(Input!$I$43:$I$2956,DU$3+$A49),"")</f>
        <v/>
      </c>
      <c r="DV50" s="17" t="str">
        <f>IF(DV$3&lt;=$B50,INDEX(Input!$I$43:$I$2956,DV$3+$A49),"")</f>
        <v/>
      </c>
      <c r="DW50" s="58" t="str">
        <f t="array" ref="DW50:EZ50">IFERROR(eccalc(E50:DV50,C50+B50,B50,$O$2:$AS$2),"")</f>
        <v/>
      </c>
      <c r="DX50" s="59" t="str">
        <v/>
      </c>
      <c r="DY50" s="59" t="str">
        <v/>
      </c>
      <c r="DZ50" s="59" t="str">
        <v/>
      </c>
      <c r="EA50" s="59" t="str">
        <v/>
      </c>
      <c r="EB50" s="59" t="str">
        <v/>
      </c>
      <c r="EC50" s="59" t="str">
        <v/>
      </c>
      <c r="ED50" s="59" t="str">
        <v/>
      </c>
      <c r="EE50" s="59" t="str">
        <v/>
      </c>
      <c r="EF50" s="59" t="str">
        <v/>
      </c>
      <c r="EG50" s="59" t="str">
        <v/>
      </c>
      <c r="EH50" s="59" t="str">
        <v/>
      </c>
      <c r="EI50" s="59" t="str">
        <v/>
      </c>
      <c r="EJ50" s="59" t="str">
        <v/>
      </c>
      <c r="EK50" s="59" t="str">
        <v/>
      </c>
      <c r="EL50" s="59" t="str">
        <v/>
      </c>
      <c r="EM50" s="59" t="str">
        <v/>
      </c>
      <c r="EN50" s="59" t="str">
        <v/>
      </c>
      <c r="EO50" s="59" t="str">
        <v/>
      </c>
      <c r="EP50" s="59" t="str">
        <v/>
      </c>
      <c r="EQ50" s="59" t="str">
        <v/>
      </c>
      <c r="ER50" s="59" t="str">
        <v/>
      </c>
      <c r="ES50" s="59" t="str">
        <v/>
      </c>
      <c r="ET50" s="59" t="str">
        <v/>
      </c>
      <c r="EU50" s="59" t="str">
        <v/>
      </c>
      <c r="EV50" s="59" t="str">
        <v/>
      </c>
      <c r="EW50" s="59" t="str">
        <v/>
      </c>
      <c r="EX50" s="59" t="str">
        <v/>
      </c>
      <c r="EY50" s="59" t="str">
        <v/>
      </c>
      <c r="EZ50" s="60" t="str">
        <v/>
      </c>
      <c r="FA50" s="17"/>
      <c r="FC50">
        <v>47</v>
      </c>
      <c r="FD50">
        <f t="shared" si="2"/>
        <v>15</v>
      </c>
      <c r="FE50">
        <f t="shared" si="3"/>
        <v>3</v>
      </c>
      <c r="FF50">
        <f t="shared" si="4"/>
        <v>236</v>
      </c>
      <c r="FI50" s="16">
        <v>47</v>
      </c>
      <c r="FJ50" s="17">
        <f t="shared" si="5"/>
        <v>154</v>
      </c>
      <c r="FK50" s="17">
        <f t="shared" si="6"/>
        <v>236</v>
      </c>
      <c r="FL50" s="18" t="str">
        <f t="shared" si="7"/>
        <v>11101100</v>
      </c>
      <c r="FM50" s="2"/>
    </row>
    <row r="51" spans="1:169">
      <c r="A51">
        <f>SUM($B$4:B51)</f>
        <v>196</v>
      </c>
      <c r="B51">
        <f t="shared" si="0"/>
        <v>0</v>
      </c>
      <c r="C51" t="str">
        <f t="shared" si="1"/>
        <v/>
      </c>
      <c r="D51">
        <v>48</v>
      </c>
      <c r="E51" s="16" t="str">
        <f>IF(E$3&lt;=$B51,INDEX(Input!$I$43:$I$2956,E$3+$A50),"")</f>
        <v/>
      </c>
      <c r="F51" s="17" t="str">
        <f>IF(F$3&lt;=$B51,INDEX(Input!$I$43:$I$2956,F$3+$A50),"")</f>
        <v/>
      </c>
      <c r="G51" s="17" t="str">
        <f>IF(G$3&lt;=$B51,INDEX(Input!$I$43:$I$2956,G$3+$A50),"")</f>
        <v/>
      </c>
      <c r="H51" s="17" t="str">
        <f>IF(H$3&lt;=$B51,INDEX(Input!$I$43:$I$2956,H$3+$A50),"")</f>
        <v/>
      </c>
      <c r="I51" s="17" t="str">
        <f>IF(I$3&lt;=$B51,INDEX(Input!$I$43:$I$2956,I$3+$A50),"")</f>
        <v/>
      </c>
      <c r="J51" s="17" t="str">
        <f>IF(J$3&lt;=$B51,INDEX(Input!$I$43:$I$2956,J$3+$A50),"")</f>
        <v/>
      </c>
      <c r="K51" s="17" t="str">
        <f>IF(K$3&lt;=$B51,INDEX(Input!$I$43:$I$2956,K$3+$A50),"")</f>
        <v/>
      </c>
      <c r="L51" s="17" t="str">
        <f>IF(L$3&lt;=$B51,INDEX(Input!$I$43:$I$2956,L$3+$A50),"")</f>
        <v/>
      </c>
      <c r="M51" s="17" t="str">
        <f>IF(M$3&lt;=$B51,INDEX(Input!$I$43:$I$2956,M$3+$A50),"")</f>
        <v/>
      </c>
      <c r="N51" s="17" t="str">
        <f>IF(N$3&lt;=$B51,INDEX(Input!$I$43:$I$2956,N$3+$A50),"")</f>
        <v/>
      </c>
      <c r="O51" s="17" t="str">
        <f>IF(O$3&lt;=$B51,INDEX(Input!$I$43:$I$2956,O$3+$A50),"")</f>
        <v/>
      </c>
      <c r="P51" s="17" t="str">
        <f>IF(P$3&lt;=$B51,INDEX(Input!$I$43:$I$2956,P$3+$A50),"")</f>
        <v/>
      </c>
      <c r="Q51" s="17" t="str">
        <f>IF(Q$3&lt;=$B51,INDEX(Input!$I$43:$I$2956,Q$3+$A50),"")</f>
        <v/>
      </c>
      <c r="R51" s="17" t="str">
        <f>IF(R$3&lt;=$B51,INDEX(Input!$I$43:$I$2956,R$3+$A50),"")</f>
        <v/>
      </c>
      <c r="S51" s="17" t="str">
        <f>IF(S$3&lt;=$B51,INDEX(Input!$I$43:$I$2956,S$3+$A50),"")</f>
        <v/>
      </c>
      <c r="T51" s="17" t="str">
        <f>IF(T$3&lt;=$B51,INDEX(Input!$I$43:$I$2956,T$3+$A50),"")</f>
        <v/>
      </c>
      <c r="U51" s="17" t="str">
        <f>IF(U$3&lt;=$B51,INDEX(Input!$I$43:$I$2956,U$3+$A50),"")</f>
        <v/>
      </c>
      <c r="V51" s="17" t="str">
        <f>IF(V$3&lt;=$B51,INDEX(Input!$I$43:$I$2956,V$3+$A50),"")</f>
        <v/>
      </c>
      <c r="W51" s="17" t="str">
        <f>IF(W$3&lt;=$B51,INDEX(Input!$I$43:$I$2956,W$3+$A50),"")</f>
        <v/>
      </c>
      <c r="X51" s="17" t="str">
        <f>IF(X$3&lt;=$B51,INDEX(Input!$I$43:$I$2956,X$3+$A50),"")</f>
        <v/>
      </c>
      <c r="Y51" s="17" t="str">
        <f>IF(Y$3&lt;=$B51,INDEX(Input!$I$43:$I$2956,Y$3+$A50),"")</f>
        <v/>
      </c>
      <c r="Z51" s="17" t="str">
        <f>IF(Z$3&lt;=$B51,INDEX(Input!$I$43:$I$2956,Z$3+$A50),"")</f>
        <v/>
      </c>
      <c r="AA51" s="17" t="str">
        <f>IF(AA$3&lt;=$B51,INDEX(Input!$I$43:$I$2956,AA$3+$A50),"")</f>
        <v/>
      </c>
      <c r="AB51" s="17" t="str">
        <f>IF(AB$3&lt;=$B51,INDEX(Input!$I$43:$I$2956,AB$3+$A50),"")</f>
        <v/>
      </c>
      <c r="AC51" s="17" t="str">
        <f>IF(AC$3&lt;=$B51,INDEX(Input!$I$43:$I$2956,AC$3+$A50),"")</f>
        <v/>
      </c>
      <c r="AD51" s="17" t="str">
        <f>IF(AD$3&lt;=$B51,INDEX(Input!$I$43:$I$2956,AD$3+$A50),"")</f>
        <v/>
      </c>
      <c r="AE51" s="17" t="str">
        <f>IF(AE$3&lt;=$B51,INDEX(Input!$I$43:$I$2956,AE$3+$A50),"")</f>
        <v/>
      </c>
      <c r="AF51" s="17" t="str">
        <f>IF(AF$3&lt;=$B51,INDEX(Input!$I$43:$I$2956,AF$3+$A50),"")</f>
        <v/>
      </c>
      <c r="AG51" s="17" t="str">
        <f>IF(AG$3&lt;=$B51,INDEX(Input!$I$43:$I$2956,AG$3+$A50),"")</f>
        <v/>
      </c>
      <c r="AH51" s="17" t="str">
        <f>IF(AH$3&lt;=$B51,INDEX(Input!$I$43:$I$2956,AH$3+$A50),"")</f>
        <v/>
      </c>
      <c r="AI51" s="17" t="str">
        <f>IF(AI$3&lt;=$B51,INDEX(Input!$I$43:$I$2956,AI$3+$A50),"")</f>
        <v/>
      </c>
      <c r="AJ51" s="17" t="str">
        <f>IF(AJ$3&lt;=$B51,INDEX(Input!$I$43:$I$2956,AJ$3+$A50),"")</f>
        <v/>
      </c>
      <c r="AK51" s="17" t="str">
        <f>IF(AK$3&lt;=$B51,INDEX(Input!$I$43:$I$2956,AK$3+$A50),"")</f>
        <v/>
      </c>
      <c r="AL51" s="17" t="str">
        <f>IF(AL$3&lt;=$B51,INDEX(Input!$I$43:$I$2956,AL$3+$A50),"")</f>
        <v/>
      </c>
      <c r="AM51" s="17" t="str">
        <f>IF(AM$3&lt;=$B51,INDEX(Input!$I$43:$I$2956,AM$3+$A50),"")</f>
        <v/>
      </c>
      <c r="AN51" s="17" t="str">
        <f>IF(AN$3&lt;=$B51,INDEX(Input!$I$43:$I$2956,AN$3+$A50),"")</f>
        <v/>
      </c>
      <c r="AO51" s="17" t="str">
        <f>IF(AO$3&lt;=$B51,INDEX(Input!$I$43:$I$2956,AO$3+$A50),"")</f>
        <v/>
      </c>
      <c r="AP51" s="17" t="str">
        <f>IF(AP$3&lt;=$B51,INDEX(Input!$I$43:$I$2956,AP$3+$A50),"")</f>
        <v/>
      </c>
      <c r="AQ51" s="17" t="str">
        <f>IF(AQ$3&lt;=$B51,INDEX(Input!$I$43:$I$2956,AQ$3+$A50),"")</f>
        <v/>
      </c>
      <c r="AR51" s="17" t="str">
        <f>IF(AR$3&lt;=$B51,INDEX(Input!$I$43:$I$2956,AR$3+$A50),"")</f>
        <v/>
      </c>
      <c r="AS51" s="17" t="str">
        <f>IF(AS$3&lt;=$B51,INDEX(Input!$I$43:$I$2956,AS$3+$A50),"")</f>
        <v/>
      </c>
      <c r="AT51" s="17" t="str">
        <f>IF(AT$3&lt;=$B51,INDEX(Input!$I$43:$I$2956,AT$3+$A50),"")</f>
        <v/>
      </c>
      <c r="AU51" s="17" t="str">
        <f>IF(AU$3&lt;=$B51,INDEX(Input!$I$43:$I$2956,AU$3+$A50),"")</f>
        <v/>
      </c>
      <c r="AV51" s="17" t="str">
        <f>IF(AV$3&lt;=$B51,INDEX(Input!$I$43:$I$2956,AV$3+$A50),"")</f>
        <v/>
      </c>
      <c r="AW51" s="17" t="str">
        <f>IF(AW$3&lt;=$B51,INDEX(Input!$I$43:$I$2956,AW$3+$A50),"")</f>
        <v/>
      </c>
      <c r="AX51" s="17" t="str">
        <f>IF(AX$3&lt;=$B51,INDEX(Input!$I$43:$I$2956,AX$3+$A50),"")</f>
        <v/>
      </c>
      <c r="AY51" s="17" t="str">
        <f>IF(AY$3&lt;=$B51,INDEX(Input!$I$43:$I$2956,AY$3+$A50),"")</f>
        <v/>
      </c>
      <c r="AZ51" s="17" t="str">
        <f>IF(AZ$3&lt;=$B51,INDEX(Input!$I$43:$I$2956,AZ$3+$A50),"")</f>
        <v/>
      </c>
      <c r="BA51" s="17" t="str">
        <f>IF(BA$3&lt;=$B51,INDEX(Input!$I$43:$I$2956,BA$3+$A50),"")</f>
        <v/>
      </c>
      <c r="BB51" s="17" t="str">
        <f>IF(BB$3&lt;=$B51,INDEX(Input!$I$43:$I$2956,BB$3+$A50),"")</f>
        <v/>
      </c>
      <c r="BC51" s="17" t="str">
        <f>IF(BC$3&lt;=$B51,INDEX(Input!$I$43:$I$2956,BC$3+$A50),"")</f>
        <v/>
      </c>
      <c r="BD51" s="17" t="str">
        <f>IF(BD$3&lt;=$B51,INDEX(Input!$I$43:$I$2956,BD$3+$A50),"")</f>
        <v/>
      </c>
      <c r="BE51" s="17" t="str">
        <f>IF(BE$3&lt;=$B51,INDEX(Input!$I$43:$I$2956,BE$3+$A50),"")</f>
        <v/>
      </c>
      <c r="BF51" s="17" t="str">
        <f>IF(BF$3&lt;=$B51,INDEX(Input!$I$43:$I$2956,BF$3+$A50),"")</f>
        <v/>
      </c>
      <c r="BG51" s="17" t="str">
        <f>IF(BG$3&lt;=$B51,INDEX(Input!$I$43:$I$2956,BG$3+$A50),"")</f>
        <v/>
      </c>
      <c r="BH51" s="17" t="str">
        <f>IF(BH$3&lt;=$B51,INDEX(Input!$I$43:$I$2956,BH$3+$A50),"")</f>
        <v/>
      </c>
      <c r="BI51" s="17" t="str">
        <f>IF(BI$3&lt;=$B51,INDEX(Input!$I$43:$I$2956,BI$3+$A50),"")</f>
        <v/>
      </c>
      <c r="BJ51" s="17" t="str">
        <f>IF(BJ$3&lt;=$B51,INDEX(Input!$I$43:$I$2956,BJ$3+$A50),"")</f>
        <v/>
      </c>
      <c r="BK51" s="17" t="str">
        <f>IF(BK$3&lt;=$B51,INDEX(Input!$I$43:$I$2956,BK$3+$A50),"")</f>
        <v/>
      </c>
      <c r="BL51" s="17" t="str">
        <f>IF(BL$3&lt;=$B51,INDEX(Input!$I$43:$I$2956,BL$3+$A50),"")</f>
        <v/>
      </c>
      <c r="BM51" s="17" t="str">
        <f>IF(BM$3&lt;=$B51,INDEX(Input!$I$43:$I$2956,BM$3+$A50),"")</f>
        <v/>
      </c>
      <c r="BN51" s="17" t="str">
        <f>IF(BN$3&lt;=$B51,INDEX(Input!$I$43:$I$2956,BN$3+$A50),"")</f>
        <v/>
      </c>
      <c r="BO51" s="17" t="str">
        <f>IF(BO$3&lt;=$B51,INDEX(Input!$I$43:$I$2956,BO$3+$A50),"")</f>
        <v/>
      </c>
      <c r="BP51" s="17" t="str">
        <f>IF(BP$3&lt;=$B51,INDEX(Input!$I$43:$I$2956,BP$3+$A50),"")</f>
        <v/>
      </c>
      <c r="BQ51" s="17" t="str">
        <f>IF(BQ$3&lt;=$B51,INDEX(Input!$I$43:$I$2956,BQ$3+$A50),"")</f>
        <v/>
      </c>
      <c r="BR51" s="17" t="str">
        <f>IF(BR$3&lt;=$B51,INDEX(Input!$I$43:$I$2956,BR$3+$A50),"")</f>
        <v/>
      </c>
      <c r="BS51" s="17" t="str">
        <f>IF(BS$3&lt;=$B51,INDEX(Input!$I$43:$I$2956,BS$3+$A50),"")</f>
        <v/>
      </c>
      <c r="BT51" s="17" t="str">
        <f>IF(BT$3&lt;=$B51,INDEX(Input!$I$43:$I$2956,BT$3+$A50),"")</f>
        <v/>
      </c>
      <c r="BU51" s="17" t="str">
        <f>IF(BU$3&lt;=$B51,INDEX(Input!$I$43:$I$2956,BU$3+$A50),"")</f>
        <v/>
      </c>
      <c r="BV51" s="17" t="str">
        <f>IF(BV$3&lt;=$B51,INDEX(Input!$I$43:$I$2956,BV$3+$A50),"")</f>
        <v/>
      </c>
      <c r="BW51" s="17" t="str">
        <f>IF(BW$3&lt;=$B51,INDEX(Input!$I$43:$I$2956,BW$3+$A50),"")</f>
        <v/>
      </c>
      <c r="BX51" s="17" t="str">
        <f>IF(BX$3&lt;=$B51,INDEX(Input!$I$43:$I$2956,BX$3+$A50),"")</f>
        <v/>
      </c>
      <c r="BY51" s="17" t="str">
        <f>IF(BY$3&lt;=$B51,INDEX(Input!$I$43:$I$2956,BY$3+$A50),"")</f>
        <v/>
      </c>
      <c r="BZ51" s="17" t="str">
        <f>IF(BZ$3&lt;=$B51,INDEX(Input!$I$43:$I$2956,BZ$3+$A50),"")</f>
        <v/>
      </c>
      <c r="CA51" s="17" t="str">
        <f>IF(CA$3&lt;=$B51,INDEX(Input!$I$43:$I$2956,CA$3+$A50),"")</f>
        <v/>
      </c>
      <c r="CB51" s="17" t="str">
        <f>IF(CB$3&lt;=$B51,INDEX(Input!$I$43:$I$2956,CB$3+$A50),"")</f>
        <v/>
      </c>
      <c r="CC51" s="17" t="str">
        <f>IF(CC$3&lt;=$B51,INDEX(Input!$I$43:$I$2956,CC$3+$A50),"")</f>
        <v/>
      </c>
      <c r="CD51" s="17" t="str">
        <f>IF(CD$3&lt;=$B51,INDEX(Input!$I$43:$I$2956,CD$3+$A50),"")</f>
        <v/>
      </c>
      <c r="CE51" s="17" t="str">
        <f>IF(CE$3&lt;=$B51,INDEX(Input!$I$43:$I$2956,CE$3+$A50),"")</f>
        <v/>
      </c>
      <c r="CF51" s="17" t="str">
        <f>IF(CF$3&lt;=$B51,INDEX(Input!$I$43:$I$2956,CF$3+$A50),"")</f>
        <v/>
      </c>
      <c r="CG51" s="17" t="str">
        <f>IF(CG$3&lt;=$B51,INDEX(Input!$I$43:$I$2956,CG$3+$A50),"")</f>
        <v/>
      </c>
      <c r="CH51" s="17" t="str">
        <f>IF(CH$3&lt;=$B51,INDEX(Input!$I$43:$I$2956,CH$3+$A50),"")</f>
        <v/>
      </c>
      <c r="CI51" s="17" t="str">
        <f>IF(CI$3&lt;=$B51,INDEX(Input!$I$43:$I$2956,CI$3+$A50),"")</f>
        <v/>
      </c>
      <c r="CJ51" s="17" t="str">
        <f>IF(CJ$3&lt;=$B51,INDEX(Input!$I$43:$I$2956,CJ$3+$A50),"")</f>
        <v/>
      </c>
      <c r="CK51" s="17" t="str">
        <f>IF(CK$3&lt;=$B51,INDEX(Input!$I$43:$I$2956,CK$3+$A50),"")</f>
        <v/>
      </c>
      <c r="CL51" s="17" t="str">
        <f>IF(CL$3&lt;=$B51,INDEX(Input!$I$43:$I$2956,CL$3+$A50),"")</f>
        <v/>
      </c>
      <c r="CM51" s="17" t="str">
        <f>IF(CM$3&lt;=$B51,INDEX(Input!$I$43:$I$2956,CM$3+$A50),"")</f>
        <v/>
      </c>
      <c r="CN51" s="17" t="str">
        <f>IF(CN$3&lt;=$B51,INDEX(Input!$I$43:$I$2956,CN$3+$A50),"")</f>
        <v/>
      </c>
      <c r="CO51" s="17" t="str">
        <f>IF(CO$3&lt;=$B51,INDEX(Input!$I$43:$I$2956,CO$3+$A50),"")</f>
        <v/>
      </c>
      <c r="CP51" s="17" t="str">
        <f>IF(CP$3&lt;=$B51,INDEX(Input!$I$43:$I$2956,CP$3+$A50),"")</f>
        <v/>
      </c>
      <c r="CQ51" s="17" t="str">
        <f>IF(CQ$3&lt;=$B51,INDEX(Input!$I$43:$I$2956,CQ$3+$A50),"")</f>
        <v/>
      </c>
      <c r="CR51" s="17" t="str">
        <f>IF(CR$3&lt;=$B51,INDEX(Input!$I$43:$I$2956,CR$3+$A50),"")</f>
        <v/>
      </c>
      <c r="CS51" s="17" t="str">
        <f>IF(CS$3&lt;=$B51,INDEX(Input!$I$43:$I$2956,CS$3+$A50),"")</f>
        <v/>
      </c>
      <c r="CT51" s="17" t="str">
        <f>IF(CT$3&lt;=$B51,INDEX(Input!$I$43:$I$2956,CT$3+$A50),"")</f>
        <v/>
      </c>
      <c r="CU51" s="17" t="str">
        <f>IF(CU$3&lt;=$B51,INDEX(Input!$I$43:$I$2956,CU$3+$A50),"")</f>
        <v/>
      </c>
      <c r="CV51" s="17" t="str">
        <f>IF(CV$3&lt;=$B51,INDEX(Input!$I$43:$I$2956,CV$3+$A50),"")</f>
        <v/>
      </c>
      <c r="CW51" s="17" t="str">
        <f>IF(CW$3&lt;=$B51,INDEX(Input!$I$43:$I$2956,CW$3+$A50),"")</f>
        <v/>
      </c>
      <c r="CX51" s="17" t="str">
        <f>IF(CX$3&lt;=$B51,INDEX(Input!$I$43:$I$2956,CX$3+$A50),"")</f>
        <v/>
      </c>
      <c r="CY51" s="17" t="str">
        <f>IF(CY$3&lt;=$B51,INDEX(Input!$I$43:$I$2956,CY$3+$A50),"")</f>
        <v/>
      </c>
      <c r="CZ51" s="17" t="str">
        <f>IF(CZ$3&lt;=$B51,INDEX(Input!$I$43:$I$2956,CZ$3+$A50),"")</f>
        <v/>
      </c>
      <c r="DA51" s="17" t="str">
        <f>IF(DA$3&lt;=$B51,INDEX(Input!$I$43:$I$2956,DA$3+$A50),"")</f>
        <v/>
      </c>
      <c r="DB51" s="17" t="str">
        <f>IF(DB$3&lt;=$B51,INDEX(Input!$I$43:$I$2956,DB$3+$A50),"")</f>
        <v/>
      </c>
      <c r="DC51" s="17" t="str">
        <f>IF(DC$3&lt;=$B51,INDEX(Input!$I$43:$I$2956,DC$3+$A50),"")</f>
        <v/>
      </c>
      <c r="DD51" s="17" t="str">
        <f>IF(DD$3&lt;=$B51,INDEX(Input!$I$43:$I$2956,DD$3+$A50),"")</f>
        <v/>
      </c>
      <c r="DE51" s="17" t="str">
        <f>IF(DE$3&lt;=$B51,INDEX(Input!$I$43:$I$2956,DE$3+$A50),"")</f>
        <v/>
      </c>
      <c r="DF51" s="17" t="str">
        <f>IF(DF$3&lt;=$B51,INDEX(Input!$I$43:$I$2956,DF$3+$A50),"")</f>
        <v/>
      </c>
      <c r="DG51" s="17" t="str">
        <f>IF(DG$3&lt;=$B51,INDEX(Input!$I$43:$I$2956,DG$3+$A50),"")</f>
        <v/>
      </c>
      <c r="DH51" s="17" t="str">
        <f>IF(DH$3&lt;=$B51,INDEX(Input!$I$43:$I$2956,DH$3+$A50),"")</f>
        <v/>
      </c>
      <c r="DI51" s="17" t="str">
        <f>IF(DI$3&lt;=$B51,INDEX(Input!$I$43:$I$2956,DI$3+$A50),"")</f>
        <v/>
      </c>
      <c r="DJ51" s="17" t="str">
        <f>IF(DJ$3&lt;=$B51,INDEX(Input!$I$43:$I$2956,DJ$3+$A50),"")</f>
        <v/>
      </c>
      <c r="DK51" s="17" t="str">
        <f>IF(DK$3&lt;=$B51,INDEX(Input!$I$43:$I$2956,DK$3+$A50),"")</f>
        <v/>
      </c>
      <c r="DL51" s="17" t="str">
        <f>IF(DL$3&lt;=$B51,INDEX(Input!$I$43:$I$2956,DL$3+$A50),"")</f>
        <v/>
      </c>
      <c r="DM51" s="17" t="str">
        <f>IF(DM$3&lt;=$B51,INDEX(Input!$I$43:$I$2956,DM$3+$A50),"")</f>
        <v/>
      </c>
      <c r="DN51" s="17" t="str">
        <f>IF(DN$3&lt;=$B51,INDEX(Input!$I$43:$I$2956,DN$3+$A50),"")</f>
        <v/>
      </c>
      <c r="DO51" s="17" t="str">
        <f>IF(DO$3&lt;=$B51,INDEX(Input!$I$43:$I$2956,DO$3+$A50),"")</f>
        <v/>
      </c>
      <c r="DP51" s="17" t="str">
        <f>IF(DP$3&lt;=$B51,INDEX(Input!$I$43:$I$2956,DP$3+$A50),"")</f>
        <v/>
      </c>
      <c r="DQ51" s="17" t="str">
        <f>IF(DQ$3&lt;=$B51,INDEX(Input!$I$43:$I$2956,DQ$3+$A50),"")</f>
        <v/>
      </c>
      <c r="DR51" s="17" t="str">
        <f>IF(DR$3&lt;=$B51,INDEX(Input!$I$43:$I$2956,DR$3+$A50),"")</f>
        <v/>
      </c>
      <c r="DS51" s="17" t="str">
        <f>IF(DS$3&lt;=$B51,INDEX(Input!$I$43:$I$2956,DS$3+$A50),"")</f>
        <v/>
      </c>
      <c r="DT51" s="17" t="str">
        <f>IF(DT$3&lt;=$B51,INDEX(Input!$I$43:$I$2956,DT$3+$A50),"")</f>
        <v/>
      </c>
      <c r="DU51" s="17" t="str">
        <f>IF(DU$3&lt;=$B51,INDEX(Input!$I$43:$I$2956,DU$3+$A50),"")</f>
        <v/>
      </c>
      <c r="DV51" s="17" t="str">
        <f>IF(DV$3&lt;=$B51,INDEX(Input!$I$43:$I$2956,DV$3+$A50),"")</f>
        <v/>
      </c>
      <c r="DW51" s="58" t="str">
        <f t="array" ref="DW51:EZ51">IFERROR(eccalc(E51:DV51,C51+B51,B51,$O$2:$AS$2),"")</f>
        <v/>
      </c>
      <c r="DX51" s="59" t="str">
        <v/>
      </c>
      <c r="DY51" s="59" t="str">
        <v/>
      </c>
      <c r="DZ51" s="59" t="str">
        <v/>
      </c>
      <c r="EA51" s="59" t="str">
        <v/>
      </c>
      <c r="EB51" s="59" t="str">
        <v/>
      </c>
      <c r="EC51" s="59" t="str">
        <v/>
      </c>
      <c r="ED51" s="59" t="str">
        <v/>
      </c>
      <c r="EE51" s="59" t="str">
        <v/>
      </c>
      <c r="EF51" s="59" t="str">
        <v/>
      </c>
      <c r="EG51" s="59" t="str">
        <v/>
      </c>
      <c r="EH51" s="59" t="str">
        <v/>
      </c>
      <c r="EI51" s="59" t="str">
        <v/>
      </c>
      <c r="EJ51" s="59" t="str">
        <v/>
      </c>
      <c r="EK51" s="59" t="str">
        <v/>
      </c>
      <c r="EL51" s="59" t="str">
        <v/>
      </c>
      <c r="EM51" s="59" t="str">
        <v/>
      </c>
      <c r="EN51" s="59" t="str">
        <v/>
      </c>
      <c r="EO51" s="59" t="str">
        <v/>
      </c>
      <c r="EP51" s="59" t="str">
        <v/>
      </c>
      <c r="EQ51" s="59" t="str">
        <v/>
      </c>
      <c r="ER51" s="59" t="str">
        <v/>
      </c>
      <c r="ES51" s="59" t="str">
        <v/>
      </c>
      <c r="ET51" s="59" t="str">
        <v/>
      </c>
      <c r="EU51" s="59" t="str">
        <v/>
      </c>
      <c r="EV51" s="59" t="str">
        <v/>
      </c>
      <c r="EW51" s="59" t="str">
        <v/>
      </c>
      <c r="EX51" s="59" t="str">
        <v/>
      </c>
      <c r="EY51" s="59" t="str">
        <v/>
      </c>
      <c r="EZ51" s="60" t="str">
        <v/>
      </c>
      <c r="FA51" s="17"/>
      <c r="FC51">
        <v>48</v>
      </c>
      <c r="FD51">
        <f t="shared" si="2"/>
        <v>16</v>
      </c>
      <c r="FE51">
        <f t="shared" si="3"/>
        <v>3</v>
      </c>
      <c r="FF51" t="str">
        <f t="shared" si="4"/>
        <v/>
      </c>
      <c r="FI51" s="16">
        <v>48</v>
      </c>
      <c r="FJ51" s="17">
        <f t="shared" si="5"/>
        <v>0</v>
      </c>
      <c r="FK51" s="17" t="str">
        <f t="shared" si="6"/>
        <v/>
      </c>
      <c r="FL51" s="18" t="str">
        <f t="shared" si="7"/>
        <v/>
      </c>
      <c r="FM51" s="2"/>
    </row>
    <row r="52" spans="1:169">
      <c r="A52">
        <f>SUM($B$4:B52)</f>
        <v>196</v>
      </c>
      <c r="B52">
        <f t="shared" si="0"/>
        <v>0</v>
      </c>
      <c r="C52" t="str">
        <f t="shared" si="1"/>
        <v/>
      </c>
      <c r="D52">
        <v>49</v>
      </c>
      <c r="E52" s="16" t="str">
        <f>IF(E$3&lt;=$B52,INDEX(Input!$I$43:$I$2956,E$3+$A51),"")</f>
        <v/>
      </c>
      <c r="F52" s="17" t="str">
        <f>IF(F$3&lt;=$B52,INDEX(Input!$I$43:$I$2956,F$3+$A51),"")</f>
        <v/>
      </c>
      <c r="G52" s="17" t="str">
        <f>IF(G$3&lt;=$B52,INDEX(Input!$I$43:$I$2956,G$3+$A51),"")</f>
        <v/>
      </c>
      <c r="H52" s="17" t="str">
        <f>IF(H$3&lt;=$B52,INDEX(Input!$I$43:$I$2956,H$3+$A51),"")</f>
        <v/>
      </c>
      <c r="I52" s="17" t="str">
        <f>IF(I$3&lt;=$B52,INDEX(Input!$I$43:$I$2956,I$3+$A51),"")</f>
        <v/>
      </c>
      <c r="J52" s="17" t="str">
        <f>IF(J$3&lt;=$B52,INDEX(Input!$I$43:$I$2956,J$3+$A51),"")</f>
        <v/>
      </c>
      <c r="K52" s="17" t="str">
        <f>IF(K$3&lt;=$B52,INDEX(Input!$I$43:$I$2956,K$3+$A51),"")</f>
        <v/>
      </c>
      <c r="L52" s="17" t="str">
        <f>IF(L$3&lt;=$B52,INDEX(Input!$I$43:$I$2956,L$3+$A51),"")</f>
        <v/>
      </c>
      <c r="M52" s="17" t="str">
        <f>IF(M$3&lt;=$B52,INDEX(Input!$I$43:$I$2956,M$3+$A51),"")</f>
        <v/>
      </c>
      <c r="N52" s="17" t="str">
        <f>IF(N$3&lt;=$B52,INDEX(Input!$I$43:$I$2956,N$3+$A51),"")</f>
        <v/>
      </c>
      <c r="O52" s="17" t="str">
        <f>IF(O$3&lt;=$B52,INDEX(Input!$I$43:$I$2956,O$3+$A51),"")</f>
        <v/>
      </c>
      <c r="P52" s="17" t="str">
        <f>IF(P$3&lt;=$B52,INDEX(Input!$I$43:$I$2956,P$3+$A51),"")</f>
        <v/>
      </c>
      <c r="Q52" s="17" t="str">
        <f>IF(Q$3&lt;=$B52,INDEX(Input!$I$43:$I$2956,Q$3+$A51),"")</f>
        <v/>
      </c>
      <c r="R52" s="17" t="str">
        <f>IF(R$3&lt;=$B52,INDEX(Input!$I$43:$I$2956,R$3+$A51),"")</f>
        <v/>
      </c>
      <c r="S52" s="17" t="str">
        <f>IF(S$3&lt;=$B52,INDEX(Input!$I$43:$I$2956,S$3+$A51),"")</f>
        <v/>
      </c>
      <c r="T52" s="17" t="str">
        <f>IF(T$3&lt;=$B52,INDEX(Input!$I$43:$I$2956,T$3+$A51),"")</f>
        <v/>
      </c>
      <c r="U52" s="17" t="str">
        <f>IF(U$3&lt;=$B52,INDEX(Input!$I$43:$I$2956,U$3+$A51),"")</f>
        <v/>
      </c>
      <c r="V52" s="17" t="str">
        <f>IF(V$3&lt;=$B52,INDEX(Input!$I$43:$I$2956,V$3+$A51),"")</f>
        <v/>
      </c>
      <c r="W52" s="17" t="str">
        <f>IF(W$3&lt;=$B52,INDEX(Input!$I$43:$I$2956,W$3+$A51),"")</f>
        <v/>
      </c>
      <c r="X52" s="17" t="str">
        <f>IF(X$3&lt;=$B52,INDEX(Input!$I$43:$I$2956,X$3+$A51),"")</f>
        <v/>
      </c>
      <c r="Y52" s="17" t="str">
        <f>IF(Y$3&lt;=$B52,INDEX(Input!$I$43:$I$2956,Y$3+$A51),"")</f>
        <v/>
      </c>
      <c r="Z52" s="17" t="str">
        <f>IF(Z$3&lt;=$B52,INDEX(Input!$I$43:$I$2956,Z$3+$A51),"")</f>
        <v/>
      </c>
      <c r="AA52" s="17" t="str">
        <f>IF(AA$3&lt;=$B52,INDEX(Input!$I$43:$I$2956,AA$3+$A51),"")</f>
        <v/>
      </c>
      <c r="AB52" s="17" t="str">
        <f>IF(AB$3&lt;=$B52,INDEX(Input!$I$43:$I$2956,AB$3+$A51),"")</f>
        <v/>
      </c>
      <c r="AC52" s="17" t="str">
        <f>IF(AC$3&lt;=$B52,INDEX(Input!$I$43:$I$2956,AC$3+$A51),"")</f>
        <v/>
      </c>
      <c r="AD52" s="17" t="str">
        <f>IF(AD$3&lt;=$B52,INDEX(Input!$I$43:$I$2956,AD$3+$A51),"")</f>
        <v/>
      </c>
      <c r="AE52" s="17" t="str">
        <f>IF(AE$3&lt;=$B52,INDEX(Input!$I$43:$I$2956,AE$3+$A51),"")</f>
        <v/>
      </c>
      <c r="AF52" s="17" t="str">
        <f>IF(AF$3&lt;=$B52,INDEX(Input!$I$43:$I$2956,AF$3+$A51),"")</f>
        <v/>
      </c>
      <c r="AG52" s="17" t="str">
        <f>IF(AG$3&lt;=$B52,INDEX(Input!$I$43:$I$2956,AG$3+$A51),"")</f>
        <v/>
      </c>
      <c r="AH52" s="17" t="str">
        <f>IF(AH$3&lt;=$B52,INDEX(Input!$I$43:$I$2956,AH$3+$A51),"")</f>
        <v/>
      </c>
      <c r="AI52" s="17" t="str">
        <f>IF(AI$3&lt;=$B52,INDEX(Input!$I$43:$I$2956,AI$3+$A51),"")</f>
        <v/>
      </c>
      <c r="AJ52" s="17" t="str">
        <f>IF(AJ$3&lt;=$B52,INDEX(Input!$I$43:$I$2956,AJ$3+$A51),"")</f>
        <v/>
      </c>
      <c r="AK52" s="17" t="str">
        <f>IF(AK$3&lt;=$B52,INDEX(Input!$I$43:$I$2956,AK$3+$A51),"")</f>
        <v/>
      </c>
      <c r="AL52" s="17" t="str">
        <f>IF(AL$3&lt;=$B52,INDEX(Input!$I$43:$I$2956,AL$3+$A51),"")</f>
        <v/>
      </c>
      <c r="AM52" s="17" t="str">
        <f>IF(AM$3&lt;=$B52,INDEX(Input!$I$43:$I$2956,AM$3+$A51),"")</f>
        <v/>
      </c>
      <c r="AN52" s="17" t="str">
        <f>IF(AN$3&lt;=$B52,INDEX(Input!$I$43:$I$2956,AN$3+$A51),"")</f>
        <v/>
      </c>
      <c r="AO52" s="17" t="str">
        <f>IF(AO$3&lt;=$B52,INDEX(Input!$I$43:$I$2956,AO$3+$A51),"")</f>
        <v/>
      </c>
      <c r="AP52" s="17" t="str">
        <f>IF(AP$3&lt;=$B52,INDEX(Input!$I$43:$I$2956,AP$3+$A51),"")</f>
        <v/>
      </c>
      <c r="AQ52" s="17" t="str">
        <f>IF(AQ$3&lt;=$B52,INDEX(Input!$I$43:$I$2956,AQ$3+$A51),"")</f>
        <v/>
      </c>
      <c r="AR52" s="17" t="str">
        <f>IF(AR$3&lt;=$B52,INDEX(Input!$I$43:$I$2956,AR$3+$A51),"")</f>
        <v/>
      </c>
      <c r="AS52" s="17" t="str">
        <f>IF(AS$3&lt;=$B52,INDEX(Input!$I$43:$I$2956,AS$3+$A51),"")</f>
        <v/>
      </c>
      <c r="AT52" s="17" t="str">
        <f>IF(AT$3&lt;=$B52,INDEX(Input!$I$43:$I$2956,AT$3+$A51),"")</f>
        <v/>
      </c>
      <c r="AU52" s="17" t="str">
        <f>IF(AU$3&lt;=$B52,INDEX(Input!$I$43:$I$2956,AU$3+$A51),"")</f>
        <v/>
      </c>
      <c r="AV52" s="17" t="str">
        <f>IF(AV$3&lt;=$B52,INDEX(Input!$I$43:$I$2956,AV$3+$A51),"")</f>
        <v/>
      </c>
      <c r="AW52" s="17" t="str">
        <f>IF(AW$3&lt;=$B52,INDEX(Input!$I$43:$I$2956,AW$3+$A51),"")</f>
        <v/>
      </c>
      <c r="AX52" s="17" t="str">
        <f>IF(AX$3&lt;=$B52,INDEX(Input!$I$43:$I$2956,AX$3+$A51),"")</f>
        <v/>
      </c>
      <c r="AY52" s="17" t="str">
        <f>IF(AY$3&lt;=$B52,INDEX(Input!$I$43:$I$2956,AY$3+$A51),"")</f>
        <v/>
      </c>
      <c r="AZ52" s="17" t="str">
        <f>IF(AZ$3&lt;=$B52,INDEX(Input!$I$43:$I$2956,AZ$3+$A51),"")</f>
        <v/>
      </c>
      <c r="BA52" s="17" t="str">
        <f>IF(BA$3&lt;=$B52,INDEX(Input!$I$43:$I$2956,BA$3+$A51),"")</f>
        <v/>
      </c>
      <c r="BB52" s="17" t="str">
        <f>IF(BB$3&lt;=$B52,INDEX(Input!$I$43:$I$2956,BB$3+$A51),"")</f>
        <v/>
      </c>
      <c r="BC52" s="17" t="str">
        <f>IF(BC$3&lt;=$B52,INDEX(Input!$I$43:$I$2956,BC$3+$A51),"")</f>
        <v/>
      </c>
      <c r="BD52" s="17" t="str">
        <f>IF(BD$3&lt;=$B52,INDEX(Input!$I$43:$I$2956,BD$3+$A51),"")</f>
        <v/>
      </c>
      <c r="BE52" s="17" t="str">
        <f>IF(BE$3&lt;=$B52,INDEX(Input!$I$43:$I$2956,BE$3+$A51),"")</f>
        <v/>
      </c>
      <c r="BF52" s="17" t="str">
        <f>IF(BF$3&lt;=$B52,INDEX(Input!$I$43:$I$2956,BF$3+$A51),"")</f>
        <v/>
      </c>
      <c r="BG52" s="17" t="str">
        <f>IF(BG$3&lt;=$B52,INDEX(Input!$I$43:$I$2956,BG$3+$A51),"")</f>
        <v/>
      </c>
      <c r="BH52" s="17" t="str">
        <f>IF(BH$3&lt;=$B52,INDEX(Input!$I$43:$I$2956,BH$3+$A51),"")</f>
        <v/>
      </c>
      <c r="BI52" s="17" t="str">
        <f>IF(BI$3&lt;=$B52,INDEX(Input!$I$43:$I$2956,BI$3+$A51),"")</f>
        <v/>
      </c>
      <c r="BJ52" s="17" t="str">
        <f>IF(BJ$3&lt;=$B52,INDEX(Input!$I$43:$I$2956,BJ$3+$A51),"")</f>
        <v/>
      </c>
      <c r="BK52" s="17" t="str">
        <f>IF(BK$3&lt;=$B52,INDEX(Input!$I$43:$I$2956,BK$3+$A51),"")</f>
        <v/>
      </c>
      <c r="BL52" s="17" t="str">
        <f>IF(BL$3&lt;=$B52,INDEX(Input!$I$43:$I$2956,BL$3+$A51),"")</f>
        <v/>
      </c>
      <c r="BM52" s="17" t="str">
        <f>IF(BM$3&lt;=$B52,INDEX(Input!$I$43:$I$2956,BM$3+$A51),"")</f>
        <v/>
      </c>
      <c r="BN52" s="17" t="str">
        <f>IF(BN$3&lt;=$B52,INDEX(Input!$I$43:$I$2956,BN$3+$A51),"")</f>
        <v/>
      </c>
      <c r="BO52" s="17" t="str">
        <f>IF(BO$3&lt;=$B52,INDEX(Input!$I$43:$I$2956,BO$3+$A51),"")</f>
        <v/>
      </c>
      <c r="BP52" s="17" t="str">
        <f>IF(BP$3&lt;=$B52,INDEX(Input!$I$43:$I$2956,BP$3+$A51),"")</f>
        <v/>
      </c>
      <c r="BQ52" s="17" t="str">
        <f>IF(BQ$3&lt;=$B52,INDEX(Input!$I$43:$I$2956,BQ$3+$A51),"")</f>
        <v/>
      </c>
      <c r="BR52" s="17" t="str">
        <f>IF(BR$3&lt;=$B52,INDEX(Input!$I$43:$I$2956,BR$3+$A51),"")</f>
        <v/>
      </c>
      <c r="BS52" s="17" t="str">
        <f>IF(BS$3&lt;=$B52,INDEX(Input!$I$43:$I$2956,BS$3+$A51),"")</f>
        <v/>
      </c>
      <c r="BT52" s="17" t="str">
        <f>IF(BT$3&lt;=$B52,INDEX(Input!$I$43:$I$2956,BT$3+$A51),"")</f>
        <v/>
      </c>
      <c r="BU52" s="17" t="str">
        <f>IF(BU$3&lt;=$B52,INDEX(Input!$I$43:$I$2956,BU$3+$A51),"")</f>
        <v/>
      </c>
      <c r="BV52" s="17" t="str">
        <f>IF(BV$3&lt;=$B52,INDEX(Input!$I$43:$I$2956,BV$3+$A51),"")</f>
        <v/>
      </c>
      <c r="BW52" s="17" t="str">
        <f>IF(BW$3&lt;=$B52,INDEX(Input!$I$43:$I$2956,BW$3+$A51),"")</f>
        <v/>
      </c>
      <c r="BX52" s="17" t="str">
        <f>IF(BX$3&lt;=$B52,INDEX(Input!$I$43:$I$2956,BX$3+$A51),"")</f>
        <v/>
      </c>
      <c r="BY52" s="17" t="str">
        <f>IF(BY$3&lt;=$B52,INDEX(Input!$I$43:$I$2956,BY$3+$A51),"")</f>
        <v/>
      </c>
      <c r="BZ52" s="17" t="str">
        <f>IF(BZ$3&lt;=$B52,INDEX(Input!$I$43:$I$2956,BZ$3+$A51),"")</f>
        <v/>
      </c>
      <c r="CA52" s="17" t="str">
        <f>IF(CA$3&lt;=$B52,INDEX(Input!$I$43:$I$2956,CA$3+$A51),"")</f>
        <v/>
      </c>
      <c r="CB52" s="17" t="str">
        <f>IF(CB$3&lt;=$B52,INDEX(Input!$I$43:$I$2956,CB$3+$A51),"")</f>
        <v/>
      </c>
      <c r="CC52" s="17" t="str">
        <f>IF(CC$3&lt;=$B52,INDEX(Input!$I$43:$I$2956,CC$3+$A51),"")</f>
        <v/>
      </c>
      <c r="CD52" s="17" t="str">
        <f>IF(CD$3&lt;=$B52,INDEX(Input!$I$43:$I$2956,CD$3+$A51),"")</f>
        <v/>
      </c>
      <c r="CE52" s="17" t="str">
        <f>IF(CE$3&lt;=$B52,INDEX(Input!$I$43:$I$2956,CE$3+$A51),"")</f>
        <v/>
      </c>
      <c r="CF52" s="17" t="str">
        <f>IF(CF$3&lt;=$B52,INDEX(Input!$I$43:$I$2956,CF$3+$A51),"")</f>
        <v/>
      </c>
      <c r="CG52" s="17" t="str">
        <f>IF(CG$3&lt;=$B52,INDEX(Input!$I$43:$I$2956,CG$3+$A51),"")</f>
        <v/>
      </c>
      <c r="CH52" s="17" t="str">
        <f>IF(CH$3&lt;=$B52,INDEX(Input!$I$43:$I$2956,CH$3+$A51),"")</f>
        <v/>
      </c>
      <c r="CI52" s="17" t="str">
        <f>IF(CI$3&lt;=$B52,INDEX(Input!$I$43:$I$2956,CI$3+$A51),"")</f>
        <v/>
      </c>
      <c r="CJ52" s="17" t="str">
        <f>IF(CJ$3&lt;=$B52,INDEX(Input!$I$43:$I$2956,CJ$3+$A51),"")</f>
        <v/>
      </c>
      <c r="CK52" s="17" t="str">
        <f>IF(CK$3&lt;=$B52,INDEX(Input!$I$43:$I$2956,CK$3+$A51),"")</f>
        <v/>
      </c>
      <c r="CL52" s="17" t="str">
        <f>IF(CL$3&lt;=$B52,INDEX(Input!$I$43:$I$2956,CL$3+$A51),"")</f>
        <v/>
      </c>
      <c r="CM52" s="17" t="str">
        <f>IF(CM$3&lt;=$B52,INDEX(Input!$I$43:$I$2956,CM$3+$A51),"")</f>
        <v/>
      </c>
      <c r="CN52" s="17" t="str">
        <f>IF(CN$3&lt;=$B52,INDEX(Input!$I$43:$I$2956,CN$3+$A51),"")</f>
        <v/>
      </c>
      <c r="CO52" s="17" t="str">
        <f>IF(CO$3&lt;=$B52,INDEX(Input!$I$43:$I$2956,CO$3+$A51),"")</f>
        <v/>
      </c>
      <c r="CP52" s="17" t="str">
        <f>IF(CP$3&lt;=$B52,INDEX(Input!$I$43:$I$2956,CP$3+$A51),"")</f>
        <v/>
      </c>
      <c r="CQ52" s="17" t="str">
        <f>IF(CQ$3&lt;=$B52,INDEX(Input!$I$43:$I$2956,CQ$3+$A51),"")</f>
        <v/>
      </c>
      <c r="CR52" s="17" t="str">
        <f>IF(CR$3&lt;=$B52,INDEX(Input!$I$43:$I$2956,CR$3+$A51),"")</f>
        <v/>
      </c>
      <c r="CS52" s="17" t="str">
        <f>IF(CS$3&lt;=$B52,INDEX(Input!$I$43:$I$2956,CS$3+$A51),"")</f>
        <v/>
      </c>
      <c r="CT52" s="17" t="str">
        <f>IF(CT$3&lt;=$B52,INDEX(Input!$I$43:$I$2956,CT$3+$A51),"")</f>
        <v/>
      </c>
      <c r="CU52" s="17" t="str">
        <f>IF(CU$3&lt;=$B52,INDEX(Input!$I$43:$I$2956,CU$3+$A51),"")</f>
        <v/>
      </c>
      <c r="CV52" s="17" t="str">
        <f>IF(CV$3&lt;=$B52,INDEX(Input!$I$43:$I$2956,CV$3+$A51),"")</f>
        <v/>
      </c>
      <c r="CW52" s="17" t="str">
        <f>IF(CW$3&lt;=$B52,INDEX(Input!$I$43:$I$2956,CW$3+$A51),"")</f>
        <v/>
      </c>
      <c r="CX52" s="17" t="str">
        <f>IF(CX$3&lt;=$B52,INDEX(Input!$I$43:$I$2956,CX$3+$A51),"")</f>
        <v/>
      </c>
      <c r="CY52" s="17" t="str">
        <f>IF(CY$3&lt;=$B52,INDEX(Input!$I$43:$I$2956,CY$3+$A51),"")</f>
        <v/>
      </c>
      <c r="CZ52" s="17" t="str">
        <f>IF(CZ$3&lt;=$B52,INDEX(Input!$I$43:$I$2956,CZ$3+$A51),"")</f>
        <v/>
      </c>
      <c r="DA52" s="17" t="str">
        <f>IF(DA$3&lt;=$B52,INDEX(Input!$I$43:$I$2956,DA$3+$A51),"")</f>
        <v/>
      </c>
      <c r="DB52" s="17" t="str">
        <f>IF(DB$3&lt;=$B52,INDEX(Input!$I$43:$I$2956,DB$3+$A51),"")</f>
        <v/>
      </c>
      <c r="DC52" s="17" t="str">
        <f>IF(DC$3&lt;=$B52,INDEX(Input!$I$43:$I$2956,DC$3+$A51),"")</f>
        <v/>
      </c>
      <c r="DD52" s="17" t="str">
        <f>IF(DD$3&lt;=$B52,INDEX(Input!$I$43:$I$2956,DD$3+$A51),"")</f>
        <v/>
      </c>
      <c r="DE52" s="17" t="str">
        <f>IF(DE$3&lt;=$B52,INDEX(Input!$I$43:$I$2956,DE$3+$A51),"")</f>
        <v/>
      </c>
      <c r="DF52" s="17" t="str">
        <f>IF(DF$3&lt;=$B52,INDEX(Input!$I$43:$I$2956,DF$3+$A51),"")</f>
        <v/>
      </c>
      <c r="DG52" s="17" t="str">
        <f>IF(DG$3&lt;=$B52,INDEX(Input!$I$43:$I$2956,DG$3+$A51),"")</f>
        <v/>
      </c>
      <c r="DH52" s="17" t="str">
        <f>IF(DH$3&lt;=$B52,INDEX(Input!$I$43:$I$2956,DH$3+$A51),"")</f>
        <v/>
      </c>
      <c r="DI52" s="17" t="str">
        <f>IF(DI$3&lt;=$B52,INDEX(Input!$I$43:$I$2956,DI$3+$A51),"")</f>
        <v/>
      </c>
      <c r="DJ52" s="17" t="str">
        <f>IF(DJ$3&lt;=$B52,INDEX(Input!$I$43:$I$2956,DJ$3+$A51),"")</f>
        <v/>
      </c>
      <c r="DK52" s="17" t="str">
        <f>IF(DK$3&lt;=$B52,INDEX(Input!$I$43:$I$2956,DK$3+$A51),"")</f>
        <v/>
      </c>
      <c r="DL52" s="17" t="str">
        <f>IF(DL$3&lt;=$B52,INDEX(Input!$I$43:$I$2956,DL$3+$A51),"")</f>
        <v/>
      </c>
      <c r="DM52" s="17" t="str">
        <f>IF(DM$3&lt;=$B52,INDEX(Input!$I$43:$I$2956,DM$3+$A51),"")</f>
        <v/>
      </c>
      <c r="DN52" s="17" t="str">
        <f>IF(DN$3&lt;=$B52,INDEX(Input!$I$43:$I$2956,DN$3+$A51),"")</f>
        <v/>
      </c>
      <c r="DO52" s="17" t="str">
        <f>IF(DO$3&lt;=$B52,INDEX(Input!$I$43:$I$2956,DO$3+$A51),"")</f>
        <v/>
      </c>
      <c r="DP52" s="17" t="str">
        <f>IF(DP$3&lt;=$B52,INDEX(Input!$I$43:$I$2956,DP$3+$A51),"")</f>
        <v/>
      </c>
      <c r="DQ52" s="17" t="str">
        <f>IF(DQ$3&lt;=$B52,INDEX(Input!$I$43:$I$2956,DQ$3+$A51),"")</f>
        <v/>
      </c>
      <c r="DR52" s="17" t="str">
        <f>IF(DR$3&lt;=$B52,INDEX(Input!$I$43:$I$2956,DR$3+$A51),"")</f>
        <v/>
      </c>
      <c r="DS52" s="17" t="str">
        <f>IF(DS$3&lt;=$B52,INDEX(Input!$I$43:$I$2956,DS$3+$A51),"")</f>
        <v/>
      </c>
      <c r="DT52" s="17" t="str">
        <f>IF(DT$3&lt;=$B52,INDEX(Input!$I$43:$I$2956,DT$3+$A51),"")</f>
        <v/>
      </c>
      <c r="DU52" s="17" t="str">
        <f>IF(DU$3&lt;=$B52,INDEX(Input!$I$43:$I$2956,DU$3+$A51),"")</f>
        <v/>
      </c>
      <c r="DV52" s="17" t="str">
        <f>IF(DV$3&lt;=$B52,INDEX(Input!$I$43:$I$2956,DV$3+$A51),"")</f>
        <v/>
      </c>
      <c r="DW52" s="58" t="str">
        <f t="array" ref="DW52:EZ52">IFERROR(eccalc(E52:DV52,C52+B52,B52,$O$2:$AS$2),"")</f>
        <v/>
      </c>
      <c r="DX52" s="59" t="str">
        <v/>
      </c>
      <c r="DY52" s="59" t="str">
        <v/>
      </c>
      <c r="DZ52" s="59" t="str">
        <v/>
      </c>
      <c r="EA52" s="59" t="str">
        <v/>
      </c>
      <c r="EB52" s="59" t="str">
        <v/>
      </c>
      <c r="EC52" s="59" t="str">
        <v/>
      </c>
      <c r="ED52" s="59" t="str">
        <v/>
      </c>
      <c r="EE52" s="59" t="str">
        <v/>
      </c>
      <c r="EF52" s="59" t="str">
        <v/>
      </c>
      <c r="EG52" s="59" t="str">
        <v/>
      </c>
      <c r="EH52" s="59" t="str">
        <v/>
      </c>
      <c r="EI52" s="59" t="str">
        <v/>
      </c>
      <c r="EJ52" s="59" t="str">
        <v/>
      </c>
      <c r="EK52" s="59" t="str">
        <v/>
      </c>
      <c r="EL52" s="59" t="str">
        <v/>
      </c>
      <c r="EM52" s="59" t="str">
        <v/>
      </c>
      <c r="EN52" s="59" t="str">
        <v/>
      </c>
      <c r="EO52" s="59" t="str">
        <v/>
      </c>
      <c r="EP52" s="59" t="str">
        <v/>
      </c>
      <c r="EQ52" s="59" t="str">
        <v/>
      </c>
      <c r="ER52" s="59" t="str">
        <v/>
      </c>
      <c r="ES52" s="59" t="str">
        <v/>
      </c>
      <c r="ET52" s="59" t="str">
        <v/>
      </c>
      <c r="EU52" s="59" t="str">
        <v/>
      </c>
      <c r="EV52" s="59" t="str">
        <v/>
      </c>
      <c r="EW52" s="59" t="str">
        <v/>
      </c>
      <c r="EX52" s="59" t="str">
        <v/>
      </c>
      <c r="EY52" s="59" t="str">
        <v/>
      </c>
      <c r="EZ52" s="60" t="str">
        <v/>
      </c>
      <c r="FA52" s="17"/>
      <c r="FC52">
        <v>49</v>
      </c>
      <c r="FD52">
        <f t="shared" si="2"/>
        <v>1</v>
      </c>
      <c r="FE52">
        <f t="shared" si="3"/>
        <v>4</v>
      </c>
      <c r="FF52">
        <f t="shared" si="4"/>
        <v>130</v>
      </c>
      <c r="FI52" s="16">
        <v>49</v>
      </c>
      <c r="FJ52" s="17">
        <f t="shared" si="5"/>
        <v>109</v>
      </c>
      <c r="FK52" s="17">
        <f t="shared" si="6"/>
        <v>130</v>
      </c>
      <c r="FL52" s="18" t="str">
        <f t="shared" si="7"/>
        <v>10000010</v>
      </c>
      <c r="FM52" s="2"/>
    </row>
    <row r="53" spans="1:169">
      <c r="A53">
        <f>SUM($B$4:B53)</f>
        <v>196</v>
      </c>
      <c r="B53">
        <f t="shared" si="0"/>
        <v>0</v>
      </c>
      <c r="C53" t="str">
        <f t="shared" si="1"/>
        <v/>
      </c>
      <c r="D53">
        <v>50</v>
      </c>
      <c r="E53" s="16" t="str">
        <f>IF(E$3&lt;=$B53,INDEX(Input!$I$43:$I$2956,E$3+$A52),"")</f>
        <v/>
      </c>
      <c r="F53" s="17" t="str">
        <f>IF(F$3&lt;=$B53,INDEX(Input!$I$43:$I$2956,F$3+$A52),"")</f>
        <v/>
      </c>
      <c r="G53" s="17" t="str">
        <f>IF(G$3&lt;=$B53,INDEX(Input!$I$43:$I$2956,G$3+$A52),"")</f>
        <v/>
      </c>
      <c r="H53" s="17" t="str">
        <f>IF(H$3&lt;=$B53,INDEX(Input!$I$43:$I$2956,H$3+$A52),"")</f>
        <v/>
      </c>
      <c r="I53" s="17" t="str">
        <f>IF(I$3&lt;=$B53,INDEX(Input!$I$43:$I$2956,I$3+$A52),"")</f>
        <v/>
      </c>
      <c r="J53" s="17" t="str">
        <f>IF(J$3&lt;=$B53,INDEX(Input!$I$43:$I$2956,J$3+$A52),"")</f>
        <v/>
      </c>
      <c r="K53" s="17" t="str">
        <f>IF(K$3&lt;=$B53,INDEX(Input!$I$43:$I$2956,K$3+$A52),"")</f>
        <v/>
      </c>
      <c r="L53" s="17" t="str">
        <f>IF(L$3&lt;=$B53,INDEX(Input!$I$43:$I$2956,L$3+$A52),"")</f>
        <v/>
      </c>
      <c r="M53" s="17" t="str">
        <f>IF(M$3&lt;=$B53,INDEX(Input!$I$43:$I$2956,M$3+$A52),"")</f>
        <v/>
      </c>
      <c r="N53" s="17" t="str">
        <f>IF(N$3&lt;=$B53,INDEX(Input!$I$43:$I$2956,N$3+$A52),"")</f>
        <v/>
      </c>
      <c r="O53" s="17" t="str">
        <f>IF(O$3&lt;=$B53,INDEX(Input!$I$43:$I$2956,O$3+$A52),"")</f>
        <v/>
      </c>
      <c r="P53" s="17" t="str">
        <f>IF(P$3&lt;=$B53,INDEX(Input!$I$43:$I$2956,P$3+$A52),"")</f>
        <v/>
      </c>
      <c r="Q53" s="17" t="str">
        <f>IF(Q$3&lt;=$B53,INDEX(Input!$I$43:$I$2956,Q$3+$A52),"")</f>
        <v/>
      </c>
      <c r="R53" s="17" t="str">
        <f>IF(R$3&lt;=$B53,INDEX(Input!$I$43:$I$2956,R$3+$A52),"")</f>
        <v/>
      </c>
      <c r="S53" s="17" t="str">
        <f>IF(S$3&lt;=$B53,INDEX(Input!$I$43:$I$2956,S$3+$A52),"")</f>
        <v/>
      </c>
      <c r="T53" s="17" t="str">
        <f>IF(T$3&lt;=$B53,INDEX(Input!$I$43:$I$2956,T$3+$A52),"")</f>
        <v/>
      </c>
      <c r="U53" s="17" t="str">
        <f>IF(U$3&lt;=$B53,INDEX(Input!$I$43:$I$2956,U$3+$A52),"")</f>
        <v/>
      </c>
      <c r="V53" s="17" t="str">
        <f>IF(V$3&lt;=$B53,INDEX(Input!$I$43:$I$2956,V$3+$A52),"")</f>
        <v/>
      </c>
      <c r="W53" s="17" t="str">
        <f>IF(W$3&lt;=$B53,INDEX(Input!$I$43:$I$2956,W$3+$A52),"")</f>
        <v/>
      </c>
      <c r="X53" s="17" t="str">
        <f>IF(X$3&lt;=$B53,INDEX(Input!$I$43:$I$2956,X$3+$A52),"")</f>
        <v/>
      </c>
      <c r="Y53" s="17" t="str">
        <f>IF(Y$3&lt;=$B53,INDEX(Input!$I$43:$I$2956,Y$3+$A52),"")</f>
        <v/>
      </c>
      <c r="Z53" s="17" t="str">
        <f>IF(Z$3&lt;=$B53,INDEX(Input!$I$43:$I$2956,Z$3+$A52),"")</f>
        <v/>
      </c>
      <c r="AA53" s="17" t="str">
        <f>IF(AA$3&lt;=$B53,INDEX(Input!$I$43:$I$2956,AA$3+$A52),"")</f>
        <v/>
      </c>
      <c r="AB53" s="17" t="str">
        <f>IF(AB$3&lt;=$B53,INDEX(Input!$I$43:$I$2956,AB$3+$A52),"")</f>
        <v/>
      </c>
      <c r="AC53" s="17" t="str">
        <f>IF(AC$3&lt;=$B53,INDEX(Input!$I$43:$I$2956,AC$3+$A52),"")</f>
        <v/>
      </c>
      <c r="AD53" s="17" t="str">
        <f>IF(AD$3&lt;=$B53,INDEX(Input!$I$43:$I$2956,AD$3+$A52),"")</f>
        <v/>
      </c>
      <c r="AE53" s="17" t="str">
        <f>IF(AE$3&lt;=$B53,INDEX(Input!$I$43:$I$2956,AE$3+$A52),"")</f>
        <v/>
      </c>
      <c r="AF53" s="17" t="str">
        <f>IF(AF$3&lt;=$B53,INDEX(Input!$I$43:$I$2956,AF$3+$A52),"")</f>
        <v/>
      </c>
      <c r="AG53" s="17" t="str">
        <f>IF(AG$3&lt;=$B53,INDEX(Input!$I$43:$I$2956,AG$3+$A52),"")</f>
        <v/>
      </c>
      <c r="AH53" s="17" t="str">
        <f>IF(AH$3&lt;=$B53,INDEX(Input!$I$43:$I$2956,AH$3+$A52),"")</f>
        <v/>
      </c>
      <c r="AI53" s="17" t="str">
        <f>IF(AI$3&lt;=$B53,INDEX(Input!$I$43:$I$2956,AI$3+$A52),"")</f>
        <v/>
      </c>
      <c r="AJ53" s="17" t="str">
        <f>IF(AJ$3&lt;=$B53,INDEX(Input!$I$43:$I$2956,AJ$3+$A52),"")</f>
        <v/>
      </c>
      <c r="AK53" s="17" t="str">
        <f>IF(AK$3&lt;=$B53,INDEX(Input!$I$43:$I$2956,AK$3+$A52),"")</f>
        <v/>
      </c>
      <c r="AL53" s="17" t="str">
        <f>IF(AL$3&lt;=$B53,INDEX(Input!$I$43:$I$2956,AL$3+$A52),"")</f>
        <v/>
      </c>
      <c r="AM53" s="17" t="str">
        <f>IF(AM$3&lt;=$B53,INDEX(Input!$I$43:$I$2956,AM$3+$A52),"")</f>
        <v/>
      </c>
      <c r="AN53" s="17" t="str">
        <f>IF(AN$3&lt;=$B53,INDEX(Input!$I$43:$I$2956,AN$3+$A52),"")</f>
        <v/>
      </c>
      <c r="AO53" s="17" t="str">
        <f>IF(AO$3&lt;=$B53,INDEX(Input!$I$43:$I$2956,AO$3+$A52),"")</f>
        <v/>
      </c>
      <c r="AP53" s="17" t="str">
        <f>IF(AP$3&lt;=$B53,INDEX(Input!$I$43:$I$2956,AP$3+$A52),"")</f>
        <v/>
      </c>
      <c r="AQ53" s="17" t="str">
        <f>IF(AQ$3&lt;=$B53,INDEX(Input!$I$43:$I$2956,AQ$3+$A52),"")</f>
        <v/>
      </c>
      <c r="AR53" s="17" t="str">
        <f>IF(AR$3&lt;=$B53,INDEX(Input!$I$43:$I$2956,AR$3+$A52),"")</f>
        <v/>
      </c>
      <c r="AS53" s="17" t="str">
        <f>IF(AS$3&lt;=$B53,INDEX(Input!$I$43:$I$2956,AS$3+$A52),"")</f>
        <v/>
      </c>
      <c r="AT53" s="17" t="str">
        <f>IF(AT$3&lt;=$B53,INDEX(Input!$I$43:$I$2956,AT$3+$A52),"")</f>
        <v/>
      </c>
      <c r="AU53" s="17" t="str">
        <f>IF(AU$3&lt;=$B53,INDEX(Input!$I$43:$I$2956,AU$3+$A52),"")</f>
        <v/>
      </c>
      <c r="AV53" s="17" t="str">
        <f>IF(AV$3&lt;=$B53,INDEX(Input!$I$43:$I$2956,AV$3+$A52),"")</f>
        <v/>
      </c>
      <c r="AW53" s="17" t="str">
        <f>IF(AW$3&lt;=$B53,INDEX(Input!$I$43:$I$2956,AW$3+$A52),"")</f>
        <v/>
      </c>
      <c r="AX53" s="17" t="str">
        <f>IF(AX$3&lt;=$B53,INDEX(Input!$I$43:$I$2956,AX$3+$A52),"")</f>
        <v/>
      </c>
      <c r="AY53" s="17" t="str">
        <f>IF(AY$3&lt;=$B53,INDEX(Input!$I$43:$I$2956,AY$3+$A52),"")</f>
        <v/>
      </c>
      <c r="AZ53" s="17" t="str">
        <f>IF(AZ$3&lt;=$B53,INDEX(Input!$I$43:$I$2956,AZ$3+$A52),"")</f>
        <v/>
      </c>
      <c r="BA53" s="17" t="str">
        <f>IF(BA$3&lt;=$B53,INDEX(Input!$I$43:$I$2956,BA$3+$A52),"")</f>
        <v/>
      </c>
      <c r="BB53" s="17" t="str">
        <f>IF(BB$3&lt;=$B53,INDEX(Input!$I$43:$I$2956,BB$3+$A52),"")</f>
        <v/>
      </c>
      <c r="BC53" s="17" t="str">
        <f>IF(BC$3&lt;=$B53,INDEX(Input!$I$43:$I$2956,BC$3+$A52),"")</f>
        <v/>
      </c>
      <c r="BD53" s="17" t="str">
        <f>IF(BD$3&lt;=$B53,INDEX(Input!$I$43:$I$2956,BD$3+$A52),"")</f>
        <v/>
      </c>
      <c r="BE53" s="17" t="str">
        <f>IF(BE$3&lt;=$B53,INDEX(Input!$I$43:$I$2956,BE$3+$A52),"")</f>
        <v/>
      </c>
      <c r="BF53" s="17" t="str">
        <f>IF(BF$3&lt;=$B53,INDEX(Input!$I$43:$I$2956,BF$3+$A52),"")</f>
        <v/>
      </c>
      <c r="BG53" s="17" t="str">
        <f>IF(BG$3&lt;=$B53,INDEX(Input!$I$43:$I$2956,BG$3+$A52),"")</f>
        <v/>
      </c>
      <c r="BH53" s="17" t="str">
        <f>IF(BH$3&lt;=$B53,INDEX(Input!$I$43:$I$2956,BH$3+$A52),"")</f>
        <v/>
      </c>
      <c r="BI53" s="17" t="str">
        <f>IF(BI$3&lt;=$B53,INDEX(Input!$I$43:$I$2956,BI$3+$A52),"")</f>
        <v/>
      </c>
      <c r="BJ53" s="17" t="str">
        <f>IF(BJ$3&lt;=$B53,INDEX(Input!$I$43:$I$2956,BJ$3+$A52),"")</f>
        <v/>
      </c>
      <c r="BK53" s="17" t="str">
        <f>IF(BK$3&lt;=$B53,INDEX(Input!$I$43:$I$2956,BK$3+$A52),"")</f>
        <v/>
      </c>
      <c r="BL53" s="17" t="str">
        <f>IF(BL$3&lt;=$B53,INDEX(Input!$I$43:$I$2956,BL$3+$A52),"")</f>
        <v/>
      </c>
      <c r="BM53" s="17" t="str">
        <f>IF(BM$3&lt;=$B53,INDEX(Input!$I$43:$I$2956,BM$3+$A52),"")</f>
        <v/>
      </c>
      <c r="BN53" s="17" t="str">
        <f>IF(BN$3&lt;=$B53,INDEX(Input!$I$43:$I$2956,BN$3+$A52),"")</f>
        <v/>
      </c>
      <c r="BO53" s="17" t="str">
        <f>IF(BO$3&lt;=$B53,INDEX(Input!$I$43:$I$2956,BO$3+$A52),"")</f>
        <v/>
      </c>
      <c r="BP53" s="17" t="str">
        <f>IF(BP$3&lt;=$B53,INDEX(Input!$I$43:$I$2956,BP$3+$A52),"")</f>
        <v/>
      </c>
      <c r="BQ53" s="17" t="str">
        <f>IF(BQ$3&lt;=$B53,INDEX(Input!$I$43:$I$2956,BQ$3+$A52),"")</f>
        <v/>
      </c>
      <c r="BR53" s="17" t="str">
        <f>IF(BR$3&lt;=$B53,INDEX(Input!$I$43:$I$2956,BR$3+$A52),"")</f>
        <v/>
      </c>
      <c r="BS53" s="17" t="str">
        <f>IF(BS$3&lt;=$B53,INDEX(Input!$I$43:$I$2956,BS$3+$A52),"")</f>
        <v/>
      </c>
      <c r="BT53" s="17" t="str">
        <f>IF(BT$3&lt;=$B53,INDEX(Input!$I$43:$I$2956,BT$3+$A52),"")</f>
        <v/>
      </c>
      <c r="BU53" s="17" t="str">
        <f>IF(BU$3&lt;=$B53,INDEX(Input!$I$43:$I$2956,BU$3+$A52),"")</f>
        <v/>
      </c>
      <c r="BV53" s="17" t="str">
        <f>IF(BV$3&lt;=$B53,INDEX(Input!$I$43:$I$2956,BV$3+$A52),"")</f>
        <v/>
      </c>
      <c r="BW53" s="17" t="str">
        <f>IF(BW$3&lt;=$B53,INDEX(Input!$I$43:$I$2956,BW$3+$A52),"")</f>
        <v/>
      </c>
      <c r="BX53" s="17" t="str">
        <f>IF(BX$3&lt;=$B53,INDEX(Input!$I$43:$I$2956,BX$3+$A52),"")</f>
        <v/>
      </c>
      <c r="BY53" s="17" t="str">
        <f>IF(BY$3&lt;=$B53,INDEX(Input!$I$43:$I$2956,BY$3+$A52),"")</f>
        <v/>
      </c>
      <c r="BZ53" s="17" t="str">
        <f>IF(BZ$3&lt;=$B53,INDEX(Input!$I$43:$I$2956,BZ$3+$A52),"")</f>
        <v/>
      </c>
      <c r="CA53" s="17" t="str">
        <f>IF(CA$3&lt;=$B53,INDEX(Input!$I$43:$I$2956,CA$3+$A52),"")</f>
        <v/>
      </c>
      <c r="CB53" s="17" t="str">
        <f>IF(CB$3&lt;=$B53,INDEX(Input!$I$43:$I$2956,CB$3+$A52),"")</f>
        <v/>
      </c>
      <c r="CC53" s="17" t="str">
        <f>IF(CC$3&lt;=$B53,INDEX(Input!$I$43:$I$2956,CC$3+$A52),"")</f>
        <v/>
      </c>
      <c r="CD53" s="17" t="str">
        <f>IF(CD$3&lt;=$B53,INDEX(Input!$I$43:$I$2956,CD$3+$A52),"")</f>
        <v/>
      </c>
      <c r="CE53" s="17" t="str">
        <f>IF(CE$3&lt;=$B53,INDEX(Input!$I$43:$I$2956,CE$3+$A52),"")</f>
        <v/>
      </c>
      <c r="CF53" s="17" t="str">
        <f>IF(CF$3&lt;=$B53,INDEX(Input!$I$43:$I$2956,CF$3+$A52),"")</f>
        <v/>
      </c>
      <c r="CG53" s="17" t="str">
        <f>IF(CG$3&lt;=$B53,INDEX(Input!$I$43:$I$2956,CG$3+$A52),"")</f>
        <v/>
      </c>
      <c r="CH53" s="17" t="str">
        <f>IF(CH$3&lt;=$B53,INDEX(Input!$I$43:$I$2956,CH$3+$A52),"")</f>
        <v/>
      </c>
      <c r="CI53" s="17" t="str">
        <f>IF(CI$3&lt;=$B53,INDEX(Input!$I$43:$I$2956,CI$3+$A52),"")</f>
        <v/>
      </c>
      <c r="CJ53" s="17" t="str">
        <f>IF(CJ$3&lt;=$B53,INDEX(Input!$I$43:$I$2956,CJ$3+$A52),"")</f>
        <v/>
      </c>
      <c r="CK53" s="17" t="str">
        <f>IF(CK$3&lt;=$B53,INDEX(Input!$I$43:$I$2956,CK$3+$A52),"")</f>
        <v/>
      </c>
      <c r="CL53" s="17" t="str">
        <f>IF(CL$3&lt;=$B53,INDEX(Input!$I$43:$I$2956,CL$3+$A52),"")</f>
        <v/>
      </c>
      <c r="CM53" s="17" t="str">
        <f>IF(CM$3&lt;=$B53,INDEX(Input!$I$43:$I$2956,CM$3+$A52),"")</f>
        <v/>
      </c>
      <c r="CN53" s="17" t="str">
        <f>IF(CN$3&lt;=$B53,INDEX(Input!$I$43:$I$2956,CN$3+$A52),"")</f>
        <v/>
      </c>
      <c r="CO53" s="17" t="str">
        <f>IF(CO$3&lt;=$B53,INDEX(Input!$I$43:$I$2956,CO$3+$A52),"")</f>
        <v/>
      </c>
      <c r="CP53" s="17" t="str">
        <f>IF(CP$3&lt;=$B53,INDEX(Input!$I$43:$I$2956,CP$3+$A52),"")</f>
        <v/>
      </c>
      <c r="CQ53" s="17" t="str">
        <f>IF(CQ$3&lt;=$B53,INDEX(Input!$I$43:$I$2956,CQ$3+$A52),"")</f>
        <v/>
      </c>
      <c r="CR53" s="17" t="str">
        <f>IF(CR$3&lt;=$B53,INDEX(Input!$I$43:$I$2956,CR$3+$A52),"")</f>
        <v/>
      </c>
      <c r="CS53" s="17" t="str">
        <f>IF(CS$3&lt;=$B53,INDEX(Input!$I$43:$I$2956,CS$3+$A52),"")</f>
        <v/>
      </c>
      <c r="CT53" s="17" t="str">
        <f>IF(CT$3&lt;=$B53,INDEX(Input!$I$43:$I$2956,CT$3+$A52),"")</f>
        <v/>
      </c>
      <c r="CU53" s="17" t="str">
        <f>IF(CU$3&lt;=$B53,INDEX(Input!$I$43:$I$2956,CU$3+$A52),"")</f>
        <v/>
      </c>
      <c r="CV53" s="17" t="str">
        <f>IF(CV$3&lt;=$B53,INDEX(Input!$I$43:$I$2956,CV$3+$A52),"")</f>
        <v/>
      </c>
      <c r="CW53" s="17" t="str">
        <f>IF(CW$3&lt;=$B53,INDEX(Input!$I$43:$I$2956,CW$3+$A52),"")</f>
        <v/>
      </c>
      <c r="CX53" s="17" t="str">
        <f>IF(CX$3&lt;=$B53,INDEX(Input!$I$43:$I$2956,CX$3+$A52),"")</f>
        <v/>
      </c>
      <c r="CY53" s="17" t="str">
        <f>IF(CY$3&lt;=$B53,INDEX(Input!$I$43:$I$2956,CY$3+$A52),"")</f>
        <v/>
      </c>
      <c r="CZ53" s="17" t="str">
        <f>IF(CZ$3&lt;=$B53,INDEX(Input!$I$43:$I$2956,CZ$3+$A52),"")</f>
        <v/>
      </c>
      <c r="DA53" s="17" t="str">
        <f>IF(DA$3&lt;=$B53,INDEX(Input!$I$43:$I$2956,DA$3+$A52),"")</f>
        <v/>
      </c>
      <c r="DB53" s="17" t="str">
        <f>IF(DB$3&lt;=$B53,INDEX(Input!$I$43:$I$2956,DB$3+$A52),"")</f>
        <v/>
      </c>
      <c r="DC53" s="17" t="str">
        <f>IF(DC$3&lt;=$B53,INDEX(Input!$I$43:$I$2956,DC$3+$A52),"")</f>
        <v/>
      </c>
      <c r="DD53" s="17" t="str">
        <f>IF(DD$3&lt;=$B53,INDEX(Input!$I$43:$I$2956,DD$3+$A52),"")</f>
        <v/>
      </c>
      <c r="DE53" s="17" t="str">
        <f>IF(DE$3&lt;=$B53,INDEX(Input!$I$43:$I$2956,DE$3+$A52),"")</f>
        <v/>
      </c>
      <c r="DF53" s="17" t="str">
        <f>IF(DF$3&lt;=$B53,INDEX(Input!$I$43:$I$2956,DF$3+$A52),"")</f>
        <v/>
      </c>
      <c r="DG53" s="17" t="str">
        <f>IF(DG$3&lt;=$B53,INDEX(Input!$I$43:$I$2956,DG$3+$A52),"")</f>
        <v/>
      </c>
      <c r="DH53" s="17" t="str">
        <f>IF(DH$3&lt;=$B53,INDEX(Input!$I$43:$I$2956,DH$3+$A52),"")</f>
        <v/>
      </c>
      <c r="DI53" s="17" t="str">
        <f>IF(DI$3&lt;=$B53,INDEX(Input!$I$43:$I$2956,DI$3+$A52),"")</f>
        <v/>
      </c>
      <c r="DJ53" s="17" t="str">
        <f>IF(DJ$3&lt;=$B53,INDEX(Input!$I$43:$I$2956,DJ$3+$A52),"")</f>
        <v/>
      </c>
      <c r="DK53" s="17" t="str">
        <f>IF(DK$3&lt;=$B53,INDEX(Input!$I$43:$I$2956,DK$3+$A52),"")</f>
        <v/>
      </c>
      <c r="DL53" s="17" t="str">
        <f>IF(DL$3&lt;=$B53,INDEX(Input!$I$43:$I$2956,DL$3+$A52),"")</f>
        <v/>
      </c>
      <c r="DM53" s="17" t="str">
        <f>IF(DM$3&lt;=$B53,INDEX(Input!$I$43:$I$2956,DM$3+$A52),"")</f>
        <v/>
      </c>
      <c r="DN53" s="17" t="str">
        <f>IF(DN$3&lt;=$B53,INDEX(Input!$I$43:$I$2956,DN$3+$A52),"")</f>
        <v/>
      </c>
      <c r="DO53" s="17" t="str">
        <f>IF(DO$3&lt;=$B53,INDEX(Input!$I$43:$I$2956,DO$3+$A52),"")</f>
        <v/>
      </c>
      <c r="DP53" s="17" t="str">
        <f>IF(DP$3&lt;=$B53,INDEX(Input!$I$43:$I$2956,DP$3+$A52),"")</f>
        <v/>
      </c>
      <c r="DQ53" s="17" t="str">
        <f>IF(DQ$3&lt;=$B53,INDEX(Input!$I$43:$I$2956,DQ$3+$A52),"")</f>
        <v/>
      </c>
      <c r="DR53" s="17" t="str">
        <f>IF(DR$3&lt;=$B53,INDEX(Input!$I$43:$I$2956,DR$3+$A52),"")</f>
        <v/>
      </c>
      <c r="DS53" s="17" t="str">
        <f>IF(DS$3&lt;=$B53,INDEX(Input!$I$43:$I$2956,DS$3+$A52),"")</f>
        <v/>
      </c>
      <c r="DT53" s="17" t="str">
        <f>IF(DT$3&lt;=$B53,INDEX(Input!$I$43:$I$2956,DT$3+$A52),"")</f>
        <v/>
      </c>
      <c r="DU53" s="17" t="str">
        <f>IF(DU$3&lt;=$B53,INDEX(Input!$I$43:$I$2956,DU$3+$A52),"")</f>
        <v/>
      </c>
      <c r="DV53" s="17" t="str">
        <f>IF(DV$3&lt;=$B53,INDEX(Input!$I$43:$I$2956,DV$3+$A52),"")</f>
        <v/>
      </c>
      <c r="DW53" s="58" t="str">
        <f t="array" ref="DW53:EZ53">IFERROR(eccalc(E53:DV53,C53+B53,B53,$O$2:$AS$2),"")</f>
        <v/>
      </c>
      <c r="DX53" s="59" t="str">
        <v/>
      </c>
      <c r="DY53" s="59" t="str">
        <v/>
      </c>
      <c r="DZ53" s="59" t="str">
        <v/>
      </c>
      <c r="EA53" s="59" t="str">
        <v/>
      </c>
      <c r="EB53" s="59" t="str">
        <v/>
      </c>
      <c r="EC53" s="59" t="str">
        <v/>
      </c>
      <c r="ED53" s="59" t="str">
        <v/>
      </c>
      <c r="EE53" s="59" t="str">
        <v/>
      </c>
      <c r="EF53" s="59" t="str">
        <v/>
      </c>
      <c r="EG53" s="59" t="str">
        <v/>
      </c>
      <c r="EH53" s="59" t="str">
        <v/>
      </c>
      <c r="EI53" s="59" t="str">
        <v/>
      </c>
      <c r="EJ53" s="59" t="str">
        <v/>
      </c>
      <c r="EK53" s="59" t="str">
        <v/>
      </c>
      <c r="EL53" s="59" t="str">
        <v/>
      </c>
      <c r="EM53" s="59" t="str">
        <v/>
      </c>
      <c r="EN53" s="59" t="str">
        <v/>
      </c>
      <c r="EO53" s="59" t="str">
        <v/>
      </c>
      <c r="EP53" s="59" t="str">
        <v/>
      </c>
      <c r="EQ53" s="59" t="str">
        <v/>
      </c>
      <c r="ER53" s="59" t="str">
        <v/>
      </c>
      <c r="ES53" s="59" t="str">
        <v/>
      </c>
      <c r="ET53" s="59" t="str">
        <v/>
      </c>
      <c r="EU53" s="59" t="str">
        <v/>
      </c>
      <c r="EV53" s="59" t="str">
        <v/>
      </c>
      <c r="EW53" s="59" t="str">
        <v/>
      </c>
      <c r="EX53" s="59" t="str">
        <v/>
      </c>
      <c r="EY53" s="59" t="str">
        <v/>
      </c>
      <c r="EZ53" s="60" t="str">
        <v/>
      </c>
      <c r="FA53" s="17"/>
      <c r="FC53">
        <v>50</v>
      </c>
      <c r="FD53">
        <f t="shared" si="2"/>
        <v>2</v>
      </c>
      <c r="FE53">
        <f t="shared" si="3"/>
        <v>4</v>
      </c>
      <c r="FF53">
        <f t="shared" si="4"/>
        <v>219</v>
      </c>
      <c r="FI53" s="16">
        <v>50</v>
      </c>
      <c r="FJ53" s="17">
        <f t="shared" si="5"/>
        <v>182</v>
      </c>
      <c r="FK53" s="17">
        <f t="shared" si="6"/>
        <v>219</v>
      </c>
      <c r="FL53" s="18" t="str">
        <f t="shared" si="7"/>
        <v>11011011</v>
      </c>
      <c r="FM53" s="2"/>
    </row>
    <row r="54" spans="1:169">
      <c r="A54">
        <f>SUM($B$4:B54)</f>
        <v>196</v>
      </c>
      <c r="B54">
        <f t="shared" si="0"/>
        <v>0</v>
      </c>
      <c r="C54" t="str">
        <f t="shared" si="1"/>
        <v/>
      </c>
      <c r="D54">
        <v>51</v>
      </c>
      <c r="E54" s="16" t="str">
        <f>IF(E$3&lt;=$B54,INDEX(Input!$I$43:$I$2956,E$3+$A53),"")</f>
        <v/>
      </c>
      <c r="F54" s="17" t="str">
        <f>IF(F$3&lt;=$B54,INDEX(Input!$I$43:$I$2956,F$3+$A53),"")</f>
        <v/>
      </c>
      <c r="G54" s="17" t="str">
        <f>IF(G$3&lt;=$B54,INDEX(Input!$I$43:$I$2956,G$3+$A53),"")</f>
        <v/>
      </c>
      <c r="H54" s="17" t="str">
        <f>IF(H$3&lt;=$B54,INDEX(Input!$I$43:$I$2956,H$3+$A53),"")</f>
        <v/>
      </c>
      <c r="I54" s="17" t="str">
        <f>IF(I$3&lt;=$B54,INDEX(Input!$I$43:$I$2956,I$3+$A53),"")</f>
        <v/>
      </c>
      <c r="J54" s="17" t="str">
        <f>IF(J$3&lt;=$B54,INDEX(Input!$I$43:$I$2956,J$3+$A53),"")</f>
        <v/>
      </c>
      <c r="K54" s="17" t="str">
        <f>IF(K$3&lt;=$B54,INDEX(Input!$I$43:$I$2956,K$3+$A53),"")</f>
        <v/>
      </c>
      <c r="L54" s="17" t="str">
        <f>IF(L$3&lt;=$B54,INDEX(Input!$I$43:$I$2956,L$3+$A53),"")</f>
        <v/>
      </c>
      <c r="M54" s="17" t="str">
        <f>IF(M$3&lt;=$B54,INDEX(Input!$I$43:$I$2956,M$3+$A53),"")</f>
        <v/>
      </c>
      <c r="N54" s="17" t="str">
        <f>IF(N$3&lt;=$B54,INDEX(Input!$I$43:$I$2956,N$3+$A53),"")</f>
        <v/>
      </c>
      <c r="O54" s="17" t="str">
        <f>IF(O$3&lt;=$B54,INDEX(Input!$I$43:$I$2956,O$3+$A53),"")</f>
        <v/>
      </c>
      <c r="P54" s="17" t="str">
        <f>IF(P$3&lt;=$B54,INDEX(Input!$I$43:$I$2956,P$3+$A53),"")</f>
        <v/>
      </c>
      <c r="Q54" s="17" t="str">
        <f>IF(Q$3&lt;=$B54,INDEX(Input!$I$43:$I$2956,Q$3+$A53),"")</f>
        <v/>
      </c>
      <c r="R54" s="17" t="str">
        <f>IF(R$3&lt;=$B54,INDEX(Input!$I$43:$I$2956,R$3+$A53),"")</f>
        <v/>
      </c>
      <c r="S54" s="17" t="str">
        <f>IF(S$3&lt;=$B54,INDEX(Input!$I$43:$I$2956,S$3+$A53),"")</f>
        <v/>
      </c>
      <c r="T54" s="17" t="str">
        <f>IF(T$3&lt;=$B54,INDEX(Input!$I$43:$I$2956,T$3+$A53),"")</f>
        <v/>
      </c>
      <c r="U54" s="17" t="str">
        <f>IF(U$3&lt;=$B54,INDEX(Input!$I$43:$I$2956,U$3+$A53),"")</f>
        <v/>
      </c>
      <c r="V54" s="17" t="str">
        <f>IF(V$3&lt;=$B54,INDEX(Input!$I$43:$I$2956,V$3+$A53),"")</f>
        <v/>
      </c>
      <c r="W54" s="17" t="str">
        <f>IF(W$3&lt;=$B54,INDEX(Input!$I$43:$I$2956,W$3+$A53),"")</f>
        <v/>
      </c>
      <c r="X54" s="17" t="str">
        <f>IF(X$3&lt;=$B54,INDEX(Input!$I$43:$I$2956,X$3+$A53),"")</f>
        <v/>
      </c>
      <c r="Y54" s="17" t="str">
        <f>IF(Y$3&lt;=$B54,INDEX(Input!$I$43:$I$2956,Y$3+$A53),"")</f>
        <v/>
      </c>
      <c r="Z54" s="17" t="str">
        <f>IF(Z$3&lt;=$B54,INDEX(Input!$I$43:$I$2956,Z$3+$A53),"")</f>
        <v/>
      </c>
      <c r="AA54" s="17" t="str">
        <f>IF(AA$3&lt;=$B54,INDEX(Input!$I$43:$I$2956,AA$3+$A53),"")</f>
        <v/>
      </c>
      <c r="AB54" s="17" t="str">
        <f>IF(AB$3&lt;=$B54,INDEX(Input!$I$43:$I$2956,AB$3+$A53),"")</f>
        <v/>
      </c>
      <c r="AC54" s="17" t="str">
        <f>IF(AC$3&lt;=$B54,INDEX(Input!$I$43:$I$2956,AC$3+$A53),"")</f>
        <v/>
      </c>
      <c r="AD54" s="17" t="str">
        <f>IF(AD$3&lt;=$B54,INDEX(Input!$I$43:$I$2956,AD$3+$A53),"")</f>
        <v/>
      </c>
      <c r="AE54" s="17" t="str">
        <f>IF(AE$3&lt;=$B54,INDEX(Input!$I$43:$I$2956,AE$3+$A53),"")</f>
        <v/>
      </c>
      <c r="AF54" s="17" t="str">
        <f>IF(AF$3&lt;=$B54,INDEX(Input!$I$43:$I$2956,AF$3+$A53),"")</f>
        <v/>
      </c>
      <c r="AG54" s="17" t="str">
        <f>IF(AG$3&lt;=$B54,INDEX(Input!$I$43:$I$2956,AG$3+$A53),"")</f>
        <v/>
      </c>
      <c r="AH54" s="17" t="str">
        <f>IF(AH$3&lt;=$B54,INDEX(Input!$I$43:$I$2956,AH$3+$A53),"")</f>
        <v/>
      </c>
      <c r="AI54" s="17" t="str">
        <f>IF(AI$3&lt;=$B54,INDEX(Input!$I$43:$I$2956,AI$3+$A53),"")</f>
        <v/>
      </c>
      <c r="AJ54" s="17" t="str">
        <f>IF(AJ$3&lt;=$B54,INDEX(Input!$I$43:$I$2956,AJ$3+$A53),"")</f>
        <v/>
      </c>
      <c r="AK54" s="17" t="str">
        <f>IF(AK$3&lt;=$B54,INDEX(Input!$I$43:$I$2956,AK$3+$A53),"")</f>
        <v/>
      </c>
      <c r="AL54" s="17" t="str">
        <f>IF(AL$3&lt;=$B54,INDEX(Input!$I$43:$I$2956,AL$3+$A53),"")</f>
        <v/>
      </c>
      <c r="AM54" s="17" t="str">
        <f>IF(AM$3&lt;=$B54,INDEX(Input!$I$43:$I$2956,AM$3+$A53),"")</f>
        <v/>
      </c>
      <c r="AN54" s="17" t="str">
        <f>IF(AN$3&lt;=$B54,INDEX(Input!$I$43:$I$2956,AN$3+$A53),"")</f>
        <v/>
      </c>
      <c r="AO54" s="17" t="str">
        <f>IF(AO$3&lt;=$B54,INDEX(Input!$I$43:$I$2956,AO$3+$A53),"")</f>
        <v/>
      </c>
      <c r="AP54" s="17" t="str">
        <f>IF(AP$3&lt;=$B54,INDEX(Input!$I$43:$I$2956,AP$3+$A53),"")</f>
        <v/>
      </c>
      <c r="AQ54" s="17" t="str">
        <f>IF(AQ$3&lt;=$B54,INDEX(Input!$I$43:$I$2956,AQ$3+$A53),"")</f>
        <v/>
      </c>
      <c r="AR54" s="17" t="str">
        <f>IF(AR$3&lt;=$B54,INDEX(Input!$I$43:$I$2956,AR$3+$A53),"")</f>
        <v/>
      </c>
      <c r="AS54" s="17" t="str">
        <f>IF(AS$3&lt;=$B54,INDEX(Input!$I$43:$I$2956,AS$3+$A53),"")</f>
        <v/>
      </c>
      <c r="AT54" s="17" t="str">
        <f>IF(AT$3&lt;=$B54,INDEX(Input!$I$43:$I$2956,AT$3+$A53),"")</f>
        <v/>
      </c>
      <c r="AU54" s="17" t="str">
        <f>IF(AU$3&lt;=$B54,INDEX(Input!$I$43:$I$2956,AU$3+$A53),"")</f>
        <v/>
      </c>
      <c r="AV54" s="17" t="str">
        <f>IF(AV$3&lt;=$B54,INDEX(Input!$I$43:$I$2956,AV$3+$A53),"")</f>
        <v/>
      </c>
      <c r="AW54" s="17" t="str">
        <f>IF(AW$3&lt;=$B54,INDEX(Input!$I$43:$I$2956,AW$3+$A53),"")</f>
        <v/>
      </c>
      <c r="AX54" s="17" t="str">
        <f>IF(AX$3&lt;=$B54,INDEX(Input!$I$43:$I$2956,AX$3+$A53),"")</f>
        <v/>
      </c>
      <c r="AY54" s="17" t="str">
        <f>IF(AY$3&lt;=$B54,INDEX(Input!$I$43:$I$2956,AY$3+$A53),"")</f>
        <v/>
      </c>
      <c r="AZ54" s="17" t="str">
        <f>IF(AZ$3&lt;=$B54,INDEX(Input!$I$43:$I$2956,AZ$3+$A53),"")</f>
        <v/>
      </c>
      <c r="BA54" s="17" t="str">
        <f>IF(BA$3&lt;=$B54,INDEX(Input!$I$43:$I$2956,BA$3+$A53),"")</f>
        <v/>
      </c>
      <c r="BB54" s="17" t="str">
        <f>IF(BB$3&lt;=$B54,INDEX(Input!$I$43:$I$2956,BB$3+$A53),"")</f>
        <v/>
      </c>
      <c r="BC54" s="17" t="str">
        <f>IF(BC$3&lt;=$B54,INDEX(Input!$I$43:$I$2956,BC$3+$A53),"")</f>
        <v/>
      </c>
      <c r="BD54" s="17" t="str">
        <f>IF(BD$3&lt;=$B54,INDEX(Input!$I$43:$I$2956,BD$3+$A53),"")</f>
        <v/>
      </c>
      <c r="BE54" s="17" t="str">
        <f>IF(BE$3&lt;=$B54,INDEX(Input!$I$43:$I$2956,BE$3+$A53),"")</f>
        <v/>
      </c>
      <c r="BF54" s="17" t="str">
        <f>IF(BF$3&lt;=$B54,INDEX(Input!$I$43:$I$2956,BF$3+$A53),"")</f>
        <v/>
      </c>
      <c r="BG54" s="17" t="str">
        <f>IF(BG$3&lt;=$B54,INDEX(Input!$I$43:$I$2956,BG$3+$A53),"")</f>
        <v/>
      </c>
      <c r="BH54" s="17" t="str">
        <f>IF(BH$3&lt;=$B54,INDEX(Input!$I$43:$I$2956,BH$3+$A53),"")</f>
        <v/>
      </c>
      <c r="BI54" s="17" t="str">
        <f>IF(BI$3&lt;=$B54,INDEX(Input!$I$43:$I$2956,BI$3+$A53),"")</f>
        <v/>
      </c>
      <c r="BJ54" s="17" t="str">
        <f>IF(BJ$3&lt;=$B54,INDEX(Input!$I$43:$I$2956,BJ$3+$A53),"")</f>
        <v/>
      </c>
      <c r="BK54" s="17" t="str">
        <f>IF(BK$3&lt;=$B54,INDEX(Input!$I$43:$I$2956,BK$3+$A53),"")</f>
        <v/>
      </c>
      <c r="BL54" s="17" t="str">
        <f>IF(BL$3&lt;=$B54,INDEX(Input!$I$43:$I$2956,BL$3+$A53),"")</f>
        <v/>
      </c>
      <c r="BM54" s="17" t="str">
        <f>IF(BM$3&lt;=$B54,INDEX(Input!$I$43:$I$2956,BM$3+$A53),"")</f>
        <v/>
      </c>
      <c r="BN54" s="17" t="str">
        <f>IF(BN$3&lt;=$B54,INDEX(Input!$I$43:$I$2956,BN$3+$A53),"")</f>
        <v/>
      </c>
      <c r="BO54" s="17" t="str">
        <f>IF(BO$3&lt;=$B54,INDEX(Input!$I$43:$I$2956,BO$3+$A53),"")</f>
        <v/>
      </c>
      <c r="BP54" s="17" t="str">
        <f>IF(BP$3&lt;=$B54,INDEX(Input!$I$43:$I$2956,BP$3+$A53),"")</f>
        <v/>
      </c>
      <c r="BQ54" s="17" t="str">
        <f>IF(BQ$3&lt;=$B54,INDEX(Input!$I$43:$I$2956,BQ$3+$A53),"")</f>
        <v/>
      </c>
      <c r="BR54" s="17" t="str">
        <f>IF(BR$3&lt;=$B54,INDEX(Input!$I$43:$I$2956,BR$3+$A53),"")</f>
        <v/>
      </c>
      <c r="BS54" s="17" t="str">
        <f>IF(BS$3&lt;=$B54,INDEX(Input!$I$43:$I$2956,BS$3+$A53),"")</f>
        <v/>
      </c>
      <c r="BT54" s="17" t="str">
        <f>IF(BT$3&lt;=$B54,INDEX(Input!$I$43:$I$2956,BT$3+$A53),"")</f>
        <v/>
      </c>
      <c r="BU54" s="17" t="str">
        <f>IF(BU$3&lt;=$B54,INDEX(Input!$I$43:$I$2956,BU$3+$A53),"")</f>
        <v/>
      </c>
      <c r="BV54" s="17" t="str">
        <f>IF(BV$3&lt;=$B54,INDEX(Input!$I$43:$I$2956,BV$3+$A53),"")</f>
        <v/>
      </c>
      <c r="BW54" s="17" t="str">
        <f>IF(BW$3&lt;=$B54,INDEX(Input!$I$43:$I$2956,BW$3+$A53),"")</f>
        <v/>
      </c>
      <c r="BX54" s="17" t="str">
        <f>IF(BX$3&lt;=$B54,INDEX(Input!$I$43:$I$2956,BX$3+$A53),"")</f>
        <v/>
      </c>
      <c r="BY54" s="17" t="str">
        <f>IF(BY$3&lt;=$B54,INDEX(Input!$I$43:$I$2956,BY$3+$A53),"")</f>
        <v/>
      </c>
      <c r="BZ54" s="17" t="str">
        <f>IF(BZ$3&lt;=$B54,INDEX(Input!$I$43:$I$2956,BZ$3+$A53),"")</f>
        <v/>
      </c>
      <c r="CA54" s="17" t="str">
        <f>IF(CA$3&lt;=$B54,INDEX(Input!$I$43:$I$2956,CA$3+$A53),"")</f>
        <v/>
      </c>
      <c r="CB54" s="17" t="str">
        <f>IF(CB$3&lt;=$B54,INDEX(Input!$I$43:$I$2956,CB$3+$A53),"")</f>
        <v/>
      </c>
      <c r="CC54" s="17" t="str">
        <f>IF(CC$3&lt;=$B54,INDEX(Input!$I$43:$I$2956,CC$3+$A53),"")</f>
        <v/>
      </c>
      <c r="CD54" s="17" t="str">
        <f>IF(CD$3&lt;=$B54,INDEX(Input!$I$43:$I$2956,CD$3+$A53),"")</f>
        <v/>
      </c>
      <c r="CE54" s="17" t="str">
        <f>IF(CE$3&lt;=$B54,INDEX(Input!$I$43:$I$2956,CE$3+$A53),"")</f>
        <v/>
      </c>
      <c r="CF54" s="17" t="str">
        <f>IF(CF$3&lt;=$B54,INDEX(Input!$I$43:$I$2956,CF$3+$A53),"")</f>
        <v/>
      </c>
      <c r="CG54" s="17" t="str">
        <f>IF(CG$3&lt;=$B54,INDEX(Input!$I$43:$I$2956,CG$3+$A53),"")</f>
        <v/>
      </c>
      <c r="CH54" s="17" t="str">
        <f>IF(CH$3&lt;=$B54,INDEX(Input!$I$43:$I$2956,CH$3+$A53),"")</f>
        <v/>
      </c>
      <c r="CI54" s="17" t="str">
        <f>IF(CI$3&lt;=$B54,INDEX(Input!$I$43:$I$2956,CI$3+$A53),"")</f>
        <v/>
      </c>
      <c r="CJ54" s="17" t="str">
        <f>IF(CJ$3&lt;=$B54,INDEX(Input!$I$43:$I$2956,CJ$3+$A53),"")</f>
        <v/>
      </c>
      <c r="CK54" s="17" t="str">
        <f>IF(CK$3&lt;=$B54,INDEX(Input!$I$43:$I$2956,CK$3+$A53),"")</f>
        <v/>
      </c>
      <c r="CL54" s="17" t="str">
        <f>IF(CL$3&lt;=$B54,INDEX(Input!$I$43:$I$2956,CL$3+$A53),"")</f>
        <v/>
      </c>
      <c r="CM54" s="17" t="str">
        <f>IF(CM$3&lt;=$B54,INDEX(Input!$I$43:$I$2956,CM$3+$A53),"")</f>
        <v/>
      </c>
      <c r="CN54" s="17" t="str">
        <f>IF(CN$3&lt;=$B54,INDEX(Input!$I$43:$I$2956,CN$3+$A53),"")</f>
        <v/>
      </c>
      <c r="CO54" s="17" t="str">
        <f>IF(CO$3&lt;=$B54,INDEX(Input!$I$43:$I$2956,CO$3+$A53),"")</f>
        <v/>
      </c>
      <c r="CP54" s="17" t="str">
        <f>IF(CP$3&lt;=$B54,INDEX(Input!$I$43:$I$2956,CP$3+$A53),"")</f>
        <v/>
      </c>
      <c r="CQ54" s="17" t="str">
        <f>IF(CQ$3&lt;=$B54,INDEX(Input!$I$43:$I$2956,CQ$3+$A53),"")</f>
        <v/>
      </c>
      <c r="CR54" s="17" t="str">
        <f>IF(CR$3&lt;=$B54,INDEX(Input!$I$43:$I$2956,CR$3+$A53),"")</f>
        <v/>
      </c>
      <c r="CS54" s="17" t="str">
        <f>IF(CS$3&lt;=$B54,INDEX(Input!$I$43:$I$2956,CS$3+$A53),"")</f>
        <v/>
      </c>
      <c r="CT54" s="17" t="str">
        <f>IF(CT$3&lt;=$B54,INDEX(Input!$I$43:$I$2956,CT$3+$A53),"")</f>
        <v/>
      </c>
      <c r="CU54" s="17" t="str">
        <f>IF(CU$3&lt;=$B54,INDEX(Input!$I$43:$I$2956,CU$3+$A53),"")</f>
        <v/>
      </c>
      <c r="CV54" s="17" t="str">
        <f>IF(CV$3&lt;=$B54,INDEX(Input!$I$43:$I$2956,CV$3+$A53),"")</f>
        <v/>
      </c>
      <c r="CW54" s="17" t="str">
        <f>IF(CW$3&lt;=$B54,INDEX(Input!$I$43:$I$2956,CW$3+$A53),"")</f>
        <v/>
      </c>
      <c r="CX54" s="17" t="str">
        <f>IF(CX$3&lt;=$B54,INDEX(Input!$I$43:$I$2956,CX$3+$A53),"")</f>
        <v/>
      </c>
      <c r="CY54" s="17" t="str">
        <f>IF(CY$3&lt;=$B54,INDEX(Input!$I$43:$I$2956,CY$3+$A53),"")</f>
        <v/>
      </c>
      <c r="CZ54" s="17" t="str">
        <f>IF(CZ$3&lt;=$B54,INDEX(Input!$I$43:$I$2956,CZ$3+$A53),"")</f>
        <v/>
      </c>
      <c r="DA54" s="17" t="str">
        <f>IF(DA$3&lt;=$B54,INDEX(Input!$I$43:$I$2956,DA$3+$A53),"")</f>
        <v/>
      </c>
      <c r="DB54" s="17" t="str">
        <f>IF(DB$3&lt;=$B54,INDEX(Input!$I$43:$I$2956,DB$3+$A53),"")</f>
        <v/>
      </c>
      <c r="DC54" s="17" t="str">
        <f>IF(DC$3&lt;=$B54,INDEX(Input!$I$43:$I$2956,DC$3+$A53),"")</f>
        <v/>
      </c>
      <c r="DD54" s="17" t="str">
        <f>IF(DD$3&lt;=$B54,INDEX(Input!$I$43:$I$2956,DD$3+$A53),"")</f>
        <v/>
      </c>
      <c r="DE54" s="17" t="str">
        <f>IF(DE$3&lt;=$B54,INDEX(Input!$I$43:$I$2956,DE$3+$A53),"")</f>
        <v/>
      </c>
      <c r="DF54" s="17" t="str">
        <f>IF(DF$3&lt;=$B54,INDEX(Input!$I$43:$I$2956,DF$3+$A53),"")</f>
        <v/>
      </c>
      <c r="DG54" s="17" t="str">
        <f>IF(DG$3&lt;=$B54,INDEX(Input!$I$43:$I$2956,DG$3+$A53),"")</f>
        <v/>
      </c>
      <c r="DH54" s="17" t="str">
        <f>IF(DH$3&lt;=$B54,INDEX(Input!$I$43:$I$2956,DH$3+$A53),"")</f>
        <v/>
      </c>
      <c r="DI54" s="17" t="str">
        <f>IF(DI$3&lt;=$B54,INDEX(Input!$I$43:$I$2956,DI$3+$A53),"")</f>
        <v/>
      </c>
      <c r="DJ54" s="17" t="str">
        <f>IF(DJ$3&lt;=$B54,INDEX(Input!$I$43:$I$2956,DJ$3+$A53),"")</f>
        <v/>
      </c>
      <c r="DK54" s="17" t="str">
        <f>IF(DK$3&lt;=$B54,INDEX(Input!$I$43:$I$2956,DK$3+$A53),"")</f>
        <v/>
      </c>
      <c r="DL54" s="17" t="str">
        <f>IF(DL$3&lt;=$B54,INDEX(Input!$I$43:$I$2956,DL$3+$A53),"")</f>
        <v/>
      </c>
      <c r="DM54" s="17" t="str">
        <f>IF(DM$3&lt;=$B54,INDEX(Input!$I$43:$I$2956,DM$3+$A53),"")</f>
        <v/>
      </c>
      <c r="DN54" s="17" t="str">
        <f>IF(DN$3&lt;=$B54,INDEX(Input!$I$43:$I$2956,DN$3+$A53),"")</f>
        <v/>
      </c>
      <c r="DO54" s="17" t="str">
        <f>IF(DO$3&lt;=$B54,INDEX(Input!$I$43:$I$2956,DO$3+$A53),"")</f>
        <v/>
      </c>
      <c r="DP54" s="17" t="str">
        <f>IF(DP$3&lt;=$B54,INDEX(Input!$I$43:$I$2956,DP$3+$A53),"")</f>
        <v/>
      </c>
      <c r="DQ54" s="17" t="str">
        <f>IF(DQ$3&lt;=$B54,INDEX(Input!$I$43:$I$2956,DQ$3+$A53),"")</f>
        <v/>
      </c>
      <c r="DR54" s="17" t="str">
        <f>IF(DR$3&lt;=$B54,INDEX(Input!$I$43:$I$2956,DR$3+$A53),"")</f>
        <v/>
      </c>
      <c r="DS54" s="17" t="str">
        <f>IF(DS$3&lt;=$B54,INDEX(Input!$I$43:$I$2956,DS$3+$A53),"")</f>
        <v/>
      </c>
      <c r="DT54" s="17" t="str">
        <f>IF(DT$3&lt;=$B54,INDEX(Input!$I$43:$I$2956,DT$3+$A53),"")</f>
        <v/>
      </c>
      <c r="DU54" s="17" t="str">
        <f>IF(DU$3&lt;=$B54,INDEX(Input!$I$43:$I$2956,DU$3+$A53),"")</f>
        <v/>
      </c>
      <c r="DV54" s="17" t="str">
        <f>IF(DV$3&lt;=$B54,INDEX(Input!$I$43:$I$2956,DV$3+$A53),"")</f>
        <v/>
      </c>
      <c r="DW54" s="58" t="str">
        <f t="array" ref="DW54:EZ54">IFERROR(eccalc(E54:DV54,C54+B54,B54,$O$2:$AS$2),"")</f>
        <v/>
      </c>
      <c r="DX54" s="59" t="str">
        <v/>
      </c>
      <c r="DY54" s="59" t="str">
        <v/>
      </c>
      <c r="DZ54" s="59" t="str">
        <v/>
      </c>
      <c r="EA54" s="59" t="str">
        <v/>
      </c>
      <c r="EB54" s="59" t="str">
        <v/>
      </c>
      <c r="EC54" s="59" t="str">
        <v/>
      </c>
      <c r="ED54" s="59" t="str">
        <v/>
      </c>
      <c r="EE54" s="59" t="str">
        <v/>
      </c>
      <c r="EF54" s="59" t="str">
        <v/>
      </c>
      <c r="EG54" s="59" t="str">
        <v/>
      </c>
      <c r="EH54" s="59" t="str">
        <v/>
      </c>
      <c r="EI54" s="59" t="str">
        <v/>
      </c>
      <c r="EJ54" s="59" t="str">
        <v/>
      </c>
      <c r="EK54" s="59" t="str">
        <v/>
      </c>
      <c r="EL54" s="59" t="str">
        <v/>
      </c>
      <c r="EM54" s="59" t="str">
        <v/>
      </c>
      <c r="EN54" s="59" t="str">
        <v/>
      </c>
      <c r="EO54" s="59" t="str">
        <v/>
      </c>
      <c r="EP54" s="59" t="str">
        <v/>
      </c>
      <c r="EQ54" s="59" t="str">
        <v/>
      </c>
      <c r="ER54" s="59" t="str">
        <v/>
      </c>
      <c r="ES54" s="59" t="str">
        <v/>
      </c>
      <c r="ET54" s="59" t="str">
        <v/>
      </c>
      <c r="EU54" s="59" t="str">
        <v/>
      </c>
      <c r="EV54" s="59" t="str">
        <v/>
      </c>
      <c r="EW54" s="59" t="str">
        <v/>
      </c>
      <c r="EX54" s="59" t="str">
        <v/>
      </c>
      <c r="EY54" s="59" t="str">
        <v/>
      </c>
      <c r="EZ54" s="60" t="str">
        <v/>
      </c>
      <c r="FA54" s="17"/>
      <c r="FC54">
        <v>51</v>
      </c>
      <c r="FD54">
        <f t="shared" si="2"/>
        <v>3</v>
      </c>
      <c r="FE54">
        <f t="shared" si="3"/>
        <v>4</v>
      </c>
      <c r="FF54">
        <f t="shared" si="4"/>
        <v>50</v>
      </c>
      <c r="FI54" s="16">
        <v>51</v>
      </c>
      <c r="FJ54" s="17">
        <f t="shared" si="5"/>
        <v>196</v>
      </c>
      <c r="FK54" s="17">
        <f t="shared" si="6"/>
        <v>50</v>
      </c>
      <c r="FL54" s="18" t="str">
        <f t="shared" si="7"/>
        <v>00110010</v>
      </c>
      <c r="FM54" s="2"/>
    </row>
    <row r="55" spans="1:169">
      <c r="A55">
        <f>SUM($B$4:B55)</f>
        <v>196</v>
      </c>
      <c r="B55">
        <f t="shared" si="0"/>
        <v>0</v>
      </c>
      <c r="C55" t="str">
        <f t="shared" si="1"/>
        <v/>
      </c>
      <c r="D55">
        <v>52</v>
      </c>
      <c r="E55" s="16" t="str">
        <f>IF(E$3&lt;=$B55,INDEX(Input!$I$43:$I$2956,E$3+$A54),"")</f>
        <v/>
      </c>
      <c r="F55" s="17" t="str">
        <f>IF(F$3&lt;=$B55,INDEX(Input!$I$43:$I$2956,F$3+$A54),"")</f>
        <v/>
      </c>
      <c r="G55" s="17" t="str">
        <f>IF(G$3&lt;=$B55,INDEX(Input!$I$43:$I$2956,G$3+$A54),"")</f>
        <v/>
      </c>
      <c r="H55" s="17" t="str">
        <f>IF(H$3&lt;=$B55,INDEX(Input!$I$43:$I$2956,H$3+$A54),"")</f>
        <v/>
      </c>
      <c r="I55" s="17" t="str">
        <f>IF(I$3&lt;=$B55,INDEX(Input!$I$43:$I$2956,I$3+$A54),"")</f>
        <v/>
      </c>
      <c r="J55" s="17" t="str">
        <f>IF(J$3&lt;=$B55,INDEX(Input!$I$43:$I$2956,J$3+$A54),"")</f>
        <v/>
      </c>
      <c r="K55" s="17" t="str">
        <f>IF(K$3&lt;=$B55,INDEX(Input!$I$43:$I$2956,K$3+$A54),"")</f>
        <v/>
      </c>
      <c r="L55" s="17" t="str">
        <f>IF(L$3&lt;=$B55,INDEX(Input!$I$43:$I$2956,L$3+$A54),"")</f>
        <v/>
      </c>
      <c r="M55" s="17" t="str">
        <f>IF(M$3&lt;=$B55,INDEX(Input!$I$43:$I$2956,M$3+$A54),"")</f>
        <v/>
      </c>
      <c r="N55" s="17" t="str">
        <f>IF(N$3&lt;=$B55,INDEX(Input!$I$43:$I$2956,N$3+$A54),"")</f>
        <v/>
      </c>
      <c r="O55" s="17" t="str">
        <f>IF(O$3&lt;=$B55,INDEX(Input!$I$43:$I$2956,O$3+$A54),"")</f>
        <v/>
      </c>
      <c r="P55" s="17" t="str">
        <f>IF(P$3&lt;=$B55,INDEX(Input!$I$43:$I$2956,P$3+$A54),"")</f>
        <v/>
      </c>
      <c r="Q55" s="17" t="str">
        <f>IF(Q$3&lt;=$B55,INDEX(Input!$I$43:$I$2956,Q$3+$A54),"")</f>
        <v/>
      </c>
      <c r="R55" s="17" t="str">
        <f>IF(R$3&lt;=$B55,INDEX(Input!$I$43:$I$2956,R$3+$A54),"")</f>
        <v/>
      </c>
      <c r="S55" s="17" t="str">
        <f>IF(S$3&lt;=$B55,INDEX(Input!$I$43:$I$2956,S$3+$A54),"")</f>
        <v/>
      </c>
      <c r="T55" s="17" t="str">
        <f>IF(T$3&lt;=$B55,INDEX(Input!$I$43:$I$2956,T$3+$A54),"")</f>
        <v/>
      </c>
      <c r="U55" s="17" t="str">
        <f>IF(U$3&lt;=$B55,INDEX(Input!$I$43:$I$2956,U$3+$A54),"")</f>
        <v/>
      </c>
      <c r="V55" s="17" t="str">
        <f>IF(V$3&lt;=$B55,INDEX(Input!$I$43:$I$2956,V$3+$A54),"")</f>
        <v/>
      </c>
      <c r="W55" s="17" t="str">
        <f>IF(W$3&lt;=$B55,INDEX(Input!$I$43:$I$2956,W$3+$A54),"")</f>
        <v/>
      </c>
      <c r="X55" s="17" t="str">
        <f>IF(X$3&lt;=$B55,INDEX(Input!$I$43:$I$2956,X$3+$A54),"")</f>
        <v/>
      </c>
      <c r="Y55" s="17" t="str">
        <f>IF(Y$3&lt;=$B55,INDEX(Input!$I$43:$I$2956,Y$3+$A54),"")</f>
        <v/>
      </c>
      <c r="Z55" s="17" t="str">
        <f>IF(Z$3&lt;=$B55,INDEX(Input!$I$43:$I$2956,Z$3+$A54),"")</f>
        <v/>
      </c>
      <c r="AA55" s="17" t="str">
        <f>IF(AA$3&lt;=$B55,INDEX(Input!$I$43:$I$2956,AA$3+$A54),"")</f>
        <v/>
      </c>
      <c r="AB55" s="17" t="str">
        <f>IF(AB$3&lt;=$B55,INDEX(Input!$I$43:$I$2956,AB$3+$A54),"")</f>
        <v/>
      </c>
      <c r="AC55" s="17" t="str">
        <f>IF(AC$3&lt;=$B55,INDEX(Input!$I$43:$I$2956,AC$3+$A54),"")</f>
        <v/>
      </c>
      <c r="AD55" s="17" t="str">
        <f>IF(AD$3&lt;=$B55,INDEX(Input!$I$43:$I$2956,AD$3+$A54),"")</f>
        <v/>
      </c>
      <c r="AE55" s="17" t="str">
        <f>IF(AE$3&lt;=$B55,INDEX(Input!$I$43:$I$2956,AE$3+$A54),"")</f>
        <v/>
      </c>
      <c r="AF55" s="17" t="str">
        <f>IF(AF$3&lt;=$B55,INDEX(Input!$I$43:$I$2956,AF$3+$A54),"")</f>
        <v/>
      </c>
      <c r="AG55" s="17" t="str">
        <f>IF(AG$3&lt;=$B55,INDEX(Input!$I$43:$I$2956,AG$3+$A54),"")</f>
        <v/>
      </c>
      <c r="AH55" s="17" t="str">
        <f>IF(AH$3&lt;=$B55,INDEX(Input!$I$43:$I$2956,AH$3+$A54),"")</f>
        <v/>
      </c>
      <c r="AI55" s="17" t="str">
        <f>IF(AI$3&lt;=$B55,INDEX(Input!$I$43:$I$2956,AI$3+$A54),"")</f>
        <v/>
      </c>
      <c r="AJ55" s="17" t="str">
        <f>IF(AJ$3&lt;=$B55,INDEX(Input!$I$43:$I$2956,AJ$3+$A54),"")</f>
        <v/>
      </c>
      <c r="AK55" s="17" t="str">
        <f>IF(AK$3&lt;=$B55,INDEX(Input!$I$43:$I$2956,AK$3+$A54),"")</f>
        <v/>
      </c>
      <c r="AL55" s="17" t="str">
        <f>IF(AL$3&lt;=$B55,INDEX(Input!$I$43:$I$2956,AL$3+$A54),"")</f>
        <v/>
      </c>
      <c r="AM55" s="17" t="str">
        <f>IF(AM$3&lt;=$B55,INDEX(Input!$I$43:$I$2956,AM$3+$A54),"")</f>
        <v/>
      </c>
      <c r="AN55" s="17" t="str">
        <f>IF(AN$3&lt;=$B55,INDEX(Input!$I$43:$I$2956,AN$3+$A54),"")</f>
        <v/>
      </c>
      <c r="AO55" s="17" t="str">
        <f>IF(AO$3&lt;=$B55,INDEX(Input!$I$43:$I$2956,AO$3+$A54),"")</f>
        <v/>
      </c>
      <c r="AP55" s="17" t="str">
        <f>IF(AP$3&lt;=$B55,INDEX(Input!$I$43:$I$2956,AP$3+$A54),"")</f>
        <v/>
      </c>
      <c r="AQ55" s="17" t="str">
        <f>IF(AQ$3&lt;=$B55,INDEX(Input!$I$43:$I$2956,AQ$3+$A54),"")</f>
        <v/>
      </c>
      <c r="AR55" s="17" t="str">
        <f>IF(AR$3&lt;=$B55,INDEX(Input!$I$43:$I$2956,AR$3+$A54),"")</f>
        <v/>
      </c>
      <c r="AS55" s="17" t="str">
        <f>IF(AS$3&lt;=$B55,INDEX(Input!$I$43:$I$2956,AS$3+$A54),"")</f>
        <v/>
      </c>
      <c r="AT55" s="17" t="str">
        <f>IF(AT$3&lt;=$B55,INDEX(Input!$I$43:$I$2956,AT$3+$A54),"")</f>
        <v/>
      </c>
      <c r="AU55" s="17" t="str">
        <f>IF(AU$3&lt;=$B55,INDEX(Input!$I$43:$I$2956,AU$3+$A54),"")</f>
        <v/>
      </c>
      <c r="AV55" s="17" t="str">
        <f>IF(AV$3&lt;=$B55,INDEX(Input!$I$43:$I$2956,AV$3+$A54),"")</f>
        <v/>
      </c>
      <c r="AW55" s="17" t="str">
        <f>IF(AW$3&lt;=$B55,INDEX(Input!$I$43:$I$2956,AW$3+$A54),"")</f>
        <v/>
      </c>
      <c r="AX55" s="17" t="str">
        <f>IF(AX$3&lt;=$B55,INDEX(Input!$I$43:$I$2956,AX$3+$A54),"")</f>
        <v/>
      </c>
      <c r="AY55" s="17" t="str">
        <f>IF(AY$3&lt;=$B55,INDEX(Input!$I$43:$I$2956,AY$3+$A54),"")</f>
        <v/>
      </c>
      <c r="AZ55" s="17" t="str">
        <f>IF(AZ$3&lt;=$B55,INDEX(Input!$I$43:$I$2956,AZ$3+$A54),"")</f>
        <v/>
      </c>
      <c r="BA55" s="17" t="str">
        <f>IF(BA$3&lt;=$B55,INDEX(Input!$I$43:$I$2956,BA$3+$A54),"")</f>
        <v/>
      </c>
      <c r="BB55" s="17" t="str">
        <f>IF(BB$3&lt;=$B55,INDEX(Input!$I$43:$I$2956,BB$3+$A54),"")</f>
        <v/>
      </c>
      <c r="BC55" s="17" t="str">
        <f>IF(BC$3&lt;=$B55,INDEX(Input!$I$43:$I$2956,BC$3+$A54),"")</f>
        <v/>
      </c>
      <c r="BD55" s="17" t="str">
        <f>IF(BD$3&lt;=$B55,INDEX(Input!$I$43:$I$2956,BD$3+$A54),"")</f>
        <v/>
      </c>
      <c r="BE55" s="17" t="str">
        <f>IF(BE$3&lt;=$B55,INDEX(Input!$I$43:$I$2956,BE$3+$A54),"")</f>
        <v/>
      </c>
      <c r="BF55" s="17" t="str">
        <f>IF(BF$3&lt;=$B55,INDEX(Input!$I$43:$I$2956,BF$3+$A54),"")</f>
        <v/>
      </c>
      <c r="BG55" s="17" t="str">
        <f>IF(BG$3&lt;=$B55,INDEX(Input!$I$43:$I$2956,BG$3+$A54),"")</f>
        <v/>
      </c>
      <c r="BH55" s="17" t="str">
        <f>IF(BH$3&lt;=$B55,INDEX(Input!$I$43:$I$2956,BH$3+$A54),"")</f>
        <v/>
      </c>
      <c r="BI55" s="17" t="str">
        <f>IF(BI$3&lt;=$B55,INDEX(Input!$I$43:$I$2956,BI$3+$A54),"")</f>
        <v/>
      </c>
      <c r="BJ55" s="17" t="str">
        <f>IF(BJ$3&lt;=$B55,INDEX(Input!$I$43:$I$2956,BJ$3+$A54),"")</f>
        <v/>
      </c>
      <c r="BK55" s="17" t="str">
        <f>IF(BK$3&lt;=$B55,INDEX(Input!$I$43:$I$2956,BK$3+$A54),"")</f>
        <v/>
      </c>
      <c r="BL55" s="17" t="str">
        <f>IF(BL$3&lt;=$B55,INDEX(Input!$I$43:$I$2956,BL$3+$A54),"")</f>
        <v/>
      </c>
      <c r="BM55" s="17" t="str">
        <f>IF(BM$3&lt;=$B55,INDEX(Input!$I$43:$I$2956,BM$3+$A54),"")</f>
        <v/>
      </c>
      <c r="BN55" s="17" t="str">
        <f>IF(BN$3&lt;=$B55,INDEX(Input!$I$43:$I$2956,BN$3+$A54),"")</f>
        <v/>
      </c>
      <c r="BO55" s="17" t="str">
        <f>IF(BO$3&lt;=$B55,INDEX(Input!$I$43:$I$2956,BO$3+$A54),"")</f>
        <v/>
      </c>
      <c r="BP55" s="17" t="str">
        <f>IF(BP$3&lt;=$B55,INDEX(Input!$I$43:$I$2956,BP$3+$A54),"")</f>
        <v/>
      </c>
      <c r="BQ55" s="17" t="str">
        <f>IF(BQ$3&lt;=$B55,INDEX(Input!$I$43:$I$2956,BQ$3+$A54),"")</f>
        <v/>
      </c>
      <c r="BR55" s="17" t="str">
        <f>IF(BR$3&lt;=$B55,INDEX(Input!$I$43:$I$2956,BR$3+$A54),"")</f>
        <v/>
      </c>
      <c r="BS55" s="17" t="str">
        <f>IF(BS$3&lt;=$B55,INDEX(Input!$I$43:$I$2956,BS$3+$A54),"")</f>
        <v/>
      </c>
      <c r="BT55" s="17" t="str">
        <f>IF(BT$3&lt;=$B55,INDEX(Input!$I$43:$I$2956,BT$3+$A54),"")</f>
        <v/>
      </c>
      <c r="BU55" s="17" t="str">
        <f>IF(BU$3&lt;=$B55,INDEX(Input!$I$43:$I$2956,BU$3+$A54),"")</f>
        <v/>
      </c>
      <c r="BV55" s="17" t="str">
        <f>IF(BV$3&lt;=$B55,INDEX(Input!$I$43:$I$2956,BV$3+$A54),"")</f>
        <v/>
      </c>
      <c r="BW55" s="17" t="str">
        <f>IF(BW$3&lt;=$B55,INDEX(Input!$I$43:$I$2956,BW$3+$A54),"")</f>
        <v/>
      </c>
      <c r="BX55" s="17" t="str">
        <f>IF(BX$3&lt;=$B55,INDEX(Input!$I$43:$I$2956,BX$3+$A54),"")</f>
        <v/>
      </c>
      <c r="BY55" s="17" t="str">
        <f>IF(BY$3&lt;=$B55,INDEX(Input!$I$43:$I$2956,BY$3+$A54),"")</f>
        <v/>
      </c>
      <c r="BZ55" s="17" t="str">
        <f>IF(BZ$3&lt;=$B55,INDEX(Input!$I$43:$I$2956,BZ$3+$A54),"")</f>
        <v/>
      </c>
      <c r="CA55" s="17" t="str">
        <f>IF(CA$3&lt;=$B55,INDEX(Input!$I$43:$I$2956,CA$3+$A54),"")</f>
        <v/>
      </c>
      <c r="CB55" s="17" t="str">
        <f>IF(CB$3&lt;=$B55,INDEX(Input!$I$43:$I$2956,CB$3+$A54),"")</f>
        <v/>
      </c>
      <c r="CC55" s="17" t="str">
        <f>IF(CC$3&lt;=$B55,INDEX(Input!$I$43:$I$2956,CC$3+$A54),"")</f>
        <v/>
      </c>
      <c r="CD55" s="17" t="str">
        <f>IF(CD$3&lt;=$B55,INDEX(Input!$I$43:$I$2956,CD$3+$A54),"")</f>
        <v/>
      </c>
      <c r="CE55" s="17" t="str">
        <f>IF(CE$3&lt;=$B55,INDEX(Input!$I$43:$I$2956,CE$3+$A54),"")</f>
        <v/>
      </c>
      <c r="CF55" s="17" t="str">
        <f>IF(CF$3&lt;=$B55,INDEX(Input!$I$43:$I$2956,CF$3+$A54),"")</f>
        <v/>
      </c>
      <c r="CG55" s="17" t="str">
        <f>IF(CG$3&lt;=$B55,INDEX(Input!$I$43:$I$2956,CG$3+$A54),"")</f>
        <v/>
      </c>
      <c r="CH55" s="17" t="str">
        <f>IF(CH$3&lt;=$B55,INDEX(Input!$I$43:$I$2956,CH$3+$A54),"")</f>
        <v/>
      </c>
      <c r="CI55" s="17" t="str">
        <f>IF(CI$3&lt;=$B55,INDEX(Input!$I$43:$I$2956,CI$3+$A54),"")</f>
        <v/>
      </c>
      <c r="CJ55" s="17" t="str">
        <f>IF(CJ$3&lt;=$B55,INDEX(Input!$I$43:$I$2956,CJ$3+$A54),"")</f>
        <v/>
      </c>
      <c r="CK55" s="17" t="str">
        <f>IF(CK$3&lt;=$B55,INDEX(Input!$I$43:$I$2956,CK$3+$A54),"")</f>
        <v/>
      </c>
      <c r="CL55" s="17" t="str">
        <f>IF(CL$3&lt;=$B55,INDEX(Input!$I$43:$I$2956,CL$3+$A54),"")</f>
        <v/>
      </c>
      <c r="CM55" s="17" t="str">
        <f>IF(CM$3&lt;=$B55,INDEX(Input!$I$43:$I$2956,CM$3+$A54),"")</f>
        <v/>
      </c>
      <c r="CN55" s="17" t="str">
        <f>IF(CN$3&lt;=$B55,INDEX(Input!$I$43:$I$2956,CN$3+$A54),"")</f>
        <v/>
      </c>
      <c r="CO55" s="17" t="str">
        <f>IF(CO$3&lt;=$B55,INDEX(Input!$I$43:$I$2956,CO$3+$A54),"")</f>
        <v/>
      </c>
      <c r="CP55" s="17" t="str">
        <f>IF(CP$3&lt;=$B55,INDEX(Input!$I$43:$I$2956,CP$3+$A54),"")</f>
        <v/>
      </c>
      <c r="CQ55" s="17" t="str">
        <f>IF(CQ$3&lt;=$B55,INDEX(Input!$I$43:$I$2956,CQ$3+$A54),"")</f>
        <v/>
      </c>
      <c r="CR55" s="17" t="str">
        <f>IF(CR$3&lt;=$B55,INDEX(Input!$I$43:$I$2956,CR$3+$A54),"")</f>
        <v/>
      </c>
      <c r="CS55" s="17" t="str">
        <f>IF(CS$3&lt;=$B55,INDEX(Input!$I$43:$I$2956,CS$3+$A54),"")</f>
        <v/>
      </c>
      <c r="CT55" s="17" t="str">
        <f>IF(CT$3&lt;=$B55,INDEX(Input!$I$43:$I$2956,CT$3+$A54),"")</f>
        <v/>
      </c>
      <c r="CU55" s="17" t="str">
        <f>IF(CU$3&lt;=$B55,INDEX(Input!$I$43:$I$2956,CU$3+$A54),"")</f>
        <v/>
      </c>
      <c r="CV55" s="17" t="str">
        <f>IF(CV$3&lt;=$B55,INDEX(Input!$I$43:$I$2956,CV$3+$A54),"")</f>
        <v/>
      </c>
      <c r="CW55" s="17" t="str">
        <f>IF(CW$3&lt;=$B55,INDEX(Input!$I$43:$I$2956,CW$3+$A54),"")</f>
        <v/>
      </c>
      <c r="CX55" s="17" t="str">
        <f>IF(CX$3&lt;=$B55,INDEX(Input!$I$43:$I$2956,CX$3+$A54),"")</f>
        <v/>
      </c>
      <c r="CY55" s="17" t="str">
        <f>IF(CY$3&lt;=$B55,INDEX(Input!$I$43:$I$2956,CY$3+$A54),"")</f>
        <v/>
      </c>
      <c r="CZ55" s="17" t="str">
        <f>IF(CZ$3&lt;=$B55,INDEX(Input!$I$43:$I$2956,CZ$3+$A54),"")</f>
        <v/>
      </c>
      <c r="DA55" s="17" t="str">
        <f>IF(DA$3&lt;=$B55,INDEX(Input!$I$43:$I$2956,DA$3+$A54),"")</f>
        <v/>
      </c>
      <c r="DB55" s="17" t="str">
        <f>IF(DB$3&lt;=$B55,INDEX(Input!$I$43:$I$2956,DB$3+$A54),"")</f>
        <v/>
      </c>
      <c r="DC55" s="17" t="str">
        <f>IF(DC$3&lt;=$B55,INDEX(Input!$I$43:$I$2956,DC$3+$A54),"")</f>
        <v/>
      </c>
      <c r="DD55" s="17" t="str">
        <f>IF(DD$3&lt;=$B55,INDEX(Input!$I$43:$I$2956,DD$3+$A54),"")</f>
        <v/>
      </c>
      <c r="DE55" s="17" t="str">
        <f>IF(DE$3&lt;=$B55,INDEX(Input!$I$43:$I$2956,DE$3+$A54),"")</f>
        <v/>
      </c>
      <c r="DF55" s="17" t="str">
        <f>IF(DF$3&lt;=$B55,INDEX(Input!$I$43:$I$2956,DF$3+$A54),"")</f>
        <v/>
      </c>
      <c r="DG55" s="17" t="str">
        <f>IF(DG$3&lt;=$B55,INDEX(Input!$I$43:$I$2956,DG$3+$A54),"")</f>
        <v/>
      </c>
      <c r="DH55" s="17" t="str">
        <f>IF(DH$3&lt;=$B55,INDEX(Input!$I$43:$I$2956,DH$3+$A54),"")</f>
        <v/>
      </c>
      <c r="DI55" s="17" t="str">
        <f>IF(DI$3&lt;=$B55,INDEX(Input!$I$43:$I$2956,DI$3+$A54),"")</f>
        <v/>
      </c>
      <c r="DJ55" s="17" t="str">
        <f>IF(DJ$3&lt;=$B55,INDEX(Input!$I$43:$I$2956,DJ$3+$A54),"")</f>
        <v/>
      </c>
      <c r="DK55" s="17" t="str">
        <f>IF(DK$3&lt;=$B55,INDEX(Input!$I$43:$I$2956,DK$3+$A54),"")</f>
        <v/>
      </c>
      <c r="DL55" s="17" t="str">
        <f>IF(DL$3&lt;=$B55,INDEX(Input!$I$43:$I$2956,DL$3+$A54),"")</f>
        <v/>
      </c>
      <c r="DM55" s="17" t="str">
        <f>IF(DM$3&lt;=$B55,INDEX(Input!$I$43:$I$2956,DM$3+$A54),"")</f>
        <v/>
      </c>
      <c r="DN55" s="17" t="str">
        <f>IF(DN$3&lt;=$B55,INDEX(Input!$I$43:$I$2956,DN$3+$A54),"")</f>
        <v/>
      </c>
      <c r="DO55" s="17" t="str">
        <f>IF(DO$3&lt;=$B55,INDEX(Input!$I$43:$I$2956,DO$3+$A54),"")</f>
        <v/>
      </c>
      <c r="DP55" s="17" t="str">
        <f>IF(DP$3&lt;=$B55,INDEX(Input!$I$43:$I$2956,DP$3+$A54),"")</f>
        <v/>
      </c>
      <c r="DQ55" s="17" t="str">
        <f>IF(DQ$3&lt;=$B55,INDEX(Input!$I$43:$I$2956,DQ$3+$A54),"")</f>
        <v/>
      </c>
      <c r="DR55" s="17" t="str">
        <f>IF(DR$3&lt;=$B55,INDEX(Input!$I$43:$I$2956,DR$3+$A54),"")</f>
        <v/>
      </c>
      <c r="DS55" s="17" t="str">
        <f>IF(DS$3&lt;=$B55,INDEX(Input!$I$43:$I$2956,DS$3+$A54),"")</f>
        <v/>
      </c>
      <c r="DT55" s="17" t="str">
        <f>IF(DT$3&lt;=$B55,INDEX(Input!$I$43:$I$2956,DT$3+$A54),"")</f>
        <v/>
      </c>
      <c r="DU55" s="17" t="str">
        <f>IF(DU$3&lt;=$B55,INDEX(Input!$I$43:$I$2956,DU$3+$A54),"")</f>
        <v/>
      </c>
      <c r="DV55" s="17" t="str">
        <f>IF(DV$3&lt;=$B55,INDEX(Input!$I$43:$I$2956,DV$3+$A54),"")</f>
        <v/>
      </c>
      <c r="DW55" s="58" t="str">
        <f t="array" ref="DW55:EZ55">IFERROR(eccalc(E55:DV55,C55+B55,B55,$O$2:$AS$2),"")</f>
        <v/>
      </c>
      <c r="DX55" s="59" t="str">
        <v/>
      </c>
      <c r="DY55" s="59" t="str">
        <v/>
      </c>
      <c r="DZ55" s="59" t="str">
        <v/>
      </c>
      <c r="EA55" s="59" t="str">
        <v/>
      </c>
      <c r="EB55" s="59" t="str">
        <v/>
      </c>
      <c r="EC55" s="59" t="str">
        <v/>
      </c>
      <c r="ED55" s="59" t="str">
        <v/>
      </c>
      <c r="EE55" s="59" t="str">
        <v/>
      </c>
      <c r="EF55" s="59" t="str">
        <v/>
      </c>
      <c r="EG55" s="59" t="str">
        <v/>
      </c>
      <c r="EH55" s="59" t="str">
        <v/>
      </c>
      <c r="EI55" s="59" t="str">
        <v/>
      </c>
      <c r="EJ55" s="59" t="str">
        <v/>
      </c>
      <c r="EK55" s="59" t="str">
        <v/>
      </c>
      <c r="EL55" s="59" t="str">
        <v/>
      </c>
      <c r="EM55" s="59" t="str">
        <v/>
      </c>
      <c r="EN55" s="59" t="str">
        <v/>
      </c>
      <c r="EO55" s="59" t="str">
        <v/>
      </c>
      <c r="EP55" s="59" t="str">
        <v/>
      </c>
      <c r="EQ55" s="59" t="str">
        <v/>
      </c>
      <c r="ER55" s="59" t="str">
        <v/>
      </c>
      <c r="ES55" s="59" t="str">
        <v/>
      </c>
      <c r="ET55" s="59" t="str">
        <v/>
      </c>
      <c r="EU55" s="59" t="str">
        <v/>
      </c>
      <c r="EV55" s="59" t="str">
        <v/>
      </c>
      <c r="EW55" s="59" t="str">
        <v/>
      </c>
      <c r="EX55" s="59" t="str">
        <v/>
      </c>
      <c r="EY55" s="59" t="str">
        <v/>
      </c>
      <c r="EZ55" s="60" t="str">
        <v/>
      </c>
      <c r="FA55" s="17"/>
      <c r="FC55">
        <v>52</v>
      </c>
      <c r="FD55">
        <f t="shared" si="2"/>
        <v>4</v>
      </c>
      <c r="FE55">
        <f t="shared" si="3"/>
        <v>4</v>
      </c>
      <c r="FF55">
        <f t="shared" si="4"/>
        <v>176</v>
      </c>
      <c r="FI55" s="16">
        <v>52</v>
      </c>
      <c r="FJ55" s="17">
        <f t="shared" si="5"/>
        <v>118</v>
      </c>
      <c r="FK55" s="17">
        <f t="shared" si="6"/>
        <v>176</v>
      </c>
      <c r="FL55" s="18" t="str">
        <f t="shared" si="7"/>
        <v>10110000</v>
      </c>
      <c r="FM55" s="2"/>
    </row>
    <row r="56" spans="1:169">
      <c r="A56">
        <f>SUM($B$4:B56)</f>
        <v>196</v>
      </c>
      <c r="B56">
        <f t="shared" si="0"/>
        <v>0</v>
      </c>
      <c r="C56" t="str">
        <f t="shared" si="1"/>
        <v/>
      </c>
      <c r="D56">
        <v>53</v>
      </c>
      <c r="E56" s="16" t="str">
        <f>IF(E$3&lt;=$B56,INDEX(Input!$I$43:$I$2956,E$3+$A55),"")</f>
        <v/>
      </c>
      <c r="F56" s="17" t="str">
        <f>IF(F$3&lt;=$B56,INDEX(Input!$I$43:$I$2956,F$3+$A55),"")</f>
        <v/>
      </c>
      <c r="G56" s="17" t="str">
        <f>IF(G$3&lt;=$B56,INDEX(Input!$I$43:$I$2956,G$3+$A55),"")</f>
        <v/>
      </c>
      <c r="H56" s="17" t="str">
        <f>IF(H$3&lt;=$B56,INDEX(Input!$I$43:$I$2956,H$3+$A55),"")</f>
        <v/>
      </c>
      <c r="I56" s="17" t="str">
        <f>IF(I$3&lt;=$B56,INDEX(Input!$I$43:$I$2956,I$3+$A55),"")</f>
        <v/>
      </c>
      <c r="J56" s="17" t="str">
        <f>IF(J$3&lt;=$B56,INDEX(Input!$I$43:$I$2956,J$3+$A55),"")</f>
        <v/>
      </c>
      <c r="K56" s="17" t="str">
        <f>IF(K$3&lt;=$B56,INDEX(Input!$I$43:$I$2956,K$3+$A55),"")</f>
        <v/>
      </c>
      <c r="L56" s="17" t="str">
        <f>IF(L$3&lt;=$B56,INDEX(Input!$I$43:$I$2956,L$3+$A55),"")</f>
        <v/>
      </c>
      <c r="M56" s="17" t="str">
        <f>IF(M$3&lt;=$B56,INDEX(Input!$I$43:$I$2956,M$3+$A55),"")</f>
        <v/>
      </c>
      <c r="N56" s="17" t="str">
        <f>IF(N$3&lt;=$B56,INDEX(Input!$I$43:$I$2956,N$3+$A55),"")</f>
        <v/>
      </c>
      <c r="O56" s="17" t="str">
        <f>IF(O$3&lt;=$B56,INDEX(Input!$I$43:$I$2956,O$3+$A55),"")</f>
        <v/>
      </c>
      <c r="P56" s="17" t="str">
        <f>IF(P$3&lt;=$B56,INDEX(Input!$I$43:$I$2956,P$3+$A55),"")</f>
        <v/>
      </c>
      <c r="Q56" s="17" t="str">
        <f>IF(Q$3&lt;=$B56,INDEX(Input!$I$43:$I$2956,Q$3+$A55),"")</f>
        <v/>
      </c>
      <c r="R56" s="17" t="str">
        <f>IF(R$3&lt;=$B56,INDEX(Input!$I$43:$I$2956,R$3+$A55),"")</f>
        <v/>
      </c>
      <c r="S56" s="17" t="str">
        <f>IF(S$3&lt;=$B56,INDEX(Input!$I$43:$I$2956,S$3+$A55),"")</f>
        <v/>
      </c>
      <c r="T56" s="17" t="str">
        <f>IF(T$3&lt;=$B56,INDEX(Input!$I$43:$I$2956,T$3+$A55),"")</f>
        <v/>
      </c>
      <c r="U56" s="17" t="str">
        <f>IF(U$3&lt;=$B56,INDEX(Input!$I$43:$I$2956,U$3+$A55),"")</f>
        <v/>
      </c>
      <c r="V56" s="17" t="str">
        <f>IF(V$3&lt;=$B56,INDEX(Input!$I$43:$I$2956,V$3+$A55),"")</f>
        <v/>
      </c>
      <c r="W56" s="17" t="str">
        <f>IF(W$3&lt;=$B56,INDEX(Input!$I$43:$I$2956,W$3+$A55),"")</f>
        <v/>
      </c>
      <c r="X56" s="17" t="str">
        <f>IF(X$3&lt;=$B56,INDEX(Input!$I$43:$I$2956,X$3+$A55),"")</f>
        <v/>
      </c>
      <c r="Y56" s="17" t="str">
        <f>IF(Y$3&lt;=$B56,INDEX(Input!$I$43:$I$2956,Y$3+$A55),"")</f>
        <v/>
      </c>
      <c r="Z56" s="17" t="str">
        <f>IF(Z$3&lt;=$B56,INDEX(Input!$I$43:$I$2956,Z$3+$A55),"")</f>
        <v/>
      </c>
      <c r="AA56" s="17" t="str">
        <f>IF(AA$3&lt;=$B56,INDEX(Input!$I$43:$I$2956,AA$3+$A55),"")</f>
        <v/>
      </c>
      <c r="AB56" s="17" t="str">
        <f>IF(AB$3&lt;=$B56,INDEX(Input!$I$43:$I$2956,AB$3+$A55),"")</f>
        <v/>
      </c>
      <c r="AC56" s="17" t="str">
        <f>IF(AC$3&lt;=$B56,INDEX(Input!$I$43:$I$2956,AC$3+$A55),"")</f>
        <v/>
      </c>
      <c r="AD56" s="17" t="str">
        <f>IF(AD$3&lt;=$B56,INDEX(Input!$I$43:$I$2956,AD$3+$A55),"")</f>
        <v/>
      </c>
      <c r="AE56" s="17" t="str">
        <f>IF(AE$3&lt;=$B56,INDEX(Input!$I$43:$I$2956,AE$3+$A55),"")</f>
        <v/>
      </c>
      <c r="AF56" s="17" t="str">
        <f>IF(AF$3&lt;=$B56,INDEX(Input!$I$43:$I$2956,AF$3+$A55),"")</f>
        <v/>
      </c>
      <c r="AG56" s="17" t="str">
        <f>IF(AG$3&lt;=$B56,INDEX(Input!$I$43:$I$2956,AG$3+$A55),"")</f>
        <v/>
      </c>
      <c r="AH56" s="17" t="str">
        <f>IF(AH$3&lt;=$B56,INDEX(Input!$I$43:$I$2956,AH$3+$A55),"")</f>
        <v/>
      </c>
      <c r="AI56" s="17" t="str">
        <f>IF(AI$3&lt;=$B56,INDEX(Input!$I$43:$I$2956,AI$3+$A55),"")</f>
        <v/>
      </c>
      <c r="AJ56" s="17" t="str">
        <f>IF(AJ$3&lt;=$B56,INDEX(Input!$I$43:$I$2956,AJ$3+$A55),"")</f>
        <v/>
      </c>
      <c r="AK56" s="17" t="str">
        <f>IF(AK$3&lt;=$B56,INDEX(Input!$I$43:$I$2956,AK$3+$A55),"")</f>
        <v/>
      </c>
      <c r="AL56" s="17" t="str">
        <f>IF(AL$3&lt;=$B56,INDEX(Input!$I$43:$I$2956,AL$3+$A55),"")</f>
        <v/>
      </c>
      <c r="AM56" s="17" t="str">
        <f>IF(AM$3&lt;=$B56,INDEX(Input!$I$43:$I$2956,AM$3+$A55),"")</f>
        <v/>
      </c>
      <c r="AN56" s="17" t="str">
        <f>IF(AN$3&lt;=$B56,INDEX(Input!$I$43:$I$2956,AN$3+$A55),"")</f>
        <v/>
      </c>
      <c r="AO56" s="17" t="str">
        <f>IF(AO$3&lt;=$B56,INDEX(Input!$I$43:$I$2956,AO$3+$A55),"")</f>
        <v/>
      </c>
      <c r="AP56" s="17" t="str">
        <f>IF(AP$3&lt;=$B56,INDEX(Input!$I$43:$I$2956,AP$3+$A55),"")</f>
        <v/>
      </c>
      <c r="AQ56" s="17" t="str">
        <f>IF(AQ$3&lt;=$B56,INDEX(Input!$I$43:$I$2956,AQ$3+$A55),"")</f>
        <v/>
      </c>
      <c r="AR56" s="17" t="str">
        <f>IF(AR$3&lt;=$B56,INDEX(Input!$I$43:$I$2956,AR$3+$A55),"")</f>
        <v/>
      </c>
      <c r="AS56" s="17" t="str">
        <f>IF(AS$3&lt;=$B56,INDEX(Input!$I$43:$I$2956,AS$3+$A55),"")</f>
        <v/>
      </c>
      <c r="AT56" s="17" t="str">
        <f>IF(AT$3&lt;=$B56,INDEX(Input!$I$43:$I$2956,AT$3+$A55),"")</f>
        <v/>
      </c>
      <c r="AU56" s="17" t="str">
        <f>IF(AU$3&lt;=$B56,INDEX(Input!$I$43:$I$2956,AU$3+$A55),"")</f>
        <v/>
      </c>
      <c r="AV56" s="17" t="str">
        <f>IF(AV$3&lt;=$B56,INDEX(Input!$I$43:$I$2956,AV$3+$A55),"")</f>
        <v/>
      </c>
      <c r="AW56" s="17" t="str">
        <f>IF(AW$3&lt;=$B56,INDEX(Input!$I$43:$I$2956,AW$3+$A55),"")</f>
        <v/>
      </c>
      <c r="AX56" s="17" t="str">
        <f>IF(AX$3&lt;=$B56,INDEX(Input!$I$43:$I$2956,AX$3+$A55),"")</f>
        <v/>
      </c>
      <c r="AY56" s="17" t="str">
        <f>IF(AY$3&lt;=$B56,INDEX(Input!$I$43:$I$2956,AY$3+$A55),"")</f>
        <v/>
      </c>
      <c r="AZ56" s="17" t="str">
        <f>IF(AZ$3&lt;=$B56,INDEX(Input!$I$43:$I$2956,AZ$3+$A55),"")</f>
        <v/>
      </c>
      <c r="BA56" s="17" t="str">
        <f>IF(BA$3&lt;=$B56,INDEX(Input!$I$43:$I$2956,BA$3+$A55),"")</f>
        <v/>
      </c>
      <c r="BB56" s="17" t="str">
        <f>IF(BB$3&lt;=$B56,INDEX(Input!$I$43:$I$2956,BB$3+$A55),"")</f>
        <v/>
      </c>
      <c r="BC56" s="17" t="str">
        <f>IF(BC$3&lt;=$B56,INDEX(Input!$I$43:$I$2956,BC$3+$A55),"")</f>
        <v/>
      </c>
      <c r="BD56" s="17" t="str">
        <f>IF(BD$3&lt;=$B56,INDEX(Input!$I$43:$I$2956,BD$3+$A55),"")</f>
        <v/>
      </c>
      <c r="BE56" s="17" t="str">
        <f>IF(BE$3&lt;=$B56,INDEX(Input!$I$43:$I$2956,BE$3+$A55),"")</f>
        <v/>
      </c>
      <c r="BF56" s="17" t="str">
        <f>IF(BF$3&lt;=$B56,INDEX(Input!$I$43:$I$2956,BF$3+$A55),"")</f>
        <v/>
      </c>
      <c r="BG56" s="17" t="str">
        <f>IF(BG$3&lt;=$B56,INDEX(Input!$I$43:$I$2956,BG$3+$A55),"")</f>
        <v/>
      </c>
      <c r="BH56" s="17" t="str">
        <f>IF(BH$3&lt;=$B56,INDEX(Input!$I$43:$I$2956,BH$3+$A55),"")</f>
        <v/>
      </c>
      <c r="BI56" s="17" t="str">
        <f>IF(BI$3&lt;=$B56,INDEX(Input!$I$43:$I$2956,BI$3+$A55),"")</f>
        <v/>
      </c>
      <c r="BJ56" s="17" t="str">
        <f>IF(BJ$3&lt;=$B56,INDEX(Input!$I$43:$I$2956,BJ$3+$A55),"")</f>
        <v/>
      </c>
      <c r="BK56" s="17" t="str">
        <f>IF(BK$3&lt;=$B56,INDEX(Input!$I$43:$I$2956,BK$3+$A55),"")</f>
        <v/>
      </c>
      <c r="BL56" s="17" t="str">
        <f>IF(BL$3&lt;=$B56,INDEX(Input!$I$43:$I$2956,BL$3+$A55),"")</f>
        <v/>
      </c>
      <c r="BM56" s="17" t="str">
        <f>IF(BM$3&lt;=$B56,INDEX(Input!$I$43:$I$2956,BM$3+$A55),"")</f>
        <v/>
      </c>
      <c r="BN56" s="17" t="str">
        <f>IF(BN$3&lt;=$B56,INDEX(Input!$I$43:$I$2956,BN$3+$A55),"")</f>
        <v/>
      </c>
      <c r="BO56" s="17" t="str">
        <f>IF(BO$3&lt;=$B56,INDEX(Input!$I$43:$I$2956,BO$3+$A55),"")</f>
        <v/>
      </c>
      <c r="BP56" s="17" t="str">
        <f>IF(BP$3&lt;=$B56,INDEX(Input!$I$43:$I$2956,BP$3+$A55),"")</f>
        <v/>
      </c>
      <c r="BQ56" s="17" t="str">
        <f>IF(BQ$3&lt;=$B56,INDEX(Input!$I$43:$I$2956,BQ$3+$A55),"")</f>
        <v/>
      </c>
      <c r="BR56" s="17" t="str">
        <f>IF(BR$3&lt;=$B56,INDEX(Input!$I$43:$I$2956,BR$3+$A55),"")</f>
        <v/>
      </c>
      <c r="BS56" s="17" t="str">
        <f>IF(BS$3&lt;=$B56,INDEX(Input!$I$43:$I$2956,BS$3+$A55),"")</f>
        <v/>
      </c>
      <c r="BT56" s="17" t="str">
        <f>IF(BT$3&lt;=$B56,INDEX(Input!$I$43:$I$2956,BT$3+$A55),"")</f>
        <v/>
      </c>
      <c r="BU56" s="17" t="str">
        <f>IF(BU$3&lt;=$B56,INDEX(Input!$I$43:$I$2956,BU$3+$A55),"")</f>
        <v/>
      </c>
      <c r="BV56" s="17" t="str">
        <f>IF(BV$3&lt;=$B56,INDEX(Input!$I$43:$I$2956,BV$3+$A55),"")</f>
        <v/>
      </c>
      <c r="BW56" s="17" t="str">
        <f>IF(BW$3&lt;=$B56,INDEX(Input!$I$43:$I$2956,BW$3+$A55),"")</f>
        <v/>
      </c>
      <c r="BX56" s="17" t="str">
        <f>IF(BX$3&lt;=$B56,INDEX(Input!$I$43:$I$2956,BX$3+$A55),"")</f>
        <v/>
      </c>
      <c r="BY56" s="17" t="str">
        <f>IF(BY$3&lt;=$B56,INDEX(Input!$I$43:$I$2956,BY$3+$A55),"")</f>
        <v/>
      </c>
      <c r="BZ56" s="17" t="str">
        <f>IF(BZ$3&lt;=$B56,INDEX(Input!$I$43:$I$2956,BZ$3+$A55),"")</f>
        <v/>
      </c>
      <c r="CA56" s="17" t="str">
        <f>IF(CA$3&lt;=$B56,INDEX(Input!$I$43:$I$2956,CA$3+$A55),"")</f>
        <v/>
      </c>
      <c r="CB56" s="17" t="str">
        <f>IF(CB$3&lt;=$B56,INDEX(Input!$I$43:$I$2956,CB$3+$A55),"")</f>
        <v/>
      </c>
      <c r="CC56" s="17" t="str">
        <f>IF(CC$3&lt;=$B56,INDEX(Input!$I$43:$I$2956,CC$3+$A55),"")</f>
        <v/>
      </c>
      <c r="CD56" s="17" t="str">
        <f>IF(CD$3&lt;=$B56,INDEX(Input!$I$43:$I$2956,CD$3+$A55),"")</f>
        <v/>
      </c>
      <c r="CE56" s="17" t="str">
        <f>IF(CE$3&lt;=$B56,INDEX(Input!$I$43:$I$2956,CE$3+$A55),"")</f>
        <v/>
      </c>
      <c r="CF56" s="17" t="str">
        <f>IF(CF$3&lt;=$B56,INDEX(Input!$I$43:$I$2956,CF$3+$A55),"")</f>
        <v/>
      </c>
      <c r="CG56" s="17" t="str">
        <f>IF(CG$3&lt;=$B56,INDEX(Input!$I$43:$I$2956,CG$3+$A55),"")</f>
        <v/>
      </c>
      <c r="CH56" s="17" t="str">
        <f>IF(CH$3&lt;=$B56,INDEX(Input!$I$43:$I$2956,CH$3+$A55),"")</f>
        <v/>
      </c>
      <c r="CI56" s="17" t="str">
        <f>IF(CI$3&lt;=$B56,INDEX(Input!$I$43:$I$2956,CI$3+$A55),"")</f>
        <v/>
      </c>
      <c r="CJ56" s="17" t="str">
        <f>IF(CJ$3&lt;=$B56,INDEX(Input!$I$43:$I$2956,CJ$3+$A55),"")</f>
        <v/>
      </c>
      <c r="CK56" s="17" t="str">
        <f>IF(CK$3&lt;=$B56,INDEX(Input!$I$43:$I$2956,CK$3+$A55),"")</f>
        <v/>
      </c>
      <c r="CL56" s="17" t="str">
        <f>IF(CL$3&lt;=$B56,INDEX(Input!$I$43:$I$2956,CL$3+$A55),"")</f>
        <v/>
      </c>
      <c r="CM56" s="17" t="str">
        <f>IF(CM$3&lt;=$B56,INDEX(Input!$I$43:$I$2956,CM$3+$A55),"")</f>
        <v/>
      </c>
      <c r="CN56" s="17" t="str">
        <f>IF(CN$3&lt;=$B56,INDEX(Input!$I$43:$I$2956,CN$3+$A55),"")</f>
        <v/>
      </c>
      <c r="CO56" s="17" t="str">
        <f>IF(CO$3&lt;=$B56,INDEX(Input!$I$43:$I$2956,CO$3+$A55),"")</f>
        <v/>
      </c>
      <c r="CP56" s="17" t="str">
        <f>IF(CP$3&lt;=$B56,INDEX(Input!$I$43:$I$2956,CP$3+$A55),"")</f>
        <v/>
      </c>
      <c r="CQ56" s="17" t="str">
        <f>IF(CQ$3&lt;=$B56,INDEX(Input!$I$43:$I$2956,CQ$3+$A55),"")</f>
        <v/>
      </c>
      <c r="CR56" s="17" t="str">
        <f>IF(CR$3&lt;=$B56,INDEX(Input!$I$43:$I$2956,CR$3+$A55),"")</f>
        <v/>
      </c>
      <c r="CS56" s="17" t="str">
        <f>IF(CS$3&lt;=$B56,INDEX(Input!$I$43:$I$2956,CS$3+$A55),"")</f>
        <v/>
      </c>
      <c r="CT56" s="17" t="str">
        <f>IF(CT$3&lt;=$B56,INDEX(Input!$I$43:$I$2956,CT$3+$A55),"")</f>
        <v/>
      </c>
      <c r="CU56" s="17" t="str">
        <f>IF(CU$3&lt;=$B56,INDEX(Input!$I$43:$I$2956,CU$3+$A55),"")</f>
        <v/>
      </c>
      <c r="CV56" s="17" t="str">
        <f>IF(CV$3&lt;=$B56,INDEX(Input!$I$43:$I$2956,CV$3+$A55),"")</f>
        <v/>
      </c>
      <c r="CW56" s="17" t="str">
        <f>IF(CW$3&lt;=$B56,INDEX(Input!$I$43:$I$2956,CW$3+$A55),"")</f>
        <v/>
      </c>
      <c r="CX56" s="17" t="str">
        <f>IF(CX$3&lt;=$B56,INDEX(Input!$I$43:$I$2956,CX$3+$A55),"")</f>
        <v/>
      </c>
      <c r="CY56" s="17" t="str">
        <f>IF(CY$3&lt;=$B56,INDEX(Input!$I$43:$I$2956,CY$3+$A55),"")</f>
        <v/>
      </c>
      <c r="CZ56" s="17" t="str">
        <f>IF(CZ$3&lt;=$B56,INDEX(Input!$I$43:$I$2956,CZ$3+$A55),"")</f>
        <v/>
      </c>
      <c r="DA56" s="17" t="str">
        <f>IF(DA$3&lt;=$B56,INDEX(Input!$I$43:$I$2956,DA$3+$A55),"")</f>
        <v/>
      </c>
      <c r="DB56" s="17" t="str">
        <f>IF(DB$3&lt;=$B56,INDEX(Input!$I$43:$I$2956,DB$3+$A55),"")</f>
        <v/>
      </c>
      <c r="DC56" s="17" t="str">
        <f>IF(DC$3&lt;=$B56,INDEX(Input!$I$43:$I$2956,DC$3+$A55),"")</f>
        <v/>
      </c>
      <c r="DD56" s="17" t="str">
        <f>IF(DD$3&lt;=$B56,INDEX(Input!$I$43:$I$2956,DD$3+$A55),"")</f>
        <v/>
      </c>
      <c r="DE56" s="17" t="str">
        <f>IF(DE$3&lt;=$B56,INDEX(Input!$I$43:$I$2956,DE$3+$A55),"")</f>
        <v/>
      </c>
      <c r="DF56" s="17" t="str">
        <f>IF(DF$3&lt;=$B56,INDEX(Input!$I$43:$I$2956,DF$3+$A55),"")</f>
        <v/>
      </c>
      <c r="DG56" s="17" t="str">
        <f>IF(DG$3&lt;=$B56,INDEX(Input!$I$43:$I$2956,DG$3+$A55),"")</f>
        <v/>
      </c>
      <c r="DH56" s="17" t="str">
        <f>IF(DH$3&lt;=$B56,INDEX(Input!$I$43:$I$2956,DH$3+$A55),"")</f>
        <v/>
      </c>
      <c r="DI56" s="17" t="str">
        <f>IF(DI$3&lt;=$B56,INDEX(Input!$I$43:$I$2956,DI$3+$A55),"")</f>
        <v/>
      </c>
      <c r="DJ56" s="17" t="str">
        <f>IF(DJ$3&lt;=$B56,INDEX(Input!$I$43:$I$2956,DJ$3+$A55),"")</f>
        <v/>
      </c>
      <c r="DK56" s="17" t="str">
        <f>IF(DK$3&lt;=$B56,INDEX(Input!$I$43:$I$2956,DK$3+$A55),"")</f>
        <v/>
      </c>
      <c r="DL56" s="17" t="str">
        <f>IF(DL$3&lt;=$B56,INDEX(Input!$I$43:$I$2956,DL$3+$A55),"")</f>
        <v/>
      </c>
      <c r="DM56" s="17" t="str">
        <f>IF(DM$3&lt;=$B56,INDEX(Input!$I$43:$I$2956,DM$3+$A55),"")</f>
        <v/>
      </c>
      <c r="DN56" s="17" t="str">
        <f>IF(DN$3&lt;=$B56,INDEX(Input!$I$43:$I$2956,DN$3+$A55),"")</f>
        <v/>
      </c>
      <c r="DO56" s="17" t="str">
        <f>IF(DO$3&lt;=$B56,INDEX(Input!$I$43:$I$2956,DO$3+$A55),"")</f>
        <v/>
      </c>
      <c r="DP56" s="17" t="str">
        <f>IF(DP$3&lt;=$B56,INDEX(Input!$I$43:$I$2956,DP$3+$A55),"")</f>
        <v/>
      </c>
      <c r="DQ56" s="17" t="str">
        <f>IF(DQ$3&lt;=$B56,INDEX(Input!$I$43:$I$2956,DQ$3+$A55),"")</f>
        <v/>
      </c>
      <c r="DR56" s="17" t="str">
        <f>IF(DR$3&lt;=$B56,INDEX(Input!$I$43:$I$2956,DR$3+$A55),"")</f>
        <v/>
      </c>
      <c r="DS56" s="17" t="str">
        <f>IF(DS$3&lt;=$B56,INDEX(Input!$I$43:$I$2956,DS$3+$A55),"")</f>
        <v/>
      </c>
      <c r="DT56" s="17" t="str">
        <f>IF(DT$3&lt;=$B56,INDEX(Input!$I$43:$I$2956,DT$3+$A55),"")</f>
        <v/>
      </c>
      <c r="DU56" s="17" t="str">
        <f>IF(DU$3&lt;=$B56,INDEX(Input!$I$43:$I$2956,DU$3+$A55),"")</f>
        <v/>
      </c>
      <c r="DV56" s="17" t="str">
        <f>IF(DV$3&lt;=$B56,INDEX(Input!$I$43:$I$2956,DV$3+$A55),"")</f>
        <v/>
      </c>
      <c r="DW56" s="58" t="str">
        <f t="array" ref="DW56:EZ56">IFERROR(eccalc(E56:DV56,C56+B56,B56,$O$2:$AS$2),"")</f>
        <v/>
      </c>
      <c r="DX56" s="59" t="str">
        <v/>
      </c>
      <c r="DY56" s="59" t="str">
        <v/>
      </c>
      <c r="DZ56" s="59" t="str">
        <v/>
      </c>
      <c r="EA56" s="59" t="str">
        <v/>
      </c>
      <c r="EB56" s="59" t="str">
        <v/>
      </c>
      <c r="EC56" s="59" t="str">
        <v/>
      </c>
      <c r="ED56" s="59" t="str">
        <v/>
      </c>
      <c r="EE56" s="59" t="str">
        <v/>
      </c>
      <c r="EF56" s="59" t="str">
        <v/>
      </c>
      <c r="EG56" s="59" t="str">
        <v/>
      </c>
      <c r="EH56" s="59" t="str">
        <v/>
      </c>
      <c r="EI56" s="59" t="str">
        <v/>
      </c>
      <c r="EJ56" s="59" t="str">
        <v/>
      </c>
      <c r="EK56" s="59" t="str">
        <v/>
      </c>
      <c r="EL56" s="59" t="str">
        <v/>
      </c>
      <c r="EM56" s="59" t="str">
        <v/>
      </c>
      <c r="EN56" s="59" t="str">
        <v/>
      </c>
      <c r="EO56" s="59" t="str">
        <v/>
      </c>
      <c r="EP56" s="59" t="str">
        <v/>
      </c>
      <c r="EQ56" s="59" t="str">
        <v/>
      </c>
      <c r="ER56" s="59" t="str">
        <v/>
      </c>
      <c r="ES56" s="59" t="str">
        <v/>
      </c>
      <c r="ET56" s="59" t="str">
        <v/>
      </c>
      <c r="EU56" s="59" t="str">
        <v/>
      </c>
      <c r="EV56" s="59" t="str">
        <v/>
      </c>
      <c r="EW56" s="59" t="str">
        <v/>
      </c>
      <c r="EX56" s="59" t="str">
        <v/>
      </c>
      <c r="EY56" s="59" t="str">
        <v/>
      </c>
      <c r="EZ56" s="60" t="str">
        <v/>
      </c>
      <c r="FA56" s="17"/>
      <c r="FC56">
        <v>53</v>
      </c>
      <c r="FD56">
        <f t="shared" si="2"/>
        <v>5</v>
      </c>
      <c r="FE56">
        <f t="shared" si="3"/>
        <v>4</v>
      </c>
      <c r="FF56">
        <f t="shared" si="4"/>
        <v>91</v>
      </c>
      <c r="FI56" s="16">
        <v>53</v>
      </c>
      <c r="FJ56" s="17">
        <f t="shared" si="5"/>
        <v>132</v>
      </c>
      <c r="FK56" s="17">
        <f t="shared" si="6"/>
        <v>91</v>
      </c>
      <c r="FL56" s="18" t="str">
        <f t="shared" si="7"/>
        <v>01011011</v>
      </c>
      <c r="FM56" s="2"/>
    </row>
    <row r="57" spans="1:169">
      <c r="A57">
        <f>SUM($B$4:B57)</f>
        <v>196</v>
      </c>
      <c r="B57">
        <f t="shared" si="0"/>
        <v>0</v>
      </c>
      <c r="C57" t="str">
        <f t="shared" si="1"/>
        <v/>
      </c>
      <c r="D57">
        <v>54</v>
      </c>
      <c r="E57" s="16" t="str">
        <f>IF(E$3&lt;=$B57,INDEX(Input!$I$43:$I$2956,E$3+$A56),"")</f>
        <v/>
      </c>
      <c r="F57" s="17" t="str">
        <f>IF(F$3&lt;=$B57,INDEX(Input!$I$43:$I$2956,F$3+$A56),"")</f>
        <v/>
      </c>
      <c r="G57" s="17" t="str">
        <f>IF(G$3&lt;=$B57,INDEX(Input!$I$43:$I$2956,G$3+$A56),"")</f>
        <v/>
      </c>
      <c r="H57" s="17" t="str">
        <f>IF(H$3&lt;=$B57,INDEX(Input!$I$43:$I$2956,H$3+$A56),"")</f>
        <v/>
      </c>
      <c r="I57" s="17" t="str">
        <f>IF(I$3&lt;=$B57,INDEX(Input!$I$43:$I$2956,I$3+$A56),"")</f>
        <v/>
      </c>
      <c r="J57" s="17" t="str">
        <f>IF(J$3&lt;=$B57,INDEX(Input!$I$43:$I$2956,J$3+$A56),"")</f>
        <v/>
      </c>
      <c r="K57" s="17" t="str">
        <f>IF(K$3&lt;=$B57,INDEX(Input!$I$43:$I$2956,K$3+$A56),"")</f>
        <v/>
      </c>
      <c r="L57" s="17" t="str">
        <f>IF(L$3&lt;=$B57,INDEX(Input!$I$43:$I$2956,L$3+$A56),"")</f>
        <v/>
      </c>
      <c r="M57" s="17" t="str">
        <f>IF(M$3&lt;=$B57,INDEX(Input!$I$43:$I$2956,M$3+$A56),"")</f>
        <v/>
      </c>
      <c r="N57" s="17" t="str">
        <f>IF(N$3&lt;=$B57,INDEX(Input!$I$43:$I$2956,N$3+$A56),"")</f>
        <v/>
      </c>
      <c r="O57" s="17" t="str">
        <f>IF(O$3&lt;=$B57,INDEX(Input!$I$43:$I$2956,O$3+$A56),"")</f>
        <v/>
      </c>
      <c r="P57" s="17" t="str">
        <f>IF(P$3&lt;=$B57,INDEX(Input!$I$43:$I$2956,P$3+$A56),"")</f>
        <v/>
      </c>
      <c r="Q57" s="17" t="str">
        <f>IF(Q$3&lt;=$B57,INDEX(Input!$I$43:$I$2956,Q$3+$A56),"")</f>
        <v/>
      </c>
      <c r="R57" s="17" t="str">
        <f>IF(R$3&lt;=$B57,INDEX(Input!$I$43:$I$2956,R$3+$A56),"")</f>
        <v/>
      </c>
      <c r="S57" s="17" t="str">
        <f>IF(S$3&lt;=$B57,INDEX(Input!$I$43:$I$2956,S$3+$A56),"")</f>
        <v/>
      </c>
      <c r="T57" s="17" t="str">
        <f>IF(T$3&lt;=$B57,INDEX(Input!$I$43:$I$2956,T$3+$A56),"")</f>
        <v/>
      </c>
      <c r="U57" s="17" t="str">
        <f>IF(U$3&lt;=$B57,INDEX(Input!$I$43:$I$2956,U$3+$A56),"")</f>
        <v/>
      </c>
      <c r="V57" s="17" t="str">
        <f>IF(V$3&lt;=$B57,INDEX(Input!$I$43:$I$2956,V$3+$A56),"")</f>
        <v/>
      </c>
      <c r="W57" s="17" t="str">
        <f>IF(W$3&lt;=$B57,INDEX(Input!$I$43:$I$2956,W$3+$A56),"")</f>
        <v/>
      </c>
      <c r="X57" s="17" t="str">
        <f>IF(X$3&lt;=$B57,INDEX(Input!$I$43:$I$2956,X$3+$A56),"")</f>
        <v/>
      </c>
      <c r="Y57" s="17" t="str">
        <f>IF(Y$3&lt;=$B57,INDEX(Input!$I$43:$I$2956,Y$3+$A56),"")</f>
        <v/>
      </c>
      <c r="Z57" s="17" t="str">
        <f>IF(Z$3&lt;=$B57,INDEX(Input!$I$43:$I$2956,Z$3+$A56),"")</f>
        <v/>
      </c>
      <c r="AA57" s="17" t="str">
        <f>IF(AA$3&lt;=$B57,INDEX(Input!$I$43:$I$2956,AA$3+$A56),"")</f>
        <v/>
      </c>
      <c r="AB57" s="17" t="str">
        <f>IF(AB$3&lt;=$B57,INDEX(Input!$I$43:$I$2956,AB$3+$A56),"")</f>
        <v/>
      </c>
      <c r="AC57" s="17" t="str">
        <f>IF(AC$3&lt;=$B57,INDEX(Input!$I$43:$I$2956,AC$3+$A56),"")</f>
        <v/>
      </c>
      <c r="AD57" s="17" t="str">
        <f>IF(AD$3&lt;=$B57,INDEX(Input!$I$43:$I$2956,AD$3+$A56),"")</f>
        <v/>
      </c>
      <c r="AE57" s="17" t="str">
        <f>IF(AE$3&lt;=$B57,INDEX(Input!$I$43:$I$2956,AE$3+$A56),"")</f>
        <v/>
      </c>
      <c r="AF57" s="17" t="str">
        <f>IF(AF$3&lt;=$B57,INDEX(Input!$I$43:$I$2956,AF$3+$A56),"")</f>
        <v/>
      </c>
      <c r="AG57" s="17" t="str">
        <f>IF(AG$3&lt;=$B57,INDEX(Input!$I$43:$I$2956,AG$3+$A56),"")</f>
        <v/>
      </c>
      <c r="AH57" s="17" t="str">
        <f>IF(AH$3&lt;=$B57,INDEX(Input!$I$43:$I$2956,AH$3+$A56),"")</f>
        <v/>
      </c>
      <c r="AI57" s="17" t="str">
        <f>IF(AI$3&lt;=$B57,INDEX(Input!$I$43:$I$2956,AI$3+$A56),"")</f>
        <v/>
      </c>
      <c r="AJ57" s="17" t="str">
        <f>IF(AJ$3&lt;=$B57,INDEX(Input!$I$43:$I$2956,AJ$3+$A56),"")</f>
        <v/>
      </c>
      <c r="AK57" s="17" t="str">
        <f>IF(AK$3&lt;=$B57,INDEX(Input!$I$43:$I$2956,AK$3+$A56),"")</f>
        <v/>
      </c>
      <c r="AL57" s="17" t="str">
        <f>IF(AL$3&lt;=$B57,INDEX(Input!$I$43:$I$2956,AL$3+$A56),"")</f>
        <v/>
      </c>
      <c r="AM57" s="17" t="str">
        <f>IF(AM$3&lt;=$B57,INDEX(Input!$I$43:$I$2956,AM$3+$A56),"")</f>
        <v/>
      </c>
      <c r="AN57" s="17" t="str">
        <f>IF(AN$3&lt;=$B57,INDEX(Input!$I$43:$I$2956,AN$3+$A56),"")</f>
        <v/>
      </c>
      <c r="AO57" s="17" t="str">
        <f>IF(AO$3&lt;=$B57,INDEX(Input!$I$43:$I$2956,AO$3+$A56),"")</f>
        <v/>
      </c>
      <c r="AP57" s="17" t="str">
        <f>IF(AP$3&lt;=$B57,INDEX(Input!$I$43:$I$2956,AP$3+$A56),"")</f>
        <v/>
      </c>
      <c r="AQ57" s="17" t="str">
        <f>IF(AQ$3&lt;=$B57,INDEX(Input!$I$43:$I$2956,AQ$3+$A56),"")</f>
        <v/>
      </c>
      <c r="AR57" s="17" t="str">
        <f>IF(AR$3&lt;=$B57,INDEX(Input!$I$43:$I$2956,AR$3+$A56),"")</f>
        <v/>
      </c>
      <c r="AS57" s="17" t="str">
        <f>IF(AS$3&lt;=$B57,INDEX(Input!$I$43:$I$2956,AS$3+$A56),"")</f>
        <v/>
      </c>
      <c r="AT57" s="17" t="str">
        <f>IF(AT$3&lt;=$B57,INDEX(Input!$I$43:$I$2956,AT$3+$A56),"")</f>
        <v/>
      </c>
      <c r="AU57" s="17" t="str">
        <f>IF(AU$3&lt;=$B57,INDEX(Input!$I$43:$I$2956,AU$3+$A56),"")</f>
        <v/>
      </c>
      <c r="AV57" s="17" t="str">
        <f>IF(AV$3&lt;=$B57,INDEX(Input!$I$43:$I$2956,AV$3+$A56),"")</f>
        <v/>
      </c>
      <c r="AW57" s="17" t="str">
        <f>IF(AW$3&lt;=$B57,INDEX(Input!$I$43:$I$2956,AW$3+$A56),"")</f>
        <v/>
      </c>
      <c r="AX57" s="17" t="str">
        <f>IF(AX$3&lt;=$B57,INDEX(Input!$I$43:$I$2956,AX$3+$A56),"")</f>
        <v/>
      </c>
      <c r="AY57" s="17" t="str">
        <f>IF(AY$3&lt;=$B57,INDEX(Input!$I$43:$I$2956,AY$3+$A56),"")</f>
        <v/>
      </c>
      <c r="AZ57" s="17" t="str">
        <f>IF(AZ$3&lt;=$B57,INDEX(Input!$I$43:$I$2956,AZ$3+$A56),"")</f>
        <v/>
      </c>
      <c r="BA57" s="17" t="str">
        <f>IF(BA$3&lt;=$B57,INDEX(Input!$I$43:$I$2956,BA$3+$A56),"")</f>
        <v/>
      </c>
      <c r="BB57" s="17" t="str">
        <f>IF(BB$3&lt;=$B57,INDEX(Input!$I$43:$I$2956,BB$3+$A56),"")</f>
        <v/>
      </c>
      <c r="BC57" s="17" t="str">
        <f>IF(BC$3&lt;=$B57,INDEX(Input!$I$43:$I$2956,BC$3+$A56),"")</f>
        <v/>
      </c>
      <c r="BD57" s="17" t="str">
        <f>IF(BD$3&lt;=$B57,INDEX(Input!$I$43:$I$2956,BD$3+$A56),"")</f>
        <v/>
      </c>
      <c r="BE57" s="17" t="str">
        <f>IF(BE$3&lt;=$B57,INDEX(Input!$I$43:$I$2956,BE$3+$A56),"")</f>
        <v/>
      </c>
      <c r="BF57" s="17" t="str">
        <f>IF(BF$3&lt;=$B57,INDEX(Input!$I$43:$I$2956,BF$3+$A56),"")</f>
        <v/>
      </c>
      <c r="BG57" s="17" t="str">
        <f>IF(BG$3&lt;=$B57,INDEX(Input!$I$43:$I$2956,BG$3+$A56),"")</f>
        <v/>
      </c>
      <c r="BH57" s="17" t="str">
        <f>IF(BH$3&lt;=$B57,INDEX(Input!$I$43:$I$2956,BH$3+$A56),"")</f>
        <v/>
      </c>
      <c r="BI57" s="17" t="str">
        <f>IF(BI$3&lt;=$B57,INDEX(Input!$I$43:$I$2956,BI$3+$A56),"")</f>
        <v/>
      </c>
      <c r="BJ57" s="17" t="str">
        <f>IF(BJ$3&lt;=$B57,INDEX(Input!$I$43:$I$2956,BJ$3+$A56),"")</f>
        <v/>
      </c>
      <c r="BK57" s="17" t="str">
        <f>IF(BK$3&lt;=$B57,INDEX(Input!$I$43:$I$2956,BK$3+$A56),"")</f>
        <v/>
      </c>
      <c r="BL57" s="17" t="str">
        <f>IF(BL$3&lt;=$B57,INDEX(Input!$I$43:$I$2956,BL$3+$A56),"")</f>
        <v/>
      </c>
      <c r="BM57" s="17" t="str">
        <f>IF(BM$3&lt;=$B57,INDEX(Input!$I$43:$I$2956,BM$3+$A56),"")</f>
        <v/>
      </c>
      <c r="BN57" s="17" t="str">
        <f>IF(BN$3&lt;=$B57,INDEX(Input!$I$43:$I$2956,BN$3+$A56),"")</f>
        <v/>
      </c>
      <c r="BO57" s="17" t="str">
        <f>IF(BO$3&lt;=$B57,INDEX(Input!$I$43:$I$2956,BO$3+$A56),"")</f>
        <v/>
      </c>
      <c r="BP57" s="17" t="str">
        <f>IF(BP$3&lt;=$B57,INDEX(Input!$I$43:$I$2956,BP$3+$A56),"")</f>
        <v/>
      </c>
      <c r="BQ57" s="17" t="str">
        <f>IF(BQ$3&lt;=$B57,INDEX(Input!$I$43:$I$2956,BQ$3+$A56),"")</f>
        <v/>
      </c>
      <c r="BR57" s="17" t="str">
        <f>IF(BR$3&lt;=$B57,INDEX(Input!$I$43:$I$2956,BR$3+$A56),"")</f>
        <v/>
      </c>
      <c r="BS57" s="17" t="str">
        <f>IF(BS$3&lt;=$B57,INDEX(Input!$I$43:$I$2956,BS$3+$A56),"")</f>
        <v/>
      </c>
      <c r="BT57" s="17" t="str">
        <f>IF(BT$3&lt;=$B57,INDEX(Input!$I$43:$I$2956,BT$3+$A56),"")</f>
        <v/>
      </c>
      <c r="BU57" s="17" t="str">
        <f>IF(BU$3&lt;=$B57,INDEX(Input!$I$43:$I$2956,BU$3+$A56),"")</f>
        <v/>
      </c>
      <c r="BV57" s="17" t="str">
        <f>IF(BV$3&lt;=$B57,INDEX(Input!$I$43:$I$2956,BV$3+$A56),"")</f>
        <v/>
      </c>
      <c r="BW57" s="17" t="str">
        <f>IF(BW$3&lt;=$B57,INDEX(Input!$I$43:$I$2956,BW$3+$A56),"")</f>
        <v/>
      </c>
      <c r="BX57" s="17" t="str">
        <f>IF(BX$3&lt;=$B57,INDEX(Input!$I$43:$I$2956,BX$3+$A56),"")</f>
        <v/>
      </c>
      <c r="BY57" s="17" t="str">
        <f>IF(BY$3&lt;=$B57,INDEX(Input!$I$43:$I$2956,BY$3+$A56),"")</f>
        <v/>
      </c>
      <c r="BZ57" s="17" t="str">
        <f>IF(BZ$3&lt;=$B57,INDEX(Input!$I$43:$I$2956,BZ$3+$A56),"")</f>
        <v/>
      </c>
      <c r="CA57" s="17" t="str">
        <f>IF(CA$3&lt;=$B57,INDEX(Input!$I$43:$I$2956,CA$3+$A56),"")</f>
        <v/>
      </c>
      <c r="CB57" s="17" t="str">
        <f>IF(CB$3&lt;=$B57,INDEX(Input!$I$43:$I$2956,CB$3+$A56),"")</f>
        <v/>
      </c>
      <c r="CC57" s="17" t="str">
        <f>IF(CC$3&lt;=$B57,INDEX(Input!$I$43:$I$2956,CC$3+$A56),"")</f>
        <v/>
      </c>
      <c r="CD57" s="17" t="str">
        <f>IF(CD$3&lt;=$B57,INDEX(Input!$I$43:$I$2956,CD$3+$A56),"")</f>
        <v/>
      </c>
      <c r="CE57" s="17" t="str">
        <f>IF(CE$3&lt;=$B57,INDEX(Input!$I$43:$I$2956,CE$3+$A56),"")</f>
        <v/>
      </c>
      <c r="CF57" s="17" t="str">
        <f>IF(CF$3&lt;=$B57,INDEX(Input!$I$43:$I$2956,CF$3+$A56),"")</f>
        <v/>
      </c>
      <c r="CG57" s="17" t="str">
        <f>IF(CG$3&lt;=$B57,INDEX(Input!$I$43:$I$2956,CG$3+$A56),"")</f>
        <v/>
      </c>
      <c r="CH57" s="17" t="str">
        <f>IF(CH$3&lt;=$B57,INDEX(Input!$I$43:$I$2956,CH$3+$A56),"")</f>
        <v/>
      </c>
      <c r="CI57" s="17" t="str">
        <f>IF(CI$3&lt;=$B57,INDEX(Input!$I$43:$I$2956,CI$3+$A56),"")</f>
        <v/>
      </c>
      <c r="CJ57" s="17" t="str">
        <f>IF(CJ$3&lt;=$B57,INDEX(Input!$I$43:$I$2956,CJ$3+$A56),"")</f>
        <v/>
      </c>
      <c r="CK57" s="17" t="str">
        <f>IF(CK$3&lt;=$B57,INDEX(Input!$I$43:$I$2956,CK$3+$A56),"")</f>
        <v/>
      </c>
      <c r="CL57" s="17" t="str">
        <f>IF(CL$3&lt;=$B57,INDEX(Input!$I$43:$I$2956,CL$3+$A56),"")</f>
        <v/>
      </c>
      <c r="CM57" s="17" t="str">
        <f>IF(CM$3&lt;=$B57,INDEX(Input!$I$43:$I$2956,CM$3+$A56),"")</f>
        <v/>
      </c>
      <c r="CN57" s="17" t="str">
        <f>IF(CN$3&lt;=$B57,INDEX(Input!$I$43:$I$2956,CN$3+$A56),"")</f>
        <v/>
      </c>
      <c r="CO57" s="17" t="str">
        <f>IF(CO$3&lt;=$B57,INDEX(Input!$I$43:$I$2956,CO$3+$A56),"")</f>
        <v/>
      </c>
      <c r="CP57" s="17" t="str">
        <f>IF(CP$3&lt;=$B57,INDEX(Input!$I$43:$I$2956,CP$3+$A56),"")</f>
        <v/>
      </c>
      <c r="CQ57" s="17" t="str">
        <f>IF(CQ$3&lt;=$B57,INDEX(Input!$I$43:$I$2956,CQ$3+$A56),"")</f>
        <v/>
      </c>
      <c r="CR57" s="17" t="str">
        <f>IF(CR$3&lt;=$B57,INDEX(Input!$I$43:$I$2956,CR$3+$A56),"")</f>
        <v/>
      </c>
      <c r="CS57" s="17" t="str">
        <f>IF(CS$3&lt;=$B57,INDEX(Input!$I$43:$I$2956,CS$3+$A56),"")</f>
        <v/>
      </c>
      <c r="CT57" s="17" t="str">
        <f>IF(CT$3&lt;=$B57,INDEX(Input!$I$43:$I$2956,CT$3+$A56),"")</f>
        <v/>
      </c>
      <c r="CU57" s="17" t="str">
        <f>IF(CU$3&lt;=$B57,INDEX(Input!$I$43:$I$2956,CU$3+$A56),"")</f>
        <v/>
      </c>
      <c r="CV57" s="17" t="str">
        <f>IF(CV$3&lt;=$B57,INDEX(Input!$I$43:$I$2956,CV$3+$A56),"")</f>
        <v/>
      </c>
      <c r="CW57" s="17" t="str">
        <f>IF(CW$3&lt;=$B57,INDEX(Input!$I$43:$I$2956,CW$3+$A56),"")</f>
        <v/>
      </c>
      <c r="CX57" s="17" t="str">
        <f>IF(CX$3&lt;=$B57,INDEX(Input!$I$43:$I$2956,CX$3+$A56),"")</f>
        <v/>
      </c>
      <c r="CY57" s="17" t="str">
        <f>IF(CY$3&lt;=$B57,INDEX(Input!$I$43:$I$2956,CY$3+$A56),"")</f>
        <v/>
      </c>
      <c r="CZ57" s="17" t="str">
        <f>IF(CZ$3&lt;=$B57,INDEX(Input!$I$43:$I$2956,CZ$3+$A56),"")</f>
        <v/>
      </c>
      <c r="DA57" s="17" t="str">
        <f>IF(DA$3&lt;=$B57,INDEX(Input!$I$43:$I$2956,DA$3+$A56),"")</f>
        <v/>
      </c>
      <c r="DB57" s="17" t="str">
        <f>IF(DB$3&lt;=$B57,INDEX(Input!$I$43:$I$2956,DB$3+$A56),"")</f>
        <v/>
      </c>
      <c r="DC57" s="17" t="str">
        <f>IF(DC$3&lt;=$B57,INDEX(Input!$I$43:$I$2956,DC$3+$A56),"")</f>
        <v/>
      </c>
      <c r="DD57" s="17" t="str">
        <f>IF(DD$3&lt;=$B57,INDEX(Input!$I$43:$I$2956,DD$3+$A56),"")</f>
        <v/>
      </c>
      <c r="DE57" s="17" t="str">
        <f>IF(DE$3&lt;=$B57,INDEX(Input!$I$43:$I$2956,DE$3+$A56),"")</f>
        <v/>
      </c>
      <c r="DF57" s="17" t="str">
        <f>IF(DF$3&lt;=$B57,INDEX(Input!$I$43:$I$2956,DF$3+$A56),"")</f>
        <v/>
      </c>
      <c r="DG57" s="17" t="str">
        <f>IF(DG$3&lt;=$B57,INDEX(Input!$I$43:$I$2956,DG$3+$A56),"")</f>
        <v/>
      </c>
      <c r="DH57" s="17" t="str">
        <f>IF(DH$3&lt;=$B57,INDEX(Input!$I$43:$I$2956,DH$3+$A56),"")</f>
        <v/>
      </c>
      <c r="DI57" s="17" t="str">
        <f>IF(DI$3&lt;=$B57,INDEX(Input!$I$43:$I$2956,DI$3+$A56),"")</f>
        <v/>
      </c>
      <c r="DJ57" s="17" t="str">
        <f>IF(DJ$3&lt;=$B57,INDEX(Input!$I$43:$I$2956,DJ$3+$A56),"")</f>
        <v/>
      </c>
      <c r="DK57" s="17" t="str">
        <f>IF(DK$3&lt;=$B57,INDEX(Input!$I$43:$I$2956,DK$3+$A56),"")</f>
        <v/>
      </c>
      <c r="DL57" s="17" t="str">
        <f>IF(DL$3&lt;=$B57,INDEX(Input!$I$43:$I$2956,DL$3+$A56),"")</f>
        <v/>
      </c>
      <c r="DM57" s="17" t="str">
        <f>IF(DM$3&lt;=$B57,INDEX(Input!$I$43:$I$2956,DM$3+$A56),"")</f>
        <v/>
      </c>
      <c r="DN57" s="17" t="str">
        <f>IF(DN$3&lt;=$B57,INDEX(Input!$I$43:$I$2956,DN$3+$A56),"")</f>
        <v/>
      </c>
      <c r="DO57" s="17" t="str">
        <f>IF(DO$3&lt;=$B57,INDEX(Input!$I$43:$I$2956,DO$3+$A56),"")</f>
        <v/>
      </c>
      <c r="DP57" s="17" t="str">
        <f>IF(DP$3&lt;=$B57,INDEX(Input!$I$43:$I$2956,DP$3+$A56),"")</f>
        <v/>
      </c>
      <c r="DQ57" s="17" t="str">
        <f>IF(DQ$3&lt;=$B57,INDEX(Input!$I$43:$I$2956,DQ$3+$A56),"")</f>
        <v/>
      </c>
      <c r="DR57" s="17" t="str">
        <f>IF(DR$3&lt;=$B57,INDEX(Input!$I$43:$I$2956,DR$3+$A56),"")</f>
        <v/>
      </c>
      <c r="DS57" s="17" t="str">
        <f>IF(DS$3&lt;=$B57,INDEX(Input!$I$43:$I$2956,DS$3+$A56),"")</f>
        <v/>
      </c>
      <c r="DT57" s="17" t="str">
        <f>IF(DT$3&lt;=$B57,INDEX(Input!$I$43:$I$2956,DT$3+$A56),"")</f>
        <v/>
      </c>
      <c r="DU57" s="17" t="str">
        <f>IF(DU$3&lt;=$B57,INDEX(Input!$I$43:$I$2956,DU$3+$A56),"")</f>
        <v/>
      </c>
      <c r="DV57" s="17" t="str">
        <f>IF(DV$3&lt;=$B57,INDEX(Input!$I$43:$I$2956,DV$3+$A56),"")</f>
        <v/>
      </c>
      <c r="DW57" s="58" t="str">
        <f t="array" ref="DW57:EZ57">IFERROR(eccalc(E57:DV57,C57+B57,B57,$O$2:$AS$2),"")</f>
        <v/>
      </c>
      <c r="DX57" s="59" t="str">
        <v/>
      </c>
      <c r="DY57" s="59" t="str">
        <v/>
      </c>
      <c r="DZ57" s="59" t="str">
        <v/>
      </c>
      <c r="EA57" s="59" t="str">
        <v/>
      </c>
      <c r="EB57" s="59" t="str">
        <v/>
      </c>
      <c r="EC57" s="59" t="str">
        <v/>
      </c>
      <c r="ED57" s="59" t="str">
        <v/>
      </c>
      <c r="EE57" s="59" t="str">
        <v/>
      </c>
      <c r="EF57" s="59" t="str">
        <v/>
      </c>
      <c r="EG57" s="59" t="str">
        <v/>
      </c>
      <c r="EH57" s="59" t="str">
        <v/>
      </c>
      <c r="EI57" s="59" t="str">
        <v/>
      </c>
      <c r="EJ57" s="59" t="str">
        <v/>
      </c>
      <c r="EK57" s="59" t="str">
        <v/>
      </c>
      <c r="EL57" s="59" t="str">
        <v/>
      </c>
      <c r="EM57" s="59" t="str">
        <v/>
      </c>
      <c r="EN57" s="59" t="str">
        <v/>
      </c>
      <c r="EO57" s="59" t="str">
        <v/>
      </c>
      <c r="EP57" s="59" t="str">
        <v/>
      </c>
      <c r="EQ57" s="59" t="str">
        <v/>
      </c>
      <c r="ER57" s="59" t="str">
        <v/>
      </c>
      <c r="ES57" s="59" t="str">
        <v/>
      </c>
      <c r="ET57" s="59" t="str">
        <v/>
      </c>
      <c r="EU57" s="59" t="str">
        <v/>
      </c>
      <c r="EV57" s="59" t="str">
        <v/>
      </c>
      <c r="EW57" s="59" t="str">
        <v/>
      </c>
      <c r="EX57" s="59" t="str">
        <v/>
      </c>
      <c r="EY57" s="59" t="str">
        <v/>
      </c>
      <c r="EZ57" s="60" t="str">
        <v/>
      </c>
      <c r="FA57" s="17"/>
      <c r="FC57">
        <v>54</v>
      </c>
      <c r="FD57">
        <f t="shared" si="2"/>
        <v>6</v>
      </c>
      <c r="FE57">
        <f t="shared" si="3"/>
        <v>4</v>
      </c>
      <c r="FF57">
        <f t="shared" si="4"/>
        <v>34</v>
      </c>
      <c r="FI57" s="16">
        <v>54</v>
      </c>
      <c r="FJ57" s="17">
        <f t="shared" si="5"/>
        <v>221</v>
      </c>
      <c r="FK57" s="17">
        <f t="shared" si="6"/>
        <v>34</v>
      </c>
      <c r="FL57" s="18" t="str">
        <f t="shared" si="7"/>
        <v>00100010</v>
      </c>
      <c r="FM57" s="2"/>
    </row>
    <row r="58" spans="1:169">
      <c r="A58">
        <f>SUM($B$4:B58)</f>
        <v>196</v>
      </c>
      <c r="B58">
        <f t="shared" si="0"/>
        <v>0</v>
      </c>
      <c r="C58" t="str">
        <f t="shared" si="1"/>
        <v/>
      </c>
      <c r="D58">
        <v>55</v>
      </c>
      <c r="E58" s="16" t="str">
        <f>IF(E$3&lt;=$B58,INDEX(Input!$I$43:$I$2956,E$3+$A57),"")</f>
        <v/>
      </c>
      <c r="F58" s="17" t="str">
        <f>IF(F$3&lt;=$B58,INDEX(Input!$I$43:$I$2956,F$3+$A57),"")</f>
        <v/>
      </c>
      <c r="G58" s="17" t="str">
        <f>IF(G$3&lt;=$B58,INDEX(Input!$I$43:$I$2956,G$3+$A57),"")</f>
        <v/>
      </c>
      <c r="H58" s="17" t="str">
        <f>IF(H$3&lt;=$B58,INDEX(Input!$I$43:$I$2956,H$3+$A57),"")</f>
        <v/>
      </c>
      <c r="I58" s="17" t="str">
        <f>IF(I$3&lt;=$B58,INDEX(Input!$I$43:$I$2956,I$3+$A57),"")</f>
        <v/>
      </c>
      <c r="J58" s="17" t="str">
        <f>IF(J$3&lt;=$B58,INDEX(Input!$I$43:$I$2956,J$3+$A57),"")</f>
        <v/>
      </c>
      <c r="K58" s="17" t="str">
        <f>IF(K$3&lt;=$B58,INDEX(Input!$I$43:$I$2956,K$3+$A57),"")</f>
        <v/>
      </c>
      <c r="L58" s="17" t="str">
        <f>IF(L$3&lt;=$B58,INDEX(Input!$I$43:$I$2956,L$3+$A57),"")</f>
        <v/>
      </c>
      <c r="M58" s="17" t="str">
        <f>IF(M$3&lt;=$B58,INDEX(Input!$I$43:$I$2956,M$3+$A57),"")</f>
        <v/>
      </c>
      <c r="N58" s="17" t="str">
        <f>IF(N$3&lt;=$B58,INDEX(Input!$I$43:$I$2956,N$3+$A57),"")</f>
        <v/>
      </c>
      <c r="O58" s="17" t="str">
        <f>IF(O$3&lt;=$B58,INDEX(Input!$I$43:$I$2956,O$3+$A57),"")</f>
        <v/>
      </c>
      <c r="P58" s="17" t="str">
        <f>IF(P$3&lt;=$B58,INDEX(Input!$I$43:$I$2956,P$3+$A57),"")</f>
        <v/>
      </c>
      <c r="Q58" s="17" t="str">
        <f>IF(Q$3&lt;=$B58,INDEX(Input!$I$43:$I$2956,Q$3+$A57),"")</f>
        <v/>
      </c>
      <c r="R58" s="17" t="str">
        <f>IF(R$3&lt;=$B58,INDEX(Input!$I$43:$I$2956,R$3+$A57),"")</f>
        <v/>
      </c>
      <c r="S58" s="17" t="str">
        <f>IF(S$3&lt;=$B58,INDEX(Input!$I$43:$I$2956,S$3+$A57),"")</f>
        <v/>
      </c>
      <c r="T58" s="17" t="str">
        <f>IF(T$3&lt;=$B58,INDEX(Input!$I$43:$I$2956,T$3+$A57),"")</f>
        <v/>
      </c>
      <c r="U58" s="17" t="str">
        <f>IF(U$3&lt;=$B58,INDEX(Input!$I$43:$I$2956,U$3+$A57),"")</f>
        <v/>
      </c>
      <c r="V58" s="17" t="str">
        <f>IF(V$3&lt;=$B58,INDEX(Input!$I$43:$I$2956,V$3+$A57),"")</f>
        <v/>
      </c>
      <c r="W58" s="17" t="str">
        <f>IF(W$3&lt;=$B58,INDEX(Input!$I$43:$I$2956,W$3+$A57),"")</f>
        <v/>
      </c>
      <c r="X58" s="17" t="str">
        <f>IF(X$3&lt;=$B58,INDEX(Input!$I$43:$I$2956,X$3+$A57),"")</f>
        <v/>
      </c>
      <c r="Y58" s="17" t="str">
        <f>IF(Y$3&lt;=$B58,INDEX(Input!$I$43:$I$2956,Y$3+$A57),"")</f>
        <v/>
      </c>
      <c r="Z58" s="17" t="str">
        <f>IF(Z$3&lt;=$B58,INDEX(Input!$I$43:$I$2956,Z$3+$A57),"")</f>
        <v/>
      </c>
      <c r="AA58" s="17" t="str">
        <f>IF(AA$3&lt;=$B58,INDEX(Input!$I$43:$I$2956,AA$3+$A57),"")</f>
        <v/>
      </c>
      <c r="AB58" s="17" t="str">
        <f>IF(AB$3&lt;=$B58,INDEX(Input!$I$43:$I$2956,AB$3+$A57),"")</f>
        <v/>
      </c>
      <c r="AC58" s="17" t="str">
        <f>IF(AC$3&lt;=$B58,INDEX(Input!$I$43:$I$2956,AC$3+$A57),"")</f>
        <v/>
      </c>
      <c r="AD58" s="17" t="str">
        <f>IF(AD$3&lt;=$B58,INDEX(Input!$I$43:$I$2956,AD$3+$A57),"")</f>
        <v/>
      </c>
      <c r="AE58" s="17" t="str">
        <f>IF(AE$3&lt;=$B58,INDEX(Input!$I$43:$I$2956,AE$3+$A57),"")</f>
        <v/>
      </c>
      <c r="AF58" s="17" t="str">
        <f>IF(AF$3&lt;=$B58,INDEX(Input!$I$43:$I$2956,AF$3+$A57),"")</f>
        <v/>
      </c>
      <c r="AG58" s="17" t="str">
        <f>IF(AG$3&lt;=$B58,INDEX(Input!$I$43:$I$2956,AG$3+$A57),"")</f>
        <v/>
      </c>
      <c r="AH58" s="17" t="str">
        <f>IF(AH$3&lt;=$B58,INDEX(Input!$I$43:$I$2956,AH$3+$A57),"")</f>
        <v/>
      </c>
      <c r="AI58" s="17" t="str">
        <f>IF(AI$3&lt;=$B58,INDEX(Input!$I$43:$I$2956,AI$3+$A57),"")</f>
        <v/>
      </c>
      <c r="AJ58" s="17" t="str">
        <f>IF(AJ$3&lt;=$B58,INDEX(Input!$I$43:$I$2956,AJ$3+$A57),"")</f>
        <v/>
      </c>
      <c r="AK58" s="17" t="str">
        <f>IF(AK$3&lt;=$B58,INDEX(Input!$I$43:$I$2956,AK$3+$A57),"")</f>
        <v/>
      </c>
      <c r="AL58" s="17" t="str">
        <f>IF(AL$3&lt;=$B58,INDEX(Input!$I$43:$I$2956,AL$3+$A57),"")</f>
        <v/>
      </c>
      <c r="AM58" s="17" t="str">
        <f>IF(AM$3&lt;=$B58,INDEX(Input!$I$43:$I$2956,AM$3+$A57),"")</f>
        <v/>
      </c>
      <c r="AN58" s="17" t="str">
        <f>IF(AN$3&lt;=$B58,INDEX(Input!$I$43:$I$2956,AN$3+$A57),"")</f>
        <v/>
      </c>
      <c r="AO58" s="17" t="str">
        <f>IF(AO$3&lt;=$B58,INDEX(Input!$I$43:$I$2956,AO$3+$A57),"")</f>
        <v/>
      </c>
      <c r="AP58" s="17" t="str">
        <f>IF(AP$3&lt;=$B58,INDEX(Input!$I$43:$I$2956,AP$3+$A57),"")</f>
        <v/>
      </c>
      <c r="AQ58" s="17" t="str">
        <f>IF(AQ$3&lt;=$B58,INDEX(Input!$I$43:$I$2956,AQ$3+$A57),"")</f>
        <v/>
      </c>
      <c r="AR58" s="17" t="str">
        <f>IF(AR$3&lt;=$B58,INDEX(Input!$I$43:$I$2956,AR$3+$A57),"")</f>
        <v/>
      </c>
      <c r="AS58" s="17" t="str">
        <f>IF(AS$3&lt;=$B58,INDEX(Input!$I$43:$I$2956,AS$3+$A57),"")</f>
        <v/>
      </c>
      <c r="AT58" s="17" t="str">
        <f>IF(AT$3&lt;=$B58,INDEX(Input!$I$43:$I$2956,AT$3+$A57),"")</f>
        <v/>
      </c>
      <c r="AU58" s="17" t="str">
        <f>IF(AU$3&lt;=$B58,INDEX(Input!$I$43:$I$2956,AU$3+$A57),"")</f>
        <v/>
      </c>
      <c r="AV58" s="17" t="str">
        <f>IF(AV$3&lt;=$B58,INDEX(Input!$I$43:$I$2956,AV$3+$A57),"")</f>
        <v/>
      </c>
      <c r="AW58" s="17" t="str">
        <f>IF(AW$3&lt;=$B58,INDEX(Input!$I$43:$I$2956,AW$3+$A57),"")</f>
        <v/>
      </c>
      <c r="AX58" s="17" t="str">
        <f>IF(AX$3&lt;=$B58,INDEX(Input!$I$43:$I$2956,AX$3+$A57),"")</f>
        <v/>
      </c>
      <c r="AY58" s="17" t="str">
        <f>IF(AY$3&lt;=$B58,INDEX(Input!$I$43:$I$2956,AY$3+$A57),"")</f>
        <v/>
      </c>
      <c r="AZ58" s="17" t="str">
        <f>IF(AZ$3&lt;=$B58,INDEX(Input!$I$43:$I$2956,AZ$3+$A57),"")</f>
        <v/>
      </c>
      <c r="BA58" s="17" t="str">
        <f>IF(BA$3&lt;=$B58,INDEX(Input!$I$43:$I$2956,BA$3+$A57),"")</f>
        <v/>
      </c>
      <c r="BB58" s="17" t="str">
        <f>IF(BB$3&lt;=$B58,INDEX(Input!$I$43:$I$2956,BB$3+$A57),"")</f>
        <v/>
      </c>
      <c r="BC58" s="17" t="str">
        <f>IF(BC$3&lt;=$B58,INDEX(Input!$I$43:$I$2956,BC$3+$A57),"")</f>
        <v/>
      </c>
      <c r="BD58" s="17" t="str">
        <f>IF(BD$3&lt;=$B58,INDEX(Input!$I$43:$I$2956,BD$3+$A57),"")</f>
        <v/>
      </c>
      <c r="BE58" s="17" t="str">
        <f>IF(BE$3&lt;=$B58,INDEX(Input!$I$43:$I$2956,BE$3+$A57),"")</f>
        <v/>
      </c>
      <c r="BF58" s="17" t="str">
        <f>IF(BF$3&lt;=$B58,INDEX(Input!$I$43:$I$2956,BF$3+$A57),"")</f>
        <v/>
      </c>
      <c r="BG58" s="17" t="str">
        <f>IF(BG$3&lt;=$B58,INDEX(Input!$I$43:$I$2956,BG$3+$A57),"")</f>
        <v/>
      </c>
      <c r="BH58" s="17" t="str">
        <f>IF(BH$3&lt;=$B58,INDEX(Input!$I$43:$I$2956,BH$3+$A57),"")</f>
        <v/>
      </c>
      <c r="BI58" s="17" t="str">
        <f>IF(BI$3&lt;=$B58,INDEX(Input!$I$43:$I$2956,BI$3+$A57),"")</f>
        <v/>
      </c>
      <c r="BJ58" s="17" t="str">
        <f>IF(BJ$3&lt;=$B58,INDEX(Input!$I$43:$I$2956,BJ$3+$A57),"")</f>
        <v/>
      </c>
      <c r="BK58" s="17" t="str">
        <f>IF(BK$3&lt;=$B58,INDEX(Input!$I$43:$I$2956,BK$3+$A57),"")</f>
        <v/>
      </c>
      <c r="BL58" s="17" t="str">
        <f>IF(BL$3&lt;=$B58,INDEX(Input!$I$43:$I$2956,BL$3+$A57),"")</f>
        <v/>
      </c>
      <c r="BM58" s="17" t="str">
        <f>IF(BM$3&lt;=$B58,INDEX(Input!$I$43:$I$2956,BM$3+$A57),"")</f>
        <v/>
      </c>
      <c r="BN58" s="17" t="str">
        <f>IF(BN$3&lt;=$B58,INDEX(Input!$I$43:$I$2956,BN$3+$A57),"")</f>
        <v/>
      </c>
      <c r="BO58" s="17" t="str">
        <f>IF(BO$3&lt;=$B58,INDEX(Input!$I$43:$I$2956,BO$3+$A57),"")</f>
        <v/>
      </c>
      <c r="BP58" s="17" t="str">
        <f>IF(BP$3&lt;=$B58,INDEX(Input!$I$43:$I$2956,BP$3+$A57),"")</f>
        <v/>
      </c>
      <c r="BQ58" s="17" t="str">
        <f>IF(BQ$3&lt;=$B58,INDEX(Input!$I$43:$I$2956,BQ$3+$A57),"")</f>
        <v/>
      </c>
      <c r="BR58" s="17" t="str">
        <f>IF(BR$3&lt;=$B58,INDEX(Input!$I$43:$I$2956,BR$3+$A57),"")</f>
        <v/>
      </c>
      <c r="BS58" s="17" t="str">
        <f>IF(BS$3&lt;=$B58,INDEX(Input!$I$43:$I$2956,BS$3+$A57),"")</f>
        <v/>
      </c>
      <c r="BT58" s="17" t="str">
        <f>IF(BT$3&lt;=$B58,INDEX(Input!$I$43:$I$2956,BT$3+$A57),"")</f>
        <v/>
      </c>
      <c r="BU58" s="17" t="str">
        <f>IF(BU$3&lt;=$B58,INDEX(Input!$I$43:$I$2956,BU$3+$A57),"")</f>
        <v/>
      </c>
      <c r="BV58" s="17" t="str">
        <f>IF(BV$3&lt;=$B58,INDEX(Input!$I$43:$I$2956,BV$3+$A57),"")</f>
        <v/>
      </c>
      <c r="BW58" s="17" t="str">
        <f>IF(BW$3&lt;=$B58,INDEX(Input!$I$43:$I$2956,BW$3+$A57),"")</f>
        <v/>
      </c>
      <c r="BX58" s="17" t="str">
        <f>IF(BX$3&lt;=$B58,INDEX(Input!$I$43:$I$2956,BX$3+$A57),"")</f>
        <v/>
      </c>
      <c r="BY58" s="17" t="str">
        <f>IF(BY$3&lt;=$B58,INDEX(Input!$I$43:$I$2956,BY$3+$A57),"")</f>
        <v/>
      </c>
      <c r="BZ58" s="17" t="str">
        <f>IF(BZ$3&lt;=$B58,INDEX(Input!$I$43:$I$2956,BZ$3+$A57),"")</f>
        <v/>
      </c>
      <c r="CA58" s="17" t="str">
        <f>IF(CA$3&lt;=$B58,INDEX(Input!$I$43:$I$2956,CA$3+$A57),"")</f>
        <v/>
      </c>
      <c r="CB58" s="17" t="str">
        <f>IF(CB$3&lt;=$B58,INDEX(Input!$I$43:$I$2956,CB$3+$A57),"")</f>
        <v/>
      </c>
      <c r="CC58" s="17" t="str">
        <f>IF(CC$3&lt;=$B58,INDEX(Input!$I$43:$I$2956,CC$3+$A57),"")</f>
        <v/>
      </c>
      <c r="CD58" s="17" t="str">
        <f>IF(CD$3&lt;=$B58,INDEX(Input!$I$43:$I$2956,CD$3+$A57),"")</f>
        <v/>
      </c>
      <c r="CE58" s="17" t="str">
        <f>IF(CE$3&lt;=$B58,INDEX(Input!$I$43:$I$2956,CE$3+$A57),"")</f>
        <v/>
      </c>
      <c r="CF58" s="17" t="str">
        <f>IF(CF$3&lt;=$B58,INDEX(Input!$I$43:$I$2956,CF$3+$A57),"")</f>
        <v/>
      </c>
      <c r="CG58" s="17" t="str">
        <f>IF(CG$3&lt;=$B58,INDEX(Input!$I$43:$I$2956,CG$3+$A57),"")</f>
        <v/>
      </c>
      <c r="CH58" s="17" t="str">
        <f>IF(CH$3&lt;=$B58,INDEX(Input!$I$43:$I$2956,CH$3+$A57),"")</f>
        <v/>
      </c>
      <c r="CI58" s="17" t="str">
        <f>IF(CI$3&lt;=$B58,INDEX(Input!$I$43:$I$2956,CI$3+$A57),"")</f>
        <v/>
      </c>
      <c r="CJ58" s="17" t="str">
        <f>IF(CJ$3&lt;=$B58,INDEX(Input!$I$43:$I$2956,CJ$3+$A57),"")</f>
        <v/>
      </c>
      <c r="CK58" s="17" t="str">
        <f>IF(CK$3&lt;=$B58,INDEX(Input!$I$43:$I$2956,CK$3+$A57),"")</f>
        <v/>
      </c>
      <c r="CL58" s="17" t="str">
        <f>IF(CL$3&lt;=$B58,INDEX(Input!$I$43:$I$2956,CL$3+$A57),"")</f>
        <v/>
      </c>
      <c r="CM58" s="17" t="str">
        <f>IF(CM$3&lt;=$B58,INDEX(Input!$I$43:$I$2956,CM$3+$A57),"")</f>
        <v/>
      </c>
      <c r="CN58" s="17" t="str">
        <f>IF(CN$3&lt;=$B58,INDEX(Input!$I$43:$I$2956,CN$3+$A57),"")</f>
        <v/>
      </c>
      <c r="CO58" s="17" t="str">
        <f>IF(CO$3&lt;=$B58,INDEX(Input!$I$43:$I$2956,CO$3+$A57),"")</f>
        <v/>
      </c>
      <c r="CP58" s="17" t="str">
        <f>IF(CP$3&lt;=$B58,INDEX(Input!$I$43:$I$2956,CP$3+$A57),"")</f>
        <v/>
      </c>
      <c r="CQ58" s="17" t="str">
        <f>IF(CQ$3&lt;=$B58,INDEX(Input!$I$43:$I$2956,CQ$3+$A57),"")</f>
        <v/>
      </c>
      <c r="CR58" s="17" t="str">
        <f>IF(CR$3&lt;=$B58,INDEX(Input!$I$43:$I$2956,CR$3+$A57),"")</f>
        <v/>
      </c>
      <c r="CS58" s="17" t="str">
        <f>IF(CS$3&lt;=$B58,INDEX(Input!$I$43:$I$2956,CS$3+$A57),"")</f>
        <v/>
      </c>
      <c r="CT58" s="17" t="str">
        <f>IF(CT$3&lt;=$B58,INDEX(Input!$I$43:$I$2956,CT$3+$A57),"")</f>
        <v/>
      </c>
      <c r="CU58" s="17" t="str">
        <f>IF(CU$3&lt;=$B58,INDEX(Input!$I$43:$I$2956,CU$3+$A57),"")</f>
        <v/>
      </c>
      <c r="CV58" s="17" t="str">
        <f>IF(CV$3&lt;=$B58,INDEX(Input!$I$43:$I$2956,CV$3+$A57),"")</f>
        <v/>
      </c>
      <c r="CW58" s="17" t="str">
        <f>IF(CW$3&lt;=$B58,INDEX(Input!$I$43:$I$2956,CW$3+$A57),"")</f>
        <v/>
      </c>
      <c r="CX58" s="17" t="str">
        <f>IF(CX$3&lt;=$B58,INDEX(Input!$I$43:$I$2956,CX$3+$A57),"")</f>
        <v/>
      </c>
      <c r="CY58" s="17" t="str">
        <f>IF(CY$3&lt;=$B58,INDEX(Input!$I$43:$I$2956,CY$3+$A57),"")</f>
        <v/>
      </c>
      <c r="CZ58" s="17" t="str">
        <f>IF(CZ$3&lt;=$B58,INDEX(Input!$I$43:$I$2956,CZ$3+$A57),"")</f>
        <v/>
      </c>
      <c r="DA58" s="17" t="str">
        <f>IF(DA$3&lt;=$B58,INDEX(Input!$I$43:$I$2956,DA$3+$A57),"")</f>
        <v/>
      </c>
      <c r="DB58" s="17" t="str">
        <f>IF(DB$3&lt;=$B58,INDEX(Input!$I$43:$I$2956,DB$3+$A57),"")</f>
        <v/>
      </c>
      <c r="DC58" s="17" t="str">
        <f>IF(DC$3&lt;=$B58,INDEX(Input!$I$43:$I$2956,DC$3+$A57),"")</f>
        <v/>
      </c>
      <c r="DD58" s="17" t="str">
        <f>IF(DD$3&lt;=$B58,INDEX(Input!$I$43:$I$2956,DD$3+$A57),"")</f>
        <v/>
      </c>
      <c r="DE58" s="17" t="str">
        <f>IF(DE$3&lt;=$B58,INDEX(Input!$I$43:$I$2956,DE$3+$A57),"")</f>
        <v/>
      </c>
      <c r="DF58" s="17" t="str">
        <f>IF(DF$3&lt;=$B58,INDEX(Input!$I$43:$I$2956,DF$3+$A57),"")</f>
        <v/>
      </c>
      <c r="DG58" s="17" t="str">
        <f>IF(DG$3&lt;=$B58,INDEX(Input!$I$43:$I$2956,DG$3+$A57),"")</f>
        <v/>
      </c>
      <c r="DH58" s="17" t="str">
        <f>IF(DH$3&lt;=$B58,INDEX(Input!$I$43:$I$2956,DH$3+$A57),"")</f>
        <v/>
      </c>
      <c r="DI58" s="17" t="str">
        <f>IF(DI$3&lt;=$B58,INDEX(Input!$I$43:$I$2956,DI$3+$A57),"")</f>
        <v/>
      </c>
      <c r="DJ58" s="17" t="str">
        <f>IF(DJ$3&lt;=$B58,INDEX(Input!$I$43:$I$2956,DJ$3+$A57),"")</f>
        <v/>
      </c>
      <c r="DK58" s="17" t="str">
        <f>IF(DK$3&lt;=$B58,INDEX(Input!$I$43:$I$2956,DK$3+$A57),"")</f>
        <v/>
      </c>
      <c r="DL58" s="17" t="str">
        <f>IF(DL$3&lt;=$B58,INDEX(Input!$I$43:$I$2956,DL$3+$A57),"")</f>
        <v/>
      </c>
      <c r="DM58" s="17" t="str">
        <f>IF(DM$3&lt;=$B58,INDEX(Input!$I$43:$I$2956,DM$3+$A57),"")</f>
        <v/>
      </c>
      <c r="DN58" s="17" t="str">
        <f>IF(DN$3&lt;=$B58,INDEX(Input!$I$43:$I$2956,DN$3+$A57),"")</f>
        <v/>
      </c>
      <c r="DO58" s="17" t="str">
        <f>IF(DO$3&lt;=$B58,INDEX(Input!$I$43:$I$2956,DO$3+$A57),"")</f>
        <v/>
      </c>
      <c r="DP58" s="17" t="str">
        <f>IF(DP$3&lt;=$B58,INDEX(Input!$I$43:$I$2956,DP$3+$A57),"")</f>
        <v/>
      </c>
      <c r="DQ58" s="17" t="str">
        <f>IF(DQ$3&lt;=$B58,INDEX(Input!$I$43:$I$2956,DQ$3+$A57),"")</f>
        <v/>
      </c>
      <c r="DR58" s="17" t="str">
        <f>IF(DR$3&lt;=$B58,INDEX(Input!$I$43:$I$2956,DR$3+$A57),"")</f>
        <v/>
      </c>
      <c r="DS58" s="17" t="str">
        <f>IF(DS$3&lt;=$B58,INDEX(Input!$I$43:$I$2956,DS$3+$A57),"")</f>
        <v/>
      </c>
      <c r="DT58" s="17" t="str">
        <f>IF(DT$3&lt;=$B58,INDEX(Input!$I$43:$I$2956,DT$3+$A57),"")</f>
        <v/>
      </c>
      <c r="DU58" s="17" t="str">
        <f>IF(DU$3&lt;=$B58,INDEX(Input!$I$43:$I$2956,DU$3+$A57),"")</f>
        <v/>
      </c>
      <c r="DV58" s="17" t="str">
        <f>IF(DV$3&lt;=$B58,INDEX(Input!$I$43:$I$2956,DV$3+$A57),"")</f>
        <v/>
      </c>
      <c r="DW58" s="58" t="str">
        <f t="array" ref="DW58:EZ58">IFERROR(eccalc(E58:DV58,C58+B58,B58,$O$2:$AS$2),"")</f>
        <v/>
      </c>
      <c r="DX58" s="59" t="str">
        <v/>
      </c>
      <c r="DY58" s="59" t="str">
        <v/>
      </c>
      <c r="DZ58" s="59" t="str">
        <v/>
      </c>
      <c r="EA58" s="59" t="str">
        <v/>
      </c>
      <c r="EB58" s="59" t="str">
        <v/>
      </c>
      <c r="EC58" s="59" t="str">
        <v/>
      </c>
      <c r="ED58" s="59" t="str">
        <v/>
      </c>
      <c r="EE58" s="59" t="str">
        <v/>
      </c>
      <c r="EF58" s="59" t="str">
        <v/>
      </c>
      <c r="EG58" s="59" t="str">
        <v/>
      </c>
      <c r="EH58" s="59" t="str">
        <v/>
      </c>
      <c r="EI58" s="59" t="str">
        <v/>
      </c>
      <c r="EJ58" s="59" t="str">
        <v/>
      </c>
      <c r="EK58" s="59" t="str">
        <v/>
      </c>
      <c r="EL58" s="59" t="str">
        <v/>
      </c>
      <c r="EM58" s="59" t="str">
        <v/>
      </c>
      <c r="EN58" s="59" t="str">
        <v/>
      </c>
      <c r="EO58" s="59" t="str">
        <v/>
      </c>
      <c r="EP58" s="59" t="str">
        <v/>
      </c>
      <c r="EQ58" s="59" t="str">
        <v/>
      </c>
      <c r="ER58" s="59" t="str">
        <v/>
      </c>
      <c r="ES58" s="59" t="str">
        <v/>
      </c>
      <c r="ET58" s="59" t="str">
        <v/>
      </c>
      <c r="EU58" s="59" t="str">
        <v/>
      </c>
      <c r="EV58" s="59" t="str">
        <v/>
      </c>
      <c r="EW58" s="59" t="str">
        <v/>
      </c>
      <c r="EX58" s="59" t="str">
        <v/>
      </c>
      <c r="EY58" s="59" t="str">
        <v/>
      </c>
      <c r="EZ58" s="60" t="str">
        <v/>
      </c>
      <c r="FA58" s="17"/>
      <c r="FC58">
        <v>55</v>
      </c>
      <c r="FD58">
        <f t="shared" si="2"/>
        <v>7</v>
      </c>
      <c r="FE58">
        <f t="shared" si="3"/>
        <v>4</v>
      </c>
      <c r="FF58">
        <f t="shared" si="4"/>
        <v>41</v>
      </c>
      <c r="FI58" s="16">
        <v>55</v>
      </c>
      <c r="FJ58" s="17">
        <f t="shared" si="5"/>
        <v>248</v>
      </c>
      <c r="FK58" s="17">
        <f t="shared" si="6"/>
        <v>41</v>
      </c>
      <c r="FL58" s="18" t="str">
        <f t="shared" si="7"/>
        <v>00101001</v>
      </c>
      <c r="FM58" s="2"/>
    </row>
    <row r="59" spans="1:169">
      <c r="A59">
        <f>SUM($B$4:B59)</f>
        <v>196</v>
      </c>
      <c r="B59">
        <f t="shared" si="0"/>
        <v>0</v>
      </c>
      <c r="C59" t="str">
        <f t="shared" si="1"/>
        <v/>
      </c>
      <c r="D59">
        <v>56</v>
      </c>
      <c r="E59" s="16" t="str">
        <f>IF(E$3&lt;=$B59,INDEX(Input!$I$43:$I$2956,E$3+$A58),"")</f>
        <v/>
      </c>
      <c r="F59" s="17" t="str">
        <f>IF(F$3&lt;=$B59,INDEX(Input!$I$43:$I$2956,F$3+$A58),"")</f>
        <v/>
      </c>
      <c r="G59" s="17" t="str">
        <f>IF(G$3&lt;=$B59,INDEX(Input!$I$43:$I$2956,G$3+$A58),"")</f>
        <v/>
      </c>
      <c r="H59" s="17" t="str">
        <f>IF(H$3&lt;=$B59,INDEX(Input!$I$43:$I$2956,H$3+$A58),"")</f>
        <v/>
      </c>
      <c r="I59" s="17" t="str">
        <f>IF(I$3&lt;=$B59,INDEX(Input!$I$43:$I$2956,I$3+$A58),"")</f>
        <v/>
      </c>
      <c r="J59" s="17" t="str">
        <f>IF(J$3&lt;=$B59,INDEX(Input!$I$43:$I$2956,J$3+$A58),"")</f>
        <v/>
      </c>
      <c r="K59" s="17" t="str">
        <f>IF(K$3&lt;=$B59,INDEX(Input!$I$43:$I$2956,K$3+$A58),"")</f>
        <v/>
      </c>
      <c r="L59" s="17" t="str">
        <f>IF(L$3&lt;=$B59,INDEX(Input!$I$43:$I$2956,L$3+$A58),"")</f>
        <v/>
      </c>
      <c r="M59" s="17" t="str">
        <f>IF(M$3&lt;=$B59,INDEX(Input!$I$43:$I$2956,M$3+$A58),"")</f>
        <v/>
      </c>
      <c r="N59" s="17" t="str">
        <f>IF(N$3&lt;=$B59,INDEX(Input!$I$43:$I$2956,N$3+$A58),"")</f>
        <v/>
      </c>
      <c r="O59" s="17" t="str">
        <f>IF(O$3&lt;=$B59,INDEX(Input!$I$43:$I$2956,O$3+$A58),"")</f>
        <v/>
      </c>
      <c r="P59" s="17" t="str">
        <f>IF(P$3&lt;=$B59,INDEX(Input!$I$43:$I$2956,P$3+$A58),"")</f>
        <v/>
      </c>
      <c r="Q59" s="17" t="str">
        <f>IF(Q$3&lt;=$B59,INDEX(Input!$I$43:$I$2956,Q$3+$A58),"")</f>
        <v/>
      </c>
      <c r="R59" s="17" t="str">
        <f>IF(R$3&lt;=$B59,INDEX(Input!$I$43:$I$2956,R$3+$A58),"")</f>
        <v/>
      </c>
      <c r="S59" s="17" t="str">
        <f>IF(S$3&lt;=$B59,INDEX(Input!$I$43:$I$2956,S$3+$A58),"")</f>
        <v/>
      </c>
      <c r="T59" s="17" t="str">
        <f>IF(T$3&lt;=$B59,INDEX(Input!$I$43:$I$2956,T$3+$A58),"")</f>
        <v/>
      </c>
      <c r="U59" s="17" t="str">
        <f>IF(U$3&lt;=$B59,INDEX(Input!$I$43:$I$2956,U$3+$A58),"")</f>
        <v/>
      </c>
      <c r="V59" s="17" t="str">
        <f>IF(V$3&lt;=$B59,INDEX(Input!$I$43:$I$2956,V$3+$A58),"")</f>
        <v/>
      </c>
      <c r="W59" s="17" t="str">
        <f>IF(W$3&lt;=$B59,INDEX(Input!$I$43:$I$2956,W$3+$A58),"")</f>
        <v/>
      </c>
      <c r="X59" s="17" t="str">
        <f>IF(X$3&lt;=$B59,INDEX(Input!$I$43:$I$2956,X$3+$A58),"")</f>
        <v/>
      </c>
      <c r="Y59" s="17" t="str">
        <f>IF(Y$3&lt;=$B59,INDEX(Input!$I$43:$I$2956,Y$3+$A58),"")</f>
        <v/>
      </c>
      <c r="Z59" s="17" t="str">
        <f>IF(Z$3&lt;=$B59,INDEX(Input!$I$43:$I$2956,Z$3+$A58),"")</f>
        <v/>
      </c>
      <c r="AA59" s="17" t="str">
        <f>IF(AA$3&lt;=$B59,INDEX(Input!$I$43:$I$2956,AA$3+$A58),"")</f>
        <v/>
      </c>
      <c r="AB59" s="17" t="str">
        <f>IF(AB$3&lt;=$B59,INDEX(Input!$I$43:$I$2956,AB$3+$A58),"")</f>
        <v/>
      </c>
      <c r="AC59" s="17" t="str">
        <f>IF(AC$3&lt;=$B59,INDEX(Input!$I$43:$I$2956,AC$3+$A58),"")</f>
        <v/>
      </c>
      <c r="AD59" s="17" t="str">
        <f>IF(AD$3&lt;=$B59,INDEX(Input!$I$43:$I$2956,AD$3+$A58),"")</f>
        <v/>
      </c>
      <c r="AE59" s="17" t="str">
        <f>IF(AE$3&lt;=$B59,INDEX(Input!$I$43:$I$2956,AE$3+$A58),"")</f>
        <v/>
      </c>
      <c r="AF59" s="17" t="str">
        <f>IF(AF$3&lt;=$B59,INDEX(Input!$I$43:$I$2956,AF$3+$A58),"")</f>
        <v/>
      </c>
      <c r="AG59" s="17" t="str">
        <f>IF(AG$3&lt;=$B59,INDEX(Input!$I$43:$I$2956,AG$3+$A58),"")</f>
        <v/>
      </c>
      <c r="AH59" s="17" t="str">
        <f>IF(AH$3&lt;=$B59,INDEX(Input!$I$43:$I$2956,AH$3+$A58),"")</f>
        <v/>
      </c>
      <c r="AI59" s="17" t="str">
        <f>IF(AI$3&lt;=$B59,INDEX(Input!$I$43:$I$2956,AI$3+$A58),"")</f>
        <v/>
      </c>
      <c r="AJ59" s="17" t="str">
        <f>IF(AJ$3&lt;=$B59,INDEX(Input!$I$43:$I$2956,AJ$3+$A58),"")</f>
        <v/>
      </c>
      <c r="AK59" s="17" t="str">
        <f>IF(AK$3&lt;=$B59,INDEX(Input!$I$43:$I$2956,AK$3+$A58),"")</f>
        <v/>
      </c>
      <c r="AL59" s="17" t="str">
        <f>IF(AL$3&lt;=$B59,INDEX(Input!$I$43:$I$2956,AL$3+$A58),"")</f>
        <v/>
      </c>
      <c r="AM59" s="17" t="str">
        <f>IF(AM$3&lt;=$B59,INDEX(Input!$I$43:$I$2956,AM$3+$A58),"")</f>
        <v/>
      </c>
      <c r="AN59" s="17" t="str">
        <f>IF(AN$3&lt;=$B59,INDEX(Input!$I$43:$I$2956,AN$3+$A58),"")</f>
        <v/>
      </c>
      <c r="AO59" s="17" t="str">
        <f>IF(AO$3&lt;=$B59,INDEX(Input!$I$43:$I$2956,AO$3+$A58),"")</f>
        <v/>
      </c>
      <c r="AP59" s="17" t="str">
        <f>IF(AP$3&lt;=$B59,INDEX(Input!$I$43:$I$2956,AP$3+$A58),"")</f>
        <v/>
      </c>
      <c r="AQ59" s="17" t="str">
        <f>IF(AQ$3&lt;=$B59,INDEX(Input!$I$43:$I$2956,AQ$3+$A58),"")</f>
        <v/>
      </c>
      <c r="AR59" s="17" t="str">
        <f>IF(AR$3&lt;=$B59,INDEX(Input!$I$43:$I$2956,AR$3+$A58),"")</f>
        <v/>
      </c>
      <c r="AS59" s="17" t="str">
        <f>IF(AS$3&lt;=$B59,INDEX(Input!$I$43:$I$2956,AS$3+$A58),"")</f>
        <v/>
      </c>
      <c r="AT59" s="17" t="str">
        <f>IF(AT$3&lt;=$B59,INDEX(Input!$I$43:$I$2956,AT$3+$A58),"")</f>
        <v/>
      </c>
      <c r="AU59" s="17" t="str">
        <f>IF(AU$3&lt;=$B59,INDEX(Input!$I$43:$I$2956,AU$3+$A58),"")</f>
        <v/>
      </c>
      <c r="AV59" s="17" t="str">
        <f>IF(AV$3&lt;=$B59,INDEX(Input!$I$43:$I$2956,AV$3+$A58),"")</f>
        <v/>
      </c>
      <c r="AW59" s="17" t="str">
        <f>IF(AW$3&lt;=$B59,INDEX(Input!$I$43:$I$2956,AW$3+$A58),"")</f>
        <v/>
      </c>
      <c r="AX59" s="17" t="str">
        <f>IF(AX$3&lt;=$B59,INDEX(Input!$I$43:$I$2956,AX$3+$A58),"")</f>
        <v/>
      </c>
      <c r="AY59" s="17" t="str">
        <f>IF(AY$3&lt;=$B59,INDEX(Input!$I$43:$I$2956,AY$3+$A58),"")</f>
        <v/>
      </c>
      <c r="AZ59" s="17" t="str">
        <f>IF(AZ$3&lt;=$B59,INDEX(Input!$I$43:$I$2956,AZ$3+$A58),"")</f>
        <v/>
      </c>
      <c r="BA59" s="17" t="str">
        <f>IF(BA$3&lt;=$B59,INDEX(Input!$I$43:$I$2956,BA$3+$A58),"")</f>
        <v/>
      </c>
      <c r="BB59" s="17" t="str">
        <f>IF(BB$3&lt;=$B59,INDEX(Input!$I$43:$I$2956,BB$3+$A58),"")</f>
        <v/>
      </c>
      <c r="BC59" s="17" t="str">
        <f>IF(BC$3&lt;=$B59,INDEX(Input!$I$43:$I$2956,BC$3+$A58),"")</f>
        <v/>
      </c>
      <c r="BD59" s="17" t="str">
        <f>IF(BD$3&lt;=$B59,INDEX(Input!$I$43:$I$2956,BD$3+$A58),"")</f>
        <v/>
      </c>
      <c r="BE59" s="17" t="str">
        <f>IF(BE$3&lt;=$B59,INDEX(Input!$I$43:$I$2956,BE$3+$A58),"")</f>
        <v/>
      </c>
      <c r="BF59" s="17" t="str">
        <f>IF(BF$3&lt;=$B59,INDEX(Input!$I$43:$I$2956,BF$3+$A58),"")</f>
        <v/>
      </c>
      <c r="BG59" s="17" t="str">
        <f>IF(BG$3&lt;=$B59,INDEX(Input!$I$43:$I$2956,BG$3+$A58),"")</f>
        <v/>
      </c>
      <c r="BH59" s="17" t="str">
        <f>IF(BH$3&lt;=$B59,INDEX(Input!$I$43:$I$2956,BH$3+$A58),"")</f>
        <v/>
      </c>
      <c r="BI59" s="17" t="str">
        <f>IF(BI$3&lt;=$B59,INDEX(Input!$I$43:$I$2956,BI$3+$A58),"")</f>
        <v/>
      </c>
      <c r="BJ59" s="17" t="str">
        <f>IF(BJ$3&lt;=$B59,INDEX(Input!$I$43:$I$2956,BJ$3+$A58),"")</f>
        <v/>
      </c>
      <c r="BK59" s="17" t="str">
        <f>IF(BK$3&lt;=$B59,INDEX(Input!$I$43:$I$2956,BK$3+$A58),"")</f>
        <v/>
      </c>
      <c r="BL59" s="17" t="str">
        <f>IF(BL$3&lt;=$B59,INDEX(Input!$I$43:$I$2956,BL$3+$A58),"")</f>
        <v/>
      </c>
      <c r="BM59" s="17" t="str">
        <f>IF(BM$3&lt;=$B59,INDEX(Input!$I$43:$I$2956,BM$3+$A58),"")</f>
        <v/>
      </c>
      <c r="BN59" s="17" t="str">
        <f>IF(BN$3&lt;=$B59,INDEX(Input!$I$43:$I$2956,BN$3+$A58),"")</f>
        <v/>
      </c>
      <c r="BO59" s="17" t="str">
        <f>IF(BO$3&lt;=$B59,INDEX(Input!$I$43:$I$2956,BO$3+$A58),"")</f>
        <v/>
      </c>
      <c r="BP59" s="17" t="str">
        <f>IF(BP$3&lt;=$B59,INDEX(Input!$I$43:$I$2956,BP$3+$A58),"")</f>
        <v/>
      </c>
      <c r="BQ59" s="17" t="str">
        <f>IF(BQ$3&lt;=$B59,INDEX(Input!$I$43:$I$2956,BQ$3+$A58),"")</f>
        <v/>
      </c>
      <c r="BR59" s="17" t="str">
        <f>IF(BR$3&lt;=$B59,INDEX(Input!$I$43:$I$2956,BR$3+$A58),"")</f>
        <v/>
      </c>
      <c r="BS59" s="17" t="str">
        <f>IF(BS$3&lt;=$B59,INDEX(Input!$I$43:$I$2956,BS$3+$A58),"")</f>
        <v/>
      </c>
      <c r="BT59" s="17" t="str">
        <f>IF(BT$3&lt;=$B59,INDEX(Input!$I$43:$I$2956,BT$3+$A58),"")</f>
        <v/>
      </c>
      <c r="BU59" s="17" t="str">
        <f>IF(BU$3&lt;=$B59,INDEX(Input!$I$43:$I$2956,BU$3+$A58),"")</f>
        <v/>
      </c>
      <c r="BV59" s="17" t="str">
        <f>IF(BV$3&lt;=$B59,INDEX(Input!$I$43:$I$2956,BV$3+$A58),"")</f>
        <v/>
      </c>
      <c r="BW59" s="17" t="str">
        <f>IF(BW$3&lt;=$B59,INDEX(Input!$I$43:$I$2956,BW$3+$A58),"")</f>
        <v/>
      </c>
      <c r="BX59" s="17" t="str">
        <f>IF(BX$3&lt;=$B59,INDEX(Input!$I$43:$I$2956,BX$3+$A58),"")</f>
        <v/>
      </c>
      <c r="BY59" s="17" t="str">
        <f>IF(BY$3&lt;=$B59,INDEX(Input!$I$43:$I$2956,BY$3+$A58),"")</f>
        <v/>
      </c>
      <c r="BZ59" s="17" t="str">
        <f>IF(BZ$3&lt;=$B59,INDEX(Input!$I$43:$I$2956,BZ$3+$A58),"")</f>
        <v/>
      </c>
      <c r="CA59" s="17" t="str">
        <f>IF(CA$3&lt;=$B59,INDEX(Input!$I$43:$I$2956,CA$3+$A58),"")</f>
        <v/>
      </c>
      <c r="CB59" s="17" t="str">
        <f>IF(CB$3&lt;=$B59,INDEX(Input!$I$43:$I$2956,CB$3+$A58),"")</f>
        <v/>
      </c>
      <c r="CC59" s="17" t="str">
        <f>IF(CC$3&lt;=$B59,INDEX(Input!$I$43:$I$2956,CC$3+$A58),"")</f>
        <v/>
      </c>
      <c r="CD59" s="17" t="str">
        <f>IF(CD$3&lt;=$B59,INDEX(Input!$I$43:$I$2956,CD$3+$A58),"")</f>
        <v/>
      </c>
      <c r="CE59" s="17" t="str">
        <f>IF(CE$3&lt;=$B59,INDEX(Input!$I$43:$I$2956,CE$3+$A58),"")</f>
        <v/>
      </c>
      <c r="CF59" s="17" t="str">
        <f>IF(CF$3&lt;=$B59,INDEX(Input!$I$43:$I$2956,CF$3+$A58),"")</f>
        <v/>
      </c>
      <c r="CG59" s="17" t="str">
        <f>IF(CG$3&lt;=$B59,INDEX(Input!$I$43:$I$2956,CG$3+$A58),"")</f>
        <v/>
      </c>
      <c r="CH59" s="17" t="str">
        <f>IF(CH$3&lt;=$B59,INDEX(Input!$I$43:$I$2956,CH$3+$A58),"")</f>
        <v/>
      </c>
      <c r="CI59" s="17" t="str">
        <f>IF(CI$3&lt;=$B59,INDEX(Input!$I$43:$I$2956,CI$3+$A58),"")</f>
        <v/>
      </c>
      <c r="CJ59" s="17" t="str">
        <f>IF(CJ$3&lt;=$B59,INDEX(Input!$I$43:$I$2956,CJ$3+$A58),"")</f>
        <v/>
      </c>
      <c r="CK59" s="17" t="str">
        <f>IF(CK$3&lt;=$B59,INDEX(Input!$I$43:$I$2956,CK$3+$A58),"")</f>
        <v/>
      </c>
      <c r="CL59" s="17" t="str">
        <f>IF(CL$3&lt;=$B59,INDEX(Input!$I$43:$I$2956,CL$3+$A58),"")</f>
        <v/>
      </c>
      <c r="CM59" s="17" t="str">
        <f>IF(CM$3&lt;=$B59,INDEX(Input!$I$43:$I$2956,CM$3+$A58),"")</f>
        <v/>
      </c>
      <c r="CN59" s="17" t="str">
        <f>IF(CN$3&lt;=$B59,INDEX(Input!$I$43:$I$2956,CN$3+$A58),"")</f>
        <v/>
      </c>
      <c r="CO59" s="17" t="str">
        <f>IF(CO$3&lt;=$B59,INDEX(Input!$I$43:$I$2956,CO$3+$A58),"")</f>
        <v/>
      </c>
      <c r="CP59" s="17" t="str">
        <f>IF(CP$3&lt;=$B59,INDEX(Input!$I$43:$I$2956,CP$3+$A58),"")</f>
        <v/>
      </c>
      <c r="CQ59" s="17" t="str">
        <f>IF(CQ$3&lt;=$B59,INDEX(Input!$I$43:$I$2956,CQ$3+$A58),"")</f>
        <v/>
      </c>
      <c r="CR59" s="17" t="str">
        <f>IF(CR$3&lt;=$B59,INDEX(Input!$I$43:$I$2956,CR$3+$A58),"")</f>
        <v/>
      </c>
      <c r="CS59" s="17" t="str">
        <f>IF(CS$3&lt;=$B59,INDEX(Input!$I$43:$I$2956,CS$3+$A58),"")</f>
        <v/>
      </c>
      <c r="CT59" s="17" t="str">
        <f>IF(CT$3&lt;=$B59,INDEX(Input!$I$43:$I$2956,CT$3+$A58),"")</f>
        <v/>
      </c>
      <c r="CU59" s="17" t="str">
        <f>IF(CU$3&lt;=$B59,INDEX(Input!$I$43:$I$2956,CU$3+$A58),"")</f>
        <v/>
      </c>
      <c r="CV59" s="17" t="str">
        <f>IF(CV$3&lt;=$B59,INDEX(Input!$I$43:$I$2956,CV$3+$A58),"")</f>
        <v/>
      </c>
      <c r="CW59" s="17" t="str">
        <f>IF(CW$3&lt;=$B59,INDEX(Input!$I$43:$I$2956,CW$3+$A58),"")</f>
        <v/>
      </c>
      <c r="CX59" s="17" t="str">
        <f>IF(CX$3&lt;=$B59,INDEX(Input!$I$43:$I$2956,CX$3+$A58),"")</f>
        <v/>
      </c>
      <c r="CY59" s="17" t="str">
        <f>IF(CY$3&lt;=$B59,INDEX(Input!$I$43:$I$2956,CY$3+$A58),"")</f>
        <v/>
      </c>
      <c r="CZ59" s="17" t="str">
        <f>IF(CZ$3&lt;=$B59,INDEX(Input!$I$43:$I$2956,CZ$3+$A58),"")</f>
        <v/>
      </c>
      <c r="DA59" s="17" t="str">
        <f>IF(DA$3&lt;=$B59,INDEX(Input!$I$43:$I$2956,DA$3+$A58),"")</f>
        <v/>
      </c>
      <c r="DB59" s="17" t="str">
        <f>IF(DB$3&lt;=$B59,INDEX(Input!$I$43:$I$2956,DB$3+$A58),"")</f>
        <v/>
      </c>
      <c r="DC59" s="17" t="str">
        <f>IF(DC$3&lt;=$B59,INDEX(Input!$I$43:$I$2956,DC$3+$A58),"")</f>
        <v/>
      </c>
      <c r="DD59" s="17" t="str">
        <f>IF(DD$3&lt;=$B59,INDEX(Input!$I$43:$I$2956,DD$3+$A58),"")</f>
        <v/>
      </c>
      <c r="DE59" s="17" t="str">
        <f>IF(DE$3&lt;=$B59,INDEX(Input!$I$43:$I$2956,DE$3+$A58),"")</f>
        <v/>
      </c>
      <c r="DF59" s="17" t="str">
        <f>IF(DF$3&lt;=$B59,INDEX(Input!$I$43:$I$2956,DF$3+$A58),"")</f>
        <v/>
      </c>
      <c r="DG59" s="17" t="str">
        <f>IF(DG$3&lt;=$B59,INDEX(Input!$I$43:$I$2956,DG$3+$A58),"")</f>
        <v/>
      </c>
      <c r="DH59" s="17" t="str">
        <f>IF(DH$3&lt;=$B59,INDEX(Input!$I$43:$I$2956,DH$3+$A58),"")</f>
        <v/>
      </c>
      <c r="DI59" s="17" t="str">
        <f>IF(DI$3&lt;=$B59,INDEX(Input!$I$43:$I$2956,DI$3+$A58),"")</f>
        <v/>
      </c>
      <c r="DJ59" s="17" t="str">
        <f>IF(DJ$3&lt;=$B59,INDEX(Input!$I$43:$I$2956,DJ$3+$A58),"")</f>
        <v/>
      </c>
      <c r="DK59" s="17" t="str">
        <f>IF(DK$3&lt;=$B59,INDEX(Input!$I$43:$I$2956,DK$3+$A58),"")</f>
        <v/>
      </c>
      <c r="DL59" s="17" t="str">
        <f>IF(DL$3&lt;=$B59,INDEX(Input!$I$43:$I$2956,DL$3+$A58),"")</f>
        <v/>
      </c>
      <c r="DM59" s="17" t="str">
        <f>IF(DM$3&lt;=$B59,INDEX(Input!$I$43:$I$2956,DM$3+$A58),"")</f>
        <v/>
      </c>
      <c r="DN59" s="17" t="str">
        <f>IF(DN$3&lt;=$B59,INDEX(Input!$I$43:$I$2956,DN$3+$A58),"")</f>
        <v/>
      </c>
      <c r="DO59" s="17" t="str">
        <f>IF(DO$3&lt;=$B59,INDEX(Input!$I$43:$I$2956,DO$3+$A58),"")</f>
        <v/>
      </c>
      <c r="DP59" s="17" t="str">
        <f>IF(DP$3&lt;=$B59,INDEX(Input!$I$43:$I$2956,DP$3+$A58),"")</f>
        <v/>
      </c>
      <c r="DQ59" s="17" t="str">
        <f>IF(DQ$3&lt;=$B59,INDEX(Input!$I$43:$I$2956,DQ$3+$A58),"")</f>
        <v/>
      </c>
      <c r="DR59" s="17" t="str">
        <f>IF(DR$3&lt;=$B59,INDEX(Input!$I$43:$I$2956,DR$3+$A58),"")</f>
        <v/>
      </c>
      <c r="DS59" s="17" t="str">
        <f>IF(DS$3&lt;=$B59,INDEX(Input!$I$43:$I$2956,DS$3+$A58),"")</f>
        <v/>
      </c>
      <c r="DT59" s="17" t="str">
        <f>IF(DT$3&lt;=$B59,INDEX(Input!$I$43:$I$2956,DT$3+$A58),"")</f>
        <v/>
      </c>
      <c r="DU59" s="17" t="str">
        <f>IF(DU$3&lt;=$B59,INDEX(Input!$I$43:$I$2956,DU$3+$A58),"")</f>
        <v/>
      </c>
      <c r="DV59" s="17" t="str">
        <f>IF(DV$3&lt;=$B59,INDEX(Input!$I$43:$I$2956,DV$3+$A58),"")</f>
        <v/>
      </c>
      <c r="DW59" s="58" t="str">
        <f t="array" ref="DW59:EZ59">IFERROR(eccalc(E59:DV59,C59+B59,B59,$O$2:$AS$2),"")</f>
        <v/>
      </c>
      <c r="DX59" s="59" t="str">
        <v/>
      </c>
      <c r="DY59" s="59" t="str">
        <v/>
      </c>
      <c r="DZ59" s="59" t="str">
        <v/>
      </c>
      <c r="EA59" s="59" t="str">
        <v/>
      </c>
      <c r="EB59" s="59" t="str">
        <v/>
      </c>
      <c r="EC59" s="59" t="str">
        <v/>
      </c>
      <c r="ED59" s="59" t="str">
        <v/>
      </c>
      <c r="EE59" s="59" t="str">
        <v/>
      </c>
      <c r="EF59" s="59" t="str">
        <v/>
      </c>
      <c r="EG59" s="59" t="str">
        <v/>
      </c>
      <c r="EH59" s="59" t="str">
        <v/>
      </c>
      <c r="EI59" s="59" t="str">
        <v/>
      </c>
      <c r="EJ59" s="59" t="str">
        <v/>
      </c>
      <c r="EK59" s="59" t="str">
        <v/>
      </c>
      <c r="EL59" s="59" t="str">
        <v/>
      </c>
      <c r="EM59" s="59" t="str">
        <v/>
      </c>
      <c r="EN59" s="59" t="str">
        <v/>
      </c>
      <c r="EO59" s="59" t="str">
        <v/>
      </c>
      <c r="EP59" s="59" t="str">
        <v/>
      </c>
      <c r="EQ59" s="59" t="str">
        <v/>
      </c>
      <c r="ER59" s="59" t="str">
        <v/>
      </c>
      <c r="ES59" s="59" t="str">
        <v/>
      </c>
      <c r="ET59" s="59" t="str">
        <v/>
      </c>
      <c r="EU59" s="59" t="str">
        <v/>
      </c>
      <c r="EV59" s="59" t="str">
        <v/>
      </c>
      <c r="EW59" s="59" t="str">
        <v/>
      </c>
      <c r="EX59" s="59" t="str">
        <v/>
      </c>
      <c r="EY59" s="59" t="str">
        <v/>
      </c>
      <c r="EZ59" s="60" t="str">
        <v/>
      </c>
      <c r="FA59" s="17"/>
      <c r="FC59">
        <v>56</v>
      </c>
      <c r="FD59">
        <f t="shared" si="2"/>
        <v>8</v>
      </c>
      <c r="FE59">
        <f t="shared" si="3"/>
        <v>4</v>
      </c>
      <c r="FF59">
        <f t="shared" si="4"/>
        <v>105</v>
      </c>
      <c r="FI59" s="16">
        <v>56</v>
      </c>
      <c r="FJ59" s="17">
        <f t="shared" si="5"/>
        <v>5</v>
      </c>
      <c r="FK59" s="17">
        <f t="shared" si="6"/>
        <v>105</v>
      </c>
      <c r="FL59" s="18" t="str">
        <f t="shared" si="7"/>
        <v>01101001</v>
      </c>
      <c r="FM59" s="2"/>
    </row>
    <row r="60" spans="1:169">
      <c r="A60">
        <f>SUM($B$4:B60)</f>
        <v>196</v>
      </c>
      <c r="B60">
        <f t="shared" si="0"/>
        <v>0</v>
      </c>
      <c r="C60" t="str">
        <f t="shared" si="1"/>
        <v/>
      </c>
      <c r="D60">
        <v>57</v>
      </c>
      <c r="E60" s="16" t="str">
        <f>IF(E$3&lt;=$B60,INDEX(Input!$I$43:$I$2956,E$3+$A59),"")</f>
        <v/>
      </c>
      <c r="F60" s="17" t="str">
        <f>IF(F$3&lt;=$B60,INDEX(Input!$I$43:$I$2956,F$3+$A59),"")</f>
        <v/>
      </c>
      <c r="G60" s="17" t="str">
        <f>IF(G$3&lt;=$B60,INDEX(Input!$I$43:$I$2956,G$3+$A59),"")</f>
        <v/>
      </c>
      <c r="H60" s="17" t="str">
        <f>IF(H$3&lt;=$B60,INDEX(Input!$I$43:$I$2956,H$3+$A59),"")</f>
        <v/>
      </c>
      <c r="I60" s="17" t="str">
        <f>IF(I$3&lt;=$B60,INDEX(Input!$I$43:$I$2956,I$3+$A59),"")</f>
        <v/>
      </c>
      <c r="J60" s="17" t="str">
        <f>IF(J$3&lt;=$B60,INDEX(Input!$I$43:$I$2956,J$3+$A59),"")</f>
        <v/>
      </c>
      <c r="K60" s="17" t="str">
        <f>IF(K$3&lt;=$B60,INDEX(Input!$I$43:$I$2956,K$3+$A59),"")</f>
        <v/>
      </c>
      <c r="L60" s="17" t="str">
        <f>IF(L$3&lt;=$B60,INDEX(Input!$I$43:$I$2956,L$3+$A59),"")</f>
        <v/>
      </c>
      <c r="M60" s="17" t="str">
        <f>IF(M$3&lt;=$B60,INDEX(Input!$I$43:$I$2956,M$3+$A59),"")</f>
        <v/>
      </c>
      <c r="N60" s="17" t="str">
        <f>IF(N$3&lt;=$B60,INDEX(Input!$I$43:$I$2956,N$3+$A59),"")</f>
        <v/>
      </c>
      <c r="O60" s="17" t="str">
        <f>IF(O$3&lt;=$B60,INDEX(Input!$I$43:$I$2956,O$3+$A59),"")</f>
        <v/>
      </c>
      <c r="P60" s="17" t="str">
        <f>IF(P$3&lt;=$B60,INDEX(Input!$I$43:$I$2956,P$3+$A59),"")</f>
        <v/>
      </c>
      <c r="Q60" s="17" t="str">
        <f>IF(Q$3&lt;=$B60,INDEX(Input!$I$43:$I$2956,Q$3+$A59),"")</f>
        <v/>
      </c>
      <c r="R60" s="17" t="str">
        <f>IF(R$3&lt;=$B60,INDEX(Input!$I$43:$I$2956,R$3+$A59),"")</f>
        <v/>
      </c>
      <c r="S60" s="17" t="str">
        <f>IF(S$3&lt;=$B60,INDEX(Input!$I$43:$I$2956,S$3+$A59),"")</f>
        <v/>
      </c>
      <c r="T60" s="17" t="str">
        <f>IF(T$3&lt;=$B60,INDEX(Input!$I$43:$I$2956,T$3+$A59),"")</f>
        <v/>
      </c>
      <c r="U60" s="17" t="str">
        <f>IF(U$3&lt;=$B60,INDEX(Input!$I$43:$I$2956,U$3+$A59),"")</f>
        <v/>
      </c>
      <c r="V60" s="17" t="str">
        <f>IF(V$3&lt;=$B60,INDEX(Input!$I$43:$I$2956,V$3+$A59),"")</f>
        <v/>
      </c>
      <c r="W60" s="17" t="str">
        <f>IF(W$3&lt;=$B60,INDEX(Input!$I$43:$I$2956,W$3+$A59),"")</f>
        <v/>
      </c>
      <c r="X60" s="17" t="str">
        <f>IF(X$3&lt;=$B60,INDEX(Input!$I$43:$I$2956,X$3+$A59),"")</f>
        <v/>
      </c>
      <c r="Y60" s="17" t="str">
        <f>IF(Y$3&lt;=$B60,INDEX(Input!$I$43:$I$2956,Y$3+$A59),"")</f>
        <v/>
      </c>
      <c r="Z60" s="17" t="str">
        <f>IF(Z$3&lt;=$B60,INDEX(Input!$I$43:$I$2956,Z$3+$A59),"")</f>
        <v/>
      </c>
      <c r="AA60" s="17" t="str">
        <f>IF(AA$3&lt;=$B60,INDEX(Input!$I$43:$I$2956,AA$3+$A59),"")</f>
        <v/>
      </c>
      <c r="AB60" s="17" t="str">
        <f>IF(AB$3&lt;=$B60,INDEX(Input!$I$43:$I$2956,AB$3+$A59),"")</f>
        <v/>
      </c>
      <c r="AC60" s="17" t="str">
        <f>IF(AC$3&lt;=$B60,INDEX(Input!$I$43:$I$2956,AC$3+$A59),"")</f>
        <v/>
      </c>
      <c r="AD60" s="17" t="str">
        <f>IF(AD$3&lt;=$B60,INDEX(Input!$I$43:$I$2956,AD$3+$A59),"")</f>
        <v/>
      </c>
      <c r="AE60" s="17" t="str">
        <f>IF(AE$3&lt;=$B60,INDEX(Input!$I$43:$I$2956,AE$3+$A59),"")</f>
        <v/>
      </c>
      <c r="AF60" s="17" t="str">
        <f>IF(AF$3&lt;=$B60,INDEX(Input!$I$43:$I$2956,AF$3+$A59),"")</f>
        <v/>
      </c>
      <c r="AG60" s="17" t="str">
        <f>IF(AG$3&lt;=$B60,INDEX(Input!$I$43:$I$2956,AG$3+$A59),"")</f>
        <v/>
      </c>
      <c r="AH60" s="17" t="str">
        <f>IF(AH$3&lt;=$B60,INDEX(Input!$I$43:$I$2956,AH$3+$A59),"")</f>
        <v/>
      </c>
      <c r="AI60" s="17" t="str">
        <f>IF(AI$3&lt;=$B60,INDEX(Input!$I$43:$I$2956,AI$3+$A59),"")</f>
        <v/>
      </c>
      <c r="AJ60" s="17" t="str">
        <f>IF(AJ$3&lt;=$B60,INDEX(Input!$I$43:$I$2956,AJ$3+$A59),"")</f>
        <v/>
      </c>
      <c r="AK60" s="17" t="str">
        <f>IF(AK$3&lt;=$B60,INDEX(Input!$I$43:$I$2956,AK$3+$A59),"")</f>
        <v/>
      </c>
      <c r="AL60" s="17" t="str">
        <f>IF(AL$3&lt;=$B60,INDEX(Input!$I$43:$I$2956,AL$3+$A59),"")</f>
        <v/>
      </c>
      <c r="AM60" s="17" t="str">
        <f>IF(AM$3&lt;=$B60,INDEX(Input!$I$43:$I$2956,AM$3+$A59),"")</f>
        <v/>
      </c>
      <c r="AN60" s="17" t="str">
        <f>IF(AN$3&lt;=$B60,INDEX(Input!$I$43:$I$2956,AN$3+$A59),"")</f>
        <v/>
      </c>
      <c r="AO60" s="17" t="str">
        <f>IF(AO$3&lt;=$B60,INDEX(Input!$I$43:$I$2956,AO$3+$A59),"")</f>
        <v/>
      </c>
      <c r="AP60" s="17" t="str">
        <f>IF(AP$3&lt;=$B60,INDEX(Input!$I$43:$I$2956,AP$3+$A59),"")</f>
        <v/>
      </c>
      <c r="AQ60" s="17" t="str">
        <f>IF(AQ$3&lt;=$B60,INDEX(Input!$I$43:$I$2956,AQ$3+$A59),"")</f>
        <v/>
      </c>
      <c r="AR60" s="17" t="str">
        <f>IF(AR$3&lt;=$B60,INDEX(Input!$I$43:$I$2956,AR$3+$A59),"")</f>
        <v/>
      </c>
      <c r="AS60" s="17" t="str">
        <f>IF(AS$3&lt;=$B60,INDEX(Input!$I$43:$I$2956,AS$3+$A59),"")</f>
        <v/>
      </c>
      <c r="AT60" s="17" t="str">
        <f>IF(AT$3&lt;=$B60,INDEX(Input!$I$43:$I$2956,AT$3+$A59),"")</f>
        <v/>
      </c>
      <c r="AU60" s="17" t="str">
        <f>IF(AU$3&lt;=$B60,INDEX(Input!$I$43:$I$2956,AU$3+$A59),"")</f>
        <v/>
      </c>
      <c r="AV60" s="17" t="str">
        <f>IF(AV$3&lt;=$B60,INDEX(Input!$I$43:$I$2956,AV$3+$A59),"")</f>
        <v/>
      </c>
      <c r="AW60" s="17" t="str">
        <f>IF(AW$3&lt;=$B60,INDEX(Input!$I$43:$I$2956,AW$3+$A59),"")</f>
        <v/>
      </c>
      <c r="AX60" s="17" t="str">
        <f>IF(AX$3&lt;=$B60,INDEX(Input!$I$43:$I$2956,AX$3+$A59),"")</f>
        <v/>
      </c>
      <c r="AY60" s="17" t="str">
        <f>IF(AY$3&lt;=$B60,INDEX(Input!$I$43:$I$2956,AY$3+$A59),"")</f>
        <v/>
      </c>
      <c r="AZ60" s="17" t="str">
        <f>IF(AZ$3&lt;=$B60,INDEX(Input!$I$43:$I$2956,AZ$3+$A59),"")</f>
        <v/>
      </c>
      <c r="BA60" s="17" t="str">
        <f>IF(BA$3&lt;=$B60,INDEX(Input!$I$43:$I$2956,BA$3+$A59),"")</f>
        <v/>
      </c>
      <c r="BB60" s="17" t="str">
        <f>IF(BB$3&lt;=$B60,INDEX(Input!$I$43:$I$2956,BB$3+$A59),"")</f>
        <v/>
      </c>
      <c r="BC60" s="17" t="str">
        <f>IF(BC$3&lt;=$B60,INDEX(Input!$I$43:$I$2956,BC$3+$A59),"")</f>
        <v/>
      </c>
      <c r="BD60" s="17" t="str">
        <f>IF(BD$3&lt;=$B60,INDEX(Input!$I$43:$I$2956,BD$3+$A59),"")</f>
        <v/>
      </c>
      <c r="BE60" s="17" t="str">
        <f>IF(BE$3&lt;=$B60,INDEX(Input!$I$43:$I$2956,BE$3+$A59),"")</f>
        <v/>
      </c>
      <c r="BF60" s="17" t="str">
        <f>IF(BF$3&lt;=$B60,INDEX(Input!$I$43:$I$2956,BF$3+$A59),"")</f>
        <v/>
      </c>
      <c r="BG60" s="17" t="str">
        <f>IF(BG$3&lt;=$B60,INDEX(Input!$I$43:$I$2956,BG$3+$A59),"")</f>
        <v/>
      </c>
      <c r="BH60" s="17" t="str">
        <f>IF(BH$3&lt;=$B60,INDEX(Input!$I$43:$I$2956,BH$3+$A59),"")</f>
        <v/>
      </c>
      <c r="BI60" s="17" t="str">
        <f>IF(BI$3&lt;=$B60,INDEX(Input!$I$43:$I$2956,BI$3+$A59),"")</f>
        <v/>
      </c>
      <c r="BJ60" s="17" t="str">
        <f>IF(BJ$3&lt;=$B60,INDEX(Input!$I$43:$I$2956,BJ$3+$A59),"")</f>
        <v/>
      </c>
      <c r="BK60" s="17" t="str">
        <f>IF(BK$3&lt;=$B60,INDEX(Input!$I$43:$I$2956,BK$3+$A59),"")</f>
        <v/>
      </c>
      <c r="BL60" s="17" t="str">
        <f>IF(BL$3&lt;=$B60,INDEX(Input!$I$43:$I$2956,BL$3+$A59),"")</f>
        <v/>
      </c>
      <c r="BM60" s="17" t="str">
        <f>IF(BM$3&lt;=$B60,INDEX(Input!$I$43:$I$2956,BM$3+$A59),"")</f>
        <v/>
      </c>
      <c r="BN60" s="17" t="str">
        <f>IF(BN$3&lt;=$B60,INDEX(Input!$I$43:$I$2956,BN$3+$A59),"")</f>
        <v/>
      </c>
      <c r="BO60" s="17" t="str">
        <f>IF(BO$3&lt;=$B60,INDEX(Input!$I$43:$I$2956,BO$3+$A59),"")</f>
        <v/>
      </c>
      <c r="BP60" s="17" t="str">
        <f>IF(BP$3&lt;=$B60,INDEX(Input!$I$43:$I$2956,BP$3+$A59),"")</f>
        <v/>
      </c>
      <c r="BQ60" s="17" t="str">
        <f>IF(BQ$3&lt;=$B60,INDEX(Input!$I$43:$I$2956,BQ$3+$A59),"")</f>
        <v/>
      </c>
      <c r="BR60" s="17" t="str">
        <f>IF(BR$3&lt;=$B60,INDEX(Input!$I$43:$I$2956,BR$3+$A59),"")</f>
        <v/>
      </c>
      <c r="BS60" s="17" t="str">
        <f>IF(BS$3&lt;=$B60,INDEX(Input!$I$43:$I$2956,BS$3+$A59),"")</f>
        <v/>
      </c>
      <c r="BT60" s="17" t="str">
        <f>IF(BT$3&lt;=$B60,INDEX(Input!$I$43:$I$2956,BT$3+$A59),"")</f>
        <v/>
      </c>
      <c r="BU60" s="17" t="str">
        <f>IF(BU$3&lt;=$B60,INDEX(Input!$I$43:$I$2956,BU$3+$A59),"")</f>
        <v/>
      </c>
      <c r="BV60" s="17" t="str">
        <f>IF(BV$3&lt;=$B60,INDEX(Input!$I$43:$I$2956,BV$3+$A59),"")</f>
        <v/>
      </c>
      <c r="BW60" s="17" t="str">
        <f>IF(BW$3&lt;=$B60,INDEX(Input!$I$43:$I$2956,BW$3+$A59),"")</f>
        <v/>
      </c>
      <c r="BX60" s="17" t="str">
        <f>IF(BX$3&lt;=$B60,INDEX(Input!$I$43:$I$2956,BX$3+$A59),"")</f>
        <v/>
      </c>
      <c r="BY60" s="17" t="str">
        <f>IF(BY$3&lt;=$B60,INDEX(Input!$I$43:$I$2956,BY$3+$A59),"")</f>
        <v/>
      </c>
      <c r="BZ60" s="17" t="str">
        <f>IF(BZ$3&lt;=$B60,INDEX(Input!$I$43:$I$2956,BZ$3+$A59),"")</f>
        <v/>
      </c>
      <c r="CA60" s="17" t="str">
        <f>IF(CA$3&lt;=$B60,INDEX(Input!$I$43:$I$2956,CA$3+$A59),"")</f>
        <v/>
      </c>
      <c r="CB60" s="17" t="str">
        <f>IF(CB$3&lt;=$B60,INDEX(Input!$I$43:$I$2956,CB$3+$A59),"")</f>
        <v/>
      </c>
      <c r="CC60" s="17" t="str">
        <f>IF(CC$3&lt;=$B60,INDEX(Input!$I$43:$I$2956,CC$3+$A59),"")</f>
        <v/>
      </c>
      <c r="CD60" s="17" t="str">
        <f>IF(CD$3&lt;=$B60,INDEX(Input!$I$43:$I$2956,CD$3+$A59),"")</f>
        <v/>
      </c>
      <c r="CE60" s="17" t="str">
        <f>IF(CE$3&lt;=$B60,INDEX(Input!$I$43:$I$2956,CE$3+$A59),"")</f>
        <v/>
      </c>
      <c r="CF60" s="17" t="str">
        <f>IF(CF$3&lt;=$B60,INDEX(Input!$I$43:$I$2956,CF$3+$A59),"")</f>
        <v/>
      </c>
      <c r="CG60" s="17" t="str">
        <f>IF(CG$3&lt;=$B60,INDEX(Input!$I$43:$I$2956,CG$3+$A59),"")</f>
        <v/>
      </c>
      <c r="CH60" s="17" t="str">
        <f>IF(CH$3&lt;=$B60,INDEX(Input!$I$43:$I$2956,CH$3+$A59),"")</f>
        <v/>
      </c>
      <c r="CI60" s="17" t="str">
        <f>IF(CI$3&lt;=$B60,INDEX(Input!$I$43:$I$2956,CI$3+$A59),"")</f>
        <v/>
      </c>
      <c r="CJ60" s="17" t="str">
        <f>IF(CJ$3&lt;=$B60,INDEX(Input!$I$43:$I$2956,CJ$3+$A59),"")</f>
        <v/>
      </c>
      <c r="CK60" s="17" t="str">
        <f>IF(CK$3&lt;=$B60,INDEX(Input!$I$43:$I$2956,CK$3+$A59),"")</f>
        <v/>
      </c>
      <c r="CL60" s="17" t="str">
        <f>IF(CL$3&lt;=$B60,INDEX(Input!$I$43:$I$2956,CL$3+$A59),"")</f>
        <v/>
      </c>
      <c r="CM60" s="17" t="str">
        <f>IF(CM$3&lt;=$B60,INDEX(Input!$I$43:$I$2956,CM$3+$A59),"")</f>
        <v/>
      </c>
      <c r="CN60" s="17" t="str">
        <f>IF(CN$3&lt;=$B60,INDEX(Input!$I$43:$I$2956,CN$3+$A59),"")</f>
        <v/>
      </c>
      <c r="CO60" s="17" t="str">
        <f>IF(CO$3&lt;=$B60,INDEX(Input!$I$43:$I$2956,CO$3+$A59),"")</f>
        <v/>
      </c>
      <c r="CP60" s="17" t="str">
        <f>IF(CP$3&lt;=$B60,INDEX(Input!$I$43:$I$2956,CP$3+$A59),"")</f>
        <v/>
      </c>
      <c r="CQ60" s="17" t="str">
        <f>IF(CQ$3&lt;=$B60,INDEX(Input!$I$43:$I$2956,CQ$3+$A59),"")</f>
        <v/>
      </c>
      <c r="CR60" s="17" t="str">
        <f>IF(CR$3&lt;=$B60,INDEX(Input!$I$43:$I$2956,CR$3+$A59),"")</f>
        <v/>
      </c>
      <c r="CS60" s="17" t="str">
        <f>IF(CS$3&lt;=$B60,INDEX(Input!$I$43:$I$2956,CS$3+$A59),"")</f>
        <v/>
      </c>
      <c r="CT60" s="17" t="str">
        <f>IF(CT$3&lt;=$B60,INDEX(Input!$I$43:$I$2956,CT$3+$A59),"")</f>
        <v/>
      </c>
      <c r="CU60" s="17" t="str">
        <f>IF(CU$3&lt;=$B60,INDEX(Input!$I$43:$I$2956,CU$3+$A59),"")</f>
        <v/>
      </c>
      <c r="CV60" s="17" t="str">
        <f>IF(CV$3&lt;=$B60,INDEX(Input!$I$43:$I$2956,CV$3+$A59),"")</f>
        <v/>
      </c>
      <c r="CW60" s="17" t="str">
        <f>IF(CW$3&lt;=$B60,INDEX(Input!$I$43:$I$2956,CW$3+$A59),"")</f>
        <v/>
      </c>
      <c r="CX60" s="17" t="str">
        <f>IF(CX$3&lt;=$B60,INDEX(Input!$I$43:$I$2956,CX$3+$A59),"")</f>
        <v/>
      </c>
      <c r="CY60" s="17" t="str">
        <f>IF(CY$3&lt;=$B60,INDEX(Input!$I$43:$I$2956,CY$3+$A59),"")</f>
        <v/>
      </c>
      <c r="CZ60" s="17" t="str">
        <f>IF(CZ$3&lt;=$B60,INDEX(Input!$I$43:$I$2956,CZ$3+$A59),"")</f>
        <v/>
      </c>
      <c r="DA60" s="17" t="str">
        <f>IF(DA$3&lt;=$B60,INDEX(Input!$I$43:$I$2956,DA$3+$A59),"")</f>
        <v/>
      </c>
      <c r="DB60" s="17" t="str">
        <f>IF(DB$3&lt;=$B60,INDEX(Input!$I$43:$I$2956,DB$3+$A59),"")</f>
        <v/>
      </c>
      <c r="DC60" s="17" t="str">
        <f>IF(DC$3&lt;=$B60,INDEX(Input!$I$43:$I$2956,DC$3+$A59),"")</f>
        <v/>
      </c>
      <c r="DD60" s="17" t="str">
        <f>IF(DD$3&lt;=$B60,INDEX(Input!$I$43:$I$2956,DD$3+$A59),"")</f>
        <v/>
      </c>
      <c r="DE60" s="17" t="str">
        <f>IF(DE$3&lt;=$B60,INDEX(Input!$I$43:$I$2956,DE$3+$A59),"")</f>
        <v/>
      </c>
      <c r="DF60" s="17" t="str">
        <f>IF(DF$3&lt;=$B60,INDEX(Input!$I$43:$I$2956,DF$3+$A59),"")</f>
        <v/>
      </c>
      <c r="DG60" s="17" t="str">
        <f>IF(DG$3&lt;=$B60,INDEX(Input!$I$43:$I$2956,DG$3+$A59),"")</f>
        <v/>
      </c>
      <c r="DH60" s="17" t="str">
        <f>IF(DH$3&lt;=$B60,INDEX(Input!$I$43:$I$2956,DH$3+$A59),"")</f>
        <v/>
      </c>
      <c r="DI60" s="17" t="str">
        <f>IF(DI$3&lt;=$B60,INDEX(Input!$I$43:$I$2956,DI$3+$A59),"")</f>
        <v/>
      </c>
      <c r="DJ60" s="17" t="str">
        <f>IF(DJ$3&lt;=$B60,INDEX(Input!$I$43:$I$2956,DJ$3+$A59),"")</f>
        <v/>
      </c>
      <c r="DK60" s="17" t="str">
        <f>IF(DK$3&lt;=$B60,INDEX(Input!$I$43:$I$2956,DK$3+$A59),"")</f>
        <v/>
      </c>
      <c r="DL60" s="17" t="str">
        <f>IF(DL$3&lt;=$B60,INDEX(Input!$I$43:$I$2956,DL$3+$A59),"")</f>
        <v/>
      </c>
      <c r="DM60" s="17" t="str">
        <f>IF(DM$3&lt;=$B60,INDEX(Input!$I$43:$I$2956,DM$3+$A59),"")</f>
        <v/>
      </c>
      <c r="DN60" s="17" t="str">
        <f>IF(DN$3&lt;=$B60,INDEX(Input!$I$43:$I$2956,DN$3+$A59),"")</f>
        <v/>
      </c>
      <c r="DO60" s="17" t="str">
        <f>IF(DO$3&lt;=$B60,INDEX(Input!$I$43:$I$2956,DO$3+$A59),"")</f>
        <v/>
      </c>
      <c r="DP60" s="17" t="str">
        <f>IF(DP$3&lt;=$B60,INDEX(Input!$I$43:$I$2956,DP$3+$A59),"")</f>
        <v/>
      </c>
      <c r="DQ60" s="17" t="str">
        <f>IF(DQ$3&lt;=$B60,INDEX(Input!$I$43:$I$2956,DQ$3+$A59),"")</f>
        <v/>
      </c>
      <c r="DR60" s="17" t="str">
        <f>IF(DR$3&lt;=$B60,INDEX(Input!$I$43:$I$2956,DR$3+$A59),"")</f>
        <v/>
      </c>
      <c r="DS60" s="17" t="str">
        <f>IF(DS$3&lt;=$B60,INDEX(Input!$I$43:$I$2956,DS$3+$A59),"")</f>
        <v/>
      </c>
      <c r="DT60" s="17" t="str">
        <f>IF(DT$3&lt;=$B60,INDEX(Input!$I$43:$I$2956,DT$3+$A59),"")</f>
        <v/>
      </c>
      <c r="DU60" s="17" t="str">
        <f>IF(DU$3&lt;=$B60,INDEX(Input!$I$43:$I$2956,DU$3+$A59),"")</f>
        <v/>
      </c>
      <c r="DV60" s="17" t="str">
        <f>IF(DV$3&lt;=$B60,INDEX(Input!$I$43:$I$2956,DV$3+$A59),"")</f>
        <v/>
      </c>
      <c r="DW60" s="58" t="str">
        <f t="array" ref="DW60:EZ60">IFERROR(eccalc(E60:DV60,C60+B60,B60,$O$2:$AS$2),"")</f>
        <v/>
      </c>
      <c r="DX60" s="59" t="str">
        <v/>
      </c>
      <c r="DY60" s="59" t="str">
        <v/>
      </c>
      <c r="DZ60" s="59" t="str">
        <v/>
      </c>
      <c r="EA60" s="59" t="str">
        <v/>
      </c>
      <c r="EB60" s="59" t="str">
        <v/>
      </c>
      <c r="EC60" s="59" t="str">
        <v/>
      </c>
      <c r="ED60" s="59" t="str">
        <v/>
      </c>
      <c r="EE60" s="59" t="str">
        <v/>
      </c>
      <c r="EF60" s="59" t="str">
        <v/>
      </c>
      <c r="EG60" s="59" t="str">
        <v/>
      </c>
      <c r="EH60" s="59" t="str">
        <v/>
      </c>
      <c r="EI60" s="59" t="str">
        <v/>
      </c>
      <c r="EJ60" s="59" t="str">
        <v/>
      </c>
      <c r="EK60" s="59" t="str">
        <v/>
      </c>
      <c r="EL60" s="59" t="str">
        <v/>
      </c>
      <c r="EM60" s="59" t="str">
        <v/>
      </c>
      <c r="EN60" s="59" t="str">
        <v/>
      </c>
      <c r="EO60" s="59" t="str">
        <v/>
      </c>
      <c r="EP60" s="59" t="str">
        <v/>
      </c>
      <c r="EQ60" s="59" t="str">
        <v/>
      </c>
      <c r="ER60" s="59" t="str">
        <v/>
      </c>
      <c r="ES60" s="59" t="str">
        <v/>
      </c>
      <c r="ET60" s="59" t="str">
        <v/>
      </c>
      <c r="EU60" s="59" t="str">
        <v/>
      </c>
      <c r="EV60" s="59" t="str">
        <v/>
      </c>
      <c r="EW60" s="59" t="str">
        <v/>
      </c>
      <c r="EX60" s="59" t="str">
        <v/>
      </c>
      <c r="EY60" s="59" t="str">
        <v/>
      </c>
      <c r="EZ60" s="60" t="str">
        <v/>
      </c>
      <c r="FA60" s="17"/>
      <c r="FC60">
        <v>57</v>
      </c>
      <c r="FD60">
        <f t="shared" si="2"/>
        <v>9</v>
      </c>
      <c r="FE60">
        <f t="shared" si="3"/>
        <v>4</v>
      </c>
      <c r="FF60">
        <f t="shared" si="4"/>
        <v>131</v>
      </c>
      <c r="FI60" s="16">
        <v>57</v>
      </c>
      <c r="FJ60" s="17">
        <f t="shared" si="5"/>
        <v>76</v>
      </c>
      <c r="FK60" s="17">
        <f t="shared" si="6"/>
        <v>131</v>
      </c>
      <c r="FL60" s="18" t="str">
        <f t="shared" si="7"/>
        <v>10000011</v>
      </c>
      <c r="FM60" s="2"/>
    </row>
    <row r="61" spans="1:169">
      <c r="A61">
        <f>SUM($B$4:B61)</f>
        <v>196</v>
      </c>
      <c r="B61">
        <f t="shared" si="0"/>
        <v>0</v>
      </c>
      <c r="C61" t="str">
        <f t="shared" si="1"/>
        <v/>
      </c>
      <c r="D61">
        <v>58</v>
      </c>
      <c r="E61" s="16" t="str">
        <f>IF(E$3&lt;=$B61,INDEX(Input!$I$43:$I$2956,E$3+$A60),"")</f>
        <v/>
      </c>
      <c r="F61" s="17" t="str">
        <f>IF(F$3&lt;=$B61,INDEX(Input!$I$43:$I$2956,F$3+$A60),"")</f>
        <v/>
      </c>
      <c r="G61" s="17" t="str">
        <f>IF(G$3&lt;=$B61,INDEX(Input!$I$43:$I$2956,G$3+$A60),"")</f>
        <v/>
      </c>
      <c r="H61" s="17" t="str">
        <f>IF(H$3&lt;=$B61,INDEX(Input!$I$43:$I$2956,H$3+$A60),"")</f>
        <v/>
      </c>
      <c r="I61" s="17" t="str">
        <f>IF(I$3&lt;=$B61,INDEX(Input!$I$43:$I$2956,I$3+$A60),"")</f>
        <v/>
      </c>
      <c r="J61" s="17" t="str">
        <f>IF(J$3&lt;=$B61,INDEX(Input!$I$43:$I$2956,J$3+$A60),"")</f>
        <v/>
      </c>
      <c r="K61" s="17" t="str">
        <f>IF(K$3&lt;=$B61,INDEX(Input!$I$43:$I$2956,K$3+$A60),"")</f>
        <v/>
      </c>
      <c r="L61" s="17" t="str">
        <f>IF(L$3&lt;=$B61,INDEX(Input!$I$43:$I$2956,L$3+$A60),"")</f>
        <v/>
      </c>
      <c r="M61" s="17" t="str">
        <f>IF(M$3&lt;=$B61,INDEX(Input!$I$43:$I$2956,M$3+$A60),"")</f>
        <v/>
      </c>
      <c r="N61" s="17" t="str">
        <f>IF(N$3&lt;=$B61,INDEX(Input!$I$43:$I$2956,N$3+$A60),"")</f>
        <v/>
      </c>
      <c r="O61" s="17" t="str">
        <f>IF(O$3&lt;=$B61,INDEX(Input!$I$43:$I$2956,O$3+$A60),"")</f>
        <v/>
      </c>
      <c r="P61" s="17" t="str">
        <f>IF(P$3&lt;=$B61,INDEX(Input!$I$43:$I$2956,P$3+$A60),"")</f>
        <v/>
      </c>
      <c r="Q61" s="17" t="str">
        <f>IF(Q$3&lt;=$B61,INDEX(Input!$I$43:$I$2956,Q$3+$A60),"")</f>
        <v/>
      </c>
      <c r="R61" s="17" t="str">
        <f>IF(R$3&lt;=$B61,INDEX(Input!$I$43:$I$2956,R$3+$A60),"")</f>
        <v/>
      </c>
      <c r="S61" s="17" t="str">
        <f>IF(S$3&lt;=$B61,INDEX(Input!$I$43:$I$2956,S$3+$A60),"")</f>
        <v/>
      </c>
      <c r="T61" s="17" t="str">
        <f>IF(T$3&lt;=$B61,INDEX(Input!$I$43:$I$2956,T$3+$A60),"")</f>
        <v/>
      </c>
      <c r="U61" s="17" t="str">
        <f>IF(U$3&lt;=$B61,INDEX(Input!$I$43:$I$2956,U$3+$A60),"")</f>
        <v/>
      </c>
      <c r="V61" s="17" t="str">
        <f>IF(V$3&lt;=$B61,INDEX(Input!$I$43:$I$2956,V$3+$A60),"")</f>
        <v/>
      </c>
      <c r="W61" s="17" t="str">
        <f>IF(W$3&lt;=$B61,INDEX(Input!$I$43:$I$2956,W$3+$A60),"")</f>
        <v/>
      </c>
      <c r="X61" s="17" t="str">
        <f>IF(X$3&lt;=$B61,INDEX(Input!$I$43:$I$2956,X$3+$A60),"")</f>
        <v/>
      </c>
      <c r="Y61" s="17" t="str">
        <f>IF(Y$3&lt;=$B61,INDEX(Input!$I$43:$I$2956,Y$3+$A60),"")</f>
        <v/>
      </c>
      <c r="Z61" s="17" t="str">
        <f>IF(Z$3&lt;=$B61,INDEX(Input!$I$43:$I$2956,Z$3+$A60),"")</f>
        <v/>
      </c>
      <c r="AA61" s="17" t="str">
        <f>IF(AA$3&lt;=$B61,INDEX(Input!$I$43:$I$2956,AA$3+$A60),"")</f>
        <v/>
      </c>
      <c r="AB61" s="17" t="str">
        <f>IF(AB$3&lt;=$B61,INDEX(Input!$I$43:$I$2956,AB$3+$A60),"")</f>
        <v/>
      </c>
      <c r="AC61" s="17" t="str">
        <f>IF(AC$3&lt;=$B61,INDEX(Input!$I$43:$I$2956,AC$3+$A60),"")</f>
        <v/>
      </c>
      <c r="AD61" s="17" t="str">
        <f>IF(AD$3&lt;=$B61,INDEX(Input!$I$43:$I$2956,AD$3+$A60),"")</f>
        <v/>
      </c>
      <c r="AE61" s="17" t="str">
        <f>IF(AE$3&lt;=$B61,INDEX(Input!$I$43:$I$2956,AE$3+$A60),"")</f>
        <v/>
      </c>
      <c r="AF61" s="17" t="str">
        <f>IF(AF$3&lt;=$B61,INDEX(Input!$I$43:$I$2956,AF$3+$A60),"")</f>
        <v/>
      </c>
      <c r="AG61" s="17" t="str">
        <f>IF(AG$3&lt;=$B61,INDEX(Input!$I$43:$I$2956,AG$3+$A60),"")</f>
        <v/>
      </c>
      <c r="AH61" s="17" t="str">
        <f>IF(AH$3&lt;=$B61,INDEX(Input!$I$43:$I$2956,AH$3+$A60),"")</f>
        <v/>
      </c>
      <c r="AI61" s="17" t="str">
        <f>IF(AI$3&lt;=$B61,INDEX(Input!$I$43:$I$2956,AI$3+$A60),"")</f>
        <v/>
      </c>
      <c r="AJ61" s="17" t="str">
        <f>IF(AJ$3&lt;=$B61,INDEX(Input!$I$43:$I$2956,AJ$3+$A60),"")</f>
        <v/>
      </c>
      <c r="AK61" s="17" t="str">
        <f>IF(AK$3&lt;=$B61,INDEX(Input!$I$43:$I$2956,AK$3+$A60),"")</f>
        <v/>
      </c>
      <c r="AL61" s="17" t="str">
        <f>IF(AL$3&lt;=$B61,INDEX(Input!$I$43:$I$2956,AL$3+$A60),"")</f>
        <v/>
      </c>
      <c r="AM61" s="17" t="str">
        <f>IF(AM$3&lt;=$B61,INDEX(Input!$I$43:$I$2956,AM$3+$A60),"")</f>
        <v/>
      </c>
      <c r="AN61" s="17" t="str">
        <f>IF(AN$3&lt;=$B61,INDEX(Input!$I$43:$I$2956,AN$3+$A60),"")</f>
        <v/>
      </c>
      <c r="AO61" s="17" t="str">
        <f>IF(AO$3&lt;=$B61,INDEX(Input!$I$43:$I$2956,AO$3+$A60),"")</f>
        <v/>
      </c>
      <c r="AP61" s="17" t="str">
        <f>IF(AP$3&lt;=$B61,INDEX(Input!$I$43:$I$2956,AP$3+$A60),"")</f>
        <v/>
      </c>
      <c r="AQ61" s="17" t="str">
        <f>IF(AQ$3&lt;=$B61,INDEX(Input!$I$43:$I$2956,AQ$3+$A60),"")</f>
        <v/>
      </c>
      <c r="AR61" s="17" t="str">
        <f>IF(AR$3&lt;=$B61,INDEX(Input!$I$43:$I$2956,AR$3+$A60),"")</f>
        <v/>
      </c>
      <c r="AS61" s="17" t="str">
        <f>IF(AS$3&lt;=$B61,INDEX(Input!$I$43:$I$2956,AS$3+$A60),"")</f>
        <v/>
      </c>
      <c r="AT61" s="17" t="str">
        <f>IF(AT$3&lt;=$B61,INDEX(Input!$I$43:$I$2956,AT$3+$A60),"")</f>
        <v/>
      </c>
      <c r="AU61" s="17" t="str">
        <f>IF(AU$3&lt;=$B61,INDEX(Input!$I$43:$I$2956,AU$3+$A60),"")</f>
        <v/>
      </c>
      <c r="AV61" s="17" t="str">
        <f>IF(AV$3&lt;=$B61,INDEX(Input!$I$43:$I$2956,AV$3+$A60),"")</f>
        <v/>
      </c>
      <c r="AW61" s="17" t="str">
        <f>IF(AW$3&lt;=$B61,INDEX(Input!$I$43:$I$2956,AW$3+$A60),"")</f>
        <v/>
      </c>
      <c r="AX61" s="17" t="str">
        <f>IF(AX$3&lt;=$B61,INDEX(Input!$I$43:$I$2956,AX$3+$A60),"")</f>
        <v/>
      </c>
      <c r="AY61" s="17" t="str">
        <f>IF(AY$3&lt;=$B61,INDEX(Input!$I$43:$I$2956,AY$3+$A60),"")</f>
        <v/>
      </c>
      <c r="AZ61" s="17" t="str">
        <f>IF(AZ$3&lt;=$B61,INDEX(Input!$I$43:$I$2956,AZ$3+$A60),"")</f>
        <v/>
      </c>
      <c r="BA61" s="17" t="str">
        <f>IF(BA$3&lt;=$B61,INDEX(Input!$I$43:$I$2956,BA$3+$A60),"")</f>
        <v/>
      </c>
      <c r="BB61" s="17" t="str">
        <f>IF(BB$3&lt;=$B61,INDEX(Input!$I$43:$I$2956,BB$3+$A60),"")</f>
        <v/>
      </c>
      <c r="BC61" s="17" t="str">
        <f>IF(BC$3&lt;=$B61,INDEX(Input!$I$43:$I$2956,BC$3+$A60),"")</f>
        <v/>
      </c>
      <c r="BD61" s="17" t="str">
        <f>IF(BD$3&lt;=$B61,INDEX(Input!$I$43:$I$2956,BD$3+$A60),"")</f>
        <v/>
      </c>
      <c r="BE61" s="17" t="str">
        <f>IF(BE$3&lt;=$B61,INDEX(Input!$I$43:$I$2956,BE$3+$A60),"")</f>
        <v/>
      </c>
      <c r="BF61" s="17" t="str">
        <f>IF(BF$3&lt;=$B61,INDEX(Input!$I$43:$I$2956,BF$3+$A60),"")</f>
        <v/>
      </c>
      <c r="BG61" s="17" t="str">
        <f>IF(BG$3&lt;=$B61,INDEX(Input!$I$43:$I$2956,BG$3+$A60),"")</f>
        <v/>
      </c>
      <c r="BH61" s="17" t="str">
        <f>IF(BH$3&lt;=$B61,INDEX(Input!$I$43:$I$2956,BH$3+$A60),"")</f>
        <v/>
      </c>
      <c r="BI61" s="17" t="str">
        <f>IF(BI$3&lt;=$B61,INDEX(Input!$I$43:$I$2956,BI$3+$A60),"")</f>
        <v/>
      </c>
      <c r="BJ61" s="17" t="str">
        <f>IF(BJ$3&lt;=$B61,INDEX(Input!$I$43:$I$2956,BJ$3+$A60),"")</f>
        <v/>
      </c>
      <c r="BK61" s="17" t="str">
        <f>IF(BK$3&lt;=$B61,INDEX(Input!$I$43:$I$2956,BK$3+$A60),"")</f>
        <v/>
      </c>
      <c r="BL61" s="17" t="str">
        <f>IF(BL$3&lt;=$B61,INDEX(Input!$I$43:$I$2956,BL$3+$A60),"")</f>
        <v/>
      </c>
      <c r="BM61" s="17" t="str">
        <f>IF(BM$3&lt;=$B61,INDEX(Input!$I$43:$I$2956,BM$3+$A60),"")</f>
        <v/>
      </c>
      <c r="BN61" s="17" t="str">
        <f>IF(BN$3&lt;=$B61,INDEX(Input!$I$43:$I$2956,BN$3+$A60),"")</f>
        <v/>
      </c>
      <c r="BO61" s="17" t="str">
        <f>IF(BO$3&lt;=$B61,INDEX(Input!$I$43:$I$2956,BO$3+$A60),"")</f>
        <v/>
      </c>
      <c r="BP61" s="17" t="str">
        <f>IF(BP$3&lt;=$B61,INDEX(Input!$I$43:$I$2956,BP$3+$A60),"")</f>
        <v/>
      </c>
      <c r="BQ61" s="17" t="str">
        <f>IF(BQ$3&lt;=$B61,INDEX(Input!$I$43:$I$2956,BQ$3+$A60),"")</f>
        <v/>
      </c>
      <c r="BR61" s="17" t="str">
        <f>IF(BR$3&lt;=$B61,INDEX(Input!$I$43:$I$2956,BR$3+$A60),"")</f>
        <v/>
      </c>
      <c r="BS61" s="17" t="str">
        <f>IF(BS$3&lt;=$B61,INDEX(Input!$I$43:$I$2956,BS$3+$A60),"")</f>
        <v/>
      </c>
      <c r="BT61" s="17" t="str">
        <f>IF(BT$3&lt;=$B61,INDEX(Input!$I$43:$I$2956,BT$3+$A60),"")</f>
        <v/>
      </c>
      <c r="BU61" s="17" t="str">
        <f>IF(BU$3&lt;=$B61,INDEX(Input!$I$43:$I$2956,BU$3+$A60),"")</f>
        <v/>
      </c>
      <c r="BV61" s="17" t="str">
        <f>IF(BV$3&lt;=$B61,INDEX(Input!$I$43:$I$2956,BV$3+$A60),"")</f>
        <v/>
      </c>
      <c r="BW61" s="17" t="str">
        <f>IF(BW$3&lt;=$B61,INDEX(Input!$I$43:$I$2956,BW$3+$A60),"")</f>
        <v/>
      </c>
      <c r="BX61" s="17" t="str">
        <f>IF(BX$3&lt;=$B61,INDEX(Input!$I$43:$I$2956,BX$3+$A60),"")</f>
        <v/>
      </c>
      <c r="BY61" s="17" t="str">
        <f>IF(BY$3&lt;=$B61,INDEX(Input!$I$43:$I$2956,BY$3+$A60),"")</f>
        <v/>
      </c>
      <c r="BZ61" s="17" t="str">
        <f>IF(BZ$3&lt;=$B61,INDEX(Input!$I$43:$I$2956,BZ$3+$A60),"")</f>
        <v/>
      </c>
      <c r="CA61" s="17" t="str">
        <f>IF(CA$3&lt;=$B61,INDEX(Input!$I$43:$I$2956,CA$3+$A60),"")</f>
        <v/>
      </c>
      <c r="CB61" s="17" t="str">
        <f>IF(CB$3&lt;=$B61,INDEX(Input!$I$43:$I$2956,CB$3+$A60),"")</f>
        <v/>
      </c>
      <c r="CC61" s="17" t="str">
        <f>IF(CC$3&lt;=$B61,INDEX(Input!$I$43:$I$2956,CC$3+$A60),"")</f>
        <v/>
      </c>
      <c r="CD61" s="17" t="str">
        <f>IF(CD$3&lt;=$B61,INDEX(Input!$I$43:$I$2956,CD$3+$A60),"")</f>
        <v/>
      </c>
      <c r="CE61" s="17" t="str">
        <f>IF(CE$3&lt;=$B61,INDEX(Input!$I$43:$I$2956,CE$3+$A60),"")</f>
        <v/>
      </c>
      <c r="CF61" s="17" t="str">
        <f>IF(CF$3&lt;=$B61,INDEX(Input!$I$43:$I$2956,CF$3+$A60),"")</f>
        <v/>
      </c>
      <c r="CG61" s="17" t="str">
        <f>IF(CG$3&lt;=$B61,INDEX(Input!$I$43:$I$2956,CG$3+$A60),"")</f>
        <v/>
      </c>
      <c r="CH61" s="17" t="str">
        <f>IF(CH$3&lt;=$B61,INDEX(Input!$I$43:$I$2956,CH$3+$A60),"")</f>
        <v/>
      </c>
      <c r="CI61" s="17" t="str">
        <f>IF(CI$3&lt;=$B61,INDEX(Input!$I$43:$I$2956,CI$3+$A60),"")</f>
        <v/>
      </c>
      <c r="CJ61" s="17" t="str">
        <f>IF(CJ$3&lt;=$B61,INDEX(Input!$I$43:$I$2956,CJ$3+$A60),"")</f>
        <v/>
      </c>
      <c r="CK61" s="17" t="str">
        <f>IF(CK$3&lt;=$B61,INDEX(Input!$I$43:$I$2956,CK$3+$A60),"")</f>
        <v/>
      </c>
      <c r="CL61" s="17" t="str">
        <f>IF(CL$3&lt;=$B61,INDEX(Input!$I$43:$I$2956,CL$3+$A60),"")</f>
        <v/>
      </c>
      <c r="CM61" s="17" t="str">
        <f>IF(CM$3&lt;=$B61,INDEX(Input!$I$43:$I$2956,CM$3+$A60),"")</f>
        <v/>
      </c>
      <c r="CN61" s="17" t="str">
        <f>IF(CN$3&lt;=$B61,INDEX(Input!$I$43:$I$2956,CN$3+$A60),"")</f>
        <v/>
      </c>
      <c r="CO61" s="17" t="str">
        <f>IF(CO$3&lt;=$B61,INDEX(Input!$I$43:$I$2956,CO$3+$A60),"")</f>
        <v/>
      </c>
      <c r="CP61" s="17" t="str">
        <f>IF(CP$3&lt;=$B61,INDEX(Input!$I$43:$I$2956,CP$3+$A60),"")</f>
        <v/>
      </c>
      <c r="CQ61" s="17" t="str">
        <f>IF(CQ$3&lt;=$B61,INDEX(Input!$I$43:$I$2956,CQ$3+$A60),"")</f>
        <v/>
      </c>
      <c r="CR61" s="17" t="str">
        <f>IF(CR$3&lt;=$B61,INDEX(Input!$I$43:$I$2956,CR$3+$A60),"")</f>
        <v/>
      </c>
      <c r="CS61" s="17" t="str">
        <f>IF(CS$3&lt;=$B61,INDEX(Input!$I$43:$I$2956,CS$3+$A60),"")</f>
        <v/>
      </c>
      <c r="CT61" s="17" t="str">
        <f>IF(CT$3&lt;=$B61,INDEX(Input!$I$43:$I$2956,CT$3+$A60),"")</f>
        <v/>
      </c>
      <c r="CU61" s="17" t="str">
        <f>IF(CU$3&lt;=$B61,INDEX(Input!$I$43:$I$2956,CU$3+$A60),"")</f>
        <v/>
      </c>
      <c r="CV61" s="17" t="str">
        <f>IF(CV$3&lt;=$B61,INDEX(Input!$I$43:$I$2956,CV$3+$A60),"")</f>
        <v/>
      </c>
      <c r="CW61" s="17" t="str">
        <f>IF(CW$3&lt;=$B61,INDEX(Input!$I$43:$I$2956,CW$3+$A60),"")</f>
        <v/>
      </c>
      <c r="CX61" s="17" t="str">
        <f>IF(CX$3&lt;=$B61,INDEX(Input!$I$43:$I$2956,CX$3+$A60),"")</f>
        <v/>
      </c>
      <c r="CY61" s="17" t="str">
        <f>IF(CY$3&lt;=$B61,INDEX(Input!$I$43:$I$2956,CY$3+$A60),"")</f>
        <v/>
      </c>
      <c r="CZ61" s="17" t="str">
        <f>IF(CZ$3&lt;=$B61,INDEX(Input!$I$43:$I$2956,CZ$3+$A60),"")</f>
        <v/>
      </c>
      <c r="DA61" s="17" t="str">
        <f>IF(DA$3&lt;=$B61,INDEX(Input!$I$43:$I$2956,DA$3+$A60),"")</f>
        <v/>
      </c>
      <c r="DB61" s="17" t="str">
        <f>IF(DB$3&lt;=$B61,INDEX(Input!$I$43:$I$2956,DB$3+$A60),"")</f>
        <v/>
      </c>
      <c r="DC61" s="17" t="str">
        <f>IF(DC$3&lt;=$B61,INDEX(Input!$I$43:$I$2956,DC$3+$A60),"")</f>
        <v/>
      </c>
      <c r="DD61" s="17" t="str">
        <f>IF(DD$3&lt;=$B61,INDEX(Input!$I$43:$I$2956,DD$3+$A60),"")</f>
        <v/>
      </c>
      <c r="DE61" s="17" t="str">
        <f>IF(DE$3&lt;=$B61,INDEX(Input!$I$43:$I$2956,DE$3+$A60),"")</f>
        <v/>
      </c>
      <c r="DF61" s="17" t="str">
        <f>IF(DF$3&lt;=$B61,INDEX(Input!$I$43:$I$2956,DF$3+$A60),"")</f>
        <v/>
      </c>
      <c r="DG61" s="17" t="str">
        <f>IF(DG$3&lt;=$B61,INDEX(Input!$I$43:$I$2956,DG$3+$A60),"")</f>
        <v/>
      </c>
      <c r="DH61" s="17" t="str">
        <f>IF(DH$3&lt;=$B61,INDEX(Input!$I$43:$I$2956,DH$3+$A60),"")</f>
        <v/>
      </c>
      <c r="DI61" s="17" t="str">
        <f>IF(DI$3&lt;=$B61,INDEX(Input!$I$43:$I$2956,DI$3+$A60),"")</f>
        <v/>
      </c>
      <c r="DJ61" s="17" t="str">
        <f>IF(DJ$3&lt;=$B61,INDEX(Input!$I$43:$I$2956,DJ$3+$A60),"")</f>
        <v/>
      </c>
      <c r="DK61" s="17" t="str">
        <f>IF(DK$3&lt;=$B61,INDEX(Input!$I$43:$I$2956,DK$3+$A60),"")</f>
        <v/>
      </c>
      <c r="DL61" s="17" t="str">
        <f>IF(DL$3&lt;=$B61,INDEX(Input!$I$43:$I$2956,DL$3+$A60),"")</f>
        <v/>
      </c>
      <c r="DM61" s="17" t="str">
        <f>IF(DM$3&lt;=$B61,INDEX(Input!$I$43:$I$2956,DM$3+$A60),"")</f>
        <v/>
      </c>
      <c r="DN61" s="17" t="str">
        <f>IF(DN$3&lt;=$B61,INDEX(Input!$I$43:$I$2956,DN$3+$A60),"")</f>
        <v/>
      </c>
      <c r="DO61" s="17" t="str">
        <f>IF(DO$3&lt;=$B61,INDEX(Input!$I$43:$I$2956,DO$3+$A60),"")</f>
        <v/>
      </c>
      <c r="DP61" s="17" t="str">
        <f>IF(DP$3&lt;=$B61,INDEX(Input!$I$43:$I$2956,DP$3+$A60),"")</f>
        <v/>
      </c>
      <c r="DQ61" s="17" t="str">
        <f>IF(DQ$3&lt;=$B61,INDEX(Input!$I$43:$I$2956,DQ$3+$A60),"")</f>
        <v/>
      </c>
      <c r="DR61" s="17" t="str">
        <f>IF(DR$3&lt;=$B61,INDEX(Input!$I$43:$I$2956,DR$3+$A60),"")</f>
        <v/>
      </c>
      <c r="DS61" s="17" t="str">
        <f>IF(DS$3&lt;=$B61,INDEX(Input!$I$43:$I$2956,DS$3+$A60),"")</f>
        <v/>
      </c>
      <c r="DT61" s="17" t="str">
        <f>IF(DT$3&lt;=$B61,INDEX(Input!$I$43:$I$2956,DT$3+$A60),"")</f>
        <v/>
      </c>
      <c r="DU61" s="17" t="str">
        <f>IF(DU$3&lt;=$B61,INDEX(Input!$I$43:$I$2956,DU$3+$A60),"")</f>
        <v/>
      </c>
      <c r="DV61" s="17" t="str">
        <f>IF(DV$3&lt;=$B61,INDEX(Input!$I$43:$I$2956,DV$3+$A60),"")</f>
        <v/>
      </c>
      <c r="DW61" s="58" t="str">
        <f t="array" ref="DW61:EZ61">IFERROR(eccalc(E61:DV61,C61+B61,B61,$O$2:$AS$2),"")</f>
        <v/>
      </c>
      <c r="DX61" s="59" t="str">
        <v/>
      </c>
      <c r="DY61" s="59" t="str">
        <v/>
      </c>
      <c r="DZ61" s="59" t="str">
        <v/>
      </c>
      <c r="EA61" s="59" t="str">
        <v/>
      </c>
      <c r="EB61" s="59" t="str">
        <v/>
      </c>
      <c r="EC61" s="59" t="str">
        <v/>
      </c>
      <c r="ED61" s="59" t="str">
        <v/>
      </c>
      <c r="EE61" s="59" t="str">
        <v/>
      </c>
      <c r="EF61" s="59" t="str">
        <v/>
      </c>
      <c r="EG61" s="59" t="str">
        <v/>
      </c>
      <c r="EH61" s="59" t="str">
        <v/>
      </c>
      <c r="EI61" s="59" t="str">
        <v/>
      </c>
      <c r="EJ61" s="59" t="str">
        <v/>
      </c>
      <c r="EK61" s="59" t="str">
        <v/>
      </c>
      <c r="EL61" s="59" t="str">
        <v/>
      </c>
      <c r="EM61" s="59" t="str">
        <v/>
      </c>
      <c r="EN61" s="59" t="str">
        <v/>
      </c>
      <c r="EO61" s="59" t="str">
        <v/>
      </c>
      <c r="EP61" s="59" t="str">
        <v/>
      </c>
      <c r="EQ61" s="59" t="str">
        <v/>
      </c>
      <c r="ER61" s="59" t="str">
        <v/>
      </c>
      <c r="ES61" s="59" t="str">
        <v/>
      </c>
      <c r="ET61" s="59" t="str">
        <v/>
      </c>
      <c r="EU61" s="59" t="str">
        <v/>
      </c>
      <c r="EV61" s="59" t="str">
        <v/>
      </c>
      <c r="EW61" s="59" t="str">
        <v/>
      </c>
      <c r="EX61" s="59" t="str">
        <v/>
      </c>
      <c r="EY61" s="59" t="str">
        <v/>
      </c>
      <c r="EZ61" s="60" t="str">
        <v/>
      </c>
      <c r="FA61" s="17"/>
      <c r="FC61">
        <v>58</v>
      </c>
      <c r="FD61">
        <f t="shared" si="2"/>
        <v>10</v>
      </c>
      <c r="FE61">
        <f t="shared" si="3"/>
        <v>4</v>
      </c>
      <c r="FF61">
        <f t="shared" si="4"/>
        <v>66</v>
      </c>
      <c r="FI61" s="16">
        <v>58</v>
      </c>
      <c r="FJ61" s="17">
        <f t="shared" si="5"/>
        <v>253</v>
      </c>
      <c r="FK61" s="17">
        <f t="shared" si="6"/>
        <v>66</v>
      </c>
      <c r="FL61" s="18" t="str">
        <f t="shared" si="7"/>
        <v>01000010</v>
      </c>
      <c r="FM61" s="2"/>
    </row>
    <row r="62" spans="1:169">
      <c r="A62">
        <f>SUM($B$4:B62)</f>
        <v>196</v>
      </c>
      <c r="B62">
        <f t="shared" si="0"/>
        <v>0</v>
      </c>
      <c r="C62" t="str">
        <f t="shared" si="1"/>
        <v/>
      </c>
      <c r="D62">
        <v>59</v>
      </c>
      <c r="E62" s="16" t="str">
        <f>IF(E$3&lt;=$B62,INDEX(Input!$I$43:$I$2956,E$3+$A61),"")</f>
        <v/>
      </c>
      <c r="F62" s="17" t="str">
        <f>IF(F$3&lt;=$B62,INDEX(Input!$I$43:$I$2956,F$3+$A61),"")</f>
        <v/>
      </c>
      <c r="G62" s="17" t="str">
        <f>IF(G$3&lt;=$B62,INDEX(Input!$I$43:$I$2956,G$3+$A61),"")</f>
        <v/>
      </c>
      <c r="H62" s="17" t="str">
        <f>IF(H$3&lt;=$B62,INDEX(Input!$I$43:$I$2956,H$3+$A61),"")</f>
        <v/>
      </c>
      <c r="I62" s="17" t="str">
        <f>IF(I$3&lt;=$B62,INDEX(Input!$I$43:$I$2956,I$3+$A61),"")</f>
        <v/>
      </c>
      <c r="J62" s="17" t="str">
        <f>IF(J$3&lt;=$B62,INDEX(Input!$I$43:$I$2956,J$3+$A61),"")</f>
        <v/>
      </c>
      <c r="K62" s="17" t="str">
        <f>IF(K$3&lt;=$B62,INDEX(Input!$I$43:$I$2956,K$3+$A61),"")</f>
        <v/>
      </c>
      <c r="L62" s="17" t="str">
        <f>IF(L$3&lt;=$B62,INDEX(Input!$I$43:$I$2956,L$3+$A61),"")</f>
        <v/>
      </c>
      <c r="M62" s="17" t="str">
        <f>IF(M$3&lt;=$B62,INDEX(Input!$I$43:$I$2956,M$3+$A61),"")</f>
        <v/>
      </c>
      <c r="N62" s="17" t="str">
        <f>IF(N$3&lt;=$B62,INDEX(Input!$I$43:$I$2956,N$3+$A61),"")</f>
        <v/>
      </c>
      <c r="O62" s="17" t="str">
        <f>IF(O$3&lt;=$B62,INDEX(Input!$I$43:$I$2956,O$3+$A61),"")</f>
        <v/>
      </c>
      <c r="P62" s="17" t="str">
        <f>IF(P$3&lt;=$B62,INDEX(Input!$I$43:$I$2956,P$3+$A61),"")</f>
        <v/>
      </c>
      <c r="Q62" s="17" t="str">
        <f>IF(Q$3&lt;=$B62,INDEX(Input!$I$43:$I$2956,Q$3+$A61),"")</f>
        <v/>
      </c>
      <c r="R62" s="17" t="str">
        <f>IF(R$3&lt;=$B62,INDEX(Input!$I$43:$I$2956,R$3+$A61),"")</f>
        <v/>
      </c>
      <c r="S62" s="17" t="str">
        <f>IF(S$3&lt;=$B62,INDEX(Input!$I$43:$I$2956,S$3+$A61),"")</f>
        <v/>
      </c>
      <c r="T62" s="17" t="str">
        <f>IF(T$3&lt;=$B62,INDEX(Input!$I$43:$I$2956,T$3+$A61),"")</f>
        <v/>
      </c>
      <c r="U62" s="17" t="str">
        <f>IF(U$3&lt;=$B62,INDEX(Input!$I$43:$I$2956,U$3+$A61),"")</f>
        <v/>
      </c>
      <c r="V62" s="17" t="str">
        <f>IF(V$3&lt;=$B62,INDEX(Input!$I$43:$I$2956,V$3+$A61),"")</f>
        <v/>
      </c>
      <c r="W62" s="17" t="str">
        <f>IF(W$3&lt;=$B62,INDEX(Input!$I$43:$I$2956,W$3+$A61),"")</f>
        <v/>
      </c>
      <c r="X62" s="17" t="str">
        <f>IF(X$3&lt;=$B62,INDEX(Input!$I$43:$I$2956,X$3+$A61),"")</f>
        <v/>
      </c>
      <c r="Y62" s="17" t="str">
        <f>IF(Y$3&lt;=$B62,INDEX(Input!$I$43:$I$2956,Y$3+$A61),"")</f>
        <v/>
      </c>
      <c r="Z62" s="17" t="str">
        <f>IF(Z$3&lt;=$B62,INDEX(Input!$I$43:$I$2956,Z$3+$A61),"")</f>
        <v/>
      </c>
      <c r="AA62" s="17" t="str">
        <f>IF(AA$3&lt;=$B62,INDEX(Input!$I$43:$I$2956,AA$3+$A61),"")</f>
        <v/>
      </c>
      <c r="AB62" s="17" t="str">
        <f>IF(AB$3&lt;=$B62,INDEX(Input!$I$43:$I$2956,AB$3+$A61),"")</f>
        <v/>
      </c>
      <c r="AC62" s="17" t="str">
        <f>IF(AC$3&lt;=$B62,INDEX(Input!$I$43:$I$2956,AC$3+$A61),"")</f>
        <v/>
      </c>
      <c r="AD62" s="17" t="str">
        <f>IF(AD$3&lt;=$B62,INDEX(Input!$I$43:$I$2956,AD$3+$A61),"")</f>
        <v/>
      </c>
      <c r="AE62" s="17" t="str">
        <f>IF(AE$3&lt;=$B62,INDEX(Input!$I$43:$I$2956,AE$3+$A61),"")</f>
        <v/>
      </c>
      <c r="AF62" s="17" t="str">
        <f>IF(AF$3&lt;=$B62,INDEX(Input!$I$43:$I$2956,AF$3+$A61),"")</f>
        <v/>
      </c>
      <c r="AG62" s="17" t="str">
        <f>IF(AG$3&lt;=$B62,INDEX(Input!$I$43:$I$2956,AG$3+$A61),"")</f>
        <v/>
      </c>
      <c r="AH62" s="17" t="str">
        <f>IF(AH$3&lt;=$B62,INDEX(Input!$I$43:$I$2956,AH$3+$A61),"")</f>
        <v/>
      </c>
      <c r="AI62" s="17" t="str">
        <f>IF(AI$3&lt;=$B62,INDEX(Input!$I$43:$I$2956,AI$3+$A61),"")</f>
        <v/>
      </c>
      <c r="AJ62" s="17" t="str">
        <f>IF(AJ$3&lt;=$B62,INDEX(Input!$I$43:$I$2956,AJ$3+$A61),"")</f>
        <v/>
      </c>
      <c r="AK62" s="17" t="str">
        <f>IF(AK$3&lt;=$B62,INDEX(Input!$I$43:$I$2956,AK$3+$A61),"")</f>
        <v/>
      </c>
      <c r="AL62" s="17" t="str">
        <f>IF(AL$3&lt;=$B62,INDEX(Input!$I$43:$I$2956,AL$3+$A61),"")</f>
        <v/>
      </c>
      <c r="AM62" s="17" t="str">
        <f>IF(AM$3&lt;=$B62,INDEX(Input!$I$43:$I$2956,AM$3+$A61),"")</f>
        <v/>
      </c>
      <c r="AN62" s="17" t="str">
        <f>IF(AN$3&lt;=$B62,INDEX(Input!$I$43:$I$2956,AN$3+$A61),"")</f>
        <v/>
      </c>
      <c r="AO62" s="17" t="str">
        <f>IF(AO$3&lt;=$B62,INDEX(Input!$I$43:$I$2956,AO$3+$A61),"")</f>
        <v/>
      </c>
      <c r="AP62" s="17" t="str">
        <f>IF(AP$3&lt;=$B62,INDEX(Input!$I$43:$I$2956,AP$3+$A61),"")</f>
        <v/>
      </c>
      <c r="AQ62" s="17" t="str">
        <f>IF(AQ$3&lt;=$B62,INDEX(Input!$I$43:$I$2956,AQ$3+$A61),"")</f>
        <v/>
      </c>
      <c r="AR62" s="17" t="str">
        <f>IF(AR$3&lt;=$B62,INDEX(Input!$I$43:$I$2956,AR$3+$A61),"")</f>
        <v/>
      </c>
      <c r="AS62" s="17" t="str">
        <f>IF(AS$3&lt;=$B62,INDEX(Input!$I$43:$I$2956,AS$3+$A61),"")</f>
        <v/>
      </c>
      <c r="AT62" s="17" t="str">
        <f>IF(AT$3&lt;=$B62,INDEX(Input!$I$43:$I$2956,AT$3+$A61),"")</f>
        <v/>
      </c>
      <c r="AU62" s="17" t="str">
        <f>IF(AU$3&lt;=$B62,INDEX(Input!$I$43:$I$2956,AU$3+$A61),"")</f>
        <v/>
      </c>
      <c r="AV62" s="17" t="str">
        <f>IF(AV$3&lt;=$B62,INDEX(Input!$I$43:$I$2956,AV$3+$A61),"")</f>
        <v/>
      </c>
      <c r="AW62" s="17" t="str">
        <f>IF(AW$3&lt;=$B62,INDEX(Input!$I$43:$I$2956,AW$3+$A61),"")</f>
        <v/>
      </c>
      <c r="AX62" s="17" t="str">
        <f>IF(AX$3&lt;=$B62,INDEX(Input!$I$43:$I$2956,AX$3+$A61),"")</f>
        <v/>
      </c>
      <c r="AY62" s="17" t="str">
        <f>IF(AY$3&lt;=$B62,INDEX(Input!$I$43:$I$2956,AY$3+$A61),"")</f>
        <v/>
      </c>
      <c r="AZ62" s="17" t="str">
        <f>IF(AZ$3&lt;=$B62,INDEX(Input!$I$43:$I$2956,AZ$3+$A61),"")</f>
        <v/>
      </c>
      <c r="BA62" s="17" t="str">
        <f>IF(BA$3&lt;=$B62,INDEX(Input!$I$43:$I$2956,BA$3+$A61),"")</f>
        <v/>
      </c>
      <c r="BB62" s="17" t="str">
        <f>IF(BB$3&lt;=$B62,INDEX(Input!$I$43:$I$2956,BB$3+$A61),"")</f>
        <v/>
      </c>
      <c r="BC62" s="17" t="str">
        <f>IF(BC$3&lt;=$B62,INDEX(Input!$I$43:$I$2956,BC$3+$A61),"")</f>
        <v/>
      </c>
      <c r="BD62" s="17" t="str">
        <f>IF(BD$3&lt;=$B62,INDEX(Input!$I$43:$I$2956,BD$3+$A61),"")</f>
        <v/>
      </c>
      <c r="BE62" s="17" t="str">
        <f>IF(BE$3&lt;=$B62,INDEX(Input!$I$43:$I$2956,BE$3+$A61),"")</f>
        <v/>
      </c>
      <c r="BF62" s="17" t="str">
        <f>IF(BF$3&lt;=$B62,INDEX(Input!$I$43:$I$2956,BF$3+$A61),"")</f>
        <v/>
      </c>
      <c r="BG62" s="17" t="str">
        <f>IF(BG$3&lt;=$B62,INDEX(Input!$I$43:$I$2956,BG$3+$A61),"")</f>
        <v/>
      </c>
      <c r="BH62" s="17" t="str">
        <f>IF(BH$3&lt;=$B62,INDEX(Input!$I$43:$I$2956,BH$3+$A61),"")</f>
        <v/>
      </c>
      <c r="BI62" s="17" t="str">
        <f>IF(BI$3&lt;=$B62,INDEX(Input!$I$43:$I$2956,BI$3+$A61),"")</f>
        <v/>
      </c>
      <c r="BJ62" s="17" t="str">
        <f>IF(BJ$3&lt;=$B62,INDEX(Input!$I$43:$I$2956,BJ$3+$A61),"")</f>
        <v/>
      </c>
      <c r="BK62" s="17" t="str">
        <f>IF(BK$3&lt;=$B62,INDEX(Input!$I$43:$I$2956,BK$3+$A61),"")</f>
        <v/>
      </c>
      <c r="BL62" s="17" t="str">
        <f>IF(BL$3&lt;=$B62,INDEX(Input!$I$43:$I$2956,BL$3+$A61),"")</f>
        <v/>
      </c>
      <c r="BM62" s="17" t="str">
        <f>IF(BM$3&lt;=$B62,INDEX(Input!$I$43:$I$2956,BM$3+$A61),"")</f>
        <v/>
      </c>
      <c r="BN62" s="17" t="str">
        <f>IF(BN$3&lt;=$B62,INDEX(Input!$I$43:$I$2956,BN$3+$A61),"")</f>
        <v/>
      </c>
      <c r="BO62" s="17" t="str">
        <f>IF(BO$3&lt;=$B62,INDEX(Input!$I$43:$I$2956,BO$3+$A61),"")</f>
        <v/>
      </c>
      <c r="BP62" s="17" t="str">
        <f>IF(BP$3&lt;=$B62,INDEX(Input!$I$43:$I$2956,BP$3+$A61),"")</f>
        <v/>
      </c>
      <c r="BQ62" s="17" t="str">
        <f>IF(BQ$3&lt;=$B62,INDEX(Input!$I$43:$I$2956,BQ$3+$A61),"")</f>
        <v/>
      </c>
      <c r="BR62" s="17" t="str">
        <f>IF(BR$3&lt;=$B62,INDEX(Input!$I$43:$I$2956,BR$3+$A61),"")</f>
        <v/>
      </c>
      <c r="BS62" s="17" t="str">
        <f>IF(BS$3&lt;=$B62,INDEX(Input!$I$43:$I$2956,BS$3+$A61),"")</f>
        <v/>
      </c>
      <c r="BT62" s="17" t="str">
        <f>IF(BT$3&lt;=$B62,INDEX(Input!$I$43:$I$2956,BT$3+$A61),"")</f>
        <v/>
      </c>
      <c r="BU62" s="17" t="str">
        <f>IF(BU$3&lt;=$B62,INDEX(Input!$I$43:$I$2956,BU$3+$A61),"")</f>
        <v/>
      </c>
      <c r="BV62" s="17" t="str">
        <f>IF(BV$3&lt;=$B62,INDEX(Input!$I$43:$I$2956,BV$3+$A61),"")</f>
        <v/>
      </c>
      <c r="BW62" s="17" t="str">
        <f>IF(BW$3&lt;=$B62,INDEX(Input!$I$43:$I$2956,BW$3+$A61),"")</f>
        <v/>
      </c>
      <c r="BX62" s="17" t="str">
        <f>IF(BX$3&lt;=$B62,INDEX(Input!$I$43:$I$2956,BX$3+$A61),"")</f>
        <v/>
      </c>
      <c r="BY62" s="17" t="str">
        <f>IF(BY$3&lt;=$B62,INDEX(Input!$I$43:$I$2956,BY$3+$A61),"")</f>
        <v/>
      </c>
      <c r="BZ62" s="17" t="str">
        <f>IF(BZ$3&lt;=$B62,INDEX(Input!$I$43:$I$2956,BZ$3+$A61),"")</f>
        <v/>
      </c>
      <c r="CA62" s="17" t="str">
        <f>IF(CA$3&lt;=$B62,INDEX(Input!$I$43:$I$2956,CA$3+$A61),"")</f>
        <v/>
      </c>
      <c r="CB62" s="17" t="str">
        <f>IF(CB$3&lt;=$B62,INDEX(Input!$I$43:$I$2956,CB$3+$A61),"")</f>
        <v/>
      </c>
      <c r="CC62" s="17" t="str">
        <f>IF(CC$3&lt;=$B62,INDEX(Input!$I$43:$I$2956,CC$3+$A61),"")</f>
        <v/>
      </c>
      <c r="CD62" s="17" t="str">
        <f>IF(CD$3&lt;=$B62,INDEX(Input!$I$43:$I$2956,CD$3+$A61),"")</f>
        <v/>
      </c>
      <c r="CE62" s="17" t="str">
        <f>IF(CE$3&lt;=$B62,INDEX(Input!$I$43:$I$2956,CE$3+$A61),"")</f>
        <v/>
      </c>
      <c r="CF62" s="17" t="str">
        <f>IF(CF$3&lt;=$B62,INDEX(Input!$I$43:$I$2956,CF$3+$A61),"")</f>
        <v/>
      </c>
      <c r="CG62" s="17" t="str">
        <f>IF(CG$3&lt;=$B62,INDEX(Input!$I$43:$I$2956,CG$3+$A61),"")</f>
        <v/>
      </c>
      <c r="CH62" s="17" t="str">
        <f>IF(CH$3&lt;=$B62,INDEX(Input!$I$43:$I$2956,CH$3+$A61),"")</f>
        <v/>
      </c>
      <c r="CI62" s="17" t="str">
        <f>IF(CI$3&lt;=$B62,INDEX(Input!$I$43:$I$2956,CI$3+$A61),"")</f>
        <v/>
      </c>
      <c r="CJ62" s="17" t="str">
        <f>IF(CJ$3&lt;=$B62,INDEX(Input!$I$43:$I$2956,CJ$3+$A61),"")</f>
        <v/>
      </c>
      <c r="CK62" s="17" t="str">
        <f>IF(CK$3&lt;=$B62,INDEX(Input!$I$43:$I$2956,CK$3+$A61),"")</f>
        <v/>
      </c>
      <c r="CL62" s="17" t="str">
        <f>IF(CL$3&lt;=$B62,INDEX(Input!$I$43:$I$2956,CL$3+$A61),"")</f>
        <v/>
      </c>
      <c r="CM62" s="17" t="str">
        <f>IF(CM$3&lt;=$B62,INDEX(Input!$I$43:$I$2956,CM$3+$A61),"")</f>
        <v/>
      </c>
      <c r="CN62" s="17" t="str">
        <f>IF(CN$3&lt;=$B62,INDEX(Input!$I$43:$I$2956,CN$3+$A61),"")</f>
        <v/>
      </c>
      <c r="CO62" s="17" t="str">
        <f>IF(CO$3&lt;=$B62,INDEX(Input!$I$43:$I$2956,CO$3+$A61),"")</f>
        <v/>
      </c>
      <c r="CP62" s="17" t="str">
        <f>IF(CP$3&lt;=$B62,INDEX(Input!$I$43:$I$2956,CP$3+$A61),"")</f>
        <v/>
      </c>
      <c r="CQ62" s="17" t="str">
        <f>IF(CQ$3&lt;=$B62,INDEX(Input!$I$43:$I$2956,CQ$3+$A61),"")</f>
        <v/>
      </c>
      <c r="CR62" s="17" t="str">
        <f>IF(CR$3&lt;=$B62,INDEX(Input!$I$43:$I$2956,CR$3+$A61),"")</f>
        <v/>
      </c>
      <c r="CS62" s="17" t="str">
        <f>IF(CS$3&lt;=$B62,INDEX(Input!$I$43:$I$2956,CS$3+$A61),"")</f>
        <v/>
      </c>
      <c r="CT62" s="17" t="str">
        <f>IF(CT$3&lt;=$B62,INDEX(Input!$I$43:$I$2956,CT$3+$A61),"")</f>
        <v/>
      </c>
      <c r="CU62" s="17" t="str">
        <f>IF(CU$3&lt;=$B62,INDEX(Input!$I$43:$I$2956,CU$3+$A61),"")</f>
        <v/>
      </c>
      <c r="CV62" s="17" t="str">
        <f>IF(CV$3&lt;=$B62,INDEX(Input!$I$43:$I$2956,CV$3+$A61),"")</f>
        <v/>
      </c>
      <c r="CW62" s="17" t="str">
        <f>IF(CW$3&lt;=$B62,INDEX(Input!$I$43:$I$2956,CW$3+$A61),"")</f>
        <v/>
      </c>
      <c r="CX62" s="17" t="str">
        <f>IF(CX$3&lt;=$B62,INDEX(Input!$I$43:$I$2956,CX$3+$A61),"")</f>
        <v/>
      </c>
      <c r="CY62" s="17" t="str">
        <f>IF(CY$3&lt;=$B62,INDEX(Input!$I$43:$I$2956,CY$3+$A61),"")</f>
        <v/>
      </c>
      <c r="CZ62" s="17" t="str">
        <f>IF(CZ$3&lt;=$B62,INDEX(Input!$I$43:$I$2956,CZ$3+$A61),"")</f>
        <v/>
      </c>
      <c r="DA62" s="17" t="str">
        <f>IF(DA$3&lt;=$B62,INDEX(Input!$I$43:$I$2956,DA$3+$A61),"")</f>
        <v/>
      </c>
      <c r="DB62" s="17" t="str">
        <f>IF(DB$3&lt;=$B62,INDEX(Input!$I$43:$I$2956,DB$3+$A61),"")</f>
        <v/>
      </c>
      <c r="DC62" s="17" t="str">
        <f>IF(DC$3&lt;=$B62,INDEX(Input!$I$43:$I$2956,DC$3+$A61),"")</f>
        <v/>
      </c>
      <c r="DD62" s="17" t="str">
        <f>IF(DD$3&lt;=$B62,INDEX(Input!$I$43:$I$2956,DD$3+$A61),"")</f>
        <v/>
      </c>
      <c r="DE62" s="17" t="str">
        <f>IF(DE$3&lt;=$B62,INDEX(Input!$I$43:$I$2956,DE$3+$A61),"")</f>
        <v/>
      </c>
      <c r="DF62" s="17" t="str">
        <f>IF(DF$3&lt;=$B62,INDEX(Input!$I$43:$I$2956,DF$3+$A61),"")</f>
        <v/>
      </c>
      <c r="DG62" s="17" t="str">
        <f>IF(DG$3&lt;=$B62,INDEX(Input!$I$43:$I$2956,DG$3+$A61),"")</f>
        <v/>
      </c>
      <c r="DH62" s="17" t="str">
        <f>IF(DH$3&lt;=$B62,INDEX(Input!$I$43:$I$2956,DH$3+$A61),"")</f>
        <v/>
      </c>
      <c r="DI62" s="17" t="str">
        <f>IF(DI$3&lt;=$B62,INDEX(Input!$I$43:$I$2956,DI$3+$A61),"")</f>
        <v/>
      </c>
      <c r="DJ62" s="17" t="str">
        <f>IF(DJ$3&lt;=$B62,INDEX(Input!$I$43:$I$2956,DJ$3+$A61),"")</f>
        <v/>
      </c>
      <c r="DK62" s="17" t="str">
        <f>IF(DK$3&lt;=$B62,INDEX(Input!$I$43:$I$2956,DK$3+$A61),"")</f>
        <v/>
      </c>
      <c r="DL62" s="17" t="str">
        <f>IF(DL$3&lt;=$B62,INDEX(Input!$I$43:$I$2956,DL$3+$A61),"")</f>
        <v/>
      </c>
      <c r="DM62" s="17" t="str">
        <f>IF(DM$3&lt;=$B62,INDEX(Input!$I$43:$I$2956,DM$3+$A61),"")</f>
        <v/>
      </c>
      <c r="DN62" s="17" t="str">
        <f>IF(DN$3&lt;=$B62,INDEX(Input!$I$43:$I$2956,DN$3+$A61),"")</f>
        <v/>
      </c>
      <c r="DO62" s="17" t="str">
        <f>IF(DO$3&lt;=$B62,INDEX(Input!$I$43:$I$2956,DO$3+$A61),"")</f>
        <v/>
      </c>
      <c r="DP62" s="17" t="str">
        <f>IF(DP$3&lt;=$B62,INDEX(Input!$I$43:$I$2956,DP$3+$A61),"")</f>
        <v/>
      </c>
      <c r="DQ62" s="17" t="str">
        <f>IF(DQ$3&lt;=$B62,INDEX(Input!$I$43:$I$2956,DQ$3+$A61),"")</f>
        <v/>
      </c>
      <c r="DR62" s="17" t="str">
        <f>IF(DR$3&lt;=$B62,INDEX(Input!$I$43:$I$2956,DR$3+$A61),"")</f>
        <v/>
      </c>
      <c r="DS62" s="17" t="str">
        <f>IF(DS$3&lt;=$B62,INDEX(Input!$I$43:$I$2956,DS$3+$A61),"")</f>
        <v/>
      </c>
      <c r="DT62" s="17" t="str">
        <f>IF(DT$3&lt;=$B62,INDEX(Input!$I$43:$I$2956,DT$3+$A61),"")</f>
        <v/>
      </c>
      <c r="DU62" s="17" t="str">
        <f>IF(DU$3&lt;=$B62,INDEX(Input!$I$43:$I$2956,DU$3+$A61),"")</f>
        <v/>
      </c>
      <c r="DV62" s="17" t="str">
        <f>IF(DV$3&lt;=$B62,INDEX(Input!$I$43:$I$2956,DV$3+$A61),"")</f>
        <v/>
      </c>
      <c r="DW62" s="58" t="str">
        <f t="array" ref="DW62:EZ62">IFERROR(eccalc(E62:DV62,C62+B62,B62,$O$2:$AS$2),"")</f>
        <v/>
      </c>
      <c r="DX62" s="59" t="str">
        <v/>
      </c>
      <c r="DY62" s="59" t="str">
        <v/>
      </c>
      <c r="DZ62" s="59" t="str">
        <v/>
      </c>
      <c r="EA62" s="59" t="str">
        <v/>
      </c>
      <c r="EB62" s="59" t="str">
        <v/>
      </c>
      <c r="EC62" s="59" t="str">
        <v/>
      </c>
      <c r="ED62" s="59" t="str">
        <v/>
      </c>
      <c r="EE62" s="59" t="str">
        <v/>
      </c>
      <c r="EF62" s="59" t="str">
        <v/>
      </c>
      <c r="EG62" s="59" t="str">
        <v/>
      </c>
      <c r="EH62" s="59" t="str">
        <v/>
      </c>
      <c r="EI62" s="59" t="str">
        <v/>
      </c>
      <c r="EJ62" s="59" t="str">
        <v/>
      </c>
      <c r="EK62" s="59" t="str">
        <v/>
      </c>
      <c r="EL62" s="59" t="str">
        <v/>
      </c>
      <c r="EM62" s="59" t="str">
        <v/>
      </c>
      <c r="EN62" s="59" t="str">
        <v/>
      </c>
      <c r="EO62" s="59" t="str">
        <v/>
      </c>
      <c r="EP62" s="59" t="str">
        <v/>
      </c>
      <c r="EQ62" s="59" t="str">
        <v/>
      </c>
      <c r="ER62" s="59" t="str">
        <v/>
      </c>
      <c r="ES62" s="59" t="str">
        <v/>
      </c>
      <c r="ET62" s="59" t="str">
        <v/>
      </c>
      <c r="EU62" s="59" t="str">
        <v/>
      </c>
      <c r="EV62" s="59" t="str">
        <v/>
      </c>
      <c r="EW62" s="59" t="str">
        <v/>
      </c>
      <c r="EX62" s="59" t="str">
        <v/>
      </c>
      <c r="EY62" s="59" t="str">
        <v/>
      </c>
      <c r="EZ62" s="60" t="str">
        <v/>
      </c>
      <c r="FA62" s="17"/>
      <c r="FC62">
        <v>59</v>
      </c>
      <c r="FD62">
        <f t="shared" si="2"/>
        <v>11</v>
      </c>
      <c r="FE62">
        <f t="shared" si="3"/>
        <v>4</v>
      </c>
      <c r="FF62">
        <f t="shared" si="4"/>
        <v>99</v>
      </c>
      <c r="FI62" s="16">
        <v>59</v>
      </c>
      <c r="FJ62" s="17">
        <f t="shared" si="5"/>
        <v>186</v>
      </c>
      <c r="FK62" s="17">
        <f t="shared" si="6"/>
        <v>99</v>
      </c>
      <c r="FL62" s="18" t="str">
        <f t="shared" si="7"/>
        <v>01100011</v>
      </c>
      <c r="FM62" s="2"/>
    </row>
    <row r="63" spans="1:169">
      <c r="A63">
        <f>SUM($B$4:B63)</f>
        <v>196</v>
      </c>
      <c r="B63">
        <f t="shared" si="0"/>
        <v>0</v>
      </c>
      <c r="C63" t="str">
        <f t="shared" si="1"/>
        <v/>
      </c>
      <c r="D63">
        <v>60</v>
      </c>
      <c r="E63" s="16" t="str">
        <f>IF(E$3&lt;=$B63,INDEX(Input!$I$43:$I$2956,E$3+$A62),"")</f>
        <v/>
      </c>
      <c r="F63" s="17" t="str">
        <f>IF(F$3&lt;=$B63,INDEX(Input!$I$43:$I$2956,F$3+$A62),"")</f>
        <v/>
      </c>
      <c r="G63" s="17" t="str">
        <f>IF(G$3&lt;=$B63,INDEX(Input!$I$43:$I$2956,G$3+$A62),"")</f>
        <v/>
      </c>
      <c r="H63" s="17" t="str">
        <f>IF(H$3&lt;=$B63,INDEX(Input!$I$43:$I$2956,H$3+$A62),"")</f>
        <v/>
      </c>
      <c r="I63" s="17" t="str">
        <f>IF(I$3&lt;=$B63,INDEX(Input!$I$43:$I$2956,I$3+$A62),"")</f>
        <v/>
      </c>
      <c r="J63" s="17" t="str">
        <f>IF(J$3&lt;=$B63,INDEX(Input!$I$43:$I$2956,J$3+$A62),"")</f>
        <v/>
      </c>
      <c r="K63" s="17" t="str">
        <f>IF(K$3&lt;=$B63,INDEX(Input!$I$43:$I$2956,K$3+$A62),"")</f>
        <v/>
      </c>
      <c r="L63" s="17" t="str">
        <f>IF(L$3&lt;=$B63,INDEX(Input!$I$43:$I$2956,L$3+$A62),"")</f>
        <v/>
      </c>
      <c r="M63" s="17" t="str">
        <f>IF(M$3&lt;=$B63,INDEX(Input!$I$43:$I$2956,M$3+$A62),"")</f>
        <v/>
      </c>
      <c r="N63" s="17" t="str">
        <f>IF(N$3&lt;=$B63,INDEX(Input!$I$43:$I$2956,N$3+$A62),"")</f>
        <v/>
      </c>
      <c r="O63" s="17" t="str">
        <f>IF(O$3&lt;=$B63,INDEX(Input!$I$43:$I$2956,O$3+$A62),"")</f>
        <v/>
      </c>
      <c r="P63" s="17" t="str">
        <f>IF(P$3&lt;=$B63,INDEX(Input!$I$43:$I$2956,P$3+$A62),"")</f>
        <v/>
      </c>
      <c r="Q63" s="17" t="str">
        <f>IF(Q$3&lt;=$B63,INDEX(Input!$I$43:$I$2956,Q$3+$A62),"")</f>
        <v/>
      </c>
      <c r="R63" s="17" t="str">
        <f>IF(R$3&lt;=$B63,INDEX(Input!$I$43:$I$2956,R$3+$A62),"")</f>
        <v/>
      </c>
      <c r="S63" s="17" t="str">
        <f>IF(S$3&lt;=$B63,INDEX(Input!$I$43:$I$2956,S$3+$A62),"")</f>
        <v/>
      </c>
      <c r="T63" s="17" t="str">
        <f>IF(T$3&lt;=$B63,INDEX(Input!$I$43:$I$2956,T$3+$A62),"")</f>
        <v/>
      </c>
      <c r="U63" s="17" t="str">
        <f>IF(U$3&lt;=$B63,INDEX(Input!$I$43:$I$2956,U$3+$A62),"")</f>
        <v/>
      </c>
      <c r="V63" s="17" t="str">
        <f>IF(V$3&lt;=$B63,INDEX(Input!$I$43:$I$2956,V$3+$A62),"")</f>
        <v/>
      </c>
      <c r="W63" s="17" t="str">
        <f>IF(W$3&lt;=$B63,INDEX(Input!$I$43:$I$2956,W$3+$A62),"")</f>
        <v/>
      </c>
      <c r="X63" s="17" t="str">
        <f>IF(X$3&lt;=$B63,INDEX(Input!$I$43:$I$2956,X$3+$A62),"")</f>
        <v/>
      </c>
      <c r="Y63" s="17" t="str">
        <f>IF(Y$3&lt;=$B63,INDEX(Input!$I$43:$I$2956,Y$3+$A62),"")</f>
        <v/>
      </c>
      <c r="Z63" s="17" t="str">
        <f>IF(Z$3&lt;=$B63,INDEX(Input!$I$43:$I$2956,Z$3+$A62),"")</f>
        <v/>
      </c>
      <c r="AA63" s="17" t="str">
        <f>IF(AA$3&lt;=$B63,INDEX(Input!$I$43:$I$2956,AA$3+$A62),"")</f>
        <v/>
      </c>
      <c r="AB63" s="17" t="str">
        <f>IF(AB$3&lt;=$B63,INDEX(Input!$I$43:$I$2956,AB$3+$A62),"")</f>
        <v/>
      </c>
      <c r="AC63" s="17" t="str">
        <f>IF(AC$3&lt;=$B63,INDEX(Input!$I$43:$I$2956,AC$3+$A62),"")</f>
        <v/>
      </c>
      <c r="AD63" s="17" t="str">
        <f>IF(AD$3&lt;=$B63,INDEX(Input!$I$43:$I$2956,AD$3+$A62),"")</f>
        <v/>
      </c>
      <c r="AE63" s="17" t="str">
        <f>IF(AE$3&lt;=$B63,INDEX(Input!$I$43:$I$2956,AE$3+$A62),"")</f>
        <v/>
      </c>
      <c r="AF63" s="17" t="str">
        <f>IF(AF$3&lt;=$B63,INDEX(Input!$I$43:$I$2956,AF$3+$A62),"")</f>
        <v/>
      </c>
      <c r="AG63" s="17" t="str">
        <f>IF(AG$3&lt;=$B63,INDEX(Input!$I$43:$I$2956,AG$3+$A62),"")</f>
        <v/>
      </c>
      <c r="AH63" s="17" t="str">
        <f>IF(AH$3&lt;=$B63,INDEX(Input!$I$43:$I$2956,AH$3+$A62),"")</f>
        <v/>
      </c>
      <c r="AI63" s="17" t="str">
        <f>IF(AI$3&lt;=$B63,INDEX(Input!$I$43:$I$2956,AI$3+$A62),"")</f>
        <v/>
      </c>
      <c r="AJ63" s="17" t="str">
        <f>IF(AJ$3&lt;=$B63,INDEX(Input!$I$43:$I$2956,AJ$3+$A62),"")</f>
        <v/>
      </c>
      <c r="AK63" s="17" t="str">
        <f>IF(AK$3&lt;=$B63,INDEX(Input!$I$43:$I$2956,AK$3+$A62),"")</f>
        <v/>
      </c>
      <c r="AL63" s="17" t="str">
        <f>IF(AL$3&lt;=$B63,INDEX(Input!$I$43:$I$2956,AL$3+$A62),"")</f>
        <v/>
      </c>
      <c r="AM63" s="17" t="str">
        <f>IF(AM$3&lt;=$B63,INDEX(Input!$I$43:$I$2956,AM$3+$A62),"")</f>
        <v/>
      </c>
      <c r="AN63" s="17" t="str">
        <f>IF(AN$3&lt;=$B63,INDEX(Input!$I$43:$I$2956,AN$3+$A62),"")</f>
        <v/>
      </c>
      <c r="AO63" s="17" t="str">
        <f>IF(AO$3&lt;=$B63,INDEX(Input!$I$43:$I$2956,AO$3+$A62),"")</f>
        <v/>
      </c>
      <c r="AP63" s="17" t="str">
        <f>IF(AP$3&lt;=$B63,INDEX(Input!$I$43:$I$2956,AP$3+$A62),"")</f>
        <v/>
      </c>
      <c r="AQ63" s="17" t="str">
        <f>IF(AQ$3&lt;=$B63,INDEX(Input!$I$43:$I$2956,AQ$3+$A62),"")</f>
        <v/>
      </c>
      <c r="AR63" s="17" t="str">
        <f>IF(AR$3&lt;=$B63,INDEX(Input!$I$43:$I$2956,AR$3+$A62),"")</f>
        <v/>
      </c>
      <c r="AS63" s="17" t="str">
        <f>IF(AS$3&lt;=$B63,INDEX(Input!$I$43:$I$2956,AS$3+$A62),"")</f>
        <v/>
      </c>
      <c r="AT63" s="17" t="str">
        <f>IF(AT$3&lt;=$B63,INDEX(Input!$I$43:$I$2956,AT$3+$A62),"")</f>
        <v/>
      </c>
      <c r="AU63" s="17" t="str">
        <f>IF(AU$3&lt;=$B63,INDEX(Input!$I$43:$I$2956,AU$3+$A62),"")</f>
        <v/>
      </c>
      <c r="AV63" s="17" t="str">
        <f>IF(AV$3&lt;=$B63,INDEX(Input!$I$43:$I$2956,AV$3+$A62),"")</f>
        <v/>
      </c>
      <c r="AW63" s="17" t="str">
        <f>IF(AW$3&lt;=$B63,INDEX(Input!$I$43:$I$2956,AW$3+$A62),"")</f>
        <v/>
      </c>
      <c r="AX63" s="17" t="str">
        <f>IF(AX$3&lt;=$B63,INDEX(Input!$I$43:$I$2956,AX$3+$A62),"")</f>
        <v/>
      </c>
      <c r="AY63" s="17" t="str">
        <f>IF(AY$3&lt;=$B63,INDEX(Input!$I$43:$I$2956,AY$3+$A62),"")</f>
        <v/>
      </c>
      <c r="AZ63" s="17" t="str">
        <f>IF(AZ$3&lt;=$B63,INDEX(Input!$I$43:$I$2956,AZ$3+$A62),"")</f>
        <v/>
      </c>
      <c r="BA63" s="17" t="str">
        <f>IF(BA$3&lt;=$B63,INDEX(Input!$I$43:$I$2956,BA$3+$A62),"")</f>
        <v/>
      </c>
      <c r="BB63" s="17" t="str">
        <f>IF(BB$3&lt;=$B63,INDEX(Input!$I$43:$I$2956,BB$3+$A62),"")</f>
        <v/>
      </c>
      <c r="BC63" s="17" t="str">
        <f>IF(BC$3&lt;=$B63,INDEX(Input!$I$43:$I$2956,BC$3+$A62),"")</f>
        <v/>
      </c>
      <c r="BD63" s="17" t="str">
        <f>IF(BD$3&lt;=$B63,INDEX(Input!$I$43:$I$2956,BD$3+$A62),"")</f>
        <v/>
      </c>
      <c r="BE63" s="17" t="str">
        <f>IF(BE$3&lt;=$B63,INDEX(Input!$I$43:$I$2956,BE$3+$A62),"")</f>
        <v/>
      </c>
      <c r="BF63" s="17" t="str">
        <f>IF(BF$3&lt;=$B63,INDEX(Input!$I$43:$I$2956,BF$3+$A62),"")</f>
        <v/>
      </c>
      <c r="BG63" s="17" t="str">
        <f>IF(BG$3&lt;=$B63,INDEX(Input!$I$43:$I$2956,BG$3+$A62),"")</f>
        <v/>
      </c>
      <c r="BH63" s="17" t="str">
        <f>IF(BH$3&lt;=$B63,INDEX(Input!$I$43:$I$2956,BH$3+$A62),"")</f>
        <v/>
      </c>
      <c r="BI63" s="17" t="str">
        <f>IF(BI$3&lt;=$B63,INDEX(Input!$I$43:$I$2956,BI$3+$A62),"")</f>
        <v/>
      </c>
      <c r="BJ63" s="17" t="str">
        <f>IF(BJ$3&lt;=$B63,INDEX(Input!$I$43:$I$2956,BJ$3+$A62),"")</f>
        <v/>
      </c>
      <c r="BK63" s="17" t="str">
        <f>IF(BK$3&lt;=$B63,INDEX(Input!$I$43:$I$2956,BK$3+$A62),"")</f>
        <v/>
      </c>
      <c r="BL63" s="17" t="str">
        <f>IF(BL$3&lt;=$B63,INDEX(Input!$I$43:$I$2956,BL$3+$A62),"")</f>
        <v/>
      </c>
      <c r="BM63" s="17" t="str">
        <f>IF(BM$3&lt;=$B63,INDEX(Input!$I$43:$I$2956,BM$3+$A62),"")</f>
        <v/>
      </c>
      <c r="BN63" s="17" t="str">
        <f>IF(BN$3&lt;=$B63,INDEX(Input!$I$43:$I$2956,BN$3+$A62),"")</f>
        <v/>
      </c>
      <c r="BO63" s="17" t="str">
        <f>IF(BO$3&lt;=$B63,INDEX(Input!$I$43:$I$2956,BO$3+$A62),"")</f>
        <v/>
      </c>
      <c r="BP63" s="17" t="str">
        <f>IF(BP$3&lt;=$B63,INDEX(Input!$I$43:$I$2956,BP$3+$A62),"")</f>
        <v/>
      </c>
      <c r="BQ63" s="17" t="str">
        <f>IF(BQ$3&lt;=$B63,INDEX(Input!$I$43:$I$2956,BQ$3+$A62),"")</f>
        <v/>
      </c>
      <c r="BR63" s="17" t="str">
        <f>IF(BR$3&lt;=$B63,INDEX(Input!$I$43:$I$2956,BR$3+$A62),"")</f>
        <v/>
      </c>
      <c r="BS63" s="17" t="str">
        <f>IF(BS$3&lt;=$B63,INDEX(Input!$I$43:$I$2956,BS$3+$A62),"")</f>
        <v/>
      </c>
      <c r="BT63" s="17" t="str">
        <f>IF(BT$3&lt;=$B63,INDEX(Input!$I$43:$I$2956,BT$3+$A62),"")</f>
        <v/>
      </c>
      <c r="BU63" s="17" t="str">
        <f>IF(BU$3&lt;=$B63,INDEX(Input!$I$43:$I$2956,BU$3+$A62),"")</f>
        <v/>
      </c>
      <c r="BV63" s="17" t="str">
        <f>IF(BV$3&lt;=$B63,INDEX(Input!$I$43:$I$2956,BV$3+$A62),"")</f>
        <v/>
      </c>
      <c r="BW63" s="17" t="str">
        <f>IF(BW$3&lt;=$B63,INDEX(Input!$I$43:$I$2956,BW$3+$A62),"")</f>
        <v/>
      </c>
      <c r="BX63" s="17" t="str">
        <f>IF(BX$3&lt;=$B63,INDEX(Input!$I$43:$I$2956,BX$3+$A62),"")</f>
        <v/>
      </c>
      <c r="BY63" s="17" t="str">
        <f>IF(BY$3&lt;=$B63,INDEX(Input!$I$43:$I$2956,BY$3+$A62),"")</f>
        <v/>
      </c>
      <c r="BZ63" s="17" t="str">
        <f>IF(BZ$3&lt;=$B63,INDEX(Input!$I$43:$I$2956,BZ$3+$A62),"")</f>
        <v/>
      </c>
      <c r="CA63" s="17" t="str">
        <f>IF(CA$3&lt;=$B63,INDEX(Input!$I$43:$I$2956,CA$3+$A62),"")</f>
        <v/>
      </c>
      <c r="CB63" s="17" t="str">
        <f>IF(CB$3&lt;=$B63,INDEX(Input!$I$43:$I$2956,CB$3+$A62),"")</f>
        <v/>
      </c>
      <c r="CC63" s="17" t="str">
        <f>IF(CC$3&lt;=$B63,INDEX(Input!$I$43:$I$2956,CC$3+$A62),"")</f>
        <v/>
      </c>
      <c r="CD63" s="17" t="str">
        <f>IF(CD$3&lt;=$B63,INDEX(Input!$I$43:$I$2956,CD$3+$A62),"")</f>
        <v/>
      </c>
      <c r="CE63" s="17" t="str">
        <f>IF(CE$3&lt;=$B63,INDEX(Input!$I$43:$I$2956,CE$3+$A62),"")</f>
        <v/>
      </c>
      <c r="CF63" s="17" t="str">
        <f>IF(CF$3&lt;=$B63,INDEX(Input!$I$43:$I$2956,CF$3+$A62),"")</f>
        <v/>
      </c>
      <c r="CG63" s="17" t="str">
        <f>IF(CG$3&lt;=$B63,INDEX(Input!$I$43:$I$2956,CG$3+$A62),"")</f>
        <v/>
      </c>
      <c r="CH63" s="17" t="str">
        <f>IF(CH$3&lt;=$B63,INDEX(Input!$I$43:$I$2956,CH$3+$A62),"")</f>
        <v/>
      </c>
      <c r="CI63" s="17" t="str">
        <f>IF(CI$3&lt;=$B63,INDEX(Input!$I$43:$I$2956,CI$3+$A62),"")</f>
        <v/>
      </c>
      <c r="CJ63" s="17" t="str">
        <f>IF(CJ$3&lt;=$B63,INDEX(Input!$I$43:$I$2956,CJ$3+$A62),"")</f>
        <v/>
      </c>
      <c r="CK63" s="17" t="str">
        <f>IF(CK$3&lt;=$B63,INDEX(Input!$I$43:$I$2956,CK$3+$A62),"")</f>
        <v/>
      </c>
      <c r="CL63" s="17" t="str">
        <f>IF(CL$3&lt;=$B63,INDEX(Input!$I$43:$I$2956,CL$3+$A62),"")</f>
        <v/>
      </c>
      <c r="CM63" s="17" t="str">
        <f>IF(CM$3&lt;=$B63,INDEX(Input!$I$43:$I$2956,CM$3+$A62),"")</f>
        <v/>
      </c>
      <c r="CN63" s="17" t="str">
        <f>IF(CN$3&lt;=$B63,INDEX(Input!$I$43:$I$2956,CN$3+$A62),"")</f>
        <v/>
      </c>
      <c r="CO63" s="17" t="str">
        <f>IF(CO$3&lt;=$B63,INDEX(Input!$I$43:$I$2956,CO$3+$A62),"")</f>
        <v/>
      </c>
      <c r="CP63" s="17" t="str">
        <f>IF(CP$3&lt;=$B63,INDEX(Input!$I$43:$I$2956,CP$3+$A62),"")</f>
        <v/>
      </c>
      <c r="CQ63" s="17" t="str">
        <f>IF(CQ$3&lt;=$B63,INDEX(Input!$I$43:$I$2956,CQ$3+$A62),"")</f>
        <v/>
      </c>
      <c r="CR63" s="17" t="str">
        <f>IF(CR$3&lt;=$B63,INDEX(Input!$I$43:$I$2956,CR$3+$A62),"")</f>
        <v/>
      </c>
      <c r="CS63" s="17" t="str">
        <f>IF(CS$3&lt;=$B63,INDEX(Input!$I$43:$I$2956,CS$3+$A62),"")</f>
        <v/>
      </c>
      <c r="CT63" s="17" t="str">
        <f>IF(CT$3&lt;=$B63,INDEX(Input!$I$43:$I$2956,CT$3+$A62),"")</f>
        <v/>
      </c>
      <c r="CU63" s="17" t="str">
        <f>IF(CU$3&lt;=$B63,INDEX(Input!$I$43:$I$2956,CU$3+$A62),"")</f>
        <v/>
      </c>
      <c r="CV63" s="17" t="str">
        <f>IF(CV$3&lt;=$B63,INDEX(Input!$I$43:$I$2956,CV$3+$A62),"")</f>
        <v/>
      </c>
      <c r="CW63" s="17" t="str">
        <f>IF(CW$3&lt;=$B63,INDEX(Input!$I$43:$I$2956,CW$3+$A62),"")</f>
        <v/>
      </c>
      <c r="CX63" s="17" t="str">
        <f>IF(CX$3&lt;=$B63,INDEX(Input!$I$43:$I$2956,CX$3+$A62),"")</f>
        <v/>
      </c>
      <c r="CY63" s="17" t="str">
        <f>IF(CY$3&lt;=$B63,INDEX(Input!$I$43:$I$2956,CY$3+$A62),"")</f>
        <v/>
      </c>
      <c r="CZ63" s="17" t="str">
        <f>IF(CZ$3&lt;=$B63,INDEX(Input!$I$43:$I$2956,CZ$3+$A62),"")</f>
        <v/>
      </c>
      <c r="DA63" s="17" t="str">
        <f>IF(DA$3&lt;=$B63,INDEX(Input!$I$43:$I$2956,DA$3+$A62),"")</f>
        <v/>
      </c>
      <c r="DB63" s="17" t="str">
        <f>IF(DB$3&lt;=$B63,INDEX(Input!$I$43:$I$2956,DB$3+$A62),"")</f>
        <v/>
      </c>
      <c r="DC63" s="17" t="str">
        <f>IF(DC$3&lt;=$B63,INDEX(Input!$I$43:$I$2956,DC$3+$A62),"")</f>
        <v/>
      </c>
      <c r="DD63" s="17" t="str">
        <f>IF(DD$3&lt;=$B63,INDEX(Input!$I$43:$I$2956,DD$3+$A62),"")</f>
        <v/>
      </c>
      <c r="DE63" s="17" t="str">
        <f>IF(DE$3&lt;=$B63,INDEX(Input!$I$43:$I$2956,DE$3+$A62),"")</f>
        <v/>
      </c>
      <c r="DF63" s="17" t="str">
        <f>IF(DF$3&lt;=$B63,INDEX(Input!$I$43:$I$2956,DF$3+$A62),"")</f>
        <v/>
      </c>
      <c r="DG63" s="17" t="str">
        <f>IF(DG$3&lt;=$B63,INDEX(Input!$I$43:$I$2956,DG$3+$A62),"")</f>
        <v/>
      </c>
      <c r="DH63" s="17" t="str">
        <f>IF(DH$3&lt;=$B63,INDEX(Input!$I$43:$I$2956,DH$3+$A62),"")</f>
        <v/>
      </c>
      <c r="DI63" s="17" t="str">
        <f>IF(DI$3&lt;=$B63,INDEX(Input!$I$43:$I$2956,DI$3+$A62),"")</f>
        <v/>
      </c>
      <c r="DJ63" s="17" t="str">
        <f>IF(DJ$3&lt;=$B63,INDEX(Input!$I$43:$I$2956,DJ$3+$A62),"")</f>
        <v/>
      </c>
      <c r="DK63" s="17" t="str">
        <f>IF(DK$3&lt;=$B63,INDEX(Input!$I$43:$I$2956,DK$3+$A62),"")</f>
        <v/>
      </c>
      <c r="DL63" s="17" t="str">
        <f>IF(DL$3&lt;=$B63,INDEX(Input!$I$43:$I$2956,DL$3+$A62),"")</f>
        <v/>
      </c>
      <c r="DM63" s="17" t="str">
        <f>IF(DM$3&lt;=$B63,INDEX(Input!$I$43:$I$2956,DM$3+$A62),"")</f>
        <v/>
      </c>
      <c r="DN63" s="17" t="str">
        <f>IF(DN$3&lt;=$B63,INDEX(Input!$I$43:$I$2956,DN$3+$A62),"")</f>
        <v/>
      </c>
      <c r="DO63" s="17" t="str">
        <f>IF(DO$3&lt;=$B63,INDEX(Input!$I$43:$I$2956,DO$3+$A62),"")</f>
        <v/>
      </c>
      <c r="DP63" s="17" t="str">
        <f>IF(DP$3&lt;=$B63,INDEX(Input!$I$43:$I$2956,DP$3+$A62),"")</f>
        <v/>
      </c>
      <c r="DQ63" s="17" t="str">
        <f>IF(DQ$3&lt;=$B63,INDEX(Input!$I$43:$I$2956,DQ$3+$A62),"")</f>
        <v/>
      </c>
      <c r="DR63" s="17" t="str">
        <f>IF(DR$3&lt;=$B63,INDEX(Input!$I$43:$I$2956,DR$3+$A62),"")</f>
        <v/>
      </c>
      <c r="DS63" s="17" t="str">
        <f>IF(DS$3&lt;=$B63,INDEX(Input!$I$43:$I$2956,DS$3+$A62),"")</f>
        <v/>
      </c>
      <c r="DT63" s="17" t="str">
        <f>IF(DT$3&lt;=$B63,INDEX(Input!$I$43:$I$2956,DT$3+$A62),"")</f>
        <v/>
      </c>
      <c r="DU63" s="17" t="str">
        <f>IF(DU$3&lt;=$B63,INDEX(Input!$I$43:$I$2956,DU$3+$A62),"")</f>
        <v/>
      </c>
      <c r="DV63" s="17" t="str">
        <f>IF(DV$3&lt;=$B63,INDEX(Input!$I$43:$I$2956,DV$3+$A62),"")</f>
        <v/>
      </c>
      <c r="DW63" s="58" t="str">
        <f t="array" ref="DW63:EZ63">IFERROR(eccalc(E63:DV63,C63+B63,B63,$O$2:$AS$2),"")</f>
        <v/>
      </c>
      <c r="DX63" s="59" t="str">
        <v/>
      </c>
      <c r="DY63" s="59" t="str">
        <v/>
      </c>
      <c r="DZ63" s="59" t="str">
        <v/>
      </c>
      <c r="EA63" s="59" t="str">
        <v/>
      </c>
      <c r="EB63" s="59" t="str">
        <v/>
      </c>
      <c r="EC63" s="59" t="str">
        <v/>
      </c>
      <c r="ED63" s="59" t="str">
        <v/>
      </c>
      <c r="EE63" s="59" t="str">
        <v/>
      </c>
      <c r="EF63" s="59" t="str">
        <v/>
      </c>
      <c r="EG63" s="59" t="str">
        <v/>
      </c>
      <c r="EH63" s="59" t="str">
        <v/>
      </c>
      <c r="EI63" s="59" t="str">
        <v/>
      </c>
      <c r="EJ63" s="59" t="str">
        <v/>
      </c>
      <c r="EK63" s="59" t="str">
        <v/>
      </c>
      <c r="EL63" s="59" t="str">
        <v/>
      </c>
      <c r="EM63" s="59" t="str">
        <v/>
      </c>
      <c r="EN63" s="59" t="str">
        <v/>
      </c>
      <c r="EO63" s="59" t="str">
        <v/>
      </c>
      <c r="EP63" s="59" t="str">
        <v/>
      </c>
      <c r="EQ63" s="59" t="str">
        <v/>
      </c>
      <c r="ER63" s="59" t="str">
        <v/>
      </c>
      <c r="ES63" s="59" t="str">
        <v/>
      </c>
      <c r="ET63" s="59" t="str">
        <v/>
      </c>
      <c r="EU63" s="59" t="str">
        <v/>
      </c>
      <c r="EV63" s="59" t="str">
        <v/>
      </c>
      <c r="EW63" s="59" t="str">
        <v/>
      </c>
      <c r="EX63" s="59" t="str">
        <v/>
      </c>
      <c r="EY63" s="59" t="str">
        <v/>
      </c>
      <c r="EZ63" s="60" t="str">
        <v/>
      </c>
      <c r="FA63" s="17"/>
      <c r="FC63">
        <v>60</v>
      </c>
      <c r="FD63">
        <f t="shared" si="2"/>
        <v>12</v>
      </c>
      <c r="FE63">
        <f t="shared" si="3"/>
        <v>4</v>
      </c>
      <c r="FF63">
        <f t="shared" si="4"/>
        <v>153</v>
      </c>
      <c r="FI63" s="16">
        <v>60</v>
      </c>
      <c r="FJ63" s="17">
        <f t="shared" si="5"/>
        <v>9</v>
      </c>
      <c r="FK63" s="17">
        <f t="shared" si="6"/>
        <v>153</v>
      </c>
      <c r="FL63" s="18" t="str">
        <f t="shared" si="7"/>
        <v>10011001</v>
      </c>
      <c r="FM63" s="2"/>
    </row>
    <row r="64" spans="1:169">
      <c r="A64">
        <f>SUM($B$4:B64)</f>
        <v>196</v>
      </c>
      <c r="B64">
        <f t="shared" si="0"/>
        <v>0</v>
      </c>
      <c r="C64" t="str">
        <f t="shared" si="1"/>
        <v/>
      </c>
      <c r="D64">
        <v>61</v>
      </c>
      <c r="E64" s="16" t="str">
        <f>IF(E$3&lt;=$B64,INDEX(Input!$I$43:$I$2956,E$3+$A63),"")</f>
        <v/>
      </c>
      <c r="F64" s="17" t="str">
        <f>IF(F$3&lt;=$B64,INDEX(Input!$I$43:$I$2956,F$3+$A63),"")</f>
        <v/>
      </c>
      <c r="G64" s="17" t="str">
        <f>IF(G$3&lt;=$B64,INDEX(Input!$I$43:$I$2956,G$3+$A63),"")</f>
        <v/>
      </c>
      <c r="H64" s="17" t="str">
        <f>IF(H$3&lt;=$B64,INDEX(Input!$I$43:$I$2956,H$3+$A63),"")</f>
        <v/>
      </c>
      <c r="I64" s="17" t="str">
        <f>IF(I$3&lt;=$B64,INDEX(Input!$I$43:$I$2956,I$3+$A63),"")</f>
        <v/>
      </c>
      <c r="J64" s="17" t="str">
        <f>IF(J$3&lt;=$B64,INDEX(Input!$I$43:$I$2956,J$3+$A63),"")</f>
        <v/>
      </c>
      <c r="K64" s="17" t="str">
        <f>IF(K$3&lt;=$B64,INDEX(Input!$I$43:$I$2956,K$3+$A63),"")</f>
        <v/>
      </c>
      <c r="L64" s="17" t="str">
        <f>IF(L$3&lt;=$B64,INDEX(Input!$I$43:$I$2956,L$3+$A63),"")</f>
        <v/>
      </c>
      <c r="M64" s="17" t="str">
        <f>IF(M$3&lt;=$B64,INDEX(Input!$I$43:$I$2956,M$3+$A63),"")</f>
        <v/>
      </c>
      <c r="N64" s="17" t="str">
        <f>IF(N$3&lt;=$B64,INDEX(Input!$I$43:$I$2956,N$3+$A63),"")</f>
        <v/>
      </c>
      <c r="O64" s="17" t="str">
        <f>IF(O$3&lt;=$B64,INDEX(Input!$I$43:$I$2956,O$3+$A63),"")</f>
        <v/>
      </c>
      <c r="P64" s="17" t="str">
        <f>IF(P$3&lt;=$B64,INDEX(Input!$I$43:$I$2956,P$3+$A63),"")</f>
        <v/>
      </c>
      <c r="Q64" s="17" t="str">
        <f>IF(Q$3&lt;=$B64,INDEX(Input!$I$43:$I$2956,Q$3+$A63),"")</f>
        <v/>
      </c>
      <c r="R64" s="17" t="str">
        <f>IF(R$3&lt;=$B64,INDEX(Input!$I$43:$I$2956,R$3+$A63),"")</f>
        <v/>
      </c>
      <c r="S64" s="17" t="str">
        <f>IF(S$3&lt;=$B64,INDEX(Input!$I$43:$I$2956,S$3+$A63),"")</f>
        <v/>
      </c>
      <c r="T64" s="17" t="str">
        <f>IF(T$3&lt;=$B64,INDEX(Input!$I$43:$I$2956,T$3+$A63),"")</f>
        <v/>
      </c>
      <c r="U64" s="17" t="str">
        <f>IF(U$3&lt;=$B64,INDEX(Input!$I$43:$I$2956,U$3+$A63),"")</f>
        <v/>
      </c>
      <c r="V64" s="17" t="str">
        <f>IF(V$3&lt;=$B64,INDEX(Input!$I$43:$I$2956,V$3+$A63),"")</f>
        <v/>
      </c>
      <c r="W64" s="17" t="str">
        <f>IF(W$3&lt;=$B64,INDEX(Input!$I$43:$I$2956,W$3+$A63),"")</f>
        <v/>
      </c>
      <c r="X64" s="17" t="str">
        <f>IF(X$3&lt;=$B64,INDEX(Input!$I$43:$I$2956,X$3+$A63),"")</f>
        <v/>
      </c>
      <c r="Y64" s="17" t="str">
        <f>IF(Y$3&lt;=$B64,INDEX(Input!$I$43:$I$2956,Y$3+$A63),"")</f>
        <v/>
      </c>
      <c r="Z64" s="17" t="str">
        <f>IF(Z$3&lt;=$B64,INDEX(Input!$I$43:$I$2956,Z$3+$A63),"")</f>
        <v/>
      </c>
      <c r="AA64" s="17" t="str">
        <f>IF(AA$3&lt;=$B64,INDEX(Input!$I$43:$I$2956,AA$3+$A63),"")</f>
        <v/>
      </c>
      <c r="AB64" s="17" t="str">
        <f>IF(AB$3&lt;=$B64,INDEX(Input!$I$43:$I$2956,AB$3+$A63),"")</f>
        <v/>
      </c>
      <c r="AC64" s="17" t="str">
        <f>IF(AC$3&lt;=$B64,INDEX(Input!$I$43:$I$2956,AC$3+$A63),"")</f>
        <v/>
      </c>
      <c r="AD64" s="17" t="str">
        <f>IF(AD$3&lt;=$B64,INDEX(Input!$I$43:$I$2956,AD$3+$A63),"")</f>
        <v/>
      </c>
      <c r="AE64" s="17" t="str">
        <f>IF(AE$3&lt;=$B64,INDEX(Input!$I$43:$I$2956,AE$3+$A63),"")</f>
        <v/>
      </c>
      <c r="AF64" s="17" t="str">
        <f>IF(AF$3&lt;=$B64,INDEX(Input!$I$43:$I$2956,AF$3+$A63),"")</f>
        <v/>
      </c>
      <c r="AG64" s="17" t="str">
        <f>IF(AG$3&lt;=$B64,INDEX(Input!$I$43:$I$2956,AG$3+$A63),"")</f>
        <v/>
      </c>
      <c r="AH64" s="17" t="str">
        <f>IF(AH$3&lt;=$B64,INDEX(Input!$I$43:$I$2956,AH$3+$A63),"")</f>
        <v/>
      </c>
      <c r="AI64" s="17" t="str">
        <f>IF(AI$3&lt;=$B64,INDEX(Input!$I$43:$I$2956,AI$3+$A63),"")</f>
        <v/>
      </c>
      <c r="AJ64" s="17" t="str">
        <f>IF(AJ$3&lt;=$B64,INDEX(Input!$I$43:$I$2956,AJ$3+$A63),"")</f>
        <v/>
      </c>
      <c r="AK64" s="17" t="str">
        <f>IF(AK$3&lt;=$B64,INDEX(Input!$I$43:$I$2956,AK$3+$A63),"")</f>
        <v/>
      </c>
      <c r="AL64" s="17" t="str">
        <f>IF(AL$3&lt;=$B64,INDEX(Input!$I$43:$I$2956,AL$3+$A63),"")</f>
        <v/>
      </c>
      <c r="AM64" s="17" t="str">
        <f>IF(AM$3&lt;=$B64,INDEX(Input!$I$43:$I$2956,AM$3+$A63),"")</f>
        <v/>
      </c>
      <c r="AN64" s="17" t="str">
        <f>IF(AN$3&lt;=$B64,INDEX(Input!$I$43:$I$2956,AN$3+$A63),"")</f>
        <v/>
      </c>
      <c r="AO64" s="17" t="str">
        <f>IF(AO$3&lt;=$B64,INDEX(Input!$I$43:$I$2956,AO$3+$A63),"")</f>
        <v/>
      </c>
      <c r="AP64" s="17" t="str">
        <f>IF(AP$3&lt;=$B64,INDEX(Input!$I$43:$I$2956,AP$3+$A63),"")</f>
        <v/>
      </c>
      <c r="AQ64" s="17" t="str">
        <f>IF(AQ$3&lt;=$B64,INDEX(Input!$I$43:$I$2956,AQ$3+$A63),"")</f>
        <v/>
      </c>
      <c r="AR64" s="17" t="str">
        <f>IF(AR$3&lt;=$B64,INDEX(Input!$I$43:$I$2956,AR$3+$A63),"")</f>
        <v/>
      </c>
      <c r="AS64" s="17" t="str">
        <f>IF(AS$3&lt;=$B64,INDEX(Input!$I$43:$I$2956,AS$3+$A63),"")</f>
        <v/>
      </c>
      <c r="AT64" s="17" t="str">
        <f>IF(AT$3&lt;=$B64,INDEX(Input!$I$43:$I$2956,AT$3+$A63),"")</f>
        <v/>
      </c>
      <c r="AU64" s="17" t="str">
        <f>IF(AU$3&lt;=$B64,INDEX(Input!$I$43:$I$2956,AU$3+$A63),"")</f>
        <v/>
      </c>
      <c r="AV64" s="17" t="str">
        <f>IF(AV$3&lt;=$B64,INDEX(Input!$I$43:$I$2956,AV$3+$A63),"")</f>
        <v/>
      </c>
      <c r="AW64" s="17" t="str">
        <f>IF(AW$3&lt;=$B64,INDEX(Input!$I$43:$I$2956,AW$3+$A63),"")</f>
        <v/>
      </c>
      <c r="AX64" s="17" t="str">
        <f>IF(AX$3&lt;=$B64,INDEX(Input!$I$43:$I$2956,AX$3+$A63),"")</f>
        <v/>
      </c>
      <c r="AY64" s="17" t="str">
        <f>IF(AY$3&lt;=$B64,INDEX(Input!$I$43:$I$2956,AY$3+$A63),"")</f>
        <v/>
      </c>
      <c r="AZ64" s="17" t="str">
        <f>IF(AZ$3&lt;=$B64,INDEX(Input!$I$43:$I$2956,AZ$3+$A63),"")</f>
        <v/>
      </c>
      <c r="BA64" s="17" t="str">
        <f>IF(BA$3&lt;=$B64,INDEX(Input!$I$43:$I$2956,BA$3+$A63),"")</f>
        <v/>
      </c>
      <c r="BB64" s="17" t="str">
        <f>IF(BB$3&lt;=$B64,INDEX(Input!$I$43:$I$2956,BB$3+$A63),"")</f>
        <v/>
      </c>
      <c r="BC64" s="17" t="str">
        <f>IF(BC$3&lt;=$B64,INDEX(Input!$I$43:$I$2956,BC$3+$A63),"")</f>
        <v/>
      </c>
      <c r="BD64" s="17" t="str">
        <f>IF(BD$3&lt;=$B64,INDEX(Input!$I$43:$I$2956,BD$3+$A63),"")</f>
        <v/>
      </c>
      <c r="BE64" s="17" t="str">
        <f>IF(BE$3&lt;=$B64,INDEX(Input!$I$43:$I$2956,BE$3+$A63),"")</f>
        <v/>
      </c>
      <c r="BF64" s="17" t="str">
        <f>IF(BF$3&lt;=$B64,INDEX(Input!$I$43:$I$2956,BF$3+$A63),"")</f>
        <v/>
      </c>
      <c r="BG64" s="17" t="str">
        <f>IF(BG$3&lt;=$B64,INDEX(Input!$I$43:$I$2956,BG$3+$A63),"")</f>
        <v/>
      </c>
      <c r="BH64" s="17" t="str">
        <f>IF(BH$3&lt;=$B64,INDEX(Input!$I$43:$I$2956,BH$3+$A63),"")</f>
        <v/>
      </c>
      <c r="BI64" s="17" t="str">
        <f>IF(BI$3&lt;=$B64,INDEX(Input!$I$43:$I$2956,BI$3+$A63),"")</f>
        <v/>
      </c>
      <c r="BJ64" s="17" t="str">
        <f>IF(BJ$3&lt;=$B64,INDEX(Input!$I$43:$I$2956,BJ$3+$A63),"")</f>
        <v/>
      </c>
      <c r="BK64" s="17" t="str">
        <f>IF(BK$3&lt;=$B64,INDEX(Input!$I$43:$I$2956,BK$3+$A63),"")</f>
        <v/>
      </c>
      <c r="BL64" s="17" t="str">
        <f>IF(BL$3&lt;=$B64,INDEX(Input!$I$43:$I$2956,BL$3+$A63),"")</f>
        <v/>
      </c>
      <c r="BM64" s="17" t="str">
        <f>IF(BM$3&lt;=$B64,INDEX(Input!$I$43:$I$2956,BM$3+$A63),"")</f>
        <v/>
      </c>
      <c r="BN64" s="17" t="str">
        <f>IF(BN$3&lt;=$B64,INDEX(Input!$I$43:$I$2956,BN$3+$A63),"")</f>
        <v/>
      </c>
      <c r="BO64" s="17" t="str">
        <f>IF(BO$3&lt;=$B64,INDEX(Input!$I$43:$I$2956,BO$3+$A63),"")</f>
        <v/>
      </c>
      <c r="BP64" s="17" t="str">
        <f>IF(BP$3&lt;=$B64,INDEX(Input!$I$43:$I$2956,BP$3+$A63),"")</f>
        <v/>
      </c>
      <c r="BQ64" s="17" t="str">
        <f>IF(BQ$3&lt;=$B64,INDEX(Input!$I$43:$I$2956,BQ$3+$A63),"")</f>
        <v/>
      </c>
      <c r="BR64" s="17" t="str">
        <f>IF(BR$3&lt;=$B64,INDEX(Input!$I$43:$I$2956,BR$3+$A63),"")</f>
        <v/>
      </c>
      <c r="BS64" s="17" t="str">
        <f>IF(BS$3&lt;=$B64,INDEX(Input!$I$43:$I$2956,BS$3+$A63),"")</f>
        <v/>
      </c>
      <c r="BT64" s="17" t="str">
        <f>IF(BT$3&lt;=$B64,INDEX(Input!$I$43:$I$2956,BT$3+$A63),"")</f>
        <v/>
      </c>
      <c r="BU64" s="17" t="str">
        <f>IF(BU$3&lt;=$B64,INDEX(Input!$I$43:$I$2956,BU$3+$A63),"")</f>
        <v/>
      </c>
      <c r="BV64" s="17" t="str">
        <f>IF(BV$3&lt;=$B64,INDEX(Input!$I$43:$I$2956,BV$3+$A63),"")</f>
        <v/>
      </c>
      <c r="BW64" s="17" t="str">
        <f>IF(BW$3&lt;=$B64,INDEX(Input!$I$43:$I$2956,BW$3+$A63),"")</f>
        <v/>
      </c>
      <c r="BX64" s="17" t="str">
        <f>IF(BX$3&lt;=$B64,INDEX(Input!$I$43:$I$2956,BX$3+$A63),"")</f>
        <v/>
      </c>
      <c r="BY64" s="17" t="str">
        <f>IF(BY$3&lt;=$B64,INDEX(Input!$I$43:$I$2956,BY$3+$A63),"")</f>
        <v/>
      </c>
      <c r="BZ64" s="17" t="str">
        <f>IF(BZ$3&lt;=$B64,INDEX(Input!$I$43:$I$2956,BZ$3+$A63),"")</f>
        <v/>
      </c>
      <c r="CA64" s="17" t="str">
        <f>IF(CA$3&lt;=$B64,INDEX(Input!$I$43:$I$2956,CA$3+$A63),"")</f>
        <v/>
      </c>
      <c r="CB64" s="17" t="str">
        <f>IF(CB$3&lt;=$B64,INDEX(Input!$I$43:$I$2956,CB$3+$A63),"")</f>
        <v/>
      </c>
      <c r="CC64" s="17" t="str">
        <f>IF(CC$3&lt;=$B64,INDEX(Input!$I$43:$I$2956,CC$3+$A63),"")</f>
        <v/>
      </c>
      <c r="CD64" s="17" t="str">
        <f>IF(CD$3&lt;=$B64,INDEX(Input!$I$43:$I$2956,CD$3+$A63),"")</f>
        <v/>
      </c>
      <c r="CE64" s="17" t="str">
        <f>IF(CE$3&lt;=$B64,INDEX(Input!$I$43:$I$2956,CE$3+$A63),"")</f>
        <v/>
      </c>
      <c r="CF64" s="17" t="str">
        <f>IF(CF$3&lt;=$B64,INDEX(Input!$I$43:$I$2956,CF$3+$A63),"")</f>
        <v/>
      </c>
      <c r="CG64" s="17" t="str">
        <f>IF(CG$3&lt;=$B64,INDEX(Input!$I$43:$I$2956,CG$3+$A63),"")</f>
        <v/>
      </c>
      <c r="CH64" s="17" t="str">
        <f>IF(CH$3&lt;=$B64,INDEX(Input!$I$43:$I$2956,CH$3+$A63),"")</f>
        <v/>
      </c>
      <c r="CI64" s="17" t="str">
        <f>IF(CI$3&lt;=$B64,INDEX(Input!$I$43:$I$2956,CI$3+$A63),"")</f>
        <v/>
      </c>
      <c r="CJ64" s="17" t="str">
        <f>IF(CJ$3&lt;=$B64,INDEX(Input!$I$43:$I$2956,CJ$3+$A63),"")</f>
        <v/>
      </c>
      <c r="CK64" s="17" t="str">
        <f>IF(CK$3&lt;=$B64,INDEX(Input!$I$43:$I$2956,CK$3+$A63),"")</f>
        <v/>
      </c>
      <c r="CL64" s="17" t="str">
        <f>IF(CL$3&lt;=$B64,INDEX(Input!$I$43:$I$2956,CL$3+$A63),"")</f>
        <v/>
      </c>
      <c r="CM64" s="17" t="str">
        <f>IF(CM$3&lt;=$B64,INDEX(Input!$I$43:$I$2956,CM$3+$A63),"")</f>
        <v/>
      </c>
      <c r="CN64" s="17" t="str">
        <f>IF(CN$3&lt;=$B64,INDEX(Input!$I$43:$I$2956,CN$3+$A63),"")</f>
        <v/>
      </c>
      <c r="CO64" s="17" t="str">
        <f>IF(CO$3&lt;=$B64,INDEX(Input!$I$43:$I$2956,CO$3+$A63),"")</f>
        <v/>
      </c>
      <c r="CP64" s="17" t="str">
        <f>IF(CP$3&lt;=$B64,INDEX(Input!$I$43:$I$2956,CP$3+$A63),"")</f>
        <v/>
      </c>
      <c r="CQ64" s="17" t="str">
        <f>IF(CQ$3&lt;=$B64,INDEX(Input!$I$43:$I$2956,CQ$3+$A63),"")</f>
        <v/>
      </c>
      <c r="CR64" s="17" t="str">
        <f>IF(CR$3&lt;=$B64,INDEX(Input!$I$43:$I$2956,CR$3+$A63),"")</f>
        <v/>
      </c>
      <c r="CS64" s="17" t="str">
        <f>IF(CS$3&lt;=$B64,INDEX(Input!$I$43:$I$2956,CS$3+$A63),"")</f>
        <v/>
      </c>
      <c r="CT64" s="17" t="str">
        <f>IF(CT$3&lt;=$B64,INDEX(Input!$I$43:$I$2956,CT$3+$A63),"")</f>
        <v/>
      </c>
      <c r="CU64" s="17" t="str">
        <f>IF(CU$3&lt;=$B64,INDEX(Input!$I$43:$I$2956,CU$3+$A63),"")</f>
        <v/>
      </c>
      <c r="CV64" s="17" t="str">
        <f>IF(CV$3&lt;=$B64,INDEX(Input!$I$43:$I$2956,CV$3+$A63),"")</f>
        <v/>
      </c>
      <c r="CW64" s="17" t="str">
        <f>IF(CW$3&lt;=$B64,INDEX(Input!$I$43:$I$2956,CW$3+$A63),"")</f>
        <v/>
      </c>
      <c r="CX64" s="17" t="str">
        <f>IF(CX$3&lt;=$B64,INDEX(Input!$I$43:$I$2956,CX$3+$A63),"")</f>
        <v/>
      </c>
      <c r="CY64" s="17" t="str">
        <f>IF(CY$3&lt;=$B64,INDEX(Input!$I$43:$I$2956,CY$3+$A63),"")</f>
        <v/>
      </c>
      <c r="CZ64" s="17" t="str">
        <f>IF(CZ$3&lt;=$B64,INDEX(Input!$I$43:$I$2956,CZ$3+$A63),"")</f>
        <v/>
      </c>
      <c r="DA64" s="17" t="str">
        <f>IF(DA$3&lt;=$B64,INDEX(Input!$I$43:$I$2956,DA$3+$A63),"")</f>
        <v/>
      </c>
      <c r="DB64" s="17" t="str">
        <f>IF(DB$3&lt;=$B64,INDEX(Input!$I$43:$I$2956,DB$3+$A63),"")</f>
        <v/>
      </c>
      <c r="DC64" s="17" t="str">
        <f>IF(DC$3&lt;=$B64,INDEX(Input!$I$43:$I$2956,DC$3+$A63),"")</f>
        <v/>
      </c>
      <c r="DD64" s="17" t="str">
        <f>IF(DD$3&lt;=$B64,INDEX(Input!$I$43:$I$2956,DD$3+$A63),"")</f>
        <v/>
      </c>
      <c r="DE64" s="17" t="str">
        <f>IF(DE$3&lt;=$B64,INDEX(Input!$I$43:$I$2956,DE$3+$A63),"")</f>
        <v/>
      </c>
      <c r="DF64" s="17" t="str">
        <f>IF(DF$3&lt;=$B64,INDEX(Input!$I$43:$I$2956,DF$3+$A63),"")</f>
        <v/>
      </c>
      <c r="DG64" s="17" t="str">
        <f>IF(DG$3&lt;=$B64,INDEX(Input!$I$43:$I$2956,DG$3+$A63),"")</f>
        <v/>
      </c>
      <c r="DH64" s="17" t="str">
        <f>IF(DH$3&lt;=$B64,INDEX(Input!$I$43:$I$2956,DH$3+$A63),"")</f>
        <v/>
      </c>
      <c r="DI64" s="17" t="str">
        <f>IF(DI$3&lt;=$B64,INDEX(Input!$I$43:$I$2956,DI$3+$A63),"")</f>
        <v/>
      </c>
      <c r="DJ64" s="17" t="str">
        <f>IF(DJ$3&lt;=$B64,INDEX(Input!$I$43:$I$2956,DJ$3+$A63),"")</f>
        <v/>
      </c>
      <c r="DK64" s="17" t="str">
        <f>IF(DK$3&lt;=$B64,INDEX(Input!$I$43:$I$2956,DK$3+$A63),"")</f>
        <v/>
      </c>
      <c r="DL64" s="17" t="str">
        <f>IF(DL$3&lt;=$B64,INDEX(Input!$I$43:$I$2956,DL$3+$A63),"")</f>
        <v/>
      </c>
      <c r="DM64" s="17" t="str">
        <f>IF(DM$3&lt;=$B64,INDEX(Input!$I$43:$I$2956,DM$3+$A63),"")</f>
        <v/>
      </c>
      <c r="DN64" s="17" t="str">
        <f>IF(DN$3&lt;=$B64,INDEX(Input!$I$43:$I$2956,DN$3+$A63),"")</f>
        <v/>
      </c>
      <c r="DO64" s="17" t="str">
        <f>IF(DO$3&lt;=$B64,INDEX(Input!$I$43:$I$2956,DO$3+$A63),"")</f>
        <v/>
      </c>
      <c r="DP64" s="17" t="str">
        <f>IF(DP$3&lt;=$B64,INDEX(Input!$I$43:$I$2956,DP$3+$A63),"")</f>
        <v/>
      </c>
      <c r="DQ64" s="17" t="str">
        <f>IF(DQ$3&lt;=$B64,INDEX(Input!$I$43:$I$2956,DQ$3+$A63),"")</f>
        <v/>
      </c>
      <c r="DR64" s="17" t="str">
        <f>IF(DR$3&lt;=$B64,INDEX(Input!$I$43:$I$2956,DR$3+$A63),"")</f>
        <v/>
      </c>
      <c r="DS64" s="17" t="str">
        <f>IF(DS$3&lt;=$B64,INDEX(Input!$I$43:$I$2956,DS$3+$A63),"")</f>
        <v/>
      </c>
      <c r="DT64" s="17" t="str">
        <f>IF(DT$3&lt;=$B64,INDEX(Input!$I$43:$I$2956,DT$3+$A63),"")</f>
        <v/>
      </c>
      <c r="DU64" s="17" t="str">
        <f>IF(DU$3&lt;=$B64,INDEX(Input!$I$43:$I$2956,DU$3+$A63),"")</f>
        <v/>
      </c>
      <c r="DV64" s="17" t="str">
        <f>IF(DV$3&lt;=$B64,INDEX(Input!$I$43:$I$2956,DV$3+$A63),"")</f>
        <v/>
      </c>
      <c r="DW64" s="58" t="str">
        <f t="array" ref="DW64:EZ64">IFERROR(eccalc(E64:DV64,C64+B64,B64,$O$2:$AS$2),"")</f>
        <v/>
      </c>
      <c r="DX64" s="59" t="str">
        <v/>
      </c>
      <c r="DY64" s="59" t="str">
        <v/>
      </c>
      <c r="DZ64" s="59" t="str">
        <v/>
      </c>
      <c r="EA64" s="59" t="str">
        <v/>
      </c>
      <c r="EB64" s="59" t="str">
        <v/>
      </c>
      <c r="EC64" s="59" t="str">
        <v/>
      </c>
      <c r="ED64" s="59" t="str">
        <v/>
      </c>
      <c r="EE64" s="59" t="str">
        <v/>
      </c>
      <c r="EF64" s="59" t="str">
        <v/>
      </c>
      <c r="EG64" s="59" t="str">
        <v/>
      </c>
      <c r="EH64" s="59" t="str">
        <v/>
      </c>
      <c r="EI64" s="59" t="str">
        <v/>
      </c>
      <c r="EJ64" s="59" t="str">
        <v/>
      </c>
      <c r="EK64" s="59" t="str">
        <v/>
      </c>
      <c r="EL64" s="59" t="str">
        <v/>
      </c>
      <c r="EM64" s="59" t="str">
        <v/>
      </c>
      <c r="EN64" s="59" t="str">
        <v/>
      </c>
      <c r="EO64" s="59" t="str">
        <v/>
      </c>
      <c r="EP64" s="59" t="str">
        <v/>
      </c>
      <c r="EQ64" s="59" t="str">
        <v/>
      </c>
      <c r="ER64" s="59" t="str">
        <v/>
      </c>
      <c r="ES64" s="59" t="str">
        <v/>
      </c>
      <c r="ET64" s="59" t="str">
        <v/>
      </c>
      <c r="EU64" s="59" t="str">
        <v/>
      </c>
      <c r="EV64" s="59" t="str">
        <v/>
      </c>
      <c r="EW64" s="59" t="str">
        <v/>
      </c>
      <c r="EX64" s="59" t="str">
        <v/>
      </c>
      <c r="EY64" s="59" t="str">
        <v/>
      </c>
      <c r="EZ64" s="60" t="str">
        <v/>
      </c>
      <c r="FA64" s="17"/>
      <c r="FC64">
        <v>61</v>
      </c>
      <c r="FD64">
        <f t="shared" si="2"/>
        <v>13</v>
      </c>
      <c r="FE64">
        <f t="shared" si="3"/>
        <v>4</v>
      </c>
      <c r="FF64">
        <f t="shared" si="4"/>
        <v>40</v>
      </c>
      <c r="FI64" s="16">
        <v>61</v>
      </c>
      <c r="FJ64" s="17">
        <f t="shared" si="5"/>
        <v>224</v>
      </c>
      <c r="FK64" s="17">
        <f t="shared" si="6"/>
        <v>40</v>
      </c>
      <c r="FL64" s="18" t="str">
        <f t="shared" si="7"/>
        <v>00101000</v>
      </c>
      <c r="FM64" s="2"/>
    </row>
    <row r="65" spans="1:169">
      <c r="A65">
        <f>SUM($B$4:B65)</f>
        <v>196</v>
      </c>
      <c r="B65">
        <f t="shared" si="0"/>
        <v>0</v>
      </c>
      <c r="C65" t="str">
        <f t="shared" si="1"/>
        <v/>
      </c>
      <c r="D65">
        <v>62</v>
      </c>
      <c r="E65" s="16" t="str">
        <f>IF(E$3&lt;=$B65,INDEX(Input!$I$43:$I$2956,E$3+$A64),"")</f>
        <v/>
      </c>
      <c r="F65" s="17" t="str">
        <f>IF(F$3&lt;=$B65,INDEX(Input!$I$43:$I$2956,F$3+$A64),"")</f>
        <v/>
      </c>
      <c r="G65" s="17" t="str">
        <f>IF(G$3&lt;=$B65,INDEX(Input!$I$43:$I$2956,G$3+$A64),"")</f>
        <v/>
      </c>
      <c r="H65" s="17" t="str">
        <f>IF(H$3&lt;=$B65,INDEX(Input!$I$43:$I$2956,H$3+$A64),"")</f>
        <v/>
      </c>
      <c r="I65" s="17" t="str">
        <f>IF(I$3&lt;=$B65,INDEX(Input!$I$43:$I$2956,I$3+$A64),"")</f>
        <v/>
      </c>
      <c r="J65" s="17" t="str">
        <f>IF(J$3&lt;=$B65,INDEX(Input!$I$43:$I$2956,J$3+$A64),"")</f>
        <v/>
      </c>
      <c r="K65" s="17" t="str">
        <f>IF(K$3&lt;=$B65,INDEX(Input!$I$43:$I$2956,K$3+$A64),"")</f>
        <v/>
      </c>
      <c r="L65" s="17" t="str">
        <f>IF(L$3&lt;=$B65,INDEX(Input!$I$43:$I$2956,L$3+$A64),"")</f>
        <v/>
      </c>
      <c r="M65" s="17" t="str">
        <f>IF(M$3&lt;=$B65,INDEX(Input!$I$43:$I$2956,M$3+$A64),"")</f>
        <v/>
      </c>
      <c r="N65" s="17" t="str">
        <f>IF(N$3&lt;=$B65,INDEX(Input!$I$43:$I$2956,N$3+$A64),"")</f>
        <v/>
      </c>
      <c r="O65" s="17" t="str">
        <f>IF(O$3&lt;=$B65,INDEX(Input!$I$43:$I$2956,O$3+$A64),"")</f>
        <v/>
      </c>
      <c r="P65" s="17" t="str">
        <f>IF(P$3&lt;=$B65,INDEX(Input!$I$43:$I$2956,P$3+$A64),"")</f>
        <v/>
      </c>
      <c r="Q65" s="17" t="str">
        <f>IF(Q$3&lt;=$B65,INDEX(Input!$I$43:$I$2956,Q$3+$A64),"")</f>
        <v/>
      </c>
      <c r="R65" s="17" t="str">
        <f>IF(R$3&lt;=$B65,INDEX(Input!$I$43:$I$2956,R$3+$A64),"")</f>
        <v/>
      </c>
      <c r="S65" s="17" t="str">
        <f>IF(S$3&lt;=$B65,INDEX(Input!$I$43:$I$2956,S$3+$A64),"")</f>
        <v/>
      </c>
      <c r="T65" s="17" t="str">
        <f>IF(T$3&lt;=$B65,INDEX(Input!$I$43:$I$2956,T$3+$A64),"")</f>
        <v/>
      </c>
      <c r="U65" s="17" t="str">
        <f>IF(U$3&lt;=$B65,INDEX(Input!$I$43:$I$2956,U$3+$A64),"")</f>
        <v/>
      </c>
      <c r="V65" s="17" t="str">
        <f>IF(V$3&lt;=$B65,INDEX(Input!$I$43:$I$2956,V$3+$A64),"")</f>
        <v/>
      </c>
      <c r="W65" s="17" t="str">
        <f>IF(W$3&lt;=$B65,INDEX(Input!$I$43:$I$2956,W$3+$A64),"")</f>
        <v/>
      </c>
      <c r="X65" s="17" t="str">
        <f>IF(X$3&lt;=$B65,INDEX(Input!$I$43:$I$2956,X$3+$A64),"")</f>
        <v/>
      </c>
      <c r="Y65" s="17" t="str">
        <f>IF(Y$3&lt;=$B65,INDEX(Input!$I$43:$I$2956,Y$3+$A64),"")</f>
        <v/>
      </c>
      <c r="Z65" s="17" t="str">
        <f>IF(Z$3&lt;=$B65,INDEX(Input!$I$43:$I$2956,Z$3+$A64),"")</f>
        <v/>
      </c>
      <c r="AA65" s="17" t="str">
        <f>IF(AA$3&lt;=$B65,INDEX(Input!$I$43:$I$2956,AA$3+$A64),"")</f>
        <v/>
      </c>
      <c r="AB65" s="17" t="str">
        <f>IF(AB$3&lt;=$B65,INDEX(Input!$I$43:$I$2956,AB$3+$A64),"")</f>
        <v/>
      </c>
      <c r="AC65" s="17" t="str">
        <f>IF(AC$3&lt;=$B65,INDEX(Input!$I$43:$I$2956,AC$3+$A64),"")</f>
        <v/>
      </c>
      <c r="AD65" s="17" t="str">
        <f>IF(AD$3&lt;=$B65,INDEX(Input!$I$43:$I$2956,AD$3+$A64),"")</f>
        <v/>
      </c>
      <c r="AE65" s="17" t="str">
        <f>IF(AE$3&lt;=$B65,INDEX(Input!$I$43:$I$2956,AE$3+$A64),"")</f>
        <v/>
      </c>
      <c r="AF65" s="17" t="str">
        <f>IF(AF$3&lt;=$B65,INDEX(Input!$I$43:$I$2956,AF$3+$A64),"")</f>
        <v/>
      </c>
      <c r="AG65" s="17" t="str">
        <f>IF(AG$3&lt;=$B65,INDEX(Input!$I$43:$I$2956,AG$3+$A64),"")</f>
        <v/>
      </c>
      <c r="AH65" s="17" t="str">
        <f>IF(AH$3&lt;=$B65,INDEX(Input!$I$43:$I$2956,AH$3+$A64),"")</f>
        <v/>
      </c>
      <c r="AI65" s="17" t="str">
        <f>IF(AI$3&lt;=$B65,INDEX(Input!$I$43:$I$2956,AI$3+$A64),"")</f>
        <v/>
      </c>
      <c r="AJ65" s="17" t="str">
        <f>IF(AJ$3&lt;=$B65,INDEX(Input!$I$43:$I$2956,AJ$3+$A64),"")</f>
        <v/>
      </c>
      <c r="AK65" s="17" t="str">
        <f>IF(AK$3&lt;=$B65,INDEX(Input!$I$43:$I$2956,AK$3+$A64),"")</f>
        <v/>
      </c>
      <c r="AL65" s="17" t="str">
        <f>IF(AL$3&lt;=$B65,INDEX(Input!$I$43:$I$2956,AL$3+$A64),"")</f>
        <v/>
      </c>
      <c r="AM65" s="17" t="str">
        <f>IF(AM$3&lt;=$B65,INDEX(Input!$I$43:$I$2956,AM$3+$A64),"")</f>
        <v/>
      </c>
      <c r="AN65" s="17" t="str">
        <f>IF(AN$3&lt;=$B65,INDEX(Input!$I$43:$I$2956,AN$3+$A64),"")</f>
        <v/>
      </c>
      <c r="AO65" s="17" t="str">
        <f>IF(AO$3&lt;=$B65,INDEX(Input!$I$43:$I$2956,AO$3+$A64),"")</f>
        <v/>
      </c>
      <c r="AP65" s="17" t="str">
        <f>IF(AP$3&lt;=$B65,INDEX(Input!$I$43:$I$2956,AP$3+$A64),"")</f>
        <v/>
      </c>
      <c r="AQ65" s="17" t="str">
        <f>IF(AQ$3&lt;=$B65,INDEX(Input!$I$43:$I$2956,AQ$3+$A64),"")</f>
        <v/>
      </c>
      <c r="AR65" s="17" t="str">
        <f>IF(AR$3&lt;=$B65,INDEX(Input!$I$43:$I$2956,AR$3+$A64),"")</f>
        <v/>
      </c>
      <c r="AS65" s="17" t="str">
        <f>IF(AS$3&lt;=$B65,INDEX(Input!$I$43:$I$2956,AS$3+$A64),"")</f>
        <v/>
      </c>
      <c r="AT65" s="17" t="str">
        <f>IF(AT$3&lt;=$B65,INDEX(Input!$I$43:$I$2956,AT$3+$A64),"")</f>
        <v/>
      </c>
      <c r="AU65" s="17" t="str">
        <f>IF(AU$3&lt;=$B65,INDEX(Input!$I$43:$I$2956,AU$3+$A64),"")</f>
        <v/>
      </c>
      <c r="AV65" s="17" t="str">
        <f>IF(AV$3&lt;=$B65,INDEX(Input!$I$43:$I$2956,AV$3+$A64),"")</f>
        <v/>
      </c>
      <c r="AW65" s="17" t="str">
        <f>IF(AW$3&lt;=$B65,INDEX(Input!$I$43:$I$2956,AW$3+$A64),"")</f>
        <v/>
      </c>
      <c r="AX65" s="17" t="str">
        <f>IF(AX$3&lt;=$B65,INDEX(Input!$I$43:$I$2956,AX$3+$A64),"")</f>
        <v/>
      </c>
      <c r="AY65" s="17" t="str">
        <f>IF(AY$3&lt;=$B65,INDEX(Input!$I$43:$I$2956,AY$3+$A64),"")</f>
        <v/>
      </c>
      <c r="AZ65" s="17" t="str">
        <f>IF(AZ$3&lt;=$B65,INDEX(Input!$I$43:$I$2956,AZ$3+$A64),"")</f>
        <v/>
      </c>
      <c r="BA65" s="17" t="str">
        <f>IF(BA$3&lt;=$B65,INDEX(Input!$I$43:$I$2956,BA$3+$A64),"")</f>
        <v/>
      </c>
      <c r="BB65" s="17" t="str">
        <f>IF(BB$3&lt;=$B65,INDEX(Input!$I$43:$I$2956,BB$3+$A64),"")</f>
        <v/>
      </c>
      <c r="BC65" s="17" t="str">
        <f>IF(BC$3&lt;=$B65,INDEX(Input!$I$43:$I$2956,BC$3+$A64),"")</f>
        <v/>
      </c>
      <c r="BD65" s="17" t="str">
        <f>IF(BD$3&lt;=$B65,INDEX(Input!$I$43:$I$2956,BD$3+$A64),"")</f>
        <v/>
      </c>
      <c r="BE65" s="17" t="str">
        <f>IF(BE$3&lt;=$B65,INDEX(Input!$I$43:$I$2956,BE$3+$A64),"")</f>
        <v/>
      </c>
      <c r="BF65" s="17" t="str">
        <f>IF(BF$3&lt;=$B65,INDEX(Input!$I$43:$I$2956,BF$3+$A64),"")</f>
        <v/>
      </c>
      <c r="BG65" s="17" t="str">
        <f>IF(BG$3&lt;=$B65,INDEX(Input!$I$43:$I$2956,BG$3+$A64),"")</f>
        <v/>
      </c>
      <c r="BH65" s="17" t="str">
        <f>IF(BH$3&lt;=$B65,INDEX(Input!$I$43:$I$2956,BH$3+$A64),"")</f>
        <v/>
      </c>
      <c r="BI65" s="17" t="str">
        <f>IF(BI$3&lt;=$B65,INDEX(Input!$I$43:$I$2956,BI$3+$A64),"")</f>
        <v/>
      </c>
      <c r="BJ65" s="17" t="str">
        <f>IF(BJ$3&lt;=$B65,INDEX(Input!$I$43:$I$2956,BJ$3+$A64),"")</f>
        <v/>
      </c>
      <c r="BK65" s="17" t="str">
        <f>IF(BK$3&lt;=$B65,INDEX(Input!$I$43:$I$2956,BK$3+$A64),"")</f>
        <v/>
      </c>
      <c r="BL65" s="17" t="str">
        <f>IF(BL$3&lt;=$B65,INDEX(Input!$I$43:$I$2956,BL$3+$A64),"")</f>
        <v/>
      </c>
      <c r="BM65" s="17" t="str">
        <f>IF(BM$3&lt;=$B65,INDEX(Input!$I$43:$I$2956,BM$3+$A64),"")</f>
        <v/>
      </c>
      <c r="BN65" s="17" t="str">
        <f>IF(BN$3&lt;=$B65,INDEX(Input!$I$43:$I$2956,BN$3+$A64),"")</f>
        <v/>
      </c>
      <c r="BO65" s="17" t="str">
        <f>IF(BO$3&lt;=$B65,INDEX(Input!$I$43:$I$2956,BO$3+$A64),"")</f>
        <v/>
      </c>
      <c r="BP65" s="17" t="str">
        <f>IF(BP$3&lt;=$B65,INDEX(Input!$I$43:$I$2956,BP$3+$A64),"")</f>
        <v/>
      </c>
      <c r="BQ65" s="17" t="str">
        <f>IF(BQ$3&lt;=$B65,INDEX(Input!$I$43:$I$2956,BQ$3+$A64),"")</f>
        <v/>
      </c>
      <c r="BR65" s="17" t="str">
        <f>IF(BR$3&lt;=$B65,INDEX(Input!$I$43:$I$2956,BR$3+$A64),"")</f>
        <v/>
      </c>
      <c r="BS65" s="17" t="str">
        <f>IF(BS$3&lt;=$B65,INDEX(Input!$I$43:$I$2956,BS$3+$A64),"")</f>
        <v/>
      </c>
      <c r="BT65" s="17" t="str">
        <f>IF(BT$3&lt;=$B65,INDEX(Input!$I$43:$I$2956,BT$3+$A64),"")</f>
        <v/>
      </c>
      <c r="BU65" s="17" t="str">
        <f>IF(BU$3&lt;=$B65,INDEX(Input!$I$43:$I$2956,BU$3+$A64),"")</f>
        <v/>
      </c>
      <c r="BV65" s="17" t="str">
        <f>IF(BV$3&lt;=$B65,INDEX(Input!$I$43:$I$2956,BV$3+$A64),"")</f>
        <v/>
      </c>
      <c r="BW65" s="17" t="str">
        <f>IF(BW$3&lt;=$B65,INDEX(Input!$I$43:$I$2956,BW$3+$A64),"")</f>
        <v/>
      </c>
      <c r="BX65" s="17" t="str">
        <f>IF(BX$3&lt;=$B65,INDEX(Input!$I$43:$I$2956,BX$3+$A64),"")</f>
        <v/>
      </c>
      <c r="BY65" s="17" t="str">
        <f>IF(BY$3&lt;=$B65,INDEX(Input!$I$43:$I$2956,BY$3+$A64),"")</f>
        <v/>
      </c>
      <c r="BZ65" s="17" t="str">
        <f>IF(BZ$3&lt;=$B65,INDEX(Input!$I$43:$I$2956,BZ$3+$A64),"")</f>
        <v/>
      </c>
      <c r="CA65" s="17" t="str">
        <f>IF(CA$3&lt;=$B65,INDEX(Input!$I$43:$I$2956,CA$3+$A64),"")</f>
        <v/>
      </c>
      <c r="CB65" s="17" t="str">
        <f>IF(CB$3&lt;=$B65,INDEX(Input!$I$43:$I$2956,CB$3+$A64),"")</f>
        <v/>
      </c>
      <c r="CC65" s="17" t="str">
        <f>IF(CC$3&lt;=$B65,INDEX(Input!$I$43:$I$2956,CC$3+$A64),"")</f>
        <v/>
      </c>
      <c r="CD65" s="17" t="str">
        <f>IF(CD$3&lt;=$B65,INDEX(Input!$I$43:$I$2956,CD$3+$A64),"")</f>
        <v/>
      </c>
      <c r="CE65" s="17" t="str">
        <f>IF(CE$3&lt;=$B65,INDEX(Input!$I$43:$I$2956,CE$3+$A64),"")</f>
        <v/>
      </c>
      <c r="CF65" s="17" t="str">
        <f>IF(CF$3&lt;=$B65,INDEX(Input!$I$43:$I$2956,CF$3+$A64),"")</f>
        <v/>
      </c>
      <c r="CG65" s="17" t="str">
        <f>IF(CG$3&lt;=$B65,INDEX(Input!$I$43:$I$2956,CG$3+$A64),"")</f>
        <v/>
      </c>
      <c r="CH65" s="17" t="str">
        <f>IF(CH$3&lt;=$B65,INDEX(Input!$I$43:$I$2956,CH$3+$A64),"")</f>
        <v/>
      </c>
      <c r="CI65" s="17" t="str">
        <f>IF(CI$3&lt;=$B65,INDEX(Input!$I$43:$I$2956,CI$3+$A64),"")</f>
        <v/>
      </c>
      <c r="CJ65" s="17" t="str">
        <f>IF(CJ$3&lt;=$B65,INDEX(Input!$I$43:$I$2956,CJ$3+$A64),"")</f>
        <v/>
      </c>
      <c r="CK65" s="17" t="str">
        <f>IF(CK$3&lt;=$B65,INDEX(Input!$I$43:$I$2956,CK$3+$A64),"")</f>
        <v/>
      </c>
      <c r="CL65" s="17" t="str">
        <f>IF(CL$3&lt;=$B65,INDEX(Input!$I$43:$I$2956,CL$3+$A64),"")</f>
        <v/>
      </c>
      <c r="CM65" s="17" t="str">
        <f>IF(CM$3&lt;=$B65,INDEX(Input!$I$43:$I$2956,CM$3+$A64),"")</f>
        <v/>
      </c>
      <c r="CN65" s="17" t="str">
        <f>IF(CN$3&lt;=$B65,INDEX(Input!$I$43:$I$2956,CN$3+$A64),"")</f>
        <v/>
      </c>
      <c r="CO65" s="17" t="str">
        <f>IF(CO$3&lt;=$B65,INDEX(Input!$I$43:$I$2956,CO$3+$A64),"")</f>
        <v/>
      </c>
      <c r="CP65" s="17" t="str">
        <f>IF(CP$3&lt;=$B65,INDEX(Input!$I$43:$I$2956,CP$3+$A64),"")</f>
        <v/>
      </c>
      <c r="CQ65" s="17" t="str">
        <f>IF(CQ$3&lt;=$B65,INDEX(Input!$I$43:$I$2956,CQ$3+$A64),"")</f>
        <v/>
      </c>
      <c r="CR65" s="17" t="str">
        <f>IF(CR$3&lt;=$B65,INDEX(Input!$I$43:$I$2956,CR$3+$A64),"")</f>
        <v/>
      </c>
      <c r="CS65" s="17" t="str">
        <f>IF(CS$3&lt;=$B65,INDEX(Input!$I$43:$I$2956,CS$3+$A64),"")</f>
        <v/>
      </c>
      <c r="CT65" s="17" t="str">
        <f>IF(CT$3&lt;=$B65,INDEX(Input!$I$43:$I$2956,CT$3+$A64),"")</f>
        <v/>
      </c>
      <c r="CU65" s="17" t="str">
        <f>IF(CU$3&lt;=$B65,INDEX(Input!$I$43:$I$2956,CU$3+$A64),"")</f>
        <v/>
      </c>
      <c r="CV65" s="17" t="str">
        <f>IF(CV$3&lt;=$B65,INDEX(Input!$I$43:$I$2956,CV$3+$A64),"")</f>
        <v/>
      </c>
      <c r="CW65" s="17" t="str">
        <f>IF(CW$3&lt;=$B65,INDEX(Input!$I$43:$I$2956,CW$3+$A64),"")</f>
        <v/>
      </c>
      <c r="CX65" s="17" t="str">
        <f>IF(CX$3&lt;=$B65,INDEX(Input!$I$43:$I$2956,CX$3+$A64),"")</f>
        <v/>
      </c>
      <c r="CY65" s="17" t="str">
        <f>IF(CY$3&lt;=$B65,INDEX(Input!$I$43:$I$2956,CY$3+$A64),"")</f>
        <v/>
      </c>
      <c r="CZ65" s="17" t="str">
        <f>IF(CZ$3&lt;=$B65,INDEX(Input!$I$43:$I$2956,CZ$3+$A64),"")</f>
        <v/>
      </c>
      <c r="DA65" s="17" t="str">
        <f>IF(DA$3&lt;=$B65,INDEX(Input!$I$43:$I$2956,DA$3+$A64),"")</f>
        <v/>
      </c>
      <c r="DB65" s="17" t="str">
        <f>IF(DB$3&lt;=$B65,INDEX(Input!$I$43:$I$2956,DB$3+$A64),"")</f>
        <v/>
      </c>
      <c r="DC65" s="17" t="str">
        <f>IF(DC$3&lt;=$B65,INDEX(Input!$I$43:$I$2956,DC$3+$A64),"")</f>
        <v/>
      </c>
      <c r="DD65" s="17" t="str">
        <f>IF(DD$3&lt;=$B65,INDEX(Input!$I$43:$I$2956,DD$3+$A64),"")</f>
        <v/>
      </c>
      <c r="DE65" s="17" t="str">
        <f>IF(DE$3&lt;=$B65,INDEX(Input!$I$43:$I$2956,DE$3+$A64),"")</f>
        <v/>
      </c>
      <c r="DF65" s="17" t="str">
        <f>IF(DF$3&lt;=$B65,INDEX(Input!$I$43:$I$2956,DF$3+$A64),"")</f>
        <v/>
      </c>
      <c r="DG65" s="17" t="str">
        <f>IF(DG$3&lt;=$B65,INDEX(Input!$I$43:$I$2956,DG$3+$A64),"")</f>
        <v/>
      </c>
      <c r="DH65" s="17" t="str">
        <f>IF(DH$3&lt;=$B65,INDEX(Input!$I$43:$I$2956,DH$3+$A64),"")</f>
        <v/>
      </c>
      <c r="DI65" s="17" t="str">
        <f>IF(DI$3&lt;=$B65,INDEX(Input!$I$43:$I$2956,DI$3+$A64),"")</f>
        <v/>
      </c>
      <c r="DJ65" s="17" t="str">
        <f>IF(DJ$3&lt;=$B65,INDEX(Input!$I$43:$I$2956,DJ$3+$A64),"")</f>
        <v/>
      </c>
      <c r="DK65" s="17" t="str">
        <f>IF(DK$3&lt;=$B65,INDEX(Input!$I$43:$I$2956,DK$3+$A64),"")</f>
        <v/>
      </c>
      <c r="DL65" s="17" t="str">
        <f>IF(DL$3&lt;=$B65,INDEX(Input!$I$43:$I$2956,DL$3+$A64),"")</f>
        <v/>
      </c>
      <c r="DM65" s="17" t="str">
        <f>IF(DM$3&lt;=$B65,INDEX(Input!$I$43:$I$2956,DM$3+$A64),"")</f>
        <v/>
      </c>
      <c r="DN65" s="17" t="str">
        <f>IF(DN$3&lt;=$B65,INDEX(Input!$I$43:$I$2956,DN$3+$A64),"")</f>
        <v/>
      </c>
      <c r="DO65" s="17" t="str">
        <f>IF(DO$3&lt;=$B65,INDEX(Input!$I$43:$I$2956,DO$3+$A64),"")</f>
        <v/>
      </c>
      <c r="DP65" s="17" t="str">
        <f>IF(DP$3&lt;=$B65,INDEX(Input!$I$43:$I$2956,DP$3+$A64),"")</f>
        <v/>
      </c>
      <c r="DQ65" s="17" t="str">
        <f>IF(DQ$3&lt;=$B65,INDEX(Input!$I$43:$I$2956,DQ$3+$A64),"")</f>
        <v/>
      </c>
      <c r="DR65" s="17" t="str">
        <f>IF(DR$3&lt;=$B65,INDEX(Input!$I$43:$I$2956,DR$3+$A64),"")</f>
        <v/>
      </c>
      <c r="DS65" s="17" t="str">
        <f>IF(DS$3&lt;=$B65,INDEX(Input!$I$43:$I$2956,DS$3+$A64),"")</f>
        <v/>
      </c>
      <c r="DT65" s="17" t="str">
        <f>IF(DT$3&lt;=$B65,INDEX(Input!$I$43:$I$2956,DT$3+$A64),"")</f>
        <v/>
      </c>
      <c r="DU65" s="17" t="str">
        <f>IF(DU$3&lt;=$B65,INDEX(Input!$I$43:$I$2956,DU$3+$A64),"")</f>
        <v/>
      </c>
      <c r="DV65" s="17" t="str">
        <f>IF(DV$3&lt;=$B65,INDEX(Input!$I$43:$I$2956,DV$3+$A64),"")</f>
        <v/>
      </c>
      <c r="DW65" s="58" t="str">
        <f t="array" ref="DW65:EZ65">IFERROR(eccalc(E65:DV65,C65+B65,B65,$O$2:$AS$2),"")</f>
        <v/>
      </c>
      <c r="DX65" s="59" t="str">
        <v/>
      </c>
      <c r="DY65" s="59" t="str">
        <v/>
      </c>
      <c r="DZ65" s="59" t="str">
        <v/>
      </c>
      <c r="EA65" s="59" t="str">
        <v/>
      </c>
      <c r="EB65" s="59" t="str">
        <v/>
      </c>
      <c r="EC65" s="59" t="str">
        <v/>
      </c>
      <c r="ED65" s="59" t="str">
        <v/>
      </c>
      <c r="EE65" s="59" t="str">
        <v/>
      </c>
      <c r="EF65" s="59" t="str">
        <v/>
      </c>
      <c r="EG65" s="59" t="str">
        <v/>
      </c>
      <c r="EH65" s="59" t="str">
        <v/>
      </c>
      <c r="EI65" s="59" t="str">
        <v/>
      </c>
      <c r="EJ65" s="59" t="str">
        <v/>
      </c>
      <c r="EK65" s="59" t="str">
        <v/>
      </c>
      <c r="EL65" s="59" t="str">
        <v/>
      </c>
      <c r="EM65" s="59" t="str">
        <v/>
      </c>
      <c r="EN65" s="59" t="str">
        <v/>
      </c>
      <c r="EO65" s="59" t="str">
        <v/>
      </c>
      <c r="EP65" s="59" t="str">
        <v/>
      </c>
      <c r="EQ65" s="59" t="str">
        <v/>
      </c>
      <c r="ER65" s="59" t="str">
        <v/>
      </c>
      <c r="ES65" s="59" t="str">
        <v/>
      </c>
      <c r="ET65" s="59" t="str">
        <v/>
      </c>
      <c r="EU65" s="59" t="str">
        <v/>
      </c>
      <c r="EV65" s="59" t="str">
        <v/>
      </c>
      <c r="EW65" s="59" t="str">
        <v/>
      </c>
      <c r="EX65" s="59" t="str">
        <v/>
      </c>
      <c r="EY65" s="59" t="str">
        <v/>
      </c>
      <c r="EZ65" s="60" t="str">
        <v/>
      </c>
      <c r="FA65" s="17"/>
      <c r="FC65">
        <v>62</v>
      </c>
      <c r="FD65">
        <f t="shared" si="2"/>
        <v>14</v>
      </c>
      <c r="FE65">
        <f t="shared" si="3"/>
        <v>4</v>
      </c>
      <c r="FF65">
        <f t="shared" si="4"/>
        <v>129</v>
      </c>
      <c r="FI65" s="16">
        <v>62</v>
      </c>
      <c r="FJ65" s="17">
        <f t="shared" si="5"/>
        <v>186</v>
      </c>
      <c r="FK65" s="17">
        <f t="shared" si="6"/>
        <v>129</v>
      </c>
      <c r="FL65" s="18" t="str">
        <f t="shared" si="7"/>
        <v>10000001</v>
      </c>
      <c r="FM65" s="2"/>
    </row>
    <row r="66" spans="1:169">
      <c r="A66">
        <f>SUM($B$4:B66)</f>
        <v>196</v>
      </c>
      <c r="B66">
        <f t="shared" si="0"/>
        <v>0</v>
      </c>
      <c r="C66" t="str">
        <f t="shared" si="1"/>
        <v/>
      </c>
      <c r="D66">
        <v>63</v>
      </c>
      <c r="E66" s="16" t="str">
        <f>IF(E$3&lt;=$B66,INDEX(Input!$I$43:$I$2956,E$3+$A65),"")</f>
        <v/>
      </c>
      <c r="F66" s="17" t="str">
        <f>IF(F$3&lt;=$B66,INDEX(Input!$I$43:$I$2956,F$3+$A65),"")</f>
        <v/>
      </c>
      <c r="G66" s="17" t="str">
        <f>IF(G$3&lt;=$B66,INDEX(Input!$I$43:$I$2956,G$3+$A65),"")</f>
        <v/>
      </c>
      <c r="H66" s="17" t="str">
        <f>IF(H$3&lt;=$B66,INDEX(Input!$I$43:$I$2956,H$3+$A65),"")</f>
        <v/>
      </c>
      <c r="I66" s="17" t="str">
        <f>IF(I$3&lt;=$B66,INDEX(Input!$I$43:$I$2956,I$3+$A65),"")</f>
        <v/>
      </c>
      <c r="J66" s="17" t="str">
        <f>IF(J$3&lt;=$B66,INDEX(Input!$I$43:$I$2956,J$3+$A65),"")</f>
        <v/>
      </c>
      <c r="K66" s="17" t="str">
        <f>IF(K$3&lt;=$B66,INDEX(Input!$I$43:$I$2956,K$3+$A65),"")</f>
        <v/>
      </c>
      <c r="L66" s="17" t="str">
        <f>IF(L$3&lt;=$B66,INDEX(Input!$I$43:$I$2956,L$3+$A65),"")</f>
        <v/>
      </c>
      <c r="M66" s="17" t="str">
        <f>IF(M$3&lt;=$B66,INDEX(Input!$I$43:$I$2956,M$3+$A65),"")</f>
        <v/>
      </c>
      <c r="N66" s="17" t="str">
        <f>IF(N$3&lt;=$B66,INDEX(Input!$I$43:$I$2956,N$3+$A65),"")</f>
        <v/>
      </c>
      <c r="O66" s="17" t="str">
        <f>IF(O$3&lt;=$B66,INDEX(Input!$I$43:$I$2956,O$3+$A65),"")</f>
        <v/>
      </c>
      <c r="P66" s="17" t="str">
        <f>IF(P$3&lt;=$B66,INDEX(Input!$I$43:$I$2956,P$3+$A65),"")</f>
        <v/>
      </c>
      <c r="Q66" s="17" t="str">
        <f>IF(Q$3&lt;=$B66,INDEX(Input!$I$43:$I$2956,Q$3+$A65),"")</f>
        <v/>
      </c>
      <c r="R66" s="17" t="str">
        <f>IF(R$3&lt;=$B66,INDEX(Input!$I$43:$I$2956,R$3+$A65),"")</f>
        <v/>
      </c>
      <c r="S66" s="17" t="str">
        <f>IF(S$3&lt;=$B66,INDEX(Input!$I$43:$I$2956,S$3+$A65),"")</f>
        <v/>
      </c>
      <c r="T66" s="17" t="str">
        <f>IF(T$3&lt;=$B66,INDEX(Input!$I$43:$I$2956,T$3+$A65),"")</f>
        <v/>
      </c>
      <c r="U66" s="17" t="str">
        <f>IF(U$3&lt;=$B66,INDEX(Input!$I$43:$I$2956,U$3+$A65),"")</f>
        <v/>
      </c>
      <c r="V66" s="17" t="str">
        <f>IF(V$3&lt;=$B66,INDEX(Input!$I$43:$I$2956,V$3+$A65),"")</f>
        <v/>
      </c>
      <c r="W66" s="17" t="str">
        <f>IF(W$3&lt;=$B66,INDEX(Input!$I$43:$I$2956,W$3+$A65),"")</f>
        <v/>
      </c>
      <c r="X66" s="17" t="str">
        <f>IF(X$3&lt;=$B66,INDEX(Input!$I$43:$I$2956,X$3+$A65),"")</f>
        <v/>
      </c>
      <c r="Y66" s="17" t="str">
        <f>IF(Y$3&lt;=$B66,INDEX(Input!$I$43:$I$2956,Y$3+$A65),"")</f>
        <v/>
      </c>
      <c r="Z66" s="17" t="str">
        <f>IF(Z$3&lt;=$B66,INDEX(Input!$I$43:$I$2956,Z$3+$A65),"")</f>
        <v/>
      </c>
      <c r="AA66" s="17" t="str">
        <f>IF(AA$3&lt;=$B66,INDEX(Input!$I$43:$I$2956,AA$3+$A65),"")</f>
        <v/>
      </c>
      <c r="AB66" s="17" t="str">
        <f>IF(AB$3&lt;=$B66,INDEX(Input!$I$43:$I$2956,AB$3+$A65),"")</f>
        <v/>
      </c>
      <c r="AC66" s="17" t="str">
        <f>IF(AC$3&lt;=$B66,INDEX(Input!$I$43:$I$2956,AC$3+$A65),"")</f>
        <v/>
      </c>
      <c r="AD66" s="17" t="str">
        <f>IF(AD$3&lt;=$B66,INDEX(Input!$I$43:$I$2956,AD$3+$A65),"")</f>
        <v/>
      </c>
      <c r="AE66" s="17" t="str">
        <f>IF(AE$3&lt;=$B66,INDEX(Input!$I$43:$I$2956,AE$3+$A65),"")</f>
        <v/>
      </c>
      <c r="AF66" s="17" t="str">
        <f>IF(AF$3&lt;=$B66,INDEX(Input!$I$43:$I$2956,AF$3+$A65),"")</f>
        <v/>
      </c>
      <c r="AG66" s="17" t="str">
        <f>IF(AG$3&lt;=$B66,INDEX(Input!$I$43:$I$2956,AG$3+$A65),"")</f>
        <v/>
      </c>
      <c r="AH66" s="17" t="str">
        <f>IF(AH$3&lt;=$B66,INDEX(Input!$I$43:$I$2956,AH$3+$A65),"")</f>
        <v/>
      </c>
      <c r="AI66" s="17" t="str">
        <f>IF(AI$3&lt;=$B66,INDEX(Input!$I$43:$I$2956,AI$3+$A65),"")</f>
        <v/>
      </c>
      <c r="AJ66" s="17" t="str">
        <f>IF(AJ$3&lt;=$B66,INDEX(Input!$I$43:$I$2956,AJ$3+$A65),"")</f>
        <v/>
      </c>
      <c r="AK66" s="17" t="str">
        <f>IF(AK$3&lt;=$B66,INDEX(Input!$I$43:$I$2956,AK$3+$A65),"")</f>
        <v/>
      </c>
      <c r="AL66" s="17" t="str">
        <f>IF(AL$3&lt;=$B66,INDEX(Input!$I$43:$I$2956,AL$3+$A65),"")</f>
        <v/>
      </c>
      <c r="AM66" s="17" t="str">
        <f>IF(AM$3&lt;=$B66,INDEX(Input!$I$43:$I$2956,AM$3+$A65),"")</f>
        <v/>
      </c>
      <c r="AN66" s="17" t="str">
        <f>IF(AN$3&lt;=$B66,INDEX(Input!$I$43:$I$2956,AN$3+$A65),"")</f>
        <v/>
      </c>
      <c r="AO66" s="17" t="str">
        <f>IF(AO$3&lt;=$B66,INDEX(Input!$I$43:$I$2956,AO$3+$A65),"")</f>
        <v/>
      </c>
      <c r="AP66" s="17" t="str">
        <f>IF(AP$3&lt;=$B66,INDEX(Input!$I$43:$I$2956,AP$3+$A65),"")</f>
        <v/>
      </c>
      <c r="AQ66" s="17" t="str">
        <f>IF(AQ$3&lt;=$B66,INDEX(Input!$I$43:$I$2956,AQ$3+$A65),"")</f>
        <v/>
      </c>
      <c r="AR66" s="17" t="str">
        <f>IF(AR$3&lt;=$B66,INDEX(Input!$I$43:$I$2956,AR$3+$A65),"")</f>
        <v/>
      </c>
      <c r="AS66" s="17" t="str">
        <f>IF(AS$3&lt;=$B66,INDEX(Input!$I$43:$I$2956,AS$3+$A65),"")</f>
        <v/>
      </c>
      <c r="AT66" s="17" t="str">
        <f>IF(AT$3&lt;=$B66,INDEX(Input!$I$43:$I$2956,AT$3+$A65),"")</f>
        <v/>
      </c>
      <c r="AU66" s="17" t="str">
        <f>IF(AU$3&lt;=$B66,INDEX(Input!$I$43:$I$2956,AU$3+$A65),"")</f>
        <v/>
      </c>
      <c r="AV66" s="17" t="str">
        <f>IF(AV$3&lt;=$B66,INDEX(Input!$I$43:$I$2956,AV$3+$A65),"")</f>
        <v/>
      </c>
      <c r="AW66" s="17" t="str">
        <f>IF(AW$3&lt;=$B66,INDEX(Input!$I$43:$I$2956,AW$3+$A65),"")</f>
        <v/>
      </c>
      <c r="AX66" s="17" t="str">
        <f>IF(AX$3&lt;=$B66,INDEX(Input!$I$43:$I$2956,AX$3+$A65),"")</f>
        <v/>
      </c>
      <c r="AY66" s="17" t="str">
        <f>IF(AY$3&lt;=$B66,INDEX(Input!$I$43:$I$2956,AY$3+$A65),"")</f>
        <v/>
      </c>
      <c r="AZ66" s="17" t="str">
        <f>IF(AZ$3&lt;=$B66,INDEX(Input!$I$43:$I$2956,AZ$3+$A65),"")</f>
        <v/>
      </c>
      <c r="BA66" s="17" t="str">
        <f>IF(BA$3&lt;=$B66,INDEX(Input!$I$43:$I$2956,BA$3+$A65),"")</f>
        <v/>
      </c>
      <c r="BB66" s="17" t="str">
        <f>IF(BB$3&lt;=$B66,INDEX(Input!$I$43:$I$2956,BB$3+$A65),"")</f>
        <v/>
      </c>
      <c r="BC66" s="17" t="str">
        <f>IF(BC$3&lt;=$B66,INDEX(Input!$I$43:$I$2956,BC$3+$A65),"")</f>
        <v/>
      </c>
      <c r="BD66" s="17" t="str">
        <f>IF(BD$3&lt;=$B66,INDEX(Input!$I$43:$I$2956,BD$3+$A65),"")</f>
        <v/>
      </c>
      <c r="BE66" s="17" t="str">
        <f>IF(BE$3&lt;=$B66,INDEX(Input!$I$43:$I$2956,BE$3+$A65),"")</f>
        <v/>
      </c>
      <c r="BF66" s="17" t="str">
        <f>IF(BF$3&lt;=$B66,INDEX(Input!$I$43:$I$2956,BF$3+$A65),"")</f>
        <v/>
      </c>
      <c r="BG66" s="17" t="str">
        <f>IF(BG$3&lt;=$B66,INDEX(Input!$I$43:$I$2956,BG$3+$A65),"")</f>
        <v/>
      </c>
      <c r="BH66" s="17" t="str">
        <f>IF(BH$3&lt;=$B66,INDEX(Input!$I$43:$I$2956,BH$3+$A65),"")</f>
        <v/>
      </c>
      <c r="BI66" s="17" t="str">
        <f>IF(BI$3&lt;=$B66,INDEX(Input!$I$43:$I$2956,BI$3+$A65),"")</f>
        <v/>
      </c>
      <c r="BJ66" s="17" t="str">
        <f>IF(BJ$3&lt;=$B66,INDEX(Input!$I$43:$I$2956,BJ$3+$A65),"")</f>
        <v/>
      </c>
      <c r="BK66" s="17" t="str">
        <f>IF(BK$3&lt;=$B66,INDEX(Input!$I$43:$I$2956,BK$3+$A65),"")</f>
        <v/>
      </c>
      <c r="BL66" s="17" t="str">
        <f>IF(BL$3&lt;=$B66,INDEX(Input!$I$43:$I$2956,BL$3+$A65),"")</f>
        <v/>
      </c>
      <c r="BM66" s="17" t="str">
        <f>IF(BM$3&lt;=$B66,INDEX(Input!$I$43:$I$2956,BM$3+$A65),"")</f>
        <v/>
      </c>
      <c r="BN66" s="17" t="str">
        <f>IF(BN$3&lt;=$B66,INDEX(Input!$I$43:$I$2956,BN$3+$A65),"")</f>
        <v/>
      </c>
      <c r="BO66" s="17" t="str">
        <f>IF(BO$3&lt;=$B66,INDEX(Input!$I$43:$I$2956,BO$3+$A65),"")</f>
        <v/>
      </c>
      <c r="BP66" s="17" t="str">
        <f>IF(BP$3&lt;=$B66,INDEX(Input!$I$43:$I$2956,BP$3+$A65),"")</f>
        <v/>
      </c>
      <c r="BQ66" s="17" t="str">
        <f>IF(BQ$3&lt;=$B66,INDEX(Input!$I$43:$I$2956,BQ$3+$A65),"")</f>
        <v/>
      </c>
      <c r="BR66" s="17" t="str">
        <f>IF(BR$3&lt;=$B66,INDEX(Input!$I$43:$I$2956,BR$3+$A65),"")</f>
        <v/>
      </c>
      <c r="BS66" s="17" t="str">
        <f>IF(BS$3&lt;=$B66,INDEX(Input!$I$43:$I$2956,BS$3+$A65),"")</f>
        <v/>
      </c>
      <c r="BT66" s="17" t="str">
        <f>IF(BT$3&lt;=$B66,INDEX(Input!$I$43:$I$2956,BT$3+$A65),"")</f>
        <v/>
      </c>
      <c r="BU66" s="17" t="str">
        <f>IF(BU$3&lt;=$B66,INDEX(Input!$I$43:$I$2956,BU$3+$A65),"")</f>
        <v/>
      </c>
      <c r="BV66" s="17" t="str">
        <f>IF(BV$3&lt;=$B66,INDEX(Input!$I$43:$I$2956,BV$3+$A65),"")</f>
        <v/>
      </c>
      <c r="BW66" s="17" t="str">
        <f>IF(BW$3&lt;=$B66,INDEX(Input!$I$43:$I$2956,BW$3+$A65),"")</f>
        <v/>
      </c>
      <c r="BX66" s="17" t="str">
        <f>IF(BX$3&lt;=$B66,INDEX(Input!$I$43:$I$2956,BX$3+$A65),"")</f>
        <v/>
      </c>
      <c r="BY66" s="17" t="str">
        <f>IF(BY$3&lt;=$B66,INDEX(Input!$I$43:$I$2956,BY$3+$A65),"")</f>
        <v/>
      </c>
      <c r="BZ66" s="17" t="str">
        <f>IF(BZ$3&lt;=$B66,INDEX(Input!$I$43:$I$2956,BZ$3+$A65),"")</f>
        <v/>
      </c>
      <c r="CA66" s="17" t="str">
        <f>IF(CA$3&lt;=$B66,INDEX(Input!$I$43:$I$2956,CA$3+$A65),"")</f>
        <v/>
      </c>
      <c r="CB66" s="17" t="str">
        <f>IF(CB$3&lt;=$B66,INDEX(Input!$I$43:$I$2956,CB$3+$A65),"")</f>
        <v/>
      </c>
      <c r="CC66" s="17" t="str">
        <f>IF(CC$3&lt;=$B66,INDEX(Input!$I$43:$I$2956,CC$3+$A65),"")</f>
        <v/>
      </c>
      <c r="CD66" s="17" t="str">
        <f>IF(CD$3&lt;=$B66,INDEX(Input!$I$43:$I$2956,CD$3+$A65),"")</f>
        <v/>
      </c>
      <c r="CE66" s="17" t="str">
        <f>IF(CE$3&lt;=$B66,INDEX(Input!$I$43:$I$2956,CE$3+$A65),"")</f>
        <v/>
      </c>
      <c r="CF66" s="17" t="str">
        <f>IF(CF$3&lt;=$B66,INDEX(Input!$I$43:$I$2956,CF$3+$A65),"")</f>
        <v/>
      </c>
      <c r="CG66" s="17" t="str">
        <f>IF(CG$3&lt;=$B66,INDEX(Input!$I$43:$I$2956,CG$3+$A65),"")</f>
        <v/>
      </c>
      <c r="CH66" s="17" t="str">
        <f>IF(CH$3&lt;=$B66,INDEX(Input!$I$43:$I$2956,CH$3+$A65),"")</f>
        <v/>
      </c>
      <c r="CI66" s="17" t="str">
        <f>IF(CI$3&lt;=$B66,INDEX(Input!$I$43:$I$2956,CI$3+$A65),"")</f>
        <v/>
      </c>
      <c r="CJ66" s="17" t="str">
        <f>IF(CJ$3&lt;=$B66,INDEX(Input!$I$43:$I$2956,CJ$3+$A65),"")</f>
        <v/>
      </c>
      <c r="CK66" s="17" t="str">
        <f>IF(CK$3&lt;=$B66,INDEX(Input!$I$43:$I$2956,CK$3+$A65),"")</f>
        <v/>
      </c>
      <c r="CL66" s="17" t="str">
        <f>IF(CL$3&lt;=$B66,INDEX(Input!$I$43:$I$2956,CL$3+$A65),"")</f>
        <v/>
      </c>
      <c r="CM66" s="17" t="str">
        <f>IF(CM$3&lt;=$B66,INDEX(Input!$I$43:$I$2956,CM$3+$A65),"")</f>
        <v/>
      </c>
      <c r="CN66" s="17" t="str">
        <f>IF(CN$3&lt;=$B66,INDEX(Input!$I$43:$I$2956,CN$3+$A65),"")</f>
        <v/>
      </c>
      <c r="CO66" s="17" t="str">
        <f>IF(CO$3&lt;=$B66,INDEX(Input!$I$43:$I$2956,CO$3+$A65),"")</f>
        <v/>
      </c>
      <c r="CP66" s="17" t="str">
        <f>IF(CP$3&lt;=$B66,INDEX(Input!$I$43:$I$2956,CP$3+$A65),"")</f>
        <v/>
      </c>
      <c r="CQ66" s="17" t="str">
        <f>IF(CQ$3&lt;=$B66,INDEX(Input!$I$43:$I$2956,CQ$3+$A65),"")</f>
        <v/>
      </c>
      <c r="CR66" s="17" t="str">
        <f>IF(CR$3&lt;=$B66,INDEX(Input!$I$43:$I$2956,CR$3+$A65),"")</f>
        <v/>
      </c>
      <c r="CS66" s="17" t="str">
        <f>IF(CS$3&lt;=$B66,INDEX(Input!$I$43:$I$2956,CS$3+$A65),"")</f>
        <v/>
      </c>
      <c r="CT66" s="17" t="str">
        <f>IF(CT$3&lt;=$B66,INDEX(Input!$I$43:$I$2956,CT$3+$A65),"")</f>
        <v/>
      </c>
      <c r="CU66" s="17" t="str">
        <f>IF(CU$3&lt;=$B66,INDEX(Input!$I$43:$I$2956,CU$3+$A65),"")</f>
        <v/>
      </c>
      <c r="CV66" s="17" t="str">
        <f>IF(CV$3&lt;=$B66,INDEX(Input!$I$43:$I$2956,CV$3+$A65),"")</f>
        <v/>
      </c>
      <c r="CW66" s="17" t="str">
        <f>IF(CW$3&lt;=$B66,INDEX(Input!$I$43:$I$2956,CW$3+$A65),"")</f>
        <v/>
      </c>
      <c r="CX66" s="17" t="str">
        <f>IF(CX$3&lt;=$B66,INDEX(Input!$I$43:$I$2956,CX$3+$A65),"")</f>
        <v/>
      </c>
      <c r="CY66" s="17" t="str">
        <f>IF(CY$3&lt;=$B66,INDEX(Input!$I$43:$I$2956,CY$3+$A65),"")</f>
        <v/>
      </c>
      <c r="CZ66" s="17" t="str">
        <f>IF(CZ$3&lt;=$B66,INDEX(Input!$I$43:$I$2956,CZ$3+$A65),"")</f>
        <v/>
      </c>
      <c r="DA66" s="17" t="str">
        <f>IF(DA$3&lt;=$B66,INDEX(Input!$I$43:$I$2956,DA$3+$A65),"")</f>
        <v/>
      </c>
      <c r="DB66" s="17" t="str">
        <f>IF(DB$3&lt;=$B66,INDEX(Input!$I$43:$I$2956,DB$3+$A65),"")</f>
        <v/>
      </c>
      <c r="DC66" s="17" t="str">
        <f>IF(DC$3&lt;=$B66,INDEX(Input!$I$43:$I$2956,DC$3+$A65),"")</f>
        <v/>
      </c>
      <c r="DD66" s="17" t="str">
        <f>IF(DD$3&lt;=$B66,INDEX(Input!$I$43:$I$2956,DD$3+$A65),"")</f>
        <v/>
      </c>
      <c r="DE66" s="17" t="str">
        <f>IF(DE$3&lt;=$B66,INDEX(Input!$I$43:$I$2956,DE$3+$A65),"")</f>
        <v/>
      </c>
      <c r="DF66" s="17" t="str">
        <f>IF(DF$3&lt;=$B66,INDEX(Input!$I$43:$I$2956,DF$3+$A65),"")</f>
        <v/>
      </c>
      <c r="DG66" s="17" t="str">
        <f>IF(DG$3&lt;=$B66,INDEX(Input!$I$43:$I$2956,DG$3+$A65),"")</f>
        <v/>
      </c>
      <c r="DH66" s="17" t="str">
        <f>IF(DH$3&lt;=$B66,INDEX(Input!$I$43:$I$2956,DH$3+$A65),"")</f>
        <v/>
      </c>
      <c r="DI66" s="17" t="str">
        <f>IF(DI$3&lt;=$B66,INDEX(Input!$I$43:$I$2956,DI$3+$A65),"")</f>
        <v/>
      </c>
      <c r="DJ66" s="17" t="str">
        <f>IF(DJ$3&lt;=$B66,INDEX(Input!$I$43:$I$2956,DJ$3+$A65),"")</f>
        <v/>
      </c>
      <c r="DK66" s="17" t="str">
        <f>IF(DK$3&lt;=$B66,INDEX(Input!$I$43:$I$2956,DK$3+$A65),"")</f>
        <v/>
      </c>
      <c r="DL66" s="17" t="str">
        <f>IF(DL$3&lt;=$B66,INDEX(Input!$I$43:$I$2956,DL$3+$A65),"")</f>
        <v/>
      </c>
      <c r="DM66" s="17" t="str">
        <f>IF(DM$3&lt;=$B66,INDEX(Input!$I$43:$I$2956,DM$3+$A65),"")</f>
        <v/>
      </c>
      <c r="DN66" s="17" t="str">
        <f>IF(DN$3&lt;=$B66,INDEX(Input!$I$43:$I$2956,DN$3+$A65),"")</f>
        <v/>
      </c>
      <c r="DO66" s="17" t="str">
        <f>IF(DO$3&lt;=$B66,INDEX(Input!$I$43:$I$2956,DO$3+$A65),"")</f>
        <v/>
      </c>
      <c r="DP66" s="17" t="str">
        <f>IF(DP$3&lt;=$B66,INDEX(Input!$I$43:$I$2956,DP$3+$A65),"")</f>
        <v/>
      </c>
      <c r="DQ66" s="17" t="str">
        <f>IF(DQ$3&lt;=$B66,INDEX(Input!$I$43:$I$2956,DQ$3+$A65),"")</f>
        <v/>
      </c>
      <c r="DR66" s="17" t="str">
        <f>IF(DR$3&lt;=$B66,INDEX(Input!$I$43:$I$2956,DR$3+$A65),"")</f>
        <v/>
      </c>
      <c r="DS66" s="17" t="str">
        <f>IF(DS$3&lt;=$B66,INDEX(Input!$I$43:$I$2956,DS$3+$A65),"")</f>
        <v/>
      </c>
      <c r="DT66" s="17" t="str">
        <f>IF(DT$3&lt;=$B66,INDEX(Input!$I$43:$I$2956,DT$3+$A65),"")</f>
        <v/>
      </c>
      <c r="DU66" s="17" t="str">
        <f>IF(DU$3&lt;=$B66,INDEX(Input!$I$43:$I$2956,DU$3+$A65),"")</f>
        <v/>
      </c>
      <c r="DV66" s="17" t="str">
        <f>IF(DV$3&lt;=$B66,INDEX(Input!$I$43:$I$2956,DV$3+$A65),"")</f>
        <v/>
      </c>
      <c r="DW66" s="58" t="str">
        <f t="array" ref="DW66:EZ66">IFERROR(eccalc(E66:DV66,C66+B66,B66,$O$2:$AS$2),"")</f>
        <v/>
      </c>
      <c r="DX66" s="59" t="str">
        <v/>
      </c>
      <c r="DY66" s="59" t="str">
        <v/>
      </c>
      <c r="DZ66" s="59" t="str">
        <v/>
      </c>
      <c r="EA66" s="59" t="str">
        <v/>
      </c>
      <c r="EB66" s="59" t="str">
        <v/>
      </c>
      <c r="EC66" s="59" t="str">
        <v/>
      </c>
      <c r="ED66" s="59" t="str">
        <v/>
      </c>
      <c r="EE66" s="59" t="str">
        <v/>
      </c>
      <c r="EF66" s="59" t="str">
        <v/>
      </c>
      <c r="EG66" s="59" t="str">
        <v/>
      </c>
      <c r="EH66" s="59" t="str">
        <v/>
      </c>
      <c r="EI66" s="59" t="str">
        <v/>
      </c>
      <c r="EJ66" s="59" t="str">
        <v/>
      </c>
      <c r="EK66" s="59" t="str">
        <v/>
      </c>
      <c r="EL66" s="59" t="str">
        <v/>
      </c>
      <c r="EM66" s="59" t="str">
        <v/>
      </c>
      <c r="EN66" s="59" t="str">
        <v/>
      </c>
      <c r="EO66" s="59" t="str">
        <v/>
      </c>
      <c r="EP66" s="59" t="str">
        <v/>
      </c>
      <c r="EQ66" s="59" t="str">
        <v/>
      </c>
      <c r="ER66" s="59" t="str">
        <v/>
      </c>
      <c r="ES66" s="59" t="str">
        <v/>
      </c>
      <c r="ET66" s="59" t="str">
        <v/>
      </c>
      <c r="EU66" s="59" t="str">
        <v/>
      </c>
      <c r="EV66" s="59" t="str">
        <v/>
      </c>
      <c r="EW66" s="59" t="str">
        <v/>
      </c>
      <c r="EX66" s="59" t="str">
        <v/>
      </c>
      <c r="EY66" s="59" t="str">
        <v/>
      </c>
      <c r="EZ66" s="60" t="str">
        <v/>
      </c>
      <c r="FA66" s="17"/>
      <c r="FC66">
        <v>63</v>
      </c>
      <c r="FD66">
        <f t="shared" si="2"/>
        <v>15</v>
      </c>
      <c r="FE66">
        <f t="shared" si="3"/>
        <v>4</v>
      </c>
      <c r="FF66">
        <f t="shared" si="4"/>
        <v>17</v>
      </c>
      <c r="FI66" s="16">
        <v>63</v>
      </c>
      <c r="FJ66" s="17">
        <f t="shared" si="5"/>
        <v>132</v>
      </c>
      <c r="FK66" s="17">
        <f t="shared" si="6"/>
        <v>17</v>
      </c>
      <c r="FL66" s="18" t="str">
        <f t="shared" si="7"/>
        <v>00010001</v>
      </c>
      <c r="FM66" s="2"/>
    </row>
    <row r="67" spans="1:169">
      <c r="A67">
        <f>SUM($B$4:B67)</f>
        <v>196</v>
      </c>
      <c r="B67">
        <f t="shared" si="0"/>
        <v>0</v>
      </c>
      <c r="C67" t="str">
        <f t="shared" si="1"/>
        <v/>
      </c>
      <c r="D67">
        <v>64</v>
      </c>
      <c r="E67" s="16" t="str">
        <f>IF(E$3&lt;=$B67,INDEX(Input!$I$43:$I$2956,E$3+$A66),"")</f>
        <v/>
      </c>
      <c r="F67" s="17" t="str">
        <f>IF(F$3&lt;=$B67,INDEX(Input!$I$43:$I$2956,F$3+$A66),"")</f>
        <v/>
      </c>
      <c r="G67" s="17" t="str">
        <f>IF(G$3&lt;=$B67,INDEX(Input!$I$43:$I$2956,G$3+$A66),"")</f>
        <v/>
      </c>
      <c r="H67" s="17" t="str">
        <f>IF(H$3&lt;=$B67,INDEX(Input!$I$43:$I$2956,H$3+$A66),"")</f>
        <v/>
      </c>
      <c r="I67" s="17" t="str">
        <f>IF(I$3&lt;=$B67,INDEX(Input!$I$43:$I$2956,I$3+$A66),"")</f>
        <v/>
      </c>
      <c r="J67" s="17" t="str">
        <f>IF(J$3&lt;=$B67,INDEX(Input!$I$43:$I$2956,J$3+$A66),"")</f>
        <v/>
      </c>
      <c r="K67" s="17" t="str">
        <f>IF(K$3&lt;=$B67,INDEX(Input!$I$43:$I$2956,K$3+$A66),"")</f>
        <v/>
      </c>
      <c r="L67" s="17" t="str">
        <f>IF(L$3&lt;=$B67,INDEX(Input!$I$43:$I$2956,L$3+$A66),"")</f>
        <v/>
      </c>
      <c r="M67" s="17" t="str">
        <f>IF(M$3&lt;=$B67,INDEX(Input!$I$43:$I$2956,M$3+$A66),"")</f>
        <v/>
      </c>
      <c r="N67" s="17" t="str">
        <f>IF(N$3&lt;=$B67,INDEX(Input!$I$43:$I$2956,N$3+$A66),"")</f>
        <v/>
      </c>
      <c r="O67" s="17" t="str">
        <f>IF(O$3&lt;=$B67,INDEX(Input!$I$43:$I$2956,O$3+$A66),"")</f>
        <v/>
      </c>
      <c r="P67" s="17" t="str">
        <f>IF(P$3&lt;=$B67,INDEX(Input!$I$43:$I$2956,P$3+$A66),"")</f>
        <v/>
      </c>
      <c r="Q67" s="17" t="str">
        <f>IF(Q$3&lt;=$B67,INDEX(Input!$I$43:$I$2956,Q$3+$A66),"")</f>
        <v/>
      </c>
      <c r="R67" s="17" t="str">
        <f>IF(R$3&lt;=$B67,INDEX(Input!$I$43:$I$2956,R$3+$A66),"")</f>
        <v/>
      </c>
      <c r="S67" s="17" t="str">
        <f>IF(S$3&lt;=$B67,INDEX(Input!$I$43:$I$2956,S$3+$A66),"")</f>
        <v/>
      </c>
      <c r="T67" s="17" t="str">
        <f>IF(T$3&lt;=$B67,INDEX(Input!$I$43:$I$2956,T$3+$A66),"")</f>
        <v/>
      </c>
      <c r="U67" s="17" t="str">
        <f>IF(U$3&lt;=$B67,INDEX(Input!$I$43:$I$2956,U$3+$A66),"")</f>
        <v/>
      </c>
      <c r="V67" s="17" t="str">
        <f>IF(V$3&lt;=$B67,INDEX(Input!$I$43:$I$2956,V$3+$A66),"")</f>
        <v/>
      </c>
      <c r="W67" s="17" t="str">
        <f>IF(W$3&lt;=$B67,INDEX(Input!$I$43:$I$2956,W$3+$A66),"")</f>
        <v/>
      </c>
      <c r="X67" s="17" t="str">
        <f>IF(X$3&lt;=$B67,INDEX(Input!$I$43:$I$2956,X$3+$A66),"")</f>
        <v/>
      </c>
      <c r="Y67" s="17" t="str">
        <f>IF(Y$3&lt;=$B67,INDEX(Input!$I$43:$I$2956,Y$3+$A66),"")</f>
        <v/>
      </c>
      <c r="Z67" s="17" t="str">
        <f>IF(Z$3&lt;=$B67,INDEX(Input!$I$43:$I$2956,Z$3+$A66),"")</f>
        <v/>
      </c>
      <c r="AA67" s="17" t="str">
        <f>IF(AA$3&lt;=$B67,INDEX(Input!$I$43:$I$2956,AA$3+$A66),"")</f>
        <v/>
      </c>
      <c r="AB67" s="17" t="str">
        <f>IF(AB$3&lt;=$B67,INDEX(Input!$I$43:$I$2956,AB$3+$A66),"")</f>
        <v/>
      </c>
      <c r="AC67" s="17" t="str">
        <f>IF(AC$3&lt;=$B67,INDEX(Input!$I$43:$I$2956,AC$3+$A66),"")</f>
        <v/>
      </c>
      <c r="AD67" s="17" t="str">
        <f>IF(AD$3&lt;=$B67,INDEX(Input!$I$43:$I$2956,AD$3+$A66),"")</f>
        <v/>
      </c>
      <c r="AE67" s="17" t="str">
        <f>IF(AE$3&lt;=$B67,INDEX(Input!$I$43:$I$2956,AE$3+$A66),"")</f>
        <v/>
      </c>
      <c r="AF67" s="17" t="str">
        <f>IF(AF$3&lt;=$B67,INDEX(Input!$I$43:$I$2956,AF$3+$A66),"")</f>
        <v/>
      </c>
      <c r="AG67" s="17" t="str">
        <f>IF(AG$3&lt;=$B67,INDEX(Input!$I$43:$I$2956,AG$3+$A66),"")</f>
        <v/>
      </c>
      <c r="AH67" s="17" t="str">
        <f>IF(AH$3&lt;=$B67,INDEX(Input!$I$43:$I$2956,AH$3+$A66),"")</f>
        <v/>
      </c>
      <c r="AI67" s="17" t="str">
        <f>IF(AI$3&lt;=$B67,INDEX(Input!$I$43:$I$2956,AI$3+$A66),"")</f>
        <v/>
      </c>
      <c r="AJ67" s="17" t="str">
        <f>IF(AJ$3&lt;=$B67,INDEX(Input!$I$43:$I$2956,AJ$3+$A66),"")</f>
        <v/>
      </c>
      <c r="AK67" s="17" t="str">
        <f>IF(AK$3&lt;=$B67,INDEX(Input!$I$43:$I$2956,AK$3+$A66),"")</f>
        <v/>
      </c>
      <c r="AL67" s="17" t="str">
        <f>IF(AL$3&lt;=$B67,INDEX(Input!$I$43:$I$2956,AL$3+$A66),"")</f>
        <v/>
      </c>
      <c r="AM67" s="17" t="str">
        <f>IF(AM$3&lt;=$B67,INDEX(Input!$I$43:$I$2956,AM$3+$A66),"")</f>
        <v/>
      </c>
      <c r="AN67" s="17" t="str">
        <f>IF(AN$3&lt;=$B67,INDEX(Input!$I$43:$I$2956,AN$3+$A66),"")</f>
        <v/>
      </c>
      <c r="AO67" s="17" t="str">
        <f>IF(AO$3&lt;=$B67,INDEX(Input!$I$43:$I$2956,AO$3+$A66),"")</f>
        <v/>
      </c>
      <c r="AP67" s="17" t="str">
        <f>IF(AP$3&lt;=$B67,INDEX(Input!$I$43:$I$2956,AP$3+$A66),"")</f>
        <v/>
      </c>
      <c r="AQ67" s="17" t="str">
        <f>IF(AQ$3&lt;=$B67,INDEX(Input!$I$43:$I$2956,AQ$3+$A66),"")</f>
        <v/>
      </c>
      <c r="AR67" s="17" t="str">
        <f>IF(AR$3&lt;=$B67,INDEX(Input!$I$43:$I$2956,AR$3+$A66),"")</f>
        <v/>
      </c>
      <c r="AS67" s="17" t="str">
        <f>IF(AS$3&lt;=$B67,INDEX(Input!$I$43:$I$2956,AS$3+$A66),"")</f>
        <v/>
      </c>
      <c r="AT67" s="17" t="str">
        <f>IF(AT$3&lt;=$B67,INDEX(Input!$I$43:$I$2956,AT$3+$A66),"")</f>
        <v/>
      </c>
      <c r="AU67" s="17" t="str">
        <f>IF(AU$3&lt;=$B67,INDEX(Input!$I$43:$I$2956,AU$3+$A66),"")</f>
        <v/>
      </c>
      <c r="AV67" s="17" t="str">
        <f>IF(AV$3&lt;=$B67,INDEX(Input!$I$43:$I$2956,AV$3+$A66),"")</f>
        <v/>
      </c>
      <c r="AW67" s="17" t="str">
        <f>IF(AW$3&lt;=$B67,INDEX(Input!$I$43:$I$2956,AW$3+$A66),"")</f>
        <v/>
      </c>
      <c r="AX67" s="17" t="str">
        <f>IF(AX$3&lt;=$B67,INDEX(Input!$I$43:$I$2956,AX$3+$A66),"")</f>
        <v/>
      </c>
      <c r="AY67" s="17" t="str">
        <f>IF(AY$3&lt;=$B67,INDEX(Input!$I$43:$I$2956,AY$3+$A66),"")</f>
        <v/>
      </c>
      <c r="AZ67" s="17" t="str">
        <f>IF(AZ$3&lt;=$B67,INDEX(Input!$I$43:$I$2956,AZ$3+$A66),"")</f>
        <v/>
      </c>
      <c r="BA67" s="17" t="str">
        <f>IF(BA$3&lt;=$B67,INDEX(Input!$I$43:$I$2956,BA$3+$A66),"")</f>
        <v/>
      </c>
      <c r="BB67" s="17" t="str">
        <f>IF(BB$3&lt;=$B67,INDEX(Input!$I$43:$I$2956,BB$3+$A66),"")</f>
        <v/>
      </c>
      <c r="BC67" s="17" t="str">
        <f>IF(BC$3&lt;=$B67,INDEX(Input!$I$43:$I$2956,BC$3+$A66),"")</f>
        <v/>
      </c>
      <c r="BD67" s="17" t="str">
        <f>IF(BD$3&lt;=$B67,INDEX(Input!$I$43:$I$2956,BD$3+$A66),"")</f>
        <v/>
      </c>
      <c r="BE67" s="17" t="str">
        <f>IF(BE$3&lt;=$B67,INDEX(Input!$I$43:$I$2956,BE$3+$A66),"")</f>
        <v/>
      </c>
      <c r="BF67" s="17" t="str">
        <f>IF(BF$3&lt;=$B67,INDEX(Input!$I$43:$I$2956,BF$3+$A66),"")</f>
        <v/>
      </c>
      <c r="BG67" s="17" t="str">
        <f>IF(BG$3&lt;=$B67,INDEX(Input!$I$43:$I$2956,BG$3+$A66),"")</f>
        <v/>
      </c>
      <c r="BH67" s="17" t="str">
        <f>IF(BH$3&lt;=$B67,INDEX(Input!$I$43:$I$2956,BH$3+$A66),"")</f>
        <v/>
      </c>
      <c r="BI67" s="17" t="str">
        <f>IF(BI$3&lt;=$B67,INDEX(Input!$I$43:$I$2956,BI$3+$A66),"")</f>
        <v/>
      </c>
      <c r="BJ67" s="17" t="str">
        <f>IF(BJ$3&lt;=$B67,INDEX(Input!$I$43:$I$2956,BJ$3+$A66),"")</f>
        <v/>
      </c>
      <c r="BK67" s="17" t="str">
        <f>IF(BK$3&lt;=$B67,INDEX(Input!$I$43:$I$2956,BK$3+$A66),"")</f>
        <v/>
      </c>
      <c r="BL67" s="17" t="str">
        <f>IF(BL$3&lt;=$B67,INDEX(Input!$I$43:$I$2956,BL$3+$A66),"")</f>
        <v/>
      </c>
      <c r="BM67" s="17" t="str">
        <f>IF(BM$3&lt;=$B67,INDEX(Input!$I$43:$I$2956,BM$3+$A66),"")</f>
        <v/>
      </c>
      <c r="BN67" s="17" t="str">
        <f>IF(BN$3&lt;=$B67,INDEX(Input!$I$43:$I$2956,BN$3+$A66),"")</f>
        <v/>
      </c>
      <c r="BO67" s="17" t="str">
        <f>IF(BO$3&lt;=$B67,INDEX(Input!$I$43:$I$2956,BO$3+$A66),"")</f>
        <v/>
      </c>
      <c r="BP67" s="17" t="str">
        <f>IF(BP$3&lt;=$B67,INDEX(Input!$I$43:$I$2956,BP$3+$A66),"")</f>
        <v/>
      </c>
      <c r="BQ67" s="17" t="str">
        <f>IF(BQ$3&lt;=$B67,INDEX(Input!$I$43:$I$2956,BQ$3+$A66),"")</f>
        <v/>
      </c>
      <c r="BR67" s="17" t="str">
        <f>IF(BR$3&lt;=$B67,INDEX(Input!$I$43:$I$2956,BR$3+$A66),"")</f>
        <v/>
      </c>
      <c r="BS67" s="17" t="str">
        <f>IF(BS$3&lt;=$B67,INDEX(Input!$I$43:$I$2956,BS$3+$A66),"")</f>
        <v/>
      </c>
      <c r="BT67" s="17" t="str">
        <f>IF(BT$3&lt;=$B67,INDEX(Input!$I$43:$I$2956,BT$3+$A66),"")</f>
        <v/>
      </c>
      <c r="BU67" s="17" t="str">
        <f>IF(BU$3&lt;=$B67,INDEX(Input!$I$43:$I$2956,BU$3+$A66),"")</f>
        <v/>
      </c>
      <c r="BV67" s="17" t="str">
        <f>IF(BV$3&lt;=$B67,INDEX(Input!$I$43:$I$2956,BV$3+$A66),"")</f>
        <v/>
      </c>
      <c r="BW67" s="17" t="str">
        <f>IF(BW$3&lt;=$B67,INDEX(Input!$I$43:$I$2956,BW$3+$A66),"")</f>
        <v/>
      </c>
      <c r="BX67" s="17" t="str">
        <f>IF(BX$3&lt;=$B67,INDEX(Input!$I$43:$I$2956,BX$3+$A66),"")</f>
        <v/>
      </c>
      <c r="BY67" s="17" t="str">
        <f>IF(BY$3&lt;=$B67,INDEX(Input!$I$43:$I$2956,BY$3+$A66),"")</f>
        <v/>
      </c>
      <c r="BZ67" s="17" t="str">
        <f>IF(BZ$3&lt;=$B67,INDEX(Input!$I$43:$I$2956,BZ$3+$A66),"")</f>
        <v/>
      </c>
      <c r="CA67" s="17" t="str">
        <f>IF(CA$3&lt;=$B67,INDEX(Input!$I$43:$I$2956,CA$3+$A66),"")</f>
        <v/>
      </c>
      <c r="CB67" s="17" t="str">
        <f>IF(CB$3&lt;=$B67,INDEX(Input!$I$43:$I$2956,CB$3+$A66),"")</f>
        <v/>
      </c>
      <c r="CC67" s="17" t="str">
        <f>IF(CC$3&lt;=$B67,INDEX(Input!$I$43:$I$2956,CC$3+$A66),"")</f>
        <v/>
      </c>
      <c r="CD67" s="17" t="str">
        <f>IF(CD$3&lt;=$B67,INDEX(Input!$I$43:$I$2956,CD$3+$A66),"")</f>
        <v/>
      </c>
      <c r="CE67" s="17" t="str">
        <f>IF(CE$3&lt;=$B67,INDEX(Input!$I$43:$I$2956,CE$3+$A66),"")</f>
        <v/>
      </c>
      <c r="CF67" s="17" t="str">
        <f>IF(CF$3&lt;=$B67,INDEX(Input!$I$43:$I$2956,CF$3+$A66),"")</f>
        <v/>
      </c>
      <c r="CG67" s="17" t="str">
        <f>IF(CG$3&lt;=$B67,INDEX(Input!$I$43:$I$2956,CG$3+$A66),"")</f>
        <v/>
      </c>
      <c r="CH67" s="17" t="str">
        <f>IF(CH$3&lt;=$B67,INDEX(Input!$I$43:$I$2956,CH$3+$A66),"")</f>
        <v/>
      </c>
      <c r="CI67" s="17" t="str">
        <f>IF(CI$3&lt;=$B67,INDEX(Input!$I$43:$I$2956,CI$3+$A66),"")</f>
        <v/>
      </c>
      <c r="CJ67" s="17" t="str">
        <f>IF(CJ$3&lt;=$B67,INDEX(Input!$I$43:$I$2956,CJ$3+$A66),"")</f>
        <v/>
      </c>
      <c r="CK67" s="17" t="str">
        <f>IF(CK$3&lt;=$B67,INDEX(Input!$I$43:$I$2956,CK$3+$A66),"")</f>
        <v/>
      </c>
      <c r="CL67" s="17" t="str">
        <f>IF(CL$3&lt;=$B67,INDEX(Input!$I$43:$I$2956,CL$3+$A66),"")</f>
        <v/>
      </c>
      <c r="CM67" s="17" t="str">
        <f>IF(CM$3&lt;=$B67,INDEX(Input!$I$43:$I$2956,CM$3+$A66),"")</f>
        <v/>
      </c>
      <c r="CN67" s="17" t="str">
        <f>IF(CN$3&lt;=$B67,INDEX(Input!$I$43:$I$2956,CN$3+$A66),"")</f>
        <v/>
      </c>
      <c r="CO67" s="17" t="str">
        <f>IF(CO$3&lt;=$B67,INDEX(Input!$I$43:$I$2956,CO$3+$A66),"")</f>
        <v/>
      </c>
      <c r="CP67" s="17" t="str">
        <f>IF(CP$3&lt;=$B67,INDEX(Input!$I$43:$I$2956,CP$3+$A66),"")</f>
        <v/>
      </c>
      <c r="CQ67" s="17" t="str">
        <f>IF(CQ$3&lt;=$B67,INDEX(Input!$I$43:$I$2956,CQ$3+$A66),"")</f>
        <v/>
      </c>
      <c r="CR67" s="17" t="str">
        <f>IF(CR$3&lt;=$B67,INDEX(Input!$I$43:$I$2956,CR$3+$A66),"")</f>
        <v/>
      </c>
      <c r="CS67" s="17" t="str">
        <f>IF(CS$3&lt;=$B67,INDEX(Input!$I$43:$I$2956,CS$3+$A66),"")</f>
        <v/>
      </c>
      <c r="CT67" s="17" t="str">
        <f>IF(CT$3&lt;=$B67,INDEX(Input!$I$43:$I$2956,CT$3+$A66),"")</f>
        <v/>
      </c>
      <c r="CU67" s="17" t="str">
        <f>IF(CU$3&lt;=$B67,INDEX(Input!$I$43:$I$2956,CU$3+$A66),"")</f>
        <v/>
      </c>
      <c r="CV67" s="17" t="str">
        <f>IF(CV$3&lt;=$B67,INDEX(Input!$I$43:$I$2956,CV$3+$A66),"")</f>
        <v/>
      </c>
      <c r="CW67" s="17" t="str">
        <f>IF(CW$3&lt;=$B67,INDEX(Input!$I$43:$I$2956,CW$3+$A66),"")</f>
        <v/>
      </c>
      <c r="CX67" s="17" t="str">
        <f>IF(CX$3&lt;=$B67,INDEX(Input!$I$43:$I$2956,CX$3+$A66),"")</f>
        <v/>
      </c>
      <c r="CY67" s="17" t="str">
        <f>IF(CY$3&lt;=$B67,INDEX(Input!$I$43:$I$2956,CY$3+$A66),"")</f>
        <v/>
      </c>
      <c r="CZ67" s="17" t="str">
        <f>IF(CZ$3&lt;=$B67,INDEX(Input!$I$43:$I$2956,CZ$3+$A66),"")</f>
        <v/>
      </c>
      <c r="DA67" s="17" t="str">
        <f>IF(DA$3&lt;=$B67,INDEX(Input!$I$43:$I$2956,DA$3+$A66),"")</f>
        <v/>
      </c>
      <c r="DB67" s="17" t="str">
        <f>IF(DB$3&lt;=$B67,INDEX(Input!$I$43:$I$2956,DB$3+$A66),"")</f>
        <v/>
      </c>
      <c r="DC67" s="17" t="str">
        <f>IF(DC$3&lt;=$B67,INDEX(Input!$I$43:$I$2956,DC$3+$A66),"")</f>
        <v/>
      </c>
      <c r="DD67" s="17" t="str">
        <f>IF(DD$3&lt;=$B67,INDEX(Input!$I$43:$I$2956,DD$3+$A66),"")</f>
        <v/>
      </c>
      <c r="DE67" s="17" t="str">
        <f>IF(DE$3&lt;=$B67,INDEX(Input!$I$43:$I$2956,DE$3+$A66),"")</f>
        <v/>
      </c>
      <c r="DF67" s="17" t="str">
        <f>IF(DF$3&lt;=$B67,INDEX(Input!$I$43:$I$2956,DF$3+$A66),"")</f>
        <v/>
      </c>
      <c r="DG67" s="17" t="str">
        <f>IF(DG$3&lt;=$B67,INDEX(Input!$I$43:$I$2956,DG$3+$A66),"")</f>
        <v/>
      </c>
      <c r="DH67" s="17" t="str">
        <f>IF(DH$3&lt;=$B67,INDEX(Input!$I$43:$I$2956,DH$3+$A66),"")</f>
        <v/>
      </c>
      <c r="DI67" s="17" t="str">
        <f>IF(DI$3&lt;=$B67,INDEX(Input!$I$43:$I$2956,DI$3+$A66),"")</f>
        <v/>
      </c>
      <c r="DJ67" s="17" t="str">
        <f>IF(DJ$3&lt;=$B67,INDEX(Input!$I$43:$I$2956,DJ$3+$A66),"")</f>
        <v/>
      </c>
      <c r="DK67" s="17" t="str">
        <f>IF(DK$3&lt;=$B67,INDEX(Input!$I$43:$I$2956,DK$3+$A66),"")</f>
        <v/>
      </c>
      <c r="DL67" s="17" t="str">
        <f>IF(DL$3&lt;=$B67,INDEX(Input!$I$43:$I$2956,DL$3+$A66),"")</f>
        <v/>
      </c>
      <c r="DM67" s="17" t="str">
        <f>IF(DM$3&lt;=$B67,INDEX(Input!$I$43:$I$2956,DM$3+$A66),"")</f>
        <v/>
      </c>
      <c r="DN67" s="17" t="str">
        <f>IF(DN$3&lt;=$B67,INDEX(Input!$I$43:$I$2956,DN$3+$A66),"")</f>
        <v/>
      </c>
      <c r="DO67" s="17" t="str">
        <f>IF(DO$3&lt;=$B67,INDEX(Input!$I$43:$I$2956,DO$3+$A66),"")</f>
        <v/>
      </c>
      <c r="DP67" s="17" t="str">
        <f>IF(DP$3&lt;=$B67,INDEX(Input!$I$43:$I$2956,DP$3+$A66),"")</f>
        <v/>
      </c>
      <c r="DQ67" s="17" t="str">
        <f>IF(DQ$3&lt;=$B67,INDEX(Input!$I$43:$I$2956,DQ$3+$A66),"")</f>
        <v/>
      </c>
      <c r="DR67" s="17" t="str">
        <f>IF(DR$3&lt;=$B67,INDEX(Input!$I$43:$I$2956,DR$3+$A66),"")</f>
        <v/>
      </c>
      <c r="DS67" s="17" t="str">
        <f>IF(DS$3&lt;=$B67,INDEX(Input!$I$43:$I$2956,DS$3+$A66),"")</f>
        <v/>
      </c>
      <c r="DT67" s="17" t="str">
        <f>IF(DT$3&lt;=$B67,INDEX(Input!$I$43:$I$2956,DT$3+$A66),"")</f>
        <v/>
      </c>
      <c r="DU67" s="17" t="str">
        <f>IF(DU$3&lt;=$B67,INDEX(Input!$I$43:$I$2956,DU$3+$A66),"")</f>
        <v/>
      </c>
      <c r="DV67" s="17" t="str">
        <f>IF(DV$3&lt;=$B67,INDEX(Input!$I$43:$I$2956,DV$3+$A66),"")</f>
        <v/>
      </c>
      <c r="DW67" s="58" t="str">
        <f t="array" ref="DW67:EZ67">IFERROR(eccalc(E67:DV67,C67+B67,B67,$O$2:$AS$2),"")</f>
        <v/>
      </c>
      <c r="DX67" s="59" t="str">
        <v/>
      </c>
      <c r="DY67" s="59" t="str">
        <v/>
      </c>
      <c r="DZ67" s="59" t="str">
        <v/>
      </c>
      <c r="EA67" s="59" t="str">
        <v/>
      </c>
      <c r="EB67" s="59" t="str">
        <v/>
      </c>
      <c r="EC67" s="59" t="str">
        <v/>
      </c>
      <c r="ED67" s="59" t="str">
        <v/>
      </c>
      <c r="EE67" s="59" t="str">
        <v/>
      </c>
      <c r="EF67" s="59" t="str">
        <v/>
      </c>
      <c r="EG67" s="59" t="str">
        <v/>
      </c>
      <c r="EH67" s="59" t="str">
        <v/>
      </c>
      <c r="EI67" s="59" t="str">
        <v/>
      </c>
      <c r="EJ67" s="59" t="str">
        <v/>
      </c>
      <c r="EK67" s="59" t="str">
        <v/>
      </c>
      <c r="EL67" s="59" t="str">
        <v/>
      </c>
      <c r="EM67" s="59" t="str">
        <v/>
      </c>
      <c r="EN67" s="59" t="str">
        <v/>
      </c>
      <c r="EO67" s="59" t="str">
        <v/>
      </c>
      <c r="EP67" s="59" t="str">
        <v/>
      </c>
      <c r="EQ67" s="59" t="str">
        <v/>
      </c>
      <c r="ER67" s="59" t="str">
        <v/>
      </c>
      <c r="ES67" s="59" t="str">
        <v/>
      </c>
      <c r="ET67" s="59" t="str">
        <v/>
      </c>
      <c r="EU67" s="59" t="str">
        <v/>
      </c>
      <c r="EV67" s="59" t="str">
        <v/>
      </c>
      <c r="EW67" s="59" t="str">
        <v/>
      </c>
      <c r="EX67" s="59" t="str">
        <v/>
      </c>
      <c r="EY67" s="59" t="str">
        <v/>
      </c>
      <c r="EZ67" s="60" t="str">
        <v/>
      </c>
      <c r="FA67" s="17"/>
      <c r="FC67">
        <v>64</v>
      </c>
      <c r="FD67">
        <f t="shared" si="2"/>
        <v>16</v>
      </c>
      <c r="FE67">
        <f t="shared" si="3"/>
        <v>4</v>
      </c>
      <c r="FF67" t="str">
        <f t="shared" si="4"/>
        <v/>
      </c>
      <c r="FI67" s="16">
        <v>64</v>
      </c>
      <c r="FJ67" s="17">
        <f t="shared" si="5"/>
        <v>0</v>
      </c>
      <c r="FK67" s="17" t="str">
        <f t="shared" si="6"/>
        <v/>
      </c>
      <c r="FL67" s="18" t="str">
        <f t="shared" si="7"/>
        <v/>
      </c>
      <c r="FM67" s="2"/>
    </row>
    <row r="68" spans="1:169">
      <c r="A68">
        <f>SUM($B$4:B68)</f>
        <v>196</v>
      </c>
      <c r="B68">
        <f t="shared" si="0"/>
        <v>0</v>
      </c>
      <c r="C68" t="str">
        <f t="shared" si="1"/>
        <v/>
      </c>
      <c r="D68">
        <v>65</v>
      </c>
      <c r="E68" s="16" t="str">
        <f>IF(E$3&lt;=$B68,INDEX(Input!$I$43:$I$2956,E$3+$A67),"")</f>
        <v/>
      </c>
      <c r="F68" s="17" t="str">
        <f>IF(F$3&lt;=$B68,INDEX(Input!$I$43:$I$2956,F$3+$A67),"")</f>
        <v/>
      </c>
      <c r="G68" s="17" t="str">
        <f>IF(G$3&lt;=$B68,INDEX(Input!$I$43:$I$2956,G$3+$A67),"")</f>
        <v/>
      </c>
      <c r="H68" s="17" t="str">
        <f>IF(H$3&lt;=$B68,INDEX(Input!$I$43:$I$2956,H$3+$A67),"")</f>
        <v/>
      </c>
      <c r="I68" s="17" t="str">
        <f>IF(I$3&lt;=$B68,INDEX(Input!$I$43:$I$2956,I$3+$A67),"")</f>
        <v/>
      </c>
      <c r="J68" s="17" t="str">
        <f>IF(J$3&lt;=$B68,INDEX(Input!$I$43:$I$2956,J$3+$A67),"")</f>
        <v/>
      </c>
      <c r="K68" s="17" t="str">
        <f>IF(K$3&lt;=$B68,INDEX(Input!$I$43:$I$2956,K$3+$A67),"")</f>
        <v/>
      </c>
      <c r="L68" s="17" t="str">
        <f>IF(L$3&lt;=$B68,INDEX(Input!$I$43:$I$2956,L$3+$A67),"")</f>
        <v/>
      </c>
      <c r="M68" s="17" t="str">
        <f>IF(M$3&lt;=$B68,INDEX(Input!$I$43:$I$2956,M$3+$A67),"")</f>
        <v/>
      </c>
      <c r="N68" s="17" t="str">
        <f>IF(N$3&lt;=$B68,INDEX(Input!$I$43:$I$2956,N$3+$A67),"")</f>
        <v/>
      </c>
      <c r="O68" s="17" t="str">
        <f>IF(O$3&lt;=$B68,INDEX(Input!$I$43:$I$2956,O$3+$A67),"")</f>
        <v/>
      </c>
      <c r="P68" s="17" t="str">
        <f>IF(P$3&lt;=$B68,INDEX(Input!$I$43:$I$2956,P$3+$A67),"")</f>
        <v/>
      </c>
      <c r="Q68" s="17" t="str">
        <f>IF(Q$3&lt;=$B68,INDEX(Input!$I$43:$I$2956,Q$3+$A67),"")</f>
        <v/>
      </c>
      <c r="R68" s="17" t="str">
        <f>IF(R$3&lt;=$B68,INDEX(Input!$I$43:$I$2956,R$3+$A67),"")</f>
        <v/>
      </c>
      <c r="S68" s="17" t="str">
        <f>IF(S$3&lt;=$B68,INDEX(Input!$I$43:$I$2956,S$3+$A67),"")</f>
        <v/>
      </c>
      <c r="T68" s="17" t="str">
        <f>IF(T$3&lt;=$B68,INDEX(Input!$I$43:$I$2956,T$3+$A67),"")</f>
        <v/>
      </c>
      <c r="U68" s="17" t="str">
        <f>IF(U$3&lt;=$B68,INDEX(Input!$I$43:$I$2956,U$3+$A67),"")</f>
        <v/>
      </c>
      <c r="V68" s="17" t="str">
        <f>IF(V$3&lt;=$B68,INDEX(Input!$I$43:$I$2956,V$3+$A67),"")</f>
        <v/>
      </c>
      <c r="W68" s="17" t="str">
        <f>IF(W$3&lt;=$B68,INDEX(Input!$I$43:$I$2956,W$3+$A67),"")</f>
        <v/>
      </c>
      <c r="X68" s="17" t="str">
        <f>IF(X$3&lt;=$B68,INDEX(Input!$I$43:$I$2956,X$3+$A67),"")</f>
        <v/>
      </c>
      <c r="Y68" s="17" t="str">
        <f>IF(Y$3&lt;=$B68,INDEX(Input!$I$43:$I$2956,Y$3+$A67),"")</f>
        <v/>
      </c>
      <c r="Z68" s="17" t="str">
        <f>IF(Z$3&lt;=$B68,INDEX(Input!$I$43:$I$2956,Z$3+$A67),"")</f>
        <v/>
      </c>
      <c r="AA68" s="17" t="str">
        <f>IF(AA$3&lt;=$B68,INDEX(Input!$I$43:$I$2956,AA$3+$A67),"")</f>
        <v/>
      </c>
      <c r="AB68" s="17" t="str">
        <f>IF(AB$3&lt;=$B68,INDEX(Input!$I$43:$I$2956,AB$3+$A67),"")</f>
        <v/>
      </c>
      <c r="AC68" s="17" t="str">
        <f>IF(AC$3&lt;=$B68,INDEX(Input!$I$43:$I$2956,AC$3+$A67),"")</f>
        <v/>
      </c>
      <c r="AD68" s="17" t="str">
        <f>IF(AD$3&lt;=$B68,INDEX(Input!$I$43:$I$2956,AD$3+$A67),"")</f>
        <v/>
      </c>
      <c r="AE68" s="17" t="str">
        <f>IF(AE$3&lt;=$B68,INDEX(Input!$I$43:$I$2956,AE$3+$A67),"")</f>
        <v/>
      </c>
      <c r="AF68" s="17" t="str">
        <f>IF(AF$3&lt;=$B68,INDEX(Input!$I$43:$I$2956,AF$3+$A67),"")</f>
        <v/>
      </c>
      <c r="AG68" s="17" t="str">
        <f>IF(AG$3&lt;=$B68,INDEX(Input!$I$43:$I$2956,AG$3+$A67),"")</f>
        <v/>
      </c>
      <c r="AH68" s="17" t="str">
        <f>IF(AH$3&lt;=$B68,INDEX(Input!$I$43:$I$2956,AH$3+$A67),"")</f>
        <v/>
      </c>
      <c r="AI68" s="17" t="str">
        <f>IF(AI$3&lt;=$B68,INDEX(Input!$I$43:$I$2956,AI$3+$A67),"")</f>
        <v/>
      </c>
      <c r="AJ68" s="17" t="str">
        <f>IF(AJ$3&lt;=$B68,INDEX(Input!$I$43:$I$2956,AJ$3+$A67),"")</f>
        <v/>
      </c>
      <c r="AK68" s="17" t="str">
        <f>IF(AK$3&lt;=$B68,INDEX(Input!$I$43:$I$2956,AK$3+$A67),"")</f>
        <v/>
      </c>
      <c r="AL68" s="17" t="str">
        <f>IF(AL$3&lt;=$B68,INDEX(Input!$I$43:$I$2956,AL$3+$A67),"")</f>
        <v/>
      </c>
      <c r="AM68" s="17" t="str">
        <f>IF(AM$3&lt;=$B68,INDEX(Input!$I$43:$I$2956,AM$3+$A67),"")</f>
        <v/>
      </c>
      <c r="AN68" s="17" t="str">
        <f>IF(AN$3&lt;=$B68,INDEX(Input!$I$43:$I$2956,AN$3+$A67),"")</f>
        <v/>
      </c>
      <c r="AO68" s="17" t="str">
        <f>IF(AO$3&lt;=$B68,INDEX(Input!$I$43:$I$2956,AO$3+$A67),"")</f>
        <v/>
      </c>
      <c r="AP68" s="17" t="str">
        <f>IF(AP$3&lt;=$B68,INDEX(Input!$I$43:$I$2956,AP$3+$A67),"")</f>
        <v/>
      </c>
      <c r="AQ68" s="17" t="str">
        <f>IF(AQ$3&lt;=$B68,INDEX(Input!$I$43:$I$2956,AQ$3+$A67),"")</f>
        <v/>
      </c>
      <c r="AR68" s="17" t="str">
        <f>IF(AR$3&lt;=$B68,INDEX(Input!$I$43:$I$2956,AR$3+$A67),"")</f>
        <v/>
      </c>
      <c r="AS68" s="17" t="str">
        <f>IF(AS$3&lt;=$B68,INDEX(Input!$I$43:$I$2956,AS$3+$A67),"")</f>
        <v/>
      </c>
      <c r="AT68" s="17" t="str">
        <f>IF(AT$3&lt;=$B68,INDEX(Input!$I$43:$I$2956,AT$3+$A67),"")</f>
        <v/>
      </c>
      <c r="AU68" s="17" t="str">
        <f>IF(AU$3&lt;=$B68,INDEX(Input!$I$43:$I$2956,AU$3+$A67),"")</f>
        <v/>
      </c>
      <c r="AV68" s="17" t="str">
        <f>IF(AV$3&lt;=$B68,INDEX(Input!$I$43:$I$2956,AV$3+$A67),"")</f>
        <v/>
      </c>
      <c r="AW68" s="17" t="str">
        <f>IF(AW$3&lt;=$B68,INDEX(Input!$I$43:$I$2956,AW$3+$A67),"")</f>
        <v/>
      </c>
      <c r="AX68" s="17" t="str">
        <f>IF(AX$3&lt;=$B68,INDEX(Input!$I$43:$I$2956,AX$3+$A67),"")</f>
        <v/>
      </c>
      <c r="AY68" s="17" t="str">
        <f>IF(AY$3&lt;=$B68,INDEX(Input!$I$43:$I$2956,AY$3+$A67),"")</f>
        <v/>
      </c>
      <c r="AZ68" s="17" t="str">
        <f>IF(AZ$3&lt;=$B68,INDEX(Input!$I$43:$I$2956,AZ$3+$A67),"")</f>
        <v/>
      </c>
      <c r="BA68" s="17" t="str">
        <f>IF(BA$3&lt;=$B68,INDEX(Input!$I$43:$I$2956,BA$3+$A67),"")</f>
        <v/>
      </c>
      <c r="BB68" s="17" t="str">
        <f>IF(BB$3&lt;=$B68,INDEX(Input!$I$43:$I$2956,BB$3+$A67),"")</f>
        <v/>
      </c>
      <c r="BC68" s="17" t="str">
        <f>IF(BC$3&lt;=$B68,INDEX(Input!$I$43:$I$2956,BC$3+$A67),"")</f>
        <v/>
      </c>
      <c r="BD68" s="17" t="str">
        <f>IF(BD$3&lt;=$B68,INDEX(Input!$I$43:$I$2956,BD$3+$A67),"")</f>
        <v/>
      </c>
      <c r="BE68" s="17" t="str">
        <f>IF(BE$3&lt;=$B68,INDEX(Input!$I$43:$I$2956,BE$3+$A67),"")</f>
        <v/>
      </c>
      <c r="BF68" s="17" t="str">
        <f>IF(BF$3&lt;=$B68,INDEX(Input!$I$43:$I$2956,BF$3+$A67),"")</f>
        <v/>
      </c>
      <c r="BG68" s="17" t="str">
        <f>IF(BG$3&lt;=$B68,INDEX(Input!$I$43:$I$2956,BG$3+$A67),"")</f>
        <v/>
      </c>
      <c r="BH68" s="17" t="str">
        <f>IF(BH$3&lt;=$B68,INDEX(Input!$I$43:$I$2956,BH$3+$A67),"")</f>
        <v/>
      </c>
      <c r="BI68" s="17" t="str">
        <f>IF(BI$3&lt;=$B68,INDEX(Input!$I$43:$I$2956,BI$3+$A67),"")</f>
        <v/>
      </c>
      <c r="BJ68" s="17" t="str">
        <f>IF(BJ$3&lt;=$B68,INDEX(Input!$I$43:$I$2956,BJ$3+$A67),"")</f>
        <v/>
      </c>
      <c r="BK68" s="17" t="str">
        <f>IF(BK$3&lt;=$B68,INDEX(Input!$I$43:$I$2956,BK$3+$A67),"")</f>
        <v/>
      </c>
      <c r="BL68" s="17" t="str">
        <f>IF(BL$3&lt;=$B68,INDEX(Input!$I$43:$I$2956,BL$3+$A67),"")</f>
        <v/>
      </c>
      <c r="BM68" s="17" t="str">
        <f>IF(BM$3&lt;=$B68,INDEX(Input!$I$43:$I$2956,BM$3+$A67),"")</f>
        <v/>
      </c>
      <c r="BN68" s="17" t="str">
        <f>IF(BN$3&lt;=$B68,INDEX(Input!$I$43:$I$2956,BN$3+$A67),"")</f>
        <v/>
      </c>
      <c r="BO68" s="17" t="str">
        <f>IF(BO$3&lt;=$B68,INDEX(Input!$I$43:$I$2956,BO$3+$A67),"")</f>
        <v/>
      </c>
      <c r="BP68" s="17" t="str">
        <f>IF(BP$3&lt;=$B68,INDEX(Input!$I$43:$I$2956,BP$3+$A67),"")</f>
        <v/>
      </c>
      <c r="BQ68" s="17" t="str">
        <f>IF(BQ$3&lt;=$B68,INDEX(Input!$I$43:$I$2956,BQ$3+$A67),"")</f>
        <v/>
      </c>
      <c r="BR68" s="17" t="str">
        <f>IF(BR$3&lt;=$B68,INDEX(Input!$I$43:$I$2956,BR$3+$A67),"")</f>
        <v/>
      </c>
      <c r="BS68" s="17" t="str">
        <f>IF(BS$3&lt;=$B68,INDEX(Input!$I$43:$I$2956,BS$3+$A67),"")</f>
        <v/>
      </c>
      <c r="BT68" s="17" t="str">
        <f>IF(BT$3&lt;=$B68,INDEX(Input!$I$43:$I$2956,BT$3+$A67),"")</f>
        <v/>
      </c>
      <c r="BU68" s="17" t="str">
        <f>IF(BU$3&lt;=$B68,INDEX(Input!$I$43:$I$2956,BU$3+$A67),"")</f>
        <v/>
      </c>
      <c r="BV68" s="17" t="str">
        <f>IF(BV$3&lt;=$B68,INDEX(Input!$I$43:$I$2956,BV$3+$A67),"")</f>
        <v/>
      </c>
      <c r="BW68" s="17" t="str">
        <f>IF(BW$3&lt;=$B68,INDEX(Input!$I$43:$I$2956,BW$3+$A67),"")</f>
        <v/>
      </c>
      <c r="BX68" s="17" t="str">
        <f>IF(BX$3&lt;=$B68,INDEX(Input!$I$43:$I$2956,BX$3+$A67),"")</f>
        <v/>
      </c>
      <c r="BY68" s="17" t="str">
        <f>IF(BY$3&lt;=$B68,INDEX(Input!$I$43:$I$2956,BY$3+$A67),"")</f>
        <v/>
      </c>
      <c r="BZ68" s="17" t="str">
        <f>IF(BZ$3&lt;=$B68,INDEX(Input!$I$43:$I$2956,BZ$3+$A67),"")</f>
        <v/>
      </c>
      <c r="CA68" s="17" t="str">
        <f>IF(CA$3&lt;=$B68,INDEX(Input!$I$43:$I$2956,CA$3+$A67),"")</f>
        <v/>
      </c>
      <c r="CB68" s="17" t="str">
        <f>IF(CB$3&lt;=$B68,INDEX(Input!$I$43:$I$2956,CB$3+$A67),"")</f>
        <v/>
      </c>
      <c r="CC68" s="17" t="str">
        <f>IF(CC$3&lt;=$B68,INDEX(Input!$I$43:$I$2956,CC$3+$A67),"")</f>
        <v/>
      </c>
      <c r="CD68" s="17" t="str">
        <f>IF(CD$3&lt;=$B68,INDEX(Input!$I$43:$I$2956,CD$3+$A67),"")</f>
        <v/>
      </c>
      <c r="CE68" s="17" t="str">
        <f>IF(CE$3&lt;=$B68,INDEX(Input!$I$43:$I$2956,CE$3+$A67),"")</f>
        <v/>
      </c>
      <c r="CF68" s="17" t="str">
        <f>IF(CF$3&lt;=$B68,INDEX(Input!$I$43:$I$2956,CF$3+$A67),"")</f>
        <v/>
      </c>
      <c r="CG68" s="17" t="str">
        <f>IF(CG$3&lt;=$B68,INDEX(Input!$I$43:$I$2956,CG$3+$A67),"")</f>
        <v/>
      </c>
      <c r="CH68" s="17" t="str">
        <f>IF(CH$3&lt;=$B68,INDEX(Input!$I$43:$I$2956,CH$3+$A67),"")</f>
        <v/>
      </c>
      <c r="CI68" s="17" t="str">
        <f>IF(CI$3&lt;=$B68,INDEX(Input!$I$43:$I$2956,CI$3+$A67),"")</f>
        <v/>
      </c>
      <c r="CJ68" s="17" t="str">
        <f>IF(CJ$3&lt;=$B68,INDEX(Input!$I$43:$I$2956,CJ$3+$A67),"")</f>
        <v/>
      </c>
      <c r="CK68" s="17" t="str">
        <f>IF(CK$3&lt;=$B68,INDEX(Input!$I$43:$I$2956,CK$3+$A67),"")</f>
        <v/>
      </c>
      <c r="CL68" s="17" t="str">
        <f>IF(CL$3&lt;=$B68,INDEX(Input!$I$43:$I$2956,CL$3+$A67),"")</f>
        <v/>
      </c>
      <c r="CM68" s="17" t="str">
        <f>IF(CM$3&lt;=$B68,INDEX(Input!$I$43:$I$2956,CM$3+$A67),"")</f>
        <v/>
      </c>
      <c r="CN68" s="17" t="str">
        <f>IF(CN$3&lt;=$B68,INDEX(Input!$I$43:$I$2956,CN$3+$A67),"")</f>
        <v/>
      </c>
      <c r="CO68" s="17" t="str">
        <f>IF(CO$3&lt;=$B68,INDEX(Input!$I$43:$I$2956,CO$3+$A67),"")</f>
        <v/>
      </c>
      <c r="CP68" s="17" t="str">
        <f>IF(CP$3&lt;=$B68,INDEX(Input!$I$43:$I$2956,CP$3+$A67),"")</f>
        <v/>
      </c>
      <c r="CQ68" s="17" t="str">
        <f>IF(CQ$3&lt;=$B68,INDEX(Input!$I$43:$I$2956,CQ$3+$A67),"")</f>
        <v/>
      </c>
      <c r="CR68" s="17" t="str">
        <f>IF(CR$3&lt;=$B68,INDEX(Input!$I$43:$I$2956,CR$3+$A67),"")</f>
        <v/>
      </c>
      <c r="CS68" s="17" t="str">
        <f>IF(CS$3&lt;=$B68,INDEX(Input!$I$43:$I$2956,CS$3+$A67),"")</f>
        <v/>
      </c>
      <c r="CT68" s="17" t="str">
        <f>IF(CT$3&lt;=$B68,INDEX(Input!$I$43:$I$2956,CT$3+$A67),"")</f>
        <v/>
      </c>
      <c r="CU68" s="17" t="str">
        <f>IF(CU$3&lt;=$B68,INDEX(Input!$I$43:$I$2956,CU$3+$A67),"")</f>
        <v/>
      </c>
      <c r="CV68" s="17" t="str">
        <f>IF(CV$3&lt;=$B68,INDEX(Input!$I$43:$I$2956,CV$3+$A67),"")</f>
        <v/>
      </c>
      <c r="CW68" s="17" t="str">
        <f>IF(CW$3&lt;=$B68,INDEX(Input!$I$43:$I$2956,CW$3+$A67),"")</f>
        <v/>
      </c>
      <c r="CX68" s="17" t="str">
        <f>IF(CX$3&lt;=$B68,INDEX(Input!$I$43:$I$2956,CX$3+$A67),"")</f>
        <v/>
      </c>
      <c r="CY68" s="17" t="str">
        <f>IF(CY$3&lt;=$B68,INDEX(Input!$I$43:$I$2956,CY$3+$A67),"")</f>
        <v/>
      </c>
      <c r="CZ68" s="17" t="str">
        <f>IF(CZ$3&lt;=$B68,INDEX(Input!$I$43:$I$2956,CZ$3+$A67),"")</f>
        <v/>
      </c>
      <c r="DA68" s="17" t="str">
        <f>IF(DA$3&lt;=$B68,INDEX(Input!$I$43:$I$2956,DA$3+$A67),"")</f>
        <v/>
      </c>
      <c r="DB68" s="17" t="str">
        <f>IF(DB$3&lt;=$B68,INDEX(Input!$I$43:$I$2956,DB$3+$A67),"")</f>
        <v/>
      </c>
      <c r="DC68" s="17" t="str">
        <f>IF(DC$3&lt;=$B68,INDEX(Input!$I$43:$I$2956,DC$3+$A67),"")</f>
        <v/>
      </c>
      <c r="DD68" s="17" t="str">
        <f>IF(DD$3&lt;=$B68,INDEX(Input!$I$43:$I$2956,DD$3+$A67),"")</f>
        <v/>
      </c>
      <c r="DE68" s="17" t="str">
        <f>IF(DE$3&lt;=$B68,INDEX(Input!$I$43:$I$2956,DE$3+$A67),"")</f>
        <v/>
      </c>
      <c r="DF68" s="17" t="str">
        <f>IF(DF$3&lt;=$B68,INDEX(Input!$I$43:$I$2956,DF$3+$A67),"")</f>
        <v/>
      </c>
      <c r="DG68" s="17" t="str">
        <f>IF(DG$3&lt;=$B68,INDEX(Input!$I$43:$I$2956,DG$3+$A67),"")</f>
        <v/>
      </c>
      <c r="DH68" s="17" t="str">
        <f>IF(DH$3&lt;=$B68,INDEX(Input!$I$43:$I$2956,DH$3+$A67),"")</f>
        <v/>
      </c>
      <c r="DI68" s="17" t="str">
        <f>IF(DI$3&lt;=$B68,INDEX(Input!$I$43:$I$2956,DI$3+$A67),"")</f>
        <v/>
      </c>
      <c r="DJ68" s="17" t="str">
        <f>IF(DJ$3&lt;=$B68,INDEX(Input!$I$43:$I$2956,DJ$3+$A67),"")</f>
        <v/>
      </c>
      <c r="DK68" s="17" t="str">
        <f>IF(DK$3&lt;=$B68,INDEX(Input!$I$43:$I$2956,DK$3+$A67),"")</f>
        <v/>
      </c>
      <c r="DL68" s="17" t="str">
        <f>IF(DL$3&lt;=$B68,INDEX(Input!$I$43:$I$2956,DL$3+$A67),"")</f>
        <v/>
      </c>
      <c r="DM68" s="17" t="str">
        <f>IF(DM$3&lt;=$B68,INDEX(Input!$I$43:$I$2956,DM$3+$A67),"")</f>
        <v/>
      </c>
      <c r="DN68" s="17" t="str">
        <f>IF(DN$3&lt;=$B68,INDEX(Input!$I$43:$I$2956,DN$3+$A67),"")</f>
        <v/>
      </c>
      <c r="DO68" s="17" t="str">
        <f>IF(DO$3&lt;=$B68,INDEX(Input!$I$43:$I$2956,DO$3+$A67),"")</f>
        <v/>
      </c>
      <c r="DP68" s="17" t="str">
        <f>IF(DP$3&lt;=$B68,INDEX(Input!$I$43:$I$2956,DP$3+$A67),"")</f>
        <v/>
      </c>
      <c r="DQ68" s="17" t="str">
        <f>IF(DQ$3&lt;=$B68,INDEX(Input!$I$43:$I$2956,DQ$3+$A67),"")</f>
        <v/>
      </c>
      <c r="DR68" s="17" t="str">
        <f>IF(DR$3&lt;=$B68,INDEX(Input!$I$43:$I$2956,DR$3+$A67),"")</f>
        <v/>
      </c>
      <c r="DS68" s="17" t="str">
        <f>IF(DS$3&lt;=$B68,INDEX(Input!$I$43:$I$2956,DS$3+$A67),"")</f>
        <v/>
      </c>
      <c r="DT68" s="17" t="str">
        <f>IF(DT$3&lt;=$B68,INDEX(Input!$I$43:$I$2956,DT$3+$A67),"")</f>
        <v/>
      </c>
      <c r="DU68" s="17" t="str">
        <f>IF(DU$3&lt;=$B68,INDEX(Input!$I$43:$I$2956,DU$3+$A67),"")</f>
        <v/>
      </c>
      <c r="DV68" s="17" t="str">
        <f>IF(DV$3&lt;=$B68,INDEX(Input!$I$43:$I$2956,DV$3+$A67),"")</f>
        <v/>
      </c>
      <c r="DW68" s="58" t="str">
        <f t="array" ref="DW68:EZ68">IFERROR(eccalc(E68:DV68,C68+B68,B68,$O$2:$AS$2),"")</f>
        <v/>
      </c>
      <c r="DX68" s="59" t="str">
        <v/>
      </c>
      <c r="DY68" s="59" t="str">
        <v/>
      </c>
      <c r="DZ68" s="59" t="str">
        <v/>
      </c>
      <c r="EA68" s="59" t="str">
        <v/>
      </c>
      <c r="EB68" s="59" t="str">
        <v/>
      </c>
      <c r="EC68" s="59" t="str">
        <v/>
      </c>
      <c r="ED68" s="59" t="str">
        <v/>
      </c>
      <c r="EE68" s="59" t="str">
        <v/>
      </c>
      <c r="EF68" s="59" t="str">
        <v/>
      </c>
      <c r="EG68" s="59" t="str">
        <v/>
      </c>
      <c r="EH68" s="59" t="str">
        <v/>
      </c>
      <c r="EI68" s="59" t="str">
        <v/>
      </c>
      <c r="EJ68" s="59" t="str">
        <v/>
      </c>
      <c r="EK68" s="59" t="str">
        <v/>
      </c>
      <c r="EL68" s="59" t="str">
        <v/>
      </c>
      <c r="EM68" s="59" t="str">
        <v/>
      </c>
      <c r="EN68" s="59" t="str">
        <v/>
      </c>
      <c r="EO68" s="59" t="str">
        <v/>
      </c>
      <c r="EP68" s="59" t="str">
        <v/>
      </c>
      <c r="EQ68" s="59" t="str">
        <v/>
      </c>
      <c r="ER68" s="59" t="str">
        <v/>
      </c>
      <c r="ES68" s="59" t="str">
        <v/>
      </c>
      <c r="ET68" s="59" t="str">
        <v/>
      </c>
      <c r="EU68" s="59" t="str">
        <v/>
      </c>
      <c r="EV68" s="59" t="str">
        <v/>
      </c>
      <c r="EW68" s="59" t="str">
        <v/>
      </c>
      <c r="EX68" s="59" t="str">
        <v/>
      </c>
      <c r="EY68" s="59" t="str">
        <v/>
      </c>
      <c r="EZ68" s="60" t="str">
        <v/>
      </c>
      <c r="FA68" s="17"/>
      <c r="FC68">
        <v>65</v>
      </c>
      <c r="FD68">
        <f t="shared" si="2"/>
        <v>1</v>
      </c>
      <c r="FE68">
        <f t="shared" si="3"/>
        <v>5</v>
      </c>
      <c r="FF68">
        <f t="shared" si="4"/>
        <v>211</v>
      </c>
      <c r="FI68" s="16">
        <v>65</v>
      </c>
      <c r="FJ68" s="17">
        <f t="shared" si="5"/>
        <v>150</v>
      </c>
      <c r="FK68" s="17">
        <f t="shared" si="6"/>
        <v>211</v>
      </c>
      <c r="FL68" s="18" t="str">
        <f t="shared" si="7"/>
        <v>11010011</v>
      </c>
      <c r="FM68" s="2"/>
    </row>
    <row r="69" spans="1:169">
      <c r="A69">
        <f>SUM($B$4:B69)</f>
        <v>196</v>
      </c>
      <c r="B69">
        <f t="shared" ref="B69:B84" si="8">INDEX($F$90:$CH$249,$N$1,D69)</f>
        <v>0</v>
      </c>
      <c r="C69" t="str">
        <f t="shared" ref="C69:C84" si="9">IF(B69&lt;&gt;0,INDEX($E$90:$E$249,$N$1),"")</f>
        <v/>
      </c>
      <c r="D69">
        <v>66</v>
      </c>
      <c r="E69" s="16" t="str">
        <f>IF(E$3&lt;=$B69,INDEX(Input!$I$43:$I$2956,E$3+$A68),"")</f>
        <v/>
      </c>
      <c r="F69" s="17" t="str">
        <f>IF(F$3&lt;=$B69,INDEX(Input!$I$43:$I$2956,F$3+$A68),"")</f>
        <v/>
      </c>
      <c r="G69" s="17" t="str">
        <f>IF(G$3&lt;=$B69,INDEX(Input!$I$43:$I$2956,G$3+$A68),"")</f>
        <v/>
      </c>
      <c r="H69" s="17" t="str">
        <f>IF(H$3&lt;=$B69,INDEX(Input!$I$43:$I$2956,H$3+$A68),"")</f>
        <v/>
      </c>
      <c r="I69" s="17" t="str">
        <f>IF(I$3&lt;=$B69,INDEX(Input!$I$43:$I$2956,I$3+$A68),"")</f>
        <v/>
      </c>
      <c r="J69" s="17" t="str">
        <f>IF(J$3&lt;=$B69,INDEX(Input!$I$43:$I$2956,J$3+$A68),"")</f>
        <v/>
      </c>
      <c r="K69" s="17" t="str">
        <f>IF(K$3&lt;=$B69,INDEX(Input!$I$43:$I$2956,K$3+$A68),"")</f>
        <v/>
      </c>
      <c r="L69" s="17" t="str">
        <f>IF(L$3&lt;=$B69,INDEX(Input!$I$43:$I$2956,L$3+$A68),"")</f>
        <v/>
      </c>
      <c r="M69" s="17" t="str">
        <f>IF(M$3&lt;=$B69,INDEX(Input!$I$43:$I$2956,M$3+$A68),"")</f>
        <v/>
      </c>
      <c r="N69" s="17" t="str">
        <f>IF(N$3&lt;=$B69,INDEX(Input!$I$43:$I$2956,N$3+$A68),"")</f>
        <v/>
      </c>
      <c r="O69" s="17" t="str">
        <f>IF(O$3&lt;=$B69,INDEX(Input!$I$43:$I$2956,O$3+$A68),"")</f>
        <v/>
      </c>
      <c r="P69" s="17" t="str">
        <f>IF(P$3&lt;=$B69,INDEX(Input!$I$43:$I$2956,P$3+$A68),"")</f>
        <v/>
      </c>
      <c r="Q69" s="17" t="str">
        <f>IF(Q$3&lt;=$B69,INDEX(Input!$I$43:$I$2956,Q$3+$A68),"")</f>
        <v/>
      </c>
      <c r="R69" s="17" t="str">
        <f>IF(R$3&lt;=$B69,INDEX(Input!$I$43:$I$2956,R$3+$A68),"")</f>
        <v/>
      </c>
      <c r="S69" s="17" t="str">
        <f>IF(S$3&lt;=$B69,INDEX(Input!$I$43:$I$2956,S$3+$A68),"")</f>
        <v/>
      </c>
      <c r="T69" s="17" t="str">
        <f>IF(T$3&lt;=$B69,INDEX(Input!$I$43:$I$2956,T$3+$A68),"")</f>
        <v/>
      </c>
      <c r="U69" s="17" t="str">
        <f>IF(U$3&lt;=$B69,INDEX(Input!$I$43:$I$2956,U$3+$A68),"")</f>
        <v/>
      </c>
      <c r="V69" s="17" t="str">
        <f>IF(V$3&lt;=$B69,INDEX(Input!$I$43:$I$2956,V$3+$A68),"")</f>
        <v/>
      </c>
      <c r="W69" s="17" t="str">
        <f>IF(W$3&lt;=$B69,INDEX(Input!$I$43:$I$2956,W$3+$A68),"")</f>
        <v/>
      </c>
      <c r="X69" s="17" t="str">
        <f>IF(X$3&lt;=$B69,INDEX(Input!$I$43:$I$2956,X$3+$A68),"")</f>
        <v/>
      </c>
      <c r="Y69" s="17" t="str">
        <f>IF(Y$3&lt;=$B69,INDEX(Input!$I$43:$I$2956,Y$3+$A68),"")</f>
        <v/>
      </c>
      <c r="Z69" s="17" t="str">
        <f>IF(Z$3&lt;=$B69,INDEX(Input!$I$43:$I$2956,Z$3+$A68),"")</f>
        <v/>
      </c>
      <c r="AA69" s="17" t="str">
        <f>IF(AA$3&lt;=$B69,INDEX(Input!$I$43:$I$2956,AA$3+$A68),"")</f>
        <v/>
      </c>
      <c r="AB69" s="17" t="str">
        <f>IF(AB$3&lt;=$B69,INDEX(Input!$I$43:$I$2956,AB$3+$A68),"")</f>
        <v/>
      </c>
      <c r="AC69" s="17" t="str">
        <f>IF(AC$3&lt;=$B69,INDEX(Input!$I$43:$I$2956,AC$3+$A68),"")</f>
        <v/>
      </c>
      <c r="AD69" s="17" t="str">
        <f>IF(AD$3&lt;=$B69,INDEX(Input!$I$43:$I$2956,AD$3+$A68),"")</f>
        <v/>
      </c>
      <c r="AE69" s="17" t="str">
        <f>IF(AE$3&lt;=$B69,INDEX(Input!$I$43:$I$2956,AE$3+$A68),"")</f>
        <v/>
      </c>
      <c r="AF69" s="17" t="str">
        <f>IF(AF$3&lt;=$B69,INDEX(Input!$I$43:$I$2956,AF$3+$A68),"")</f>
        <v/>
      </c>
      <c r="AG69" s="17" t="str">
        <f>IF(AG$3&lt;=$B69,INDEX(Input!$I$43:$I$2956,AG$3+$A68),"")</f>
        <v/>
      </c>
      <c r="AH69" s="17" t="str">
        <f>IF(AH$3&lt;=$B69,INDEX(Input!$I$43:$I$2956,AH$3+$A68),"")</f>
        <v/>
      </c>
      <c r="AI69" s="17" t="str">
        <f>IF(AI$3&lt;=$B69,INDEX(Input!$I$43:$I$2956,AI$3+$A68),"")</f>
        <v/>
      </c>
      <c r="AJ69" s="17" t="str">
        <f>IF(AJ$3&lt;=$B69,INDEX(Input!$I$43:$I$2956,AJ$3+$A68),"")</f>
        <v/>
      </c>
      <c r="AK69" s="17" t="str">
        <f>IF(AK$3&lt;=$B69,INDEX(Input!$I$43:$I$2956,AK$3+$A68),"")</f>
        <v/>
      </c>
      <c r="AL69" s="17" t="str">
        <f>IF(AL$3&lt;=$B69,INDEX(Input!$I$43:$I$2956,AL$3+$A68),"")</f>
        <v/>
      </c>
      <c r="AM69" s="17" t="str">
        <f>IF(AM$3&lt;=$B69,INDEX(Input!$I$43:$I$2956,AM$3+$A68),"")</f>
        <v/>
      </c>
      <c r="AN69" s="17" t="str">
        <f>IF(AN$3&lt;=$B69,INDEX(Input!$I$43:$I$2956,AN$3+$A68),"")</f>
        <v/>
      </c>
      <c r="AO69" s="17" t="str">
        <f>IF(AO$3&lt;=$B69,INDEX(Input!$I$43:$I$2956,AO$3+$A68),"")</f>
        <v/>
      </c>
      <c r="AP69" s="17" t="str">
        <f>IF(AP$3&lt;=$B69,INDEX(Input!$I$43:$I$2956,AP$3+$A68),"")</f>
        <v/>
      </c>
      <c r="AQ69" s="17" t="str">
        <f>IF(AQ$3&lt;=$B69,INDEX(Input!$I$43:$I$2956,AQ$3+$A68),"")</f>
        <v/>
      </c>
      <c r="AR69" s="17" t="str">
        <f>IF(AR$3&lt;=$B69,INDEX(Input!$I$43:$I$2956,AR$3+$A68),"")</f>
        <v/>
      </c>
      <c r="AS69" s="17" t="str">
        <f>IF(AS$3&lt;=$B69,INDEX(Input!$I$43:$I$2956,AS$3+$A68),"")</f>
        <v/>
      </c>
      <c r="AT69" s="17" t="str">
        <f>IF(AT$3&lt;=$B69,INDEX(Input!$I$43:$I$2956,AT$3+$A68),"")</f>
        <v/>
      </c>
      <c r="AU69" s="17" t="str">
        <f>IF(AU$3&lt;=$B69,INDEX(Input!$I$43:$I$2956,AU$3+$A68),"")</f>
        <v/>
      </c>
      <c r="AV69" s="17" t="str">
        <f>IF(AV$3&lt;=$B69,INDEX(Input!$I$43:$I$2956,AV$3+$A68),"")</f>
        <v/>
      </c>
      <c r="AW69" s="17" t="str">
        <f>IF(AW$3&lt;=$B69,INDEX(Input!$I$43:$I$2956,AW$3+$A68),"")</f>
        <v/>
      </c>
      <c r="AX69" s="17" t="str">
        <f>IF(AX$3&lt;=$B69,INDEX(Input!$I$43:$I$2956,AX$3+$A68),"")</f>
        <v/>
      </c>
      <c r="AY69" s="17" t="str">
        <f>IF(AY$3&lt;=$B69,INDEX(Input!$I$43:$I$2956,AY$3+$A68),"")</f>
        <v/>
      </c>
      <c r="AZ69" s="17" t="str">
        <f>IF(AZ$3&lt;=$B69,INDEX(Input!$I$43:$I$2956,AZ$3+$A68),"")</f>
        <v/>
      </c>
      <c r="BA69" s="17" t="str">
        <f>IF(BA$3&lt;=$B69,INDEX(Input!$I$43:$I$2956,BA$3+$A68),"")</f>
        <v/>
      </c>
      <c r="BB69" s="17" t="str">
        <f>IF(BB$3&lt;=$B69,INDEX(Input!$I$43:$I$2956,BB$3+$A68),"")</f>
        <v/>
      </c>
      <c r="BC69" s="17" t="str">
        <f>IF(BC$3&lt;=$B69,INDEX(Input!$I$43:$I$2956,BC$3+$A68),"")</f>
        <v/>
      </c>
      <c r="BD69" s="17" t="str">
        <f>IF(BD$3&lt;=$B69,INDEX(Input!$I$43:$I$2956,BD$3+$A68),"")</f>
        <v/>
      </c>
      <c r="BE69" s="17" t="str">
        <f>IF(BE$3&lt;=$B69,INDEX(Input!$I$43:$I$2956,BE$3+$A68),"")</f>
        <v/>
      </c>
      <c r="BF69" s="17" t="str">
        <f>IF(BF$3&lt;=$B69,INDEX(Input!$I$43:$I$2956,BF$3+$A68),"")</f>
        <v/>
      </c>
      <c r="BG69" s="17" t="str">
        <f>IF(BG$3&lt;=$B69,INDEX(Input!$I$43:$I$2956,BG$3+$A68),"")</f>
        <v/>
      </c>
      <c r="BH69" s="17" t="str">
        <f>IF(BH$3&lt;=$B69,INDEX(Input!$I$43:$I$2956,BH$3+$A68),"")</f>
        <v/>
      </c>
      <c r="BI69" s="17" t="str">
        <f>IF(BI$3&lt;=$B69,INDEX(Input!$I$43:$I$2956,BI$3+$A68),"")</f>
        <v/>
      </c>
      <c r="BJ69" s="17" t="str">
        <f>IF(BJ$3&lt;=$B69,INDEX(Input!$I$43:$I$2956,BJ$3+$A68),"")</f>
        <v/>
      </c>
      <c r="BK69" s="17" t="str">
        <f>IF(BK$3&lt;=$B69,INDEX(Input!$I$43:$I$2956,BK$3+$A68),"")</f>
        <v/>
      </c>
      <c r="BL69" s="17" t="str">
        <f>IF(BL$3&lt;=$B69,INDEX(Input!$I$43:$I$2956,BL$3+$A68),"")</f>
        <v/>
      </c>
      <c r="BM69" s="17" t="str">
        <f>IF(BM$3&lt;=$B69,INDEX(Input!$I$43:$I$2956,BM$3+$A68),"")</f>
        <v/>
      </c>
      <c r="BN69" s="17" t="str">
        <f>IF(BN$3&lt;=$B69,INDEX(Input!$I$43:$I$2956,BN$3+$A68),"")</f>
        <v/>
      </c>
      <c r="BO69" s="17" t="str">
        <f>IF(BO$3&lt;=$B69,INDEX(Input!$I$43:$I$2956,BO$3+$A68),"")</f>
        <v/>
      </c>
      <c r="BP69" s="17" t="str">
        <f>IF(BP$3&lt;=$B69,INDEX(Input!$I$43:$I$2956,BP$3+$A68),"")</f>
        <v/>
      </c>
      <c r="BQ69" s="17" t="str">
        <f>IF(BQ$3&lt;=$B69,INDEX(Input!$I$43:$I$2956,BQ$3+$A68),"")</f>
        <v/>
      </c>
      <c r="BR69" s="17" t="str">
        <f>IF(BR$3&lt;=$B69,INDEX(Input!$I$43:$I$2956,BR$3+$A68),"")</f>
        <v/>
      </c>
      <c r="BS69" s="17" t="str">
        <f>IF(BS$3&lt;=$B69,INDEX(Input!$I$43:$I$2956,BS$3+$A68),"")</f>
        <v/>
      </c>
      <c r="BT69" s="17" t="str">
        <f>IF(BT$3&lt;=$B69,INDEX(Input!$I$43:$I$2956,BT$3+$A68),"")</f>
        <v/>
      </c>
      <c r="BU69" s="17" t="str">
        <f>IF(BU$3&lt;=$B69,INDEX(Input!$I$43:$I$2956,BU$3+$A68),"")</f>
        <v/>
      </c>
      <c r="BV69" s="17" t="str">
        <f>IF(BV$3&lt;=$B69,INDEX(Input!$I$43:$I$2956,BV$3+$A68),"")</f>
        <v/>
      </c>
      <c r="BW69" s="17" t="str">
        <f>IF(BW$3&lt;=$B69,INDEX(Input!$I$43:$I$2956,BW$3+$A68),"")</f>
        <v/>
      </c>
      <c r="BX69" s="17" t="str">
        <f>IF(BX$3&lt;=$B69,INDEX(Input!$I$43:$I$2956,BX$3+$A68),"")</f>
        <v/>
      </c>
      <c r="BY69" s="17" t="str">
        <f>IF(BY$3&lt;=$B69,INDEX(Input!$I$43:$I$2956,BY$3+$A68),"")</f>
        <v/>
      </c>
      <c r="BZ69" s="17" t="str">
        <f>IF(BZ$3&lt;=$B69,INDEX(Input!$I$43:$I$2956,BZ$3+$A68),"")</f>
        <v/>
      </c>
      <c r="CA69" s="17" t="str">
        <f>IF(CA$3&lt;=$B69,INDEX(Input!$I$43:$I$2956,CA$3+$A68),"")</f>
        <v/>
      </c>
      <c r="CB69" s="17" t="str">
        <f>IF(CB$3&lt;=$B69,INDEX(Input!$I$43:$I$2956,CB$3+$A68),"")</f>
        <v/>
      </c>
      <c r="CC69" s="17" t="str">
        <f>IF(CC$3&lt;=$B69,INDEX(Input!$I$43:$I$2956,CC$3+$A68),"")</f>
        <v/>
      </c>
      <c r="CD69" s="17" t="str">
        <f>IF(CD$3&lt;=$B69,INDEX(Input!$I$43:$I$2956,CD$3+$A68),"")</f>
        <v/>
      </c>
      <c r="CE69" s="17" t="str">
        <f>IF(CE$3&lt;=$B69,INDEX(Input!$I$43:$I$2956,CE$3+$A68),"")</f>
        <v/>
      </c>
      <c r="CF69" s="17" t="str">
        <f>IF(CF$3&lt;=$B69,INDEX(Input!$I$43:$I$2956,CF$3+$A68),"")</f>
        <v/>
      </c>
      <c r="CG69" s="17" t="str">
        <f>IF(CG$3&lt;=$B69,INDEX(Input!$I$43:$I$2956,CG$3+$A68),"")</f>
        <v/>
      </c>
      <c r="CH69" s="17" t="str">
        <f>IF(CH$3&lt;=$B69,INDEX(Input!$I$43:$I$2956,CH$3+$A68),"")</f>
        <v/>
      </c>
      <c r="CI69" s="17" t="str">
        <f>IF(CI$3&lt;=$B69,INDEX(Input!$I$43:$I$2956,CI$3+$A68),"")</f>
        <v/>
      </c>
      <c r="CJ69" s="17" t="str">
        <f>IF(CJ$3&lt;=$B69,INDEX(Input!$I$43:$I$2956,CJ$3+$A68),"")</f>
        <v/>
      </c>
      <c r="CK69" s="17" t="str">
        <f>IF(CK$3&lt;=$B69,INDEX(Input!$I$43:$I$2956,CK$3+$A68),"")</f>
        <v/>
      </c>
      <c r="CL69" s="17" t="str">
        <f>IF(CL$3&lt;=$B69,INDEX(Input!$I$43:$I$2956,CL$3+$A68),"")</f>
        <v/>
      </c>
      <c r="CM69" s="17" t="str">
        <f>IF(CM$3&lt;=$B69,INDEX(Input!$I$43:$I$2956,CM$3+$A68),"")</f>
        <v/>
      </c>
      <c r="CN69" s="17" t="str">
        <f>IF(CN$3&lt;=$B69,INDEX(Input!$I$43:$I$2956,CN$3+$A68),"")</f>
        <v/>
      </c>
      <c r="CO69" s="17" t="str">
        <f>IF(CO$3&lt;=$B69,INDEX(Input!$I$43:$I$2956,CO$3+$A68),"")</f>
        <v/>
      </c>
      <c r="CP69" s="17" t="str">
        <f>IF(CP$3&lt;=$B69,INDEX(Input!$I$43:$I$2956,CP$3+$A68),"")</f>
        <v/>
      </c>
      <c r="CQ69" s="17" t="str">
        <f>IF(CQ$3&lt;=$B69,INDEX(Input!$I$43:$I$2956,CQ$3+$A68),"")</f>
        <v/>
      </c>
      <c r="CR69" s="17" t="str">
        <f>IF(CR$3&lt;=$B69,INDEX(Input!$I$43:$I$2956,CR$3+$A68),"")</f>
        <v/>
      </c>
      <c r="CS69" s="17" t="str">
        <f>IF(CS$3&lt;=$B69,INDEX(Input!$I$43:$I$2956,CS$3+$A68),"")</f>
        <v/>
      </c>
      <c r="CT69" s="17" t="str">
        <f>IF(CT$3&lt;=$B69,INDEX(Input!$I$43:$I$2956,CT$3+$A68),"")</f>
        <v/>
      </c>
      <c r="CU69" s="17" t="str">
        <f>IF(CU$3&lt;=$B69,INDEX(Input!$I$43:$I$2956,CU$3+$A68),"")</f>
        <v/>
      </c>
      <c r="CV69" s="17" t="str">
        <f>IF(CV$3&lt;=$B69,INDEX(Input!$I$43:$I$2956,CV$3+$A68),"")</f>
        <v/>
      </c>
      <c r="CW69" s="17" t="str">
        <f>IF(CW$3&lt;=$B69,INDEX(Input!$I$43:$I$2956,CW$3+$A68),"")</f>
        <v/>
      </c>
      <c r="CX69" s="17" t="str">
        <f>IF(CX$3&lt;=$B69,INDEX(Input!$I$43:$I$2956,CX$3+$A68),"")</f>
        <v/>
      </c>
      <c r="CY69" s="17" t="str">
        <f>IF(CY$3&lt;=$B69,INDEX(Input!$I$43:$I$2956,CY$3+$A68),"")</f>
        <v/>
      </c>
      <c r="CZ69" s="17" t="str">
        <f>IF(CZ$3&lt;=$B69,INDEX(Input!$I$43:$I$2956,CZ$3+$A68),"")</f>
        <v/>
      </c>
      <c r="DA69" s="17" t="str">
        <f>IF(DA$3&lt;=$B69,INDEX(Input!$I$43:$I$2956,DA$3+$A68),"")</f>
        <v/>
      </c>
      <c r="DB69" s="17" t="str">
        <f>IF(DB$3&lt;=$B69,INDEX(Input!$I$43:$I$2956,DB$3+$A68),"")</f>
        <v/>
      </c>
      <c r="DC69" s="17" t="str">
        <f>IF(DC$3&lt;=$B69,INDEX(Input!$I$43:$I$2956,DC$3+$A68),"")</f>
        <v/>
      </c>
      <c r="DD69" s="17" t="str">
        <f>IF(DD$3&lt;=$B69,INDEX(Input!$I$43:$I$2956,DD$3+$A68),"")</f>
        <v/>
      </c>
      <c r="DE69" s="17" t="str">
        <f>IF(DE$3&lt;=$B69,INDEX(Input!$I$43:$I$2956,DE$3+$A68),"")</f>
        <v/>
      </c>
      <c r="DF69" s="17" t="str">
        <f>IF(DF$3&lt;=$B69,INDEX(Input!$I$43:$I$2956,DF$3+$A68),"")</f>
        <v/>
      </c>
      <c r="DG69" s="17" t="str">
        <f>IF(DG$3&lt;=$B69,INDEX(Input!$I$43:$I$2956,DG$3+$A68),"")</f>
        <v/>
      </c>
      <c r="DH69" s="17" t="str">
        <f>IF(DH$3&lt;=$B69,INDEX(Input!$I$43:$I$2956,DH$3+$A68),"")</f>
        <v/>
      </c>
      <c r="DI69" s="17" t="str">
        <f>IF(DI$3&lt;=$B69,INDEX(Input!$I$43:$I$2956,DI$3+$A68),"")</f>
        <v/>
      </c>
      <c r="DJ69" s="17" t="str">
        <f>IF(DJ$3&lt;=$B69,INDEX(Input!$I$43:$I$2956,DJ$3+$A68),"")</f>
        <v/>
      </c>
      <c r="DK69" s="17" t="str">
        <f>IF(DK$3&lt;=$B69,INDEX(Input!$I$43:$I$2956,DK$3+$A68),"")</f>
        <v/>
      </c>
      <c r="DL69" s="17" t="str">
        <f>IF(DL$3&lt;=$B69,INDEX(Input!$I$43:$I$2956,DL$3+$A68),"")</f>
        <v/>
      </c>
      <c r="DM69" s="17" t="str">
        <f>IF(DM$3&lt;=$B69,INDEX(Input!$I$43:$I$2956,DM$3+$A68),"")</f>
        <v/>
      </c>
      <c r="DN69" s="17" t="str">
        <f>IF(DN$3&lt;=$B69,INDEX(Input!$I$43:$I$2956,DN$3+$A68),"")</f>
        <v/>
      </c>
      <c r="DO69" s="17" t="str">
        <f>IF(DO$3&lt;=$B69,INDEX(Input!$I$43:$I$2956,DO$3+$A68),"")</f>
        <v/>
      </c>
      <c r="DP69" s="17" t="str">
        <f>IF(DP$3&lt;=$B69,INDEX(Input!$I$43:$I$2956,DP$3+$A68),"")</f>
        <v/>
      </c>
      <c r="DQ69" s="17" t="str">
        <f>IF(DQ$3&lt;=$B69,INDEX(Input!$I$43:$I$2956,DQ$3+$A68),"")</f>
        <v/>
      </c>
      <c r="DR69" s="17" t="str">
        <f>IF(DR$3&lt;=$B69,INDEX(Input!$I$43:$I$2956,DR$3+$A68),"")</f>
        <v/>
      </c>
      <c r="DS69" s="17" t="str">
        <f>IF(DS$3&lt;=$B69,INDEX(Input!$I$43:$I$2956,DS$3+$A68),"")</f>
        <v/>
      </c>
      <c r="DT69" s="17" t="str">
        <f>IF(DT$3&lt;=$B69,INDEX(Input!$I$43:$I$2956,DT$3+$A68),"")</f>
        <v/>
      </c>
      <c r="DU69" s="17" t="str">
        <f>IF(DU$3&lt;=$B69,INDEX(Input!$I$43:$I$2956,DU$3+$A68),"")</f>
        <v/>
      </c>
      <c r="DV69" s="17" t="str">
        <f>IF(DV$3&lt;=$B69,INDEX(Input!$I$43:$I$2956,DV$3+$A68),"")</f>
        <v/>
      </c>
      <c r="DW69" s="58" t="str">
        <f t="array" ref="DW69:EZ69">IFERROR(eccalc(E69:DV69,C69+B69,B69,$O$2:$AS$2),"")</f>
        <v/>
      </c>
      <c r="DX69" s="59" t="str">
        <v/>
      </c>
      <c r="DY69" s="59" t="str">
        <v/>
      </c>
      <c r="DZ69" s="59" t="str">
        <v/>
      </c>
      <c r="EA69" s="59" t="str">
        <v/>
      </c>
      <c r="EB69" s="59" t="str">
        <v/>
      </c>
      <c r="EC69" s="59" t="str">
        <v/>
      </c>
      <c r="ED69" s="59" t="str">
        <v/>
      </c>
      <c r="EE69" s="59" t="str">
        <v/>
      </c>
      <c r="EF69" s="59" t="str">
        <v/>
      </c>
      <c r="EG69" s="59" t="str">
        <v/>
      </c>
      <c r="EH69" s="59" t="str">
        <v/>
      </c>
      <c r="EI69" s="59" t="str">
        <v/>
      </c>
      <c r="EJ69" s="59" t="str">
        <v/>
      </c>
      <c r="EK69" s="59" t="str">
        <v/>
      </c>
      <c r="EL69" s="59" t="str">
        <v/>
      </c>
      <c r="EM69" s="59" t="str">
        <v/>
      </c>
      <c r="EN69" s="59" t="str">
        <v/>
      </c>
      <c r="EO69" s="59" t="str">
        <v/>
      </c>
      <c r="EP69" s="59" t="str">
        <v/>
      </c>
      <c r="EQ69" s="59" t="str">
        <v/>
      </c>
      <c r="ER69" s="59" t="str">
        <v/>
      </c>
      <c r="ES69" s="59" t="str">
        <v/>
      </c>
      <c r="ET69" s="59" t="str">
        <v/>
      </c>
      <c r="EU69" s="59" t="str">
        <v/>
      </c>
      <c r="EV69" s="59" t="str">
        <v/>
      </c>
      <c r="EW69" s="59" t="str">
        <v/>
      </c>
      <c r="EX69" s="59" t="str">
        <v/>
      </c>
      <c r="EY69" s="59" t="str">
        <v/>
      </c>
      <c r="EZ69" s="60" t="str">
        <v/>
      </c>
      <c r="FA69" s="17"/>
      <c r="FC69">
        <v>66</v>
      </c>
      <c r="FD69">
        <f t="shared" ref="FD69:FD132" si="10">IF(MOD(FC69,$FB$1+$FB$2)=0,$FB$1+$FB$2,MOD(FC69,$FB$1+$FB$2))</f>
        <v>2</v>
      </c>
      <c r="FE69">
        <f t="shared" ref="FE69:FE132" si="11">ROUNDUP(FC69/($FB$1+$FB$2),0)</f>
        <v>5</v>
      </c>
      <c r="FF69">
        <f t="shared" ref="FF69:FF132" si="12">IF(FE69&lt;$FB$3,INDEX($E$4:$DV$84,FD69,FE69),IF(FE69=$FB$3,INDEX($E$4:$DV$84,FD69+$FB$1,FE69),""))</f>
        <v>218</v>
      </c>
      <c r="FI69" s="16">
        <v>66</v>
      </c>
      <c r="FJ69" s="17">
        <f t="shared" ref="FJ69:FJ132" si="13">IF(FE69&lt;=$FH$1,INDEX($DW$4:$EZ$84,FD69,FE69),"")</f>
        <v>167</v>
      </c>
      <c r="FK69" s="17">
        <f t="shared" ref="FK69:FK132" si="14">IF(FI69&lt;=$FH$2,FF69,IF(FI69&lt;=$FH$2+$FH$3,INDEX($FJ$4:$FJ$2494,FI69-$FH$2),""))</f>
        <v>218</v>
      </c>
      <c r="FL69" s="18" t="str">
        <f t="shared" ref="FL69:FL132" si="15">IFERROR(TEXT(DEC2BIN(FK69),"00000000"),"")</f>
        <v>11011010</v>
      </c>
      <c r="FM69" s="2"/>
    </row>
    <row r="70" spans="1:169">
      <c r="A70">
        <f>SUM($B$4:B70)</f>
        <v>196</v>
      </c>
      <c r="B70">
        <f t="shared" si="8"/>
        <v>0</v>
      </c>
      <c r="C70" t="str">
        <f t="shared" si="9"/>
        <v/>
      </c>
      <c r="D70">
        <v>67</v>
      </c>
      <c r="E70" s="16" t="str">
        <f>IF(E$3&lt;=$B70,INDEX(Input!$I$43:$I$2956,E$3+$A69),"")</f>
        <v/>
      </c>
      <c r="F70" s="17" t="str">
        <f>IF(F$3&lt;=$B70,INDEX(Input!$I$43:$I$2956,F$3+$A69),"")</f>
        <v/>
      </c>
      <c r="G70" s="17" t="str">
        <f>IF(G$3&lt;=$B70,INDEX(Input!$I$43:$I$2956,G$3+$A69),"")</f>
        <v/>
      </c>
      <c r="H70" s="17" t="str">
        <f>IF(H$3&lt;=$B70,INDEX(Input!$I$43:$I$2956,H$3+$A69),"")</f>
        <v/>
      </c>
      <c r="I70" s="17" t="str">
        <f>IF(I$3&lt;=$B70,INDEX(Input!$I$43:$I$2956,I$3+$A69),"")</f>
        <v/>
      </c>
      <c r="J70" s="17" t="str">
        <f>IF(J$3&lt;=$B70,INDEX(Input!$I$43:$I$2956,J$3+$A69),"")</f>
        <v/>
      </c>
      <c r="K70" s="17" t="str">
        <f>IF(K$3&lt;=$B70,INDEX(Input!$I$43:$I$2956,K$3+$A69),"")</f>
        <v/>
      </c>
      <c r="L70" s="17" t="str">
        <f>IF(L$3&lt;=$B70,INDEX(Input!$I$43:$I$2956,L$3+$A69),"")</f>
        <v/>
      </c>
      <c r="M70" s="17" t="str">
        <f>IF(M$3&lt;=$B70,INDEX(Input!$I$43:$I$2956,M$3+$A69),"")</f>
        <v/>
      </c>
      <c r="N70" s="17" t="str">
        <f>IF(N$3&lt;=$B70,INDEX(Input!$I$43:$I$2956,N$3+$A69),"")</f>
        <v/>
      </c>
      <c r="O70" s="17" t="str">
        <f>IF(O$3&lt;=$B70,INDEX(Input!$I$43:$I$2956,O$3+$A69),"")</f>
        <v/>
      </c>
      <c r="P70" s="17" t="str">
        <f>IF(P$3&lt;=$B70,INDEX(Input!$I$43:$I$2956,P$3+$A69),"")</f>
        <v/>
      </c>
      <c r="Q70" s="17" t="str">
        <f>IF(Q$3&lt;=$B70,INDEX(Input!$I$43:$I$2956,Q$3+$A69),"")</f>
        <v/>
      </c>
      <c r="R70" s="17" t="str">
        <f>IF(R$3&lt;=$B70,INDEX(Input!$I$43:$I$2956,R$3+$A69),"")</f>
        <v/>
      </c>
      <c r="S70" s="17" t="str">
        <f>IF(S$3&lt;=$B70,INDEX(Input!$I$43:$I$2956,S$3+$A69),"")</f>
        <v/>
      </c>
      <c r="T70" s="17" t="str">
        <f>IF(T$3&lt;=$B70,INDEX(Input!$I$43:$I$2956,T$3+$A69),"")</f>
        <v/>
      </c>
      <c r="U70" s="17" t="str">
        <f>IF(U$3&lt;=$B70,INDEX(Input!$I$43:$I$2956,U$3+$A69),"")</f>
        <v/>
      </c>
      <c r="V70" s="17" t="str">
        <f>IF(V$3&lt;=$B70,INDEX(Input!$I$43:$I$2956,V$3+$A69),"")</f>
        <v/>
      </c>
      <c r="W70" s="17" t="str">
        <f>IF(W$3&lt;=$B70,INDEX(Input!$I$43:$I$2956,W$3+$A69),"")</f>
        <v/>
      </c>
      <c r="X70" s="17" t="str">
        <f>IF(X$3&lt;=$B70,INDEX(Input!$I$43:$I$2956,X$3+$A69),"")</f>
        <v/>
      </c>
      <c r="Y70" s="17" t="str">
        <f>IF(Y$3&lt;=$B70,INDEX(Input!$I$43:$I$2956,Y$3+$A69),"")</f>
        <v/>
      </c>
      <c r="Z70" s="17" t="str">
        <f>IF(Z$3&lt;=$B70,INDEX(Input!$I$43:$I$2956,Z$3+$A69),"")</f>
        <v/>
      </c>
      <c r="AA70" s="17" t="str">
        <f>IF(AA$3&lt;=$B70,INDEX(Input!$I$43:$I$2956,AA$3+$A69),"")</f>
        <v/>
      </c>
      <c r="AB70" s="17" t="str">
        <f>IF(AB$3&lt;=$B70,INDEX(Input!$I$43:$I$2956,AB$3+$A69),"")</f>
        <v/>
      </c>
      <c r="AC70" s="17" t="str">
        <f>IF(AC$3&lt;=$B70,INDEX(Input!$I$43:$I$2956,AC$3+$A69),"")</f>
        <v/>
      </c>
      <c r="AD70" s="17" t="str">
        <f>IF(AD$3&lt;=$B70,INDEX(Input!$I$43:$I$2956,AD$3+$A69),"")</f>
        <v/>
      </c>
      <c r="AE70" s="17" t="str">
        <f>IF(AE$3&lt;=$B70,INDEX(Input!$I$43:$I$2956,AE$3+$A69),"")</f>
        <v/>
      </c>
      <c r="AF70" s="17" t="str">
        <f>IF(AF$3&lt;=$B70,INDEX(Input!$I$43:$I$2956,AF$3+$A69),"")</f>
        <v/>
      </c>
      <c r="AG70" s="17" t="str">
        <f>IF(AG$3&lt;=$B70,INDEX(Input!$I$43:$I$2956,AG$3+$A69),"")</f>
        <v/>
      </c>
      <c r="AH70" s="17" t="str">
        <f>IF(AH$3&lt;=$B70,INDEX(Input!$I$43:$I$2956,AH$3+$A69),"")</f>
        <v/>
      </c>
      <c r="AI70" s="17" t="str">
        <f>IF(AI$3&lt;=$B70,INDEX(Input!$I$43:$I$2956,AI$3+$A69),"")</f>
        <v/>
      </c>
      <c r="AJ70" s="17" t="str">
        <f>IF(AJ$3&lt;=$B70,INDEX(Input!$I$43:$I$2956,AJ$3+$A69),"")</f>
        <v/>
      </c>
      <c r="AK70" s="17" t="str">
        <f>IF(AK$3&lt;=$B70,INDEX(Input!$I$43:$I$2956,AK$3+$A69),"")</f>
        <v/>
      </c>
      <c r="AL70" s="17" t="str">
        <f>IF(AL$3&lt;=$B70,INDEX(Input!$I$43:$I$2956,AL$3+$A69),"")</f>
        <v/>
      </c>
      <c r="AM70" s="17" t="str">
        <f>IF(AM$3&lt;=$B70,INDEX(Input!$I$43:$I$2956,AM$3+$A69),"")</f>
        <v/>
      </c>
      <c r="AN70" s="17" t="str">
        <f>IF(AN$3&lt;=$B70,INDEX(Input!$I$43:$I$2956,AN$3+$A69),"")</f>
        <v/>
      </c>
      <c r="AO70" s="17" t="str">
        <f>IF(AO$3&lt;=$B70,INDEX(Input!$I$43:$I$2956,AO$3+$A69),"")</f>
        <v/>
      </c>
      <c r="AP70" s="17" t="str">
        <f>IF(AP$3&lt;=$B70,INDEX(Input!$I$43:$I$2956,AP$3+$A69),"")</f>
        <v/>
      </c>
      <c r="AQ70" s="17" t="str">
        <f>IF(AQ$3&lt;=$B70,INDEX(Input!$I$43:$I$2956,AQ$3+$A69),"")</f>
        <v/>
      </c>
      <c r="AR70" s="17" t="str">
        <f>IF(AR$3&lt;=$B70,INDEX(Input!$I$43:$I$2956,AR$3+$A69),"")</f>
        <v/>
      </c>
      <c r="AS70" s="17" t="str">
        <f>IF(AS$3&lt;=$B70,INDEX(Input!$I$43:$I$2956,AS$3+$A69),"")</f>
        <v/>
      </c>
      <c r="AT70" s="17" t="str">
        <f>IF(AT$3&lt;=$B70,INDEX(Input!$I$43:$I$2956,AT$3+$A69),"")</f>
        <v/>
      </c>
      <c r="AU70" s="17" t="str">
        <f>IF(AU$3&lt;=$B70,INDEX(Input!$I$43:$I$2956,AU$3+$A69),"")</f>
        <v/>
      </c>
      <c r="AV70" s="17" t="str">
        <f>IF(AV$3&lt;=$B70,INDEX(Input!$I$43:$I$2956,AV$3+$A69),"")</f>
        <v/>
      </c>
      <c r="AW70" s="17" t="str">
        <f>IF(AW$3&lt;=$B70,INDEX(Input!$I$43:$I$2956,AW$3+$A69),"")</f>
        <v/>
      </c>
      <c r="AX70" s="17" t="str">
        <f>IF(AX$3&lt;=$B70,INDEX(Input!$I$43:$I$2956,AX$3+$A69),"")</f>
        <v/>
      </c>
      <c r="AY70" s="17" t="str">
        <f>IF(AY$3&lt;=$B70,INDEX(Input!$I$43:$I$2956,AY$3+$A69),"")</f>
        <v/>
      </c>
      <c r="AZ70" s="17" t="str">
        <f>IF(AZ$3&lt;=$B70,INDEX(Input!$I$43:$I$2956,AZ$3+$A69),"")</f>
        <v/>
      </c>
      <c r="BA70" s="17" t="str">
        <f>IF(BA$3&lt;=$B70,INDEX(Input!$I$43:$I$2956,BA$3+$A69),"")</f>
        <v/>
      </c>
      <c r="BB70" s="17" t="str">
        <f>IF(BB$3&lt;=$B70,INDEX(Input!$I$43:$I$2956,BB$3+$A69),"")</f>
        <v/>
      </c>
      <c r="BC70" s="17" t="str">
        <f>IF(BC$3&lt;=$B70,INDEX(Input!$I$43:$I$2956,BC$3+$A69),"")</f>
        <v/>
      </c>
      <c r="BD70" s="17" t="str">
        <f>IF(BD$3&lt;=$B70,INDEX(Input!$I$43:$I$2956,BD$3+$A69),"")</f>
        <v/>
      </c>
      <c r="BE70" s="17" t="str">
        <f>IF(BE$3&lt;=$B70,INDEX(Input!$I$43:$I$2956,BE$3+$A69),"")</f>
        <v/>
      </c>
      <c r="BF70" s="17" t="str">
        <f>IF(BF$3&lt;=$B70,INDEX(Input!$I$43:$I$2956,BF$3+$A69),"")</f>
        <v/>
      </c>
      <c r="BG70" s="17" t="str">
        <f>IF(BG$3&lt;=$B70,INDEX(Input!$I$43:$I$2956,BG$3+$A69),"")</f>
        <v/>
      </c>
      <c r="BH70" s="17" t="str">
        <f>IF(BH$3&lt;=$B70,INDEX(Input!$I$43:$I$2956,BH$3+$A69),"")</f>
        <v/>
      </c>
      <c r="BI70" s="17" t="str">
        <f>IF(BI$3&lt;=$B70,INDEX(Input!$I$43:$I$2956,BI$3+$A69),"")</f>
        <v/>
      </c>
      <c r="BJ70" s="17" t="str">
        <f>IF(BJ$3&lt;=$B70,INDEX(Input!$I$43:$I$2956,BJ$3+$A69),"")</f>
        <v/>
      </c>
      <c r="BK70" s="17" t="str">
        <f>IF(BK$3&lt;=$B70,INDEX(Input!$I$43:$I$2956,BK$3+$A69),"")</f>
        <v/>
      </c>
      <c r="BL70" s="17" t="str">
        <f>IF(BL$3&lt;=$B70,INDEX(Input!$I$43:$I$2956,BL$3+$A69),"")</f>
        <v/>
      </c>
      <c r="BM70" s="17" t="str">
        <f>IF(BM$3&lt;=$B70,INDEX(Input!$I$43:$I$2956,BM$3+$A69),"")</f>
        <v/>
      </c>
      <c r="BN70" s="17" t="str">
        <f>IF(BN$3&lt;=$B70,INDEX(Input!$I$43:$I$2956,BN$3+$A69),"")</f>
        <v/>
      </c>
      <c r="BO70" s="17" t="str">
        <f>IF(BO$3&lt;=$B70,INDEX(Input!$I$43:$I$2956,BO$3+$A69),"")</f>
        <v/>
      </c>
      <c r="BP70" s="17" t="str">
        <f>IF(BP$3&lt;=$B70,INDEX(Input!$I$43:$I$2956,BP$3+$A69),"")</f>
        <v/>
      </c>
      <c r="BQ70" s="17" t="str">
        <f>IF(BQ$3&lt;=$B70,INDEX(Input!$I$43:$I$2956,BQ$3+$A69),"")</f>
        <v/>
      </c>
      <c r="BR70" s="17" t="str">
        <f>IF(BR$3&lt;=$B70,INDEX(Input!$I$43:$I$2956,BR$3+$A69),"")</f>
        <v/>
      </c>
      <c r="BS70" s="17" t="str">
        <f>IF(BS$3&lt;=$B70,INDEX(Input!$I$43:$I$2956,BS$3+$A69),"")</f>
        <v/>
      </c>
      <c r="BT70" s="17" t="str">
        <f>IF(BT$3&lt;=$B70,INDEX(Input!$I$43:$I$2956,BT$3+$A69),"")</f>
        <v/>
      </c>
      <c r="BU70" s="17" t="str">
        <f>IF(BU$3&lt;=$B70,INDEX(Input!$I$43:$I$2956,BU$3+$A69),"")</f>
        <v/>
      </c>
      <c r="BV70" s="17" t="str">
        <f>IF(BV$3&lt;=$B70,INDEX(Input!$I$43:$I$2956,BV$3+$A69),"")</f>
        <v/>
      </c>
      <c r="BW70" s="17" t="str">
        <f>IF(BW$3&lt;=$B70,INDEX(Input!$I$43:$I$2956,BW$3+$A69),"")</f>
        <v/>
      </c>
      <c r="BX70" s="17" t="str">
        <f>IF(BX$3&lt;=$B70,INDEX(Input!$I$43:$I$2956,BX$3+$A69),"")</f>
        <v/>
      </c>
      <c r="BY70" s="17" t="str">
        <f>IF(BY$3&lt;=$B70,INDEX(Input!$I$43:$I$2956,BY$3+$A69),"")</f>
        <v/>
      </c>
      <c r="BZ70" s="17" t="str">
        <f>IF(BZ$3&lt;=$B70,INDEX(Input!$I$43:$I$2956,BZ$3+$A69),"")</f>
        <v/>
      </c>
      <c r="CA70" s="17" t="str">
        <f>IF(CA$3&lt;=$B70,INDEX(Input!$I$43:$I$2956,CA$3+$A69),"")</f>
        <v/>
      </c>
      <c r="CB70" s="17" t="str">
        <f>IF(CB$3&lt;=$B70,INDEX(Input!$I$43:$I$2956,CB$3+$A69),"")</f>
        <v/>
      </c>
      <c r="CC70" s="17" t="str">
        <f>IF(CC$3&lt;=$B70,INDEX(Input!$I$43:$I$2956,CC$3+$A69),"")</f>
        <v/>
      </c>
      <c r="CD70" s="17" t="str">
        <f>IF(CD$3&lt;=$B70,INDEX(Input!$I$43:$I$2956,CD$3+$A69),"")</f>
        <v/>
      </c>
      <c r="CE70" s="17" t="str">
        <f>IF(CE$3&lt;=$B70,INDEX(Input!$I$43:$I$2956,CE$3+$A69),"")</f>
        <v/>
      </c>
      <c r="CF70" s="17" t="str">
        <f>IF(CF$3&lt;=$B70,INDEX(Input!$I$43:$I$2956,CF$3+$A69),"")</f>
        <v/>
      </c>
      <c r="CG70" s="17" t="str">
        <f>IF(CG$3&lt;=$B70,INDEX(Input!$I$43:$I$2956,CG$3+$A69),"")</f>
        <v/>
      </c>
      <c r="CH70" s="17" t="str">
        <f>IF(CH$3&lt;=$B70,INDEX(Input!$I$43:$I$2956,CH$3+$A69),"")</f>
        <v/>
      </c>
      <c r="CI70" s="17" t="str">
        <f>IF(CI$3&lt;=$B70,INDEX(Input!$I$43:$I$2956,CI$3+$A69),"")</f>
        <v/>
      </c>
      <c r="CJ70" s="17" t="str">
        <f>IF(CJ$3&lt;=$B70,INDEX(Input!$I$43:$I$2956,CJ$3+$A69),"")</f>
        <v/>
      </c>
      <c r="CK70" s="17" t="str">
        <f>IF(CK$3&lt;=$B70,INDEX(Input!$I$43:$I$2956,CK$3+$A69),"")</f>
        <v/>
      </c>
      <c r="CL70" s="17" t="str">
        <f>IF(CL$3&lt;=$B70,INDEX(Input!$I$43:$I$2956,CL$3+$A69),"")</f>
        <v/>
      </c>
      <c r="CM70" s="17" t="str">
        <f>IF(CM$3&lt;=$B70,INDEX(Input!$I$43:$I$2956,CM$3+$A69),"")</f>
        <v/>
      </c>
      <c r="CN70" s="17" t="str">
        <f>IF(CN$3&lt;=$B70,INDEX(Input!$I$43:$I$2956,CN$3+$A69),"")</f>
        <v/>
      </c>
      <c r="CO70" s="17" t="str">
        <f>IF(CO$3&lt;=$B70,INDEX(Input!$I$43:$I$2956,CO$3+$A69),"")</f>
        <v/>
      </c>
      <c r="CP70" s="17" t="str">
        <f>IF(CP$3&lt;=$B70,INDEX(Input!$I$43:$I$2956,CP$3+$A69),"")</f>
        <v/>
      </c>
      <c r="CQ70" s="17" t="str">
        <f>IF(CQ$3&lt;=$B70,INDEX(Input!$I$43:$I$2956,CQ$3+$A69),"")</f>
        <v/>
      </c>
      <c r="CR70" s="17" t="str">
        <f>IF(CR$3&lt;=$B70,INDEX(Input!$I$43:$I$2956,CR$3+$A69),"")</f>
        <v/>
      </c>
      <c r="CS70" s="17" t="str">
        <f>IF(CS$3&lt;=$B70,INDEX(Input!$I$43:$I$2956,CS$3+$A69),"")</f>
        <v/>
      </c>
      <c r="CT70" s="17" t="str">
        <f>IF(CT$3&lt;=$B70,INDEX(Input!$I$43:$I$2956,CT$3+$A69),"")</f>
        <v/>
      </c>
      <c r="CU70" s="17" t="str">
        <f>IF(CU$3&lt;=$B70,INDEX(Input!$I$43:$I$2956,CU$3+$A69),"")</f>
        <v/>
      </c>
      <c r="CV70" s="17" t="str">
        <f>IF(CV$3&lt;=$B70,INDEX(Input!$I$43:$I$2956,CV$3+$A69),"")</f>
        <v/>
      </c>
      <c r="CW70" s="17" t="str">
        <f>IF(CW$3&lt;=$B70,INDEX(Input!$I$43:$I$2956,CW$3+$A69),"")</f>
        <v/>
      </c>
      <c r="CX70" s="17" t="str">
        <f>IF(CX$3&lt;=$B70,INDEX(Input!$I$43:$I$2956,CX$3+$A69),"")</f>
        <v/>
      </c>
      <c r="CY70" s="17" t="str">
        <f>IF(CY$3&lt;=$B70,INDEX(Input!$I$43:$I$2956,CY$3+$A69),"")</f>
        <v/>
      </c>
      <c r="CZ70" s="17" t="str">
        <f>IF(CZ$3&lt;=$B70,INDEX(Input!$I$43:$I$2956,CZ$3+$A69),"")</f>
        <v/>
      </c>
      <c r="DA70" s="17" t="str">
        <f>IF(DA$3&lt;=$B70,INDEX(Input!$I$43:$I$2956,DA$3+$A69),"")</f>
        <v/>
      </c>
      <c r="DB70" s="17" t="str">
        <f>IF(DB$3&lt;=$B70,INDEX(Input!$I$43:$I$2956,DB$3+$A69),"")</f>
        <v/>
      </c>
      <c r="DC70" s="17" t="str">
        <f>IF(DC$3&lt;=$B70,INDEX(Input!$I$43:$I$2956,DC$3+$A69),"")</f>
        <v/>
      </c>
      <c r="DD70" s="17" t="str">
        <f>IF(DD$3&lt;=$B70,INDEX(Input!$I$43:$I$2956,DD$3+$A69),"")</f>
        <v/>
      </c>
      <c r="DE70" s="17" t="str">
        <f>IF(DE$3&lt;=$B70,INDEX(Input!$I$43:$I$2956,DE$3+$A69),"")</f>
        <v/>
      </c>
      <c r="DF70" s="17" t="str">
        <f>IF(DF$3&lt;=$B70,INDEX(Input!$I$43:$I$2956,DF$3+$A69),"")</f>
        <v/>
      </c>
      <c r="DG70" s="17" t="str">
        <f>IF(DG$3&lt;=$B70,INDEX(Input!$I$43:$I$2956,DG$3+$A69),"")</f>
        <v/>
      </c>
      <c r="DH70" s="17" t="str">
        <f>IF(DH$3&lt;=$B70,INDEX(Input!$I$43:$I$2956,DH$3+$A69),"")</f>
        <v/>
      </c>
      <c r="DI70" s="17" t="str">
        <f>IF(DI$3&lt;=$B70,INDEX(Input!$I$43:$I$2956,DI$3+$A69),"")</f>
        <v/>
      </c>
      <c r="DJ70" s="17" t="str">
        <f>IF(DJ$3&lt;=$B70,INDEX(Input!$I$43:$I$2956,DJ$3+$A69),"")</f>
        <v/>
      </c>
      <c r="DK70" s="17" t="str">
        <f>IF(DK$3&lt;=$B70,INDEX(Input!$I$43:$I$2956,DK$3+$A69),"")</f>
        <v/>
      </c>
      <c r="DL70" s="17" t="str">
        <f>IF(DL$3&lt;=$B70,INDEX(Input!$I$43:$I$2956,DL$3+$A69),"")</f>
        <v/>
      </c>
      <c r="DM70" s="17" t="str">
        <f>IF(DM$3&lt;=$B70,INDEX(Input!$I$43:$I$2956,DM$3+$A69),"")</f>
        <v/>
      </c>
      <c r="DN70" s="17" t="str">
        <f>IF(DN$3&lt;=$B70,INDEX(Input!$I$43:$I$2956,DN$3+$A69),"")</f>
        <v/>
      </c>
      <c r="DO70" s="17" t="str">
        <f>IF(DO$3&lt;=$B70,INDEX(Input!$I$43:$I$2956,DO$3+$A69),"")</f>
        <v/>
      </c>
      <c r="DP70" s="17" t="str">
        <f>IF(DP$3&lt;=$B70,INDEX(Input!$I$43:$I$2956,DP$3+$A69),"")</f>
        <v/>
      </c>
      <c r="DQ70" s="17" t="str">
        <f>IF(DQ$3&lt;=$B70,INDEX(Input!$I$43:$I$2956,DQ$3+$A69),"")</f>
        <v/>
      </c>
      <c r="DR70" s="17" t="str">
        <f>IF(DR$3&lt;=$B70,INDEX(Input!$I$43:$I$2956,DR$3+$A69),"")</f>
        <v/>
      </c>
      <c r="DS70" s="17" t="str">
        <f>IF(DS$3&lt;=$B70,INDEX(Input!$I$43:$I$2956,DS$3+$A69),"")</f>
        <v/>
      </c>
      <c r="DT70" s="17" t="str">
        <f>IF(DT$3&lt;=$B70,INDEX(Input!$I$43:$I$2956,DT$3+$A69),"")</f>
        <v/>
      </c>
      <c r="DU70" s="17" t="str">
        <f>IF(DU$3&lt;=$B70,INDEX(Input!$I$43:$I$2956,DU$3+$A69),"")</f>
        <v/>
      </c>
      <c r="DV70" s="17" t="str">
        <f>IF(DV$3&lt;=$B70,INDEX(Input!$I$43:$I$2956,DV$3+$A69),"")</f>
        <v/>
      </c>
      <c r="DW70" s="58" t="str">
        <f t="array" ref="DW70:EZ70">IFERROR(eccalc(E70:DV70,C70+B70,B70,$O$2:$AS$2),"")</f>
        <v/>
      </c>
      <c r="DX70" s="59" t="str">
        <v/>
      </c>
      <c r="DY70" s="59" t="str">
        <v/>
      </c>
      <c r="DZ70" s="59" t="str">
        <v/>
      </c>
      <c r="EA70" s="59" t="str">
        <v/>
      </c>
      <c r="EB70" s="59" t="str">
        <v/>
      </c>
      <c r="EC70" s="59" t="str">
        <v/>
      </c>
      <c r="ED70" s="59" t="str">
        <v/>
      </c>
      <c r="EE70" s="59" t="str">
        <v/>
      </c>
      <c r="EF70" s="59" t="str">
        <v/>
      </c>
      <c r="EG70" s="59" t="str">
        <v/>
      </c>
      <c r="EH70" s="59" t="str">
        <v/>
      </c>
      <c r="EI70" s="59" t="str">
        <v/>
      </c>
      <c r="EJ70" s="59" t="str">
        <v/>
      </c>
      <c r="EK70" s="59" t="str">
        <v/>
      </c>
      <c r="EL70" s="59" t="str">
        <v/>
      </c>
      <c r="EM70" s="59" t="str">
        <v/>
      </c>
      <c r="EN70" s="59" t="str">
        <v/>
      </c>
      <c r="EO70" s="59" t="str">
        <v/>
      </c>
      <c r="EP70" s="59" t="str">
        <v/>
      </c>
      <c r="EQ70" s="59" t="str">
        <v/>
      </c>
      <c r="ER70" s="59" t="str">
        <v/>
      </c>
      <c r="ES70" s="59" t="str">
        <v/>
      </c>
      <c r="ET70" s="59" t="str">
        <v/>
      </c>
      <c r="EU70" s="59" t="str">
        <v/>
      </c>
      <c r="EV70" s="59" t="str">
        <v/>
      </c>
      <c r="EW70" s="59" t="str">
        <v/>
      </c>
      <c r="EX70" s="59" t="str">
        <v/>
      </c>
      <c r="EY70" s="59" t="str">
        <v/>
      </c>
      <c r="EZ70" s="60" t="str">
        <v/>
      </c>
      <c r="FA70" s="17"/>
      <c r="FC70">
        <v>67</v>
      </c>
      <c r="FD70">
        <f t="shared" si="10"/>
        <v>3</v>
      </c>
      <c r="FE70">
        <f t="shared" si="11"/>
        <v>5</v>
      </c>
      <c r="FF70">
        <f t="shared" si="12"/>
        <v>208</v>
      </c>
      <c r="FI70" s="16">
        <v>67</v>
      </c>
      <c r="FJ70" s="17">
        <f t="shared" si="13"/>
        <v>36</v>
      </c>
      <c r="FK70" s="17">
        <f t="shared" si="14"/>
        <v>208</v>
      </c>
      <c r="FL70" s="18" t="str">
        <f t="shared" si="15"/>
        <v>11010000</v>
      </c>
      <c r="FM70" s="2"/>
    </row>
    <row r="71" spans="1:169">
      <c r="A71">
        <f>SUM($B$4:B71)</f>
        <v>196</v>
      </c>
      <c r="B71">
        <f t="shared" si="8"/>
        <v>0</v>
      </c>
      <c r="C71" t="str">
        <f t="shared" si="9"/>
        <v/>
      </c>
      <c r="D71">
        <v>68</v>
      </c>
      <c r="E71" s="16" t="str">
        <f>IF(E$3&lt;=$B71,INDEX(Input!$I$43:$I$2956,E$3+$A70),"")</f>
        <v/>
      </c>
      <c r="F71" s="17" t="str">
        <f>IF(F$3&lt;=$B71,INDEX(Input!$I$43:$I$2956,F$3+$A70),"")</f>
        <v/>
      </c>
      <c r="G71" s="17" t="str">
        <f>IF(G$3&lt;=$B71,INDEX(Input!$I$43:$I$2956,G$3+$A70),"")</f>
        <v/>
      </c>
      <c r="H71" s="17" t="str">
        <f>IF(H$3&lt;=$B71,INDEX(Input!$I$43:$I$2956,H$3+$A70),"")</f>
        <v/>
      </c>
      <c r="I71" s="17" t="str">
        <f>IF(I$3&lt;=$B71,INDEX(Input!$I$43:$I$2956,I$3+$A70),"")</f>
        <v/>
      </c>
      <c r="J71" s="17" t="str">
        <f>IF(J$3&lt;=$B71,INDEX(Input!$I$43:$I$2956,J$3+$A70),"")</f>
        <v/>
      </c>
      <c r="K71" s="17" t="str">
        <f>IF(K$3&lt;=$B71,INDEX(Input!$I$43:$I$2956,K$3+$A70),"")</f>
        <v/>
      </c>
      <c r="L71" s="17" t="str">
        <f>IF(L$3&lt;=$B71,INDEX(Input!$I$43:$I$2956,L$3+$A70),"")</f>
        <v/>
      </c>
      <c r="M71" s="17" t="str">
        <f>IF(M$3&lt;=$B71,INDEX(Input!$I$43:$I$2956,M$3+$A70),"")</f>
        <v/>
      </c>
      <c r="N71" s="17" t="str">
        <f>IF(N$3&lt;=$B71,INDEX(Input!$I$43:$I$2956,N$3+$A70),"")</f>
        <v/>
      </c>
      <c r="O71" s="17" t="str">
        <f>IF(O$3&lt;=$B71,INDEX(Input!$I$43:$I$2956,O$3+$A70),"")</f>
        <v/>
      </c>
      <c r="P71" s="17" t="str">
        <f>IF(P$3&lt;=$B71,INDEX(Input!$I$43:$I$2956,P$3+$A70),"")</f>
        <v/>
      </c>
      <c r="Q71" s="17" t="str">
        <f>IF(Q$3&lt;=$B71,INDEX(Input!$I$43:$I$2956,Q$3+$A70),"")</f>
        <v/>
      </c>
      <c r="R71" s="17" t="str">
        <f>IF(R$3&lt;=$B71,INDEX(Input!$I$43:$I$2956,R$3+$A70),"")</f>
        <v/>
      </c>
      <c r="S71" s="17" t="str">
        <f>IF(S$3&lt;=$B71,INDEX(Input!$I$43:$I$2956,S$3+$A70),"")</f>
        <v/>
      </c>
      <c r="T71" s="17" t="str">
        <f>IF(T$3&lt;=$B71,INDEX(Input!$I$43:$I$2956,T$3+$A70),"")</f>
        <v/>
      </c>
      <c r="U71" s="17" t="str">
        <f>IF(U$3&lt;=$B71,INDEX(Input!$I$43:$I$2956,U$3+$A70),"")</f>
        <v/>
      </c>
      <c r="V71" s="17" t="str">
        <f>IF(V$3&lt;=$B71,INDEX(Input!$I$43:$I$2956,V$3+$A70),"")</f>
        <v/>
      </c>
      <c r="W71" s="17" t="str">
        <f>IF(W$3&lt;=$B71,INDEX(Input!$I$43:$I$2956,W$3+$A70),"")</f>
        <v/>
      </c>
      <c r="X71" s="17" t="str">
        <f>IF(X$3&lt;=$B71,INDEX(Input!$I$43:$I$2956,X$3+$A70),"")</f>
        <v/>
      </c>
      <c r="Y71" s="17" t="str">
        <f>IF(Y$3&lt;=$B71,INDEX(Input!$I$43:$I$2956,Y$3+$A70),"")</f>
        <v/>
      </c>
      <c r="Z71" s="17" t="str">
        <f>IF(Z$3&lt;=$B71,INDEX(Input!$I$43:$I$2956,Z$3+$A70),"")</f>
        <v/>
      </c>
      <c r="AA71" s="17" t="str">
        <f>IF(AA$3&lt;=$B71,INDEX(Input!$I$43:$I$2956,AA$3+$A70),"")</f>
        <v/>
      </c>
      <c r="AB71" s="17" t="str">
        <f>IF(AB$3&lt;=$B71,INDEX(Input!$I$43:$I$2956,AB$3+$A70),"")</f>
        <v/>
      </c>
      <c r="AC71" s="17" t="str">
        <f>IF(AC$3&lt;=$B71,INDEX(Input!$I$43:$I$2956,AC$3+$A70),"")</f>
        <v/>
      </c>
      <c r="AD71" s="17" t="str">
        <f>IF(AD$3&lt;=$B71,INDEX(Input!$I$43:$I$2956,AD$3+$A70),"")</f>
        <v/>
      </c>
      <c r="AE71" s="17" t="str">
        <f>IF(AE$3&lt;=$B71,INDEX(Input!$I$43:$I$2956,AE$3+$A70),"")</f>
        <v/>
      </c>
      <c r="AF71" s="17" t="str">
        <f>IF(AF$3&lt;=$B71,INDEX(Input!$I$43:$I$2956,AF$3+$A70),"")</f>
        <v/>
      </c>
      <c r="AG71" s="17" t="str">
        <f>IF(AG$3&lt;=$B71,INDEX(Input!$I$43:$I$2956,AG$3+$A70),"")</f>
        <v/>
      </c>
      <c r="AH71" s="17" t="str">
        <f>IF(AH$3&lt;=$B71,INDEX(Input!$I$43:$I$2956,AH$3+$A70),"")</f>
        <v/>
      </c>
      <c r="AI71" s="17" t="str">
        <f>IF(AI$3&lt;=$B71,INDEX(Input!$I$43:$I$2956,AI$3+$A70),"")</f>
        <v/>
      </c>
      <c r="AJ71" s="17" t="str">
        <f>IF(AJ$3&lt;=$B71,INDEX(Input!$I$43:$I$2956,AJ$3+$A70),"")</f>
        <v/>
      </c>
      <c r="AK71" s="17" t="str">
        <f>IF(AK$3&lt;=$B71,INDEX(Input!$I$43:$I$2956,AK$3+$A70),"")</f>
        <v/>
      </c>
      <c r="AL71" s="17" t="str">
        <f>IF(AL$3&lt;=$B71,INDEX(Input!$I$43:$I$2956,AL$3+$A70),"")</f>
        <v/>
      </c>
      <c r="AM71" s="17" t="str">
        <f>IF(AM$3&lt;=$B71,INDEX(Input!$I$43:$I$2956,AM$3+$A70),"")</f>
        <v/>
      </c>
      <c r="AN71" s="17" t="str">
        <f>IF(AN$3&lt;=$B71,INDEX(Input!$I$43:$I$2956,AN$3+$A70),"")</f>
        <v/>
      </c>
      <c r="AO71" s="17" t="str">
        <f>IF(AO$3&lt;=$B71,INDEX(Input!$I$43:$I$2956,AO$3+$A70),"")</f>
        <v/>
      </c>
      <c r="AP71" s="17" t="str">
        <f>IF(AP$3&lt;=$B71,INDEX(Input!$I$43:$I$2956,AP$3+$A70),"")</f>
        <v/>
      </c>
      <c r="AQ71" s="17" t="str">
        <f>IF(AQ$3&lt;=$B71,INDEX(Input!$I$43:$I$2956,AQ$3+$A70),"")</f>
        <v/>
      </c>
      <c r="AR71" s="17" t="str">
        <f>IF(AR$3&lt;=$B71,INDEX(Input!$I$43:$I$2956,AR$3+$A70),"")</f>
        <v/>
      </c>
      <c r="AS71" s="17" t="str">
        <f>IF(AS$3&lt;=$B71,INDEX(Input!$I$43:$I$2956,AS$3+$A70),"")</f>
        <v/>
      </c>
      <c r="AT71" s="17" t="str">
        <f>IF(AT$3&lt;=$B71,INDEX(Input!$I$43:$I$2956,AT$3+$A70),"")</f>
        <v/>
      </c>
      <c r="AU71" s="17" t="str">
        <f>IF(AU$3&lt;=$B71,INDEX(Input!$I$43:$I$2956,AU$3+$A70),"")</f>
        <v/>
      </c>
      <c r="AV71" s="17" t="str">
        <f>IF(AV$3&lt;=$B71,INDEX(Input!$I$43:$I$2956,AV$3+$A70),"")</f>
        <v/>
      </c>
      <c r="AW71" s="17" t="str">
        <f>IF(AW$3&lt;=$B71,INDEX(Input!$I$43:$I$2956,AW$3+$A70),"")</f>
        <v/>
      </c>
      <c r="AX71" s="17" t="str">
        <f>IF(AX$3&lt;=$B71,INDEX(Input!$I$43:$I$2956,AX$3+$A70),"")</f>
        <v/>
      </c>
      <c r="AY71" s="17" t="str">
        <f>IF(AY$3&lt;=$B71,INDEX(Input!$I$43:$I$2956,AY$3+$A70),"")</f>
        <v/>
      </c>
      <c r="AZ71" s="17" t="str">
        <f>IF(AZ$3&lt;=$B71,INDEX(Input!$I$43:$I$2956,AZ$3+$A70),"")</f>
        <v/>
      </c>
      <c r="BA71" s="17" t="str">
        <f>IF(BA$3&lt;=$B71,INDEX(Input!$I$43:$I$2956,BA$3+$A70),"")</f>
        <v/>
      </c>
      <c r="BB71" s="17" t="str">
        <f>IF(BB$3&lt;=$B71,INDEX(Input!$I$43:$I$2956,BB$3+$A70),"")</f>
        <v/>
      </c>
      <c r="BC71" s="17" t="str">
        <f>IF(BC$3&lt;=$B71,INDEX(Input!$I$43:$I$2956,BC$3+$A70),"")</f>
        <v/>
      </c>
      <c r="BD71" s="17" t="str">
        <f>IF(BD$3&lt;=$B71,INDEX(Input!$I$43:$I$2956,BD$3+$A70),"")</f>
        <v/>
      </c>
      <c r="BE71" s="17" t="str">
        <f>IF(BE$3&lt;=$B71,INDEX(Input!$I$43:$I$2956,BE$3+$A70),"")</f>
        <v/>
      </c>
      <c r="BF71" s="17" t="str">
        <f>IF(BF$3&lt;=$B71,INDEX(Input!$I$43:$I$2956,BF$3+$A70),"")</f>
        <v/>
      </c>
      <c r="BG71" s="17" t="str">
        <f>IF(BG$3&lt;=$B71,INDEX(Input!$I$43:$I$2956,BG$3+$A70),"")</f>
        <v/>
      </c>
      <c r="BH71" s="17" t="str">
        <f>IF(BH$3&lt;=$B71,INDEX(Input!$I$43:$I$2956,BH$3+$A70),"")</f>
        <v/>
      </c>
      <c r="BI71" s="17" t="str">
        <f>IF(BI$3&lt;=$B71,INDEX(Input!$I$43:$I$2956,BI$3+$A70),"")</f>
        <v/>
      </c>
      <c r="BJ71" s="17" t="str">
        <f>IF(BJ$3&lt;=$B71,INDEX(Input!$I$43:$I$2956,BJ$3+$A70),"")</f>
        <v/>
      </c>
      <c r="BK71" s="17" t="str">
        <f>IF(BK$3&lt;=$B71,INDEX(Input!$I$43:$I$2956,BK$3+$A70),"")</f>
        <v/>
      </c>
      <c r="BL71" s="17" t="str">
        <f>IF(BL$3&lt;=$B71,INDEX(Input!$I$43:$I$2956,BL$3+$A70),"")</f>
        <v/>
      </c>
      <c r="BM71" s="17" t="str">
        <f>IF(BM$3&lt;=$B71,INDEX(Input!$I$43:$I$2956,BM$3+$A70),"")</f>
        <v/>
      </c>
      <c r="BN71" s="17" t="str">
        <f>IF(BN$3&lt;=$B71,INDEX(Input!$I$43:$I$2956,BN$3+$A70),"")</f>
        <v/>
      </c>
      <c r="BO71" s="17" t="str">
        <f>IF(BO$3&lt;=$B71,INDEX(Input!$I$43:$I$2956,BO$3+$A70),"")</f>
        <v/>
      </c>
      <c r="BP71" s="17" t="str">
        <f>IF(BP$3&lt;=$B71,INDEX(Input!$I$43:$I$2956,BP$3+$A70),"")</f>
        <v/>
      </c>
      <c r="BQ71" s="17" t="str">
        <f>IF(BQ$3&lt;=$B71,INDEX(Input!$I$43:$I$2956,BQ$3+$A70),"")</f>
        <v/>
      </c>
      <c r="BR71" s="17" t="str">
        <f>IF(BR$3&lt;=$B71,INDEX(Input!$I$43:$I$2956,BR$3+$A70),"")</f>
        <v/>
      </c>
      <c r="BS71" s="17" t="str">
        <f>IF(BS$3&lt;=$B71,INDEX(Input!$I$43:$I$2956,BS$3+$A70),"")</f>
        <v/>
      </c>
      <c r="BT71" s="17" t="str">
        <f>IF(BT$3&lt;=$B71,INDEX(Input!$I$43:$I$2956,BT$3+$A70),"")</f>
        <v/>
      </c>
      <c r="BU71" s="17" t="str">
        <f>IF(BU$3&lt;=$B71,INDEX(Input!$I$43:$I$2956,BU$3+$A70),"")</f>
        <v/>
      </c>
      <c r="BV71" s="17" t="str">
        <f>IF(BV$3&lt;=$B71,INDEX(Input!$I$43:$I$2956,BV$3+$A70),"")</f>
        <v/>
      </c>
      <c r="BW71" s="17" t="str">
        <f>IF(BW$3&lt;=$B71,INDEX(Input!$I$43:$I$2956,BW$3+$A70),"")</f>
        <v/>
      </c>
      <c r="BX71" s="17" t="str">
        <f>IF(BX$3&lt;=$B71,INDEX(Input!$I$43:$I$2956,BX$3+$A70),"")</f>
        <v/>
      </c>
      <c r="BY71" s="17" t="str">
        <f>IF(BY$3&lt;=$B71,INDEX(Input!$I$43:$I$2956,BY$3+$A70),"")</f>
        <v/>
      </c>
      <c r="BZ71" s="17" t="str">
        <f>IF(BZ$3&lt;=$B71,INDEX(Input!$I$43:$I$2956,BZ$3+$A70),"")</f>
        <v/>
      </c>
      <c r="CA71" s="17" t="str">
        <f>IF(CA$3&lt;=$B71,INDEX(Input!$I$43:$I$2956,CA$3+$A70),"")</f>
        <v/>
      </c>
      <c r="CB71" s="17" t="str">
        <f>IF(CB$3&lt;=$B71,INDEX(Input!$I$43:$I$2956,CB$3+$A70),"")</f>
        <v/>
      </c>
      <c r="CC71" s="17" t="str">
        <f>IF(CC$3&lt;=$B71,INDEX(Input!$I$43:$I$2956,CC$3+$A70),"")</f>
        <v/>
      </c>
      <c r="CD71" s="17" t="str">
        <f>IF(CD$3&lt;=$B71,INDEX(Input!$I$43:$I$2956,CD$3+$A70),"")</f>
        <v/>
      </c>
      <c r="CE71" s="17" t="str">
        <f>IF(CE$3&lt;=$B71,INDEX(Input!$I$43:$I$2956,CE$3+$A70),"")</f>
        <v/>
      </c>
      <c r="CF71" s="17" t="str">
        <f>IF(CF$3&lt;=$B71,INDEX(Input!$I$43:$I$2956,CF$3+$A70),"")</f>
        <v/>
      </c>
      <c r="CG71" s="17" t="str">
        <f>IF(CG$3&lt;=$B71,INDEX(Input!$I$43:$I$2956,CG$3+$A70),"")</f>
        <v/>
      </c>
      <c r="CH71" s="17" t="str">
        <f>IF(CH$3&lt;=$B71,INDEX(Input!$I$43:$I$2956,CH$3+$A70),"")</f>
        <v/>
      </c>
      <c r="CI71" s="17" t="str">
        <f>IF(CI$3&lt;=$B71,INDEX(Input!$I$43:$I$2956,CI$3+$A70),"")</f>
        <v/>
      </c>
      <c r="CJ71" s="17" t="str">
        <f>IF(CJ$3&lt;=$B71,INDEX(Input!$I$43:$I$2956,CJ$3+$A70),"")</f>
        <v/>
      </c>
      <c r="CK71" s="17" t="str">
        <f>IF(CK$3&lt;=$B71,INDEX(Input!$I$43:$I$2956,CK$3+$A70),"")</f>
        <v/>
      </c>
      <c r="CL71" s="17" t="str">
        <f>IF(CL$3&lt;=$B71,INDEX(Input!$I$43:$I$2956,CL$3+$A70),"")</f>
        <v/>
      </c>
      <c r="CM71" s="17" t="str">
        <f>IF(CM$3&lt;=$B71,INDEX(Input!$I$43:$I$2956,CM$3+$A70),"")</f>
        <v/>
      </c>
      <c r="CN71" s="17" t="str">
        <f>IF(CN$3&lt;=$B71,INDEX(Input!$I$43:$I$2956,CN$3+$A70),"")</f>
        <v/>
      </c>
      <c r="CO71" s="17" t="str">
        <f>IF(CO$3&lt;=$B71,INDEX(Input!$I$43:$I$2956,CO$3+$A70),"")</f>
        <v/>
      </c>
      <c r="CP71" s="17" t="str">
        <f>IF(CP$3&lt;=$B71,INDEX(Input!$I$43:$I$2956,CP$3+$A70),"")</f>
        <v/>
      </c>
      <c r="CQ71" s="17" t="str">
        <f>IF(CQ$3&lt;=$B71,INDEX(Input!$I$43:$I$2956,CQ$3+$A70),"")</f>
        <v/>
      </c>
      <c r="CR71" s="17" t="str">
        <f>IF(CR$3&lt;=$B71,INDEX(Input!$I$43:$I$2956,CR$3+$A70),"")</f>
        <v/>
      </c>
      <c r="CS71" s="17" t="str">
        <f>IF(CS$3&lt;=$B71,INDEX(Input!$I$43:$I$2956,CS$3+$A70),"")</f>
        <v/>
      </c>
      <c r="CT71" s="17" t="str">
        <f>IF(CT$3&lt;=$B71,INDEX(Input!$I$43:$I$2956,CT$3+$A70),"")</f>
        <v/>
      </c>
      <c r="CU71" s="17" t="str">
        <f>IF(CU$3&lt;=$B71,INDEX(Input!$I$43:$I$2956,CU$3+$A70),"")</f>
        <v/>
      </c>
      <c r="CV71" s="17" t="str">
        <f>IF(CV$3&lt;=$B71,INDEX(Input!$I$43:$I$2956,CV$3+$A70),"")</f>
        <v/>
      </c>
      <c r="CW71" s="17" t="str">
        <f>IF(CW$3&lt;=$B71,INDEX(Input!$I$43:$I$2956,CW$3+$A70),"")</f>
        <v/>
      </c>
      <c r="CX71" s="17" t="str">
        <f>IF(CX$3&lt;=$B71,INDEX(Input!$I$43:$I$2956,CX$3+$A70),"")</f>
        <v/>
      </c>
      <c r="CY71" s="17" t="str">
        <f>IF(CY$3&lt;=$B71,INDEX(Input!$I$43:$I$2956,CY$3+$A70),"")</f>
        <v/>
      </c>
      <c r="CZ71" s="17" t="str">
        <f>IF(CZ$3&lt;=$B71,INDEX(Input!$I$43:$I$2956,CZ$3+$A70),"")</f>
        <v/>
      </c>
      <c r="DA71" s="17" t="str">
        <f>IF(DA$3&lt;=$B71,INDEX(Input!$I$43:$I$2956,DA$3+$A70),"")</f>
        <v/>
      </c>
      <c r="DB71" s="17" t="str">
        <f>IF(DB$3&lt;=$B71,INDEX(Input!$I$43:$I$2956,DB$3+$A70),"")</f>
        <v/>
      </c>
      <c r="DC71" s="17" t="str">
        <f>IF(DC$3&lt;=$B71,INDEX(Input!$I$43:$I$2956,DC$3+$A70),"")</f>
        <v/>
      </c>
      <c r="DD71" s="17" t="str">
        <f>IF(DD$3&lt;=$B71,INDEX(Input!$I$43:$I$2956,DD$3+$A70),"")</f>
        <v/>
      </c>
      <c r="DE71" s="17" t="str">
        <f>IF(DE$3&lt;=$B71,INDEX(Input!$I$43:$I$2956,DE$3+$A70),"")</f>
        <v/>
      </c>
      <c r="DF71" s="17" t="str">
        <f>IF(DF$3&lt;=$B71,INDEX(Input!$I$43:$I$2956,DF$3+$A70),"")</f>
        <v/>
      </c>
      <c r="DG71" s="17" t="str">
        <f>IF(DG$3&lt;=$B71,INDEX(Input!$I$43:$I$2956,DG$3+$A70),"")</f>
        <v/>
      </c>
      <c r="DH71" s="17" t="str">
        <f>IF(DH$3&lt;=$B71,INDEX(Input!$I$43:$I$2956,DH$3+$A70),"")</f>
        <v/>
      </c>
      <c r="DI71" s="17" t="str">
        <f>IF(DI$3&lt;=$B71,INDEX(Input!$I$43:$I$2956,DI$3+$A70),"")</f>
        <v/>
      </c>
      <c r="DJ71" s="17" t="str">
        <f>IF(DJ$3&lt;=$B71,INDEX(Input!$I$43:$I$2956,DJ$3+$A70),"")</f>
        <v/>
      </c>
      <c r="DK71" s="17" t="str">
        <f>IF(DK$3&lt;=$B71,INDEX(Input!$I$43:$I$2956,DK$3+$A70),"")</f>
        <v/>
      </c>
      <c r="DL71" s="17" t="str">
        <f>IF(DL$3&lt;=$B71,INDEX(Input!$I$43:$I$2956,DL$3+$A70),"")</f>
        <v/>
      </c>
      <c r="DM71" s="17" t="str">
        <f>IF(DM$3&lt;=$B71,INDEX(Input!$I$43:$I$2956,DM$3+$A70),"")</f>
        <v/>
      </c>
      <c r="DN71" s="17" t="str">
        <f>IF(DN$3&lt;=$B71,INDEX(Input!$I$43:$I$2956,DN$3+$A70),"")</f>
        <v/>
      </c>
      <c r="DO71" s="17" t="str">
        <f>IF(DO$3&lt;=$B71,INDEX(Input!$I$43:$I$2956,DO$3+$A70),"")</f>
        <v/>
      </c>
      <c r="DP71" s="17" t="str">
        <f>IF(DP$3&lt;=$B71,INDEX(Input!$I$43:$I$2956,DP$3+$A70),"")</f>
        <v/>
      </c>
      <c r="DQ71" s="17" t="str">
        <f>IF(DQ$3&lt;=$B71,INDEX(Input!$I$43:$I$2956,DQ$3+$A70),"")</f>
        <v/>
      </c>
      <c r="DR71" s="17" t="str">
        <f>IF(DR$3&lt;=$B71,INDEX(Input!$I$43:$I$2956,DR$3+$A70),"")</f>
        <v/>
      </c>
      <c r="DS71" s="17" t="str">
        <f>IF(DS$3&lt;=$B71,INDEX(Input!$I$43:$I$2956,DS$3+$A70),"")</f>
        <v/>
      </c>
      <c r="DT71" s="17" t="str">
        <f>IF(DT$3&lt;=$B71,INDEX(Input!$I$43:$I$2956,DT$3+$A70),"")</f>
        <v/>
      </c>
      <c r="DU71" s="17" t="str">
        <f>IF(DU$3&lt;=$B71,INDEX(Input!$I$43:$I$2956,DU$3+$A70),"")</f>
        <v/>
      </c>
      <c r="DV71" s="17" t="str">
        <f>IF(DV$3&lt;=$B71,INDEX(Input!$I$43:$I$2956,DV$3+$A70),"")</f>
        <v/>
      </c>
      <c r="DW71" s="58" t="str">
        <f t="array" ref="DW71:EZ71">IFERROR(eccalc(E71:DV71,C71+B71,B71,$O$2:$AS$2),"")</f>
        <v/>
      </c>
      <c r="DX71" s="59" t="str">
        <v/>
      </c>
      <c r="DY71" s="59" t="str">
        <v/>
      </c>
      <c r="DZ71" s="59" t="str">
        <v/>
      </c>
      <c r="EA71" s="59" t="str">
        <v/>
      </c>
      <c r="EB71" s="59" t="str">
        <v/>
      </c>
      <c r="EC71" s="59" t="str">
        <v/>
      </c>
      <c r="ED71" s="59" t="str">
        <v/>
      </c>
      <c r="EE71" s="59" t="str">
        <v/>
      </c>
      <c r="EF71" s="59" t="str">
        <v/>
      </c>
      <c r="EG71" s="59" t="str">
        <v/>
      </c>
      <c r="EH71" s="59" t="str">
        <v/>
      </c>
      <c r="EI71" s="59" t="str">
        <v/>
      </c>
      <c r="EJ71" s="59" t="str">
        <v/>
      </c>
      <c r="EK71" s="59" t="str">
        <v/>
      </c>
      <c r="EL71" s="59" t="str">
        <v/>
      </c>
      <c r="EM71" s="59" t="str">
        <v/>
      </c>
      <c r="EN71" s="59" t="str">
        <v/>
      </c>
      <c r="EO71" s="59" t="str">
        <v/>
      </c>
      <c r="EP71" s="59" t="str">
        <v/>
      </c>
      <c r="EQ71" s="59" t="str">
        <v/>
      </c>
      <c r="ER71" s="59" t="str">
        <v/>
      </c>
      <c r="ES71" s="59" t="str">
        <v/>
      </c>
      <c r="ET71" s="59" t="str">
        <v/>
      </c>
      <c r="EU71" s="59" t="str">
        <v/>
      </c>
      <c r="EV71" s="59" t="str">
        <v/>
      </c>
      <c r="EW71" s="59" t="str">
        <v/>
      </c>
      <c r="EX71" s="59" t="str">
        <v/>
      </c>
      <c r="EY71" s="59" t="str">
        <v/>
      </c>
      <c r="EZ71" s="60" t="str">
        <v/>
      </c>
      <c r="FA71" s="17"/>
      <c r="FC71">
        <v>68</v>
      </c>
      <c r="FD71">
        <f t="shared" si="10"/>
        <v>4</v>
      </c>
      <c r="FE71">
        <f t="shared" si="11"/>
        <v>5</v>
      </c>
      <c r="FF71">
        <f t="shared" si="12"/>
        <v>50</v>
      </c>
      <c r="FI71" s="16">
        <v>68</v>
      </c>
      <c r="FJ71" s="17">
        <f t="shared" si="13"/>
        <v>222</v>
      </c>
      <c r="FK71" s="17">
        <f t="shared" si="14"/>
        <v>50</v>
      </c>
      <c r="FL71" s="18" t="str">
        <f t="shared" si="15"/>
        <v>00110010</v>
      </c>
      <c r="FM71" s="2"/>
    </row>
    <row r="72" spans="1:169">
      <c r="A72">
        <f>SUM($B$4:B72)</f>
        <v>196</v>
      </c>
      <c r="B72">
        <f t="shared" si="8"/>
        <v>0</v>
      </c>
      <c r="C72" t="str">
        <f t="shared" si="9"/>
        <v/>
      </c>
      <c r="D72">
        <v>69</v>
      </c>
      <c r="E72" s="16" t="str">
        <f>IF(E$3&lt;=$B72,INDEX(Input!$I$43:$I$2956,E$3+$A71),"")</f>
        <v/>
      </c>
      <c r="F72" s="17" t="str">
        <f>IF(F$3&lt;=$B72,INDEX(Input!$I$43:$I$2956,F$3+$A71),"")</f>
        <v/>
      </c>
      <c r="G72" s="17" t="str">
        <f>IF(G$3&lt;=$B72,INDEX(Input!$I$43:$I$2956,G$3+$A71),"")</f>
        <v/>
      </c>
      <c r="H72" s="17" t="str">
        <f>IF(H$3&lt;=$B72,INDEX(Input!$I$43:$I$2956,H$3+$A71),"")</f>
        <v/>
      </c>
      <c r="I72" s="17" t="str">
        <f>IF(I$3&lt;=$B72,INDEX(Input!$I$43:$I$2956,I$3+$A71),"")</f>
        <v/>
      </c>
      <c r="J72" s="17" t="str">
        <f>IF(J$3&lt;=$B72,INDEX(Input!$I$43:$I$2956,J$3+$A71),"")</f>
        <v/>
      </c>
      <c r="K72" s="17" t="str">
        <f>IF(K$3&lt;=$B72,INDEX(Input!$I$43:$I$2956,K$3+$A71),"")</f>
        <v/>
      </c>
      <c r="L72" s="17" t="str">
        <f>IF(L$3&lt;=$B72,INDEX(Input!$I$43:$I$2956,L$3+$A71),"")</f>
        <v/>
      </c>
      <c r="M72" s="17" t="str">
        <f>IF(M$3&lt;=$B72,INDEX(Input!$I$43:$I$2956,M$3+$A71),"")</f>
        <v/>
      </c>
      <c r="N72" s="17" t="str">
        <f>IF(N$3&lt;=$B72,INDEX(Input!$I$43:$I$2956,N$3+$A71),"")</f>
        <v/>
      </c>
      <c r="O72" s="17" t="str">
        <f>IF(O$3&lt;=$B72,INDEX(Input!$I$43:$I$2956,O$3+$A71),"")</f>
        <v/>
      </c>
      <c r="P72" s="17" t="str">
        <f>IF(P$3&lt;=$B72,INDEX(Input!$I$43:$I$2956,P$3+$A71),"")</f>
        <v/>
      </c>
      <c r="Q72" s="17" t="str">
        <f>IF(Q$3&lt;=$B72,INDEX(Input!$I$43:$I$2956,Q$3+$A71),"")</f>
        <v/>
      </c>
      <c r="R72" s="17" t="str">
        <f>IF(R$3&lt;=$B72,INDEX(Input!$I$43:$I$2956,R$3+$A71),"")</f>
        <v/>
      </c>
      <c r="S72" s="17" t="str">
        <f>IF(S$3&lt;=$B72,INDEX(Input!$I$43:$I$2956,S$3+$A71),"")</f>
        <v/>
      </c>
      <c r="T72" s="17" t="str">
        <f>IF(T$3&lt;=$B72,INDEX(Input!$I$43:$I$2956,T$3+$A71),"")</f>
        <v/>
      </c>
      <c r="U72" s="17" t="str">
        <f>IF(U$3&lt;=$B72,INDEX(Input!$I$43:$I$2956,U$3+$A71),"")</f>
        <v/>
      </c>
      <c r="V72" s="17" t="str">
        <f>IF(V$3&lt;=$B72,INDEX(Input!$I$43:$I$2956,V$3+$A71),"")</f>
        <v/>
      </c>
      <c r="W72" s="17" t="str">
        <f>IF(W$3&lt;=$B72,INDEX(Input!$I$43:$I$2956,W$3+$A71),"")</f>
        <v/>
      </c>
      <c r="X72" s="17" t="str">
        <f>IF(X$3&lt;=$B72,INDEX(Input!$I$43:$I$2956,X$3+$A71),"")</f>
        <v/>
      </c>
      <c r="Y72" s="17" t="str">
        <f>IF(Y$3&lt;=$B72,INDEX(Input!$I$43:$I$2956,Y$3+$A71),"")</f>
        <v/>
      </c>
      <c r="Z72" s="17" t="str">
        <f>IF(Z$3&lt;=$B72,INDEX(Input!$I$43:$I$2956,Z$3+$A71),"")</f>
        <v/>
      </c>
      <c r="AA72" s="17" t="str">
        <f>IF(AA$3&lt;=$B72,INDEX(Input!$I$43:$I$2956,AA$3+$A71),"")</f>
        <v/>
      </c>
      <c r="AB72" s="17" t="str">
        <f>IF(AB$3&lt;=$B72,INDEX(Input!$I$43:$I$2956,AB$3+$A71),"")</f>
        <v/>
      </c>
      <c r="AC72" s="17" t="str">
        <f>IF(AC$3&lt;=$B72,INDEX(Input!$I$43:$I$2956,AC$3+$A71),"")</f>
        <v/>
      </c>
      <c r="AD72" s="17" t="str">
        <f>IF(AD$3&lt;=$B72,INDEX(Input!$I$43:$I$2956,AD$3+$A71),"")</f>
        <v/>
      </c>
      <c r="AE72" s="17" t="str">
        <f>IF(AE$3&lt;=$B72,INDEX(Input!$I$43:$I$2956,AE$3+$A71),"")</f>
        <v/>
      </c>
      <c r="AF72" s="17" t="str">
        <f>IF(AF$3&lt;=$B72,INDEX(Input!$I$43:$I$2956,AF$3+$A71),"")</f>
        <v/>
      </c>
      <c r="AG72" s="17" t="str">
        <f>IF(AG$3&lt;=$B72,INDEX(Input!$I$43:$I$2956,AG$3+$A71),"")</f>
        <v/>
      </c>
      <c r="AH72" s="17" t="str">
        <f>IF(AH$3&lt;=$B72,INDEX(Input!$I$43:$I$2956,AH$3+$A71),"")</f>
        <v/>
      </c>
      <c r="AI72" s="17" t="str">
        <f>IF(AI$3&lt;=$B72,INDEX(Input!$I$43:$I$2956,AI$3+$A71),"")</f>
        <v/>
      </c>
      <c r="AJ72" s="17" t="str">
        <f>IF(AJ$3&lt;=$B72,INDEX(Input!$I$43:$I$2956,AJ$3+$A71),"")</f>
        <v/>
      </c>
      <c r="AK72" s="17" t="str">
        <f>IF(AK$3&lt;=$B72,INDEX(Input!$I$43:$I$2956,AK$3+$A71),"")</f>
        <v/>
      </c>
      <c r="AL72" s="17" t="str">
        <f>IF(AL$3&lt;=$B72,INDEX(Input!$I$43:$I$2956,AL$3+$A71),"")</f>
        <v/>
      </c>
      <c r="AM72" s="17" t="str">
        <f>IF(AM$3&lt;=$B72,INDEX(Input!$I$43:$I$2956,AM$3+$A71),"")</f>
        <v/>
      </c>
      <c r="AN72" s="17" t="str">
        <f>IF(AN$3&lt;=$B72,INDEX(Input!$I$43:$I$2956,AN$3+$A71),"")</f>
        <v/>
      </c>
      <c r="AO72" s="17" t="str">
        <f>IF(AO$3&lt;=$B72,INDEX(Input!$I$43:$I$2956,AO$3+$A71),"")</f>
        <v/>
      </c>
      <c r="AP72" s="17" t="str">
        <f>IF(AP$3&lt;=$B72,INDEX(Input!$I$43:$I$2956,AP$3+$A71),"")</f>
        <v/>
      </c>
      <c r="AQ72" s="17" t="str">
        <f>IF(AQ$3&lt;=$B72,INDEX(Input!$I$43:$I$2956,AQ$3+$A71),"")</f>
        <v/>
      </c>
      <c r="AR72" s="17" t="str">
        <f>IF(AR$3&lt;=$B72,INDEX(Input!$I$43:$I$2956,AR$3+$A71),"")</f>
        <v/>
      </c>
      <c r="AS72" s="17" t="str">
        <f>IF(AS$3&lt;=$B72,INDEX(Input!$I$43:$I$2956,AS$3+$A71),"")</f>
        <v/>
      </c>
      <c r="AT72" s="17" t="str">
        <f>IF(AT$3&lt;=$B72,INDEX(Input!$I$43:$I$2956,AT$3+$A71),"")</f>
        <v/>
      </c>
      <c r="AU72" s="17" t="str">
        <f>IF(AU$3&lt;=$B72,INDEX(Input!$I$43:$I$2956,AU$3+$A71),"")</f>
        <v/>
      </c>
      <c r="AV72" s="17" t="str">
        <f>IF(AV$3&lt;=$B72,INDEX(Input!$I$43:$I$2956,AV$3+$A71),"")</f>
        <v/>
      </c>
      <c r="AW72" s="17" t="str">
        <f>IF(AW$3&lt;=$B72,INDEX(Input!$I$43:$I$2956,AW$3+$A71),"")</f>
        <v/>
      </c>
      <c r="AX72" s="17" t="str">
        <f>IF(AX$3&lt;=$B72,INDEX(Input!$I$43:$I$2956,AX$3+$A71),"")</f>
        <v/>
      </c>
      <c r="AY72" s="17" t="str">
        <f>IF(AY$3&lt;=$B72,INDEX(Input!$I$43:$I$2956,AY$3+$A71),"")</f>
        <v/>
      </c>
      <c r="AZ72" s="17" t="str">
        <f>IF(AZ$3&lt;=$B72,INDEX(Input!$I$43:$I$2956,AZ$3+$A71),"")</f>
        <v/>
      </c>
      <c r="BA72" s="17" t="str">
        <f>IF(BA$3&lt;=$B72,INDEX(Input!$I$43:$I$2956,BA$3+$A71),"")</f>
        <v/>
      </c>
      <c r="BB72" s="17" t="str">
        <f>IF(BB$3&lt;=$B72,INDEX(Input!$I$43:$I$2956,BB$3+$A71),"")</f>
        <v/>
      </c>
      <c r="BC72" s="17" t="str">
        <f>IF(BC$3&lt;=$B72,INDEX(Input!$I$43:$I$2956,BC$3+$A71),"")</f>
        <v/>
      </c>
      <c r="BD72" s="17" t="str">
        <f>IF(BD$3&lt;=$B72,INDEX(Input!$I$43:$I$2956,BD$3+$A71),"")</f>
        <v/>
      </c>
      <c r="BE72" s="17" t="str">
        <f>IF(BE$3&lt;=$B72,INDEX(Input!$I$43:$I$2956,BE$3+$A71),"")</f>
        <v/>
      </c>
      <c r="BF72" s="17" t="str">
        <f>IF(BF$3&lt;=$B72,INDEX(Input!$I$43:$I$2956,BF$3+$A71),"")</f>
        <v/>
      </c>
      <c r="BG72" s="17" t="str">
        <f>IF(BG$3&lt;=$B72,INDEX(Input!$I$43:$I$2956,BG$3+$A71),"")</f>
        <v/>
      </c>
      <c r="BH72" s="17" t="str">
        <f>IF(BH$3&lt;=$B72,INDEX(Input!$I$43:$I$2956,BH$3+$A71),"")</f>
        <v/>
      </c>
      <c r="BI72" s="17" t="str">
        <f>IF(BI$3&lt;=$B72,INDEX(Input!$I$43:$I$2956,BI$3+$A71),"")</f>
        <v/>
      </c>
      <c r="BJ72" s="17" t="str">
        <f>IF(BJ$3&lt;=$B72,INDEX(Input!$I$43:$I$2956,BJ$3+$A71),"")</f>
        <v/>
      </c>
      <c r="BK72" s="17" t="str">
        <f>IF(BK$3&lt;=$B72,INDEX(Input!$I$43:$I$2956,BK$3+$A71),"")</f>
        <v/>
      </c>
      <c r="BL72" s="17" t="str">
        <f>IF(BL$3&lt;=$B72,INDEX(Input!$I$43:$I$2956,BL$3+$A71),"")</f>
        <v/>
      </c>
      <c r="BM72" s="17" t="str">
        <f>IF(BM$3&lt;=$B72,INDEX(Input!$I$43:$I$2956,BM$3+$A71),"")</f>
        <v/>
      </c>
      <c r="BN72" s="17" t="str">
        <f>IF(BN$3&lt;=$B72,INDEX(Input!$I$43:$I$2956,BN$3+$A71),"")</f>
        <v/>
      </c>
      <c r="BO72" s="17" t="str">
        <f>IF(BO$3&lt;=$B72,INDEX(Input!$I$43:$I$2956,BO$3+$A71),"")</f>
        <v/>
      </c>
      <c r="BP72" s="17" t="str">
        <f>IF(BP$3&lt;=$B72,INDEX(Input!$I$43:$I$2956,BP$3+$A71),"")</f>
        <v/>
      </c>
      <c r="BQ72" s="17" t="str">
        <f>IF(BQ$3&lt;=$B72,INDEX(Input!$I$43:$I$2956,BQ$3+$A71),"")</f>
        <v/>
      </c>
      <c r="BR72" s="17" t="str">
        <f>IF(BR$3&lt;=$B72,INDEX(Input!$I$43:$I$2956,BR$3+$A71),"")</f>
        <v/>
      </c>
      <c r="BS72" s="17" t="str">
        <f>IF(BS$3&lt;=$B72,INDEX(Input!$I$43:$I$2956,BS$3+$A71),"")</f>
        <v/>
      </c>
      <c r="BT72" s="17" t="str">
        <f>IF(BT$3&lt;=$B72,INDEX(Input!$I$43:$I$2956,BT$3+$A71),"")</f>
        <v/>
      </c>
      <c r="BU72" s="17" t="str">
        <f>IF(BU$3&lt;=$B72,INDEX(Input!$I$43:$I$2956,BU$3+$A71),"")</f>
        <v/>
      </c>
      <c r="BV72" s="17" t="str">
        <f>IF(BV$3&lt;=$B72,INDEX(Input!$I$43:$I$2956,BV$3+$A71),"")</f>
        <v/>
      </c>
      <c r="BW72" s="17" t="str">
        <f>IF(BW$3&lt;=$B72,INDEX(Input!$I$43:$I$2956,BW$3+$A71),"")</f>
        <v/>
      </c>
      <c r="BX72" s="17" t="str">
        <f>IF(BX$3&lt;=$B72,INDEX(Input!$I$43:$I$2956,BX$3+$A71),"")</f>
        <v/>
      </c>
      <c r="BY72" s="17" t="str">
        <f>IF(BY$3&lt;=$B72,INDEX(Input!$I$43:$I$2956,BY$3+$A71),"")</f>
        <v/>
      </c>
      <c r="BZ72" s="17" t="str">
        <f>IF(BZ$3&lt;=$B72,INDEX(Input!$I$43:$I$2956,BZ$3+$A71),"")</f>
        <v/>
      </c>
      <c r="CA72" s="17" t="str">
        <f>IF(CA$3&lt;=$B72,INDEX(Input!$I$43:$I$2956,CA$3+$A71),"")</f>
        <v/>
      </c>
      <c r="CB72" s="17" t="str">
        <f>IF(CB$3&lt;=$B72,INDEX(Input!$I$43:$I$2956,CB$3+$A71),"")</f>
        <v/>
      </c>
      <c r="CC72" s="17" t="str">
        <f>IF(CC$3&lt;=$B72,INDEX(Input!$I$43:$I$2956,CC$3+$A71),"")</f>
        <v/>
      </c>
      <c r="CD72" s="17" t="str">
        <f>IF(CD$3&lt;=$B72,INDEX(Input!$I$43:$I$2956,CD$3+$A71),"")</f>
        <v/>
      </c>
      <c r="CE72" s="17" t="str">
        <f>IF(CE$3&lt;=$B72,INDEX(Input!$I$43:$I$2956,CE$3+$A71),"")</f>
        <v/>
      </c>
      <c r="CF72" s="17" t="str">
        <f>IF(CF$3&lt;=$B72,INDEX(Input!$I$43:$I$2956,CF$3+$A71),"")</f>
        <v/>
      </c>
      <c r="CG72" s="17" t="str">
        <f>IF(CG$3&lt;=$B72,INDEX(Input!$I$43:$I$2956,CG$3+$A71),"")</f>
        <v/>
      </c>
      <c r="CH72" s="17" t="str">
        <f>IF(CH$3&lt;=$B72,INDEX(Input!$I$43:$I$2956,CH$3+$A71),"")</f>
        <v/>
      </c>
      <c r="CI72" s="17" t="str">
        <f>IF(CI$3&lt;=$B72,INDEX(Input!$I$43:$I$2956,CI$3+$A71),"")</f>
        <v/>
      </c>
      <c r="CJ72" s="17" t="str">
        <f>IF(CJ$3&lt;=$B72,INDEX(Input!$I$43:$I$2956,CJ$3+$A71),"")</f>
        <v/>
      </c>
      <c r="CK72" s="17" t="str">
        <f>IF(CK$3&lt;=$B72,INDEX(Input!$I$43:$I$2956,CK$3+$A71),"")</f>
        <v/>
      </c>
      <c r="CL72" s="17" t="str">
        <f>IF(CL$3&lt;=$B72,INDEX(Input!$I$43:$I$2956,CL$3+$A71),"")</f>
        <v/>
      </c>
      <c r="CM72" s="17" t="str">
        <f>IF(CM$3&lt;=$B72,INDEX(Input!$I$43:$I$2956,CM$3+$A71),"")</f>
        <v/>
      </c>
      <c r="CN72" s="17" t="str">
        <f>IF(CN$3&lt;=$B72,INDEX(Input!$I$43:$I$2956,CN$3+$A71),"")</f>
        <v/>
      </c>
      <c r="CO72" s="17" t="str">
        <f>IF(CO$3&lt;=$B72,INDEX(Input!$I$43:$I$2956,CO$3+$A71),"")</f>
        <v/>
      </c>
      <c r="CP72" s="17" t="str">
        <f>IF(CP$3&lt;=$B72,INDEX(Input!$I$43:$I$2956,CP$3+$A71),"")</f>
        <v/>
      </c>
      <c r="CQ72" s="17" t="str">
        <f>IF(CQ$3&lt;=$B72,INDEX(Input!$I$43:$I$2956,CQ$3+$A71),"")</f>
        <v/>
      </c>
      <c r="CR72" s="17" t="str">
        <f>IF(CR$3&lt;=$B72,INDEX(Input!$I$43:$I$2956,CR$3+$A71),"")</f>
        <v/>
      </c>
      <c r="CS72" s="17" t="str">
        <f>IF(CS$3&lt;=$B72,INDEX(Input!$I$43:$I$2956,CS$3+$A71),"")</f>
        <v/>
      </c>
      <c r="CT72" s="17" t="str">
        <f>IF(CT$3&lt;=$B72,INDEX(Input!$I$43:$I$2956,CT$3+$A71),"")</f>
        <v/>
      </c>
      <c r="CU72" s="17" t="str">
        <f>IF(CU$3&lt;=$B72,INDEX(Input!$I$43:$I$2956,CU$3+$A71),"")</f>
        <v/>
      </c>
      <c r="CV72" s="17" t="str">
        <f>IF(CV$3&lt;=$B72,INDEX(Input!$I$43:$I$2956,CV$3+$A71),"")</f>
        <v/>
      </c>
      <c r="CW72" s="17" t="str">
        <f>IF(CW$3&lt;=$B72,INDEX(Input!$I$43:$I$2956,CW$3+$A71),"")</f>
        <v/>
      </c>
      <c r="CX72" s="17" t="str">
        <f>IF(CX$3&lt;=$B72,INDEX(Input!$I$43:$I$2956,CX$3+$A71),"")</f>
        <v/>
      </c>
      <c r="CY72" s="17" t="str">
        <f>IF(CY$3&lt;=$B72,INDEX(Input!$I$43:$I$2956,CY$3+$A71),"")</f>
        <v/>
      </c>
      <c r="CZ72" s="17" t="str">
        <f>IF(CZ$3&lt;=$B72,INDEX(Input!$I$43:$I$2956,CZ$3+$A71),"")</f>
        <v/>
      </c>
      <c r="DA72" s="17" t="str">
        <f>IF(DA$3&lt;=$B72,INDEX(Input!$I$43:$I$2956,DA$3+$A71),"")</f>
        <v/>
      </c>
      <c r="DB72" s="17" t="str">
        <f>IF(DB$3&lt;=$B72,INDEX(Input!$I$43:$I$2956,DB$3+$A71),"")</f>
        <v/>
      </c>
      <c r="DC72" s="17" t="str">
        <f>IF(DC$3&lt;=$B72,INDEX(Input!$I$43:$I$2956,DC$3+$A71),"")</f>
        <v/>
      </c>
      <c r="DD72" s="17" t="str">
        <f>IF(DD$3&lt;=$B72,INDEX(Input!$I$43:$I$2956,DD$3+$A71),"")</f>
        <v/>
      </c>
      <c r="DE72" s="17" t="str">
        <f>IF(DE$3&lt;=$B72,INDEX(Input!$I$43:$I$2956,DE$3+$A71),"")</f>
        <v/>
      </c>
      <c r="DF72" s="17" t="str">
        <f>IF(DF$3&lt;=$B72,INDEX(Input!$I$43:$I$2956,DF$3+$A71),"")</f>
        <v/>
      </c>
      <c r="DG72" s="17" t="str">
        <f>IF(DG$3&lt;=$B72,INDEX(Input!$I$43:$I$2956,DG$3+$A71),"")</f>
        <v/>
      </c>
      <c r="DH72" s="17" t="str">
        <f>IF(DH$3&lt;=$B72,INDEX(Input!$I$43:$I$2956,DH$3+$A71),"")</f>
        <v/>
      </c>
      <c r="DI72" s="17" t="str">
        <f>IF(DI$3&lt;=$B72,INDEX(Input!$I$43:$I$2956,DI$3+$A71),"")</f>
        <v/>
      </c>
      <c r="DJ72" s="17" t="str">
        <f>IF(DJ$3&lt;=$B72,INDEX(Input!$I$43:$I$2956,DJ$3+$A71),"")</f>
        <v/>
      </c>
      <c r="DK72" s="17" t="str">
        <f>IF(DK$3&lt;=$B72,INDEX(Input!$I$43:$I$2956,DK$3+$A71),"")</f>
        <v/>
      </c>
      <c r="DL72" s="17" t="str">
        <f>IF(DL$3&lt;=$B72,INDEX(Input!$I$43:$I$2956,DL$3+$A71),"")</f>
        <v/>
      </c>
      <c r="DM72" s="17" t="str">
        <f>IF(DM$3&lt;=$B72,INDEX(Input!$I$43:$I$2956,DM$3+$A71),"")</f>
        <v/>
      </c>
      <c r="DN72" s="17" t="str">
        <f>IF(DN$3&lt;=$B72,INDEX(Input!$I$43:$I$2956,DN$3+$A71),"")</f>
        <v/>
      </c>
      <c r="DO72" s="17" t="str">
        <f>IF(DO$3&lt;=$B72,INDEX(Input!$I$43:$I$2956,DO$3+$A71),"")</f>
        <v/>
      </c>
      <c r="DP72" s="17" t="str">
        <f>IF(DP$3&lt;=$B72,INDEX(Input!$I$43:$I$2956,DP$3+$A71),"")</f>
        <v/>
      </c>
      <c r="DQ72" s="17" t="str">
        <f>IF(DQ$3&lt;=$B72,INDEX(Input!$I$43:$I$2956,DQ$3+$A71),"")</f>
        <v/>
      </c>
      <c r="DR72" s="17" t="str">
        <f>IF(DR$3&lt;=$B72,INDEX(Input!$I$43:$I$2956,DR$3+$A71),"")</f>
        <v/>
      </c>
      <c r="DS72" s="17" t="str">
        <f>IF(DS$3&lt;=$B72,INDEX(Input!$I$43:$I$2956,DS$3+$A71),"")</f>
        <v/>
      </c>
      <c r="DT72" s="17" t="str">
        <f>IF(DT$3&lt;=$B72,INDEX(Input!$I$43:$I$2956,DT$3+$A71),"")</f>
        <v/>
      </c>
      <c r="DU72" s="17" t="str">
        <f>IF(DU$3&lt;=$B72,INDEX(Input!$I$43:$I$2956,DU$3+$A71),"")</f>
        <v/>
      </c>
      <c r="DV72" s="17" t="str">
        <f>IF(DV$3&lt;=$B72,INDEX(Input!$I$43:$I$2956,DV$3+$A71),"")</f>
        <v/>
      </c>
      <c r="DW72" s="58" t="str">
        <f t="array" ref="DW72:EZ72">IFERROR(eccalc(E72:DV72,C72+B72,B72,$O$2:$AS$2),"")</f>
        <v/>
      </c>
      <c r="DX72" s="59" t="str">
        <v/>
      </c>
      <c r="DY72" s="59" t="str">
        <v/>
      </c>
      <c r="DZ72" s="59" t="str">
        <v/>
      </c>
      <c r="EA72" s="59" t="str">
        <v/>
      </c>
      <c r="EB72" s="59" t="str">
        <v/>
      </c>
      <c r="EC72" s="59" t="str">
        <v/>
      </c>
      <c r="ED72" s="59" t="str">
        <v/>
      </c>
      <c r="EE72" s="59" t="str">
        <v/>
      </c>
      <c r="EF72" s="59" t="str">
        <v/>
      </c>
      <c r="EG72" s="59" t="str">
        <v/>
      </c>
      <c r="EH72" s="59" t="str">
        <v/>
      </c>
      <c r="EI72" s="59" t="str">
        <v/>
      </c>
      <c r="EJ72" s="59" t="str">
        <v/>
      </c>
      <c r="EK72" s="59" t="str">
        <v/>
      </c>
      <c r="EL72" s="59" t="str">
        <v/>
      </c>
      <c r="EM72" s="59" t="str">
        <v/>
      </c>
      <c r="EN72" s="59" t="str">
        <v/>
      </c>
      <c r="EO72" s="59" t="str">
        <v/>
      </c>
      <c r="EP72" s="59" t="str">
        <v/>
      </c>
      <c r="EQ72" s="59" t="str">
        <v/>
      </c>
      <c r="ER72" s="59" t="str">
        <v/>
      </c>
      <c r="ES72" s="59" t="str">
        <v/>
      </c>
      <c r="ET72" s="59" t="str">
        <v/>
      </c>
      <c r="EU72" s="59" t="str">
        <v/>
      </c>
      <c r="EV72" s="59" t="str">
        <v/>
      </c>
      <c r="EW72" s="59" t="str">
        <v/>
      </c>
      <c r="EX72" s="59" t="str">
        <v/>
      </c>
      <c r="EY72" s="59" t="str">
        <v/>
      </c>
      <c r="EZ72" s="60" t="str">
        <v/>
      </c>
      <c r="FA72" s="17"/>
      <c r="FC72">
        <v>69</v>
      </c>
      <c r="FD72">
        <f t="shared" si="10"/>
        <v>5</v>
      </c>
      <c r="FE72">
        <f t="shared" si="11"/>
        <v>5</v>
      </c>
      <c r="FF72">
        <f t="shared" si="12"/>
        <v>250</v>
      </c>
      <c r="FI72" s="16">
        <v>69</v>
      </c>
      <c r="FJ72" s="17">
        <f t="shared" si="13"/>
        <v>44</v>
      </c>
      <c r="FK72" s="17">
        <f t="shared" si="14"/>
        <v>250</v>
      </c>
      <c r="FL72" s="18" t="str">
        <f t="shared" si="15"/>
        <v>11111010</v>
      </c>
      <c r="FM72" s="2"/>
    </row>
    <row r="73" spans="1:169">
      <c r="A73">
        <f>SUM($B$4:B73)</f>
        <v>196</v>
      </c>
      <c r="B73">
        <f t="shared" si="8"/>
        <v>0</v>
      </c>
      <c r="C73" t="str">
        <f t="shared" si="9"/>
        <v/>
      </c>
      <c r="D73">
        <v>70</v>
      </c>
      <c r="E73" s="16" t="str">
        <f>IF(E$3&lt;=$B73,INDEX(Input!$I$43:$I$2956,E$3+$A72),"")</f>
        <v/>
      </c>
      <c r="F73" s="17" t="str">
        <f>IF(F$3&lt;=$B73,INDEX(Input!$I$43:$I$2956,F$3+$A72),"")</f>
        <v/>
      </c>
      <c r="G73" s="17" t="str">
        <f>IF(G$3&lt;=$B73,INDEX(Input!$I$43:$I$2956,G$3+$A72),"")</f>
        <v/>
      </c>
      <c r="H73" s="17" t="str">
        <f>IF(H$3&lt;=$B73,INDEX(Input!$I$43:$I$2956,H$3+$A72),"")</f>
        <v/>
      </c>
      <c r="I73" s="17" t="str">
        <f>IF(I$3&lt;=$B73,INDEX(Input!$I$43:$I$2956,I$3+$A72),"")</f>
        <v/>
      </c>
      <c r="J73" s="17" t="str">
        <f>IF(J$3&lt;=$B73,INDEX(Input!$I$43:$I$2956,J$3+$A72),"")</f>
        <v/>
      </c>
      <c r="K73" s="17" t="str">
        <f>IF(K$3&lt;=$B73,INDEX(Input!$I$43:$I$2956,K$3+$A72),"")</f>
        <v/>
      </c>
      <c r="L73" s="17" t="str">
        <f>IF(L$3&lt;=$B73,INDEX(Input!$I$43:$I$2956,L$3+$A72),"")</f>
        <v/>
      </c>
      <c r="M73" s="17" t="str">
        <f>IF(M$3&lt;=$B73,INDEX(Input!$I$43:$I$2956,M$3+$A72),"")</f>
        <v/>
      </c>
      <c r="N73" s="17" t="str">
        <f>IF(N$3&lt;=$B73,INDEX(Input!$I$43:$I$2956,N$3+$A72),"")</f>
        <v/>
      </c>
      <c r="O73" s="17" t="str">
        <f>IF(O$3&lt;=$B73,INDEX(Input!$I$43:$I$2956,O$3+$A72),"")</f>
        <v/>
      </c>
      <c r="P73" s="17" t="str">
        <f>IF(P$3&lt;=$B73,INDEX(Input!$I$43:$I$2956,P$3+$A72),"")</f>
        <v/>
      </c>
      <c r="Q73" s="17" t="str">
        <f>IF(Q$3&lt;=$B73,INDEX(Input!$I$43:$I$2956,Q$3+$A72),"")</f>
        <v/>
      </c>
      <c r="R73" s="17" t="str">
        <f>IF(R$3&lt;=$B73,INDEX(Input!$I$43:$I$2956,R$3+$A72),"")</f>
        <v/>
      </c>
      <c r="S73" s="17" t="str">
        <f>IF(S$3&lt;=$B73,INDEX(Input!$I$43:$I$2956,S$3+$A72),"")</f>
        <v/>
      </c>
      <c r="T73" s="17" t="str">
        <f>IF(T$3&lt;=$B73,INDEX(Input!$I$43:$I$2956,T$3+$A72),"")</f>
        <v/>
      </c>
      <c r="U73" s="17" t="str">
        <f>IF(U$3&lt;=$B73,INDEX(Input!$I$43:$I$2956,U$3+$A72),"")</f>
        <v/>
      </c>
      <c r="V73" s="17" t="str">
        <f>IF(V$3&lt;=$B73,INDEX(Input!$I$43:$I$2956,V$3+$A72),"")</f>
        <v/>
      </c>
      <c r="W73" s="17" t="str">
        <f>IF(W$3&lt;=$B73,INDEX(Input!$I$43:$I$2956,W$3+$A72),"")</f>
        <v/>
      </c>
      <c r="X73" s="17" t="str">
        <f>IF(X$3&lt;=$B73,INDEX(Input!$I$43:$I$2956,X$3+$A72),"")</f>
        <v/>
      </c>
      <c r="Y73" s="17" t="str">
        <f>IF(Y$3&lt;=$B73,INDEX(Input!$I$43:$I$2956,Y$3+$A72),"")</f>
        <v/>
      </c>
      <c r="Z73" s="17" t="str">
        <f>IF(Z$3&lt;=$B73,INDEX(Input!$I$43:$I$2956,Z$3+$A72),"")</f>
        <v/>
      </c>
      <c r="AA73" s="17" t="str">
        <f>IF(AA$3&lt;=$B73,INDEX(Input!$I$43:$I$2956,AA$3+$A72),"")</f>
        <v/>
      </c>
      <c r="AB73" s="17" t="str">
        <f>IF(AB$3&lt;=$B73,INDEX(Input!$I$43:$I$2956,AB$3+$A72),"")</f>
        <v/>
      </c>
      <c r="AC73" s="17" t="str">
        <f>IF(AC$3&lt;=$B73,INDEX(Input!$I$43:$I$2956,AC$3+$A72),"")</f>
        <v/>
      </c>
      <c r="AD73" s="17" t="str">
        <f>IF(AD$3&lt;=$B73,INDEX(Input!$I$43:$I$2956,AD$3+$A72),"")</f>
        <v/>
      </c>
      <c r="AE73" s="17" t="str">
        <f>IF(AE$3&lt;=$B73,INDEX(Input!$I$43:$I$2956,AE$3+$A72),"")</f>
        <v/>
      </c>
      <c r="AF73" s="17" t="str">
        <f>IF(AF$3&lt;=$B73,INDEX(Input!$I$43:$I$2956,AF$3+$A72),"")</f>
        <v/>
      </c>
      <c r="AG73" s="17" t="str">
        <f>IF(AG$3&lt;=$B73,INDEX(Input!$I$43:$I$2956,AG$3+$A72),"")</f>
        <v/>
      </c>
      <c r="AH73" s="17" t="str">
        <f>IF(AH$3&lt;=$B73,INDEX(Input!$I$43:$I$2956,AH$3+$A72),"")</f>
        <v/>
      </c>
      <c r="AI73" s="17" t="str">
        <f>IF(AI$3&lt;=$B73,INDEX(Input!$I$43:$I$2956,AI$3+$A72),"")</f>
        <v/>
      </c>
      <c r="AJ73" s="17" t="str">
        <f>IF(AJ$3&lt;=$B73,INDEX(Input!$I$43:$I$2956,AJ$3+$A72),"")</f>
        <v/>
      </c>
      <c r="AK73" s="17" t="str">
        <f>IF(AK$3&lt;=$B73,INDEX(Input!$I$43:$I$2956,AK$3+$A72),"")</f>
        <v/>
      </c>
      <c r="AL73" s="17" t="str">
        <f>IF(AL$3&lt;=$B73,INDEX(Input!$I$43:$I$2956,AL$3+$A72),"")</f>
        <v/>
      </c>
      <c r="AM73" s="17" t="str">
        <f>IF(AM$3&lt;=$B73,INDEX(Input!$I$43:$I$2956,AM$3+$A72),"")</f>
        <v/>
      </c>
      <c r="AN73" s="17" t="str">
        <f>IF(AN$3&lt;=$B73,INDEX(Input!$I$43:$I$2956,AN$3+$A72),"")</f>
        <v/>
      </c>
      <c r="AO73" s="17" t="str">
        <f>IF(AO$3&lt;=$B73,INDEX(Input!$I$43:$I$2956,AO$3+$A72),"")</f>
        <v/>
      </c>
      <c r="AP73" s="17" t="str">
        <f>IF(AP$3&lt;=$B73,INDEX(Input!$I$43:$I$2956,AP$3+$A72),"")</f>
        <v/>
      </c>
      <c r="AQ73" s="17" t="str">
        <f>IF(AQ$3&lt;=$B73,INDEX(Input!$I$43:$I$2956,AQ$3+$A72),"")</f>
        <v/>
      </c>
      <c r="AR73" s="17" t="str">
        <f>IF(AR$3&lt;=$B73,INDEX(Input!$I$43:$I$2956,AR$3+$A72),"")</f>
        <v/>
      </c>
      <c r="AS73" s="17" t="str">
        <f>IF(AS$3&lt;=$B73,INDEX(Input!$I$43:$I$2956,AS$3+$A72),"")</f>
        <v/>
      </c>
      <c r="AT73" s="17" t="str">
        <f>IF(AT$3&lt;=$B73,INDEX(Input!$I$43:$I$2956,AT$3+$A72),"")</f>
        <v/>
      </c>
      <c r="AU73" s="17" t="str">
        <f>IF(AU$3&lt;=$B73,INDEX(Input!$I$43:$I$2956,AU$3+$A72),"")</f>
        <v/>
      </c>
      <c r="AV73" s="17" t="str">
        <f>IF(AV$3&lt;=$B73,INDEX(Input!$I$43:$I$2956,AV$3+$A72),"")</f>
        <v/>
      </c>
      <c r="AW73" s="17" t="str">
        <f>IF(AW$3&lt;=$B73,INDEX(Input!$I$43:$I$2956,AW$3+$A72),"")</f>
        <v/>
      </c>
      <c r="AX73" s="17" t="str">
        <f>IF(AX$3&lt;=$B73,INDEX(Input!$I$43:$I$2956,AX$3+$A72),"")</f>
        <v/>
      </c>
      <c r="AY73" s="17" t="str">
        <f>IF(AY$3&lt;=$B73,INDEX(Input!$I$43:$I$2956,AY$3+$A72),"")</f>
        <v/>
      </c>
      <c r="AZ73" s="17" t="str">
        <f>IF(AZ$3&lt;=$B73,INDEX(Input!$I$43:$I$2956,AZ$3+$A72),"")</f>
        <v/>
      </c>
      <c r="BA73" s="17" t="str">
        <f>IF(BA$3&lt;=$B73,INDEX(Input!$I$43:$I$2956,BA$3+$A72),"")</f>
        <v/>
      </c>
      <c r="BB73" s="17" t="str">
        <f>IF(BB$3&lt;=$B73,INDEX(Input!$I$43:$I$2956,BB$3+$A72),"")</f>
        <v/>
      </c>
      <c r="BC73" s="17" t="str">
        <f>IF(BC$3&lt;=$B73,INDEX(Input!$I$43:$I$2956,BC$3+$A72),"")</f>
        <v/>
      </c>
      <c r="BD73" s="17" t="str">
        <f>IF(BD$3&lt;=$B73,INDEX(Input!$I$43:$I$2956,BD$3+$A72),"")</f>
        <v/>
      </c>
      <c r="BE73" s="17" t="str">
        <f>IF(BE$3&lt;=$B73,INDEX(Input!$I$43:$I$2956,BE$3+$A72),"")</f>
        <v/>
      </c>
      <c r="BF73" s="17" t="str">
        <f>IF(BF$3&lt;=$B73,INDEX(Input!$I$43:$I$2956,BF$3+$A72),"")</f>
        <v/>
      </c>
      <c r="BG73" s="17" t="str">
        <f>IF(BG$3&lt;=$B73,INDEX(Input!$I$43:$I$2956,BG$3+$A72),"")</f>
        <v/>
      </c>
      <c r="BH73" s="17" t="str">
        <f>IF(BH$3&lt;=$B73,INDEX(Input!$I$43:$I$2956,BH$3+$A72),"")</f>
        <v/>
      </c>
      <c r="BI73" s="17" t="str">
        <f>IF(BI$3&lt;=$B73,INDEX(Input!$I$43:$I$2956,BI$3+$A72),"")</f>
        <v/>
      </c>
      <c r="BJ73" s="17" t="str">
        <f>IF(BJ$3&lt;=$B73,INDEX(Input!$I$43:$I$2956,BJ$3+$A72),"")</f>
        <v/>
      </c>
      <c r="BK73" s="17" t="str">
        <f>IF(BK$3&lt;=$B73,INDEX(Input!$I$43:$I$2956,BK$3+$A72),"")</f>
        <v/>
      </c>
      <c r="BL73" s="17" t="str">
        <f>IF(BL$3&lt;=$B73,INDEX(Input!$I$43:$I$2956,BL$3+$A72),"")</f>
        <v/>
      </c>
      <c r="BM73" s="17" t="str">
        <f>IF(BM$3&lt;=$B73,INDEX(Input!$I$43:$I$2956,BM$3+$A72),"")</f>
        <v/>
      </c>
      <c r="BN73" s="17" t="str">
        <f>IF(BN$3&lt;=$B73,INDEX(Input!$I$43:$I$2956,BN$3+$A72),"")</f>
        <v/>
      </c>
      <c r="BO73" s="17" t="str">
        <f>IF(BO$3&lt;=$B73,INDEX(Input!$I$43:$I$2956,BO$3+$A72),"")</f>
        <v/>
      </c>
      <c r="BP73" s="17" t="str">
        <f>IF(BP$3&lt;=$B73,INDEX(Input!$I$43:$I$2956,BP$3+$A72),"")</f>
        <v/>
      </c>
      <c r="BQ73" s="17" t="str">
        <f>IF(BQ$3&lt;=$B73,INDEX(Input!$I$43:$I$2956,BQ$3+$A72),"")</f>
        <v/>
      </c>
      <c r="BR73" s="17" t="str">
        <f>IF(BR$3&lt;=$B73,INDEX(Input!$I$43:$I$2956,BR$3+$A72),"")</f>
        <v/>
      </c>
      <c r="BS73" s="17" t="str">
        <f>IF(BS$3&lt;=$B73,INDEX(Input!$I$43:$I$2956,BS$3+$A72),"")</f>
        <v/>
      </c>
      <c r="BT73" s="17" t="str">
        <f>IF(BT$3&lt;=$B73,INDEX(Input!$I$43:$I$2956,BT$3+$A72),"")</f>
        <v/>
      </c>
      <c r="BU73" s="17" t="str">
        <f>IF(BU$3&lt;=$B73,INDEX(Input!$I$43:$I$2956,BU$3+$A72),"")</f>
        <v/>
      </c>
      <c r="BV73" s="17" t="str">
        <f>IF(BV$3&lt;=$B73,INDEX(Input!$I$43:$I$2956,BV$3+$A72),"")</f>
        <v/>
      </c>
      <c r="BW73" s="17" t="str">
        <f>IF(BW$3&lt;=$B73,INDEX(Input!$I$43:$I$2956,BW$3+$A72),"")</f>
        <v/>
      </c>
      <c r="BX73" s="17" t="str">
        <f>IF(BX$3&lt;=$B73,INDEX(Input!$I$43:$I$2956,BX$3+$A72),"")</f>
        <v/>
      </c>
      <c r="BY73" s="17" t="str">
        <f>IF(BY$3&lt;=$B73,INDEX(Input!$I$43:$I$2956,BY$3+$A72),"")</f>
        <v/>
      </c>
      <c r="BZ73" s="17" t="str">
        <f>IF(BZ$3&lt;=$B73,INDEX(Input!$I$43:$I$2956,BZ$3+$A72),"")</f>
        <v/>
      </c>
      <c r="CA73" s="17" t="str">
        <f>IF(CA$3&lt;=$B73,INDEX(Input!$I$43:$I$2956,CA$3+$A72),"")</f>
        <v/>
      </c>
      <c r="CB73" s="17" t="str">
        <f>IF(CB$3&lt;=$B73,INDEX(Input!$I$43:$I$2956,CB$3+$A72),"")</f>
        <v/>
      </c>
      <c r="CC73" s="17" t="str">
        <f>IF(CC$3&lt;=$B73,INDEX(Input!$I$43:$I$2956,CC$3+$A72),"")</f>
        <v/>
      </c>
      <c r="CD73" s="17" t="str">
        <f>IF(CD$3&lt;=$B73,INDEX(Input!$I$43:$I$2956,CD$3+$A72),"")</f>
        <v/>
      </c>
      <c r="CE73" s="17" t="str">
        <f>IF(CE$3&lt;=$B73,INDEX(Input!$I$43:$I$2956,CE$3+$A72),"")</f>
        <v/>
      </c>
      <c r="CF73" s="17" t="str">
        <f>IF(CF$3&lt;=$B73,INDEX(Input!$I$43:$I$2956,CF$3+$A72),"")</f>
        <v/>
      </c>
      <c r="CG73" s="17" t="str">
        <f>IF(CG$3&lt;=$B73,INDEX(Input!$I$43:$I$2956,CG$3+$A72),"")</f>
        <v/>
      </c>
      <c r="CH73" s="17" t="str">
        <f>IF(CH$3&lt;=$B73,INDEX(Input!$I$43:$I$2956,CH$3+$A72),"")</f>
        <v/>
      </c>
      <c r="CI73" s="17" t="str">
        <f>IF(CI$3&lt;=$B73,INDEX(Input!$I$43:$I$2956,CI$3+$A72),"")</f>
        <v/>
      </c>
      <c r="CJ73" s="17" t="str">
        <f>IF(CJ$3&lt;=$B73,INDEX(Input!$I$43:$I$2956,CJ$3+$A72),"")</f>
        <v/>
      </c>
      <c r="CK73" s="17" t="str">
        <f>IF(CK$3&lt;=$B73,INDEX(Input!$I$43:$I$2956,CK$3+$A72),"")</f>
        <v/>
      </c>
      <c r="CL73" s="17" t="str">
        <f>IF(CL$3&lt;=$B73,INDEX(Input!$I$43:$I$2956,CL$3+$A72),"")</f>
        <v/>
      </c>
      <c r="CM73" s="17" t="str">
        <f>IF(CM$3&lt;=$B73,INDEX(Input!$I$43:$I$2956,CM$3+$A72),"")</f>
        <v/>
      </c>
      <c r="CN73" s="17" t="str">
        <f>IF(CN$3&lt;=$B73,INDEX(Input!$I$43:$I$2956,CN$3+$A72),"")</f>
        <v/>
      </c>
      <c r="CO73" s="17" t="str">
        <f>IF(CO$3&lt;=$B73,INDEX(Input!$I$43:$I$2956,CO$3+$A72),"")</f>
        <v/>
      </c>
      <c r="CP73" s="17" t="str">
        <f>IF(CP$3&lt;=$B73,INDEX(Input!$I$43:$I$2956,CP$3+$A72),"")</f>
        <v/>
      </c>
      <c r="CQ73" s="17" t="str">
        <f>IF(CQ$3&lt;=$B73,INDEX(Input!$I$43:$I$2956,CQ$3+$A72),"")</f>
        <v/>
      </c>
      <c r="CR73" s="17" t="str">
        <f>IF(CR$3&lt;=$B73,INDEX(Input!$I$43:$I$2956,CR$3+$A72),"")</f>
        <v/>
      </c>
      <c r="CS73" s="17" t="str">
        <f>IF(CS$3&lt;=$B73,INDEX(Input!$I$43:$I$2956,CS$3+$A72),"")</f>
        <v/>
      </c>
      <c r="CT73" s="17" t="str">
        <f>IF(CT$3&lt;=$B73,INDEX(Input!$I$43:$I$2956,CT$3+$A72),"")</f>
        <v/>
      </c>
      <c r="CU73" s="17" t="str">
        <f>IF(CU$3&lt;=$B73,INDEX(Input!$I$43:$I$2956,CU$3+$A72),"")</f>
        <v/>
      </c>
      <c r="CV73" s="17" t="str">
        <f>IF(CV$3&lt;=$B73,INDEX(Input!$I$43:$I$2956,CV$3+$A72),"")</f>
        <v/>
      </c>
      <c r="CW73" s="17" t="str">
        <f>IF(CW$3&lt;=$B73,INDEX(Input!$I$43:$I$2956,CW$3+$A72),"")</f>
        <v/>
      </c>
      <c r="CX73" s="17" t="str">
        <f>IF(CX$3&lt;=$B73,INDEX(Input!$I$43:$I$2956,CX$3+$A72),"")</f>
        <v/>
      </c>
      <c r="CY73" s="17" t="str">
        <f>IF(CY$3&lt;=$B73,INDEX(Input!$I$43:$I$2956,CY$3+$A72),"")</f>
        <v/>
      </c>
      <c r="CZ73" s="17" t="str">
        <f>IF(CZ$3&lt;=$B73,INDEX(Input!$I$43:$I$2956,CZ$3+$A72),"")</f>
        <v/>
      </c>
      <c r="DA73" s="17" t="str">
        <f>IF(DA$3&lt;=$B73,INDEX(Input!$I$43:$I$2956,DA$3+$A72),"")</f>
        <v/>
      </c>
      <c r="DB73" s="17" t="str">
        <f>IF(DB$3&lt;=$B73,INDEX(Input!$I$43:$I$2956,DB$3+$A72),"")</f>
        <v/>
      </c>
      <c r="DC73" s="17" t="str">
        <f>IF(DC$3&lt;=$B73,INDEX(Input!$I$43:$I$2956,DC$3+$A72),"")</f>
        <v/>
      </c>
      <c r="DD73" s="17" t="str">
        <f>IF(DD$3&lt;=$B73,INDEX(Input!$I$43:$I$2956,DD$3+$A72),"")</f>
        <v/>
      </c>
      <c r="DE73" s="17" t="str">
        <f>IF(DE$3&lt;=$B73,INDEX(Input!$I$43:$I$2956,DE$3+$A72),"")</f>
        <v/>
      </c>
      <c r="DF73" s="17" t="str">
        <f>IF(DF$3&lt;=$B73,INDEX(Input!$I$43:$I$2956,DF$3+$A72),"")</f>
        <v/>
      </c>
      <c r="DG73" s="17" t="str">
        <f>IF(DG$3&lt;=$B73,INDEX(Input!$I$43:$I$2956,DG$3+$A72),"")</f>
        <v/>
      </c>
      <c r="DH73" s="17" t="str">
        <f>IF(DH$3&lt;=$B73,INDEX(Input!$I$43:$I$2956,DH$3+$A72),"")</f>
        <v/>
      </c>
      <c r="DI73" s="17" t="str">
        <f>IF(DI$3&lt;=$B73,INDEX(Input!$I$43:$I$2956,DI$3+$A72),"")</f>
        <v/>
      </c>
      <c r="DJ73" s="17" t="str">
        <f>IF(DJ$3&lt;=$B73,INDEX(Input!$I$43:$I$2956,DJ$3+$A72),"")</f>
        <v/>
      </c>
      <c r="DK73" s="17" t="str">
        <f>IF(DK$3&lt;=$B73,INDEX(Input!$I$43:$I$2956,DK$3+$A72),"")</f>
        <v/>
      </c>
      <c r="DL73" s="17" t="str">
        <f>IF(DL$3&lt;=$B73,INDEX(Input!$I$43:$I$2956,DL$3+$A72),"")</f>
        <v/>
      </c>
      <c r="DM73" s="17" t="str">
        <f>IF(DM$3&lt;=$B73,INDEX(Input!$I$43:$I$2956,DM$3+$A72),"")</f>
        <v/>
      </c>
      <c r="DN73" s="17" t="str">
        <f>IF(DN$3&lt;=$B73,INDEX(Input!$I$43:$I$2956,DN$3+$A72),"")</f>
        <v/>
      </c>
      <c r="DO73" s="17" t="str">
        <f>IF(DO$3&lt;=$B73,INDEX(Input!$I$43:$I$2956,DO$3+$A72),"")</f>
        <v/>
      </c>
      <c r="DP73" s="17" t="str">
        <f>IF(DP$3&lt;=$B73,INDEX(Input!$I$43:$I$2956,DP$3+$A72),"")</f>
        <v/>
      </c>
      <c r="DQ73" s="17" t="str">
        <f>IF(DQ$3&lt;=$B73,INDEX(Input!$I$43:$I$2956,DQ$3+$A72),"")</f>
        <v/>
      </c>
      <c r="DR73" s="17" t="str">
        <f>IF(DR$3&lt;=$B73,INDEX(Input!$I$43:$I$2956,DR$3+$A72),"")</f>
        <v/>
      </c>
      <c r="DS73" s="17" t="str">
        <f>IF(DS$3&lt;=$B73,INDEX(Input!$I$43:$I$2956,DS$3+$A72),"")</f>
        <v/>
      </c>
      <c r="DT73" s="17" t="str">
        <f>IF(DT$3&lt;=$B73,INDEX(Input!$I$43:$I$2956,DT$3+$A72),"")</f>
        <v/>
      </c>
      <c r="DU73" s="17" t="str">
        <f>IF(DU$3&lt;=$B73,INDEX(Input!$I$43:$I$2956,DU$3+$A72),"")</f>
        <v/>
      </c>
      <c r="DV73" s="17" t="str">
        <f>IF(DV$3&lt;=$B73,INDEX(Input!$I$43:$I$2956,DV$3+$A72),"")</f>
        <v/>
      </c>
      <c r="DW73" s="58" t="str">
        <f t="array" ref="DW73:EZ73">IFERROR(eccalc(E73:DV73,C73+B73,B73,$O$2:$AS$2),"")</f>
        <v/>
      </c>
      <c r="DX73" s="59" t="str">
        <v/>
      </c>
      <c r="DY73" s="59" t="str">
        <v/>
      </c>
      <c r="DZ73" s="59" t="str">
        <v/>
      </c>
      <c r="EA73" s="59" t="str">
        <v/>
      </c>
      <c r="EB73" s="59" t="str">
        <v/>
      </c>
      <c r="EC73" s="59" t="str">
        <v/>
      </c>
      <c r="ED73" s="59" t="str">
        <v/>
      </c>
      <c r="EE73" s="59" t="str">
        <v/>
      </c>
      <c r="EF73" s="59" t="str">
        <v/>
      </c>
      <c r="EG73" s="59" t="str">
        <v/>
      </c>
      <c r="EH73" s="59" t="str">
        <v/>
      </c>
      <c r="EI73" s="59" t="str">
        <v/>
      </c>
      <c r="EJ73" s="59" t="str">
        <v/>
      </c>
      <c r="EK73" s="59" t="str">
        <v/>
      </c>
      <c r="EL73" s="59" t="str">
        <v/>
      </c>
      <c r="EM73" s="59" t="str">
        <v/>
      </c>
      <c r="EN73" s="59" t="str">
        <v/>
      </c>
      <c r="EO73" s="59" t="str">
        <v/>
      </c>
      <c r="EP73" s="59" t="str">
        <v/>
      </c>
      <c r="EQ73" s="59" t="str">
        <v/>
      </c>
      <c r="ER73" s="59" t="str">
        <v/>
      </c>
      <c r="ES73" s="59" t="str">
        <v/>
      </c>
      <c r="ET73" s="59" t="str">
        <v/>
      </c>
      <c r="EU73" s="59" t="str">
        <v/>
      </c>
      <c r="EV73" s="59" t="str">
        <v/>
      </c>
      <c r="EW73" s="59" t="str">
        <v/>
      </c>
      <c r="EX73" s="59" t="str">
        <v/>
      </c>
      <c r="EY73" s="59" t="str">
        <v/>
      </c>
      <c r="EZ73" s="60" t="str">
        <v/>
      </c>
      <c r="FA73" s="17"/>
      <c r="FC73">
        <v>70</v>
      </c>
      <c r="FD73">
        <f t="shared" si="10"/>
        <v>6</v>
      </c>
      <c r="FE73">
        <f t="shared" si="11"/>
        <v>5</v>
      </c>
      <c r="FF73">
        <f t="shared" si="12"/>
        <v>116</v>
      </c>
      <c r="FI73" s="16">
        <v>70</v>
      </c>
      <c r="FJ73" s="17">
        <f t="shared" si="13"/>
        <v>130</v>
      </c>
      <c r="FK73" s="17">
        <f t="shared" si="14"/>
        <v>116</v>
      </c>
      <c r="FL73" s="18" t="str">
        <f t="shared" si="15"/>
        <v>01110100</v>
      </c>
      <c r="FM73" s="2"/>
    </row>
    <row r="74" spans="1:169">
      <c r="A74">
        <f>SUM($B$4:B74)</f>
        <v>196</v>
      </c>
      <c r="B74">
        <f t="shared" si="8"/>
        <v>0</v>
      </c>
      <c r="C74" t="str">
        <f t="shared" si="9"/>
        <v/>
      </c>
      <c r="D74">
        <v>71</v>
      </c>
      <c r="E74" s="16" t="str">
        <f>IF(E$3&lt;=$B74,INDEX(Input!$I$43:$I$2956,E$3+$A73),"")</f>
        <v/>
      </c>
      <c r="F74" s="17" t="str">
        <f>IF(F$3&lt;=$B74,INDEX(Input!$I$43:$I$2956,F$3+$A73),"")</f>
        <v/>
      </c>
      <c r="G74" s="17" t="str">
        <f>IF(G$3&lt;=$B74,INDEX(Input!$I$43:$I$2956,G$3+$A73),"")</f>
        <v/>
      </c>
      <c r="H74" s="17" t="str">
        <f>IF(H$3&lt;=$B74,INDEX(Input!$I$43:$I$2956,H$3+$A73),"")</f>
        <v/>
      </c>
      <c r="I74" s="17" t="str">
        <f>IF(I$3&lt;=$B74,INDEX(Input!$I$43:$I$2956,I$3+$A73),"")</f>
        <v/>
      </c>
      <c r="J74" s="17" t="str">
        <f>IF(J$3&lt;=$B74,INDEX(Input!$I$43:$I$2956,J$3+$A73),"")</f>
        <v/>
      </c>
      <c r="K74" s="17" t="str">
        <f>IF(K$3&lt;=$B74,INDEX(Input!$I$43:$I$2956,K$3+$A73),"")</f>
        <v/>
      </c>
      <c r="L74" s="17" t="str">
        <f>IF(L$3&lt;=$B74,INDEX(Input!$I$43:$I$2956,L$3+$A73),"")</f>
        <v/>
      </c>
      <c r="M74" s="17" t="str">
        <f>IF(M$3&lt;=$B74,INDEX(Input!$I$43:$I$2956,M$3+$A73),"")</f>
        <v/>
      </c>
      <c r="N74" s="17" t="str">
        <f>IF(N$3&lt;=$B74,INDEX(Input!$I$43:$I$2956,N$3+$A73),"")</f>
        <v/>
      </c>
      <c r="O74" s="17" t="str">
        <f>IF(O$3&lt;=$B74,INDEX(Input!$I$43:$I$2956,O$3+$A73),"")</f>
        <v/>
      </c>
      <c r="P74" s="17" t="str">
        <f>IF(P$3&lt;=$B74,INDEX(Input!$I$43:$I$2956,P$3+$A73),"")</f>
        <v/>
      </c>
      <c r="Q74" s="17" t="str">
        <f>IF(Q$3&lt;=$B74,INDEX(Input!$I$43:$I$2956,Q$3+$A73),"")</f>
        <v/>
      </c>
      <c r="R74" s="17" t="str">
        <f>IF(R$3&lt;=$B74,INDEX(Input!$I$43:$I$2956,R$3+$A73),"")</f>
        <v/>
      </c>
      <c r="S74" s="17" t="str">
        <f>IF(S$3&lt;=$B74,INDEX(Input!$I$43:$I$2956,S$3+$A73),"")</f>
        <v/>
      </c>
      <c r="T74" s="17" t="str">
        <f>IF(T$3&lt;=$B74,INDEX(Input!$I$43:$I$2956,T$3+$A73),"")</f>
        <v/>
      </c>
      <c r="U74" s="17" t="str">
        <f>IF(U$3&lt;=$B74,INDEX(Input!$I$43:$I$2956,U$3+$A73),"")</f>
        <v/>
      </c>
      <c r="V74" s="17" t="str">
        <f>IF(V$3&lt;=$B74,INDEX(Input!$I$43:$I$2956,V$3+$A73),"")</f>
        <v/>
      </c>
      <c r="W74" s="17" t="str">
        <f>IF(W$3&lt;=$B74,INDEX(Input!$I$43:$I$2956,W$3+$A73),"")</f>
        <v/>
      </c>
      <c r="X74" s="17" t="str">
        <f>IF(X$3&lt;=$B74,INDEX(Input!$I$43:$I$2956,X$3+$A73),"")</f>
        <v/>
      </c>
      <c r="Y74" s="17" t="str">
        <f>IF(Y$3&lt;=$B74,INDEX(Input!$I$43:$I$2956,Y$3+$A73),"")</f>
        <v/>
      </c>
      <c r="Z74" s="17" t="str">
        <f>IF(Z$3&lt;=$B74,INDEX(Input!$I$43:$I$2956,Z$3+$A73),"")</f>
        <v/>
      </c>
      <c r="AA74" s="17" t="str">
        <f>IF(AA$3&lt;=$B74,INDEX(Input!$I$43:$I$2956,AA$3+$A73),"")</f>
        <v/>
      </c>
      <c r="AB74" s="17" t="str">
        <f>IF(AB$3&lt;=$B74,INDEX(Input!$I$43:$I$2956,AB$3+$A73),"")</f>
        <v/>
      </c>
      <c r="AC74" s="17" t="str">
        <f>IF(AC$3&lt;=$B74,INDEX(Input!$I$43:$I$2956,AC$3+$A73),"")</f>
        <v/>
      </c>
      <c r="AD74" s="17" t="str">
        <f>IF(AD$3&lt;=$B74,INDEX(Input!$I$43:$I$2956,AD$3+$A73),"")</f>
        <v/>
      </c>
      <c r="AE74" s="17" t="str">
        <f>IF(AE$3&lt;=$B74,INDEX(Input!$I$43:$I$2956,AE$3+$A73),"")</f>
        <v/>
      </c>
      <c r="AF74" s="17" t="str">
        <f>IF(AF$3&lt;=$B74,INDEX(Input!$I$43:$I$2956,AF$3+$A73),"")</f>
        <v/>
      </c>
      <c r="AG74" s="17" t="str">
        <f>IF(AG$3&lt;=$B74,INDEX(Input!$I$43:$I$2956,AG$3+$A73),"")</f>
        <v/>
      </c>
      <c r="AH74" s="17" t="str">
        <f>IF(AH$3&lt;=$B74,INDEX(Input!$I$43:$I$2956,AH$3+$A73),"")</f>
        <v/>
      </c>
      <c r="AI74" s="17" t="str">
        <f>IF(AI$3&lt;=$B74,INDEX(Input!$I$43:$I$2956,AI$3+$A73),"")</f>
        <v/>
      </c>
      <c r="AJ74" s="17" t="str">
        <f>IF(AJ$3&lt;=$B74,INDEX(Input!$I$43:$I$2956,AJ$3+$A73),"")</f>
        <v/>
      </c>
      <c r="AK74" s="17" t="str">
        <f>IF(AK$3&lt;=$B74,INDEX(Input!$I$43:$I$2956,AK$3+$A73),"")</f>
        <v/>
      </c>
      <c r="AL74" s="17" t="str">
        <f>IF(AL$3&lt;=$B74,INDEX(Input!$I$43:$I$2956,AL$3+$A73),"")</f>
        <v/>
      </c>
      <c r="AM74" s="17" t="str">
        <f>IF(AM$3&lt;=$B74,INDEX(Input!$I$43:$I$2956,AM$3+$A73),"")</f>
        <v/>
      </c>
      <c r="AN74" s="17" t="str">
        <f>IF(AN$3&lt;=$B74,INDEX(Input!$I$43:$I$2956,AN$3+$A73),"")</f>
        <v/>
      </c>
      <c r="AO74" s="17" t="str">
        <f>IF(AO$3&lt;=$B74,INDEX(Input!$I$43:$I$2956,AO$3+$A73),"")</f>
        <v/>
      </c>
      <c r="AP74" s="17" t="str">
        <f>IF(AP$3&lt;=$B74,INDEX(Input!$I$43:$I$2956,AP$3+$A73),"")</f>
        <v/>
      </c>
      <c r="AQ74" s="17" t="str">
        <f>IF(AQ$3&lt;=$B74,INDEX(Input!$I$43:$I$2956,AQ$3+$A73),"")</f>
        <v/>
      </c>
      <c r="AR74" s="17" t="str">
        <f>IF(AR$3&lt;=$B74,INDEX(Input!$I$43:$I$2956,AR$3+$A73),"")</f>
        <v/>
      </c>
      <c r="AS74" s="17" t="str">
        <f>IF(AS$3&lt;=$B74,INDEX(Input!$I$43:$I$2956,AS$3+$A73),"")</f>
        <v/>
      </c>
      <c r="AT74" s="17" t="str">
        <f>IF(AT$3&lt;=$B74,INDEX(Input!$I$43:$I$2956,AT$3+$A73),"")</f>
        <v/>
      </c>
      <c r="AU74" s="17" t="str">
        <f>IF(AU$3&lt;=$B74,INDEX(Input!$I$43:$I$2956,AU$3+$A73),"")</f>
        <v/>
      </c>
      <c r="AV74" s="17" t="str">
        <f>IF(AV$3&lt;=$B74,INDEX(Input!$I$43:$I$2956,AV$3+$A73),"")</f>
        <v/>
      </c>
      <c r="AW74" s="17" t="str">
        <f>IF(AW$3&lt;=$B74,INDEX(Input!$I$43:$I$2956,AW$3+$A73),"")</f>
        <v/>
      </c>
      <c r="AX74" s="17" t="str">
        <f>IF(AX$3&lt;=$B74,INDEX(Input!$I$43:$I$2956,AX$3+$A73),"")</f>
        <v/>
      </c>
      <c r="AY74" s="17" t="str">
        <f>IF(AY$3&lt;=$B74,INDEX(Input!$I$43:$I$2956,AY$3+$A73),"")</f>
        <v/>
      </c>
      <c r="AZ74" s="17" t="str">
        <f>IF(AZ$3&lt;=$B74,INDEX(Input!$I$43:$I$2956,AZ$3+$A73),"")</f>
        <v/>
      </c>
      <c r="BA74" s="17" t="str">
        <f>IF(BA$3&lt;=$B74,INDEX(Input!$I$43:$I$2956,BA$3+$A73),"")</f>
        <v/>
      </c>
      <c r="BB74" s="17" t="str">
        <f>IF(BB$3&lt;=$B74,INDEX(Input!$I$43:$I$2956,BB$3+$A73),"")</f>
        <v/>
      </c>
      <c r="BC74" s="17" t="str">
        <f>IF(BC$3&lt;=$B74,INDEX(Input!$I$43:$I$2956,BC$3+$A73),"")</f>
        <v/>
      </c>
      <c r="BD74" s="17" t="str">
        <f>IF(BD$3&lt;=$B74,INDEX(Input!$I$43:$I$2956,BD$3+$A73),"")</f>
        <v/>
      </c>
      <c r="BE74" s="17" t="str">
        <f>IF(BE$3&lt;=$B74,INDEX(Input!$I$43:$I$2956,BE$3+$A73),"")</f>
        <v/>
      </c>
      <c r="BF74" s="17" t="str">
        <f>IF(BF$3&lt;=$B74,INDEX(Input!$I$43:$I$2956,BF$3+$A73),"")</f>
        <v/>
      </c>
      <c r="BG74" s="17" t="str">
        <f>IF(BG$3&lt;=$B74,INDEX(Input!$I$43:$I$2956,BG$3+$A73),"")</f>
        <v/>
      </c>
      <c r="BH74" s="17" t="str">
        <f>IF(BH$3&lt;=$B74,INDEX(Input!$I$43:$I$2956,BH$3+$A73),"")</f>
        <v/>
      </c>
      <c r="BI74" s="17" t="str">
        <f>IF(BI$3&lt;=$B74,INDEX(Input!$I$43:$I$2956,BI$3+$A73),"")</f>
        <v/>
      </c>
      <c r="BJ74" s="17" t="str">
        <f>IF(BJ$3&lt;=$B74,INDEX(Input!$I$43:$I$2956,BJ$3+$A73),"")</f>
        <v/>
      </c>
      <c r="BK74" s="17" t="str">
        <f>IF(BK$3&lt;=$B74,INDEX(Input!$I$43:$I$2956,BK$3+$A73),"")</f>
        <v/>
      </c>
      <c r="BL74" s="17" t="str">
        <f>IF(BL$3&lt;=$B74,INDEX(Input!$I$43:$I$2956,BL$3+$A73),"")</f>
        <v/>
      </c>
      <c r="BM74" s="17" t="str">
        <f>IF(BM$3&lt;=$B74,INDEX(Input!$I$43:$I$2956,BM$3+$A73),"")</f>
        <v/>
      </c>
      <c r="BN74" s="17" t="str">
        <f>IF(BN$3&lt;=$B74,INDEX(Input!$I$43:$I$2956,BN$3+$A73),"")</f>
        <v/>
      </c>
      <c r="BO74" s="17" t="str">
        <f>IF(BO$3&lt;=$B74,INDEX(Input!$I$43:$I$2956,BO$3+$A73),"")</f>
        <v/>
      </c>
      <c r="BP74" s="17" t="str">
        <f>IF(BP$3&lt;=$B74,INDEX(Input!$I$43:$I$2956,BP$3+$A73),"")</f>
        <v/>
      </c>
      <c r="BQ74" s="17" t="str">
        <f>IF(BQ$3&lt;=$B74,INDEX(Input!$I$43:$I$2956,BQ$3+$A73),"")</f>
        <v/>
      </c>
      <c r="BR74" s="17" t="str">
        <f>IF(BR$3&lt;=$B74,INDEX(Input!$I$43:$I$2956,BR$3+$A73),"")</f>
        <v/>
      </c>
      <c r="BS74" s="17" t="str">
        <f>IF(BS$3&lt;=$B74,INDEX(Input!$I$43:$I$2956,BS$3+$A73),"")</f>
        <v/>
      </c>
      <c r="BT74" s="17" t="str">
        <f>IF(BT$3&lt;=$B74,INDEX(Input!$I$43:$I$2956,BT$3+$A73),"")</f>
        <v/>
      </c>
      <c r="BU74" s="17" t="str">
        <f>IF(BU$3&lt;=$B74,INDEX(Input!$I$43:$I$2956,BU$3+$A73),"")</f>
        <v/>
      </c>
      <c r="BV74" s="17" t="str">
        <f>IF(BV$3&lt;=$B74,INDEX(Input!$I$43:$I$2956,BV$3+$A73),"")</f>
        <v/>
      </c>
      <c r="BW74" s="17" t="str">
        <f>IF(BW$3&lt;=$B74,INDEX(Input!$I$43:$I$2956,BW$3+$A73),"")</f>
        <v/>
      </c>
      <c r="BX74" s="17" t="str">
        <f>IF(BX$3&lt;=$B74,INDEX(Input!$I$43:$I$2956,BX$3+$A73),"")</f>
        <v/>
      </c>
      <c r="BY74" s="17" t="str">
        <f>IF(BY$3&lt;=$B74,INDEX(Input!$I$43:$I$2956,BY$3+$A73),"")</f>
        <v/>
      </c>
      <c r="BZ74" s="17" t="str">
        <f>IF(BZ$3&lt;=$B74,INDEX(Input!$I$43:$I$2956,BZ$3+$A73),"")</f>
        <v/>
      </c>
      <c r="CA74" s="17" t="str">
        <f>IF(CA$3&lt;=$B74,INDEX(Input!$I$43:$I$2956,CA$3+$A73),"")</f>
        <v/>
      </c>
      <c r="CB74" s="17" t="str">
        <f>IF(CB$3&lt;=$B74,INDEX(Input!$I$43:$I$2956,CB$3+$A73),"")</f>
        <v/>
      </c>
      <c r="CC74" s="17" t="str">
        <f>IF(CC$3&lt;=$B74,INDEX(Input!$I$43:$I$2956,CC$3+$A73),"")</f>
        <v/>
      </c>
      <c r="CD74" s="17" t="str">
        <f>IF(CD$3&lt;=$B74,INDEX(Input!$I$43:$I$2956,CD$3+$A73),"")</f>
        <v/>
      </c>
      <c r="CE74" s="17" t="str">
        <f>IF(CE$3&lt;=$B74,INDEX(Input!$I$43:$I$2956,CE$3+$A73),"")</f>
        <v/>
      </c>
      <c r="CF74" s="17" t="str">
        <f>IF(CF$3&lt;=$B74,INDEX(Input!$I$43:$I$2956,CF$3+$A73),"")</f>
        <v/>
      </c>
      <c r="CG74" s="17" t="str">
        <f>IF(CG$3&lt;=$B74,INDEX(Input!$I$43:$I$2956,CG$3+$A73),"")</f>
        <v/>
      </c>
      <c r="CH74" s="17" t="str">
        <f>IF(CH$3&lt;=$B74,INDEX(Input!$I$43:$I$2956,CH$3+$A73),"")</f>
        <v/>
      </c>
      <c r="CI74" s="17" t="str">
        <f>IF(CI$3&lt;=$B74,INDEX(Input!$I$43:$I$2956,CI$3+$A73),"")</f>
        <v/>
      </c>
      <c r="CJ74" s="17" t="str">
        <f>IF(CJ$3&lt;=$B74,INDEX(Input!$I$43:$I$2956,CJ$3+$A73),"")</f>
        <v/>
      </c>
      <c r="CK74" s="17" t="str">
        <f>IF(CK$3&lt;=$B74,INDEX(Input!$I$43:$I$2956,CK$3+$A73),"")</f>
        <v/>
      </c>
      <c r="CL74" s="17" t="str">
        <f>IF(CL$3&lt;=$B74,INDEX(Input!$I$43:$I$2956,CL$3+$A73),"")</f>
        <v/>
      </c>
      <c r="CM74" s="17" t="str">
        <f>IF(CM$3&lt;=$B74,INDEX(Input!$I$43:$I$2956,CM$3+$A73),"")</f>
        <v/>
      </c>
      <c r="CN74" s="17" t="str">
        <f>IF(CN$3&lt;=$B74,INDEX(Input!$I$43:$I$2956,CN$3+$A73),"")</f>
        <v/>
      </c>
      <c r="CO74" s="17" t="str">
        <f>IF(CO$3&lt;=$B74,INDEX(Input!$I$43:$I$2956,CO$3+$A73),"")</f>
        <v/>
      </c>
      <c r="CP74" s="17" t="str">
        <f>IF(CP$3&lt;=$B74,INDEX(Input!$I$43:$I$2956,CP$3+$A73),"")</f>
        <v/>
      </c>
      <c r="CQ74" s="17" t="str">
        <f>IF(CQ$3&lt;=$B74,INDEX(Input!$I$43:$I$2956,CQ$3+$A73),"")</f>
        <v/>
      </c>
      <c r="CR74" s="17" t="str">
        <f>IF(CR$3&lt;=$B74,INDEX(Input!$I$43:$I$2956,CR$3+$A73),"")</f>
        <v/>
      </c>
      <c r="CS74" s="17" t="str">
        <f>IF(CS$3&lt;=$B74,INDEX(Input!$I$43:$I$2956,CS$3+$A73),"")</f>
        <v/>
      </c>
      <c r="CT74" s="17" t="str">
        <f>IF(CT$3&lt;=$B74,INDEX(Input!$I$43:$I$2956,CT$3+$A73),"")</f>
        <v/>
      </c>
      <c r="CU74" s="17" t="str">
        <f>IF(CU$3&lt;=$B74,INDEX(Input!$I$43:$I$2956,CU$3+$A73),"")</f>
        <v/>
      </c>
      <c r="CV74" s="17" t="str">
        <f>IF(CV$3&lt;=$B74,INDEX(Input!$I$43:$I$2956,CV$3+$A73),"")</f>
        <v/>
      </c>
      <c r="CW74" s="17" t="str">
        <f>IF(CW$3&lt;=$B74,INDEX(Input!$I$43:$I$2956,CW$3+$A73),"")</f>
        <v/>
      </c>
      <c r="CX74" s="17" t="str">
        <f>IF(CX$3&lt;=$B74,INDEX(Input!$I$43:$I$2956,CX$3+$A73),"")</f>
        <v/>
      </c>
      <c r="CY74" s="17" t="str">
        <f>IF(CY$3&lt;=$B74,INDEX(Input!$I$43:$I$2956,CY$3+$A73),"")</f>
        <v/>
      </c>
      <c r="CZ74" s="17" t="str">
        <f>IF(CZ$3&lt;=$B74,INDEX(Input!$I$43:$I$2956,CZ$3+$A73),"")</f>
        <v/>
      </c>
      <c r="DA74" s="17" t="str">
        <f>IF(DA$3&lt;=$B74,INDEX(Input!$I$43:$I$2956,DA$3+$A73),"")</f>
        <v/>
      </c>
      <c r="DB74" s="17" t="str">
        <f>IF(DB$3&lt;=$B74,INDEX(Input!$I$43:$I$2956,DB$3+$A73),"")</f>
        <v/>
      </c>
      <c r="DC74" s="17" t="str">
        <f>IF(DC$3&lt;=$B74,INDEX(Input!$I$43:$I$2956,DC$3+$A73),"")</f>
        <v/>
      </c>
      <c r="DD74" s="17" t="str">
        <f>IF(DD$3&lt;=$B74,INDEX(Input!$I$43:$I$2956,DD$3+$A73),"")</f>
        <v/>
      </c>
      <c r="DE74" s="17" t="str">
        <f>IF(DE$3&lt;=$B74,INDEX(Input!$I$43:$I$2956,DE$3+$A73),"")</f>
        <v/>
      </c>
      <c r="DF74" s="17" t="str">
        <f>IF(DF$3&lt;=$B74,INDEX(Input!$I$43:$I$2956,DF$3+$A73),"")</f>
        <v/>
      </c>
      <c r="DG74" s="17" t="str">
        <f>IF(DG$3&lt;=$B74,INDEX(Input!$I$43:$I$2956,DG$3+$A73),"")</f>
        <v/>
      </c>
      <c r="DH74" s="17" t="str">
        <f>IF(DH$3&lt;=$B74,INDEX(Input!$I$43:$I$2956,DH$3+$A73),"")</f>
        <v/>
      </c>
      <c r="DI74" s="17" t="str">
        <f>IF(DI$3&lt;=$B74,INDEX(Input!$I$43:$I$2956,DI$3+$A73),"")</f>
        <v/>
      </c>
      <c r="DJ74" s="17" t="str">
        <f>IF(DJ$3&lt;=$B74,INDEX(Input!$I$43:$I$2956,DJ$3+$A73),"")</f>
        <v/>
      </c>
      <c r="DK74" s="17" t="str">
        <f>IF(DK$3&lt;=$B74,INDEX(Input!$I$43:$I$2956,DK$3+$A73),"")</f>
        <v/>
      </c>
      <c r="DL74" s="17" t="str">
        <f>IF(DL$3&lt;=$B74,INDEX(Input!$I$43:$I$2956,DL$3+$A73),"")</f>
        <v/>
      </c>
      <c r="DM74" s="17" t="str">
        <f>IF(DM$3&lt;=$B74,INDEX(Input!$I$43:$I$2956,DM$3+$A73),"")</f>
        <v/>
      </c>
      <c r="DN74" s="17" t="str">
        <f>IF(DN$3&lt;=$B74,INDEX(Input!$I$43:$I$2956,DN$3+$A73),"")</f>
        <v/>
      </c>
      <c r="DO74" s="17" t="str">
        <f>IF(DO$3&lt;=$B74,INDEX(Input!$I$43:$I$2956,DO$3+$A73),"")</f>
        <v/>
      </c>
      <c r="DP74" s="17" t="str">
        <f>IF(DP$3&lt;=$B74,INDEX(Input!$I$43:$I$2956,DP$3+$A73),"")</f>
        <v/>
      </c>
      <c r="DQ74" s="17" t="str">
        <f>IF(DQ$3&lt;=$B74,INDEX(Input!$I$43:$I$2956,DQ$3+$A73),"")</f>
        <v/>
      </c>
      <c r="DR74" s="17" t="str">
        <f>IF(DR$3&lt;=$B74,INDEX(Input!$I$43:$I$2956,DR$3+$A73),"")</f>
        <v/>
      </c>
      <c r="DS74" s="17" t="str">
        <f>IF(DS$3&lt;=$B74,INDEX(Input!$I$43:$I$2956,DS$3+$A73),"")</f>
        <v/>
      </c>
      <c r="DT74" s="17" t="str">
        <f>IF(DT$3&lt;=$B74,INDEX(Input!$I$43:$I$2956,DT$3+$A73),"")</f>
        <v/>
      </c>
      <c r="DU74" s="17" t="str">
        <f>IF(DU$3&lt;=$B74,INDEX(Input!$I$43:$I$2956,DU$3+$A73),"")</f>
        <v/>
      </c>
      <c r="DV74" s="17" t="str">
        <f>IF(DV$3&lt;=$B74,INDEX(Input!$I$43:$I$2956,DV$3+$A73),"")</f>
        <v/>
      </c>
      <c r="DW74" s="58" t="str">
        <f t="array" ref="DW74:EZ74">IFERROR(eccalc(E74:DV74,C74+B74,B74,$O$2:$AS$2),"")</f>
        <v/>
      </c>
      <c r="DX74" s="59" t="str">
        <v/>
      </c>
      <c r="DY74" s="59" t="str">
        <v/>
      </c>
      <c r="DZ74" s="59" t="str">
        <v/>
      </c>
      <c r="EA74" s="59" t="str">
        <v/>
      </c>
      <c r="EB74" s="59" t="str">
        <v/>
      </c>
      <c r="EC74" s="59" t="str">
        <v/>
      </c>
      <c r="ED74" s="59" t="str">
        <v/>
      </c>
      <c r="EE74" s="59" t="str">
        <v/>
      </c>
      <c r="EF74" s="59" t="str">
        <v/>
      </c>
      <c r="EG74" s="59" t="str">
        <v/>
      </c>
      <c r="EH74" s="59" t="str">
        <v/>
      </c>
      <c r="EI74" s="59" t="str">
        <v/>
      </c>
      <c r="EJ74" s="59" t="str">
        <v/>
      </c>
      <c r="EK74" s="59" t="str">
        <v/>
      </c>
      <c r="EL74" s="59" t="str">
        <v/>
      </c>
      <c r="EM74" s="59" t="str">
        <v/>
      </c>
      <c r="EN74" s="59" t="str">
        <v/>
      </c>
      <c r="EO74" s="59" t="str">
        <v/>
      </c>
      <c r="EP74" s="59" t="str">
        <v/>
      </c>
      <c r="EQ74" s="59" t="str">
        <v/>
      </c>
      <c r="ER74" s="59" t="str">
        <v/>
      </c>
      <c r="ES74" s="59" t="str">
        <v/>
      </c>
      <c r="ET74" s="59" t="str">
        <v/>
      </c>
      <c r="EU74" s="59" t="str">
        <v/>
      </c>
      <c r="EV74" s="59" t="str">
        <v/>
      </c>
      <c r="EW74" s="59" t="str">
        <v/>
      </c>
      <c r="EX74" s="59" t="str">
        <v/>
      </c>
      <c r="EY74" s="59" t="str">
        <v/>
      </c>
      <c r="EZ74" s="60" t="str">
        <v/>
      </c>
      <c r="FA74" s="17"/>
      <c r="FC74">
        <v>71</v>
      </c>
      <c r="FD74">
        <f t="shared" si="10"/>
        <v>7</v>
      </c>
      <c r="FE74">
        <f t="shared" si="11"/>
        <v>5</v>
      </c>
      <c r="FF74">
        <f t="shared" si="12"/>
        <v>22</v>
      </c>
      <c r="FI74" s="16">
        <v>71</v>
      </c>
      <c r="FJ74" s="17">
        <f t="shared" si="13"/>
        <v>116</v>
      </c>
      <c r="FK74" s="17">
        <f t="shared" si="14"/>
        <v>22</v>
      </c>
      <c r="FL74" s="18" t="str">
        <f t="shared" si="15"/>
        <v>00010110</v>
      </c>
      <c r="FM74" s="2"/>
    </row>
    <row r="75" spans="1:169">
      <c r="A75">
        <f>SUM($B$4:B75)</f>
        <v>196</v>
      </c>
      <c r="B75">
        <f t="shared" si="8"/>
        <v>0</v>
      </c>
      <c r="C75" t="str">
        <f t="shared" si="9"/>
        <v/>
      </c>
      <c r="D75">
        <v>72</v>
      </c>
      <c r="E75" s="16" t="str">
        <f>IF(E$3&lt;=$B75,INDEX(Input!$I$43:$I$2956,E$3+$A74),"")</f>
        <v/>
      </c>
      <c r="F75" s="17" t="str">
        <f>IF(F$3&lt;=$B75,INDEX(Input!$I$43:$I$2956,F$3+$A74),"")</f>
        <v/>
      </c>
      <c r="G75" s="17" t="str">
        <f>IF(G$3&lt;=$B75,INDEX(Input!$I$43:$I$2956,G$3+$A74),"")</f>
        <v/>
      </c>
      <c r="H75" s="17" t="str">
        <f>IF(H$3&lt;=$B75,INDEX(Input!$I$43:$I$2956,H$3+$A74),"")</f>
        <v/>
      </c>
      <c r="I75" s="17" t="str">
        <f>IF(I$3&lt;=$B75,INDEX(Input!$I$43:$I$2956,I$3+$A74),"")</f>
        <v/>
      </c>
      <c r="J75" s="17" t="str">
        <f>IF(J$3&lt;=$B75,INDEX(Input!$I$43:$I$2956,J$3+$A74),"")</f>
        <v/>
      </c>
      <c r="K75" s="17" t="str">
        <f>IF(K$3&lt;=$B75,INDEX(Input!$I$43:$I$2956,K$3+$A74),"")</f>
        <v/>
      </c>
      <c r="L75" s="17" t="str">
        <f>IF(L$3&lt;=$B75,INDEX(Input!$I$43:$I$2956,L$3+$A74),"")</f>
        <v/>
      </c>
      <c r="M75" s="17" t="str">
        <f>IF(M$3&lt;=$B75,INDEX(Input!$I$43:$I$2956,M$3+$A74),"")</f>
        <v/>
      </c>
      <c r="N75" s="17" t="str">
        <f>IF(N$3&lt;=$B75,INDEX(Input!$I$43:$I$2956,N$3+$A74),"")</f>
        <v/>
      </c>
      <c r="O75" s="17" t="str">
        <f>IF(O$3&lt;=$B75,INDEX(Input!$I$43:$I$2956,O$3+$A74),"")</f>
        <v/>
      </c>
      <c r="P75" s="17" t="str">
        <f>IF(P$3&lt;=$B75,INDEX(Input!$I$43:$I$2956,P$3+$A74),"")</f>
        <v/>
      </c>
      <c r="Q75" s="17" t="str">
        <f>IF(Q$3&lt;=$B75,INDEX(Input!$I$43:$I$2956,Q$3+$A74),"")</f>
        <v/>
      </c>
      <c r="R75" s="17" t="str">
        <f>IF(R$3&lt;=$B75,INDEX(Input!$I$43:$I$2956,R$3+$A74),"")</f>
        <v/>
      </c>
      <c r="S75" s="17" t="str">
        <f>IF(S$3&lt;=$B75,INDEX(Input!$I$43:$I$2956,S$3+$A74),"")</f>
        <v/>
      </c>
      <c r="T75" s="17" t="str">
        <f>IF(T$3&lt;=$B75,INDEX(Input!$I$43:$I$2956,T$3+$A74),"")</f>
        <v/>
      </c>
      <c r="U75" s="17" t="str">
        <f>IF(U$3&lt;=$B75,INDEX(Input!$I$43:$I$2956,U$3+$A74),"")</f>
        <v/>
      </c>
      <c r="V75" s="17" t="str">
        <f>IF(V$3&lt;=$B75,INDEX(Input!$I$43:$I$2956,V$3+$A74),"")</f>
        <v/>
      </c>
      <c r="W75" s="17" t="str">
        <f>IF(W$3&lt;=$B75,INDEX(Input!$I$43:$I$2956,W$3+$A74),"")</f>
        <v/>
      </c>
      <c r="X75" s="17" t="str">
        <f>IF(X$3&lt;=$B75,INDEX(Input!$I$43:$I$2956,X$3+$A74),"")</f>
        <v/>
      </c>
      <c r="Y75" s="17" t="str">
        <f>IF(Y$3&lt;=$B75,INDEX(Input!$I$43:$I$2956,Y$3+$A74),"")</f>
        <v/>
      </c>
      <c r="Z75" s="17" t="str">
        <f>IF(Z$3&lt;=$B75,INDEX(Input!$I$43:$I$2956,Z$3+$A74),"")</f>
        <v/>
      </c>
      <c r="AA75" s="17" t="str">
        <f>IF(AA$3&lt;=$B75,INDEX(Input!$I$43:$I$2956,AA$3+$A74),"")</f>
        <v/>
      </c>
      <c r="AB75" s="17" t="str">
        <f>IF(AB$3&lt;=$B75,INDEX(Input!$I$43:$I$2956,AB$3+$A74),"")</f>
        <v/>
      </c>
      <c r="AC75" s="17" t="str">
        <f>IF(AC$3&lt;=$B75,INDEX(Input!$I$43:$I$2956,AC$3+$A74),"")</f>
        <v/>
      </c>
      <c r="AD75" s="17" t="str">
        <f>IF(AD$3&lt;=$B75,INDEX(Input!$I$43:$I$2956,AD$3+$A74),"")</f>
        <v/>
      </c>
      <c r="AE75" s="17" t="str">
        <f>IF(AE$3&lt;=$B75,INDEX(Input!$I$43:$I$2956,AE$3+$A74),"")</f>
        <v/>
      </c>
      <c r="AF75" s="17" t="str">
        <f>IF(AF$3&lt;=$B75,INDEX(Input!$I$43:$I$2956,AF$3+$A74),"")</f>
        <v/>
      </c>
      <c r="AG75" s="17" t="str">
        <f>IF(AG$3&lt;=$B75,INDEX(Input!$I$43:$I$2956,AG$3+$A74),"")</f>
        <v/>
      </c>
      <c r="AH75" s="17" t="str">
        <f>IF(AH$3&lt;=$B75,INDEX(Input!$I$43:$I$2956,AH$3+$A74),"")</f>
        <v/>
      </c>
      <c r="AI75" s="17" t="str">
        <f>IF(AI$3&lt;=$B75,INDEX(Input!$I$43:$I$2956,AI$3+$A74),"")</f>
        <v/>
      </c>
      <c r="AJ75" s="17" t="str">
        <f>IF(AJ$3&lt;=$B75,INDEX(Input!$I$43:$I$2956,AJ$3+$A74),"")</f>
        <v/>
      </c>
      <c r="AK75" s="17" t="str">
        <f>IF(AK$3&lt;=$B75,INDEX(Input!$I$43:$I$2956,AK$3+$A74),"")</f>
        <v/>
      </c>
      <c r="AL75" s="17" t="str">
        <f>IF(AL$3&lt;=$B75,INDEX(Input!$I$43:$I$2956,AL$3+$A74),"")</f>
        <v/>
      </c>
      <c r="AM75" s="17" t="str">
        <f>IF(AM$3&lt;=$B75,INDEX(Input!$I$43:$I$2956,AM$3+$A74),"")</f>
        <v/>
      </c>
      <c r="AN75" s="17" t="str">
        <f>IF(AN$3&lt;=$B75,INDEX(Input!$I$43:$I$2956,AN$3+$A74),"")</f>
        <v/>
      </c>
      <c r="AO75" s="17" t="str">
        <f>IF(AO$3&lt;=$B75,INDEX(Input!$I$43:$I$2956,AO$3+$A74),"")</f>
        <v/>
      </c>
      <c r="AP75" s="17" t="str">
        <f>IF(AP$3&lt;=$B75,INDEX(Input!$I$43:$I$2956,AP$3+$A74),"")</f>
        <v/>
      </c>
      <c r="AQ75" s="17" t="str">
        <f>IF(AQ$3&lt;=$B75,INDEX(Input!$I$43:$I$2956,AQ$3+$A74),"")</f>
        <v/>
      </c>
      <c r="AR75" s="17" t="str">
        <f>IF(AR$3&lt;=$B75,INDEX(Input!$I$43:$I$2956,AR$3+$A74),"")</f>
        <v/>
      </c>
      <c r="AS75" s="17" t="str">
        <f>IF(AS$3&lt;=$B75,INDEX(Input!$I$43:$I$2956,AS$3+$A74),"")</f>
        <v/>
      </c>
      <c r="AT75" s="17" t="str">
        <f>IF(AT$3&lt;=$B75,INDEX(Input!$I$43:$I$2956,AT$3+$A74),"")</f>
        <v/>
      </c>
      <c r="AU75" s="17" t="str">
        <f>IF(AU$3&lt;=$B75,INDEX(Input!$I$43:$I$2956,AU$3+$A74),"")</f>
        <v/>
      </c>
      <c r="AV75" s="17" t="str">
        <f>IF(AV$3&lt;=$B75,INDEX(Input!$I$43:$I$2956,AV$3+$A74),"")</f>
        <v/>
      </c>
      <c r="AW75" s="17" t="str">
        <f>IF(AW$3&lt;=$B75,INDEX(Input!$I$43:$I$2956,AW$3+$A74),"")</f>
        <v/>
      </c>
      <c r="AX75" s="17" t="str">
        <f>IF(AX$3&lt;=$B75,INDEX(Input!$I$43:$I$2956,AX$3+$A74),"")</f>
        <v/>
      </c>
      <c r="AY75" s="17" t="str">
        <f>IF(AY$3&lt;=$B75,INDEX(Input!$I$43:$I$2956,AY$3+$A74),"")</f>
        <v/>
      </c>
      <c r="AZ75" s="17" t="str">
        <f>IF(AZ$3&lt;=$B75,INDEX(Input!$I$43:$I$2956,AZ$3+$A74),"")</f>
        <v/>
      </c>
      <c r="BA75" s="17" t="str">
        <f>IF(BA$3&lt;=$B75,INDEX(Input!$I$43:$I$2956,BA$3+$A74),"")</f>
        <v/>
      </c>
      <c r="BB75" s="17" t="str">
        <f>IF(BB$3&lt;=$B75,INDEX(Input!$I$43:$I$2956,BB$3+$A74),"")</f>
        <v/>
      </c>
      <c r="BC75" s="17" t="str">
        <f>IF(BC$3&lt;=$B75,INDEX(Input!$I$43:$I$2956,BC$3+$A74),"")</f>
        <v/>
      </c>
      <c r="BD75" s="17" t="str">
        <f>IF(BD$3&lt;=$B75,INDEX(Input!$I$43:$I$2956,BD$3+$A74),"")</f>
        <v/>
      </c>
      <c r="BE75" s="17" t="str">
        <f>IF(BE$3&lt;=$B75,INDEX(Input!$I$43:$I$2956,BE$3+$A74),"")</f>
        <v/>
      </c>
      <c r="BF75" s="17" t="str">
        <f>IF(BF$3&lt;=$B75,INDEX(Input!$I$43:$I$2956,BF$3+$A74),"")</f>
        <v/>
      </c>
      <c r="BG75" s="17" t="str">
        <f>IF(BG$3&lt;=$B75,INDEX(Input!$I$43:$I$2956,BG$3+$A74),"")</f>
        <v/>
      </c>
      <c r="BH75" s="17" t="str">
        <f>IF(BH$3&lt;=$B75,INDEX(Input!$I$43:$I$2956,BH$3+$A74),"")</f>
        <v/>
      </c>
      <c r="BI75" s="17" t="str">
        <f>IF(BI$3&lt;=$B75,INDEX(Input!$I$43:$I$2956,BI$3+$A74),"")</f>
        <v/>
      </c>
      <c r="BJ75" s="17" t="str">
        <f>IF(BJ$3&lt;=$B75,INDEX(Input!$I$43:$I$2956,BJ$3+$A74),"")</f>
        <v/>
      </c>
      <c r="BK75" s="17" t="str">
        <f>IF(BK$3&lt;=$B75,INDEX(Input!$I$43:$I$2956,BK$3+$A74),"")</f>
        <v/>
      </c>
      <c r="BL75" s="17" t="str">
        <f>IF(BL$3&lt;=$B75,INDEX(Input!$I$43:$I$2956,BL$3+$A74),"")</f>
        <v/>
      </c>
      <c r="BM75" s="17" t="str">
        <f>IF(BM$3&lt;=$B75,INDEX(Input!$I$43:$I$2956,BM$3+$A74),"")</f>
        <v/>
      </c>
      <c r="BN75" s="17" t="str">
        <f>IF(BN$3&lt;=$B75,INDEX(Input!$I$43:$I$2956,BN$3+$A74),"")</f>
        <v/>
      </c>
      <c r="BO75" s="17" t="str">
        <f>IF(BO$3&lt;=$B75,INDEX(Input!$I$43:$I$2956,BO$3+$A74),"")</f>
        <v/>
      </c>
      <c r="BP75" s="17" t="str">
        <f>IF(BP$3&lt;=$B75,INDEX(Input!$I$43:$I$2956,BP$3+$A74),"")</f>
        <v/>
      </c>
      <c r="BQ75" s="17" t="str">
        <f>IF(BQ$3&lt;=$B75,INDEX(Input!$I$43:$I$2956,BQ$3+$A74),"")</f>
        <v/>
      </c>
      <c r="BR75" s="17" t="str">
        <f>IF(BR$3&lt;=$B75,INDEX(Input!$I$43:$I$2956,BR$3+$A74),"")</f>
        <v/>
      </c>
      <c r="BS75" s="17" t="str">
        <f>IF(BS$3&lt;=$B75,INDEX(Input!$I$43:$I$2956,BS$3+$A74),"")</f>
        <v/>
      </c>
      <c r="BT75" s="17" t="str">
        <f>IF(BT$3&lt;=$B75,INDEX(Input!$I$43:$I$2956,BT$3+$A74),"")</f>
        <v/>
      </c>
      <c r="BU75" s="17" t="str">
        <f>IF(BU$3&lt;=$B75,INDEX(Input!$I$43:$I$2956,BU$3+$A74),"")</f>
        <v/>
      </c>
      <c r="BV75" s="17" t="str">
        <f>IF(BV$3&lt;=$B75,INDEX(Input!$I$43:$I$2956,BV$3+$A74),"")</f>
        <v/>
      </c>
      <c r="BW75" s="17" t="str">
        <f>IF(BW$3&lt;=$B75,INDEX(Input!$I$43:$I$2956,BW$3+$A74),"")</f>
        <v/>
      </c>
      <c r="BX75" s="17" t="str">
        <f>IF(BX$3&lt;=$B75,INDEX(Input!$I$43:$I$2956,BX$3+$A74),"")</f>
        <v/>
      </c>
      <c r="BY75" s="17" t="str">
        <f>IF(BY$3&lt;=$B75,INDEX(Input!$I$43:$I$2956,BY$3+$A74),"")</f>
        <v/>
      </c>
      <c r="BZ75" s="17" t="str">
        <f>IF(BZ$3&lt;=$B75,INDEX(Input!$I$43:$I$2956,BZ$3+$A74),"")</f>
        <v/>
      </c>
      <c r="CA75" s="17" t="str">
        <f>IF(CA$3&lt;=$B75,INDEX(Input!$I$43:$I$2956,CA$3+$A74),"")</f>
        <v/>
      </c>
      <c r="CB75" s="17" t="str">
        <f>IF(CB$3&lt;=$B75,INDEX(Input!$I$43:$I$2956,CB$3+$A74),"")</f>
        <v/>
      </c>
      <c r="CC75" s="17" t="str">
        <f>IF(CC$3&lt;=$B75,INDEX(Input!$I$43:$I$2956,CC$3+$A74),"")</f>
        <v/>
      </c>
      <c r="CD75" s="17" t="str">
        <f>IF(CD$3&lt;=$B75,INDEX(Input!$I$43:$I$2956,CD$3+$A74),"")</f>
        <v/>
      </c>
      <c r="CE75" s="17" t="str">
        <f>IF(CE$3&lt;=$B75,INDEX(Input!$I$43:$I$2956,CE$3+$A74),"")</f>
        <v/>
      </c>
      <c r="CF75" s="17" t="str">
        <f>IF(CF$3&lt;=$B75,INDEX(Input!$I$43:$I$2956,CF$3+$A74),"")</f>
        <v/>
      </c>
      <c r="CG75" s="17" t="str">
        <f>IF(CG$3&lt;=$B75,INDEX(Input!$I$43:$I$2956,CG$3+$A74),"")</f>
        <v/>
      </c>
      <c r="CH75" s="17" t="str">
        <f>IF(CH$3&lt;=$B75,INDEX(Input!$I$43:$I$2956,CH$3+$A74),"")</f>
        <v/>
      </c>
      <c r="CI75" s="17" t="str">
        <f>IF(CI$3&lt;=$B75,INDEX(Input!$I$43:$I$2956,CI$3+$A74),"")</f>
        <v/>
      </c>
      <c r="CJ75" s="17" t="str">
        <f>IF(CJ$3&lt;=$B75,INDEX(Input!$I$43:$I$2956,CJ$3+$A74),"")</f>
        <v/>
      </c>
      <c r="CK75" s="17" t="str">
        <f>IF(CK$3&lt;=$B75,INDEX(Input!$I$43:$I$2956,CK$3+$A74),"")</f>
        <v/>
      </c>
      <c r="CL75" s="17" t="str">
        <f>IF(CL$3&lt;=$B75,INDEX(Input!$I$43:$I$2956,CL$3+$A74),"")</f>
        <v/>
      </c>
      <c r="CM75" s="17" t="str">
        <f>IF(CM$3&lt;=$B75,INDEX(Input!$I$43:$I$2956,CM$3+$A74),"")</f>
        <v/>
      </c>
      <c r="CN75" s="17" t="str">
        <f>IF(CN$3&lt;=$B75,INDEX(Input!$I$43:$I$2956,CN$3+$A74),"")</f>
        <v/>
      </c>
      <c r="CO75" s="17" t="str">
        <f>IF(CO$3&lt;=$B75,INDEX(Input!$I$43:$I$2956,CO$3+$A74),"")</f>
        <v/>
      </c>
      <c r="CP75" s="17" t="str">
        <f>IF(CP$3&lt;=$B75,INDEX(Input!$I$43:$I$2956,CP$3+$A74),"")</f>
        <v/>
      </c>
      <c r="CQ75" s="17" t="str">
        <f>IF(CQ$3&lt;=$B75,INDEX(Input!$I$43:$I$2956,CQ$3+$A74),"")</f>
        <v/>
      </c>
      <c r="CR75" s="17" t="str">
        <f>IF(CR$3&lt;=$B75,INDEX(Input!$I$43:$I$2956,CR$3+$A74),"")</f>
        <v/>
      </c>
      <c r="CS75" s="17" t="str">
        <f>IF(CS$3&lt;=$B75,INDEX(Input!$I$43:$I$2956,CS$3+$A74),"")</f>
        <v/>
      </c>
      <c r="CT75" s="17" t="str">
        <f>IF(CT$3&lt;=$B75,INDEX(Input!$I$43:$I$2956,CT$3+$A74),"")</f>
        <v/>
      </c>
      <c r="CU75" s="17" t="str">
        <f>IF(CU$3&lt;=$B75,INDEX(Input!$I$43:$I$2956,CU$3+$A74),"")</f>
        <v/>
      </c>
      <c r="CV75" s="17" t="str">
        <f>IF(CV$3&lt;=$B75,INDEX(Input!$I$43:$I$2956,CV$3+$A74),"")</f>
        <v/>
      </c>
      <c r="CW75" s="17" t="str">
        <f>IF(CW$3&lt;=$B75,INDEX(Input!$I$43:$I$2956,CW$3+$A74),"")</f>
        <v/>
      </c>
      <c r="CX75" s="17" t="str">
        <f>IF(CX$3&lt;=$B75,INDEX(Input!$I$43:$I$2956,CX$3+$A74),"")</f>
        <v/>
      </c>
      <c r="CY75" s="17" t="str">
        <f>IF(CY$3&lt;=$B75,INDEX(Input!$I$43:$I$2956,CY$3+$A74),"")</f>
        <v/>
      </c>
      <c r="CZ75" s="17" t="str">
        <f>IF(CZ$3&lt;=$B75,INDEX(Input!$I$43:$I$2956,CZ$3+$A74),"")</f>
        <v/>
      </c>
      <c r="DA75" s="17" t="str">
        <f>IF(DA$3&lt;=$B75,INDEX(Input!$I$43:$I$2956,DA$3+$A74),"")</f>
        <v/>
      </c>
      <c r="DB75" s="17" t="str">
        <f>IF(DB$3&lt;=$B75,INDEX(Input!$I$43:$I$2956,DB$3+$A74),"")</f>
        <v/>
      </c>
      <c r="DC75" s="17" t="str">
        <f>IF(DC$3&lt;=$B75,INDEX(Input!$I$43:$I$2956,DC$3+$A74),"")</f>
        <v/>
      </c>
      <c r="DD75" s="17" t="str">
        <f>IF(DD$3&lt;=$B75,INDEX(Input!$I$43:$I$2956,DD$3+$A74),"")</f>
        <v/>
      </c>
      <c r="DE75" s="17" t="str">
        <f>IF(DE$3&lt;=$B75,INDEX(Input!$I$43:$I$2956,DE$3+$A74),"")</f>
        <v/>
      </c>
      <c r="DF75" s="17" t="str">
        <f>IF(DF$3&lt;=$B75,INDEX(Input!$I$43:$I$2956,DF$3+$A74),"")</f>
        <v/>
      </c>
      <c r="DG75" s="17" t="str">
        <f>IF(DG$3&lt;=$B75,INDEX(Input!$I$43:$I$2956,DG$3+$A74),"")</f>
        <v/>
      </c>
      <c r="DH75" s="17" t="str">
        <f>IF(DH$3&lt;=$B75,INDEX(Input!$I$43:$I$2956,DH$3+$A74),"")</f>
        <v/>
      </c>
      <c r="DI75" s="17" t="str">
        <f>IF(DI$3&lt;=$B75,INDEX(Input!$I$43:$I$2956,DI$3+$A74),"")</f>
        <v/>
      </c>
      <c r="DJ75" s="17" t="str">
        <f>IF(DJ$3&lt;=$B75,INDEX(Input!$I$43:$I$2956,DJ$3+$A74),"")</f>
        <v/>
      </c>
      <c r="DK75" s="17" t="str">
        <f>IF(DK$3&lt;=$B75,INDEX(Input!$I$43:$I$2956,DK$3+$A74),"")</f>
        <v/>
      </c>
      <c r="DL75" s="17" t="str">
        <f>IF(DL$3&lt;=$B75,INDEX(Input!$I$43:$I$2956,DL$3+$A74),"")</f>
        <v/>
      </c>
      <c r="DM75" s="17" t="str">
        <f>IF(DM$3&lt;=$B75,INDEX(Input!$I$43:$I$2956,DM$3+$A74),"")</f>
        <v/>
      </c>
      <c r="DN75" s="17" t="str">
        <f>IF(DN$3&lt;=$B75,INDEX(Input!$I$43:$I$2956,DN$3+$A74),"")</f>
        <v/>
      </c>
      <c r="DO75" s="17" t="str">
        <f>IF(DO$3&lt;=$B75,INDEX(Input!$I$43:$I$2956,DO$3+$A74),"")</f>
        <v/>
      </c>
      <c r="DP75" s="17" t="str">
        <f>IF(DP$3&lt;=$B75,INDEX(Input!$I$43:$I$2956,DP$3+$A74),"")</f>
        <v/>
      </c>
      <c r="DQ75" s="17" t="str">
        <f>IF(DQ$3&lt;=$B75,INDEX(Input!$I$43:$I$2956,DQ$3+$A74),"")</f>
        <v/>
      </c>
      <c r="DR75" s="17" t="str">
        <f>IF(DR$3&lt;=$B75,INDEX(Input!$I$43:$I$2956,DR$3+$A74),"")</f>
        <v/>
      </c>
      <c r="DS75" s="17" t="str">
        <f>IF(DS$3&lt;=$B75,INDEX(Input!$I$43:$I$2956,DS$3+$A74),"")</f>
        <v/>
      </c>
      <c r="DT75" s="17" t="str">
        <f>IF(DT$3&lt;=$B75,INDEX(Input!$I$43:$I$2956,DT$3+$A74),"")</f>
        <v/>
      </c>
      <c r="DU75" s="17" t="str">
        <f>IF(DU$3&lt;=$B75,INDEX(Input!$I$43:$I$2956,DU$3+$A74),"")</f>
        <v/>
      </c>
      <c r="DV75" s="17" t="str">
        <f>IF(DV$3&lt;=$B75,INDEX(Input!$I$43:$I$2956,DV$3+$A74),"")</f>
        <v/>
      </c>
      <c r="DW75" s="58" t="str">
        <f t="array" ref="DW75:EZ75">IFERROR(eccalc(E75:DV75,C75+B75,B75,$O$2:$AS$2),"")</f>
        <v/>
      </c>
      <c r="DX75" s="59" t="str">
        <v/>
      </c>
      <c r="DY75" s="59" t="str">
        <v/>
      </c>
      <c r="DZ75" s="59" t="str">
        <v/>
      </c>
      <c r="EA75" s="59" t="str">
        <v/>
      </c>
      <c r="EB75" s="59" t="str">
        <v/>
      </c>
      <c r="EC75" s="59" t="str">
        <v/>
      </c>
      <c r="ED75" s="59" t="str">
        <v/>
      </c>
      <c r="EE75" s="59" t="str">
        <v/>
      </c>
      <c r="EF75" s="59" t="str">
        <v/>
      </c>
      <c r="EG75" s="59" t="str">
        <v/>
      </c>
      <c r="EH75" s="59" t="str">
        <v/>
      </c>
      <c r="EI75" s="59" t="str">
        <v/>
      </c>
      <c r="EJ75" s="59" t="str">
        <v/>
      </c>
      <c r="EK75" s="59" t="str">
        <v/>
      </c>
      <c r="EL75" s="59" t="str">
        <v/>
      </c>
      <c r="EM75" s="59" t="str">
        <v/>
      </c>
      <c r="EN75" s="59" t="str">
        <v/>
      </c>
      <c r="EO75" s="59" t="str">
        <v/>
      </c>
      <c r="EP75" s="59" t="str">
        <v/>
      </c>
      <c r="EQ75" s="59" t="str">
        <v/>
      </c>
      <c r="ER75" s="59" t="str">
        <v/>
      </c>
      <c r="ES75" s="59" t="str">
        <v/>
      </c>
      <c r="ET75" s="59" t="str">
        <v/>
      </c>
      <c r="EU75" s="59" t="str">
        <v/>
      </c>
      <c r="EV75" s="59" t="str">
        <v/>
      </c>
      <c r="EW75" s="59" t="str">
        <v/>
      </c>
      <c r="EX75" s="59" t="str">
        <v/>
      </c>
      <c r="EY75" s="59" t="str">
        <v/>
      </c>
      <c r="EZ75" s="60" t="str">
        <v/>
      </c>
      <c r="FA75" s="17"/>
      <c r="FC75">
        <v>72</v>
      </c>
      <c r="FD75">
        <f t="shared" si="10"/>
        <v>8</v>
      </c>
      <c r="FE75">
        <f t="shared" si="11"/>
        <v>5</v>
      </c>
      <c r="FF75">
        <f t="shared" si="12"/>
        <v>247</v>
      </c>
      <c r="FI75" s="16">
        <v>72</v>
      </c>
      <c r="FJ75" s="17">
        <f t="shared" si="13"/>
        <v>151</v>
      </c>
      <c r="FK75" s="17">
        <f t="shared" si="14"/>
        <v>247</v>
      </c>
      <c r="FL75" s="18" t="str">
        <f t="shared" si="15"/>
        <v>11110111</v>
      </c>
      <c r="FM75" s="2"/>
    </row>
    <row r="76" spans="1:169">
      <c r="A76">
        <f>SUM($B$4:B76)</f>
        <v>196</v>
      </c>
      <c r="B76">
        <f t="shared" si="8"/>
        <v>0</v>
      </c>
      <c r="C76" t="str">
        <f t="shared" si="9"/>
        <v/>
      </c>
      <c r="D76">
        <v>73</v>
      </c>
      <c r="E76" s="16" t="str">
        <f>IF(E$3&lt;=$B76,INDEX(Input!$I$43:$I$2956,E$3+$A75),"")</f>
        <v/>
      </c>
      <c r="F76" s="17" t="str">
        <f>IF(F$3&lt;=$B76,INDEX(Input!$I$43:$I$2956,F$3+$A75),"")</f>
        <v/>
      </c>
      <c r="G76" s="17" t="str">
        <f>IF(G$3&lt;=$B76,INDEX(Input!$I$43:$I$2956,G$3+$A75),"")</f>
        <v/>
      </c>
      <c r="H76" s="17" t="str">
        <f>IF(H$3&lt;=$B76,INDEX(Input!$I$43:$I$2956,H$3+$A75),"")</f>
        <v/>
      </c>
      <c r="I76" s="17" t="str">
        <f>IF(I$3&lt;=$B76,INDEX(Input!$I$43:$I$2956,I$3+$A75),"")</f>
        <v/>
      </c>
      <c r="J76" s="17" t="str">
        <f>IF(J$3&lt;=$B76,INDEX(Input!$I$43:$I$2956,J$3+$A75),"")</f>
        <v/>
      </c>
      <c r="K76" s="17" t="str">
        <f>IF(K$3&lt;=$B76,INDEX(Input!$I$43:$I$2956,K$3+$A75),"")</f>
        <v/>
      </c>
      <c r="L76" s="17" t="str">
        <f>IF(L$3&lt;=$B76,INDEX(Input!$I$43:$I$2956,L$3+$A75),"")</f>
        <v/>
      </c>
      <c r="M76" s="17" t="str">
        <f>IF(M$3&lt;=$B76,INDEX(Input!$I$43:$I$2956,M$3+$A75),"")</f>
        <v/>
      </c>
      <c r="N76" s="17" t="str">
        <f>IF(N$3&lt;=$B76,INDEX(Input!$I$43:$I$2956,N$3+$A75),"")</f>
        <v/>
      </c>
      <c r="O76" s="17" t="str">
        <f>IF(O$3&lt;=$B76,INDEX(Input!$I$43:$I$2956,O$3+$A75),"")</f>
        <v/>
      </c>
      <c r="P76" s="17" t="str">
        <f>IF(P$3&lt;=$B76,INDEX(Input!$I$43:$I$2956,P$3+$A75),"")</f>
        <v/>
      </c>
      <c r="Q76" s="17" t="str">
        <f>IF(Q$3&lt;=$B76,INDEX(Input!$I$43:$I$2956,Q$3+$A75),"")</f>
        <v/>
      </c>
      <c r="R76" s="17" t="str">
        <f>IF(R$3&lt;=$B76,INDEX(Input!$I$43:$I$2956,R$3+$A75),"")</f>
        <v/>
      </c>
      <c r="S76" s="17" t="str">
        <f>IF(S$3&lt;=$B76,INDEX(Input!$I$43:$I$2956,S$3+$A75),"")</f>
        <v/>
      </c>
      <c r="T76" s="17" t="str">
        <f>IF(T$3&lt;=$B76,INDEX(Input!$I$43:$I$2956,T$3+$A75),"")</f>
        <v/>
      </c>
      <c r="U76" s="17" t="str">
        <f>IF(U$3&lt;=$B76,INDEX(Input!$I$43:$I$2956,U$3+$A75),"")</f>
        <v/>
      </c>
      <c r="V76" s="17" t="str">
        <f>IF(V$3&lt;=$B76,INDEX(Input!$I$43:$I$2956,V$3+$A75),"")</f>
        <v/>
      </c>
      <c r="W76" s="17" t="str">
        <f>IF(W$3&lt;=$B76,INDEX(Input!$I$43:$I$2956,W$3+$A75),"")</f>
        <v/>
      </c>
      <c r="X76" s="17" t="str">
        <f>IF(X$3&lt;=$B76,INDEX(Input!$I$43:$I$2956,X$3+$A75),"")</f>
        <v/>
      </c>
      <c r="Y76" s="17" t="str">
        <f>IF(Y$3&lt;=$B76,INDEX(Input!$I$43:$I$2956,Y$3+$A75),"")</f>
        <v/>
      </c>
      <c r="Z76" s="17" t="str">
        <f>IF(Z$3&lt;=$B76,INDEX(Input!$I$43:$I$2956,Z$3+$A75),"")</f>
        <v/>
      </c>
      <c r="AA76" s="17" t="str">
        <f>IF(AA$3&lt;=$B76,INDEX(Input!$I$43:$I$2956,AA$3+$A75),"")</f>
        <v/>
      </c>
      <c r="AB76" s="17" t="str">
        <f>IF(AB$3&lt;=$B76,INDEX(Input!$I$43:$I$2956,AB$3+$A75),"")</f>
        <v/>
      </c>
      <c r="AC76" s="17" t="str">
        <f>IF(AC$3&lt;=$B76,INDEX(Input!$I$43:$I$2956,AC$3+$A75),"")</f>
        <v/>
      </c>
      <c r="AD76" s="17" t="str">
        <f>IF(AD$3&lt;=$B76,INDEX(Input!$I$43:$I$2956,AD$3+$A75),"")</f>
        <v/>
      </c>
      <c r="AE76" s="17" t="str">
        <f>IF(AE$3&lt;=$B76,INDEX(Input!$I$43:$I$2956,AE$3+$A75),"")</f>
        <v/>
      </c>
      <c r="AF76" s="17" t="str">
        <f>IF(AF$3&lt;=$B76,INDEX(Input!$I$43:$I$2956,AF$3+$A75),"")</f>
        <v/>
      </c>
      <c r="AG76" s="17" t="str">
        <f>IF(AG$3&lt;=$B76,INDEX(Input!$I$43:$I$2956,AG$3+$A75),"")</f>
        <v/>
      </c>
      <c r="AH76" s="17" t="str">
        <f>IF(AH$3&lt;=$B76,INDEX(Input!$I$43:$I$2956,AH$3+$A75),"")</f>
        <v/>
      </c>
      <c r="AI76" s="17" t="str">
        <f>IF(AI$3&lt;=$B76,INDEX(Input!$I$43:$I$2956,AI$3+$A75),"")</f>
        <v/>
      </c>
      <c r="AJ76" s="17" t="str">
        <f>IF(AJ$3&lt;=$B76,INDEX(Input!$I$43:$I$2956,AJ$3+$A75),"")</f>
        <v/>
      </c>
      <c r="AK76" s="17" t="str">
        <f>IF(AK$3&lt;=$B76,INDEX(Input!$I$43:$I$2956,AK$3+$A75),"")</f>
        <v/>
      </c>
      <c r="AL76" s="17" t="str">
        <f>IF(AL$3&lt;=$B76,INDEX(Input!$I$43:$I$2956,AL$3+$A75),"")</f>
        <v/>
      </c>
      <c r="AM76" s="17" t="str">
        <f>IF(AM$3&lt;=$B76,INDEX(Input!$I$43:$I$2956,AM$3+$A75),"")</f>
        <v/>
      </c>
      <c r="AN76" s="17" t="str">
        <f>IF(AN$3&lt;=$B76,INDEX(Input!$I$43:$I$2956,AN$3+$A75),"")</f>
        <v/>
      </c>
      <c r="AO76" s="17" t="str">
        <f>IF(AO$3&lt;=$B76,INDEX(Input!$I$43:$I$2956,AO$3+$A75),"")</f>
        <v/>
      </c>
      <c r="AP76" s="17" t="str">
        <f>IF(AP$3&lt;=$B76,INDEX(Input!$I$43:$I$2956,AP$3+$A75),"")</f>
        <v/>
      </c>
      <c r="AQ76" s="17" t="str">
        <f>IF(AQ$3&lt;=$B76,INDEX(Input!$I$43:$I$2956,AQ$3+$A75),"")</f>
        <v/>
      </c>
      <c r="AR76" s="17" t="str">
        <f>IF(AR$3&lt;=$B76,INDEX(Input!$I$43:$I$2956,AR$3+$A75),"")</f>
        <v/>
      </c>
      <c r="AS76" s="17" t="str">
        <f>IF(AS$3&lt;=$B76,INDEX(Input!$I$43:$I$2956,AS$3+$A75),"")</f>
        <v/>
      </c>
      <c r="AT76" s="17" t="str">
        <f>IF(AT$3&lt;=$B76,INDEX(Input!$I$43:$I$2956,AT$3+$A75),"")</f>
        <v/>
      </c>
      <c r="AU76" s="17" t="str">
        <f>IF(AU$3&lt;=$B76,INDEX(Input!$I$43:$I$2956,AU$3+$A75),"")</f>
        <v/>
      </c>
      <c r="AV76" s="17" t="str">
        <f>IF(AV$3&lt;=$B76,INDEX(Input!$I$43:$I$2956,AV$3+$A75),"")</f>
        <v/>
      </c>
      <c r="AW76" s="17" t="str">
        <f>IF(AW$3&lt;=$B76,INDEX(Input!$I$43:$I$2956,AW$3+$A75),"")</f>
        <v/>
      </c>
      <c r="AX76" s="17" t="str">
        <f>IF(AX$3&lt;=$B76,INDEX(Input!$I$43:$I$2956,AX$3+$A75),"")</f>
        <v/>
      </c>
      <c r="AY76" s="17" t="str">
        <f>IF(AY$3&lt;=$B76,INDEX(Input!$I$43:$I$2956,AY$3+$A75),"")</f>
        <v/>
      </c>
      <c r="AZ76" s="17" t="str">
        <f>IF(AZ$3&lt;=$B76,INDEX(Input!$I$43:$I$2956,AZ$3+$A75),"")</f>
        <v/>
      </c>
      <c r="BA76" s="17" t="str">
        <f>IF(BA$3&lt;=$B76,INDEX(Input!$I$43:$I$2956,BA$3+$A75),"")</f>
        <v/>
      </c>
      <c r="BB76" s="17" t="str">
        <f>IF(BB$3&lt;=$B76,INDEX(Input!$I$43:$I$2956,BB$3+$A75),"")</f>
        <v/>
      </c>
      <c r="BC76" s="17" t="str">
        <f>IF(BC$3&lt;=$B76,INDEX(Input!$I$43:$I$2956,BC$3+$A75),"")</f>
        <v/>
      </c>
      <c r="BD76" s="17" t="str">
        <f>IF(BD$3&lt;=$B76,INDEX(Input!$I$43:$I$2956,BD$3+$A75),"")</f>
        <v/>
      </c>
      <c r="BE76" s="17" t="str">
        <f>IF(BE$3&lt;=$B76,INDEX(Input!$I$43:$I$2956,BE$3+$A75),"")</f>
        <v/>
      </c>
      <c r="BF76" s="17" t="str">
        <f>IF(BF$3&lt;=$B76,INDEX(Input!$I$43:$I$2956,BF$3+$A75),"")</f>
        <v/>
      </c>
      <c r="BG76" s="17" t="str">
        <f>IF(BG$3&lt;=$B76,INDEX(Input!$I$43:$I$2956,BG$3+$A75),"")</f>
        <v/>
      </c>
      <c r="BH76" s="17" t="str">
        <f>IF(BH$3&lt;=$B76,INDEX(Input!$I$43:$I$2956,BH$3+$A75),"")</f>
        <v/>
      </c>
      <c r="BI76" s="17" t="str">
        <f>IF(BI$3&lt;=$B76,INDEX(Input!$I$43:$I$2956,BI$3+$A75),"")</f>
        <v/>
      </c>
      <c r="BJ76" s="17" t="str">
        <f>IF(BJ$3&lt;=$B76,INDEX(Input!$I$43:$I$2956,BJ$3+$A75),"")</f>
        <v/>
      </c>
      <c r="BK76" s="17" t="str">
        <f>IF(BK$3&lt;=$B76,INDEX(Input!$I$43:$I$2956,BK$3+$A75),"")</f>
        <v/>
      </c>
      <c r="BL76" s="17" t="str">
        <f>IF(BL$3&lt;=$B76,INDEX(Input!$I$43:$I$2956,BL$3+$A75),"")</f>
        <v/>
      </c>
      <c r="BM76" s="17" t="str">
        <f>IF(BM$3&lt;=$B76,INDEX(Input!$I$43:$I$2956,BM$3+$A75),"")</f>
        <v/>
      </c>
      <c r="BN76" s="17" t="str">
        <f>IF(BN$3&lt;=$B76,INDEX(Input!$I$43:$I$2956,BN$3+$A75),"")</f>
        <v/>
      </c>
      <c r="BO76" s="17" t="str">
        <f>IF(BO$3&lt;=$B76,INDEX(Input!$I$43:$I$2956,BO$3+$A75),"")</f>
        <v/>
      </c>
      <c r="BP76" s="17" t="str">
        <f>IF(BP$3&lt;=$B76,INDEX(Input!$I$43:$I$2956,BP$3+$A75),"")</f>
        <v/>
      </c>
      <c r="BQ76" s="17" t="str">
        <f>IF(BQ$3&lt;=$B76,INDEX(Input!$I$43:$I$2956,BQ$3+$A75),"")</f>
        <v/>
      </c>
      <c r="BR76" s="17" t="str">
        <f>IF(BR$3&lt;=$B76,INDEX(Input!$I$43:$I$2956,BR$3+$A75),"")</f>
        <v/>
      </c>
      <c r="BS76" s="17" t="str">
        <f>IF(BS$3&lt;=$B76,INDEX(Input!$I$43:$I$2956,BS$3+$A75),"")</f>
        <v/>
      </c>
      <c r="BT76" s="17" t="str">
        <f>IF(BT$3&lt;=$B76,INDEX(Input!$I$43:$I$2956,BT$3+$A75),"")</f>
        <v/>
      </c>
      <c r="BU76" s="17" t="str">
        <f>IF(BU$3&lt;=$B76,INDEX(Input!$I$43:$I$2956,BU$3+$A75),"")</f>
        <v/>
      </c>
      <c r="BV76" s="17" t="str">
        <f>IF(BV$3&lt;=$B76,INDEX(Input!$I$43:$I$2956,BV$3+$A75),"")</f>
        <v/>
      </c>
      <c r="BW76" s="17" t="str">
        <f>IF(BW$3&lt;=$B76,INDEX(Input!$I$43:$I$2956,BW$3+$A75),"")</f>
        <v/>
      </c>
      <c r="BX76" s="17" t="str">
        <f>IF(BX$3&lt;=$B76,INDEX(Input!$I$43:$I$2956,BX$3+$A75),"")</f>
        <v/>
      </c>
      <c r="BY76" s="17" t="str">
        <f>IF(BY$3&lt;=$B76,INDEX(Input!$I$43:$I$2956,BY$3+$A75),"")</f>
        <v/>
      </c>
      <c r="BZ76" s="17" t="str">
        <f>IF(BZ$3&lt;=$B76,INDEX(Input!$I$43:$I$2956,BZ$3+$A75),"")</f>
        <v/>
      </c>
      <c r="CA76" s="17" t="str">
        <f>IF(CA$3&lt;=$B76,INDEX(Input!$I$43:$I$2956,CA$3+$A75),"")</f>
        <v/>
      </c>
      <c r="CB76" s="17" t="str">
        <f>IF(CB$3&lt;=$B76,INDEX(Input!$I$43:$I$2956,CB$3+$A75),"")</f>
        <v/>
      </c>
      <c r="CC76" s="17" t="str">
        <f>IF(CC$3&lt;=$B76,INDEX(Input!$I$43:$I$2956,CC$3+$A75),"")</f>
        <v/>
      </c>
      <c r="CD76" s="17" t="str">
        <f>IF(CD$3&lt;=$B76,INDEX(Input!$I$43:$I$2956,CD$3+$A75),"")</f>
        <v/>
      </c>
      <c r="CE76" s="17" t="str">
        <f>IF(CE$3&lt;=$B76,INDEX(Input!$I$43:$I$2956,CE$3+$A75),"")</f>
        <v/>
      </c>
      <c r="CF76" s="17" t="str">
        <f>IF(CF$3&lt;=$B76,INDEX(Input!$I$43:$I$2956,CF$3+$A75),"")</f>
        <v/>
      </c>
      <c r="CG76" s="17" t="str">
        <f>IF(CG$3&lt;=$B76,INDEX(Input!$I$43:$I$2956,CG$3+$A75),"")</f>
        <v/>
      </c>
      <c r="CH76" s="17" t="str">
        <f>IF(CH$3&lt;=$B76,INDEX(Input!$I$43:$I$2956,CH$3+$A75),"")</f>
        <v/>
      </c>
      <c r="CI76" s="17" t="str">
        <f>IF(CI$3&lt;=$B76,INDEX(Input!$I$43:$I$2956,CI$3+$A75),"")</f>
        <v/>
      </c>
      <c r="CJ76" s="17" t="str">
        <f>IF(CJ$3&lt;=$B76,INDEX(Input!$I$43:$I$2956,CJ$3+$A75),"")</f>
        <v/>
      </c>
      <c r="CK76" s="17" t="str">
        <f>IF(CK$3&lt;=$B76,INDEX(Input!$I$43:$I$2956,CK$3+$A75),"")</f>
        <v/>
      </c>
      <c r="CL76" s="17" t="str">
        <f>IF(CL$3&lt;=$B76,INDEX(Input!$I$43:$I$2956,CL$3+$A75),"")</f>
        <v/>
      </c>
      <c r="CM76" s="17" t="str">
        <f>IF(CM$3&lt;=$B76,INDEX(Input!$I$43:$I$2956,CM$3+$A75),"")</f>
        <v/>
      </c>
      <c r="CN76" s="17" t="str">
        <f>IF(CN$3&lt;=$B76,INDEX(Input!$I$43:$I$2956,CN$3+$A75),"")</f>
        <v/>
      </c>
      <c r="CO76" s="17" t="str">
        <f>IF(CO$3&lt;=$B76,INDEX(Input!$I$43:$I$2956,CO$3+$A75),"")</f>
        <v/>
      </c>
      <c r="CP76" s="17" t="str">
        <f>IF(CP$3&lt;=$B76,INDEX(Input!$I$43:$I$2956,CP$3+$A75),"")</f>
        <v/>
      </c>
      <c r="CQ76" s="17" t="str">
        <f>IF(CQ$3&lt;=$B76,INDEX(Input!$I$43:$I$2956,CQ$3+$A75),"")</f>
        <v/>
      </c>
      <c r="CR76" s="17" t="str">
        <f>IF(CR$3&lt;=$B76,INDEX(Input!$I$43:$I$2956,CR$3+$A75),"")</f>
        <v/>
      </c>
      <c r="CS76" s="17" t="str">
        <f>IF(CS$3&lt;=$B76,INDEX(Input!$I$43:$I$2956,CS$3+$A75),"")</f>
        <v/>
      </c>
      <c r="CT76" s="17" t="str">
        <f>IF(CT$3&lt;=$B76,INDEX(Input!$I$43:$I$2956,CT$3+$A75),"")</f>
        <v/>
      </c>
      <c r="CU76" s="17" t="str">
        <f>IF(CU$3&lt;=$B76,INDEX(Input!$I$43:$I$2956,CU$3+$A75),"")</f>
        <v/>
      </c>
      <c r="CV76" s="17" t="str">
        <f>IF(CV$3&lt;=$B76,INDEX(Input!$I$43:$I$2956,CV$3+$A75),"")</f>
        <v/>
      </c>
      <c r="CW76" s="17" t="str">
        <f>IF(CW$3&lt;=$B76,INDEX(Input!$I$43:$I$2956,CW$3+$A75),"")</f>
        <v/>
      </c>
      <c r="CX76" s="17" t="str">
        <f>IF(CX$3&lt;=$B76,INDEX(Input!$I$43:$I$2956,CX$3+$A75),"")</f>
        <v/>
      </c>
      <c r="CY76" s="17" t="str">
        <f>IF(CY$3&lt;=$B76,INDEX(Input!$I$43:$I$2956,CY$3+$A75),"")</f>
        <v/>
      </c>
      <c r="CZ76" s="17" t="str">
        <f>IF(CZ$3&lt;=$B76,INDEX(Input!$I$43:$I$2956,CZ$3+$A75),"")</f>
        <v/>
      </c>
      <c r="DA76" s="17" t="str">
        <f>IF(DA$3&lt;=$B76,INDEX(Input!$I$43:$I$2956,DA$3+$A75),"")</f>
        <v/>
      </c>
      <c r="DB76" s="17" t="str">
        <f>IF(DB$3&lt;=$B76,INDEX(Input!$I$43:$I$2956,DB$3+$A75),"")</f>
        <v/>
      </c>
      <c r="DC76" s="17" t="str">
        <f>IF(DC$3&lt;=$B76,INDEX(Input!$I$43:$I$2956,DC$3+$A75),"")</f>
        <v/>
      </c>
      <c r="DD76" s="17" t="str">
        <f>IF(DD$3&lt;=$B76,INDEX(Input!$I$43:$I$2956,DD$3+$A75),"")</f>
        <v/>
      </c>
      <c r="DE76" s="17" t="str">
        <f>IF(DE$3&lt;=$B76,INDEX(Input!$I$43:$I$2956,DE$3+$A75),"")</f>
        <v/>
      </c>
      <c r="DF76" s="17" t="str">
        <f>IF(DF$3&lt;=$B76,INDEX(Input!$I$43:$I$2956,DF$3+$A75),"")</f>
        <v/>
      </c>
      <c r="DG76" s="17" t="str">
        <f>IF(DG$3&lt;=$B76,INDEX(Input!$I$43:$I$2956,DG$3+$A75),"")</f>
        <v/>
      </c>
      <c r="DH76" s="17" t="str">
        <f>IF(DH$3&lt;=$B76,INDEX(Input!$I$43:$I$2956,DH$3+$A75),"")</f>
        <v/>
      </c>
      <c r="DI76" s="17" t="str">
        <f>IF(DI$3&lt;=$B76,INDEX(Input!$I$43:$I$2956,DI$3+$A75),"")</f>
        <v/>
      </c>
      <c r="DJ76" s="17" t="str">
        <f>IF(DJ$3&lt;=$B76,INDEX(Input!$I$43:$I$2956,DJ$3+$A75),"")</f>
        <v/>
      </c>
      <c r="DK76" s="17" t="str">
        <f>IF(DK$3&lt;=$B76,INDEX(Input!$I$43:$I$2956,DK$3+$A75),"")</f>
        <v/>
      </c>
      <c r="DL76" s="17" t="str">
        <f>IF(DL$3&lt;=$B76,INDEX(Input!$I$43:$I$2956,DL$3+$A75),"")</f>
        <v/>
      </c>
      <c r="DM76" s="17" t="str">
        <f>IF(DM$3&lt;=$B76,INDEX(Input!$I$43:$I$2956,DM$3+$A75),"")</f>
        <v/>
      </c>
      <c r="DN76" s="17" t="str">
        <f>IF(DN$3&lt;=$B76,INDEX(Input!$I$43:$I$2956,DN$3+$A75),"")</f>
        <v/>
      </c>
      <c r="DO76" s="17" t="str">
        <f>IF(DO$3&lt;=$B76,INDEX(Input!$I$43:$I$2956,DO$3+$A75),"")</f>
        <v/>
      </c>
      <c r="DP76" s="17" t="str">
        <f>IF(DP$3&lt;=$B76,INDEX(Input!$I$43:$I$2956,DP$3+$A75),"")</f>
        <v/>
      </c>
      <c r="DQ76" s="17" t="str">
        <f>IF(DQ$3&lt;=$B76,INDEX(Input!$I$43:$I$2956,DQ$3+$A75),"")</f>
        <v/>
      </c>
      <c r="DR76" s="17" t="str">
        <f>IF(DR$3&lt;=$B76,INDEX(Input!$I$43:$I$2956,DR$3+$A75),"")</f>
        <v/>
      </c>
      <c r="DS76" s="17" t="str">
        <f>IF(DS$3&lt;=$B76,INDEX(Input!$I$43:$I$2956,DS$3+$A75),"")</f>
        <v/>
      </c>
      <c r="DT76" s="17" t="str">
        <f>IF(DT$3&lt;=$B76,INDEX(Input!$I$43:$I$2956,DT$3+$A75),"")</f>
        <v/>
      </c>
      <c r="DU76" s="17" t="str">
        <f>IF(DU$3&lt;=$B76,INDEX(Input!$I$43:$I$2956,DU$3+$A75),"")</f>
        <v/>
      </c>
      <c r="DV76" s="17" t="str">
        <f>IF(DV$3&lt;=$B76,INDEX(Input!$I$43:$I$2956,DV$3+$A75),"")</f>
        <v/>
      </c>
      <c r="DW76" s="58" t="str">
        <f t="array" ref="DW76:EZ76">IFERROR(eccalc(E76:DV76,C76+B76,B76,$O$2:$AS$2),"")</f>
        <v/>
      </c>
      <c r="DX76" s="59" t="str">
        <v/>
      </c>
      <c r="DY76" s="59" t="str">
        <v/>
      </c>
      <c r="DZ76" s="59" t="str">
        <v/>
      </c>
      <c r="EA76" s="59" t="str">
        <v/>
      </c>
      <c r="EB76" s="59" t="str">
        <v/>
      </c>
      <c r="EC76" s="59" t="str">
        <v/>
      </c>
      <c r="ED76" s="59" t="str">
        <v/>
      </c>
      <c r="EE76" s="59" t="str">
        <v/>
      </c>
      <c r="EF76" s="59" t="str">
        <v/>
      </c>
      <c r="EG76" s="59" t="str">
        <v/>
      </c>
      <c r="EH76" s="59" t="str">
        <v/>
      </c>
      <c r="EI76" s="59" t="str">
        <v/>
      </c>
      <c r="EJ76" s="59" t="str">
        <v/>
      </c>
      <c r="EK76" s="59" t="str">
        <v/>
      </c>
      <c r="EL76" s="59" t="str">
        <v/>
      </c>
      <c r="EM76" s="59" t="str">
        <v/>
      </c>
      <c r="EN76" s="59" t="str">
        <v/>
      </c>
      <c r="EO76" s="59" t="str">
        <v/>
      </c>
      <c r="EP76" s="59" t="str">
        <v/>
      </c>
      <c r="EQ76" s="59" t="str">
        <v/>
      </c>
      <c r="ER76" s="59" t="str">
        <v/>
      </c>
      <c r="ES76" s="59" t="str">
        <v/>
      </c>
      <c r="ET76" s="59" t="str">
        <v/>
      </c>
      <c r="EU76" s="59" t="str">
        <v/>
      </c>
      <c r="EV76" s="59" t="str">
        <v/>
      </c>
      <c r="EW76" s="59" t="str">
        <v/>
      </c>
      <c r="EX76" s="59" t="str">
        <v/>
      </c>
      <c r="EY76" s="59" t="str">
        <v/>
      </c>
      <c r="EZ76" s="60" t="str">
        <v/>
      </c>
      <c r="FA76" s="17"/>
      <c r="FC76">
        <v>73</v>
      </c>
      <c r="FD76">
        <f t="shared" si="10"/>
        <v>9</v>
      </c>
      <c r="FE76">
        <f t="shared" si="11"/>
        <v>5</v>
      </c>
      <c r="FF76">
        <f t="shared" si="12"/>
        <v>108</v>
      </c>
      <c r="FI76" s="16">
        <v>73</v>
      </c>
      <c r="FJ76" s="17">
        <f t="shared" si="13"/>
        <v>3</v>
      </c>
      <c r="FK76" s="17">
        <f t="shared" si="14"/>
        <v>108</v>
      </c>
      <c r="FL76" s="18" t="str">
        <f t="shared" si="15"/>
        <v>01101100</v>
      </c>
      <c r="FM76" s="2"/>
    </row>
    <row r="77" spans="1:169">
      <c r="A77">
        <f>SUM($B$4:B77)</f>
        <v>196</v>
      </c>
      <c r="B77">
        <f t="shared" si="8"/>
        <v>0</v>
      </c>
      <c r="C77" t="str">
        <f t="shared" si="9"/>
        <v/>
      </c>
      <c r="D77">
        <v>74</v>
      </c>
      <c r="E77" s="16" t="str">
        <f>IF(E$3&lt;=$B77,INDEX(Input!$I$43:$I$2956,E$3+$A76),"")</f>
        <v/>
      </c>
      <c r="F77" s="17" t="str">
        <f>IF(F$3&lt;=$B77,INDEX(Input!$I$43:$I$2956,F$3+$A76),"")</f>
        <v/>
      </c>
      <c r="G77" s="17" t="str">
        <f>IF(G$3&lt;=$B77,INDEX(Input!$I$43:$I$2956,G$3+$A76),"")</f>
        <v/>
      </c>
      <c r="H77" s="17" t="str">
        <f>IF(H$3&lt;=$B77,INDEX(Input!$I$43:$I$2956,H$3+$A76),"")</f>
        <v/>
      </c>
      <c r="I77" s="17" t="str">
        <f>IF(I$3&lt;=$B77,INDEX(Input!$I$43:$I$2956,I$3+$A76),"")</f>
        <v/>
      </c>
      <c r="J77" s="17" t="str">
        <f>IF(J$3&lt;=$B77,INDEX(Input!$I$43:$I$2956,J$3+$A76),"")</f>
        <v/>
      </c>
      <c r="K77" s="17" t="str">
        <f>IF(K$3&lt;=$B77,INDEX(Input!$I$43:$I$2956,K$3+$A76),"")</f>
        <v/>
      </c>
      <c r="L77" s="17" t="str">
        <f>IF(L$3&lt;=$B77,INDEX(Input!$I$43:$I$2956,L$3+$A76),"")</f>
        <v/>
      </c>
      <c r="M77" s="17" t="str">
        <f>IF(M$3&lt;=$B77,INDEX(Input!$I$43:$I$2956,M$3+$A76),"")</f>
        <v/>
      </c>
      <c r="N77" s="17" t="str">
        <f>IF(N$3&lt;=$B77,INDEX(Input!$I$43:$I$2956,N$3+$A76),"")</f>
        <v/>
      </c>
      <c r="O77" s="17" t="str">
        <f>IF(O$3&lt;=$B77,INDEX(Input!$I$43:$I$2956,O$3+$A76),"")</f>
        <v/>
      </c>
      <c r="P77" s="17" t="str">
        <f>IF(P$3&lt;=$B77,INDEX(Input!$I$43:$I$2956,P$3+$A76),"")</f>
        <v/>
      </c>
      <c r="Q77" s="17" t="str">
        <f>IF(Q$3&lt;=$B77,INDEX(Input!$I$43:$I$2956,Q$3+$A76),"")</f>
        <v/>
      </c>
      <c r="R77" s="17" t="str">
        <f>IF(R$3&lt;=$B77,INDEX(Input!$I$43:$I$2956,R$3+$A76),"")</f>
        <v/>
      </c>
      <c r="S77" s="17" t="str">
        <f>IF(S$3&lt;=$B77,INDEX(Input!$I$43:$I$2956,S$3+$A76),"")</f>
        <v/>
      </c>
      <c r="T77" s="17" t="str">
        <f>IF(T$3&lt;=$B77,INDEX(Input!$I$43:$I$2956,T$3+$A76),"")</f>
        <v/>
      </c>
      <c r="U77" s="17" t="str">
        <f>IF(U$3&lt;=$B77,INDEX(Input!$I$43:$I$2956,U$3+$A76),"")</f>
        <v/>
      </c>
      <c r="V77" s="17" t="str">
        <f>IF(V$3&lt;=$B77,INDEX(Input!$I$43:$I$2956,V$3+$A76),"")</f>
        <v/>
      </c>
      <c r="W77" s="17" t="str">
        <f>IF(W$3&lt;=$B77,INDEX(Input!$I$43:$I$2956,W$3+$A76),"")</f>
        <v/>
      </c>
      <c r="X77" s="17" t="str">
        <f>IF(X$3&lt;=$B77,INDEX(Input!$I$43:$I$2956,X$3+$A76),"")</f>
        <v/>
      </c>
      <c r="Y77" s="17" t="str">
        <f>IF(Y$3&lt;=$B77,INDEX(Input!$I$43:$I$2956,Y$3+$A76),"")</f>
        <v/>
      </c>
      <c r="Z77" s="17" t="str">
        <f>IF(Z$3&lt;=$B77,INDEX(Input!$I$43:$I$2956,Z$3+$A76),"")</f>
        <v/>
      </c>
      <c r="AA77" s="17" t="str">
        <f>IF(AA$3&lt;=$B77,INDEX(Input!$I$43:$I$2956,AA$3+$A76),"")</f>
        <v/>
      </c>
      <c r="AB77" s="17" t="str">
        <f>IF(AB$3&lt;=$B77,INDEX(Input!$I$43:$I$2956,AB$3+$A76),"")</f>
        <v/>
      </c>
      <c r="AC77" s="17" t="str">
        <f>IF(AC$3&lt;=$B77,INDEX(Input!$I$43:$I$2956,AC$3+$A76),"")</f>
        <v/>
      </c>
      <c r="AD77" s="17" t="str">
        <f>IF(AD$3&lt;=$B77,INDEX(Input!$I$43:$I$2956,AD$3+$A76),"")</f>
        <v/>
      </c>
      <c r="AE77" s="17" t="str">
        <f>IF(AE$3&lt;=$B77,INDEX(Input!$I$43:$I$2956,AE$3+$A76),"")</f>
        <v/>
      </c>
      <c r="AF77" s="17" t="str">
        <f>IF(AF$3&lt;=$B77,INDEX(Input!$I$43:$I$2956,AF$3+$A76),"")</f>
        <v/>
      </c>
      <c r="AG77" s="17" t="str">
        <f>IF(AG$3&lt;=$B77,INDEX(Input!$I$43:$I$2956,AG$3+$A76),"")</f>
        <v/>
      </c>
      <c r="AH77" s="17" t="str">
        <f>IF(AH$3&lt;=$B77,INDEX(Input!$I$43:$I$2956,AH$3+$A76),"")</f>
        <v/>
      </c>
      <c r="AI77" s="17" t="str">
        <f>IF(AI$3&lt;=$B77,INDEX(Input!$I$43:$I$2956,AI$3+$A76),"")</f>
        <v/>
      </c>
      <c r="AJ77" s="17" t="str">
        <f>IF(AJ$3&lt;=$B77,INDEX(Input!$I$43:$I$2956,AJ$3+$A76),"")</f>
        <v/>
      </c>
      <c r="AK77" s="17" t="str">
        <f>IF(AK$3&lt;=$B77,INDEX(Input!$I$43:$I$2956,AK$3+$A76),"")</f>
        <v/>
      </c>
      <c r="AL77" s="17" t="str">
        <f>IF(AL$3&lt;=$B77,INDEX(Input!$I$43:$I$2956,AL$3+$A76),"")</f>
        <v/>
      </c>
      <c r="AM77" s="17" t="str">
        <f>IF(AM$3&lt;=$B77,INDEX(Input!$I$43:$I$2956,AM$3+$A76),"")</f>
        <v/>
      </c>
      <c r="AN77" s="17" t="str">
        <f>IF(AN$3&lt;=$B77,INDEX(Input!$I$43:$I$2956,AN$3+$A76),"")</f>
        <v/>
      </c>
      <c r="AO77" s="17" t="str">
        <f>IF(AO$3&lt;=$B77,INDEX(Input!$I$43:$I$2956,AO$3+$A76),"")</f>
        <v/>
      </c>
      <c r="AP77" s="17" t="str">
        <f>IF(AP$3&lt;=$B77,INDEX(Input!$I$43:$I$2956,AP$3+$A76),"")</f>
        <v/>
      </c>
      <c r="AQ77" s="17" t="str">
        <f>IF(AQ$3&lt;=$B77,INDEX(Input!$I$43:$I$2956,AQ$3+$A76),"")</f>
        <v/>
      </c>
      <c r="AR77" s="17" t="str">
        <f>IF(AR$3&lt;=$B77,INDEX(Input!$I$43:$I$2956,AR$3+$A76),"")</f>
        <v/>
      </c>
      <c r="AS77" s="17" t="str">
        <f>IF(AS$3&lt;=$B77,INDEX(Input!$I$43:$I$2956,AS$3+$A76),"")</f>
        <v/>
      </c>
      <c r="AT77" s="17" t="str">
        <f>IF(AT$3&lt;=$B77,INDEX(Input!$I$43:$I$2956,AT$3+$A76),"")</f>
        <v/>
      </c>
      <c r="AU77" s="17" t="str">
        <f>IF(AU$3&lt;=$B77,INDEX(Input!$I$43:$I$2956,AU$3+$A76),"")</f>
        <v/>
      </c>
      <c r="AV77" s="17" t="str">
        <f>IF(AV$3&lt;=$B77,INDEX(Input!$I$43:$I$2956,AV$3+$A76),"")</f>
        <v/>
      </c>
      <c r="AW77" s="17" t="str">
        <f>IF(AW$3&lt;=$B77,INDEX(Input!$I$43:$I$2956,AW$3+$A76),"")</f>
        <v/>
      </c>
      <c r="AX77" s="17" t="str">
        <f>IF(AX$3&lt;=$B77,INDEX(Input!$I$43:$I$2956,AX$3+$A76),"")</f>
        <v/>
      </c>
      <c r="AY77" s="17" t="str">
        <f>IF(AY$3&lt;=$B77,INDEX(Input!$I$43:$I$2956,AY$3+$A76),"")</f>
        <v/>
      </c>
      <c r="AZ77" s="17" t="str">
        <f>IF(AZ$3&lt;=$B77,INDEX(Input!$I$43:$I$2956,AZ$3+$A76),"")</f>
        <v/>
      </c>
      <c r="BA77" s="17" t="str">
        <f>IF(BA$3&lt;=$B77,INDEX(Input!$I$43:$I$2956,BA$3+$A76),"")</f>
        <v/>
      </c>
      <c r="BB77" s="17" t="str">
        <f>IF(BB$3&lt;=$B77,INDEX(Input!$I$43:$I$2956,BB$3+$A76),"")</f>
        <v/>
      </c>
      <c r="BC77" s="17" t="str">
        <f>IF(BC$3&lt;=$B77,INDEX(Input!$I$43:$I$2956,BC$3+$A76),"")</f>
        <v/>
      </c>
      <c r="BD77" s="17" t="str">
        <f>IF(BD$3&lt;=$B77,INDEX(Input!$I$43:$I$2956,BD$3+$A76),"")</f>
        <v/>
      </c>
      <c r="BE77" s="17" t="str">
        <f>IF(BE$3&lt;=$B77,INDEX(Input!$I$43:$I$2956,BE$3+$A76),"")</f>
        <v/>
      </c>
      <c r="BF77" s="17" t="str">
        <f>IF(BF$3&lt;=$B77,INDEX(Input!$I$43:$I$2956,BF$3+$A76),"")</f>
        <v/>
      </c>
      <c r="BG77" s="17" t="str">
        <f>IF(BG$3&lt;=$B77,INDEX(Input!$I$43:$I$2956,BG$3+$A76),"")</f>
        <v/>
      </c>
      <c r="BH77" s="17" t="str">
        <f>IF(BH$3&lt;=$B77,INDEX(Input!$I$43:$I$2956,BH$3+$A76),"")</f>
        <v/>
      </c>
      <c r="BI77" s="17" t="str">
        <f>IF(BI$3&lt;=$B77,INDEX(Input!$I$43:$I$2956,BI$3+$A76),"")</f>
        <v/>
      </c>
      <c r="BJ77" s="17" t="str">
        <f>IF(BJ$3&lt;=$B77,INDEX(Input!$I$43:$I$2956,BJ$3+$A76),"")</f>
        <v/>
      </c>
      <c r="BK77" s="17" t="str">
        <f>IF(BK$3&lt;=$B77,INDEX(Input!$I$43:$I$2956,BK$3+$A76),"")</f>
        <v/>
      </c>
      <c r="BL77" s="17" t="str">
        <f>IF(BL$3&lt;=$B77,INDEX(Input!$I$43:$I$2956,BL$3+$A76),"")</f>
        <v/>
      </c>
      <c r="BM77" s="17" t="str">
        <f>IF(BM$3&lt;=$B77,INDEX(Input!$I$43:$I$2956,BM$3+$A76),"")</f>
        <v/>
      </c>
      <c r="BN77" s="17" t="str">
        <f>IF(BN$3&lt;=$B77,INDEX(Input!$I$43:$I$2956,BN$3+$A76),"")</f>
        <v/>
      </c>
      <c r="BO77" s="17" t="str">
        <f>IF(BO$3&lt;=$B77,INDEX(Input!$I$43:$I$2956,BO$3+$A76),"")</f>
        <v/>
      </c>
      <c r="BP77" s="17" t="str">
        <f>IF(BP$3&lt;=$B77,INDEX(Input!$I$43:$I$2956,BP$3+$A76),"")</f>
        <v/>
      </c>
      <c r="BQ77" s="17" t="str">
        <f>IF(BQ$3&lt;=$B77,INDEX(Input!$I$43:$I$2956,BQ$3+$A76),"")</f>
        <v/>
      </c>
      <c r="BR77" s="17" t="str">
        <f>IF(BR$3&lt;=$B77,INDEX(Input!$I$43:$I$2956,BR$3+$A76),"")</f>
        <v/>
      </c>
      <c r="BS77" s="17" t="str">
        <f>IF(BS$3&lt;=$B77,INDEX(Input!$I$43:$I$2956,BS$3+$A76),"")</f>
        <v/>
      </c>
      <c r="BT77" s="17" t="str">
        <f>IF(BT$3&lt;=$B77,INDEX(Input!$I$43:$I$2956,BT$3+$A76),"")</f>
        <v/>
      </c>
      <c r="BU77" s="17" t="str">
        <f>IF(BU$3&lt;=$B77,INDEX(Input!$I$43:$I$2956,BU$3+$A76),"")</f>
        <v/>
      </c>
      <c r="BV77" s="17" t="str">
        <f>IF(BV$3&lt;=$B77,INDEX(Input!$I$43:$I$2956,BV$3+$A76),"")</f>
        <v/>
      </c>
      <c r="BW77" s="17" t="str">
        <f>IF(BW$3&lt;=$B77,INDEX(Input!$I$43:$I$2956,BW$3+$A76),"")</f>
        <v/>
      </c>
      <c r="BX77" s="17" t="str">
        <f>IF(BX$3&lt;=$B77,INDEX(Input!$I$43:$I$2956,BX$3+$A76),"")</f>
        <v/>
      </c>
      <c r="BY77" s="17" t="str">
        <f>IF(BY$3&lt;=$B77,INDEX(Input!$I$43:$I$2956,BY$3+$A76),"")</f>
        <v/>
      </c>
      <c r="BZ77" s="17" t="str">
        <f>IF(BZ$3&lt;=$B77,INDEX(Input!$I$43:$I$2956,BZ$3+$A76),"")</f>
        <v/>
      </c>
      <c r="CA77" s="17" t="str">
        <f>IF(CA$3&lt;=$B77,INDEX(Input!$I$43:$I$2956,CA$3+$A76),"")</f>
        <v/>
      </c>
      <c r="CB77" s="17" t="str">
        <f>IF(CB$3&lt;=$B77,INDEX(Input!$I$43:$I$2956,CB$3+$A76),"")</f>
        <v/>
      </c>
      <c r="CC77" s="17" t="str">
        <f>IF(CC$3&lt;=$B77,INDEX(Input!$I$43:$I$2956,CC$3+$A76),"")</f>
        <v/>
      </c>
      <c r="CD77" s="17" t="str">
        <f>IF(CD$3&lt;=$B77,INDEX(Input!$I$43:$I$2956,CD$3+$A76),"")</f>
        <v/>
      </c>
      <c r="CE77" s="17" t="str">
        <f>IF(CE$3&lt;=$B77,INDEX(Input!$I$43:$I$2956,CE$3+$A76),"")</f>
        <v/>
      </c>
      <c r="CF77" s="17" t="str">
        <f>IF(CF$3&lt;=$B77,INDEX(Input!$I$43:$I$2956,CF$3+$A76),"")</f>
        <v/>
      </c>
      <c r="CG77" s="17" t="str">
        <f>IF(CG$3&lt;=$B77,INDEX(Input!$I$43:$I$2956,CG$3+$A76),"")</f>
        <v/>
      </c>
      <c r="CH77" s="17" t="str">
        <f>IF(CH$3&lt;=$B77,INDEX(Input!$I$43:$I$2956,CH$3+$A76),"")</f>
        <v/>
      </c>
      <c r="CI77" s="17" t="str">
        <f>IF(CI$3&lt;=$B77,INDEX(Input!$I$43:$I$2956,CI$3+$A76),"")</f>
        <v/>
      </c>
      <c r="CJ77" s="17" t="str">
        <f>IF(CJ$3&lt;=$B77,INDEX(Input!$I$43:$I$2956,CJ$3+$A76),"")</f>
        <v/>
      </c>
      <c r="CK77" s="17" t="str">
        <f>IF(CK$3&lt;=$B77,INDEX(Input!$I$43:$I$2956,CK$3+$A76),"")</f>
        <v/>
      </c>
      <c r="CL77" s="17" t="str">
        <f>IF(CL$3&lt;=$B77,INDEX(Input!$I$43:$I$2956,CL$3+$A76),"")</f>
        <v/>
      </c>
      <c r="CM77" s="17" t="str">
        <f>IF(CM$3&lt;=$B77,INDEX(Input!$I$43:$I$2956,CM$3+$A76),"")</f>
        <v/>
      </c>
      <c r="CN77" s="17" t="str">
        <f>IF(CN$3&lt;=$B77,INDEX(Input!$I$43:$I$2956,CN$3+$A76),"")</f>
        <v/>
      </c>
      <c r="CO77" s="17" t="str">
        <f>IF(CO$3&lt;=$B77,INDEX(Input!$I$43:$I$2956,CO$3+$A76),"")</f>
        <v/>
      </c>
      <c r="CP77" s="17" t="str">
        <f>IF(CP$3&lt;=$B77,INDEX(Input!$I$43:$I$2956,CP$3+$A76),"")</f>
        <v/>
      </c>
      <c r="CQ77" s="17" t="str">
        <f>IF(CQ$3&lt;=$B77,INDEX(Input!$I$43:$I$2956,CQ$3+$A76),"")</f>
        <v/>
      </c>
      <c r="CR77" s="17" t="str">
        <f>IF(CR$3&lt;=$B77,INDEX(Input!$I$43:$I$2956,CR$3+$A76),"")</f>
        <v/>
      </c>
      <c r="CS77" s="17" t="str">
        <f>IF(CS$3&lt;=$B77,INDEX(Input!$I$43:$I$2956,CS$3+$A76),"")</f>
        <v/>
      </c>
      <c r="CT77" s="17" t="str">
        <f>IF(CT$3&lt;=$B77,INDEX(Input!$I$43:$I$2956,CT$3+$A76),"")</f>
        <v/>
      </c>
      <c r="CU77" s="17" t="str">
        <f>IF(CU$3&lt;=$B77,INDEX(Input!$I$43:$I$2956,CU$3+$A76),"")</f>
        <v/>
      </c>
      <c r="CV77" s="17" t="str">
        <f>IF(CV$3&lt;=$B77,INDEX(Input!$I$43:$I$2956,CV$3+$A76),"")</f>
        <v/>
      </c>
      <c r="CW77" s="17" t="str">
        <f>IF(CW$3&lt;=$B77,INDEX(Input!$I$43:$I$2956,CW$3+$A76),"")</f>
        <v/>
      </c>
      <c r="CX77" s="17" t="str">
        <f>IF(CX$3&lt;=$B77,INDEX(Input!$I$43:$I$2956,CX$3+$A76),"")</f>
        <v/>
      </c>
      <c r="CY77" s="17" t="str">
        <f>IF(CY$3&lt;=$B77,INDEX(Input!$I$43:$I$2956,CY$3+$A76),"")</f>
        <v/>
      </c>
      <c r="CZ77" s="17" t="str">
        <f>IF(CZ$3&lt;=$B77,INDEX(Input!$I$43:$I$2956,CZ$3+$A76),"")</f>
        <v/>
      </c>
      <c r="DA77" s="17" t="str">
        <f>IF(DA$3&lt;=$B77,INDEX(Input!$I$43:$I$2956,DA$3+$A76),"")</f>
        <v/>
      </c>
      <c r="DB77" s="17" t="str">
        <f>IF(DB$3&lt;=$B77,INDEX(Input!$I$43:$I$2956,DB$3+$A76),"")</f>
        <v/>
      </c>
      <c r="DC77" s="17" t="str">
        <f>IF(DC$3&lt;=$B77,INDEX(Input!$I$43:$I$2956,DC$3+$A76),"")</f>
        <v/>
      </c>
      <c r="DD77" s="17" t="str">
        <f>IF(DD$3&lt;=$B77,INDEX(Input!$I$43:$I$2956,DD$3+$A76),"")</f>
        <v/>
      </c>
      <c r="DE77" s="17" t="str">
        <f>IF(DE$3&lt;=$B77,INDEX(Input!$I$43:$I$2956,DE$3+$A76),"")</f>
        <v/>
      </c>
      <c r="DF77" s="17" t="str">
        <f>IF(DF$3&lt;=$B77,INDEX(Input!$I$43:$I$2956,DF$3+$A76),"")</f>
        <v/>
      </c>
      <c r="DG77" s="17" t="str">
        <f>IF(DG$3&lt;=$B77,INDEX(Input!$I$43:$I$2956,DG$3+$A76),"")</f>
        <v/>
      </c>
      <c r="DH77" s="17" t="str">
        <f>IF(DH$3&lt;=$B77,INDEX(Input!$I$43:$I$2956,DH$3+$A76),"")</f>
        <v/>
      </c>
      <c r="DI77" s="17" t="str">
        <f>IF(DI$3&lt;=$B77,INDEX(Input!$I$43:$I$2956,DI$3+$A76),"")</f>
        <v/>
      </c>
      <c r="DJ77" s="17" t="str">
        <f>IF(DJ$3&lt;=$B77,INDEX(Input!$I$43:$I$2956,DJ$3+$A76),"")</f>
        <v/>
      </c>
      <c r="DK77" s="17" t="str">
        <f>IF(DK$3&lt;=$B77,INDEX(Input!$I$43:$I$2956,DK$3+$A76),"")</f>
        <v/>
      </c>
      <c r="DL77" s="17" t="str">
        <f>IF(DL$3&lt;=$B77,INDEX(Input!$I$43:$I$2956,DL$3+$A76),"")</f>
        <v/>
      </c>
      <c r="DM77" s="17" t="str">
        <f>IF(DM$3&lt;=$B77,INDEX(Input!$I$43:$I$2956,DM$3+$A76),"")</f>
        <v/>
      </c>
      <c r="DN77" s="17" t="str">
        <f>IF(DN$3&lt;=$B77,INDEX(Input!$I$43:$I$2956,DN$3+$A76),"")</f>
        <v/>
      </c>
      <c r="DO77" s="17" t="str">
        <f>IF(DO$3&lt;=$B77,INDEX(Input!$I$43:$I$2956,DO$3+$A76),"")</f>
        <v/>
      </c>
      <c r="DP77" s="17" t="str">
        <f>IF(DP$3&lt;=$B77,INDEX(Input!$I$43:$I$2956,DP$3+$A76),"")</f>
        <v/>
      </c>
      <c r="DQ77" s="17" t="str">
        <f>IF(DQ$3&lt;=$B77,INDEX(Input!$I$43:$I$2956,DQ$3+$A76),"")</f>
        <v/>
      </c>
      <c r="DR77" s="17" t="str">
        <f>IF(DR$3&lt;=$B77,INDEX(Input!$I$43:$I$2956,DR$3+$A76),"")</f>
        <v/>
      </c>
      <c r="DS77" s="17" t="str">
        <f>IF(DS$3&lt;=$B77,INDEX(Input!$I$43:$I$2956,DS$3+$A76),"")</f>
        <v/>
      </c>
      <c r="DT77" s="17" t="str">
        <f>IF(DT$3&lt;=$B77,INDEX(Input!$I$43:$I$2956,DT$3+$A76),"")</f>
        <v/>
      </c>
      <c r="DU77" s="17" t="str">
        <f>IF(DU$3&lt;=$B77,INDEX(Input!$I$43:$I$2956,DU$3+$A76),"")</f>
        <v/>
      </c>
      <c r="DV77" s="17" t="str">
        <f>IF(DV$3&lt;=$B77,INDEX(Input!$I$43:$I$2956,DV$3+$A76),"")</f>
        <v/>
      </c>
      <c r="DW77" s="58" t="str">
        <f t="array" ref="DW77:EZ77">IFERROR(eccalc(E77:DV77,C77+B77,B77,$O$2:$AS$2),"")</f>
        <v/>
      </c>
      <c r="DX77" s="59" t="str">
        <v/>
      </c>
      <c r="DY77" s="59" t="str">
        <v/>
      </c>
      <c r="DZ77" s="59" t="str">
        <v/>
      </c>
      <c r="EA77" s="59" t="str">
        <v/>
      </c>
      <c r="EB77" s="59" t="str">
        <v/>
      </c>
      <c r="EC77" s="59" t="str">
        <v/>
      </c>
      <c r="ED77" s="59" t="str">
        <v/>
      </c>
      <c r="EE77" s="59" t="str">
        <v/>
      </c>
      <c r="EF77" s="59" t="str">
        <v/>
      </c>
      <c r="EG77" s="59" t="str">
        <v/>
      </c>
      <c r="EH77" s="59" t="str">
        <v/>
      </c>
      <c r="EI77" s="59" t="str">
        <v/>
      </c>
      <c r="EJ77" s="59" t="str">
        <v/>
      </c>
      <c r="EK77" s="59" t="str">
        <v/>
      </c>
      <c r="EL77" s="59" t="str">
        <v/>
      </c>
      <c r="EM77" s="59" t="str">
        <v/>
      </c>
      <c r="EN77" s="59" t="str">
        <v/>
      </c>
      <c r="EO77" s="59" t="str">
        <v/>
      </c>
      <c r="EP77" s="59" t="str">
        <v/>
      </c>
      <c r="EQ77" s="59" t="str">
        <v/>
      </c>
      <c r="ER77" s="59" t="str">
        <v/>
      </c>
      <c r="ES77" s="59" t="str">
        <v/>
      </c>
      <c r="ET77" s="59" t="str">
        <v/>
      </c>
      <c r="EU77" s="59" t="str">
        <v/>
      </c>
      <c r="EV77" s="59" t="str">
        <v/>
      </c>
      <c r="EW77" s="59" t="str">
        <v/>
      </c>
      <c r="EX77" s="59" t="str">
        <v/>
      </c>
      <c r="EY77" s="59" t="str">
        <v/>
      </c>
      <c r="EZ77" s="60" t="str">
        <v/>
      </c>
      <c r="FA77" s="17"/>
      <c r="FC77">
        <v>74</v>
      </c>
      <c r="FD77">
        <f t="shared" si="10"/>
        <v>10</v>
      </c>
      <c r="FE77">
        <f t="shared" si="11"/>
        <v>5</v>
      </c>
      <c r="FF77">
        <f t="shared" si="12"/>
        <v>180</v>
      </c>
      <c r="FI77" s="16">
        <v>74</v>
      </c>
      <c r="FJ77" s="17">
        <f t="shared" si="13"/>
        <v>6</v>
      </c>
      <c r="FK77" s="17">
        <f t="shared" si="14"/>
        <v>180</v>
      </c>
      <c r="FL77" s="18" t="str">
        <f t="shared" si="15"/>
        <v>10110100</v>
      </c>
      <c r="FM77" s="2"/>
    </row>
    <row r="78" spans="1:169">
      <c r="A78">
        <f>SUM($B$4:B78)</f>
        <v>196</v>
      </c>
      <c r="B78">
        <f t="shared" si="8"/>
        <v>0</v>
      </c>
      <c r="C78" t="str">
        <f t="shared" si="9"/>
        <v/>
      </c>
      <c r="D78">
        <v>75</v>
      </c>
      <c r="E78" s="16" t="str">
        <f>IF(E$3&lt;=$B78,INDEX(Input!$I$43:$I$2956,E$3+$A77),"")</f>
        <v/>
      </c>
      <c r="F78" s="17" t="str">
        <f>IF(F$3&lt;=$B78,INDEX(Input!$I$43:$I$2956,F$3+$A77),"")</f>
        <v/>
      </c>
      <c r="G78" s="17" t="str">
        <f>IF(G$3&lt;=$B78,INDEX(Input!$I$43:$I$2956,G$3+$A77),"")</f>
        <v/>
      </c>
      <c r="H78" s="17" t="str">
        <f>IF(H$3&lt;=$B78,INDEX(Input!$I$43:$I$2956,H$3+$A77),"")</f>
        <v/>
      </c>
      <c r="I78" s="17" t="str">
        <f>IF(I$3&lt;=$B78,INDEX(Input!$I$43:$I$2956,I$3+$A77),"")</f>
        <v/>
      </c>
      <c r="J78" s="17" t="str">
        <f>IF(J$3&lt;=$B78,INDEX(Input!$I$43:$I$2956,J$3+$A77),"")</f>
        <v/>
      </c>
      <c r="K78" s="17" t="str">
        <f>IF(K$3&lt;=$B78,INDEX(Input!$I$43:$I$2956,K$3+$A77),"")</f>
        <v/>
      </c>
      <c r="L78" s="17" t="str">
        <f>IF(L$3&lt;=$B78,INDEX(Input!$I$43:$I$2956,L$3+$A77),"")</f>
        <v/>
      </c>
      <c r="M78" s="17" t="str">
        <f>IF(M$3&lt;=$B78,INDEX(Input!$I$43:$I$2956,M$3+$A77),"")</f>
        <v/>
      </c>
      <c r="N78" s="17" t="str">
        <f>IF(N$3&lt;=$B78,INDEX(Input!$I$43:$I$2956,N$3+$A77),"")</f>
        <v/>
      </c>
      <c r="O78" s="17" t="str">
        <f>IF(O$3&lt;=$B78,INDEX(Input!$I$43:$I$2956,O$3+$A77),"")</f>
        <v/>
      </c>
      <c r="P78" s="17" t="str">
        <f>IF(P$3&lt;=$B78,INDEX(Input!$I$43:$I$2956,P$3+$A77),"")</f>
        <v/>
      </c>
      <c r="Q78" s="17" t="str">
        <f>IF(Q$3&lt;=$B78,INDEX(Input!$I$43:$I$2956,Q$3+$A77),"")</f>
        <v/>
      </c>
      <c r="R78" s="17" t="str">
        <f>IF(R$3&lt;=$B78,INDEX(Input!$I$43:$I$2956,R$3+$A77),"")</f>
        <v/>
      </c>
      <c r="S78" s="17" t="str">
        <f>IF(S$3&lt;=$B78,INDEX(Input!$I$43:$I$2956,S$3+$A77),"")</f>
        <v/>
      </c>
      <c r="T78" s="17" t="str">
        <f>IF(T$3&lt;=$B78,INDEX(Input!$I$43:$I$2956,T$3+$A77),"")</f>
        <v/>
      </c>
      <c r="U78" s="17" t="str">
        <f>IF(U$3&lt;=$B78,INDEX(Input!$I$43:$I$2956,U$3+$A77),"")</f>
        <v/>
      </c>
      <c r="V78" s="17" t="str">
        <f>IF(V$3&lt;=$B78,INDEX(Input!$I$43:$I$2956,V$3+$A77),"")</f>
        <v/>
      </c>
      <c r="W78" s="17" t="str">
        <f>IF(W$3&lt;=$B78,INDEX(Input!$I$43:$I$2956,W$3+$A77),"")</f>
        <v/>
      </c>
      <c r="X78" s="17" t="str">
        <f>IF(X$3&lt;=$B78,INDEX(Input!$I$43:$I$2956,X$3+$A77),"")</f>
        <v/>
      </c>
      <c r="Y78" s="17" t="str">
        <f>IF(Y$3&lt;=$B78,INDEX(Input!$I$43:$I$2956,Y$3+$A77),"")</f>
        <v/>
      </c>
      <c r="Z78" s="17" t="str">
        <f>IF(Z$3&lt;=$B78,INDEX(Input!$I$43:$I$2956,Z$3+$A77),"")</f>
        <v/>
      </c>
      <c r="AA78" s="17" t="str">
        <f>IF(AA$3&lt;=$B78,INDEX(Input!$I$43:$I$2956,AA$3+$A77),"")</f>
        <v/>
      </c>
      <c r="AB78" s="17" t="str">
        <f>IF(AB$3&lt;=$B78,INDEX(Input!$I$43:$I$2956,AB$3+$A77),"")</f>
        <v/>
      </c>
      <c r="AC78" s="17" t="str">
        <f>IF(AC$3&lt;=$B78,INDEX(Input!$I$43:$I$2956,AC$3+$A77),"")</f>
        <v/>
      </c>
      <c r="AD78" s="17" t="str">
        <f>IF(AD$3&lt;=$B78,INDEX(Input!$I$43:$I$2956,AD$3+$A77),"")</f>
        <v/>
      </c>
      <c r="AE78" s="17" t="str">
        <f>IF(AE$3&lt;=$B78,INDEX(Input!$I$43:$I$2956,AE$3+$A77),"")</f>
        <v/>
      </c>
      <c r="AF78" s="17" t="str">
        <f>IF(AF$3&lt;=$B78,INDEX(Input!$I$43:$I$2956,AF$3+$A77),"")</f>
        <v/>
      </c>
      <c r="AG78" s="17" t="str">
        <f>IF(AG$3&lt;=$B78,INDEX(Input!$I$43:$I$2956,AG$3+$A77),"")</f>
        <v/>
      </c>
      <c r="AH78" s="17" t="str">
        <f>IF(AH$3&lt;=$B78,INDEX(Input!$I$43:$I$2956,AH$3+$A77),"")</f>
        <v/>
      </c>
      <c r="AI78" s="17" t="str">
        <f>IF(AI$3&lt;=$B78,INDEX(Input!$I$43:$I$2956,AI$3+$A77),"")</f>
        <v/>
      </c>
      <c r="AJ78" s="17" t="str">
        <f>IF(AJ$3&lt;=$B78,INDEX(Input!$I$43:$I$2956,AJ$3+$A77),"")</f>
        <v/>
      </c>
      <c r="AK78" s="17" t="str">
        <f>IF(AK$3&lt;=$B78,INDEX(Input!$I$43:$I$2956,AK$3+$A77),"")</f>
        <v/>
      </c>
      <c r="AL78" s="17" t="str">
        <f>IF(AL$3&lt;=$B78,INDEX(Input!$I$43:$I$2956,AL$3+$A77),"")</f>
        <v/>
      </c>
      <c r="AM78" s="17" t="str">
        <f>IF(AM$3&lt;=$B78,INDEX(Input!$I$43:$I$2956,AM$3+$A77),"")</f>
        <v/>
      </c>
      <c r="AN78" s="17" t="str">
        <f>IF(AN$3&lt;=$B78,INDEX(Input!$I$43:$I$2956,AN$3+$A77),"")</f>
        <v/>
      </c>
      <c r="AO78" s="17" t="str">
        <f>IF(AO$3&lt;=$B78,INDEX(Input!$I$43:$I$2956,AO$3+$A77),"")</f>
        <v/>
      </c>
      <c r="AP78" s="17" t="str">
        <f>IF(AP$3&lt;=$B78,INDEX(Input!$I$43:$I$2956,AP$3+$A77),"")</f>
        <v/>
      </c>
      <c r="AQ78" s="17" t="str">
        <f>IF(AQ$3&lt;=$B78,INDEX(Input!$I$43:$I$2956,AQ$3+$A77),"")</f>
        <v/>
      </c>
      <c r="AR78" s="17" t="str">
        <f>IF(AR$3&lt;=$B78,INDEX(Input!$I$43:$I$2956,AR$3+$A77),"")</f>
        <v/>
      </c>
      <c r="AS78" s="17" t="str">
        <f>IF(AS$3&lt;=$B78,INDEX(Input!$I$43:$I$2956,AS$3+$A77),"")</f>
        <v/>
      </c>
      <c r="AT78" s="17" t="str">
        <f>IF(AT$3&lt;=$B78,INDEX(Input!$I$43:$I$2956,AT$3+$A77),"")</f>
        <v/>
      </c>
      <c r="AU78" s="17" t="str">
        <f>IF(AU$3&lt;=$B78,INDEX(Input!$I$43:$I$2956,AU$3+$A77),"")</f>
        <v/>
      </c>
      <c r="AV78" s="17" t="str">
        <f>IF(AV$3&lt;=$B78,INDEX(Input!$I$43:$I$2956,AV$3+$A77),"")</f>
        <v/>
      </c>
      <c r="AW78" s="17" t="str">
        <f>IF(AW$3&lt;=$B78,INDEX(Input!$I$43:$I$2956,AW$3+$A77),"")</f>
        <v/>
      </c>
      <c r="AX78" s="17" t="str">
        <f>IF(AX$3&lt;=$B78,INDEX(Input!$I$43:$I$2956,AX$3+$A77),"")</f>
        <v/>
      </c>
      <c r="AY78" s="17" t="str">
        <f>IF(AY$3&lt;=$B78,INDEX(Input!$I$43:$I$2956,AY$3+$A77),"")</f>
        <v/>
      </c>
      <c r="AZ78" s="17" t="str">
        <f>IF(AZ$3&lt;=$B78,INDEX(Input!$I$43:$I$2956,AZ$3+$A77),"")</f>
        <v/>
      </c>
      <c r="BA78" s="17" t="str">
        <f>IF(BA$3&lt;=$B78,INDEX(Input!$I$43:$I$2956,BA$3+$A77),"")</f>
        <v/>
      </c>
      <c r="BB78" s="17" t="str">
        <f>IF(BB$3&lt;=$B78,INDEX(Input!$I$43:$I$2956,BB$3+$A77),"")</f>
        <v/>
      </c>
      <c r="BC78" s="17" t="str">
        <f>IF(BC$3&lt;=$B78,INDEX(Input!$I$43:$I$2956,BC$3+$A77),"")</f>
        <v/>
      </c>
      <c r="BD78" s="17" t="str">
        <f>IF(BD$3&lt;=$B78,INDEX(Input!$I$43:$I$2956,BD$3+$A77),"")</f>
        <v/>
      </c>
      <c r="BE78" s="17" t="str">
        <f>IF(BE$3&lt;=$B78,INDEX(Input!$I$43:$I$2956,BE$3+$A77),"")</f>
        <v/>
      </c>
      <c r="BF78" s="17" t="str">
        <f>IF(BF$3&lt;=$B78,INDEX(Input!$I$43:$I$2956,BF$3+$A77),"")</f>
        <v/>
      </c>
      <c r="BG78" s="17" t="str">
        <f>IF(BG$3&lt;=$B78,INDEX(Input!$I$43:$I$2956,BG$3+$A77),"")</f>
        <v/>
      </c>
      <c r="BH78" s="17" t="str">
        <f>IF(BH$3&lt;=$B78,INDEX(Input!$I$43:$I$2956,BH$3+$A77),"")</f>
        <v/>
      </c>
      <c r="BI78" s="17" t="str">
        <f>IF(BI$3&lt;=$B78,INDEX(Input!$I$43:$I$2956,BI$3+$A77),"")</f>
        <v/>
      </c>
      <c r="BJ78" s="17" t="str">
        <f>IF(BJ$3&lt;=$B78,INDEX(Input!$I$43:$I$2956,BJ$3+$A77),"")</f>
        <v/>
      </c>
      <c r="BK78" s="17" t="str">
        <f>IF(BK$3&lt;=$B78,INDEX(Input!$I$43:$I$2956,BK$3+$A77),"")</f>
        <v/>
      </c>
      <c r="BL78" s="17" t="str">
        <f>IF(BL$3&lt;=$B78,INDEX(Input!$I$43:$I$2956,BL$3+$A77),"")</f>
        <v/>
      </c>
      <c r="BM78" s="17" t="str">
        <f>IF(BM$3&lt;=$B78,INDEX(Input!$I$43:$I$2956,BM$3+$A77),"")</f>
        <v/>
      </c>
      <c r="BN78" s="17" t="str">
        <f>IF(BN$3&lt;=$B78,INDEX(Input!$I$43:$I$2956,BN$3+$A77),"")</f>
        <v/>
      </c>
      <c r="BO78" s="17" t="str">
        <f>IF(BO$3&lt;=$B78,INDEX(Input!$I$43:$I$2956,BO$3+$A77),"")</f>
        <v/>
      </c>
      <c r="BP78" s="17" t="str">
        <f>IF(BP$3&lt;=$B78,INDEX(Input!$I$43:$I$2956,BP$3+$A77),"")</f>
        <v/>
      </c>
      <c r="BQ78" s="17" t="str">
        <f>IF(BQ$3&lt;=$B78,INDEX(Input!$I$43:$I$2956,BQ$3+$A77),"")</f>
        <v/>
      </c>
      <c r="BR78" s="17" t="str">
        <f>IF(BR$3&lt;=$B78,INDEX(Input!$I$43:$I$2956,BR$3+$A77),"")</f>
        <v/>
      </c>
      <c r="BS78" s="17" t="str">
        <f>IF(BS$3&lt;=$B78,INDEX(Input!$I$43:$I$2956,BS$3+$A77),"")</f>
        <v/>
      </c>
      <c r="BT78" s="17" t="str">
        <f>IF(BT$3&lt;=$B78,INDEX(Input!$I$43:$I$2956,BT$3+$A77),"")</f>
        <v/>
      </c>
      <c r="BU78" s="17" t="str">
        <f>IF(BU$3&lt;=$B78,INDEX(Input!$I$43:$I$2956,BU$3+$A77),"")</f>
        <v/>
      </c>
      <c r="BV78" s="17" t="str">
        <f>IF(BV$3&lt;=$B78,INDEX(Input!$I$43:$I$2956,BV$3+$A77),"")</f>
        <v/>
      </c>
      <c r="BW78" s="17" t="str">
        <f>IF(BW$3&lt;=$B78,INDEX(Input!$I$43:$I$2956,BW$3+$A77),"")</f>
        <v/>
      </c>
      <c r="BX78" s="17" t="str">
        <f>IF(BX$3&lt;=$B78,INDEX(Input!$I$43:$I$2956,BX$3+$A77),"")</f>
        <v/>
      </c>
      <c r="BY78" s="17" t="str">
        <f>IF(BY$3&lt;=$B78,INDEX(Input!$I$43:$I$2956,BY$3+$A77),"")</f>
        <v/>
      </c>
      <c r="BZ78" s="17" t="str">
        <f>IF(BZ$3&lt;=$B78,INDEX(Input!$I$43:$I$2956,BZ$3+$A77),"")</f>
        <v/>
      </c>
      <c r="CA78" s="17" t="str">
        <f>IF(CA$3&lt;=$B78,INDEX(Input!$I$43:$I$2956,CA$3+$A77),"")</f>
        <v/>
      </c>
      <c r="CB78" s="17" t="str">
        <f>IF(CB$3&lt;=$B78,INDEX(Input!$I$43:$I$2956,CB$3+$A77),"")</f>
        <v/>
      </c>
      <c r="CC78" s="17" t="str">
        <f>IF(CC$3&lt;=$B78,INDEX(Input!$I$43:$I$2956,CC$3+$A77),"")</f>
        <v/>
      </c>
      <c r="CD78" s="17" t="str">
        <f>IF(CD$3&lt;=$B78,INDEX(Input!$I$43:$I$2956,CD$3+$A77),"")</f>
        <v/>
      </c>
      <c r="CE78" s="17" t="str">
        <f>IF(CE$3&lt;=$B78,INDEX(Input!$I$43:$I$2956,CE$3+$A77),"")</f>
        <v/>
      </c>
      <c r="CF78" s="17" t="str">
        <f>IF(CF$3&lt;=$B78,INDEX(Input!$I$43:$I$2956,CF$3+$A77),"")</f>
        <v/>
      </c>
      <c r="CG78" s="17" t="str">
        <f>IF(CG$3&lt;=$B78,INDEX(Input!$I$43:$I$2956,CG$3+$A77),"")</f>
        <v/>
      </c>
      <c r="CH78" s="17" t="str">
        <f>IF(CH$3&lt;=$B78,INDEX(Input!$I$43:$I$2956,CH$3+$A77),"")</f>
        <v/>
      </c>
      <c r="CI78" s="17" t="str">
        <f>IF(CI$3&lt;=$B78,INDEX(Input!$I$43:$I$2956,CI$3+$A77),"")</f>
        <v/>
      </c>
      <c r="CJ78" s="17" t="str">
        <f>IF(CJ$3&lt;=$B78,INDEX(Input!$I$43:$I$2956,CJ$3+$A77),"")</f>
        <v/>
      </c>
      <c r="CK78" s="17" t="str">
        <f>IF(CK$3&lt;=$B78,INDEX(Input!$I$43:$I$2956,CK$3+$A77),"")</f>
        <v/>
      </c>
      <c r="CL78" s="17" t="str">
        <f>IF(CL$3&lt;=$B78,INDEX(Input!$I$43:$I$2956,CL$3+$A77),"")</f>
        <v/>
      </c>
      <c r="CM78" s="17" t="str">
        <f>IF(CM$3&lt;=$B78,INDEX(Input!$I$43:$I$2956,CM$3+$A77),"")</f>
        <v/>
      </c>
      <c r="CN78" s="17" t="str">
        <f>IF(CN$3&lt;=$B78,INDEX(Input!$I$43:$I$2956,CN$3+$A77),"")</f>
        <v/>
      </c>
      <c r="CO78" s="17" t="str">
        <f>IF(CO$3&lt;=$B78,INDEX(Input!$I$43:$I$2956,CO$3+$A77),"")</f>
        <v/>
      </c>
      <c r="CP78" s="17" t="str">
        <f>IF(CP$3&lt;=$B78,INDEX(Input!$I$43:$I$2956,CP$3+$A77),"")</f>
        <v/>
      </c>
      <c r="CQ78" s="17" t="str">
        <f>IF(CQ$3&lt;=$B78,INDEX(Input!$I$43:$I$2956,CQ$3+$A77),"")</f>
        <v/>
      </c>
      <c r="CR78" s="17" t="str">
        <f>IF(CR$3&lt;=$B78,INDEX(Input!$I$43:$I$2956,CR$3+$A77),"")</f>
        <v/>
      </c>
      <c r="CS78" s="17" t="str">
        <f>IF(CS$3&lt;=$B78,INDEX(Input!$I$43:$I$2956,CS$3+$A77),"")</f>
        <v/>
      </c>
      <c r="CT78" s="17" t="str">
        <f>IF(CT$3&lt;=$B78,INDEX(Input!$I$43:$I$2956,CT$3+$A77),"")</f>
        <v/>
      </c>
      <c r="CU78" s="17" t="str">
        <f>IF(CU$3&lt;=$B78,INDEX(Input!$I$43:$I$2956,CU$3+$A77),"")</f>
        <v/>
      </c>
      <c r="CV78" s="17" t="str">
        <f>IF(CV$3&lt;=$B78,INDEX(Input!$I$43:$I$2956,CV$3+$A77),"")</f>
        <v/>
      </c>
      <c r="CW78" s="17" t="str">
        <f>IF(CW$3&lt;=$B78,INDEX(Input!$I$43:$I$2956,CW$3+$A77),"")</f>
        <v/>
      </c>
      <c r="CX78" s="17" t="str">
        <f>IF(CX$3&lt;=$B78,INDEX(Input!$I$43:$I$2956,CX$3+$A77),"")</f>
        <v/>
      </c>
      <c r="CY78" s="17" t="str">
        <f>IF(CY$3&lt;=$B78,INDEX(Input!$I$43:$I$2956,CY$3+$A77),"")</f>
        <v/>
      </c>
      <c r="CZ78" s="17" t="str">
        <f>IF(CZ$3&lt;=$B78,INDEX(Input!$I$43:$I$2956,CZ$3+$A77),"")</f>
        <v/>
      </c>
      <c r="DA78" s="17" t="str">
        <f>IF(DA$3&lt;=$B78,INDEX(Input!$I$43:$I$2956,DA$3+$A77),"")</f>
        <v/>
      </c>
      <c r="DB78" s="17" t="str">
        <f>IF(DB$3&lt;=$B78,INDEX(Input!$I$43:$I$2956,DB$3+$A77),"")</f>
        <v/>
      </c>
      <c r="DC78" s="17" t="str">
        <f>IF(DC$3&lt;=$B78,INDEX(Input!$I$43:$I$2956,DC$3+$A77),"")</f>
        <v/>
      </c>
      <c r="DD78" s="17" t="str">
        <f>IF(DD$3&lt;=$B78,INDEX(Input!$I$43:$I$2956,DD$3+$A77),"")</f>
        <v/>
      </c>
      <c r="DE78" s="17" t="str">
        <f>IF(DE$3&lt;=$B78,INDEX(Input!$I$43:$I$2956,DE$3+$A77),"")</f>
        <v/>
      </c>
      <c r="DF78" s="17" t="str">
        <f>IF(DF$3&lt;=$B78,INDEX(Input!$I$43:$I$2956,DF$3+$A77),"")</f>
        <v/>
      </c>
      <c r="DG78" s="17" t="str">
        <f>IF(DG$3&lt;=$B78,INDEX(Input!$I$43:$I$2956,DG$3+$A77),"")</f>
        <v/>
      </c>
      <c r="DH78" s="17" t="str">
        <f>IF(DH$3&lt;=$B78,INDEX(Input!$I$43:$I$2956,DH$3+$A77),"")</f>
        <v/>
      </c>
      <c r="DI78" s="17" t="str">
        <f>IF(DI$3&lt;=$B78,INDEX(Input!$I$43:$I$2956,DI$3+$A77),"")</f>
        <v/>
      </c>
      <c r="DJ78" s="17" t="str">
        <f>IF(DJ$3&lt;=$B78,INDEX(Input!$I$43:$I$2956,DJ$3+$A77),"")</f>
        <v/>
      </c>
      <c r="DK78" s="17" t="str">
        <f>IF(DK$3&lt;=$B78,INDEX(Input!$I$43:$I$2956,DK$3+$A77),"")</f>
        <v/>
      </c>
      <c r="DL78" s="17" t="str">
        <f>IF(DL$3&lt;=$B78,INDEX(Input!$I$43:$I$2956,DL$3+$A77),"")</f>
        <v/>
      </c>
      <c r="DM78" s="17" t="str">
        <f>IF(DM$3&lt;=$B78,INDEX(Input!$I$43:$I$2956,DM$3+$A77),"")</f>
        <v/>
      </c>
      <c r="DN78" s="17" t="str">
        <f>IF(DN$3&lt;=$B78,INDEX(Input!$I$43:$I$2956,DN$3+$A77),"")</f>
        <v/>
      </c>
      <c r="DO78" s="17" t="str">
        <f>IF(DO$3&lt;=$B78,INDEX(Input!$I$43:$I$2956,DO$3+$A77),"")</f>
        <v/>
      </c>
      <c r="DP78" s="17" t="str">
        <f>IF(DP$3&lt;=$B78,INDEX(Input!$I$43:$I$2956,DP$3+$A77),"")</f>
        <v/>
      </c>
      <c r="DQ78" s="17" t="str">
        <f>IF(DQ$3&lt;=$B78,INDEX(Input!$I$43:$I$2956,DQ$3+$A77),"")</f>
        <v/>
      </c>
      <c r="DR78" s="17" t="str">
        <f>IF(DR$3&lt;=$B78,INDEX(Input!$I$43:$I$2956,DR$3+$A77),"")</f>
        <v/>
      </c>
      <c r="DS78" s="17" t="str">
        <f>IF(DS$3&lt;=$B78,INDEX(Input!$I$43:$I$2956,DS$3+$A77),"")</f>
        <v/>
      </c>
      <c r="DT78" s="17" t="str">
        <f>IF(DT$3&lt;=$B78,INDEX(Input!$I$43:$I$2956,DT$3+$A77),"")</f>
        <v/>
      </c>
      <c r="DU78" s="17" t="str">
        <f>IF(DU$3&lt;=$B78,INDEX(Input!$I$43:$I$2956,DU$3+$A77),"")</f>
        <v/>
      </c>
      <c r="DV78" s="17" t="str">
        <f>IF(DV$3&lt;=$B78,INDEX(Input!$I$43:$I$2956,DV$3+$A77),"")</f>
        <v/>
      </c>
      <c r="DW78" s="58" t="str">
        <f t="array" ref="DW78:EZ78">IFERROR(eccalc(E78:DV78,C78+B78,B78,$O$2:$AS$2),"")</f>
        <v/>
      </c>
      <c r="DX78" s="59" t="str">
        <v/>
      </c>
      <c r="DY78" s="59" t="str">
        <v/>
      </c>
      <c r="DZ78" s="59" t="str">
        <v/>
      </c>
      <c r="EA78" s="59" t="str">
        <v/>
      </c>
      <c r="EB78" s="59" t="str">
        <v/>
      </c>
      <c r="EC78" s="59" t="str">
        <v/>
      </c>
      <c r="ED78" s="59" t="str">
        <v/>
      </c>
      <c r="EE78" s="59" t="str">
        <v/>
      </c>
      <c r="EF78" s="59" t="str">
        <v/>
      </c>
      <c r="EG78" s="59" t="str">
        <v/>
      </c>
      <c r="EH78" s="59" t="str">
        <v/>
      </c>
      <c r="EI78" s="59" t="str">
        <v/>
      </c>
      <c r="EJ78" s="59" t="str">
        <v/>
      </c>
      <c r="EK78" s="59" t="str">
        <v/>
      </c>
      <c r="EL78" s="59" t="str">
        <v/>
      </c>
      <c r="EM78" s="59" t="str">
        <v/>
      </c>
      <c r="EN78" s="59" t="str">
        <v/>
      </c>
      <c r="EO78" s="59" t="str">
        <v/>
      </c>
      <c r="EP78" s="59" t="str">
        <v/>
      </c>
      <c r="EQ78" s="59" t="str">
        <v/>
      </c>
      <c r="ER78" s="59" t="str">
        <v/>
      </c>
      <c r="ES78" s="59" t="str">
        <v/>
      </c>
      <c r="ET78" s="59" t="str">
        <v/>
      </c>
      <c r="EU78" s="59" t="str">
        <v/>
      </c>
      <c r="EV78" s="59" t="str">
        <v/>
      </c>
      <c r="EW78" s="59" t="str">
        <v/>
      </c>
      <c r="EX78" s="59" t="str">
        <v/>
      </c>
      <c r="EY78" s="59" t="str">
        <v/>
      </c>
      <c r="EZ78" s="60" t="str">
        <v/>
      </c>
      <c r="FA78" s="17"/>
      <c r="FC78">
        <v>75</v>
      </c>
      <c r="FD78">
        <f t="shared" si="10"/>
        <v>11</v>
      </c>
      <c r="FE78">
        <f t="shared" si="11"/>
        <v>5</v>
      </c>
      <c r="FF78">
        <f t="shared" si="12"/>
        <v>83</v>
      </c>
      <c r="FI78" s="16">
        <v>75</v>
      </c>
      <c r="FJ78" s="17">
        <f t="shared" si="13"/>
        <v>67</v>
      </c>
      <c r="FK78" s="17">
        <f t="shared" si="14"/>
        <v>83</v>
      </c>
      <c r="FL78" s="18" t="str">
        <f t="shared" si="15"/>
        <v>01010011</v>
      </c>
      <c r="FM78" s="2"/>
    </row>
    <row r="79" spans="1:169">
      <c r="A79">
        <f>SUM($B$4:B79)</f>
        <v>196</v>
      </c>
      <c r="B79">
        <f t="shared" si="8"/>
        <v>0</v>
      </c>
      <c r="C79" t="str">
        <f t="shared" si="9"/>
        <v/>
      </c>
      <c r="D79">
        <v>76</v>
      </c>
      <c r="E79" s="16" t="str">
        <f>IF(E$3&lt;=$B79,INDEX(Input!$I$43:$I$2956,E$3+$A78),"")</f>
        <v/>
      </c>
      <c r="F79" s="17" t="str">
        <f>IF(F$3&lt;=$B79,INDEX(Input!$I$43:$I$2956,F$3+$A78),"")</f>
        <v/>
      </c>
      <c r="G79" s="17" t="str">
        <f>IF(G$3&lt;=$B79,INDEX(Input!$I$43:$I$2956,G$3+$A78),"")</f>
        <v/>
      </c>
      <c r="H79" s="17" t="str">
        <f>IF(H$3&lt;=$B79,INDEX(Input!$I$43:$I$2956,H$3+$A78),"")</f>
        <v/>
      </c>
      <c r="I79" s="17" t="str">
        <f>IF(I$3&lt;=$B79,INDEX(Input!$I$43:$I$2956,I$3+$A78),"")</f>
        <v/>
      </c>
      <c r="J79" s="17" t="str">
        <f>IF(J$3&lt;=$B79,INDEX(Input!$I$43:$I$2956,J$3+$A78),"")</f>
        <v/>
      </c>
      <c r="K79" s="17" t="str">
        <f>IF(K$3&lt;=$B79,INDEX(Input!$I$43:$I$2956,K$3+$A78),"")</f>
        <v/>
      </c>
      <c r="L79" s="17" t="str">
        <f>IF(L$3&lt;=$B79,INDEX(Input!$I$43:$I$2956,L$3+$A78),"")</f>
        <v/>
      </c>
      <c r="M79" s="17" t="str">
        <f>IF(M$3&lt;=$B79,INDEX(Input!$I$43:$I$2956,M$3+$A78),"")</f>
        <v/>
      </c>
      <c r="N79" s="17" t="str">
        <f>IF(N$3&lt;=$B79,INDEX(Input!$I$43:$I$2956,N$3+$A78),"")</f>
        <v/>
      </c>
      <c r="O79" s="17" t="str">
        <f>IF(O$3&lt;=$B79,INDEX(Input!$I$43:$I$2956,O$3+$A78),"")</f>
        <v/>
      </c>
      <c r="P79" s="17" t="str">
        <f>IF(P$3&lt;=$B79,INDEX(Input!$I$43:$I$2956,P$3+$A78),"")</f>
        <v/>
      </c>
      <c r="Q79" s="17" t="str">
        <f>IF(Q$3&lt;=$B79,INDEX(Input!$I$43:$I$2956,Q$3+$A78),"")</f>
        <v/>
      </c>
      <c r="R79" s="17" t="str">
        <f>IF(R$3&lt;=$B79,INDEX(Input!$I$43:$I$2956,R$3+$A78),"")</f>
        <v/>
      </c>
      <c r="S79" s="17" t="str">
        <f>IF(S$3&lt;=$B79,INDEX(Input!$I$43:$I$2956,S$3+$A78),"")</f>
        <v/>
      </c>
      <c r="T79" s="17" t="str">
        <f>IF(T$3&lt;=$B79,INDEX(Input!$I$43:$I$2956,T$3+$A78),"")</f>
        <v/>
      </c>
      <c r="U79" s="17" t="str">
        <f>IF(U$3&lt;=$B79,INDEX(Input!$I$43:$I$2956,U$3+$A78),"")</f>
        <v/>
      </c>
      <c r="V79" s="17" t="str">
        <f>IF(V$3&lt;=$B79,INDEX(Input!$I$43:$I$2956,V$3+$A78),"")</f>
        <v/>
      </c>
      <c r="W79" s="17" t="str">
        <f>IF(W$3&lt;=$B79,INDEX(Input!$I$43:$I$2956,W$3+$A78),"")</f>
        <v/>
      </c>
      <c r="X79" s="17" t="str">
        <f>IF(X$3&lt;=$B79,INDEX(Input!$I$43:$I$2956,X$3+$A78),"")</f>
        <v/>
      </c>
      <c r="Y79" s="17" t="str">
        <f>IF(Y$3&lt;=$B79,INDEX(Input!$I$43:$I$2956,Y$3+$A78),"")</f>
        <v/>
      </c>
      <c r="Z79" s="17" t="str">
        <f>IF(Z$3&lt;=$B79,INDEX(Input!$I$43:$I$2956,Z$3+$A78),"")</f>
        <v/>
      </c>
      <c r="AA79" s="17" t="str">
        <f>IF(AA$3&lt;=$B79,INDEX(Input!$I$43:$I$2956,AA$3+$A78),"")</f>
        <v/>
      </c>
      <c r="AB79" s="17" t="str">
        <f>IF(AB$3&lt;=$B79,INDEX(Input!$I$43:$I$2956,AB$3+$A78),"")</f>
        <v/>
      </c>
      <c r="AC79" s="17" t="str">
        <f>IF(AC$3&lt;=$B79,INDEX(Input!$I$43:$I$2956,AC$3+$A78),"")</f>
        <v/>
      </c>
      <c r="AD79" s="17" t="str">
        <f>IF(AD$3&lt;=$B79,INDEX(Input!$I$43:$I$2956,AD$3+$A78),"")</f>
        <v/>
      </c>
      <c r="AE79" s="17" t="str">
        <f>IF(AE$3&lt;=$B79,INDEX(Input!$I$43:$I$2956,AE$3+$A78),"")</f>
        <v/>
      </c>
      <c r="AF79" s="17" t="str">
        <f>IF(AF$3&lt;=$B79,INDEX(Input!$I$43:$I$2956,AF$3+$A78),"")</f>
        <v/>
      </c>
      <c r="AG79" s="17" t="str">
        <f>IF(AG$3&lt;=$B79,INDEX(Input!$I$43:$I$2956,AG$3+$A78),"")</f>
        <v/>
      </c>
      <c r="AH79" s="17" t="str">
        <f>IF(AH$3&lt;=$B79,INDEX(Input!$I$43:$I$2956,AH$3+$A78),"")</f>
        <v/>
      </c>
      <c r="AI79" s="17" t="str">
        <f>IF(AI$3&lt;=$B79,INDEX(Input!$I$43:$I$2956,AI$3+$A78),"")</f>
        <v/>
      </c>
      <c r="AJ79" s="17" t="str">
        <f>IF(AJ$3&lt;=$B79,INDEX(Input!$I$43:$I$2956,AJ$3+$A78),"")</f>
        <v/>
      </c>
      <c r="AK79" s="17" t="str">
        <f>IF(AK$3&lt;=$B79,INDEX(Input!$I$43:$I$2956,AK$3+$A78),"")</f>
        <v/>
      </c>
      <c r="AL79" s="17" t="str">
        <f>IF(AL$3&lt;=$B79,INDEX(Input!$I$43:$I$2956,AL$3+$A78),"")</f>
        <v/>
      </c>
      <c r="AM79" s="17" t="str">
        <f>IF(AM$3&lt;=$B79,INDEX(Input!$I$43:$I$2956,AM$3+$A78),"")</f>
        <v/>
      </c>
      <c r="AN79" s="17" t="str">
        <f>IF(AN$3&lt;=$B79,INDEX(Input!$I$43:$I$2956,AN$3+$A78),"")</f>
        <v/>
      </c>
      <c r="AO79" s="17" t="str">
        <f>IF(AO$3&lt;=$B79,INDEX(Input!$I$43:$I$2956,AO$3+$A78),"")</f>
        <v/>
      </c>
      <c r="AP79" s="17" t="str">
        <f>IF(AP$3&lt;=$B79,INDEX(Input!$I$43:$I$2956,AP$3+$A78),"")</f>
        <v/>
      </c>
      <c r="AQ79" s="17" t="str">
        <f>IF(AQ$3&lt;=$B79,INDEX(Input!$I$43:$I$2956,AQ$3+$A78),"")</f>
        <v/>
      </c>
      <c r="AR79" s="17" t="str">
        <f>IF(AR$3&lt;=$B79,INDEX(Input!$I$43:$I$2956,AR$3+$A78),"")</f>
        <v/>
      </c>
      <c r="AS79" s="17" t="str">
        <f>IF(AS$3&lt;=$B79,INDEX(Input!$I$43:$I$2956,AS$3+$A78),"")</f>
        <v/>
      </c>
      <c r="AT79" s="17" t="str">
        <f>IF(AT$3&lt;=$B79,INDEX(Input!$I$43:$I$2956,AT$3+$A78),"")</f>
        <v/>
      </c>
      <c r="AU79" s="17" t="str">
        <f>IF(AU$3&lt;=$B79,INDEX(Input!$I$43:$I$2956,AU$3+$A78),"")</f>
        <v/>
      </c>
      <c r="AV79" s="17" t="str">
        <f>IF(AV$3&lt;=$B79,INDEX(Input!$I$43:$I$2956,AV$3+$A78),"")</f>
        <v/>
      </c>
      <c r="AW79" s="17" t="str">
        <f>IF(AW$3&lt;=$B79,INDEX(Input!$I$43:$I$2956,AW$3+$A78),"")</f>
        <v/>
      </c>
      <c r="AX79" s="17" t="str">
        <f>IF(AX$3&lt;=$B79,INDEX(Input!$I$43:$I$2956,AX$3+$A78),"")</f>
        <v/>
      </c>
      <c r="AY79" s="17" t="str">
        <f>IF(AY$3&lt;=$B79,INDEX(Input!$I$43:$I$2956,AY$3+$A78),"")</f>
        <v/>
      </c>
      <c r="AZ79" s="17" t="str">
        <f>IF(AZ$3&lt;=$B79,INDEX(Input!$I$43:$I$2956,AZ$3+$A78),"")</f>
        <v/>
      </c>
      <c r="BA79" s="17" t="str">
        <f>IF(BA$3&lt;=$B79,INDEX(Input!$I$43:$I$2956,BA$3+$A78),"")</f>
        <v/>
      </c>
      <c r="BB79" s="17" t="str">
        <f>IF(BB$3&lt;=$B79,INDEX(Input!$I$43:$I$2956,BB$3+$A78),"")</f>
        <v/>
      </c>
      <c r="BC79" s="17" t="str">
        <f>IF(BC$3&lt;=$B79,INDEX(Input!$I$43:$I$2956,BC$3+$A78),"")</f>
        <v/>
      </c>
      <c r="BD79" s="17" t="str">
        <f>IF(BD$3&lt;=$B79,INDEX(Input!$I$43:$I$2956,BD$3+$A78),"")</f>
        <v/>
      </c>
      <c r="BE79" s="17" t="str">
        <f>IF(BE$3&lt;=$B79,INDEX(Input!$I$43:$I$2956,BE$3+$A78),"")</f>
        <v/>
      </c>
      <c r="BF79" s="17" t="str">
        <f>IF(BF$3&lt;=$B79,INDEX(Input!$I$43:$I$2956,BF$3+$A78),"")</f>
        <v/>
      </c>
      <c r="BG79" s="17" t="str">
        <f>IF(BG$3&lt;=$B79,INDEX(Input!$I$43:$I$2956,BG$3+$A78),"")</f>
        <v/>
      </c>
      <c r="BH79" s="17" t="str">
        <f>IF(BH$3&lt;=$B79,INDEX(Input!$I$43:$I$2956,BH$3+$A78),"")</f>
        <v/>
      </c>
      <c r="BI79" s="17" t="str">
        <f>IF(BI$3&lt;=$B79,INDEX(Input!$I$43:$I$2956,BI$3+$A78),"")</f>
        <v/>
      </c>
      <c r="BJ79" s="17" t="str">
        <f>IF(BJ$3&lt;=$B79,INDEX(Input!$I$43:$I$2956,BJ$3+$A78),"")</f>
        <v/>
      </c>
      <c r="BK79" s="17" t="str">
        <f>IF(BK$3&lt;=$B79,INDEX(Input!$I$43:$I$2956,BK$3+$A78),"")</f>
        <v/>
      </c>
      <c r="BL79" s="17" t="str">
        <f>IF(BL$3&lt;=$B79,INDEX(Input!$I$43:$I$2956,BL$3+$A78),"")</f>
        <v/>
      </c>
      <c r="BM79" s="17" t="str">
        <f>IF(BM$3&lt;=$B79,INDEX(Input!$I$43:$I$2956,BM$3+$A78),"")</f>
        <v/>
      </c>
      <c r="BN79" s="17" t="str">
        <f>IF(BN$3&lt;=$B79,INDEX(Input!$I$43:$I$2956,BN$3+$A78),"")</f>
        <v/>
      </c>
      <c r="BO79" s="17" t="str">
        <f>IF(BO$3&lt;=$B79,INDEX(Input!$I$43:$I$2956,BO$3+$A78),"")</f>
        <v/>
      </c>
      <c r="BP79" s="17" t="str">
        <f>IF(BP$3&lt;=$B79,INDEX(Input!$I$43:$I$2956,BP$3+$A78),"")</f>
        <v/>
      </c>
      <c r="BQ79" s="17" t="str">
        <f>IF(BQ$3&lt;=$B79,INDEX(Input!$I$43:$I$2956,BQ$3+$A78),"")</f>
        <v/>
      </c>
      <c r="BR79" s="17" t="str">
        <f>IF(BR$3&lt;=$B79,INDEX(Input!$I$43:$I$2956,BR$3+$A78),"")</f>
        <v/>
      </c>
      <c r="BS79" s="17" t="str">
        <f>IF(BS$3&lt;=$B79,INDEX(Input!$I$43:$I$2956,BS$3+$A78),"")</f>
        <v/>
      </c>
      <c r="BT79" s="17" t="str">
        <f>IF(BT$3&lt;=$B79,INDEX(Input!$I$43:$I$2956,BT$3+$A78),"")</f>
        <v/>
      </c>
      <c r="BU79" s="17" t="str">
        <f>IF(BU$3&lt;=$B79,INDEX(Input!$I$43:$I$2956,BU$3+$A78),"")</f>
        <v/>
      </c>
      <c r="BV79" s="17" t="str">
        <f>IF(BV$3&lt;=$B79,INDEX(Input!$I$43:$I$2956,BV$3+$A78),"")</f>
        <v/>
      </c>
      <c r="BW79" s="17" t="str">
        <f>IF(BW$3&lt;=$B79,INDEX(Input!$I$43:$I$2956,BW$3+$A78),"")</f>
        <v/>
      </c>
      <c r="BX79" s="17" t="str">
        <f>IF(BX$3&lt;=$B79,INDEX(Input!$I$43:$I$2956,BX$3+$A78),"")</f>
        <v/>
      </c>
      <c r="BY79" s="17" t="str">
        <f>IF(BY$3&lt;=$B79,INDEX(Input!$I$43:$I$2956,BY$3+$A78),"")</f>
        <v/>
      </c>
      <c r="BZ79" s="17" t="str">
        <f>IF(BZ$3&lt;=$B79,INDEX(Input!$I$43:$I$2956,BZ$3+$A78),"")</f>
        <v/>
      </c>
      <c r="CA79" s="17" t="str">
        <f>IF(CA$3&lt;=$B79,INDEX(Input!$I$43:$I$2956,CA$3+$A78),"")</f>
        <v/>
      </c>
      <c r="CB79" s="17" t="str">
        <f>IF(CB$3&lt;=$B79,INDEX(Input!$I$43:$I$2956,CB$3+$A78),"")</f>
        <v/>
      </c>
      <c r="CC79" s="17" t="str">
        <f>IF(CC$3&lt;=$B79,INDEX(Input!$I$43:$I$2956,CC$3+$A78),"")</f>
        <v/>
      </c>
      <c r="CD79" s="17" t="str">
        <f>IF(CD$3&lt;=$B79,INDEX(Input!$I$43:$I$2956,CD$3+$A78),"")</f>
        <v/>
      </c>
      <c r="CE79" s="17" t="str">
        <f>IF(CE$3&lt;=$B79,INDEX(Input!$I$43:$I$2956,CE$3+$A78),"")</f>
        <v/>
      </c>
      <c r="CF79" s="17" t="str">
        <f>IF(CF$3&lt;=$B79,INDEX(Input!$I$43:$I$2956,CF$3+$A78),"")</f>
        <v/>
      </c>
      <c r="CG79" s="17" t="str">
        <f>IF(CG$3&lt;=$B79,INDEX(Input!$I$43:$I$2956,CG$3+$A78),"")</f>
        <v/>
      </c>
      <c r="CH79" s="17" t="str">
        <f>IF(CH$3&lt;=$B79,INDEX(Input!$I$43:$I$2956,CH$3+$A78),"")</f>
        <v/>
      </c>
      <c r="CI79" s="17" t="str">
        <f>IF(CI$3&lt;=$B79,INDEX(Input!$I$43:$I$2956,CI$3+$A78),"")</f>
        <v/>
      </c>
      <c r="CJ79" s="17" t="str">
        <f>IF(CJ$3&lt;=$B79,INDEX(Input!$I$43:$I$2956,CJ$3+$A78),"")</f>
        <v/>
      </c>
      <c r="CK79" s="17" t="str">
        <f>IF(CK$3&lt;=$B79,INDEX(Input!$I$43:$I$2956,CK$3+$A78),"")</f>
        <v/>
      </c>
      <c r="CL79" s="17" t="str">
        <f>IF(CL$3&lt;=$B79,INDEX(Input!$I$43:$I$2956,CL$3+$A78),"")</f>
        <v/>
      </c>
      <c r="CM79" s="17" t="str">
        <f>IF(CM$3&lt;=$B79,INDEX(Input!$I$43:$I$2956,CM$3+$A78),"")</f>
        <v/>
      </c>
      <c r="CN79" s="17" t="str">
        <f>IF(CN$3&lt;=$B79,INDEX(Input!$I$43:$I$2956,CN$3+$A78),"")</f>
        <v/>
      </c>
      <c r="CO79" s="17" t="str">
        <f>IF(CO$3&lt;=$B79,INDEX(Input!$I$43:$I$2956,CO$3+$A78),"")</f>
        <v/>
      </c>
      <c r="CP79" s="17" t="str">
        <f>IF(CP$3&lt;=$B79,INDEX(Input!$I$43:$I$2956,CP$3+$A78),"")</f>
        <v/>
      </c>
      <c r="CQ79" s="17" t="str">
        <f>IF(CQ$3&lt;=$B79,INDEX(Input!$I$43:$I$2956,CQ$3+$A78),"")</f>
        <v/>
      </c>
      <c r="CR79" s="17" t="str">
        <f>IF(CR$3&lt;=$B79,INDEX(Input!$I$43:$I$2956,CR$3+$A78),"")</f>
        <v/>
      </c>
      <c r="CS79" s="17" t="str">
        <f>IF(CS$3&lt;=$B79,INDEX(Input!$I$43:$I$2956,CS$3+$A78),"")</f>
        <v/>
      </c>
      <c r="CT79" s="17" t="str">
        <f>IF(CT$3&lt;=$B79,INDEX(Input!$I$43:$I$2956,CT$3+$A78),"")</f>
        <v/>
      </c>
      <c r="CU79" s="17" t="str">
        <f>IF(CU$3&lt;=$B79,INDEX(Input!$I$43:$I$2956,CU$3+$A78),"")</f>
        <v/>
      </c>
      <c r="CV79" s="17" t="str">
        <f>IF(CV$3&lt;=$B79,INDEX(Input!$I$43:$I$2956,CV$3+$A78),"")</f>
        <v/>
      </c>
      <c r="CW79" s="17" t="str">
        <f>IF(CW$3&lt;=$B79,INDEX(Input!$I$43:$I$2956,CW$3+$A78),"")</f>
        <v/>
      </c>
      <c r="CX79" s="17" t="str">
        <f>IF(CX$3&lt;=$B79,INDEX(Input!$I$43:$I$2956,CX$3+$A78),"")</f>
        <v/>
      </c>
      <c r="CY79" s="17" t="str">
        <f>IF(CY$3&lt;=$B79,INDEX(Input!$I$43:$I$2956,CY$3+$A78),"")</f>
        <v/>
      </c>
      <c r="CZ79" s="17" t="str">
        <f>IF(CZ$3&lt;=$B79,INDEX(Input!$I$43:$I$2956,CZ$3+$A78),"")</f>
        <v/>
      </c>
      <c r="DA79" s="17" t="str">
        <f>IF(DA$3&lt;=$B79,INDEX(Input!$I$43:$I$2956,DA$3+$A78),"")</f>
        <v/>
      </c>
      <c r="DB79" s="17" t="str">
        <f>IF(DB$3&lt;=$B79,INDEX(Input!$I$43:$I$2956,DB$3+$A78),"")</f>
        <v/>
      </c>
      <c r="DC79" s="17" t="str">
        <f>IF(DC$3&lt;=$B79,INDEX(Input!$I$43:$I$2956,DC$3+$A78),"")</f>
        <v/>
      </c>
      <c r="DD79" s="17" t="str">
        <f>IF(DD$3&lt;=$B79,INDEX(Input!$I$43:$I$2956,DD$3+$A78),"")</f>
        <v/>
      </c>
      <c r="DE79" s="17" t="str">
        <f>IF(DE$3&lt;=$B79,INDEX(Input!$I$43:$I$2956,DE$3+$A78),"")</f>
        <v/>
      </c>
      <c r="DF79" s="17" t="str">
        <f>IF(DF$3&lt;=$B79,INDEX(Input!$I$43:$I$2956,DF$3+$A78),"")</f>
        <v/>
      </c>
      <c r="DG79" s="17" t="str">
        <f>IF(DG$3&lt;=$B79,INDEX(Input!$I$43:$I$2956,DG$3+$A78),"")</f>
        <v/>
      </c>
      <c r="DH79" s="17" t="str">
        <f>IF(DH$3&lt;=$B79,INDEX(Input!$I$43:$I$2956,DH$3+$A78),"")</f>
        <v/>
      </c>
      <c r="DI79" s="17" t="str">
        <f>IF(DI$3&lt;=$B79,INDEX(Input!$I$43:$I$2956,DI$3+$A78),"")</f>
        <v/>
      </c>
      <c r="DJ79" s="17" t="str">
        <f>IF(DJ$3&lt;=$B79,INDEX(Input!$I$43:$I$2956,DJ$3+$A78),"")</f>
        <v/>
      </c>
      <c r="DK79" s="17" t="str">
        <f>IF(DK$3&lt;=$B79,INDEX(Input!$I$43:$I$2956,DK$3+$A78),"")</f>
        <v/>
      </c>
      <c r="DL79" s="17" t="str">
        <f>IF(DL$3&lt;=$B79,INDEX(Input!$I$43:$I$2956,DL$3+$A78),"")</f>
        <v/>
      </c>
      <c r="DM79" s="17" t="str">
        <f>IF(DM$3&lt;=$B79,INDEX(Input!$I$43:$I$2956,DM$3+$A78),"")</f>
        <v/>
      </c>
      <c r="DN79" s="17" t="str">
        <f>IF(DN$3&lt;=$B79,INDEX(Input!$I$43:$I$2956,DN$3+$A78),"")</f>
        <v/>
      </c>
      <c r="DO79" s="17" t="str">
        <f>IF(DO$3&lt;=$B79,INDEX(Input!$I$43:$I$2956,DO$3+$A78),"")</f>
        <v/>
      </c>
      <c r="DP79" s="17" t="str">
        <f>IF(DP$3&lt;=$B79,INDEX(Input!$I$43:$I$2956,DP$3+$A78),"")</f>
        <v/>
      </c>
      <c r="DQ79" s="17" t="str">
        <f>IF(DQ$3&lt;=$B79,INDEX(Input!$I$43:$I$2956,DQ$3+$A78),"")</f>
        <v/>
      </c>
      <c r="DR79" s="17" t="str">
        <f>IF(DR$3&lt;=$B79,INDEX(Input!$I$43:$I$2956,DR$3+$A78),"")</f>
        <v/>
      </c>
      <c r="DS79" s="17" t="str">
        <f>IF(DS$3&lt;=$B79,INDEX(Input!$I$43:$I$2956,DS$3+$A78),"")</f>
        <v/>
      </c>
      <c r="DT79" s="17" t="str">
        <f>IF(DT$3&lt;=$B79,INDEX(Input!$I$43:$I$2956,DT$3+$A78),"")</f>
        <v/>
      </c>
      <c r="DU79" s="17" t="str">
        <f>IF(DU$3&lt;=$B79,INDEX(Input!$I$43:$I$2956,DU$3+$A78),"")</f>
        <v/>
      </c>
      <c r="DV79" s="17" t="str">
        <f>IF(DV$3&lt;=$B79,INDEX(Input!$I$43:$I$2956,DV$3+$A78),"")</f>
        <v/>
      </c>
      <c r="DW79" s="58" t="str">
        <f t="array" ref="DW79:EZ79">IFERROR(eccalc(E79:DV79,C79+B79,B79,$O$2:$AS$2),"")</f>
        <v/>
      </c>
      <c r="DX79" s="59" t="str">
        <v/>
      </c>
      <c r="DY79" s="59" t="str">
        <v/>
      </c>
      <c r="DZ79" s="59" t="str">
        <v/>
      </c>
      <c r="EA79" s="59" t="str">
        <v/>
      </c>
      <c r="EB79" s="59" t="str">
        <v/>
      </c>
      <c r="EC79" s="59" t="str">
        <v/>
      </c>
      <c r="ED79" s="59" t="str">
        <v/>
      </c>
      <c r="EE79" s="59" t="str">
        <v/>
      </c>
      <c r="EF79" s="59" t="str">
        <v/>
      </c>
      <c r="EG79" s="59" t="str">
        <v/>
      </c>
      <c r="EH79" s="59" t="str">
        <v/>
      </c>
      <c r="EI79" s="59" t="str">
        <v/>
      </c>
      <c r="EJ79" s="59" t="str">
        <v/>
      </c>
      <c r="EK79" s="59" t="str">
        <v/>
      </c>
      <c r="EL79" s="59" t="str">
        <v/>
      </c>
      <c r="EM79" s="59" t="str">
        <v/>
      </c>
      <c r="EN79" s="59" t="str">
        <v/>
      </c>
      <c r="EO79" s="59" t="str">
        <v/>
      </c>
      <c r="EP79" s="59" t="str">
        <v/>
      </c>
      <c r="EQ79" s="59" t="str">
        <v/>
      </c>
      <c r="ER79" s="59" t="str">
        <v/>
      </c>
      <c r="ES79" s="59" t="str">
        <v/>
      </c>
      <c r="ET79" s="59" t="str">
        <v/>
      </c>
      <c r="EU79" s="59" t="str">
        <v/>
      </c>
      <c r="EV79" s="59" t="str">
        <v/>
      </c>
      <c r="EW79" s="59" t="str">
        <v/>
      </c>
      <c r="EX79" s="59" t="str">
        <v/>
      </c>
      <c r="EY79" s="59" t="str">
        <v/>
      </c>
      <c r="EZ79" s="60" t="str">
        <v/>
      </c>
      <c r="FA79" s="17"/>
      <c r="FC79">
        <v>76</v>
      </c>
      <c r="FD79">
        <f t="shared" si="10"/>
        <v>12</v>
      </c>
      <c r="FE79">
        <f t="shared" si="11"/>
        <v>5</v>
      </c>
      <c r="FF79">
        <f t="shared" si="12"/>
        <v>242</v>
      </c>
      <c r="FI79" s="16">
        <v>76</v>
      </c>
      <c r="FJ79" s="17">
        <f t="shared" si="13"/>
        <v>199</v>
      </c>
      <c r="FK79" s="17">
        <f t="shared" si="14"/>
        <v>242</v>
      </c>
      <c r="FL79" s="18" t="str">
        <f t="shared" si="15"/>
        <v>11110010</v>
      </c>
      <c r="FM79" s="2"/>
    </row>
    <row r="80" spans="1:169">
      <c r="A80">
        <f>SUM($B$4:B80)</f>
        <v>196</v>
      </c>
      <c r="B80">
        <f t="shared" si="8"/>
        <v>0</v>
      </c>
      <c r="C80" t="str">
        <f t="shared" si="9"/>
        <v/>
      </c>
      <c r="D80">
        <v>77</v>
      </c>
      <c r="E80" s="16" t="str">
        <f>IF(E$3&lt;=$B80,INDEX(Input!$I$43:$I$2956,E$3+$A79),"")</f>
        <v/>
      </c>
      <c r="F80" s="17" t="str">
        <f>IF(F$3&lt;=$B80,INDEX(Input!$I$43:$I$2956,F$3+$A79),"")</f>
        <v/>
      </c>
      <c r="G80" s="17" t="str">
        <f>IF(G$3&lt;=$B80,INDEX(Input!$I$43:$I$2956,G$3+$A79),"")</f>
        <v/>
      </c>
      <c r="H80" s="17" t="str">
        <f>IF(H$3&lt;=$B80,INDEX(Input!$I$43:$I$2956,H$3+$A79),"")</f>
        <v/>
      </c>
      <c r="I80" s="17" t="str">
        <f>IF(I$3&lt;=$B80,INDEX(Input!$I$43:$I$2956,I$3+$A79),"")</f>
        <v/>
      </c>
      <c r="J80" s="17" t="str">
        <f>IF(J$3&lt;=$B80,INDEX(Input!$I$43:$I$2956,J$3+$A79),"")</f>
        <v/>
      </c>
      <c r="K80" s="17" t="str">
        <f>IF(K$3&lt;=$B80,INDEX(Input!$I$43:$I$2956,K$3+$A79),"")</f>
        <v/>
      </c>
      <c r="L80" s="17" t="str">
        <f>IF(L$3&lt;=$B80,INDEX(Input!$I$43:$I$2956,L$3+$A79),"")</f>
        <v/>
      </c>
      <c r="M80" s="17" t="str">
        <f>IF(M$3&lt;=$B80,INDEX(Input!$I$43:$I$2956,M$3+$A79),"")</f>
        <v/>
      </c>
      <c r="N80" s="17" t="str">
        <f>IF(N$3&lt;=$B80,INDEX(Input!$I$43:$I$2956,N$3+$A79),"")</f>
        <v/>
      </c>
      <c r="O80" s="17" t="str">
        <f>IF(O$3&lt;=$B80,INDEX(Input!$I$43:$I$2956,O$3+$A79),"")</f>
        <v/>
      </c>
      <c r="P80" s="17" t="str">
        <f>IF(P$3&lt;=$B80,INDEX(Input!$I$43:$I$2956,P$3+$A79),"")</f>
        <v/>
      </c>
      <c r="Q80" s="17" t="str">
        <f>IF(Q$3&lt;=$B80,INDEX(Input!$I$43:$I$2956,Q$3+$A79),"")</f>
        <v/>
      </c>
      <c r="R80" s="17" t="str">
        <f>IF(R$3&lt;=$B80,INDEX(Input!$I$43:$I$2956,R$3+$A79),"")</f>
        <v/>
      </c>
      <c r="S80" s="17" t="str">
        <f>IF(S$3&lt;=$B80,INDEX(Input!$I$43:$I$2956,S$3+$A79),"")</f>
        <v/>
      </c>
      <c r="T80" s="17" t="str">
        <f>IF(T$3&lt;=$B80,INDEX(Input!$I$43:$I$2956,T$3+$A79),"")</f>
        <v/>
      </c>
      <c r="U80" s="17" t="str">
        <f>IF(U$3&lt;=$B80,INDEX(Input!$I$43:$I$2956,U$3+$A79),"")</f>
        <v/>
      </c>
      <c r="V80" s="17" t="str">
        <f>IF(V$3&lt;=$B80,INDEX(Input!$I$43:$I$2956,V$3+$A79),"")</f>
        <v/>
      </c>
      <c r="W80" s="17" t="str">
        <f>IF(W$3&lt;=$B80,INDEX(Input!$I$43:$I$2956,W$3+$A79),"")</f>
        <v/>
      </c>
      <c r="X80" s="17" t="str">
        <f>IF(X$3&lt;=$B80,INDEX(Input!$I$43:$I$2956,X$3+$A79),"")</f>
        <v/>
      </c>
      <c r="Y80" s="17" t="str">
        <f>IF(Y$3&lt;=$B80,INDEX(Input!$I$43:$I$2956,Y$3+$A79),"")</f>
        <v/>
      </c>
      <c r="Z80" s="17" t="str">
        <f>IF(Z$3&lt;=$B80,INDEX(Input!$I$43:$I$2956,Z$3+$A79),"")</f>
        <v/>
      </c>
      <c r="AA80" s="17" t="str">
        <f>IF(AA$3&lt;=$B80,INDEX(Input!$I$43:$I$2956,AA$3+$A79),"")</f>
        <v/>
      </c>
      <c r="AB80" s="17" t="str">
        <f>IF(AB$3&lt;=$B80,INDEX(Input!$I$43:$I$2956,AB$3+$A79),"")</f>
        <v/>
      </c>
      <c r="AC80" s="17" t="str">
        <f>IF(AC$3&lt;=$B80,INDEX(Input!$I$43:$I$2956,AC$3+$A79),"")</f>
        <v/>
      </c>
      <c r="AD80" s="17" t="str">
        <f>IF(AD$3&lt;=$B80,INDEX(Input!$I$43:$I$2956,AD$3+$A79),"")</f>
        <v/>
      </c>
      <c r="AE80" s="17" t="str">
        <f>IF(AE$3&lt;=$B80,INDEX(Input!$I$43:$I$2956,AE$3+$A79),"")</f>
        <v/>
      </c>
      <c r="AF80" s="17" t="str">
        <f>IF(AF$3&lt;=$B80,INDEX(Input!$I$43:$I$2956,AF$3+$A79),"")</f>
        <v/>
      </c>
      <c r="AG80" s="17" t="str">
        <f>IF(AG$3&lt;=$B80,INDEX(Input!$I$43:$I$2956,AG$3+$A79),"")</f>
        <v/>
      </c>
      <c r="AH80" s="17" t="str">
        <f>IF(AH$3&lt;=$B80,INDEX(Input!$I$43:$I$2956,AH$3+$A79),"")</f>
        <v/>
      </c>
      <c r="AI80" s="17" t="str">
        <f>IF(AI$3&lt;=$B80,INDEX(Input!$I$43:$I$2956,AI$3+$A79),"")</f>
        <v/>
      </c>
      <c r="AJ80" s="17" t="str">
        <f>IF(AJ$3&lt;=$B80,INDEX(Input!$I$43:$I$2956,AJ$3+$A79),"")</f>
        <v/>
      </c>
      <c r="AK80" s="17" t="str">
        <f>IF(AK$3&lt;=$B80,INDEX(Input!$I$43:$I$2956,AK$3+$A79),"")</f>
        <v/>
      </c>
      <c r="AL80" s="17" t="str">
        <f>IF(AL$3&lt;=$B80,INDEX(Input!$I$43:$I$2956,AL$3+$A79),"")</f>
        <v/>
      </c>
      <c r="AM80" s="17" t="str">
        <f>IF(AM$3&lt;=$B80,INDEX(Input!$I$43:$I$2956,AM$3+$A79),"")</f>
        <v/>
      </c>
      <c r="AN80" s="17" t="str">
        <f>IF(AN$3&lt;=$B80,INDEX(Input!$I$43:$I$2956,AN$3+$A79),"")</f>
        <v/>
      </c>
      <c r="AO80" s="17" t="str">
        <f>IF(AO$3&lt;=$B80,INDEX(Input!$I$43:$I$2956,AO$3+$A79),"")</f>
        <v/>
      </c>
      <c r="AP80" s="17" t="str">
        <f>IF(AP$3&lt;=$B80,INDEX(Input!$I$43:$I$2956,AP$3+$A79),"")</f>
        <v/>
      </c>
      <c r="AQ80" s="17" t="str">
        <f>IF(AQ$3&lt;=$B80,INDEX(Input!$I$43:$I$2956,AQ$3+$A79),"")</f>
        <v/>
      </c>
      <c r="AR80" s="17" t="str">
        <f>IF(AR$3&lt;=$B80,INDEX(Input!$I$43:$I$2956,AR$3+$A79),"")</f>
        <v/>
      </c>
      <c r="AS80" s="17" t="str">
        <f>IF(AS$3&lt;=$B80,INDEX(Input!$I$43:$I$2956,AS$3+$A79),"")</f>
        <v/>
      </c>
      <c r="AT80" s="17" t="str">
        <f>IF(AT$3&lt;=$B80,INDEX(Input!$I$43:$I$2956,AT$3+$A79),"")</f>
        <v/>
      </c>
      <c r="AU80" s="17" t="str">
        <f>IF(AU$3&lt;=$B80,INDEX(Input!$I$43:$I$2956,AU$3+$A79),"")</f>
        <v/>
      </c>
      <c r="AV80" s="17" t="str">
        <f>IF(AV$3&lt;=$B80,INDEX(Input!$I$43:$I$2956,AV$3+$A79),"")</f>
        <v/>
      </c>
      <c r="AW80" s="17" t="str">
        <f>IF(AW$3&lt;=$B80,INDEX(Input!$I$43:$I$2956,AW$3+$A79),"")</f>
        <v/>
      </c>
      <c r="AX80" s="17" t="str">
        <f>IF(AX$3&lt;=$B80,INDEX(Input!$I$43:$I$2956,AX$3+$A79),"")</f>
        <v/>
      </c>
      <c r="AY80" s="17" t="str">
        <f>IF(AY$3&lt;=$B80,INDEX(Input!$I$43:$I$2956,AY$3+$A79),"")</f>
        <v/>
      </c>
      <c r="AZ80" s="17" t="str">
        <f>IF(AZ$3&lt;=$B80,INDEX(Input!$I$43:$I$2956,AZ$3+$A79),"")</f>
        <v/>
      </c>
      <c r="BA80" s="17" t="str">
        <f>IF(BA$3&lt;=$B80,INDEX(Input!$I$43:$I$2956,BA$3+$A79),"")</f>
        <v/>
      </c>
      <c r="BB80" s="17" t="str">
        <f>IF(BB$3&lt;=$B80,INDEX(Input!$I$43:$I$2956,BB$3+$A79),"")</f>
        <v/>
      </c>
      <c r="BC80" s="17" t="str">
        <f>IF(BC$3&lt;=$B80,INDEX(Input!$I$43:$I$2956,BC$3+$A79),"")</f>
        <v/>
      </c>
      <c r="BD80" s="17" t="str">
        <f>IF(BD$3&lt;=$B80,INDEX(Input!$I$43:$I$2956,BD$3+$A79),"")</f>
        <v/>
      </c>
      <c r="BE80" s="17" t="str">
        <f>IF(BE$3&lt;=$B80,INDEX(Input!$I$43:$I$2956,BE$3+$A79),"")</f>
        <v/>
      </c>
      <c r="BF80" s="17" t="str">
        <f>IF(BF$3&lt;=$B80,INDEX(Input!$I$43:$I$2956,BF$3+$A79),"")</f>
        <v/>
      </c>
      <c r="BG80" s="17" t="str">
        <f>IF(BG$3&lt;=$B80,INDEX(Input!$I$43:$I$2956,BG$3+$A79),"")</f>
        <v/>
      </c>
      <c r="BH80" s="17" t="str">
        <f>IF(BH$3&lt;=$B80,INDEX(Input!$I$43:$I$2956,BH$3+$A79),"")</f>
        <v/>
      </c>
      <c r="BI80" s="17" t="str">
        <f>IF(BI$3&lt;=$B80,INDEX(Input!$I$43:$I$2956,BI$3+$A79),"")</f>
        <v/>
      </c>
      <c r="BJ80" s="17" t="str">
        <f>IF(BJ$3&lt;=$B80,INDEX(Input!$I$43:$I$2956,BJ$3+$A79),"")</f>
        <v/>
      </c>
      <c r="BK80" s="17" t="str">
        <f>IF(BK$3&lt;=$B80,INDEX(Input!$I$43:$I$2956,BK$3+$A79),"")</f>
        <v/>
      </c>
      <c r="BL80" s="17" t="str">
        <f>IF(BL$3&lt;=$B80,INDEX(Input!$I$43:$I$2956,BL$3+$A79),"")</f>
        <v/>
      </c>
      <c r="BM80" s="17" t="str">
        <f>IF(BM$3&lt;=$B80,INDEX(Input!$I$43:$I$2956,BM$3+$A79),"")</f>
        <v/>
      </c>
      <c r="BN80" s="17" t="str">
        <f>IF(BN$3&lt;=$B80,INDEX(Input!$I$43:$I$2956,BN$3+$A79),"")</f>
        <v/>
      </c>
      <c r="BO80" s="17" t="str">
        <f>IF(BO$3&lt;=$B80,INDEX(Input!$I$43:$I$2956,BO$3+$A79),"")</f>
        <v/>
      </c>
      <c r="BP80" s="17" t="str">
        <f>IF(BP$3&lt;=$B80,INDEX(Input!$I$43:$I$2956,BP$3+$A79),"")</f>
        <v/>
      </c>
      <c r="BQ80" s="17" t="str">
        <f>IF(BQ$3&lt;=$B80,INDEX(Input!$I$43:$I$2956,BQ$3+$A79),"")</f>
        <v/>
      </c>
      <c r="BR80" s="17" t="str">
        <f>IF(BR$3&lt;=$B80,INDEX(Input!$I$43:$I$2956,BR$3+$A79),"")</f>
        <v/>
      </c>
      <c r="BS80" s="17" t="str">
        <f>IF(BS$3&lt;=$B80,INDEX(Input!$I$43:$I$2956,BS$3+$A79),"")</f>
        <v/>
      </c>
      <c r="BT80" s="17" t="str">
        <f>IF(BT$3&lt;=$B80,INDEX(Input!$I$43:$I$2956,BT$3+$A79),"")</f>
        <v/>
      </c>
      <c r="BU80" s="17" t="str">
        <f>IF(BU$3&lt;=$B80,INDEX(Input!$I$43:$I$2956,BU$3+$A79),"")</f>
        <v/>
      </c>
      <c r="BV80" s="17" t="str">
        <f>IF(BV$3&lt;=$B80,INDEX(Input!$I$43:$I$2956,BV$3+$A79),"")</f>
        <v/>
      </c>
      <c r="BW80" s="17" t="str">
        <f>IF(BW$3&lt;=$B80,INDEX(Input!$I$43:$I$2956,BW$3+$A79),"")</f>
        <v/>
      </c>
      <c r="BX80" s="17" t="str">
        <f>IF(BX$3&lt;=$B80,INDEX(Input!$I$43:$I$2956,BX$3+$A79),"")</f>
        <v/>
      </c>
      <c r="BY80" s="17" t="str">
        <f>IF(BY$3&lt;=$B80,INDEX(Input!$I$43:$I$2956,BY$3+$A79),"")</f>
        <v/>
      </c>
      <c r="BZ80" s="17" t="str">
        <f>IF(BZ$3&lt;=$B80,INDEX(Input!$I$43:$I$2956,BZ$3+$A79),"")</f>
        <v/>
      </c>
      <c r="CA80" s="17" t="str">
        <f>IF(CA$3&lt;=$B80,INDEX(Input!$I$43:$I$2956,CA$3+$A79),"")</f>
        <v/>
      </c>
      <c r="CB80" s="17" t="str">
        <f>IF(CB$3&lt;=$B80,INDEX(Input!$I$43:$I$2956,CB$3+$A79),"")</f>
        <v/>
      </c>
      <c r="CC80" s="17" t="str">
        <f>IF(CC$3&lt;=$B80,INDEX(Input!$I$43:$I$2956,CC$3+$A79),"")</f>
        <v/>
      </c>
      <c r="CD80" s="17" t="str">
        <f>IF(CD$3&lt;=$B80,INDEX(Input!$I$43:$I$2956,CD$3+$A79),"")</f>
        <v/>
      </c>
      <c r="CE80" s="17" t="str">
        <f>IF(CE$3&lt;=$B80,INDEX(Input!$I$43:$I$2956,CE$3+$A79),"")</f>
        <v/>
      </c>
      <c r="CF80" s="17" t="str">
        <f>IF(CF$3&lt;=$B80,INDEX(Input!$I$43:$I$2956,CF$3+$A79),"")</f>
        <v/>
      </c>
      <c r="CG80" s="17" t="str">
        <f>IF(CG$3&lt;=$B80,INDEX(Input!$I$43:$I$2956,CG$3+$A79),"")</f>
        <v/>
      </c>
      <c r="CH80" s="17" t="str">
        <f>IF(CH$3&lt;=$B80,INDEX(Input!$I$43:$I$2956,CH$3+$A79),"")</f>
        <v/>
      </c>
      <c r="CI80" s="17" t="str">
        <f>IF(CI$3&lt;=$B80,INDEX(Input!$I$43:$I$2956,CI$3+$A79),"")</f>
        <v/>
      </c>
      <c r="CJ80" s="17" t="str">
        <f>IF(CJ$3&lt;=$B80,INDEX(Input!$I$43:$I$2956,CJ$3+$A79),"")</f>
        <v/>
      </c>
      <c r="CK80" s="17" t="str">
        <f>IF(CK$3&lt;=$B80,INDEX(Input!$I$43:$I$2956,CK$3+$A79),"")</f>
        <v/>
      </c>
      <c r="CL80" s="17" t="str">
        <f>IF(CL$3&lt;=$B80,INDEX(Input!$I$43:$I$2956,CL$3+$A79),"")</f>
        <v/>
      </c>
      <c r="CM80" s="17" t="str">
        <f>IF(CM$3&lt;=$B80,INDEX(Input!$I$43:$I$2956,CM$3+$A79),"")</f>
        <v/>
      </c>
      <c r="CN80" s="17" t="str">
        <f>IF(CN$3&lt;=$B80,INDEX(Input!$I$43:$I$2956,CN$3+$A79),"")</f>
        <v/>
      </c>
      <c r="CO80" s="17" t="str">
        <f>IF(CO$3&lt;=$B80,INDEX(Input!$I$43:$I$2956,CO$3+$A79),"")</f>
        <v/>
      </c>
      <c r="CP80" s="17" t="str">
        <f>IF(CP$3&lt;=$B80,INDEX(Input!$I$43:$I$2956,CP$3+$A79),"")</f>
        <v/>
      </c>
      <c r="CQ80" s="17" t="str">
        <f>IF(CQ$3&lt;=$B80,INDEX(Input!$I$43:$I$2956,CQ$3+$A79),"")</f>
        <v/>
      </c>
      <c r="CR80" s="17" t="str">
        <f>IF(CR$3&lt;=$B80,INDEX(Input!$I$43:$I$2956,CR$3+$A79),"")</f>
        <v/>
      </c>
      <c r="CS80" s="17" t="str">
        <f>IF(CS$3&lt;=$B80,INDEX(Input!$I$43:$I$2956,CS$3+$A79),"")</f>
        <v/>
      </c>
      <c r="CT80" s="17" t="str">
        <f>IF(CT$3&lt;=$B80,INDEX(Input!$I$43:$I$2956,CT$3+$A79),"")</f>
        <v/>
      </c>
      <c r="CU80" s="17" t="str">
        <f>IF(CU$3&lt;=$B80,INDEX(Input!$I$43:$I$2956,CU$3+$A79),"")</f>
        <v/>
      </c>
      <c r="CV80" s="17" t="str">
        <f>IF(CV$3&lt;=$B80,INDEX(Input!$I$43:$I$2956,CV$3+$A79),"")</f>
        <v/>
      </c>
      <c r="CW80" s="17" t="str">
        <f>IF(CW$3&lt;=$B80,INDEX(Input!$I$43:$I$2956,CW$3+$A79),"")</f>
        <v/>
      </c>
      <c r="CX80" s="17" t="str">
        <f>IF(CX$3&lt;=$B80,INDEX(Input!$I$43:$I$2956,CX$3+$A79),"")</f>
        <v/>
      </c>
      <c r="CY80" s="17" t="str">
        <f>IF(CY$3&lt;=$B80,INDEX(Input!$I$43:$I$2956,CY$3+$A79),"")</f>
        <v/>
      </c>
      <c r="CZ80" s="17" t="str">
        <f>IF(CZ$3&lt;=$B80,INDEX(Input!$I$43:$I$2956,CZ$3+$A79),"")</f>
        <v/>
      </c>
      <c r="DA80" s="17" t="str">
        <f>IF(DA$3&lt;=$B80,INDEX(Input!$I$43:$I$2956,DA$3+$A79),"")</f>
        <v/>
      </c>
      <c r="DB80" s="17" t="str">
        <f>IF(DB$3&lt;=$B80,INDEX(Input!$I$43:$I$2956,DB$3+$A79),"")</f>
        <v/>
      </c>
      <c r="DC80" s="17" t="str">
        <f>IF(DC$3&lt;=$B80,INDEX(Input!$I$43:$I$2956,DC$3+$A79),"")</f>
        <v/>
      </c>
      <c r="DD80" s="17" t="str">
        <f>IF(DD$3&lt;=$B80,INDEX(Input!$I$43:$I$2956,DD$3+$A79),"")</f>
        <v/>
      </c>
      <c r="DE80" s="17" t="str">
        <f>IF(DE$3&lt;=$B80,INDEX(Input!$I$43:$I$2956,DE$3+$A79),"")</f>
        <v/>
      </c>
      <c r="DF80" s="17" t="str">
        <f>IF(DF$3&lt;=$B80,INDEX(Input!$I$43:$I$2956,DF$3+$A79),"")</f>
        <v/>
      </c>
      <c r="DG80" s="17" t="str">
        <f>IF(DG$3&lt;=$B80,INDEX(Input!$I$43:$I$2956,DG$3+$A79),"")</f>
        <v/>
      </c>
      <c r="DH80" s="17" t="str">
        <f>IF(DH$3&lt;=$B80,INDEX(Input!$I$43:$I$2956,DH$3+$A79),"")</f>
        <v/>
      </c>
      <c r="DI80" s="17" t="str">
        <f>IF(DI$3&lt;=$B80,INDEX(Input!$I$43:$I$2956,DI$3+$A79),"")</f>
        <v/>
      </c>
      <c r="DJ80" s="17" t="str">
        <f>IF(DJ$3&lt;=$B80,INDEX(Input!$I$43:$I$2956,DJ$3+$A79),"")</f>
        <v/>
      </c>
      <c r="DK80" s="17" t="str">
        <f>IF(DK$3&lt;=$B80,INDEX(Input!$I$43:$I$2956,DK$3+$A79),"")</f>
        <v/>
      </c>
      <c r="DL80" s="17" t="str">
        <f>IF(DL$3&lt;=$B80,INDEX(Input!$I$43:$I$2956,DL$3+$A79),"")</f>
        <v/>
      </c>
      <c r="DM80" s="17" t="str">
        <f>IF(DM$3&lt;=$B80,INDEX(Input!$I$43:$I$2956,DM$3+$A79),"")</f>
        <v/>
      </c>
      <c r="DN80" s="17" t="str">
        <f>IF(DN$3&lt;=$B80,INDEX(Input!$I$43:$I$2956,DN$3+$A79),"")</f>
        <v/>
      </c>
      <c r="DO80" s="17" t="str">
        <f>IF(DO$3&lt;=$B80,INDEX(Input!$I$43:$I$2956,DO$3+$A79),"")</f>
        <v/>
      </c>
      <c r="DP80" s="17" t="str">
        <f>IF(DP$3&lt;=$B80,INDEX(Input!$I$43:$I$2956,DP$3+$A79),"")</f>
        <v/>
      </c>
      <c r="DQ80" s="17" t="str">
        <f>IF(DQ$3&lt;=$B80,INDEX(Input!$I$43:$I$2956,DQ$3+$A79),"")</f>
        <v/>
      </c>
      <c r="DR80" s="17" t="str">
        <f>IF(DR$3&lt;=$B80,INDEX(Input!$I$43:$I$2956,DR$3+$A79),"")</f>
        <v/>
      </c>
      <c r="DS80" s="17" t="str">
        <f>IF(DS$3&lt;=$B80,INDEX(Input!$I$43:$I$2956,DS$3+$A79),"")</f>
        <v/>
      </c>
      <c r="DT80" s="17" t="str">
        <f>IF(DT$3&lt;=$B80,INDEX(Input!$I$43:$I$2956,DT$3+$A79),"")</f>
        <v/>
      </c>
      <c r="DU80" s="17" t="str">
        <f>IF(DU$3&lt;=$B80,INDEX(Input!$I$43:$I$2956,DU$3+$A79),"")</f>
        <v/>
      </c>
      <c r="DV80" s="17" t="str">
        <f>IF(DV$3&lt;=$B80,INDEX(Input!$I$43:$I$2956,DV$3+$A79),"")</f>
        <v/>
      </c>
      <c r="DW80" s="58" t="str">
        <f t="array" ref="DW80:EZ80">IFERROR(eccalc(E80:DV80,C80+B80,B80,$O$2:$AS$2),"")</f>
        <v/>
      </c>
      <c r="DX80" s="59" t="str">
        <v/>
      </c>
      <c r="DY80" s="59" t="str">
        <v/>
      </c>
      <c r="DZ80" s="59" t="str">
        <v/>
      </c>
      <c r="EA80" s="59" t="str">
        <v/>
      </c>
      <c r="EB80" s="59" t="str">
        <v/>
      </c>
      <c r="EC80" s="59" t="str">
        <v/>
      </c>
      <c r="ED80" s="59" t="str">
        <v/>
      </c>
      <c r="EE80" s="59" t="str">
        <v/>
      </c>
      <c r="EF80" s="59" t="str">
        <v/>
      </c>
      <c r="EG80" s="59" t="str">
        <v/>
      </c>
      <c r="EH80" s="59" t="str">
        <v/>
      </c>
      <c r="EI80" s="59" t="str">
        <v/>
      </c>
      <c r="EJ80" s="59" t="str">
        <v/>
      </c>
      <c r="EK80" s="59" t="str">
        <v/>
      </c>
      <c r="EL80" s="59" t="str">
        <v/>
      </c>
      <c r="EM80" s="59" t="str">
        <v/>
      </c>
      <c r="EN80" s="59" t="str">
        <v/>
      </c>
      <c r="EO80" s="59" t="str">
        <v/>
      </c>
      <c r="EP80" s="59" t="str">
        <v/>
      </c>
      <c r="EQ80" s="59" t="str">
        <v/>
      </c>
      <c r="ER80" s="59" t="str">
        <v/>
      </c>
      <c r="ES80" s="59" t="str">
        <v/>
      </c>
      <c r="ET80" s="59" t="str">
        <v/>
      </c>
      <c r="EU80" s="59" t="str">
        <v/>
      </c>
      <c r="EV80" s="59" t="str">
        <v/>
      </c>
      <c r="EW80" s="59" t="str">
        <v/>
      </c>
      <c r="EX80" s="59" t="str">
        <v/>
      </c>
      <c r="EY80" s="59" t="str">
        <v/>
      </c>
      <c r="EZ80" s="60" t="str">
        <v/>
      </c>
      <c r="FA80" s="17"/>
      <c r="FC80">
        <v>77</v>
      </c>
      <c r="FD80">
        <f t="shared" si="10"/>
        <v>13</v>
      </c>
      <c r="FE80">
        <f t="shared" si="11"/>
        <v>5</v>
      </c>
      <c r="FF80">
        <f t="shared" si="12"/>
        <v>67</v>
      </c>
      <c r="FI80" s="16">
        <v>77</v>
      </c>
      <c r="FJ80" s="17">
        <f t="shared" si="13"/>
        <v>32</v>
      </c>
      <c r="FK80" s="17">
        <f t="shared" si="14"/>
        <v>67</v>
      </c>
      <c r="FL80" s="18" t="str">
        <f t="shared" si="15"/>
        <v>01000011</v>
      </c>
      <c r="FM80" s="2"/>
    </row>
    <row r="81" spans="1:169">
      <c r="A81">
        <f>SUM($B$4:B81)</f>
        <v>196</v>
      </c>
      <c r="B81">
        <f t="shared" si="8"/>
        <v>0</v>
      </c>
      <c r="C81" t="str">
        <f t="shared" si="9"/>
        <v/>
      </c>
      <c r="D81">
        <v>78</v>
      </c>
      <c r="E81" s="16" t="str">
        <f>IF(E$3&lt;=$B81,INDEX(Input!$I$43:$I$2956,E$3+$A80),"")</f>
        <v/>
      </c>
      <c r="F81" s="17" t="str">
        <f>IF(F$3&lt;=$B81,INDEX(Input!$I$43:$I$2956,F$3+$A80),"")</f>
        <v/>
      </c>
      <c r="G81" s="17" t="str">
        <f>IF(G$3&lt;=$B81,INDEX(Input!$I$43:$I$2956,G$3+$A80),"")</f>
        <v/>
      </c>
      <c r="H81" s="17" t="str">
        <f>IF(H$3&lt;=$B81,INDEX(Input!$I$43:$I$2956,H$3+$A80),"")</f>
        <v/>
      </c>
      <c r="I81" s="17" t="str">
        <f>IF(I$3&lt;=$B81,INDEX(Input!$I$43:$I$2956,I$3+$A80),"")</f>
        <v/>
      </c>
      <c r="J81" s="17" t="str">
        <f>IF(J$3&lt;=$B81,INDEX(Input!$I$43:$I$2956,J$3+$A80),"")</f>
        <v/>
      </c>
      <c r="K81" s="17" t="str">
        <f>IF(K$3&lt;=$B81,INDEX(Input!$I$43:$I$2956,K$3+$A80),"")</f>
        <v/>
      </c>
      <c r="L81" s="17" t="str">
        <f>IF(L$3&lt;=$B81,INDEX(Input!$I$43:$I$2956,L$3+$A80),"")</f>
        <v/>
      </c>
      <c r="M81" s="17" t="str">
        <f>IF(M$3&lt;=$B81,INDEX(Input!$I$43:$I$2956,M$3+$A80),"")</f>
        <v/>
      </c>
      <c r="N81" s="17" t="str">
        <f>IF(N$3&lt;=$B81,INDEX(Input!$I$43:$I$2956,N$3+$A80),"")</f>
        <v/>
      </c>
      <c r="O81" s="17" t="str">
        <f>IF(O$3&lt;=$B81,INDEX(Input!$I$43:$I$2956,O$3+$A80),"")</f>
        <v/>
      </c>
      <c r="P81" s="17" t="str">
        <f>IF(P$3&lt;=$B81,INDEX(Input!$I$43:$I$2956,P$3+$A80),"")</f>
        <v/>
      </c>
      <c r="Q81" s="17" t="str">
        <f>IF(Q$3&lt;=$B81,INDEX(Input!$I$43:$I$2956,Q$3+$A80),"")</f>
        <v/>
      </c>
      <c r="R81" s="17" t="str">
        <f>IF(R$3&lt;=$B81,INDEX(Input!$I$43:$I$2956,R$3+$A80),"")</f>
        <v/>
      </c>
      <c r="S81" s="17" t="str">
        <f>IF(S$3&lt;=$B81,INDEX(Input!$I$43:$I$2956,S$3+$A80),"")</f>
        <v/>
      </c>
      <c r="T81" s="17" t="str">
        <f>IF(T$3&lt;=$B81,INDEX(Input!$I$43:$I$2956,T$3+$A80),"")</f>
        <v/>
      </c>
      <c r="U81" s="17" t="str">
        <f>IF(U$3&lt;=$B81,INDEX(Input!$I$43:$I$2956,U$3+$A80),"")</f>
        <v/>
      </c>
      <c r="V81" s="17" t="str">
        <f>IF(V$3&lt;=$B81,INDEX(Input!$I$43:$I$2956,V$3+$A80),"")</f>
        <v/>
      </c>
      <c r="W81" s="17" t="str">
        <f>IF(W$3&lt;=$B81,INDEX(Input!$I$43:$I$2956,W$3+$A80),"")</f>
        <v/>
      </c>
      <c r="X81" s="17" t="str">
        <f>IF(X$3&lt;=$B81,INDEX(Input!$I$43:$I$2956,X$3+$A80),"")</f>
        <v/>
      </c>
      <c r="Y81" s="17" t="str">
        <f>IF(Y$3&lt;=$B81,INDEX(Input!$I$43:$I$2956,Y$3+$A80),"")</f>
        <v/>
      </c>
      <c r="Z81" s="17" t="str">
        <f>IF(Z$3&lt;=$B81,INDEX(Input!$I$43:$I$2956,Z$3+$A80),"")</f>
        <v/>
      </c>
      <c r="AA81" s="17" t="str">
        <f>IF(AA$3&lt;=$B81,INDEX(Input!$I$43:$I$2956,AA$3+$A80),"")</f>
        <v/>
      </c>
      <c r="AB81" s="17" t="str">
        <f>IF(AB$3&lt;=$B81,INDEX(Input!$I$43:$I$2956,AB$3+$A80),"")</f>
        <v/>
      </c>
      <c r="AC81" s="17" t="str">
        <f>IF(AC$3&lt;=$B81,INDEX(Input!$I$43:$I$2956,AC$3+$A80),"")</f>
        <v/>
      </c>
      <c r="AD81" s="17" t="str">
        <f>IF(AD$3&lt;=$B81,INDEX(Input!$I$43:$I$2956,AD$3+$A80),"")</f>
        <v/>
      </c>
      <c r="AE81" s="17" t="str">
        <f>IF(AE$3&lt;=$B81,INDEX(Input!$I$43:$I$2956,AE$3+$A80),"")</f>
        <v/>
      </c>
      <c r="AF81" s="17" t="str">
        <f>IF(AF$3&lt;=$B81,INDEX(Input!$I$43:$I$2956,AF$3+$A80),"")</f>
        <v/>
      </c>
      <c r="AG81" s="17" t="str">
        <f>IF(AG$3&lt;=$B81,INDEX(Input!$I$43:$I$2956,AG$3+$A80),"")</f>
        <v/>
      </c>
      <c r="AH81" s="17" t="str">
        <f>IF(AH$3&lt;=$B81,INDEX(Input!$I$43:$I$2956,AH$3+$A80),"")</f>
        <v/>
      </c>
      <c r="AI81" s="17" t="str">
        <f>IF(AI$3&lt;=$B81,INDEX(Input!$I$43:$I$2956,AI$3+$A80),"")</f>
        <v/>
      </c>
      <c r="AJ81" s="17" t="str">
        <f>IF(AJ$3&lt;=$B81,INDEX(Input!$I$43:$I$2956,AJ$3+$A80),"")</f>
        <v/>
      </c>
      <c r="AK81" s="17" t="str">
        <f>IF(AK$3&lt;=$B81,INDEX(Input!$I$43:$I$2956,AK$3+$A80),"")</f>
        <v/>
      </c>
      <c r="AL81" s="17" t="str">
        <f>IF(AL$3&lt;=$B81,INDEX(Input!$I$43:$I$2956,AL$3+$A80),"")</f>
        <v/>
      </c>
      <c r="AM81" s="17" t="str">
        <f>IF(AM$3&lt;=$B81,INDEX(Input!$I$43:$I$2956,AM$3+$A80),"")</f>
        <v/>
      </c>
      <c r="AN81" s="17" t="str">
        <f>IF(AN$3&lt;=$B81,INDEX(Input!$I$43:$I$2956,AN$3+$A80),"")</f>
        <v/>
      </c>
      <c r="AO81" s="17" t="str">
        <f>IF(AO$3&lt;=$B81,INDEX(Input!$I$43:$I$2956,AO$3+$A80),"")</f>
        <v/>
      </c>
      <c r="AP81" s="17" t="str">
        <f>IF(AP$3&lt;=$B81,INDEX(Input!$I$43:$I$2956,AP$3+$A80),"")</f>
        <v/>
      </c>
      <c r="AQ81" s="17" t="str">
        <f>IF(AQ$3&lt;=$B81,INDEX(Input!$I$43:$I$2956,AQ$3+$A80),"")</f>
        <v/>
      </c>
      <c r="AR81" s="17" t="str">
        <f>IF(AR$3&lt;=$B81,INDEX(Input!$I$43:$I$2956,AR$3+$A80),"")</f>
        <v/>
      </c>
      <c r="AS81" s="17" t="str">
        <f>IF(AS$3&lt;=$B81,INDEX(Input!$I$43:$I$2956,AS$3+$A80),"")</f>
        <v/>
      </c>
      <c r="AT81" s="17" t="str">
        <f>IF(AT$3&lt;=$B81,INDEX(Input!$I$43:$I$2956,AT$3+$A80),"")</f>
        <v/>
      </c>
      <c r="AU81" s="17" t="str">
        <f>IF(AU$3&lt;=$B81,INDEX(Input!$I$43:$I$2956,AU$3+$A80),"")</f>
        <v/>
      </c>
      <c r="AV81" s="17" t="str">
        <f>IF(AV$3&lt;=$B81,INDEX(Input!$I$43:$I$2956,AV$3+$A80),"")</f>
        <v/>
      </c>
      <c r="AW81" s="17" t="str">
        <f>IF(AW$3&lt;=$B81,INDEX(Input!$I$43:$I$2956,AW$3+$A80),"")</f>
        <v/>
      </c>
      <c r="AX81" s="17" t="str">
        <f>IF(AX$3&lt;=$B81,INDEX(Input!$I$43:$I$2956,AX$3+$A80),"")</f>
        <v/>
      </c>
      <c r="AY81" s="17" t="str">
        <f>IF(AY$3&lt;=$B81,INDEX(Input!$I$43:$I$2956,AY$3+$A80),"")</f>
        <v/>
      </c>
      <c r="AZ81" s="17" t="str">
        <f>IF(AZ$3&lt;=$B81,INDEX(Input!$I$43:$I$2956,AZ$3+$A80),"")</f>
        <v/>
      </c>
      <c r="BA81" s="17" t="str">
        <f>IF(BA$3&lt;=$B81,INDEX(Input!$I$43:$I$2956,BA$3+$A80),"")</f>
        <v/>
      </c>
      <c r="BB81" s="17" t="str">
        <f>IF(BB$3&lt;=$B81,INDEX(Input!$I$43:$I$2956,BB$3+$A80),"")</f>
        <v/>
      </c>
      <c r="BC81" s="17" t="str">
        <f>IF(BC$3&lt;=$B81,INDEX(Input!$I$43:$I$2956,BC$3+$A80),"")</f>
        <v/>
      </c>
      <c r="BD81" s="17" t="str">
        <f>IF(BD$3&lt;=$B81,INDEX(Input!$I$43:$I$2956,BD$3+$A80),"")</f>
        <v/>
      </c>
      <c r="BE81" s="17" t="str">
        <f>IF(BE$3&lt;=$B81,INDEX(Input!$I$43:$I$2956,BE$3+$A80),"")</f>
        <v/>
      </c>
      <c r="BF81" s="17" t="str">
        <f>IF(BF$3&lt;=$B81,INDEX(Input!$I$43:$I$2956,BF$3+$A80),"")</f>
        <v/>
      </c>
      <c r="BG81" s="17" t="str">
        <f>IF(BG$3&lt;=$B81,INDEX(Input!$I$43:$I$2956,BG$3+$A80),"")</f>
        <v/>
      </c>
      <c r="BH81" s="17" t="str">
        <f>IF(BH$3&lt;=$B81,INDEX(Input!$I$43:$I$2956,BH$3+$A80),"")</f>
        <v/>
      </c>
      <c r="BI81" s="17" t="str">
        <f>IF(BI$3&lt;=$B81,INDEX(Input!$I$43:$I$2956,BI$3+$A80),"")</f>
        <v/>
      </c>
      <c r="BJ81" s="17" t="str">
        <f>IF(BJ$3&lt;=$B81,INDEX(Input!$I$43:$I$2956,BJ$3+$A80),"")</f>
        <v/>
      </c>
      <c r="BK81" s="17" t="str">
        <f>IF(BK$3&lt;=$B81,INDEX(Input!$I$43:$I$2956,BK$3+$A80),"")</f>
        <v/>
      </c>
      <c r="BL81" s="17" t="str">
        <f>IF(BL$3&lt;=$B81,INDEX(Input!$I$43:$I$2956,BL$3+$A80),"")</f>
        <v/>
      </c>
      <c r="BM81" s="17" t="str">
        <f>IF(BM$3&lt;=$B81,INDEX(Input!$I$43:$I$2956,BM$3+$A80),"")</f>
        <v/>
      </c>
      <c r="BN81" s="17" t="str">
        <f>IF(BN$3&lt;=$B81,INDEX(Input!$I$43:$I$2956,BN$3+$A80),"")</f>
        <v/>
      </c>
      <c r="BO81" s="17" t="str">
        <f>IF(BO$3&lt;=$B81,INDEX(Input!$I$43:$I$2956,BO$3+$A80),"")</f>
        <v/>
      </c>
      <c r="BP81" s="17" t="str">
        <f>IF(BP$3&lt;=$B81,INDEX(Input!$I$43:$I$2956,BP$3+$A80),"")</f>
        <v/>
      </c>
      <c r="BQ81" s="17" t="str">
        <f>IF(BQ$3&lt;=$B81,INDEX(Input!$I$43:$I$2956,BQ$3+$A80),"")</f>
        <v/>
      </c>
      <c r="BR81" s="17" t="str">
        <f>IF(BR$3&lt;=$B81,INDEX(Input!$I$43:$I$2956,BR$3+$A80),"")</f>
        <v/>
      </c>
      <c r="BS81" s="17" t="str">
        <f>IF(BS$3&lt;=$B81,INDEX(Input!$I$43:$I$2956,BS$3+$A80),"")</f>
        <v/>
      </c>
      <c r="BT81" s="17" t="str">
        <f>IF(BT$3&lt;=$B81,INDEX(Input!$I$43:$I$2956,BT$3+$A80),"")</f>
        <v/>
      </c>
      <c r="BU81" s="17" t="str">
        <f>IF(BU$3&lt;=$B81,INDEX(Input!$I$43:$I$2956,BU$3+$A80),"")</f>
        <v/>
      </c>
      <c r="BV81" s="17" t="str">
        <f>IF(BV$3&lt;=$B81,INDEX(Input!$I$43:$I$2956,BV$3+$A80),"")</f>
        <v/>
      </c>
      <c r="BW81" s="17" t="str">
        <f>IF(BW$3&lt;=$B81,INDEX(Input!$I$43:$I$2956,BW$3+$A80),"")</f>
        <v/>
      </c>
      <c r="BX81" s="17" t="str">
        <f>IF(BX$3&lt;=$B81,INDEX(Input!$I$43:$I$2956,BX$3+$A80),"")</f>
        <v/>
      </c>
      <c r="BY81" s="17" t="str">
        <f>IF(BY$3&lt;=$B81,INDEX(Input!$I$43:$I$2956,BY$3+$A80),"")</f>
        <v/>
      </c>
      <c r="BZ81" s="17" t="str">
        <f>IF(BZ$3&lt;=$B81,INDEX(Input!$I$43:$I$2956,BZ$3+$A80),"")</f>
        <v/>
      </c>
      <c r="CA81" s="17" t="str">
        <f>IF(CA$3&lt;=$B81,INDEX(Input!$I$43:$I$2956,CA$3+$A80),"")</f>
        <v/>
      </c>
      <c r="CB81" s="17" t="str">
        <f>IF(CB$3&lt;=$B81,INDEX(Input!$I$43:$I$2956,CB$3+$A80),"")</f>
        <v/>
      </c>
      <c r="CC81" s="17" t="str">
        <f>IF(CC$3&lt;=$B81,INDEX(Input!$I$43:$I$2956,CC$3+$A80),"")</f>
        <v/>
      </c>
      <c r="CD81" s="17" t="str">
        <f>IF(CD$3&lt;=$B81,INDEX(Input!$I$43:$I$2956,CD$3+$A80),"")</f>
        <v/>
      </c>
      <c r="CE81" s="17" t="str">
        <f>IF(CE$3&lt;=$B81,INDEX(Input!$I$43:$I$2956,CE$3+$A80),"")</f>
        <v/>
      </c>
      <c r="CF81" s="17" t="str">
        <f>IF(CF$3&lt;=$B81,INDEX(Input!$I$43:$I$2956,CF$3+$A80),"")</f>
        <v/>
      </c>
      <c r="CG81" s="17" t="str">
        <f>IF(CG$3&lt;=$B81,INDEX(Input!$I$43:$I$2956,CG$3+$A80),"")</f>
        <v/>
      </c>
      <c r="CH81" s="17" t="str">
        <f>IF(CH$3&lt;=$B81,INDEX(Input!$I$43:$I$2956,CH$3+$A80),"")</f>
        <v/>
      </c>
      <c r="CI81" s="17" t="str">
        <f>IF(CI$3&lt;=$B81,INDEX(Input!$I$43:$I$2956,CI$3+$A80),"")</f>
        <v/>
      </c>
      <c r="CJ81" s="17" t="str">
        <f>IF(CJ$3&lt;=$B81,INDEX(Input!$I$43:$I$2956,CJ$3+$A80),"")</f>
        <v/>
      </c>
      <c r="CK81" s="17" t="str">
        <f>IF(CK$3&lt;=$B81,INDEX(Input!$I$43:$I$2956,CK$3+$A80),"")</f>
        <v/>
      </c>
      <c r="CL81" s="17" t="str">
        <f>IF(CL$3&lt;=$B81,INDEX(Input!$I$43:$I$2956,CL$3+$A80),"")</f>
        <v/>
      </c>
      <c r="CM81" s="17" t="str">
        <f>IF(CM$3&lt;=$B81,INDEX(Input!$I$43:$I$2956,CM$3+$A80),"")</f>
        <v/>
      </c>
      <c r="CN81" s="17" t="str">
        <f>IF(CN$3&lt;=$B81,INDEX(Input!$I$43:$I$2956,CN$3+$A80),"")</f>
        <v/>
      </c>
      <c r="CO81" s="17" t="str">
        <f>IF(CO$3&lt;=$B81,INDEX(Input!$I$43:$I$2956,CO$3+$A80),"")</f>
        <v/>
      </c>
      <c r="CP81" s="17" t="str">
        <f>IF(CP$3&lt;=$B81,INDEX(Input!$I$43:$I$2956,CP$3+$A80),"")</f>
        <v/>
      </c>
      <c r="CQ81" s="17" t="str">
        <f>IF(CQ$3&lt;=$B81,INDEX(Input!$I$43:$I$2956,CQ$3+$A80),"")</f>
        <v/>
      </c>
      <c r="CR81" s="17" t="str">
        <f>IF(CR$3&lt;=$B81,INDEX(Input!$I$43:$I$2956,CR$3+$A80),"")</f>
        <v/>
      </c>
      <c r="CS81" s="17" t="str">
        <f>IF(CS$3&lt;=$B81,INDEX(Input!$I$43:$I$2956,CS$3+$A80),"")</f>
        <v/>
      </c>
      <c r="CT81" s="17" t="str">
        <f>IF(CT$3&lt;=$B81,INDEX(Input!$I$43:$I$2956,CT$3+$A80),"")</f>
        <v/>
      </c>
      <c r="CU81" s="17" t="str">
        <f>IF(CU$3&lt;=$B81,INDEX(Input!$I$43:$I$2956,CU$3+$A80),"")</f>
        <v/>
      </c>
      <c r="CV81" s="17" t="str">
        <f>IF(CV$3&lt;=$B81,INDEX(Input!$I$43:$I$2956,CV$3+$A80),"")</f>
        <v/>
      </c>
      <c r="CW81" s="17" t="str">
        <f>IF(CW$3&lt;=$B81,INDEX(Input!$I$43:$I$2956,CW$3+$A80),"")</f>
        <v/>
      </c>
      <c r="CX81" s="17" t="str">
        <f>IF(CX$3&lt;=$B81,INDEX(Input!$I$43:$I$2956,CX$3+$A80),"")</f>
        <v/>
      </c>
      <c r="CY81" s="17" t="str">
        <f>IF(CY$3&lt;=$B81,INDEX(Input!$I$43:$I$2956,CY$3+$A80),"")</f>
        <v/>
      </c>
      <c r="CZ81" s="17" t="str">
        <f>IF(CZ$3&lt;=$B81,INDEX(Input!$I$43:$I$2956,CZ$3+$A80),"")</f>
        <v/>
      </c>
      <c r="DA81" s="17" t="str">
        <f>IF(DA$3&lt;=$B81,INDEX(Input!$I$43:$I$2956,DA$3+$A80),"")</f>
        <v/>
      </c>
      <c r="DB81" s="17" t="str">
        <f>IF(DB$3&lt;=$B81,INDEX(Input!$I$43:$I$2956,DB$3+$A80),"")</f>
        <v/>
      </c>
      <c r="DC81" s="17" t="str">
        <f>IF(DC$3&lt;=$B81,INDEX(Input!$I$43:$I$2956,DC$3+$A80),"")</f>
        <v/>
      </c>
      <c r="DD81" s="17" t="str">
        <f>IF(DD$3&lt;=$B81,INDEX(Input!$I$43:$I$2956,DD$3+$A80),"")</f>
        <v/>
      </c>
      <c r="DE81" s="17" t="str">
        <f>IF(DE$3&lt;=$B81,INDEX(Input!$I$43:$I$2956,DE$3+$A80),"")</f>
        <v/>
      </c>
      <c r="DF81" s="17" t="str">
        <f>IF(DF$3&lt;=$B81,INDEX(Input!$I$43:$I$2956,DF$3+$A80),"")</f>
        <v/>
      </c>
      <c r="DG81" s="17" t="str">
        <f>IF(DG$3&lt;=$B81,INDEX(Input!$I$43:$I$2956,DG$3+$A80),"")</f>
        <v/>
      </c>
      <c r="DH81" s="17" t="str">
        <f>IF(DH$3&lt;=$B81,INDEX(Input!$I$43:$I$2956,DH$3+$A80),"")</f>
        <v/>
      </c>
      <c r="DI81" s="17" t="str">
        <f>IF(DI$3&lt;=$B81,INDEX(Input!$I$43:$I$2956,DI$3+$A80),"")</f>
        <v/>
      </c>
      <c r="DJ81" s="17" t="str">
        <f>IF(DJ$3&lt;=$B81,INDEX(Input!$I$43:$I$2956,DJ$3+$A80),"")</f>
        <v/>
      </c>
      <c r="DK81" s="17" t="str">
        <f>IF(DK$3&lt;=$B81,INDEX(Input!$I$43:$I$2956,DK$3+$A80),"")</f>
        <v/>
      </c>
      <c r="DL81" s="17" t="str">
        <f>IF(DL$3&lt;=$B81,INDEX(Input!$I$43:$I$2956,DL$3+$A80),"")</f>
        <v/>
      </c>
      <c r="DM81" s="17" t="str">
        <f>IF(DM$3&lt;=$B81,INDEX(Input!$I$43:$I$2956,DM$3+$A80),"")</f>
        <v/>
      </c>
      <c r="DN81" s="17" t="str">
        <f>IF(DN$3&lt;=$B81,INDEX(Input!$I$43:$I$2956,DN$3+$A80),"")</f>
        <v/>
      </c>
      <c r="DO81" s="17" t="str">
        <f>IF(DO$3&lt;=$B81,INDEX(Input!$I$43:$I$2956,DO$3+$A80),"")</f>
        <v/>
      </c>
      <c r="DP81" s="17" t="str">
        <f>IF(DP$3&lt;=$B81,INDEX(Input!$I$43:$I$2956,DP$3+$A80),"")</f>
        <v/>
      </c>
      <c r="DQ81" s="17" t="str">
        <f>IF(DQ$3&lt;=$B81,INDEX(Input!$I$43:$I$2956,DQ$3+$A80),"")</f>
        <v/>
      </c>
      <c r="DR81" s="17" t="str">
        <f>IF(DR$3&lt;=$B81,INDEX(Input!$I$43:$I$2956,DR$3+$A80),"")</f>
        <v/>
      </c>
      <c r="DS81" s="17" t="str">
        <f>IF(DS$3&lt;=$B81,INDEX(Input!$I$43:$I$2956,DS$3+$A80),"")</f>
        <v/>
      </c>
      <c r="DT81" s="17" t="str">
        <f>IF(DT$3&lt;=$B81,INDEX(Input!$I$43:$I$2956,DT$3+$A80),"")</f>
        <v/>
      </c>
      <c r="DU81" s="17" t="str">
        <f>IF(DU$3&lt;=$B81,INDEX(Input!$I$43:$I$2956,DU$3+$A80),"")</f>
        <v/>
      </c>
      <c r="DV81" s="17" t="str">
        <f>IF(DV$3&lt;=$B81,INDEX(Input!$I$43:$I$2956,DV$3+$A80),"")</f>
        <v/>
      </c>
      <c r="DW81" s="58" t="str">
        <f t="array" ref="DW81:EZ81">IFERROR(eccalc(E81:DV81,C81+B81,B81,$O$2:$AS$2),"")</f>
        <v/>
      </c>
      <c r="DX81" s="59" t="str">
        <v/>
      </c>
      <c r="DY81" s="59" t="str">
        <v/>
      </c>
      <c r="DZ81" s="59" t="str">
        <v/>
      </c>
      <c r="EA81" s="59" t="str">
        <v/>
      </c>
      <c r="EB81" s="59" t="str">
        <v/>
      </c>
      <c r="EC81" s="59" t="str">
        <v/>
      </c>
      <c r="ED81" s="59" t="str">
        <v/>
      </c>
      <c r="EE81" s="59" t="str">
        <v/>
      </c>
      <c r="EF81" s="59" t="str">
        <v/>
      </c>
      <c r="EG81" s="59" t="str">
        <v/>
      </c>
      <c r="EH81" s="59" t="str">
        <v/>
      </c>
      <c r="EI81" s="59" t="str">
        <v/>
      </c>
      <c r="EJ81" s="59" t="str">
        <v/>
      </c>
      <c r="EK81" s="59" t="str">
        <v/>
      </c>
      <c r="EL81" s="59" t="str">
        <v/>
      </c>
      <c r="EM81" s="59" t="str">
        <v/>
      </c>
      <c r="EN81" s="59" t="str">
        <v/>
      </c>
      <c r="EO81" s="59" t="str">
        <v/>
      </c>
      <c r="EP81" s="59" t="str">
        <v/>
      </c>
      <c r="EQ81" s="59" t="str">
        <v/>
      </c>
      <c r="ER81" s="59" t="str">
        <v/>
      </c>
      <c r="ES81" s="59" t="str">
        <v/>
      </c>
      <c r="ET81" s="59" t="str">
        <v/>
      </c>
      <c r="EU81" s="59" t="str">
        <v/>
      </c>
      <c r="EV81" s="59" t="str">
        <v/>
      </c>
      <c r="EW81" s="59" t="str">
        <v/>
      </c>
      <c r="EX81" s="59" t="str">
        <v/>
      </c>
      <c r="EY81" s="59" t="str">
        <v/>
      </c>
      <c r="EZ81" s="60" t="str">
        <v/>
      </c>
      <c r="FA81" s="17"/>
      <c r="FC81">
        <v>78</v>
      </c>
      <c r="FD81">
        <f t="shared" si="10"/>
        <v>14</v>
      </c>
      <c r="FE81">
        <f t="shared" si="11"/>
        <v>5</v>
      </c>
      <c r="FF81">
        <f t="shared" si="12"/>
        <v>193</v>
      </c>
      <c r="FI81" s="16">
        <v>78</v>
      </c>
      <c r="FJ81" s="17">
        <f t="shared" si="13"/>
        <v>4</v>
      </c>
      <c r="FK81" s="17">
        <f t="shared" si="14"/>
        <v>193</v>
      </c>
      <c r="FL81" s="18" t="str">
        <f t="shared" si="15"/>
        <v>11000001</v>
      </c>
      <c r="FM81" s="2"/>
    </row>
    <row r="82" spans="1:169">
      <c r="A82">
        <f>SUM($B$4:B82)</f>
        <v>196</v>
      </c>
      <c r="B82">
        <f t="shared" si="8"/>
        <v>0</v>
      </c>
      <c r="C82" t="str">
        <f t="shared" si="9"/>
        <v/>
      </c>
      <c r="D82">
        <v>79</v>
      </c>
      <c r="E82" s="16" t="str">
        <f>IF(E$3&lt;=$B82,INDEX(Input!$I$43:$I$2956,E$3+$A81),"")</f>
        <v/>
      </c>
      <c r="F82" s="17" t="str">
        <f>IF(F$3&lt;=$B82,INDEX(Input!$I$43:$I$2956,F$3+$A81),"")</f>
        <v/>
      </c>
      <c r="G82" s="17" t="str">
        <f>IF(G$3&lt;=$B82,INDEX(Input!$I$43:$I$2956,G$3+$A81),"")</f>
        <v/>
      </c>
      <c r="H82" s="17" t="str">
        <f>IF(H$3&lt;=$B82,INDEX(Input!$I$43:$I$2956,H$3+$A81),"")</f>
        <v/>
      </c>
      <c r="I82" s="17" t="str">
        <f>IF(I$3&lt;=$B82,INDEX(Input!$I$43:$I$2956,I$3+$A81),"")</f>
        <v/>
      </c>
      <c r="J82" s="17" t="str">
        <f>IF(J$3&lt;=$B82,INDEX(Input!$I$43:$I$2956,J$3+$A81),"")</f>
        <v/>
      </c>
      <c r="K82" s="17" t="str">
        <f>IF(K$3&lt;=$B82,INDEX(Input!$I$43:$I$2956,K$3+$A81),"")</f>
        <v/>
      </c>
      <c r="L82" s="17" t="str">
        <f>IF(L$3&lt;=$B82,INDEX(Input!$I$43:$I$2956,L$3+$A81),"")</f>
        <v/>
      </c>
      <c r="M82" s="17" t="str">
        <f>IF(M$3&lt;=$B82,INDEX(Input!$I$43:$I$2956,M$3+$A81),"")</f>
        <v/>
      </c>
      <c r="N82" s="17" t="str">
        <f>IF(N$3&lt;=$B82,INDEX(Input!$I$43:$I$2956,N$3+$A81),"")</f>
        <v/>
      </c>
      <c r="O82" s="17" t="str">
        <f>IF(O$3&lt;=$B82,INDEX(Input!$I$43:$I$2956,O$3+$A81),"")</f>
        <v/>
      </c>
      <c r="P82" s="17" t="str">
        <f>IF(P$3&lt;=$B82,INDEX(Input!$I$43:$I$2956,P$3+$A81),"")</f>
        <v/>
      </c>
      <c r="Q82" s="17" t="str">
        <f>IF(Q$3&lt;=$B82,INDEX(Input!$I$43:$I$2956,Q$3+$A81),"")</f>
        <v/>
      </c>
      <c r="R82" s="17" t="str">
        <f>IF(R$3&lt;=$B82,INDEX(Input!$I$43:$I$2956,R$3+$A81),"")</f>
        <v/>
      </c>
      <c r="S82" s="17" t="str">
        <f>IF(S$3&lt;=$B82,INDEX(Input!$I$43:$I$2956,S$3+$A81),"")</f>
        <v/>
      </c>
      <c r="T82" s="17" t="str">
        <f>IF(T$3&lt;=$B82,INDEX(Input!$I$43:$I$2956,T$3+$A81),"")</f>
        <v/>
      </c>
      <c r="U82" s="17" t="str">
        <f>IF(U$3&lt;=$B82,INDEX(Input!$I$43:$I$2956,U$3+$A81),"")</f>
        <v/>
      </c>
      <c r="V82" s="17" t="str">
        <f>IF(V$3&lt;=$B82,INDEX(Input!$I$43:$I$2956,V$3+$A81),"")</f>
        <v/>
      </c>
      <c r="W82" s="17" t="str">
        <f>IF(W$3&lt;=$B82,INDEX(Input!$I$43:$I$2956,W$3+$A81),"")</f>
        <v/>
      </c>
      <c r="X82" s="17" t="str">
        <f>IF(X$3&lt;=$B82,INDEX(Input!$I$43:$I$2956,X$3+$A81),"")</f>
        <v/>
      </c>
      <c r="Y82" s="17" t="str">
        <f>IF(Y$3&lt;=$B82,INDEX(Input!$I$43:$I$2956,Y$3+$A81),"")</f>
        <v/>
      </c>
      <c r="Z82" s="17" t="str">
        <f>IF(Z$3&lt;=$B82,INDEX(Input!$I$43:$I$2956,Z$3+$A81),"")</f>
        <v/>
      </c>
      <c r="AA82" s="17" t="str">
        <f>IF(AA$3&lt;=$B82,INDEX(Input!$I$43:$I$2956,AA$3+$A81),"")</f>
        <v/>
      </c>
      <c r="AB82" s="17" t="str">
        <f>IF(AB$3&lt;=$B82,INDEX(Input!$I$43:$I$2956,AB$3+$A81),"")</f>
        <v/>
      </c>
      <c r="AC82" s="17" t="str">
        <f>IF(AC$3&lt;=$B82,INDEX(Input!$I$43:$I$2956,AC$3+$A81),"")</f>
        <v/>
      </c>
      <c r="AD82" s="17" t="str">
        <f>IF(AD$3&lt;=$B82,INDEX(Input!$I$43:$I$2956,AD$3+$A81),"")</f>
        <v/>
      </c>
      <c r="AE82" s="17" t="str">
        <f>IF(AE$3&lt;=$B82,INDEX(Input!$I$43:$I$2956,AE$3+$A81),"")</f>
        <v/>
      </c>
      <c r="AF82" s="17" t="str">
        <f>IF(AF$3&lt;=$B82,INDEX(Input!$I$43:$I$2956,AF$3+$A81),"")</f>
        <v/>
      </c>
      <c r="AG82" s="17" t="str">
        <f>IF(AG$3&lt;=$B82,INDEX(Input!$I$43:$I$2956,AG$3+$A81),"")</f>
        <v/>
      </c>
      <c r="AH82" s="17" t="str">
        <f>IF(AH$3&lt;=$B82,INDEX(Input!$I$43:$I$2956,AH$3+$A81),"")</f>
        <v/>
      </c>
      <c r="AI82" s="17" t="str">
        <f>IF(AI$3&lt;=$B82,INDEX(Input!$I$43:$I$2956,AI$3+$A81),"")</f>
        <v/>
      </c>
      <c r="AJ82" s="17" t="str">
        <f>IF(AJ$3&lt;=$B82,INDEX(Input!$I$43:$I$2956,AJ$3+$A81),"")</f>
        <v/>
      </c>
      <c r="AK82" s="17" t="str">
        <f>IF(AK$3&lt;=$B82,INDEX(Input!$I$43:$I$2956,AK$3+$A81),"")</f>
        <v/>
      </c>
      <c r="AL82" s="17" t="str">
        <f>IF(AL$3&lt;=$B82,INDEX(Input!$I$43:$I$2956,AL$3+$A81),"")</f>
        <v/>
      </c>
      <c r="AM82" s="17" t="str">
        <f>IF(AM$3&lt;=$B82,INDEX(Input!$I$43:$I$2956,AM$3+$A81),"")</f>
        <v/>
      </c>
      <c r="AN82" s="17" t="str">
        <f>IF(AN$3&lt;=$B82,INDEX(Input!$I$43:$I$2956,AN$3+$A81),"")</f>
        <v/>
      </c>
      <c r="AO82" s="17" t="str">
        <f>IF(AO$3&lt;=$B82,INDEX(Input!$I$43:$I$2956,AO$3+$A81),"")</f>
        <v/>
      </c>
      <c r="AP82" s="17" t="str">
        <f>IF(AP$3&lt;=$B82,INDEX(Input!$I$43:$I$2956,AP$3+$A81),"")</f>
        <v/>
      </c>
      <c r="AQ82" s="17" t="str">
        <f>IF(AQ$3&lt;=$B82,INDEX(Input!$I$43:$I$2956,AQ$3+$A81),"")</f>
        <v/>
      </c>
      <c r="AR82" s="17" t="str">
        <f>IF(AR$3&lt;=$B82,INDEX(Input!$I$43:$I$2956,AR$3+$A81),"")</f>
        <v/>
      </c>
      <c r="AS82" s="17" t="str">
        <f>IF(AS$3&lt;=$B82,INDEX(Input!$I$43:$I$2956,AS$3+$A81),"")</f>
        <v/>
      </c>
      <c r="AT82" s="17" t="str">
        <f>IF(AT$3&lt;=$B82,INDEX(Input!$I$43:$I$2956,AT$3+$A81),"")</f>
        <v/>
      </c>
      <c r="AU82" s="17" t="str">
        <f>IF(AU$3&lt;=$B82,INDEX(Input!$I$43:$I$2956,AU$3+$A81),"")</f>
        <v/>
      </c>
      <c r="AV82" s="17" t="str">
        <f>IF(AV$3&lt;=$B82,INDEX(Input!$I$43:$I$2956,AV$3+$A81),"")</f>
        <v/>
      </c>
      <c r="AW82" s="17" t="str">
        <f>IF(AW$3&lt;=$B82,INDEX(Input!$I$43:$I$2956,AW$3+$A81),"")</f>
        <v/>
      </c>
      <c r="AX82" s="17" t="str">
        <f>IF(AX$3&lt;=$B82,INDEX(Input!$I$43:$I$2956,AX$3+$A81),"")</f>
        <v/>
      </c>
      <c r="AY82" s="17" t="str">
        <f>IF(AY$3&lt;=$B82,INDEX(Input!$I$43:$I$2956,AY$3+$A81),"")</f>
        <v/>
      </c>
      <c r="AZ82" s="17" t="str">
        <f>IF(AZ$3&lt;=$B82,INDEX(Input!$I$43:$I$2956,AZ$3+$A81),"")</f>
        <v/>
      </c>
      <c r="BA82" s="17" t="str">
        <f>IF(BA$3&lt;=$B82,INDEX(Input!$I$43:$I$2956,BA$3+$A81),"")</f>
        <v/>
      </c>
      <c r="BB82" s="17" t="str">
        <f>IF(BB$3&lt;=$B82,INDEX(Input!$I$43:$I$2956,BB$3+$A81),"")</f>
        <v/>
      </c>
      <c r="BC82" s="17" t="str">
        <f>IF(BC$3&lt;=$B82,INDEX(Input!$I$43:$I$2956,BC$3+$A81),"")</f>
        <v/>
      </c>
      <c r="BD82" s="17" t="str">
        <f>IF(BD$3&lt;=$B82,INDEX(Input!$I$43:$I$2956,BD$3+$A81),"")</f>
        <v/>
      </c>
      <c r="BE82" s="17" t="str">
        <f>IF(BE$3&lt;=$B82,INDEX(Input!$I$43:$I$2956,BE$3+$A81),"")</f>
        <v/>
      </c>
      <c r="BF82" s="17" t="str">
        <f>IF(BF$3&lt;=$B82,INDEX(Input!$I$43:$I$2956,BF$3+$A81),"")</f>
        <v/>
      </c>
      <c r="BG82" s="17" t="str">
        <f>IF(BG$3&lt;=$B82,INDEX(Input!$I$43:$I$2956,BG$3+$A81),"")</f>
        <v/>
      </c>
      <c r="BH82" s="17" t="str">
        <f>IF(BH$3&lt;=$B82,INDEX(Input!$I$43:$I$2956,BH$3+$A81),"")</f>
        <v/>
      </c>
      <c r="BI82" s="17" t="str">
        <f>IF(BI$3&lt;=$B82,INDEX(Input!$I$43:$I$2956,BI$3+$A81),"")</f>
        <v/>
      </c>
      <c r="BJ82" s="17" t="str">
        <f>IF(BJ$3&lt;=$B82,INDEX(Input!$I$43:$I$2956,BJ$3+$A81),"")</f>
        <v/>
      </c>
      <c r="BK82" s="17" t="str">
        <f>IF(BK$3&lt;=$B82,INDEX(Input!$I$43:$I$2956,BK$3+$A81),"")</f>
        <v/>
      </c>
      <c r="BL82" s="17" t="str">
        <f>IF(BL$3&lt;=$B82,INDEX(Input!$I$43:$I$2956,BL$3+$A81),"")</f>
        <v/>
      </c>
      <c r="BM82" s="17" t="str">
        <f>IF(BM$3&lt;=$B82,INDEX(Input!$I$43:$I$2956,BM$3+$A81),"")</f>
        <v/>
      </c>
      <c r="BN82" s="17" t="str">
        <f>IF(BN$3&lt;=$B82,INDEX(Input!$I$43:$I$2956,BN$3+$A81),"")</f>
        <v/>
      </c>
      <c r="BO82" s="17" t="str">
        <f>IF(BO$3&lt;=$B82,INDEX(Input!$I$43:$I$2956,BO$3+$A81),"")</f>
        <v/>
      </c>
      <c r="BP82" s="17" t="str">
        <f>IF(BP$3&lt;=$B82,INDEX(Input!$I$43:$I$2956,BP$3+$A81),"")</f>
        <v/>
      </c>
      <c r="BQ82" s="17" t="str">
        <f>IF(BQ$3&lt;=$B82,INDEX(Input!$I$43:$I$2956,BQ$3+$A81),"")</f>
        <v/>
      </c>
      <c r="BR82" s="17" t="str">
        <f>IF(BR$3&lt;=$B82,INDEX(Input!$I$43:$I$2956,BR$3+$A81),"")</f>
        <v/>
      </c>
      <c r="BS82" s="17" t="str">
        <f>IF(BS$3&lt;=$B82,INDEX(Input!$I$43:$I$2956,BS$3+$A81),"")</f>
        <v/>
      </c>
      <c r="BT82" s="17" t="str">
        <f>IF(BT$3&lt;=$B82,INDEX(Input!$I$43:$I$2956,BT$3+$A81),"")</f>
        <v/>
      </c>
      <c r="BU82" s="17" t="str">
        <f>IF(BU$3&lt;=$B82,INDEX(Input!$I$43:$I$2956,BU$3+$A81),"")</f>
        <v/>
      </c>
      <c r="BV82" s="17" t="str">
        <f>IF(BV$3&lt;=$B82,INDEX(Input!$I$43:$I$2956,BV$3+$A81),"")</f>
        <v/>
      </c>
      <c r="BW82" s="17" t="str">
        <f>IF(BW$3&lt;=$B82,INDEX(Input!$I$43:$I$2956,BW$3+$A81),"")</f>
        <v/>
      </c>
      <c r="BX82" s="17" t="str">
        <f>IF(BX$3&lt;=$B82,INDEX(Input!$I$43:$I$2956,BX$3+$A81),"")</f>
        <v/>
      </c>
      <c r="BY82" s="17" t="str">
        <f>IF(BY$3&lt;=$B82,INDEX(Input!$I$43:$I$2956,BY$3+$A81),"")</f>
        <v/>
      </c>
      <c r="BZ82" s="17" t="str">
        <f>IF(BZ$3&lt;=$B82,INDEX(Input!$I$43:$I$2956,BZ$3+$A81),"")</f>
        <v/>
      </c>
      <c r="CA82" s="17" t="str">
        <f>IF(CA$3&lt;=$B82,INDEX(Input!$I$43:$I$2956,CA$3+$A81),"")</f>
        <v/>
      </c>
      <c r="CB82" s="17" t="str">
        <f>IF(CB$3&lt;=$B82,INDEX(Input!$I$43:$I$2956,CB$3+$A81),"")</f>
        <v/>
      </c>
      <c r="CC82" s="17" t="str">
        <f>IF(CC$3&lt;=$B82,INDEX(Input!$I$43:$I$2956,CC$3+$A81),"")</f>
        <v/>
      </c>
      <c r="CD82" s="17" t="str">
        <f>IF(CD$3&lt;=$B82,INDEX(Input!$I$43:$I$2956,CD$3+$A81),"")</f>
        <v/>
      </c>
      <c r="CE82" s="17" t="str">
        <f>IF(CE$3&lt;=$B82,INDEX(Input!$I$43:$I$2956,CE$3+$A81),"")</f>
        <v/>
      </c>
      <c r="CF82" s="17" t="str">
        <f>IF(CF$3&lt;=$B82,INDEX(Input!$I$43:$I$2956,CF$3+$A81),"")</f>
        <v/>
      </c>
      <c r="CG82" s="17" t="str">
        <f>IF(CG$3&lt;=$B82,INDEX(Input!$I$43:$I$2956,CG$3+$A81),"")</f>
        <v/>
      </c>
      <c r="CH82" s="17" t="str">
        <f>IF(CH$3&lt;=$B82,INDEX(Input!$I$43:$I$2956,CH$3+$A81),"")</f>
        <v/>
      </c>
      <c r="CI82" s="17" t="str">
        <f>IF(CI$3&lt;=$B82,INDEX(Input!$I$43:$I$2956,CI$3+$A81),"")</f>
        <v/>
      </c>
      <c r="CJ82" s="17" t="str">
        <f>IF(CJ$3&lt;=$B82,INDEX(Input!$I$43:$I$2956,CJ$3+$A81),"")</f>
        <v/>
      </c>
      <c r="CK82" s="17" t="str">
        <f>IF(CK$3&lt;=$B82,INDEX(Input!$I$43:$I$2956,CK$3+$A81),"")</f>
        <v/>
      </c>
      <c r="CL82" s="17" t="str">
        <f>IF(CL$3&lt;=$B82,INDEX(Input!$I$43:$I$2956,CL$3+$A81),"")</f>
        <v/>
      </c>
      <c r="CM82" s="17" t="str">
        <f>IF(CM$3&lt;=$B82,INDEX(Input!$I$43:$I$2956,CM$3+$A81),"")</f>
        <v/>
      </c>
      <c r="CN82" s="17" t="str">
        <f>IF(CN$3&lt;=$B82,INDEX(Input!$I$43:$I$2956,CN$3+$A81),"")</f>
        <v/>
      </c>
      <c r="CO82" s="17" t="str">
        <f>IF(CO$3&lt;=$B82,INDEX(Input!$I$43:$I$2956,CO$3+$A81),"")</f>
        <v/>
      </c>
      <c r="CP82" s="17" t="str">
        <f>IF(CP$3&lt;=$B82,INDEX(Input!$I$43:$I$2956,CP$3+$A81),"")</f>
        <v/>
      </c>
      <c r="CQ82" s="17" t="str">
        <f>IF(CQ$3&lt;=$B82,INDEX(Input!$I$43:$I$2956,CQ$3+$A81),"")</f>
        <v/>
      </c>
      <c r="CR82" s="17" t="str">
        <f>IF(CR$3&lt;=$B82,INDEX(Input!$I$43:$I$2956,CR$3+$A81),"")</f>
        <v/>
      </c>
      <c r="CS82" s="17" t="str">
        <f>IF(CS$3&lt;=$B82,INDEX(Input!$I$43:$I$2956,CS$3+$A81),"")</f>
        <v/>
      </c>
      <c r="CT82" s="17" t="str">
        <f>IF(CT$3&lt;=$B82,INDEX(Input!$I$43:$I$2956,CT$3+$A81),"")</f>
        <v/>
      </c>
      <c r="CU82" s="17" t="str">
        <f>IF(CU$3&lt;=$B82,INDEX(Input!$I$43:$I$2956,CU$3+$A81),"")</f>
        <v/>
      </c>
      <c r="CV82" s="17" t="str">
        <f>IF(CV$3&lt;=$B82,INDEX(Input!$I$43:$I$2956,CV$3+$A81),"")</f>
        <v/>
      </c>
      <c r="CW82" s="17" t="str">
        <f>IF(CW$3&lt;=$B82,INDEX(Input!$I$43:$I$2956,CW$3+$A81),"")</f>
        <v/>
      </c>
      <c r="CX82" s="17" t="str">
        <f>IF(CX$3&lt;=$B82,INDEX(Input!$I$43:$I$2956,CX$3+$A81),"")</f>
        <v/>
      </c>
      <c r="CY82" s="17" t="str">
        <f>IF(CY$3&lt;=$B82,INDEX(Input!$I$43:$I$2956,CY$3+$A81),"")</f>
        <v/>
      </c>
      <c r="CZ82" s="17" t="str">
        <f>IF(CZ$3&lt;=$B82,INDEX(Input!$I$43:$I$2956,CZ$3+$A81),"")</f>
        <v/>
      </c>
      <c r="DA82" s="17" t="str">
        <f>IF(DA$3&lt;=$B82,INDEX(Input!$I$43:$I$2956,DA$3+$A81),"")</f>
        <v/>
      </c>
      <c r="DB82" s="17" t="str">
        <f>IF(DB$3&lt;=$B82,INDEX(Input!$I$43:$I$2956,DB$3+$A81),"")</f>
        <v/>
      </c>
      <c r="DC82" s="17" t="str">
        <f>IF(DC$3&lt;=$B82,INDEX(Input!$I$43:$I$2956,DC$3+$A81),"")</f>
        <v/>
      </c>
      <c r="DD82" s="17" t="str">
        <f>IF(DD$3&lt;=$B82,INDEX(Input!$I$43:$I$2956,DD$3+$A81),"")</f>
        <v/>
      </c>
      <c r="DE82" s="17" t="str">
        <f>IF(DE$3&lt;=$B82,INDEX(Input!$I$43:$I$2956,DE$3+$A81),"")</f>
        <v/>
      </c>
      <c r="DF82" s="17" t="str">
        <f>IF(DF$3&lt;=$B82,INDEX(Input!$I$43:$I$2956,DF$3+$A81),"")</f>
        <v/>
      </c>
      <c r="DG82" s="17" t="str">
        <f>IF(DG$3&lt;=$B82,INDEX(Input!$I$43:$I$2956,DG$3+$A81),"")</f>
        <v/>
      </c>
      <c r="DH82" s="17" t="str">
        <f>IF(DH$3&lt;=$B82,INDEX(Input!$I$43:$I$2956,DH$3+$A81),"")</f>
        <v/>
      </c>
      <c r="DI82" s="17" t="str">
        <f>IF(DI$3&lt;=$B82,INDEX(Input!$I$43:$I$2956,DI$3+$A81),"")</f>
        <v/>
      </c>
      <c r="DJ82" s="17" t="str">
        <f>IF(DJ$3&lt;=$B82,INDEX(Input!$I$43:$I$2956,DJ$3+$A81),"")</f>
        <v/>
      </c>
      <c r="DK82" s="17" t="str">
        <f>IF(DK$3&lt;=$B82,INDEX(Input!$I$43:$I$2956,DK$3+$A81),"")</f>
        <v/>
      </c>
      <c r="DL82" s="17" t="str">
        <f>IF(DL$3&lt;=$B82,INDEX(Input!$I$43:$I$2956,DL$3+$A81),"")</f>
        <v/>
      </c>
      <c r="DM82" s="17" t="str">
        <f>IF(DM$3&lt;=$B82,INDEX(Input!$I$43:$I$2956,DM$3+$A81),"")</f>
        <v/>
      </c>
      <c r="DN82" s="17" t="str">
        <f>IF(DN$3&lt;=$B82,INDEX(Input!$I$43:$I$2956,DN$3+$A81),"")</f>
        <v/>
      </c>
      <c r="DO82" s="17" t="str">
        <f>IF(DO$3&lt;=$B82,INDEX(Input!$I$43:$I$2956,DO$3+$A81),"")</f>
        <v/>
      </c>
      <c r="DP82" s="17" t="str">
        <f>IF(DP$3&lt;=$B82,INDEX(Input!$I$43:$I$2956,DP$3+$A81),"")</f>
        <v/>
      </c>
      <c r="DQ82" s="17" t="str">
        <f>IF(DQ$3&lt;=$B82,INDEX(Input!$I$43:$I$2956,DQ$3+$A81),"")</f>
        <v/>
      </c>
      <c r="DR82" s="17" t="str">
        <f>IF(DR$3&lt;=$B82,INDEX(Input!$I$43:$I$2956,DR$3+$A81),"")</f>
        <v/>
      </c>
      <c r="DS82" s="17" t="str">
        <f>IF(DS$3&lt;=$B82,INDEX(Input!$I$43:$I$2956,DS$3+$A81),"")</f>
        <v/>
      </c>
      <c r="DT82" s="17" t="str">
        <f>IF(DT$3&lt;=$B82,INDEX(Input!$I$43:$I$2956,DT$3+$A81),"")</f>
        <v/>
      </c>
      <c r="DU82" s="17" t="str">
        <f>IF(DU$3&lt;=$B82,INDEX(Input!$I$43:$I$2956,DU$3+$A81),"")</f>
        <v/>
      </c>
      <c r="DV82" s="17" t="str">
        <f>IF(DV$3&lt;=$B82,INDEX(Input!$I$43:$I$2956,DV$3+$A81),"")</f>
        <v/>
      </c>
      <c r="DW82" s="58" t="str">
        <f t="array" ref="DW82:EZ82">IFERROR(eccalc(E82:DV82,C82+B82,B82,$O$2:$AS$2),"")</f>
        <v/>
      </c>
      <c r="DX82" s="59" t="str">
        <v/>
      </c>
      <c r="DY82" s="59" t="str">
        <v/>
      </c>
      <c r="DZ82" s="59" t="str">
        <v/>
      </c>
      <c r="EA82" s="59" t="str">
        <v/>
      </c>
      <c r="EB82" s="59" t="str">
        <v/>
      </c>
      <c r="EC82" s="59" t="str">
        <v/>
      </c>
      <c r="ED82" s="59" t="str">
        <v/>
      </c>
      <c r="EE82" s="59" t="str">
        <v/>
      </c>
      <c r="EF82" s="59" t="str">
        <v/>
      </c>
      <c r="EG82" s="59" t="str">
        <v/>
      </c>
      <c r="EH82" s="59" t="str">
        <v/>
      </c>
      <c r="EI82" s="59" t="str">
        <v/>
      </c>
      <c r="EJ82" s="59" t="str">
        <v/>
      </c>
      <c r="EK82" s="59" t="str">
        <v/>
      </c>
      <c r="EL82" s="59" t="str">
        <v/>
      </c>
      <c r="EM82" s="59" t="str">
        <v/>
      </c>
      <c r="EN82" s="59" t="str">
        <v/>
      </c>
      <c r="EO82" s="59" t="str">
        <v/>
      </c>
      <c r="EP82" s="59" t="str">
        <v/>
      </c>
      <c r="EQ82" s="59" t="str">
        <v/>
      </c>
      <c r="ER82" s="59" t="str">
        <v/>
      </c>
      <c r="ES82" s="59" t="str">
        <v/>
      </c>
      <c r="ET82" s="59" t="str">
        <v/>
      </c>
      <c r="EU82" s="59" t="str">
        <v/>
      </c>
      <c r="EV82" s="59" t="str">
        <v/>
      </c>
      <c r="EW82" s="59" t="str">
        <v/>
      </c>
      <c r="EX82" s="59" t="str">
        <v/>
      </c>
      <c r="EY82" s="59" t="str">
        <v/>
      </c>
      <c r="EZ82" s="60" t="str">
        <v/>
      </c>
      <c r="FA82" s="17"/>
      <c r="FC82">
        <v>79</v>
      </c>
      <c r="FD82">
        <f t="shared" si="10"/>
        <v>15</v>
      </c>
      <c r="FE82">
        <f t="shared" si="11"/>
        <v>5</v>
      </c>
      <c r="FF82">
        <f t="shared" si="12"/>
        <v>236</v>
      </c>
      <c r="FI82" s="16">
        <v>79</v>
      </c>
      <c r="FJ82" s="17">
        <f t="shared" si="13"/>
        <v>46</v>
      </c>
      <c r="FK82" s="17">
        <f t="shared" si="14"/>
        <v>236</v>
      </c>
      <c r="FL82" s="18" t="str">
        <f t="shared" si="15"/>
        <v>11101100</v>
      </c>
      <c r="FM82" s="2"/>
    </row>
    <row r="83" spans="1:169">
      <c r="A83">
        <f>SUM($B$4:B83)</f>
        <v>196</v>
      </c>
      <c r="B83">
        <f t="shared" si="8"/>
        <v>0</v>
      </c>
      <c r="C83" t="str">
        <f t="shared" si="9"/>
        <v/>
      </c>
      <c r="D83">
        <v>80</v>
      </c>
      <c r="E83" s="16" t="str">
        <f>IF(E$3&lt;=$B83,INDEX(Input!$I$43:$I$2956,E$3+$A82),"")</f>
        <v/>
      </c>
      <c r="F83" s="17" t="str">
        <f>IF(F$3&lt;=$B83,INDEX(Input!$I$43:$I$2956,F$3+$A82),"")</f>
        <v/>
      </c>
      <c r="G83" s="17" t="str">
        <f>IF(G$3&lt;=$B83,INDEX(Input!$I$43:$I$2956,G$3+$A82),"")</f>
        <v/>
      </c>
      <c r="H83" s="17" t="str">
        <f>IF(H$3&lt;=$B83,INDEX(Input!$I$43:$I$2956,H$3+$A82),"")</f>
        <v/>
      </c>
      <c r="I83" s="17" t="str">
        <f>IF(I$3&lt;=$B83,INDEX(Input!$I$43:$I$2956,I$3+$A82),"")</f>
        <v/>
      </c>
      <c r="J83" s="17" t="str">
        <f>IF(J$3&lt;=$B83,INDEX(Input!$I$43:$I$2956,J$3+$A82),"")</f>
        <v/>
      </c>
      <c r="K83" s="17" t="str">
        <f>IF(K$3&lt;=$B83,INDEX(Input!$I$43:$I$2956,K$3+$A82),"")</f>
        <v/>
      </c>
      <c r="L83" s="17" t="str">
        <f>IF(L$3&lt;=$B83,INDEX(Input!$I$43:$I$2956,L$3+$A82),"")</f>
        <v/>
      </c>
      <c r="M83" s="17" t="str">
        <f>IF(M$3&lt;=$B83,INDEX(Input!$I$43:$I$2956,M$3+$A82),"")</f>
        <v/>
      </c>
      <c r="N83" s="17" t="str">
        <f>IF(N$3&lt;=$B83,INDEX(Input!$I$43:$I$2956,N$3+$A82),"")</f>
        <v/>
      </c>
      <c r="O83" s="17" t="str">
        <f>IF(O$3&lt;=$B83,INDEX(Input!$I$43:$I$2956,O$3+$A82),"")</f>
        <v/>
      </c>
      <c r="P83" s="17" t="str">
        <f>IF(P$3&lt;=$B83,INDEX(Input!$I$43:$I$2956,P$3+$A82),"")</f>
        <v/>
      </c>
      <c r="Q83" s="17" t="str">
        <f>IF(Q$3&lt;=$B83,INDEX(Input!$I$43:$I$2956,Q$3+$A82),"")</f>
        <v/>
      </c>
      <c r="R83" s="17" t="str">
        <f>IF(R$3&lt;=$B83,INDEX(Input!$I$43:$I$2956,R$3+$A82),"")</f>
        <v/>
      </c>
      <c r="S83" s="17" t="str">
        <f>IF(S$3&lt;=$B83,INDEX(Input!$I$43:$I$2956,S$3+$A82),"")</f>
        <v/>
      </c>
      <c r="T83" s="17" t="str">
        <f>IF(T$3&lt;=$B83,INDEX(Input!$I$43:$I$2956,T$3+$A82),"")</f>
        <v/>
      </c>
      <c r="U83" s="17" t="str">
        <f>IF(U$3&lt;=$B83,INDEX(Input!$I$43:$I$2956,U$3+$A82),"")</f>
        <v/>
      </c>
      <c r="V83" s="17" t="str">
        <f>IF(V$3&lt;=$B83,INDEX(Input!$I$43:$I$2956,V$3+$A82),"")</f>
        <v/>
      </c>
      <c r="W83" s="17" t="str">
        <f>IF(W$3&lt;=$B83,INDEX(Input!$I$43:$I$2956,W$3+$A82),"")</f>
        <v/>
      </c>
      <c r="X83" s="17" t="str">
        <f>IF(X$3&lt;=$B83,INDEX(Input!$I$43:$I$2956,X$3+$A82),"")</f>
        <v/>
      </c>
      <c r="Y83" s="17" t="str">
        <f>IF(Y$3&lt;=$B83,INDEX(Input!$I$43:$I$2956,Y$3+$A82),"")</f>
        <v/>
      </c>
      <c r="Z83" s="17" t="str">
        <f>IF(Z$3&lt;=$B83,INDEX(Input!$I$43:$I$2956,Z$3+$A82),"")</f>
        <v/>
      </c>
      <c r="AA83" s="17" t="str">
        <f>IF(AA$3&lt;=$B83,INDEX(Input!$I$43:$I$2956,AA$3+$A82),"")</f>
        <v/>
      </c>
      <c r="AB83" s="17" t="str">
        <f>IF(AB$3&lt;=$B83,INDEX(Input!$I$43:$I$2956,AB$3+$A82),"")</f>
        <v/>
      </c>
      <c r="AC83" s="17" t="str">
        <f>IF(AC$3&lt;=$B83,INDEX(Input!$I$43:$I$2956,AC$3+$A82),"")</f>
        <v/>
      </c>
      <c r="AD83" s="17" t="str">
        <f>IF(AD$3&lt;=$B83,INDEX(Input!$I$43:$I$2956,AD$3+$A82),"")</f>
        <v/>
      </c>
      <c r="AE83" s="17" t="str">
        <f>IF(AE$3&lt;=$B83,INDEX(Input!$I$43:$I$2956,AE$3+$A82),"")</f>
        <v/>
      </c>
      <c r="AF83" s="17" t="str">
        <f>IF(AF$3&lt;=$B83,INDEX(Input!$I$43:$I$2956,AF$3+$A82),"")</f>
        <v/>
      </c>
      <c r="AG83" s="17" t="str">
        <f>IF(AG$3&lt;=$B83,INDEX(Input!$I$43:$I$2956,AG$3+$A82),"")</f>
        <v/>
      </c>
      <c r="AH83" s="17" t="str">
        <f>IF(AH$3&lt;=$B83,INDEX(Input!$I$43:$I$2956,AH$3+$A82),"")</f>
        <v/>
      </c>
      <c r="AI83" s="17" t="str">
        <f>IF(AI$3&lt;=$B83,INDEX(Input!$I$43:$I$2956,AI$3+$A82),"")</f>
        <v/>
      </c>
      <c r="AJ83" s="17" t="str">
        <f>IF(AJ$3&lt;=$B83,INDEX(Input!$I$43:$I$2956,AJ$3+$A82),"")</f>
        <v/>
      </c>
      <c r="AK83" s="17" t="str">
        <f>IF(AK$3&lt;=$B83,INDEX(Input!$I$43:$I$2956,AK$3+$A82),"")</f>
        <v/>
      </c>
      <c r="AL83" s="17" t="str">
        <f>IF(AL$3&lt;=$B83,INDEX(Input!$I$43:$I$2956,AL$3+$A82),"")</f>
        <v/>
      </c>
      <c r="AM83" s="17" t="str">
        <f>IF(AM$3&lt;=$B83,INDEX(Input!$I$43:$I$2956,AM$3+$A82),"")</f>
        <v/>
      </c>
      <c r="AN83" s="17" t="str">
        <f>IF(AN$3&lt;=$B83,INDEX(Input!$I$43:$I$2956,AN$3+$A82),"")</f>
        <v/>
      </c>
      <c r="AO83" s="17" t="str">
        <f>IF(AO$3&lt;=$B83,INDEX(Input!$I$43:$I$2956,AO$3+$A82),"")</f>
        <v/>
      </c>
      <c r="AP83" s="17" t="str">
        <f>IF(AP$3&lt;=$B83,INDEX(Input!$I$43:$I$2956,AP$3+$A82),"")</f>
        <v/>
      </c>
      <c r="AQ83" s="17" t="str">
        <f>IF(AQ$3&lt;=$B83,INDEX(Input!$I$43:$I$2956,AQ$3+$A82),"")</f>
        <v/>
      </c>
      <c r="AR83" s="17" t="str">
        <f>IF(AR$3&lt;=$B83,INDEX(Input!$I$43:$I$2956,AR$3+$A82),"")</f>
        <v/>
      </c>
      <c r="AS83" s="17" t="str">
        <f>IF(AS$3&lt;=$B83,INDEX(Input!$I$43:$I$2956,AS$3+$A82),"")</f>
        <v/>
      </c>
      <c r="AT83" s="17" t="str">
        <f>IF(AT$3&lt;=$B83,INDEX(Input!$I$43:$I$2956,AT$3+$A82),"")</f>
        <v/>
      </c>
      <c r="AU83" s="17" t="str">
        <f>IF(AU$3&lt;=$B83,INDEX(Input!$I$43:$I$2956,AU$3+$A82),"")</f>
        <v/>
      </c>
      <c r="AV83" s="17" t="str">
        <f>IF(AV$3&lt;=$B83,INDEX(Input!$I$43:$I$2956,AV$3+$A82),"")</f>
        <v/>
      </c>
      <c r="AW83" s="17" t="str">
        <f>IF(AW$3&lt;=$B83,INDEX(Input!$I$43:$I$2956,AW$3+$A82),"")</f>
        <v/>
      </c>
      <c r="AX83" s="17" t="str">
        <f>IF(AX$3&lt;=$B83,INDEX(Input!$I$43:$I$2956,AX$3+$A82),"")</f>
        <v/>
      </c>
      <c r="AY83" s="17" t="str">
        <f>IF(AY$3&lt;=$B83,INDEX(Input!$I$43:$I$2956,AY$3+$A82),"")</f>
        <v/>
      </c>
      <c r="AZ83" s="17" t="str">
        <f>IF(AZ$3&lt;=$B83,INDEX(Input!$I$43:$I$2956,AZ$3+$A82),"")</f>
        <v/>
      </c>
      <c r="BA83" s="17" t="str">
        <f>IF(BA$3&lt;=$B83,INDEX(Input!$I$43:$I$2956,BA$3+$A82),"")</f>
        <v/>
      </c>
      <c r="BB83" s="17" t="str">
        <f>IF(BB$3&lt;=$B83,INDEX(Input!$I$43:$I$2956,BB$3+$A82),"")</f>
        <v/>
      </c>
      <c r="BC83" s="17" t="str">
        <f>IF(BC$3&lt;=$B83,INDEX(Input!$I$43:$I$2956,BC$3+$A82),"")</f>
        <v/>
      </c>
      <c r="BD83" s="17" t="str">
        <f>IF(BD$3&lt;=$B83,INDEX(Input!$I$43:$I$2956,BD$3+$A82),"")</f>
        <v/>
      </c>
      <c r="BE83" s="17" t="str">
        <f>IF(BE$3&lt;=$B83,INDEX(Input!$I$43:$I$2956,BE$3+$A82),"")</f>
        <v/>
      </c>
      <c r="BF83" s="17" t="str">
        <f>IF(BF$3&lt;=$B83,INDEX(Input!$I$43:$I$2956,BF$3+$A82),"")</f>
        <v/>
      </c>
      <c r="BG83" s="17" t="str">
        <f>IF(BG$3&lt;=$B83,INDEX(Input!$I$43:$I$2956,BG$3+$A82),"")</f>
        <v/>
      </c>
      <c r="BH83" s="17" t="str">
        <f>IF(BH$3&lt;=$B83,INDEX(Input!$I$43:$I$2956,BH$3+$A82),"")</f>
        <v/>
      </c>
      <c r="BI83" s="17" t="str">
        <f>IF(BI$3&lt;=$B83,INDEX(Input!$I$43:$I$2956,BI$3+$A82),"")</f>
        <v/>
      </c>
      <c r="BJ83" s="17" t="str">
        <f>IF(BJ$3&lt;=$B83,INDEX(Input!$I$43:$I$2956,BJ$3+$A82),"")</f>
        <v/>
      </c>
      <c r="BK83" s="17" t="str">
        <f>IF(BK$3&lt;=$B83,INDEX(Input!$I$43:$I$2956,BK$3+$A82),"")</f>
        <v/>
      </c>
      <c r="BL83" s="17" t="str">
        <f>IF(BL$3&lt;=$B83,INDEX(Input!$I$43:$I$2956,BL$3+$A82),"")</f>
        <v/>
      </c>
      <c r="BM83" s="17" t="str">
        <f>IF(BM$3&lt;=$B83,INDEX(Input!$I$43:$I$2956,BM$3+$A82),"")</f>
        <v/>
      </c>
      <c r="BN83" s="17" t="str">
        <f>IF(BN$3&lt;=$B83,INDEX(Input!$I$43:$I$2956,BN$3+$A82),"")</f>
        <v/>
      </c>
      <c r="BO83" s="17" t="str">
        <f>IF(BO$3&lt;=$B83,INDEX(Input!$I$43:$I$2956,BO$3+$A82),"")</f>
        <v/>
      </c>
      <c r="BP83" s="17" t="str">
        <f>IF(BP$3&lt;=$B83,INDEX(Input!$I$43:$I$2956,BP$3+$A82),"")</f>
        <v/>
      </c>
      <c r="BQ83" s="17" t="str">
        <f>IF(BQ$3&lt;=$B83,INDEX(Input!$I$43:$I$2956,BQ$3+$A82),"")</f>
        <v/>
      </c>
      <c r="BR83" s="17" t="str">
        <f>IF(BR$3&lt;=$B83,INDEX(Input!$I$43:$I$2956,BR$3+$A82),"")</f>
        <v/>
      </c>
      <c r="BS83" s="17" t="str">
        <f>IF(BS$3&lt;=$B83,INDEX(Input!$I$43:$I$2956,BS$3+$A82),"")</f>
        <v/>
      </c>
      <c r="BT83" s="17" t="str">
        <f>IF(BT$3&lt;=$B83,INDEX(Input!$I$43:$I$2956,BT$3+$A82),"")</f>
        <v/>
      </c>
      <c r="BU83" s="17" t="str">
        <f>IF(BU$3&lt;=$B83,INDEX(Input!$I$43:$I$2956,BU$3+$A82),"")</f>
        <v/>
      </c>
      <c r="BV83" s="17" t="str">
        <f>IF(BV$3&lt;=$B83,INDEX(Input!$I$43:$I$2956,BV$3+$A82),"")</f>
        <v/>
      </c>
      <c r="BW83" s="17" t="str">
        <f>IF(BW$3&lt;=$B83,INDEX(Input!$I$43:$I$2956,BW$3+$A82),"")</f>
        <v/>
      </c>
      <c r="BX83" s="17" t="str">
        <f>IF(BX$3&lt;=$B83,INDEX(Input!$I$43:$I$2956,BX$3+$A82),"")</f>
        <v/>
      </c>
      <c r="BY83" s="17" t="str">
        <f>IF(BY$3&lt;=$B83,INDEX(Input!$I$43:$I$2956,BY$3+$A82),"")</f>
        <v/>
      </c>
      <c r="BZ83" s="17" t="str">
        <f>IF(BZ$3&lt;=$B83,INDEX(Input!$I$43:$I$2956,BZ$3+$A82),"")</f>
        <v/>
      </c>
      <c r="CA83" s="17" t="str">
        <f>IF(CA$3&lt;=$B83,INDEX(Input!$I$43:$I$2956,CA$3+$A82),"")</f>
        <v/>
      </c>
      <c r="CB83" s="17" t="str">
        <f>IF(CB$3&lt;=$B83,INDEX(Input!$I$43:$I$2956,CB$3+$A82),"")</f>
        <v/>
      </c>
      <c r="CC83" s="17" t="str">
        <f>IF(CC$3&lt;=$B83,INDEX(Input!$I$43:$I$2956,CC$3+$A82),"")</f>
        <v/>
      </c>
      <c r="CD83" s="17" t="str">
        <f>IF(CD$3&lt;=$B83,INDEX(Input!$I$43:$I$2956,CD$3+$A82),"")</f>
        <v/>
      </c>
      <c r="CE83" s="17" t="str">
        <f>IF(CE$3&lt;=$B83,INDEX(Input!$I$43:$I$2956,CE$3+$A82),"")</f>
        <v/>
      </c>
      <c r="CF83" s="17" t="str">
        <f>IF(CF$3&lt;=$B83,INDEX(Input!$I$43:$I$2956,CF$3+$A82),"")</f>
        <v/>
      </c>
      <c r="CG83" s="17" t="str">
        <f>IF(CG$3&lt;=$B83,INDEX(Input!$I$43:$I$2956,CG$3+$A82),"")</f>
        <v/>
      </c>
      <c r="CH83" s="17" t="str">
        <f>IF(CH$3&lt;=$B83,INDEX(Input!$I$43:$I$2956,CH$3+$A82),"")</f>
        <v/>
      </c>
      <c r="CI83" s="17" t="str">
        <f>IF(CI$3&lt;=$B83,INDEX(Input!$I$43:$I$2956,CI$3+$A82),"")</f>
        <v/>
      </c>
      <c r="CJ83" s="17" t="str">
        <f>IF(CJ$3&lt;=$B83,INDEX(Input!$I$43:$I$2956,CJ$3+$A82),"")</f>
        <v/>
      </c>
      <c r="CK83" s="17" t="str">
        <f>IF(CK$3&lt;=$B83,INDEX(Input!$I$43:$I$2956,CK$3+$A82),"")</f>
        <v/>
      </c>
      <c r="CL83" s="17" t="str">
        <f>IF(CL$3&lt;=$B83,INDEX(Input!$I$43:$I$2956,CL$3+$A82),"")</f>
        <v/>
      </c>
      <c r="CM83" s="17" t="str">
        <f>IF(CM$3&lt;=$B83,INDEX(Input!$I$43:$I$2956,CM$3+$A82),"")</f>
        <v/>
      </c>
      <c r="CN83" s="17" t="str">
        <f>IF(CN$3&lt;=$B83,INDEX(Input!$I$43:$I$2956,CN$3+$A82),"")</f>
        <v/>
      </c>
      <c r="CO83" s="17" t="str">
        <f>IF(CO$3&lt;=$B83,INDEX(Input!$I$43:$I$2956,CO$3+$A82),"")</f>
        <v/>
      </c>
      <c r="CP83" s="17" t="str">
        <f>IF(CP$3&lt;=$B83,INDEX(Input!$I$43:$I$2956,CP$3+$A82),"")</f>
        <v/>
      </c>
      <c r="CQ83" s="17" t="str">
        <f>IF(CQ$3&lt;=$B83,INDEX(Input!$I$43:$I$2956,CQ$3+$A82),"")</f>
        <v/>
      </c>
      <c r="CR83" s="17" t="str">
        <f>IF(CR$3&lt;=$B83,INDEX(Input!$I$43:$I$2956,CR$3+$A82),"")</f>
        <v/>
      </c>
      <c r="CS83" s="17" t="str">
        <f>IF(CS$3&lt;=$B83,INDEX(Input!$I$43:$I$2956,CS$3+$A82),"")</f>
        <v/>
      </c>
      <c r="CT83" s="17" t="str">
        <f>IF(CT$3&lt;=$B83,INDEX(Input!$I$43:$I$2956,CT$3+$A82),"")</f>
        <v/>
      </c>
      <c r="CU83" s="17" t="str">
        <f>IF(CU$3&lt;=$B83,INDEX(Input!$I$43:$I$2956,CU$3+$A82),"")</f>
        <v/>
      </c>
      <c r="CV83" s="17" t="str">
        <f>IF(CV$3&lt;=$B83,INDEX(Input!$I$43:$I$2956,CV$3+$A82),"")</f>
        <v/>
      </c>
      <c r="CW83" s="17" t="str">
        <f>IF(CW$3&lt;=$B83,INDEX(Input!$I$43:$I$2956,CW$3+$A82),"")</f>
        <v/>
      </c>
      <c r="CX83" s="17" t="str">
        <f>IF(CX$3&lt;=$B83,INDEX(Input!$I$43:$I$2956,CX$3+$A82),"")</f>
        <v/>
      </c>
      <c r="CY83" s="17" t="str">
        <f>IF(CY$3&lt;=$B83,INDEX(Input!$I$43:$I$2956,CY$3+$A82),"")</f>
        <v/>
      </c>
      <c r="CZ83" s="17" t="str">
        <f>IF(CZ$3&lt;=$B83,INDEX(Input!$I$43:$I$2956,CZ$3+$A82),"")</f>
        <v/>
      </c>
      <c r="DA83" s="17" t="str">
        <f>IF(DA$3&lt;=$B83,INDEX(Input!$I$43:$I$2956,DA$3+$A82),"")</f>
        <v/>
      </c>
      <c r="DB83" s="17" t="str">
        <f>IF(DB$3&lt;=$B83,INDEX(Input!$I$43:$I$2956,DB$3+$A82),"")</f>
        <v/>
      </c>
      <c r="DC83" s="17" t="str">
        <f>IF(DC$3&lt;=$B83,INDEX(Input!$I$43:$I$2956,DC$3+$A82),"")</f>
        <v/>
      </c>
      <c r="DD83" s="17" t="str">
        <f>IF(DD$3&lt;=$B83,INDEX(Input!$I$43:$I$2956,DD$3+$A82),"")</f>
        <v/>
      </c>
      <c r="DE83" s="17" t="str">
        <f>IF(DE$3&lt;=$B83,INDEX(Input!$I$43:$I$2956,DE$3+$A82),"")</f>
        <v/>
      </c>
      <c r="DF83" s="17" t="str">
        <f>IF(DF$3&lt;=$B83,INDEX(Input!$I$43:$I$2956,DF$3+$A82),"")</f>
        <v/>
      </c>
      <c r="DG83" s="17" t="str">
        <f>IF(DG$3&lt;=$B83,INDEX(Input!$I$43:$I$2956,DG$3+$A82),"")</f>
        <v/>
      </c>
      <c r="DH83" s="17" t="str">
        <f>IF(DH$3&lt;=$B83,INDEX(Input!$I$43:$I$2956,DH$3+$A82),"")</f>
        <v/>
      </c>
      <c r="DI83" s="17" t="str">
        <f>IF(DI$3&lt;=$B83,INDEX(Input!$I$43:$I$2956,DI$3+$A82),"")</f>
        <v/>
      </c>
      <c r="DJ83" s="17" t="str">
        <f>IF(DJ$3&lt;=$B83,INDEX(Input!$I$43:$I$2956,DJ$3+$A82),"")</f>
        <v/>
      </c>
      <c r="DK83" s="17" t="str">
        <f>IF(DK$3&lt;=$B83,INDEX(Input!$I$43:$I$2956,DK$3+$A82),"")</f>
        <v/>
      </c>
      <c r="DL83" s="17" t="str">
        <f>IF(DL$3&lt;=$B83,INDEX(Input!$I$43:$I$2956,DL$3+$A82),"")</f>
        <v/>
      </c>
      <c r="DM83" s="17" t="str">
        <f>IF(DM$3&lt;=$B83,INDEX(Input!$I$43:$I$2956,DM$3+$A82),"")</f>
        <v/>
      </c>
      <c r="DN83" s="17" t="str">
        <f>IF(DN$3&lt;=$B83,INDEX(Input!$I$43:$I$2956,DN$3+$A82),"")</f>
        <v/>
      </c>
      <c r="DO83" s="17" t="str">
        <f>IF(DO$3&lt;=$B83,INDEX(Input!$I$43:$I$2956,DO$3+$A82),"")</f>
        <v/>
      </c>
      <c r="DP83" s="17" t="str">
        <f>IF(DP$3&lt;=$B83,INDEX(Input!$I$43:$I$2956,DP$3+$A82),"")</f>
        <v/>
      </c>
      <c r="DQ83" s="17" t="str">
        <f>IF(DQ$3&lt;=$B83,INDEX(Input!$I$43:$I$2956,DQ$3+$A82),"")</f>
        <v/>
      </c>
      <c r="DR83" s="17" t="str">
        <f>IF(DR$3&lt;=$B83,INDEX(Input!$I$43:$I$2956,DR$3+$A82),"")</f>
        <v/>
      </c>
      <c r="DS83" s="17" t="str">
        <f>IF(DS$3&lt;=$B83,INDEX(Input!$I$43:$I$2956,DS$3+$A82),"")</f>
        <v/>
      </c>
      <c r="DT83" s="17" t="str">
        <f>IF(DT$3&lt;=$B83,INDEX(Input!$I$43:$I$2956,DT$3+$A82),"")</f>
        <v/>
      </c>
      <c r="DU83" s="17" t="str">
        <f>IF(DU$3&lt;=$B83,INDEX(Input!$I$43:$I$2956,DU$3+$A82),"")</f>
        <v/>
      </c>
      <c r="DV83" s="17" t="str">
        <f>IF(DV$3&lt;=$B83,INDEX(Input!$I$43:$I$2956,DV$3+$A82),"")</f>
        <v/>
      </c>
      <c r="DW83" s="58" t="str">
        <f t="array" ref="DW83:EZ83">IFERROR(eccalc(E83:DV83,C83+B83,B83,$O$2:$AS$2),"")</f>
        <v/>
      </c>
      <c r="DX83" s="59" t="str">
        <v/>
      </c>
      <c r="DY83" s="59" t="str">
        <v/>
      </c>
      <c r="DZ83" s="59" t="str">
        <v/>
      </c>
      <c r="EA83" s="59" t="str">
        <v/>
      </c>
      <c r="EB83" s="59" t="str">
        <v/>
      </c>
      <c r="EC83" s="59" t="str">
        <v/>
      </c>
      <c r="ED83" s="59" t="str">
        <v/>
      </c>
      <c r="EE83" s="59" t="str">
        <v/>
      </c>
      <c r="EF83" s="59" t="str">
        <v/>
      </c>
      <c r="EG83" s="59" t="str">
        <v/>
      </c>
      <c r="EH83" s="59" t="str">
        <v/>
      </c>
      <c r="EI83" s="59" t="str">
        <v/>
      </c>
      <c r="EJ83" s="59" t="str">
        <v/>
      </c>
      <c r="EK83" s="59" t="str">
        <v/>
      </c>
      <c r="EL83" s="59" t="str">
        <v/>
      </c>
      <c r="EM83" s="59" t="str">
        <v/>
      </c>
      <c r="EN83" s="59" t="str">
        <v/>
      </c>
      <c r="EO83" s="59" t="str">
        <v/>
      </c>
      <c r="EP83" s="59" t="str">
        <v/>
      </c>
      <c r="EQ83" s="59" t="str">
        <v/>
      </c>
      <c r="ER83" s="59" t="str">
        <v/>
      </c>
      <c r="ES83" s="59" t="str">
        <v/>
      </c>
      <c r="ET83" s="59" t="str">
        <v/>
      </c>
      <c r="EU83" s="59" t="str">
        <v/>
      </c>
      <c r="EV83" s="59" t="str">
        <v/>
      </c>
      <c r="EW83" s="59" t="str">
        <v/>
      </c>
      <c r="EX83" s="59" t="str">
        <v/>
      </c>
      <c r="EY83" s="59" t="str">
        <v/>
      </c>
      <c r="EZ83" s="60" t="str">
        <v/>
      </c>
      <c r="FA83" s="17"/>
      <c r="FC83">
        <v>80</v>
      </c>
      <c r="FD83">
        <f t="shared" si="10"/>
        <v>16</v>
      </c>
      <c r="FE83">
        <f t="shared" si="11"/>
        <v>5</v>
      </c>
      <c r="FF83" t="str">
        <f t="shared" si="12"/>
        <v/>
      </c>
      <c r="FI83" s="16">
        <v>80</v>
      </c>
      <c r="FJ83" s="17">
        <f t="shared" si="13"/>
        <v>0</v>
      </c>
      <c r="FK83" s="17" t="str">
        <f t="shared" si="14"/>
        <v/>
      </c>
      <c r="FL83" s="18" t="str">
        <f t="shared" si="15"/>
        <v/>
      </c>
      <c r="FM83" s="2"/>
    </row>
    <row r="84" spans="1:169" ht="15.75" thickBot="1">
      <c r="A84">
        <f>SUM($B$4:B84)</f>
        <v>196</v>
      </c>
      <c r="B84">
        <f t="shared" si="8"/>
        <v>0</v>
      </c>
      <c r="C84" t="str">
        <f t="shared" si="9"/>
        <v/>
      </c>
      <c r="D84">
        <v>81</v>
      </c>
      <c r="E84" s="19" t="str">
        <f>IF(E$3&lt;=$B84,INDEX(Input!$I$43:$I$2956,E$3+$A83),"")</f>
        <v/>
      </c>
      <c r="F84" s="20" t="str">
        <f>IF(F$3&lt;=$B84,INDEX(Input!$I$43:$I$2956,F$3+$A83),"")</f>
        <v/>
      </c>
      <c r="G84" s="20" t="str">
        <f>IF(G$3&lt;=$B84,INDEX(Input!$I$43:$I$2956,G$3+$A83),"")</f>
        <v/>
      </c>
      <c r="H84" s="20" t="str">
        <f>IF(H$3&lt;=$B84,INDEX(Input!$I$43:$I$2956,H$3+$A83),"")</f>
        <v/>
      </c>
      <c r="I84" s="20" t="str">
        <f>IF(I$3&lt;=$B84,INDEX(Input!$I$43:$I$2956,I$3+$A83),"")</f>
        <v/>
      </c>
      <c r="J84" s="20" t="str">
        <f>IF(J$3&lt;=$B84,INDEX(Input!$I$43:$I$2956,J$3+$A83),"")</f>
        <v/>
      </c>
      <c r="K84" s="20" t="str">
        <f>IF(K$3&lt;=$B84,INDEX(Input!$I$43:$I$2956,K$3+$A83),"")</f>
        <v/>
      </c>
      <c r="L84" s="20" t="str">
        <f>IF(L$3&lt;=$B84,INDEX(Input!$I$43:$I$2956,L$3+$A83),"")</f>
        <v/>
      </c>
      <c r="M84" s="20" t="str">
        <f>IF(M$3&lt;=$B84,INDEX(Input!$I$43:$I$2956,M$3+$A83),"")</f>
        <v/>
      </c>
      <c r="N84" s="20" t="str">
        <f>IF(N$3&lt;=$B84,INDEX(Input!$I$43:$I$2956,N$3+$A83),"")</f>
        <v/>
      </c>
      <c r="O84" s="20" t="str">
        <f>IF(O$3&lt;=$B84,INDEX(Input!$I$43:$I$2956,O$3+$A83),"")</f>
        <v/>
      </c>
      <c r="P84" s="20" t="str">
        <f>IF(P$3&lt;=$B84,INDEX(Input!$I$43:$I$2956,P$3+$A83),"")</f>
        <v/>
      </c>
      <c r="Q84" s="20" t="str">
        <f>IF(Q$3&lt;=$B84,INDEX(Input!$I$43:$I$2956,Q$3+$A83),"")</f>
        <v/>
      </c>
      <c r="R84" s="20" t="str">
        <f>IF(R$3&lt;=$B84,INDEX(Input!$I$43:$I$2956,R$3+$A83),"")</f>
        <v/>
      </c>
      <c r="S84" s="20" t="str">
        <f>IF(S$3&lt;=$B84,INDEX(Input!$I$43:$I$2956,S$3+$A83),"")</f>
        <v/>
      </c>
      <c r="T84" s="20" t="str">
        <f>IF(T$3&lt;=$B84,INDEX(Input!$I$43:$I$2956,T$3+$A83),"")</f>
        <v/>
      </c>
      <c r="U84" s="20" t="str">
        <f>IF(U$3&lt;=$B84,INDEX(Input!$I$43:$I$2956,U$3+$A83),"")</f>
        <v/>
      </c>
      <c r="V84" s="20" t="str">
        <f>IF(V$3&lt;=$B84,INDEX(Input!$I$43:$I$2956,V$3+$A83),"")</f>
        <v/>
      </c>
      <c r="W84" s="20" t="str">
        <f>IF(W$3&lt;=$B84,INDEX(Input!$I$43:$I$2956,W$3+$A83),"")</f>
        <v/>
      </c>
      <c r="X84" s="20" t="str">
        <f>IF(X$3&lt;=$B84,INDEX(Input!$I$43:$I$2956,X$3+$A83),"")</f>
        <v/>
      </c>
      <c r="Y84" s="20" t="str">
        <f>IF(Y$3&lt;=$B84,INDEX(Input!$I$43:$I$2956,Y$3+$A83),"")</f>
        <v/>
      </c>
      <c r="Z84" s="20" t="str">
        <f>IF(Z$3&lt;=$B84,INDEX(Input!$I$43:$I$2956,Z$3+$A83),"")</f>
        <v/>
      </c>
      <c r="AA84" s="20" t="str">
        <f>IF(AA$3&lt;=$B84,INDEX(Input!$I$43:$I$2956,AA$3+$A83),"")</f>
        <v/>
      </c>
      <c r="AB84" s="20" t="str">
        <f>IF(AB$3&lt;=$B84,INDEX(Input!$I$43:$I$2956,AB$3+$A83),"")</f>
        <v/>
      </c>
      <c r="AC84" s="20" t="str">
        <f>IF(AC$3&lt;=$B84,INDEX(Input!$I$43:$I$2956,AC$3+$A83),"")</f>
        <v/>
      </c>
      <c r="AD84" s="20" t="str">
        <f>IF(AD$3&lt;=$B84,INDEX(Input!$I$43:$I$2956,AD$3+$A83),"")</f>
        <v/>
      </c>
      <c r="AE84" s="20" t="str">
        <f>IF(AE$3&lt;=$B84,INDEX(Input!$I$43:$I$2956,AE$3+$A83),"")</f>
        <v/>
      </c>
      <c r="AF84" s="20" t="str">
        <f>IF(AF$3&lt;=$B84,INDEX(Input!$I$43:$I$2956,AF$3+$A83),"")</f>
        <v/>
      </c>
      <c r="AG84" s="20" t="str">
        <f>IF(AG$3&lt;=$B84,INDEX(Input!$I$43:$I$2956,AG$3+$A83),"")</f>
        <v/>
      </c>
      <c r="AH84" s="20" t="str">
        <f>IF(AH$3&lt;=$B84,INDEX(Input!$I$43:$I$2956,AH$3+$A83),"")</f>
        <v/>
      </c>
      <c r="AI84" s="20" t="str">
        <f>IF(AI$3&lt;=$B84,INDEX(Input!$I$43:$I$2956,AI$3+$A83),"")</f>
        <v/>
      </c>
      <c r="AJ84" s="20" t="str">
        <f>IF(AJ$3&lt;=$B84,INDEX(Input!$I$43:$I$2956,AJ$3+$A83),"")</f>
        <v/>
      </c>
      <c r="AK84" s="20" t="str">
        <f>IF(AK$3&lt;=$B84,INDEX(Input!$I$43:$I$2956,AK$3+$A83),"")</f>
        <v/>
      </c>
      <c r="AL84" s="20" t="str">
        <f>IF(AL$3&lt;=$B84,INDEX(Input!$I$43:$I$2956,AL$3+$A83),"")</f>
        <v/>
      </c>
      <c r="AM84" s="20" t="str">
        <f>IF(AM$3&lt;=$B84,INDEX(Input!$I$43:$I$2956,AM$3+$A83),"")</f>
        <v/>
      </c>
      <c r="AN84" s="20" t="str">
        <f>IF(AN$3&lt;=$B84,INDEX(Input!$I$43:$I$2956,AN$3+$A83),"")</f>
        <v/>
      </c>
      <c r="AO84" s="20" t="str">
        <f>IF(AO$3&lt;=$B84,INDEX(Input!$I$43:$I$2956,AO$3+$A83),"")</f>
        <v/>
      </c>
      <c r="AP84" s="20" t="str">
        <f>IF(AP$3&lt;=$B84,INDEX(Input!$I$43:$I$2956,AP$3+$A83),"")</f>
        <v/>
      </c>
      <c r="AQ84" s="20" t="str">
        <f>IF(AQ$3&lt;=$B84,INDEX(Input!$I$43:$I$2956,AQ$3+$A83),"")</f>
        <v/>
      </c>
      <c r="AR84" s="20" t="str">
        <f>IF(AR$3&lt;=$B84,INDEX(Input!$I$43:$I$2956,AR$3+$A83),"")</f>
        <v/>
      </c>
      <c r="AS84" s="20" t="str">
        <f>IF(AS$3&lt;=$B84,INDEX(Input!$I$43:$I$2956,AS$3+$A83),"")</f>
        <v/>
      </c>
      <c r="AT84" s="20" t="str">
        <f>IF(AT$3&lt;=$B84,INDEX(Input!$I$43:$I$2956,AT$3+$A83),"")</f>
        <v/>
      </c>
      <c r="AU84" s="20" t="str">
        <f>IF(AU$3&lt;=$B84,INDEX(Input!$I$43:$I$2956,AU$3+$A83),"")</f>
        <v/>
      </c>
      <c r="AV84" s="20" t="str">
        <f>IF(AV$3&lt;=$B84,INDEX(Input!$I$43:$I$2956,AV$3+$A83),"")</f>
        <v/>
      </c>
      <c r="AW84" s="20" t="str">
        <f>IF(AW$3&lt;=$B84,INDEX(Input!$I$43:$I$2956,AW$3+$A83),"")</f>
        <v/>
      </c>
      <c r="AX84" s="20" t="str">
        <f>IF(AX$3&lt;=$B84,INDEX(Input!$I$43:$I$2956,AX$3+$A83),"")</f>
        <v/>
      </c>
      <c r="AY84" s="20" t="str">
        <f>IF(AY$3&lt;=$B84,INDEX(Input!$I$43:$I$2956,AY$3+$A83),"")</f>
        <v/>
      </c>
      <c r="AZ84" s="20" t="str">
        <f>IF(AZ$3&lt;=$B84,INDEX(Input!$I$43:$I$2956,AZ$3+$A83),"")</f>
        <v/>
      </c>
      <c r="BA84" s="20" t="str">
        <f>IF(BA$3&lt;=$B84,INDEX(Input!$I$43:$I$2956,BA$3+$A83),"")</f>
        <v/>
      </c>
      <c r="BB84" s="20" t="str">
        <f>IF(BB$3&lt;=$B84,INDEX(Input!$I$43:$I$2956,BB$3+$A83),"")</f>
        <v/>
      </c>
      <c r="BC84" s="20" t="str">
        <f>IF(BC$3&lt;=$B84,INDEX(Input!$I$43:$I$2956,BC$3+$A83),"")</f>
        <v/>
      </c>
      <c r="BD84" s="20" t="str">
        <f>IF(BD$3&lt;=$B84,INDEX(Input!$I$43:$I$2956,BD$3+$A83),"")</f>
        <v/>
      </c>
      <c r="BE84" s="20" t="str">
        <f>IF(BE$3&lt;=$B84,INDEX(Input!$I$43:$I$2956,BE$3+$A83),"")</f>
        <v/>
      </c>
      <c r="BF84" s="20" t="str">
        <f>IF(BF$3&lt;=$B84,INDEX(Input!$I$43:$I$2956,BF$3+$A83),"")</f>
        <v/>
      </c>
      <c r="BG84" s="20" t="str">
        <f>IF(BG$3&lt;=$B84,INDEX(Input!$I$43:$I$2956,BG$3+$A83),"")</f>
        <v/>
      </c>
      <c r="BH84" s="20" t="str">
        <f>IF(BH$3&lt;=$B84,INDEX(Input!$I$43:$I$2956,BH$3+$A83),"")</f>
        <v/>
      </c>
      <c r="BI84" s="20" t="str">
        <f>IF(BI$3&lt;=$B84,INDEX(Input!$I$43:$I$2956,BI$3+$A83),"")</f>
        <v/>
      </c>
      <c r="BJ84" s="20" t="str">
        <f>IF(BJ$3&lt;=$B84,INDEX(Input!$I$43:$I$2956,BJ$3+$A83),"")</f>
        <v/>
      </c>
      <c r="BK84" s="20" t="str">
        <f>IF(BK$3&lt;=$B84,INDEX(Input!$I$43:$I$2956,BK$3+$A83),"")</f>
        <v/>
      </c>
      <c r="BL84" s="20" t="str">
        <f>IF(BL$3&lt;=$B84,INDEX(Input!$I$43:$I$2956,BL$3+$A83),"")</f>
        <v/>
      </c>
      <c r="BM84" s="20" t="str">
        <f>IF(BM$3&lt;=$B84,INDEX(Input!$I$43:$I$2956,BM$3+$A83),"")</f>
        <v/>
      </c>
      <c r="BN84" s="20" t="str">
        <f>IF(BN$3&lt;=$B84,INDEX(Input!$I$43:$I$2956,BN$3+$A83),"")</f>
        <v/>
      </c>
      <c r="BO84" s="20" t="str">
        <f>IF(BO$3&lt;=$B84,INDEX(Input!$I$43:$I$2956,BO$3+$A83),"")</f>
        <v/>
      </c>
      <c r="BP84" s="20" t="str">
        <f>IF(BP$3&lt;=$B84,INDEX(Input!$I$43:$I$2956,BP$3+$A83),"")</f>
        <v/>
      </c>
      <c r="BQ84" s="20" t="str">
        <f>IF(BQ$3&lt;=$B84,INDEX(Input!$I$43:$I$2956,BQ$3+$A83),"")</f>
        <v/>
      </c>
      <c r="BR84" s="20" t="str">
        <f>IF(BR$3&lt;=$B84,INDEX(Input!$I$43:$I$2956,BR$3+$A83),"")</f>
        <v/>
      </c>
      <c r="BS84" s="20" t="str">
        <f>IF(BS$3&lt;=$B84,INDEX(Input!$I$43:$I$2956,BS$3+$A83),"")</f>
        <v/>
      </c>
      <c r="BT84" s="20" t="str">
        <f>IF(BT$3&lt;=$B84,INDEX(Input!$I$43:$I$2956,BT$3+$A83),"")</f>
        <v/>
      </c>
      <c r="BU84" s="20" t="str">
        <f>IF(BU$3&lt;=$B84,INDEX(Input!$I$43:$I$2956,BU$3+$A83),"")</f>
        <v/>
      </c>
      <c r="BV84" s="20" t="str">
        <f>IF(BV$3&lt;=$B84,INDEX(Input!$I$43:$I$2956,BV$3+$A83),"")</f>
        <v/>
      </c>
      <c r="BW84" s="20" t="str">
        <f>IF(BW$3&lt;=$B84,INDEX(Input!$I$43:$I$2956,BW$3+$A83),"")</f>
        <v/>
      </c>
      <c r="BX84" s="20" t="str">
        <f>IF(BX$3&lt;=$B84,INDEX(Input!$I$43:$I$2956,BX$3+$A83),"")</f>
        <v/>
      </c>
      <c r="BY84" s="20" t="str">
        <f>IF(BY$3&lt;=$B84,INDEX(Input!$I$43:$I$2956,BY$3+$A83),"")</f>
        <v/>
      </c>
      <c r="BZ84" s="20" t="str">
        <f>IF(BZ$3&lt;=$B84,INDEX(Input!$I$43:$I$2956,BZ$3+$A83),"")</f>
        <v/>
      </c>
      <c r="CA84" s="20" t="str">
        <f>IF(CA$3&lt;=$B84,INDEX(Input!$I$43:$I$2956,CA$3+$A83),"")</f>
        <v/>
      </c>
      <c r="CB84" s="20" t="str">
        <f>IF(CB$3&lt;=$B84,INDEX(Input!$I$43:$I$2956,CB$3+$A83),"")</f>
        <v/>
      </c>
      <c r="CC84" s="20" t="str">
        <f>IF(CC$3&lt;=$B84,INDEX(Input!$I$43:$I$2956,CC$3+$A83),"")</f>
        <v/>
      </c>
      <c r="CD84" s="20" t="str">
        <f>IF(CD$3&lt;=$B84,INDEX(Input!$I$43:$I$2956,CD$3+$A83),"")</f>
        <v/>
      </c>
      <c r="CE84" s="20" t="str">
        <f>IF(CE$3&lt;=$B84,INDEX(Input!$I$43:$I$2956,CE$3+$A83),"")</f>
        <v/>
      </c>
      <c r="CF84" s="20" t="str">
        <f>IF(CF$3&lt;=$B84,INDEX(Input!$I$43:$I$2956,CF$3+$A83),"")</f>
        <v/>
      </c>
      <c r="CG84" s="20" t="str">
        <f>IF(CG$3&lt;=$B84,INDEX(Input!$I$43:$I$2956,CG$3+$A83),"")</f>
        <v/>
      </c>
      <c r="CH84" s="20" t="str">
        <f>IF(CH$3&lt;=$B84,INDEX(Input!$I$43:$I$2956,CH$3+$A83),"")</f>
        <v/>
      </c>
      <c r="CI84" s="20" t="str">
        <f>IF(CI$3&lt;=$B84,INDEX(Input!$I$43:$I$2956,CI$3+$A83),"")</f>
        <v/>
      </c>
      <c r="CJ84" s="20" t="str">
        <f>IF(CJ$3&lt;=$B84,INDEX(Input!$I$43:$I$2956,CJ$3+$A83),"")</f>
        <v/>
      </c>
      <c r="CK84" s="20" t="str">
        <f>IF(CK$3&lt;=$B84,INDEX(Input!$I$43:$I$2956,CK$3+$A83),"")</f>
        <v/>
      </c>
      <c r="CL84" s="20" t="str">
        <f>IF(CL$3&lt;=$B84,INDEX(Input!$I$43:$I$2956,CL$3+$A83),"")</f>
        <v/>
      </c>
      <c r="CM84" s="20" t="str">
        <f>IF(CM$3&lt;=$B84,INDEX(Input!$I$43:$I$2956,CM$3+$A83),"")</f>
        <v/>
      </c>
      <c r="CN84" s="20" t="str">
        <f>IF(CN$3&lt;=$B84,INDEX(Input!$I$43:$I$2956,CN$3+$A83),"")</f>
        <v/>
      </c>
      <c r="CO84" s="20" t="str">
        <f>IF(CO$3&lt;=$B84,INDEX(Input!$I$43:$I$2956,CO$3+$A83),"")</f>
        <v/>
      </c>
      <c r="CP84" s="20" t="str">
        <f>IF(CP$3&lt;=$B84,INDEX(Input!$I$43:$I$2956,CP$3+$A83),"")</f>
        <v/>
      </c>
      <c r="CQ84" s="20" t="str">
        <f>IF(CQ$3&lt;=$B84,INDEX(Input!$I$43:$I$2956,CQ$3+$A83),"")</f>
        <v/>
      </c>
      <c r="CR84" s="20" t="str">
        <f>IF(CR$3&lt;=$B84,INDEX(Input!$I$43:$I$2956,CR$3+$A83),"")</f>
        <v/>
      </c>
      <c r="CS84" s="20" t="str">
        <f>IF(CS$3&lt;=$B84,INDEX(Input!$I$43:$I$2956,CS$3+$A83),"")</f>
        <v/>
      </c>
      <c r="CT84" s="20" t="str">
        <f>IF(CT$3&lt;=$B84,INDEX(Input!$I$43:$I$2956,CT$3+$A83),"")</f>
        <v/>
      </c>
      <c r="CU84" s="20" t="str">
        <f>IF(CU$3&lt;=$B84,INDEX(Input!$I$43:$I$2956,CU$3+$A83),"")</f>
        <v/>
      </c>
      <c r="CV84" s="20" t="str">
        <f>IF(CV$3&lt;=$B84,INDEX(Input!$I$43:$I$2956,CV$3+$A83),"")</f>
        <v/>
      </c>
      <c r="CW84" s="20" t="str">
        <f>IF(CW$3&lt;=$B84,INDEX(Input!$I$43:$I$2956,CW$3+$A83),"")</f>
        <v/>
      </c>
      <c r="CX84" s="20" t="str">
        <f>IF(CX$3&lt;=$B84,INDEX(Input!$I$43:$I$2956,CX$3+$A83),"")</f>
        <v/>
      </c>
      <c r="CY84" s="20" t="str">
        <f>IF(CY$3&lt;=$B84,INDEX(Input!$I$43:$I$2956,CY$3+$A83),"")</f>
        <v/>
      </c>
      <c r="CZ84" s="20" t="str">
        <f>IF(CZ$3&lt;=$B84,INDEX(Input!$I$43:$I$2956,CZ$3+$A83),"")</f>
        <v/>
      </c>
      <c r="DA84" s="20" t="str">
        <f>IF(DA$3&lt;=$B84,INDEX(Input!$I$43:$I$2956,DA$3+$A83),"")</f>
        <v/>
      </c>
      <c r="DB84" s="20" t="str">
        <f>IF(DB$3&lt;=$B84,INDEX(Input!$I$43:$I$2956,DB$3+$A83),"")</f>
        <v/>
      </c>
      <c r="DC84" s="20" t="str">
        <f>IF(DC$3&lt;=$B84,INDEX(Input!$I$43:$I$2956,DC$3+$A83),"")</f>
        <v/>
      </c>
      <c r="DD84" s="20" t="str">
        <f>IF(DD$3&lt;=$B84,INDEX(Input!$I$43:$I$2956,DD$3+$A83),"")</f>
        <v/>
      </c>
      <c r="DE84" s="20" t="str">
        <f>IF(DE$3&lt;=$B84,INDEX(Input!$I$43:$I$2956,DE$3+$A83),"")</f>
        <v/>
      </c>
      <c r="DF84" s="20" t="str">
        <f>IF(DF$3&lt;=$B84,INDEX(Input!$I$43:$I$2956,DF$3+$A83),"")</f>
        <v/>
      </c>
      <c r="DG84" s="20" t="str">
        <f>IF(DG$3&lt;=$B84,INDEX(Input!$I$43:$I$2956,DG$3+$A83),"")</f>
        <v/>
      </c>
      <c r="DH84" s="20" t="str">
        <f>IF(DH$3&lt;=$B84,INDEX(Input!$I$43:$I$2956,DH$3+$A83),"")</f>
        <v/>
      </c>
      <c r="DI84" s="20" t="str">
        <f>IF(DI$3&lt;=$B84,INDEX(Input!$I$43:$I$2956,DI$3+$A83),"")</f>
        <v/>
      </c>
      <c r="DJ84" s="20" t="str">
        <f>IF(DJ$3&lt;=$B84,INDEX(Input!$I$43:$I$2956,DJ$3+$A83),"")</f>
        <v/>
      </c>
      <c r="DK84" s="20" t="str">
        <f>IF(DK$3&lt;=$B84,INDEX(Input!$I$43:$I$2956,DK$3+$A83),"")</f>
        <v/>
      </c>
      <c r="DL84" s="20" t="str">
        <f>IF(DL$3&lt;=$B84,INDEX(Input!$I$43:$I$2956,DL$3+$A83),"")</f>
        <v/>
      </c>
      <c r="DM84" s="20" t="str">
        <f>IF(DM$3&lt;=$B84,INDEX(Input!$I$43:$I$2956,DM$3+$A83),"")</f>
        <v/>
      </c>
      <c r="DN84" s="20" t="str">
        <f>IF(DN$3&lt;=$B84,INDEX(Input!$I$43:$I$2956,DN$3+$A83),"")</f>
        <v/>
      </c>
      <c r="DO84" s="20" t="str">
        <f>IF(DO$3&lt;=$B84,INDEX(Input!$I$43:$I$2956,DO$3+$A83),"")</f>
        <v/>
      </c>
      <c r="DP84" s="20" t="str">
        <f>IF(DP$3&lt;=$B84,INDEX(Input!$I$43:$I$2956,DP$3+$A83),"")</f>
        <v/>
      </c>
      <c r="DQ84" s="20" t="str">
        <f>IF(DQ$3&lt;=$B84,INDEX(Input!$I$43:$I$2956,DQ$3+$A83),"")</f>
        <v/>
      </c>
      <c r="DR84" s="20" t="str">
        <f>IF(DR$3&lt;=$B84,INDEX(Input!$I$43:$I$2956,DR$3+$A83),"")</f>
        <v/>
      </c>
      <c r="DS84" s="20" t="str">
        <f>IF(DS$3&lt;=$B84,INDEX(Input!$I$43:$I$2956,DS$3+$A83),"")</f>
        <v/>
      </c>
      <c r="DT84" s="20" t="str">
        <f>IF(DT$3&lt;=$B84,INDEX(Input!$I$43:$I$2956,DT$3+$A83),"")</f>
        <v/>
      </c>
      <c r="DU84" s="20" t="str">
        <f>IF(DU$3&lt;=$B84,INDEX(Input!$I$43:$I$2956,DU$3+$A83),"")</f>
        <v/>
      </c>
      <c r="DV84" s="20" t="str">
        <f>IF(DV$3&lt;=$B84,INDEX(Input!$I$43:$I$2956,DV$3+$A83),"")</f>
        <v/>
      </c>
      <c r="DW84" s="61" t="str">
        <f t="array" ref="DW84:EZ84">IFERROR(eccalc(E84:DV84,C84+B84,B84,$O$2:$AS$2),"")</f>
        <v/>
      </c>
      <c r="DX84" s="62" t="str">
        <v/>
      </c>
      <c r="DY84" s="62" t="str">
        <v/>
      </c>
      <c r="DZ84" s="62" t="str">
        <v/>
      </c>
      <c r="EA84" s="62" t="str">
        <v/>
      </c>
      <c r="EB84" s="62" t="str">
        <v/>
      </c>
      <c r="EC84" s="62" t="str">
        <v/>
      </c>
      <c r="ED84" s="62" t="str">
        <v/>
      </c>
      <c r="EE84" s="62" t="str">
        <v/>
      </c>
      <c r="EF84" s="62" t="str">
        <v/>
      </c>
      <c r="EG84" s="62" t="str">
        <v/>
      </c>
      <c r="EH84" s="62" t="str">
        <v/>
      </c>
      <c r="EI84" s="62" t="str">
        <v/>
      </c>
      <c r="EJ84" s="62" t="str">
        <v/>
      </c>
      <c r="EK84" s="62" t="str">
        <v/>
      </c>
      <c r="EL84" s="62" t="str">
        <v/>
      </c>
      <c r="EM84" s="62" t="str">
        <v/>
      </c>
      <c r="EN84" s="62" t="str">
        <v/>
      </c>
      <c r="EO84" s="62" t="str">
        <v/>
      </c>
      <c r="EP84" s="62" t="str">
        <v/>
      </c>
      <c r="EQ84" s="62" t="str">
        <v/>
      </c>
      <c r="ER84" s="62" t="str">
        <v/>
      </c>
      <c r="ES84" s="62" t="str">
        <v/>
      </c>
      <c r="ET84" s="62" t="str">
        <v/>
      </c>
      <c r="EU84" s="62" t="str">
        <v/>
      </c>
      <c r="EV84" s="62" t="str">
        <v/>
      </c>
      <c r="EW84" s="62" t="str">
        <v/>
      </c>
      <c r="EX84" s="62" t="str">
        <v/>
      </c>
      <c r="EY84" s="62" t="str">
        <v/>
      </c>
      <c r="EZ84" s="63" t="str">
        <v/>
      </c>
      <c r="FA84" s="17"/>
      <c r="FC84">
        <v>81</v>
      </c>
      <c r="FD84">
        <f t="shared" si="10"/>
        <v>1</v>
      </c>
      <c r="FE84">
        <f t="shared" si="11"/>
        <v>6</v>
      </c>
      <c r="FF84">
        <f t="shared" si="12"/>
        <v>199</v>
      </c>
      <c r="FI84" s="16">
        <v>81</v>
      </c>
      <c r="FJ84" s="17">
        <f t="shared" si="13"/>
        <v>254</v>
      </c>
      <c r="FK84" s="17">
        <f t="shared" si="14"/>
        <v>199</v>
      </c>
      <c r="FL84" s="18" t="str">
        <f t="shared" si="15"/>
        <v>11000111</v>
      </c>
      <c r="FM84" s="2"/>
    </row>
    <row r="85" spans="1:169">
      <c r="FC85">
        <v>82</v>
      </c>
      <c r="FD85">
        <f t="shared" si="10"/>
        <v>2</v>
      </c>
      <c r="FE85">
        <f t="shared" si="11"/>
        <v>6</v>
      </c>
      <c r="FF85">
        <f t="shared" si="12"/>
        <v>178</v>
      </c>
      <c r="FI85" s="16">
        <v>82</v>
      </c>
      <c r="FJ85" s="17">
        <f t="shared" si="13"/>
        <v>251</v>
      </c>
      <c r="FK85" s="17">
        <f t="shared" si="14"/>
        <v>178</v>
      </c>
      <c r="FL85" s="18" t="str">
        <f t="shared" si="15"/>
        <v>10110010</v>
      </c>
      <c r="FM85" s="2"/>
    </row>
    <row r="86" spans="1:169">
      <c r="FC86">
        <v>83</v>
      </c>
      <c r="FD86">
        <f t="shared" si="10"/>
        <v>3</v>
      </c>
      <c r="FE86">
        <f t="shared" si="11"/>
        <v>6</v>
      </c>
      <c r="FF86">
        <f t="shared" si="12"/>
        <v>174</v>
      </c>
      <c r="FI86" s="16">
        <v>83</v>
      </c>
      <c r="FJ86" s="17">
        <f t="shared" si="13"/>
        <v>218</v>
      </c>
      <c r="FK86" s="17">
        <f t="shared" si="14"/>
        <v>174</v>
      </c>
      <c r="FL86" s="18" t="str">
        <f t="shared" si="15"/>
        <v>10101110</v>
      </c>
      <c r="FM86" s="2"/>
    </row>
    <row r="87" spans="1:169">
      <c r="FC87">
        <v>84</v>
      </c>
      <c r="FD87">
        <f t="shared" si="10"/>
        <v>4</v>
      </c>
      <c r="FE87">
        <f t="shared" si="11"/>
        <v>6</v>
      </c>
      <c r="FF87">
        <f t="shared" si="12"/>
        <v>219</v>
      </c>
      <c r="FI87" s="16">
        <v>84</v>
      </c>
      <c r="FJ87" s="17">
        <f t="shared" si="13"/>
        <v>122</v>
      </c>
      <c r="FK87" s="17">
        <f t="shared" si="14"/>
        <v>219</v>
      </c>
      <c r="FL87" s="18" t="str">
        <f t="shared" si="15"/>
        <v>11011011</v>
      </c>
      <c r="FM87" s="2"/>
    </row>
    <row r="88" spans="1:169">
      <c r="D88" t="s">
        <v>36</v>
      </c>
      <c r="FC88">
        <v>85</v>
      </c>
      <c r="FD88">
        <f t="shared" si="10"/>
        <v>5</v>
      </c>
      <c r="FE88">
        <f t="shared" si="11"/>
        <v>6</v>
      </c>
      <c r="FF88">
        <f t="shared" si="12"/>
        <v>0</v>
      </c>
      <c r="FI88" s="16">
        <v>85</v>
      </c>
      <c r="FJ88" s="17">
        <f t="shared" si="13"/>
        <v>255</v>
      </c>
      <c r="FK88" s="17">
        <f t="shared" si="14"/>
        <v>0</v>
      </c>
      <c r="FL88" s="18" t="str">
        <f t="shared" si="15"/>
        <v>00000000</v>
      </c>
      <c r="FM88" s="2"/>
    </row>
    <row r="89" spans="1:169" ht="15.75" thickBot="1">
      <c r="D89" t="s">
        <v>35</v>
      </c>
      <c r="E89" t="s">
        <v>41</v>
      </c>
      <c r="F89">
        <v>1</v>
      </c>
      <c r="G89">
        <v>2</v>
      </c>
      <c r="H89">
        <v>3</v>
      </c>
      <c r="I89">
        <v>4</v>
      </c>
      <c r="J89">
        <v>5</v>
      </c>
      <c r="K89">
        <v>6</v>
      </c>
      <c r="L89">
        <v>7</v>
      </c>
      <c r="M89">
        <v>8</v>
      </c>
      <c r="N89">
        <v>9</v>
      </c>
      <c r="O89">
        <v>10</v>
      </c>
      <c r="P89">
        <v>11</v>
      </c>
      <c r="Q89">
        <v>12</v>
      </c>
      <c r="R89">
        <v>13</v>
      </c>
      <c r="S89">
        <v>14</v>
      </c>
      <c r="T89">
        <v>15</v>
      </c>
      <c r="U89">
        <v>16</v>
      </c>
      <c r="V89">
        <v>17</v>
      </c>
      <c r="W89">
        <v>18</v>
      </c>
      <c r="X89">
        <v>19</v>
      </c>
      <c r="Y89">
        <v>20</v>
      </c>
      <c r="Z89">
        <v>21</v>
      </c>
      <c r="AA89">
        <v>22</v>
      </c>
      <c r="AB89">
        <v>23</v>
      </c>
      <c r="AC89">
        <v>24</v>
      </c>
      <c r="AD89">
        <v>25</v>
      </c>
      <c r="AE89">
        <v>26</v>
      </c>
      <c r="AF89">
        <v>27</v>
      </c>
      <c r="AG89">
        <v>28</v>
      </c>
      <c r="AH89">
        <v>29</v>
      </c>
      <c r="AI89">
        <v>30</v>
      </c>
      <c r="AJ89">
        <v>31</v>
      </c>
      <c r="AK89">
        <v>32</v>
      </c>
      <c r="AL89">
        <v>33</v>
      </c>
      <c r="AM89">
        <v>34</v>
      </c>
      <c r="AN89">
        <v>35</v>
      </c>
      <c r="AO89">
        <v>36</v>
      </c>
      <c r="AP89">
        <v>37</v>
      </c>
      <c r="AQ89">
        <v>38</v>
      </c>
      <c r="AR89">
        <v>39</v>
      </c>
      <c r="AS89">
        <v>40</v>
      </c>
      <c r="AT89">
        <v>41</v>
      </c>
      <c r="AU89">
        <v>42</v>
      </c>
      <c r="AV89">
        <v>43</v>
      </c>
      <c r="AW89">
        <v>44</v>
      </c>
      <c r="AX89">
        <v>45</v>
      </c>
      <c r="AY89">
        <v>46</v>
      </c>
      <c r="AZ89">
        <v>47</v>
      </c>
      <c r="BA89">
        <v>48</v>
      </c>
      <c r="BB89">
        <v>49</v>
      </c>
      <c r="BC89">
        <v>50</v>
      </c>
      <c r="BD89">
        <v>51</v>
      </c>
      <c r="BE89">
        <v>52</v>
      </c>
      <c r="BF89">
        <v>53</v>
      </c>
      <c r="BG89">
        <v>54</v>
      </c>
      <c r="BH89">
        <v>55</v>
      </c>
      <c r="BI89">
        <v>56</v>
      </c>
      <c r="BJ89">
        <v>57</v>
      </c>
      <c r="BK89">
        <v>58</v>
      </c>
      <c r="BL89">
        <v>59</v>
      </c>
      <c r="BM89">
        <v>60</v>
      </c>
      <c r="BN89">
        <v>61</v>
      </c>
      <c r="BO89">
        <v>62</v>
      </c>
      <c r="BP89">
        <v>63</v>
      </c>
      <c r="BQ89">
        <v>64</v>
      </c>
      <c r="BR89">
        <v>65</v>
      </c>
      <c r="BS89">
        <v>66</v>
      </c>
      <c r="BT89">
        <v>67</v>
      </c>
      <c r="BU89">
        <v>68</v>
      </c>
      <c r="BV89">
        <v>69</v>
      </c>
      <c r="BW89">
        <v>70</v>
      </c>
      <c r="BX89">
        <v>71</v>
      </c>
      <c r="BY89">
        <v>72</v>
      </c>
      <c r="BZ89">
        <v>73</v>
      </c>
      <c r="CA89">
        <v>74</v>
      </c>
      <c r="CB89">
        <v>75</v>
      </c>
      <c r="CC89">
        <v>76</v>
      </c>
      <c r="CD89">
        <v>77</v>
      </c>
      <c r="CE89">
        <v>78</v>
      </c>
      <c r="CF89">
        <v>79</v>
      </c>
      <c r="CG89">
        <v>80</v>
      </c>
      <c r="CH89">
        <v>81</v>
      </c>
      <c r="CI89" t="s">
        <v>143</v>
      </c>
      <c r="CJ89" t="s">
        <v>144</v>
      </c>
      <c r="CK89" t="s">
        <v>146</v>
      </c>
      <c r="CL89" t="s">
        <v>145</v>
      </c>
      <c r="FC89">
        <v>86</v>
      </c>
      <c r="FD89">
        <f t="shared" si="10"/>
        <v>6</v>
      </c>
      <c r="FE89">
        <f t="shared" si="11"/>
        <v>6</v>
      </c>
      <c r="FF89">
        <f t="shared" si="12"/>
        <v>177</v>
      </c>
      <c r="FI89" s="16">
        <v>86</v>
      </c>
      <c r="FJ89" s="17">
        <f t="shared" si="13"/>
        <v>255</v>
      </c>
      <c r="FK89" s="17">
        <f t="shared" si="14"/>
        <v>177</v>
      </c>
      <c r="FL89" s="18" t="str">
        <f t="shared" si="15"/>
        <v>10110001</v>
      </c>
      <c r="FM89" s="2"/>
    </row>
    <row r="90" spans="1:169">
      <c r="A90" s="22">
        <v>1</v>
      </c>
      <c r="D90" t="str">
        <f>INDEX($A$90:$A$129,ROUNDUP((ROW()-89)/4,0))&amp;"-L"</f>
        <v>1-L</v>
      </c>
      <c r="E90" s="22">
        <v>7</v>
      </c>
      <c r="F90" s="13">
        <v>19</v>
      </c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5"/>
      <c r="CI90">
        <v>0</v>
      </c>
      <c r="CJ90">
        <v>1</v>
      </c>
      <c r="CK90">
        <f>IF(CI90=0,0,F90)</f>
        <v>0</v>
      </c>
      <c r="CL90">
        <f>IF(CI90=0,F90,F90+1)</f>
        <v>19</v>
      </c>
      <c r="FC90">
        <v>87</v>
      </c>
      <c r="FD90">
        <f t="shared" si="10"/>
        <v>7</v>
      </c>
      <c r="FE90">
        <f t="shared" si="11"/>
        <v>6</v>
      </c>
      <c r="FF90">
        <f t="shared" si="12"/>
        <v>246</v>
      </c>
      <c r="FI90" s="16">
        <v>87</v>
      </c>
      <c r="FJ90" s="17">
        <f t="shared" si="13"/>
        <v>216</v>
      </c>
      <c r="FK90" s="17">
        <f t="shared" si="14"/>
        <v>246</v>
      </c>
      <c r="FL90" s="18" t="str">
        <f t="shared" si="15"/>
        <v>11110110</v>
      </c>
      <c r="FM90" s="2"/>
    </row>
    <row r="91" spans="1:169">
      <c r="A91" s="23">
        <v>2</v>
      </c>
      <c r="D91" t="str">
        <f>INDEX($A$90:$A$129,ROUNDUP((ROW()-89)/4,0))&amp;"-M"</f>
        <v>1-M</v>
      </c>
      <c r="E91" s="23">
        <v>10</v>
      </c>
      <c r="F91" s="16">
        <v>16</v>
      </c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  <c r="AX91" s="17"/>
      <c r="AY91" s="17"/>
      <c r="AZ91" s="17"/>
      <c r="BA91" s="17"/>
      <c r="BB91" s="17"/>
      <c r="BC91" s="17"/>
      <c r="BD91" s="17"/>
      <c r="BE91" s="17"/>
      <c r="BF91" s="17"/>
      <c r="BG91" s="17"/>
      <c r="BH91" s="17"/>
      <c r="BI91" s="17"/>
      <c r="BJ91" s="17"/>
      <c r="BK91" s="17"/>
      <c r="BL91" s="17"/>
      <c r="BM91" s="17"/>
      <c r="BN91" s="17"/>
      <c r="BO91" s="17"/>
      <c r="BP91" s="17"/>
      <c r="BQ91" s="17"/>
      <c r="BR91" s="17"/>
      <c r="BS91" s="17"/>
      <c r="BT91" s="17"/>
      <c r="BU91" s="17"/>
      <c r="BV91" s="17"/>
      <c r="BW91" s="17"/>
      <c r="BX91" s="17"/>
      <c r="BY91" s="17"/>
      <c r="BZ91" s="17"/>
      <c r="CA91" s="17"/>
      <c r="CB91" s="17"/>
      <c r="CC91" s="17"/>
      <c r="CD91" s="17"/>
      <c r="CE91" s="17"/>
      <c r="CF91" s="17"/>
      <c r="CG91" s="17"/>
      <c r="CH91" s="18"/>
      <c r="CI91">
        <v>0</v>
      </c>
      <c r="CJ91">
        <v>1</v>
      </c>
      <c r="CK91">
        <f t="shared" ref="CK91:CK109" si="16">IF(CI91=0,0,F91)</f>
        <v>0</v>
      </c>
      <c r="CL91">
        <f t="shared" ref="CL91:CL109" si="17">IF(CI91=0,F91,F91+1)</f>
        <v>16</v>
      </c>
      <c r="FC91">
        <v>88</v>
      </c>
      <c r="FD91">
        <f t="shared" si="10"/>
        <v>8</v>
      </c>
      <c r="FE91">
        <f t="shared" si="11"/>
        <v>6</v>
      </c>
      <c r="FF91">
        <f t="shared" si="12"/>
        <v>76</v>
      </c>
      <c r="FI91" s="16">
        <v>88</v>
      </c>
      <c r="FJ91" s="17">
        <f t="shared" si="13"/>
        <v>66</v>
      </c>
      <c r="FK91" s="17">
        <f t="shared" si="14"/>
        <v>76</v>
      </c>
      <c r="FL91" s="18" t="str">
        <f t="shared" si="15"/>
        <v>01001100</v>
      </c>
      <c r="FM91" s="2"/>
    </row>
    <row r="92" spans="1:169">
      <c r="A92" s="23">
        <v>3</v>
      </c>
      <c r="D92" t="str">
        <f>INDEX($A$90:$A$129,ROUNDUP((ROW()-89)/4,0))&amp;"-Q"</f>
        <v>1-Q</v>
      </c>
      <c r="E92" s="23">
        <v>13</v>
      </c>
      <c r="F92" s="16">
        <v>13</v>
      </c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  <c r="AX92" s="17"/>
      <c r="AY92" s="17"/>
      <c r="AZ92" s="17"/>
      <c r="BA92" s="17"/>
      <c r="BB92" s="17"/>
      <c r="BC92" s="17"/>
      <c r="BD92" s="17"/>
      <c r="BE92" s="17"/>
      <c r="BF92" s="17"/>
      <c r="BG92" s="17"/>
      <c r="BH92" s="17"/>
      <c r="BI92" s="17"/>
      <c r="BJ92" s="17"/>
      <c r="BK92" s="17"/>
      <c r="BL92" s="17"/>
      <c r="BM92" s="17"/>
      <c r="BN92" s="17"/>
      <c r="BO92" s="17"/>
      <c r="BP92" s="17"/>
      <c r="BQ92" s="17"/>
      <c r="BR92" s="17"/>
      <c r="BS92" s="17"/>
      <c r="BT92" s="17"/>
      <c r="BU92" s="17"/>
      <c r="BV92" s="17"/>
      <c r="BW92" s="17"/>
      <c r="BX92" s="17"/>
      <c r="BY92" s="17"/>
      <c r="BZ92" s="17"/>
      <c r="CA92" s="17"/>
      <c r="CB92" s="17"/>
      <c r="CC92" s="17"/>
      <c r="CD92" s="17"/>
      <c r="CE92" s="17"/>
      <c r="CF92" s="17"/>
      <c r="CG92" s="17"/>
      <c r="CH92" s="18"/>
      <c r="CI92">
        <v>0</v>
      </c>
      <c r="CJ92">
        <v>1</v>
      </c>
      <c r="CK92">
        <f t="shared" si="16"/>
        <v>0</v>
      </c>
      <c r="CL92">
        <f t="shared" si="17"/>
        <v>13</v>
      </c>
      <c r="FC92">
        <v>89</v>
      </c>
      <c r="FD92">
        <f t="shared" si="10"/>
        <v>9</v>
      </c>
      <c r="FE92">
        <f t="shared" si="11"/>
        <v>6</v>
      </c>
      <c r="FF92">
        <f t="shared" si="12"/>
        <v>53</v>
      </c>
      <c r="FI92" s="16">
        <v>89</v>
      </c>
      <c r="FJ92" s="17">
        <f t="shared" si="13"/>
        <v>152</v>
      </c>
      <c r="FK92" s="17">
        <f t="shared" si="14"/>
        <v>53</v>
      </c>
      <c r="FL92" s="18" t="str">
        <f t="shared" si="15"/>
        <v>00110101</v>
      </c>
      <c r="FM92" s="2"/>
    </row>
    <row r="93" spans="1:169">
      <c r="A93" s="23">
        <v>4</v>
      </c>
      <c r="D93" t="str">
        <f>INDEX($A$90:$A$129,ROUNDUP((ROW()-89)/4,0))&amp;"-H"</f>
        <v>1-H</v>
      </c>
      <c r="E93" s="23">
        <v>17</v>
      </c>
      <c r="F93" s="16">
        <v>9</v>
      </c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  <c r="BI93" s="17"/>
      <c r="BJ93" s="17"/>
      <c r="BK93" s="17"/>
      <c r="BL93" s="17"/>
      <c r="BM93" s="17"/>
      <c r="BN93" s="17"/>
      <c r="BO93" s="17"/>
      <c r="BP93" s="17"/>
      <c r="BQ93" s="17"/>
      <c r="BR93" s="17"/>
      <c r="BS93" s="17"/>
      <c r="BT93" s="17"/>
      <c r="BU93" s="17"/>
      <c r="BV93" s="17"/>
      <c r="BW93" s="17"/>
      <c r="BX93" s="17"/>
      <c r="BY93" s="17"/>
      <c r="BZ93" s="17"/>
      <c r="CA93" s="17"/>
      <c r="CB93" s="17"/>
      <c r="CC93" s="17"/>
      <c r="CD93" s="17"/>
      <c r="CE93" s="17"/>
      <c r="CF93" s="17"/>
      <c r="CG93" s="17"/>
      <c r="CH93" s="18"/>
      <c r="CI93">
        <v>0</v>
      </c>
      <c r="CJ93">
        <v>1</v>
      </c>
      <c r="CK93">
        <f t="shared" si="16"/>
        <v>0</v>
      </c>
      <c r="CL93">
        <f t="shared" si="17"/>
        <v>9</v>
      </c>
      <c r="FC93">
        <v>90</v>
      </c>
      <c r="FD93">
        <f t="shared" si="10"/>
        <v>10</v>
      </c>
      <c r="FE93">
        <f t="shared" si="11"/>
        <v>6</v>
      </c>
      <c r="FF93">
        <f t="shared" si="12"/>
        <v>65</v>
      </c>
      <c r="FI93" s="16">
        <v>90</v>
      </c>
      <c r="FJ93" s="17">
        <f t="shared" si="13"/>
        <v>53</v>
      </c>
      <c r="FK93" s="17">
        <f t="shared" si="14"/>
        <v>65</v>
      </c>
      <c r="FL93" s="18" t="str">
        <f t="shared" si="15"/>
        <v>01000001</v>
      </c>
      <c r="FM93" s="2"/>
    </row>
    <row r="94" spans="1:169">
      <c r="A94" s="23">
        <v>5</v>
      </c>
      <c r="D94" t="str">
        <f t="shared" ref="D94" si="18">INDEX($A$90:$A$129,ROUNDUP((ROW()-89)/4,0))&amp;"-L"</f>
        <v>2-L</v>
      </c>
      <c r="E94" s="23">
        <f>44-34</f>
        <v>10</v>
      </c>
      <c r="F94" s="16">
        <v>34</v>
      </c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  <c r="BI94" s="17"/>
      <c r="BJ94" s="17"/>
      <c r="BK94" s="17"/>
      <c r="BL94" s="17"/>
      <c r="BM94" s="17"/>
      <c r="BN94" s="17"/>
      <c r="BO94" s="17"/>
      <c r="BP94" s="17"/>
      <c r="BQ94" s="17"/>
      <c r="BR94" s="17"/>
      <c r="BS94" s="17"/>
      <c r="BT94" s="17"/>
      <c r="BU94" s="17"/>
      <c r="BV94" s="17"/>
      <c r="BW94" s="17"/>
      <c r="BX94" s="17"/>
      <c r="BY94" s="17"/>
      <c r="BZ94" s="17"/>
      <c r="CA94" s="17"/>
      <c r="CB94" s="17"/>
      <c r="CC94" s="17"/>
      <c r="CD94" s="17"/>
      <c r="CE94" s="17"/>
      <c r="CF94" s="17"/>
      <c r="CG94" s="17"/>
      <c r="CH94" s="18"/>
      <c r="CI94">
        <v>0</v>
      </c>
      <c r="CJ94">
        <v>1</v>
      </c>
      <c r="CK94">
        <f t="shared" si="16"/>
        <v>0</v>
      </c>
      <c r="CL94">
        <f t="shared" si="17"/>
        <v>34</v>
      </c>
      <c r="FC94">
        <v>91</v>
      </c>
      <c r="FD94">
        <f t="shared" si="10"/>
        <v>11</v>
      </c>
      <c r="FE94">
        <f t="shared" si="11"/>
        <v>6</v>
      </c>
      <c r="FF94">
        <f t="shared" si="12"/>
        <v>208</v>
      </c>
      <c r="FI94" s="16">
        <v>91</v>
      </c>
      <c r="FJ94" s="17">
        <f t="shared" si="13"/>
        <v>92</v>
      </c>
      <c r="FK94" s="17">
        <f t="shared" si="14"/>
        <v>208</v>
      </c>
      <c r="FL94" s="18" t="str">
        <f t="shared" si="15"/>
        <v>11010000</v>
      </c>
      <c r="FM94" s="2"/>
    </row>
    <row r="95" spans="1:169">
      <c r="A95" s="23">
        <v>6</v>
      </c>
      <c r="D95" t="str">
        <f t="shared" ref="D95" si="19">INDEX($A$90:$A$129,ROUNDUP((ROW()-89)/4,0))&amp;"-M"</f>
        <v>2-M</v>
      </c>
      <c r="E95" s="23">
        <f>44-28</f>
        <v>16</v>
      </c>
      <c r="F95" s="16">
        <v>28</v>
      </c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  <c r="AX95" s="17"/>
      <c r="AY95" s="17"/>
      <c r="AZ95" s="17"/>
      <c r="BA95" s="17"/>
      <c r="BB95" s="17"/>
      <c r="BC95" s="17"/>
      <c r="BD95" s="17"/>
      <c r="BE95" s="17"/>
      <c r="BF95" s="17"/>
      <c r="BG95" s="17"/>
      <c r="BH95" s="17"/>
      <c r="BI95" s="17"/>
      <c r="BJ95" s="17"/>
      <c r="BK95" s="17"/>
      <c r="BL95" s="17"/>
      <c r="BM95" s="17"/>
      <c r="BN95" s="17"/>
      <c r="BO95" s="17"/>
      <c r="BP95" s="17"/>
      <c r="BQ95" s="17"/>
      <c r="BR95" s="17"/>
      <c r="BS95" s="17"/>
      <c r="BT95" s="17"/>
      <c r="BU95" s="17"/>
      <c r="BV95" s="17"/>
      <c r="BW95" s="17"/>
      <c r="BX95" s="17"/>
      <c r="BY95" s="17"/>
      <c r="BZ95" s="17"/>
      <c r="CA95" s="17"/>
      <c r="CB95" s="17"/>
      <c r="CC95" s="17"/>
      <c r="CD95" s="17"/>
      <c r="CE95" s="17"/>
      <c r="CF95" s="17"/>
      <c r="CG95" s="17"/>
      <c r="CH95" s="18"/>
      <c r="CI95">
        <v>0</v>
      </c>
      <c r="CJ95">
        <v>1</v>
      </c>
      <c r="CK95">
        <f t="shared" si="16"/>
        <v>0</v>
      </c>
      <c r="CL95">
        <f t="shared" si="17"/>
        <v>28</v>
      </c>
      <c r="FC95">
        <v>92</v>
      </c>
      <c r="FD95">
        <f t="shared" si="10"/>
        <v>12</v>
      </c>
      <c r="FE95">
        <f t="shared" si="11"/>
        <v>6</v>
      </c>
      <c r="FF95">
        <f t="shared" si="12"/>
        <v>228</v>
      </c>
      <c r="FI95" s="16">
        <v>92</v>
      </c>
      <c r="FJ95" s="17">
        <f t="shared" si="13"/>
        <v>200</v>
      </c>
      <c r="FK95" s="17">
        <f t="shared" si="14"/>
        <v>228</v>
      </c>
      <c r="FL95" s="18" t="str">
        <f t="shared" si="15"/>
        <v>11100100</v>
      </c>
      <c r="FM95" s="2"/>
    </row>
    <row r="96" spans="1:169">
      <c r="A96" s="23">
        <v>7</v>
      </c>
      <c r="D96" t="str">
        <f t="shared" ref="D96" si="20">INDEX($A$90:$A$129,ROUNDUP((ROW()-89)/4,0))&amp;"-Q"</f>
        <v>2-Q</v>
      </c>
      <c r="E96" s="23">
        <f>22</f>
        <v>22</v>
      </c>
      <c r="F96" s="16">
        <v>22</v>
      </c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  <c r="AX96" s="17"/>
      <c r="AY96" s="17"/>
      <c r="AZ96" s="17"/>
      <c r="BA96" s="17"/>
      <c r="BB96" s="17"/>
      <c r="BC96" s="17"/>
      <c r="BD96" s="17"/>
      <c r="BE96" s="17"/>
      <c r="BF96" s="17"/>
      <c r="BG96" s="17"/>
      <c r="BH96" s="17"/>
      <c r="BI96" s="17"/>
      <c r="BJ96" s="17"/>
      <c r="BK96" s="17"/>
      <c r="BL96" s="17"/>
      <c r="BM96" s="17"/>
      <c r="BN96" s="17"/>
      <c r="BO96" s="17"/>
      <c r="BP96" s="17"/>
      <c r="BQ96" s="17"/>
      <c r="BR96" s="17"/>
      <c r="BS96" s="17"/>
      <c r="BT96" s="17"/>
      <c r="BU96" s="17"/>
      <c r="BV96" s="17"/>
      <c r="BW96" s="17"/>
      <c r="BX96" s="17"/>
      <c r="BY96" s="17"/>
      <c r="BZ96" s="17"/>
      <c r="CA96" s="17"/>
      <c r="CB96" s="17"/>
      <c r="CC96" s="17"/>
      <c r="CD96" s="17"/>
      <c r="CE96" s="17"/>
      <c r="CF96" s="17"/>
      <c r="CG96" s="17"/>
      <c r="CH96" s="18"/>
      <c r="CI96">
        <v>0</v>
      </c>
      <c r="CJ96">
        <v>1</v>
      </c>
      <c r="CK96">
        <f t="shared" si="16"/>
        <v>0</v>
      </c>
      <c r="CL96">
        <f t="shared" si="17"/>
        <v>22</v>
      </c>
      <c r="FC96">
        <v>93</v>
      </c>
      <c r="FD96">
        <f t="shared" si="10"/>
        <v>13</v>
      </c>
      <c r="FE96">
        <f t="shared" si="11"/>
        <v>6</v>
      </c>
      <c r="FF96">
        <f t="shared" si="12"/>
        <v>122</v>
      </c>
      <c r="FI96" s="16">
        <v>93</v>
      </c>
      <c r="FJ96" s="17">
        <f t="shared" si="13"/>
        <v>205</v>
      </c>
      <c r="FK96" s="17">
        <f t="shared" si="14"/>
        <v>122</v>
      </c>
      <c r="FL96" s="18" t="str">
        <f t="shared" si="15"/>
        <v>01111010</v>
      </c>
      <c r="FM96" s="2"/>
    </row>
    <row r="97" spans="1:169">
      <c r="A97" s="23">
        <v>8</v>
      </c>
      <c r="D97" t="str">
        <f t="shared" ref="D97" si="21">INDEX($A$90:$A$129,ROUNDUP((ROW()-89)/4,0))&amp;"-H"</f>
        <v>2-H</v>
      </c>
      <c r="E97" s="23">
        <f>44-16</f>
        <v>28</v>
      </c>
      <c r="F97" s="16">
        <v>16</v>
      </c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  <c r="AX97" s="17"/>
      <c r="AY97" s="17"/>
      <c r="AZ97" s="17"/>
      <c r="BA97" s="17"/>
      <c r="BB97" s="17"/>
      <c r="BC97" s="17"/>
      <c r="BD97" s="17"/>
      <c r="BE97" s="17"/>
      <c r="BF97" s="17"/>
      <c r="BG97" s="17"/>
      <c r="BH97" s="17"/>
      <c r="BI97" s="17"/>
      <c r="BJ97" s="17"/>
      <c r="BK97" s="17"/>
      <c r="BL97" s="17"/>
      <c r="BM97" s="17"/>
      <c r="BN97" s="17"/>
      <c r="BO97" s="17"/>
      <c r="BP97" s="17"/>
      <c r="BQ97" s="17"/>
      <c r="BR97" s="17"/>
      <c r="BS97" s="17"/>
      <c r="BT97" s="17"/>
      <c r="BU97" s="17"/>
      <c r="BV97" s="17"/>
      <c r="BW97" s="17"/>
      <c r="BX97" s="17"/>
      <c r="BY97" s="17"/>
      <c r="BZ97" s="17"/>
      <c r="CA97" s="17"/>
      <c r="CB97" s="17"/>
      <c r="CC97" s="17"/>
      <c r="CD97" s="17"/>
      <c r="CE97" s="17"/>
      <c r="CF97" s="17"/>
      <c r="CG97" s="17"/>
      <c r="CH97" s="18"/>
      <c r="CI97">
        <v>0</v>
      </c>
      <c r="CJ97">
        <v>1</v>
      </c>
      <c r="CK97">
        <f t="shared" si="16"/>
        <v>0</v>
      </c>
      <c r="CL97">
        <f t="shared" si="17"/>
        <v>16</v>
      </c>
      <c r="FC97">
        <v>94</v>
      </c>
      <c r="FD97">
        <f t="shared" si="10"/>
        <v>14</v>
      </c>
      <c r="FE97">
        <f t="shared" si="11"/>
        <v>6</v>
      </c>
      <c r="FF97">
        <f t="shared" si="12"/>
        <v>224</v>
      </c>
      <c r="FI97" s="16">
        <v>94</v>
      </c>
      <c r="FJ97" s="17">
        <f t="shared" si="13"/>
        <v>25</v>
      </c>
      <c r="FK97" s="17">
        <f t="shared" si="14"/>
        <v>224</v>
      </c>
      <c r="FL97" s="18" t="str">
        <f t="shared" si="15"/>
        <v>11100000</v>
      </c>
      <c r="FM97" s="2"/>
    </row>
    <row r="98" spans="1:169">
      <c r="A98" s="23">
        <v>9</v>
      </c>
      <c r="D98" t="str">
        <f t="shared" ref="D98:D102" si="22">INDEX($A$90:$A$129,ROUNDUP((ROW()-89)/4,0))&amp;"-L"</f>
        <v>3-L</v>
      </c>
      <c r="E98" s="23">
        <f>70-55</f>
        <v>15</v>
      </c>
      <c r="F98" s="16">
        <v>55</v>
      </c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  <c r="AX98" s="17"/>
      <c r="AY98" s="17"/>
      <c r="AZ98" s="17"/>
      <c r="BA98" s="17"/>
      <c r="BB98" s="17"/>
      <c r="BC98" s="17"/>
      <c r="BD98" s="17"/>
      <c r="BE98" s="17"/>
      <c r="BF98" s="17"/>
      <c r="BG98" s="17"/>
      <c r="BH98" s="17"/>
      <c r="BI98" s="17"/>
      <c r="BJ98" s="17"/>
      <c r="BK98" s="17"/>
      <c r="BL98" s="17"/>
      <c r="BM98" s="17"/>
      <c r="BN98" s="17"/>
      <c r="BO98" s="17"/>
      <c r="BP98" s="17"/>
      <c r="BQ98" s="17"/>
      <c r="BR98" s="17"/>
      <c r="BS98" s="17"/>
      <c r="BT98" s="17"/>
      <c r="BU98" s="17"/>
      <c r="BV98" s="17"/>
      <c r="BW98" s="17"/>
      <c r="BX98" s="17"/>
      <c r="BY98" s="17"/>
      <c r="BZ98" s="17"/>
      <c r="CA98" s="17"/>
      <c r="CB98" s="17"/>
      <c r="CC98" s="17"/>
      <c r="CD98" s="17"/>
      <c r="CE98" s="17"/>
      <c r="CF98" s="17"/>
      <c r="CG98" s="17"/>
      <c r="CH98" s="18"/>
      <c r="CI98">
        <v>0</v>
      </c>
      <c r="CJ98">
        <v>1</v>
      </c>
      <c r="CK98">
        <f t="shared" si="16"/>
        <v>0</v>
      </c>
      <c r="CL98">
        <f t="shared" si="17"/>
        <v>55</v>
      </c>
      <c r="FC98">
        <v>95</v>
      </c>
      <c r="FD98">
        <f t="shared" si="10"/>
        <v>15</v>
      </c>
      <c r="FE98">
        <f t="shared" si="11"/>
        <v>6</v>
      </c>
      <c r="FF98">
        <f t="shared" si="12"/>
        <v>17</v>
      </c>
      <c r="FI98" s="16">
        <v>95</v>
      </c>
      <c r="FJ98" s="17">
        <f t="shared" si="13"/>
        <v>29</v>
      </c>
      <c r="FK98" s="17">
        <f t="shared" si="14"/>
        <v>17</v>
      </c>
      <c r="FL98" s="18" t="str">
        <f t="shared" si="15"/>
        <v>00010001</v>
      </c>
      <c r="FM98" s="2"/>
    </row>
    <row r="99" spans="1:169">
      <c r="A99" s="23">
        <v>10</v>
      </c>
      <c r="D99" t="str">
        <f t="shared" ref="D99:D103" si="23">INDEX($A$90:$A$129,ROUNDUP((ROW()-89)/4,0))&amp;"-M"</f>
        <v>3-M</v>
      </c>
      <c r="E99" s="23">
        <f>70-44</f>
        <v>26</v>
      </c>
      <c r="F99" s="16">
        <v>44</v>
      </c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  <c r="AX99" s="17"/>
      <c r="AY99" s="17"/>
      <c r="AZ99" s="17"/>
      <c r="BA99" s="17"/>
      <c r="BB99" s="17"/>
      <c r="BC99" s="17"/>
      <c r="BD99" s="17"/>
      <c r="BE99" s="17"/>
      <c r="BF99" s="17"/>
      <c r="BG99" s="17"/>
      <c r="BH99" s="17"/>
      <c r="BI99" s="17"/>
      <c r="BJ99" s="17"/>
      <c r="BK99" s="17"/>
      <c r="BL99" s="17"/>
      <c r="BM99" s="17"/>
      <c r="BN99" s="17"/>
      <c r="BO99" s="17"/>
      <c r="BP99" s="17"/>
      <c r="BQ99" s="17"/>
      <c r="BR99" s="17"/>
      <c r="BS99" s="17"/>
      <c r="BT99" s="17"/>
      <c r="BU99" s="17"/>
      <c r="BV99" s="17"/>
      <c r="BW99" s="17"/>
      <c r="BX99" s="17"/>
      <c r="BY99" s="17"/>
      <c r="BZ99" s="17"/>
      <c r="CA99" s="17"/>
      <c r="CB99" s="17"/>
      <c r="CC99" s="17"/>
      <c r="CD99" s="17"/>
      <c r="CE99" s="17"/>
      <c r="CF99" s="17"/>
      <c r="CG99" s="17"/>
      <c r="CH99" s="18"/>
      <c r="CI99">
        <v>0</v>
      </c>
      <c r="CJ99">
        <v>1</v>
      </c>
      <c r="CK99">
        <f t="shared" si="16"/>
        <v>0</v>
      </c>
      <c r="CL99">
        <f t="shared" si="17"/>
        <v>44</v>
      </c>
      <c r="FC99">
        <v>96</v>
      </c>
      <c r="FD99">
        <f t="shared" si="10"/>
        <v>16</v>
      </c>
      <c r="FE99">
        <f t="shared" si="11"/>
        <v>6</v>
      </c>
      <c r="FF99" t="str">
        <f t="shared" si="12"/>
        <v/>
      </c>
      <c r="FI99" s="16">
        <v>96</v>
      </c>
      <c r="FJ99" s="17">
        <f t="shared" si="13"/>
        <v>0</v>
      </c>
      <c r="FK99" s="17" t="str">
        <f t="shared" si="14"/>
        <v/>
      </c>
      <c r="FL99" s="18" t="str">
        <f t="shared" si="15"/>
        <v/>
      </c>
      <c r="FM99" s="2"/>
    </row>
    <row r="100" spans="1:169">
      <c r="A100" s="23">
        <v>11</v>
      </c>
      <c r="D100" t="str">
        <f t="shared" ref="D100:D104" si="24">INDEX($A$90:$A$129,ROUNDUP((ROW()-89)/4,0))&amp;"-Q"</f>
        <v>3-Q</v>
      </c>
      <c r="E100" s="23">
        <f>35-17</f>
        <v>18</v>
      </c>
      <c r="F100" s="16">
        <v>35</v>
      </c>
      <c r="G100" s="17">
        <v>35</v>
      </c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  <c r="AX100" s="17"/>
      <c r="AY100" s="17"/>
      <c r="AZ100" s="17"/>
      <c r="BA100" s="17"/>
      <c r="BB100" s="17"/>
      <c r="BC100" s="17"/>
      <c r="BD100" s="17"/>
      <c r="BE100" s="17"/>
      <c r="BF100" s="17"/>
      <c r="BG100" s="17"/>
      <c r="BH100" s="17"/>
      <c r="BI100" s="17"/>
      <c r="BJ100" s="17"/>
      <c r="BK100" s="17"/>
      <c r="BL100" s="17"/>
      <c r="BM100" s="17"/>
      <c r="BN100" s="17"/>
      <c r="BO100" s="17"/>
      <c r="BP100" s="17"/>
      <c r="BQ100" s="17"/>
      <c r="BR100" s="17"/>
      <c r="BS100" s="17"/>
      <c r="BT100" s="17"/>
      <c r="BU100" s="17"/>
      <c r="BV100" s="17"/>
      <c r="BW100" s="17"/>
      <c r="BX100" s="17"/>
      <c r="BY100" s="17"/>
      <c r="BZ100" s="17"/>
      <c r="CA100" s="17"/>
      <c r="CB100" s="17"/>
      <c r="CC100" s="17"/>
      <c r="CD100" s="17"/>
      <c r="CE100" s="17"/>
      <c r="CF100" s="17"/>
      <c r="CG100" s="17"/>
      <c r="CH100" s="18"/>
      <c r="CI100">
        <v>0</v>
      </c>
      <c r="CJ100">
        <v>2</v>
      </c>
      <c r="CK100">
        <f t="shared" si="16"/>
        <v>0</v>
      </c>
      <c r="CL100">
        <f t="shared" si="17"/>
        <v>35</v>
      </c>
      <c r="FC100">
        <v>97</v>
      </c>
      <c r="FD100">
        <f t="shared" si="10"/>
        <v>1</v>
      </c>
      <c r="FE100">
        <f t="shared" si="11"/>
        <v>7</v>
      </c>
      <c r="FF100">
        <f t="shared" si="12"/>
        <v>0</v>
      </c>
      <c r="FI100" s="16">
        <v>97</v>
      </c>
      <c r="FJ100" s="17">
        <f t="shared" si="13"/>
        <v>113</v>
      </c>
      <c r="FK100" s="17">
        <f t="shared" si="14"/>
        <v>0</v>
      </c>
      <c r="FL100" s="18" t="str">
        <f t="shared" si="15"/>
        <v>00000000</v>
      </c>
      <c r="FM100" s="2"/>
    </row>
    <row r="101" spans="1:169">
      <c r="A101" s="23">
        <v>12</v>
      </c>
      <c r="D101" t="str">
        <f t="shared" ref="D101:D105" si="25">INDEX($A$90:$A$129,ROUNDUP((ROW()-89)/4,0))&amp;"-H"</f>
        <v>3-H</v>
      </c>
      <c r="E101" s="23">
        <f>35-13</f>
        <v>22</v>
      </c>
      <c r="F101" s="16">
        <v>35</v>
      </c>
      <c r="G101" s="17">
        <v>35</v>
      </c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  <c r="BI101" s="17"/>
      <c r="BJ101" s="17"/>
      <c r="BK101" s="17"/>
      <c r="BL101" s="17"/>
      <c r="BM101" s="17"/>
      <c r="BN101" s="17"/>
      <c r="BO101" s="17"/>
      <c r="BP101" s="17"/>
      <c r="BQ101" s="17"/>
      <c r="BR101" s="17"/>
      <c r="BS101" s="17"/>
      <c r="BT101" s="17"/>
      <c r="BU101" s="17"/>
      <c r="BV101" s="17"/>
      <c r="BW101" s="17"/>
      <c r="BX101" s="17"/>
      <c r="BY101" s="17"/>
      <c r="BZ101" s="17"/>
      <c r="CA101" s="17"/>
      <c r="CB101" s="17"/>
      <c r="CC101" s="17"/>
      <c r="CD101" s="17"/>
      <c r="CE101" s="17"/>
      <c r="CF101" s="17"/>
      <c r="CG101" s="17"/>
      <c r="CH101" s="18"/>
      <c r="CI101">
        <v>0</v>
      </c>
      <c r="CJ101">
        <v>2</v>
      </c>
      <c r="CK101">
        <f t="shared" si="16"/>
        <v>0</v>
      </c>
      <c r="CL101">
        <f t="shared" si="17"/>
        <v>35</v>
      </c>
      <c r="FC101">
        <v>98</v>
      </c>
      <c r="FD101">
        <f t="shared" si="10"/>
        <v>2</v>
      </c>
      <c r="FE101">
        <f t="shared" si="11"/>
        <v>7</v>
      </c>
      <c r="FF101">
        <f t="shared" si="12"/>
        <v>82</v>
      </c>
      <c r="FI101" s="16">
        <v>98</v>
      </c>
      <c r="FJ101" s="17">
        <f t="shared" si="13"/>
        <v>109</v>
      </c>
      <c r="FK101" s="17">
        <f t="shared" si="14"/>
        <v>82</v>
      </c>
      <c r="FL101" s="18" t="str">
        <f t="shared" si="15"/>
        <v>01010010</v>
      </c>
      <c r="FM101" s="2"/>
    </row>
    <row r="102" spans="1:169">
      <c r="A102" s="23">
        <v>13</v>
      </c>
      <c r="D102" t="str">
        <f t="shared" si="22"/>
        <v>4-L</v>
      </c>
      <c r="E102" s="23">
        <v>20</v>
      </c>
      <c r="F102" s="16">
        <v>80</v>
      </c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  <c r="AX102" s="17"/>
      <c r="AY102" s="17"/>
      <c r="AZ102" s="17"/>
      <c r="BA102" s="17"/>
      <c r="BB102" s="17"/>
      <c r="BC102" s="17"/>
      <c r="BD102" s="17"/>
      <c r="BE102" s="17"/>
      <c r="BF102" s="17"/>
      <c r="BG102" s="17"/>
      <c r="BH102" s="17"/>
      <c r="BI102" s="17"/>
      <c r="BJ102" s="17"/>
      <c r="BK102" s="17"/>
      <c r="BL102" s="17"/>
      <c r="BM102" s="17"/>
      <c r="BN102" s="17"/>
      <c r="BO102" s="17"/>
      <c r="BP102" s="17"/>
      <c r="BQ102" s="17"/>
      <c r="BR102" s="17"/>
      <c r="BS102" s="17"/>
      <c r="BT102" s="17"/>
      <c r="BU102" s="17"/>
      <c r="BV102" s="17"/>
      <c r="BW102" s="17"/>
      <c r="BX102" s="17"/>
      <c r="BY102" s="17"/>
      <c r="BZ102" s="17"/>
      <c r="CA102" s="17"/>
      <c r="CB102" s="17"/>
      <c r="CC102" s="17"/>
      <c r="CD102" s="17"/>
      <c r="CE102" s="17"/>
      <c r="CF102" s="17"/>
      <c r="CG102" s="17"/>
      <c r="CH102" s="18"/>
      <c r="CI102">
        <v>0</v>
      </c>
      <c r="CJ102">
        <v>1</v>
      </c>
      <c r="CK102">
        <f t="shared" si="16"/>
        <v>0</v>
      </c>
      <c r="CL102">
        <f t="shared" si="17"/>
        <v>80</v>
      </c>
      <c r="FC102">
        <v>99</v>
      </c>
      <c r="FD102">
        <f t="shared" si="10"/>
        <v>3</v>
      </c>
      <c r="FE102">
        <f t="shared" si="11"/>
        <v>7</v>
      </c>
      <c r="FF102">
        <f t="shared" si="12"/>
        <v>84</v>
      </c>
      <c r="FI102" s="16">
        <v>99</v>
      </c>
      <c r="FJ102" s="17">
        <f t="shared" si="13"/>
        <v>121</v>
      </c>
      <c r="FK102" s="17">
        <f t="shared" si="14"/>
        <v>84</v>
      </c>
      <c r="FL102" s="18" t="str">
        <f t="shared" si="15"/>
        <v>01010100</v>
      </c>
      <c r="FM102" s="2"/>
    </row>
    <row r="103" spans="1:169">
      <c r="A103" s="23">
        <v>14</v>
      </c>
      <c r="D103" t="str">
        <f t="shared" si="23"/>
        <v>4-M</v>
      </c>
      <c r="E103" s="23">
        <f>50-32</f>
        <v>18</v>
      </c>
      <c r="F103" s="16">
        <v>32</v>
      </c>
      <c r="G103" s="17">
        <v>32</v>
      </c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17"/>
      <c r="BB103" s="17"/>
      <c r="BC103" s="17"/>
      <c r="BD103" s="17"/>
      <c r="BE103" s="17"/>
      <c r="BF103" s="17"/>
      <c r="BG103" s="17"/>
      <c r="BH103" s="17"/>
      <c r="BI103" s="17"/>
      <c r="BJ103" s="17"/>
      <c r="BK103" s="17"/>
      <c r="BL103" s="17"/>
      <c r="BM103" s="17"/>
      <c r="BN103" s="17"/>
      <c r="BO103" s="17"/>
      <c r="BP103" s="17"/>
      <c r="BQ103" s="17"/>
      <c r="BR103" s="17"/>
      <c r="BS103" s="17"/>
      <c r="BT103" s="17"/>
      <c r="BU103" s="17"/>
      <c r="BV103" s="17"/>
      <c r="BW103" s="17"/>
      <c r="BX103" s="17"/>
      <c r="BY103" s="17"/>
      <c r="BZ103" s="17"/>
      <c r="CA103" s="17"/>
      <c r="CB103" s="17"/>
      <c r="CC103" s="17"/>
      <c r="CD103" s="17"/>
      <c r="CE103" s="17"/>
      <c r="CF103" s="17"/>
      <c r="CG103" s="17"/>
      <c r="CH103" s="18"/>
      <c r="CI103">
        <v>0</v>
      </c>
      <c r="CJ103">
        <v>2</v>
      </c>
      <c r="CK103">
        <f t="shared" si="16"/>
        <v>0</v>
      </c>
      <c r="CL103">
        <f t="shared" si="17"/>
        <v>32</v>
      </c>
      <c r="FC103">
        <v>100</v>
      </c>
      <c r="FD103">
        <f t="shared" si="10"/>
        <v>4</v>
      </c>
      <c r="FE103">
        <f t="shared" si="11"/>
        <v>7</v>
      </c>
      <c r="FF103">
        <f t="shared" si="12"/>
        <v>216</v>
      </c>
      <c r="FI103" s="16">
        <v>100</v>
      </c>
      <c r="FJ103" s="17">
        <f t="shared" si="13"/>
        <v>238</v>
      </c>
      <c r="FK103" s="17">
        <f t="shared" si="14"/>
        <v>216</v>
      </c>
      <c r="FL103" s="18" t="str">
        <f t="shared" si="15"/>
        <v>11011000</v>
      </c>
      <c r="FM103" s="2"/>
    </row>
    <row r="104" spans="1:169">
      <c r="A104" s="23">
        <v>15</v>
      </c>
      <c r="D104" t="str">
        <f t="shared" si="24"/>
        <v>4-Q</v>
      </c>
      <c r="E104" s="23">
        <f>50-24</f>
        <v>26</v>
      </c>
      <c r="F104" s="16">
        <v>24</v>
      </c>
      <c r="G104" s="2">
        <v>24</v>
      </c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  <c r="AX104" s="17"/>
      <c r="AY104" s="17"/>
      <c r="AZ104" s="17"/>
      <c r="BA104" s="17"/>
      <c r="BB104" s="17"/>
      <c r="BC104" s="17"/>
      <c r="BD104" s="17"/>
      <c r="BE104" s="17"/>
      <c r="BF104" s="17"/>
      <c r="BG104" s="17"/>
      <c r="BH104" s="17"/>
      <c r="BI104" s="17"/>
      <c r="BJ104" s="17"/>
      <c r="BK104" s="17"/>
      <c r="BL104" s="17"/>
      <c r="BM104" s="17"/>
      <c r="BN104" s="17"/>
      <c r="BO104" s="17"/>
      <c r="BP104" s="17"/>
      <c r="BQ104" s="17"/>
      <c r="BR104" s="17"/>
      <c r="BS104" s="17"/>
      <c r="BT104" s="17"/>
      <c r="BU104" s="17"/>
      <c r="BV104" s="17"/>
      <c r="BW104" s="17"/>
      <c r="BX104" s="17"/>
      <c r="BY104" s="17"/>
      <c r="BZ104" s="17"/>
      <c r="CA104" s="17"/>
      <c r="CB104" s="17"/>
      <c r="CC104" s="17"/>
      <c r="CD104" s="17"/>
      <c r="CE104" s="17"/>
      <c r="CF104" s="17"/>
      <c r="CG104" s="17"/>
      <c r="CH104" s="18"/>
      <c r="CI104">
        <v>0</v>
      </c>
      <c r="CJ104">
        <v>2</v>
      </c>
      <c r="CK104">
        <f t="shared" si="16"/>
        <v>0</v>
      </c>
      <c r="CL104">
        <f t="shared" si="17"/>
        <v>24</v>
      </c>
      <c r="FC104">
        <v>101</v>
      </c>
      <c r="FD104">
        <f t="shared" si="10"/>
        <v>5</v>
      </c>
      <c r="FE104">
        <f t="shared" si="11"/>
        <v>7</v>
      </c>
      <c r="FF104">
        <f t="shared" si="12"/>
        <v>0</v>
      </c>
      <c r="FI104" s="16">
        <v>101</v>
      </c>
      <c r="FJ104" s="17">
        <f t="shared" si="13"/>
        <v>100</v>
      </c>
      <c r="FK104" s="17">
        <f t="shared" si="14"/>
        <v>0</v>
      </c>
      <c r="FL104" s="18" t="str">
        <f t="shared" si="15"/>
        <v>00000000</v>
      </c>
      <c r="FM104" s="2"/>
    </row>
    <row r="105" spans="1:169">
      <c r="A105" s="23">
        <v>16</v>
      </c>
      <c r="D105" t="str">
        <f t="shared" si="25"/>
        <v>4-H</v>
      </c>
      <c r="E105" s="23">
        <f>25-9</f>
        <v>16</v>
      </c>
      <c r="F105" s="16">
        <v>9</v>
      </c>
      <c r="G105" s="2">
        <v>9</v>
      </c>
      <c r="H105" s="17">
        <v>9</v>
      </c>
      <c r="I105" s="2">
        <v>9</v>
      </c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  <c r="AX105" s="17"/>
      <c r="AY105" s="17"/>
      <c r="AZ105" s="17"/>
      <c r="BA105" s="17"/>
      <c r="BB105" s="17"/>
      <c r="BC105" s="17"/>
      <c r="BD105" s="17"/>
      <c r="BE105" s="17"/>
      <c r="BF105" s="17"/>
      <c r="BG105" s="17"/>
      <c r="BH105" s="17"/>
      <c r="BI105" s="17"/>
      <c r="BJ105" s="17"/>
      <c r="BK105" s="17"/>
      <c r="BL105" s="17"/>
      <c r="BM105" s="17"/>
      <c r="BN105" s="17"/>
      <c r="BO105" s="17"/>
      <c r="BP105" s="17"/>
      <c r="BQ105" s="17"/>
      <c r="BR105" s="17"/>
      <c r="BS105" s="17"/>
      <c r="BT105" s="17"/>
      <c r="BU105" s="17"/>
      <c r="BV105" s="17"/>
      <c r="BW105" s="17"/>
      <c r="BX105" s="17"/>
      <c r="BY105" s="17"/>
      <c r="BZ105" s="17"/>
      <c r="CA105" s="17"/>
      <c r="CB105" s="17"/>
      <c r="CC105" s="17"/>
      <c r="CD105" s="17"/>
      <c r="CE105" s="17"/>
      <c r="CF105" s="17"/>
      <c r="CG105" s="17"/>
      <c r="CH105" s="18"/>
      <c r="CI105">
        <v>0</v>
      </c>
      <c r="CJ105">
        <v>4</v>
      </c>
      <c r="CK105">
        <f t="shared" si="16"/>
        <v>0</v>
      </c>
      <c r="CL105">
        <f t="shared" si="17"/>
        <v>9</v>
      </c>
      <c r="FC105">
        <v>102</v>
      </c>
      <c r="FD105">
        <f t="shared" si="10"/>
        <v>6</v>
      </c>
      <c r="FE105">
        <f t="shared" si="11"/>
        <v>7</v>
      </c>
      <c r="FF105">
        <f t="shared" si="12"/>
        <v>54</v>
      </c>
      <c r="FI105" s="16">
        <v>102</v>
      </c>
      <c r="FJ105" s="17">
        <f t="shared" si="13"/>
        <v>173</v>
      </c>
      <c r="FK105" s="17">
        <f t="shared" si="14"/>
        <v>54</v>
      </c>
      <c r="FL105" s="18" t="str">
        <f t="shared" si="15"/>
        <v>00110110</v>
      </c>
      <c r="FM105" s="2"/>
    </row>
    <row r="106" spans="1:169">
      <c r="A106" s="23">
        <v>17</v>
      </c>
      <c r="D106" t="str">
        <f t="shared" ref="D106:D166" si="26">INDEX($A$90:$A$129,ROUNDUP((ROW()-89)/4,0))&amp;"-L"</f>
        <v>5-L</v>
      </c>
      <c r="E106" s="23">
        <v>26</v>
      </c>
      <c r="F106" s="16">
        <v>108</v>
      </c>
      <c r="G106" s="2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  <c r="AX106" s="17"/>
      <c r="AY106" s="17"/>
      <c r="AZ106" s="17"/>
      <c r="BA106" s="17"/>
      <c r="BB106" s="17"/>
      <c r="BC106" s="17"/>
      <c r="BD106" s="17"/>
      <c r="BE106" s="17"/>
      <c r="BF106" s="17"/>
      <c r="BG106" s="17"/>
      <c r="BH106" s="17"/>
      <c r="BI106" s="17"/>
      <c r="BJ106" s="17"/>
      <c r="BK106" s="17"/>
      <c r="BL106" s="17"/>
      <c r="BM106" s="17"/>
      <c r="BN106" s="17"/>
      <c r="BO106" s="17"/>
      <c r="BP106" s="17"/>
      <c r="BQ106" s="17"/>
      <c r="BR106" s="17"/>
      <c r="BS106" s="17"/>
      <c r="BT106" s="17"/>
      <c r="BU106" s="17"/>
      <c r="BV106" s="17"/>
      <c r="BW106" s="17"/>
      <c r="BX106" s="17"/>
      <c r="BY106" s="17"/>
      <c r="BZ106" s="17"/>
      <c r="CA106" s="17"/>
      <c r="CB106" s="17"/>
      <c r="CC106" s="17"/>
      <c r="CD106" s="17"/>
      <c r="CE106" s="17"/>
      <c r="CF106" s="17"/>
      <c r="CG106" s="17"/>
      <c r="CH106" s="18"/>
      <c r="CI106">
        <v>0</v>
      </c>
      <c r="CJ106">
        <v>1</v>
      </c>
      <c r="CK106">
        <f t="shared" si="16"/>
        <v>0</v>
      </c>
      <c r="CL106">
        <f t="shared" si="17"/>
        <v>108</v>
      </c>
      <c r="FC106">
        <v>103</v>
      </c>
      <c r="FD106">
        <f t="shared" si="10"/>
        <v>7</v>
      </c>
      <c r="FE106">
        <f t="shared" si="11"/>
        <v>7</v>
      </c>
      <c r="FF106">
        <f t="shared" si="12"/>
        <v>175</v>
      </c>
      <c r="FI106" s="16">
        <v>103</v>
      </c>
      <c r="FJ106" s="17">
        <f t="shared" si="13"/>
        <v>160</v>
      </c>
      <c r="FK106" s="17">
        <f t="shared" si="14"/>
        <v>175</v>
      </c>
      <c r="FL106" s="18" t="str">
        <f t="shared" si="15"/>
        <v>10101111</v>
      </c>
      <c r="FM106" s="2"/>
    </row>
    <row r="107" spans="1:169">
      <c r="A107" s="23">
        <v>18</v>
      </c>
      <c r="D107" t="str">
        <f t="shared" ref="D107:D167" si="27">INDEX($A$90:$A$129,ROUNDUP((ROW()-89)/4,0))&amp;"-M"</f>
        <v>5-M</v>
      </c>
      <c r="E107" s="23">
        <v>24</v>
      </c>
      <c r="F107" s="16">
        <v>43</v>
      </c>
      <c r="G107" s="2">
        <v>43</v>
      </c>
      <c r="H107" s="17"/>
      <c r="I107" s="2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  <c r="AX107" s="17"/>
      <c r="AY107" s="17"/>
      <c r="AZ107" s="17"/>
      <c r="BA107" s="17"/>
      <c r="BB107" s="17"/>
      <c r="BC107" s="17"/>
      <c r="BD107" s="17"/>
      <c r="BE107" s="17"/>
      <c r="BF107" s="17"/>
      <c r="BG107" s="17"/>
      <c r="BH107" s="17"/>
      <c r="BI107" s="17"/>
      <c r="BJ107" s="17"/>
      <c r="BK107" s="17"/>
      <c r="BL107" s="17"/>
      <c r="BM107" s="17"/>
      <c r="BN107" s="17"/>
      <c r="BO107" s="17"/>
      <c r="BP107" s="17"/>
      <c r="BQ107" s="17"/>
      <c r="BR107" s="17"/>
      <c r="BS107" s="17"/>
      <c r="BT107" s="17"/>
      <c r="BU107" s="17"/>
      <c r="BV107" s="17"/>
      <c r="BW107" s="17"/>
      <c r="BX107" s="17"/>
      <c r="BY107" s="17"/>
      <c r="BZ107" s="17"/>
      <c r="CA107" s="17"/>
      <c r="CB107" s="17"/>
      <c r="CC107" s="17"/>
      <c r="CD107" s="17"/>
      <c r="CE107" s="17"/>
      <c r="CF107" s="17"/>
      <c r="CG107" s="17"/>
      <c r="CH107" s="18"/>
      <c r="CI107">
        <v>0</v>
      </c>
      <c r="CJ107">
        <v>2</v>
      </c>
      <c r="CK107">
        <f t="shared" si="16"/>
        <v>0</v>
      </c>
      <c r="CL107">
        <f t="shared" si="17"/>
        <v>43</v>
      </c>
      <c r="FC107">
        <v>104</v>
      </c>
      <c r="FD107">
        <f t="shared" si="10"/>
        <v>8</v>
      </c>
      <c r="FE107">
        <f t="shared" si="11"/>
        <v>7</v>
      </c>
      <c r="FF107">
        <f t="shared" si="12"/>
        <v>20</v>
      </c>
      <c r="FI107" s="16">
        <v>104</v>
      </c>
      <c r="FJ107" s="17">
        <f t="shared" si="13"/>
        <v>6</v>
      </c>
      <c r="FK107" s="17">
        <f t="shared" si="14"/>
        <v>20</v>
      </c>
      <c r="FL107" s="18" t="str">
        <f t="shared" si="15"/>
        <v>00010100</v>
      </c>
      <c r="FM107" s="2"/>
    </row>
    <row r="108" spans="1:169">
      <c r="A108" s="23">
        <v>19</v>
      </c>
      <c r="D108" t="str">
        <f t="shared" ref="D108:D168" si="28">INDEX($A$90:$A$129,ROUNDUP((ROW()-89)/4,0))&amp;"-Q"</f>
        <v>5-Q</v>
      </c>
      <c r="E108" s="23">
        <v>18</v>
      </c>
      <c r="F108" s="16">
        <v>15</v>
      </c>
      <c r="G108" s="2">
        <v>15</v>
      </c>
      <c r="H108" s="17">
        <v>16</v>
      </c>
      <c r="I108" s="2">
        <v>16</v>
      </c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  <c r="AX108" s="17"/>
      <c r="AY108" s="17"/>
      <c r="AZ108" s="17"/>
      <c r="BA108" s="17"/>
      <c r="BB108" s="17"/>
      <c r="BC108" s="17"/>
      <c r="BD108" s="17"/>
      <c r="BE108" s="17"/>
      <c r="BF108" s="17"/>
      <c r="BG108" s="17"/>
      <c r="BH108" s="17"/>
      <c r="BI108" s="17"/>
      <c r="BJ108" s="17"/>
      <c r="BK108" s="17"/>
      <c r="BL108" s="17"/>
      <c r="BM108" s="17"/>
      <c r="BN108" s="17"/>
      <c r="BO108" s="17"/>
      <c r="BP108" s="17"/>
      <c r="BQ108" s="17"/>
      <c r="BR108" s="17"/>
      <c r="BS108" s="17"/>
      <c r="BT108" s="17"/>
      <c r="BU108" s="17"/>
      <c r="BV108" s="17"/>
      <c r="BW108" s="17"/>
      <c r="BX108" s="17"/>
      <c r="BY108" s="17"/>
      <c r="BZ108" s="17"/>
      <c r="CA108" s="17"/>
      <c r="CB108" s="17"/>
      <c r="CC108" s="17"/>
      <c r="CD108" s="17"/>
      <c r="CE108" s="17"/>
      <c r="CF108" s="17"/>
      <c r="CG108" s="17"/>
      <c r="CH108" s="18"/>
      <c r="CI108">
        <v>2</v>
      </c>
      <c r="CJ108">
        <v>2</v>
      </c>
      <c r="CK108">
        <f t="shared" si="16"/>
        <v>15</v>
      </c>
      <c r="CL108">
        <f t="shared" si="17"/>
        <v>16</v>
      </c>
      <c r="FC108">
        <v>105</v>
      </c>
      <c r="FD108">
        <f t="shared" si="10"/>
        <v>9</v>
      </c>
      <c r="FE108">
        <f t="shared" si="11"/>
        <v>7</v>
      </c>
      <c r="FF108">
        <f t="shared" si="12"/>
        <v>20</v>
      </c>
      <c r="FI108" s="16">
        <v>105</v>
      </c>
      <c r="FJ108" s="17">
        <f t="shared" si="13"/>
        <v>176</v>
      </c>
      <c r="FK108" s="17">
        <f t="shared" si="14"/>
        <v>20</v>
      </c>
      <c r="FL108" s="18" t="str">
        <f t="shared" si="15"/>
        <v>00010100</v>
      </c>
      <c r="FM108" s="2"/>
    </row>
    <row r="109" spans="1:169">
      <c r="A109" s="23">
        <v>20</v>
      </c>
      <c r="D109" t="str">
        <f t="shared" ref="D109:D169" si="29">INDEX($A$90:$A$129,ROUNDUP((ROW()-89)/4,0))&amp;"-H"</f>
        <v>5-H</v>
      </c>
      <c r="E109" s="23">
        <v>22</v>
      </c>
      <c r="F109" s="16">
        <v>11</v>
      </c>
      <c r="G109" s="2">
        <v>11</v>
      </c>
      <c r="H109" s="2">
        <v>12</v>
      </c>
      <c r="I109" s="2">
        <v>12</v>
      </c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  <c r="AX109" s="17"/>
      <c r="AY109" s="17"/>
      <c r="AZ109" s="17"/>
      <c r="BA109" s="17"/>
      <c r="BB109" s="17"/>
      <c r="BC109" s="17"/>
      <c r="BD109" s="17"/>
      <c r="BE109" s="17"/>
      <c r="BF109" s="17"/>
      <c r="BG109" s="17"/>
      <c r="BH109" s="17"/>
      <c r="BI109" s="17"/>
      <c r="BJ109" s="17"/>
      <c r="BK109" s="17"/>
      <c r="BL109" s="17"/>
      <c r="BM109" s="17"/>
      <c r="BN109" s="17"/>
      <c r="BO109" s="17"/>
      <c r="BP109" s="17"/>
      <c r="BQ109" s="17"/>
      <c r="BR109" s="17"/>
      <c r="BS109" s="17"/>
      <c r="BT109" s="17"/>
      <c r="BU109" s="17"/>
      <c r="BV109" s="17"/>
      <c r="BW109" s="17"/>
      <c r="BX109" s="17"/>
      <c r="BY109" s="17"/>
      <c r="BZ109" s="17"/>
      <c r="CA109" s="17"/>
      <c r="CB109" s="17"/>
      <c r="CC109" s="17"/>
      <c r="CD109" s="17"/>
      <c r="CE109" s="17"/>
      <c r="CF109" s="17"/>
      <c r="CG109" s="17"/>
      <c r="CH109" s="18"/>
      <c r="CI109">
        <v>2</v>
      </c>
      <c r="CJ109">
        <v>2</v>
      </c>
      <c r="CK109">
        <f t="shared" si="16"/>
        <v>11</v>
      </c>
      <c r="CL109">
        <f t="shared" si="17"/>
        <v>12</v>
      </c>
      <c r="FC109">
        <v>106</v>
      </c>
      <c r="FD109">
        <f t="shared" si="10"/>
        <v>10</v>
      </c>
      <c r="FE109">
        <f t="shared" si="11"/>
        <v>7</v>
      </c>
      <c r="FF109">
        <f t="shared" si="12"/>
        <v>246</v>
      </c>
      <c r="FI109" s="16">
        <v>106</v>
      </c>
      <c r="FJ109" s="17">
        <f t="shared" si="13"/>
        <v>76</v>
      </c>
      <c r="FK109" s="17">
        <f t="shared" si="14"/>
        <v>246</v>
      </c>
      <c r="FL109" s="18" t="str">
        <f t="shared" si="15"/>
        <v>11110110</v>
      </c>
      <c r="FM109" s="2"/>
    </row>
    <row r="110" spans="1:169">
      <c r="A110" s="23">
        <v>21</v>
      </c>
      <c r="D110" t="str">
        <f t="shared" si="26"/>
        <v>6-L</v>
      </c>
      <c r="E110" s="23">
        <f>86-68</f>
        <v>18</v>
      </c>
      <c r="F110" s="16">
        <v>68</v>
      </c>
      <c r="G110" s="2">
        <v>68</v>
      </c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  <c r="AX110" s="17"/>
      <c r="AY110" s="17"/>
      <c r="AZ110" s="17"/>
      <c r="BA110" s="17"/>
      <c r="BB110" s="17"/>
      <c r="BC110" s="17"/>
      <c r="BD110" s="17"/>
      <c r="BE110" s="17"/>
      <c r="BF110" s="17"/>
      <c r="BG110" s="17"/>
      <c r="BH110" s="17"/>
      <c r="BI110" s="17"/>
      <c r="BJ110" s="17"/>
      <c r="BK110" s="17"/>
      <c r="BL110" s="17"/>
      <c r="BM110" s="17"/>
      <c r="BN110" s="17"/>
      <c r="BO110" s="17"/>
      <c r="BP110" s="17"/>
      <c r="BQ110" s="17"/>
      <c r="BR110" s="17"/>
      <c r="BS110" s="17"/>
      <c r="BT110" s="17"/>
      <c r="BU110" s="17"/>
      <c r="BV110" s="17"/>
      <c r="BW110" s="17"/>
      <c r="BX110" s="17"/>
      <c r="BY110" s="17"/>
      <c r="BZ110" s="17"/>
      <c r="CA110" s="17"/>
      <c r="CB110" s="17"/>
      <c r="CC110" s="17"/>
      <c r="CD110" s="17"/>
      <c r="CE110" s="17"/>
      <c r="CF110" s="17"/>
      <c r="CG110" s="17"/>
      <c r="CH110" s="18"/>
      <c r="CI110">
        <v>0</v>
      </c>
      <c r="CJ110">
        <v>2</v>
      </c>
      <c r="CK110">
        <f t="shared" ref="CK110:CK117" si="30">IF(CI110=0,0,F110)</f>
        <v>0</v>
      </c>
      <c r="CL110">
        <f t="shared" ref="CL110:CL117" si="31">IF(CI110=0,F110,F110+1)</f>
        <v>68</v>
      </c>
      <c r="FC110">
        <v>107</v>
      </c>
      <c r="FD110">
        <f t="shared" si="10"/>
        <v>11</v>
      </c>
      <c r="FE110">
        <f t="shared" si="11"/>
        <v>7</v>
      </c>
      <c r="FF110">
        <f t="shared" si="12"/>
        <v>12</v>
      </c>
      <c r="FI110" s="16">
        <v>107</v>
      </c>
      <c r="FJ110" s="17">
        <f t="shared" si="13"/>
        <v>230</v>
      </c>
      <c r="FK110" s="17">
        <f t="shared" si="14"/>
        <v>12</v>
      </c>
      <c r="FL110" s="18" t="str">
        <f t="shared" si="15"/>
        <v>00001100</v>
      </c>
      <c r="FM110" s="2"/>
    </row>
    <row r="111" spans="1:169">
      <c r="A111" s="23">
        <v>22</v>
      </c>
      <c r="D111" t="str">
        <f t="shared" si="27"/>
        <v>6-M</v>
      </c>
      <c r="E111" s="23">
        <f>43-27</f>
        <v>16</v>
      </c>
      <c r="F111" s="16">
        <v>27</v>
      </c>
      <c r="G111" s="2">
        <v>27</v>
      </c>
      <c r="H111" s="17">
        <v>27</v>
      </c>
      <c r="I111" s="2">
        <v>27</v>
      </c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  <c r="AX111" s="17"/>
      <c r="AY111" s="17"/>
      <c r="AZ111" s="17"/>
      <c r="BA111" s="17"/>
      <c r="BB111" s="17"/>
      <c r="BC111" s="17"/>
      <c r="BD111" s="17"/>
      <c r="BE111" s="17"/>
      <c r="BF111" s="17"/>
      <c r="BG111" s="17"/>
      <c r="BH111" s="17"/>
      <c r="BI111" s="17"/>
      <c r="BJ111" s="17"/>
      <c r="BK111" s="17"/>
      <c r="BL111" s="17"/>
      <c r="BM111" s="17"/>
      <c r="BN111" s="17"/>
      <c r="BO111" s="17"/>
      <c r="BP111" s="17"/>
      <c r="BQ111" s="17"/>
      <c r="BR111" s="17"/>
      <c r="BS111" s="17"/>
      <c r="BT111" s="17"/>
      <c r="BU111" s="17"/>
      <c r="BV111" s="17"/>
      <c r="BW111" s="17"/>
      <c r="BX111" s="17"/>
      <c r="BY111" s="17"/>
      <c r="BZ111" s="17"/>
      <c r="CA111" s="17"/>
      <c r="CB111" s="17"/>
      <c r="CC111" s="17"/>
      <c r="CD111" s="17"/>
      <c r="CE111" s="17"/>
      <c r="CF111" s="17"/>
      <c r="CG111" s="17"/>
      <c r="CH111" s="18"/>
      <c r="CI111">
        <v>0</v>
      </c>
      <c r="CJ111">
        <v>4</v>
      </c>
      <c r="CK111">
        <f t="shared" si="30"/>
        <v>0</v>
      </c>
      <c r="CL111">
        <f t="shared" si="31"/>
        <v>27</v>
      </c>
      <c r="FC111">
        <v>108</v>
      </c>
      <c r="FD111">
        <f t="shared" si="10"/>
        <v>12</v>
      </c>
      <c r="FE111">
        <f t="shared" si="11"/>
        <v>7</v>
      </c>
      <c r="FF111">
        <f t="shared" si="12"/>
        <v>222</v>
      </c>
      <c r="FI111" s="16">
        <v>108</v>
      </c>
      <c r="FJ111" s="17">
        <f t="shared" si="13"/>
        <v>169</v>
      </c>
      <c r="FK111" s="17">
        <f t="shared" si="14"/>
        <v>222</v>
      </c>
      <c r="FL111" s="18" t="str">
        <f t="shared" si="15"/>
        <v>11011110</v>
      </c>
      <c r="FM111" s="2"/>
    </row>
    <row r="112" spans="1:169">
      <c r="A112" s="23">
        <v>23</v>
      </c>
      <c r="D112" t="str">
        <f t="shared" si="28"/>
        <v>6-Q</v>
      </c>
      <c r="E112" s="23">
        <f>43-19</f>
        <v>24</v>
      </c>
      <c r="F112" s="16">
        <v>19</v>
      </c>
      <c r="G112" s="2">
        <v>19</v>
      </c>
      <c r="H112" s="17">
        <v>19</v>
      </c>
      <c r="I112" s="2">
        <v>19</v>
      </c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  <c r="AX112" s="17"/>
      <c r="AY112" s="17"/>
      <c r="AZ112" s="17"/>
      <c r="BA112" s="17"/>
      <c r="BB112" s="17"/>
      <c r="BC112" s="17"/>
      <c r="BD112" s="17"/>
      <c r="BE112" s="17"/>
      <c r="BF112" s="17"/>
      <c r="BG112" s="17"/>
      <c r="BH112" s="17"/>
      <c r="BI112" s="17"/>
      <c r="BJ112" s="17"/>
      <c r="BK112" s="17"/>
      <c r="BL112" s="17"/>
      <c r="BM112" s="17"/>
      <c r="BN112" s="17"/>
      <c r="BO112" s="17"/>
      <c r="BP112" s="17"/>
      <c r="BQ112" s="17"/>
      <c r="BR112" s="17"/>
      <c r="BS112" s="17"/>
      <c r="BT112" s="17"/>
      <c r="BU112" s="17"/>
      <c r="BV112" s="17"/>
      <c r="BW112" s="17"/>
      <c r="BX112" s="17"/>
      <c r="BY112" s="17"/>
      <c r="BZ112" s="17"/>
      <c r="CA112" s="17"/>
      <c r="CB112" s="17"/>
      <c r="CC112" s="17"/>
      <c r="CD112" s="17"/>
      <c r="CE112" s="17"/>
      <c r="CF112" s="17"/>
      <c r="CG112" s="17"/>
      <c r="CH112" s="18"/>
      <c r="CI112">
        <v>0</v>
      </c>
      <c r="CJ112">
        <v>4</v>
      </c>
      <c r="CK112">
        <f t="shared" si="30"/>
        <v>0</v>
      </c>
      <c r="CL112">
        <f t="shared" si="31"/>
        <v>19</v>
      </c>
      <c r="FC112">
        <v>109</v>
      </c>
      <c r="FD112">
        <f t="shared" si="10"/>
        <v>13</v>
      </c>
      <c r="FE112">
        <f t="shared" si="11"/>
        <v>7</v>
      </c>
      <c r="FF112">
        <f t="shared" si="12"/>
        <v>161</v>
      </c>
      <c r="FI112" s="16">
        <v>109</v>
      </c>
      <c r="FJ112" s="17">
        <f t="shared" si="13"/>
        <v>240</v>
      </c>
      <c r="FK112" s="17">
        <f t="shared" si="14"/>
        <v>161</v>
      </c>
      <c r="FL112" s="18" t="str">
        <f t="shared" si="15"/>
        <v>10100001</v>
      </c>
      <c r="FM112" s="2"/>
    </row>
    <row r="113" spans="1:169">
      <c r="A113" s="23">
        <v>24</v>
      </c>
      <c r="D113" s="108" t="str">
        <f t="shared" si="29"/>
        <v>6-H</v>
      </c>
      <c r="E113" s="23">
        <f>43-15</f>
        <v>28</v>
      </c>
      <c r="F113" s="16">
        <v>15</v>
      </c>
      <c r="G113" s="2">
        <v>15</v>
      </c>
      <c r="H113" s="2">
        <v>15</v>
      </c>
      <c r="I113" s="2">
        <v>15</v>
      </c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  <c r="AX113" s="17"/>
      <c r="AY113" s="17"/>
      <c r="AZ113" s="17"/>
      <c r="BA113" s="17"/>
      <c r="BB113" s="17"/>
      <c r="BC113" s="17"/>
      <c r="BD113" s="17"/>
      <c r="BE113" s="17"/>
      <c r="BF113" s="17"/>
      <c r="BG113" s="17"/>
      <c r="BH113" s="17"/>
      <c r="BI113" s="17"/>
      <c r="BJ113" s="17"/>
      <c r="BK113" s="17"/>
      <c r="BL113" s="17"/>
      <c r="BM113" s="17"/>
      <c r="BN113" s="17"/>
      <c r="BO113" s="17"/>
      <c r="BP113" s="17"/>
      <c r="BQ113" s="17"/>
      <c r="BR113" s="17"/>
      <c r="BS113" s="17"/>
      <c r="BT113" s="17"/>
      <c r="BU113" s="17"/>
      <c r="BV113" s="17"/>
      <c r="BW113" s="17"/>
      <c r="BX113" s="17"/>
      <c r="BY113" s="17"/>
      <c r="BZ113" s="17"/>
      <c r="CA113" s="17"/>
      <c r="CB113" s="17"/>
      <c r="CC113" s="17"/>
      <c r="CD113" s="17"/>
      <c r="CE113" s="17"/>
      <c r="CF113" s="17"/>
      <c r="CG113" s="17"/>
      <c r="CH113" s="18"/>
      <c r="CI113">
        <v>0</v>
      </c>
      <c r="CJ113">
        <v>4</v>
      </c>
      <c r="CK113">
        <f t="shared" si="30"/>
        <v>0</v>
      </c>
      <c r="CL113">
        <f t="shared" si="31"/>
        <v>15</v>
      </c>
      <c r="FC113">
        <v>110</v>
      </c>
      <c r="FD113">
        <f t="shared" si="10"/>
        <v>14</v>
      </c>
      <c r="FE113">
        <f t="shared" si="11"/>
        <v>7</v>
      </c>
      <c r="FF113">
        <f t="shared" si="12"/>
        <v>156</v>
      </c>
      <c r="FI113" s="16">
        <v>110</v>
      </c>
      <c r="FJ113" s="17">
        <f t="shared" si="13"/>
        <v>29</v>
      </c>
      <c r="FK113" s="17">
        <f t="shared" si="14"/>
        <v>156</v>
      </c>
      <c r="FL113" s="18" t="str">
        <f t="shared" si="15"/>
        <v>10011100</v>
      </c>
      <c r="FM113" s="2"/>
    </row>
    <row r="114" spans="1:169">
      <c r="A114" s="23">
        <v>25</v>
      </c>
      <c r="D114" t="str">
        <f t="shared" si="26"/>
        <v>7-L</v>
      </c>
      <c r="E114" s="23">
        <v>20</v>
      </c>
      <c r="F114" s="16">
        <v>78</v>
      </c>
      <c r="G114" s="2">
        <v>78</v>
      </c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  <c r="AX114" s="17"/>
      <c r="AY114" s="17"/>
      <c r="AZ114" s="17"/>
      <c r="BA114" s="17"/>
      <c r="BB114" s="17"/>
      <c r="BC114" s="17"/>
      <c r="BD114" s="17"/>
      <c r="BE114" s="17"/>
      <c r="BF114" s="17"/>
      <c r="BG114" s="17"/>
      <c r="BH114" s="17"/>
      <c r="BI114" s="17"/>
      <c r="BJ114" s="17"/>
      <c r="BK114" s="17"/>
      <c r="BL114" s="17"/>
      <c r="BM114" s="17"/>
      <c r="BN114" s="17"/>
      <c r="BO114" s="17"/>
      <c r="BP114" s="17"/>
      <c r="BQ114" s="17"/>
      <c r="BR114" s="17"/>
      <c r="BS114" s="17"/>
      <c r="BT114" s="17"/>
      <c r="BU114" s="17"/>
      <c r="BV114" s="17"/>
      <c r="BW114" s="17"/>
      <c r="BX114" s="17"/>
      <c r="BY114" s="17"/>
      <c r="BZ114" s="17"/>
      <c r="CA114" s="17"/>
      <c r="CB114" s="17"/>
      <c r="CC114" s="17"/>
      <c r="CD114" s="17"/>
      <c r="CE114" s="17"/>
      <c r="CF114" s="17"/>
      <c r="CG114" s="17"/>
      <c r="CH114" s="18"/>
      <c r="CI114">
        <v>0</v>
      </c>
      <c r="CJ114">
        <v>2</v>
      </c>
      <c r="CK114">
        <f t="shared" si="30"/>
        <v>0</v>
      </c>
      <c r="CL114">
        <f t="shared" si="31"/>
        <v>78</v>
      </c>
      <c r="FC114">
        <v>111</v>
      </c>
      <c r="FD114">
        <f t="shared" si="10"/>
        <v>15</v>
      </c>
      <c r="FE114">
        <f t="shared" si="11"/>
        <v>7</v>
      </c>
      <c r="FF114">
        <f t="shared" si="12"/>
        <v>236</v>
      </c>
      <c r="FI114" s="16">
        <v>111</v>
      </c>
      <c r="FJ114" s="17">
        <f t="shared" si="13"/>
        <v>10</v>
      </c>
      <c r="FK114" s="17">
        <f t="shared" si="14"/>
        <v>236</v>
      </c>
      <c r="FL114" s="18" t="str">
        <f t="shared" si="15"/>
        <v>11101100</v>
      </c>
      <c r="FM114" s="2"/>
    </row>
    <row r="115" spans="1:169">
      <c r="A115" s="23">
        <v>26</v>
      </c>
      <c r="D115" t="str">
        <f t="shared" si="27"/>
        <v>7-M</v>
      </c>
      <c r="E115" s="23">
        <v>18</v>
      </c>
      <c r="F115" s="16">
        <v>31</v>
      </c>
      <c r="G115" s="2">
        <v>31</v>
      </c>
      <c r="H115" s="2">
        <v>31</v>
      </c>
      <c r="I115" s="2">
        <v>31</v>
      </c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  <c r="AX115" s="17"/>
      <c r="AY115" s="17"/>
      <c r="AZ115" s="17"/>
      <c r="BA115" s="17"/>
      <c r="BB115" s="17"/>
      <c r="BC115" s="17"/>
      <c r="BD115" s="17"/>
      <c r="BE115" s="17"/>
      <c r="BF115" s="17"/>
      <c r="BG115" s="17"/>
      <c r="BH115" s="17"/>
      <c r="BI115" s="17"/>
      <c r="BJ115" s="17"/>
      <c r="BK115" s="17"/>
      <c r="BL115" s="17"/>
      <c r="BM115" s="17"/>
      <c r="BN115" s="17"/>
      <c r="BO115" s="17"/>
      <c r="BP115" s="17"/>
      <c r="BQ115" s="17"/>
      <c r="BR115" s="17"/>
      <c r="BS115" s="17"/>
      <c r="BT115" s="17"/>
      <c r="BU115" s="17"/>
      <c r="BV115" s="17"/>
      <c r="BW115" s="17"/>
      <c r="BX115" s="17"/>
      <c r="BY115" s="17"/>
      <c r="BZ115" s="17"/>
      <c r="CA115" s="17"/>
      <c r="CB115" s="17"/>
      <c r="CC115" s="17"/>
      <c r="CD115" s="17"/>
      <c r="CE115" s="17"/>
      <c r="CF115" s="17"/>
      <c r="CG115" s="17"/>
      <c r="CH115" s="18"/>
      <c r="CI115">
        <v>0</v>
      </c>
      <c r="CJ115">
        <v>4</v>
      </c>
      <c r="CK115">
        <f t="shared" si="30"/>
        <v>0</v>
      </c>
      <c r="CL115">
        <f t="shared" si="31"/>
        <v>31</v>
      </c>
      <c r="FC115">
        <v>112</v>
      </c>
      <c r="FD115">
        <f t="shared" si="10"/>
        <v>16</v>
      </c>
      <c r="FE115">
        <f t="shared" si="11"/>
        <v>7</v>
      </c>
      <c r="FF115" t="str">
        <f t="shared" si="12"/>
        <v/>
      </c>
      <c r="FI115" s="16">
        <v>112</v>
      </c>
      <c r="FJ115" s="17">
        <f t="shared" si="13"/>
        <v>0</v>
      </c>
      <c r="FK115" s="17" t="str">
        <f t="shared" si="14"/>
        <v/>
      </c>
      <c r="FL115" s="18" t="str">
        <f t="shared" si="15"/>
        <v/>
      </c>
      <c r="FM115" s="2"/>
    </row>
    <row r="116" spans="1:169">
      <c r="A116" s="23">
        <v>27</v>
      </c>
      <c r="D116" t="str">
        <f t="shared" si="28"/>
        <v>7-Q</v>
      </c>
      <c r="E116" s="23">
        <v>18</v>
      </c>
      <c r="F116" s="16">
        <v>14</v>
      </c>
      <c r="G116" s="2">
        <v>14</v>
      </c>
      <c r="H116" s="2">
        <v>15</v>
      </c>
      <c r="I116" s="2">
        <v>15</v>
      </c>
      <c r="J116" s="2">
        <v>15</v>
      </c>
      <c r="K116" s="2">
        <v>15</v>
      </c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  <c r="AX116" s="17"/>
      <c r="AY116" s="17"/>
      <c r="AZ116" s="17"/>
      <c r="BA116" s="17"/>
      <c r="BB116" s="17"/>
      <c r="BC116" s="17"/>
      <c r="BD116" s="17"/>
      <c r="BE116" s="17"/>
      <c r="BF116" s="17"/>
      <c r="BG116" s="17"/>
      <c r="BH116" s="17"/>
      <c r="BI116" s="17"/>
      <c r="BJ116" s="17"/>
      <c r="BK116" s="17"/>
      <c r="BL116" s="17"/>
      <c r="BM116" s="17"/>
      <c r="BN116" s="17"/>
      <c r="BO116" s="17"/>
      <c r="BP116" s="17"/>
      <c r="BQ116" s="17"/>
      <c r="BR116" s="17"/>
      <c r="BS116" s="17"/>
      <c r="BT116" s="17"/>
      <c r="BU116" s="17"/>
      <c r="BV116" s="17"/>
      <c r="BW116" s="17"/>
      <c r="BX116" s="17"/>
      <c r="BY116" s="17"/>
      <c r="BZ116" s="17"/>
      <c r="CA116" s="17"/>
      <c r="CB116" s="17"/>
      <c r="CC116" s="17"/>
      <c r="CD116" s="17"/>
      <c r="CE116" s="17"/>
      <c r="CF116" s="17"/>
      <c r="CG116" s="17"/>
      <c r="CH116" s="18"/>
      <c r="CI116">
        <v>2</v>
      </c>
      <c r="CJ116">
        <v>4</v>
      </c>
      <c r="CK116">
        <f t="shared" si="30"/>
        <v>14</v>
      </c>
      <c r="CL116">
        <f t="shared" si="31"/>
        <v>15</v>
      </c>
      <c r="FC116">
        <v>113</v>
      </c>
      <c r="FD116">
        <f t="shared" si="10"/>
        <v>1</v>
      </c>
      <c r="FE116">
        <f t="shared" si="11"/>
        <v>8</v>
      </c>
      <c r="FF116">
        <f t="shared" si="12"/>
        <v>144</v>
      </c>
      <c r="FI116" s="16">
        <v>113</v>
      </c>
      <c r="FJ116" s="17">
        <f t="shared" si="13"/>
        <v>157</v>
      </c>
      <c r="FK116" s="17">
        <f t="shared" si="14"/>
        <v>144</v>
      </c>
      <c r="FL116" s="18" t="str">
        <f t="shared" si="15"/>
        <v>10010000</v>
      </c>
      <c r="FM116" s="2"/>
    </row>
    <row r="117" spans="1:169">
      <c r="A117" s="23">
        <v>28</v>
      </c>
      <c r="D117" t="str">
        <f t="shared" si="29"/>
        <v>7-H</v>
      </c>
      <c r="E117" s="23">
        <v>26</v>
      </c>
      <c r="F117" s="16">
        <v>13</v>
      </c>
      <c r="G117" s="2">
        <v>13</v>
      </c>
      <c r="H117" s="2">
        <v>13</v>
      </c>
      <c r="I117" s="2">
        <v>13</v>
      </c>
      <c r="J117" s="2">
        <v>14</v>
      </c>
      <c r="K117" s="2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  <c r="AX117" s="17"/>
      <c r="AY117" s="17"/>
      <c r="AZ117" s="17"/>
      <c r="BA117" s="17"/>
      <c r="BB117" s="17"/>
      <c r="BC117" s="17"/>
      <c r="BD117" s="17"/>
      <c r="BE117" s="17"/>
      <c r="BF117" s="17"/>
      <c r="BG117" s="17"/>
      <c r="BH117" s="17"/>
      <c r="BI117" s="17"/>
      <c r="BJ117" s="17"/>
      <c r="BK117" s="17"/>
      <c r="BL117" s="17"/>
      <c r="BM117" s="17"/>
      <c r="BN117" s="17"/>
      <c r="BO117" s="17"/>
      <c r="BP117" s="17"/>
      <c r="BQ117" s="17"/>
      <c r="BR117" s="17"/>
      <c r="BS117" s="17"/>
      <c r="BT117" s="17"/>
      <c r="BU117" s="17"/>
      <c r="BV117" s="17"/>
      <c r="BW117" s="17"/>
      <c r="BX117" s="17"/>
      <c r="BY117" s="17"/>
      <c r="BZ117" s="17"/>
      <c r="CA117" s="17"/>
      <c r="CB117" s="17"/>
      <c r="CC117" s="17"/>
      <c r="CD117" s="17"/>
      <c r="CE117" s="17"/>
      <c r="CF117" s="17"/>
      <c r="CG117" s="17"/>
      <c r="CH117" s="18"/>
      <c r="CI117">
        <v>4</v>
      </c>
      <c r="CJ117">
        <v>1</v>
      </c>
      <c r="CK117">
        <f t="shared" si="30"/>
        <v>13</v>
      </c>
      <c r="CL117">
        <f t="shared" si="31"/>
        <v>14</v>
      </c>
      <c r="FC117">
        <v>114</v>
      </c>
      <c r="FD117">
        <f t="shared" si="10"/>
        <v>2</v>
      </c>
      <c r="FE117">
        <f t="shared" si="11"/>
        <v>8</v>
      </c>
      <c r="FF117">
        <f t="shared" si="12"/>
        <v>154</v>
      </c>
      <c r="FI117" s="16">
        <v>114</v>
      </c>
      <c r="FJ117" s="17">
        <f t="shared" si="13"/>
        <v>163</v>
      </c>
      <c r="FK117" s="17">
        <f t="shared" si="14"/>
        <v>154</v>
      </c>
      <c r="FL117" s="18" t="str">
        <f t="shared" si="15"/>
        <v>10011010</v>
      </c>
      <c r="FM117" s="2"/>
    </row>
    <row r="118" spans="1:169">
      <c r="A118" s="23">
        <v>29</v>
      </c>
      <c r="D118" t="str">
        <f t="shared" si="26"/>
        <v>8-L</v>
      </c>
      <c r="E118" s="23">
        <f>121-97</f>
        <v>24</v>
      </c>
      <c r="F118" s="16">
        <v>97</v>
      </c>
      <c r="G118" s="2">
        <v>97</v>
      </c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17"/>
      <c r="BB118" s="17"/>
      <c r="BC118" s="17"/>
      <c r="BD118" s="17"/>
      <c r="BE118" s="17"/>
      <c r="BF118" s="17"/>
      <c r="BG118" s="17"/>
      <c r="BH118" s="17"/>
      <c r="BI118" s="17"/>
      <c r="BJ118" s="17"/>
      <c r="BK118" s="17"/>
      <c r="BL118" s="17"/>
      <c r="BM118" s="17"/>
      <c r="BN118" s="17"/>
      <c r="BO118" s="17"/>
      <c r="BP118" s="17"/>
      <c r="BQ118" s="17"/>
      <c r="BR118" s="17"/>
      <c r="BS118" s="17"/>
      <c r="BT118" s="17"/>
      <c r="BU118" s="17"/>
      <c r="BV118" s="17"/>
      <c r="BW118" s="17"/>
      <c r="BX118" s="17"/>
      <c r="BY118" s="17"/>
      <c r="BZ118" s="17"/>
      <c r="CA118" s="17"/>
      <c r="CB118" s="17"/>
      <c r="CC118" s="17"/>
      <c r="CD118" s="17"/>
      <c r="CE118" s="17"/>
      <c r="CF118" s="17"/>
      <c r="CG118" s="17"/>
      <c r="CH118" s="18"/>
      <c r="CI118">
        <v>0</v>
      </c>
      <c r="CJ118">
        <v>2</v>
      </c>
      <c r="CK118">
        <f t="shared" ref="CK118:CK125" si="32">IF(CI118=0,0,F118)</f>
        <v>0</v>
      </c>
      <c r="CL118">
        <f t="shared" ref="CL118:CL125" si="33">IF(CI118=0,F118,F118+1)</f>
        <v>97</v>
      </c>
      <c r="FC118">
        <v>115</v>
      </c>
      <c r="FD118">
        <f t="shared" si="10"/>
        <v>3</v>
      </c>
      <c r="FE118">
        <f t="shared" si="11"/>
        <v>8</v>
      </c>
      <c r="FF118">
        <f t="shared" si="12"/>
        <v>88</v>
      </c>
      <c r="FI118" s="16">
        <v>115</v>
      </c>
      <c r="FJ118" s="17">
        <f t="shared" si="13"/>
        <v>147</v>
      </c>
      <c r="FK118" s="17">
        <f t="shared" si="14"/>
        <v>88</v>
      </c>
      <c r="FL118" s="18" t="str">
        <f t="shared" si="15"/>
        <v>01011000</v>
      </c>
      <c r="FM118" s="2"/>
    </row>
    <row r="119" spans="1:169">
      <c r="A119" s="23">
        <v>30</v>
      </c>
      <c r="D119" t="str">
        <f t="shared" si="27"/>
        <v>8-M</v>
      </c>
      <c r="E119" s="23">
        <f>60-38</f>
        <v>22</v>
      </c>
      <c r="F119" s="16">
        <v>38</v>
      </c>
      <c r="G119" s="2">
        <v>38</v>
      </c>
      <c r="H119" s="2">
        <v>39</v>
      </c>
      <c r="I119" s="2">
        <v>39</v>
      </c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  <c r="AX119" s="17"/>
      <c r="AY119" s="17"/>
      <c r="AZ119" s="17"/>
      <c r="BA119" s="17"/>
      <c r="BB119" s="17"/>
      <c r="BC119" s="17"/>
      <c r="BD119" s="17"/>
      <c r="BE119" s="17"/>
      <c r="BF119" s="17"/>
      <c r="BG119" s="17"/>
      <c r="BH119" s="17"/>
      <c r="BI119" s="17"/>
      <c r="BJ119" s="17"/>
      <c r="BK119" s="17"/>
      <c r="BL119" s="17"/>
      <c r="BM119" s="17"/>
      <c r="BN119" s="17"/>
      <c r="BO119" s="17"/>
      <c r="BP119" s="17"/>
      <c r="BQ119" s="17"/>
      <c r="BR119" s="17"/>
      <c r="BS119" s="17"/>
      <c r="BT119" s="17"/>
      <c r="BU119" s="17"/>
      <c r="BV119" s="17"/>
      <c r="BW119" s="17"/>
      <c r="BX119" s="17"/>
      <c r="BY119" s="17"/>
      <c r="BZ119" s="17"/>
      <c r="CA119" s="17"/>
      <c r="CB119" s="17"/>
      <c r="CC119" s="17"/>
      <c r="CD119" s="17"/>
      <c r="CE119" s="17"/>
      <c r="CF119" s="17"/>
      <c r="CG119" s="17"/>
      <c r="CH119" s="18"/>
      <c r="CI119">
        <v>2</v>
      </c>
      <c r="CJ119">
        <v>2</v>
      </c>
      <c r="CK119">
        <f t="shared" si="32"/>
        <v>38</v>
      </c>
      <c r="CL119">
        <f t="shared" si="33"/>
        <v>39</v>
      </c>
      <c r="FC119">
        <v>116</v>
      </c>
      <c r="FD119">
        <f t="shared" si="10"/>
        <v>4</v>
      </c>
      <c r="FE119">
        <f t="shared" si="11"/>
        <v>8</v>
      </c>
      <c r="FF119">
        <f t="shared" si="12"/>
        <v>135</v>
      </c>
      <c r="FI119" s="16">
        <v>116</v>
      </c>
      <c r="FJ119" s="17">
        <f t="shared" si="13"/>
        <v>73</v>
      </c>
      <c r="FK119" s="17">
        <f t="shared" si="14"/>
        <v>135</v>
      </c>
      <c r="FL119" s="18" t="str">
        <f t="shared" si="15"/>
        <v>10000111</v>
      </c>
      <c r="FM119" s="2"/>
    </row>
    <row r="120" spans="1:169">
      <c r="A120" s="23">
        <v>31</v>
      </c>
      <c r="D120" t="str">
        <f t="shared" si="28"/>
        <v>8-Q</v>
      </c>
      <c r="E120" s="23">
        <f>40-18</f>
        <v>22</v>
      </c>
      <c r="F120" s="16">
        <v>18</v>
      </c>
      <c r="G120" s="2">
        <v>18</v>
      </c>
      <c r="H120" s="2">
        <v>18</v>
      </c>
      <c r="I120" s="2">
        <v>18</v>
      </c>
      <c r="J120" s="2">
        <v>19</v>
      </c>
      <c r="K120" s="2">
        <v>19</v>
      </c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  <c r="AX120" s="17"/>
      <c r="AY120" s="17"/>
      <c r="AZ120" s="17"/>
      <c r="BA120" s="17"/>
      <c r="BB120" s="17"/>
      <c r="BC120" s="17"/>
      <c r="BD120" s="17"/>
      <c r="BE120" s="17"/>
      <c r="BF120" s="17"/>
      <c r="BG120" s="17"/>
      <c r="BH120" s="17"/>
      <c r="BI120" s="17"/>
      <c r="BJ120" s="17"/>
      <c r="BK120" s="17"/>
      <c r="BL120" s="17"/>
      <c r="BM120" s="17"/>
      <c r="BN120" s="17"/>
      <c r="BO120" s="17"/>
      <c r="BP120" s="17"/>
      <c r="BQ120" s="17"/>
      <c r="BR120" s="17"/>
      <c r="BS120" s="17"/>
      <c r="BT120" s="17"/>
      <c r="BU120" s="17"/>
      <c r="BV120" s="17"/>
      <c r="BW120" s="17"/>
      <c r="BX120" s="17"/>
      <c r="BY120" s="17"/>
      <c r="BZ120" s="17"/>
      <c r="CA120" s="17"/>
      <c r="CB120" s="17"/>
      <c r="CC120" s="17"/>
      <c r="CD120" s="17"/>
      <c r="CE120" s="17"/>
      <c r="CF120" s="17"/>
      <c r="CG120" s="17"/>
      <c r="CH120" s="18"/>
      <c r="CI120">
        <v>4</v>
      </c>
      <c r="CJ120">
        <v>2</v>
      </c>
      <c r="CK120">
        <f t="shared" si="32"/>
        <v>18</v>
      </c>
      <c r="CL120">
        <f t="shared" si="33"/>
        <v>19</v>
      </c>
      <c r="FC120">
        <v>117</v>
      </c>
      <c r="FD120">
        <f t="shared" si="10"/>
        <v>5</v>
      </c>
      <c r="FE120">
        <f t="shared" si="11"/>
        <v>8</v>
      </c>
      <c r="FF120">
        <f t="shared" si="12"/>
        <v>133</v>
      </c>
      <c r="FI120" s="16">
        <v>117</v>
      </c>
      <c r="FJ120" s="17">
        <f t="shared" si="13"/>
        <v>80</v>
      </c>
      <c r="FK120" s="17">
        <f t="shared" si="14"/>
        <v>133</v>
      </c>
      <c r="FL120" s="18" t="str">
        <f t="shared" si="15"/>
        <v>10000101</v>
      </c>
      <c r="FM120" s="2"/>
    </row>
    <row r="121" spans="1:169">
      <c r="A121" s="23">
        <v>32</v>
      </c>
      <c r="D121" t="str">
        <f t="shared" si="29"/>
        <v>8-H</v>
      </c>
      <c r="E121" s="23">
        <f>40-14</f>
        <v>26</v>
      </c>
      <c r="F121" s="16">
        <v>14</v>
      </c>
      <c r="G121" s="2">
        <v>14</v>
      </c>
      <c r="H121" s="2">
        <v>14</v>
      </c>
      <c r="I121" s="2">
        <v>14</v>
      </c>
      <c r="J121" s="2">
        <v>15</v>
      </c>
      <c r="K121" s="2">
        <v>15</v>
      </c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  <c r="AX121" s="17"/>
      <c r="AY121" s="17"/>
      <c r="AZ121" s="17"/>
      <c r="BA121" s="17"/>
      <c r="BB121" s="17"/>
      <c r="BC121" s="17"/>
      <c r="BD121" s="17"/>
      <c r="BE121" s="17"/>
      <c r="BF121" s="17"/>
      <c r="BG121" s="17"/>
      <c r="BH121" s="17"/>
      <c r="BI121" s="17"/>
      <c r="BJ121" s="17"/>
      <c r="BK121" s="17"/>
      <c r="BL121" s="17"/>
      <c r="BM121" s="17"/>
      <c r="BN121" s="17"/>
      <c r="BO121" s="17"/>
      <c r="BP121" s="17"/>
      <c r="BQ121" s="17"/>
      <c r="BR121" s="17"/>
      <c r="BS121" s="17"/>
      <c r="BT121" s="17"/>
      <c r="BU121" s="17"/>
      <c r="BV121" s="17"/>
      <c r="BW121" s="17"/>
      <c r="BX121" s="17"/>
      <c r="BY121" s="17"/>
      <c r="BZ121" s="17"/>
      <c r="CA121" s="17"/>
      <c r="CB121" s="17"/>
      <c r="CC121" s="17"/>
      <c r="CD121" s="17"/>
      <c r="CE121" s="17"/>
      <c r="CF121" s="17"/>
      <c r="CG121" s="17"/>
      <c r="CH121" s="18"/>
      <c r="CI121">
        <v>4</v>
      </c>
      <c r="CJ121">
        <v>2</v>
      </c>
      <c r="CK121">
        <f t="shared" si="32"/>
        <v>14</v>
      </c>
      <c r="CL121">
        <f t="shared" si="33"/>
        <v>15</v>
      </c>
      <c r="FC121">
        <v>118</v>
      </c>
      <c r="FD121">
        <f t="shared" si="10"/>
        <v>6</v>
      </c>
      <c r="FE121">
        <f t="shared" si="11"/>
        <v>8</v>
      </c>
      <c r="FF121">
        <f t="shared" si="12"/>
        <v>117</v>
      </c>
      <c r="FI121" s="16">
        <v>118</v>
      </c>
      <c r="FJ121" s="17">
        <f t="shared" si="13"/>
        <v>204</v>
      </c>
      <c r="FK121" s="17">
        <f t="shared" si="14"/>
        <v>117</v>
      </c>
      <c r="FL121" s="18" t="str">
        <f t="shared" si="15"/>
        <v>01110101</v>
      </c>
      <c r="FM121" s="2"/>
    </row>
    <row r="122" spans="1:169">
      <c r="A122" s="23">
        <v>33</v>
      </c>
      <c r="D122" t="str">
        <f t="shared" si="26"/>
        <v>9-L</v>
      </c>
      <c r="E122" s="23">
        <v>30</v>
      </c>
      <c r="F122" s="16">
        <v>116</v>
      </c>
      <c r="G122" s="2">
        <v>116</v>
      </c>
      <c r="H122" s="2"/>
      <c r="I122" s="2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17"/>
      <c r="BA122" s="17"/>
      <c r="BB122" s="17"/>
      <c r="BC122" s="17"/>
      <c r="BD122" s="17"/>
      <c r="BE122" s="17"/>
      <c r="BF122" s="17"/>
      <c r="BG122" s="17"/>
      <c r="BH122" s="17"/>
      <c r="BI122" s="17"/>
      <c r="BJ122" s="17"/>
      <c r="BK122" s="17"/>
      <c r="BL122" s="17"/>
      <c r="BM122" s="17"/>
      <c r="BN122" s="17"/>
      <c r="BO122" s="17"/>
      <c r="BP122" s="17"/>
      <c r="BQ122" s="17"/>
      <c r="BR122" s="17"/>
      <c r="BS122" s="17"/>
      <c r="BT122" s="17"/>
      <c r="BU122" s="17"/>
      <c r="BV122" s="17"/>
      <c r="BW122" s="17"/>
      <c r="BX122" s="17"/>
      <c r="BY122" s="17"/>
      <c r="BZ122" s="17"/>
      <c r="CA122" s="17"/>
      <c r="CB122" s="17"/>
      <c r="CC122" s="17"/>
      <c r="CD122" s="17"/>
      <c r="CE122" s="17"/>
      <c r="CF122" s="17"/>
      <c r="CG122" s="17"/>
      <c r="CH122" s="18"/>
      <c r="CI122">
        <v>0</v>
      </c>
      <c r="CJ122">
        <v>2</v>
      </c>
      <c r="CK122">
        <f t="shared" si="32"/>
        <v>0</v>
      </c>
      <c r="CL122">
        <f t="shared" si="33"/>
        <v>116</v>
      </c>
      <c r="FC122">
        <v>119</v>
      </c>
      <c r="FD122">
        <f t="shared" si="10"/>
        <v>7</v>
      </c>
      <c r="FE122">
        <f t="shared" si="11"/>
        <v>8</v>
      </c>
      <c r="FF122">
        <f t="shared" si="12"/>
        <v>165</v>
      </c>
      <c r="FI122" s="16">
        <v>119</v>
      </c>
      <c r="FJ122" s="17">
        <f t="shared" si="13"/>
        <v>253</v>
      </c>
      <c r="FK122" s="17">
        <f t="shared" si="14"/>
        <v>165</v>
      </c>
      <c r="FL122" s="18" t="str">
        <f t="shared" si="15"/>
        <v>10100101</v>
      </c>
      <c r="FM122" s="2"/>
    </row>
    <row r="123" spans="1:169">
      <c r="A123" s="23">
        <v>34</v>
      </c>
      <c r="D123" t="str">
        <f t="shared" si="27"/>
        <v>9-M</v>
      </c>
      <c r="E123" s="23">
        <v>22</v>
      </c>
      <c r="F123" s="16">
        <v>36</v>
      </c>
      <c r="G123" s="2">
        <v>36</v>
      </c>
      <c r="H123" s="2">
        <v>36</v>
      </c>
      <c r="I123" s="2">
        <v>37</v>
      </c>
      <c r="J123" s="2">
        <v>37</v>
      </c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17"/>
      <c r="BA123" s="17"/>
      <c r="BB123" s="17"/>
      <c r="BC123" s="17"/>
      <c r="BD123" s="17"/>
      <c r="BE123" s="17"/>
      <c r="BF123" s="17"/>
      <c r="BG123" s="17"/>
      <c r="BH123" s="17"/>
      <c r="BI123" s="17"/>
      <c r="BJ123" s="17"/>
      <c r="BK123" s="17"/>
      <c r="BL123" s="17"/>
      <c r="BM123" s="17"/>
      <c r="BN123" s="17"/>
      <c r="BO123" s="17"/>
      <c r="BP123" s="17"/>
      <c r="BQ123" s="17"/>
      <c r="BR123" s="17"/>
      <c r="BS123" s="17"/>
      <c r="BT123" s="17"/>
      <c r="BU123" s="17"/>
      <c r="BV123" s="17"/>
      <c r="BW123" s="17"/>
      <c r="BX123" s="17"/>
      <c r="BY123" s="17"/>
      <c r="BZ123" s="17"/>
      <c r="CA123" s="17"/>
      <c r="CB123" s="17"/>
      <c r="CC123" s="17"/>
      <c r="CD123" s="17"/>
      <c r="CE123" s="17"/>
      <c r="CF123" s="17"/>
      <c r="CG123" s="17"/>
      <c r="CH123" s="18"/>
      <c r="CI123">
        <v>3</v>
      </c>
      <c r="CJ123">
        <v>2</v>
      </c>
      <c r="CK123">
        <f t="shared" si="32"/>
        <v>36</v>
      </c>
      <c r="CL123">
        <f t="shared" si="33"/>
        <v>37</v>
      </c>
      <c r="FC123">
        <v>120</v>
      </c>
      <c r="FD123">
        <f t="shared" si="10"/>
        <v>8</v>
      </c>
      <c r="FE123">
        <f t="shared" si="11"/>
        <v>8</v>
      </c>
      <c r="FF123">
        <f t="shared" si="12"/>
        <v>254</v>
      </c>
      <c r="FI123" s="16">
        <v>120</v>
      </c>
      <c r="FJ123" s="17">
        <f t="shared" si="13"/>
        <v>164</v>
      </c>
      <c r="FK123" s="17">
        <f t="shared" si="14"/>
        <v>254</v>
      </c>
      <c r="FL123" s="18" t="str">
        <f t="shared" si="15"/>
        <v>11111110</v>
      </c>
      <c r="FM123" s="2"/>
    </row>
    <row r="124" spans="1:169">
      <c r="A124" s="23">
        <v>35</v>
      </c>
      <c r="D124" t="str">
        <f t="shared" si="28"/>
        <v>9-Q</v>
      </c>
      <c r="E124" s="23">
        <v>20</v>
      </c>
      <c r="F124" s="16">
        <v>16</v>
      </c>
      <c r="G124" s="2">
        <v>16</v>
      </c>
      <c r="H124" s="2">
        <v>16</v>
      </c>
      <c r="I124" s="2">
        <v>16</v>
      </c>
      <c r="J124" s="2">
        <v>17</v>
      </c>
      <c r="K124" s="2">
        <v>17</v>
      </c>
      <c r="L124" s="2">
        <v>17</v>
      </c>
      <c r="M124" s="2">
        <v>17</v>
      </c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  <c r="AX124" s="17"/>
      <c r="AY124" s="17"/>
      <c r="AZ124" s="17"/>
      <c r="BA124" s="17"/>
      <c r="BB124" s="17"/>
      <c r="BC124" s="17"/>
      <c r="BD124" s="17"/>
      <c r="BE124" s="17"/>
      <c r="BF124" s="17"/>
      <c r="BG124" s="17"/>
      <c r="BH124" s="17"/>
      <c r="BI124" s="17"/>
      <c r="BJ124" s="17"/>
      <c r="BK124" s="17"/>
      <c r="BL124" s="17"/>
      <c r="BM124" s="17"/>
      <c r="BN124" s="17"/>
      <c r="BO124" s="17"/>
      <c r="BP124" s="17"/>
      <c r="BQ124" s="17"/>
      <c r="BR124" s="17"/>
      <c r="BS124" s="17"/>
      <c r="BT124" s="17"/>
      <c r="BU124" s="17"/>
      <c r="BV124" s="17"/>
      <c r="BW124" s="17"/>
      <c r="BX124" s="17"/>
      <c r="BY124" s="17"/>
      <c r="BZ124" s="17"/>
      <c r="CA124" s="17"/>
      <c r="CB124" s="17"/>
      <c r="CC124" s="17"/>
      <c r="CD124" s="17"/>
      <c r="CE124" s="17"/>
      <c r="CF124" s="17"/>
      <c r="CG124" s="17"/>
      <c r="CH124" s="18"/>
      <c r="CI124">
        <v>4</v>
      </c>
      <c r="CJ124">
        <v>4</v>
      </c>
      <c r="CK124">
        <f t="shared" si="32"/>
        <v>16</v>
      </c>
      <c r="CL124">
        <f t="shared" si="33"/>
        <v>17</v>
      </c>
      <c r="FC124">
        <v>121</v>
      </c>
      <c r="FD124">
        <f t="shared" si="10"/>
        <v>9</v>
      </c>
      <c r="FE124">
        <f t="shared" si="11"/>
        <v>8</v>
      </c>
      <c r="FF124">
        <f t="shared" si="12"/>
        <v>28</v>
      </c>
      <c r="FI124" s="16">
        <v>121</v>
      </c>
      <c r="FJ124" s="17">
        <f t="shared" si="13"/>
        <v>210</v>
      </c>
      <c r="FK124" s="17">
        <f t="shared" si="14"/>
        <v>28</v>
      </c>
      <c r="FL124" s="18" t="str">
        <f t="shared" si="15"/>
        <v>00011100</v>
      </c>
      <c r="FM124" s="2"/>
    </row>
    <row r="125" spans="1:169">
      <c r="A125" s="23">
        <v>36</v>
      </c>
      <c r="D125" t="str">
        <f t="shared" si="29"/>
        <v>9-H</v>
      </c>
      <c r="E125" s="23">
        <v>24</v>
      </c>
      <c r="F125" s="16">
        <v>12</v>
      </c>
      <c r="G125" s="2">
        <v>12</v>
      </c>
      <c r="H125" s="2">
        <v>12</v>
      </c>
      <c r="I125" s="2">
        <v>12</v>
      </c>
      <c r="J125" s="2">
        <v>13</v>
      </c>
      <c r="K125" s="2">
        <v>13</v>
      </c>
      <c r="L125" s="2">
        <v>13</v>
      </c>
      <c r="M125" s="2">
        <v>13</v>
      </c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  <c r="BI125" s="17"/>
      <c r="BJ125" s="17"/>
      <c r="BK125" s="17"/>
      <c r="BL125" s="17"/>
      <c r="BM125" s="17"/>
      <c r="BN125" s="17"/>
      <c r="BO125" s="17"/>
      <c r="BP125" s="17"/>
      <c r="BQ125" s="17"/>
      <c r="BR125" s="17"/>
      <c r="BS125" s="17"/>
      <c r="BT125" s="17"/>
      <c r="BU125" s="17"/>
      <c r="BV125" s="17"/>
      <c r="BW125" s="17"/>
      <c r="BX125" s="17"/>
      <c r="BY125" s="17"/>
      <c r="BZ125" s="17"/>
      <c r="CA125" s="17"/>
      <c r="CB125" s="17"/>
      <c r="CC125" s="17"/>
      <c r="CD125" s="17"/>
      <c r="CE125" s="17"/>
      <c r="CF125" s="17"/>
      <c r="CG125" s="17"/>
      <c r="CH125" s="18"/>
      <c r="CI125">
        <v>4</v>
      </c>
      <c r="CJ125">
        <v>4</v>
      </c>
      <c r="CK125">
        <f t="shared" si="32"/>
        <v>12</v>
      </c>
      <c r="CL125">
        <f t="shared" si="33"/>
        <v>13</v>
      </c>
      <c r="FC125">
        <v>122</v>
      </c>
      <c r="FD125">
        <f t="shared" si="10"/>
        <v>10</v>
      </c>
      <c r="FE125">
        <f t="shared" si="11"/>
        <v>8</v>
      </c>
      <c r="FF125">
        <f t="shared" si="12"/>
        <v>198</v>
      </c>
      <c r="FI125" s="16">
        <v>122</v>
      </c>
      <c r="FJ125" s="17">
        <f t="shared" si="13"/>
        <v>1</v>
      </c>
      <c r="FK125" s="17">
        <f t="shared" si="14"/>
        <v>198</v>
      </c>
      <c r="FL125" s="18" t="str">
        <f t="shared" si="15"/>
        <v>11000110</v>
      </c>
      <c r="FM125" s="2"/>
    </row>
    <row r="126" spans="1:169">
      <c r="A126" s="23">
        <v>37</v>
      </c>
      <c r="D126" t="str">
        <f t="shared" si="26"/>
        <v>10-L</v>
      </c>
      <c r="E126" s="23">
        <f>86-68</f>
        <v>18</v>
      </c>
      <c r="F126" s="16">
        <v>68</v>
      </c>
      <c r="G126" s="2">
        <v>68</v>
      </c>
      <c r="H126" s="2">
        <v>69</v>
      </c>
      <c r="I126" s="2">
        <v>69</v>
      </c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  <c r="AX126" s="17"/>
      <c r="AY126" s="17"/>
      <c r="AZ126" s="17"/>
      <c r="BA126" s="17"/>
      <c r="BB126" s="17"/>
      <c r="BC126" s="17"/>
      <c r="BD126" s="17"/>
      <c r="BE126" s="17"/>
      <c r="BF126" s="17"/>
      <c r="BG126" s="17"/>
      <c r="BH126" s="17"/>
      <c r="BI126" s="17"/>
      <c r="BJ126" s="17"/>
      <c r="BK126" s="17"/>
      <c r="BL126" s="17"/>
      <c r="BM126" s="17"/>
      <c r="BN126" s="17"/>
      <c r="BO126" s="17"/>
      <c r="BP126" s="17"/>
      <c r="BQ126" s="17"/>
      <c r="BR126" s="17"/>
      <c r="BS126" s="17"/>
      <c r="BT126" s="17"/>
      <c r="BU126" s="17"/>
      <c r="BV126" s="17"/>
      <c r="BW126" s="17"/>
      <c r="BX126" s="17"/>
      <c r="BY126" s="17"/>
      <c r="BZ126" s="17"/>
      <c r="CA126" s="17"/>
      <c r="CB126" s="17"/>
      <c r="CC126" s="17"/>
      <c r="CD126" s="17"/>
      <c r="CE126" s="17"/>
      <c r="CF126" s="17"/>
      <c r="CG126" s="17"/>
      <c r="CH126" s="18"/>
      <c r="CI126">
        <v>2</v>
      </c>
      <c r="CJ126">
        <v>2</v>
      </c>
      <c r="CK126">
        <f t="shared" ref="CK126:CK137" si="34">IF(CI126=0,0,F126)</f>
        <v>68</v>
      </c>
      <c r="CL126">
        <f t="shared" ref="CL126:CL137" si="35">IF(CI126=0,F126,F126+1)</f>
        <v>69</v>
      </c>
      <c r="FC126">
        <v>123</v>
      </c>
      <c r="FD126">
        <f t="shared" si="10"/>
        <v>11</v>
      </c>
      <c r="FE126">
        <f t="shared" si="11"/>
        <v>8</v>
      </c>
      <c r="FF126">
        <f t="shared" si="12"/>
        <v>178</v>
      </c>
      <c r="FI126" s="16">
        <v>123</v>
      </c>
      <c r="FJ126" s="17">
        <f t="shared" si="13"/>
        <v>146</v>
      </c>
      <c r="FK126" s="17">
        <f t="shared" si="14"/>
        <v>178</v>
      </c>
      <c r="FL126" s="18" t="str">
        <f t="shared" si="15"/>
        <v>10110010</v>
      </c>
      <c r="FM126" s="2"/>
    </row>
    <row r="127" spans="1:169">
      <c r="A127" s="23">
        <v>38</v>
      </c>
      <c r="D127" t="str">
        <f t="shared" si="27"/>
        <v>10-M</v>
      </c>
      <c r="E127" s="23">
        <f>69-43</f>
        <v>26</v>
      </c>
      <c r="F127" s="16">
        <v>43</v>
      </c>
      <c r="G127" s="2">
        <v>43</v>
      </c>
      <c r="H127" s="2">
        <v>43</v>
      </c>
      <c r="I127" s="2">
        <v>43</v>
      </c>
      <c r="J127" s="2">
        <v>44</v>
      </c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  <c r="AX127" s="17"/>
      <c r="AY127" s="17"/>
      <c r="AZ127" s="17"/>
      <c r="BA127" s="17"/>
      <c r="BB127" s="17"/>
      <c r="BC127" s="17"/>
      <c r="BD127" s="17"/>
      <c r="BE127" s="17"/>
      <c r="BF127" s="17"/>
      <c r="BG127" s="17"/>
      <c r="BH127" s="17"/>
      <c r="BI127" s="17"/>
      <c r="BJ127" s="17"/>
      <c r="BK127" s="17"/>
      <c r="BL127" s="17"/>
      <c r="BM127" s="17"/>
      <c r="BN127" s="17"/>
      <c r="BO127" s="17"/>
      <c r="BP127" s="17"/>
      <c r="BQ127" s="17"/>
      <c r="BR127" s="17"/>
      <c r="BS127" s="17"/>
      <c r="BT127" s="17"/>
      <c r="BU127" s="17"/>
      <c r="BV127" s="17"/>
      <c r="BW127" s="17"/>
      <c r="BX127" s="17"/>
      <c r="BY127" s="17"/>
      <c r="BZ127" s="17"/>
      <c r="CA127" s="17"/>
      <c r="CB127" s="17"/>
      <c r="CC127" s="17"/>
      <c r="CD127" s="17"/>
      <c r="CE127" s="17"/>
      <c r="CF127" s="17"/>
      <c r="CG127" s="17"/>
      <c r="CH127" s="18"/>
      <c r="CI127">
        <v>4</v>
      </c>
      <c r="CJ127">
        <v>1</v>
      </c>
      <c r="CK127">
        <f t="shared" si="34"/>
        <v>43</v>
      </c>
      <c r="CL127">
        <f t="shared" si="35"/>
        <v>44</v>
      </c>
      <c r="FC127">
        <v>124</v>
      </c>
      <c r="FD127">
        <f t="shared" si="10"/>
        <v>12</v>
      </c>
      <c r="FE127">
        <f t="shared" si="11"/>
        <v>8</v>
      </c>
      <c r="FF127">
        <f t="shared" si="12"/>
        <v>12</v>
      </c>
      <c r="FI127" s="16">
        <v>124</v>
      </c>
      <c r="FJ127" s="17">
        <f t="shared" si="13"/>
        <v>180</v>
      </c>
      <c r="FK127" s="17">
        <f t="shared" si="14"/>
        <v>12</v>
      </c>
      <c r="FL127" s="18" t="str">
        <f t="shared" si="15"/>
        <v>00001100</v>
      </c>
      <c r="FM127" s="2"/>
    </row>
    <row r="128" spans="1:169">
      <c r="A128" s="23">
        <v>39</v>
      </c>
      <c r="D128" t="str">
        <f t="shared" si="28"/>
        <v>10-Q</v>
      </c>
      <c r="E128" s="23">
        <f>43-19</f>
        <v>24</v>
      </c>
      <c r="F128" s="16">
        <v>19</v>
      </c>
      <c r="G128" s="2">
        <v>19</v>
      </c>
      <c r="H128" s="2">
        <v>19</v>
      </c>
      <c r="I128" s="2">
        <v>19</v>
      </c>
      <c r="J128" s="2">
        <v>19</v>
      </c>
      <c r="K128" s="2">
        <v>19</v>
      </c>
      <c r="L128" s="2">
        <v>20</v>
      </c>
      <c r="M128" s="2">
        <v>20</v>
      </c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  <c r="AX128" s="17"/>
      <c r="AY128" s="17"/>
      <c r="AZ128" s="17"/>
      <c r="BA128" s="17"/>
      <c r="BB128" s="17"/>
      <c r="BC128" s="17"/>
      <c r="BD128" s="17"/>
      <c r="BE128" s="17"/>
      <c r="BF128" s="17"/>
      <c r="BG128" s="17"/>
      <c r="BH128" s="17"/>
      <c r="BI128" s="17"/>
      <c r="BJ128" s="17"/>
      <c r="BK128" s="17"/>
      <c r="BL128" s="17"/>
      <c r="BM128" s="17"/>
      <c r="BN128" s="17"/>
      <c r="BO128" s="17"/>
      <c r="BP128" s="17"/>
      <c r="BQ128" s="17"/>
      <c r="BR128" s="17"/>
      <c r="BS128" s="17"/>
      <c r="BT128" s="17"/>
      <c r="BU128" s="17"/>
      <c r="BV128" s="17"/>
      <c r="BW128" s="17"/>
      <c r="BX128" s="17"/>
      <c r="BY128" s="17"/>
      <c r="BZ128" s="17"/>
      <c r="CA128" s="17"/>
      <c r="CB128" s="17"/>
      <c r="CC128" s="17"/>
      <c r="CD128" s="17"/>
      <c r="CE128" s="17"/>
      <c r="CF128" s="17"/>
      <c r="CG128" s="17"/>
      <c r="CH128" s="18"/>
      <c r="CI128">
        <v>6</v>
      </c>
      <c r="CJ128">
        <v>2</v>
      </c>
      <c r="CK128">
        <f t="shared" si="34"/>
        <v>19</v>
      </c>
      <c r="CL128">
        <f t="shared" si="35"/>
        <v>20</v>
      </c>
      <c r="FC128">
        <v>125</v>
      </c>
      <c r="FD128">
        <f t="shared" si="10"/>
        <v>13</v>
      </c>
      <c r="FE128">
        <f t="shared" si="11"/>
        <v>8</v>
      </c>
      <c r="FF128">
        <f t="shared" si="12"/>
        <v>48</v>
      </c>
      <c r="FI128" s="16">
        <v>125</v>
      </c>
      <c r="FJ128" s="17">
        <f t="shared" si="13"/>
        <v>69</v>
      </c>
      <c r="FK128" s="17">
        <f t="shared" si="14"/>
        <v>48</v>
      </c>
      <c r="FL128" s="18" t="str">
        <f t="shared" si="15"/>
        <v>00110000</v>
      </c>
      <c r="FM128" s="2"/>
    </row>
    <row r="129" spans="1:169" ht="15.75" thickBot="1">
      <c r="A129" s="24">
        <v>40</v>
      </c>
      <c r="D129" t="str">
        <f t="shared" si="29"/>
        <v>10-H</v>
      </c>
      <c r="E129" s="23">
        <f>43-15</f>
        <v>28</v>
      </c>
      <c r="F129" s="16">
        <v>15</v>
      </c>
      <c r="G129" s="2">
        <v>15</v>
      </c>
      <c r="H129" s="2">
        <v>15</v>
      </c>
      <c r="I129" s="2">
        <v>15</v>
      </c>
      <c r="J129" s="2">
        <v>15</v>
      </c>
      <c r="K129" s="2">
        <v>15</v>
      </c>
      <c r="L129" s="2">
        <v>16</v>
      </c>
      <c r="M129" s="2">
        <v>16</v>
      </c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  <c r="AX129" s="17"/>
      <c r="AY129" s="17"/>
      <c r="AZ129" s="17"/>
      <c r="BA129" s="17"/>
      <c r="BB129" s="17"/>
      <c r="BC129" s="17"/>
      <c r="BD129" s="17"/>
      <c r="BE129" s="17"/>
      <c r="BF129" s="17"/>
      <c r="BG129" s="17"/>
      <c r="BH129" s="17"/>
      <c r="BI129" s="17"/>
      <c r="BJ129" s="17"/>
      <c r="BK129" s="17"/>
      <c r="BL129" s="17"/>
      <c r="BM129" s="17"/>
      <c r="BN129" s="17"/>
      <c r="BO129" s="17"/>
      <c r="BP129" s="17"/>
      <c r="BQ129" s="17"/>
      <c r="BR129" s="17"/>
      <c r="BS129" s="17"/>
      <c r="BT129" s="17"/>
      <c r="BU129" s="17"/>
      <c r="BV129" s="17"/>
      <c r="BW129" s="17"/>
      <c r="BX129" s="17"/>
      <c r="BY129" s="17"/>
      <c r="BZ129" s="17"/>
      <c r="CA129" s="17"/>
      <c r="CB129" s="17"/>
      <c r="CC129" s="17"/>
      <c r="CD129" s="17"/>
      <c r="CE129" s="17"/>
      <c r="CF129" s="17"/>
      <c r="CG129" s="17"/>
      <c r="CH129" s="18"/>
      <c r="CI129">
        <v>6</v>
      </c>
      <c r="CJ129">
        <v>2</v>
      </c>
      <c r="CK129">
        <f t="shared" si="34"/>
        <v>15</v>
      </c>
      <c r="CL129">
        <f t="shared" si="35"/>
        <v>16</v>
      </c>
      <c r="FC129">
        <v>126</v>
      </c>
      <c r="FD129">
        <f t="shared" si="10"/>
        <v>14</v>
      </c>
      <c r="FE129">
        <f t="shared" si="11"/>
        <v>8</v>
      </c>
      <c r="FF129">
        <f t="shared" si="12"/>
        <v>198</v>
      </c>
      <c r="FI129" s="16">
        <v>126</v>
      </c>
      <c r="FJ129" s="17">
        <f t="shared" si="13"/>
        <v>205</v>
      </c>
      <c r="FK129" s="17">
        <f t="shared" si="14"/>
        <v>198</v>
      </c>
      <c r="FL129" s="18" t="str">
        <f t="shared" si="15"/>
        <v>11000110</v>
      </c>
      <c r="FM129" s="2"/>
    </row>
    <row r="130" spans="1:169">
      <c r="D130" t="str">
        <f t="shared" si="26"/>
        <v>11-L</v>
      </c>
      <c r="E130" s="23">
        <v>20</v>
      </c>
      <c r="F130" s="16">
        <v>81</v>
      </c>
      <c r="G130" s="2">
        <v>81</v>
      </c>
      <c r="H130" s="2">
        <v>81</v>
      </c>
      <c r="I130" s="2">
        <v>81</v>
      </c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  <c r="AX130" s="17"/>
      <c r="AY130" s="17"/>
      <c r="AZ130" s="17"/>
      <c r="BA130" s="17"/>
      <c r="BB130" s="17"/>
      <c r="BC130" s="17"/>
      <c r="BD130" s="17"/>
      <c r="BE130" s="17"/>
      <c r="BF130" s="17"/>
      <c r="BG130" s="17"/>
      <c r="BH130" s="17"/>
      <c r="BI130" s="17"/>
      <c r="BJ130" s="17"/>
      <c r="BK130" s="17"/>
      <c r="BL130" s="17"/>
      <c r="BM130" s="17"/>
      <c r="BN130" s="17"/>
      <c r="BO130" s="17"/>
      <c r="BP130" s="17"/>
      <c r="BQ130" s="17"/>
      <c r="BR130" s="17"/>
      <c r="BS130" s="17"/>
      <c r="BT130" s="17"/>
      <c r="BU130" s="17"/>
      <c r="BV130" s="17"/>
      <c r="BW130" s="17"/>
      <c r="BX130" s="17"/>
      <c r="BY130" s="17"/>
      <c r="BZ130" s="17"/>
      <c r="CA130" s="17"/>
      <c r="CB130" s="17"/>
      <c r="CC130" s="17"/>
      <c r="CD130" s="17"/>
      <c r="CE130" s="17"/>
      <c r="CF130" s="17"/>
      <c r="CG130" s="17"/>
      <c r="CH130" s="18"/>
      <c r="CI130">
        <v>0</v>
      </c>
      <c r="CJ130">
        <v>4</v>
      </c>
      <c r="CK130">
        <f t="shared" si="34"/>
        <v>0</v>
      </c>
      <c r="CL130">
        <f t="shared" si="35"/>
        <v>81</v>
      </c>
      <c r="FC130">
        <v>127</v>
      </c>
      <c r="FD130">
        <f t="shared" si="10"/>
        <v>15</v>
      </c>
      <c r="FE130">
        <f t="shared" si="11"/>
        <v>8</v>
      </c>
      <c r="FF130">
        <f t="shared" si="12"/>
        <v>17</v>
      </c>
      <c r="FI130" s="16">
        <v>127</v>
      </c>
      <c r="FJ130" s="17">
        <f t="shared" si="13"/>
        <v>77</v>
      </c>
      <c r="FK130" s="17">
        <f t="shared" si="14"/>
        <v>17</v>
      </c>
      <c r="FL130" s="18" t="str">
        <f t="shared" si="15"/>
        <v>00010001</v>
      </c>
      <c r="FM130" s="2"/>
    </row>
    <row r="131" spans="1:169">
      <c r="D131" t="str">
        <f t="shared" si="27"/>
        <v>11-M</v>
      </c>
      <c r="E131" s="23">
        <v>30</v>
      </c>
      <c r="F131" s="16">
        <v>50</v>
      </c>
      <c r="G131" s="2">
        <v>51</v>
      </c>
      <c r="H131" s="2">
        <v>51</v>
      </c>
      <c r="I131" s="2">
        <v>51</v>
      </c>
      <c r="J131" s="2">
        <v>51</v>
      </c>
      <c r="K131" s="17"/>
      <c r="L131" s="17"/>
      <c r="M131" s="17"/>
      <c r="N131" s="2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  <c r="AX131" s="17"/>
      <c r="AY131" s="17"/>
      <c r="AZ131" s="17"/>
      <c r="BA131" s="17"/>
      <c r="BB131" s="17"/>
      <c r="BC131" s="17"/>
      <c r="BD131" s="17"/>
      <c r="BE131" s="17"/>
      <c r="BF131" s="17"/>
      <c r="BG131" s="17"/>
      <c r="BH131" s="17"/>
      <c r="BI131" s="17"/>
      <c r="BJ131" s="17"/>
      <c r="BK131" s="17"/>
      <c r="BL131" s="17"/>
      <c r="BM131" s="17"/>
      <c r="BN131" s="17"/>
      <c r="BO131" s="17"/>
      <c r="BP131" s="17"/>
      <c r="BQ131" s="17"/>
      <c r="BR131" s="17"/>
      <c r="BS131" s="17"/>
      <c r="BT131" s="17"/>
      <c r="BU131" s="17"/>
      <c r="BV131" s="17"/>
      <c r="BW131" s="17"/>
      <c r="BX131" s="17"/>
      <c r="BY131" s="17"/>
      <c r="BZ131" s="17"/>
      <c r="CA131" s="17"/>
      <c r="CB131" s="17"/>
      <c r="CC131" s="17"/>
      <c r="CD131" s="17"/>
      <c r="CE131" s="17"/>
      <c r="CF131" s="17"/>
      <c r="CG131" s="17"/>
      <c r="CH131" s="18"/>
      <c r="CI131">
        <v>1</v>
      </c>
      <c r="CJ131">
        <v>4</v>
      </c>
      <c r="CK131">
        <f t="shared" si="34"/>
        <v>50</v>
      </c>
      <c r="CL131">
        <f t="shared" si="35"/>
        <v>51</v>
      </c>
      <c r="FC131">
        <v>128</v>
      </c>
      <c r="FD131">
        <f t="shared" si="10"/>
        <v>16</v>
      </c>
      <c r="FE131">
        <f t="shared" si="11"/>
        <v>8</v>
      </c>
      <c r="FF131" t="str">
        <f t="shared" si="12"/>
        <v/>
      </c>
      <c r="FI131" s="16">
        <v>128</v>
      </c>
      <c r="FJ131" s="17">
        <f t="shared" si="13"/>
        <v>0</v>
      </c>
      <c r="FK131" s="17" t="str">
        <f t="shared" si="14"/>
        <v/>
      </c>
      <c r="FL131" s="18" t="str">
        <f t="shared" si="15"/>
        <v/>
      </c>
      <c r="FM131" s="2"/>
    </row>
    <row r="132" spans="1:169">
      <c r="D132" t="str">
        <f t="shared" si="28"/>
        <v>11-Q</v>
      </c>
      <c r="E132" s="23">
        <v>28</v>
      </c>
      <c r="F132" s="16">
        <v>22</v>
      </c>
      <c r="G132" s="2">
        <v>22</v>
      </c>
      <c r="H132" s="2">
        <v>22</v>
      </c>
      <c r="I132" s="2">
        <v>22</v>
      </c>
      <c r="J132" s="2">
        <v>23</v>
      </c>
      <c r="K132" s="2">
        <v>23</v>
      </c>
      <c r="L132" s="2">
        <v>23</v>
      </c>
      <c r="M132" s="2">
        <v>23</v>
      </c>
      <c r="N132" s="2"/>
      <c r="O132" s="2"/>
      <c r="P132" s="2"/>
      <c r="Q132" s="2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  <c r="AX132" s="17"/>
      <c r="AY132" s="17"/>
      <c r="AZ132" s="17"/>
      <c r="BA132" s="17"/>
      <c r="BB132" s="17"/>
      <c r="BC132" s="17"/>
      <c r="BD132" s="17"/>
      <c r="BE132" s="17"/>
      <c r="BF132" s="17"/>
      <c r="BG132" s="17"/>
      <c r="BH132" s="17"/>
      <c r="BI132" s="17"/>
      <c r="BJ132" s="17"/>
      <c r="BK132" s="17"/>
      <c r="BL132" s="17"/>
      <c r="BM132" s="17"/>
      <c r="BN132" s="17"/>
      <c r="BO132" s="17"/>
      <c r="BP132" s="17"/>
      <c r="BQ132" s="17"/>
      <c r="BR132" s="17"/>
      <c r="BS132" s="17"/>
      <c r="BT132" s="17"/>
      <c r="BU132" s="17"/>
      <c r="BV132" s="17"/>
      <c r="BW132" s="17"/>
      <c r="BX132" s="17"/>
      <c r="BY132" s="17"/>
      <c r="BZ132" s="17"/>
      <c r="CA132" s="17"/>
      <c r="CB132" s="17"/>
      <c r="CC132" s="17"/>
      <c r="CD132" s="17"/>
      <c r="CE132" s="17"/>
      <c r="CF132" s="17"/>
      <c r="CG132" s="17"/>
      <c r="CH132" s="18"/>
      <c r="CI132">
        <v>4</v>
      </c>
      <c r="CJ132">
        <v>4</v>
      </c>
      <c r="CK132">
        <f t="shared" si="34"/>
        <v>22</v>
      </c>
      <c r="CL132">
        <f t="shared" si="35"/>
        <v>23</v>
      </c>
      <c r="FC132">
        <v>129</v>
      </c>
      <c r="FD132">
        <f t="shared" si="10"/>
        <v>1</v>
      </c>
      <c r="FE132">
        <f t="shared" si="11"/>
        <v>9</v>
      </c>
      <c r="FF132">
        <f t="shared" si="12"/>
        <v>193</v>
      </c>
      <c r="FI132" s="16">
        <v>129</v>
      </c>
      <c r="FJ132" s="17">
        <f t="shared" si="13"/>
        <v>246</v>
      </c>
      <c r="FK132" s="17">
        <f t="shared" si="14"/>
        <v>193</v>
      </c>
      <c r="FL132" s="18" t="str">
        <f t="shared" si="15"/>
        <v>11000001</v>
      </c>
      <c r="FM132" s="2"/>
    </row>
    <row r="133" spans="1:169">
      <c r="D133" t="str">
        <f t="shared" si="29"/>
        <v>11-H</v>
      </c>
      <c r="E133" s="23">
        <v>24</v>
      </c>
      <c r="F133" s="16">
        <v>12</v>
      </c>
      <c r="G133" s="2">
        <v>12</v>
      </c>
      <c r="H133" s="2">
        <v>12</v>
      </c>
      <c r="I133" s="2">
        <v>13</v>
      </c>
      <c r="J133" s="2">
        <v>13</v>
      </c>
      <c r="K133" s="2">
        <v>13</v>
      </c>
      <c r="L133" s="2">
        <v>13</v>
      </c>
      <c r="M133" s="2">
        <v>13</v>
      </c>
      <c r="N133" s="2">
        <v>13</v>
      </c>
      <c r="O133" s="2">
        <v>13</v>
      </c>
      <c r="P133" s="2">
        <v>13</v>
      </c>
      <c r="Q133" s="2"/>
      <c r="R133" s="2"/>
      <c r="S133" s="2"/>
      <c r="T133" s="2"/>
      <c r="U133" s="2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7"/>
      <c r="BA133" s="17"/>
      <c r="BB133" s="17"/>
      <c r="BC133" s="17"/>
      <c r="BD133" s="17"/>
      <c r="BE133" s="17"/>
      <c r="BF133" s="17"/>
      <c r="BG133" s="17"/>
      <c r="BH133" s="17"/>
      <c r="BI133" s="17"/>
      <c r="BJ133" s="17"/>
      <c r="BK133" s="17"/>
      <c r="BL133" s="17"/>
      <c r="BM133" s="17"/>
      <c r="BN133" s="17"/>
      <c r="BO133" s="17"/>
      <c r="BP133" s="17"/>
      <c r="BQ133" s="17"/>
      <c r="BR133" s="17"/>
      <c r="BS133" s="17"/>
      <c r="BT133" s="17"/>
      <c r="BU133" s="17"/>
      <c r="BV133" s="17"/>
      <c r="BW133" s="17"/>
      <c r="BX133" s="17"/>
      <c r="BY133" s="17"/>
      <c r="BZ133" s="17"/>
      <c r="CA133" s="17"/>
      <c r="CB133" s="17"/>
      <c r="CC133" s="17"/>
      <c r="CD133" s="17"/>
      <c r="CE133" s="17"/>
      <c r="CF133" s="17"/>
      <c r="CG133" s="17"/>
      <c r="CH133" s="18"/>
      <c r="CI133">
        <v>3</v>
      </c>
      <c r="CJ133">
        <v>8</v>
      </c>
      <c r="CK133">
        <f t="shared" si="34"/>
        <v>12</v>
      </c>
      <c r="CL133">
        <f t="shared" si="35"/>
        <v>13</v>
      </c>
      <c r="FC133">
        <v>130</v>
      </c>
      <c r="FD133">
        <f t="shared" ref="FD133:FD149" si="36">IF(MOD(FC133,$FB$1+$FB$2)=0,$FB$1+$FB$2,MOD(FC133,$FB$1+$FB$2))</f>
        <v>2</v>
      </c>
      <c r="FE133">
        <f t="shared" ref="FE133:FE149" si="37">ROUNDUP(FC133/($FB$1+$FB$2),0)</f>
        <v>9</v>
      </c>
      <c r="FF133">
        <f t="shared" ref="FF133:FF149" si="38">IF(FE133&lt;$FB$3,INDEX($E$4:$DV$84,FD133,FE133),IF(FE133=$FB$3,INDEX($E$4:$DV$84,FD133+$FB$1,FE133),""))</f>
        <v>48</v>
      </c>
      <c r="FI133" s="16">
        <v>130</v>
      </c>
      <c r="FJ133" s="17">
        <f t="shared" ref="FJ133:FJ149" si="39">IF(FE133&lt;=$FH$1,INDEX($DW$4:$EZ$84,FD133,FE133),"")</f>
        <v>129</v>
      </c>
      <c r="FK133" s="17">
        <f t="shared" ref="FK133:FK196" si="40">IF(FI133&lt;=$FH$2,FF133,IF(FI133&lt;=$FH$2+$FH$3,INDEX($FJ$4:$FJ$2494,FI133-$FH$2),""))</f>
        <v>48</v>
      </c>
      <c r="FL133" s="18" t="str">
        <f t="shared" ref="FL133:FL149" si="41">IFERROR(TEXT(DEC2BIN(FK133),"00000000"),"")</f>
        <v>00110000</v>
      </c>
      <c r="FM133" s="2"/>
    </row>
    <row r="134" spans="1:169">
      <c r="D134" t="str">
        <f t="shared" si="26"/>
        <v>12-L</v>
      </c>
      <c r="E134" s="23">
        <v>24</v>
      </c>
      <c r="F134" s="16">
        <v>92</v>
      </c>
      <c r="G134" s="2">
        <v>92</v>
      </c>
      <c r="H134" s="2">
        <v>93</v>
      </c>
      <c r="I134" s="2">
        <v>93</v>
      </c>
      <c r="J134" s="2"/>
      <c r="K134" s="2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7"/>
      <c r="BA134" s="17"/>
      <c r="BB134" s="17"/>
      <c r="BC134" s="17"/>
      <c r="BD134" s="17"/>
      <c r="BE134" s="17"/>
      <c r="BF134" s="17"/>
      <c r="BG134" s="17"/>
      <c r="BH134" s="17"/>
      <c r="BI134" s="17"/>
      <c r="BJ134" s="17"/>
      <c r="BK134" s="17"/>
      <c r="BL134" s="17"/>
      <c r="BM134" s="17"/>
      <c r="BN134" s="17"/>
      <c r="BO134" s="17"/>
      <c r="BP134" s="17"/>
      <c r="BQ134" s="17"/>
      <c r="BR134" s="17"/>
      <c r="BS134" s="17"/>
      <c r="BT134" s="17"/>
      <c r="BU134" s="17"/>
      <c r="BV134" s="17"/>
      <c r="BW134" s="17"/>
      <c r="BX134" s="17"/>
      <c r="BY134" s="17"/>
      <c r="BZ134" s="17"/>
      <c r="CA134" s="17"/>
      <c r="CB134" s="17"/>
      <c r="CC134" s="17"/>
      <c r="CD134" s="17"/>
      <c r="CE134" s="17"/>
      <c r="CF134" s="17"/>
      <c r="CG134" s="17"/>
      <c r="CH134" s="18"/>
      <c r="CI134">
        <v>2</v>
      </c>
      <c r="CJ134">
        <v>2</v>
      </c>
      <c r="CK134">
        <f t="shared" si="34"/>
        <v>92</v>
      </c>
      <c r="CL134">
        <f t="shared" si="35"/>
        <v>93</v>
      </c>
      <c r="FC134">
        <v>131</v>
      </c>
      <c r="FD134">
        <f t="shared" si="36"/>
        <v>3</v>
      </c>
      <c r="FE134">
        <f t="shared" si="37"/>
        <v>9</v>
      </c>
      <c r="FF134">
        <f t="shared" si="38"/>
        <v>195</v>
      </c>
      <c r="FI134" s="16">
        <v>131</v>
      </c>
      <c r="FJ134" s="17">
        <f t="shared" si="39"/>
        <v>228</v>
      </c>
      <c r="FK134" s="17">
        <f t="shared" si="40"/>
        <v>195</v>
      </c>
      <c r="FL134" s="18" t="str">
        <f t="shared" si="41"/>
        <v>11000011</v>
      </c>
      <c r="FM134" s="2"/>
    </row>
    <row r="135" spans="1:169">
      <c r="D135" t="str">
        <f t="shared" si="27"/>
        <v>12-M</v>
      </c>
      <c r="E135" s="23">
        <v>22</v>
      </c>
      <c r="F135" s="16">
        <v>36</v>
      </c>
      <c r="G135" s="2">
        <v>36</v>
      </c>
      <c r="H135" s="2">
        <v>36</v>
      </c>
      <c r="I135" s="2">
        <v>36</v>
      </c>
      <c r="J135" s="2">
        <v>36</v>
      </c>
      <c r="K135" s="2">
        <v>36</v>
      </c>
      <c r="L135" s="2">
        <v>37</v>
      </c>
      <c r="M135" s="2">
        <v>37</v>
      </c>
      <c r="N135" s="2"/>
      <c r="O135" s="2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  <c r="AX135" s="17"/>
      <c r="AY135" s="17"/>
      <c r="AZ135" s="17"/>
      <c r="BA135" s="17"/>
      <c r="BB135" s="17"/>
      <c r="BC135" s="17"/>
      <c r="BD135" s="17"/>
      <c r="BE135" s="17"/>
      <c r="BF135" s="17"/>
      <c r="BG135" s="17"/>
      <c r="BH135" s="17"/>
      <c r="BI135" s="17"/>
      <c r="BJ135" s="17"/>
      <c r="BK135" s="17"/>
      <c r="BL135" s="17"/>
      <c r="BM135" s="17"/>
      <c r="BN135" s="17"/>
      <c r="BO135" s="17"/>
      <c r="BP135" s="17"/>
      <c r="BQ135" s="17"/>
      <c r="BR135" s="17"/>
      <c r="BS135" s="17"/>
      <c r="BT135" s="17"/>
      <c r="BU135" s="17"/>
      <c r="BV135" s="17"/>
      <c r="BW135" s="17"/>
      <c r="BX135" s="17"/>
      <c r="BY135" s="17"/>
      <c r="BZ135" s="17"/>
      <c r="CA135" s="17"/>
      <c r="CB135" s="17"/>
      <c r="CC135" s="17"/>
      <c r="CD135" s="17"/>
      <c r="CE135" s="17"/>
      <c r="CF135" s="17"/>
      <c r="CG135" s="17"/>
      <c r="CH135" s="18"/>
      <c r="CI135">
        <v>6</v>
      </c>
      <c r="CJ135">
        <v>2</v>
      </c>
      <c r="CK135">
        <f t="shared" si="34"/>
        <v>36</v>
      </c>
      <c r="CL135">
        <f t="shared" si="35"/>
        <v>37</v>
      </c>
      <c r="FC135">
        <v>132</v>
      </c>
      <c r="FD135">
        <f t="shared" si="36"/>
        <v>4</v>
      </c>
      <c r="FE135">
        <f t="shared" si="37"/>
        <v>9</v>
      </c>
      <c r="FF135">
        <f t="shared" si="38"/>
        <v>23</v>
      </c>
      <c r="FI135" s="16">
        <v>132</v>
      </c>
      <c r="FJ135" s="17">
        <f t="shared" si="39"/>
        <v>90</v>
      </c>
      <c r="FK135" s="17">
        <f t="shared" si="40"/>
        <v>23</v>
      </c>
      <c r="FL135" s="18" t="str">
        <f t="shared" si="41"/>
        <v>00010111</v>
      </c>
      <c r="FM135" s="2"/>
    </row>
    <row r="136" spans="1:169">
      <c r="D136" t="str">
        <f t="shared" si="28"/>
        <v>12-Q</v>
      </c>
      <c r="E136" s="23">
        <v>26</v>
      </c>
      <c r="F136" s="16">
        <v>20</v>
      </c>
      <c r="G136" s="2">
        <v>20</v>
      </c>
      <c r="H136" s="2">
        <v>20</v>
      </c>
      <c r="I136" s="2">
        <v>20</v>
      </c>
      <c r="J136" s="2">
        <v>21</v>
      </c>
      <c r="K136" s="2">
        <v>21</v>
      </c>
      <c r="L136" s="2">
        <v>21</v>
      </c>
      <c r="M136" s="2">
        <v>21</v>
      </c>
      <c r="N136" s="2">
        <v>21</v>
      </c>
      <c r="O136" s="2">
        <v>21</v>
      </c>
      <c r="P136" s="2"/>
      <c r="Q136" s="2"/>
      <c r="R136" s="2"/>
      <c r="S136" s="2"/>
      <c r="T136" s="2"/>
      <c r="U136" s="2"/>
      <c r="V136" s="2"/>
      <c r="W136" s="2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17"/>
      <c r="BB136" s="17"/>
      <c r="BC136" s="17"/>
      <c r="BD136" s="17"/>
      <c r="BE136" s="17"/>
      <c r="BF136" s="17"/>
      <c r="BG136" s="17"/>
      <c r="BH136" s="17"/>
      <c r="BI136" s="17"/>
      <c r="BJ136" s="17"/>
      <c r="BK136" s="17"/>
      <c r="BL136" s="17"/>
      <c r="BM136" s="17"/>
      <c r="BN136" s="17"/>
      <c r="BO136" s="17"/>
      <c r="BP136" s="17"/>
      <c r="BQ136" s="17"/>
      <c r="BR136" s="17"/>
      <c r="BS136" s="17"/>
      <c r="BT136" s="17"/>
      <c r="BU136" s="17"/>
      <c r="BV136" s="17"/>
      <c r="BW136" s="17"/>
      <c r="BX136" s="17"/>
      <c r="BY136" s="17"/>
      <c r="BZ136" s="17"/>
      <c r="CA136" s="17"/>
      <c r="CB136" s="17"/>
      <c r="CC136" s="17"/>
      <c r="CD136" s="17"/>
      <c r="CE136" s="17"/>
      <c r="CF136" s="17"/>
      <c r="CG136" s="17"/>
      <c r="CH136" s="18"/>
      <c r="CI136">
        <v>4</v>
      </c>
      <c r="CJ136">
        <v>6</v>
      </c>
      <c r="CK136">
        <f t="shared" si="34"/>
        <v>20</v>
      </c>
      <c r="CL136">
        <f t="shared" si="35"/>
        <v>21</v>
      </c>
      <c r="FC136">
        <v>133</v>
      </c>
      <c r="FD136">
        <f t="shared" si="36"/>
        <v>5</v>
      </c>
      <c r="FE136">
        <f t="shared" si="37"/>
        <v>9</v>
      </c>
      <c r="FF136">
        <f t="shared" si="38"/>
        <v>104</v>
      </c>
      <c r="FI136" s="16">
        <v>133</v>
      </c>
      <c r="FJ136" s="17">
        <f t="shared" si="39"/>
        <v>221</v>
      </c>
      <c r="FK136" s="17">
        <f t="shared" si="40"/>
        <v>104</v>
      </c>
      <c r="FL136" s="18" t="str">
        <f t="shared" si="41"/>
        <v>01101000</v>
      </c>
      <c r="FM136" s="2"/>
    </row>
    <row r="137" spans="1:169">
      <c r="D137" t="str">
        <f t="shared" si="29"/>
        <v>12-H</v>
      </c>
      <c r="E137" s="23">
        <v>28</v>
      </c>
      <c r="F137" s="16">
        <v>14</v>
      </c>
      <c r="G137" s="2">
        <v>14</v>
      </c>
      <c r="H137" s="2">
        <v>14</v>
      </c>
      <c r="I137" s="2">
        <v>14</v>
      </c>
      <c r="J137" s="2">
        <v>14</v>
      </c>
      <c r="K137" s="2">
        <v>14</v>
      </c>
      <c r="L137" s="2">
        <v>14</v>
      </c>
      <c r="M137" s="2">
        <v>15</v>
      </c>
      <c r="N137" s="2">
        <v>15</v>
      </c>
      <c r="O137" s="2">
        <v>15</v>
      </c>
      <c r="P137" s="2">
        <v>15</v>
      </c>
      <c r="Q137" s="2"/>
      <c r="R137" s="2"/>
      <c r="S137" s="2"/>
      <c r="T137" s="2"/>
      <c r="U137" s="2"/>
      <c r="V137" s="2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  <c r="AX137" s="17"/>
      <c r="AY137" s="17"/>
      <c r="AZ137" s="17"/>
      <c r="BA137" s="17"/>
      <c r="BB137" s="17"/>
      <c r="BC137" s="17"/>
      <c r="BD137" s="17"/>
      <c r="BE137" s="17"/>
      <c r="BF137" s="17"/>
      <c r="BG137" s="17"/>
      <c r="BH137" s="17"/>
      <c r="BI137" s="17"/>
      <c r="BJ137" s="17"/>
      <c r="BK137" s="17"/>
      <c r="BL137" s="17"/>
      <c r="BM137" s="17"/>
      <c r="BN137" s="17"/>
      <c r="BO137" s="17"/>
      <c r="BP137" s="17"/>
      <c r="BQ137" s="17"/>
      <c r="BR137" s="17"/>
      <c r="BS137" s="17"/>
      <c r="BT137" s="17"/>
      <c r="BU137" s="17"/>
      <c r="BV137" s="17"/>
      <c r="BW137" s="17"/>
      <c r="BX137" s="17"/>
      <c r="BY137" s="17"/>
      <c r="BZ137" s="17"/>
      <c r="CA137" s="17"/>
      <c r="CB137" s="17"/>
      <c r="CC137" s="17"/>
      <c r="CD137" s="17"/>
      <c r="CE137" s="17"/>
      <c r="CF137" s="17"/>
      <c r="CG137" s="17"/>
      <c r="CH137" s="18"/>
      <c r="CI137">
        <v>7</v>
      </c>
      <c r="CJ137">
        <v>4</v>
      </c>
      <c r="CK137">
        <f t="shared" si="34"/>
        <v>14</v>
      </c>
      <c r="CL137">
        <f t="shared" si="35"/>
        <v>15</v>
      </c>
      <c r="FC137">
        <v>134</v>
      </c>
      <c r="FD137">
        <f t="shared" si="36"/>
        <v>6</v>
      </c>
      <c r="FE137">
        <f t="shared" si="37"/>
        <v>9</v>
      </c>
      <c r="FF137">
        <f t="shared" si="38"/>
        <v>65</v>
      </c>
      <c r="FI137" s="16">
        <v>134</v>
      </c>
      <c r="FJ137" s="17">
        <f t="shared" si="39"/>
        <v>242</v>
      </c>
      <c r="FK137" s="17">
        <f t="shared" si="40"/>
        <v>65</v>
      </c>
      <c r="FL137" s="18" t="str">
        <f t="shared" si="41"/>
        <v>01000001</v>
      </c>
      <c r="FM137" s="2"/>
    </row>
    <row r="138" spans="1:169">
      <c r="D138" t="str">
        <f t="shared" si="26"/>
        <v>13-L</v>
      </c>
      <c r="E138" s="23">
        <f>133-107</f>
        <v>26</v>
      </c>
      <c r="F138" s="16">
        <v>107</v>
      </c>
      <c r="G138" s="2">
        <v>107</v>
      </c>
      <c r="H138" s="2">
        <v>107</v>
      </c>
      <c r="I138" s="2">
        <v>107</v>
      </c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  <c r="AX138" s="17"/>
      <c r="AY138" s="17"/>
      <c r="AZ138" s="17"/>
      <c r="BA138" s="17"/>
      <c r="BB138" s="17"/>
      <c r="BC138" s="17"/>
      <c r="BD138" s="17"/>
      <c r="BE138" s="17"/>
      <c r="BF138" s="17"/>
      <c r="BG138" s="17"/>
      <c r="BH138" s="17"/>
      <c r="BI138" s="17"/>
      <c r="BJ138" s="17"/>
      <c r="BK138" s="17"/>
      <c r="BL138" s="17"/>
      <c r="BM138" s="17"/>
      <c r="BN138" s="17"/>
      <c r="BO138" s="17"/>
      <c r="BP138" s="17"/>
      <c r="BQ138" s="17"/>
      <c r="BR138" s="17"/>
      <c r="BS138" s="17"/>
      <c r="BT138" s="17"/>
      <c r="BU138" s="17"/>
      <c r="BV138" s="17"/>
      <c r="BW138" s="17"/>
      <c r="BX138" s="17"/>
      <c r="BY138" s="17"/>
      <c r="BZ138" s="17"/>
      <c r="CA138" s="17"/>
      <c r="CB138" s="17"/>
      <c r="CC138" s="17"/>
      <c r="CD138" s="17"/>
      <c r="CE138" s="17"/>
      <c r="CF138" s="17"/>
      <c r="CG138" s="17"/>
      <c r="CH138" s="18"/>
      <c r="CI138">
        <v>0</v>
      </c>
      <c r="CJ138">
        <v>4</v>
      </c>
      <c r="CK138">
        <f t="shared" ref="CK138:CK149" si="42">IF(CI138=0,0,F138)</f>
        <v>0</v>
      </c>
      <c r="CL138">
        <f t="shared" ref="CL138:CL149" si="43">IF(CI138=0,F138,F138+1)</f>
        <v>107</v>
      </c>
      <c r="FC138">
        <v>135</v>
      </c>
      <c r="FD138">
        <f t="shared" si="36"/>
        <v>7</v>
      </c>
      <c r="FE138">
        <f t="shared" si="37"/>
        <v>9</v>
      </c>
      <c r="FF138">
        <f t="shared" si="38"/>
        <v>102</v>
      </c>
      <c r="FI138" s="16">
        <v>135</v>
      </c>
      <c r="FJ138" s="17">
        <f t="shared" si="39"/>
        <v>17</v>
      </c>
      <c r="FK138" s="17">
        <f t="shared" si="40"/>
        <v>102</v>
      </c>
      <c r="FL138" s="18" t="str">
        <f t="shared" si="41"/>
        <v>01100110</v>
      </c>
      <c r="FM138" s="2"/>
    </row>
    <row r="139" spans="1:169">
      <c r="D139" t="str">
        <f t="shared" si="27"/>
        <v>13-M</v>
      </c>
      <c r="E139" s="23">
        <f>59-37</f>
        <v>22</v>
      </c>
      <c r="F139" s="16">
        <v>37</v>
      </c>
      <c r="G139" s="17">
        <v>37</v>
      </c>
      <c r="H139" s="17">
        <v>37</v>
      </c>
      <c r="I139" s="2">
        <v>37</v>
      </c>
      <c r="J139" s="17">
        <v>37</v>
      </c>
      <c r="K139" s="17">
        <v>37</v>
      </c>
      <c r="L139" s="17">
        <v>37</v>
      </c>
      <c r="M139" s="17">
        <v>37</v>
      </c>
      <c r="N139" s="2">
        <v>38</v>
      </c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  <c r="AX139" s="17"/>
      <c r="AY139" s="17"/>
      <c r="AZ139" s="17"/>
      <c r="BA139" s="17"/>
      <c r="BB139" s="17"/>
      <c r="BC139" s="17"/>
      <c r="BD139" s="17"/>
      <c r="BE139" s="17"/>
      <c r="BF139" s="17"/>
      <c r="BG139" s="17"/>
      <c r="BH139" s="17"/>
      <c r="BI139" s="17"/>
      <c r="BJ139" s="17"/>
      <c r="BK139" s="17"/>
      <c r="BL139" s="17"/>
      <c r="BM139" s="17"/>
      <c r="BN139" s="17"/>
      <c r="BO139" s="17"/>
      <c r="BP139" s="17"/>
      <c r="BQ139" s="17"/>
      <c r="BR139" s="17"/>
      <c r="BS139" s="17"/>
      <c r="BT139" s="17"/>
      <c r="BU139" s="17"/>
      <c r="BV139" s="17"/>
      <c r="BW139" s="17"/>
      <c r="BX139" s="17"/>
      <c r="BY139" s="17"/>
      <c r="BZ139" s="17"/>
      <c r="CA139" s="17"/>
      <c r="CB139" s="17"/>
      <c r="CC139" s="17"/>
      <c r="CD139" s="17"/>
      <c r="CE139" s="17"/>
      <c r="CF139" s="17"/>
      <c r="CG139" s="17"/>
      <c r="CH139" s="18"/>
      <c r="CI139">
        <v>8</v>
      </c>
      <c r="CJ139">
        <v>1</v>
      </c>
      <c r="CK139">
        <f t="shared" si="42"/>
        <v>37</v>
      </c>
      <c r="CL139">
        <f t="shared" si="43"/>
        <v>38</v>
      </c>
      <c r="FC139">
        <v>136</v>
      </c>
      <c r="FD139">
        <f t="shared" si="36"/>
        <v>8</v>
      </c>
      <c r="FE139">
        <f t="shared" si="37"/>
        <v>9</v>
      </c>
      <c r="FF139">
        <f t="shared" si="38"/>
        <v>242</v>
      </c>
      <c r="FI139" s="16">
        <v>136</v>
      </c>
      <c r="FJ139" s="17">
        <f t="shared" si="39"/>
        <v>191</v>
      </c>
      <c r="FK139" s="17">
        <f t="shared" si="40"/>
        <v>242</v>
      </c>
      <c r="FL139" s="18" t="str">
        <f t="shared" si="41"/>
        <v>11110010</v>
      </c>
      <c r="FM139" s="2"/>
    </row>
    <row r="140" spans="1:169">
      <c r="D140" t="str">
        <f t="shared" si="28"/>
        <v>13-Q</v>
      </c>
      <c r="E140" s="23">
        <f>44-20</f>
        <v>24</v>
      </c>
      <c r="F140" s="16">
        <v>20</v>
      </c>
      <c r="G140" s="2">
        <v>20</v>
      </c>
      <c r="H140" s="2">
        <v>20</v>
      </c>
      <c r="I140" s="2">
        <v>20</v>
      </c>
      <c r="J140" s="2">
        <v>20</v>
      </c>
      <c r="K140" s="2">
        <v>20</v>
      </c>
      <c r="L140" s="2">
        <v>20</v>
      </c>
      <c r="M140" s="2">
        <v>20</v>
      </c>
      <c r="N140" s="2">
        <v>21</v>
      </c>
      <c r="O140" s="2">
        <v>21</v>
      </c>
      <c r="P140" s="2">
        <v>21</v>
      </c>
      <c r="Q140" s="2">
        <v>21</v>
      </c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  <c r="AX140" s="17"/>
      <c r="AY140" s="17"/>
      <c r="AZ140" s="17"/>
      <c r="BA140" s="17"/>
      <c r="BB140" s="17"/>
      <c r="BC140" s="17"/>
      <c r="BD140" s="17"/>
      <c r="BE140" s="17"/>
      <c r="BF140" s="17"/>
      <c r="BG140" s="17"/>
      <c r="BH140" s="17"/>
      <c r="BI140" s="17"/>
      <c r="BJ140" s="17"/>
      <c r="BK140" s="17"/>
      <c r="BL140" s="17"/>
      <c r="BM140" s="17"/>
      <c r="BN140" s="17"/>
      <c r="BO140" s="17"/>
      <c r="BP140" s="17"/>
      <c r="BQ140" s="17"/>
      <c r="BR140" s="17"/>
      <c r="BS140" s="17"/>
      <c r="BT140" s="17"/>
      <c r="BU140" s="17"/>
      <c r="BV140" s="17"/>
      <c r="BW140" s="17"/>
      <c r="BX140" s="17"/>
      <c r="BY140" s="17"/>
      <c r="BZ140" s="17"/>
      <c r="CA140" s="17"/>
      <c r="CB140" s="17"/>
      <c r="CC140" s="17"/>
      <c r="CD140" s="17"/>
      <c r="CE140" s="17"/>
      <c r="CF140" s="17"/>
      <c r="CG140" s="17"/>
      <c r="CH140" s="18"/>
      <c r="CI140">
        <v>8</v>
      </c>
      <c r="CJ140">
        <v>4</v>
      </c>
      <c r="CK140">
        <f t="shared" si="42"/>
        <v>20</v>
      </c>
      <c r="CL140">
        <f t="shared" si="43"/>
        <v>21</v>
      </c>
      <c r="FC140">
        <v>137</v>
      </c>
      <c r="FD140">
        <f t="shared" si="36"/>
        <v>9</v>
      </c>
      <c r="FE140">
        <f t="shared" si="37"/>
        <v>9</v>
      </c>
      <c r="FF140">
        <f t="shared" si="38"/>
        <v>63</v>
      </c>
      <c r="FI140" s="16">
        <v>137</v>
      </c>
      <c r="FJ140" s="17">
        <f t="shared" si="39"/>
        <v>156</v>
      </c>
      <c r="FK140" s="17">
        <f t="shared" si="40"/>
        <v>63</v>
      </c>
      <c r="FL140" s="18" t="str">
        <f t="shared" si="41"/>
        <v>00111111</v>
      </c>
      <c r="FM140" s="2"/>
    </row>
    <row r="141" spans="1:169">
      <c r="D141" t="str">
        <f t="shared" si="29"/>
        <v>13-H</v>
      </c>
      <c r="E141" s="23">
        <f>33-11</f>
        <v>22</v>
      </c>
      <c r="F141" s="16">
        <v>12</v>
      </c>
      <c r="G141" s="2">
        <v>12</v>
      </c>
      <c r="H141" s="2">
        <v>12</v>
      </c>
      <c r="I141" s="2">
        <v>12</v>
      </c>
      <c r="J141" s="2">
        <v>12</v>
      </c>
      <c r="K141" s="2">
        <v>12</v>
      </c>
      <c r="L141" s="2">
        <v>12</v>
      </c>
      <c r="M141" s="2">
        <v>12</v>
      </c>
      <c r="N141" s="2">
        <v>12</v>
      </c>
      <c r="O141" s="2">
        <v>12</v>
      </c>
      <c r="P141" s="2">
        <v>12</v>
      </c>
      <c r="Q141" s="2">
        <v>12</v>
      </c>
      <c r="R141" s="2">
        <v>13</v>
      </c>
      <c r="S141" s="2">
        <v>13</v>
      </c>
      <c r="T141" s="2">
        <v>13</v>
      </c>
      <c r="U141" s="2">
        <v>13</v>
      </c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  <c r="AX141" s="17"/>
      <c r="AY141" s="17"/>
      <c r="AZ141" s="17"/>
      <c r="BA141" s="17"/>
      <c r="BB141" s="17"/>
      <c r="BC141" s="17"/>
      <c r="BD141" s="17"/>
      <c r="BE141" s="17"/>
      <c r="BF141" s="17"/>
      <c r="BG141" s="17"/>
      <c r="BH141" s="17"/>
      <c r="BI141" s="17"/>
      <c r="BJ141" s="17"/>
      <c r="BK141" s="17"/>
      <c r="BL141" s="17"/>
      <c r="BM141" s="17"/>
      <c r="BN141" s="17"/>
      <c r="BO141" s="17"/>
      <c r="BP141" s="17"/>
      <c r="BQ141" s="17"/>
      <c r="BR141" s="17"/>
      <c r="BS141" s="17"/>
      <c r="BT141" s="17"/>
      <c r="BU141" s="17"/>
      <c r="BV141" s="17"/>
      <c r="BW141" s="17"/>
      <c r="BX141" s="17"/>
      <c r="BY141" s="17"/>
      <c r="BZ141" s="17"/>
      <c r="CA141" s="17"/>
      <c r="CB141" s="17"/>
      <c r="CC141" s="17"/>
      <c r="CD141" s="17"/>
      <c r="CE141" s="17"/>
      <c r="CF141" s="17"/>
      <c r="CG141" s="17"/>
      <c r="CH141" s="18"/>
      <c r="CI141">
        <v>12</v>
      </c>
      <c r="CJ141">
        <v>4</v>
      </c>
      <c r="CK141">
        <f t="shared" si="42"/>
        <v>12</v>
      </c>
      <c r="CL141">
        <f t="shared" si="43"/>
        <v>13</v>
      </c>
      <c r="FC141">
        <v>138</v>
      </c>
      <c r="FD141">
        <f t="shared" si="36"/>
        <v>10</v>
      </c>
      <c r="FE141">
        <f t="shared" si="37"/>
        <v>9</v>
      </c>
      <c r="FF141">
        <f t="shared" si="38"/>
        <v>143</v>
      </c>
      <c r="FI141" s="16">
        <v>138</v>
      </c>
      <c r="FJ141" s="17">
        <f t="shared" si="39"/>
        <v>143</v>
      </c>
      <c r="FK141" s="17">
        <f t="shared" si="40"/>
        <v>143</v>
      </c>
      <c r="FL141" s="18" t="str">
        <f t="shared" si="41"/>
        <v>10001111</v>
      </c>
      <c r="FM141" s="2"/>
    </row>
    <row r="142" spans="1:169">
      <c r="D142" t="str">
        <f t="shared" si="26"/>
        <v>14-L</v>
      </c>
      <c r="E142" s="23">
        <v>30</v>
      </c>
      <c r="F142" s="16">
        <v>115</v>
      </c>
      <c r="G142" s="2">
        <v>115</v>
      </c>
      <c r="H142" s="2">
        <v>115</v>
      </c>
      <c r="I142" s="2">
        <v>116</v>
      </c>
      <c r="J142" s="2"/>
      <c r="K142" s="2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  <c r="AX142" s="17"/>
      <c r="AY142" s="17"/>
      <c r="AZ142" s="17"/>
      <c r="BA142" s="17"/>
      <c r="BB142" s="17"/>
      <c r="BC142" s="17"/>
      <c r="BD142" s="17"/>
      <c r="BE142" s="17"/>
      <c r="BF142" s="17"/>
      <c r="BG142" s="17"/>
      <c r="BH142" s="17"/>
      <c r="BI142" s="17"/>
      <c r="BJ142" s="17"/>
      <c r="BK142" s="17"/>
      <c r="BL142" s="17"/>
      <c r="BM142" s="17"/>
      <c r="BN142" s="17"/>
      <c r="BO142" s="17"/>
      <c r="BP142" s="17"/>
      <c r="BQ142" s="17"/>
      <c r="BR142" s="17"/>
      <c r="BS142" s="17"/>
      <c r="BT142" s="17"/>
      <c r="BU142" s="17"/>
      <c r="BV142" s="17"/>
      <c r="BW142" s="17"/>
      <c r="BX142" s="17"/>
      <c r="BY142" s="17"/>
      <c r="BZ142" s="17"/>
      <c r="CA142" s="17"/>
      <c r="CB142" s="17"/>
      <c r="CC142" s="17"/>
      <c r="CD142" s="17"/>
      <c r="CE142" s="17"/>
      <c r="CF142" s="17"/>
      <c r="CG142" s="17"/>
      <c r="CH142" s="18"/>
      <c r="CI142">
        <v>3</v>
      </c>
      <c r="CJ142">
        <v>1</v>
      </c>
      <c r="CK142">
        <f t="shared" si="42"/>
        <v>115</v>
      </c>
      <c r="CL142">
        <f t="shared" si="43"/>
        <v>116</v>
      </c>
      <c r="FC142">
        <v>139</v>
      </c>
      <c r="FD142">
        <f t="shared" si="36"/>
        <v>11</v>
      </c>
      <c r="FE142">
        <f t="shared" si="37"/>
        <v>9</v>
      </c>
      <c r="FF142">
        <f t="shared" si="38"/>
        <v>89</v>
      </c>
      <c r="FI142" s="16">
        <v>139</v>
      </c>
      <c r="FJ142" s="17">
        <f t="shared" si="39"/>
        <v>142</v>
      </c>
      <c r="FK142" s="17">
        <f t="shared" si="40"/>
        <v>89</v>
      </c>
      <c r="FL142" s="18" t="str">
        <f t="shared" si="41"/>
        <v>01011001</v>
      </c>
      <c r="FM142" s="2"/>
    </row>
    <row r="143" spans="1:169">
      <c r="D143" t="str">
        <f t="shared" si="27"/>
        <v>14-M</v>
      </c>
      <c r="E143" s="23">
        <v>24</v>
      </c>
      <c r="F143" s="16">
        <v>40</v>
      </c>
      <c r="G143" s="2">
        <v>40</v>
      </c>
      <c r="H143" s="2">
        <v>40</v>
      </c>
      <c r="I143" s="2">
        <v>40</v>
      </c>
      <c r="J143" s="2">
        <v>41</v>
      </c>
      <c r="K143" s="2">
        <v>41</v>
      </c>
      <c r="L143" s="2">
        <v>41</v>
      </c>
      <c r="M143" s="2">
        <v>41</v>
      </c>
      <c r="N143" s="2">
        <v>41</v>
      </c>
      <c r="O143" s="2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  <c r="AX143" s="17"/>
      <c r="AY143" s="17"/>
      <c r="AZ143" s="17"/>
      <c r="BA143" s="17"/>
      <c r="BB143" s="17"/>
      <c r="BC143" s="17"/>
      <c r="BD143" s="17"/>
      <c r="BE143" s="17"/>
      <c r="BF143" s="17"/>
      <c r="BG143" s="17"/>
      <c r="BH143" s="17"/>
      <c r="BI143" s="17"/>
      <c r="BJ143" s="17"/>
      <c r="BK143" s="17"/>
      <c r="BL143" s="17"/>
      <c r="BM143" s="17"/>
      <c r="BN143" s="17"/>
      <c r="BO143" s="17"/>
      <c r="BP143" s="17"/>
      <c r="BQ143" s="17"/>
      <c r="BR143" s="17"/>
      <c r="BS143" s="17"/>
      <c r="BT143" s="17"/>
      <c r="BU143" s="17"/>
      <c r="BV143" s="17"/>
      <c r="BW143" s="17"/>
      <c r="BX143" s="17"/>
      <c r="BY143" s="17"/>
      <c r="BZ143" s="17"/>
      <c r="CA143" s="17"/>
      <c r="CB143" s="17"/>
      <c r="CC143" s="17"/>
      <c r="CD143" s="17"/>
      <c r="CE143" s="17"/>
      <c r="CF143" s="17"/>
      <c r="CG143" s="17"/>
      <c r="CH143" s="18"/>
      <c r="CI143">
        <v>4</v>
      </c>
      <c r="CJ143">
        <v>5</v>
      </c>
      <c r="CK143">
        <f t="shared" si="42"/>
        <v>40</v>
      </c>
      <c r="CL143">
        <f t="shared" si="43"/>
        <v>41</v>
      </c>
      <c r="FC143">
        <v>140</v>
      </c>
      <c r="FD143">
        <f t="shared" si="36"/>
        <v>12</v>
      </c>
      <c r="FE143">
        <f t="shared" si="37"/>
        <v>9</v>
      </c>
      <c r="FF143">
        <f t="shared" si="38"/>
        <v>184</v>
      </c>
      <c r="FI143" s="16">
        <v>140</v>
      </c>
      <c r="FJ143" s="17">
        <f t="shared" si="39"/>
        <v>134</v>
      </c>
      <c r="FK143" s="17">
        <f t="shared" si="40"/>
        <v>184</v>
      </c>
      <c r="FL143" s="18" t="str">
        <f t="shared" si="41"/>
        <v>10111000</v>
      </c>
      <c r="FM143" s="2"/>
    </row>
    <row r="144" spans="1:169">
      <c r="D144" t="str">
        <f t="shared" si="28"/>
        <v>14-Q</v>
      </c>
      <c r="E144" s="23">
        <v>20</v>
      </c>
      <c r="F144" s="16">
        <v>16</v>
      </c>
      <c r="G144" s="2">
        <v>16</v>
      </c>
      <c r="H144" s="2">
        <v>16</v>
      </c>
      <c r="I144" s="2">
        <v>16</v>
      </c>
      <c r="J144" s="2">
        <v>16</v>
      </c>
      <c r="K144" s="2">
        <v>16</v>
      </c>
      <c r="L144" s="2">
        <v>16</v>
      </c>
      <c r="M144" s="2">
        <v>16</v>
      </c>
      <c r="N144" s="2">
        <v>16</v>
      </c>
      <c r="O144" s="2">
        <v>16</v>
      </c>
      <c r="P144" s="2">
        <v>16</v>
      </c>
      <c r="Q144" s="2">
        <v>17</v>
      </c>
      <c r="R144" s="2">
        <v>17</v>
      </c>
      <c r="S144" s="2">
        <v>17</v>
      </c>
      <c r="T144" s="2">
        <v>17</v>
      </c>
      <c r="U144" s="2">
        <v>17</v>
      </c>
      <c r="V144" s="2"/>
      <c r="W144" s="2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  <c r="AX144" s="17"/>
      <c r="AY144" s="17"/>
      <c r="AZ144" s="17"/>
      <c r="BA144" s="17"/>
      <c r="BB144" s="17"/>
      <c r="BC144" s="17"/>
      <c r="BD144" s="17"/>
      <c r="BE144" s="17"/>
      <c r="BF144" s="17"/>
      <c r="BG144" s="17"/>
      <c r="BH144" s="17"/>
      <c r="BI144" s="17"/>
      <c r="BJ144" s="17"/>
      <c r="BK144" s="17"/>
      <c r="BL144" s="17"/>
      <c r="BM144" s="17"/>
      <c r="BN144" s="17"/>
      <c r="BO144" s="17"/>
      <c r="BP144" s="17"/>
      <c r="BQ144" s="17"/>
      <c r="BR144" s="17"/>
      <c r="BS144" s="17"/>
      <c r="BT144" s="17"/>
      <c r="BU144" s="17"/>
      <c r="BV144" s="17"/>
      <c r="BW144" s="17"/>
      <c r="BX144" s="17"/>
      <c r="BY144" s="17"/>
      <c r="BZ144" s="17"/>
      <c r="CA144" s="17"/>
      <c r="CB144" s="17"/>
      <c r="CC144" s="17"/>
      <c r="CD144" s="17"/>
      <c r="CE144" s="17"/>
      <c r="CF144" s="17"/>
      <c r="CG144" s="17"/>
      <c r="CH144" s="18"/>
      <c r="CI144">
        <v>11</v>
      </c>
      <c r="CJ144">
        <v>5</v>
      </c>
      <c r="CK144">
        <f t="shared" si="42"/>
        <v>16</v>
      </c>
      <c r="CL144">
        <f t="shared" si="43"/>
        <v>17</v>
      </c>
      <c r="FC144">
        <v>141</v>
      </c>
      <c r="FD144">
        <f t="shared" si="36"/>
        <v>13</v>
      </c>
      <c r="FE144">
        <f t="shared" si="37"/>
        <v>9</v>
      </c>
      <c r="FF144">
        <f t="shared" si="38"/>
        <v>12</v>
      </c>
      <c r="FI144" s="16">
        <v>141</v>
      </c>
      <c r="FJ144" s="17">
        <f t="shared" si="39"/>
        <v>115</v>
      </c>
      <c r="FK144" s="17">
        <f t="shared" si="40"/>
        <v>12</v>
      </c>
      <c r="FL144" s="18" t="str">
        <f t="shared" si="41"/>
        <v>00001100</v>
      </c>
      <c r="FM144" s="2"/>
    </row>
    <row r="145" spans="4:169">
      <c r="D145" t="str">
        <f t="shared" si="29"/>
        <v>14-H</v>
      </c>
      <c r="E145" s="23">
        <v>24</v>
      </c>
      <c r="F145" s="16">
        <v>12</v>
      </c>
      <c r="G145" s="2">
        <v>12</v>
      </c>
      <c r="H145" s="2">
        <v>12</v>
      </c>
      <c r="I145" s="2">
        <v>12</v>
      </c>
      <c r="J145" s="2">
        <v>12</v>
      </c>
      <c r="K145" s="2">
        <v>12</v>
      </c>
      <c r="L145" s="2">
        <v>12</v>
      </c>
      <c r="M145" s="2">
        <v>12</v>
      </c>
      <c r="N145" s="2">
        <v>12</v>
      </c>
      <c r="O145" s="2">
        <v>12</v>
      </c>
      <c r="P145" s="2">
        <v>12</v>
      </c>
      <c r="Q145" s="2">
        <v>13</v>
      </c>
      <c r="R145" s="2">
        <v>13</v>
      </c>
      <c r="S145" s="2">
        <v>13</v>
      </c>
      <c r="T145" s="2">
        <v>13</v>
      </c>
      <c r="U145" s="2">
        <v>13</v>
      </c>
      <c r="V145" s="2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  <c r="AX145" s="17"/>
      <c r="AY145" s="17"/>
      <c r="AZ145" s="17"/>
      <c r="BA145" s="17"/>
      <c r="BB145" s="17"/>
      <c r="BC145" s="17"/>
      <c r="BD145" s="17"/>
      <c r="BE145" s="17"/>
      <c r="BF145" s="17"/>
      <c r="BG145" s="17"/>
      <c r="BH145" s="17"/>
      <c r="BI145" s="17"/>
      <c r="BJ145" s="17"/>
      <c r="BK145" s="17"/>
      <c r="BL145" s="17"/>
      <c r="BM145" s="17"/>
      <c r="BN145" s="17"/>
      <c r="BO145" s="17"/>
      <c r="BP145" s="17"/>
      <c r="BQ145" s="17"/>
      <c r="BR145" s="17"/>
      <c r="BS145" s="17"/>
      <c r="BT145" s="17"/>
      <c r="BU145" s="17"/>
      <c r="BV145" s="17"/>
      <c r="BW145" s="17"/>
      <c r="BX145" s="17"/>
      <c r="BY145" s="17"/>
      <c r="BZ145" s="17"/>
      <c r="CA145" s="17"/>
      <c r="CB145" s="17"/>
      <c r="CC145" s="17"/>
      <c r="CD145" s="17"/>
      <c r="CE145" s="17"/>
      <c r="CF145" s="17"/>
      <c r="CG145" s="17"/>
      <c r="CH145" s="18"/>
      <c r="CI145">
        <v>11</v>
      </c>
      <c r="CJ145">
        <v>5</v>
      </c>
      <c r="CK145">
        <f t="shared" si="42"/>
        <v>12</v>
      </c>
      <c r="CL145">
        <f t="shared" si="43"/>
        <v>13</v>
      </c>
      <c r="FC145">
        <v>142</v>
      </c>
      <c r="FD145">
        <f t="shared" si="36"/>
        <v>14</v>
      </c>
      <c r="FE145">
        <f t="shared" si="37"/>
        <v>9</v>
      </c>
      <c r="FF145">
        <f t="shared" si="38"/>
        <v>0</v>
      </c>
      <c r="FI145" s="16">
        <v>142</v>
      </c>
      <c r="FJ145" s="17">
        <f t="shared" si="39"/>
        <v>193</v>
      </c>
      <c r="FK145" s="17">
        <f t="shared" si="40"/>
        <v>0</v>
      </c>
      <c r="FL145" s="18" t="str">
        <f t="shared" si="41"/>
        <v>00000000</v>
      </c>
      <c r="FM145" s="2"/>
    </row>
    <row r="146" spans="4:169">
      <c r="D146" t="str">
        <f t="shared" si="26"/>
        <v>15-L</v>
      </c>
      <c r="E146" s="23">
        <v>22</v>
      </c>
      <c r="F146" s="16">
        <v>87</v>
      </c>
      <c r="G146" s="2">
        <v>87</v>
      </c>
      <c r="H146" s="2">
        <v>87</v>
      </c>
      <c r="I146" s="2">
        <v>87</v>
      </c>
      <c r="J146" s="2">
        <v>87</v>
      </c>
      <c r="K146" s="2">
        <v>88</v>
      </c>
      <c r="L146" s="2"/>
      <c r="M146" s="2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  <c r="AX146" s="17"/>
      <c r="AY146" s="17"/>
      <c r="AZ146" s="17"/>
      <c r="BA146" s="17"/>
      <c r="BB146" s="17"/>
      <c r="BC146" s="17"/>
      <c r="BD146" s="17"/>
      <c r="BE146" s="17"/>
      <c r="BF146" s="17"/>
      <c r="BG146" s="17"/>
      <c r="BH146" s="17"/>
      <c r="BI146" s="17"/>
      <c r="BJ146" s="17"/>
      <c r="BK146" s="17"/>
      <c r="BL146" s="17"/>
      <c r="BM146" s="17"/>
      <c r="BN146" s="17"/>
      <c r="BO146" s="17"/>
      <c r="BP146" s="17"/>
      <c r="BQ146" s="17"/>
      <c r="BR146" s="17"/>
      <c r="BS146" s="17"/>
      <c r="BT146" s="17"/>
      <c r="BU146" s="17"/>
      <c r="BV146" s="17"/>
      <c r="BW146" s="17"/>
      <c r="BX146" s="17"/>
      <c r="BY146" s="17"/>
      <c r="BZ146" s="17"/>
      <c r="CA146" s="17"/>
      <c r="CB146" s="17"/>
      <c r="CC146" s="17"/>
      <c r="CD146" s="17"/>
      <c r="CE146" s="17"/>
      <c r="CF146" s="17"/>
      <c r="CG146" s="17"/>
      <c r="CH146" s="18"/>
      <c r="CI146">
        <v>5</v>
      </c>
      <c r="CJ146">
        <v>1</v>
      </c>
      <c r="CK146">
        <f t="shared" si="42"/>
        <v>87</v>
      </c>
      <c r="CL146">
        <f t="shared" si="43"/>
        <v>88</v>
      </c>
      <c r="FC146">
        <v>143</v>
      </c>
      <c r="FD146">
        <f t="shared" si="36"/>
        <v>15</v>
      </c>
      <c r="FE146">
        <f t="shared" si="37"/>
        <v>9</v>
      </c>
      <c r="FF146">
        <f t="shared" si="38"/>
        <v>236</v>
      </c>
      <c r="FI146" s="16">
        <v>143</v>
      </c>
      <c r="FJ146" s="17">
        <f t="shared" si="39"/>
        <v>169</v>
      </c>
      <c r="FK146" s="17">
        <f t="shared" si="40"/>
        <v>236</v>
      </c>
      <c r="FL146" s="18" t="str">
        <f t="shared" si="41"/>
        <v>11101100</v>
      </c>
      <c r="FM146" s="2"/>
    </row>
    <row r="147" spans="4:169">
      <c r="D147" t="str">
        <f t="shared" si="27"/>
        <v>15-M</v>
      </c>
      <c r="E147" s="23">
        <v>24</v>
      </c>
      <c r="F147" s="16">
        <v>41</v>
      </c>
      <c r="G147" s="2">
        <v>41</v>
      </c>
      <c r="H147" s="2">
        <v>41</v>
      </c>
      <c r="I147" s="2">
        <v>41</v>
      </c>
      <c r="J147" s="2">
        <v>41</v>
      </c>
      <c r="K147" s="2">
        <v>42</v>
      </c>
      <c r="L147" s="2">
        <v>42</v>
      </c>
      <c r="M147" s="2">
        <v>42</v>
      </c>
      <c r="N147" s="2">
        <v>42</v>
      </c>
      <c r="O147" s="2">
        <v>42</v>
      </c>
      <c r="P147" s="2"/>
      <c r="Q147" s="2"/>
      <c r="R147" s="2"/>
      <c r="S147" s="2"/>
      <c r="T147" s="2"/>
      <c r="U147" s="2"/>
      <c r="V147" s="2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  <c r="AX147" s="17"/>
      <c r="AY147" s="17"/>
      <c r="AZ147" s="17"/>
      <c r="BA147" s="17"/>
      <c r="BB147" s="17"/>
      <c r="BC147" s="17"/>
      <c r="BD147" s="17"/>
      <c r="BE147" s="17"/>
      <c r="BF147" s="17"/>
      <c r="BG147" s="17"/>
      <c r="BH147" s="17"/>
      <c r="BI147" s="17"/>
      <c r="BJ147" s="17"/>
      <c r="BK147" s="17"/>
      <c r="BL147" s="17"/>
      <c r="BM147" s="17"/>
      <c r="BN147" s="17"/>
      <c r="BO147" s="17"/>
      <c r="BP147" s="17"/>
      <c r="BQ147" s="17"/>
      <c r="BR147" s="17"/>
      <c r="BS147" s="17"/>
      <c r="BT147" s="17"/>
      <c r="BU147" s="17"/>
      <c r="BV147" s="17"/>
      <c r="BW147" s="17"/>
      <c r="BX147" s="17"/>
      <c r="BY147" s="17"/>
      <c r="BZ147" s="17"/>
      <c r="CA147" s="17"/>
      <c r="CB147" s="17"/>
      <c r="CC147" s="17"/>
      <c r="CD147" s="17"/>
      <c r="CE147" s="17"/>
      <c r="CF147" s="17"/>
      <c r="CG147" s="17"/>
      <c r="CH147" s="18"/>
      <c r="CI147">
        <v>5</v>
      </c>
      <c r="CJ147">
        <v>5</v>
      </c>
      <c r="CK147">
        <f t="shared" si="42"/>
        <v>41</v>
      </c>
      <c r="CL147">
        <f t="shared" si="43"/>
        <v>42</v>
      </c>
      <c r="FC147">
        <v>144</v>
      </c>
      <c r="FD147">
        <f t="shared" si="36"/>
        <v>16</v>
      </c>
      <c r="FE147">
        <f t="shared" si="37"/>
        <v>9</v>
      </c>
      <c r="FF147" t="str">
        <f t="shared" si="38"/>
        <v/>
      </c>
      <c r="FI147" s="16">
        <v>144</v>
      </c>
      <c r="FJ147" s="17">
        <f t="shared" si="39"/>
        <v>0</v>
      </c>
      <c r="FK147" s="17" t="str">
        <f t="shared" si="40"/>
        <v/>
      </c>
      <c r="FL147" s="18" t="str">
        <f t="shared" si="41"/>
        <v/>
      </c>
      <c r="FM147" s="2"/>
    </row>
    <row r="148" spans="4:169">
      <c r="D148" t="str">
        <f t="shared" si="28"/>
        <v>15-Q</v>
      </c>
      <c r="E148" s="23">
        <v>30</v>
      </c>
      <c r="F148" s="16">
        <v>24</v>
      </c>
      <c r="G148" s="2">
        <v>24</v>
      </c>
      <c r="H148" s="2">
        <v>24</v>
      </c>
      <c r="I148" s="2">
        <v>24</v>
      </c>
      <c r="J148" s="2">
        <v>24</v>
      </c>
      <c r="K148" s="2">
        <v>25</v>
      </c>
      <c r="L148" s="2">
        <v>25</v>
      </c>
      <c r="M148" s="2">
        <v>25</v>
      </c>
      <c r="N148" s="2">
        <v>25</v>
      </c>
      <c r="O148" s="2">
        <v>25</v>
      </c>
      <c r="P148" s="2">
        <v>25</v>
      </c>
      <c r="Q148" s="2">
        <v>25</v>
      </c>
      <c r="R148" s="2"/>
      <c r="S148" s="2"/>
      <c r="T148" s="2"/>
      <c r="U148" s="2"/>
      <c r="V148" s="2"/>
      <c r="W148" s="2"/>
      <c r="X148" s="2"/>
      <c r="Y148" s="2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  <c r="AX148" s="17"/>
      <c r="AY148" s="17"/>
      <c r="AZ148" s="17"/>
      <c r="BA148" s="17"/>
      <c r="BB148" s="17"/>
      <c r="BC148" s="17"/>
      <c r="BD148" s="17"/>
      <c r="BE148" s="17"/>
      <c r="BF148" s="17"/>
      <c r="BG148" s="17"/>
      <c r="BH148" s="17"/>
      <c r="BI148" s="17"/>
      <c r="BJ148" s="17"/>
      <c r="BK148" s="17"/>
      <c r="BL148" s="17"/>
      <c r="BM148" s="17"/>
      <c r="BN148" s="17"/>
      <c r="BO148" s="17"/>
      <c r="BP148" s="17"/>
      <c r="BQ148" s="17"/>
      <c r="BR148" s="17"/>
      <c r="BS148" s="17"/>
      <c r="BT148" s="17"/>
      <c r="BU148" s="17"/>
      <c r="BV148" s="17"/>
      <c r="BW148" s="17"/>
      <c r="BX148" s="17"/>
      <c r="BY148" s="17"/>
      <c r="BZ148" s="17"/>
      <c r="CA148" s="17"/>
      <c r="CB148" s="17"/>
      <c r="CC148" s="17"/>
      <c r="CD148" s="17"/>
      <c r="CE148" s="17"/>
      <c r="CF148" s="17"/>
      <c r="CG148" s="17"/>
      <c r="CH148" s="18"/>
      <c r="CI148">
        <v>5</v>
      </c>
      <c r="CJ148">
        <v>7</v>
      </c>
      <c r="CK148">
        <f t="shared" si="42"/>
        <v>24</v>
      </c>
      <c r="CL148">
        <f t="shared" si="43"/>
        <v>25</v>
      </c>
      <c r="FC148">
        <v>145</v>
      </c>
      <c r="FD148">
        <f t="shared" si="36"/>
        <v>1</v>
      </c>
      <c r="FE148">
        <f t="shared" si="37"/>
        <v>10</v>
      </c>
      <c r="FF148">
        <f t="shared" si="38"/>
        <v>14</v>
      </c>
      <c r="FI148" s="16">
        <v>145</v>
      </c>
      <c r="FJ148" s="17">
        <f t="shared" si="39"/>
        <v>198</v>
      </c>
      <c r="FK148" s="17">
        <f t="shared" si="40"/>
        <v>14</v>
      </c>
      <c r="FL148" s="18" t="str">
        <f t="shared" si="41"/>
        <v>00001110</v>
      </c>
      <c r="FM148" s="2"/>
    </row>
    <row r="149" spans="4:169">
      <c r="D149" t="str">
        <f t="shared" si="29"/>
        <v>15-H</v>
      </c>
      <c r="E149" s="23">
        <v>24</v>
      </c>
      <c r="F149" s="16">
        <v>12</v>
      </c>
      <c r="G149" s="2">
        <v>12</v>
      </c>
      <c r="H149" s="2">
        <v>12</v>
      </c>
      <c r="I149" s="2">
        <v>12</v>
      </c>
      <c r="J149" s="2">
        <v>12</v>
      </c>
      <c r="K149" s="2">
        <v>12</v>
      </c>
      <c r="L149" s="2">
        <v>12</v>
      </c>
      <c r="M149" s="2">
        <v>12</v>
      </c>
      <c r="N149" s="2">
        <v>12</v>
      </c>
      <c r="O149" s="2">
        <v>12</v>
      </c>
      <c r="P149" s="2">
        <v>12</v>
      </c>
      <c r="Q149" s="2">
        <v>13</v>
      </c>
      <c r="R149" s="2">
        <v>13</v>
      </c>
      <c r="S149" s="2">
        <v>13</v>
      </c>
      <c r="T149" s="2">
        <v>13</v>
      </c>
      <c r="U149" s="2">
        <v>13</v>
      </c>
      <c r="V149" s="2">
        <v>13</v>
      </c>
      <c r="W149" s="2">
        <v>13</v>
      </c>
      <c r="X149" s="2"/>
      <c r="Y149" s="2"/>
      <c r="Z149" s="2"/>
      <c r="AA149" s="2"/>
      <c r="AB149" s="2"/>
      <c r="AC149" s="2"/>
      <c r="AD149" s="2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  <c r="AX149" s="17"/>
      <c r="AY149" s="17"/>
      <c r="AZ149" s="17"/>
      <c r="BA149" s="17"/>
      <c r="BB149" s="17"/>
      <c r="BC149" s="17"/>
      <c r="BD149" s="17"/>
      <c r="BE149" s="17"/>
      <c r="BF149" s="17"/>
      <c r="BG149" s="17"/>
      <c r="BH149" s="17"/>
      <c r="BI149" s="17"/>
      <c r="BJ149" s="17"/>
      <c r="BK149" s="17"/>
      <c r="BL149" s="17"/>
      <c r="BM149" s="17"/>
      <c r="BN149" s="17"/>
      <c r="BO149" s="17"/>
      <c r="BP149" s="17"/>
      <c r="BQ149" s="17"/>
      <c r="BR149" s="17"/>
      <c r="BS149" s="17"/>
      <c r="BT149" s="17"/>
      <c r="BU149" s="17"/>
      <c r="BV149" s="17"/>
      <c r="BW149" s="17"/>
      <c r="BX149" s="17"/>
      <c r="BY149" s="17"/>
      <c r="BZ149" s="17"/>
      <c r="CA149" s="17"/>
      <c r="CB149" s="17"/>
      <c r="CC149" s="17"/>
      <c r="CD149" s="17"/>
      <c r="CE149" s="17"/>
      <c r="CF149" s="17"/>
      <c r="CG149" s="17"/>
      <c r="CH149" s="18"/>
      <c r="CI149">
        <v>11</v>
      </c>
      <c r="CJ149">
        <v>7</v>
      </c>
      <c r="CK149">
        <f t="shared" si="42"/>
        <v>12</v>
      </c>
      <c r="CL149">
        <f t="shared" si="43"/>
        <v>13</v>
      </c>
      <c r="FC149">
        <v>146</v>
      </c>
      <c r="FD149">
        <f t="shared" si="36"/>
        <v>2</v>
      </c>
      <c r="FE149">
        <f t="shared" si="37"/>
        <v>10</v>
      </c>
      <c r="FF149">
        <f t="shared" si="38"/>
        <v>114</v>
      </c>
      <c r="FI149" s="16">
        <v>146</v>
      </c>
      <c r="FJ149" s="17">
        <f t="shared" si="39"/>
        <v>217</v>
      </c>
      <c r="FK149" s="17">
        <f t="shared" si="40"/>
        <v>114</v>
      </c>
      <c r="FL149" s="18" t="str">
        <f t="shared" si="41"/>
        <v>01110010</v>
      </c>
      <c r="FM149" s="2"/>
    </row>
    <row r="150" spans="4:169">
      <c r="D150" t="str">
        <f t="shared" si="26"/>
        <v>16-L</v>
      </c>
      <c r="E150" s="23">
        <f>122-98</f>
        <v>24</v>
      </c>
      <c r="F150" s="16">
        <v>98</v>
      </c>
      <c r="G150" s="2">
        <v>98</v>
      </c>
      <c r="H150" s="2">
        <v>98</v>
      </c>
      <c r="I150" s="2">
        <v>98</v>
      </c>
      <c r="J150" s="2">
        <v>98</v>
      </c>
      <c r="K150" s="2">
        <v>99</v>
      </c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  <c r="BI150" s="17"/>
      <c r="BJ150" s="17"/>
      <c r="BK150" s="17"/>
      <c r="BL150" s="17"/>
      <c r="BM150" s="17"/>
      <c r="BN150" s="17"/>
      <c r="BO150" s="17"/>
      <c r="BP150" s="17"/>
      <c r="BQ150" s="17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7"/>
      <c r="CC150" s="17"/>
      <c r="CD150" s="17"/>
      <c r="CE150" s="17"/>
      <c r="CF150" s="17"/>
      <c r="CG150" s="17"/>
      <c r="CH150" s="18"/>
      <c r="CI150">
        <v>5</v>
      </c>
      <c r="CJ150">
        <v>1</v>
      </c>
      <c r="CK150">
        <f t="shared" ref="CK150:CK165" si="44">IF(CI150=0,0,F150)</f>
        <v>98</v>
      </c>
      <c r="CL150">
        <f t="shared" ref="CL150:CL165" si="45">IF(CI150=0,F150,F150+1)</f>
        <v>99</v>
      </c>
      <c r="FC150">
        <v>147</v>
      </c>
      <c r="FD150">
        <f t="shared" ref="FD150:FD213" si="46">IF(MOD(FC150,$FB$1+$FB$2)=0,$FB$1+$FB$2,MOD(FC150,$FB$1+$FB$2))</f>
        <v>3</v>
      </c>
      <c r="FE150">
        <f t="shared" ref="FE150:FE213" si="47">ROUNDUP(FC150/($FB$1+$FB$2),0)</f>
        <v>10</v>
      </c>
      <c r="FF150">
        <f t="shared" ref="FF150:FF213" si="48">IF(FE150&lt;$FB$3,INDEX($E$4:$DV$84,FD150,FE150),IF(FE150=$FB$3,INDEX($E$4:$DV$84,FD150+$FB$1,FE150),""))</f>
        <v>82</v>
      </c>
      <c r="FI150" s="16">
        <v>147</v>
      </c>
      <c r="FJ150" s="17">
        <f t="shared" ref="FJ150:FJ213" si="49">IF(FE150&lt;=$FH$1,INDEX($DW$4:$EZ$84,FD150,FE150),"")</f>
        <v>110</v>
      </c>
      <c r="FK150" s="17">
        <f t="shared" si="40"/>
        <v>82</v>
      </c>
      <c r="FL150" s="18" t="str">
        <f t="shared" ref="FL150:FL213" si="50">IFERROR(TEXT(DEC2BIN(FK150),"00000000"),"")</f>
        <v>01010010</v>
      </c>
    </row>
    <row r="151" spans="4:169">
      <c r="D151" t="str">
        <f t="shared" si="27"/>
        <v>16-M</v>
      </c>
      <c r="E151" s="23">
        <f>73-45</f>
        <v>28</v>
      </c>
      <c r="F151" s="16">
        <v>45</v>
      </c>
      <c r="G151" s="2">
        <v>45</v>
      </c>
      <c r="H151" s="2">
        <v>45</v>
      </c>
      <c r="I151" s="2">
        <v>45</v>
      </c>
      <c r="J151" s="2">
        <v>45</v>
      </c>
      <c r="K151" s="2">
        <v>45</v>
      </c>
      <c r="L151" s="2">
        <v>45</v>
      </c>
      <c r="M151" s="2">
        <v>46</v>
      </c>
      <c r="N151" s="2">
        <v>46</v>
      </c>
      <c r="O151" s="2">
        <v>46</v>
      </c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  <c r="BI151" s="17"/>
      <c r="BJ151" s="17"/>
      <c r="BK151" s="17"/>
      <c r="BL151" s="17"/>
      <c r="BM151" s="17"/>
      <c r="BN151" s="17"/>
      <c r="BO151" s="17"/>
      <c r="BP151" s="17"/>
      <c r="BQ151" s="17"/>
      <c r="BR151" s="17"/>
      <c r="BS151" s="17"/>
      <c r="BT151" s="17"/>
      <c r="BU151" s="17"/>
      <c r="BV151" s="17"/>
      <c r="BW151" s="17"/>
      <c r="BX151" s="17"/>
      <c r="BY151" s="17"/>
      <c r="BZ151" s="17"/>
      <c r="CA151" s="17"/>
      <c r="CB151" s="17"/>
      <c r="CC151" s="17"/>
      <c r="CD151" s="17"/>
      <c r="CE151" s="17"/>
      <c r="CF151" s="17"/>
      <c r="CG151" s="17"/>
      <c r="CH151" s="18"/>
      <c r="CI151">
        <v>7</v>
      </c>
      <c r="CJ151">
        <v>3</v>
      </c>
      <c r="CK151">
        <f t="shared" si="44"/>
        <v>45</v>
      </c>
      <c r="CL151">
        <f t="shared" si="45"/>
        <v>46</v>
      </c>
      <c r="FC151">
        <v>148</v>
      </c>
      <c r="FD151">
        <f t="shared" si="46"/>
        <v>4</v>
      </c>
      <c r="FE151">
        <f t="shared" si="47"/>
        <v>10</v>
      </c>
      <c r="FF151">
        <f t="shared" si="48"/>
        <v>240</v>
      </c>
      <c r="FI151" s="16">
        <v>148</v>
      </c>
      <c r="FJ151" s="17">
        <f t="shared" si="49"/>
        <v>177</v>
      </c>
      <c r="FK151" s="17">
        <f t="shared" si="40"/>
        <v>240</v>
      </c>
      <c r="FL151" s="18" t="str">
        <f t="shared" si="50"/>
        <v>11110000</v>
      </c>
    </row>
    <row r="152" spans="4:169">
      <c r="D152" t="str">
        <f t="shared" si="28"/>
        <v>16-Q</v>
      </c>
      <c r="E152" s="23">
        <f>43-19</f>
        <v>24</v>
      </c>
      <c r="F152" s="16">
        <v>19</v>
      </c>
      <c r="G152" s="2">
        <v>19</v>
      </c>
      <c r="H152" s="2">
        <v>19</v>
      </c>
      <c r="I152" s="2">
        <v>19</v>
      </c>
      <c r="J152" s="2">
        <v>19</v>
      </c>
      <c r="K152" s="2">
        <v>19</v>
      </c>
      <c r="L152" s="2">
        <v>19</v>
      </c>
      <c r="M152" s="2">
        <v>19</v>
      </c>
      <c r="N152" s="2">
        <v>19</v>
      </c>
      <c r="O152" s="2">
        <v>19</v>
      </c>
      <c r="P152" s="2">
        <v>19</v>
      </c>
      <c r="Q152" s="2">
        <v>19</v>
      </c>
      <c r="R152" s="2">
        <v>19</v>
      </c>
      <c r="S152" s="2">
        <v>19</v>
      </c>
      <c r="T152" s="2">
        <v>19</v>
      </c>
      <c r="U152" s="2">
        <v>20</v>
      </c>
      <c r="V152" s="2">
        <v>20</v>
      </c>
      <c r="W152" s="2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  <c r="BI152" s="17"/>
      <c r="BJ152" s="17"/>
      <c r="BK152" s="17"/>
      <c r="BL152" s="17"/>
      <c r="BM152" s="17"/>
      <c r="BN152" s="17"/>
      <c r="BO152" s="17"/>
      <c r="BP152" s="17"/>
      <c r="BQ152" s="17"/>
      <c r="BR152" s="17"/>
      <c r="BS152" s="17"/>
      <c r="BT152" s="17"/>
      <c r="BU152" s="17"/>
      <c r="BV152" s="17"/>
      <c r="BW152" s="17"/>
      <c r="BX152" s="17"/>
      <c r="BY152" s="17"/>
      <c r="BZ152" s="17"/>
      <c r="CA152" s="17"/>
      <c r="CB152" s="17"/>
      <c r="CC152" s="17"/>
      <c r="CD152" s="17"/>
      <c r="CE152" s="17"/>
      <c r="CF152" s="17"/>
      <c r="CG152" s="17"/>
      <c r="CH152" s="18"/>
      <c r="CI152">
        <v>15</v>
      </c>
      <c r="CJ152">
        <v>2</v>
      </c>
      <c r="CK152">
        <f t="shared" si="44"/>
        <v>19</v>
      </c>
      <c r="CL152">
        <f t="shared" si="45"/>
        <v>20</v>
      </c>
      <c r="FC152">
        <v>149</v>
      </c>
      <c r="FD152">
        <f t="shared" si="46"/>
        <v>5</v>
      </c>
      <c r="FE152">
        <f t="shared" si="47"/>
        <v>10</v>
      </c>
      <c r="FF152">
        <f t="shared" si="48"/>
        <v>131</v>
      </c>
      <c r="FI152" s="16">
        <v>149</v>
      </c>
      <c r="FJ152" s="17">
        <f t="shared" si="49"/>
        <v>4</v>
      </c>
      <c r="FK152" s="17">
        <f t="shared" si="40"/>
        <v>131</v>
      </c>
      <c r="FL152" s="18" t="str">
        <f t="shared" si="50"/>
        <v>10000011</v>
      </c>
    </row>
    <row r="153" spans="4:169">
      <c r="D153" t="str">
        <f t="shared" si="29"/>
        <v>16-H</v>
      </c>
      <c r="E153" s="23">
        <f>45-15</f>
        <v>30</v>
      </c>
      <c r="F153" s="16">
        <v>15</v>
      </c>
      <c r="G153" s="2">
        <v>15</v>
      </c>
      <c r="H153" s="2">
        <v>15</v>
      </c>
      <c r="I153" s="2">
        <v>16</v>
      </c>
      <c r="J153" s="2">
        <v>16</v>
      </c>
      <c r="K153" s="2">
        <v>16</v>
      </c>
      <c r="L153" s="2">
        <v>16</v>
      </c>
      <c r="M153" s="2">
        <v>16</v>
      </c>
      <c r="N153" s="2">
        <v>16</v>
      </c>
      <c r="O153" s="2">
        <v>16</v>
      </c>
      <c r="P153" s="2">
        <v>16</v>
      </c>
      <c r="Q153" s="2">
        <v>16</v>
      </c>
      <c r="R153" s="2">
        <v>16</v>
      </c>
      <c r="S153" s="2">
        <v>16</v>
      </c>
      <c r="T153" s="2">
        <v>16</v>
      </c>
      <c r="U153" s="2">
        <v>16</v>
      </c>
      <c r="V153" s="2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  <c r="BI153" s="17"/>
      <c r="BJ153" s="17"/>
      <c r="BK153" s="17"/>
      <c r="BL153" s="17"/>
      <c r="BM153" s="17"/>
      <c r="BN153" s="17"/>
      <c r="BO153" s="17"/>
      <c r="BP153" s="17"/>
      <c r="BQ153" s="17"/>
      <c r="BR153" s="17"/>
      <c r="BS153" s="17"/>
      <c r="BT153" s="17"/>
      <c r="BU153" s="17"/>
      <c r="BV153" s="17"/>
      <c r="BW153" s="17"/>
      <c r="BX153" s="17"/>
      <c r="BY153" s="17"/>
      <c r="BZ153" s="17"/>
      <c r="CA153" s="17"/>
      <c r="CB153" s="17"/>
      <c r="CC153" s="17"/>
      <c r="CD153" s="17"/>
      <c r="CE153" s="17"/>
      <c r="CF153" s="17"/>
      <c r="CG153" s="17"/>
      <c r="CH153" s="18"/>
      <c r="CI153">
        <v>3</v>
      </c>
      <c r="CJ153">
        <v>13</v>
      </c>
      <c r="CK153">
        <f t="shared" si="44"/>
        <v>15</v>
      </c>
      <c r="CL153">
        <f t="shared" si="45"/>
        <v>16</v>
      </c>
      <c r="FC153">
        <v>150</v>
      </c>
      <c r="FD153">
        <f t="shared" si="46"/>
        <v>6</v>
      </c>
      <c r="FE153">
        <f t="shared" si="47"/>
        <v>10</v>
      </c>
      <c r="FF153">
        <f t="shared" si="48"/>
        <v>104</v>
      </c>
      <c r="FI153" s="16">
        <v>150</v>
      </c>
      <c r="FJ153" s="17">
        <f t="shared" si="49"/>
        <v>27</v>
      </c>
      <c r="FK153" s="17">
        <f t="shared" si="40"/>
        <v>104</v>
      </c>
      <c r="FL153" s="18" t="str">
        <f t="shared" si="50"/>
        <v>01101000</v>
      </c>
    </row>
    <row r="154" spans="4:169">
      <c r="D154" t="str">
        <f t="shared" si="26"/>
        <v>17-L</v>
      </c>
      <c r="E154" s="23">
        <v>28</v>
      </c>
      <c r="F154" s="16">
        <v>107</v>
      </c>
      <c r="G154" s="2">
        <v>108</v>
      </c>
      <c r="H154" s="2">
        <v>108</v>
      </c>
      <c r="I154" s="2">
        <v>108</v>
      </c>
      <c r="J154" s="2">
        <v>108</v>
      </c>
      <c r="K154" s="2">
        <v>108</v>
      </c>
      <c r="L154" s="2"/>
      <c r="M154" s="2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  <c r="BI154" s="17"/>
      <c r="BJ154" s="17"/>
      <c r="BK154" s="17"/>
      <c r="BL154" s="17"/>
      <c r="BM154" s="17"/>
      <c r="BN154" s="17"/>
      <c r="BO154" s="17"/>
      <c r="BP154" s="17"/>
      <c r="BQ154" s="17"/>
      <c r="BR154" s="17"/>
      <c r="BS154" s="17"/>
      <c r="BT154" s="17"/>
      <c r="BU154" s="17"/>
      <c r="BV154" s="17"/>
      <c r="BW154" s="17"/>
      <c r="BX154" s="17"/>
      <c r="BY154" s="17"/>
      <c r="BZ154" s="17"/>
      <c r="CA154" s="17"/>
      <c r="CB154" s="17"/>
      <c r="CC154" s="17"/>
      <c r="CD154" s="17"/>
      <c r="CE154" s="17"/>
      <c r="CF154" s="17"/>
      <c r="CG154" s="17"/>
      <c r="CH154" s="18"/>
      <c r="CI154">
        <v>1</v>
      </c>
      <c r="CJ154">
        <v>5</v>
      </c>
      <c r="CK154">
        <f t="shared" si="44"/>
        <v>107</v>
      </c>
      <c r="CL154">
        <f t="shared" si="45"/>
        <v>108</v>
      </c>
      <c r="FC154">
        <v>151</v>
      </c>
      <c r="FD154">
        <f t="shared" si="46"/>
        <v>7</v>
      </c>
      <c r="FE154">
        <f t="shared" si="47"/>
        <v>10</v>
      </c>
      <c r="FF154">
        <f t="shared" si="48"/>
        <v>58</v>
      </c>
      <c r="FI154" s="16">
        <v>151</v>
      </c>
      <c r="FJ154" s="17">
        <f t="shared" si="49"/>
        <v>94</v>
      </c>
      <c r="FK154" s="17">
        <f t="shared" si="40"/>
        <v>58</v>
      </c>
      <c r="FL154" s="18" t="str">
        <f t="shared" si="50"/>
        <v>00111010</v>
      </c>
    </row>
    <row r="155" spans="4:169">
      <c r="D155" t="str">
        <f t="shared" si="27"/>
        <v>17-M</v>
      </c>
      <c r="E155" s="23">
        <v>8</v>
      </c>
      <c r="F155" s="16">
        <v>46</v>
      </c>
      <c r="G155" s="2">
        <v>46</v>
      </c>
      <c r="H155" s="2">
        <v>46</v>
      </c>
      <c r="I155" s="2">
        <v>46</v>
      </c>
      <c r="J155" s="2">
        <v>46</v>
      </c>
      <c r="K155" s="2">
        <v>46</v>
      </c>
      <c r="L155" s="2">
        <v>46</v>
      </c>
      <c r="M155" s="2">
        <v>46</v>
      </c>
      <c r="N155" s="2">
        <v>46</v>
      </c>
      <c r="O155" s="2">
        <v>46</v>
      </c>
      <c r="P155" s="2">
        <v>47</v>
      </c>
      <c r="Q155" s="2"/>
      <c r="R155" s="2"/>
      <c r="S155" s="2"/>
      <c r="T155" s="2"/>
      <c r="U155" s="2"/>
      <c r="V155" s="2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  <c r="BI155" s="17"/>
      <c r="BJ155" s="17"/>
      <c r="BK155" s="17"/>
      <c r="BL155" s="17"/>
      <c r="BM155" s="17"/>
      <c r="BN155" s="17"/>
      <c r="BO155" s="17"/>
      <c r="BP155" s="17"/>
      <c r="BQ155" s="17"/>
      <c r="BR155" s="17"/>
      <c r="BS155" s="17"/>
      <c r="BT155" s="17"/>
      <c r="BU155" s="17"/>
      <c r="BV155" s="17"/>
      <c r="BW155" s="17"/>
      <c r="BX155" s="17"/>
      <c r="BY155" s="17"/>
      <c r="BZ155" s="17"/>
      <c r="CA155" s="17"/>
      <c r="CB155" s="17"/>
      <c r="CC155" s="17"/>
      <c r="CD155" s="17"/>
      <c r="CE155" s="17"/>
      <c r="CF155" s="17"/>
      <c r="CG155" s="17"/>
      <c r="CH155" s="18"/>
      <c r="CI155">
        <v>10</v>
      </c>
      <c r="CJ155">
        <v>1</v>
      </c>
      <c r="CK155">
        <f t="shared" si="44"/>
        <v>46</v>
      </c>
      <c r="CL155">
        <f t="shared" si="45"/>
        <v>47</v>
      </c>
      <c r="FC155">
        <v>152</v>
      </c>
      <c r="FD155">
        <f t="shared" si="46"/>
        <v>8</v>
      </c>
      <c r="FE155">
        <f t="shared" si="47"/>
        <v>10</v>
      </c>
      <c r="FF155">
        <f t="shared" si="48"/>
        <v>77</v>
      </c>
      <c r="FI155" s="16">
        <v>152</v>
      </c>
      <c r="FJ155" s="17">
        <f t="shared" si="49"/>
        <v>37</v>
      </c>
      <c r="FK155" s="17">
        <f t="shared" si="40"/>
        <v>77</v>
      </c>
      <c r="FL155" s="18" t="str">
        <f t="shared" si="50"/>
        <v>01001101</v>
      </c>
    </row>
    <row r="156" spans="4:169">
      <c r="D156" t="str">
        <f t="shared" si="28"/>
        <v>17-Q</v>
      </c>
      <c r="E156" s="23">
        <v>2</v>
      </c>
      <c r="F156" s="16">
        <v>22</v>
      </c>
      <c r="G156" s="2">
        <v>23</v>
      </c>
      <c r="H156" s="2">
        <v>23</v>
      </c>
      <c r="I156" s="2">
        <v>23</v>
      </c>
      <c r="J156" s="2">
        <v>23</v>
      </c>
      <c r="K156" s="2">
        <v>23</v>
      </c>
      <c r="L156" s="2">
        <v>23</v>
      </c>
      <c r="M156" s="2">
        <v>23</v>
      </c>
      <c r="N156" s="2">
        <v>23</v>
      </c>
      <c r="O156" s="2">
        <v>23</v>
      </c>
      <c r="P156" s="2">
        <v>23</v>
      </c>
      <c r="Q156" s="2">
        <v>23</v>
      </c>
      <c r="R156" s="2">
        <v>23</v>
      </c>
      <c r="S156" s="2">
        <v>23</v>
      </c>
      <c r="T156" s="2">
        <v>23</v>
      </c>
      <c r="U156" s="2">
        <v>23</v>
      </c>
      <c r="V156" s="2"/>
      <c r="W156" s="2"/>
      <c r="X156" s="2"/>
      <c r="Y156" s="2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  <c r="BI156" s="17"/>
      <c r="BJ156" s="17"/>
      <c r="BK156" s="17"/>
      <c r="BL156" s="17"/>
      <c r="BM156" s="17"/>
      <c r="BN156" s="17"/>
      <c r="BO156" s="17"/>
      <c r="BP156" s="17"/>
      <c r="BQ156" s="17"/>
      <c r="BR156" s="17"/>
      <c r="BS156" s="17"/>
      <c r="BT156" s="17"/>
      <c r="BU156" s="17"/>
      <c r="BV156" s="17"/>
      <c r="BW156" s="17"/>
      <c r="BX156" s="17"/>
      <c r="BY156" s="17"/>
      <c r="BZ156" s="17"/>
      <c r="CA156" s="17"/>
      <c r="CB156" s="17"/>
      <c r="CC156" s="17"/>
      <c r="CD156" s="17"/>
      <c r="CE156" s="17"/>
      <c r="CF156" s="17"/>
      <c r="CG156" s="17"/>
      <c r="CH156" s="18"/>
      <c r="CI156">
        <v>1</v>
      </c>
      <c r="CJ156">
        <v>15</v>
      </c>
      <c r="CK156">
        <f t="shared" si="44"/>
        <v>22</v>
      </c>
      <c r="CL156">
        <f t="shared" si="45"/>
        <v>23</v>
      </c>
      <c r="FC156">
        <v>153</v>
      </c>
      <c r="FD156">
        <f t="shared" si="46"/>
        <v>9</v>
      </c>
      <c r="FE156">
        <f t="shared" si="47"/>
        <v>10</v>
      </c>
      <c r="FF156">
        <f t="shared" si="48"/>
        <v>102</v>
      </c>
      <c r="FI156" s="16">
        <v>153</v>
      </c>
      <c r="FJ156" s="17">
        <f t="shared" si="49"/>
        <v>45</v>
      </c>
      <c r="FK156" s="17">
        <f t="shared" si="40"/>
        <v>102</v>
      </c>
      <c r="FL156" s="18" t="str">
        <f t="shared" si="50"/>
        <v>01100110</v>
      </c>
    </row>
    <row r="157" spans="4:169">
      <c r="D157" t="str">
        <f t="shared" si="29"/>
        <v>17-H</v>
      </c>
      <c r="E157" s="23">
        <v>28</v>
      </c>
      <c r="F157" s="16">
        <v>14</v>
      </c>
      <c r="G157" s="2">
        <v>14</v>
      </c>
      <c r="H157" s="2">
        <v>15</v>
      </c>
      <c r="I157" s="2">
        <v>15</v>
      </c>
      <c r="J157" s="2">
        <v>15</v>
      </c>
      <c r="K157" s="2">
        <v>15</v>
      </c>
      <c r="L157" s="2">
        <v>15</v>
      </c>
      <c r="M157" s="2">
        <v>15</v>
      </c>
      <c r="N157" s="2">
        <v>15</v>
      </c>
      <c r="O157" s="2">
        <v>15</v>
      </c>
      <c r="P157" s="2">
        <v>15</v>
      </c>
      <c r="Q157" s="2">
        <v>15</v>
      </c>
      <c r="R157" s="2">
        <v>15</v>
      </c>
      <c r="S157" s="2">
        <v>15</v>
      </c>
      <c r="T157" s="2">
        <v>15</v>
      </c>
      <c r="U157" s="2">
        <v>15</v>
      </c>
      <c r="V157" s="2">
        <v>15</v>
      </c>
      <c r="W157" s="2">
        <v>15</v>
      </c>
      <c r="X157" s="2">
        <v>15</v>
      </c>
      <c r="Y157" s="2"/>
      <c r="Z157" s="2"/>
      <c r="AA157" s="2"/>
      <c r="AB157" s="2"/>
      <c r="AC157" s="2"/>
      <c r="AD157" s="2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  <c r="BL157" s="17"/>
      <c r="BM157" s="17"/>
      <c r="BN157" s="17"/>
      <c r="BO157" s="17"/>
      <c r="BP157" s="17"/>
      <c r="BQ157" s="17"/>
      <c r="BR157" s="17"/>
      <c r="BS157" s="17"/>
      <c r="BT157" s="17"/>
      <c r="BU157" s="17"/>
      <c r="BV157" s="17"/>
      <c r="BW157" s="17"/>
      <c r="BX157" s="17"/>
      <c r="BY157" s="17"/>
      <c r="BZ157" s="17"/>
      <c r="CA157" s="17"/>
      <c r="CB157" s="17"/>
      <c r="CC157" s="17"/>
      <c r="CD157" s="17"/>
      <c r="CE157" s="17"/>
      <c r="CF157" s="17"/>
      <c r="CG157" s="17"/>
      <c r="CH157" s="18"/>
      <c r="CI157">
        <v>2</v>
      </c>
      <c r="CJ157">
        <v>17</v>
      </c>
      <c r="CK157">
        <f t="shared" si="44"/>
        <v>14</v>
      </c>
      <c r="CL157">
        <f t="shared" si="45"/>
        <v>15</v>
      </c>
      <c r="FC157">
        <v>154</v>
      </c>
      <c r="FD157">
        <f t="shared" si="46"/>
        <v>10</v>
      </c>
      <c r="FE157">
        <f t="shared" si="47"/>
        <v>10</v>
      </c>
      <c r="FF157">
        <f t="shared" si="48"/>
        <v>169</v>
      </c>
      <c r="FI157" s="16">
        <v>154</v>
      </c>
      <c r="FJ157" s="17">
        <f t="shared" si="49"/>
        <v>119</v>
      </c>
      <c r="FK157" s="17">
        <f t="shared" si="40"/>
        <v>169</v>
      </c>
      <c r="FL157" s="18" t="str">
        <f t="shared" si="50"/>
        <v>10101001</v>
      </c>
    </row>
    <row r="158" spans="4:169">
      <c r="D158" t="str">
        <f t="shared" si="26"/>
        <v>18-L</v>
      </c>
      <c r="E158" s="23">
        <v>30</v>
      </c>
      <c r="F158" s="16">
        <v>120</v>
      </c>
      <c r="G158" s="2">
        <v>120</v>
      </c>
      <c r="H158" s="2">
        <v>120</v>
      </c>
      <c r="I158" s="2">
        <v>120</v>
      </c>
      <c r="J158" s="2">
        <v>120</v>
      </c>
      <c r="K158" s="2">
        <v>121</v>
      </c>
      <c r="L158" s="2"/>
      <c r="M158" s="2"/>
      <c r="N158" s="2"/>
      <c r="O158" s="2"/>
      <c r="P158" s="2"/>
      <c r="Q158" s="2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  <c r="BL158" s="17"/>
      <c r="BM158" s="17"/>
      <c r="BN158" s="17"/>
      <c r="BO158" s="17"/>
      <c r="BP158" s="17"/>
      <c r="BQ158" s="17"/>
      <c r="BR158" s="17"/>
      <c r="BS158" s="17"/>
      <c r="BT158" s="17"/>
      <c r="BU158" s="17"/>
      <c r="BV158" s="17"/>
      <c r="BW158" s="17"/>
      <c r="BX158" s="17"/>
      <c r="BY158" s="17"/>
      <c r="BZ158" s="17"/>
      <c r="CA158" s="17"/>
      <c r="CB158" s="17"/>
      <c r="CC158" s="17"/>
      <c r="CD158" s="17"/>
      <c r="CE158" s="17"/>
      <c r="CF158" s="17"/>
      <c r="CG158" s="17"/>
      <c r="CH158" s="18"/>
      <c r="CI158">
        <v>5</v>
      </c>
      <c r="CJ158">
        <v>1</v>
      </c>
      <c r="CK158">
        <f t="shared" si="44"/>
        <v>120</v>
      </c>
      <c r="CL158">
        <f t="shared" si="45"/>
        <v>121</v>
      </c>
      <c r="FC158">
        <v>155</v>
      </c>
      <c r="FD158">
        <f t="shared" si="46"/>
        <v>11</v>
      </c>
      <c r="FE158">
        <f t="shared" si="47"/>
        <v>10</v>
      </c>
      <c r="FF158">
        <f t="shared" si="48"/>
        <v>146</v>
      </c>
      <c r="FI158" s="16">
        <v>155</v>
      </c>
      <c r="FJ158" s="17">
        <f t="shared" si="49"/>
        <v>27</v>
      </c>
      <c r="FK158" s="17">
        <f t="shared" si="40"/>
        <v>146</v>
      </c>
      <c r="FL158" s="18" t="str">
        <f t="shared" si="50"/>
        <v>10010010</v>
      </c>
    </row>
    <row r="159" spans="4:169">
      <c r="D159" t="str">
        <f t="shared" si="27"/>
        <v>18-M</v>
      </c>
      <c r="E159" s="23">
        <v>26</v>
      </c>
      <c r="F159" s="16">
        <v>43</v>
      </c>
      <c r="G159" s="2">
        <v>43</v>
      </c>
      <c r="H159" s="2">
        <v>43</v>
      </c>
      <c r="I159" s="2">
        <v>43</v>
      </c>
      <c r="J159" s="2">
        <v>43</v>
      </c>
      <c r="K159" s="2">
        <v>43</v>
      </c>
      <c r="L159" s="2">
        <v>43</v>
      </c>
      <c r="M159" s="2">
        <v>43</v>
      </c>
      <c r="N159" s="2">
        <v>43</v>
      </c>
      <c r="O159" s="2">
        <v>44</v>
      </c>
      <c r="P159" s="2">
        <v>44</v>
      </c>
      <c r="Q159" s="2">
        <v>44</v>
      </c>
      <c r="R159" s="2">
        <v>44</v>
      </c>
      <c r="S159" s="2"/>
      <c r="T159" s="2"/>
      <c r="U159" s="2"/>
      <c r="V159" s="2"/>
      <c r="W159" s="2"/>
      <c r="X159" s="2"/>
      <c r="Y159" s="2"/>
      <c r="Z159" s="2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  <c r="BL159" s="17"/>
      <c r="BM159" s="17"/>
      <c r="BN159" s="17"/>
      <c r="BO159" s="17"/>
      <c r="BP159" s="17"/>
      <c r="BQ159" s="17"/>
      <c r="BR159" s="17"/>
      <c r="BS159" s="17"/>
      <c r="BT159" s="17"/>
      <c r="BU159" s="17"/>
      <c r="BV159" s="17"/>
      <c r="BW159" s="17"/>
      <c r="BX159" s="17"/>
      <c r="BY159" s="17"/>
      <c r="BZ159" s="17"/>
      <c r="CA159" s="17"/>
      <c r="CB159" s="17"/>
      <c r="CC159" s="17"/>
      <c r="CD159" s="17"/>
      <c r="CE159" s="17"/>
      <c r="CF159" s="17"/>
      <c r="CG159" s="17"/>
      <c r="CH159" s="18"/>
      <c r="CI159">
        <v>9</v>
      </c>
      <c r="CJ159">
        <v>4</v>
      </c>
      <c r="CK159">
        <f t="shared" si="44"/>
        <v>43</v>
      </c>
      <c r="CL159">
        <f t="shared" si="45"/>
        <v>44</v>
      </c>
      <c r="FC159">
        <v>156</v>
      </c>
      <c r="FD159">
        <f t="shared" si="46"/>
        <v>12</v>
      </c>
      <c r="FE159">
        <f t="shared" si="47"/>
        <v>10</v>
      </c>
      <c r="FF159">
        <f t="shared" si="48"/>
        <v>163</v>
      </c>
      <c r="FI159" s="16">
        <v>156</v>
      </c>
      <c r="FJ159" s="17">
        <f t="shared" si="49"/>
        <v>238</v>
      </c>
      <c r="FK159" s="17">
        <f t="shared" si="40"/>
        <v>163</v>
      </c>
      <c r="FL159" s="18" t="str">
        <f t="shared" si="50"/>
        <v>10100011</v>
      </c>
    </row>
    <row r="160" spans="4:169">
      <c r="D160" t="str">
        <f t="shared" si="28"/>
        <v>18-Q</v>
      </c>
      <c r="E160" s="23">
        <v>28</v>
      </c>
      <c r="F160" s="16">
        <v>22</v>
      </c>
      <c r="G160" s="2">
        <v>22</v>
      </c>
      <c r="H160" s="2">
        <v>22</v>
      </c>
      <c r="I160" s="2">
        <v>22</v>
      </c>
      <c r="J160" s="2">
        <v>22</v>
      </c>
      <c r="K160" s="2">
        <v>22</v>
      </c>
      <c r="L160" s="2">
        <v>22</v>
      </c>
      <c r="M160" s="2">
        <v>22</v>
      </c>
      <c r="N160" s="2">
        <v>22</v>
      </c>
      <c r="O160" s="2">
        <v>22</v>
      </c>
      <c r="P160" s="2">
        <v>22</v>
      </c>
      <c r="Q160" s="2">
        <v>22</v>
      </c>
      <c r="R160" s="2">
        <v>22</v>
      </c>
      <c r="S160" s="2">
        <v>22</v>
      </c>
      <c r="T160" s="2">
        <v>22</v>
      </c>
      <c r="U160" s="2">
        <v>22</v>
      </c>
      <c r="V160" s="2">
        <v>22</v>
      </c>
      <c r="W160" s="2">
        <v>23</v>
      </c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  <c r="BI160" s="17"/>
      <c r="BJ160" s="17"/>
      <c r="BK160" s="17"/>
      <c r="BL160" s="17"/>
      <c r="BM160" s="17"/>
      <c r="BN160" s="17"/>
      <c r="BO160" s="17"/>
      <c r="BP160" s="17"/>
      <c r="BQ160" s="17"/>
      <c r="BR160" s="17"/>
      <c r="BS160" s="17"/>
      <c r="BT160" s="17"/>
      <c r="BU160" s="17"/>
      <c r="BV160" s="17"/>
      <c r="BW160" s="17"/>
      <c r="BX160" s="17"/>
      <c r="BY160" s="17"/>
      <c r="BZ160" s="17"/>
      <c r="CA160" s="17"/>
      <c r="CB160" s="17"/>
      <c r="CC160" s="17"/>
      <c r="CD160" s="17"/>
      <c r="CE160" s="17"/>
      <c r="CF160" s="17"/>
      <c r="CG160" s="17"/>
      <c r="CH160" s="18"/>
      <c r="CI160">
        <v>17</v>
      </c>
      <c r="CJ160">
        <v>1</v>
      </c>
      <c r="CK160">
        <f t="shared" si="44"/>
        <v>22</v>
      </c>
      <c r="CL160">
        <f t="shared" si="45"/>
        <v>23</v>
      </c>
      <c r="FC160">
        <v>157</v>
      </c>
      <c r="FD160">
        <f t="shared" si="46"/>
        <v>13</v>
      </c>
      <c r="FE160">
        <f t="shared" si="47"/>
        <v>10</v>
      </c>
      <c r="FF160">
        <f t="shared" si="48"/>
        <v>184</v>
      </c>
      <c r="FI160" s="16">
        <v>157</v>
      </c>
      <c r="FJ160" s="17">
        <f t="shared" si="49"/>
        <v>83</v>
      </c>
      <c r="FK160" s="17">
        <f t="shared" si="40"/>
        <v>184</v>
      </c>
      <c r="FL160" s="18" t="str">
        <f t="shared" si="50"/>
        <v>10111000</v>
      </c>
    </row>
    <row r="161" spans="4:168">
      <c r="D161" t="str">
        <f t="shared" si="29"/>
        <v>18-H</v>
      </c>
      <c r="E161" s="23">
        <v>28</v>
      </c>
      <c r="F161" s="16">
        <v>14</v>
      </c>
      <c r="G161" s="2">
        <v>14</v>
      </c>
      <c r="H161" s="2">
        <v>15</v>
      </c>
      <c r="I161" s="2">
        <v>15</v>
      </c>
      <c r="J161" s="2">
        <v>15</v>
      </c>
      <c r="K161" s="2">
        <v>15</v>
      </c>
      <c r="L161" s="2">
        <v>15</v>
      </c>
      <c r="M161" s="2">
        <v>15</v>
      </c>
      <c r="N161" s="2">
        <v>15</v>
      </c>
      <c r="O161" s="2">
        <v>15</v>
      </c>
      <c r="P161" s="2">
        <v>15</v>
      </c>
      <c r="Q161" s="2">
        <v>15</v>
      </c>
      <c r="R161" s="2">
        <v>15</v>
      </c>
      <c r="S161" s="2">
        <v>15</v>
      </c>
      <c r="T161" s="2">
        <v>15</v>
      </c>
      <c r="U161" s="2">
        <v>15</v>
      </c>
      <c r="V161" s="2">
        <v>15</v>
      </c>
      <c r="W161" s="2">
        <v>15</v>
      </c>
      <c r="X161" s="2">
        <v>15</v>
      </c>
      <c r="Y161" s="2">
        <v>15</v>
      </c>
      <c r="Z161" s="2">
        <v>15</v>
      </c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17"/>
      <c r="CF161" s="17"/>
      <c r="CG161" s="17"/>
      <c r="CH161" s="18"/>
      <c r="CI161">
        <v>2</v>
      </c>
      <c r="CJ161">
        <v>19</v>
      </c>
      <c r="CK161">
        <f t="shared" si="44"/>
        <v>14</v>
      </c>
      <c r="CL161">
        <f t="shared" si="45"/>
        <v>15</v>
      </c>
      <c r="FC161">
        <v>158</v>
      </c>
      <c r="FD161">
        <f t="shared" si="46"/>
        <v>14</v>
      </c>
      <c r="FE161">
        <f t="shared" si="47"/>
        <v>10</v>
      </c>
      <c r="FF161">
        <f t="shared" si="48"/>
        <v>236</v>
      </c>
      <c r="FI161" s="16">
        <v>158</v>
      </c>
      <c r="FJ161" s="17">
        <f t="shared" si="49"/>
        <v>204</v>
      </c>
      <c r="FK161" s="17">
        <f t="shared" si="40"/>
        <v>236</v>
      </c>
      <c r="FL161" s="18" t="str">
        <f t="shared" si="50"/>
        <v>11101100</v>
      </c>
    </row>
    <row r="162" spans="4:168">
      <c r="D162" t="str">
        <f t="shared" si="26"/>
        <v>19-L</v>
      </c>
      <c r="E162" s="23">
        <v>28</v>
      </c>
      <c r="F162" s="16">
        <v>113</v>
      </c>
      <c r="G162" s="2">
        <v>113</v>
      </c>
      <c r="H162" s="2">
        <v>113</v>
      </c>
      <c r="I162" s="2">
        <v>114</v>
      </c>
      <c r="J162" s="2">
        <v>114</v>
      </c>
      <c r="K162" s="2">
        <v>114</v>
      </c>
      <c r="L162" s="2">
        <v>114</v>
      </c>
      <c r="M162" s="2"/>
      <c r="N162" s="2"/>
      <c r="O162" s="2"/>
      <c r="P162" s="2"/>
      <c r="Q162" s="2"/>
      <c r="R162" s="2"/>
      <c r="S162" s="2"/>
      <c r="T162" s="2"/>
      <c r="U162" s="2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  <c r="BI162" s="17"/>
      <c r="BJ162" s="17"/>
      <c r="BK162" s="17"/>
      <c r="BL162" s="17"/>
      <c r="BM162" s="17"/>
      <c r="BN162" s="17"/>
      <c r="BO162" s="17"/>
      <c r="BP162" s="17"/>
      <c r="BQ162" s="17"/>
      <c r="BR162" s="17"/>
      <c r="BS162" s="17"/>
      <c r="BT162" s="17"/>
      <c r="BU162" s="17"/>
      <c r="BV162" s="17"/>
      <c r="BW162" s="17"/>
      <c r="BX162" s="17"/>
      <c r="BY162" s="17"/>
      <c r="BZ162" s="17"/>
      <c r="CA162" s="17"/>
      <c r="CB162" s="17"/>
      <c r="CC162" s="17"/>
      <c r="CD162" s="17"/>
      <c r="CE162" s="17"/>
      <c r="CF162" s="17"/>
      <c r="CG162" s="17"/>
      <c r="CH162" s="18"/>
      <c r="CI162">
        <v>3</v>
      </c>
      <c r="CJ162">
        <v>4</v>
      </c>
      <c r="CK162">
        <f t="shared" si="44"/>
        <v>113</v>
      </c>
      <c r="CL162">
        <f t="shared" si="45"/>
        <v>114</v>
      </c>
      <c r="FC162">
        <v>159</v>
      </c>
      <c r="FD162">
        <f t="shared" si="46"/>
        <v>15</v>
      </c>
      <c r="FE162">
        <f t="shared" si="47"/>
        <v>10</v>
      </c>
      <c r="FF162">
        <f t="shared" si="48"/>
        <v>17</v>
      </c>
      <c r="FI162" s="16">
        <v>159</v>
      </c>
      <c r="FJ162" s="17">
        <f t="shared" si="49"/>
        <v>31</v>
      </c>
      <c r="FK162" s="17">
        <f t="shared" si="40"/>
        <v>17</v>
      </c>
      <c r="FL162" s="18" t="str">
        <f t="shared" si="50"/>
        <v>00010001</v>
      </c>
    </row>
    <row r="163" spans="4:168">
      <c r="D163" t="str">
        <f t="shared" si="27"/>
        <v>19-M</v>
      </c>
      <c r="E163" s="23">
        <v>26</v>
      </c>
      <c r="F163" s="16">
        <v>44</v>
      </c>
      <c r="G163" s="2">
        <v>44</v>
      </c>
      <c r="H163" s="2">
        <v>44</v>
      </c>
      <c r="I163" s="2">
        <v>45</v>
      </c>
      <c r="J163" s="2">
        <v>45</v>
      </c>
      <c r="K163" s="2">
        <v>45</v>
      </c>
      <c r="L163" s="2">
        <v>45</v>
      </c>
      <c r="M163" s="2">
        <v>45</v>
      </c>
      <c r="N163" s="2">
        <v>45</v>
      </c>
      <c r="O163" s="2">
        <v>45</v>
      </c>
      <c r="P163" s="2">
        <v>45</v>
      </c>
      <c r="Q163" s="2">
        <v>45</v>
      </c>
      <c r="R163" s="2">
        <v>45</v>
      </c>
      <c r="S163" s="2">
        <v>45</v>
      </c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  <c r="BI163" s="17"/>
      <c r="BJ163" s="17"/>
      <c r="BK163" s="17"/>
      <c r="BL163" s="17"/>
      <c r="BM163" s="17"/>
      <c r="BN163" s="17"/>
      <c r="BO163" s="17"/>
      <c r="BP163" s="17"/>
      <c r="BQ163" s="17"/>
      <c r="BR163" s="17"/>
      <c r="BS163" s="17"/>
      <c r="BT163" s="17"/>
      <c r="BU163" s="17"/>
      <c r="BV163" s="17"/>
      <c r="BW163" s="17"/>
      <c r="BX163" s="17"/>
      <c r="BY163" s="17"/>
      <c r="BZ163" s="17"/>
      <c r="CA163" s="17"/>
      <c r="CB163" s="17"/>
      <c r="CC163" s="17"/>
      <c r="CD163" s="17"/>
      <c r="CE163" s="17"/>
      <c r="CF163" s="17"/>
      <c r="CG163" s="17"/>
      <c r="CH163" s="18"/>
      <c r="CI163">
        <v>3</v>
      </c>
      <c r="CJ163">
        <v>11</v>
      </c>
      <c r="CK163">
        <f t="shared" si="44"/>
        <v>44</v>
      </c>
      <c r="CL163">
        <f t="shared" si="45"/>
        <v>45</v>
      </c>
      <c r="FC163">
        <v>160</v>
      </c>
      <c r="FD163">
        <f t="shared" si="46"/>
        <v>16</v>
      </c>
      <c r="FE163">
        <f t="shared" si="47"/>
        <v>10</v>
      </c>
      <c r="FF163" t="str">
        <f t="shared" si="48"/>
        <v/>
      </c>
      <c r="FI163" s="16">
        <v>160</v>
      </c>
      <c r="FJ163" s="17">
        <f t="shared" si="49"/>
        <v>0</v>
      </c>
      <c r="FK163" s="17" t="str">
        <f t="shared" si="40"/>
        <v/>
      </c>
      <c r="FL163" s="18" t="str">
        <f t="shared" si="50"/>
        <v/>
      </c>
    </row>
    <row r="164" spans="4:168">
      <c r="D164" t="str">
        <f t="shared" si="28"/>
        <v>19-Q</v>
      </c>
      <c r="E164" s="23">
        <v>26</v>
      </c>
      <c r="F164" s="16">
        <v>21</v>
      </c>
      <c r="G164" s="2">
        <v>21</v>
      </c>
      <c r="H164" s="2">
        <v>21</v>
      </c>
      <c r="I164" s="2">
        <v>21</v>
      </c>
      <c r="J164" s="2">
        <v>21</v>
      </c>
      <c r="K164" s="2">
        <v>21</v>
      </c>
      <c r="L164" s="2">
        <v>21</v>
      </c>
      <c r="M164" s="2">
        <v>21</v>
      </c>
      <c r="N164" s="2">
        <v>21</v>
      </c>
      <c r="O164" s="2">
        <v>21</v>
      </c>
      <c r="P164" s="2">
        <v>21</v>
      </c>
      <c r="Q164" s="2">
        <v>21</v>
      </c>
      <c r="R164" s="2">
        <v>21</v>
      </c>
      <c r="S164" s="2">
        <v>21</v>
      </c>
      <c r="T164" s="2">
        <v>21</v>
      </c>
      <c r="U164" s="2">
        <v>21</v>
      </c>
      <c r="V164" s="2">
        <v>21</v>
      </c>
      <c r="W164" s="2">
        <v>22</v>
      </c>
      <c r="X164" s="2">
        <v>22</v>
      </c>
      <c r="Y164" s="2">
        <v>22</v>
      </c>
      <c r="Z164" s="2">
        <v>22</v>
      </c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17"/>
      <c r="AU164" s="17"/>
      <c r="AV164" s="17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  <c r="BI164" s="17"/>
      <c r="BJ164" s="17"/>
      <c r="BK164" s="17"/>
      <c r="BL164" s="17"/>
      <c r="BM164" s="17"/>
      <c r="BN164" s="17"/>
      <c r="BO164" s="17"/>
      <c r="BP164" s="17"/>
      <c r="BQ164" s="17"/>
      <c r="BR164" s="17"/>
      <c r="BS164" s="17"/>
      <c r="BT164" s="17"/>
      <c r="BU164" s="17"/>
      <c r="BV164" s="17"/>
      <c r="BW164" s="17"/>
      <c r="BX164" s="17"/>
      <c r="BY164" s="17"/>
      <c r="BZ164" s="17"/>
      <c r="CA164" s="17"/>
      <c r="CB164" s="17"/>
      <c r="CC164" s="17"/>
      <c r="CD164" s="17"/>
      <c r="CE164" s="17"/>
      <c r="CF164" s="17"/>
      <c r="CG164" s="17"/>
      <c r="CH164" s="18"/>
      <c r="CI164">
        <v>17</v>
      </c>
      <c r="CJ164">
        <v>4</v>
      </c>
      <c r="CK164">
        <f t="shared" si="44"/>
        <v>21</v>
      </c>
      <c r="CL164">
        <f t="shared" si="45"/>
        <v>22</v>
      </c>
      <c r="FC164">
        <v>161</v>
      </c>
      <c r="FD164">
        <f t="shared" si="46"/>
        <v>1</v>
      </c>
      <c r="FE164">
        <f t="shared" si="47"/>
        <v>11</v>
      </c>
      <c r="FF164">
        <f t="shared" si="48"/>
        <v>174</v>
      </c>
      <c r="FI164" s="16">
        <v>161</v>
      </c>
      <c r="FJ164" s="17">
        <f t="shared" si="49"/>
        <v>240</v>
      </c>
      <c r="FK164" s="17">
        <f t="shared" si="40"/>
        <v>174</v>
      </c>
      <c r="FL164" s="18" t="str">
        <f t="shared" si="50"/>
        <v>10101110</v>
      </c>
    </row>
    <row r="165" spans="4:168">
      <c r="D165" t="str">
        <f t="shared" si="29"/>
        <v>19-H</v>
      </c>
      <c r="E165" s="23">
        <v>26</v>
      </c>
      <c r="F165" s="16">
        <v>13</v>
      </c>
      <c r="G165" s="2">
        <v>13</v>
      </c>
      <c r="H165" s="2">
        <v>13</v>
      </c>
      <c r="I165" s="2">
        <v>13</v>
      </c>
      <c r="J165" s="2">
        <v>13</v>
      </c>
      <c r="K165" s="2">
        <v>13</v>
      </c>
      <c r="L165" s="2">
        <v>13</v>
      </c>
      <c r="M165" s="2">
        <v>13</v>
      </c>
      <c r="N165" s="2">
        <v>13</v>
      </c>
      <c r="O165" s="2">
        <v>14</v>
      </c>
      <c r="P165" s="2">
        <v>14</v>
      </c>
      <c r="Q165" s="2">
        <v>14</v>
      </c>
      <c r="R165" s="2">
        <v>14</v>
      </c>
      <c r="S165" s="2">
        <v>14</v>
      </c>
      <c r="T165" s="2">
        <v>14</v>
      </c>
      <c r="U165" s="2">
        <v>14</v>
      </c>
      <c r="V165" s="2">
        <v>14</v>
      </c>
      <c r="W165" s="2">
        <v>14</v>
      </c>
      <c r="X165" s="2">
        <v>14</v>
      </c>
      <c r="Y165" s="2">
        <v>14</v>
      </c>
      <c r="Z165" s="2">
        <v>14</v>
      </c>
      <c r="AA165" s="2">
        <v>14</v>
      </c>
      <c r="AB165" s="2">
        <v>14</v>
      </c>
      <c r="AC165" s="2">
        <v>14</v>
      </c>
      <c r="AD165" s="2">
        <v>14</v>
      </c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17"/>
      <c r="BC165" s="17"/>
      <c r="BD165" s="17"/>
      <c r="BE165" s="17"/>
      <c r="BF165" s="17"/>
      <c r="BG165" s="17"/>
      <c r="BH165" s="17"/>
      <c r="BI165" s="17"/>
      <c r="BJ165" s="17"/>
      <c r="BK165" s="17"/>
      <c r="BL165" s="17"/>
      <c r="BM165" s="17"/>
      <c r="BN165" s="17"/>
      <c r="BO165" s="17"/>
      <c r="BP165" s="17"/>
      <c r="BQ165" s="17"/>
      <c r="BR165" s="17"/>
      <c r="BS165" s="17"/>
      <c r="BT165" s="17"/>
      <c r="BU165" s="17"/>
      <c r="BV165" s="17"/>
      <c r="BW165" s="17"/>
      <c r="BX165" s="17"/>
      <c r="BY165" s="17"/>
      <c r="BZ165" s="17"/>
      <c r="CA165" s="17"/>
      <c r="CB165" s="17"/>
      <c r="CC165" s="17"/>
      <c r="CD165" s="17"/>
      <c r="CE165" s="17"/>
      <c r="CF165" s="17"/>
      <c r="CG165" s="17"/>
      <c r="CH165" s="18"/>
      <c r="CI165">
        <v>9</v>
      </c>
      <c r="CJ165">
        <v>16</v>
      </c>
      <c r="CK165">
        <f t="shared" si="44"/>
        <v>13</v>
      </c>
      <c r="CL165">
        <f t="shared" si="45"/>
        <v>14</v>
      </c>
      <c r="FC165">
        <v>162</v>
      </c>
      <c r="FD165">
        <f t="shared" si="46"/>
        <v>2</v>
      </c>
      <c r="FE165">
        <f t="shared" si="47"/>
        <v>11</v>
      </c>
      <c r="FF165">
        <f t="shared" si="48"/>
        <v>44</v>
      </c>
      <c r="FI165" s="16">
        <v>162</v>
      </c>
      <c r="FJ165" s="17">
        <f t="shared" si="49"/>
        <v>34</v>
      </c>
      <c r="FK165" s="17">
        <f t="shared" si="40"/>
        <v>44</v>
      </c>
      <c r="FL165" s="18" t="str">
        <f t="shared" si="50"/>
        <v>00101100</v>
      </c>
    </row>
    <row r="166" spans="4:168">
      <c r="D166" t="str">
        <f t="shared" si="26"/>
        <v>20-L</v>
      </c>
      <c r="E166" s="23">
        <f>135-107</f>
        <v>28</v>
      </c>
      <c r="F166" s="16">
        <v>107</v>
      </c>
      <c r="G166" s="2">
        <v>107</v>
      </c>
      <c r="H166" s="2">
        <v>107</v>
      </c>
      <c r="I166" s="2">
        <v>108</v>
      </c>
      <c r="J166" s="2">
        <v>108</v>
      </c>
      <c r="K166" s="2">
        <v>108</v>
      </c>
      <c r="L166" s="2">
        <v>108</v>
      </c>
      <c r="M166" s="2">
        <v>108</v>
      </c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  <c r="BI166" s="17"/>
      <c r="BJ166" s="17"/>
      <c r="BK166" s="17"/>
      <c r="BL166" s="17"/>
      <c r="BM166" s="17"/>
      <c r="BN166" s="17"/>
      <c r="BO166" s="17"/>
      <c r="BP166" s="17"/>
      <c r="BQ166" s="17"/>
      <c r="BR166" s="17"/>
      <c r="BS166" s="17"/>
      <c r="BT166" s="17"/>
      <c r="BU166" s="17"/>
      <c r="BV166" s="17"/>
      <c r="BW166" s="17"/>
      <c r="BX166" s="17"/>
      <c r="BY166" s="17"/>
      <c r="BZ166" s="17"/>
      <c r="CA166" s="17"/>
      <c r="CB166" s="17"/>
      <c r="CC166" s="17"/>
      <c r="CD166" s="17"/>
      <c r="CE166" s="17"/>
      <c r="CF166" s="17"/>
      <c r="CG166" s="17"/>
      <c r="CH166" s="18"/>
      <c r="CI166">
        <v>3</v>
      </c>
      <c r="CJ166">
        <v>5</v>
      </c>
      <c r="CK166">
        <f t="shared" ref="CK166:CK185" si="51">IF(CI166=0,0,F166)</f>
        <v>107</v>
      </c>
      <c r="CL166">
        <f t="shared" ref="CL166:CL185" si="52">IF(CI166=0,F166,F166+1)</f>
        <v>108</v>
      </c>
      <c r="FC166">
        <v>163</v>
      </c>
      <c r="FD166">
        <f t="shared" si="46"/>
        <v>3</v>
      </c>
      <c r="FE166">
        <f t="shared" si="47"/>
        <v>11</v>
      </c>
      <c r="FF166">
        <f t="shared" si="48"/>
        <v>230</v>
      </c>
      <c r="FI166" s="16">
        <v>163</v>
      </c>
      <c r="FJ166" s="17">
        <f t="shared" si="49"/>
        <v>168</v>
      </c>
      <c r="FK166" s="17">
        <f t="shared" si="40"/>
        <v>230</v>
      </c>
      <c r="FL166" s="18" t="str">
        <f t="shared" si="50"/>
        <v>11100110</v>
      </c>
    </row>
    <row r="167" spans="4:168">
      <c r="D167" t="str">
        <f t="shared" si="27"/>
        <v>20-M</v>
      </c>
      <c r="E167" s="23">
        <f>67-41</f>
        <v>26</v>
      </c>
      <c r="F167" s="16">
        <v>41</v>
      </c>
      <c r="G167" s="2">
        <v>41</v>
      </c>
      <c r="H167" s="2">
        <v>41</v>
      </c>
      <c r="I167" s="2">
        <v>42</v>
      </c>
      <c r="J167" s="2">
        <v>42</v>
      </c>
      <c r="K167" s="2">
        <v>42</v>
      </c>
      <c r="L167" s="2">
        <v>42</v>
      </c>
      <c r="M167" s="2">
        <v>42</v>
      </c>
      <c r="N167" s="2">
        <v>42</v>
      </c>
      <c r="O167" s="2">
        <v>42</v>
      </c>
      <c r="P167" s="2">
        <v>42</v>
      </c>
      <c r="Q167" s="2">
        <v>42</v>
      </c>
      <c r="R167" s="2">
        <v>42</v>
      </c>
      <c r="S167" s="2">
        <v>42</v>
      </c>
      <c r="T167" s="2">
        <v>42</v>
      </c>
      <c r="U167" s="2">
        <v>42</v>
      </c>
      <c r="V167" s="2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  <c r="BI167" s="17"/>
      <c r="BJ167" s="17"/>
      <c r="BK167" s="17"/>
      <c r="BL167" s="17"/>
      <c r="BM167" s="17"/>
      <c r="BN167" s="17"/>
      <c r="BO167" s="17"/>
      <c r="BP167" s="17"/>
      <c r="BQ167" s="17"/>
      <c r="BR167" s="17"/>
      <c r="BS167" s="17"/>
      <c r="BT167" s="17"/>
      <c r="BU167" s="17"/>
      <c r="BV167" s="17"/>
      <c r="BW167" s="17"/>
      <c r="BX167" s="17"/>
      <c r="BY167" s="17"/>
      <c r="BZ167" s="17"/>
      <c r="CA167" s="17"/>
      <c r="CB167" s="17"/>
      <c r="CC167" s="17"/>
      <c r="CD167" s="17"/>
      <c r="CE167" s="17"/>
      <c r="CF167" s="17"/>
      <c r="CG167" s="17"/>
      <c r="CH167" s="18"/>
      <c r="CI167">
        <v>3</v>
      </c>
      <c r="CJ167">
        <v>13</v>
      </c>
      <c r="CK167">
        <f t="shared" si="51"/>
        <v>41</v>
      </c>
      <c r="CL167">
        <f t="shared" si="52"/>
        <v>42</v>
      </c>
      <c r="FC167">
        <v>164</v>
      </c>
      <c r="FD167">
        <f t="shared" si="46"/>
        <v>4</v>
      </c>
      <c r="FE167">
        <f t="shared" si="47"/>
        <v>11</v>
      </c>
      <c r="FF167">
        <f t="shared" si="48"/>
        <v>193</v>
      </c>
      <c r="FI167" s="16">
        <v>164</v>
      </c>
      <c r="FJ167" s="17">
        <f t="shared" si="49"/>
        <v>213</v>
      </c>
      <c r="FK167" s="17">
        <f t="shared" si="40"/>
        <v>193</v>
      </c>
      <c r="FL167" s="18" t="str">
        <f t="shared" si="50"/>
        <v>11000001</v>
      </c>
    </row>
    <row r="168" spans="4:168">
      <c r="D168" t="str">
        <f t="shared" si="28"/>
        <v>20-Q</v>
      </c>
      <c r="E168" s="23">
        <f>54-24</f>
        <v>30</v>
      </c>
      <c r="F168" s="16">
        <v>24</v>
      </c>
      <c r="G168" s="2">
        <v>24</v>
      </c>
      <c r="H168" s="2">
        <v>24</v>
      </c>
      <c r="I168" s="2">
        <v>24</v>
      </c>
      <c r="J168" s="2">
        <v>24</v>
      </c>
      <c r="K168" s="2">
        <v>24</v>
      </c>
      <c r="L168" s="2">
        <v>24</v>
      </c>
      <c r="M168" s="2">
        <v>24</v>
      </c>
      <c r="N168" s="2">
        <v>24</v>
      </c>
      <c r="O168" s="2">
        <v>24</v>
      </c>
      <c r="P168" s="2">
        <v>24</v>
      </c>
      <c r="Q168" s="2">
        <v>24</v>
      </c>
      <c r="R168" s="2">
        <v>24</v>
      </c>
      <c r="S168" s="2">
        <v>24</v>
      </c>
      <c r="T168" s="2">
        <v>24</v>
      </c>
      <c r="U168" s="2">
        <v>25</v>
      </c>
      <c r="V168" s="2">
        <v>25</v>
      </c>
      <c r="W168" s="2">
        <v>25</v>
      </c>
      <c r="X168" s="2">
        <v>25</v>
      </c>
      <c r="Y168" s="2">
        <v>25</v>
      </c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  <c r="BI168" s="17"/>
      <c r="BJ168" s="17"/>
      <c r="BK168" s="17"/>
      <c r="BL168" s="17"/>
      <c r="BM168" s="17"/>
      <c r="BN168" s="17"/>
      <c r="BO168" s="17"/>
      <c r="BP168" s="17"/>
      <c r="BQ168" s="17"/>
      <c r="BR168" s="17"/>
      <c r="BS168" s="17"/>
      <c r="BT168" s="17"/>
      <c r="BU168" s="17"/>
      <c r="BV168" s="17"/>
      <c r="BW168" s="17"/>
      <c r="BX168" s="17"/>
      <c r="BY168" s="17"/>
      <c r="BZ168" s="17"/>
      <c r="CA168" s="17"/>
      <c r="CB168" s="17"/>
      <c r="CC168" s="17"/>
      <c r="CD168" s="17"/>
      <c r="CE168" s="17"/>
      <c r="CF168" s="17"/>
      <c r="CG168" s="17"/>
      <c r="CH168" s="18"/>
      <c r="CI168">
        <v>15</v>
      </c>
      <c r="CJ168">
        <v>5</v>
      </c>
      <c r="CK168">
        <f t="shared" si="51"/>
        <v>24</v>
      </c>
      <c r="CL168">
        <f t="shared" si="52"/>
        <v>25</v>
      </c>
      <c r="FC168">
        <v>165</v>
      </c>
      <c r="FD168">
        <f t="shared" si="46"/>
        <v>5</v>
      </c>
      <c r="FE168">
        <f t="shared" si="47"/>
        <v>11</v>
      </c>
      <c r="FF168">
        <f t="shared" si="48"/>
        <v>234</v>
      </c>
      <c r="FI168" s="16">
        <v>165</v>
      </c>
      <c r="FJ168" s="17">
        <f t="shared" si="49"/>
        <v>108</v>
      </c>
      <c r="FK168" s="17">
        <f t="shared" si="40"/>
        <v>234</v>
      </c>
      <c r="FL168" s="18" t="str">
        <f t="shared" si="50"/>
        <v>11101010</v>
      </c>
    </row>
    <row r="169" spans="4:168">
      <c r="D169" t="str">
        <f t="shared" si="29"/>
        <v>20-H</v>
      </c>
      <c r="E169" s="23">
        <f>43-15</f>
        <v>28</v>
      </c>
      <c r="F169" s="16">
        <v>15</v>
      </c>
      <c r="G169" s="2">
        <v>15</v>
      </c>
      <c r="H169" s="2">
        <v>15</v>
      </c>
      <c r="I169" s="2">
        <v>15</v>
      </c>
      <c r="J169" s="2">
        <v>15</v>
      </c>
      <c r="K169" s="2">
        <v>15</v>
      </c>
      <c r="L169" s="2">
        <v>15</v>
      </c>
      <c r="M169" s="2">
        <v>15</v>
      </c>
      <c r="N169" s="2">
        <v>15</v>
      </c>
      <c r="O169" s="2">
        <v>15</v>
      </c>
      <c r="P169" s="2">
        <v>15</v>
      </c>
      <c r="Q169" s="2">
        <v>15</v>
      </c>
      <c r="R169" s="2">
        <v>15</v>
      </c>
      <c r="S169" s="2">
        <v>15</v>
      </c>
      <c r="T169" s="2">
        <v>15</v>
      </c>
      <c r="U169" s="2">
        <v>16</v>
      </c>
      <c r="V169" s="2">
        <v>16</v>
      </c>
      <c r="W169" s="2">
        <v>16</v>
      </c>
      <c r="X169" s="2">
        <v>16</v>
      </c>
      <c r="Y169" s="2">
        <v>16</v>
      </c>
      <c r="Z169" s="2">
        <v>16</v>
      </c>
      <c r="AA169" s="2">
        <v>16</v>
      </c>
      <c r="AB169" s="2">
        <v>16</v>
      </c>
      <c r="AC169" s="2">
        <v>16</v>
      </c>
      <c r="AD169" s="2">
        <v>16</v>
      </c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  <c r="AX169" s="17"/>
      <c r="AY169" s="17"/>
      <c r="AZ169" s="17"/>
      <c r="BA169" s="17"/>
      <c r="BB169" s="17"/>
      <c r="BC169" s="17"/>
      <c r="BD169" s="17"/>
      <c r="BE169" s="17"/>
      <c r="BF169" s="17"/>
      <c r="BG169" s="17"/>
      <c r="BH169" s="17"/>
      <c r="BI169" s="17"/>
      <c r="BJ169" s="17"/>
      <c r="BK169" s="17"/>
      <c r="BL169" s="17"/>
      <c r="BM169" s="17"/>
      <c r="BN169" s="17"/>
      <c r="BO169" s="17"/>
      <c r="BP169" s="17"/>
      <c r="BQ169" s="17"/>
      <c r="BR169" s="17"/>
      <c r="BS169" s="17"/>
      <c r="BT169" s="17"/>
      <c r="BU169" s="17"/>
      <c r="BV169" s="17"/>
      <c r="BW169" s="17"/>
      <c r="BX169" s="17"/>
      <c r="BY169" s="17"/>
      <c r="BZ169" s="17"/>
      <c r="CA169" s="17"/>
      <c r="CB169" s="17"/>
      <c r="CC169" s="17"/>
      <c r="CD169" s="17"/>
      <c r="CE169" s="17"/>
      <c r="CF169" s="17"/>
      <c r="CG169" s="17"/>
      <c r="CH169" s="18"/>
      <c r="CI169">
        <v>15</v>
      </c>
      <c r="CJ169">
        <v>10</v>
      </c>
      <c r="CK169">
        <f t="shared" si="51"/>
        <v>15</v>
      </c>
      <c r="CL169">
        <f t="shared" si="52"/>
        <v>16</v>
      </c>
      <c r="FC169">
        <v>166</v>
      </c>
      <c r="FD169">
        <f t="shared" si="46"/>
        <v>6</v>
      </c>
      <c r="FE169">
        <f t="shared" si="47"/>
        <v>11</v>
      </c>
      <c r="FF169">
        <f t="shared" si="48"/>
        <v>25</v>
      </c>
      <c r="FI169" s="16">
        <v>166</v>
      </c>
      <c r="FJ169" s="17">
        <f t="shared" si="49"/>
        <v>71</v>
      </c>
      <c r="FK169" s="17">
        <f t="shared" si="40"/>
        <v>25</v>
      </c>
      <c r="FL169" s="18" t="str">
        <f t="shared" si="50"/>
        <v>00011001</v>
      </c>
    </row>
    <row r="170" spans="4:168">
      <c r="D170" t="str">
        <f t="shared" ref="D170:D230" si="53">INDEX($A$90:$A$129,ROUNDUP((ROW()-89)/4,0))&amp;"-L"</f>
        <v>21-L</v>
      </c>
      <c r="E170" s="23">
        <v>28</v>
      </c>
      <c r="F170" s="16">
        <v>116</v>
      </c>
      <c r="G170" s="2">
        <v>116</v>
      </c>
      <c r="H170" s="2">
        <v>116</v>
      </c>
      <c r="I170" s="2">
        <v>116</v>
      </c>
      <c r="J170" s="2">
        <v>117</v>
      </c>
      <c r="K170" s="2">
        <v>117</v>
      </c>
      <c r="L170" s="2">
        <v>117</v>
      </c>
      <c r="M170" s="2">
        <v>117</v>
      </c>
      <c r="N170" s="2"/>
      <c r="O170" s="2"/>
      <c r="P170" s="2"/>
      <c r="Q170" s="2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  <c r="AX170" s="17"/>
      <c r="AY170" s="17"/>
      <c r="AZ170" s="17"/>
      <c r="BA170" s="17"/>
      <c r="BB170" s="17"/>
      <c r="BC170" s="17"/>
      <c r="BD170" s="17"/>
      <c r="BE170" s="17"/>
      <c r="BF170" s="17"/>
      <c r="BG170" s="17"/>
      <c r="BH170" s="17"/>
      <c r="BI170" s="17"/>
      <c r="BJ170" s="17"/>
      <c r="BK170" s="17"/>
      <c r="BL170" s="17"/>
      <c r="BM170" s="17"/>
      <c r="BN170" s="17"/>
      <c r="BO170" s="17"/>
      <c r="BP170" s="17"/>
      <c r="BQ170" s="17"/>
      <c r="BR170" s="17"/>
      <c r="BS170" s="17"/>
      <c r="BT170" s="17"/>
      <c r="BU170" s="17"/>
      <c r="BV170" s="17"/>
      <c r="BW170" s="17"/>
      <c r="BX170" s="17"/>
      <c r="BY170" s="17"/>
      <c r="BZ170" s="17"/>
      <c r="CA170" s="17"/>
      <c r="CB170" s="17"/>
      <c r="CC170" s="17"/>
      <c r="CD170" s="17"/>
      <c r="CE170" s="17"/>
      <c r="CF170" s="17"/>
      <c r="CG170" s="17"/>
      <c r="CH170" s="18"/>
      <c r="CI170">
        <v>4</v>
      </c>
      <c r="CJ170">
        <v>4</v>
      </c>
      <c r="CK170">
        <f t="shared" si="51"/>
        <v>116</v>
      </c>
      <c r="CL170">
        <f t="shared" si="52"/>
        <v>117</v>
      </c>
      <c r="FC170">
        <v>167</v>
      </c>
      <c r="FD170">
        <f t="shared" si="46"/>
        <v>7</v>
      </c>
      <c r="FE170">
        <f t="shared" si="47"/>
        <v>11</v>
      </c>
      <c r="FF170">
        <f t="shared" si="48"/>
        <v>8</v>
      </c>
      <c r="FI170" s="16">
        <v>167</v>
      </c>
      <c r="FJ170" s="17">
        <f t="shared" si="49"/>
        <v>99</v>
      </c>
      <c r="FK170" s="17">
        <f t="shared" si="40"/>
        <v>8</v>
      </c>
      <c r="FL170" s="18" t="str">
        <f t="shared" si="50"/>
        <v>00001000</v>
      </c>
    </row>
    <row r="171" spans="4:168">
      <c r="D171" t="str">
        <f t="shared" ref="D171:D231" si="54">INDEX($A$90:$A$129,ROUNDUP((ROW()-89)/4,0))&amp;"-M"</f>
        <v>21-M</v>
      </c>
      <c r="E171" s="23">
        <v>26</v>
      </c>
      <c r="F171" s="16">
        <v>42</v>
      </c>
      <c r="G171" s="2">
        <v>42</v>
      </c>
      <c r="H171" s="2">
        <v>42</v>
      </c>
      <c r="I171" s="2">
        <v>42</v>
      </c>
      <c r="J171" s="2">
        <v>42</v>
      </c>
      <c r="K171" s="2">
        <v>42</v>
      </c>
      <c r="L171" s="2">
        <v>42</v>
      </c>
      <c r="M171" s="2">
        <v>42</v>
      </c>
      <c r="N171" s="2">
        <v>42</v>
      </c>
      <c r="O171" s="2">
        <v>42</v>
      </c>
      <c r="P171" s="2">
        <v>42</v>
      </c>
      <c r="Q171" s="2">
        <v>42</v>
      </c>
      <c r="R171" s="2">
        <v>42</v>
      </c>
      <c r="S171" s="2">
        <v>42</v>
      </c>
      <c r="T171" s="2">
        <v>42</v>
      </c>
      <c r="U171" s="2">
        <v>42</v>
      </c>
      <c r="V171" s="2">
        <v>42</v>
      </c>
      <c r="W171" s="2"/>
      <c r="X171" s="2"/>
      <c r="Y171" s="2"/>
      <c r="Z171" s="2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  <c r="AX171" s="17"/>
      <c r="AY171" s="17"/>
      <c r="AZ171" s="17"/>
      <c r="BA171" s="17"/>
      <c r="BB171" s="17"/>
      <c r="BC171" s="17"/>
      <c r="BD171" s="17"/>
      <c r="BE171" s="17"/>
      <c r="BF171" s="17"/>
      <c r="BG171" s="17"/>
      <c r="BH171" s="17"/>
      <c r="BI171" s="17"/>
      <c r="BJ171" s="17"/>
      <c r="BK171" s="17"/>
      <c r="BL171" s="17"/>
      <c r="BM171" s="17"/>
      <c r="BN171" s="17"/>
      <c r="BO171" s="17"/>
      <c r="BP171" s="17"/>
      <c r="BQ171" s="17"/>
      <c r="BR171" s="17"/>
      <c r="BS171" s="17"/>
      <c r="BT171" s="17"/>
      <c r="BU171" s="17"/>
      <c r="BV171" s="17"/>
      <c r="BW171" s="17"/>
      <c r="BX171" s="17"/>
      <c r="BY171" s="17"/>
      <c r="BZ171" s="17"/>
      <c r="CA171" s="17"/>
      <c r="CB171" s="17"/>
      <c r="CC171" s="17"/>
      <c r="CD171" s="17"/>
      <c r="CE171" s="17"/>
      <c r="CF171" s="17"/>
      <c r="CG171" s="17"/>
      <c r="CH171" s="18"/>
      <c r="CI171">
        <v>0</v>
      </c>
      <c r="CJ171">
        <v>17</v>
      </c>
      <c r="CK171">
        <f t="shared" si="51"/>
        <v>0</v>
      </c>
      <c r="CL171">
        <f t="shared" si="52"/>
        <v>42</v>
      </c>
      <c r="FC171">
        <v>168</v>
      </c>
      <c r="FD171">
        <f t="shared" si="46"/>
        <v>8</v>
      </c>
      <c r="FE171">
        <f t="shared" si="47"/>
        <v>11</v>
      </c>
      <c r="FF171">
        <f t="shared" si="48"/>
        <v>74</v>
      </c>
      <c r="FI171" s="16">
        <v>168</v>
      </c>
      <c r="FJ171" s="17">
        <f t="shared" si="49"/>
        <v>200</v>
      </c>
      <c r="FK171" s="17">
        <f t="shared" si="40"/>
        <v>74</v>
      </c>
      <c r="FL171" s="18" t="str">
        <f t="shared" si="50"/>
        <v>01001010</v>
      </c>
    </row>
    <row r="172" spans="4:168">
      <c r="D172" t="str">
        <f t="shared" ref="D172:D232" si="55">INDEX($A$90:$A$129,ROUNDUP((ROW()-89)/4,0))&amp;"-Q"</f>
        <v>21-Q</v>
      </c>
      <c r="E172" s="23">
        <v>28</v>
      </c>
      <c r="F172" s="16">
        <v>22</v>
      </c>
      <c r="G172" s="2">
        <v>22</v>
      </c>
      <c r="H172" s="2">
        <v>22</v>
      </c>
      <c r="I172" s="2">
        <v>22</v>
      </c>
      <c r="J172" s="2">
        <v>22</v>
      </c>
      <c r="K172" s="2">
        <v>22</v>
      </c>
      <c r="L172" s="2">
        <v>22</v>
      </c>
      <c r="M172" s="2">
        <v>22</v>
      </c>
      <c r="N172" s="2">
        <v>22</v>
      </c>
      <c r="O172" s="2">
        <v>22</v>
      </c>
      <c r="P172" s="2">
        <v>22</v>
      </c>
      <c r="Q172" s="2">
        <v>22</v>
      </c>
      <c r="R172" s="2">
        <v>22</v>
      </c>
      <c r="S172" s="2">
        <v>22</v>
      </c>
      <c r="T172" s="2">
        <v>22</v>
      </c>
      <c r="U172" s="2">
        <v>22</v>
      </c>
      <c r="V172" s="2">
        <v>22</v>
      </c>
      <c r="W172" s="2">
        <v>23</v>
      </c>
      <c r="X172" s="2">
        <v>23</v>
      </c>
      <c r="Y172" s="2">
        <v>23</v>
      </c>
      <c r="Z172" s="2">
        <v>23</v>
      </c>
      <c r="AA172" s="2">
        <v>23</v>
      </c>
      <c r="AB172" s="2">
        <v>23</v>
      </c>
      <c r="AC172" s="2"/>
      <c r="AD172" s="2"/>
      <c r="AE172" s="2"/>
      <c r="AF172" s="2"/>
      <c r="AG172" s="2"/>
      <c r="AH172" s="2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  <c r="AX172" s="17"/>
      <c r="AY172" s="17"/>
      <c r="AZ172" s="17"/>
      <c r="BA172" s="17"/>
      <c r="BB172" s="17"/>
      <c r="BC172" s="17"/>
      <c r="BD172" s="17"/>
      <c r="BE172" s="17"/>
      <c r="BF172" s="17"/>
      <c r="BG172" s="17"/>
      <c r="BH172" s="17"/>
      <c r="BI172" s="17"/>
      <c r="BJ172" s="17"/>
      <c r="BK172" s="17"/>
      <c r="BL172" s="17"/>
      <c r="BM172" s="17"/>
      <c r="BN172" s="17"/>
      <c r="BO172" s="17"/>
      <c r="BP172" s="17"/>
      <c r="BQ172" s="17"/>
      <c r="BR172" s="17"/>
      <c r="BS172" s="17"/>
      <c r="BT172" s="17"/>
      <c r="BU172" s="17"/>
      <c r="BV172" s="17"/>
      <c r="BW172" s="17"/>
      <c r="BX172" s="17"/>
      <c r="BY172" s="17"/>
      <c r="BZ172" s="17"/>
      <c r="CA172" s="17"/>
      <c r="CB172" s="17"/>
      <c r="CC172" s="17"/>
      <c r="CD172" s="17"/>
      <c r="CE172" s="17"/>
      <c r="CF172" s="17"/>
      <c r="CG172" s="17"/>
      <c r="CH172" s="18"/>
      <c r="CI172">
        <v>17</v>
      </c>
      <c r="CJ172">
        <v>6</v>
      </c>
      <c r="CK172">
        <f t="shared" si="51"/>
        <v>22</v>
      </c>
      <c r="CL172">
        <f t="shared" si="52"/>
        <v>23</v>
      </c>
      <c r="FC172">
        <v>169</v>
      </c>
      <c r="FD172">
        <f t="shared" si="46"/>
        <v>9</v>
      </c>
      <c r="FE172">
        <f t="shared" si="47"/>
        <v>11</v>
      </c>
      <c r="FF172">
        <f t="shared" si="48"/>
        <v>153</v>
      </c>
      <c r="FI172" s="16">
        <v>169</v>
      </c>
      <c r="FJ172" s="17">
        <f t="shared" si="49"/>
        <v>102</v>
      </c>
      <c r="FK172" s="17">
        <f t="shared" si="40"/>
        <v>153</v>
      </c>
      <c r="FL172" s="18" t="str">
        <f t="shared" si="50"/>
        <v>10011001</v>
      </c>
    </row>
    <row r="173" spans="4:168">
      <c r="D173" t="str">
        <f t="shared" ref="D173:D233" si="56">INDEX($A$90:$A$129,ROUNDUP((ROW()-89)/4,0))&amp;"-H"</f>
        <v>21-H</v>
      </c>
      <c r="E173" s="23">
        <v>30</v>
      </c>
      <c r="F173" s="16">
        <v>16</v>
      </c>
      <c r="G173" s="2">
        <v>16</v>
      </c>
      <c r="H173" s="2">
        <v>16</v>
      </c>
      <c r="I173" s="2">
        <v>16</v>
      </c>
      <c r="J173" s="2">
        <v>16</v>
      </c>
      <c r="K173" s="2">
        <v>16</v>
      </c>
      <c r="L173" s="2">
        <v>16</v>
      </c>
      <c r="M173" s="2">
        <v>16</v>
      </c>
      <c r="N173" s="2">
        <v>16</v>
      </c>
      <c r="O173" s="2">
        <v>16</v>
      </c>
      <c r="P173" s="2">
        <v>16</v>
      </c>
      <c r="Q173" s="2">
        <v>16</v>
      </c>
      <c r="R173" s="2">
        <v>16</v>
      </c>
      <c r="S173" s="2">
        <v>16</v>
      </c>
      <c r="T173" s="2">
        <v>16</v>
      </c>
      <c r="U173" s="2">
        <v>16</v>
      </c>
      <c r="V173" s="2">
        <v>16</v>
      </c>
      <c r="W173" s="2">
        <v>16</v>
      </c>
      <c r="X173" s="2">
        <v>16</v>
      </c>
      <c r="Y173" s="2">
        <v>17</v>
      </c>
      <c r="Z173" s="2">
        <v>17</v>
      </c>
      <c r="AA173" s="2">
        <v>17</v>
      </c>
      <c r="AB173" s="2">
        <v>17</v>
      </c>
      <c r="AC173" s="2">
        <v>17</v>
      </c>
      <c r="AD173" s="2">
        <v>17</v>
      </c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17"/>
      <c r="AQ173" s="17"/>
      <c r="AR173" s="17"/>
      <c r="AS173" s="17"/>
      <c r="AT173" s="17"/>
      <c r="AU173" s="17"/>
      <c r="AV173" s="17"/>
      <c r="AW173" s="17"/>
      <c r="AX173" s="17"/>
      <c r="AY173" s="17"/>
      <c r="AZ173" s="17"/>
      <c r="BA173" s="17"/>
      <c r="BB173" s="17"/>
      <c r="BC173" s="17"/>
      <c r="BD173" s="17"/>
      <c r="BE173" s="17"/>
      <c r="BF173" s="17"/>
      <c r="BG173" s="17"/>
      <c r="BH173" s="17"/>
      <c r="BI173" s="17"/>
      <c r="BJ173" s="17"/>
      <c r="BK173" s="17"/>
      <c r="BL173" s="17"/>
      <c r="BM173" s="17"/>
      <c r="BN173" s="17"/>
      <c r="BO173" s="17"/>
      <c r="BP173" s="17"/>
      <c r="BQ173" s="17"/>
      <c r="BR173" s="17"/>
      <c r="BS173" s="17"/>
      <c r="BT173" s="17"/>
      <c r="BU173" s="17"/>
      <c r="BV173" s="17"/>
      <c r="BW173" s="17"/>
      <c r="BX173" s="17"/>
      <c r="BY173" s="17"/>
      <c r="BZ173" s="17"/>
      <c r="CA173" s="17"/>
      <c r="CB173" s="17"/>
      <c r="CC173" s="17"/>
      <c r="CD173" s="17"/>
      <c r="CE173" s="17"/>
      <c r="CF173" s="17"/>
      <c r="CG173" s="17"/>
      <c r="CH173" s="18"/>
      <c r="CI173">
        <v>19</v>
      </c>
      <c r="CJ173">
        <v>6</v>
      </c>
      <c r="CK173">
        <f t="shared" si="51"/>
        <v>16</v>
      </c>
      <c r="CL173">
        <f t="shared" si="52"/>
        <v>17</v>
      </c>
      <c r="FC173">
        <v>170</v>
      </c>
      <c r="FD173">
        <f t="shared" si="46"/>
        <v>10</v>
      </c>
      <c r="FE173">
        <f t="shared" si="47"/>
        <v>11</v>
      </c>
      <c r="FF173">
        <f t="shared" si="48"/>
        <v>252</v>
      </c>
      <c r="FI173" s="16">
        <v>170</v>
      </c>
      <c r="FJ173" s="17">
        <f t="shared" si="49"/>
        <v>251</v>
      </c>
      <c r="FK173" s="17">
        <f t="shared" si="40"/>
        <v>252</v>
      </c>
      <c r="FL173" s="18" t="str">
        <f t="shared" si="50"/>
        <v>11111100</v>
      </c>
    </row>
    <row r="174" spans="4:168">
      <c r="D174" t="str">
        <f t="shared" si="53"/>
        <v>22-L</v>
      </c>
      <c r="E174" s="23">
        <v>28</v>
      </c>
      <c r="F174" s="16">
        <v>111</v>
      </c>
      <c r="G174" s="2">
        <v>111</v>
      </c>
      <c r="H174" s="2">
        <v>112</v>
      </c>
      <c r="I174" s="2">
        <v>112</v>
      </c>
      <c r="J174" s="2">
        <v>112</v>
      </c>
      <c r="K174" s="2">
        <v>112</v>
      </c>
      <c r="L174" s="2">
        <v>112</v>
      </c>
      <c r="M174" s="2">
        <v>112</v>
      </c>
      <c r="N174" s="2">
        <v>112</v>
      </c>
      <c r="O174" s="2"/>
      <c r="P174" s="2"/>
      <c r="Q174" s="2"/>
      <c r="R174" s="2"/>
      <c r="S174" s="2"/>
      <c r="T174" s="2"/>
      <c r="U174" s="2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  <c r="AX174" s="17"/>
      <c r="AY174" s="17"/>
      <c r="AZ174" s="17"/>
      <c r="BA174" s="17"/>
      <c r="BB174" s="17"/>
      <c r="BC174" s="17"/>
      <c r="BD174" s="17"/>
      <c r="BE174" s="17"/>
      <c r="BF174" s="17"/>
      <c r="BG174" s="17"/>
      <c r="BH174" s="17"/>
      <c r="BI174" s="17"/>
      <c r="BJ174" s="17"/>
      <c r="BK174" s="17"/>
      <c r="BL174" s="17"/>
      <c r="BM174" s="17"/>
      <c r="BN174" s="17"/>
      <c r="BO174" s="17"/>
      <c r="BP174" s="17"/>
      <c r="BQ174" s="17"/>
      <c r="BR174" s="17"/>
      <c r="BS174" s="17"/>
      <c r="BT174" s="17"/>
      <c r="BU174" s="17"/>
      <c r="BV174" s="17"/>
      <c r="BW174" s="17"/>
      <c r="BX174" s="17"/>
      <c r="BY174" s="17"/>
      <c r="BZ174" s="17"/>
      <c r="CA174" s="17"/>
      <c r="CB174" s="17"/>
      <c r="CC174" s="17"/>
      <c r="CD174" s="17"/>
      <c r="CE174" s="17"/>
      <c r="CF174" s="17"/>
      <c r="CG174" s="17"/>
      <c r="CH174" s="18"/>
      <c r="CI174">
        <v>2</v>
      </c>
      <c r="CJ174">
        <v>7</v>
      </c>
      <c r="CK174">
        <f t="shared" si="51"/>
        <v>111</v>
      </c>
      <c r="CL174">
        <f t="shared" si="52"/>
        <v>112</v>
      </c>
      <c r="FC174">
        <v>171</v>
      </c>
      <c r="FD174">
        <f t="shared" si="46"/>
        <v>11</v>
      </c>
      <c r="FE174">
        <f t="shared" si="47"/>
        <v>11</v>
      </c>
      <c r="FF174">
        <f t="shared" si="48"/>
        <v>204</v>
      </c>
      <c r="FI174" s="16">
        <v>171</v>
      </c>
      <c r="FJ174" s="17">
        <f t="shared" si="49"/>
        <v>99</v>
      </c>
      <c r="FK174" s="17">
        <f t="shared" si="40"/>
        <v>204</v>
      </c>
      <c r="FL174" s="18" t="str">
        <f t="shared" si="50"/>
        <v>11001100</v>
      </c>
    </row>
    <row r="175" spans="4:168">
      <c r="D175" t="str">
        <f t="shared" si="54"/>
        <v>22-M</v>
      </c>
      <c r="E175" s="23">
        <v>28</v>
      </c>
      <c r="F175" s="16">
        <v>46</v>
      </c>
      <c r="G175" s="2">
        <v>46</v>
      </c>
      <c r="H175" s="2">
        <v>46</v>
      </c>
      <c r="I175" s="2">
        <v>46</v>
      </c>
      <c r="J175" s="2">
        <v>46</v>
      </c>
      <c r="K175" s="2">
        <v>46</v>
      </c>
      <c r="L175" s="2">
        <v>46</v>
      </c>
      <c r="M175" s="2">
        <v>46</v>
      </c>
      <c r="N175" s="2">
        <v>46</v>
      </c>
      <c r="O175" s="2">
        <v>46</v>
      </c>
      <c r="P175" s="2">
        <v>46</v>
      </c>
      <c r="Q175" s="2">
        <v>46</v>
      </c>
      <c r="R175" s="2">
        <v>46</v>
      </c>
      <c r="S175" s="2">
        <v>46</v>
      </c>
      <c r="T175" s="2">
        <v>46</v>
      </c>
      <c r="U175" s="2">
        <v>46</v>
      </c>
      <c r="V175" s="2">
        <v>46</v>
      </c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7"/>
      <c r="BA175" s="17"/>
      <c r="BB175" s="17"/>
      <c r="BC175" s="17"/>
      <c r="BD175" s="17"/>
      <c r="BE175" s="17"/>
      <c r="BF175" s="17"/>
      <c r="BG175" s="17"/>
      <c r="BH175" s="17"/>
      <c r="BI175" s="17"/>
      <c r="BJ175" s="17"/>
      <c r="BK175" s="17"/>
      <c r="BL175" s="17"/>
      <c r="BM175" s="17"/>
      <c r="BN175" s="17"/>
      <c r="BO175" s="17"/>
      <c r="BP175" s="17"/>
      <c r="BQ175" s="17"/>
      <c r="BR175" s="17"/>
      <c r="BS175" s="17"/>
      <c r="BT175" s="17"/>
      <c r="BU175" s="17"/>
      <c r="BV175" s="17"/>
      <c r="BW175" s="17"/>
      <c r="BX175" s="17"/>
      <c r="BY175" s="17"/>
      <c r="BZ175" s="17"/>
      <c r="CA175" s="17"/>
      <c r="CB175" s="17"/>
      <c r="CC175" s="17"/>
      <c r="CD175" s="17"/>
      <c r="CE175" s="17"/>
      <c r="CF175" s="17"/>
      <c r="CG175" s="17"/>
      <c r="CH175" s="18"/>
      <c r="CI175">
        <v>0</v>
      </c>
      <c r="CJ175">
        <v>17</v>
      </c>
      <c r="CK175">
        <f t="shared" si="51"/>
        <v>0</v>
      </c>
      <c r="CL175">
        <f t="shared" si="52"/>
        <v>46</v>
      </c>
      <c r="FC175">
        <v>172</v>
      </c>
      <c r="FD175">
        <f t="shared" si="46"/>
        <v>12</v>
      </c>
      <c r="FE175">
        <f t="shared" si="47"/>
        <v>11</v>
      </c>
      <c r="FF175">
        <f t="shared" si="48"/>
        <v>65</v>
      </c>
      <c r="FI175" s="16">
        <v>172</v>
      </c>
      <c r="FJ175" s="17">
        <f t="shared" si="49"/>
        <v>176</v>
      </c>
      <c r="FK175" s="17">
        <f t="shared" si="40"/>
        <v>65</v>
      </c>
      <c r="FL175" s="18" t="str">
        <f t="shared" si="50"/>
        <v>01000001</v>
      </c>
    </row>
    <row r="176" spans="4:168">
      <c r="D176" t="str">
        <f t="shared" si="55"/>
        <v>22-Q</v>
      </c>
      <c r="E176" s="23">
        <v>30</v>
      </c>
      <c r="F176" s="16">
        <v>24</v>
      </c>
      <c r="G176" s="2">
        <v>24</v>
      </c>
      <c r="H176" s="2">
        <v>24</v>
      </c>
      <c r="I176" s="2">
        <v>24</v>
      </c>
      <c r="J176" s="2">
        <v>24</v>
      </c>
      <c r="K176" s="2">
        <v>24</v>
      </c>
      <c r="L176" s="2">
        <v>24</v>
      </c>
      <c r="M176" s="2">
        <v>25</v>
      </c>
      <c r="N176" s="2">
        <v>25</v>
      </c>
      <c r="O176" s="2">
        <v>25</v>
      </c>
      <c r="P176" s="2">
        <v>25</v>
      </c>
      <c r="Q176" s="2">
        <v>25</v>
      </c>
      <c r="R176" s="2">
        <v>25</v>
      </c>
      <c r="S176" s="2">
        <v>25</v>
      </c>
      <c r="T176" s="2">
        <v>25</v>
      </c>
      <c r="U176" s="2">
        <v>25</v>
      </c>
      <c r="V176" s="2">
        <v>25</v>
      </c>
      <c r="W176" s="2">
        <v>25</v>
      </c>
      <c r="X176" s="2">
        <v>25</v>
      </c>
      <c r="Y176" s="2">
        <v>25</v>
      </c>
      <c r="Z176" s="2">
        <v>25</v>
      </c>
      <c r="AA176" s="2">
        <v>25</v>
      </c>
      <c r="AB176" s="2">
        <v>25</v>
      </c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17"/>
      <c r="AU176" s="17"/>
      <c r="AV176" s="17"/>
      <c r="AW176" s="17"/>
      <c r="AX176" s="17"/>
      <c r="AY176" s="17"/>
      <c r="AZ176" s="17"/>
      <c r="BA176" s="17"/>
      <c r="BB176" s="17"/>
      <c r="BC176" s="17"/>
      <c r="BD176" s="17"/>
      <c r="BE176" s="17"/>
      <c r="BF176" s="17"/>
      <c r="BG176" s="17"/>
      <c r="BH176" s="17"/>
      <c r="BI176" s="17"/>
      <c r="BJ176" s="17"/>
      <c r="BK176" s="17"/>
      <c r="BL176" s="17"/>
      <c r="BM176" s="17"/>
      <c r="BN176" s="17"/>
      <c r="BO176" s="17"/>
      <c r="BP176" s="17"/>
      <c r="BQ176" s="17"/>
      <c r="BR176" s="17"/>
      <c r="BS176" s="17"/>
      <c r="BT176" s="17"/>
      <c r="BU176" s="17"/>
      <c r="BV176" s="17"/>
      <c r="BW176" s="17"/>
      <c r="BX176" s="17"/>
      <c r="BY176" s="17"/>
      <c r="BZ176" s="17"/>
      <c r="CA176" s="17"/>
      <c r="CB176" s="17"/>
      <c r="CC176" s="17"/>
      <c r="CD176" s="17"/>
      <c r="CE176" s="17"/>
      <c r="CF176" s="17"/>
      <c r="CG176" s="17"/>
      <c r="CH176" s="18"/>
      <c r="CI176">
        <v>7</v>
      </c>
      <c r="CJ176">
        <v>16</v>
      </c>
      <c r="CK176">
        <f t="shared" si="51"/>
        <v>24</v>
      </c>
      <c r="CL176">
        <f t="shared" si="52"/>
        <v>25</v>
      </c>
      <c r="FC176">
        <v>173</v>
      </c>
      <c r="FD176">
        <f t="shared" si="46"/>
        <v>13</v>
      </c>
      <c r="FE176">
        <f t="shared" si="47"/>
        <v>11</v>
      </c>
      <c r="FF176">
        <f t="shared" si="48"/>
        <v>77</v>
      </c>
      <c r="FI176" s="16">
        <v>173</v>
      </c>
      <c r="FJ176" s="17">
        <f t="shared" si="49"/>
        <v>231</v>
      </c>
      <c r="FK176" s="17">
        <f t="shared" si="40"/>
        <v>77</v>
      </c>
      <c r="FL176" s="18" t="str">
        <f t="shared" si="50"/>
        <v>01001101</v>
      </c>
    </row>
    <row r="177" spans="4:168">
      <c r="D177" t="str">
        <f t="shared" si="56"/>
        <v>22-H</v>
      </c>
      <c r="E177" s="23">
        <v>24</v>
      </c>
      <c r="F177" s="16">
        <v>13</v>
      </c>
      <c r="G177" s="2">
        <v>13</v>
      </c>
      <c r="H177" s="2">
        <v>13</v>
      </c>
      <c r="I177" s="2">
        <v>13</v>
      </c>
      <c r="J177" s="2">
        <v>13</v>
      </c>
      <c r="K177" s="2">
        <v>13</v>
      </c>
      <c r="L177" s="2">
        <v>13</v>
      </c>
      <c r="M177" s="2">
        <v>13</v>
      </c>
      <c r="N177" s="2">
        <v>13</v>
      </c>
      <c r="O177" s="2">
        <v>13</v>
      </c>
      <c r="P177" s="2">
        <v>13</v>
      </c>
      <c r="Q177" s="2">
        <v>13</v>
      </c>
      <c r="R177" s="2">
        <v>13</v>
      </c>
      <c r="S177" s="2">
        <v>13</v>
      </c>
      <c r="T177" s="2">
        <v>13</v>
      </c>
      <c r="U177" s="2">
        <v>13</v>
      </c>
      <c r="V177" s="2">
        <v>13</v>
      </c>
      <c r="W177" s="2">
        <v>13</v>
      </c>
      <c r="X177" s="2">
        <v>13</v>
      </c>
      <c r="Y177" s="2">
        <v>13</v>
      </c>
      <c r="Z177" s="2">
        <v>13</v>
      </c>
      <c r="AA177" s="2">
        <v>13</v>
      </c>
      <c r="AB177" s="2">
        <v>13</v>
      </c>
      <c r="AC177" s="2">
        <v>13</v>
      </c>
      <c r="AD177" s="2">
        <v>13</v>
      </c>
      <c r="AE177" s="2">
        <v>13</v>
      </c>
      <c r="AF177" s="2">
        <v>13</v>
      </c>
      <c r="AG177" s="2">
        <v>13</v>
      </c>
      <c r="AH177" s="2">
        <v>13</v>
      </c>
      <c r="AI177" s="2">
        <v>13</v>
      </c>
      <c r="AJ177" s="2">
        <v>13</v>
      </c>
      <c r="AK177" s="2">
        <v>13</v>
      </c>
      <c r="AL177" s="2">
        <v>13</v>
      </c>
      <c r="AM177" s="2">
        <v>13</v>
      </c>
      <c r="AN177" s="2">
        <v>13</v>
      </c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17"/>
      <c r="BC177" s="17"/>
      <c r="BD177" s="17"/>
      <c r="BE177" s="17"/>
      <c r="BF177" s="17"/>
      <c r="BG177" s="17"/>
      <c r="BH177" s="17"/>
      <c r="BI177" s="17"/>
      <c r="BJ177" s="17"/>
      <c r="BK177" s="17"/>
      <c r="BL177" s="17"/>
      <c r="BM177" s="17"/>
      <c r="BN177" s="17"/>
      <c r="BO177" s="17"/>
      <c r="BP177" s="17"/>
      <c r="BQ177" s="17"/>
      <c r="BR177" s="17"/>
      <c r="BS177" s="17"/>
      <c r="BT177" s="17"/>
      <c r="BU177" s="17"/>
      <c r="BV177" s="17"/>
      <c r="BW177" s="17"/>
      <c r="BX177" s="17"/>
      <c r="BY177" s="17"/>
      <c r="BZ177" s="17"/>
      <c r="CA177" s="17"/>
      <c r="CB177" s="17"/>
      <c r="CC177" s="17"/>
      <c r="CD177" s="17"/>
      <c r="CE177" s="17"/>
      <c r="CF177" s="17"/>
      <c r="CG177" s="17"/>
      <c r="CH177" s="18"/>
      <c r="CI177">
        <v>0</v>
      </c>
      <c r="CJ177">
        <v>34</v>
      </c>
      <c r="CK177">
        <f t="shared" si="51"/>
        <v>0</v>
      </c>
      <c r="CL177">
        <f t="shared" si="52"/>
        <v>13</v>
      </c>
      <c r="FC177">
        <v>174</v>
      </c>
      <c r="FD177">
        <f t="shared" si="46"/>
        <v>14</v>
      </c>
      <c r="FE177">
        <f t="shared" si="47"/>
        <v>11</v>
      </c>
      <c r="FF177">
        <f t="shared" si="48"/>
        <v>17</v>
      </c>
      <c r="FI177" s="16">
        <v>174</v>
      </c>
      <c r="FJ177" s="17">
        <f t="shared" si="49"/>
        <v>16</v>
      </c>
      <c r="FK177" s="17">
        <f t="shared" si="40"/>
        <v>17</v>
      </c>
      <c r="FL177" s="18" t="str">
        <f t="shared" si="50"/>
        <v>00010001</v>
      </c>
    </row>
    <row r="178" spans="4:168">
      <c r="D178" t="str">
        <f t="shared" si="53"/>
        <v>23-L</v>
      </c>
      <c r="E178" s="23">
        <v>30</v>
      </c>
      <c r="F178" s="16">
        <v>121</v>
      </c>
      <c r="G178" s="2">
        <v>121</v>
      </c>
      <c r="H178" s="2">
        <v>121</v>
      </c>
      <c r="I178" s="2">
        <v>121</v>
      </c>
      <c r="J178" s="2">
        <v>122</v>
      </c>
      <c r="K178" s="2">
        <v>122</v>
      </c>
      <c r="L178" s="2">
        <v>122</v>
      </c>
      <c r="M178" s="2">
        <v>122</v>
      </c>
      <c r="N178" s="2">
        <v>122</v>
      </c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  <c r="AX178" s="17"/>
      <c r="AY178" s="17"/>
      <c r="AZ178" s="17"/>
      <c r="BA178" s="17"/>
      <c r="BB178" s="17"/>
      <c r="BC178" s="17"/>
      <c r="BD178" s="17"/>
      <c r="BE178" s="17"/>
      <c r="BF178" s="17"/>
      <c r="BG178" s="17"/>
      <c r="BH178" s="17"/>
      <c r="BI178" s="17"/>
      <c r="BJ178" s="17"/>
      <c r="BK178" s="17"/>
      <c r="BL178" s="17"/>
      <c r="BM178" s="17"/>
      <c r="BN178" s="17"/>
      <c r="BO178" s="17"/>
      <c r="BP178" s="17"/>
      <c r="BQ178" s="17"/>
      <c r="BR178" s="17"/>
      <c r="BS178" s="17"/>
      <c r="BT178" s="17"/>
      <c r="BU178" s="17"/>
      <c r="BV178" s="17"/>
      <c r="BW178" s="17"/>
      <c r="BX178" s="17"/>
      <c r="BY178" s="17"/>
      <c r="BZ178" s="17"/>
      <c r="CA178" s="17"/>
      <c r="CB178" s="17"/>
      <c r="CC178" s="17"/>
      <c r="CD178" s="17"/>
      <c r="CE178" s="17"/>
      <c r="CF178" s="17"/>
      <c r="CG178" s="17"/>
      <c r="CH178" s="18"/>
      <c r="CI178">
        <v>4</v>
      </c>
      <c r="CJ178">
        <v>5</v>
      </c>
      <c r="CK178">
        <f t="shared" si="51"/>
        <v>121</v>
      </c>
      <c r="CL178">
        <f t="shared" si="52"/>
        <v>122</v>
      </c>
      <c r="FC178">
        <v>175</v>
      </c>
      <c r="FD178">
        <f t="shared" si="46"/>
        <v>15</v>
      </c>
      <c r="FE178">
        <f t="shared" si="47"/>
        <v>11</v>
      </c>
      <c r="FF178" t="str">
        <f t="shared" si="48"/>
        <v/>
      </c>
      <c r="FI178" s="16">
        <v>175</v>
      </c>
      <c r="FJ178" s="17">
        <f t="shared" si="49"/>
        <v>153</v>
      </c>
      <c r="FK178" s="17" t="str">
        <f t="shared" si="40"/>
        <v/>
      </c>
      <c r="FL178" s="18" t="str">
        <f t="shared" si="50"/>
        <v/>
      </c>
    </row>
    <row r="179" spans="4:168">
      <c r="D179" t="str">
        <f t="shared" si="54"/>
        <v>23-M</v>
      </c>
      <c r="E179" s="23">
        <v>28</v>
      </c>
      <c r="F179" s="16">
        <v>47</v>
      </c>
      <c r="G179" s="2">
        <v>47</v>
      </c>
      <c r="H179" s="2">
        <v>47</v>
      </c>
      <c r="I179" s="2">
        <v>47</v>
      </c>
      <c r="J179" s="2">
        <v>48</v>
      </c>
      <c r="K179" s="2">
        <v>48</v>
      </c>
      <c r="L179" s="2">
        <v>48</v>
      </c>
      <c r="M179" s="2">
        <v>48</v>
      </c>
      <c r="N179" s="2">
        <v>48</v>
      </c>
      <c r="O179" s="2">
        <v>48</v>
      </c>
      <c r="P179" s="2">
        <v>48</v>
      </c>
      <c r="Q179" s="2">
        <v>48</v>
      </c>
      <c r="R179" s="2">
        <v>48</v>
      </c>
      <c r="S179" s="2">
        <v>48</v>
      </c>
      <c r="T179" s="2">
        <v>48</v>
      </c>
      <c r="U179" s="2">
        <v>48</v>
      </c>
      <c r="V179" s="2">
        <v>48</v>
      </c>
      <c r="W179" s="2">
        <v>48</v>
      </c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17"/>
      <c r="AS179" s="17"/>
      <c r="AT179" s="17"/>
      <c r="AU179" s="17"/>
      <c r="AV179" s="17"/>
      <c r="AW179" s="17"/>
      <c r="AX179" s="17"/>
      <c r="AY179" s="17"/>
      <c r="AZ179" s="17"/>
      <c r="BA179" s="17"/>
      <c r="BB179" s="17"/>
      <c r="BC179" s="17"/>
      <c r="BD179" s="17"/>
      <c r="BE179" s="17"/>
      <c r="BF179" s="17"/>
      <c r="BG179" s="17"/>
      <c r="BH179" s="17"/>
      <c r="BI179" s="17"/>
      <c r="BJ179" s="17"/>
      <c r="BK179" s="17"/>
      <c r="BL179" s="17"/>
      <c r="BM179" s="17"/>
      <c r="BN179" s="17"/>
      <c r="BO179" s="17"/>
      <c r="BP179" s="17"/>
      <c r="BQ179" s="17"/>
      <c r="BR179" s="17"/>
      <c r="BS179" s="17"/>
      <c r="BT179" s="17"/>
      <c r="BU179" s="17"/>
      <c r="BV179" s="17"/>
      <c r="BW179" s="17"/>
      <c r="BX179" s="17"/>
      <c r="BY179" s="17"/>
      <c r="BZ179" s="17"/>
      <c r="CA179" s="17"/>
      <c r="CB179" s="17"/>
      <c r="CC179" s="17"/>
      <c r="CD179" s="17"/>
      <c r="CE179" s="17"/>
      <c r="CF179" s="17"/>
      <c r="CG179" s="17"/>
      <c r="CH179" s="18"/>
      <c r="CI179">
        <v>4</v>
      </c>
      <c r="CJ179">
        <v>14</v>
      </c>
      <c r="CK179">
        <f t="shared" si="51"/>
        <v>47</v>
      </c>
      <c r="CL179">
        <f t="shared" si="52"/>
        <v>48</v>
      </c>
      <c r="FC179">
        <v>176</v>
      </c>
      <c r="FD179">
        <f t="shared" si="46"/>
        <v>16</v>
      </c>
      <c r="FE179">
        <f t="shared" si="47"/>
        <v>11</v>
      </c>
      <c r="FF179" t="str">
        <f t="shared" si="48"/>
        <v/>
      </c>
      <c r="FI179" s="16">
        <v>176</v>
      </c>
      <c r="FJ179" s="17">
        <f t="shared" si="49"/>
        <v>0</v>
      </c>
      <c r="FK179" s="17" t="str">
        <f t="shared" si="40"/>
        <v/>
      </c>
      <c r="FL179" s="18" t="str">
        <f t="shared" si="50"/>
        <v/>
      </c>
    </row>
    <row r="180" spans="4:168">
      <c r="D180" t="str">
        <f t="shared" si="55"/>
        <v>23-Q</v>
      </c>
      <c r="E180" s="23">
        <v>30</v>
      </c>
      <c r="F180" s="16">
        <v>24</v>
      </c>
      <c r="G180" s="2">
        <v>24</v>
      </c>
      <c r="H180" s="2">
        <v>24</v>
      </c>
      <c r="I180" s="2">
        <v>24</v>
      </c>
      <c r="J180" s="2">
        <v>24</v>
      </c>
      <c r="K180" s="2">
        <v>24</v>
      </c>
      <c r="L180" s="2">
        <v>24</v>
      </c>
      <c r="M180" s="2">
        <v>24</v>
      </c>
      <c r="N180" s="2">
        <v>24</v>
      </c>
      <c r="O180" s="2">
        <v>24</v>
      </c>
      <c r="P180" s="2">
        <v>24</v>
      </c>
      <c r="Q180" s="2">
        <v>25</v>
      </c>
      <c r="R180" s="2">
        <v>25</v>
      </c>
      <c r="S180" s="2">
        <v>25</v>
      </c>
      <c r="T180" s="2">
        <v>25</v>
      </c>
      <c r="U180" s="2">
        <v>25</v>
      </c>
      <c r="V180" s="2">
        <v>25</v>
      </c>
      <c r="W180" s="2">
        <v>25</v>
      </c>
      <c r="X180" s="2">
        <v>25</v>
      </c>
      <c r="Y180" s="2">
        <v>25</v>
      </c>
      <c r="Z180" s="2">
        <v>25</v>
      </c>
      <c r="AA180" s="2">
        <v>25</v>
      </c>
      <c r="AB180" s="2">
        <v>25</v>
      </c>
      <c r="AC180" s="2">
        <v>25</v>
      </c>
      <c r="AD180" s="2">
        <v>25</v>
      </c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17"/>
      <c r="BJ180" s="17"/>
      <c r="BK180" s="17"/>
      <c r="BL180" s="17"/>
      <c r="BM180" s="17"/>
      <c r="BN180" s="17"/>
      <c r="BO180" s="17"/>
      <c r="BP180" s="17"/>
      <c r="BQ180" s="17"/>
      <c r="BR180" s="17"/>
      <c r="BS180" s="17"/>
      <c r="BT180" s="17"/>
      <c r="BU180" s="17"/>
      <c r="BV180" s="17"/>
      <c r="BW180" s="17"/>
      <c r="BX180" s="17"/>
      <c r="BY180" s="17"/>
      <c r="BZ180" s="17"/>
      <c r="CA180" s="17"/>
      <c r="CB180" s="17"/>
      <c r="CC180" s="17"/>
      <c r="CD180" s="17"/>
      <c r="CE180" s="17"/>
      <c r="CF180" s="17"/>
      <c r="CG180" s="17"/>
      <c r="CH180" s="18"/>
      <c r="CI180">
        <v>11</v>
      </c>
      <c r="CJ180">
        <v>14</v>
      </c>
      <c r="CK180">
        <f t="shared" si="51"/>
        <v>24</v>
      </c>
      <c r="CL180">
        <f t="shared" si="52"/>
        <v>25</v>
      </c>
      <c r="FC180">
        <v>177</v>
      </c>
      <c r="FD180">
        <f t="shared" si="46"/>
        <v>1</v>
      </c>
      <c r="FE180">
        <f t="shared" si="47"/>
        <v>12</v>
      </c>
      <c r="FF180">
        <f t="shared" si="48"/>
        <v>163</v>
      </c>
      <c r="FI180" s="16">
        <v>177</v>
      </c>
      <c r="FJ180" s="17">
        <f t="shared" si="49"/>
        <v>14</v>
      </c>
      <c r="FK180" s="17">
        <f t="shared" si="40"/>
        <v>163</v>
      </c>
      <c r="FL180" s="18" t="str">
        <f t="shared" si="50"/>
        <v>10100011</v>
      </c>
    </row>
    <row r="181" spans="4:168">
      <c r="D181" t="str">
        <f t="shared" si="56"/>
        <v>23-H</v>
      </c>
      <c r="E181" s="23">
        <v>30</v>
      </c>
      <c r="F181" s="16">
        <v>15</v>
      </c>
      <c r="G181" s="2">
        <v>15</v>
      </c>
      <c r="H181" s="2">
        <v>15</v>
      </c>
      <c r="I181" s="2">
        <v>15</v>
      </c>
      <c r="J181" s="2">
        <v>15</v>
      </c>
      <c r="K181" s="2">
        <v>15</v>
      </c>
      <c r="L181" s="2">
        <v>15</v>
      </c>
      <c r="M181" s="2">
        <v>15</v>
      </c>
      <c r="N181" s="2">
        <v>15</v>
      </c>
      <c r="O181" s="2">
        <v>15</v>
      </c>
      <c r="P181" s="2">
        <v>15</v>
      </c>
      <c r="Q181" s="2">
        <v>15</v>
      </c>
      <c r="R181" s="2">
        <v>15</v>
      </c>
      <c r="S181" s="2">
        <v>15</v>
      </c>
      <c r="T181" s="2">
        <v>15</v>
      </c>
      <c r="U181" s="2">
        <v>15</v>
      </c>
      <c r="V181" s="2">
        <v>16</v>
      </c>
      <c r="W181" s="2">
        <v>16</v>
      </c>
      <c r="X181" s="2">
        <v>16</v>
      </c>
      <c r="Y181" s="2">
        <v>16</v>
      </c>
      <c r="Z181" s="2">
        <v>16</v>
      </c>
      <c r="AA181" s="2">
        <v>16</v>
      </c>
      <c r="AB181" s="2">
        <v>16</v>
      </c>
      <c r="AC181" s="2">
        <v>16</v>
      </c>
      <c r="AD181" s="2">
        <v>16</v>
      </c>
      <c r="AE181" s="2">
        <v>16</v>
      </c>
      <c r="AF181" s="2">
        <v>16</v>
      </c>
      <c r="AG181" s="2">
        <v>16</v>
      </c>
      <c r="AH181" s="2">
        <v>16</v>
      </c>
      <c r="AI181" s="2">
        <v>16</v>
      </c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17"/>
      <c r="BU181" s="17"/>
      <c r="BV181" s="17"/>
      <c r="BW181" s="17"/>
      <c r="BX181" s="17"/>
      <c r="BY181" s="17"/>
      <c r="BZ181" s="17"/>
      <c r="CA181" s="17"/>
      <c r="CB181" s="17"/>
      <c r="CC181" s="17"/>
      <c r="CD181" s="17"/>
      <c r="CE181" s="17"/>
      <c r="CF181" s="17"/>
      <c r="CG181" s="17"/>
      <c r="CH181" s="18"/>
      <c r="CI181">
        <v>16</v>
      </c>
      <c r="CJ181">
        <v>14</v>
      </c>
      <c r="CK181">
        <f t="shared" si="51"/>
        <v>15</v>
      </c>
      <c r="CL181">
        <f t="shared" si="52"/>
        <v>16</v>
      </c>
      <c r="FC181">
        <v>178</v>
      </c>
      <c r="FD181">
        <f t="shared" si="46"/>
        <v>2</v>
      </c>
      <c r="FE181">
        <f t="shared" si="47"/>
        <v>12</v>
      </c>
      <c r="FF181">
        <f t="shared" si="48"/>
        <v>168</v>
      </c>
      <c r="FI181" s="16">
        <v>178</v>
      </c>
      <c r="FJ181" s="17">
        <f t="shared" si="49"/>
        <v>85</v>
      </c>
      <c r="FK181" s="17">
        <f t="shared" si="40"/>
        <v>168</v>
      </c>
      <c r="FL181" s="18" t="str">
        <f t="shared" si="50"/>
        <v>10101000</v>
      </c>
    </row>
    <row r="182" spans="4:168">
      <c r="D182" t="str">
        <f t="shared" si="53"/>
        <v>24-L</v>
      </c>
      <c r="E182" s="23">
        <v>30</v>
      </c>
      <c r="F182" s="16">
        <v>117</v>
      </c>
      <c r="G182" s="2">
        <v>117</v>
      </c>
      <c r="H182" s="2">
        <v>117</v>
      </c>
      <c r="I182" s="2">
        <v>117</v>
      </c>
      <c r="J182" s="2">
        <v>117</v>
      </c>
      <c r="K182" s="2">
        <v>117</v>
      </c>
      <c r="L182" s="2">
        <v>118</v>
      </c>
      <c r="M182" s="2">
        <v>118</v>
      </c>
      <c r="N182" s="2">
        <v>118</v>
      </c>
      <c r="O182" s="2">
        <v>118</v>
      </c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  <c r="AX182" s="17"/>
      <c r="AY182" s="17"/>
      <c r="AZ182" s="17"/>
      <c r="BA182" s="17"/>
      <c r="BB182" s="17"/>
      <c r="BC182" s="17"/>
      <c r="BD182" s="17"/>
      <c r="BE182" s="17"/>
      <c r="BF182" s="17"/>
      <c r="BG182" s="17"/>
      <c r="BH182" s="17"/>
      <c r="BI182" s="17"/>
      <c r="BJ182" s="17"/>
      <c r="BK182" s="17"/>
      <c r="BL182" s="17"/>
      <c r="BM182" s="17"/>
      <c r="BN182" s="17"/>
      <c r="BO182" s="17"/>
      <c r="BP182" s="17"/>
      <c r="BQ182" s="17"/>
      <c r="BR182" s="17"/>
      <c r="BS182" s="17"/>
      <c r="BT182" s="17"/>
      <c r="BU182" s="17"/>
      <c r="BV182" s="17"/>
      <c r="BW182" s="17"/>
      <c r="BX182" s="17"/>
      <c r="BY182" s="17"/>
      <c r="BZ182" s="17"/>
      <c r="CA182" s="17"/>
      <c r="CB182" s="17"/>
      <c r="CC182" s="17"/>
      <c r="CD182" s="17"/>
      <c r="CE182" s="17"/>
      <c r="CF182" s="17"/>
      <c r="CG182" s="17"/>
      <c r="CH182" s="18"/>
      <c r="CJ182">
        <v>6</v>
      </c>
      <c r="CK182">
        <f t="shared" si="51"/>
        <v>0</v>
      </c>
      <c r="CL182">
        <f t="shared" si="52"/>
        <v>117</v>
      </c>
      <c r="FC182">
        <v>179</v>
      </c>
      <c r="FD182">
        <f t="shared" si="46"/>
        <v>3</v>
      </c>
      <c r="FE182">
        <f t="shared" si="47"/>
        <v>12</v>
      </c>
      <c r="FF182">
        <f t="shared" si="48"/>
        <v>63</v>
      </c>
      <c r="FI182" s="16">
        <v>179</v>
      </c>
      <c r="FJ182" s="17">
        <f t="shared" si="49"/>
        <v>220</v>
      </c>
      <c r="FK182" s="17">
        <f t="shared" si="40"/>
        <v>63</v>
      </c>
      <c r="FL182" s="18" t="str">
        <f t="shared" si="50"/>
        <v>00111111</v>
      </c>
    </row>
    <row r="183" spans="4:168">
      <c r="D183" t="str">
        <f t="shared" si="54"/>
        <v>24-M</v>
      </c>
      <c r="E183" s="23">
        <v>28</v>
      </c>
      <c r="F183" s="16">
        <v>45</v>
      </c>
      <c r="G183" s="2">
        <v>45</v>
      </c>
      <c r="H183" s="2">
        <v>45</v>
      </c>
      <c r="I183" s="2">
        <v>45</v>
      </c>
      <c r="J183" s="2">
        <v>45</v>
      </c>
      <c r="K183" s="2">
        <v>45</v>
      </c>
      <c r="L183" s="2">
        <v>46</v>
      </c>
      <c r="M183" s="2">
        <v>46</v>
      </c>
      <c r="N183" s="2">
        <v>46</v>
      </c>
      <c r="O183" s="2">
        <v>46</v>
      </c>
      <c r="P183" s="2">
        <v>46</v>
      </c>
      <c r="Q183" s="2">
        <v>46</v>
      </c>
      <c r="R183" s="2">
        <v>46</v>
      </c>
      <c r="S183" s="2">
        <v>46</v>
      </c>
      <c r="T183" s="2">
        <v>46</v>
      </c>
      <c r="U183" s="2">
        <v>46</v>
      </c>
      <c r="V183" s="2">
        <v>46</v>
      </c>
      <c r="W183" s="2">
        <v>46</v>
      </c>
      <c r="X183" s="2">
        <v>46</v>
      </c>
      <c r="Y183" s="2">
        <v>46</v>
      </c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17"/>
      <c r="BD183" s="17"/>
      <c r="BE183" s="17"/>
      <c r="BF183" s="17"/>
      <c r="BG183" s="17"/>
      <c r="BH183" s="17"/>
      <c r="BI183" s="17"/>
      <c r="BJ183" s="17"/>
      <c r="BK183" s="17"/>
      <c r="BL183" s="17"/>
      <c r="BM183" s="17"/>
      <c r="BN183" s="17"/>
      <c r="BO183" s="17"/>
      <c r="BP183" s="17"/>
      <c r="BQ183" s="17"/>
      <c r="BR183" s="17"/>
      <c r="BS183" s="17"/>
      <c r="BT183" s="17"/>
      <c r="BU183" s="17"/>
      <c r="BV183" s="17"/>
      <c r="BW183" s="17"/>
      <c r="BX183" s="17"/>
      <c r="BY183" s="17"/>
      <c r="BZ183" s="17"/>
      <c r="CA183" s="17"/>
      <c r="CB183" s="17"/>
      <c r="CC183" s="17"/>
      <c r="CD183" s="17"/>
      <c r="CE183" s="17"/>
      <c r="CF183" s="17"/>
      <c r="CG183" s="17"/>
      <c r="CH183" s="18"/>
      <c r="CJ183">
        <v>31</v>
      </c>
      <c r="CK183">
        <f t="shared" si="51"/>
        <v>0</v>
      </c>
      <c r="CL183">
        <f t="shared" si="52"/>
        <v>45</v>
      </c>
      <c r="FC183">
        <v>180</v>
      </c>
      <c r="FD183">
        <f t="shared" si="46"/>
        <v>4</v>
      </c>
      <c r="FE183">
        <f t="shared" si="47"/>
        <v>12</v>
      </c>
      <c r="FF183">
        <f t="shared" si="48"/>
        <v>126</v>
      </c>
      <c r="FI183" s="16">
        <v>180</v>
      </c>
      <c r="FJ183" s="17">
        <f t="shared" si="49"/>
        <v>59</v>
      </c>
      <c r="FK183" s="17">
        <f t="shared" si="40"/>
        <v>126</v>
      </c>
      <c r="FL183" s="18" t="str">
        <f t="shared" si="50"/>
        <v>01111110</v>
      </c>
    </row>
    <row r="184" spans="4:168">
      <c r="D184" t="str">
        <f t="shared" si="55"/>
        <v>24-Q</v>
      </c>
      <c r="E184" s="23">
        <v>30</v>
      </c>
      <c r="F184" s="16">
        <v>24</v>
      </c>
      <c r="G184" s="2">
        <v>24</v>
      </c>
      <c r="H184" s="2">
        <v>24</v>
      </c>
      <c r="I184" s="2">
        <v>24</v>
      </c>
      <c r="J184" s="2">
        <v>24</v>
      </c>
      <c r="K184" s="2">
        <v>24</v>
      </c>
      <c r="L184" s="2">
        <v>24</v>
      </c>
      <c r="M184" s="2">
        <v>24</v>
      </c>
      <c r="N184" s="2">
        <v>24</v>
      </c>
      <c r="O184" s="2">
        <v>24</v>
      </c>
      <c r="P184" s="2">
        <v>24</v>
      </c>
      <c r="Q184" s="2">
        <v>25</v>
      </c>
      <c r="R184" s="2">
        <v>25</v>
      </c>
      <c r="S184" s="2">
        <v>25</v>
      </c>
      <c r="T184" s="2">
        <v>25</v>
      </c>
      <c r="U184" s="2">
        <v>25</v>
      </c>
      <c r="V184" s="2">
        <v>25</v>
      </c>
      <c r="W184" s="2">
        <v>25</v>
      </c>
      <c r="X184" s="2">
        <v>25</v>
      </c>
      <c r="Y184" s="2">
        <v>25</v>
      </c>
      <c r="Z184" s="2">
        <v>25</v>
      </c>
      <c r="AA184" s="2">
        <v>25</v>
      </c>
      <c r="AB184" s="2">
        <v>25</v>
      </c>
      <c r="AC184" s="2">
        <v>25</v>
      </c>
      <c r="AD184" s="2">
        <v>25</v>
      </c>
      <c r="AE184" s="2">
        <v>25</v>
      </c>
      <c r="AF184" s="2">
        <v>25</v>
      </c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17"/>
      <c r="BW184" s="17"/>
      <c r="BX184" s="17"/>
      <c r="BY184" s="17"/>
      <c r="BZ184" s="17"/>
      <c r="CA184" s="17"/>
      <c r="CB184" s="17"/>
      <c r="CC184" s="17"/>
      <c r="CD184" s="17"/>
      <c r="CE184" s="17"/>
      <c r="CF184" s="17"/>
      <c r="CG184" s="17"/>
      <c r="CH184" s="18"/>
      <c r="CJ184">
        <v>34</v>
      </c>
      <c r="CK184">
        <f t="shared" si="51"/>
        <v>0</v>
      </c>
      <c r="CL184">
        <f t="shared" si="52"/>
        <v>24</v>
      </c>
      <c r="FC184">
        <v>181</v>
      </c>
      <c r="FD184">
        <f t="shared" si="46"/>
        <v>5</v>
      </c>
      <c r="FE184">
        <f t="shared" si="47"/>
        <v>12</v>
      </c>
      <c r="FF184">
        <f t="shared" si="48"/>
        <v>177</v>
      </c>
      <c r="FI184" s="16">
        <v>181</v>
      </c>
      <c r="FJ184" s="17">
        <f t="shared" si="49"/>
        <v>167</v>
      </c>
      <c r="FK184" s="17">
        <f t="shared" si="40"/>
        <v>177</v>
      </c>
      <c r="FL184" s="18" t="str">
        <f t="shared" si="50"/>
        <v>10110001</v>
      </c>
    </row>
    <row r="185" spans="4:168">
      <c r="D185" t="str">
        <f t="shared" si="56"/>
        <v>24-H</v>
      </c>
      <c r="E185" s="23">
        <v>30</v>
      </c>
      <c r="F185" s="16">
        <v>16</v>
      </c>
      <c r="G185" s="2">
        <v>16</v>
      </c>
      <c r="H185" s="2">
        <v>16</v>
      </c>
      <c r="I185" s="2">
        <v>16</v>
      </c>
      <c r="J185" s="2">
        <v>16</v>
      </c>
      <c r="K185" s="2">
        <v>16</v>
      </c>
      <c r="L185" s="2">
        <v>16</v>
      </c>
      <c r="M185" s="2">
        <v>16</v>
      </c>
      <c r="N185" s="2">
        <v>16</v>
      </c>
      <c r="O185" s="2">
        <v>16</v>
      </c>
      <c r="P185" s="2">
        <v>16</v>
      </c>
      <c r="Q185" s="2">
        <v>16</v>
      </c>
      <c r="R185" s="2">
        <v>16</v>
      </c>
      <c r="S185" s="2">
        <v>16</v>
      </c>
      <c r="T185" s="2">
        <v>16</v>
      </c>
      <c r="U185" s="2">
        <v>16</v>
      </c>
      <c r="V185" s="2">
        <v>16</v>
      </c>
      <c r="W185" s="2">
        <v>16</v>
      </c>
      <c r="X185" s="2">
        <v>16</v>
      </c>
      <c r="Y185" s="2">
        <v>16</v>
      </c>
      <c r="Z185" s="2">
        <v>16</v>
      </c>
      <c r="AA185" s="2">
        <v>16</v>
      </c>
      <c r="AB185" s="2">
        <v>16</v>
      </c>
      <c r="AC185" s="2">
        <v>16</v>
      </c>
      <c r="AD185" s="2">
        <v>16</v>
      </c>
      <c r="AE185" s="2">
        <v>16</v>
      </c>
      <c r="AF185" s="2">
        <v>16</v>
      </c>
      <c r="AG185" s="2">
        <v>16</v>
      </c>
      <c r="AH185" s="2">
        <v>16</v>
      </c>
      <c r="AI185" s="2">
        <v>16</v>
      </c>
      <c r="AJ185" s="2">
        <v>17</v>
      </c>
      <c r="AK185" s="2">
        <v>17</v>
      </c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  <c r="AX185" s="17"/>
      <c r="AY185" s="17"/>
      <c r="AZ185" s="17"/>
      <c r="BA185" s="17"/>
      <c r="BB185" s="17"/>
      <c r="BC185" s="17"/>
      <c r="BD185" s="17"/>
      <c r="BE185" s="17"/>
      <c r="BF185" s="17"/>
      <c r="BG185" s="17"/>
      <c r="BH185" s="17"/>
      <c r="BI185" s="17"/>
      <c r="BJ185" s="17"/>
      <c r="BK185" s="17"/>
      <c r="BL185" s="17"/>
      <c r="BM185" s="17"/>
      <c r="BN185" s="17"/>
      <c r="BO185" s="17"/>
      <c r="BP185" s="17"/>
      <c r="BQ185" s="17"/>
      <c r="BR185" s="17"/>
      <c r="BS185" s="17"/>
      <c r="BT185" s="17"/>
      <c r="BU185" s="17"/>
      <c r="BV185" s="17"/>
      <c r="BW185" s="17"/>
      <c r="BX185" s="17"/>
      <c r="BY185" s="17"/>
      <c r="BZ185" s="17"/>
      <c r="CA185" s="17"/>
      <c r="CB185" s="17"/>
      <c r="CC185" s="17"/>
      <c r="CD185" s="17"/>
      <c r="CE185" s="17"/>
      <c r="CF185" s="17"/>
      <c r="CG185" s="17"/>
      <c r="CH185" s="18"/>
      <c r="CI185" s="2"/>
      <c r="CJ185" s="2">
        <v>61</v>
      </c>
      <c r="CK185">
        <f t="shared" si="51"/>
        <v>0</v>
      </c>
      <c r="CL185">
        <f t="shared" si="52"/>
        <v>16</v>
      </c>
      <c r="FC185">
        <v>182</v>
      </c>
      <c r="FD185">
        <f t="shared" si="46"/>
        <v>6</v>
      </c>
      <c r="FE185">
        <f t="shared" si="47"/>
        <v>12</v>
      </c>
      <c r="FF185">
        <f t="shared" si="48"/>
        <v>108</v>
      </c>
      <c r="FI185" s="16">
        <v>182</v>
      </c>
      <c r="FJ185" s="17">
        <f t="shared" si="49"/>
        <v>213</v>
      </c>
      <c r="FK185" s="17">
        <f t="shared" si="40"/>
        <v>108</v>
      </c>
      <c r="FL185" s="18" t="str">
        <f t="shared" si="50"/>
        <v>01101100</v>
      </c>
    </row>
    <row r="186" spans="4:168">
      <c r="D186" t="str">
        <f t="shared" si="53"/>
        <v>25-L</v>
      </c>
      <c r="E186" s="16">
        <f>132-106</f>
        <v>26</v>
      </c>
      <c r="F186" s="16">
        <v>106</v>
      </c>
      <c r="G186" s="2">
        <v>106</v>
      </c>
      <c r="H186" s="2">
        <v>106</v>
      </c>
      <c r="I186" s="2">
        <v>106</v>
      </c>
      <c r="J186" s="2">
        <v>106</v>
      </c>
      <c r="K186" s="2">
        <v>106</v>
      </c>
      <c r="L186" s="2">
        <v>106</v>
      </c>
      <c r="M186" s="2">
        <v>106</v>
      </c>
      <c r="N186" s="2">
        <v>107</v>
      </c>
      <c r="O186" s="2">
        <v>107</v>
      </c>
      <c r="P186" s="2">
        <v>107</v>
      </c>
      <c r="Q186" s="2">
        <v>107</v>
      </c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  <c r="AX186" s="17"/>
      <c r="AY186" s="17"/>
      <c r="AZ186" s="17"/>
      <c r="BA186" s="17"/>
      <c r="BB186" s="17"/>
      <c r="BC186" s="17"/>
      <c r="BD186" s="17"/>
      <c r="BE186" s="17"/>
      <c r="BF186" s="17"/>
      <c r="BG186" s="17"/>
      <c r="BH186" s="17"/>
      <c r="BI186" s="17"/>
      <c r="BJ186" s="17"/>
      <c r="BK186" s="17"/>
      <c r="BL186" s="17"/>
      <c r="BM186" s="17"/>
      <c r="BN186" s="17"/>
      <c r="BO186" s="17"/>
      <c r="BP186" s="17"/>
      <c r="BQ186" s="17"/>
      <c r="BR186" s="17"/>
      <c r="BS186" s="17"/>
      <c r="BT186" s="17"/>
      <c r="BU186" s="17"/>
      <c r="BV186" s="17"/>
      <c r="BW186" s="17"/>
      <c r="BX186" s="17"/>
      <c r="BY186" s="17"/>
      <c r="BZ186" s="17"/>
      <c r="CA186" s="17"/>
      <c r="CB186" s="17"/>
      <c r="CC186" s="17"/>
      <c r="CD186" s="17"/>
      <c r="CE186" s="17"/>
      <c r="CF186" s="17"/>
      <c r="CG186" s="17"/>
      <c r="CH186" s="18"/>
      <c r="CI186">
        <v>8</v>
      </c>
      <c r="CJ186">
        <v>4</v>
      </c>
      <c r="CK186">
        <f t="shared" ref="CK186:CK201" si="57">IF(CI186=0,0,F186)</f>
        <v>106</v>
      </c>
      <c r="CL186">
        <f t="shared" ref="CL186:CL201" si="58">IF(CI186=0,F186,F186+1)</f>
        <v>107</v>
      </c>
      <c r="FC186">
        <v>183</v>
      </c>
      <c r="FD186">
        <f t="shared" si="46"/>
        <v>7</v>
      </c>
      <c r="FE186">
        <f t="shared" si="47"/>
        <v>12</v>
      </c>
      <c r="FF186">
        <f t="shared" si="48"/>
        <v>25</v>
      </c>
      <c r="FI186" s="16">
        <v>183</v>
      </c>
      <c r="FJ186" s="17">
        <f t="shared" si="49"/>
        <v>4</v>
      </c>
      <c r="FK186" s="17">
        <f t="shared" si="40"/>
        <v>25</v>
      </c>
      <c r="FL186" s="18" t="str">
        <f t="shared" si="50"/>
        <v>00011001</v>
      </c>
    </row>
    <row r="187" spans="4:168">
      <c r="D187" t="str">
        <f t="shared" si="54"/>
        <v>25-M</v>
      </c>
      <c r="E187" s="16">
        <f>75-47</f>
        <v>28</v>
      </c>
      <c r="F187" s="16">
        <v>47</v>
      </c>
      <c r="G187" s="2">
        <v>47</v>
      </c>
      <c r="H187" s="2">
        <v>47</v>
      </c>
      <c r="I187" s="2">
        <v>47</v>
      </c>
      <c r="J187" s="2">
        <v>47</v>
      </c>
      <c r="K187" s="2">
        <v>47</v>
      </c>
      <c r="L187" s="2">
        <v>47</v>
      </c>
      <c r="M187" s="2">
        <v>47</v>
      </c>
      <c r="N187" s="2">
        <v>48</v>
      </c>
      <c r="O187" s="2">
        <v>48</v>
      </c>
      <c r="P187" s="2">
        <v>48</v>
      </c>
      <c r="Q187" s="2">
        <v>48</v>
      </c>
      <c r="R187" s="2">
        <v>48</v>
      </c>
      <c r="S187" s="2">
        <v>48</v>
      </c>
      <c r="T187" s="2">
        <v>48</v>
      </c>
      <c r="U187" s="2">
        <v>48</v>
      </c>
      <c r="V187" s="2">
        <v>48</v>
      </c>
      <c r="W187" s="2">
        <v>48</v>
      </c>
      <c r="X187" s="2">
        <v>48</v>
      </c>
      <c r="Y187" s="2">
        <v>48</v>
      </c>
      <c r="Z187" s="2">
        <v>48</v>
      </c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  <c r="AX187" s="17"/>
      <c r="AY187" s="17"/>
      <c r="AZ187" s="17"/>
      <c r="BA187" s="17"/>
      <c r="BB187" s="17"/>
      <c r="BC187" s="17"/>
      <c r="BD187" s="17"/>
      <c r="BE187" s="17"/>
      <c r="BF187" s="17"/>
      <c r="BG187" s="17"/>
      <c r="BH187" s="17"/>
      <c r="BI187" s="17"/>
      <c r="BJ187" s="17"/>
      <c r="BK187" s="17"/>
      <c r="BL187" s="17"/>
      <c r="BM187" s="17"/>
      <c r="BN187" s="17"/>
      <c r="BO187" s="17"/>
      <c r="BP187" s="17"/>
      <c r="BQ187" s="17"/>
      <c r="BR187" s="17"/>
      <c r="BS187" s="17"/>
      <c r="BT187" s="17"/>
      <c r="BU187" s="17"/>
      <c r="BV187" s="17"/>
      <c r="BW187" s="17"/>
      <c r="BX187" s="17"/>
      <c r="BY187" s="17"/>
      <c r="BZ187" s="17"/>
      <c r="CA187" s="17"/>
      <c r="CB187" s="17"/>
      <c r="CC187" s="17"/>
      <c r="CD187" s="17"/>
      <c r="CE187" s="17"/>
      <c r="CF187" s="17"/>
      <c r="CG187" s="17"/>
      <c r="CH187" s="18"/>
      <c r="CI187">
        <v>8</v>
      </c>
      <c r="CJ187">
        <v>13</v>
      </c>
      <c r="CK187">
        <f t="shared" si="57"/>
        <v>47</v>
      </c>
      <c r="CL187">
        <f t="shared" si="58"/>
        <v>48</v>
      </c>
      <c r="FC187">
        <v>184</v>
      </c>
      <c r="FD187">
        <f t="shared" si="46"/>
        <v>8</v>
      </c>
      <c r="FE187">
        <f t="shared" si="47"/>
        <v>12</v>
      </c>
      <c r="FF187">
        <f t="shared" si="48"/>
        <v>136</v>
      </c>
      <c r="FI187" s="16">
        <v>184</v>
      </c>
      <c r="FJ187" s="17">
        <f t="shared" si="49"/>
        <v>125</v>
      </c>
      <c r="FK187" s="17">
        <f t="shared" si="40"/>
        <v>136</v>
      </c>
      <c r="FL187" s="18" t="str">
        <f t="shared" si="50"/>
        <v>10001000</v>
      </c>
    </row>
    <row r="188" spans="4:168">
      <c r="D188" t="str">
        <f t="shared" si="55"/>
        <v>25-Q</v>
      </c>
      <c r="E188" s="16">
        <f>54-24</f>
        <v>30</v>
      </c>
      <c r="F188" s="16">
        <v>24</v>
      </c>
      <c r="G188" s="2">
        <v>24</v>
      </c>
      <c r="H188" s="2">
        <v>24</v>
      </c>
      <c r="I188" s="2">
        <v>24</v>
      </c>
      <c r="J188" s="2">
        <v>24</v>
      </c>
      <c r="K188" s="2">
        <v>24</v>
      </c>
      <c r="L188" s="2">
        <v>24</v>
      </c>
      <c r="M188" s="2">
        <v>25</v>
      </c>
      <c r="N188" s="2">
        <v>25</v>
      </c>
      <c r="O188" s="2">
        <v>25</v>
      </c>
      <c r="P188" s="2">
        <v>25</v>
      </c>
      <c r="Q188" s="2">
        <v>25</v>
      </c>
      <c r="R188" s="2">
        <v>25</v>
      </c>
      <c r="S188" s="2">
        <v>25</v>
      </c>
      <c r="T188" s="2">
        <v>25</v>
      </c>
      <c r="U188" s="2">
        <v>25</v>
      </c>
      <c r="V188" s="2">
        <v>25</v>
      </c>
      <c r="W188" s="2">
        <v>25</v>
      </c>
      <c r="X188" s="2">
        <v>25</v>
      </c>
      <c r="Y188" s="2">
        <v>25</v>
      </c>
      <c r="Z188" s="2">
        <v>25</v>
      </c>
      <c r="AA188" s="2">
        <v>25</v>
      </c>
      <c r="AB188" s="2">
        <v>25</v>
      </c>
      <c r="AC188" s="2">
        <v>25</v>
      </c>
      <c r="AD188" s="2">
        <v>25</v>
      </c>
      <c r="AE188" s="2">
        <v>25</v>
      </c>
      <c r="AF188" s="2">
        <v>25</v>
      </c>
      <c r="AG188" s="2">
        <v>25</v>
      </c>
      <c r="AH188" s="2">
        <v>25</v>
      </c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  <c r="AX188" s="17"/>
      <c r="AY188" s="17"/>
      <c r="AZ188" s="17"/>
      <c r="BA188" s="17"/>
      <c r="BB188" s="17"/>
      <c r="BC188" s="17"/>
      <c r="BD188" s="17"/>
      <c r="BE188" s="17"/>
      <c r="BF188" s="17"/>
      <c r="BG188" s="17"/>
      <c r="BH188" s="17"/>
      <c r="BI188" s="17"/>
      <c r="BJ188" s="17"/>
      <c r="BK188" s="17"/>
      <c r="BL188" s="17"/>
      <c r="BM188" s="17"/>
      <c r="BN188" s="17"/>
      <c r="BO188" s="17"/>
      <c r="BP188" s="17"/>
      <c r="BQ188" s="17"/>
      <c r="BR188" s="17"/>
      <c r="BS188" s="17"/>
      <c r="BT188" s="17"/>
      <c r="BU188" s="17"/>
      <c r="BV188" s="17"/>
      <c r="BW188" s="17"/>
      <c r="BX188" s="17"/>
      <c r="BY188" s="17"/>
      <c r="BZ188" s="17"/>
      <c r="CA188" s="17"/>
      <c r="CB188" s="17"/>
      <c r="CC188" s="17"/>
      <c r="CD188" s="17"/>
      <c r="CE188" s="17"/>
      <c r="CF188" s="17"/>
      <c r="CG188" s="17"/>
      <c r="CH188" s="18"/>
      <c r="CI188">
        <v>7</v>
      </c>
      <c r="CJ188">
        <v>22</v>
      </c>
      <c r="CK188">
        <f t="shared" si="57"/>
        <v>24</v>
      </c>
      <c r="CL188">
        <f t="shared" si="58"/>
        <v>25</v>
      </c>
      <c r="FC188">
        <v>185</v>
      </c>
      <c r="FD188">
        <f t="shared" si="46"/>
        <v>9</v>
      </c>
      <c r="FE188">
        <f t="shared" si="47"/>
        <v>12</v>
      </c>
      <c r="FF188">
        <f t="shared" si="48"/>
        <v>23</v>
      </c>
      <c r="FI188" s="16">
        <v>185</v>
      </c>
      <c r="FJ188" s="17">
        <f t="shared" si="49"/>
        <v>22</v>
      </c>
      <c r="FK188" s="17">
        <f t="shared" si="40"/>
        <v>23</v>
      </c>
      <c r="FL188" s="18" t="str">
        <f t="shared" si="50"/>
        <v>00010111</v>
      </c>
    </row>
    <row r="189" spans="4:168">
      <c r="D189" t="str">
        <f t="shared" si="56"/>
        <v>25-H</v>
      </c>
      <c r="E189" s="16">
        <f>30</f>
        <v>30</v>
      </c>
      <c r="F189" s="16">
        <v>15</v>
      </c>
      <c r="G189" s="2">
        <v>15</v>
      </c>
      <c r="H189" s="2">
        <v>15</v>
      </c>
      <c r="I189" s="2">
        <v>15</v>
      </c>
      <c r="J189" s="2">
        <v>15</v>
      </c>
      <c r="K189" s="2">
        <v>15</v>
      </c>
      <c r="L189" s="2">
        <v>15</v>
      </c>
      <c r="M189" s="2">
        <v>15</v>
      </c>
      <c r="N189" s="2">
        <v>15</v>
      </c>
      <c r="O189" s="2">
        <v>15</v>
      </c>
      <c r="P189" s="2">
        <v>15</v>
      </c>
      <c r="Q189" s="2">
        <v>15</v>
      </c>
      <c r="R189" s="2">
        <v>15</v>
      </c>
      <c r="S189" s="2">
        <v>15</v>
      </c>
      <c r="T189" s="2">
        <v>15</v>
      </c>
      <c r="U189" s="2">
        <v>15</v>
      </c>
      <c r="V189" s="2">
        <v>15</v>
      </c>
      <c r="W189" s="2">
        <v>15</v>
      </c>
      <c r="X189" s="2">
        <v>15</v>
      </c>
      <c r="Y189" s="2">
        <v>15</v>
      </c>
      <c r="Z189" s="2">
        <v>15</v>
      </c>
      <c r="AA189" s="2">
        <v>15</v>
      </c>
      <c r="AB189" s="2">
        <v>16</v>
      </c>
      <c r="AC189" s="2">
        <v>16</v>
      </c>
      <c r="AD189" s="2">
        <v>16</v>
      </c>
      <c r="AE189" s="2">
        <v>16</v>
      </c>
      <c r="AF189" s="2">
        <v>16</v>
      </c>
      <c r="AG189" s="2">
        <v>16</v>
      </c>
      <c r="AH189" s="2">
        <v>16</v>
      </c>
      <c r="AI189" s="2">
        <v>16</v>
      </c>
      <c r="AJ189" s="2">
        <v>16</v>
      </c>
      <c r="AK189" s="2">
        <v>16</v>
      </c>
      <c r="AL189" s="2">
        <v>16</v>
      </c>
      <c r="AM189" s="2">
        <v>16</v>
      </c>
      <c r="AN189" s="2">
        <v>16</v>
      </c>
      <c r="AO189" s="2"/>
      <c r="AP189" s="17"/>
      <c r="AQ189" s="17"/>
      <c r="AR189" s="17"/>
      <c r="AS189" s="17"/>
      <c r="AT189" s="17"/>
      <c r="AU189" s="17"/>
      <c r="AV189" s="17"/>
      <c r="AW189" s="17"/>
      <c r="AX189" s="17"/>
      <c r="AY189" s="17"/>
      <c r="AZ189" s="17"/>
      <c r="BA189" s="17"/>
      <c r="BB189" s="17"/>
      <c r="BC189" s="17"/>
      <c r="BD189" s="17"/>
      <c r="BE189" s="17"/>
      <c r="BF189" s="17"/>
      <c r="BG189" s="17"/>
      <c r="BH189" s="17"/>
      <c r="BI189" s="17"/>
      <c r="BJ189" s="17"/>
      <c r="BK189" s="17"/>
      <c r="BL189" s="17"/>
      <c r="BM189" s="17"/>
      <c r="BN189" s="17"/>
      <c r="BO189" s="17"/>
      <c r="BP189" s="17"/>
      <c r="BQ189" s="17"/>
      <c r="BR189" s="17"/>
      <c r="BS189" s="17"/>
      <c r="BT189" s="17"/>
      <c r="BU189" s="17"/>
      <c r="BV189" s="17"/>
      <c r="BW189" s="17"/>
      <c r="BX189" s="17"/>
      <c r="BY189" s="17"/>
      <c r="BZ189" s="17"/>
      <c r="CA189" s="17"/>
      <c r="CB189" s="17"/>
      <c r="CC189" s="17"/>
      <c r="CD189" s="17"/>
      <c r="CE189" s="17"/>
      <c r="CF189" s="17"/>
      <c r="CG189" s="17"/>
      <c r="CH189" s="18"/>
      <c r="CI189">
        <v>22</v>
      </c>
      <c r="CJ189">
        <v>13</v>
      </c>
      <c r="CK189">
        <f t="shared" si="57"/>
        <v>15</v>
      </c>
      <c r="CL189">
        <f t="shared" si="58"/>
        <v>16</v>
      </c>
      <c r="FC189">
        <v>186</v>
      </c>
      <c r="FD189">
        <f t="shared" si="46"/>
        <v>10</v>
      </c>
      <c r="FE189">
        <f t="shared" si="47"/>
        <v>12</v>
      </c>
      <c r="FF189">
        <f t="shared" si="48"/>
        <v>43</v>
      </c>
      <c r="FI189" s="16">
        <v>186</v>
      </c>
      <c r="FJ189" s="17">
        <f t="shared" si="49"/>
        <v>151</v>
      </c>
      <c r="FK189" s="17">
        <f t="shared" si="40"/>
        <v>43</v>
      </c>
      <c r="FL189" s="18" t="str">
        <f t="shared" si="50"/>
        <v>00101011</v>
      </c>
    </row>
    <row r="190" spans="4:168">
      <c r="D190" t="str">
        <f t="shared" si="53"/>
        <v>26-L</v>
      </c>
      <c r="E190" s="16">
        <v>28</v>
      </c>
      <c r="F190" s="16">
        <v>114</v>
      </c>
      <c r="G190" s="2">
        <v>114</v>
      </c>
      <c r="H190" s="2">
        <v>114</v>
      </c>
      <c r="I190" s="2">
        <v>114</v>
      </c>
      <c r="J190" s="2">
        <v>114</v>
      </c>
      <c r="K190" s="2">
        <v>114</v>
      </c>
      <c r="L190" s="2">
        <v>114</v>
      </c>
      <c r="M190" s="2">
        <v>114</v>
      </c>
      <c r="N190" s="2">
        <v>114</v>
      </c>
      <c r="O190" s="2">
        <v>114</v>
      </c>
      <c r="P190" s="2">
        <v>115</v>
      </c>
      <c r="Q190" s="2">
        <v>115</v>
      </c>
      <c r="R190" s="2"/>
      <c r="S190" s="2"/>
      <c r="T190" s="2"/>
      <c r="U190" s="2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  <c r="BI190" s="17"/>
      <c r="BJ190" s="17"/>
      <c r="BK190" s="17"/>
      <c r="BL190" s="17"/>
      <c r="BM190" s="17"/>
      <c r="BN190" s="17"/>
      <c r="BO190" s="17"/>
      <c r="BP190" s="17"/>
      <c r="BQ190" s="17"/>
      <c r="BR190" s="17"/>
      <c r="BS190" s="17"/>
      <c r="BT190" s="17"/>
      <c r="BU190" s="17"/>
      <c r="BV190" s="17"/>
      <c r="BW190" s="17"/>
      <c r="BX190" s="17"/>
      <c r="BY190" s="17"/>
      <c r="BZ190" s="17"/>
      <c r="CA190" s="17"/>
      <c r="CB190" s="17"/>
      <c r="CC190" s="17"/>
      <c r="CD190" s="17"/>
      <c r="CE190" s="17"/>
      <c r="CF190" s="17"/>
      <c r="CG190" s="17"/>
      <c r="CH190" s="18"/>
      <c r="CI190">
        <v>10</v>
      </c>
      <c r="CJ190">
        <v>2</v>
      </c>
      <c r="CK190">
        <f t="shared" si="57"/>
        <v>114</v>
      </c>
      <c r="CL190">
        <f t="shared" si="58"/>
        <v>115</v>
      </c>
      <c r="FC190">
        <v>187</v>
      </c>
      <c r="FD190">
        <f t="shared" si="46"/>
        <v>11</v>
      </c>
      <c r="FE190">
        <f t="shared" si="47"/>
        <v>12</v>
      </c>
      <c r="FF190">
        <f t="shared" si="48"/>
        <v>126</v>
      </c>
      <c r="FI190" s="16">
        <v>187</v>
      </c>
      <c r="FJ190" s="17">
        <f t="shared" si="49"/>
        <v>251</v>
      </c>
      <c r="FK190" s="17">
        <f t="shared" si="40"/>
        <v>126</v>
      </c>
      <c r="FL190" s="18" t="str">
        <f t="shared" si="50"/>
        <v>01111110</v>
      </c>
    </row>
    <row r="191" spans="4:168">
      <c r="D191" t="str">
        <f t="shared" si="54"/>
        <v>26-M</v>
      </c>
      <c r="E191" s="16">
        <v>28</v>
      </c>
      <c r="F191" s="16">
        <v>46</v>
      </c>
      <c r="G191" s="2">
        <v>46</v>
      </c>
      <c r="H191" s="2">
        <v>46</v>
      </c>
      <c r="I191" s="2">
        <v>46</v>
      </c>
      <c r="J191" s="2">
        <v>46</v>
      </c>
      <c r="K191" s="2">
        <v>46</v>
      </c>
      <c r="L191" s="2">
        <v>46</v>
      </c>
      <c r="M191" s="2">
        <v>46</v>
      </c>
      <c r="N191" s="2">
        <v>46</v>
      </c>
      <c r="O191" s="2">
        <v>46</v>
      </c>
      <c r="P191" s="2">
        <v>46</v>
      </c>
      <c r="Q191" s="2">
        <v>46</v>
      </c>
      <c r="R191" s="2">
        <v>46</v>
      </c>
      <c r="S191" s="2">
        <v>46</v>
      </c>
      <c r="T191" s="2">
        <v>46</v>
      </c>
      <c r="U191" s="2">
        <v>46</v>
      </c>
      <c r="V191" s="2">
        <v>46</v>
      </c>
      <c r="W191" s="2">
        <v>46</v>
      </c>
      <c r="X191" s="2">
        <v>46</v>
      </c>
      <c r="Y191" s="2">
        <v>47</v>
      </c>
      <c r="Z191" s="2">
        <v>47</v>
      </c>
      <c r="AA191" s="2">
        <v>47</v>
      </c>
      <c r="AB191" s="2">
        <v>47</v>
      </c>
      <c r="AC191" s="2"/>
      <c r="AD191" s="2"/>
      <c r="AE191" s="2"/>
      <c r="AF191" s="2"/>
      <c r="AG191" s="2"/>
      <c r="AH191" s="2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  <c r="AX191" s="17"/>
      <c r="AY191" s="17"/>
      <c r="AZ191" s="17"/>
      <c r="BA191" s="17"/>
      <c r="BB191" s="17"/>
      <c r="BC191" s="17"/>
      <c r="BD191" s="17"/>
      <c r="BE191" s="17"/>
      <c r="BF191" s="17"/>
      <c r="BG191" s="17"/>
      <c r="BH191" s="17"/>
      <c r="BI191" s="17"/>
      <c r="BJ191" s="17"/>
      <c r="BK191" s="17"/>
      <c r="BL191" s="17"/>
      <c r="BM191" s="17"/>
      <c r="BN191" s="17"/>
      <c r="BO191" s="17"/>
      <c r="BP191" s="17"/>
      <c r="BQ191" s="17"/>
      <c r="BR191" s="17"/>
      <c r="BS191" s="17"/>
      <c r="BT191" s="17"/>
      <c r="BU191" s="17"/>
      <c r="BV191" s="17"/>
      <c r="BW191" s="17"/>
      <c r="BX191" s="17"/>
      <c r="BY191" s="17"/>
      <c r="BZ191" s="17"/>
      <c r="CA191" s="17"/>
      <c r="CB191" s="17"/>
      <c r="CC191" s="17"/>
      <c r="CD191" s="17"/>
      <c r="CE191" s="17"/>
      <c r="CF191" s="17"/>
      <c r="CG191" s="17"/>
      <c r="CH191" s="18"/>
      <c r="CI191">
        <v>19</v>
      </c>
      <c r="CJ191">
        <v>4</v>
      </c>
      <c r="CK191">
        <f t="shared" si="57"/>
        <v>46</v>
      </c>
      <c r="CL191">
        <f t="shared" si="58"/>
        <v>47</v>
      </c>
      <c r="FC191">
        <v>188</v>
      </c>
      <c r="FD191">
        <f t="shared" si="46"/>
        <v>12</v>
      </c>
      <c r="FE191">
        <f t="shared" si="47"/>
        <v>12</v>
      </c>
      <c r="FF191">
        <f t="shared" si="48"/>
        <v>172</v>
      </c>
      <c r="FI191" s="16">
        <v>188</v>
      </c>
      <c r="FJ191" s="17">
        <f t="shared" si="49"/>
        <v>230</v>
      </c>
      <c r="FK191" s="17">
        <f t="shared" si="40"/>
        <v>172</v>
      </c>
      <c r="FL191" s="18" t="str">
        <f t="shared" si="50"/>
        <v>10101100</v>
      </c>
    </row>
    <row r="192" spans="4:168">
      <c r="D192" t="str">
        <f t="shared" si="55"/>
        <v>26-Q</v>
      </c>
      <c r="E192" s="16">
        <v>28</v>
      </c>
      <c r="F192" s="16">
        <v>22</v>
      </c>
      <c r="G192" s="2">
        <v>22</v>
      </c>
      <c r="H192" s="2">
        <v>22</v>
      </c>
      <c r="I192" s="2">
        <v>22</v>
      </c>
      <c r="J192" s="2">
        <v>22</v>
      </c>
      <c r="K192" s="2">
        <v>22</v>
      </c>
      <c r="L192" s="2">
        <v>22</v>
      </c>
      <c r="M192" s="2">
        <v>22</v>
      </c>
      <c r="N192" s="2">
        <v>22</v>
      </c>
      <c r="O192" s="2">
        <v>22</v>
      </c>
      <c r="P192" s="2">
        <v>22</v>
      </c>
      <c r="Q192" s="2">
        <v>22</v>
      </c>
      <c r="R192" s="2">
        <v>22</v>
      </c>
      <c r="S192" s="2">
        <v>22</v>
      </c>
      <c r="T192" s="2">
        <v>22</v>
      </c>
      <c r="U192" s="2">
        <v>22</v>
      </c>
      <c r="V192" s="2">
        <v>22</v>
      </c>
      <c r="W192" s="2">
        <v>22</v>
      </c>
      <c r="X192" s="2">
        <v>22</v>
      </c>
      <c r="Y192" s="2">
        <v>22</v>
      </c>
      <c r="Z192" s="2">
        <v>22</v>
      </c>
      <c r="AA192" s="2">
        <v>22</v>
      </c>
      <c r="AB192" s="2">
        <v>22</v>
      </c>
      <c r="AC192" s="2">
        <v>22</v>
      </c>
      <c r="AD192" s="2">
        <v>22</v>
      </c>
      <c r="AE192" s="2">
        <v>22</v>
      </c>
      <c r="AF192" s="2">
        <v>22</v>
      </c>
      <c r="AG192" s="2">
        <v>22</v>
      </c>
      <c r="AH192" s="2">
        <v>23</v>
      </c>
      <c r="AI192" s="2">
        <v>23</v>
      </c>
      <c r="AJ192" s="2">
        <v>23</v>
      </c>
      <c r="AK192" s="2">
        <v>23</v>
      </c>
      <c r="AL192" s="2">
        <v>23</v>
      </c>
      <c r="AM192" s="2">
        <v>23</v>
      </c>
      <c r="AN192" s="2"/>
      <c r="AO192" s="2"/>
      <c r="AP192" s="2"/>
      <c r="AQ192" s="2"/>
      <c r="AR192" s="2"/>
      <c r="AS192" s="2"/>
      <c r="AT192" s="17"/>
      <c r="AU192" s="17"/>
      <c r="AV192" s="17"/>
      <c r="AW192" s="17"/>
      <c r="AX192" s="17"/>
      <c r="AY192" s="17"/>
      <c r="AZ192" s="17"/>
      <c r="BA192" s="17"/>
      <c r="BB192" s="17"/>
      <c r="BC192" s="17"/>
      <c r="BD192" s="17"/>
      <c r="BE192" s="17"/>
      <c r="BF192" s="17"/>
      <c r="BG192" s="17"/>
      <c r="BH192" s="17"/>
      <c r="BI192" s="17"/>
      <c r="BJ192" s="17"/>
      <c r="BK192" s="17"/>
      <c r="BL192" s="17"/>
      <c r="BM192" s="17"/>
      <c r="BN192" s="17"/>
      <c r="BO192" s="17"/>
      <c r="BP192" s="17"/>
      <c r="BQ192" s="17"/>
      <c r="BR192" s="17"/>
      <c r="BS192" s="17"/>
      <c r="BT192" s="17"/>
      <c r="BU192" s="17"/>
      <c r="BV192" s="17"/>
      <c r="BW192" s="17"/>
      <c r="BX192" s="17"/>
      <c r="BY192" s="17"/>
      <c r="BZ192" s="17"/>
      <c r="CA192" s="17"/>
      <c r="CB192" s="17"/>
      <c r="CC192" s="17"/>
      <c r="CD192" s="17"/>
      <c r="CE192" s="17"/>
      <c r="CF192" s="17"/>
      <c r="CG192" s="17"/>
      <c r="CH192" s="18"/>
      <c r="CI192">
        <v>28</v>
      </c>
      <c r="CJ192">
        <v>6</v>
      </c>
      <c r="CK192">
        <f t="shared" si="57"/>
        <v>22</v>
      </c>
      <c r="CL192">
        <f t="shared" si="58"/>
        <v>23</v>
      </c>
      <c r="FC192">
        <v>189</v>
      </c>
      <c r="FD192">
        <f t="shared" si="46"/>
        <v>13</v>
      </c>
      <c r="FE192">
        <f t="shared" si="47"/>
        <v>12</v>
      </c>
      <c r="FF192">
        <f t="shared" si="48"/>
        <v>55</v>
      </c>
      <c r="FI192" s="16">
        <v>189</v>
      </c>
      <c r="FJ192" s="17">
        <f t="shared" si="49"/>
        <v>105</v>
      </c>
      <c r="FK192" s="17">
        <f t="shared" si="40"/>
        <v>55</v>
      </c>
      <c r="FL192" s="18" t="str">
        <f t="shared" si="50"/>
        <v>00110111</v>
      </c>
    </row>
    <row r="193" spans="4:168">
      <c r="D193" t="str">
        <f t="shared" si="56"/>
        <v>26-H</v>
      </c>
      <c r="E193" s="16">
        <v>30</v>
      </c>
      <c r="F193" s="16">
        <v>16</v>
      </c>
      <c r="G193" s="2">
        <v>16</v>
      </c>
      <c r="H193" s="2">
        <v>16</v>
      </c>
      <c r="I193" s="2">
        <v>16</v>
      </c>
      <c r="J193" s="2">
        <v>16</v>
      </c>
      <c r="K193" s="2">
        <v>16</v>
      </c>
      <c r="L193" s="2">
        <v>16</v>
      </c>
      <c r="M193" s="2">
        <v>16</v>
      </c>
      <c r="N193" s="2">
        <v>16</v>
      </c>
      <c r="O193" s="2">
        <v>16</v>
      </c>
      <c r="P193" s="2">
        <v>16</v>
      </c>
      <c r="Q193" s="2">
        <v>16</v>
      </c>
      <c r="R193" s="2">
        <v>16</v>
      </c>
      <c r="S193" s="2">
        <v>16</v>
      </c>
      <c r="T193" s="2">
        <v>16</v>
      </c>
      <c r="U193" s="2">
        <v>16</v>
      </c>
      <c r="V193" s="2">
        <v>16</v>
      </c>
      <c r="W193" s="2">
        <v>16</v>
      </c>
      <c r="X193" s="2">
        <v>16</v>
      </c>
      <c r="Y193" s="2">
        <v>16</v>
      </c>
      <c r="Z193" s="2">
        <v>16</v>
      </c>
      <c r="AA193" s="2">
        <v>16</v>
      </c>
      <c r="AB193" s="2">
        <v>16</v>
      </c>
      <c r="AC193" s="2">
        <v>16</v>
      </c>
      <c r="AD193" s="2">
        <v>16</v>
      </c>
      <c r="AE193" s="2">
        <v>16</v>
      </c>
      <c r="AF193" s="2">
        <v>16</v>
      </c>
      <c r="AG193" s="2">
        <v>16</v>
      </c>
      <c r="AH193" s="2">
        <v>16</v>
      </c>
      <c r="AI193" s="2">
        <v>16</v>
      </c>
      <c r="AJ193" s="2">
        <v>16</v>
      </c>
      <c r="AK193" s="2">
        <v>16</v>
      </c>
      <c r="AL193" s="2">
        <v>16</v>
      </c>
      <c r="AM193" s="2">
        <v>17</v>
      </c>
      <c r="AN193" s="2">
        <v>17</v>
      </c>
      <c r="AO193" s="2">
        <v>17</v>
      </c>
      <c r="AP193" s="2">
        <v>17</v>
      </c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17"/>
      <c r="BC193" s="17"/>
      <c r="BD193" s="17"/>
      <c r="BE193" s="17"/>
      <c r="BF193" s="17"/>
      <c r="BG193" s="17"/>
      <c r="BH193" s="17"/>
      <c r="BI193" s="17"/>
      <c r="BJ193" s="17"/>
      <c r="BK193" s="17"/>
      <c r="BL193" s="17"/>
      <c r="BM193" s="17"/>
      <c r="BN193" s="17"/>
      <c r="BO193" s="17"/>
      <c r="BP193" s="17"/>
      <c r="BQ193" s="17"/>
      <c r="BR193" s="17"/>
      <c r="BS193" s="17"/>
      <c r="BT193" s="17"/>
      <c r="BU193" s="17"/>
      <c r="BV193" s="17"/>
      <c r="BW193" s="17"/>
      <c r="BX193" s="17"/>
      <c r="BY193" s="17"/>
      <c r="BZ193" s="17"/>
      <c r="CA193" s="17"/>
      <c r="CB193" s="17"/>
      <c r="CC193" s="17"/>
      <c r="CD193" s="17"/>
      <c r="CE193" s="17"/>
      <c r="CF193" s="17"/>
      <c r="CG193" s="17"/>
      <c r="CH193" s="18"/>
      <c r="CI193">
        <v>33</v>
      </c>
      <c r="CJ193">
        <v>4</v>
      </c>
      <c r="CK193">
        <f t="shared" si="57"/>
        <v>16</v>
      </c>
      <c r="CL193">
        <f t="shared" si="58"/>
        <v>17</v>
      </c>
      <c r="FC193">
        <v>190</v>
      </c>
      <c r="FD193">
        <f t="shared" si="46"/>
        <v>14</v>
      </c>
      <c r="FE193">
        <f t="shared" si="47"/>
        <v>12</v>
      </c>
      <c r="FF193">
        <f t="shared" si="48"/>
        <v>236</v>
      </c>
      <c r="FI193" s="16">
        <v>190</v>
      </c>
      <c r="FJ193" s="17">
        <f t="shared" si="49"/>
        <v>138</v>
      </c>
      <c r="FK193" s="17">
        <f t="shared" si="40"/>
        <v>236</v>
      </c>
      <c r="FL193" s="18" t="str">
        <f t="shared" si="50"/>
        <v>11101100</v>
      </c>
    </row>
    <row r="194" spans="4:168">
      <c r="D194" t="str">
        <f t="shared" si="53"/>
        <v>27-L</v>
      </c>
      <c r="E194" s="16">
        <v>30</v>
      </c>
      <c r="F194" s="16">
        <v>122</v>
      </c>
      <c r="G194" s="2">
        <v>122</v>
      </c>
      <c r="H194" s="2">
        <v>122</v>
      </c>
      <c r="I194" s="2">
        <v>122</v>
      </c>
      <c r="J194" s="2">
        <v>122</v>
      </c>
      <c r="K194" s="2">
        <v>122</v>
      </c>
      <c r="L194" s="2">
        <v>122</v>
      </c>
      <c r="M194" s="2">
        <v>122</v>
      </c>
      <c r="N194" s="2">
        <v>123</v>
      </c>
      <c r="O194" s="2">
        <v>123</v>
      </c>
      <c r="P194" s="2">
        <v>123</v>
      </c>
      <c r="Q194" s="2">
        <v>123</v>
      </c>
      <c r="R194" s="2"/>
      <c r="S194" s="2"/>
      <c r="T194" s="2"/>
      <c r="U194" s="2"/>
      <c r="V194" s="2"/>
      <c r="W194" s="2"/>
      <c r="X194" s="2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  <c r="AX194" s="17"/>
      <c r="AY194" s="17"/>
      <c r="AZ194" s="17"/>
      <c r="BA194" s="17"/>
      <c r="BB194" s="17"/>
      <c r="BC194" s="17"/>
      <c r="BD194" s="17"/>
      <c r="BE194" s="17"/>
      <c r="BF194" s="17"/>
      <c r="BG194" s="17"/>
      <c r="BH194" s="17"/>
      <c r="BI194" s="17"/>
      <c r="BJ194" s="17"/>
      <c r="BK194" s="17"/>
      <c r="BL194" s="17"/>
      <c r="BM194" s="17"/>
      <c r="BN194" s="17"/>
      <c r="BO194" s="17"/>
      <c r="BP194" s="17"/>
      <c r="BQ194" s="17"/>
      <c r="BR194" s="17"/>
      <c r="BS194" s="17"/>
      <c r="BT194" s="17"/>
      <c r="BU194" s="17"/>
      <c r="BV194" s="17"/>
      <c r="BW194" s="17"/>
      <c r="BX194" s="17"/>
      <c r="BY194" s="17"/>
      <c r="BZ194" s="17"/>
      <c r="CA194" s="17"/>
      <c r="CB194" s="17"/>
      <c r="CC194" s="17"/>
      <c r="CD194" s="17"/>
      <c r="CE194" s="17"/>
      <c r="CF194" s="17"/>
      <c r="CG194" s="17"/>
      <c r="CH194" s="18"/>
      <c r="CI194">
        <v>8</v>
      </c>
      <c r="CJ194">
        <v>4</v>
      </c>
      <c r="CK194">
        <f t="shared" si="57"/>
        <v>122</v>
      </c>
      <c r="CL194">
        <f t="shared" si="58"/>
        <v>123</v>
      </c>
      <c r="FC194">
        <v>191</v>
      </c>
      <c r="FD194">
        <f t="shared" si="46"/>
        <v>15</v>
      </c>
      <c r="FE194">
        <f t="shared" si="47"/>
        <v>12</v>
      </c>
      <c r="FF194" t="str">
        <f t="shared" si="48"/>
        <v/>
      </c>
      <c r="FI194" s="16">
        <v>191</v>
      </c>
      <c r="FJ194" s="17">
        <f t="shared" si="49"/>
        <v>35</v>
      </c>
      <c r="FK194" s="17" t="str">
        <f t="shared" si="40"/>
        <v/>
      </c>
      <c r="FL194" s="18" t="str">
        <f t="shared" si="50"/>
        <v/>
      </c>
    </row>
    <row r="195" spans="4:168">
      <c r="D195" t="str">
        <f t="shared" si="54"/>
        <v>27-M</v>
      </c>
      <c r="E195" s="16">
        <v>28</v>
      </c>
      <c r="F195" s="16">
        <v>45</v>
      </c>
      <c r="G195" s="2">
        <v>45</v>
      </c>
      <c r="H195" s="2">
        <v>45</v>
      </c>
      <c r="I195" s="2">
        <v>45</v>
      </c>
      <c r="J195" s="2">
        <v>45</v>
      </c>
      <c r="K195" s="2">
        <v>45</v>
      </c>
      <c r="L195" s="2">
        <v>45</v>
      </c>
      <c r="M195" s="2">
        <v>45</v>
      </c>
      <c r="N195" s="2">
        <v>45</v>
      </c>
      <c r="O195" s="2">
        <v>45</v>
      </c>
      <c r="P195" s="2">
        <v>45</v>
      </c>
      <c r="Q195" s="2">
        <v>45</v>
      </c>
      <c r="R195" s="2">
        <v>45</v>
      </c>
      <c r="S195" s="2">
        <v>45</v>
      </c>
      <c r="T195" s="2">
        <v>45</v>
      </c>
      <c r="U195" s="2">
        <v>45</v>
      </c>
      <c r="V195" s="2">
        <v>45</v>
      </c>
      <c r="W195" s="2">
        <v>45</v>
      </c>
      <c r="X195" s="2">
        <v>45</v>
      </c>
      <c r="Y195" s="2">
        <v>45</v>
      </c>
      <c r="Z195" s="2">
        <v>45</v>
      </c>
      <c r="AA195" s="2">
        <v>45</v>
      </c>
      <c r="AB195" s="2">
        <v>46</v>
      </c>
      <c r="AC195" s="2">
        <v>46</v>
      </c>
      <c r="AD195" s="2">
        <v>46</v>
      </c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17"/>
      <c r="AS195" s="17"/>
      <c r="AT195" s="17"/>
      <c r="AU195" s="17"/>
      <c r="AV195" s="17"/>
      <c r="AW195" s="17"/>
      <c r="AX195" s="17"/>
      <c r="AY195" s="17"/>
      <c r="AZ195" s="17"/>
      <c r="BA195" s="17"/>
      <c r="BB195" s="17"/>
      <c r="BC195" s="17"/>
      <c r="BD195" s="17"/>
      <c r="BE195" s="17"/>
      <c r="BF195" s="17"/>
      <c r="BG195" s="17"/>
      <c r="BH195" s="17"/>
      <c r="BI195" s="17"/>
      <c r="BJ195" s="17"/>
      <c r="BK195" s="17"/>
      <c r="BL195" s="17"/>
      <c r="BM195" s="17"/>
      <c r="BN195" s="17"/>
      <c r="BO195" s="17"/>
      <c r="BP195" s="17"/>
      <c r="BQ195" s="17"/>
      <c r="BR195" s="17"/>
      <c r="BS195" s="17"/>
      <c r="BT195" s="17"/>
      <c r="BU195" s="17"/>
      <c r="BV195" s="17"/>
      <c r="BW195" s="17"/>
      <c r="BX195" s="17"/>
      <c r="BY195" s="17"/>
      <c r="BZ195" s="17"/>
      <c r="CA195" s="17"/>
      <c r="CB195" s="17"/>
      <c r="CC195" s="17"/>
      <c r="CD195" s="17"/>
      <c r="CE195" s="17"/>
      <c r="CF195" s="17"/>
      <c r="CG195" s="17"/>
      <c r="CH195" s="18"/>
      <c r="CI195">
        <v>22</v>
      </c>
      <c r="CJ195">
        <v>3</v>
      </c>
      <c r="CK195">
        <f t="shared" si="57"/>
        <v>45</v>
      </c>
      <c r="CL195">
        <f t="shared" si="58"/>
        <v>46</v>
      </c>
      <c r="FC195">
        <v>192</v>
      </c>
      <c r="FD195">
        <f t="shared" si="46"/>
        <v>16</v>
      </c>
      <c r="FE195">
        <f t="shared" si="47"/>
        <v>12</v>
      </c>
      <c r="FF195" t="str">
        <f t="shared" si="48"/>
        <v/>
      </c>
      <c r="FI195" s="16">
        <v>192</v>
      </c>
      <c r="FJ195" s="17">
        <f t="shared" si="49"/>
        <v>0</v>
      </c>
      <c r="FK195" s="17" t="str">
        <f t="shared" si="40"/>
        <v/>
      </c>
      <c r="FL195" s="18" t="str">
        <f t="shared" si="50"/>
        <v/>
      </c>
    </row>
    <row r="196" spans="4:168">
      <c r="D196" t="str">
        <f t="shared" si="55"/>
        <v>27-Q</v>
      </c>
      <c r="E196" s="16">
        <v>30</v>
      </c>
      <c r="F196" s="16">
        <v>23</v>
      </c>
      <c r="G196" s="2">
        <v>23</v>
      </c>
      <c r="H196" s="2">
        <v>23</v>
      </c>
      <c r="I196" s="2">
        <v>23</v>
      </c>
      <c r="J196" s="2">
        <v>23</v>
      </c>
      <c r="K196" s="2">
        <v>23</v>
      </c>
      <c r="L196" s="2">
        <v>23</v>
      </c>
      <c r="M196" s="2">
        <v>23</v>
      </c>
      <c r="N196" s="2">
        <v>24</v>
      </c>
      <c r="O196" s="2">
        <v>24</v>
      </c>
      <c r="P196" s="2">
        <v>24</v>
      </c>
      <c r="Q196" s="2">
        <v>24</v>
      </c>
      <c r="R196" s="2">
        <v>24</v>
      </c>
      <c r="S196" s="2">
        <v>24</v>
      </c>
      <c r="T196" s="2">
        <v>24</v>
      </c>
      <c r="U196" s="2">
        <v>24</v>
      </c>
      <c r="V196" s="2">
        <v>24</v>
      </c>
      <c r="W196" s="2">
        <v>24</v>
      </c>
      <c r="X196" s="2">
        <v>24</v>
      </c>
      <c r="Y196" s="2">
        <v>24</v>
      </c>
      <c r="Z196" s="2">
        <v>24</v>
      </c>
      <c r="AA196" s="2">
        <v>24</v>
      </c>
      <c r="AB196" s="2">
        <v>24</v>
      </c>
      <c r="AC196" s="2">
        <v>24</v>
      </c>
      <c r="AD196" s="2">
        <v>24</v>
      </c>
      <c r="AE196" s="2">
        <v>24</v>
      </c>
      <c r="AF196" s="2">
        <v>24</v>
      </c>
      <c r="AG196" s="2">
        <v>24</v>
      </c>
      <c r="AH196" s="2">
        <v>24</v>
      </c>
      <c r="AI196" s="2">
        <v>24</v>
      </c>
      <c r="AJ196" s="2">
        <v>24</v>
      </c>
      <c r="AK196" s="2">
        <v>24</v>
      </c>
      <c r="AL196" s="2">
        <v>24</v>
      </c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17"/>
      <c r="BJ196" s="17"/>
      <c r="BK196" s="17"/>
      <c r="BL196" s="17"/>
      <c r="BM196" s="17"/>
      <c r="BN196" s="17"/>
      <c r="BO196" s="17"/>
      <c r="BP196" s="17"/>
      <c r="BQ196" s="17"/>
      <c r="BR196" s="17"/>
      <c r="BS196" s="17"/>
      <c r="BT196" s="17"/>
      <c r="BU196" s="17"/>
      <c r="BV196" s="17"/>
      <c r="BW196" s="17"/>
      <c r="BX196" s="17"/>
      <c r="BY196" s="17"/>
      <c r="BZ196" s="17"/>
      <c r="CA196" s="17"/>
      <c r="CB196" s="17"/>
      <c r="CC196" s="17"/>
      <c r="CD196" s="17"/>
      <c r="CE196" s="17"/>
      <c r="CF196" s="17"/>
      <c r="CG196" s="17"/>
      <c r="CH196" s="18"/>
      <c r="CI196">
        <v>8</v>
      </c>
      <c r="CJ196">
        <v>26</v>
      </c>
      <c r="CK196">
        <f t="shared" si="57"/>
        <v>23</v>
      </c>
      <c r="CL196">
        <f t="shared" si="58"/>
        <v>24</v>
      </c>
      <c r="FC196">
        <v>193</v>
      </c>
      <c r="FD196">
        <f t="shared" si="46"/>
        <v>1</v>
      </c>
      <c r="FE196">
        <f t="shared" si="47"/>
        <v>13</v>
      </c>
      <c r="FF196">
        <f t="shared" si="48"/>
        <v>89</v>
      </c>
      <c r="FI196" s="16">
        <v>193</v>
      </c>
      <c r="FJ196" s="17">
        <f t="shared" si="49"/>
        <v>177</v>
      </c>
      <c r="FK196" s="17">
        <f t="shared" si="40"/>
        <v>89</v>
      </c>
      <c r="FL196" s="18" t="str">
        <f t="shared" si="50"/>
        <v>01011001</v>
      </c>
    </row>
    <row r="197" spans="4:168">
      <c r="D197" t="str">
        <f t="shared" si="56"/>
        <v>27-H</v>
      </c>
      <c r="E197" s="16">
        <v>30</v>
      </c>
      <c r="F197" s="16">
        <v>15</v>
      </c>
      <c r="G197" s="2">
        <v>15</v>
      </c>
      <c r="H197" s="2">
        <v>15</v>
      </c>
      <c r="I197" s="2">
        <v>15</v>
      </c>
      <c r="J197" s="2">
        <v>15</v>
      </c>
      <c r="K197" s="2">
        <v>15</v>
      </c>
      <c r="L197" s="2">
        <v>15</v>
      </c>
      <c r="M197" s="2">
        <v>15</v>
      </c>
      <c r="N197" s="2">
        <v>15</v>
      </c>
      <c r="O197" s="2">
        <v>15</v>
      </c>
      <c r="P197" s="2">
        <v>15</v>
      </c>
      <c r="Q197" s="2">
        <v>15</v>
      </c>
      <c r="R197" s="2">
        <v>16</v>
      </c>
      <c r="S197" s="2">
        <v>16</v>
      </c>
      <c r="T197" s="2">
        <v>16</v>
      </c>
      <c r="U197" s="2">
        <v>16</v>
      </c>
      <c r="V197" s="2">
        <v>16</v>
      </c>
      <c r="W197" s="2">
        <v>16</v>
      </c>
      <c r="X197" s="2">
        <v>16</v>
      </c>
      <c r="Y197" s="2">
        <v>16</v>
      </c>
      <c r="Z197" s="2">
        <v>16</v>
      </c>
      <c r="AA197" s="2">
        <v>16</v>
      </c>
      <c r="AB197" s="2">
        <v>16</v>
      </c>
      <c r="AC197" s="2">
        <v>16</v>
      </c>
      <c r="AD197" s="2">
        <v>16</v>
      </c>
      <c r="AE197" s="2">
        <v>16</v>
      </c>
      <c r="AF197" s="2">
        <v>16</v>
      </c>
      <c r="AG197" s="2">
        <v>16</v>
      </c>
      <c r="AH197" s="2">
        <v>16</v>
      </c>
      <c r="AI197" s="2">
        <v>16</v>
      </c>
      <c r="AJ197" s="2">
        <v>16</v>
      </c>
      <c r="AK197" s="2">
        <v>16</v>
      </c>
      <c r="AL197" s="2">
        <v>16</v>
      </c>
      <c r="AM197" s="2">
        <v>16</v>
      </c>
      <c r="AN197" s="2">
        <v>16</v>
      </c>
      <c r="AO197" s="2">
        <v>16</v>
      </c>
      <c r="AP197" s="2">
        <v>16</v>
      </c>
      <c r="AQ197" s="2">
        <v>16</v>
      </c>
      <c r="AR197" s="2">
        <v>16</v>
      </c>
      <c r="AS197" s="2">
        <v>16</v>
      </c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17"/>
      <c r="BU197" s="17"/>
      <c r="BV197" s="17"/>
      <c r="BW197" s="17"/>
      <c r="BX197" s="17"/>
      <c r="BY197" s="17"/>
      <c r="BZ197" s="17"/>
      <c r="CA197" s="17"/>
      <c r="CB197" s="17"/>
      <c r="CC197" s="17"/>
      <c r="CD197" s="17"/>
      <c r="CE197" s="17"/>
      <c r="CF197" s="17"/>
      <c r="CG197" s="17"/>
      <c r="CH197" s="18"/>
      <c r="CI197">
        <v>22</v>
      </c>
      <c r="CJ197">
        <v>8</v>
      </c>
      <c r="CK197">
        <f t="shared" si="57"/>
        <v>15</v>
      </c>
      <c r="CL197">
        <f t="shared" si="58"/>
        <v>16</v>
      </c>
      <c r="FC197">
        <v>194</v>
      </c>
      <c r="FD197">
        <f t="shared" si="46"/>
        <v>2</v>
      </c>
      <c r="FE197">
        <f t="shared" si="47"/>
        <v>13</v>
      </c>
      <c r="FF197">
        <f t="shared" si="48"/>
        <v>17</v>
      </c>
      <c r="FI197" s="16">
        <v>194</v>
      </c>
      <c r="FJ197" s="17">
        <f t="shared" si="49"/>
        <v>82</v>
      </c>
      <c r="FK197" s="17">
        <f t="shared" ref="FK197:FK260" si="59">IF(FI197&lt;=$FH$2,FF197,IF(FI197&lt;=$FH$2+$FH$3,INDEX($FJ$4:$FJ$2494,FI197-$FH$2),""))</f>
        <v>17</v>
      </c>
      <c r="FL197" s="18" t="str">
        <f t="shared" si="50"/>
        <v>00010001</v>
      </c>
    </row>
    <row r="198" spans="4:168">
      <c r="D198" t="str">
        <f t="shared" si="53"/>
        <v>28-L</v>
      </c>
      <c r="E198" s="16">
        <v>30</v>
      </c>
      <c r="F198" s="16">
        <v>117</v>
      </c>
      <c r="G198" s="2">
        <v>117</v>
      </c>
      <c r="H198" s="2">
        <v>117</v>
      </c>
      <c r="I198" s="2">
        <v>118</v>
      </c>
      <c r="J198" s="2">
        <v>118</v>
      </c>
      <c r="K198" s="2">
        <v>118</v>
      </c>
      <c r="L198" s="2">
        <v>118</v>
      </c>
      <c r="M198" s="2">
        <v>118</v>
      </c>
      <c r="N198" s="2">
        <v>118</v>
      </c>
      <c r="O198" s="2">
        <v>118</v>
      </c>
      <c r="P198" s="2">
        <v>118</v>
      </c>
      <c r="Q198" s="2">
        <v>118</v>
      </c>
      <c r="R198" s="2">
        <v>118</v>
      </c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  <c r="AX198" s="17"/>
      <c r="AY198" s="17"/>
      <c r="AZ198" s="17"/>
      <c r="BA198" s="17"/>
      <c r="BB198" s="17"/>
      <c r="BC198" s="17"/>
      <c r="BD198" s="17"/>
      <c r="BE198" s="17"/>
      <c r="BF198" s="17"/>
      <c r="BG198" s="17"/>
      <c r="BH198" s="17"/>
      <c r="BI198" s="17"/>
      <c r="BJ198" s="17"/>
      <c r="BK198" s="17"/>
      <c r="BL198" s="17"/>
      <c r="BM198" s="17"/>
      <c r="BN198" s="17"/>
      <c r="BO198" s="17"/>
      <c r="BP198" s="17"/>
      <c r="BQ198" s="17"/>
      <c r="BR198" s="17"/>
      <c r="BS198" s="17"/>
      <c r="BT198" s="17"/>
      <c r="BU198" s="17"/>
      <c r="BV198" s="17"/>
      <c r="BW198" s="17"/>
      <c r="BX198" s="17"/>
      <c r="BY198" s="17"/>
      <c r="BZ198" s="17"/>
      <c r="CA198" s="17"/>
      <c r="CB198" s="17"/>
      <c r="CC198" s="17"/>
      <c r="CD198" s="17"/>
      <c r="CE198" s="17"/>
      <c r="CF198" s="17"/>
      <c r="CG198" s="17"/>
      <c r="CH198" s="18"/>
      <c r="CI198">
        <v>3</v>
      </c>
      <c r="CJ198">
        <v>10</v>
      </c>
      <c r="CK198">
        <f t="shared" si="57"/>
        <v>117</v>
      </c>
      <c r="CL198">
        <f t="shared" si="58"/>
        <v>118</v>
      </c>
      <c r="FC198">
        <v>195</v>
      </c>
      <c r="FD198">
        <f t="shared" si="46"/>
        <v>3</v>
      </c>
      <c r="FE198">
        <f t="shared" si="47"/>
        <v>13</v>
      </c>
      <c r="FF198" t="str">
        <f t="shared" si="48"/>
        <v/>
      </c>
      <c r="FI198" s="16">
        <v>195</v>
      </c>
      <c r="FJ198" s="17">
        <f t="shared" si="49"/>
        <v>188</v>
      </c>
      <c r="FK198" s="17" t="str">
        <f t="shared" si="59"/>
        <v/>
      </c>
      <c r="FL198" s="18" t="str">
        <f t="shared" si="50"/>
        <v/>
      </c>
    </row>
    <row r="199" spans="4:168">
      <c r="D199" t="str">
        <f t="shared" si="54"/>
        <v>28-M</v>
      </c>
      <c r="E199" s="16">
        <v>28</v>
      </c>
      <c r="F199" s="16">
        <v>45</v>
      </c>
      <c r="G199" s="2">
        <v>45</v>
      </c>
      <c r="H199" s="2">
        <v>45</v>
      </c>
      <c r="I199" s="2">
        <v>46</v>
      </c>
      <c r="J199" s="2">
        <v>46</v>
      </c>
      <c r="K199" s="2">
        <v>46</v>
      </c>
      <c r="L199" s="2">
        <v>46</v>
      </c>
      <c r="M199" s="2">
        <v>46</v>
      </c>
      <c r="N199" s="2">
        <v>46</v>
      </c>
      <c r="O199" s="2">
        <v>46</v>
      </c>
      <c r="P199" s="2">
        <v>46</v>
      </c>
      <c r="Q199" s="2">
        <v>46</v>
      </c>
      <c r="R199" s="2">
        <v>46</v>
      </c>
      <c r="S199" s="2">
        <v>46</v>
      </c>
      <c r="T199" s="2">
        <v>46</v>
      </c>
      <c r="U199" s="2">
        <v>46</v>
      </c>
      <c r="V199" s="2">
        <v>46</v>
      </c>
      <c r="W199" s="2">
        <v>46</v>
      </c>
      <c r="X199" s="2">
        <v>46</v>
      </c>
      <c r="Y199" s="2">
        <v>46</v>
      </c>
      <c r="Z199" s="2">
        <v>46</v>
      </c>
      <c r="AA199" s="2">
        <v>46</v>
      </c>
      <c r="AB199" s="2">
        <v>46</v>
      </c>
      <c r="AC199" s="2">
        <v>46</v>
      </c>
      <c r="AD199" s="2">
        <v>46</v>
      </c>
      <c r="AE199" s="2">
        <v>46</v>
      </c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17"/>
      <c r="BD199" s="17"/>
      <c r="BE199" s="17"/>
      <c r="BF199" s="17"/>
      <c r="BG199" s="17"/>
      <c r="BH199" s="17"/>
      <c r="BI199" s="17"/>
      <c r="BJ199" s="17"/>
      <c r="BK199" s="17"/>
      <c r="BL199" s="17"/>
      <c r="BM199" s="17"/>
      <c r="BN199" s="17"/>
      <c r="BO199" s="17"/>
      <c r="BP199" s="17"/>
      <c r="BQ199" s="17"/>
      <c r="BR199" s="17"/>
      <c r="BS199" s="17"/>
      <c r="BT199" s="17"/>
      <c r="BU199" s="17"/>
      <c r="BV199" s="17"/>
      <c r="BW199" s="17"/>
      <c r="BX199" s="17"/>
      <c r="BY199" s="17"/>
      <c r="BZ199" s="17"/>
      <c r="CA199" s="17"/>
      <c r="CB199" s="17"/>
      <c r="CC199" s="17"/>
      <c r="CD199" s="17"/>
      <c r="CE199" s="17"/>
      <c r="CF199" s="17"/>
      <c r="CG199" s="17"/>
      <c r="CH199" s="18"/>
      <c r="CI199">
        <v>3</v>
      </c>
      <c r="CJ199">
        <v>23</v>
      </c>
      <c r="CK199">
        <f t="shared" si="57"/>
        <v>45</v>
      </c>
      <c r="CL199">
        <f t="shared" si="58"/>
        <v>46</v>
      </c>
      <c r="FC199">
        <v>196</v>
      </c>
      <c r="FD199">
        <f t="shared" si="46"/>
        <v>4</v>
      </c>
      <c r="FE199">
        <f t="shared" si="47"/>
        <v>13</v>
      </c>
      <c r="FF199" t="str">
        <f t="shared" si="48"/>
        <v/>
      </c>
      <c r="FI199" s="16">
        <v>196</v>
      </c>
      <c r="FJ199" s="17">
        <f t="shared" si="49"/>
        <v>190</v>
      </c>
      <c r="FK199" s="17" t="str">
        <f t="shared" si="59"/>
        <v/>
      </c>
      <c r="FL199" s="18" t="str">
        <f t="shared" si="50"/>
        <v/>
      </c>
    </row>
    <row r="200" spans="4:168">
      <c r="D200" t="str">
        <f t="shared" si="55"/>
        <v>28-Q</v>
      </c>
      <c r="E200" s="16">
        <v>30</v>
      </c>
      <c r="F200" s="16">
        <v>24</v>
      </c>
      <c r="G200" s="2">
        <v>24</v>
      </c>
      <c r="H200" s="2">
        <v>24</v>
      </c>
      <c r="I200" s="2">
        <v>24</v>
      </c>
      <c r="J200" s="2">
        <v>25</v>
      </c>
      <c r="K200" s="2">
        <v>25</v>
      </c>
      <c r="L200" s="2">
        <v>25</v>
      </c>
      <c r="M200" s="2">
        <v>25</v>
      </c>
      <c r="N200" s="2">
        <v>25</v>
      </c>
      <c r="O200" s="2">
        <v>25</v>
      </c>
      <c r="P200" s="2">
        <v>25</v>
      </c>
      <c r="Q200" s="2">
        <v>25</v>
      </c>
      <c r="R200" s="2">
        <v>25</v>
      </c>
      <c r="S200" s="2">
        <v>25</v>
      </c>
      <c r="T200" s="2">
        <v>25</v>
      </c>
      <c r="U200" s="2">
        <v>25</v>
      </c>
      <c r="V200" s="2">
        <v>25</v>
      </c>
      <c r="W200" s="2">
        <v>25</v>
      </c>
      <c r="X200" s="2">
        <v>25</v>
      </c>
      <c r="Y200" s="2">
        <v>25</v>
      </c>
      <c r="Z200" s="2">
        <v>25</v>
      </c>
      <c r="AA200" s="2">
        <v>25</v>
      </c>
      <c r="AB200" s="2">
        <v>25</v>
      </c>
      <c r="AC200" s="2">
        <v>25</v>
      </c>
      <c r="AD200" s="2">
        <v>25</v>
      </c>
      <c r="AE200" s="2">
        <v>25</v>
      </c>
      <c r="AF200" s="2">
        <v>25</v>
      </c>
      <c r="AG200" s="2">
        <v>25</v>
      </c>
      <c r="AH200" s="2">
        <v>25</v>
      </c>
      <c r="AI200" s="2">
        <v>25</v>
      </c>
      <c r="AJ200" s="2">
        <v>25</v>
      </c>
      <c r="AK200" s="2">
        <v>25</v>
      </c>
      <c r="AL200" s="2">
        <v>25</v>
      </c>
      <c r="AM200" s="2">
        <v>25</v>
      </c>
      <c r="AN200" s="2">
        <v>25</v>
      </c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17"/>
      <c r="BW200" s="17"/>
      <c r="BX200" s="17"/>
      <c r="BY200" s="17"/>
      <c r="BZ200" s="17"/>
      <c r="CA200" s="17"/>
      <c r="CB200" s="17"/>
      <c r="CC200" s="17"/>
      <c r="CD200" s="17"/>
      <c r="CE200" s="17"/>
      <c r="CF200" s="17"/>
      <c r="CG200" s="17"/>
      <c r="CH200" s="18"/>
      <c r="CI200">
        <v>4</v>
      </c>
      <c r="CJ200">
        <v>31</v>
      </c>
      <c r="CK200">
        <f t="shared" si="57"/>
        <v>24</v>
      </c>
      <c r="CL200">
        <f t="shared" si="58"/>
        <v>25</v>
      </c>
      <c r="FC200">
        <v>197</v>
      </c>
      <c r="FD200">
        <f t="shared" si="46"/>
        <v>5</v>
      </c>
      <c r="FE200">
        <f t="shared" si="47"/>
        <v>13</v>
      </c>
      <c r="FF200" t="str">
        <f t="shared" si="48"/>
        <v/>
      </c>
      <c r="FI200" s="16">
        <v>197</v>
      </c>
      <c r="FJ200" s="17">
        <f t="shared" si="49"/>
        <v>165</v>
      </c>
      <c r="FK200" s="17">
        <f t="shared" si="59"/>
        <v>217</v>
      </c>
      <c r="FL200" s="18" t="str">
        <f t="shared" si="50"/>
        <v>11011001</v>
      </c>
    </row>
    <row r="201" spans="4:168">
      <c r="D201" t="str">
        <f t="shared" si="56"/>
        <v>28-H</v>
      </c>
      <c r="E201" s="16">
        <v>30</v>
      </c>
      <c r="F201" s="16">
        <v>15</v>
      </c>
      <c r="G201" s="2">
        <v>15</v>
      </c>
      <c r="H201" s="2">
        <v>15</v>
      </c>
      <c r="I201" s="2">
        <v>15</v>
      </c>
      <c r="J201" s="2">
        <v>15</v>
      </c>
      <c r="K201" s="2">
        <v>15</v>
      </c>
      <c r="L201" s="2">
        <v>15</v>
      </c>
      <c r="M201" s="2">
        <v>15</v>
      </c>
      <c r="N201" s="2">
        <v>15</v>
      </c>
      <c r="O201" s="2">
        <v>15</v>
      </c>
      <c r="P201" s="2">
        <v>15</v>
      </c>
      <c r="Q201" s="2">
        <v>16</v>
      </c>
      <c r="R201" s="2">
        <v>16</v>
      </c>
      <c r="S201" s="2">
        <v>16</v>
      </c>
      <c r="T201" s="2">
        <v>16</v>
      </c>
      <c r="U201" s="2">
        <v>16</v>
      </c>
      <c r="V201" s="2">
        <v>16</v>
      </c>
      <c r="W201" s="2">
        <v>16</v>
      </c>
      <c r="X201" s="2">
        <v>16</v>
      </c>
      <c r="Y201" s="2">
        <v>16</v>
      </c>
      <c r="Z201" s="2">
        <v>16</v>
      </c>
      <c r="AA201" s="2">
        <v>16</v>
      </c>
      <c r="AB201" s="2">
        <v>16</v>
      </c>
      <c r="AC201" s="2">
        <v>16</v>
      </c>
      <c r="AD201" s="2">
        <v>16</v>
      </c>
      <c r="AE201" s="2">
        <v>16</v>
      </c>
      <c r="AF201" s="2">
        <v>16</v>
      </c>
      <c r="AG201" s="2">
        <v>16</v>
      </c>
      <c r="AH201" s="2">
        <v>16</v>
      </c>
      <c r="AI201" s="2">
        <v>16</v>
      </c>
      <c r="AJ201" s="2">
        <v>16</v>
      </c>
      <c r="AK201" s="2">
        <v>16</v>
      </c>
      <c r="AL201" s="2">
        <v>16</v>
      </c>
      <c r="AM201" s="2">
        <v>16</v>
      </c>
      <c r="AN201" s="2">
        <v>16</v>
      </c>
      <c r="AO201" s="2">
        <v>16</v>
      </c>
      <c r="AP201" s="2">
        <v>16</v>
      </c>
      <c r="AQ201" s="2">
        <v>16</v>
      </c>
      <c r="AR201" s="2">
        <v>16</v>
      </c>
      <c r="AS201" s="2">
        <v>16</v>
      </c>
      <c r="AT201" s="2">
        <v>16</v>
      </c>
      <c r="AU201" s="2">
        <v>16</v>
      </c>
      <c r="AV201" s="17"/>
      <c r="AW201" s="17"/>
      <c r="AX201" s="17"/>
      <c r="AY201" s="17"/>
      <c r="AZ201" s="17"/>
      <c r="BA201" s="17"/>
      <c r="BB201" s="17"/>
      <c r="BC201" s="17"/>
      <c r="BD201" s="17"/>
      <c r="BE201" s="17"/>
      <c r="BF201" s="17"/>
      <c r="BG201" s="17"/>
      <c r="BH201" s="17"/>
      <c r="BI201" s="17"/>
      <c r="BJ201" s="17"/>
      <c r="BK201" s="17"/>
      <c r="BL201" s="17"/>
      <c r="BM201" s="17"/>
      <c r="BN201" s="17"/>
      <c r="BO201" s="17"/>
      <c r="BP201" s="17"/>
      <c r="BQ201" s="17"/>
      <c r="BR201" s="17"/>
      <c r="BS201" s="17"/>
      <c r="BT201" s="17"/>
      <c r="BU201" s="17"/>
      <c r="BV201" s="17"/>
      <c r="BW201" s="17"/>
      <c r="BX201" s="17"/>
      <c r="BY201" s="17"/>
      <c r="BZ201" s="17"/>
      <c r="CA201" s="17"/>
      <c r="CB201" s="17"/>
      <c r="CC201" s="17"/>
      <c r="CD201" s="17"/>
      <c r="CE201" s="17"/>
      <c r="CF201" s="17"/>
      <c r="CG201" s="17"/>
      <c r="CH201" s="18"/>
      <c r="CI201" s="2">
        <v>11</v>
      </c>
      <c r="CJ201" s="2">
        <v>31</v>
      </c>
      <c r="CK201">
        <f t="shared" si="57"/>
        <v>15</v>
      </c>
      <c r="CL201">
        <f t="shared" si="58"/>
        <v>16</v>
      </c>
      <c r="FC201">
        <v>198</v>
      </c>
      <c r="FD201">
        <f t="shared" si="46"/>
        <v>6</v>
      </c>
      <c r="FE201">
        <f t="shared" si="47"/>
        <v>13</v>
      </c>
      <c r="FF201" t="str">
        <f t="shared" si="48"/>
        <v/>
      </c>
      <c r="FI201" s="16">
        <v>198</v>
      </c>
      <c r="FJ201" s="17">
        <f t="shared" si="49"/>
        <v>160</v>
      </c>
      <c r="FK201" s="17">
        <f t="shared" si="59"/>
        <v>168</v>
      </c>
      <c r="FL201" s="18" t="str">
        <f t="shared" si="50"/>
        <v>10101000</v>
      </c>
    </row>
    <row r="202" spans="4:168">
      <c r="D202" t="str">
        <f t="shared" si="53"/>
        <v>29-L</v>
      </c>
      <c r="E202" s="16">
        <v>30</v>
      </c>
      <c r="F202" s="16">
        <v>116</v>
      </c>
      <c r="G202" s="17">
        <v>116</v>
      </c>
      <c r="H202" s="17">
        <v>116</v>
      </c>
      <c r="I202" s="17">
        <v>116</v>
      </c>
      <c r="J202" s="17">
        <v>116</v>
      </c>
      <c r="K202" s="17">
        <v>116</v>
      </c>
      <c r="L202" s="17">
        <v>116</v>
      </c>
      <c r="M202" s="2">
        <v>117</v>
      </c>
      <c r="N202" s="2">
        <v>117</v>
      </c>
      <c r="O202" s="2">
        <v>117</v>
      </c>
      <c r="P202" s="2">
        <v>117</v>
      </c>
      <c r="Q202" s="2">
        <v>117</v>
      </c>
      <c r="R202" s="2">
        <v>117</v>
      </c>
      <c r="S202" s="2">
        <v>117</v>
      </c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  <c r="AX202" s="17"/>
      <c r="AY202" s="17"/>
      <c r="AZ202" s="17"/>
      <c r="BA202" s="17"/>
      <c r="BB202" s="17"/>
      <c r="BC202" s="17"/>
      <c r="BD202" s="17"/>
      <c r="BE202" s="17"/>
      <c r="BF202" s="17"/>
      <c r="BG202" s="17"/>
      <c r="BH202" s="17"/>
      <c r="BI202" s="17"/>
      <c r="BJ202" s="17"/>
      <c r="BK202" s="17"/>
      <c r="BL202" s="17"/>
      <c r="BM202" s="17"/>
      <c r="BN202" s="17"/>
      <c r="BO202" s="17"/>
      <c r="BP202" s="17"/>
      <c r="BQ202" s="17"/>
      <c r="BR202" s="17"/>
      <c r="BS202" s="17"/>
      <c r="BT202" s="17"/>
      <c r="BU202" s="17"/>
      <c r="BV202" s="17"/>
      <c r="BW202" s="17"/>
      <c r="BX202" s="17"/>
      <c r="BY202" s="17"/>
      <c r="BZ202" s="17"/>
      <c r="CA202" s="17"/>
      <c r="CB202" s="17"/>
      <c r="CC202" s="17"/>
      <c r="CD202" s="17"/>
      <c r="CE202" s="17"/>
      <c r="CF202" s="17"/>
      <c r="CG202" s="17"/>
      <c r="CH202" s="18"/>
      <c r="CI202" s="2">
        <v>7</v>
      </c>
      <c r="CJ202" s="2">
        <v>7</v>
      </c>
      <c r="CK202">
        <f t="shared" ref="CK202:CK205" si="60">IF(CI202=0,0,F202)</f>
        <v>116</v>
      </c>
      <c r="CL202">
        <f t="shared" ref="CL202:CL205" si="61">IF(CI202=0,F202,F202+1)</f>
        <v>117</v>
      </c>
      <c r="FC202">
        <v>199</v>
      </c>
      <c r="FD202">
        <f t="shared" si="46"/>
        <v>7</v>
      </c>
      <c r="FE202">
        <f t="shared" si="47"/>
        <v>13</v>
      </c>
      <c r="FF202" t="str">
        <f t="shared" si="48"/>
        <v/>
      </c>
      <c r="FI202" s="16">
        <v>199</v>
      </c>
      <c r="FJ202" s="17">
        <f t="shared" si="49"/>
        <v>170</v>
      </c>
      <c r="FK202" s="17">
        <f t="shared" si="59"/>
        <v>93</v>
      </c>
      <c r="FL202" s="18" t="str">
        <f t="shared" si="50"/>
        <v>01011101</v>
      </c>
    </row>
    <row r="203" spans="4:168">
      <c r="D203" t="str">
        <f t="shared" si="54"/>
        <v>29-M</v>
      </c>
      <c r="E203" s="16">
        <v>28</v>
      </c>
      <c r="F203" s="16">
        <v>45</v>
      </c>
      <c r="G203" s="17">
        <v>45</v>
      </c>
      <c r="H203" s="17">
        <v>45</v>
      </c>
      <c r="I203" s="17">
        <v>45</v>
      </c>
      <c r="J203" s="17">
        <v>45</v>
      </c>
      <c r="K203" s="17">
        <v>45</v>
      </c>
      <c r="L203" s="17">
        <v>45</v>
      </c>
      <c r="M203" s="17">
        <v>45</v>
      </c>
      <c r="N203" s="17">
        <v>45</v>
      </c>
      <c r="O203" s="17">
        <v>45</v>
      </c>
      <c r="P203" s="17">
        <v>45</v>
      </c>
      <c r="Q203" s="17">
        <v>45</v>
      </c>
      <c r="R203" s="17">
        <v>45</v>
      </c>
      <c r="S203" s="17">
        <v>45</v>
      </c>
      <c r="T203" s="17">
        <v>45</v>
      </c>
      <c r="U203" s="17">
        <v>45</v>
      </c>
      <c r="V203" s="17">
        <v>45</v>
      </c>
      <c r="W203" s="17">
        <v>45</v>
      </c>
      <c r="X203" s="17">
        <v>45</v>
      </c>
      <c r="Y203" s="17">
        <v>45</v>
      </c>
      <c r="Z203" s="17">
        <v>45</v>
      </c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  <c r="AX203" s="17"/>
      <c r="AY203" s="17"/>
      <c r="AZ203" s="17"/>
      <c r="BA203" s="17"/>
      <c r="BB203" s="17"/>
      <c r="BC203" s="17"/>
      <c r="BD203" s="17"/>
      <c r="BE203" s="17"/>
      <c r="BF203" s="17"/>
      <c r="BG203" s="17"/>
      <c r="BH203" s="17"/>
      <c r="BI203" s="17"/>
      <c r="BJ203" s="17"/>
      <c r="BK203" s="17"/>
      <c r="BL203" s="17"/>
      <c r="BM203" s="17"/>
      <c r="BN203" s="17"/>
      <c r="BO203" s="17"/>
      <c r="BP203" s="17"/>
      <c r="BQ203" s="17"/>
      <c r="BR203" s="17"/>
      <c r="BS203" s="17"/>
      <c r="BT203" s="17"/>
      <c r="BU203" s="17"/>
      <c r="BV203" s="17"/>
      <c r="BW203" s="17"/>
      <c r="BX203" s="17"/>
      <c r="BY203" s="17"/>
      <c r="BZ203" s="17"/>
      <c r="CA203" s="17"/>
      <c r="CB203" s="17"/>
      <c r="CC203" s="17"/>
      <c r="CD203" s="17"/>
      <c r="CE203" s="17"/>
      <c r="CF203" s="17"/>
      <c r="CG203" s="17"/>
      <c r="CH203" s="18"/>
      <c r="CI203" s="2">
        <v>21</v>
      </c>
      <c r="CJ203" s="2">
        <v>7</v>
      </c>
      <c r="CK203">
        <f t="shared" si="60"/>
        <v>45</v>
      </c>
      <c r="CL203">
        <f t="shared" si="61"/>
        <v>46</v>
      </c>
      <c r="FC203">
        <v>200</v>
      </c>
      <c r="FD203">
        <f t="shared" si="46"/>
        <v>8</v>
      </c>
      <c r="FE203">
        <f t="shared" si="47"/>
        <v>13</v>
      </c>
      <c r="FF203" t="str">
        <f t="shared" si="48"/>
        <v/>
      </c>
      <c r="FI203" s="16">
        <v>200</v>
      </c>
      <c r="FJ203" s="17">
        <f t="shared" si="49"/>
        <v>29</v>
      </c>
      <c r="FK203" s="17">
        <f t="shared" si="59"/>
        <v>110</v>
      </c>
      <c r="FL203" s="18" t="str">
        <f t="shared" si="50"/>
        <v>01101110</v>
      </c>
    </row>
    <row r="204" spans="4:168">
      <c r="D204" t="str">
        <f t="shared" si="55"/>
        <v>29-Q</v>
      </c>
      <c r="E204" s="16">
        <v>30</v>
      </c>
      <c r="F204" s="16">
        <v>23</v>
      </c>
      <c r="G204" s="17">
        <v>24</v>
      </c>
      <c r="H204" s="17">
        <v>24</v>
      </c>
      <c r="I204" s="17">
        <v>24</v>
      </c>
      <c r="J204" s="17">
        <v>24</v>
      </c>
      <c r="K204" s="17">
        <v>24</v>
      </c>
      <c r="L204" s="17">
        <v>24</v>
      </c>
      <c r="M204" s="17">
        <v>24</v>
      </c>
      <c r="N204" s="17">
        <v>24</v>
      </c>
      <c r="O204" s="17">
        <v>24</v>
      </c>
      <c r="P204" s="17">
        <v>24</v>
      </c>
      <c r="Q204" s="17">
        <v>24</v>
      </c>
      <c r="R204" s="17">
        <v>24</v>
      </c>
      <c r="S204" s="17">
        <v>24</v>
      </c>
      <c r="T204" s="17">
        <v>24</v>
      </c>
      <c r="U204" s="17">
        <v>24</v>
      </c>
      <c r="V204" s="17">
        <v>24</v>
      </c>
      <c r="W204" s="17">
        <v>24</v>
      </c>
      <c r="X204" s="17">
        <v>24</v>
      </c>
      <c r="Y204" s="17">
        <v>24</v>
      </c>
      <c r="Z204" s="17">
        <v>24</v>
      </c>
      <c r="AA204" s="17">
        <v>24</v>
      </c>
      <c r="AB204" s="17">
        <v>24</v>
      </c>
      <c r="AC204" s="17">
        <v>24</v>
      </c>
      <c r="AD204" s="17">
        <v>24</v>
      </c>
      <c r="AE204" s="17">
        <v>24</v>
      </c>
      <c r="AF204" s="17">
        <v>24</v>
      </c>
      <c r="AG204" s="17">
        <v>24</v>
      </c>
      <c r="AH204" s="17">
        <v>24</v>
      </c>
      <c r="AI204" s="17">
        <v>24</v>
      </c>
      <c r="AJ204" s="17">
        <v>24</v>
      </c>
      <c r="AK204" s="17">
        <v>24</v>
      </c>
      <c r="AL204" s="17">
        <v>24</v>
      </c>
      <c r="AM204" s="17">
        <v>24</v>
      </c>
      <c r="AN204" s="17">
        <v>24</v>
      </c>
      <c r="AO204" s="17">
        <v>24</v>
      </c>
      <c r="AP204" s="17">
        <v>24</v>
      </c>
      <c r="AQ204" s="17">
        <v>24</v>
      </c>
      <c r="AR204" s="17"/>
      <c r="AS204" s="17"/>
      <c r="AT204" s="17"/>
      <c r="AU204" s="17"/>
      <c r="AV204" s="17"/>
      <c r="AW204" s="17"/>
      <c r="AX204" s="17"/>
      <c r="AY204" s="17"/>
      <c r="AZ204" s="17"/>
      <c r="BA204" s="17"/>
      <c r="BB204" s="17"/>
      <c r="BC204" s="17"/>
      <c r="BD204" s="17"/>
      <c r="BE204" s="17"/>
      <c r="BF204" s="17"/>
      <c r="BG204" s="17"/>
      <c r="BH204" s="17"/>
      <c r="BI204" s="17"/>
      <c r="BJ204" s="17"/>
      <c r="BK204" s="17"/>
      <c r="BL204" s="17"/>
      <c r="BM204" s="17"/>
      <c r="BN204" s="17"/>
      <c r="BO204" s="17"/>
      <c r="BP204" s="17"/>
      <c r="BQ204" s="17"/>
      <c r="BR204" s="17"/>
      <c r="BS204" s="17"/>
      <c r="BT204" s="17"/>
      <c r="BU204" s="17"/>
      <c r="BV204" s="17"/>
      <c r="BW204" s="17"/>
      <c r="BX204" s="17"/>
      <c r="BY204" s="17"/>
      <c r="BZ204" s="17"/>
      <c r="CA204" s="17"/>
      <c r="CB204" s="17"/>
      <c r="CC204" s="17"/>
      <c r="CD204" s="17"/>
      <c r="CE204" s="17"/>
      <c r="CF204" s="17"/>
      <c r="CG204" s="17"/>
      <c r="CH204" s="18"/>
      <c r="CI204" s="2">
        <v>1</v>
      </c>
      <c r="CJ204" s="2">
        <v>37</v>
      </c>
      <c r="CK204">
        <f t="shared" si="60"/>
        <v>23</v>
      </c>
      <c r="CL204">
        <f t="shared" si="61"/>
        <v>24</v>
      </c>
      <c r="FC204">
        <v>201</v>
      </c>
      <c r="FD204">
        <f t="shared" si="46"/>
        <v>9</v>
      </c>
      <c r="FE204">
        <f t="shared" si="47"/>
        <v>13</v>
      </c>
      <c r="FF204" t="str">
        <f t="shared" si="48"/>
        <v/>
      </c>
      <c r="FI204" s="16">
        <v>201</v>
      </c>
      <c r="FJ204" s="17">
        <f t="shared" si="49"/>
        <v>183</v>
      </c>
      <c r="FK204" s="17">
        <f t="shared" si="59"/>
        <v>163</v>
      </c>
      <c r="FL204" s="18" t="str">
        <f t="shared" si="50"/>
        <v>10100011</v>
      </c>
    </row>
    <row r="205" spans="4:168">
      <c r="D205" t="str">
        <f t="shared" si="56"/>
        <v>29-H</v>
      </c>
      <c r="E205" s="16">
        <v>30</v>
      </c>
      <c r="F205" s="16">
        <v>15</v>
      </c>
      <c r="G205" s="2">
        <v>15</v>
      </c>
      <c r="H205" s="2">
        <v>15</v>
      </c>
      <c r="I205" s="2">
        <v>15</v>
      </c>
      <c r="J205" s="2">
        <v>15</v>
      </c>
      <c r="K205" s="2">
        <v>15</v>
      </c>
      <c r="L205" s="2">
        <v>15</v>
      </c>
      <c r="M205" s="2">
        <v>15</v>
      </c>
      <c r="N205" s="2">
        <v>15</v>
      </c>
      <c r="O205" s="2">
        <v>15</v>
      </c>
      <c r="P205" s="2">
        <v>15</v>
      </c>
      <c r="Q205" s="2">
        <v>15</v>
      </c>
      <c r="R205" s="2">
        <v>15</v>
      </c>
      <c r="S205" s="2">
        <v>15</v>
      </c>
      <c r="T205" s="2">
        <v>15</v>
      </c>
      <c r="U205" s="2">
        <v>15</v>
      </c>
      <c r="V205" s="2">
        <v>15</v>
      </c>
      <c r="W205" s="2">
        <v>15</v>
      </c>
      <c r="X205" s="2">
        <v>15</v>
      </c>
      <c r="Y205" s="2">
        <v>16</v>
      </c>
      <c r="Z205" s="2">
        <v>16</v>
      </c>
      <c r="AA205" s="2">
        <v>16</v>
      </c>
      <c r="AB205" s="2">
        <v>16</v>
      </c>
      <c r="AC205" s="2">
        <v>16</v>
      </c>
      <c r="AD205" s="2">
        <v>16</v>
      </c>
      <c r="AE205" s="2">
        <v>16</v>
      </c>
      <c r="AF205" s="2">
        <v>16</v>
      </c>
      <c r="AG205" s="2">
        <v>16</v>
      </c>
      <c r="AH205" s="2">
        <v>16</v>
      </c>
      <c r="AI205" s="2">
        <v>16</v>
      </c>
      <c r="AJ205" s="2">
        <v>16</v>
      </c>
      <c r="AK205" s="2">
        <v>16</v>
      </c>
      <c r="AL205" s="2">
        <v>16</v>
      </c>
      <c r="AM205" s="2">
        <v>16</v>
      </c>
      <c r="AN205" s="2">
        <v>16</v>
      </c>
      <c r="AO205" s="2">
        <v>16</v>
      </c>
      <c r="AP205" s="2">
        <v>16</v>
      </c>
      <c r="AQ205" s="2">
        <v>16</v>
      </c>
      <c r="AR205" s="2">
        <v>16</v>
      </c>
      <c r="AS205" s="2">
        <v>16</v>
      </c>
      <c r="AT205" s="2">
        <v>16</v>
      </c>
      <c r="AU205" s="2">
        <v>16</v>
      </c>
      <c r="AV205" s="2">
        <v>16</v>
      </c>
      <c r="AW205" s="2">
        <v>16</v>
      </c>
      <c r="AX205" s="2">
        <v>16</v>
      </c>
      <c r="AY205" s="17"/>
      <c r="AZ205" s="17"/>
      <c r="BA205" s="17"/>
      <c r="BB205" s="17"/>
      <c r="BC205" s="17"/>
      <c r="BD205" s="17"/>
      <c r="BE205" s="17"/>
      <c r="BF205" s="17"/>
      <c r="BG205" s="17"/>
      <c r="BH205" s="17"/>
      <c r="BI205" s="17"/>
      <c r="BJ205" s="17"/>
      <c r="BK205" s="17"/>
      <c r="BL205" s="17"/>
      <c r="BM205" s="17"/>
      <c r="BN205" s="17"/>
      <c r="BO205" s="17"/>
      <c r="BP205" s="17"/>
      <c r="BQ205" s="17"/>
      <c r="BR205" s="17"/>
      <c r="BS205" s="17"/>
      <c r="BT205" s="17"/>
      <c r="BU205" s="17"/>
      <c r="BV205" s="17"/>
      <c r="BW205" s="17"/>
      <c r="BX205" s="17"/>
      <c r="BY205" s="17"/>
      <c r="BZ205" s="17"/>
      <c r="CA205" s="17"/>
      <c r="CB205" s="17"/>
      <c r="CC205" s="17"/>
      <c r="CD205" s="17"/>
      <c r="CE205" s="17"/>
      <c r="CF205" s="17"/>
      <c r="CG205" s="17"/>
      <c r="CH205" s="18"/>
      <c r="CI205" s="2">
        <v>19</v>
      </c>
      <c r="CJ205" s="2">
        <v>26</v>
      </c>
      <c r="CK205">
        <f t="shared" si="60"/>
        <v>15</v>
      </c>
      <c r="CL205">
        <f t="shared" si="61"/>
        <v>16</v>
      </c>
      <c r="FC205">
        <v>202</v>
      </c>
      <c r="FD205">
        <f t="shared" si="46"/>
        <v>10</v>
      </c>
      <c r="FE205">
        <f t="shared" si="47"/>
        <v>13</v>
      </c>
      <c r="FF205" t="str">
        <f t="shared" si="48"/>
        <v/>
      </c>
      <c r="FI205" s="16">
        <v>202</v>
      </c>
      <c r="FJ205" s="17">
        <f t="shared" si="49"/>
        <v>64</v>
      </c>
      <c r="FK205" s="17">
        <f t="shared" si="59"/>
        <v>169</v>
      </c>
      <c r="FL205" s="18" t="str">
        <f t="shared" si="50"/>
        <v>10101001</v>
      </c>
    </row>
    <row r="206" spans="4:168">
      <c r="D206" t="str">
        <f t="shared" si="53"/>
        <v>30-L</v>
      </c>
      <c r="E206" s="16">
        <f>145-115</f>
        <v>30</v>
      </c>
      <c r="F206" s="16">
        <v>115</v>
      </c>
      <c r="G206" s="2">
        <v>115</v>
      </c>
      <c r="H206" s="2">
        <v>115</v>
      </c>
      <c r="I206" s="2">
        <v>115</v>
      </c>
      <c r="J206" s="2">
        <v>115</v>
      </c>
      <c r="K206" s="2">
        <v>116</v>
      </c>
      <c r="L206" s="2">
        <v>116</v>
      </c>
      <c r="M206" s="2">
        <v>116</v>
      </c>
      <c r="N206" s="2">
        <v>116</v>
      </c>
      <c r="O206" s="2">
        <v>116</v>
      </c>
      <c r="P206" s="2">
        <v>116</v>
      </c>
      <c r="Q206" s="2">
        <v>116</v>
      </c>
      <c r="R206" s="2">
        <v>116</v>
      </c>
      <c r="S206" s="2">
        <v>116</v>
      </c>
      <c r="T206" s="2">
        <v>116</v>
      </c>
      <c r="U206" s="2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  <c r="AX206" s="17"/>
      <c r="AY206" s="17"/>
      <c r="AZ206" s="17"/>
      <c r="BA206" s="17"/>
      <c r="BB206" s="17"/>
      <c r="BC206" s="17"/>
      <c r="BD206" s="17"/>
      <c r="BE206" s="17"/>
      <c r="BF206" s="17"/>
      <c r="BG206" s="17"/>
      <c r="BH206" s="17"/>
      <c r="BI206" s="17"/>
      <c r="BJ206" s="17"/>
      <c r="BK206" s="17"/>
      <c r="BL206" s="17"/>
      <c r="BM206" s="17"/>
      <c r="BN206" s="17"/>
      <c r="BO206" s="17"/>
      <c r="BP206" s="17"/>
      <c r="BQ206" s="17"/>
      <c r="BR206" s="17"/>
      <c r="BS206" s="17"/>
      <c r="BT206" s="17"/>
      <c r="BU206" s="17"/>
      <c r="BV206" s="17"/>
      <c r="BW206" s="17"/>
      <c r="BX206" s="17"/>
      <c r="BY206" s="17"/>
      <c r="BZ206" s="17"/>
      <c r="CA206" s="17"/>
      <c r="CB206" s="17"/>
      <c r="CC206" s="17"/>
      <c r="CD206" s="17"/>
      <c r="CE206" s="17"/>
      <c r="CF206" s="17"/>
      <c r="CG206" s="17"/>
      <c r="CH206" s="18"/>
      <c r="CI206">
        <v>5</v>
      </c>
      <c r="CJ206">
        <v>10</v>
      </c>
      <c r="CK206">
        <f t="shared" ref="CK206:CK217" si="62">IF(CI206=0,0,F206)</f>
        <v>115</v>
      </c>
      <c r="CL206">
        <f t="shared" ref="CL206:CL217" si="63">IF(CI206=0,F206,F206+1)</f>
        <v>116</v>
      </c>
      <c r="FC206">
        <v>203</v>
      </c>
      <c r="FD206">
        <f t="shared" si="46"/>
        <v>11</v>
      </c>
      <c r="FE206">
        <f t="shared" si="47"/>
        <v>13</v>
      </c>
      <c r="FF206" t="str">
        <f t="shared" si="48"/>
        <v/>
      </c>
      <c r="FI206" s="16">
        <v>203</v>
      </c>
      <c r="FJ206" s="17">
        <f t="shared" si="49"/>
        <v>86</v>
      </c>
      <c r="FK206" s="17">
        <f t="shared" si="59"/>
        <v>107</v>
      </c>
      <c r="FL206" s="18" t="str">
        <f t="shared" si="50"/>
        <v>01101011</v>
      </c>
    </row>
    <row r="207" spans="4:168">
      <c r="D207" t="str">
        <f t="shared" si="54"/>
        <v>30-M</v>
      </c>
      <c r="E207" s="16">
        <f>75-47</f>
        <v>28</v>
      </c>
      <c r="F207" s="16">
        <v>47</v>
      </c>
      <c r="G207" s="2">
        <v>47</v>
      </c>
      <c r="H207" s="2">
        <v>47</v>
      </c>
      <c r="I207" s="2">
        <v>47</v>
      </c>
      <c r="J207" s="2">
        <v>47</v>
      </c>
      <c r="K207" s="2">
        <v>47</v>
      </c>
      <c r="L207" s="2">
        <v>47</v>
      </c>
      <c r="M207" s="2">
        <v>47</v>
      </c>
      <c r="N207" s="2">
        <v>47</v>
      </c>
      <c r="O207" s="2">
        <v>47</v>
      </c>
      <c r="P207" s="2">
        <v>47</v>
      </c>
      <c r="Q207" s="2">
        <v>47</v>
      </c>
      <c r="R207" s="2">
        <v>47</v>
      </c>
      <c r="S207" s="2">
        <v>47</v>
      </c>
      <c r="T207" s="2">
        <v>47</v>
      </c>
      <c r="U207" s="2">
        <v>47</v>
      </c>
      <c r="V207" s="2">
        <v>47</v>
      </c>
      <c r="W207" s="2">
        <v>47</v>
      </c>
      <c r="X207" s="2">
        <v>47</v>
      </c>
      <c r="Y207" s="2">
        <v>48</v>
      </c>
      <c r="Z207" s="2">
        <v>48</v>
      </c>
      <c r="AA207" s="2">
        <v>48</v>
      </c>
      <c r="AB207" s="2">
        <v>48</v>
      </c>
      <c r="AC207" s="2">
        <v>48</v>
      </c>
      <c r="AD207" s="2">
        <v>48</v>
      </c>
      <c r="AE207" s="2">
        <v>48</v>
      </c>
      <c r="AF207" s="2">
        <v>48</v>
      </c>
      <c r="AG207" s="2">
        <v>48</v>
      </c>
      <c r="AH207" s="2">
        <v>48</v>
      </c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  <c r="AX207" s="17"/>
      <c r="AY207" s="17"/>
      <c r="AZ207" s="17"/>
      <c r="BA207" s="17"/>
      <c r="BB207" s="17"/>
      <c r="BC207" s="17"/>
      <c r="BD207" s="17"/>
      <c r="BE207" s="17"/>
      <c r="BF207" s="17"/>
      <c r="BG207" s="17"/>
      <c r="BH207" s="17"/>
      <c r="BI207" s="17"/>
      <c r="BJ207" s="17"/>
      <c r="BK207" s="17"/>
      <c r="BL207" s="17"/>
      <c r="BM207" s="17"/>
      <c r="BN207" s="17"/>
      <c r="BO207" s="17"/>
      <c r="BP207" s="17"/>
      <c r="BQ207" s="17"/>
      <c r="BR207" s="17"/>
      <c r="BS207" s="17"/>
      <c r="BT207" s="17"/>
      <c r="BU207" s="17"/>
      <c r="BV207" s="17"/>
      <c r="BW207" s="17"/>
      <c r="BX207" s="17"/>
      <c r="BY207" s="17"/>
      <c r="BZ207" s="17"/>
      <c r="CA207" s="17"/>
      <c r="CB207" s="17"/>
      <c r="CC207" s="17"/>
      <c r="CD207" s="17"/>
      <c r="CE207" s="17"/>
      <c r="CF207" s="17"/>
      <c r="CG207" s="17"/>
      <c r="CH207" s="18"/>
      <c r="CI207">
        <v>19</v>
      </c>
      <c r="CJ207">
        <v>10</v>
      </c>
      <c r="CK207">
        <f t="shared" si="62"/>
        <v>47</v>
      </c>
      <c r="CL207">
        <f t="shared" si="63"/>
        <v>48</v>
      </c>
      <c r="FC207">
        <v>204</v>
      </c>
      <c r="FD207">
        <f t="shared" si="46"/>
        <v>12</v>
      </c>
      <c r="FE207">
        <f t="shared" si="47"/>
        <v>13</v>
      </c>
      <c r="FF207" t="str">
        <f t="shared" si="48"/>
        <v/>
      </c>
      <c r="FI207" s="16">
        <v>204</v>
      </c>
      <c r="FJ207" s="17">
        <f t="shared" si="49"/>
        <v>151</v>
      </c>
      <c r="FK207" s="17">
        <f t="shared" si="59"/>
        <v>188</v>
      </c>
      <c r="FL207" s="18" t="str">
        <f t="shared" si="50"/>
        <v>10111100</v>
      </c>
    </row>
    <row r="208" spans="4:168">
      <c r="D208" t="str">
        <f t="shared" si="55"/>
        <v>30-Q</v>
      </c>
      <c r="E208" s="16">
        <f>54-24</f>
        <v>30</v>
      </c>
      <c r="F208" s="16">
        <v>24</v>
      </c>
      <c r="G208" s="2">
        <v>24</v>
      </c>
      <c r="H208" s="2">
        <v>24</v>
      </c>
      <c r="I208" s="2">
        <v>24</v>
      </c>
      <c r="J208" s="2">
        <v>24</v>
      </c>
      <c r="K208" s="2">
        <v>24</v>
      </c>
      <c r="L208" s="2">
        <v>24</v>
      </c>
      <c r="M208" s="2">
        <v>24</v>
      </c>
      <c r="N208" s="2">
        <v>24</v>
      </c>
      <c r="O208" s="2">
        <v>24</v>
      </c>
      <c r="P208" s="2">
        <v>24</v>
      </c>
      <c r="Q208" s="2">
        <v>24</v>
      </c>
      <c r="R208" s="2">
        <v>24</v>
      </c>
      <c r="S208" s="2">
        <v>24</v>
      </c>
      <c r="T208" s="2">
        <v>24</v>
      </c>
      <c r="U208" s="2">
        <v>25</v>
      </c>
      <c r="V208" s="2">
        <v>25</v>
      </c>
      <c r="W208" s="2">
        <v>25</v>
      </c>
      <c r="X208" s="2">
        <v>25</v>
      </c>
      <c r="Y208" s="2">
        <v>25</v>
      </c>
      <c r="Z208" s="2">
        <v>25</v>
      </c>
      <c r="AA208" s="2">
        <v>25</v>
      </c>
      <c r="AB208" s="2">
        <v>25</v>
      </c>
      <c r="AC208" s="2">
        <v>25</v>
      </c>
      <c r="AD208" s="2">
        <v>25</v>
      </c>
      <c r="AE208" s="2">
        <v>25</v>
      </c>
      <c r="AF208" s="2">
        <v>25</v>
      </c>
      <c r="AG208" s="2">
        <v>25</v>
      </c>
      <c r="AH208" s="2">
        <v>25</v>
      </c>
      <c r="AI208" s="2">
        <v>25</v>
      </c>
      <c r="AJ208" s="2">
        <v>25</v>
      </c>
      <c r="AK208" s="2">
        <v>25</v>
      </c>
      <c r="AL208" s="2">
        <v>25</v>
      </c>
      <c r="AM208" s="2">
        <v>25</v>
      </c>
      <c r="AN208" s="2">
        <v>25</v>
      </c>
      <c r="AO208" s="2">
        <v>25</v>
      </c>
      <c r="AP208" s="2">
        <v>25</v>
      </c>
      <c r="AQ208" s="2">
        <v>25</v>
      </c>
      <c r="AR208" s="2">
        <v>25</v>
      </c>
      <c r="AS208" s="2">
        <v>25</v>
      </c>
      <c r="AT208" s="17"/>
      <c r="AU208" s="17"/>
      <c r="AV208" s="17"/>
      <c r="AW208" s="17"/>
      <c r="AX208" s="17"/>
      <c r="AY208" s="17"/>
      <c r="AZ208" s="17"/>
      <c r="BA208" s="17"/>
      <c r="BB208" s="17"/>
      <c r="BC208" s="17"/>
      <c r="BD208" s="17"/>
      <c r="BE208" s="17"/>
      <c r="BF208" s="17"/>
      <c r="BG208" s="17"/>
      <c r="BH208" s="17"/>
      <c r="BI208" s="17"/>
      <c r="BJ208" s="17"/>
      <c r="BK208" s="17"/>
      <c r="BL208" s="17"/>
      <c r="BM208" s="17"/>
      <c r="BN208" s="17"/>
      <c r="BO208" s="17"/>
      <c r="BP208" s="17"/>
      <c r="BQ208" s="17"/>
      <c r="BR208" s="17"/>
      <c r="BS208" s="17"/>
      <c r="BT208" s="17"/>
      <c r="BU208" s="17"/>
      <c r="BV208" s="17"/>
      <c r="BW208" s="17"/>
      <c r="BX208" s="17"/>
      <c r="BY208" s="17"/>
      <c r="BZ208" s="17"/>
      <c r="CA208" s="17"/>
      <c r="CB208" s="17"/>
      <c r="CC208" s="17"/>
      <c r="CD208" s="17"/>
      <c r="CE208" s="17"/>
      <c r="CF208" s="17"/>
      <c r="CG208" s="17"/>
      <c r="CH208" s="18"/>
      <c r="CI208">
        <v>15</v>
      </c>
      <c r="CJ208">
        <v>25</v>
      </c>
      <c r="CK208">
        <f t="shared" si="62"/>
        <v>24</v>
      </c>
      <c r="CL208">
        <f t="shared" si="63"/>
        <v>25</v>
      </c>
      <c r="FC208">
        <v>205</v>
      </c>
      <c r="FD208">
        <f t="shared" si="46"/>
        <v>13</v>
      </c>
      <c r="FE208">
        <f t="shared" si="47"/>
        <v>13</v>
      </c>
      <c r="FF208" t="str">
        <f t="shared" si="48"/>
        <v/>
      </c>
      <c r="FI208" s="16">
        <v>205</v>
      </c>
      <c r="FJ208" s="17">
        <f t="shared" si="49"/>
        <v>151</v>
      </c>
      <c r="FK208" s="17">
        <f t="shared" si="59"/>
        <v>50</v>
      </c>
      <c r="FL208" s="18" t="str">
        <f t="shared" si="50"/>
        <v>00110010</v>
      </c>
    </row>
    <row r="209" spans="4:168">
      <c r="D209" t="str">
        <f t="shared" si="56"/>
        <v>30-H</v>
      </c>
      <c r="E209" s="16">
        <f>45-15</f>
        <v>30</v>
      </c>
      <c r="F209" s="16">
        <v>15</v>
      </c>
      <c r="G209" s="2">
        <v>15</v>
      </c>
      <c r="H209" s="2">
        <v>15</v>
      </c>
      <c r="I209" s="2">
        <v>15</v>
      </c>
      <c r="J209" s="2">
        <v>15</v>
      </c>
      <c r="K209" s="2">
        <v>15</v>
      </c>
      <c r="L209" s="2">
        <v>15</v>
      </c>
      <c r="M209" s="2">
        <v>15</v>
      </c>
      <c r="N209" s="2">
        <v>15</v>
      </c>
      <c r="O209" s="2">
        <v>15</v>
      </c>
      <c r="P209" s="2">
        <v>15</v>
      </c>
      <c r="Q209" s="2">
        <v>15</v>
      </c>
      <c r="R209" s="2">
        <v>15</v>
      </c>
      <c r="S209" s="2">
        <v>15</v>
      </c>
      <c r="T209" s="2">
        <v>15</v>
      </c>
      <c r="U209" s="2">
        <v>15</v>
      </c>
      <c r="V209" s="2">
        <v>15</v>
      </c>
      <c r="W209" s="2">
        <v>15</v>
      </c>
      <c r="X209" s="2">
        <v>15</v>
      </c>
      <c r="Y209" s="2">
        <v>15</v>
      </c>
      <c r="Z209" s="2">
        <v>15</v>
      </c>
      <c r="AA209" s="2">
        <v>15</v>
      </c>
      <c r="AB209" s="2">
        <v>15</v>
      </c>
      <c r="AC209" s="2">
        <v>16</v>
      </c>
      <c r="AD209" s="2">
        <v>16</v>
      </c>
      <c r="AE209" s="2">
        <v>16</v>
      </c>
      <c r="AF209" s="2">
        <v>16</v>
      </c>
      <c r="AG209" s="2">
        <v>16</v>
      </c>
      <c r="AH209" s="2">
        <v>16</v>
      </c>
      <c r="AI209" s="2">
        <v>16</v>
      </c>
      <c r="AJ209" s="2">
        <v>16</v>
      </c>
      <c r="AK209" s="2">
        <v>16</v>
      </c>
      <c r="AL209" s="2">
        <v>16</v>
      </c>
      <c r="AM209" s="2">
        <v>16</v>
      </c>
      <c r="AN209" s="2">
        <v>16</v>
      </c>
      <c r="AO209" s="2">
        <v>16</v>
      </c>
      <c r="AP209" s="2">
        <v>16</v>
      </c>
      <c r="AQ209" s="2">
        <v>16</v>
      </c>
      <c r="AR209" s="2">
        <v>16</v>
      </c>
      <c r="AS209" s="2">
        <v>16</v>
      </c>
      <c r="AT209" s="2">
        <v>16</v>
      </c>
      <c r="AU209" s="2">
        <v>16</v>
      </c>
      <c r="AV209" s="2">
        <v>16</v>
      </c>
      <c r="AW209" s="2">
        <v>16</v>
      </c>
      <c r="AX209" s="2">
        <v>16</v>
      </c>
      <c r="AY209" s="2">
        <v>16</v>
      </c>
      <c r="AZ209" s="2">
        <v>16</v>
      </c>
      <c r="BA209" s="2">
        <v>16</v>
      </c>
      <c r="BB209" s="17"/>
      <c r="BC209" s="17"/>
      <c r="BD209" s="17"/>
      <c r="BE209" s="17"/>
      <c r="BF209" s="17"/>
      <c r="BG209" s="17"/>
      <c r="BH209" s="17"/>
      <c r="BI209" s="17"/>
      <c r="BJ209" s="17"/>
      <c r="BK209" s="17"/>
      <c r="BL209" s="17"/>
      <c r="BM209" s="17"/>
      <c r="BN209" s="17"/>
      <c r="BO209" s="17"/>
      <c r="BP209" s="17"/>
      <c r="BQ209" s="17"/>
      <c r="BR209" s="17"/>
      <c r="BS209" s="17"/>
      <c r="BT209" s="17"/>
      <c r="BU209" s="17"/>
      <c r="BV209" s="17"/>
      <c r="BW209" s="17"/>
      <c r="BX209" s="17"/>
      <c r="BY209" s="17"/>
      <c r="BZ209" s="17"/>
      <c r="CA209" s="17"/>
      <c r="CB209" s="17"/>
      <c r="CC209" s="17"/>
      <c r="CD209" s="17"/>
      <c r="CE209" s="17"/>
      <c r="CF209" s="17"/>
      <c r="CG209" s="17"/>
      <c r="CH209" s="18"/>
      <c r="CI209">
        <v>23</v>
      </c>
      <c r="CJ209">
        <v>25</v>
      </c>
      <c r="CK209">
        <f t="shared" si="62"/>
        <v>15</v>
      </c>
      <c r="CL209">
        <f t="shared" si="63"/>
        <v>16</v>
      </c>
      <c r="FC209">
        <v>206</v>
      </c>
      <c r="FD209">
        <f t="shared" si="46"/>
        <v>14</v>
      </c>
      <c r="FE209">
        <f t="shared" si="47"/>
        <v>13</v>
      </c>
      <c r="FF209" t="str">
        <f t="shared" si="48"/>
        <v/>
      </c>
      <c r="FI209" s="16">
        <v>206</v>
      </c>
      <c r="FJ209" s="17">
        <f t="shared" si="49"/>
        <v>76</v>
      </c>
      <c r="FK209" s="17">
        <f t="shared" si="59"/>
        <v>130</v>
      </c>
      <c r="FL209" s="18" t="str">
        <f t="shared" si="50"/>
        <v>10000010</v>
      </c>
    </row>
    <row r="210" spans="4:168">
      <c r="D210" t="str">
        <f t="shared" si="53"/>
        <v>31-L</v>
      </c>
      <c r="E210" s="16">
        <v>30</v>
      </c>
      <c r="F210" s="16">
        <v>115</v>
      </c>
      <c r="G210" s="2">
        <v>115</v>
      </c>
      <c r="H210" s="2">
        <v>115</v>
      </c>
      <c r="I210" s="2">
        <v>115</v>
      </c>
      <c r="J210" s="2">
        <v>115</v>
      </c>
      <c r="K210" s="2">
        <v>115</v>
      </c>
      <c r="L210" s="2">
        <v>115</v>
      </c>
      <c r="M210" s="2">
        <v>115</v>
      </c>
      <c r="N210" s="2">
        <v>115</v>
      </c>
      <c r="O210" s="2">
        <v>115</v>
      </c>
      <c r="P210" s="2">
        <v>115</v>
      </c>
      <c r="Q210" s="2">
        <v>115</v>
      </c>
      <c r="R210" s="2">
        <v>115</v>
      </c>
      <c r="S210" s="2">
        <v>116</v>
      </c>
      <c r="T210" s="2">
        <v>116</v>
      </c>
      <c r="U210" s="2">
        <v>116</v>
      </c>
      <c r="V210" s="2"/>
      <c r="W210" s="2"/>
      <c r="X210" s="2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17"/>
      <c r="BA210" s="17"/>
      <c r="BB210" s="17"/>
      <c r="BC210" s="17"/>
      <c r="BD210" s="17"/>
      <c r="BE210" s="17"/>
      <c r="BF210" s="17"/>
      <c r="BG210" s="17"/>
      <c r="BH210" s="17"/>
      <c r="BI210" s="17"/>
      <c r="BJ210" s="17"/>
      <c r="BK210" s="17"/>
      <c r="BL210" s="17"/>
      <c r="BM210" s="17"/>
      <c r="BN210" s="17"/>
      <c r="BO210" s="17"/>
      <c r="BP210" s="17"/>
      <c r="BQ210" s="17"/>
      <c r="BR210" s="17"/>
      <c r="BS210" s="17"/>
      <c r="BT210" s="17"/>
      <c r="BU210" s="17"/>
      <c r="BV210" s="17"/>
      <c r="BW210" s="17"/>
      <c r="BX210" s="17"/>
      <c r="BY210" s="17"/>
      <c r="BZ210" s="17"/>
      <c r="CA210" s="17"/>
      <c r="CB210" s="17"/>
      <c r="CC210" s="17"/>
      <c r="CD210" s="17"/>
      <c r="CE210" s="17"/>
      <c r="CF210" s="17"/>
      <c r="CG210" s="17"/>
      <c r="CH210" s="18"/>
      <c r="CI210">
        <v>13</v>
      </c>
      <c r="CJ210">
        <v>3</v>
      </c>
      <c r="CK210">
        <f t="shared" si="62"/>
        <v>115</v>
      </c>
      <c r="CL210">
        <f t="shared" si="63"/>
        <v>116</v>
      </c>
      <c r="FC210">
        <v>207</v>
      </c>
      <c r="FD210">
        <f t="shared" si="46"/>
        <v>15</v>
      </c>
      <c r="FE210">
        <f t="shared" si="47"/>
        <v>13</v>
      </c>
      <c r="FF210" t="str">
        <f t="shared" si="48"/>
        <v/>
      </c>
      <c r="FI210" s="16">
        <v>207</v>
      </c>
      <c r="FJ210" s="17">
        <f t="shared" si="49"/>
        <v>140</v>
      </c>
      <c r="FK210" s="17">
        <f t="shared" si="59"/>
        <v>148</v>
      </c>
      <c r="FL210" s="18" t="str">
        <f t="shared" si="50"/>
        <v>10010100</v>
      </c>
    </row>
    <row r="211" spans="4:168">
      <c r="D211" t="str">
        <f t="shared" si="54"/>
        <v>31-M</v>
      </c>
      <c r="E211" s="16">
        <v>28</v>
      </c>
      <c r="F211" s="16">
        <v>46</v>
      </c>
      <c r="G211" s="2">
        <v>46</v>
      </c>
      <c r="H211" s="2">
        <v>47</v>
      </c>
      <c r="I211" s="2">
        <v>47</v>
      </c>
      <c r="J211" s="2">
        <v>47</v>
      </c>
      <c r="K211" s="2">
        <v>47</v>
      </c>
      <c r="L211" s="2">
        <v>47</v>
      </c>
      <c r="M211" s="2">
        <v>47</v>
      </c>
      <c r="N211" s="2">
        <v>47</v>
      </c>
      <c r="O211" s="2">
        <v>47</v>
      </c>
      <c r="P211" s="2">
        <v>47</v>
      </c>
      <c r="Q211" s="2">
        <v>47</v>
      </c>
      <c r="R211" s="2">
        <v>47</v>
      </c>
      <c r="S211" s="2">
        <v>47</v>
      </c>
      <c r="T211" s="2">
        <v>47</v>
      </c>
      <c r="U211" s="2">
        <v>47</v>
      </c>
      <c r="V211" s="2">
        <v>47</v>
      </c>
      <c r="W211" s="2">
        <v>47</v>
      </c>
      <c r="X211" s="2">
        <v>47</v>
      </c>
      <c r="Y211" s="2">
        <v>47</v>
      </c>
      <c r="Z211" s="2">
        <v>47</v>
      </c>
      <c r="AA211" s="2">
        <v>47</v>
      </c>
      <c r="AB211" s="2">
        <v>47</v>
      </c>
      <c r="AC211" s="2">
        <v>47</v>
      </c>
      <c r="AD211" s="2">
        <v>47</v>
      </c>
      <c r="AE211" s="2">
        <v>47</v>
      </c>
      <c r="AF211" s="2">
        <v>47</v>
      </c>
      <c r="AG211" s="2">
        <v>47</v>
      </c>
      <c r="AH211" s="2">
        <v>47</v>
      </c>
      <c r="AI211" s="2">
        <v>47</v>
      </c>
      <c r="AJ211" s="2">
        <v>47</v>
      </c>
      <c r="AK211" s="2"/>
      <c r="AL211" s="2"/>
      <c r="AM211" s="2"/>
      <c r="AN211" s="2"/>
      <c r="AO211" s="2"/>
      <c r="AP211" s="2"/>
      <c r="AQ211" s="2"/>
      <c r="AR211" s="17"/>
      <c r="AS211" s="17"/>
      <c r="AT211" s="17"/>
      <c r="AU211" s="17"/>
      <c r="AV211" s="17"/>
      <c r="AW211" s="17"/>
      <c r="AX211" s="17"/>
      <c r="AY211" s="17"/>
      <c r="AZ211" s="17"/>
      <c r="BA211" s="17"/>
      <c r="BB211" s="17"/>
      <c r="BC211" s="17"/>
      <c r="BD211" s="17"/>
      <c r="BE211" s="17"/>
      <c r="BF211" s="17"/>
      <c r="BG211" s="17"/>
      <c r="BH211" s="17"/>
      <c r="BI211" s="17"/>
      <c r="BJ211" s="17"/>
      <c r="BK211" s="17"/>
      <c r="BL211" s="17"/>
      <c r="BM211" s="17"/>
      <c r="BN211" s="17"/>
      <c r="BO211" s="17"/>
      <c r="BP211" s="17"/>
      <c r="BQ211" s="17"/>
      <c r="BR211" s="17"/>
      <c r="BS211" s="17"/>
      <c r="BT211" s="17"/>
      <c r="BU211" s="17"/>
      <c r="BV211" s="17"/>
      <c r="BW211" s="17"/>
      <c r="BX211" s="17"/>
      <c r="BY211" s="17"/>
      <c r="BZ211" s="17"/>
      <c r="CA211" s="17"/>
      <c r="CB211" s="17"/>
      <c r="CC211" s="17"/>
      <c r="CD211" s="17"/>
      <c r="CE211" s="17"/>
      <c r="CF211" s="17"/>
      <c r="CG211" s="17"/>
      <c r="CH211" s="18"/>
      <c r="CI211">
        <v>2</v>
      </c>
      <c r="CJ211">
        <v>29</v>
      </c>
      <c r="CK211">
        <f t="shared" si="62"/>
        <v>46</v>
      </c>
      <c r="CL211">
        <f t="shared" si="63"/>
        <v>47</v>
      </c>
      <c r="FC211">
        <v>208</v>
      </c>
      <c r="FD211">
        <f t="shared" si="46"/>
        <v>16</v>
      </c>
      <c r="FE211">
        <f t="shared" si="47"/>
        <v>13</v>
      </c>
      <c r="FF211" t="str">
        <f t="shared" si="48"/>
        <v/>
      </c>
      <c r="FI211" s="16">
        <v>208</v>
      </c>
      <c r="FJ211" s="17">
        <f t="shared" si="49"/>
        <v>0</v>
      </c>
      <c r="FK211" s="17">
        <f t="shared" si="59"/>
        <v>124</v>
      </c>
      <c r="FL211" s="18" t="str">
        <f t="shared" si="50"/>
        <v>01111100</v>
      </c>
    </row>
    <row r="212" spans="4:168">
      <c r="D212" t="str">
        <f t="shared" si="55"/>
        <v>31-Q</v>
      </c>
      <c r="E212" s="16">
        <v>30</v>
      </c>
      <c r="F212" s="16">
        <v>24</v>
      </c>
      <c r="G212" s="2">
        <v>24</v>
      </c>
      <c r="H212" s="2">
        <v>24</v>
      </c>
      <c r="I212" s="2">
        <v>24</v>
      </c>
      <c r="J212" s="2">
        <v>24</v>
      </c>
      <c r="K212" s="2">
        <v>24</v>
      </c>
      <c r="L212" s="2">
        <v>24</v>
      </c>
      <c r="M212" s="2">
        <v>24</v>
      </c>
      <c r="N212" s="2">
        <v>24</v>
      </c>
      <c r="O212" s="2">
        <v>24</v>
      </c>
      <c r="P212" s="2">
        <v>24</v>
      </c>
      <c r="Q212" s="2">
        <v>24</v>
      </c>
      <c r="R212" s="2">
        <v>24</v>
      </c>
      <c r="S212" s="2">
        <v>24</v>
      </c>
      <c r="T212" s="2">
        <v>24</v>
      </c>
      <c r="U212" s="2">
        <v>24</v>
      </c>
      <c r="V212" s="2">
        <v>24</v>
      </c>
      <c r="W212" s="2">
        <v>24</v>
      </c>
      <c r="X212" s="2">
        <v>24</v>
      </c>
      <c r="Y212" s="2">
        <v>24</v>
      </c>
      <c r="Z212" s="2">
        <v>24</v>
      </c>
      <c r="AA212" s="2">
        <v>24</v>
      </c>
      <c r="AB212" s="2">
        <v>24</v>
      </c>
      <c r="AC212" s="2">
        <v>24</v>
      </c>
      <c r="AD212" s="2">
        <v>24</v>
      </c>
      <c r="AE212" s="2">
        <v>24</v>
      </c>
      <c r="AF212" s="2">
        <v>24</v>
      </c>
      <c r="AG212" s="2">
        <v>24</v>
      </c>
      <c r="AH212" s="2">
        <v>24</v>
      </c>
      <c r="AI212" s="2">
        <v>24</v>
      </c>
      <c r="AJ212" s="2">
        <v>24</v>
      </c>
      <c r="AK212" s="2">
        <v>24</v>
      </c>
      <c r="AL212" s="2">
        <v>24</v>
      </c>
      <c r="AM212" s="2">
        <v>24</v>
      </c>
      <c r="AN212" s="2">
        <v>24</v>
      </c>
      <c r="AO212" s="2">
        <v>24</v>
      </c>
      <c r="AP212" s="2">
        <v>24</v>
      </c>
      <c r="AQ212" s="2">
        <v>24</v>
      </c>
      <c r="AR212" s="2">
        <v>24</v>
      </c>
      <c r="AS212" s="2">
        <v>24</v>
      </c>
      <c r="AT212" s="2">
        <v>24</v>
      </c>
      <c r="AU212" s="2">
        <v>24</v>
      </c>
      <c r="AV212" s="2">
        <v>25</v>
      </c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17"/>
      <c r="BJ212" s="17"/>
      <c r="BK212" s="17"/>
      <c r="BL212" s="17"/>
      <c r="BM212" s="17"/>
      <c r="BN212" s="17"/>
      <c r="BO212" s="17"/>
      <c r="BP212" s="17"/>
      <c r="BQ212" s="17"/>
      <c r="BR212" s="17"/>
      <c r="BS212" s="17"/>
      <c r="BT212" s="17"/>
      <c r="BU212" s="17"/>
      <c r="BV212" s="17"/>
      <c r="BW212" s="17"/>
      <c r="BX212" s="17"/>
      <c r="BY212" s="17"/>
      <c r="BZ212" s="17"/>
      <c r="CA212" s="17"/>
      <c r="CB212" s="17"/>
      <c r="CC212" s="17"/>
      <c r="CD212" s="17"/>
      <c r="CE212" s="17"/>
      <c r="CF212" s="17"/>
      <c r="CG212" s="17"/>
      <c r="CH212" s="18"/>
      <c r="CI212">
        <v>42</v>
      </c>
      <c r="CJ212">
        <v>1</v>
      </c>
      <c r="CK212">
        <f t="shared" si="62"/>
        <v>24</v>
      </c>
      <c r="CL212">
        <f t="shared" si="63"/>
        <v>25</v>
      </c>
      <c r="FC212">
        <v>209</v>
      </c>
      <c r="FD212">
        <f t="shared" si="46"/>
        <v>1</v>
      </c>
      <c r="FE212">
        <f t="shared" si="47"/>
        <v>14</v>
      </c>
      <c r="FF212" t="str">
        <f t="shared" si="48"/>
        <v/>
      </c>
      <c r="FI212" s="16">
        <v>209</v>
      </c>
      <c r="FJ212" s="17">
        <f t="shared" si="49"/>
        <v>17</v>
      </c>
      <c r="FK212" s="17">
        <f t="shared" si="59"/>
        <v>43</v>
      </c>
      <c r="FL212" s="18" t="str">
        <f t="shared" si="50"/>
        <v>00101011</v>
      </c>
    </row>
    <row r="213" spans="4:168">
      <c r="D213" t="str">
        <f t="shared" si="56"/>
        <v>31-H</v>
      </c>
      <c r="E213" s="16">
        <v>30</v>
      </c>
      <c r="F213" s="16">
        <v>15</v>
      </c>
      <c r="G213" s="2">
        <v>15</v>
      </c>
      <c r="H213" s="2">
        <v>15</v>
      </c>
      <c r="I213" s="2">
        <v>15</v>
      </c>
      <c r="J213" s="2">
        <v>15</v>
      </c>
      <c r="K213" s="2">
        <v>15</v>
      </c>
      <c r="L213" s="2">
        <v>15</v>
      </c>
      <c r="M213" s="2">
        <v>15</v>
      </c>
      <c r="N213" s="2">
        <v>15</v>
      </c>
      <c r="O213" s="2">
        <v>15</v>
      </c>
      <c r="P213" s="2">
        <v>15</v>
      </c>
      <c r="Q213" s="2">
        <v>15</v>
      </c>
      <c r="R213" s="2">
        <v>15</v>
      </c>
      <c r="S213" s="2">
        <v>15</v>
      </c>
      <c r="T213" s="2">
        <v>15</v>
      </c>
      <c r="U213" s="2">
        <v>15</v>
      </c>
      <c r="V213" s="2">
        <v>15</v>
      </c>
      <c r="W213" s="2">
        <v>15</v>
      </c>
      <c r="X213" s="2">
        <v>15</v>
      </c>
      <c r="Y213" s="2">
        <v>15</v>
      </c>
      <c r="Z213" s="2">
        <v>15</v>
      </c>
      <c r="AA213" s="2">
        <v>15</v>
      </c>
      <c r="AB213" s="2">
        <v>15</v>
      </c>
      <c r="AC213" s="2">
        <v>16</v>
      </c>
      <c r="AD213" s="2">
        <v>16</v>
      </c>
      <c r="AE213" s="2">
        <v>16</v>
      </c>
      <c r="AF213" s="2">
        <v>16</v>
      </c>
      <c r="AG213" s="2">
        <v>16</v>
      </c>
      <c r="AH213" s="2">
        <v>16</v>
      </c>
      <c r="AI213" s="2">
        <v>16</v>
      </c>
      <c r="AJ213" s="2">
        <v>16</v>
      </c>
      <c r="AK213" s="2">
        <v>16</v>
      </c>
      <c r="AL213" s="2">
        <v>16</v>
      </c>
      <c r="AM213" s="2">
        <v>16</v>
      </c>
      <c r="AN213" s="2">
        <v>16</v>
      </c>
      <c r="AO213" s="2">
        <v>16</v>
      </c>
      <c r="AP213" s="2">
        <v>16</v>
      </c>
      <c r="AQ213" s="2">
        <v>16</v>
      </c>
      <c r="AR213" s="2">
        <v>16</v>
      </c>
      <c r="AS213" s="2">
        <v>16</v>
      </c>
      <c r="AT213" s="2">
        <v>16</v>
      </c>
      <c r="AU213" s="2">
        <v>16</v>
      </c>
      <c r="AV213" s="2">
        <v>16</v>
      </c>
      <c r="AW213" s="2">
        <v>16</v>
      </c>
      <c r="AX213" s="2">
        <v>16</v>
      </c>
      <c r="AY213" s="2">
        <v>16</v>
      </c>
      <c r="AZ213" s="2">
        <v>16</v>
      </c>
      <c r="BA213" s="2">
        <v>16</v>
      </c>
      <c r="BB213" s="2">
        <v>16</v>
      </c>
      <c r="BC213" s="2">
        <v>16</v>
      </c>
      <c r="BD213" s="2">
        <v>16</v>
      </c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17"/>
      <c r="BU213" s="17"/>
      <c r="BV213" s="17"/>
      <c r="BW213" s="17"/>
      <c r="BX213" s="17"/>
      <c r="BY213" s="17"/>
      <c r="BZ213" s="17"/>
      <c r="CA213" s="17"/>
      <c r="CB213" s="17"/>
      <c r="CC213" s="17"/>
      <c r="CD213" s="17"/>
      <c r="CE213" s="17"/>
      <c r="CF213" s="17"/>
      <c r="CG213" s="17"/>
      <c r="CH213" s="18"/>
      <c r="CI213">
        <v>23</v>
      </c>
      <c r="CJ213">
        <v>28</v>
      </c>
      <c r="CK213">
        <f t="shared" si="62"/>
        <v>15</v>
      </c>
      <c r="CL213">
        <f t="shared" si="63"/>
        <v>16</v>
      </c>
      <c r="FC213">
        <v>210</v>
      </c>
      <c r="FD213">
        <f t="shared" si="46"/>
        <v>2</v>
      </c>
      <c r="FE213">
        <f t="shared" si="47"/>
        <v>14</v>
      </c>
      <c r="FF213" t="str">
        <f t="shared" si="48"/>
        <v/>
      </c>
      <c r="FI213" s="16">
        <v>210</v>
      </c>
      <c r="FJ213" s="17">
        <f t="shared" si="49"/>
        <v>236</v>
      </c>
      <c r="FK213" s="17">
        <f t="shared" si="59"/>
        <v>234</v>
      </c>
      <c r="FL213" s="18" t="str">
        <f t="shared" si="50"/>
        <v>11101010</v>
      </c>
    </row>
    <row r="214" spans="4:168">
      <c r="D214" t="str">
        <f t="shared" si="53"/>
        <v>32-L</v>
      </c>
      <c r="E214" s="16"/>
      <c r="F214" s="16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  <c r="AX214" s="17"/>
      <c r="AY214" s="17"/>
      <c r="AZ214" s="17"/>
      <c r="BA214" s="17"/>
      <c r="BB214" s="17"/>
      <c r="BC214" s="17"/>
      <c r="BD214" s="17"/>
      <c r="BE214" s="17"/>
      <c r="BF214" s="17"/>
      <c r="BG214" s="17"/>
      <c r="BH214" s="17"/>
      <c r="BI214" s="17"/>
      <c r="BJ214" s="17"/>
      <c r="BK214" s="17"/>
      <c r="BL214" s="17"/>
      <c r="BM214" s="17"/>
      <c r="BN214" s="17"/>
      <c r="BO214" s="17"/>
      <c r="BP214" s="17"/>
      <c r="BQ214" s="17"/>
      <c r="BR214" s="17"/>
      <c r="BS214" s="17"/>
      <c r="BT214" s="17"/>
      <c r="BU214" s="17"/>
      <c r="BV214" s="17"/>
      <c r="BW214" s="17"/>
      <c r="BX214" s="17"/>
      <c r="BY214" s="17"/>
      <c r="BZ214" s="17"/>
      <c r="CA214" s="17"/>
      <c r="CB214" s="17"/>
      <c r="CC214" s="17"/>
      <c r="CD214" s="17"/>
      <c r="CE214" s="17"/>
      <c r="CF214" s="17"/>
      <c r="CG214" s="17"/>
      <c r="CH214" s="18"/>
      <c r="CJ214">
        <v>6</v>
      </c>
      <c r="CK214">
        <f t="shared" si="62"/>
        <v>0</v>
      </c>
      <c r="CL214">
        <f t="shared" si="63"/>
        <v>0</v>
      </c>
      <c r="FC214">
        <v>211</v>
      </c>
      <c r="FD214">
        <f t="shared" ref="FD214:FD277" si="64">IF(MOD(FC214,$FB$1+$FB$2)=0,$FB$1+$FB$2,MOD(FC214,$FB$1+$FB$2))</f>
        <v>3</v>
      </c>
      <c r="FE214">
        <f t="shared" ref="FE214:FE277" si="65">ROUNDUP(FC214/($FB$1+$FB$2),0)</f>
        <v>14</v>
      </c>
      <c r="FF214" t="str">
        <f t="shared" ref="FF214:FF277" si="66">IF(FE214&lt;$FB$3,INDEX($E$4:$DV$84,FD214,FE214),IF(FE214=$FB$3,INDEX($E$4:$DV$84,FD214+$FB$1,FE214),""))</f>
        <v/>
      </c>
      <c r="FI214" s="16">
        <v>211</v>
      </c>
      <c r="FJ214" s="17">
        <f t="shared" ref="FJ214:FJ277" si="67">IF(FE214&lt;=$FH$1,INDEX($DW$4:$EZ$84,FD214,FE214),"")</f>
        <v>216</v>
      </c>
      <c r="FK214" s="17">
        <f t="shared" si="59"/>
        <v>179</v>
      </c>
      <c r="FL214" s="18" t="str">
        <f t="shared" ref="FL214:FL277" si="68">IFERROR(TEXT(DEC2BIN(FK214),"00000000"),"")</f>
        <v>10110011</v>
      </c>
    </row>
    <row r="215" spans="4:168">
      <c r="D215" t="str">
        <f t="shared" si="54"/>
        <v>32-M</v>
      </c>
      <c r="E215" s="16"/>
      <c r="F215" s="16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17"/>
      <c r="BD215" s="17"/>
      <c r="BE215" s="17"/>
      <c r="BF215" s="17"/>
      <c r="BG215" s="17"/>
      <c r="BH215" s="17"/>
      <c r="BI215" s="17"/>
      <c r="BJ215" s="17"/>
      <c r="BK215" s="17"/>
      <c r="BL215" s="17"/>
      <c r="BM215" s="17"/>
      <c r="BN215" s="17"/>
      <c r="BO215" s="17"/>
      <c r="BP215" s="17"/>
      <c r="BQ215" s="17"/>
      <c r="BR215" s="17"/>
      <c r="BS215" s="17"/>
      <c r="BT215" s="17"/>
      <c r="BU215" s="17"/>
      <c r="BV215" s="17"/>
      <c r="BW215" s="17"/>
      <c r="BX215" s="17"/>
      <c r="BY215" s="17"/>
      <c r="BZ215" s="17"/>
      <c r="CA215" s="17"/>
      <c r="CB215" s="17"/>
      <c r="CC215" s="17"/>
      <c r="CD215" s="17"/>
      <c r="CE215" s="17"/>
      <c r="CF215" s="17"/>
      <c r="CG215" s="17"/>
      <c r="CH215" s="18"/>
      <c r="CJ215">
        <v>31</v>
      </c>
      <c r="CK215">
        <f t="shared" si="62"/>
        <v>0</v>
      </c>
      <c r="CL215">
        <f t="shared" si="63"/>
        <v>0</v>
      </c>
      <c r="FC215">
        <v>212</v>
      </c>
      <c r="FD215">
        <f t="shared" si="64"/>
        <v>4</v>
      </c>
      <c r="FE215">
        <f t="shared" si="65"/>
        <v>14</v>
      </c>
      <c r="FF215" t="str">
        <f t="shared" si="66"/>
        <v/>
      </c>
      <c r="FI215" s="16">
        <v>212</v>
      </c>
      <c r="FJ215" s="17">
        <f t="shared" si="67"/>
        <v>113</v>
      </c>
      <c r="FK215" s="17">
        <f t="shared" si="59"/>
        <v>0</v>
      </c>
      <c r="FL215" s="18" t="str">
        <f t="shared" si="68"/>
        <v>00000000</v>
      </c>
    </row>
    <row r="216" spans="4:168">
      <c r="D216" t="str">
        <f t="shared" si="55"/>
        <v>32-Q</v>
      </c>
      <c r="E216" s="16"/>
      <c r="F216" s="16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17"/>
      <c r="BW216" s="17"/>
      <c r="BX216" s="17"/>
      <c r="BY216" s="17"/>
      <c r="BZ216" s="17"/>
      <c r="CA216" s="17"/>
      <c r="CB216" s="17"/>
      <c r="CC216" s="17"/>
      <c r="CD216" s="17"/>
      <c r="CE216" s="17"/>
      <c r="CF216" s="17"/>
      <c r="CG216" s="17"/>
      <c r="CH216" s="18"/>
      <c r="CJ216">
        <v>34</v>
      </c>
      <c r="CK216">
        <f t="shared" si="62"/>
        <v>0</v>
      </c>
      <c r="CL216">
        <f t="shared" si="63"/>
        <v>0</v>
      </c>
      <c r="FC216">
        <v>213</v>
      </c>
      <c r="FD216">
        <f t="shared" si="64"/>
        <v>5</v>
      </c>
      <c r="FE216">
        <f t="shared" si="65"/>
        <v>14</v>
      </c>
      <c r="FF216" t="str">
        <f t="shared" si="66"/>
        <v/>
      </c>
      <c r="FI216" s="16">
        <v>213</v>
      </c>
      <c r="FJ216" s="17">
        <f t="shared" si="67"/>
        <v>178</v>
      </c>
      <c r="FK216" s="17">
        <f t="shared" si="59"/>
        <v>30</v>
      </c>
      <c r="FL216" s="18" t="str">
        <f t="shared" si="68"/>
        <v>00011110</v>
      </c>
    </row>
    <row r="217" spans="4:168">
      <c r="D217" t="str">
        <f t="shared" si="56"/>
        <v>32-H</v>
      </c>
      <c r="E217" s="16"/>
      <c r="F217" s="16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  <c r="AX217" s="17"/>
      <c r="AY217" s="17"/>
      <c r="AZ217" s="17"/>
      <c r="BA217" s="17"/>
      <c r="BB217" s="17"/>
      <c r="BC217" s="17"/>
      <c r="BD217" s="17"/>
      <c r="BE217" s="17"/>
      <c r="BF217" s="17"/>
      <c r="BG217" s="17"/>
      <c r="BH217" s="17"/>
      <c r="BI217" s="17"/>
      <c r="BJ217" s="17"/>
      <c r="BK217" s="17"/>
      <c r="BL217" s="17"/>
      <c r="BM217" s="17"/>
      <c r="BN217" s="17"/>
      <c r="BO217" s="17"/>
      <c r="BP217" s="17"/>
      <c r="BQ217" s="17"/>
      <c r="BR217" s="17"/>
      <c r="BS217" s="17"/>
      <c r="BT217" s="17"/>
      <c r="BU217" s="17"/>
      <c r="BV217" s="17"/>
      <c r="BW217" s="17"/>
      <c r="BX217" s="17"/>
      <c r="BY217" s="17"/>
      <c r="BZ217" s="17"/>
      <c r="CA217" s="17"/>
      <c r="CB217" s="17"/>
      <c r="CC217" s="17"/>
      <c r="CD217" s="17"/>
      <c r="CE217" s="17"/>
      <c r="CF217" s="17"/>
      <c r="CG217" s="17"/>
      <c r="CH217" s="18"/>
      <c r="CI217" s="2"/>
      <c r="CJ217" s="2">
        <v>61</v>
      </c>
      <c r="CK217">
        <f t="shared" si="62"/>
        <v>0</v>
      </c>
      <c r="CL217">
        <f t="shared" si="63"/>
        <v>0</v>
      </c>
      <c r="FC217">
        <v>214</v>
      </c>
      <c r="FD217">
        <f t="shared" si="64"/>
        <v>6</v>
      </c>
      <c r="FE217">
        <f t="shared" si="65"/>
        <v>14</v>
      </c>
      <c r="FF217" t="str">
        <f t="shared" si="66"/>
        <v/>
      </c>
      <c r="FI217" s="16">
        <v>214</v>
      </c>
      <c r="FJ217" s="17">
        <f t="shared" si="67"/>
        <v>173</v>
      </c>
      <c r="FK217" s="17">
        <f t="shared" si="59"/>
        <v>200</v>
      </c>
      <c r="FL217" s="18" t="str">
        <f t="shared" si="68"/>
        <v>11001000</v>
      </c>
    </row>
    <row r="218" spans="4:168">
      <c r="D218" t="str">
        <f t="shared" si="53"/>
        <v>33-L</v>
      </c>
      <c r="E218" s="16"/>
      <c r="F218" s="16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  <c r="AX218" s="17"/>
      <c r="AY218" s="17"/>
      <c r="AZ218" s="17"/>
      <c r="BA218" s="17"/>
      <c r="BB218" s="17"/>
      <c r="BC218" s="17"/>
      <c r="BD218" s="17"/>
      <c r="BE218" s="17"/>
      <c r="BF218" s="17"/>
      <c r="BG218" s="17"/>
      <c r="BH218" s="17"/>
      <c r="BI218" s="17"/>
      <c r="BJ218" s="17"/>
      <c r="BK218" s="17"/>
      <c r="BL218" s="17"/>
      <c r="BM218" s="17"/>
      <c r="BN218" s="17"/>
      <c r="BO218" s="17"/>
      <c r="BP218" s="17"/>
      <c r="BQ218" s="17"/>
      <c r="BR218" s="17"/>
      <c r="BS218" s="17"/>
      <c r="BT218" s="17"/>
      <c r="BU218" s="17"/>
      <c r="BV218" s="17"/>
      <c r="BW218" s="17"/>
      <c r="BX218" s="17"/>
      <c r="BY218" s="17"/>
      <c r="BZ218" s="17"/>
      <c r="CA218" s="17"/>
      <c r="CB218" s="17"/>
      <c r="CC218" s="17"/>
      <c r="CD218" s="17"/>
      <c r="CE218" s="17"/>
      <c r="CF218" s="17"/>
      <c r="CG218" s="17"/>
      <c r="CH218" s="18"/>
      <c r="FC218">
        <v>215</v>
      </c>
      <c r="FD218">
        <f t="shared" si="64"/>
        <v>7</v>
      </c>
      <c r="FE218">
        <f t="shared" si="65"/>
        <v>14</v>
      </c>
      <c r="FF218" t="str">
        <f t="shared" si="66"/>
        <v/>
      </c>
      <c r="FI218" s="16">
        <v>215</v>
      </c>
      <c r="FJ218" s="17">
        <f t="shared" si="67"/>
        <v>42</v>
      </c>
      <c r="FK218" s="17">
        <f t="shared" si="59"/>
        <v>22</v>
      </c>
      <c r="FL218" s="18" t="str">
        <f t="shared" si="68"/>
        <v>00010110</v>
      </c>
    </row>
    <row r="219" spans="4:168">
      <c r="D219" t="str">
        <f t="shared" si="54"/>
        <v>33-M</v>
      </c>
      <c r="E219" s="16"/>
      <c r="F219" s="16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  <c r="AX219" s="17"/>
      <c r="AY219" s="17"/>
      <c r="AZ219" s="17"/>
      <c r="BA219" s="17"/>
      <c r="BB219" s="17"/>
      <c r="BC219" s="17"/>
      <c r="BD219" s="17"/>
      <c r="BE219" s="17"/>
      <c r="BF219" s="17"/>
      <c r="BG219" s="17"/>
      <c r="BH219" s="17"/>
      <c r="BI219" s="17"/>
      <c r="BJ219" s="17"/>
      <c r="BK219" s="17"/>
      <c r="BL219" s="17"/>
      <c r="BM219" s="17"/>
      <c r="BN219" s="17"/>
      <c r="BO219" s="17"/>
      <c r="BP219" s="17"/>
      <c r="BQ219" s="17"/>
      <c r="BR219" s="17"/>
      <c r="BS219" s="17"/>
      <c r="BT219" s="17"/>
      <c r="BU219" s="17"/>
      <c r="BV219" s="17"/>
      <c r="BW219" s="17"/>
      <c r="BX219" s="17"/>
      <c r="BY219" s="17"/>
      <c r="BZ219" s="17"/>
      <c r="CA219" s="17"/>
      <c r="CB219" s="17"/>
      <c r="CC219" s="17"/>
      <c r="CD219" s="17"/>
      <c r="CE219" s="17"/>
      <c r="CF219" s="17"/>
      <c r="CG219" s="17"/>
      <c r="CH219" s="18"/>
      <c r="FC219">
        <v>216</v>
      </c>
      <c r="FD219">
        <f t="shared" si="64"/>
        <v>8</v>
      </c>
      <c r="FE219">
        <f t="shared" si="65"/>
        <v>14</v>
      </c>
      <c r="FF219" t="str">
        <f t="shared" si="66"/>
        <v/>
      </c>
      <c r="FI219" s="16">
        <v>216</v>
      </c>
      <c r="FJ219" s="17">
        <f t="shared" si="67"/>
        <v>240</v>
      </c>
      <c r="FK219" s="17">
        <f t="shared" si="59"/>
        <v>21</v>
      </c>
      <c r="FL219" s="18" t="str">
        <f t="shared" si="68"/>
        <v>00010101</v>
      </c>
    </row>
    <row r="220" spans="4:168">
      <c r="D220" t="str">
        <f t="shared" si="55"/>
        <v>33-Q</v>
      </c>
      <c r="E220" s="16"/>
      <c r="F220" s="16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  <c r="AX220" s="17"/>
      <c r="AY220" s="17"/>
      <c r="AZ220" s="17"/>
      <c r="BA220" s="17"/>
      <c r="BB220" s="17"/>
      <c r="BC220" s="17"/>
      <c r="BD220" s="17"/>
      <c r="BE220" s="17"/>
      <c r="BF220" s="17"/>
      <c r="BG220" s="17"/>
      <c r="BH220" s="17"/>
      <c r="BI220" s="17"/>
      <c r="BJ220" s="17"/>
      <c r="BK220" s="17"/>
      <c r="BL220" s="17"/>
      <c r="BM220" s="17"/>
      <c r="BN220" s="17"/>
      <c r="BO220" s="17"/>
      <c r="BP220" s="17"/>
      <c r="BQ220" s="17"/>
      <c r="BR220" s="17"/>
      <c r="BS220" s="17"/>
      <c r="BT220" s="17"/>
      <c r="BU220" s="17"/>
      <c r="BV220" s="17"/>
      <c r="BW220" s="17"/>
      <c r="BX220" s="17"/>
      <c r="BY220" s="17"/>
      <c r="BZ220" s="17"/>
      <c r="CA220" s="17"/>
      <c r="CB220" s="17"/>
      <c r="CC220" s="17"/>
      <c r="CD220" s="17"/>
      <c r="CE220" s="17"/>
      <c r="CF220" s="17"/>
      <c r="CG220" s="17"/>
      <c r="CH220" s="18"/>
      <c r="FC220">
        <v>217</v>
      </c>
      <c r="FD220">
        <f t="shared" si="64"/>
        <v>9</v>
      </c>
      <c r="FE220">
        <f t="shared" si="65"/>
        <v>14</v>
      </c>
      <c r="FF220" t="str">
        <f t="shared" si="66"/>
        <v/>
      </c>
      <c r="FI220" s="16">
        <v>217</v>
      </c>
      <c r="FJ220" s="17">
        <f t="shared" si="67"/>
        <v>203</v>
      </c>
      <c r="FK220" s="17">
        <f t="shared" si="59"/>
        <v>164</v>
      </c>
      <c r="FL220" s="18" t="str">
        <f t="shared" si="68"/>
        <v>10100100</v>
      </c>
    </row>
    <row r="221" spans="4:168">
      <c r="D221" t="str">
        <f t="shared" si="56"/>
        <v>33-H</v>
      </c>
      <c r="E221" s="16"/>
      <c r="F221" s="16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  <c r="BI221" s="17"/>
      <c r="BJ221" s="17"/>
      <c r="BK221" s="17"/>
      <c r="BL221" s="17"/>
      <c r="BM221" s="17"/>
      <c r="BN221" s="17"/>
      <c r="BO221" s="17"/>
      <c r="BP221" s="17"/>
      <c r="BQ221" s="17"/>
      <c r="BR221" s="17"/>
      <c r="BS221" s="17"/>
      <c r="BT221" s="17"/>
      <c r="BU221" s="17"/>
      <c r="BV221" s="17"/>
      <c r="BW221" s="17"/>
      <c r="BX221" s="17"/>
      <c r="BY221" s="17"/>
      <c r="BZ221" s="17"/>
      <c r="CA221" s="17"/>
      <c r="CB221" s="17"/>
      <c r="CC221" s="17"/>
      <c r="CD221" s="17"/>
      <c r="CE221" s="17"/>
      <c r="CF221" s="17"/>
      <c r="CG221" s="17"/>
      <c r="CH221" s="18"/>
      <c r="FC221">
        <v>218</v>
      </c>
      <c r="FD221">
        <f t="shared" si="64"/>
        <v>10</v>
      </c>
      <c r="FE221">
        <f t="shared" si="65"/>
        <v>14</v>
      </c>
      <c r="FF221" t="str">
        <f t="shared" si="66"/>
        <v/>
      </c>
      <c r="FI221" s="16">
        <v>218</v>
      </c>
      <c r="FJ221" s="17">
        <f t="shared" si="67"/>
        <v>5</v>
      </c>
      <c r="FK221" s="17">
        <f t="shared" si="59"/>
        <v>29</v>
      </c>
      <c r="FL221" s="18" t="str">
        <f t="shared" si="68"/>
        <v>00011101</v>
      </c>
    </row>
    <row r="222" spans="4:168">
      <c r="D222" t="str">
        <f t="shared" si="53"/>
        <v>34-L</v>
      </c>
      <c r="E222" s="16"/>
      <c r="F222" s="16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  <c r="BI222" s="17"/>
      <c r="BJ222" s="17"/>
      <c r="BK222" s="17"/>
      <c r="BL222" s="17"/>
      <c r="BM222" s="17"/>
      <c r="BN222" s="17"/>
      <c r="BO222" s="17"/>
      <c r="BP222" s="17"/>
      <c r="BQ222" s="17"/>
      <c r="BR222" s="17"/>
      <c r="BS222" s="17"/>
      <c r="BT222" s="17"/>
      <c r="BU222" s="17"/>
      <c r="BV222" s="17"/>
      <c r="BW222" s="17"/>
      <c r="BX222" s="17"/>
      <c r="BY222" s="17"/>
      <c r="BZ222" s="17"/>
      <c r="CA222" s="17"/>
      <c r="CB222" s="17"/>
      <c r="CC222" s="17"/>
      <c r="CD222" s="17"/>
      <c r="CE222" s="17"/>
      <c r="CF222" s="17"/>
      <c r="CG222" s="17"/>
      <c r="CH222" s="18"/>
      <c r="FC222">
        <v>219</v>
      </c>
      <c r="FD222">
        <f t="shared" si="64"/>
        <v>11</v>
      </c>
      <c r="FE222">
        <f t="shared" si="65"/>
        <v>14</v>
      </c>
      <c r="FF222" t="str">
        <f t="shared" si="66"/>
        <v/>
      </c>
      <c r="FI222" s="16">
        <v>219</v>
      </c>
      <c r="FJ222" s="17">
        <f t="shared" si="67"/>
        <v>39</v>
      </c>
      <c r="FK222" s="17">
        <f t="shared" si="59"/>
        <v>93</v>
      </c>
      <c r="FL222" s="18" t="str">
        <f t="shared" si="68"/>
        <v>01011101</v>
      </c>
    </row>
    <row r="223" spans="4:168">
      <c r="D223" t="str">
        <f t="shared" si="54"/>
        <v>34-M</v>
      </c>
      <c r="E223" s="16"/>
      <c r="F223" s="16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  <c r="BI223" s="17"/>
      <c r="BJ223" s="17"/>
      <c r="BK223" s="17"/>
      <c r="BL223" s="17"/>
      <c r="BM223" s="17"/>
      <c r="BN223" s="17"/>
      <c r="BO223" s="17"/>
      <c r="BP223" s="17"/>
      <c r="BQ223" s="17"/>
      <c r="BR223" s="17"/>
      <c r="BS223" s="17"/>
      <c r="BT223" s="17"/>
      <c r="BU223" s="17"/>
      <c r="BV223" s="17"/>
      <c r="BW223" s="17"/>
      <c r="BX223" s="17"/>
      <c r="BY223" s="17"/>
      <c r="BZ223" s="17"/>
      <c r="CA223" s="17"/>
      <c r="CB223" s="17"/>
      <c r="CC223" s="17"/>
      <c r="CD223" s="17"/>
      <c r="CE223" s="17"/>
      <c r="CF223" s="17"/>
      <c r="CG223" s="17"/>
      <c r="CH223" s="18"/>
      <c r="FC223">
        <v>220</v>
      </c>
      <c r="FD223">
        <f t="shared" si="64"/>
        <v>12</v>
      </c>
      <c r="FE223">
        <f t="shared" si="65"/>
        <v>14</v>
      </c>
      <c r="FF223" t="str">
        <f t="shared" si="66"/>
        <v/>
      </c>
      <c r="FI223" s="16">
        <v>220</v>
      </c>
      <c r="FJ223" s="17">
        <f t="shared" si="67"/>
        <v>167</v>
      </c>
      <c r="FK223" s="17">
        <f t="shared" si="59"/>
        <v>200</v>
      </c>
      <c r="FL223" s="18" t="str">
        <f t="shared" si="68"/>
        <v>11001000</v>
      </c>
    </row>
    <row r="224" spans="4:168">
      <c r="D224" t="str">
        <f t="shared" si="55"/>
        <v>34-Q</v>
      </c>
      <c r="E224" s="16"/>
      <c r="F224" s="16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7"/>
      <c r="BG224" s="17"/>
      <c r="BH224" s="17"/>
      <c r="BI224" s="17"/>
      <c r="BJ224" s="17"/>
      <c r="BK224" s="17"/>
      <c r="BL224" s="17"/>
      <c r="BM224" s="17"/>
      <c r="BN224" s="17"/>
      <c r="BO224" s="17"/>
      <c r="BP224" s="17"/>
      <c r="BQ224" s="17"/>
      <c r="BR224" s="17"/>
      <c r="BS224" s="17"/>
      <c r="BT224" s="17"/>
      <c r="BU224" s="17"/>
      <c r="BV224" s="17"/>
      <c r="BW224" s="17"/>
      <c r="BX224" s="17"/>
      <c r="BY224" s="17"/>
      <c r="BZ224" s="17"/>
      <c r="CA224" s="17"/>
      <c r="CB224" s="17"/>
      <c r="CC224" s="17"/>
      <c r="CD224" s="17"/>
      <c r="CE224" s="17"/>
      <c r="CF224" s="17"/>
      <c r="CG224" s="17"/>
      <c r="CH224" s="18"/>
      <c r="FC224">
        <v>221</v>
      </c>
      <c r="FD224">
        <f t="shared" si="64"/>
        <v>13</v>
      </c>
      <c r="FE224">
        <f t="shared" si="65"/>
        <v>14</v>
      </c>
      <c r="FF224" t="str">
        <f t="shared" si="66"/>
        <v/>
      </c>
      <c r="FI224" s="16">
        <v>221</v>
      </c>
      <c r="FJ224" s="17">
        <f t="shared" si="67"/>
        <v>209</v>
      </c>
      <c r="FK224" s="17">
        <f t="shared" si="59"/>
        <v>156</v>
      </c>
      <c r="FL224" s="18" t="str">
        <f t="shared" si="68"/>
        <v>10011100</v>
      </c>
    </row>
    <row r="225" spans="4:168">
      <c r="D225" t="str">
        <f t="shared" si="56"/>
        <v>34-H</v>
      </c>
      <c r="E225" s="16"/>
      <c r="F225" s="16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  <c r="AX225" s="17"/>
      <c r="AY225" s="17"/>
      <c r="AZ225" s="17"/>
      <c r="BA225" s="17"/>
      <c r="BB225" s="17"/>
      <c r="BC225" s="17"/>
      <c r="BD225" s="17"/>
      <c r="BE225" s="17"/>
      <c r="BF225" s="17"/>
      <c r="BG225" s="17"/>
      <c r="BH225" s="17"/>
      <c r="BI225" s="17"/>
      <c r="BJ225" s="17"/>
      <c r="BK225" s="17"/>
      <c r="BL225" s="17"/>
      <c r="BM225" s="17"/>
      <c r="BN225" s="17"/>
      <c r="BO225" s="17"/>
      <c r="BP225" s="17"/>
      <c r="BQ225" s="17"/>
      <c r="BR225" s="17"/>
      <c r="BS225" s="17"/>
      <c r="BT225" s="17"/>
      <c r="BU225" s="17"/>
      <c r="BV225" s="17"/>
      <c r="BW225" s="17"/>
      <c r="BX225" s="17"/>
      <c r="BY225" s="17"/>
      <c r="BZ225" s="17"/>
      <c r="CA225" s="17"/>
      <c r="CB225" s="17"/>
      <c r="CC225" s="17"/>
      <c r="CD225" s="17"/>
      <c r="CE225" s="17"/>
      <c r="CF225" s="17"/>
      <c r="CG225" s="17"/>
      <c r="CH225" s="18"/>
      <c r="FC225">
        <v>222</v>
      </c>
      <c r="FD225">
        <f t="shared" si="64"/>
        <v>14</v>
      </c>
      <c r="FE225">
        <f t="shared" si="65"/>
        <v>14</v>
      </c>
      <c r="FF225" t="str">
        <f t="shared" si="66"/>
        <v/>
      </c>
      <c r="FI225" s="16">
        <v>222</v>
      </c>
      <c r="FJ225" s="17">
        <f t="shared" si="67"/>
        <v>63</v>
      </c>
      <c r="FK225" s="17">
        <f t="shared" si="59"/>
        <v>210</v>
      </c>
      <c r="FL225" s="18" t="str">
        <f t="shared" si="68"/>
        <v>11010010</v>
      </c>
    </row>
    <row r="226" spans="4:168">
      <c r="D226" t="str">
        <f t="shared" si="53"/>
        <v>35-L</v>
      </c>
      <c r="E226" s="16">
        <f>151-121</f>
        <v>30</v>
      </c>
      <c r="F226" s="16">
        <v>121</v>
      </c>
      <c r="G226" s="2">
        <v>121</v>
      </c>
      <c r="H226" s="2">
        <v>121</v>
      </c>
      <c r="I226" s="2">
        <v>121</v>
      </c>
      <c r="J226" s="2">
        <v>121</v>
      </c>
      <c r="K226" s="2">
        <v>121</v>
      </c>
      <c r="L226" s="2">
        <v>121</v>
      </c>
      <c r="M226" s="2">
        <v>121</v>
      </c>
      <c r="N226" s="2">
        <v>121</v>
      </c>
      <c r="O226" s="2">
        <v>121</v>
      </c>
      <c r="P226" s="2">
        <v>121</v>
      </c>
      <c r="Q226" s="2">
        <v>121</v>
      </c>
      <c r="R226" s="2">
        <v>122</v>
      </c>
      <c r="S226" s="2">
        <v>122</v>
      </c>
      <c r="T226" s="2">
        <v>122</v>
      </c>
      <c r="U226" s="2">
        <v>122</v>
      </c>
      <c r="V226" s="2">
        <v>122</v>
      </c>
      <c r="W226" s="2">
        <v>122</v>
      </c>
      <c r="X226" s="2">
        <v>122</v>
      </c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17"/>
      <c r="BB226" s="17"/>
      <c r="BC226" s="17"/>
      <c r="BD226" s="17"/>
      <c r="BE226" s="17"/>
      <c r="BF226" s="17"/>
      <c r="BG226" s="17"/>
      <c r="BH226" s="17"/>
      <c r="BI226" s="17"/>
      <c r="BJ226" s="17"/>
      <c r="BK226" s="17"/>
      <c r="BL226" s="17"/>
      <c r="BM226" s="17"/>
      <c r="BN226" s="17"/>
      <c r="BO226" s="17"/>
      <c r="BP226" s="17"/>
      <c r="BQ226" s="17"/>
      <c r="BR226" s="17"/>
      <c r="BS226" s="17"/>
      <c r="BT226" s="17"/>
      <c r="BU226" s="17"/>
      <c r="BV226" s="17"/>
      <c r="BW226" s="17"/>
      <c r="BX226" s="17"/>
      <c r="BY226" s="17"/>
      <c r="BZ226" s="17"/>
      <c r="CA226" s="17"/>
      <c r="CB226" s="17"/>
      <c r="CC226" s="17"/>
      <c r="CD226" s="17"/>
      <c r="CE226" s="17"/>
      <c r="CF226" s="17"/>
      <c r="CG226" s="17"/>
      <c r="CH226" s="18"/>
      <c r="CI226">
        <v>12</v>
      </c>
      <c r="CJ226">
        <v>7</v>
      </c>
      <c r="CK226">
        <f t="shared" ref="CK226:CK233" si="69">IF(CI226=0,0,F226)</f>
        <v>121</v>
      </c>
      <c r="CL226">
        <f t="shared" ref="CL226:CL233" si="70">IF(CI226=0,F226,F226+1)</f>
        <v>122</v>
      </c>
      <c r="FC226">
        <v>223</v>
      </c>
      <c r="FD226">
        <f t="shared" si="64"/>
        <v>15</v>
      </c>
      <c r="FE226">
        <f t="shared" si="65"/>
        <v>14</v>
      </c>
      <c r="FF226" t="str">
        <f t="shared" si="66"/>
        <v/>
      </c>
      <c r="FI226" s="16">
        <v>223</v>
      </c>
      <c r="FJ226" s="17">
        <f t="shared" si="67"/>
        <v>158</v>
      </c>
      <c r="FK226" s="17">
        <f t="shared" si="59"/>
        <v>211</v>
      </c>
      <c r="FL226" s="18" t="str">
        <f t="shared" si="68"/>
        <v>11010011</v>
      </c>
    </row>
    <row r="227" spans="4:168">
      <c r="D227" t="str">
        <f t="shared" si="54"/>
        <v>35-M</v>
      </c>
      <c r="E227" s="16">
        <f>75-47</f>
        <v>28</v>
      </c>
      <c r="F227" s="16">
        <v>47</v>
      </c>
      <c r="G227" s="2">
        <v>47</v>
      </c>
      <c r="H227" s="2">
        <v>47</v>
      </c>
      <c r="I227" s="2">
        <v>47</v>
      </c>
      <c r="J227" s="2">
        <v>47</v>
      </c>
      <c r="K227" s="2">
        <v>47</v>
      </c>
      <c r="L227" s="2">
        <v>47</v>
      </c>
      <c r="M227" s="2">
        <v>47</v>
      </c>
      <c r="N227" s="2">
        <v>47</v>
      </c>
      <c r="O227" s="2">
        <v>47</v>
      </c>
      <c r="P227" s="2">
        <v>47</v>
      </c>
      <c r="Q227" s="2">
        <v>47</v>
      </c>
      <c r="R227" s="2">
        <v>48</v>
      </c>
      <c r="S227" s="2">
        <v>48</v>
      </c>
      <c r="T227" s="2">
        <v>48</v>
      </c>
      <c r="U227" s="2">
        <v>48</v>
      </c>
      <c r="V227" s="2">
        <v>48</v>
      </c>
      <c r="W227" s="2">
        <v>48</v>
      </c>
      <c r="X227" s="2">
        <v>48</v>
      </c>
      <c r="Y227" s="2">
        <v>48</v>
      </c>
      <c r="Z227" s="2">
        <v>48</v>
      </c>
      <c r="AA227" s="2">
        <v>48</v>
      </c>
      <c r="AB227" s="2">
        <v>48</v>
      </c>
      <c r="AC227" s="2">
        <v>48</v>
      </c>
      <c r="AD227" s="2">
        <v>48</v>
      </c>
      <c r="AE227" s="2">
        <v>48</v>
      </c>
      <c r="AF227" s="2">
        <v>48</v>
      </c>
      <c r="AG227" s="2">
        <v>48</v>
      </c>
      <c r="AH227" s="2">
        <v>48</v>
      </c>
      <c r="AI227" s="2">
        <v>48</v>
      </c>
      <c r="AJ227" s="2">
        <v>48</v>
      </c>
      <c r="AK227" s="2">
        <v>48</v>
      </c>
      <c r="AL227" s="2">
        <v>48</v>
      </c>
      <c r="AM227" s="2">
        <v>48</v>
      </c>
      <c r="AN227" s="2">
        <v>48</v>
      </c>
      <c r="AO227" s="2">
        <v>48</v>
      </c>
      <c r="AP227" s="2">
        <v>48</v>
      </c>
      <c r="AQ227" s="2">
        <v>48</v>
      </c>
      <c r="AR227" s="17"/>
      <c r="AS227" s="17"/>
      <c r="AT227" s="17"/>
      <c r="AU227" s="17"/>
      <c r="AV227" s="17"/>
      <c r="AW227" s="17"/>
      <c r="AX227" s="17"/>
      <c r="AY227" s="17"/>
      <c r="AZ227" s="17"/>
      <c r="BA227" s="17"/>
      <c r="BB227" s="17"/>
      <c r="BC227" s="17"/>
      <c r="BD227" s="17"/>
      <c r="BE227" s="17"/>
      <c r="BF227" s="17"/>
      <c r="BG227" s="17"/>
      <c r="BH227" s="17"/>
      <c r="BI227" s="17"/>
      <c r="BJ227" s="17"/>
      <c r="BK227" s="17"/>
      <c r="BL227" s="17"/>
      <c r="BM227" s="17"/>
      <c r="BN227" s="17"/>
      <c r="BO227" s="17"/>
      <c r="BP227" s="17"/>
      <c r="BQ227" s="17"/>
      <c r="BR227" s="17"/>
      <c r="BS227" s="17"/>
      <c r="BT227" s="17"/>
      <c r="BU227" s="17"/>
      <c r="BV227" s="17"/>
      <c r="BW227" s="17"/>
      <c r="BX227" s="17"/>
      <c r="BY227" s="17"/>
      <c r="BZ227" s="17"/>
      <c r="CA227" s="17"/>
      <c r="CB227" s="17"/>
      <c r="CC227" s="17"/>
      <c r="CD227" s="17"/>
      <c r="CE227" s="17"/>
      <c r="CF227" s="17"/>
      <c r="CG227" s="17"/>
      <c r="CH227" s="18"/>
      <c r="CI227">
        <v>12</v>
      </c>
      <c r="CJ227">
        <v>26</v>
      </c>
      <c r="CK227">
        <f t="shared" si="69"/>
        <v>47</v>
      </c>
      <c r="CL227">
        <f t="shared" si="70"/>
        <v>48</v>
      </c>
      <c r="FC227">
        <v>224</v>
      </c>
      <c r="FD227">
        <f t="shared" si="64"/>
        <v>16</v>
      </c>
      <c r="FE227">
        <f t="shared" si="65"/>
        <v>14</v>
      </c>
      <c r="FF227" t="str">
        <f t="shared" si="66"/>
        <v/>
      </c>
      <c r="FI227" s="16">
        <v>224</v>
      </c>
      <c r="FJ227" s="17">
        <f t="shared" si="67"/>
        <v>0</v>
      </c>
      <c r="FK227" s="17">
        <f t="shared" si="59"/>
        <v>43</v>
      </c>
      <c r="FL227" s="18" t="str">
        <f t="shared" si="68"/>
        <v>00101011</v>
      </c>
    </row>
    <row r="228" spans="4:168">
      <c r="D228" t="str">
        <f t="shared" si="55"/>
        <v>35-Q</v>
      </c>
      <c r="E228" s="16">
        <f>54-24</f>
        <v>30</v>
      </c>
      <c r="F228" s="16">
        <v>24</v>
      </c>
      <c r="G228" s="2">
        <v>24</v>
      </c>
      <c r="H228" s="2">
        <v>24</v>
      </c>
      <c r="I228" s="2">
        <v>24</v>
      </c>
      <c r="J228" s="2">
        <v>24</v>
      </c>
      <c r="K228" s="2">
        <v>24</v>
      </c>
      <c r="L228" s="2">
        <v>24</v>
      </c>
      <c r="M228" s="2">
        <v>24</v>
      </c>
      <c r="N228" s="2">
        <v>24</v>
      </c>
      <c r="O228" s="2">
        <v>24</v>
      </c>
      <c r="P228" s="2">
        <v>24</v>
      </c>
      <c r="Q228" s="2">
        <v>24</v>
      </c>
      <c r="R228" s="2">
        <v>24</v>
      </c>
      <c r="S228" s="2">
        <v>24</v>
      </c>
      <c r="T228" s="2">
        <v>24</v>
      </c>
      <c r="U228" s="2">
        <v>24</v>
      </c>
      <c r="V228" s="2">
        <v>24</v>
      </c>
      <c r="W228" s="2">
        <v>24</v>
      </c>
      <c r="X228" s="2">
        <v>24</v>
      </c>
      <c r="Y228" s="2">
        <v>24</v>
      </c>
      <c r="Z228" s="2">
        <v>24</v>
      </c>
      <c r="AA228" s="2">
        <v>24</v>
      </c>
      <c r="AB228" s="2">
        <v>24</v>
      </c>
      <c r="AC228" s="2">
        <v>24</v>
      </c>
      <c r="AD228" s="2">
        <v>24</v>
      </c>
      <c r="AE228" s="2">
        <v>24</v>
      </c>
      <c r="AF228" s="2">
        <v>24</v>
      </c>
      <c r="AG228" s="2">
        <v>24</v>
      </c>
      <c r="AH228" s="2">
        <v>24</v>
      </c>
      <c r="AI228" s="2">
        <v>24</v>
      </c>
      <c r="AJ228" s="2">
        <v>24</v>
      </c>
      <c r="AK228" s="2">
        <v>24</v>
      </c>
      <c r="AL228" s="2">
        <v>24</v>
      </c>
      <c r="AM228" s="2">
        <v>24</v>
      </c>
      <c r="AN228" s="2">
        <v>24</v>
      </c>
      <c r="AO228" s="2">
        <v>24</v>
      </c>
      <c r="AP228" s="2">
        <v>24</v>
      </c>
      <c r="AQ228" s="2">
        <v>24</v>
      </c>
      <c r="AR228" s="2">
        <v>24</v>
      </c>
      <c r="AS228" s="2">
        <v>25</v>
      </c>
      <c r="AT228" s="2">
        <v>25</v>
      </c>
      <c r="AU228" s="2">
        <v>25</v>
      </c>
      <c r="AV228" s="2">
        <v>25</v>
      </c>
      <c r="AW228" s="2">
        <v>25</v>
      </c>
      <c r="AX228" s="2">
        <v>25</v>
      </c>
      <c r="AY228" s="2">
        <v>25</v>
      </c>
      <c r="AZ228" s="2">
        <v>25</v>
      </c>
      <c r="BA228" s="2">
        <v>25</v>
      </c>
      <c r="BB228" s="2">
        <v>25</v>
      </c>
      <c r="BC228" s="2">
        <v>25</v>
      </c>
      <c r="BD228" s="2">
        <v>25</v>
      </c>
      <c r="BE228" s="2">
        <v>25</v>
      </c>
      <c r="BF228" s="2">
        <v>25</v>
      </c>
      <c r="BG228" s="2"/>
      <c r="BH228" s="2"/>
      <c r="BI228" s="17"/>
      <c r="BJ228" s="17"/>
      <c r="BK228" s="17"/>
      <c r="BL228" s="17"/>
      <c r="BM228" s="17"/>
      <c r="BN228" s="17"/>
      <c r="BO228" s="17"/>
      <c r="BP228" s="17"/>
      <c r="BQ228" s="17"/>
      <c r="BR228" s="17"/>
      <c r="BS228" s="17"/>
      <c r="BT228" s="17"/>
      <c r="BU228" s="17"/>
      <c r="BV228" s="17"/>
      <c r="BW228" s="17"/>
      <c r="BX228" s="17"/>
      <c r="BY228" s="17"/>
      <c r="BZ228" s="17"/>
      <c r="CA228" s="17"/>
      <c r="CB228" s="17"/>
      <c r="CC228" s="17"/>
      <c r="CD228" s="17"/>
      <c r="CE228" s="17"/>
      <c r="CF228" s="17"/>
      <c r="CG228" s="17"/>
      <c r="CH228" s="18"/>
      <c r="CI228">
        <v>39</v>
      </c>
      <c r="CJ228">
        <v>14</v>
      </c>
      <c r="CK228">
        <f t="shared" si="69"/>
        <v>24</v>
      </c>
      <c r="CL228">
        <f t="shared" si="70"/>
        <v>25</v>
      </c>
      <c r="FC228">
        <v>225</v>
      </c>
      <c r="FD228">
        <f t="shared" si="64"/>
        <v>1</v>
      </c>
      <c r="FE228">
        <f t="shared" si="65"/>
        <v>15</v>
      </c>
      <c r="FF228" t="str">
        <f t="shared" si="66"/>
        <v/>
      </c>
      <c r="FI228" s="16">
        <v>225</v>
      </c>
      <c r="FJ228" s="17">
        <f t="shared" si="67"/>
        <v>43</v>
      </c>
      <c r="FK228" s="17">
        <f t="shared" si="59"/>
        <v>121</v>
      </c>
      <c r="FL228" s="18" t="str">
        <f t="shared" si="68"/>
        <v>01111001</v>
      </c>
    </row>
    <row r="229" spans="4:168">
      <c r="D229" t="str">
        <f t="shared" si="56"/>
        <v>35-H</v>
      </c>
      <c r="E229" s="16">
        <f>30</f>
        <v>30</v>
      </c>
      <c r="F229" s="16">
        <v>15</v>
      </c>
      <c r="G229" s="2">
        <v>15</v>
      </c>
      <c r="H229" s="2">
        <v>15</v>
      </c>
      <c r="I229" s="2">
        <v>15</v>
      </c>
      <c r="J229" s="2">
        <v>15</v>
      </c>
      <c r="K229" s="2">
        <v>15</v>
      </c>
      <c r="L229" s="2">
        <v>15</v>
      </c>
      <c r="M229" s="2">
        <v>15</v>
      </c>
      <c r="N229" s="2">
        <v>15</v>
      </c>
      <c r="O229" s="2">
        <v>15</v>
      </c>
      <c r="P229" s="2">
        <v>15</v>
      </c>
      <c r="Q229" s="2">
        <v>15</v>
      </c>
      <c r="R229" s="2">
        <v>15</v>
      </c>
      <c r="S229" s="2">
        <v>15</v>
      </c>
      <c r="T229" s="2">
        <v>15</v>
      </c>
      <c r="U229" s="2">
        <v>15</v>
      </c>
      <c r="V229" s="2">
        <v>15</v>
      </c>
      <c r="W229" s="2">
        <v>15</v>
      </c>
      <c r="X229" s="2">
        <v>15</v>
      </c>
      <c r="Y229" s="2">
        <v>15</v>
      </c>
      <c r="Z229" s="2">
        <v>15</v>
      </c>
      <c r="AA229" s="2">
        <v>15</v>
      </c>
      <c r="AB229" s="2">
        <v>16</v>
      </c>
      <c r="AC229" s="2">
        <v>16</v>
      </c>
      <c r="AD229" s="2">
        <v>16</v>
      </c>
      <c r="AE229" s="2">
        <v>16</v>
      </c>
      <c r="AF229" s="2">
        <v>16</v>
      </c>
      <c r="AG229" s="2">
        <v>16</v>
      </c>
      <c r="AH229" s="2">
        <v>16</v>
      </c>
      <c r="AI229" s="2">
        <v>16</v>
      </c>
      <c r="AJ229" s="2">
        <v>16</v>
      </c>
      <c r="AK229" s="2">
        <v>16</v>
      </c>
      <c r="AL229" s="2">
        <v>16</v>
      </c>
      <c r="AM229" s="2">
        <v>16</v>
      </c>
      <c r="AN229" s="2">
        <v>16</v>
      </c>
      <c r="AO229" s="2">
        <v>16</v>
      </c>
      <c r="AP229" s="2">
        <v>16</v>
      </c>
      <c r="AQ229" s="2">
        <v>16</v>
      </c>
      <c r="AR229" s="2">
        <v>16</v>
      </c>
      <c r="AS229" s="2">
        <v>16</v>
      </c>
      <c r="AT229" s="2">
        <v>16</v>
      </c>
      <c r="AU229" s="2">
        <v>16</v>
      </c>
      <c r="AV229" s="2">
        <v>16</v>
      </c>
      <c r="AW229" s="2">
        <v>16</v>
      </c>
      <c r="AX229" s="2">
        <v>16</v>
      </c>
      <c r="AY229" s="2">
        <v>16</v>
      </c>
      <c r="AZ229" s="2">
        <v>16</v>
      </c>
      <c r="BA229" s="2">
        <v>16</v>
      </c>
      <c r="BB229" s="2">
        <v>16</v>
      </c>
      <c r="BC229" s="2">
        <v>16</v>
      </c>
      <c r="BD229" s="2">
        <v>16</v>
      </c>
      <c r="BE229" s="2">
        <v>16</v>
      </c>
      <c r="BF229" s="2">
        <v>16</v>
      </c>
      <c r="BG229" s="2">
        <v>16</v>
      </c>
      <c r="BH229" s="2">
        <v>16</v>
      </c>
      <c r="BI229" s="2">
        <v>16</v>
      </c>
      <c r="BJ229" s="2">
        <v>16</v>
      </c>
      <c r="BK229" s="2">
        <v>16</v>
      </c>
      <c r="BL229" s="2">
        <v>16</v>
      </c>
      <c r="BM229" s="2">
        <v>16</v>
      </c>
      <c r="BN229" s="2">
        <v>16</v>
      </c>
      <c r="BO229" s="2">
        <v>16</v>
      </c>
      <c r="BP229" s="2">
        <v>16</v>
      </c>
      <c r="BQ229" s="2"/>
      <c r="BR229" s="2"/>
      <c r="BS229" s="2"/>
      <c r="BT229" s="17"/>
      <c r="BU229" s="17"/>
      <c r="BV229" s="17"/>
      <c r="BW229" s="17"/>
      <c r="BX229" s="17"/>
      <c r="BY229" s="17"/>
      <c r="BZ229" s="17"/>
      <c r="CA229" s="17"/>
      <c r="CB229" s="17"/>
      <c r="CC229" s="17"/>
      <c r="CD229" s="17"/>
      <c r="CE229" s="17"/>
      <c r="CF229" s="17"/>
      <c r="CG229" s="17"/>
      <c r="CH229" s="18"/>
      <c r="CI229">
        <v>22</v>
      </c>
      <c r="CJ229">
        <v>41</v>
      </c>
      <c r="CK229">
        <f t="shared" si="69"/>
        <v>15</v>
      </c>
      <c r="CL229">
        <f t="shared" si="70"/>
        <v>16</v>
      </c>
      <c r="FC229">
        <v>226</v>
      </c>
      <c r="FD229">
        <f t="shared" si="64"/>
        <v>2</v>
      </c>
      <c r="FE229">
        <f t="shared" si="65"/>
        <v>15</v>
      </c>
      <c r="FF229" t="str">
        <f t="shared" si="66"/>
        <v/>
      </c>
      <c r="FI229" s="16">
        <v>226</v>
      </c>
      <c r="FJ229" s="17">
        <f t="shared" si="67"/>
        <v>70</v>
      </c>
      <c r="FK229" s="17">
        <f t="shared" si="59"/>
        <v>13</v>
      </c>
      <c r="FL229" s="18" t="str">
        <f t="shared" si="68"/>
        <v>00001101</v>
      </c>
    </row>
    <row r="230" spans="4:168">
      <c r="D230" t="str">
        <f t="shared" si="53"/>
        <v>36-L</v>
      </c>
      <c r="E230" s="16"/>
      <c r="F230" s="16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  <c r="AX230" s="17"/>
      <c r="AY230" s="17"/>
      <c r="AZ230" s="17"/>
      <c r="BA230" s="17"/>
      <c r="BB230" s="17"/>
      <c r="BC230" s="17"/>
      <c r="BD230" s="17"/>
      <c r="BE230" s="17"/>
      <c r="BF230" s="17"/>
      <c r="BG230" s="17"/>
      <c r="BH230" s="17"/>
      <c r="BI230" s="17"/>
      <c r="BJ230" s="17"/>
      <c r="BK230" s="17"/>
      <c r="BL230" s="17"/>
      <c r="BM230" s="17"/>
      <c r="BN230" s="17"/>
      <c r="BO230" s="17"/>
      <c r="BP230" s="17"/>
      <c r="BQ230" s="17"/>
      <c r="BR230" s="17"/>
      <c r="BS230" s="17"/>
      <c r="BT230" s="17"/>
      <c r="BU230" s="17"/>
      <c r="BV230" s="17"/>
      <c r="BW230" s="17"/>
      <c r="BX230" s="17"/>
      <c r="BY230" s="17"/>
      <c r="BZ230" s="17"/>
      <c r="CA230" s="17"/>
      <c r="CB230" s="17"/>
      <c r="CC230" s="17"/>
      <c r="CD230" s="17"/>
      <c r="CE230" s="17"/>
      <c r="CF230" s="17"/>
      <c r="CG230" s="17"/>
      <c r="CH230" s="18"/>
      <c r="CJ230">
        <v>6</v>
      </c>
      <c r="CK230">
        <f t="shared" si="69"/>
        <v>0</v>
      </c>
      <c r="CL230">
        <f t="shared" si="70"/>
        <v>0</v>
      </c>
      <c r="FC230">
        <v>227</v>
      </c>
      <c r="FD230">
        <f t="shared" si="64"/>
        <v>3</v>
      </c>
      <c r="FE230">
        <f t="shared" si="65"/>
        <v>15</v>
      </c>
      <c r="FF230" t="str">
        <f t="shared" si="66"/>
        <v/>
      </c>
      <c r="FI230" s="16">
        <v>227</v>
      </c>
      <c r="FJ230" s="17">
        <f t="shared" si="67"/>
        <v>155</v>
      </c>
      <c r="FK230" s="17">
        <f t="shared" si="59"/>
        <v>235</v>
      </c>
      <c r="FL230" s="18" t="str">
        <f t="shared" si="68"/>
        <v>11101011</v>
      </c>
    </row>
    <row r="231" spans="4:168">
      <c r="D231" t="str">
        <f t="shared" si="54"/>
        <v>36-M</v>
      </c>
      <c r="E231" s="16"/>
      <c r="F231" s="16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17"/>
      <c r="BD231" s="17"/>
      <c r="BE231" s="17"/>
      <c r="BF231" s="17"/>
      <c r="BG231" s="17"/>
      <c r="BH231" s="17"/>
      <c r="BI231" s="17"/>
      <c r="BJ231" s="17"/>
      <c r="BK231" s="17"/>
      <c r="BL231" s="17"/>
      <c r="BM231" s="17"/>
      <c r="BN231" s="17"/>
      <c r="BO231" s="17"/>
      <c r="BP231" s="17"/>
      <c r="BQ231" s="17"/>
      <c r="BR231" s="17"/>
      <c r="BS231" s="17"/>
      <c r="BT231" s="17"/>
      <c r="BU231" s="17"/>
      <c r="BV231" s="17"/>
      <c r="BW231" s="17"/>
      <c r="BX231" s="17"/>
      <c r="BY231" s="17"/>
      <c r="BZ231" s="17"/>
      <c r="CA231" s="17"/>
      <c r="CB231" s="17"/>
      <c r="CC231" s="17"/>
      <c r="CD231" s="17"/>
      <c r="CE231" s="17"/>
      <c r="CF231" s="17"/>
      <c r="CG231" s="17"/>
      <c r="CH231" s="18"/>
      <c r="CJ231">
        <v>31</v>
      </c>
      <c r="CK231">
        <f t="shared" si="69"/>
        <v>0</v>
      </c>
      <c r="CL231">
        <f t="shared" si="70"/>
        <v>0</v>
      </c>
      <c r="FC231">
        <v>228</v>
      </c>
      <c r="FD231">
        <f t="shared" si="64"/>
        <v>4</v>
      </c>
      <c r="FE231">
        <f t="shared" si="65"/>
        <v>15</v>
      </c>
      <c r="FF231" t="str">
        <f t="shared" si="66"/>
        <v/>
      </c>
      <c r="FI231" s="16">
        <v>228</v>
      </c>
      <c r="FJ231" s="17">
        <f t="shared" si="67"/>
        <v>159</v>
      </c>
      <c r="FK231" s="17">
        <f t="shared" si="59"/>
        <v>0</v>
      </c>
      <c r="FL231" s="18" t="str">
        <f t="shared" si="68"/>
        <v>00000000</v>
      </c>
    </row>
    <row r="232" spans="4:168">
      <c r="D232" t="str">
        <f t="shared" si="55"/>
        <v>36-Q</v>
      </c>
      <c r="E232" s="16"/>
      <c r="F232" s="16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17"/>
      <c r="BW232" s="17"/>
      <c r="BX232" s="17"/>
      <c r="BY232" s="17"/>
      <c r="BZ232" s="17"/>
      <c r="CA232" s="17"/>
      <c r="CB232" s="17"/>
      <c r="CC232" s="17"/>
      <c r="CD232" s="17"/>
      <c r="CE232" s="17"/>
      <c r="CF232" s="17"/>
      <c r="CG232" s="17"/>
      <c r="CH232" s="18"/>
      <c r="CJ232">
        <v>34</v>
      </c>
      <c r="CK232">
        <f t="shared" si="69"/>
        <v>0</v>
      </c>
      <c r="CL232">
        <f t="shared" si="70"/>
        <v>0</v>
      </c>
      <c r="FC232">
        <v>229</v>
      </c>
      <c r="FD232">
        <f t="shared" si="64"/>
        <v>5</v>
      </c>
      <c r="FE232">
        <f t="shared" si="65"/>
        <v>15</v>
      </c>
      <c r="FF232" t="str">
        <f t="shared" si="66"/>
        <v/>
      </c>
      <c r="FI232" s="16">
        <v>229</v>
      </c>
      <c r="FJ232" s="17">
        <f t="shared" si="67"/>
        <v>96</v>
      </c>
      <c r="FK232" s="17">
        <f t="shared" si="59"/>
        <v>159</v>
      </c>
      <c r="FL232" s="18" t="str">
        <f t="shared" si="68"/>
        <v>10011111</v>
      </c>
    </row>
    <row r="233" spans="4:168">
      <c r="D233" t="str">
        <f t="shared" si="56"/>
        <v>36-H</v>
      </c>
      <c r="E233" s="16"/>
      <c r="F233" s="16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  <c r="AX233" s="17"/>
      <c r="AY233" s="17"/>
      <c r="AZ233" s="17"/>
      <c r="BA233" s="17"/>
      <c r="BB233" s="17"/>
      <c r="BC233" s="17"/>
      <c r="BD233" s="17"/>
      <c r="BE233" s="17"/>
      <c r="BF233" s="17"/>
      <c r="BG233" s="17"/>
      <c r="BH233" s="17"/>
      <c r="BI233" s="17"/>
      <c r="BJ233" s="17"/>
      <c r="BK233" s="17"/>
      <c r="BL233" s="17"/>
      <c r="BM233" s="17"/>
      <c r="BN233" s="17"/>
      <c r="BO233" s="17"/>
      <c r="BP233" s="17"/>
      <c r="BQ233" s="17"/>
      <c r="BR233" s="17"/>
      <c r="BS233" s="17"/>
      <c r="BT233" s="17"/>
      <c r="BU233" s="17"/>
      <c r="BV233" s="17"/>
      <c r="BW233" s="17"/>
      <c r="BX233" s="17"/>
      <c r="BY233" s="17"/>
      <c r="BZ233" s="17"/>
      <c r="CA233" s="17"/>
      <c r="CB233" s="17"/>
      <c r="CC233" s="17"/>
      <c r="CD233" s="17"/>
      <c r="CE233" s="17"/>
      <c r="CF233" s="17"/>
      <c r="CG233" s="17"/>
      <c r="CH233" s="18"/>
      <c r="CI233" s="2"/>
      <c r="CJ233" s="2">
        <v>61</v>
      </c>
      <c r="CK233">
        <f t="shared" si="69"/>
        <v>0</v>
      </c>
      <c r="CL233">
        <f t="shared" si="70"/>
        <v>0</v>
      </c>
      <c r="FC233">
        <v>230</v>
      </c>
      <c r="FD233">
        <f t="shared" si="64"/>
        <v>6</v>
      </c>
      <c r="FE233">
        <f t="shared" si="65"/>
        <v>15</v>
      </c>
      <c r="FF233" t="str">
        <f t="shared" si="66"/>
        <v/>
      </c>
      <c r="FI233" s="16">
        <v>230</v>
      </c>
      <c r="FJ233" s="17">
        <f t="shared" si="67"/>
        <v>116</v>
      </c>
      <c r="FK233" s="17">
        <f t="shared" si="59"/>
        <v>239</v>
      </c>
      <c r="FL233" s="18" t="str">
        <f t="shared" si="68"/>
        <v>11101111</v>
      </c>
    </row>
    <row r="234" spans="4:168">
      <c r="D234" t="str">
        <f t="shared" ref="D234:D246" si="71">INDEX($A$90:$A$129,ROUNDUP((ROW()-89)/4,0))&amp;"-L"</f>
        <v>37-L</v>
      </c>
      <c r="E234" s="16"/>
      <c r="F234" s="16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  <c r="AX234" s="17"/>
      <c r="AY234" s="17"/>
      <c r="AZ234" s="17"/>
      <c r="BA234" s="17"/>
      <c r="BB234" s="17"/>
      <c r="BC234" s="17"/>
      <c r="BD234" s="17"/>
      <c r="BE234" s="17"/>
      <c r="BF234" s="17"/>
      <c r="BG234" s="17"/>
      <c r="BH234" s="17"/>
      <c r="BI234" s="17"/>
      <c r="BJ234" s="17"/>
      <c r="BK234" s="17"/>
      <c r="BL234" s="17"/>
      <c r="BM234" s="17"/>
      <c r="BN234" s="17"/>
      <c r="BO234" s="17"/>
      <c r="BP234" s="17"/>
      <c r="BQ234" s="17"/>
      <c r="BR234" s="17"/>
      <c r="BS234" s="17"/>
      <c r="BT234" s="17"/>
      <c r="BU234" s="17"/>
      <c r="BV234" s="17"/>
      <c r="BW234" s="17"/>
      <c r="BX234" s="17"/>
      <c r="BY234" s="17"/>
      <c r="BZ234" s="17"/>
      <c r="CA234" s="17"/>
      <c r="CB234" s="17"/>
      <c r="CC234" s="17"/>
      <c r="CD234" s="17"/>
      <c r="CE234" s="17"/>
      <c r="CF234" s="17"/>
      <c r="CG234" s="17"/>
      <c r="CH234" s="18"/>
      <c r="FC234">
        <v>231</v>
      </c>
      <c r="FD234">
        <f t="shared" si="64"/>
        <v>7</v>
      </c>
      <c r="FE234">
        <f t="shared" si="65"/>
        <v>15</v>
      </c>
      <c r="FF234" t="str">
        <f t="shared" si="66"/>
        <v/>
      </c>
      <c r="FI234" s="16">
        <v>231</v>
      </c>
      <c r="FJ234" s="17">
        <f t="shared" si="67"/>
        <v>112</v>
      </c>
      <c r="FK234" s="17">
        <f t="shared" si="59"/>
        <v>35</v>
      </c>
      <c r="FL234" s="18" t="str">
        <f t="shared" si="68"/>
        <v>00100011</v>
      </c>
    </row>
    <row r="235" spans="4:168">
      <c r="D235" t="str">
        <f t="shared" ref="D235:D247" si="72">INDEX($A$90:$A$129,ROUNDUP((ROW()-89)/4,0))&amp;"-M"</f>
        <v>37-M</v>
      </c>
      <c r="E235" s="16"/>
      <c r="F235" s="16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  <c r="AX235" s="17"/>
      <c r="AY235" s="17"/>
      <c r="AZ235" s="17"/>
      <c r="BA235" s="17"/>
      <c r="BB235" s="17"/>
      <c r="BC235" s="17"/>
      <c r="BD235" s="17"/>
      <c r="BE235" s="17"/>
      <c r="BF235" s="17"/>
      <c r="BG235" s="17"/>
      <c r="BH235" s="17"/>
      <c r="BI235" s="17"/>
      <c r="BJ235" s="17"/>
      <c r="BK235" s="17"/>
      <c r="BL235" s="17"/>
      <c r="BM235" s="17"/>
      <c r="BN235" s="17"/>
      <c r="BO235" s="17"/>
      <c r="BP235" s="17"/>
      <c r="BQ235" s="17"/>
      <c r="BR235" s="17"/>
      <c r="BS235" s="17"/>
      <c r="BT235" s="17"/>
      <c r="BU235" s="17"/>
      <c r="BV235" s="17"/>
      <c r="BW235" s="17"/>
      <c r="BX235" s="17"/>
      <c r="BY235" s="17"/>
      <c r="BZ235" s="17"/>
      <c r="CA235" s="17"/>
      <c r="CB235" s="17"/>
      <c r="CC235" s="17"/>
      <c r="CD235" s="17"/>
      <c r="CE235" s="17"/>
      <c r="CF235" s="17"/>
      <c r="CG235" s="17"/>
      <c r="CH235" s="18"/>
      <c r="FC235">
        <v>232</v>
      </c>
      <c r="FD235">
        <f t="shared" si="64"/>
        <v>8</v>
      </c>
      <c r="FE235">
        <f t="shared" si="65"/>
        <v>15</v>
      </c>
      <c r="FF235" t="str">
        <f t="shared" si="66"/>
        <v/>
      </c>
      <c r="FI235" s="16">
        <v>232</v>
      </c>
      <c r="FJ235" s="17">
        <f t="shared" si="67"/>
        <v>49</v>
      </c>
      <c r="FK235" s="17">
        <f t="shared" si="59"/>
        <v>36</v>
      </c>
      <c r="FL235" s="18" t="str">
        <f t="shared" si="68"/>
        <v>00100100</v>
      </c>
    </row>
    <row r="236" spans="4:168">
      <c r="D236" t="str">
        <f t="shared" ref="D236:D248" si="73">INDEX($A$90:$A$129,ROUNDUP((ROW()-89)/4,0))&amp;"-Q"</f>
        <v>37-Q</v>
      </c>
      <c r="E236" s="16"/>
      <c r="F236" s="16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  <c r="AX236" s="17"/>
      <c r="AY236" s="17"/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P236" s="17"/>
      <c r="BQ236" s="17"/>
      <c r="BR236" s="17"/>
      <c r="BS236" s="17"/>
      <c r="BT236" s="17"/>
      <c r="BU236" s="17"/>
      <c r="BV236" s="17"/>
      <c r="BW236" s="17"/>
      <c r="BX236" s="17"/>
      <c r="BY236" s="17"/>
      <c r="BZ236" s="17"/>
      <c r="CA236" s="17"/>
      <c r="CB236" s="17"/>
      <c r="CC236" s="17"/>
      <c r="CD236" s="17"/>
      <c r="CE236" s="17"/>
      <c r="CF236" s="17"/>
      <c r="CG236" s="17"/>
      <c r="CH236" s="18"/>
      <c r="FC236">
        <v>233</v>
      </c>
      <c r="FD236">
        <f t="shared" si="64"/>
        <v>9</v>
      </c>
      <c r="FE236">
        <f t="shared" si="65"/>
        <v>15</v>
      </c>
      <c r="FF236" t="str">
        <f t="shared" si="66"/>
        <v/>
      </c>
      <c r="FI236" s="16">
        <v>233</v>
      </c>
      <c r="FJ236" s="17">
        <f t="shared" si="67"/>
        <v>216</v>
      </c>
      <c r="FK236" s="17">
        <f t="shared" si="59"/>
        <v>46</v>
      </c>
      <c r="FL236" s="18" t="str">
        <f t="shared" si="68"/>
        <v>00101110</v>
      </c>
    </row>
    <row r="237" spans="4:168">
      <c r="D237" t="str">
        <f t="shared" ref="D237:D249" si="74">INDEX($A$90:$A$129,ROUNDUP((ROW()-89)/4,0))&amp;"-H"</f>
        <v>37-H</v>
      </c>
      <c r="E237" s="16"/>
      <c r="F237" s="16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  <c r="AX237" s="17"/>
      <c r="AY237" s="17"/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P237" s="17"/>
      <c r="BQ237" s="17"/>
      <c r="BR237" s="17"/>
      <c r="BS237" s="17"/>
      <c r="BT237" s="17"/>
      <c r="BU237" s="17"/>
      <c r="BV237" s="17"/>
      <c r="BW237" s="17"/>
      <c r="BX237" s="17"/>
      <c r="BY237" s="17"/>
      <c r="BZ237" s="17"/>
      <c r="CA237" s="17"/>
      <c r="CB237" s="17"/>
      <c r="CC237" s="17"/>
      <c r="CD237" s="17"/>
      <c r="CE237" s="17"/>
      <c r="CF237" s="17"/>
      <c r="CG237" s="17"/>
      <c r="CH237" s="18"/>
      <c r="FC237">
        <v>234</v>
      </c>
      <c r="FD237">
        <f t="shared" si="64"/>
        <v>10</v>
      </c>
      <c r="FE237">
        <f t="shared" si="65"/>
        <v>15</v>
      </c>
      <c r="FF237" t="str">
        <f t="shared" si="66"/>
        <v/>
      </c>
      <c r="FI237" s="16">
        <v>234</v>
      </c>
      <c r="FJ237" s="17">
        <f t="shared" si="67"/>
        <v>175</v>
      </c>
      <c r="FK237" s="17">
        <f t="shared" si="59"/>
        <v>237</v>
      </c>
      <c r="FL237" s="18" t="str">
        <f t="shared" si="68"/>
        <v>11101101</v>
      </c>
    </row>
    <row r="238" spans="4:168">
      <c r="D238" t="str">
        <f t="shared" si="71"/>
        <v>38-L</v>
      </c>
      <c r="E238" s="16"/>
      <c r="F238" s="16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  <c r="AX238" s="17"/>
      <c r="AY238" s="17"/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P238" s="17"/>
      <c r="BQ238" s="17"/>
      <c r="BR238" s="17"/>
      <c r="BS238" s="17"/>
      <c r="BT238" s="17"/>
      <c r="BU238" s="17"/>
      <c r="BV238" s="17"/>
      <c r="BW238" s="17"/>
      <c r="BX238" s="17"/>
      <c r="BY238" s="17"/>
      <c r="BZ238" s="17"/>
      <c r="CA238" s="17"/>
      <c r="CB238" s="17"/>
      <c r="CC238" s="17"/>
      <c r="CD238" s="17"/>
      <c r="CE238" s="17"/>
      <c r="CF238" s="17"/>
      <c r="CG238" s="17"/>
      <c r="CH238" s="18"/>
      <c r="FC238">
        <v>235</v>
      </c>
      <c r="FD238">
        <f t="shared" si="64"/>
        <v>11</v>
      </c>
      <c r="FE238">
        <f t="shared" si="65"/>
        <v>15</v>
      </c>
      <c r="FF238" t="str">
        <f t="shared" si="66"/>
        <v/>
      </c>
      <c r="FI238" s="16">
        <v>235</v>
      </c>
      <c r="FJ238" s="17">
        <f t="shared" si="67"/>
        <v>218</v>
      </c>
      <c r="FK238" s="17">
        <f t="shared" si="59"/>
        <v>160</v>
      </c>
      <c r="FL238" s="18" t="str">
        <f t="shared" si="68"/>
        <v>10100000</v>
      </c>
    </row>
    <row r="239" spans="4:168">
      <c r="D239" t="str">
        <f t="shared" si="72"/>
        <v>38-M</v>
      </c>
      <c r="E239" s="16"/>
      <c r="F239" s="16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  <c r="AX239" s="17"/>
      <c r="AY239" s="17"/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P239" s="17"/>
      <c r="BQ239" s="17"/>
      <c r="BR239" s="17"/>
      <c r="BS239" s="17"/>
      <c r="BT239" s="17"/>
      <c r="BU239" s="17"/>
      <c r="BV239" s="17"/>
      <c r="BW239" s="17"/>
      <c r="BX239" s="17"/>
      <c r="BY239" s="17"/>
      <c r="BZ239" s="17"/>
      <c r="CA239" s="17"/>
      <c r="CB239" s="17"/>
      <c r="CC239" s="17"/>
      <c r="CD239" s="17"/>
      <c r="CE239" s="17"/>
      <c r="CF239" s="17"/>
      <c r="CG239" s="17"/>
      <c r="CH239" s="18"/>
      <c r="FC239">
        <v>236</v>
      </c>
      <c r="FD239">
        <f t="shared" si="64"/>
        <v>12</v>
      </c>
      <c r="FE239">
        <f t="shared" si="65"/>
        <v>15</v>
      </c>
      <c r="FF239" t="str">
        <f t="shared" si="66"/>
        <v/>
      </c>
      <c r="FI239" s="16">
        <v>236</v>
      </c>
      <c r="FJ239" s="17">
        <f t="shared" si="67"/>
        <v>247</v>
      </c>
      <c r="FK239" s="17">
        <f t="shared" si="59"/>
        <v>229</v>
      </c>
      <c r="FL239" s="18" t="str">
        <f t="shared" si="68"/>
        <v>11100101</v>
      </c>
    </row>
    <row r="240" spans="4:168">
      <c r="D240" t="str">
        <f t="shared" si="73"/>
        <v>38-Q</v>
      </c>
      <c r="E240" s="16"/>
      <c r="F240" s="16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  <c r="AX240" s="17"/>
      <c r="AY240" s="17"/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P240" s="17"/>
      <c r="BQ240" s="17"/>
      <c r="BR240" s="17"/>
      <c r="BS240" s="17"/>
      <c r="BT240" s="17"/>
      <c r="BU240" s="17"/>
      <c r="BV240" s="17"/>
      <c r="BW240" s="17"/>
      <c r="BX240" s="17"/>
      <c r="BY240" s="17"/>
      <c r="BZ240" s="17"/>
      <c r="CA240" s="17"/>
      <c r="CB240" s="17"/>
      <c r="CC240" s="17"/>
      <c r="CD240" s="17"/>
      <c r="CE240" s="17"/>
      <c r="CF240" s="17"/>
      <c r="CG240" s="17"/>
      <c r="CH240" s="18"/>
      <c r="FC240">
        <v>237</v>
      </c>
      <c r="FD240">
        <f t="shared" si="64"/>
        <v>13</v>
      </c>
      <c r="FE240">
        <f t="shared" si="65"/>
        <v>15</v>
      </c>
      <c r="FF240" t="str">
        <f t="shared" si="66"/>
        <v/>
      </c>
      <c r="FI240" s="16">
        <v>237</v>
      </c>
      <c r="FJ240" s="17">
        <f t="shared" si="67"/>
        <v>160</v>
      </c>
      <c r="FK240" s="17">
        <f t="shared" si="59"/>
        <v>178</v>
      </c>
      <c r="FL240" s="18" t="str">
        <f t="shared" si="68"/>
        <v>10110010</v>
      </c>
    </row>
    <row r="241" spans="4:168">
      <c r="D241" t="str">
        <f t="shared" si="74"/>
        <v>38-H</v>
      </c>
      <c r="E241" s="16"/>
      <c r="F241" s="16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  <c r="AX241" s="17"/>
      <c r="AY241" s="17"/>
      <c r="AZ241" s="17"/>
      <c r="BA241" s="17"/>
      <c r="BB241" s="17"/>
      <c r="BC241" s="17"/>
      <c r="BD241" s="17"/>
      <c r="BE241" s="17"/>
      <c r="BF241" s="17"/>
      <c r="BG241" s="17"/>
      <c r="BH241" s="17"/>
      <c r="BI241" s="17"/>
      <c r="BJ241" s="17"/>
      <c r="BK241" s="17"/>
      <c r="BL241" s="17"/>
      <c r="BM241" s="17"/>
      <c r="BN241" s="17"/>
      <c r="BO241" s="17"/>
      <c r="BP241" s="17"/>
      <c r="BQ241" s="17"/>
      <c r="BR241" s="17"/>
      <c r="BS241" s="17"/>
      <c r="BT241" s="17"/>
      <c r="BU241" s="17"/>
      <c r="BV241" s="17"/>
      <c r="BW241" s="17"/>
      <c r="BX241" s="17"/>
      <c r="BY241" s="17"/>
      <c r="BZ241" s="17"/>
      <c r="CA241" s="17"/>
      <c r="CB241" s="17"/>
      <c r="CC241" s="17"/>
      <c r="CD241" s="17"/>
      <c r="CE241" s="17"/>
      <c r="CF241" s="17"/>
      <c r="CG241" s="17"/>
      <c r="CH241" s="18"/>
      <c r="FC241">
        <v>238</v>
      </c>
      <c r="FD241">
        <f t="shared" si="64"/>
        <v>14</v>
      </c>
      <c r="FE241">
        <f t="shared" si="65"/>
        <v>15</v>
      </c>
      <c r="FF241" t="str">
        <f t="shared" si="66"/>
        <v/>
      </c>
      <c r="FI241" s="16">
        <v>238</v>
      </c>
      <c r="FJ241" s="17">
        <f t="shared" si="67"/>
        <v>232</v>
      </c>
      <c r="FK241" s="17">
        <f t="shared" si="59"/>
        <v>37</v>
      </c>
      <c r="FL241" s="18" t="str">
        <f t="shared" si="68"/>
        <v>00100101</v>
      </c>
    </row>
    <row r="242" spans="4:168">
      <c r="D242" t="str">
        <f t="shared" si="71"/>
        <v>39-L</v>
      </c>
      <c r="E242" s="16"/>
      <c r="F242" s="16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  <c r="AX242" s="17"/>
      <c r="AY242" s="17"/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P242" s="17"/>
      <c r="BQ242" s="17"/>
      <c r="BR242" s="17"/>
      <c r="BS242" s="17"/>
      <c r="BT242" s="17"/>
      <c r="BU242" s="17"/>
      <c r="BV242" s="17"/>
      <c r="BW242" s="17"/>
      <c r="BX242" s="17"/>
      <c r="BY242" s="17"/>
      <c r="BZ242" s="17"/>
      <c r="CA242" s="17"/>
      <c r="CB242" s="17"/>
      <c r="CC242" s="17"/>
      <c r="CD242" s="17"/>
      <c r="CE242" s="17"/>
      <c r="CF242" s="17"/>
      <c r="CG242" s="17"/>
      <c r="CH242" s="18"/>
      <c r="FC242">
        <v>239</v>
      </c>
      <c r="FD242">
        <f t="shared" si="64"/>
        <v>15</v>
      </c>
      <c r="FE242">
        <f t="shared" si="65"/>
        <v>15</v>
      </c>
      <c r="FF242" t="str">
        <f t="shared" si="66"/>
        <v/>
      </c>
      <c r="FI242" s="16">
        <v>239</v>
      </c>
      <c r="FJ242" s="17">
        <f t="shared" si="67"/>
        <v>174</v>
      </c>
      <c r="FK242" s="17">
        <f t="shared" si="59"/>
        <v>179</v>
      </c>
      <c r="FL242" s="18" t="str">
        <f t="shared" si="68"/>
        <v>10110011</v>
      </c>
    </row>
    <row r="243" spans="4:168">
      <c r="D243" t="str">
        <f t="shared" si="72"/>
        <v>39-M</v>
      </c>
      <c r="E243" s="16"/>
      <c r="F243" s="16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  <c r="AX243" s="17"/>
      <c r="AY243" s="17"/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P243" s="17"/>
      <c r="BQ243" s="17"/>
      <c r="BR243" s="17"/>
      <c r="BS243" s="17"/>
      <c r="BT243" s="17"/>
      <c r="BU243" s="17"/>
      <c r="BV243" s="17"/>
      <c r="BW243" s="17"/>
      <c r="BX243" s="17"/>
      <c r="BY243" s="17"/>
      <c r="BZ243" s="17"/>
      <c r="CA243" s="17"/>
      <c r="CB243" s="17"/>
      <c r="CC243" s="17"/>
      <c r="CD243" s="17"/>
      <c r="CE243" s="17"/>
      <c r="CF243" s="17"/>
      <c r="CG243" s="17"/>
      <c r="CH243" s="18"/>
      <c r="FC243">
        <v>240</v>
      </c>
      <c r="FD243">
        <f t="shared" si="64"/>
        <v>16</v>
      </c>
      <c r="FE243">
        <f t="shared" si="65"/>
        <v>15</v>
      </c>
      <c r="FF243" t="str">
        <f t="shared" si="66"/>
        <v/>
      </c>
      <c r="FI243" s="16">
        <v>240</v>
      </c>
      <c r="FJ243" s="17">
        <f t="shared" si="67"/>
        <v>0</v>
      </c>
      <c r="FK243" s="17">
        <f t="shared" si="59"/>
        <v>162</v>
      </c>
      <c r="FL243" s="18" t="str">
        <f t="shared" si="68"/>
        <v>10100010</v>
      </c>
    </row>
    <row r="244" spans="4:168">
      <c r="D244" t="str">
        <f t="shared" si="73"/>
        <v>39-Q</v>
      </c>
      <c r="E244" s="16"/>
      <c r="F244" s="16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  <c r="AX244" s="17"/>
      <c r="AY244" s="17"/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P244" s="17"/>
      <c r="BQ244" s="17"/>
      <c r="BR244" s="17"/>
      <c r="BS244" s="17"/>
      <c r="BT244" s="17"/>
      <c r="BU244" s="17"/>
      <c r="BV244" s="17"/>
      <c r="BW244" s="17"/>
      <c r="BX244" s="17"/>
      <c r="BY244" s="17"/>
      <c r="BZ244" s="17"/>
      <c r="CA244" s="17"/>
      <c r="CB244" s="17"/>
      <c r="CC244" s="17"/>
      <c r="CD244" s="17"/>
      <c r="CE244" s="17"/>
      <c r="CF244" s="17"/>
      <c r="CG244" s="17"/>
      <c r="CH244" s="18"/>
      <c r="FC244">
        <v>241</v>
      </c>
      <c r="FD244">
        <f t="shared" si="64"/>
        <v>1</v>
      </c>
      <c r="FE244">
        <f t="shared" si="65"/>
        <v>16</v>
      </c>
      <c r="FF244" t="str">
        <f t="shared" si="66"/>
        <v/>
      </c>
      <c r="FI244" s="16">
        <v>241</v>
      </c>
      <c r="FJ244" s="17">
        <f t="shared" si="67"/>
        <v>26</v>
      </c>
      <c r="FK244" s="17">
        <f t="shared" si="59"/>
        <v>130</v>
      </c>
      <c r="FL244" s="18" t="str">
        <f t="shared" si="68"/>
        <v>10000010</v>
      </c>
    </row>
    <row r="245" spans="4:168">
      <c r="D245" t="str">
        <f t="shared" si="74"/>
        <v>39-H</v>
      </c>
      <c r="E245" s="16"/>
      <c r="F245" s="16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  <c r="AX245" s="17"/>
      <c r="AY245" s="17"/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P245" s="17"/>
      <c r="BQ245" s="17"/>
      <c r="BR245" s="17"/>
      <c r="BS245" s="17"/>
      <c r="BT245" s="17"/>
      <c r="BU245" s="17"/>
      <c r="BV245" s="17"/>
      <c r="BW245" s="17"/>
      <c r="BX245" s="17"/>
      <c r="BY245" s="17"/>
      <c r="BZ245" s="17"/>
      <c r="CA245" s="17"/>
      <c r="CB245" s="17"/>
      <c r="CC245" s="17"/>
      <c r="CD245" s="17"/>
      <c r="CE245" s="17"/>
      <c r="CF245" s="17"/>
      <c r="CG245" s="17"/>
      <c r="CH245" s="18"/>
      <c r="FC245">
        <v>242</v>
      </c>
      <c r="FD245">
        <f t="shared" si="64"/>
        <v>2</v>
      </c>
      <c r="FE245">
        <f t="shared" si="65"/>
        <v>16</v>
      </c>
      <c r="FF245" t="str">
        <f t="shared" si="66"/>
        <v/>
      </c>
      <c r="FI245" s="16">
        <v>242</v>
      </c>
      <c r="FJ245" s="17">
        <f t="shared" si="67"/>
        <v>178</v>
      </c>
      <c r="FK245" s="17">
        <f t="shared" si="59"/>
        <v>148</v>
      </c>
      <c r="FL245" s="18" t="str">
        <f t="shared" si="68"/>
        <v>10010100</v>
      </c>
    </row>
    <row r="246" spans="4:168">
      <c r="D246" t="str">
        <f t="shared" si="71"/>
        <v>40-L</v>
      </c>
      <c r="E246" s="16">
        <f>148-118</f>
        <v>30</v>
      </c>
      <c r="F246" s="16">
        <v>118</v>
      </c>
      <c r="G246" s="2">
        <v>118</v>
      </c>
      <c r="H246" s="2">
        <v>118</v>
      </c>
      <c r="I246" s="2">
        <v>118</v>
      </c>
      <c r="J246" s="2">
        <v>118</v>
      </c>
      <c r="K246" s="2">
        <v>118</v>
      </c>
      <c r="L246" s="2">
        <v>118</v>
      </c>
      <c r="M246" s="2">
        <v>118</v>
      </c>
      <c r="N246" s="2">
        <v>118</v>
      </c>
      <c r="O246" s="2">
        <v>118</v>
      </c>
      <c r="P246" s="2">
        <v>118</v>
      </c>
      <c r="Q246" s="2">
        <v>118</v>
      </c>
      <c r="R246" s="2">
        <v>118</v>
      </c>
      <c r="S246" s="2">
        <v>118</v>
      </c>
      <c r="T246" s="2">
        <v>118</v>
      </c>
      <c r="U246" s="2">
        <v>118</v>
      </c>
      <c r="V246" s="2">
        <v>118</v>
      </c>
      <c r="W246" s="2">
        <v>118</v>
      </c>
      <c r="X246" s="2">
        <v>118</v>
      </c>
      <c r="Y246" s="2">
        <v>119</v>
      </c>
      <c r="Z246" s="2">
        <v>119</v>
      </c>
      <c r="AA246" s="2">
        <v>119</v>
      </c>
      <c r="AB246" s="2">
        <v>119</v>
      </c>
      <c r="AC246" s="2">
        <v>119</v>
      </c>
      <c r="AD246" s="2">
        <v>119</v>
      </c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  <c r="AX246" s="17"/>
      <c r="AY246" s="17"/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P246" s="17"/>
      <c r="BQ246" s="17"/>
      <c r="BR246" s="17"/>
      <c r="BS246" s="17"/>
      <c r="BT246" s="17"/>
      <c r="BU246" s="17"/>
      <c r="BV246" s="17"/>
      <c r="BW246" s="17"/>
      <c r="BX246" s="17"/>
      <c r="BY246" s="17"/>
      <c r="BZ246" s="17"/>
      <c r="CA246" s="17"/>
      <c r="CB246" s="17"/>
      <c r="CC246" s="17"/>
      <c r="CD246" s="17"/>
      <c r="CE246" s="17"/>
      <c r="CF246" s="17"/>
      <c r="CG246" s="17"/>
      <c r="CH246" s="18"/>
      <c r="CI246">
        <v>19</v>
      </c>
      <c r="CJ246">
        <v>6</v>
      </c>
      <c r="CK246">
        <f t="shared" ref="CK246:CK249" si="75">IF(CI246=0,0,F246)</f>
        <v>118</v>
      </c>
      <c r="CL246">
        <f t="shared" ref="CL246:CL249" si="76">IF(CI246=0,F246,F246+1)</f>
        <v>119</v>
      </c>
      <c r="FC246">
        <v>243</v>
      </c>
      <c r="FD246">
        <f t="shared" si="64"/>
        <v>3</v>
      </c>
      <c r="FE246">
        <f t="shared" si="65"/>
        <v>16</v>
      </c>
      <c r="FF246" t="str">
        <f t="shared" si="66"/>
        <v/>
      </c>
      <c r="FI246" s="16">
        <v>243</v>
      </c>
      <c r="FJ246" s="17">
        <f t="shared" si="67"/>
        <v>157</v>
      </c>
      <c r="FK246" s="17">
        <f t="shared" si="59"/>
        <v>154</v>
      </c>
      <c r="FL246" s="18" t="str">
        <f t="shared" si="68"/>
        <v>10011010</v>
      </c>
    </row>
    <row r="247" spans="4:168">
      <c r="D247" t="str">
        <f t="shared" si="72"/>
        <v>40-M</v>
      </c>
      <c r="E247" s="16">
        <f>75-47</f>
        <v>28</v>
      </c>
      <c r="F247" s="16">
        <v>47</v>
      </c>
      <c r="G247" s="17">
        <v>47</v>
      </c>
      <c r="H247" s="17">
        <v>47</v>
      </c>
      <c r="I247" s="17">
        <v>47</v>
      </c>
      <c r="J247" s="17">
        <v>47</v>
      </c>
      <c r="K247" s="17">
        <v>47</v>
      </c>
      <c r="L247" s="17">
        <v>47</v>
      </c>
      <c r="M247" s="17">
        <v>47</v>
      </c>
      <c r="N247" s="17">
        <v>47</v>
      </c>
      <c r="O247" s="17">
        <v>47</v>
      </c>
      <c r="P247" s="17">
        <v>47</v>
      </c>
      <c r="Q247" s="17">
        <v>47</v>
      </c>
      <c r="R247" s="17">
        <v>47</v>
      </c>
      <c r="S247" s="17">
        <v>47</v>
      </c>
      <c r="T247" s="17">
        <v>47</v>
      </c>
      <c r="U247" s="17">
        <v>47</v>
      </c>
      <c r="V247" s="17">
        <v>47</v>
      </c>
      <c r="W247" s="17">
        <v>47</v>
      </c>
      <c r="X247" s="2">
        <v>48</v>
      </c>
      <c r="Y247" s="2">
        <v>48</v>
      </c>
      <c r="Z247" s="2">
        <v>48</v>
      </c>
      <c r="AA247" s="2">
        <v>48</v>
      </c>
      <c r="AB247" s="2">
        <v>48</v>
      </c>
      <c r="AC247" s="2">
        <v>48</v>
      </c>
      <c r="AD247" s="2">
        <v>48</v>
      </c>
      <c r="AE247" s="2">
        <v>48</v>
      </c>
      <c r="AF247" s="2">
        <v>48</v>
      </c>
      <c r="AG247" s="2">
        <v>48</v>
      </c>
      <c r="AH247" s="2">
        <v>48</v>
      </c>
      <c r="AI247" s="2">
        <v>48</v>
      </c>
      <c r="AJ247" s="2">
        <v>48</v>
      </c>
      <c r="AK247" s="2">
        <v>48</v>
      </c>
      <c r="AL247" s="2">
        <v>48</v>
      </c>
      <c r="AM247" s="2">
        <v>48</v>
      </c>
      <c r="AN247" s="2">
        <v>48</v>
      </c>
      <c r="AO247" s="2">
        <v>48</v>
      </c>
      <c r="AP247" s="2">
        <v>48</v>
      </c>
      <c r="AQ247" s="2">
        <v>48</v>
      </c>
      <c r="AR247" s="2">
        <v>48</v>
      </c>
      <c r="AS247" s="2">
        <v>48</v>
      </c>
      <c r="AT247" s="2">
        <v>48</v>
      </c>
      <c r="AU247" s="2">
        <v>48</v>
      </c>
      <c r="AV247" s="2">
        <v>48</v>
      </c>
      <c r="AW247" s="2">
        <v>48</v>
      </c>
      <c r="AX247" s="2">
        <v>48</v>
      </c>
      <c r="AY247" s="2">
        <v>48</v>
      </c>
      <c r="AZ247" s="2">
        <v>48</v>
      </c>
      <c r="BA247" s="2">
        <v>48</v>
      </c>
      <c r="BB247" s="2">
        <v>48</v>
      </c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P247" s="17"/>
      <c r="BQ247" s="17"/>
      <c r="BR247" s="17"/>
      <c r="BS247" s="17"/>
      <c r="BT247" s="17"/>
      <c r="BU247" s="17"/>
      <c r="BV247" s="17"/>
      <c r="BW247" s="17"/>
      <c r="BX247" s="17"/>
      <c r="BY247" s="17"/>
      <c r="BZ247" s="17"/>
      <c r="CA247" s="17"/>
      <c r="CB247" s="17"/>
      <c r="CC247" s="17"/>
      <c r="CD247" s="17"/>
      <c r="CE247" s="17"/>
      <c r="CF247" s="17"/>
      <c r="CG247" s="17"/>
      <c r="CH247" s="18"/>
      <c r="CI247">
        <v>18</v>
      </c>
      <c r="CJ247">
        <v>31</v>
      </c>
      <c r="CK247">
        <f t="shared" si="75"/>
        <v>47</v>
      </c>
      <c r="CL247">
        <f t="shared" si="76"/>
        <v>48</v>
      </c>
      <c r="FC247">
        <v>244</v>
      </c>
      <c r="FD247">
        <f t="shared" si="64"/>
        <v>4</v>
      </c>
      <c r="FE247">
        <f t="shared" si="65"/>
        <v>16</v>
      </c>
      <c r="FF247" t="str">
        <f t="shared" si="66"/>
        <v/>
      </c>
      <c r="FI247" s="16">
        <v>244</v>
      </c>
      <c r="FJ247" s="17">
        <f t="shared" si="67"/>
        <v>77</v>
      </c>
      <c r="FK247" s="17">
        <f t="shared" si="59"/>
        <v>0</v>
      </c>
      <c r="FL247" s="18" t="str">
        <f t="shared" si="68"/>
        <v>00000000</v>
      </c>
    </row>
    <row r="248" spans="4:168">
      <c r="D248" t="str">
        <f t="shared" si="73"/>
        <v>40-Q</v>
      </c>
      <c r="E248" s="16">
        <f>54-24</f>
        <v>30</v>
      </c>
      <c r="F248" s="16">
        <v>24</v>
      </c>
      <c r="G248" s="2">
        <v>24</v>
      </c>
      <c r="H248" s="2">
        <v>24</v>
      </c>
      <c r="I248" s="2">
        <v>24</v>
      </c>
      <c r="J248" s="2">
        <v>24</v>
      </c>
      <c r="K248" s="2">
        <v>24</v>
      </c>
      <c r="L248" s="2">
        <v>24</v>
      </c>
      <c r="M248" s="2">
        <v>24</v>
      </c>
      <c r="N248" s="2">
        <v>24</v>
      </c>
      <c r="O248" s="2">
        <v>24</v>
      </c>
      <c r="P248" s="2">
        <v>24</v>
      </c>
      <c r="Q248" s="2">
        <v>24</v>
      </c>
      <c r="R248" s="2">
        <v>24</v>
      </c>
      <c r="S248" s="2">
        <v>24</v>
      </c>
      <c r="T248" s="2">
        <v>24</v>
      </c>
      <c r="U248" s="2">
        <v>24</v>
      </c>
      <c r="V248" s="2">
        <v>24</v>
      </c>
      <c r="W248" s="2">
        <v>24</v>
      </c>
      <c r="X248" s="2">
        <v>24</v>
      </c>
      <c r="Y248" s="2">
        <v>24</v>
      </c>
      <c r="Z248" s="2">
        <v>24</v>
      </c>
      <c r="AA248" s="2">
        <v>24</v>
      </c>
      <c r="AB248" s="2">
        <v>24</v>
      </c>
      <c r="AC248" s="2">
        <v>24</v>
      </c>
      <c r="AD248" s="2">
        <v>24</v>
      </c>
      <c r="AE248" s="2">
        <v>24</v>
      </c>
      <c r="AF248" s="2">
        <v>24</v>
      </c>
      <c r="AG248" s="2">
        <v>24</v>
      </c>
      <c r="AH248" s="2">
        <v>24</v>
      </c>
      <c r="AI248" s="2">
        <v>24</v>
      </c>
      <c r="AJ248" s="2">
        <v>24</v>
      </c>
      <c r="AK248" s="2">
        <v>24</v>
      </c>
      <c r="AL248" s="2">
        <v>24</v>
      </c>
      <c r="AM248" s="2">
        <v>24</v>
      </c>
      <c r="AN248" s="2">
        <v>25</v>
      </c>
      <c r="AO248" s="2">
        <v>25</v>
      </c>
      <c r="AP248" s="2">
        <v>25</v>
      </c>
      <c r="AQ248" s="2">
        <v>25</v>
      </c>
      <c r="AR248" s="2">
        <v>25</v>
      </c>
      <c r="AS248" s="2">
        <v>25</v>
      </c>
      <c r="AT248" s="2">
        <v>25</v>
      </c>
      <c r="AU248" s="2">
        <v>25</v>
      </c>
      <c r="AV248" s="2">
        <v>25</v>
      </c>
      <c r="AW248" s="2">
        <v>25</v>
      </c>
      <c r="AX248" s="2">
        <v>25</v>
      </c>
      <c r="AY248" s="2">
        <v>25</v>
      </c>
      <c r="AZ248" s="2">
        <v>25</v>
      </c>
      <c r="BA248" s="2">
        <v>25</v>
      </c>
      <c r="BB248" s="2">
        <v>25</v>
      </c>
      <c r="BC248" s="2">
        <v>25</v>
      </c>
      <c r="BD248" s="2">
        <v>25</v>
      </c>
      <c r="BE248" s="2">
        <v>25</v>
      </c>
      <c r="BF248" s="2">
        <v>25</v>
      </c>
      <c r="BG248" s="2">
        <v>25</v>
      </c>
      <c r="BH248" s="2">
        <v>25</v>
      </c>
      <c r="BI248" s="2">
        <v>25</v>
      </c>
      <c r="BJ248" s="2">
        <v>25</v>
      </c>
      <c r="BK248" s="2">
        <v>25</v>
      </c>
      <c r="BL248" s="2">
        <v>25</v>
      </c>
      <c r="BM248" s="2">
        <v>25</v>
      </c>
      <c r="BN248" s="2">
        <v>25</v>
      </c>
      <c r="BO248" s="2">
        <v>25</v>
      </c>
      <c r="BP248" s="2">
        <v>25</v>
      </c>
      <c r="BQ248" s="2">
        <v>25</v>
      </c>
      <c r="BR248" s="2">
        <v>25</v>
      </c>
      <c r="BS248" s="2">
        <v>25</v>
      </c>
      <c r="BT248" s="2">
        <v>25</v>
      </c>
      <c r="BU248" s="2">
        <v>25</v>
      </c>
      <c r="BV248" s="17"/>
      <c r="BW248" s="17"/>
      <c r="BX248" s="17"/>
      <c r="BY248" s="17"/>
      <c r="BZ248" s="17"/>
      <c r="CA248" s="17"/>
      <c r="CB248" s="17"/>
      <c r="CC248" s="17"/>
      <c r="CD248" s="17"/>
      <c r="CE248" s="17"/>
      <c r="CF248" s="17"/>
      <c r="CG248" s="17"/>
      <c r="CH248" s="18"/>
      <c r="CI248">
        <v>34</v>
      </c>
      <c r="CJ248">
        <v>34</v>
      </c>
      <c r="CK248">
        <f t="shared" si="75"/>
        <v>24</v>
      </c>
      <c r="CL248">
        <f t="shared" si="76"/>
        <v>25</v>
      </c>
      <c r="FC248">
        <v>245</v>
      </c>
      <c r="FD248">
        <f t="shared" si="64"/>
        <v>5</v>
      </c>
      <c r="FE248">
        <f t="shared" si="65"/>
        <v>16</v>
      </c>
      <c r="FF248" t="str">
        <f t="shared" si="66"/>
        <v/>
      </c>
      <c r="FI248" s="16">
        <v>245</v>
      </c>
      <c r="FJ248" s="17">
        <f t="shared" si="67"/>
        <v>200</v>
      </c>
      <c r="FK248" s="17">
        <f t="shared" si="59"/>
        <v>109</v>
      </c>
      <c r="FL248" s="18" t="str">
        <f t="shared" si="68"/>
        <v>01101101</v>
      </c>
    </row>
    <row r="249" spans="4:168" ht="15.75" thickBot="1">
      <c r="D249" t="str">
        <f t="shared" si="74"/>
        <v>40-H</v>
      </c>
      <c r="E249" s="19">
        <f>45-15</f>
        <v>30</v>
      </c>
      <c r="F249" s="19">
        <v>15</v>
      </c>
      <c r="G249" s="20">
        <v>15</v>
      </c>
      <c r="H249" s="20">
        <v>15</v>
      </c>
      <c r="I249" s="20">
        <v>15</v>
      </c>
      <c r="J249" s="20">
        <v>15</v>
      </c>
      <c r="K249" s="20">
        <v>15</v>
      </c>
      <c r="L249" s="20">
        <v>15</v>
      </c>
      <c r="M249" s="20">
        <v>15</v>
      </c>
      <c r="N249" s="20">
        <v>15</v>
      </c>
      <c r="O249" s="20">
        <v>15</v>
      </c>
      <c r="P249" s="20">
        <v>15</v>
      </c>
      <c r="Q249" s="20">
        <v>15</v>
      </c>
      <c r="R249" s="20">
        <v>15</v>
      </c>
      <c r="S249" s="20">
        <v>15</v>
      </c>
      <c r="T249" s="20">
        <v>15</v>
      </c>
      <c r="U249" s="20">
        <v>15</v>
      </c>
      <c r="V249" s="20">
        <v>15</v>
      </c>
      <c r="W249" s="20">
        <v>15</v>
      </c>
      <c r="X249" s="20">
        <v>15</v>
      </c>
      <c r="Y249" s="20">
        <v>15</v>
      </c>
      <c r="Z249" s="20">
        <v>16</v>
      </c>
      <c r="AA249" s="20">
        <v>16</v>
      </c>
      <c r="AB249" s="20">
        <v>16</v>
      </c>
      <c r="AC249" s="20">
        <v>16</v>
      </c>
      <c r="AD249" s="20">
        <v>16</v>
      </c>
      <c r="AE249" s="20">
        <v>16</v>
      </c>
      <c r="AF249" s="20">
        <v>16</v>
      </c>
      <c r="AG249" s="20">
        <v>16</v>
      </c>
      <c r="AH249" s="20">
        <v>16</v>
      </c>
      <c r="AI249" s="20">
        <v>16</v>
      </c>
      <c r="AJ249" s="20">
        <v>16</v>
      </c>
      <c r="AK249" s="20">
        <v>16</v>
      </c>
      <c r="AL249" s="20">
        <v>16</v>
      </c>
      <c r="AM249" s="20">
        <v>16</v>
      </c>
      <c r="AN249" s="20">
        <v>16</v>
      </c>
      <c r="AO249" s="20">
        <v>16</v>
      </c>
      <c r="AP249" s="20">
        <v>16</v>
      </c>
      <c r="AQ249" s="20">
        <v>16</v>
      </c>
      <c r="AR249" s="20">
        <v>16</v>
      </c>
      <c r="AS249" s="20">
        <v>16</v>
      </c>
      <c r="AT249" s="20">
        <v>16</v>
      </c>
      <c r="AU249" s="20">
        <v>16</v>
      </c>
      <c r="AV249" s="20">
        <v>16</v>
      </c>
      <c r="AW249" s="20">
        <v>16</v>
      </c>
      <c r="AX249" s="20">
        <v>16</v>
      </c>
      <c r="AY249" s="20">
        <v>16</v>
      </c>
      <c r="AZ249" s="20">
        <v>16</v>
      </c>
      <c r="BA249" s="20">
        <v>16</v>
      </c>
      <c r="BB249" s="20">
        <v>16</v>
      </c>
      <c r="BC249" s="20">
        <v>16</v>
      </c>
      <c r="BD249" s="20">
        <v>16</v>
      </c>
      <c r="BE249" s="20">
        <v>16</v>
      </c>
      <c r="BF249" s="20">
        <v>16</v>
      </c>
      <c r="BG249" s="20">
        <v>16</v>
      </c>
      <c r="BH249" s="20">
        <v>16</v>
      </c>
      <c r="BI249" s="20">
        <v>16</v>
      </c>
      <c r="BJ249" s="20">
        <v>16</v>
      </c>
      <c r="BK249" s="20">
        <v>16</v>
      </c>
      <c r="BL249" s="20">
        <v>16</v>
      </c>
      <c r="BM249" s="20">
        <v>16</v>
      </c>
      <c r="BN249" s="20">
        <v>16</v>
      </c>
      <c r="BO249" s="20">
        <v>16</v>
      </c>
      <c r="BP249" s="20">
        <v>16</v>
      </c>
      <c r="BQ249" s="20">
        <v>16</v>
      </c>
      <c r="BR249" s="20">
        <v>16</v>
      </c>
      <c r="BS249" s="20">
        <v>16</v>
      </c>
      <c r="BT249" s="20">
        <v>16</v>
      </c>
      <c r="BU249" s="20">
        <v>16</v>
      </c>
      <c r="BV249" s="20">
        <v>16</v>
      </c>
      <c r="BW249" s="20">
        <v>16</v>
      </c>
      <c r="BX249" s="20">
        <v>16</v>
      </c>
      <c r="BY249" s="20">
        <v>16</v>
      </c>
      <c r="BZ249" s="20">
        <v>16</v>
      </c>
      <c r="CA249" s="20">
        <v>16</v>
      </c>
      <c r="CB249" s="20">
        <v>16</v>
      </c>
      <c r="CC249" s="20">
        <v>16</v>
      </c>
      <c r="CD249" s="20">
        <v>16</v>
      </c>
      <c r="CE249" s="20">
        <v>16</v>
      </c>
      <c r="CF249" s="20">
        <v>16</v>
      </c>
      <c r="CG249" s="20">
        <v>16</v>
      </c>
      <c r="CH249" s="21">
        <v>16</v>
      </c>
      <c r="CI249" s="2">
        <v>20</v>
      </c>
      <c r="CJ249" s="2">
        <v>61</v>
      </c>
      <c r="CK249">
        <f t="shared" si="75"/>
        <v>15</v>
      </c>
      <c r="CL249">
        <f t="shared" si="76"/>
        <v>16</v>
      </c>
      <c r="FC249">
        <v>246</v>
      </c>
      <c r="FD249">
        <f t="shared" si="64"/>
        <v>6</v>
      </c>
      <c r="FE249">
        <f t="shared" si="65"/>
        <v>16</v>
      </c>
      <c r="FF249" t="str">
        <f t="shared" si="66"/>
        <v/>
      </c>
      <c r="FI249" s="16">
        <v>246</v>
      </c>
      <c r="FJ249" s="17">
        <f t="shared" si="67"/>
        <v>218</v>
      </c>
      <c r="FK249" s="17">
        <f t="shared" si="59"/>
        <v>182</v>
      </c>
      <c r="FL249" s="18" t="str">
        <f t="shared" si="68"/>
        <v>10110110</v>
      </c>
    </row>
    <row r="250" spans="4:168">
      <c r="FC250">
        <v>247</v>
      </c>
      <c r="FD250">
        <f t="shared" si="64"/>
        <v>7</v>
      </c>
      <c r="FE250">
        <f t="shared" si="65"/>
        <v>16</v>
      </c>
      <c r="FF250" t="str">
        <f t="shared" si="66"/>
        <v/>
      </c>
      <c r="FI250" s="16">
        <v>247</v>
      </c>
      <c r="FJ250" s="17">
        <f t="shared" si="67"/>
        <v>240</v>
      </c>
      <c r="FK250" s="17">
        <f t="shared" si="59"/>
        <v>196</v>
      </c>
      <c r="FL250" s="18" t="str">
        <f t="shared" si="68"/>
        <v>11000100</v>
      </c>
    </row>
    <row r="251" spans="4:168">
      <c r="FC251">
        <v>248</v>
      </c>
      <c r="FD251">
        <f t="shared" si="64"/>
        <v>8</v>
      </c>
      <c r="FE251">
        <f t="shared" si="65"/>
        <v>16</v>
      </c>
      <c r="FF251" t="str">
        <f t="shared" si="66"/>
        <v/>
      </c>
      <c r="FI251" s="16">
        <v>248</v>
      </c>
      <c r="FJ251" s="17">
        <f t="shared" si="67"/>
        <v>111</v>
      </c>
      <c r="FK251" s="17">
        <f t="shared" si="59"/>
        <v>118</v>
      </c>
      <c r="FL251" s="18" t="str">
        <f t="shared" si="68"/>
        <v>01110110</v>
      </c>
    </row>
    <row r="252" spans="4:168">
      <c r="FC252">
        <v>249</v>
      </c>
      <c r="FD252">
        <f t="shared" si="64"/>
        <v>9</v>
      </c>
      <c r="FE252">
        <f t="shared" si="65"/>
        <v>16</v>
      </c>
      <c r="FF252" t="str">
        <f t="shared" si="66"/>
        <v/>
      </c>
      <c r="FI252" s="16">
        <v>249</v>
      </c>
      <c r="FJ252" s="17">
        <f t="shared" si="67"/>
        <v>27</v>
      </c>
      <c r="FK252" s="17">
        <f t="shared" si="59"/>
        <v>132</v>
      </c>
      <c r="FL252" s="18" t="str">
        <f t="shared" si="68"/>
        <v>10000100</v>
      </c>
    </row>
    <row r="253" spans="4:168">
      <c r="FC253">
        <v>250</v>
      </c>
      <c r="FD253">
        <f t="shared" si="64"/>
        <v>10</v>
      </c>
      <c r="FE253">
        <f t="shared" si="65"/>
        <v>16</v>
      </c>
      <c r="FF253" t="str">
        <f t="shared" si="66"/>
        <v/>
      </c>
      <c r="FI253" s="16">
        <v>250</v>
      </c>
      <c r="FJ253" s="17">
        <f t="shared" si="67"/>
        <v>31</v>
      </c>
      <c r="FK253" s="17">
        <f t="shared" si="59"/>
        <v>221</v>
      </c>
      <c r="FL253" s="18" t="str">
        <f t="shared" si="68"/>
        <v>11011101</v>
      </c>
    </row>
    <row r="254" spans="4:168">
      <c r="FC254">
        <v>251</v>
      </c>
      <c r="FD254">
        <f t="shared" si="64"/>
        <v>11</v>
      </c>
      <c r="FE254">
        <f t="shared" si="65"/>
        <v>16</v>
      </c>
      <c r="FF254" t="str">
        <f t="shared" si="66"/>
        <v/>
      </c>
      <c r="FI254" s="16">
        <v>251</v>
      </c>
      <c r="FJ254" s="17">
        <f t="shared" si="67"/>
        <v>179</v>
      </c>
      <c r="FK254" s="17">
        <f t="shared" si="59"/>
        <v>248</v>
      </c>
      <c r="FL254" s="18" t="str">
        <f t="shared" si="68"/>
        <v>11111000</v>
      </c>
    </row>
    <row r="255" spans="4:168">
      <c r="FC255">
        <v>252</v>
      </c>
      <c r="FD255">
        <f t="shared" si="64"/>
        <v>12</v>
      </c>
      <c r="FE255">
        <f t="shared" si="65"/>
        <v>16</v>
      </c>
      <c r="FF255" t="str">
        <f t="shared" si="66"/>
        <v/>
      </c>
      <c r="FI255" s="16">
        <v>252</v>
      </c>
      <c r="FJ255" s="17">
        <f t="shared" si="67"/>
        <v>153</v>
      </c>
      <c r="FK255" s="17">
        <f t="shared" si="59"/>
        <v>5</v>
      </c>
      <c r="FL255" s="18" t="str">
        <f t="shared" si="68"/>
        <v>00000101</v>
      </c>
    </row>
    <row r="256" spans="4:168">
      <c r="FC256">
        <v>253</v>
      </c>
      <c r="FD256">
        <f t="shared" si="64"/>
        <v>13</v>
      </c>
      <c r="FE256">
        <f t="shared" si="65"/>
        <v>16</v>
      </c>
      <c r="FF256" t="str">
        <f t="shared" si="66"/>
        <v/>
      </c>
      <c r="FI256" s="16">
        <v>253</v>
      </c>
      <c r="FJ256" s="17">
        <f t="shared" si="67"/>
        <v>92</v>
      </c>
      <c r="FK256" s="17">
        <f t="shared" si="59"/>
        <v>76</v>
      </c>
      <c r="FL256" s="18" t="str">
        <f t="shared" si="68"/>
        <v>01001100</v>
      </c>
    </row>
    <row r="257" spans="159:168">
      <c r="FC257">
        <v>254</v>
      </c>
      <c r="FD257">
        <f t="shared" si="64"/>
        <v>14</v>
      </c>
      <c r="FE257">
        <f t="shared" si="65"/>
        <v>16</v>
      </c>
      <c r="FF257" t="str">
        <f t="shared" si="66"/>
        <v/>
      </c>
      <c r="FI257" s="16">
        <v>254</v>
      </c>
      <c r="FJ257" s="17">
        <f t="shared" si="67"/>
        <v>55</v>
      </c>
      <c r="FK257" s="17">
        <f t="shared" si="59"/>
        <v>253</v>
      </c>
      <c r="FL257" s="18" t="str">
        <f t="shared" si="68"/>
        <v>11111101</v>
      </c>
    </row>
    <row r="258" spans="159:168">
      <c r="FC258">
        <v>255</v>
      </c>
      <c r="FD258">
        <f t="shared" si="64"/>
        <v>15</v>
      </c>
      <c r="FE258">
        <f t="shared" si="65"/>
        <v>16</v>
      </c>
      <c r="FF258" t="str">
        <f t="shared" si="66"/>
        <v/>
      </c>
      <c r="FI258" s="16">
        <v>255</v>
      </c>
      <c r="FJ258" s="17">
        <f t="shared" si="67"/>
        <v>132</v>
      </c>
      <c r="FK258" s="17">
        <f t="shared" si="59"/>
        <v>186</v>
      </c>
      <c r="FL258" s="18" t="str">
        <f t="shared" si="68"/>
        <v>10111010</v>
      </c>
    </row>
    <row r="259" spans="159:168">
      <c r="FC259">
        <v>256</v>
      </c>
      <c r="FD259">
        <f t="shared" si="64"/>
        <v>16</v>
      </c>
      <c r="FE259">
        <f t="shared" si="65"/>
        <v>16</v>
      </c>
      <c r="FF259" t="str">
        <f t="shared" si="66"/>
        <v/>
      </c>
      <c r="FI259" s="16">
        <v>256</v>
      </c>
      <c r="FJ259" s="17">
        <f t="shared" si="67"/>
        <v>0</v>
      </c>
      <c r="FK259" s="17">
        <f t="shared" si="59"/>
        <v>9</v>
      </c>
      <c r="FL259" s="18" t="str">
        <f t="shared" si="68"/>
        <v>00001001</v>
      </c>
    </row>
    <row r="260" spans="159:168">
      <c r="FC260">
        <v>257</v>
      </c>
      <c r="FD260">
        <f t="shared" si="64"/>
        <v>1</v>
      </c>
      <c r="FE260">
        <f t="shared" si="65"/>
        <v>17</v>
      </c>
      <c r="FF260" t="str">
        <f t="shared" si="66"/>
        <v/>
      </c>
      <c r="FI260" s="16">
        <v>257</v>
      </c>
      <c r="FJ260" s="17">
        <f t="shared" si="67"/>
        <v>56</v>
      </c>
      <c r="FK260" s="17">
        <f t="shared" si="59"/>
        <v>224</v>
      </c>
      <c r="FL260" s="18" t="str">
        <f t="shared" si="68"/>
        <v>11100000</v>
      </c>
    </row>
    <row r="261" spans="159:168">
      <c r="FC261">
        <v>258</v>
      </c>
      <c r="FD261">
        <f t="shared" si="64"/>
        <v>2</v>
      </c>
      <c r="FE261">
        <f t="shared" si="65"/>
        <v>17</v>
      </c>
      <c r="FF261" t="str">
        <f t="shared" si="66"/>
        <v/>
      </c>
      <c r="FI261" s="16">
        <v>258</v>
      </c>
      <c r="FJ261" s="17">
        <f t="shared" si="67"/>
        <v>90</v>
      </c>
      <c r="FK261" s="17">
        <f t="shared" ref="FK261:FK324" si="77">IF(FI261&lt;=$FH$2,FF261,IF(FI261&lt;=$FH$2+$FH$3,INDEX($FJ$4:$FJ$2494,FI261-$FH$2),""))</f>
        <v>186</v>
      </c>
      <c r="FL261" s="18" t="str">
        <f t="shared" si="68"/>
        <v>10111010</v>
      </c>
    </row>
    <row r="262" spans="159:168">
      <c r="FC262">
        <v>259</v>
      </c>
      <c r="FD262">
        <f t="shared" si="64"/>
        <v>3</v>
      </c>
      <c r="FE262">
        <f t="shared" si="65"/>
        <v>17</v>
      </c>
      <c r="FF262" t="str">
        <f t="shared" si="66"/>
        <v/>
      </c>
      <c r="FI262" s="16">
        <v>259</v>
      </c>
      <c r="FJ262" s="17">
        <f t="shared" si="67"/>
        <v>212</v>
      </c>
      <c r="FK262" s="17">
        <f t="shared" si="77"/>
        <v>132</v>
      </c>
      <c r="FL262" s="18" t="str">
        <f t="shared" si="68"/>
        <v>10000100</v>
      </c>
    </row>
    <row r="263" spans="159:168">
      <c r="FC263">
        <v>260</v>
      </c>
      <c r="FD263">
        <f t="shared" si="64"/>
        <v>4</v>
      </c>
      <c r="FE263">
        <f t="shared" si="65"/>
        <v>17</v>
      </c>
      <c r="FF263" t="str">
        <f t="shared" si="66"/>
        <v/>
      </c>
      <c r="FI263" s="16">
        <v>260</v>
      </c>
      <c r="FJ263" s="17">
        <f t="shared" si="67"/>
        <v>211</v>
      </c>
      <c r="FK263" s="17">
        <f t="shared" si="77"/>
        <v>0</v>
      </c>
      <c r="FL263" s="18" t="str">
        <f t="shared" si="68"/>
        <v>00000000</v>
      </c>
    </row>
    <row r="264" spans="159:168">
      <c r="FC264">
        <v>261</v>
      </c>
      <c r="FD264">
        <f t="shared" si="64"/>
        <v>5</v>
      </c>
      <c r="FE264">
        <f t="shared" si="65"/>
        <v>17</v>
      </c>
      <c r="FF264" t="str">
        <f t="shared" si="66"/>
        <v/>
      </c>
      <c r="FI264" s="16">
        <v>261</v>
      </c>
      <c r="FJ264" s="17">
        <f t="shared" si="67"/>
        <v>26</v>
      </c>
      <c r="FK264" s="17">
        <f t="shared" si="77"/>
        <v>150</v>
      </c>
      <c r="FL264" s="18" t="str">
        <f t="shared" si="68"/>
        <v>10010110</v>
      </c>
    </row>
    <row r="265" spans="159:168">
      <c r="FC265">
        <v>262</v>
      </c>
      <c r="FD265">
        <f t="shared" si="64"/>
        <v>6</v>
      </c>
      <c r="FE265">
        <f t="shared" si="65"/>
        <v>17</v>
      </c>
      <c r="FF265" t="str">
        <f t="shared" si="66"/>
        <v/>
      </c>
      <c r="FI265" s="16">
        <v>262</v>
      </c>
      <c r="FJ265" s="17">
        <f t="shared" si="67"/>
        <v>108</v>
      </c>
      <c r="FK265" s="17">
        <f t="shared" si="77"/>
        <v>167</v>
      </c>
      <c r="FL265" s="18" t="str">
        <f t="shared" si="68"/>
        <v>10100111</v>
      </c>
    </row>
    <row r="266" spans="159:168">
      <c r="FC266">
        <v>263</v>
      </c>
      <c r="FD266">
        <f t="shared" si="64"/>
        <v>7</v>
      </c>
      <c r="FE266">
        <f t="shared" si="65"/>
        <v>17</v>
      </c>
      <c r="FF266" t="str">
        <f t="shared" si="66"/>
        <v/>
      </c>
      <c r="FI266" s="16">
        <v>263</v>
      </c>
      <c r="FJ266" s="17">
        <f t="shared" si="67"/>
        <v>10</v>
      </c>
      <c r="FK266" s="17">
        <f t="shared" si="77"/>
        <v>36</v>
      </c>
      <c r="FL266" s="18" t="str">
        <f t="shared" si="68"/>
        <v>00100100</v>
      </c>
    </row>
    <row r="267" spans="159:168">
      <c r="FC267">
        <v>264</v>
      </c>
      <c r="FD267">
        <f t="shared" si="64"/>
        <v>8</v>
      </c>
      <c r="FE267">
        <f t="shared" si="65"/>
        <v>17</v>
      </c>
      <c r="FF267" t="str">
        <f t="shared" si="66"/>
        <v/>
      </c>
      <c r="FI267" s="16">
        <v>264</v>
      </c>
      <c r="FJ267" s="17">
        <f t="shared" si="67"/>
        <v>243</v>
      </c>
      <c r="FK267" s="17">
        <f t="shared" si="77"/>
        <v>222</v>
      </c>
      <c r="FL267" s="18" t="str">
        <f t="shared" si="68"/>
        <v>11011110</v>
      </c>
    </row>
    <row r="268" spans="159:168">
      <c r="FC268">
        <v>265</v>
      </c>
      <c r="FD268">
        <f t="shared" si="64"/>
        <v>9</v>
      </c>
      <c r="FE268">
        <f t="shared" si="65"/>
        <v>17</v>
      </c>
      <c r="FF268" t="str">
        <f t="shared" si="66"/>
        <v/>
      </c>
      <c r="FI268" s="16">
        <v>265</v>
      </c>
      <c r="FJ268" s="17">
        <f t="shared" si="67"/>
        <v>94</v>
      </c>
      <c r="FK268" s="17">
        <f t="shared" si="77"/>
        <v>44</v>
      </c>
      <c r="FL268" s="18" t="str">
        <f t="shared" si="68"/>
        <v>00101100</v>
      </c>
    </row>
    <row r="269" spans="159:168">
      <c r="FC269">
        <v>266</v>
      </c>
      <c r="FD269">
        <f t="shared" si="64"/>
        <v>10</v>
      </c>
      <c r="FE269">
        <f t="shared" si="65"/>
        <v>17</v>
      </c>
      <c r="FF269" t="str">
        <f t="shared" si="66"/>
        <v/>
      </c>
      <c r="FI269" s="16">
        <v>266</v>
      </c>
      <c r="FJ269" s="17">
        <f t="shared" si="67"/>
        <v>63</v>
      </c>
      <c r="FK269" s="17">
        <f t="shared" si="77"/>
        <v>130</v>
      </c>
      <c r="FL269" s="18" t="str">
        <f t="shared" si="68"/>
        <v>10000010</v>
      </c>
    </row>
    <row r="270" spans="159:168">
      <c r="FC270">
        <v>267</v>
      </c>
      <c r="FD270">
        <f t="shared" si="64"/>
        <v>11</v>
      </c>
      <c r="FE270">
        <f t="shared" si="65"/>
        <v>17</v>
      </c>
      <c r="FF270" t="str">
        <f t="shared" si="66"/>
        <v/>
      </c>
      <c r="FI270" s="16">
        <v>267</v>
      </c>
      <c r="FJ270" s="17">
        <f t="shared" si="67"/>
        <v>42</v>
      </c>
      <c r="FK270" s="17">
        <f t="shared" si="77"/>
        <v>116</v>
      </c>
      <c r="FL270" s="18" t="str">
        <f t="shared" si="68"/>
        <v>01110100</v>
      </c>
    </row>
    <row r="271" spans="159:168">
      <c r="FC271">
        <v>268</v>
      </c>
      <c r="FD271">
        <f t="shared" si="64"/>
        <v>12</v>
      </c>
      <c r="FE271">
        <f t="shared" si="65"/>
        <v>17</v>
      </c>
      <c r="FF271" t="str">
        <f t="shared" si="66"/>
        <v/>
      </c>
      <c r="FI271" s="16">
        <v>268</v>
      </c>
      <c r="FJ271" s="17">
        <f t="shared" si="67"/>
        <v>111</v>
      </c>
      <c r="FK271" s="17">
        <f t="shared" si="77"/>
        <v>151</v>
      </c>
      <c r="FL271" s="18" t="str">
        <f t="shared" si="68"/>
        <v>10010111</v>
      </c>
    </row>
    <row r="272" spans="159:168">
      <c r="FC272">
        <v>269</v>
      </c>
      <c r="FD272">
        <f t="shared" si="64"/>
        <v>13</v>
      </c>
      <c r="FE272">
        <f t="shared" si="65"/>
        <v>17</v>
      </c>
      <c r="FF272" t="str">
        <f t="shared" si="66"/>
        <v/>
      </c>
      <c r="FI272" s="16">
        <v>269</v>
      </c>
      <c r="FJ272" s="17">
        <f t="shared" si="67"/>
        <v>163</v>
      </c>
      <c r="FK272" s="17">
        <f t="shared" si="77"/>
        <v>3</v>
      </c>
      <c r="FL272" s="18" t="str">
        <f t="shared" si="68"/>
        <v>00000011</v>
      </c>
    </row>
    <row r="273" spans="159:168">
      <c r="FC273">
        <v>270</v>
      </c>
      <c r="FD273">
        <f t="shared" si="64"/>
        <v>14</v>
      </c>
      <c r="FE273">
        <f t="shared" si="65"/>
        <v>17</v>
      </c>
      <c r="FF273" t="str">
        <f t="shared" si="66"/>
        <v/>
      </c>
      <c r="FI273" s="16">
        <v>270</v>
      </c>
      <c r="FJ273" s="17">
        <f t="shared" si="67"/>
        <v>102</v>
      </c>
      <c r="FK273" s="17">
        <f t="shared" si="77"/>
        <v>6</v>
      </c>
      <c r="FL273" s="18" t="str">
        <f t="shared" si="68"/>
        <v>00000110</v>
      </c>
    </row>
    <row r="274" spans="159:168">
      <c r="FC274">
        <v>271</v>
      </c>
      <c r="FD274">
        <f t="shared" si="64"/>
        <v>15</v>
      </c>
      <c r="FE274">
        <f t="shared" si="65"/>
        <v>17</v>
      </c>
      <c r="FF274" t="str">
        <f t="shared" si="66"/>
        <v/>
      </c>
      <c r="FI274" s="16">
        <v>271</v>
      </c>
      <c r="FJ274" s="17">
        <f t="shared" si="67"/>
        <v>79</v>
      </c>
      <c r="FK274" s="17">
        <f t="shared" si="77"/>
        <v>67</v>
      </c>
      <c r="FL274" s="18" t="str">
        <f t="shared" si="68"/>
        <v>01000011</v>
      </c>
    </row>
    <row r="275" spans="159:168">
      <c r="FC275">
        <v>272</v>
      </c>
      <c r="FD275">
        <f t="shared" si="64"/>
        <v>16</v>
      </c>
      <c r="FE275">
        <f t="shared" si="65"/>
        <v>17</v>
      </c>
      <c r="FF275" t="str">
        <f t="shared" si="66"/>
        <v/>
      </c>
      <c r="FI275" s="16">
        <v>272</v>
      </c>
      <c r="FJ275" s="17">
        <f t="shared" si="67"/>
        <v>0</v>
      </c>
      <c r="FK275" s="17">
        <f t="shared" si="77"/>
        <v>199</v>
      </c>
      <c r="FL275" s="18" t="str">
        <f t="shared" si="68"/>
        <v>11000111</v>
      </c>
    </row>
    <row r="276" spans="159:168">
      <c r="FC276">
        <v>273</v>
      </c>
      <c r="FD276">
        <f t="shared" si="64"/>
        <v>1</v>
      </c>
      <c r="FE276">
        <f t="shared" si="65"/>
        <v>18</v>
      </c>
      <c r="FF276" t="str">
        <f t="shared" si="66"/>
        <v/>
      </c>
      <c r="FI276" s="16">
        <v>273</v>
      </c>
      <c r="FJ276" s="17">
        <f t="shared" si="67"/>
        <v>201</v>
      </c>
      <c r="FK276" s="17">
        <f t="shared" si="77"/>
        <v>32</v>
      </c>
      <c r="FL276" s="18" t="str">
        <f t="shared" si="68"/>
        <v>00100000</v>
      </c>
    </row>
    <row r="277" spans="159:168">
      <c r="FC277">
        <v>274</v>
      </c>
      <c r="FD277">
        <f t="shared" si="64"/>
        <v>2</v>
      </c>
      <c r="FE277">
        <f t="shared" si="65"/>
        <v>18</v>
      </c>
      <c r="FF277" t="str">
        <f t="shared" si="66"/>
        <v/>
      </c>
      <c r="FI277" s="16">
        <v>274</v>
      </c>
      <c r="FJ277" s="17">
        <f t="shared" si="67"/>
        <v>6</v>
      </c>
      <c r="FK277" s="17">
        <f t="shared" si="77"/>
        <v>4</v>
      </c>
      <c r="FL277" s="18" t="str">
        <f t="shared" si="68"/>
        <v>00000100</v>
      </c>
    </row>
    <row r="278" spans="159:168">
      <c r="FC278">
        <v>275</v>
      </c>
      <c r="FD278">
        <f t="shared" ref="FD278:FD341" si="78">IF(MOD(FC278,$FB$1+$FB$2)=0,$FB$1+$FB$2,MOD(FC278,$FB$1+$FB$2))</f>
        <v>3</v>
      </c>
      <c r="FE278">
        <f t="shared" ref="FE278:FE341" si="79">ROUNDUP(FC278/($FB$1+$FB$2),0)</f>
        <v>18</v>
      </c>
      <c r="FF278" t="str">
        <f t="shared" ref="FF278:FF341" si="80">IF(FE278&lt;$FB$3,INDEX($E$4:$DV$84,FD278,FE278),IF(FE278=$FB$3,INDEX($E$4:$DV$84,FD278+$FB$1,FE278),""))</f>
        <v/>
      </c>
      <c r="FI278" s="16">
        <v>275</v>
      </c>
      <c r="FJ278" s="17">
        <f t="shared" ref="FJ278:FJ341" si="81">IF(FE278&lt;=$FH$1,INDEX($DW$4:$EZ$84,FD278,FE278),"")</f>
        <v>141</v>
      </c>
      <c r="FK278" s="17">
        <f t="shared" si="77"/>
        <v>46</v>
      </c>
      <c r="FL278" s="18" t="str">
        <f t="shared" ref="FL278:FL341" si="82">IFERROR(TEXT(DEC2BIN(FK278),"00000000"),"")</f>
        <v>00101110</v>
      </c>
    </row>
    <row r="279" spans="159:168">
      <c r="FC279">
        <v>276</v>
      </c>
      <c r="FD279">
        <f t="shared" si="78"/>
        <v>4</v>
      </c>
      <c r="FE279">
        <f t="shared" si="79"/>
        <v>18</v>
      </c>
      <c r="FF279" t="str">
        <f t="shared" si="80"/>
        <v/>
      </c>
      <c r="FI279" s="16">
        <v>276</v>
      </c>
      <c r="FJ279" s="17">
        <f t="shared" si="81"/>
        <v>16</v>
      </c>
      <c r="FK279" s="17">
        <f t="shared" si="77"/>
        <v>0</v>
      </c>
      <c r="FL279" s="18" t="str">
        <f t="shared" si="82"/>
        <v>00000000</v>
      </c>
    </row>
    <row r="280" spans="159:168">
      <c r="FC280">
        <v>277</v>
      </c>
      <c r="FD280">
        <f t="shared" si="78"/>
        <v>5</v>
      </c>
      <c r="FE280">
        <f t="shared" si="79"/>
        <v>18</v>
      </c>
      <c r="FF280" t="str">
        <f t="shared" si="80"/>
        <v/>
      </c>
      <c r="FI280" s="16">
        <v>277</v>
      </c>
      <c r="FJ280" s="17">
        <f t="shared" si="81"/>
        <v>198</v>
      </c>
      <c r="FK280" s="17">
        <f t="shared" si="77"/>
        <v>254</v>
      </c>
      <c r="FL280" s="18" t="str">
        <f t="shared" si="82"/>
        <v>11111110</v>
      </c>
    </row>
    <row r="281" spans="159:168">
      <c r="FC281">
        <v>278</v>
      </c>
      <c r="FD281">
        <f t="shared" si="78"/>
        <v>6</v>
      </c>
      <c r="FE281">
        <f t="shared" si="79"/>
        <v>18</v>
      </c>
      <c r="FF281" t="str">
        <f t="shared" si="80"/>
        <v/>
      </c>
      <c r="FI281" s="16">
        <v>278</v>
      </c>
      <c r="FJ281" s="17">
        <f t="shared" si="81"/>
        <v>194</v>
      </c>
      <c r="FK281" s="17">
        <f t="shared" si="77"/>
        <v>251</v>
      </c>
      <c r="FL281" s="18" t="str">
        <f t="shared" si="82"/>
        <v>11111011</v>
      </c>
    </row>
    <row r="282" spans="159:168">
      <c r="FC282">
        <v>279</v>
      </c>
      <c r="FD282">
        <f t="shared" si="78"/>
        <v>7</v>
      </c>
      <c r="FE282">
        <f t="shared" si="79"/>
        <v>18</v>
      </c>
      <c r="FF282" t="str">
        <f t="shared" si="80"/>
        <v/>
      </c>
      <c r="FI282" s="16">
        <v>279</v>
      </c>
      <c r="FJ282" s="17">
        <f t="shared" si="81"/>
        <v>128</v>
      </c>
      <c r="FK282" s="17">
        <f t="shared" si="77"/>
        <v>218</v>
      </c>
      <c r="FL282" s="18" t="str">
        <f t="shared" si="82"/>
        <v>11011010</v>
      </c>
    </row>
    <row r="283" spans="159:168">
      <c r="FC283">
        <v>280</v>
      </c>
      <c r="FD283">
        <f t="shared" si="78"/>
        <v>8</v>
      </c>
      <c r="FE283">
        <f t="shared" si="79"/>
        <v>18</v>
      </c>
      <c r="FF283" t="str">
        <f t="shared" si="80"/>
        <v/>
      </c>
      <c r="FI283" s="16">
        <v>280</v>
      </c>
      <c r="FJ283" s="17">
        <f t="shared" si="81"/>
        <v>232</v>
      </c>
      <c r="FK283" s="17">
        <f t="shared" si="77"/>
        <v>122</v>
      </c>
      <c r="FL283" s="18" t="str">
        <f t="shared" si="82"/>
        <v>01111010</v>
      </c>
    </row>
    <row r="284" spans="159:168">
      <c r="FC284">
        <v>281</v>
      </c>
      <c r="FD284">
        <f t="shared" si="78"/>
        <v>9</v>
      </c>
      <c r="FE284">
        <f t="shared" si="79"/>
        <v>18</v>
      </c>
      <c r="FF284" t="str">
        <f t="shared" si="80"/>
        <v/>
      </c>
      <c r="FI284" s="16">
        <v>281</v>
      </c>
      <c r="FJ284" s="17">
        <f t="shared" si="81"/>
        <v>4</v>
      </c>
      <c r="FK284" s="17">
        <f t="shared" si="77"/>
        <v>255</v>
      </c>
      <c r="FL284" s="18" t="str">
        <f t="shared" si="82"/>
        <v>11111111</v>
      </c>
    </row>
    <row r="285" spans="159:168">
      <c r="FC285">
        <v>282</v>
      </c>
      <c r="FD285">
        <f t="shared" si="78"/>
        <v>10</v>
      </c>
      <c r="FE285">
        <f t="shared" si="79"/>
        <v>18</v>
      </c>
      <c r="FF285" t="str">
        <f t="shared" si="80"/>
        <v/>
      </c>
      <c r="FI285" s="16">
        <v>282</v>
      </c>
      <c r="FJ285" s="17">
        <f t="shared" si="81"/>
        <v>109</v>
      </c>
      <c r="FK285" s="17">
        <f t="shared" si="77"/>
        <v>255</v>
      </c>
      <c r="FL285" s="18" t="str">
        <f t="shared" si="82"/>
        <v>11111111</v>
      </c>
    </row>
    <row r="286" spans="159:168">
      <c r="FC286">
        <v>283</v>
      </c>
      <c r="FD286">
        <f t="shared" si="78"/>
        <v>11</v>
      </c>
      <c r="FE286">
        <f t="shared" si="79"/>
        <v>18</v>
      </c>
      <c r="FF286" t="str">
        <f t="shared" si="80"/>
        <v/>
      </c>
      <c r="FI286" s="16">
        <v>283</v>
      </c>
      <c r="FJ286" s="17">
        <f t="shared" si="81"/>
        <v>113</v>
      </c>
      <c r="FK286" s="17">
        <f t="shared" si="77"/>
        <v>216</v>
      </c>
      <c r="FL286" s="18" t="str">
        <f t="shared" si="82"/>
        <v>11011000</v>
      </c>
    </row>
    <row r="287" spans="159:168">
      <c r="FC287">
        <v>284</v>
      </c>
      <c r="FD287">
        <f t="shared" si="78"/>
        <v>12</v>
      </c>
      <c r="FE287">
        <f t="shared" si="79"/>
        <v>18</v>
      </c>
      <c r="FF287" t="str">
        <f t="shared" si="80"/>
        <v/>
      </c>
      <c r="FI287" s="16">
        <v>284</v>
      </c>
      <c r="FJ287" s="17">
        <f t="shared" si="81"/>
        <v>253</v>
      </c>
      <c r="FK287" s="17">
        <f t="shared" si="77"/>
        <v>66</v>
      </c>
      <c r="FL287" s="18" t="str">
        <f t="shared" si="82"/>
        <v>01000010</v>
      </c>
    </row>
    <row r="288" spans="159:168">
      <c r="FC288">
        <v>285</v>
      </c>
      <c r="FD288">
        <f t="shared" si="78"/>
        <v>13</v>
      </c>
      <c r="FE288">
        <f t="shared" si="79"/>
        <v>18</v>
      </c>
      <c r="FF288" t="str">
        <f t="shared" si="80"/>
        <v/>
      </c>
      <c r="FI288" s="16">
        <v>285</v>
      </c>
      <c r="FJ288" s="17">
        <f t="shared" si="81"/>
        <v>66</v>
      </c>
      <c r="FK288" s="17">
        <f t="shared" si="77"/>
        <v>152</v>
      </c>
      <c r="FL288" s="18" t="str">
        <f t="shared" si="82"/>
        <v>10011000</v>
      </c>
    </row>
    <row r="289" spans="159:168">
      <c r="FC289">
        <v>286</v>
      </c>
      <c r="FD289">
        <f t="shared" si="78"/>
        <v>14</v>
      </c>
      <c r="FE289">
        <f t="shared" si="79"/>
        <v>18</v>
      </c>
      <c r="FF289" t="str">
        <f t="shared" si="80"/>
        <v/>
      </c>
      <c r="FI289" s="16">
        <v>286</v>
      </c>
      <c r="FJ289" s="17">
        <f t="shared" si="81"/>
        <v>41</v>
      </c>
      <c r="FK289" s="17">
        <f t="shared" si="77"/>
        <v>53</v>
      </c>
      <c r="FL289" s="18" t="str">
        <f t="shared" si="82"/>
        <v>00110101</v>
      </c>
    </row>
    <row r="290" spans="159:168">
      <c r="FC290">
        <v>287</v>
      </c>
      <c r="FD290">
        <f t="shared" si="78"/>
        <v>15</v>
      </c>
      <c r="FE290">
        <f t="shared" si="79"/>
        <v>18</v>
      </c>
      <c r="FF290" t="str">
        <f t="shared" si="80"/>
        <v/>
      </c>
      <c r="FI290" s="16">
        <v>287</v>
      </c>
      <c r="FJ290" s="17">
        <f t="shared" si="81"/>
        <v>166</v>
      </c>
      <c r="FK290" s="17">
        <f t="shared" si="77"/>
        <v>92</v>
      </c>
      <c r="FL290" s="18" t="str">
        <f t="shared" si="82"/>
        <v>01011100</v>
      </c>
    </row>
    <row r="291" spans="159:168">
      <c r="FC291">
        <v>288</v>
      </c>
      <c r="FD291">
        <f t="shared" si="78"/>
        <v>16</v>
      </c>
      <c r="FE291">
        <f t="shared" si="79"/>
        <v>18</v>
      </c>
      <c r="FF291" t="str">
        <f t="shared" si="80"/>
        <v/>
      </c>
      <c r="FI291" s="16">
        <v>288</v>
      </c>
      <c r="FJ291" s="17">
        <f t="shared" si="81"/>
        <v>0</v>
      </c>
      <c r="FK291" s="17">
        <f t="shared" si="77"/>
        <v>200</v>
      </c>
      <c r="FL291" s="18" t="str">
        <f t="shared" si="82"/>
        <v>11001000</v>
      </c>
    </row>
    <row r="292" spans="159:168">
      <c r="FC292">
        <v>289</v>
      </c>
      <c r="FD292">
        <f t="shared" si="78"/>
        <v>1</v>
      </c>
      <c r="FE292">
        <f t="shared" si="79"/>
        <v>19</v>
      </c>
      <c r="FF292" t="str">
        <f t="shared" si="80"/>
        <v/>
      </c>
      <c r="FI292" s="16">
        <v>289</v>
      </c>
      <c r="FJ292" s="17">
        <f t="shared" si="81"/>
        <v>81</v>
      </c>
      <c r="FK292" s="17">
        <f t="shared" si="77"/>
        <v>205</v>
      </c>
      <c r="FL292" s="18" t="str">
        <f t="shared" si="82"/>
        <v>11001101</v>
      </c>
    </row>
    <row r="293" spans="159:168">
      <c r="FC293">
        <v>290</v>
      </c>
      <c r="FD293">
        <f t="shared" si="78"/>
        <v>2</v>
      </c>
      <c r="FE293">
        <f t="shared" si="79"/>
        <v>19</v>
      </c>
      <c r="FF293" t="str">
        <f t="shared" si="80"/>
        <v/>
      </c>
      <c r="FI293" s="16">
        <v>290</v>
      </c>
      <c r="FJ293" s="17">
        <f t="shared" si="81"/>
        <v>160</v>
      </c>
      <c r="FK293" s="17">
        <f t="shared" si="77"/>
        <v>25</v>
      </c>
      <c r="FL293" s="18" t="str">
        <f t="shared" si="82"/>
        <v>00011001</v>
      </c>
    </row>
    <row r="294" spans="159:168">
      <c r="FC294">
        <v>291</v>
      </c>
      <c r="FD294">
        <f t="shared" si="78"/>
        <v>3</v>
      </c>
      <c r="FE294">
        <f t="shared" si="79"/>
        <v>19</v>
      </c>
      <c r="FF294" t="str">
        <f t="shared" si="80"/>
        <v/>
      </c>
      <c r="FI294" s="16">
        <v>291</v>
      </c>
      <c r="FJ294" s="17">
        <f t="shared" si="81"/>
        <v>106</v>
      </c>
      <c r="FK294" s="17">
        <f t="shared" si="77"/>
        <v>29</v>
      </c>
      <c r="FL294" s="18" t="str">
        <f t="shared" si="82"/>
        <v>00011101</v>
      </c>
    </row>
    <row r="295" spans="159:168">
      <c r="FC295">
        <v>292</v>
      </c>
      <c r="FD295">
        <f t="shared" si="78"/>
        <v>4</v>
      </c>
      <c r="FE295">
        <f t="shared" si="79"/>
        <v>19</v>
      </c>
      <c r="FF295" t="str">
        <f t="shared" si="80"/>
        <v/>
      </c>
      <c r="FI295" s="16">
        <v>292</v>
      </c>
      <c r="FJ295" s="17">
        <f t="shared" si="81"/>
        <v>184</v>
      </c>
      <c r="FK295" s="17">
        <f t="shared" si="77"/>
        <v>0</v>
      </c>
      <c r="FL295" s="18" t="str">
        <f t="shared" si="82"/>
        <v>00000000</v>
      </c>
    </row>
    <row r="296" spans="159:168">
      <c r="FC296">
        <v>293</v>
      </c>
      <c r="FD296">
        <f t="shared" si="78"/>
        <v>5</v>
      </c>
      <c r="FE296">
        <f t="shared" si="79"/>
        <v>19</v>
      </c>
      <c r="FF296" t="str">
        <f t="shared" si="80"/>
        <v/>
      </c>
      <c r="FI296" s="16">
        <v>293</v>
      </c>
      <c r="FJ296" s="17">
        <f t="shared" si="81"/>
        <v>206</v>
      </c>
      <c r="FK296" s="17">
        <f t="shared" si="77"/>
        <v>113</v>
      </c>
      <c r="FL296" s="18" t="str">
        <f t="shared" si="82"/>
        <v>01110001</v>
      </c>
    </row>
    <row r="297" spans="159:168">
      <c r="FC297">
        <v>294</v>
      </c>
      <c r="FD297">
        <f t="shared" si="78"/>
        <v>6</v>
      </c>
      <c r="FE297">
        <f t="shared" si="79"/>
        <v>19</v>
      </c>
      <c r="FF297" t="str">
        <f t="shared" si="80"/>
        <v/>
      </c>
      <c r="FI297" s="16">
        <v>294</v>
      </c>
      <c r="FJ297" s="17">
        <f t="shared" si="81"/>
        <v>147</v>
      </c>
      <c r="FK297" s="17">
        <f t="shared" si="77"/>
        <v>109</v>
      </c>
      <c r="FL297" s="18" t="str">
        <f t="shared" si="82"/>
        <v>01101101</v>
      </c>
    </row>
    <row r="298" spans="159:168">
      <c r="FC298">
        <v>295</v>
      </c>
      <c r="FD298">
        <f t="shared" si="78"/>
        <v>7</v>
      </c>
      <c r="FE298">
        <f t="shared" si="79"/>
        <v>19</v>
      </c>
      <c r="FF298" t="str">
        <f t="shared" si="80"/>
        <v/>
      </c>
      <c r="FI298" s="16">
        <v>295</v>
      </c>
      <c r="FJ298" s="17">
        <f t="shared" si="81"/>
        <v>92</v>
      </c>
      <c r="FK298" s="17">
        <f t="shared" si="77"/>
        <v>121</v>
      </c>
      <c r="FL298" s="18" t="str">
        <f t="shared" si="82"/>
        <v>01111001</v>
      </c>
    </row>
    <row r="299" spans="159:168">
      <c r="FC299">
        <v>296</v>
      </c>
      <c r="FD299">
        <f t="shared" si="78"/>
        <v>8</v>
      </c>
      <c r="FE299">
        <f t="shared" si="79"/>
        <v>19</v>
      </c>
      <c r="FF299" t="str">
        <f t="shared" si="80"/>
        <v/>
      </c>
      <c r="FI299" s="16">
        <v>296</v>
      </c>
      <c r="FJ299" s="17">
        <f t="shared" si="81"/>
        <v>90</v>
      </c>
      <c r="FK299" s="17">
        <f t="shared" si="77"/>
        <v>238</v>
      </c>
      <c r="FL299" s="18" t="str">
        <f t="shared" si="82"/>
        <v>11101110</v>
      </c>
    </row>
    <row r="300" spans="159:168">
      <c r="FC300">
        <v>297</v>
      </c>
      <c r="FD300">
        <f t="shared" si="78"/>
        <v>9</v>
      </c>
      <c r="FE300">
        <f t="shared" si="79"/>
        <v>19</v>
      </c>
      <c r="FF300" t="str">
        <f t="shared" si="80"/>
        <v/>
      </c>
      <c r="FI300" s="16">
        <v>297</v>
      </c>
      <c r="FJ300" s="17">
        <f t="shared" si="81"/>
        <v>98</v>
      </c>
      <c r="FK300" s="17">
        <f t="shared" si="77"/>
        <v>100</v>
      </c>
      <c r="FL300" s="18" t="str">
        <f t="shared" si="82"/>
        <v>01100100</v>
      </c>
    </row>
    <row r="301" spans="159:168">
      <c r="FC301">
        <v>298</v>
      </c>
      <c r="FD301">
        <f t="shared" si="78"/>
        <v>10</v>
      </c>
      <c r="FE301">
        <f t="shared" si="79"/>
        <v>19</v>
      </c>
      <c r="FF301" t="str">
        <f t="shared" si="80"/>
        <v/>
      </c>
      <c r="FI301" s="16">
        <v>298</v>
      </c>
      <c r="FJ301" s="17">
        <f t="shared" si="81"/>
        <v>178</v>
      </c>
      <c r="FK301" s="17">
        <f t="shared" si="77"/>
        <v>173</v>
      </c>
      <c r="FL301" s="18" t="str">
        <f t="shared" si="82"/>
        <v>10101101</v>
      </c>
    </row>
    <row r="302" spans="159:168">
      <c r="FC302">
        <v>299</v>
      </c>
      <c r="FD302">
        <f t="shared" si="78"/>
        <v>11</v>
      </c>
      <c r="FE302">
        <f t="shared" si="79"/>
        <v>19</v>
      </c>
      <c r="FF302" t="str">
        <f t="shared" si="80"/>
        <v/>
      </c>
      <c r="FI302" s="16">
        <v>299</v>
      </c>
      <c r="FJ302" s="17">
        <f t="shared" si="81"/>
        <v>133</v>
      </c>
      <c r="FK302" s="17">
        <f t="shared" si="77"/>
        <v>160</v>
      </c>
      <c r="FL302" s="18" t="str">
        <f t="shared" si="82"/>
        <v>10100000</v>
      </c>
    </row>
    <row r="303" spans="159:168">
      <c r="FC303">
        <v>300</v>
      </c>
      <c r="FD303">
        <f t="shared" si="78"/>
        <v>12</v>
      </c>
      <c r="FE303">
        <f t="shared" si="79"/>
        <v>19</v>
      </c>
      <c r="FF303" t="str">
        <f t="shared" si="80"/>
        <v/>
      </c>
      <c r="FI303" s="16">
        <v>300</v>
      </c>
      <c r="FJ303" s="17">
        <f t="shared" si="81"/>
        <v>207</v>
      </c>
      <c r="FK303" s="17">
        <f t="shared" si="77"/>
        <v>6</v>
      </c>
      <c r="FL303" s="18" t="str">
        <f t="shared" si="82"/>
        <v>00000110</v>
      </c>
    </row>
    <row r="304" spans="159:168">
      <c r="FC304">
        <v>301</v>
      </c>
      <c r="FD304">
        <f t="shared" si="78"/>
        <v>13</v>
      </c>
      <c r="FE304">
        <f t="shared" si="79"/>
        <v>19</v>
      </c>
      <c r="FF304" t="str">
        <f t="shared" si="80"/>
        <v/>
      </c>
      <c r="FI304" s="16">
        <v>301</v>
      </c>
      <c r="FJ304" s="17">
        <f t="shared" si="81"/>
        <v>53</v>
      </c>
      <c r="FK304" s="17">
        <f t="shared" si="77"/>
        <v>176</v>
      </c>
      <c r="FL304" s="18" t="str">
        <f t="shared" si="82"/>
        <v>10110000</v>
      </c>
    </row>
    <row r="305" spans="159:168">
      <c r="FC305">
        <v>302</v>
      </c>
      <c r="FD305">
        <f t="shared" si="78"/>
        <v>14</v>
      </c>
      <c r="FE305">
        <f t="shared" si="79"/>
        <v>19</v>
      </c>
      <c r="FF305" t="str">
        <f t="shared" si="80"/>
        <v/>
      </c>
      <c r="FI305" s="16">
        <v>302</v>
      </c>
      <c r="FJ305" s="17">
        <f t="shared" si="81"/>
        <v>54</v>
      </c>
      <c r="FK305" s="17">
        <f t="shared" si="77"/>
        <v>76</v>
      </c>
      <c r="FL305" s="18" t="str">
        <f t="shared" si="82"/>
        <v>01001100</v>
      </c>
    </row>
    <row r="306" spans="159:168">
      <c r="FC306">
        <v>303</v>
      </c>
      <c r="FD306">
        <f t="shared" si="78"/>
        <v>15</v>
      </c>
      <c r="FE306">
        <f t="shared" si="79"/>
        <v>19</v>
      </c>
      <c r="FF306" t="str">
        <f t="shared" si="80"/>
        <v/>
      </c>
      <c r="FI306" s="16">
        <v>303</v>
      </c>
      <c r="FJ306" s="17">
        <f t="shared" si="81"/>
        <v>211</v>
      </c>
      <c r="FK306" s="17">
        <f t="shared" si="77"/>
        <v>230</v>
      </c>
      <c r="FL306" s="18" t="str">
        <f t="shared" si="82"/>
        <v>11100110</v>
      </c>
    </row>
    <row r="307" spans="159:168">
      <c r="FC307">
        <v>304</v>
      </c>
      <c r="FD307">
        <f t="shared" si="78"/>
        <v>16</v>
      </c>
      <c r="FE307">
        <f t="shared" si="79"/>
        <v>19</v>
      </c>
      <c r="FF307" t="str">
        <f t="shared" si="80"/>
        <v/>
      </c>
      <c r="FI307" s="16">
        <v>304</v>
      </c>
      <c r="FJ307" s="17">
        <f t="shared" si="81"/>
        <v>0</v>
      </c>
      <c r="FK307" s="17">
        <f t="shared" si="77"/>
        <v>169</v>
      </c>
      <c r="FL307" s="18" t="str">
        <f t="shared" si="82"/>
        <v>10101001</v>
      </c>
    </row>
    <row r="308" spans="159:168">
      <c r="FC308">
        <v>305</v>
      </c>
      <c r="FD308">
        <f t="shared" si="78"/>
        <v>1</v>
      </c>
      <c r="FE308">
        <f t="shared" si="79"/>
        <v>20</v>
      </c>
      <c r="FF308" t="str">
        <f t="shared" si="80"/>
        <v/>
      </c>
      <c r="FI308" s="16">
        <v>305</v>
      </c>
      <c r="FJ308" s="17">
        <f t="shared" si="81"/>
        <v>197</v>
      </c>
      <c r="FK308" s="17">
        <f t="shared" si="77"/>
        <v>240</v>
      </c>
      <c r="FL308" s="18" t="str">
        <f t="shared" si="82"/>
        <v>11110000</v>
      </c>
    </row>
    <row r="309" spans="159:168">
      <c r="FC309">
        <v>306</v>
      </c>
      <c r="FD309">
        <f t="shared" si="78"/>
        <v>2</v>
      </c>
      <c r="FE309">
        <f t="shared" si="79"/>
        <v>20</v>
      </c>
      <c r="FF309" t="str">
        <f t="shared" si="80"/>
        <v/>
      </c>
      <c r="FI309" s="16">
        <v>306</v>
      </c>
      <c r="FJ309" s="17">
        <f t="shared" si="81"/>
        <v>214</v>
      </c>
      <c r="FK309" s="17">
        <f t="shared" si="77"/>
        <v>29</v>
      </c>
      <c r="FL309" s="18" t="str">
        <f t="shared" si="82"/>
        <v>00011101</v>
      </c>
    </row>
    <row r="310" spans="159:168">
      <c r="FC310">
        <v>307</v>
      </c>
      <c r="FD310">
        <f t="shared" si="78"/>
        <v>3</v>
      </c>
      <c r="FE310">
        <f t="shared" si="79"/>
        <v>20</v>
      </c>
      <c r="FF310" t="str">
        <f t="shared" si="80"/>
        <v/>
      </c>
      <c r="FI310" s="16">
        <v>307</v>
      </c>
      <c r="FJ310" s="17">
        <f t="shared" si="81"/>
        <v>143</v>
      </c>
      <c r="FK310" s="17">
        <f t="shared" si="77"/>
        <v>10</v>
      </c>
      <c r="FL310" s="18" t="str">
        <f t="shared" si="82"/>
        <v>00001010</v>
      </c>
    </row>
    <row r="311" spans="159:168">
      <c r="FC311">
        <v>308</v>
      </c>
      <c r="FD311">
        <f t="shared" si="78"/>
        <v>4</v>
      </c>
      <c r="FE311">
        <f t="shared" si="79"/>
        <v>20</v>
      </c>
      <c r="FF311" t="str">
        <f t="shared" si="80"/>
        <v/>
      </c>
      <c r="FI311" s="16">
        <v>308</v>
      </c>
      <c r="FJ311" s="17">
        <f t="shared" si="81"/>
        <v>141</v>
      </c>
      <c r="FK311" s="17">
        <f t="shared" si="77"/>
        <v>0</v>
      </c>
      <c r="FL311" s="18" t="str">
        <f t="shared" si="82"/>
        <v>00000000</v>
      </c>
    </row>
    <row r="312" spans="159:168">
      <c r="FC312">
        <v>309</v>
      </c>
      <c r="FD312">
        <f t="shared" si="78"/>
        <v>5</v>
      </c>
      <c r="FE312">
        <f t="shared" si="79"/>
        <v>20</v>
      </c>
      <c r="FF312" t="str">
        <f t="shared" si="80"/>
        <v/>
      </c>
      <c r="FI312" s="16">
        <v>309</v>
      </c>
      <c r="FJ312" s="17">
        <f t="shared" si="81"/>
        <v>221</v>
      </c>
      <c r="FK312" s="17">
        <f t="shared" si="77"/>
        <v>157</v>
      </c>
      <c r="FL312" s="18" t="str">
        <f t="shared" si="82"/>
        <v>10011101</v>
      </c>
    </row>
    <row r="313" spans="159:168">
      <c r="FC313">
        <v>310</v>
      </c>
      <c r="FD313">
        <f t="shared" si="78"/>
        <v>6</v>
      </c>
      <c r="FE313">
        <f t="shared" si="79"/>
        <v>20</v>
      </c>
      <c r="FF313" t="str">
        <f t="shared" si="80"/>
        <v/>
      </c>
      <c r="FI313" s="16">
        <v>310</v>
      </c>
      <c r="FJ313" s="17">
        <f t="shared" si="81"/>
        <v>164</v>
      </c>
      <c r="FK313" s="17">
        <f t="shared" si="77"/>
        <v>163</v>
      </c>
      <c r="FL313" s="18" t="str">
        <f t="shared" si="82"/>
        <v>10100011</v>
      </c>
    </row>
    <row r="314" spans="159:168">
      <c r="FC314">
        <v>311</v>
      </c>
      <c r="FD314">
        <f t="shared" si="78"/>
        <v>7</v>
      </c>
      <c r="FE314">
        <f t="shared" si="79"/>
        <v>20</v>
      </c>
      <c r="FF314" t="str">
        <f t="shared" si="80"/>
        <v/>
      </c>
      <c r="FI314" s="16">
        <v>311</v>
      </c>
      <c r="FJ314" s="17">
        <f t="shared" si="81"/>
        <v>32</v>
      </c>
      <c r="FK314" s="17">
        <f t="shared" si="77"/>
        <v>147</v>
      </c>
      <c r="FL314" s="18" t="str">
        <f t="shared" si="82"/>
        <v>10010011</v>
      </c>
    </row>
    <row r="315" spans="159:168">
      <c r="FC315">
        <v>312</v>
      </c>
      <c r="FD315">
        <f t="shared" si="78"/>
        <v>8</v>
      </c>
      <c r="FE315">
        <f t="shared" si="79"/>
        <v>20</v>
      </c>
      <c r="FF315" t="str">
        <f t="shared" si="80"/>
        <v/>
      </c>
      <c r="FI315" s="16">
        <v>312</v>
      </c>
      <c r="FJ315" s="17">
        <f t="shared" si="81"/>
        <v>230</v>
      </c>
      <c r="FK315" s="17">
        <f t="shared" si="77"/>
        <v>73</v>
      </c>
      <c r="FL315" s="18" t="str">
        <f t="shared" si="82"/>
        <v>01001001</v>
      </c>
    </row>
    <row r="316" spans="159:168">
      <c r="FC316">
        <v>313</v>
      </c>
      <c r="FD316">
        <f t="shared" si="78"/>
        <v>9</v>
      </c>
      <c r="FE316">
        <f t="shared" si="79"/>
        <v>20</v>
      </c>
      <c r="FF316" t="str">
        <f t="shared" si="80"/>
        <v/>
      </c>
      <c r="FI316" s="16">
        <v>313</v>
      </c>
      <c r="FJ316" s="17">
        <f t="shared" si="81"/>
        <v>87</v>
      </c>
      <c r="FK316" s="17">
        <f t="shared" si="77"/>
        <v>80</v>
      </c>
      <c r="FL316" s="18" t="str">
        <f t="shared" si="82"/>
        <v>01010000</v>
      </c>
    </row>
    <row r="317" spans="159:168">
      <c r="FC317">
        <v>314</v>
      </c>
      <c r="FD317">
        <f t="shared" si="78"/>
        <v>10</v>
      </c>
      <c r="FE317">
        <f t="shared" si="79"/>
        <v>20</v>
      </c>
      <c r="FF317" t="str">
        <f t="shared" si="80"/>
        <v/>
      </c>
      <c r="FI317" s="16">
        <v>314</v>
      </c>
      <c r="FJ317" s="17">
        <f t="shared" si="81"/>
        <v>85</v>
      </c>
      <c r="FK317" s="17">
        <f t="shared" si="77"/>
        <v>204</v>
      </c>
      <c r="FL317" s="18" t="str">
        <f t="shared" si="82"/>
        <v>11001100</v>
      </c>
    </row>
    <row r="318" spans="159:168">
      <c r="FC318">
        <v>315</v>
      </c>
      <c r="FD318">
        <f t="shared" si="78"/>
        <v>11</v>
      </c>
      <c r="FE318">
        <f t="shared" si="79"/>
        <v>20</v>
      </c>
      <c r="FF318" t="str">
        <f t="shared" si="80"/>
        <v/>
      </c>
      <c r="FI318" s="16">
        <v>315</v>
      </c>
      <c r="FJ318" s="17">
        <f t="shared" si="81"/>
        <v>117</v>
      </c>
      <c r="FK318" s="17">
        <f t="shared" si="77"/>
        <v>253</v>
      </c>
      <c r="FL318" s="18" t="str">
        <f t="shared" si="82"/>
        <v>11111101</v>
      </c>
    </row>
    <row r="319" spans="159:168">
      <c r="FC319">
        <v>316</v>
      </c>
      <c r="FD319">
        <f t="shared" si="78"/>
        <v>12</v>
      </c>
      <c r="FE319">
        <f t="shared" si="79"/>
        <v>20</v>
      </c>
      <c r="FF319" t="str">
        <f t="shared" si="80"/>
        <v/>
      </c>
      <c r="FI319" s="16">
        <v>316</v>
      </c>
      <c r="FJ319" s="17">
        <f t="shared" si="81"/>
        <v>63</v>
      </c>
      <c r="FK319" s="17">
        <f t="shared" si="77"/>
        <v>164</v>
      </c>
      <c r="FL319" s="18" t="str">
        <f t="shared" si="82"/>
        <v>10100100</v>
      </c>
    </row>
    <row r="320" spans="159:168">
      <c r="FC320">
        <v>317</v>
      </c>
      <c r="FD320">
        <f t="shared" si="78"/>
        <v>13</v>
      </c>
      <c r="FE320">
        <f t="shared" si="79"/>
        <v>20</v>
      </c>
      <c r="FF320" t="str">
        <f t="shared" si="80"/>
        <v/>
      </c>
      <c r="FI320" s="16">
        <v>317</v>
      </c>
      <c r="FJ320" s="17">
        <f t="shared" si="81"/>
        <v>1</v>
      </c>
      <c r="FK320" s="17">
        <f t="shared" si="77"/>
        <v>210</v>
      </c>
      <c r="FL320" s="18" t="str">
        <f t="shared" si="82"/>
        <v>11010010</v>
      </c>
    </row>
    <row r="321" spans="159:168">
      <c r="FC321">
        <v>318</v>
      </c>
      <c r="FD321">
        <f t="shared" si="78"/>
        <v>14</v>
      </c>
      <c r="FE321">
        <f t="shared" si="79"/>
        <v>20</v>
      </c>
      <c r="FF321" t="str">
        <f t="shared" si="80"/>
        <v/>
      </c>
      <c r="FI321" s="16">
        <v>318</v>
      </c>
      <c r="FJ321" s="17">
        <f t="shared" si="81"/>
        <v>39</v>
      </c>
      <c r="FK321" s="17">
        <f t="shared" si="77"/>
        <v>1</v>
      </c>
      <c r="FL321" s="18" t="str">
        <f t="shared" si="82"/>
        <v>00000001</v>
      </c>
    </row>
    <row r="322" spans="159:168">
      <c r="FC322">
        <v>319</v>
      </c>
      <c r="FD322">
        <f t="shared" si="78"/>
        <v>15</v>
      </c>
      <c r="FE322">
        <f t="shared" si="79"/>
        <v>20</v>
      </c>
      <c r="FF322" t="str">
        <f t="shared" si="80"/>
        <v/>
      </c>
      <c r="FI322" s="16">
        <v>319</v>
      </c>
      <c r="FJ322" s="17">
        <f t="shared" si="81"/>
        <v>252</v>
      </c>
      <c r="FK322" s="17">
        <f t="shared" si="77"/>
        <v>146</v>
      </c>
      <c r="FL322" s="18" t="str">
        <f t="shared" si="82"/>
        <v>10010010</v>
      </c>
    </row>
    <row r="323" spans="159:168">
      <c r="FC323">
        <v>320</v>
      </c>
      <c r="FD323">
        <f t="shared" si="78"/>
        <v>16</v>
      </c>
      <c r="FE323">
        <f t="shared" si="79"/>
        <v>20</v>
      </c>
      <c r="FF323" t="str">
        <f t="shared" si="80"/>
        <v/>
      </c>
      <c r="FI323" s="16">
        <v>320</v>
      </c>
      <c r="FJ323" s="17">
        <f t="shared" si="81"/>
        <v>0</v>
      </c>
      <c r="FK323" s="17">
        <f t="shared" si="77"/>
        <v>180</v>
      </c>
      <c r="FL323" s="18" t="str">
        <f t="shared" si="82"/>
        <v>10110100</v>
      </c>
    </row>
    <row r="324" spans="159:168">
      <c r="FC324">
        <v>321</v>
      </c>
      <c r="FD324">
        <f t="shared" si="78"/>
        <v>1</v>
      </c>
      <c r="FE324">
        <f t="shared" si="79"/>
        <v>21</v>
      </c>
      <c r="FF324" t="str">
        <f t="shared" si="80"/>
        <v/>
      </c>
      <c r="FI324" s="16">
        <v>321</v>
      </c>
      <c r="FJ324" s="17">
        <f t="shared" si="81"/>
        <v>175</v>
      </c>
      <c r="FK324" s="17">
        <f t="shared" si="77"/>
        <v>69</v>
      </c>
      <c r="FL324" s="18" t="str">
        <f t="shared" si="82"/>
        <v>01000101</v>
      </c>
    </row>
    <row r="325" spans="159:168">
      <c r="FC325">
        <v>322</v>
      </c>
      <c r="FD325">
        <f t="shared" si="78"/>
        <v>2</v>
      </c>
      <c r="FE325">
        <f t="shared" si="79"/>
        <v>21</v>
      </c>
      <c r="FF325" t="str">
        <f t="shared" si="80"/>
        <v/>
      </c>
      <c r="FI325" s="16">
        <v>322</v>
      </c>
      <c r="FJ325" s="17">
        <f t="shared" si="81"/>
        <v>200</v>
      </c>
      <c r="FK325" s="17">
        <f t="shared" ref="FK325:FK388" si="83">IF(FI325&lt;=$FH$2,FF325,IF(FI325&lt;=$FH$2+$FH$3,INDEX($FJ$4:$FJ$2494,FI325-$FH$2),""))</f>
        <v>205</v>
      </c>
      <c r="FL325" s="18" t="str">
        <f t="shared" si="82"/>
        <v>11001101</v>
      </c>
    </row>
    <row r="326" spans="159:168">
      <c r="FC326">
        <v>323</v>
      </c>
      <c r="FD326">
        <f t="shared" si="78"/>
        <v>3</v>
      </c>
      <c r="FE326">
        <f t="shared" si="79"/>
        <v>21</v>
      </c>
      <c r="FF326" t="str">
        <f t="shared" si="80"/>
        <v/>
      </c>
      <c r="FI326" s="16">
        <v>323</v>
      </c>
      <c r="FJ326" s="17">
        <f t="shared" si="81"/>
        <v>226</v>
      </c>
      <c r="FK326" s="17">
        <f t="shared" si="83"/>
        <v>77</v>
      </c>
      <c r="FL326" s="18" t="str">
        <f t="shared" si="82"/>
        <v>01001101</v>
      </c>
    </row>
    <row r="327" spans="159:168">
      <c r="FC327">
        <v>324</v>
      </c>
      <c r="FD327">
        <f t="shared" si="78"/>
        <v>4</v>
      </c>
      <c r="FE327">
        <f t="shared" si="79"/>
        <v>21</v>
      </c>
      <c r="FF327" t="str">
        <f t="shared" si="80"/>
        <v/>
      </c>
      <c r="FI327" s="16">
        <v>324</v>
      </c>
      <c r="FJ327" s="17">
        <f t="shared" si="81"/>
        <v>247</v>
      </c>
      <c r="FK327" s="17">
        <f t="shared" si="83"/>
        <v>0</v>
      </c>
      <c r="FL327" s="18" t="str">
        <f t="shared" si="82"/>
        <v>00000000</v>
      </c>
    </row>
    <row r="328" spans="159:168">
      <c r="FC328">
        <v>325</v>
      </c>
      <c r="FD328">
        <f t="shared" si="78"/>
        <v>5</v>
      </c>
      <c r="FE328">
        <f t="shared" si="79"/>
        <v>21</v>
      </c>
      <c r="FF328" t="str">
        <f t="shared" si="80"/>
        <v/>
      </c>
      <c r="FI328" s="16">
        <v>325</v>
      </c>
      <c r="FJ328" s="17">
        <f t="shared" si="81"/>
        <v>232</v>
      </c>
      <c r="FK328" s="17">
        <f t="shared" si="83"/>
        <v>246</v>
      </c>
      <c r="FL328" s="18" t="str">
        <f t="shared" si="82"/>
        <v>11110110</v>
      </c>
    </row>
    <row r="329" spans="159:168">
      <c r="FC329">
        <v>326</v>
      </c>
      <c r="FD329">
        <f t="shared" si="78"/>
        <v>6</v>
      </c>
      <c r="FE329">
        <f t="shared" si="79"/>
        <v>21</v>
      </c>
      <c r="FF329" t="str">
        <f t="shared" si="80"/>
        <v/>
      </c>
      <c r="FI329" s="16">
        <v>326</v>
      </c>
      <c r="FJ329" s="17">
        <f t="shared" si="81"/>
        <v>5</v>
      </c>
      <c r="FK329" s="17">
        <f t="shared" si="83"/>
        <v>129</v>
      </c>
      <c r="FL329" s="18" t="str">
        <f t="shared" si="82"/>
        <v>10000001</v>
      </c>
    </row>
    <row r="330" spans="159:168">
      <c r="FC330">
        <v>327</v>
      </c>
      <c r="FD330">
        <f t="shared" si="78"/>
        <v>7</v>
      </c>
      <c r="FE330">
        <f t="shared" si="79"/>
        <v>21</v>
      </c>
      <c r="FF330" t="str">
        <f t="shared" si="80"/>
        <v/>
      </c>
      <c r="FI330" s="16">
        <v>327</v>
      </c>
      <c r="FJ330" s="17">
        <f t="shared" si="81"/>
        <v>47</v>
      </c>
      <c r="FK330" s="17">
        <f t="shared" si="83"/>
        <v>228</v>
      </c>
      <c r="FL330" s="18" t="str">
        <f t="shared" si="82"/>
        <v>11100100</v>
      </c>
    </row>
    <row r="331" spans="159:168">
      <c r="FC331">
        <v>328</v>
      </c>
      <c r="FD331">
        <f t="shared" si="78"/>
        <v>8</v>
      </c>
      <c r="FE331">
        <f t="shared" si="79"/>
        <v>21</v>
      </c>
      <c r="FF331" t="str">
        <f t="shared" si="80"/>
        <v/>
      </c>
      <c r="FI331" s="16">
        <v>328</v>
      </c>
      <c r="FJ331" s="17">
        <f t="shared" si="81"/>
        <v>142</v>
      </c>
      <c r="FK331" s="17">
        <f t="shared" si="83"/>
        <v>90</v>
      </c>
      <c r="FL331" s="18" t="str">
        <f t="shared" si="82"/>
        <v>01011010</v>
      </c>
    </row>
    <row r="332" spans="159:168">
      <c r="FC332">
        <v>329</v>
      </c>
      <c r="FD332">
        <f t="shared" si="78"/>
        <v>9</v>
      </c>
      <c r="FE332">
        <f t="shared" si="79"/>
        <v>21</v>
      </c>
      <c r="FF332" t="str">
        <f t="shared" si="80"/>
        <v/>
      </c>
      <c r="FI332" s="16">
        <v>329</v>
      </c>
      <c r="FJ332" s="17">
        <f t="shared" si="81"/>
        <v>167</v>
      </c>
      <c r="FK332" s="17">
        <f t="shared" si="83"/>
        <v>221</v>
      </c>
      <c r="FL332" s="18" t="str">
        <f t="shared" si="82"/>
        <v>11011101</v>
      </c>
    </row>
    <row r="333" spans="159:168">
      <c r="FC333">
        <v>330</v>
      </c>
      <c r="FD333">
        <f t="shared" si="78"/>
        <v>10</v>
      </c>
      <c r="FE333">
        <f t="shared" si="79"/>
        <v>21</v>
      </c>
      <c r="FF333" t="str">
        <f t="shared" si="80"/>
        <v/>
      </c>
      <c r="FI333" s="16">
        <v>330</v>
      </c>
      <c r="FJ333" s="17">
        <f t="shared" si="81"/>
        <v>255</v>
      </c>
      <c r="FK333" s="17">
        <f t="shared" si="83"/>
        <v>242</v>
      </c>
      <c r="FL333" s="18" t="str">
        <f t="shared" si="82"/>
        <v>11110010</v>
      </c>
    </row>
    <row r="334" spans="159:168">
      <c r="FC334">
        <v>331</v>
      </c>
      <c r="FD334">
        <f t="shared" si="78"/>
        <v>11</v>
      </c>
      <c r="FE334">
        <f t="shared" si="79"/>
        <v>21</v>
      </c>
      <c r="FF334" t="str">
        <f t="shared" si="80"/>
        <v/>
      </c>
      <c r="FI334" s="16">
        <v>331</v>
      </c>
      <c r="FJ334" s="17">
        <f t="shared" si="81"/>
        <v>100</v>
      </c>
      <c r="FK334" s="17">
        <f t="shared" si="83"/>
        <v>17</v>
      </c>
      <c r="FL334" s="18" t="str">
        <f t="shared" si="82"/>
        <v>00010001</v>
      </c>
    </row>
    <row r="335" spans="159:168">
      <c r="FC335">
        <v>332</v>
      </c>
      <c r="FD335">
        <f t="shared" si="78"/>
        <v>12</v>
      </c>
      <c r="FE335">
        <f t="shared" si="79"/>
        <v>21</v>
      </c>
      <c r="FF335" t="str">
        <f t="shared" si="80"/>
        <v/>
      </c>
      <c r="FI335" s="16">
        <v>332</v>
      </c>
      <c r="FJ335" s="17">
        <f t="shared" si="81"/>
        <v>206</v>
      </c>
      <c r="FK335" s="17">
        <f t="shared" si="83"/>
        <v>191</v>
      </c>
      <c r="FL335" s="18" t="str">
        <f t="shared" si="82"/>
        <v>10111111</v>
      </c>
    </row>
    <row r="336" spans="159:168">
      <c r="FC336">
        <v>333</v>
      </c>
      <c r="FD336">
        <f t="shared" si="78"/>
        <v>13</v>
      </c>
      <c r="FE336">
        <f t="shared" si="79"/>
        <v>21</v>
      </c>
      <c r="FF336" t="str">
        <f t="shared" si="80"/>
        <v/>
      </c>
      <c r="FI336" s="16">
        <v>333</v>
      </c>
      <c r="FJ336" s="17">
        <f t="shared" si="81"/>
        <v>57</v>
      </c>
      <c r="FK336" s="17">
        <f t="shared" si="83"/>
        <v>156</v>
      </c>
      <c r="FL336" s="18" t="str">
        <f t="shared" si="82"/>
        <v>10011100</v>
      </c>
    </row>
    <row r="337" spans="159:168">
      <c r="FC337">
        <v>334</v>
      </c>
      <c r="FD337">
        <f t="shared" si="78"/>
        <v>14</v>
      </c>
      <c r="FE337">
        <f t="shared" si="79"/>
        <v>21</v>
      </c>
      <c r="FF337" t="str">
        <f t="shared" si="80"/>
        <v/>
      </c>
      <c r="FI337" s="16">
        <v>334</v>
      </c>
      <c r="FJ337" s="17">
        <f t="shared" si="81"/>
        <v>45</v>
      </c>
      <c r="FK337" s="17">
        <f t="shared" si="83"/>
        <v>143</v>
      </c>
      <c r="FL337" s="18" t="str">
        <f t="shared" si="82"/>
        <v>10001111</v>
      </c>
    </row>
    <row r="338" spans="159:168">
      <c r="FC338">
        <v>335</v>
      </c>
      <c r="FD338">
        <f t="shared" si="78"/>
        <v>15</v>
      </c>
      <c r="FE338">
        <f t="shared" si="79"/>
        <v>21</v>
      </c>
      <c r="FF338" t="str">
        <f t="shared" si="80"/>
        <v/>
      </c>
      <c r="FI338" s="16">
        <v>335</v>
      </c>
      <c r="FJ338" s="17">
        <f t="shared" si="81"/>
        <v>72</v>
      </c>
      <c r="FK338" s="17">
        <f t="shared" si="83"/>
        <v>142</v>
      </c>
      <c r="FL338" s="18" t="str">
        <f t="shared" si="82"/>
        <v>10001110</v>
      </c>
    </row>
    <row r="339" spans="159:168">
      <c r="FC339">
        <v>336</v>
      </c>
      <c r="FD339">
        <f t="shared" si="78"/>
        <v>16</v>
      </c>
      <c r="FE339">
        <f t="shared" si="79"/>
        <v>21</v>
      </c>
      <c r="FF339" t="str">
        <f t="shared" si="80"/>
        <v/>
      </c>
      <c r="FI339" s="16">
        <v>336</v>
      </c>
      <c r="FJ339" s="17">
        <f t="shared" si="81"/>
        <v>0</v>
      </c>
      <c r="FK339" s="17">
        <f t="shared" si="83"/>
        <v>134</v>
      </c>
      <c r="FL339" s="18" t="str">
        <f t="shared" si="82"/>
        <v>10000110</v>
      </c>
    </row>
    <row r="340" spans="159:168">
      <c r="FC340">
        <v>337</v>
      </c>
      <c r="FD340">
        <f t="shared" si="78"/>
        <v>1</v>
      </c>
      <c r="FE340">
        <f t="shared" si="79"/>
        <v>22</v>
      </c>
      <c r="FF340" t="str">
        <f t="shared" si="80"/>
        <v/>
      </c>
      <c r="FI340" s="16">
        <v>337</v>
      </c>
      <c r="FJ340" s="17">
        <f t="shared" si="81"/>
        <v>248</v>
      </c>
      <c r="FK340" s="17">
        <f t="shared" si="83"/>
        <v>115</v>
      </c>
      <c r="FL340" s="18" t="str">
        <f t="shared" si="82"/>
        <v>01110011</v>
      </c>
    </row>
    <row r="341" spans="159:168">
      <c r="FC341">
        <v>338</v>
      </c>
      <c r="FD341">
        <f t="shared" si="78"/>
        <v>2</v>
      </c>
      <c r="FE341">
        <f t="shared" si="79"/>
        <v>22</v>
      </c>
      <c r="FF341" t="str">
        <f t="shared" si="80"/>
        <v/>
      </c>
      <c r="FI341" s="16">
        <v>338</v>
      </c>
      <c r="FJ341" s="17">
        <f t="shared" si="81"/>
        <v>105</v>
      </c>
      <c r="FK341" s="17">
        <f t="shared" si="83"/>
        <v>193</v>
      </c>
      <c r="FL341" s="18" t="str">
        <f t="shared" si="82"/>
        <v>11000001</v>
      </c>
    </row>
    <row r="342" spans="159:168">
      <c r="FC342">
        <v>339</v>
      </c>
      <c r="FD342">
        <f t="shared" ref="FD342:FD405" si="84">IF(MOD(FC342,$FB$1+$FB$2)=0,$FB$1+$FB$2,MOD(FC342,$FB$1+$FB$2))</f>
        <v>3</v>
      </c>
      <c r="FE342">
        <f t="shared" ref="FE342:FE405" si="85">ROUNDUP(FC342/($FB$1+$FB$2),0)</f>
        <v>22</v>
      </c>
      <c r="FF342" t="str">
        <f t="shared" ref="FF342:FF405" si="86">IF(FE342&lt;$FB$3,INDEX($E$4:$DV$84,FD342,FE342),IF(FE342=$FB$3,INDEX($E$4:$DV$84,FD342+$FB$1,FE342),""))</f>
        <v/>
      </c>
      <c r="FI342" s="16">
        <v>339</v>
      </c>
      <c r="FJ342" s="17">
        <f t="shared" ref="FJ342:FJ405" si="87">IF(FE342&lt;=$FH$1,INDEX($DW$4:$EZ$84,FD342,FE342),"")</f>
        <v>248</v>
      </c>
      <c r="FK342" s="17">
        <f t="shared" si="83"/>
        <v>169</v>
      </c>
      <c r="FL342" s="18" t="str">
        <f t="shared" ref="FL342:FL405" si="88">IFERROR(TEXT(DEC2BIN(FK342),"00000000"),"")</f>
        <v>10101001</v>
      </c>
    </row>
    <row r="343" spans="159:168">
      <c r="FC343">
        <v>340</v>
      </c>
      <c r="FD343">
        <f t="shared" si="84"/>
        <v>4</v>
      </c>
      <c r="FE343">
        <f t="shared" si="85"/>
        <v>22</v>
      </c>
      <c r="FF343" t="str">
        <f t="shared" si="86"/>
        <v/>
      </c>
      <c r="FI343" s="16">
        <v>340</v>
      </c>
      <c r="FJ343" s="17">
        <f t="shared" si="87"/>
        <v>166</v>
      </c>
      <c r="FK343" s="17">
        <f t="shared" si="83"/>
        <v>0</v>
      </c>
      <c r="FL343" s="18" t="str">
        <f t="shared" si="88"/>
        <v>00000000</v>
      </c>
    </row>
    <row r="344" spans="159:168">
      <c r="FC344">
        <v>341</v>
      </c>
      <c r="FD344">
        <f t="shared" si="84"/>
        <v>5</v>
      </c>
      <c r="FE344">
        <f t="shared" si="85"/>
        <v>22</v>
      </c>
      <c r="FF344" t="str">
        <f t="shared" si="86"/>
        <v/>
      </c>
      <c r="FI344" s="16">
        <v>341</v>
      </c>
      <c r="FJ344" s="17">
        <f t="shared" si="87"/>
        <v>56</v>
      </c>
      <c r="FK344" s="17">
        <f t="shared" si="83"/>
        <v>198</v>
      </c>
      <c r="FL344" s="18" t="str">
        <f t="shared" si="88"/>
        <v>11000110</v>
      </c>
    </row>
    <row r="345" spans="159:168">
      <c r="FC345">
        <v>342</v>
      </c>
      <c r="FD345">
        <f t="shared" si="84"/>
        <v>6</v>
      </c>
      <c r="FE345">
        <f t="shared" si="85"/>
        <v>22</v>
      </c>
      <c r="FF345" t="str">
        <f t="shared" si="86"/>
        <v/>
      </c>
      <c r="FI345" s="16">
        <v>342</v>
      </c>
      <c r="FJ345" s="17">
        <f t="shared" si="87"/>
        <v>8</v>
      </c>
      <c r="FK345" s="17">
        <f t="shared" si="83"/>
        <v>217</v>
      </c>
      <c r="FL345" s="18" t="str">
        <f t="shared" si="88"/>
        <v>11011001</v>
      </c>
    </row>
    <row r="346" spans="159:168">
      <c r="FC346">
        <v>343</v>
      </c>
      <c r="FD346">
        <f t="shared" si="84"/>
        <v>7</v>
      </c>
      <c r="FE346">
        <f t="shared" si="85"/>
        <v>22</v>
      </c>
      <c r="FF346" t="str">
        <f t="shared" si="86"/>
        <v/>
      </c>
      <c r="FI346" s="16">
        <v>343</v>
      </c>
      <c r="FJ346" s="17">
        <f t="shared" si="87"/>
        <v>86</v>
      </c>
      <c r="FK346" s="17">
        <f t="shared" si="83"/>
        <v>110</v>
      </c>
      <c r="FL346" s="18" t="str">
        <f t="shared" si="88"/>
        <v>01101110</v>
      </c>
    </row>
    <row r="347" spans="159:168">
      <c r="FC347">
        <v>344</v>
      </c>
      <c r="FD347">
        <f t="shared" si="84"/>
        <v>8</v>
      </c>
      <c r="FE347">
        <f t="shared" si="85"/>
        <v>22</v>
      </c>
      <c r="FF347" t="str">
        <f t="shared" si="86"/>
        <v/>
      </c>
      <c r="FI347" s="16">
        <v>344</v>
      </c>
      <c r="FJ347" s="17">
        <f t="shared" si="87"/>
        <v>210</v>
      </c>
      <c r="FK347" s="17">
        <f t="shared" si="83"/>
        <v>177</v>
      </c>
      <c r="FL347" s="18" t="str">
        <f t="shared" si="88"/>
        <v>10110001</v>
      </c>
    </row>
    <row r="348" spans="159:168">
      <c r="FC348">
        <v>345</v>
      </c>
      <c r="FD348">
        <f t="shared" si="84"/>
        <v>9</v>
      </c>
      <c r="FE348">
        <f t="shared" si="85"/>
        <v>22</v>
      </c>
      <c r="FF348" t="str">
        <f t="shared" si="86"/>
        <v/>
      </c>
      <c r="FI348" s="16">
        <v>345</v>
      </c>
      <c r="FJ348" s="17">
        <f t="shared" si="87"/>
        <v>194</v>
      </c>
      <c r="FK348" s="17">
        <f t="shared" si="83"/>
        <v>4</v>
      </c>
      <c r="FL348" s="18" t="str">
        <f t="shared" si="88"/>
        <v>00000100</v>
      </c>
    </row>
    <row r="349" spans="159:168">
      <c r="FC349">
        <v>346</v>
      </c>
      <c r="FD349">
        <f t="shared" si="84"/>
        <v>10</v>
      </c>
      <c r="FE349">
        <f t="shared" si="85"/>
        <v>22</v>
      </c>
      <c r="FF349" t="str">
        <f t="shared" si="86"/>
        <v/>
      </c>
      <c r="FI349" s="16">
        <v>346</v>
      </c>
      <c r="FJ349" s="17">
        <f t="shared" si="87"/>
        <v>134</v>
      </c>
      <c r="FK349" s="17">
        <f t="shared" si="83"/>
        <v>27</v>
      </c>
      <c r="FL349" s="18" t="str">
        <f t="shared" si="88"/>
        <v>00011011</v>
      </c>
    </row>
    <row r="350" spans="159:168">
      <c r="FC350">
        <v>347</v>
      </c>
      <c r="FD350">
        <f t="shared" si="84"/>
        <v>11</v>
      </c>
      <c r="FE350">
        <f t="shared" si="85"/>
        <v>22</v>
      </c>
      <c r="FF350" t="str">
        <f t="shared" si="86"/>
        <v/>
      </c>
      <c r="FI350" s="16">
        <v>347</v>
      </c>
      <c r="FJ350" s="17">
        <f t="shared" si="87"/>
        <v>26</v>
      </c>
      <c r="FK350" s="17">
        <f t="shared" si="83"/>
        <v>94</v>
      </c>
      <c r="FL350" s="18" t="str">
        <f t="shared" si="88"/>
        <v>01011110</v>
      </c>
    </row>
    <row r="351" spans="159:168">
      <c r="FC351">
        <v>348</v>
      </c>
      <c r="FD351">
        <f t="shared" si="84"/>
        <v>12</v>
      </c>
      <c r="FE351">
        <f t="shared" si="85"/>
        <v>22</v>
      </c>
      <c r="FF351" t="str">
        <f t="shared" si="86"/>
        <v/>
      </c>
      <c r="FI351" s="16">
        <v>348</v>
      </c>
      <c r="FJ351" s="17">
        <f t="shared" si="87"/>
        <v>31</v>
      </c>
      <c r="FK351" s="17">
        <f t="shared" si="83"/>
        <v>37</v>
      </c>
      <c r="FL351" s="18" t="str">
        <f t="shared" si="88"/>
        <v>00100101</v>
      </c>
    </row>
    <row r="352" spans="159:168">
      <c r="FC352">
        <v>349</v>
      </c>
      <c r="FD352">
        <f t="shared" si="84"/>
        <v>13</v>
      </c>
      <c r="FE352">
        <f t="shared" si="85"/>
        <v>22</v>
      </c>
      <c r="FF352" t="str">
        <f t="shared" si="86"/>
        <v/>
      </c>
      <c r="FI352" s="16">
        <v>349</v>
      </c>
      <c r="FJ352" s="17">
        <f t="shared" si="87"/>
        <v>68</v>
      </c>
      <c r="FK352" s="17">
        <f t="shared" si="83"/>
        <v>45</v>
      </c>
      <c r="FL352" s="18" t="str">
        <f t="shared" si="88"/>
        <v>00101101</v>
      </c>
    </row>
    <row r="353" spans="159:168">
      <c r="FC353">
        <v>350</v>
      </c>
      <c r="FD353">
        <f t="shared" si="84"/>
        <v>14</v>
      </c>
      <c r="FE353">
        <f t="shared" si="85"/>
        <v>22</v>
      </c>
      <c r="FF353" t="str">
        <f t="shared" si="86"/>
        <v/>
      </c>
      <c r="FI353" s="16">
        <v>350</v>
      </c>
      <c r="FJ353" s="17">
        <f t="shared" si="87"/>
        <v>182</v>
      </c>
      <c r="FK353" s="17">
        <f t="shared" si="83"/>
        <v>119</v>
      </c>
      <c r="FL353" s="18" t="str">
        <f t="shared" si="88"/>
        <v>01110111</v>
      </c>
    </row>
    <row r="354" spans="159:168">
      <c r="FC354">
        <v>351</v>
      </c>
      <c r="FD354">
        <f t="shared" si="84"/>
        <v>15</v>
      </c>
      <c r="FE354">
        <f t="shared" si="85"/>
        <v>22</v>
      </c>
      <c r="FF354" t="str">
        <f t="shared" si="86"/>
        <v/>
      </c>
      <c r="FI354" s="16">
        <v>351</v>
      </c>
      <c r="FJ354" s="17">
        <f t="shared" si="87"/>
        <v>117</v>
      </c>
      <c r="FK354" s="17">
        <f t="shared" si="83"/>
        <v>27</v>
      </c>
      <c r="FL354" s="18" t="str">
        <f t="shared" si="88"/>
        <v>00011011</v>
      </c>
    </row>
    <row r="355" spans="159:168">
      <c r="FC355">
        <v>352</v>
      </c>
      <c r="FD355">
        <f t="shared" si="84"/>
        <v>16</v>
      </c>
      <c r="FE355">
        <f t="shared" si="85"/>
        <v>22</v>
      </c>
      <c r="FF355" t="str">
        <f t="shared" si="86"/>
        <v/>
      </c>
      <c r="FI355" s="16">
        <v>352</v>
      </c>
      <c r="FJ355" s="17">
        <f t="shared" si="87"/>
        <v>0</v>
      </c>
      <c r="FK355" s="17">
        <f t="shared" si="83"/>
        <v>238</v>
      </c>
      <c r="FL355" s="18" t="str">
        <f t="shared" si="88"/>
        <v>11101110</v>
      </c>
    </row>
    <row r="356" spans="159:168">
      <c r="FC356">
        <v>353</v>
      </c>
      <c r="FD356">
        <f t="shared" si="84"/>
        <v>1</v>
      </c>
      <c r="FE356">
        <f t="shared" si="85"/>
        <v>23</v>
      </c>
      <c r="FF356" t="str">
        <f t="shared" si="86"/>
        <v/>
      </c>
      <c r="FI356" s="16">
        <v>353</v>
      </c>
      <c r="FJ356" s="17" t="str">
        <f t="shared" si="87"/>
        <v/>
      </c>
      <c r="FK356" s="17">
        <f t="shared" si="83"/>
        <v>83</v>
      </c>
      <c r="FL356" s="18" t="str">
        <f t="shared" si="88"/>
        <v>01010011</v>
      </c>
    </row>
    <row r="357" spans="159:168">
      <c r="FC357">
        <v>354</v>
      </c>
      <c r="FD357">
        <f t="shared" si="84"/>
        <v>2</v>
      </c>
      <c r="FE357">
        <f t="shared" si="85"/>
        <v>23</v>
      </c>
      <c r="FF357" t="str">
        <f t="shared" si="86"/>
        <v/>
      </c>
      <c r="FI357" s="16">
        <v>354</v>
      </c>
      <c r="FJ357" s="17" t="str">
        <f t="shared" si="87"/>
        <v/>
      </c>
      <c r="FK357" s="17">
        <f t="shared" si="83"/>
        <v>204</v>
      </c>
      <c r="FL357" s="18" t="str">
        <f t="shared" si="88"/>
        <v>11001100</v>
      </c>
    </row>
    <row r="358" spans="159:168">
      <c r="FC358">
        <v>355</v>
      </c>
      <c r="FD358">
        <f t="shared" si="84"/>
        <v>3</v>
      </c>
      <c r="FE358">
        <f t="shared" si="85"/>
        <v>23</v>
      </c>
      <c r="FF358" t="str">
        <f t="shared" si="86"/>
        <v/>
      </c>
      <c r="FI358" s="16">
        <v>355</v>
      </c>
      <c r="FJ358" s="17" t="str">
        <f t="shared" si="87"/>
        <v/>
      </c>
      <c r="FK358" s="17">
        <f t="shared" si="83"/>
        <v>31</v>
      </c>
      <c r="FL358" s="18" t="str">
        <f t="shared" si="88"/>
        <v>00011111</v>
      </c>
    </row>
    <row r="359" spans="159:168">
      <c r="FC359">
        <v>356</v>
      </c>
      <c r="FD359">
        <f t="shared" si="84"/>
        <v>4</v>
      </c>
      <c r="FE359">
        <f t="shared" si="85"/>
        <v>23</v>
      </c>
      <c r="FF359" t="str">
        <f t="shared" si="86"/>
        <v/>
      </c>
      <c r="FI359" s="16">
        <v>356</v>
      </c>
      <c r="FJ359" s="17" t="str">
        <f t="shared" si="87"/>
        <v/>
      </c>
      <c r="FK359" s="17">
        <f t="shared" si="83"/>
        <v>0</v>
      </c>
      <c r="FL359" s="18" t="str">
        <f t="shared" si="88"/>
        <v>00000000</v>
      </c>
    </row>
    <row r="360" spans="159:168">
      <c r="FC360">
        <v>357</v>
      </c>
      <c r="FD360">
        <f t="shared" si="84"/>
        <v>5</v>
      </c>
      <c r="FE360">
        <f t="shared" si="85"/>
        <v>23</v>
      </c>
      <c r="FF360" t="str">
        <f t="shared" si="86"/>
        <v/>
      </c>
      <c r="FI360" s="16">
        <v>357</v>
      </c>
      <c r="FJ360" s="17" t="str">
        <f t="shared" si="87"/>
        <v/>
      </c>
      <c r="FK360" s="17">
        <f t="shared" si="83"/>
        <v>240</v>
      </c>
      <c r="FL360" s="18" t="str">
        <f t="shared" si="88"/>
        <v>11110000</v>
      </c>
    </row>
    <row r="361" spans="159:168">
      <c r="FC361">
        <v>358</v>
      </c>
      <c r="FD361">
        <f t="shared" si="84"/>
        <v>6</v>
      </c>
      <c r="FE361">
        <f t="shared" si="85"/>
        <v>23</v>
      </c>
      <c r="FF361" t="str">
        <f t="shared" si="86"/>
        <v/>
      </c>
      <c r="FI361" s="16">
        <v>358</v>
      </c>
      <c r="FJ361" s="17" t="str">
        <f t="shared" si="87"/>
        <v/>
      </c>
      <c r="FK361" s="17">
        <f t="shared" si="83"/>
        <v>34</v>
      </c>
      <c r="FL361" s="18" t="str">
        <f t="shared" si="88"/>
        <v>00100010</v>
      </c>
    </row>
    <row r="362" spans="159:168">
      <c r="FC362">
        <v>359</v>
      </c>
      <c r="FD362">
        <f t="shared" si="84"/>
        <v>7</v>
      </c>
      <c r="FE362">
        <f t="shared" si="85"/>
        <v>23</v>
      </c>
      <c r="FF362" t="str">
        <f t="shared" si="86"/>
        <v/>
      </c>
      <c r="FI362" s="16">
        <v>359</v>
      </c>
      <c r="FJ362" s="17" t="str">
        <f t="shared" si="87"/>
        <v/>
      </c>
      <c r="FK362" s="17">
        <f t="shared" si="83"/>
        <v>168</v>
      </c>
      <c r="FL362" s="18" t="str">
        <f t="shared" si="88"/>
        <v>10101000</v>
      </c>
    </row>
    <row r="363" spans="159:168">
      <c r="FC363">
        <v>360</v>
      </c>
      <c r="FD363">
        <f t="shared" si="84"/>
        <v>8</v>
      </c>
      <c r="FE363">
        <f t="shared" si="85"/>
        <v>23</v>
      </c>
      <c r="FF363" t="str">
        <f t="shared" si="86"/>
        <v/>
      </c>
      <c r="FI363" s="16">
        <v>360</v>
      </c>
      <c r="FJ363" s="17" t="str">
        <f t="shared" si="87"/>
        <v/>
      </c>
      <c r="FK363" s="17">
        <f t="shared" si="83"/>
        <v>213</v>
      </c>
      <c r="FL363" s="18" t="str">
        <f t="shared" si="88"/>
        <v>11010101</v>
      </c>
    </row>
    <row r="364" spans="159:168">
      <c r="FC364">
        <v>361</v>
      </c>
      <c r="FD364">
        <f t="shared" si="84"/>
        <v>9</v>
      </c>
      <c r="FE364">
        <f t="shared" si="85"/>
        <v>23</v>
      </c>
      <c r="FF364" t="str">
        <f t="shared" si="86"/>
        <v/>
      </c>
      <c r="FI364" s="16">
        <v>361</v>
      </c>
      <c r="FJ364" s="17" t="str">
        <f t="shared" si="87"/>
        <v/>
      </c>
      <c r="FK364" s="17">
        <f t="shared" si="83"/>
        <v>108</v>
      </c>
      <c r="FL364" s="18" t="str">
        <f t="shared" si="88"/>
        <v>01101100</v>
      </c>
    </row>
    <row r="365" spans="159:168">
      <c r="FC365">
        <v>362</v>
      </c>
      <c r="FD365">
        <f t="shared" si="84"/>
        <v>10</v>
      </c>
      <c r="FE365">
        <f t="shared" si="85"/>
        <v>23</v>
      </c>
      <c r="FF365" t="str">
        <f t="shared" si="86"/>
        <v/>
      </c>
      <c r="FI365" s="16">
        <v>362</v>
      </c>
      <c r="FJ365" s="17" t="str">
        <f t="shared" si="87"/>
        <v/>
      </c>
      <c r="FK365" s="17">
        <f t="shared" si="83"/>
        <v>71</v>
      </c>
      <c r="FL365" s="18" t="str">
        <f t="shared" si="88"/>
        <v>01000111</v>
      </c>
    </row>
    <row r="366" spans="159:168">
      <c r="FC366">
        <v>363</v>
      </c>
      <c r="FD366">
        <f t="shared" si="84"/>
        <v>11</v>
      </c>
      <c r="FE366">
        <f t="shared" si="85"/>
        <v>23</v>
      </c>
      <c r="FF366" t="str">
        <f t="shared" si="86"/>
        <v/>
      </c>
      <c r="FI366" s="16">
        <v>363</v>
      </c>
      <c r="FJ366" s="17" t="str">
        <f t="shared" si="87"/>
        <v/>
      </c>
      <c r="FK366" s="17">
        <f t="shared" si="83"/>
        <v>99</v>
      </c>
      <c r="FL366" s="18" t="str">
        <f t="shared" si="88"/>
        <v>01100011</v>
      </c>
    </row>
    <row r="367" spans="159:168">
      <c r="FC367">
        <v>364</v>
      </c>
      <c r="FD367">
        <f t="shared" si="84"/>
        <v>12</v>
      </c>
      <c r="FE367">
        <f t="shared" si="85"/>
        <v>23</v>
      </c>
      <c r="FF367" t="str">
        <f t="shared" si="86"/>
        <v/>
      </c>
      <c r="FI367" s="16">
        <v>364</v>
      </c>
      <c r="FJ367" s="17" t="str">
        <f t="shared" si="87"/>
        <v/>
      </c>
      <c r="FK367" s="17">
        <f t="shared" si="83"/>
        <v>200</v>
      </c>
      <c r="FL367" s="18" t="str">
        <f t="shared" si="88"/>
        <v>11001000</v>
      </c>
    </row>
    <row r="368" spans="159:168">
      <c r="FC368">
        <v>365</v>
      </c>
      <c r="FD368">
        <f t="shared" si="84"/>
        <v>13</v>
      </c>
      <c r="FE368">
        <f t="shared" si="85"/>
        <v>23</v>
      </c>
      <c r="FF368" t="str">
        <f t="shared" si="86"/>
        <v/>
      </c>
      <c r="FI368" s="16">
        <v>365</v>
      </c>
      <c r="FJ368" s="17" t="str">
        <f t="shared" si="87"/>
        <v/>
      </c>
      <c r="FK368" s="17">
        <f t="shared" si="83"/>
        <v>102</v>
      </c>
      <c r="FL368" s="18" t="str">
        <f t="shared" si="88"/>
        <v>01100110</v>
      </c>
    </row>
    <row r="369" spans="159:168">
      <c r="FC369">
        <v>366</v>
      </c>
      <c r="FD369">
        <f t="shared" si="84"/>
        <v>14</v>
      </c>
      <c r="FE369">
        <f t="shared" si="85"/>
        <v>23</v>
      </c>
      <c r="FF369" t="str">
        <f t="shared" si="86"/>
        <v/>
      </c>
      <c r="FI369" s="16">
        <v>366</v>
      </c>
      <c r="FJ369" s="17" t="str">
        <f t="shared" si="87"/>
        <v/>
      </c>
      <c r="FK369" s="17">
        <f t="shared" si="83"/>
        <v>251</v>
      </c>
      <c r="FL369" s="18" t="str">
        <f t="shared" si="88"/>
        <v>11111011</v>
      </c>
    </row>
    <row r="370" spans="159:168">
      <c r="FC370">
        <v>367</v>
      </c>
      <c r="FD370">
        <f t="shared" si="84"/>
        <v>15</v>
      </c>
      <c r="FE370">
        <f t="shared" si="85"/>
        <v>23</v>
      </c>
      <c r="FF370" t="str">
        <f t="shared" si="86"/>
        <v/>
      </c>
      <c r="FI370" s="16">
        <v>367</v>
      </c>
      <c r="FJ370" s="17" t="str">
        <f t="shared" si="87"/>
        <v/>
      </c>
      <c r="FK370" s="17">
        <f t="shared" si="83"/>
        <v>99</v>
      </c>
      <c r="FL370" s="18" t="str">
        <f t="shared" si="88"/>
        <v>01100011</v>
      </c>
    </row>
    <row r="371" spans="159:168">
      <c r="FC371">
        <v>368</v>
      </c>
      <c r="FD371">
        <f t="shared" si="84"/>
        <v>16</v>
      </c>
      <c r="FE371">
        <f t="shared" si="85"/>
        <v>23</v>
      </c>
      <c r="FF371" t="str">
        <f t="shared" si="86"/>
        <v/>
      </c>
      <c r="FI371" s="16">
        <v>368</v>
      </c>
      <c r="FJ371" s="17" t="str">
        <f t="shared" si="87"/>
        <v/>
      </c>
      <c r="FK371" s="17">
        <f t="shared" si="83"/>
        <v>176</v>
      </c>
      <c r="FL371" s="18" t="str">
        <f t="shared" si="88"/>
        <v>10110000</v>
      </c>
    </row>
    <row r="372" spans="159:168">
      <c r="FC372">
        <v>369</v>
      </c>
      <c r="FD372">
        <f t="shared" si="84"/>
        <v>1</v>
      </c>
      <c r="FE372">
        <f t="shared" si="85"/>
        <v>24</v>
      </c>
      <c r="FF372" t="str">
        <f t="shared" si="86"/>
        <v/>
      </c>
      <c r="FI372" s="16">
        <v>369</v>
      </c>
      <c r="FJ372" s="17" t="str">
        <f t="shared" si="87"/>
        <v/>
      </c>
      <c r="FK372" s="17">
        <f t="shared" si="83"/>
        <v>231</v>
      </c>
      <c r="FL372" s="18" t="str">
        <f t="shared" si="88"/>
        <v>11100111</v>
      </c>
    </row>
    <row r="373" spans="159:168">
      <c r="FC373">
        <v>370</v>
      </c>
      <c r="FD373">
        <f t="shared" si="84"/>
        <v>2</v>
      </c>
      <c r="FE373">
        <f t="shared" si="85"/>
        <v>24</v>
      </c>
      <c r="FF373" t="str">
        <f t="shared" si="86"/>
        <v/>
      </c>
      <c r="FI373" s="16">
        <v>370</v>
      </c>
      <c r="FJ373" s="17" t="str">
        <f t="shared" si="87"/>
        <v/>
      </c>
      <c r="FK373" s="17">
        <f t="shared" si="83"/>
        <v>16</v>
      </c>
      <c r="FL373" s="18" t="str">
        <f t="shared" si="88"/>
        <v>00010000</v>
      </c>
    </row>
    <row r="374" spans="159:168">
      <c r="FC374">
        <v>371</v>
      </c>
      <c r="FD374">
        <f t="shared" si="84"/>
        <v>3</v>
      </c>
      <c r="FE374">
        <f t="shared" si="85"/>
        <v>24</v>
      </c>
      <c r="FF374" t="str">
        <f t="shared" si="86"/>
        <v/>
      </c>
      <c r="FI374" s="16">
        <v>371</v>
      </c>
      <c r="FJ374" s="17" t="str">
        <f t="shared" si="87"/>
        <v/>
      </c>
      <c r="FK374" s="17">
        <f t="shared" si="83"/>
        <v>153</v>
      </c>
      <c r="FL374" s="18" t="str">
        <f t="shared" si="88"/>
        <v>10011001</v>
      </c>
    </row>
    <row r="375" spans="159:168">
      <c r="FC375">
        <v>372</v>
      </c>
      <c r="FD375">
        <f t="shared" si="84"/>
        <v>4</v>
      </c>
      <c r="FE375">
        <f t="shared" si="85"/>
        <v>24</v>
      </c>
      <c r="FF375" t="str">
        <f t="shared" si="86"/>
        <v/>
      </c>
      <c r="FI375" s="16">
        <v>372</v>
      </c>
      <c r="FJ375" s="17" t="str">
        <f t="shared" si="87"/>
        <v/>
      </c>
      <c r="FK375" s="17">
        <f t="shared" si="83"/>
        <v>0</v>
      </c>
      <c r="FL375" s="18" t="str">
        <f t="shared" si="88"/>
        <v>00000000</v>
      </c>
    </row>
    <row r="376" spans="159:168">
      <c r="FC376">
        <v>373</v>
      </c>
      <c r="FD376">
        <f t="shared" si="84"/>
        <v>5</v>
      </c>
      <c r="FE376">
        <f t="shared" si="85"/>
        <v>24</v>
      </c>
      <c r="FF376" t="str">
        <f t="shared" si="86"/>
        <v/>
      </c>
      <c r="FI376" s="16">
        <v>373</v>
      </c>
      <c r="FJ376" s="17" t="str">
        <f t="shared" si="87"/>
        <v/>
      </c>
      <c r="FK376" s="17">
        <f t="shared" si="83"/>
        <v>14</v>
      </c>
      <c r="FL376" s="18" t="str">
        <f t="shared" si="88"/>
        <v>00001110</v>
      </c>
    </row>
    <row r="377" spans="159:168">
      <c r="FC377">
        <v>374</v>
      </c>
      <c r="FD377">
        <f t="shared" si="84"/>
        <v>6</v>
      </c>
      <c r="FE377">
        <f t="shared" si="85"/>
        <v>24</v>
      </c>
      <c r="FF377" t="str">
        <f t="shared" si="86"/>
        <v/>
      </c>
      <c r="FI377" s="16">
        <v>374</v>
      </c>
      <c r="FJ377" s="17" t="str">
        <f t="shared" si="87"/>
        <v/>
      </c>
      <c r="FK377" s="17">
        <f t="shared" si="83"/>
        <v>85</v>
      </c>
      <c r="FL377" s="18" t="str">
        <f t="shared" si="88"/>
        <v>01010101</v>
      </c>
    </row>
    <row r="378" spans="159:168">
      <c r="FC378">
        <v>375</v>
      </c>
      <c r="FD378">
        <f t="shared" si="84"/>
        <v>7</v>
      </c>
      <c r="FE378">
        <f t="shared" si="85"/>
        <v>24</v>
      </c>
      <c r="FF378" t="str">
        <f t="shared" si="86"/>
        <v/>
      </c>
      <c r="FI378" s="16">
        <v>375</v>
      </c>
      <c r="FJ378" s="17" t="str">
        <f t="shared" si="87"/>
        <v/>
      </c>
      <c r="FK378" s="17">
        <f t="shared" si="83"/>
        <v>220</v>
      </c>
      <c r="FL378" s="18" t="str">
        <f t="shared" si="88"/>
        <v>11011100</v>
      </c>
    </row>
    <row r="379" spans="159:168">
      <c r="FC379">
        <v>376</v>
      </c>
      <c r="FD379">
        <f t="shared" si="84"/>
        <v>8</v>
      </c>
      <c r="FE379">
        <f t="shared" si="85"/>
        <v>24</v>
      </c>
      <c r="FF379" t="str">
        <f t="shared" si="86"/>
        <v/>
      </c>
      <c r="FI379" s="16">
        <v>376</v>
      </c>
      <c r="FJ379" s="17" t="str">
        <f t="shared" si="87"/>
        <v/>
      </c>
      <c r="FK379" s="17">
        <f t="shared" si="83"/>
        <v>59</v>
      </c>
      <c r="FL379" s="18" t="str">
        <f t="shared" si="88"/>
        <v>00111011</v>
      </c>
    </row>
    <row r="380" spans="159:168">
      <c r="FC380">
        <v>377</v>
      </c>
      <c r="FD380">
        <f t="shared" si="84"/>
        <v>9</v>
      </c>
      <c r="FE380">
        <f t="shared" si="85"/>
        <v>24</v>
      </c>
      <c r="FF380" t="str">
        <f t="shared" si="86"/>
        <v/>
      </c>
      <c r="FI380" s="16">
        <v>377</v>
      </c>
      <c r="FJ380" s="17" t="str">
        <f t="shared" si="87"/>
        <v/>
      </c>
      <c r="FK380" s="17">
        <f t="shared" si="83"/>
        <v>167</v>
      </c>
      <c r="FL380" s="18" t="str">
        <f t="shared" si="88"/>
        <v>10100111</v>
      </c>
    </row>
    <row r="381" spans="159:168">
      <c r="FC381">
        <v>378</v>
      </c>
      <c r="FD381">
        <f t="shared" si="84"/>
        <v>10</v>
      </c>
      <c r="FE381">
        <f t="shared" si="85"/>
        <v>24</v>
      </c>
      <c r="FF381" t="str">
        <f t="shared" si="86"/>
        <v/>
      </c>
      <c r="FI381" s="16">
        <v>378</v>
      </c>
      <c r="FJ381" s="17" t="str">
        <f t="shared" si="87"/>
        <v/>
      </c>
      <c r="FK381" s="17">
        <f t="shared" si="83"/>
        <v>213</v>
      </c>
      <c r="FL381" s="18" t="str">
        <f t="shared" si="88"/>
        <v>11010101</v>
      </c>
    </row>
    <row r="382" spans="159:168">
      <c r="FC382">
        <v>379</v>
      </c>
      <c r="FD382">
        <f t="shared" si="84"/>
        <v>11</v>
      </c>
      <c r="FE382">
        <f t="shared" si="85"/>
        <v>24</v>
      </c>
      <c r="FF382" t="str">
        <f t="shared" si="86"/>
        <v/>
      </c>
      <c r="FI382" s="16">
        <v>379</v>
      </c>
      <c r="FJ382" s="17" t="str">
        <f t="shared" si="87"/>
        <v/>
      </c>
      <c r="FK382" s="17">
        <f t="shared" si="83"/>
        <v>4</v>
      </c>
      <c r="FL382" s="18" t="str">
        <f t="shared" si="88"/>
        <v>00000100</v>
      </c>
    </row>
    <row r="383" spans="159:168">
      <c r="FC383">
        <v>380</v>
      </c>
      <c r="FD383">
        <f t="shared" si="84"/>
        <v>12</v>
      </c>
      <c r="FE383">
        <f t="shared" si="85"/>
        <v>24</v>
      </c>
      <c r="FF383" t="str">
        <f t="shared" si="86"/>
        <v/>
      </c>
      <c r="FI383" s="16">
        <v>380</v>
      </c>
      <c r="FJ383" s="17" t="str">
        <f t="shared" si="87"/>
        <v/>
      </c>
      <c r="FK383" s="17">
        <f t="shared" si="83"/>
        <v>125</v>
      </c>
      <c r="FL383" s="18" t="str">
        <f t="shared" si="88"/>
        <v>01111101</v>
      </c>
    </row>
    <row r="384" spans="159:168">
      <c r="FC384">
        <v>381</v>
      </c>
      <c r="FD384">
        <f t="shared" si="84"/>
        <v>13</v>
      </c>
      <c r="FE384">
        <f t="shared" si="85"/>
        <v>24</v>
      </c>
      <c r="FF384" t="str">
        <f t="shared" si="86"/>
        <v/>
      </c>
      <c r="FI384" s="16">
        <v>381</v>
      </c>
      <c r="FJ384" s="17" t="str">
        <f t="shared" si="87"/>
        <v/>
      </c>
      <c r="FK384" s="17">
        <f t="shared" si="83"/>
        <v>22</v>
      </c>
      <c r="FL384" s="18" t="str">
        <f t="shared" si="88"/>
        <v>00010110</v>
      </c>
    </row>
    <row r="385" spans="159:168">
      <c r="FC385">
        <v>382</v>
      </c>
      <c r="FD385">
        <f t="shared" si="84"/>
        <v>14</v>
      </c>
      <c r="FE385">
        <f t="shared" si="85"/>
        <v>24</v>
      </c>
      <c r="FF385" t="str">
        <f t="shared" si="86"/>
        <v/>
      </c>
      <c r="FI385" s="16">
        <v>382</v>
      </c>
      <c r="FJ385" s="17" t="str">
        <f t="shared" si="87"/>
        <v/>
      </c>
      <c r="FK385" s="17">
        <f t="shared" si="83"/>
        <v>151</v>
      </c>
      <c r="FL385" s="18" t="str">
        <f t="shared" si="88"/>
        <v>10010111</v>
      </c>
    </row>
    <row r="386" spans="159:168">
      <c r="FC386">
        <v>383</v>
      </c>
      <c r="FD386">
        <f t="shared" si="84"/>
        <v>15</v>
      </c>
      <c r="FE386">
        <f t="shared" si="85"/>
        <v>24</v>
      </c>
      <c r="FF386" t="str">
        <f t="shared" si="86"/>
        <v/>
      </c>
      <c r="FI386" s="16">
        <v>383</v>
      </c>
      <c r="FJ386" s="17" t="str">
        <f t="shared" si="87"/>
        <v/>
      </c>
      <c r="FK386" s="17">
        <f t="shared" si="83"/>
        <v>251</v>
      </c>
      <c r="FL386" s="18" t="str">
        <f t="shared" si="88"/>
        <v>11111011</v>
      </c>
    </row>
    <row r="387" spans="159:168">
      <c r="FC387">
        <v>384</v>
      </c>
      <c r="FD387">
        <f t="shared" si="84"/>
        <v>16</v>
      </c>
      <c r="FE387">
        <f t="shared" si="85"/>
        <v>24</v>
      </c>
      <c r="FF387" t="str">
        <f t="shared" si="86"/>
        <v/>
      </c>
      <c r="FI387" s="16">
        <v>384</v>
      </c>
      <c r="FJ387" s="17" t="str">
        <f t="shared" si="87"/>
        <v/>
      </c>
      <c r="FK387" s="17">
        <f t="shared" si="83"/>
        <v>230</v>
      </c>
      <c r="FL387" s="18" t="str">
        <f t="shared" si="88"/>
        <v>11100110</v>
      </c>
    </row>
    <row r="388" spans="159:168">
      <c r="FC388">
        <v>385</v>
      </c>
      <c r="FD388">
        <f t="shared" si="84"/>
        <v>1</v>
      </c>
      <c r="FE388">
        <f t="shared" si="85"/>
        <v>25</v>
      </c>
      <c r="FF388" t="str">
        <f t="shared" si="86"/>
        <v/>
      </c>
      <c r="FI388" s="16">
        <v>385</v>
      </c>
      <c r="FJ388" s="17" t="str">
        <f t="shared" si="87"/>
        <v/>
      </c>
      <c r="FK388" s="17">
        <f t="shared" si="83"/>
        <v>105</v>
      </c>
      <c r="FL388" s="18" t="str">
        <f t="shared" si="88"/>
        <v>01101001</v>
      </c>
    </row>
    <row r="389" spans="159:168">
      <c r="FC389">
        <v>386</v>
      </c>
      <c r="FD389">
        <f t="shared" si="84"/>
        <v>2</v>
      </c>
      <c r="FE389">
        <f t="shared" si="85"/>
        <v>25</v>
      </c>
      <c r="FF389" t="str">
        <f t="shared" si="86"/>
        <v/>
      </c>
      <c r="FI389" s="16">
        <v>386</v>
      </c>
      <c r="FJ389" s="17" t="str">
        <f t="shared" si="87"/>
        <v/>
      </c>
      <c r="FK389" s="17">
        <f t="shared" ref="FK389:FK452" si="89">IF(FI389&lt;=$FH$2,FF389,IF(FI389&lt;=$FH$2+$FH$3,INDEX($FJ$4:$FJ$2494,FI389-$FH$2),""))</f>
        <v>138</v>
      </c>
      <c r="FL389" s="18" t="str">
        <f t="shared" si="88"/>
        <v>10001010</v>
      </c>
    </row>
    <row r="390" spans="159:168">
      <c r="FC390">
        <v>387</v>
      </c>
      <c r="FD390">
        <f t="shared" si="84"/>
        <v>3</v>
      </c>
      <c r="FE390">
        <f t="shared" si="85"/>
        <v>25</v>
      </c>
      <c r="FF390" t="str">
        <f t="shared" si="86"/>
        <v/>
      </c>
      <c r="FI390" s="16">
        <v>387</v>
      </c>
      <c r="FJ390" s="17" t="str">
        <f t="shared" si="87"/>
        <v/>
      </c>
      <c r="FK390" s="17">
        <f t="shared" si="89"/>
        <v>35</v>
      </c>
      <c r="FL390" s="18" t="str">
        <f t="shared" si="88"/>
        <v>00100011</v>
      </c>
    </row>
    <row r="391" spans="159:168">
      <c r="FC391">
        <v>388</v>
      </c>
      <c r="FD391">
        <f t="shared" si="84"/>
        <v>4</v>
      </c>
      <c r="FE391">
        <f t="shared" si="85"/>
        <v>25</v>
      </c>
      <c r="FF391" t="str">
        <f t="shared" si="86"/>
        <v/>
      </c>
      <c r="FI391" s="16">
        <v>388</v>
      </c>
      <c r="FJ391" s="17" t="str">
        <f t="shared" si="87"/>
        <v/>
      </c>
      <c r="FK391" s="17">
        <f t="shared" si="89"/>
        <v>0</v>
      </c>
      <c r="FL391" s="18" t="str">
        <f t="shared" si="88"/>
        <v>00000000</v>
      </c>
    </row>
    <row r="392" spans="159:168">
      <c r="FC392">
        <v>389</v>
      </c>
      <c r="FD392">
        <f t="shared" si="84"/>
        <v>5</v>
      </c>
      <c r="FE392">
        <f t="shared" si="85"/>
        <v>25</v>
      </c>
      <c r="FF392" t="str">
        <f t="shared" si="86"/>
        <v/>
      </c>
      <c r="FI392" s="16">
        <v>389</v>
      </c>
      <c r="FJ392" s="17" t="str">
        <f t="shared" si="87"/>
        <v/>
      </c>
      <c r="FK392" s="17">
        <f t="shared" si="89"/>
        <v>177</v>
      </c>
      <c r="FL392" s="18" t="str">
        <f t="shared" si="88"/>
        <v>10110001</v>
      </c>
    </row>
    <row r="393" spans="159:168">
      <c r="FC393">
        <v>390</v>
      </c>
      <c r="FD393">
        <f t="shared" si="84"/>
        <v>6</v>
      </c>
      <c r="FE393">
        <f t="shared" si="85"/>
        <v>25</v>
      </c>
      <c r="FF393" t="str">
        <f t="shared" si="86"/>
        <v/>
      </c>
      <c r="FI393" s="16">
        <v>390</v>
      </c>
      <c r="FJ393" s="17" t="str">
        <f t="shared" si="87"/>
        <v/>
      </c>
      <c r="FK393" s="17">
        <f t="shared" si="89"/>
        <v>82</v>
      </c>
      <c r="FL393" s="18" t="str">
        <f t="shared" si="88"/>
        <v>01010010</v>
      </c>
    </row>
    <row r="394" spans="159:168">
      <c r="FC394">
        <v>391</v>
      </c>
      <c r="FD394">
        <f t="shared" si="84"/>
        <v>7</v>
      </c>
      <c r="FE394">
        <f t="shared" si="85"/>
        <v>25</v>
      </c>
      <c r="FF394" t="str">
        <f t="shared" si="86"/>
        <v/>
      </c>
      <c r="FI394" s="16">
        <v>391</v>
      </c>
      <c r="FJ394" s="17" t="str">
        <f t="shared" si="87"/>
        <v/>
      </c>
      <c r="FK394" s="17">
        <f t="shared" si="89"/>
        <v>188</v>
      </c>
      <c r="FL394" s="18" t="str">
        <f t="shared" si="88"/>
        <v>10111100</v>
      </c>
    </row>
    <row r="395" spans="159:168">
      <c r="FC395">
        <v>392</v>
      </c>
      <c r="FD395">
        <f t="shared" si="84"/>
        <v>8</v>
      </c>
      <c r="FE395">
        <f t="shared" si="85"/>
        <v>25</v>
      </c>
      <c r="FF395" t="str">
        <f t="shared" si="86"/>
        <v/>
      </c>
      <c r="FI395" s="16">
        <v>392</v>
      </c>
      <c r="FJ395" s="17" t="str">
        <f t="shared" si="87"/>
        <v/>
      </c>
      <c r="FK395" s="17">
        <f t="shared" si="89"/>
        <v>190</v>
      </c>
      <c r="FL395" s="18" t="str">
        <f t="shared" si="88"/>
        <v>10111110</v>
      </c>
    </row>
    <row r="396" spans="159:168">
      <c r="FC396">
        <v>393</v>
      </c>
      <c r="FD396">
        <f t="shared" si="84"/>
        <v>9</v>
      </c>
      <c r="FE396">
        <f t="shared" si="85"/>
        <v>25</v>
      </c>
      <c r="FF396" t="str">
        <f t="shared" si="86"/>
        <v/>
      </c>
      <c r="FI396" s="16">
        <v>393</v>
      </c>
      <c r="FJ396" s="17" t="str">
        <f t="shared" si="87"/>
        <v/>
      </c>
      <c r="FK396" s="17">
        <f t="shared" si="89"/>
        <v>165</v>
      </c>
      <c r="FL396" s="18" t="str">
        <f t="shared" si="88"/>
        <v>10100101</v>
      </c>
    </row>
    <row r="397" spans="159:168">
      <c r="FC397">
        <v>394</v>
      </c>
      <c r="FD397">
        <f t="shared" si="84"/>
        <v>10</v>
      </c>
      <c r="FE397">
        <f t="shared" si="85"/>
        <v>25</v>
      </c>
      <c r="FF397" t="str">
        <f t="shared" si="86"/>
        <v/>
      </c>
      <c r="FI397" s="16">
        <v>394</v>
      </c>
      <c r="FJ397" s="17" t="str">
        <f t="shared" si="87"/>
        <v/>
      </c>
      <c r="FK397" s="17">
        <f t="shared" si="89"/>
        <v>160</v>
      </c>
      <c r="FL397" s="18" t="str">
        <f t="shared" si="88"/>
        <v>10100000</v>
      </c>
    </row>
    <row r="398" spans="159:168">
      <c r="FC398">
        <v>395</v>
      </c>
      <c r="FD398">
        <f t="shared" si="84"/>
        <v>11</v>
      </c>
      <c r="FE398">
        <f t="shared" si="85"/>
        <v>25</v>
      </c>
      <c r="FF398" t="str">
        <f t="shared" si="86"/>
        <v/>
      </c>
      <c r="FI398" s="16">
        <v>395</v>
      </c>
      <c r="FJ398" s="17" t="str">
        <f t="shared" si="87"/>
        <v/>
      </c>
      <c r="FK398" s="17">
        <f t="shared" si="89"/>
        <v>170</v>
      </c>
      <c r="FL398" s="18" t="str">
        <f t="shared" si="88"/>
        <v>10101010</v>
      </c>
    </row>
    <row r="399" spans="159:168">
      <c r="FC399">
        <v>396</v>
      </c>
      <c r="FD399">
        <f t="shared" si="84"/>
        <v>12</v>
      </c>
      <c r="FE399">
        <f t="shared" si="85"/>
        <v>25</v>
      </c>
      <c r="FF399" t="str">
        <f t="shared" si="86"/>
        <v/>
      </c>
      <c r="FI399" s="16">
        <v>396</v>
      </c>
      <c r="FJ399" s="17" t="str">
        <f t="shared" si="87"/>
        <v/>
      </c>
      <c r="FK399" s="17">
        <f t="shared" si="89"/>
        <v>29</v>
      </c>
      <c r="FL399" s="18" t="str">
        <f t="shared" si="88"/>
        <v>00011101</v>
      </c>
    </row>
    <row r="400" spans="159:168">
      <c r="FC400">
        <v>397</v>
      </c>
      <c r="FD400">
        <f t="shared" si="84"/>
        <v>13</v>
      </c>
      <c r="FE400">
        <f t="shared" si="85"/>
        <v>25</v>
      </c>
      <c r="FF400" t="str">
        <f t="shared" si="86"/>
        <v/>
      </c>
      <c r="FI400" s="16">
        <v>397</v>
      </c>
      <c r="FJ400" s="17" t="str">
        <f t="shared" si="87"/>
        <v/>
      </c>
      <c r="FK400" s="17">
        <f t="shared" si="89"/>
        <v>183</v>
      </c>
      <c r="FL400" s="18" t="str">
        <f t="shared" si="88"/>
        <v>10110111</v>
      </c>
    </row>
    <row r="401" spans="159:168">
      <c r="FC401">
        <v>398</v>
      </c>
      <c r="FD401">
        <f t="shared" si="84"/>
        <v>14</v>
      </c>
      <c r="FE401">
        <f t="shared" si="85"/>
        <v>25</v>
      </c>
      <c r="FF401" t="str">
        <f t="shared" si="86"/>
        <v/>
      </c>
      <c r="FI401" s="16">
        <v>398</v>
      </c>
      <c r="FJ401" s="17" t="str">
        <f t="shared" si="87"/>
        <v/>
      </c>
      <c r="FK401" s="17">
        <f t="shared" si="89"/>
        <v>64</v>
      </c>
      <c r="FL401" s="18" t="str">
        <f t="shared" si="88"/>
        <v>01000000</v>
      </c>
    </row>
    <row r="402" spans="159:168">
      <c r="FC402">
        <v>399</v>
      </c>
      <c r="FD402">
        <f t="shared" si="84"/>
        <v>15</v>
      </c>
      <c r="FE402">
        <f t="shared" si="85"/>
        <v>25</v>
      </c>
      <c r="FF402" t="str">
        <f t="shared" si="86"/>
        <v/>
      </c>
      <c r="FI402" s="16">
        <v>399</v>
      </c>
      <c r="FJ402" s="17" t="str">
        <f t="shared" si="87"/>
        <v/>
      </c>
      <c r="FK402" s="17">
        <f t="shared" si="89"/>
        <v>86</v>
      </c>
      <c r="FL402" s="18" t="str">
        <f t="shared" si="88"/>
        <v>01010110</v>
      </c>
    </row>
    <row r="403" spans="159:168">
      <c r="FC403">
        <v>400</v>
      </c>
      <c r="FD403">
        <f t="shared" si="84"/>
        <v>16</v>
      </c>
      <c r="FE403">
        <f t="shared" si="85"/>
        <v>25</v>
      </c>
      <c r="FF403" t="str">
        <f t="shared" si="86"/>
        <v/>
      </c>
      <c r="FI403" s="16">
        <v>400</v>
      </c>
      <c r="FJ403" s="17" t="str">
        <f t="shared" si="87"/>
        <v/>
      </c>
      <c r="FK403" s="17">
        <f t="shared" si="89"/>
        <v>151</v>
      </c>
      <c r="FL403" s="18" t="str">
        <f t="shared" si="88"/>
        <v>10010111</v>
      </c>
    </row>
    <row r="404" spans="159:168">
      <c r="FC404">
        <v>401</v>
      </c>
      <c r="FD404">
        <f t="shared" si="84"/>
        <v>1</v>
      </c>
      <c r="FE404">
        <f t="shared" si="85"/>
        <v>26</v>
      </c>
      <c r="FF404" t="str">
        <f t="shared" si="86"/>
        <v/>
      </c>
      <c r="FI404" s="16">
        <v>401</v>
      </c>
      <c r="FJ404" s="17" t="str">
        <f t="shared" si="87"/>
        <v/>
      </c>
      <c r="FK404" s="17">
        <f t="shared" si="89"/>
        <v>151</v>
      </c>
      <c r="FL404" s="18" t="str">
        <f t="shared" si="88"/>
        <v>10010111</v>
      </c>
    </row>
    <row r="405" spans="159:168">
      <c r="FC405">
        <v>402</v>
      </c>
      <c r="FD405">
        <f t="shared" si="84"/>
        <v>2</v>
      </c>
      <c r="FE405">
        <f t="shared" si="85"/>
        <v>26</v>
      </c>
      <c r="FF405" t="str">
        <f t="shared" si="86"/>
        <v/>
      </c>
      <c r="FI405" s="16">
        <v>402</v>
      </c>
      <c r="FJ405" s="17" t="str">
        <f t="shared" si="87"/>
        <v/>
      </c>
      <c r="FK405" s="17">
        <f t="shared" si="89"/>
        <v>76</v>
      </c>
      <c r="FL405" s="18" t="str">
        <f t="shared" si="88"/>
        <v>01001100</v>
      </c>
    </row>
    <row r="406" spans="159:168">
      <c r="FC406">
        <v>403</v>
      </c>
      <c r="FD406">
        <f t="shared" ref="FD406:FD469" si="90">IF(MOD(FC406,$FB$1+$FB$2)=0,$FB$1+$FB$2,MOD(FC406,$FB$1+$FB$2))</f>
        <v>3</v>
      </c>
      <c r="FE406">
        <f t="shared" ref="FE406:FE469" si="91">ROUNDUP(FC406/($FB$1+$FB$2),0)</f>
        <v>26</v>
      </c>
      <c r="FF406" t="str">
        <f t="shared" ref="FF406:FF469" si="92">IF(FE406&lt;$FB$3,INDEX($E$4:$DV$84,FD406,FE406),IF(FE406=$FB$3,INDEX($E$4:$DV$84,FD406+$FB$1,FE406),""))</f>
        <v/>
      </c>
      <c r="FI406" s="16">
        <v>403</v>
      </c>
      <c r="FJ406" s="17" t="str">
        <f t="shared" ref="FJ406:FJ469" si="93">IF(FE406&lt;=$FH$1,INDEX($DW$4:$EZ$84,FD406,FE406),"")</f>
        <v/>
      </c>
      <c r="FK406" s="17">
        <f t="shared" si="89"/>
        <v>140</v>
      </c>
      <c r="FL406" s="18" t="str">
        <f t="shared" ref="FL406:FL469" si="94">IFERROR(TEXT(DEC2BIN(FK406),"00000000"),"")</f>
        <v>10001100</v>
      </c>
    </row>
    <row r="407" spans="159:168">
      <c r="FC407">
        <v>404</v>
      </c>
      <c r="FD407">
        <f t="shared" si="90"/>
        <v>4</v>
      </c>
      <c r="FE407">
        <f t="shared" si="91"/>
        <v>26</v>
      </c>
      <c r="FF407" t="str">
        <f t="shared" si="92"/>
        <v/>
      </c>
      <c r="FI407" s="16">
        <v>404</v>
      </c>
      <c r="FJ407" s="17" t="str">
        <f t="shared" si="93"/>
        <v/>
      </c>
      <c r="FK407" s="17">
        <f t="shared" si="89"/>
        <v>0</v>
      </c>
      <c r="FL407" s="18" t="str">
        <f t="shared" si="94"/>
        <v>00000000</v>
      </c>
    </row>
    <row r="408" spans="159:168">
      <c r="FC408">
        <v>405</v>
      </c>
      <c r="FD408">
        <f t="shared" si="90"/>
        <v>5</v>
      </c>
      <c r="FE408">
        <f t="shared" si="91"/>
        <v>26</v>
      </c>
      <c r="FF408" t="str">
        <f t="shared" si="92"/>
        <v/>
      </c>
      <c r="FI408" s="16">
        <v>405</v>
      </c>
      <c r="FJ408" s="17" t="str">
        <f t="shared" si="93"/>
        <v/>
      </c>
      <c r="FK408" s="17">
        <f t="shared" si="89"/>
        <v>17</v>
      </c>
      <c r="FL408" s="18" t="str">
        <f t="shared" si="94"/>
        <v>00010001</v>
      </c>
    </row>
    <row r="409" spans="159:168">
      <c r="FC409">
        <v>406</v>
      </c>
      <c r="FD409">
        <f t="shared" si="90"/>
        <v>6</v>
      </c>
      <c r="FE409">
        <f t="shared" si="91"/>
        <v>26</v>
      </c>
      <c r="FF409" t="str">
        <f t="shared" si="92"/>
        <v/>
      </c>
      <c r="FI409" s="16">
        <v>406</v>
      </c>
      <c r="FJ409" s="17" t="str">
        <f t="shared" si="93"/>
        <v/>
      </c>
      <c r="FK409" s="17">
        <f t="shared" si="89"/>
        <v>236</v>
      </c>
      <c r="FL409" s="18" t="str">
        <f t="shared" si="94"/>
        <v>11101100</v>
      </c>
    </row>
    <row r="410" spans="159:168">
      <c r="FC410">
        <v>407</v>
      </c>
      <c r="FD410">
        <f t="shared" si="90"/>
        <v>7</v>
      </c>
      <c r="FE410">
        <f t="shared" si="91"/>
        <v>26</v>
      </c>
      <c r="FF410" t="str">
        <f t="shared" si="92"/>
        <v/>
      </c>
      <c r="FI410" s="16">
        <v>407</v>
      </c>
      <c r="FJ410" s="17" t="str">
        <f t="shared" si="93"/>
        <v/>
      </c>
      <c r="FK410" s="17">
        <f t="shared" si="89"/>
        <v>216</v>
      </c>
      <c r="FL410" s="18" t="str">
        <f t="shared" si="94"/>
        <v>11011000</v>
      </c>
    </row>
    <row r="411" spans="159:168">
      <c r="FC411">
        <v>408</v>
      </c>
      <c r="FD411">
        <f t="shared" si="90"/>
        <v>8</v>
      </c>
      <c r="FE411">
        <f t="shared" si="91"/>
        <v>26</v>
      </c>
      <c r="FF411" t="str">
        <f t="shared" si="92"/>
        <v/>
      </c>
      <c r="FI411" s="16">
        <v>408</v>
      </c>
      <c r="FJ411" s="17" t="str">
        <f t="shared" si="93"/>
        <v/>
      </c>
      <c r="FK411" s="17">
        <f t="shared" si="89"/>
        <v>113</v>
      </c>
      <c r="FL411" s="18" t="str">
        <f t="shared" si="94"/>
        <v>01110001</v>
      </c>
    </row>
    <row r="412" spans="159:168">
      <c r="FC412">
        <v>409</v>
      </c>
      <c r="FD412">
        <f t="shared" si="90"/>
        <v>9</v>
      </c>
      <c r="FE412">
        <f t="shared" si="91"/>
        <v>26</v>
      </c>
      <c r="FF412" t="str">
        <f t="shared" si="92"/>
        <v/>
      </c>
      <c r="FI412" s="16">
        <v>409</v>
      </c>
      <c r="FJ412" s="17" t="str">
        <f t="shared" si="93"/>
        <v/>
      </c>
      <c r="FK412" s="17">
        <f t="shared" si="89"/>
        <v>178</v>
      </c>
      <c r="FL412" s="18" t="str">
        <f t="shared" si="94"/>
        <v>10110010</v>
      </c>
    </row>
    <row r="413" spans="159:168">
      <c r="FC413">
        <v>410</v>
      </c>
      <c r="FD413">
        <f t="shared" si="90"/>
        <v>10</v>
      </c>
      <c r="FE413">
        <f t="shared" si="91"/>
        <v>26</v>
      </c>
      <c r="FF413" t="str">
        <f t="shared" si="92"/>
        <v/>
      </c>
      <c r="FI413" s="16">
        <v>410</v>
      </c>
      <c r="FJ413" s="17" t="str">
        <f t="shared" si="93"/>
        <v/>
      </c>
      <c r="FK413" s="17">
        <f t="shared" si="89"/>
        <v>173</v>
      </c>
      <c r="FL413" s="18" t="str">
        <f t="shared" si="94"/>
        <v>10101101</v>
      </c>
    </row>
    <row r="414" spans="159:168">
      <c r="FC414">
        <v>411</v>
      </c>
      <c r="FD414">
        <f t="shared" si="90"/>
        <v>11</v>
      </c>
      <c r="FE414">
        <f t="shared" si="91"/>
        <v>26</v>
      </c>
      <c r="FF414" t="str">
        <f t="shared" si="92"/>
        <v/>
      </c>
      <c r="FI414" s="16">
        <v>411</v>
      </c>
      <c r="FJ414" s="17" t="str">
        <f t="shared" si="93"/>
        <v/>
      </c>
      <c r="FK414" s="17">
        <f t="shared" si="89"/>
        <v>42</v>
      </c>
      <c r="FL414" s="18" t="str">
        <f t="shared" si="94"/>
        <v>00101010</v>
      </c>
    </row>
    <row r="415" spans="159:168">
      <c r="FC415">
        <v>412</v>
      </c>
      <c r="FD415">
        <f t="shared" si="90"/>
        <v>12</v>
      </c>
      <c r="FE415">
        <f t="shared" si="91"/>
        <v>26</v>
      </c>
      <c r="FF415" t="str">
        <f t="shared" si="92"/>
        <v/>
      </c>
      <c r="FI415" s="16">
        <v>412</v>
      </c>
      <c r="FJ415" s="17" t="str">
        <f t="shared" si="93"/>
        <v/>
      </c>
      <c r="FK415" s="17">
        <f t="shared" si="89"/>
        <v>240</v>
      </c>
      <c r="FL415" s="18" t="str">
        <f t="shared" si="94"/>
        <v>11110000</v>
      </c>
    </row>
    <row r="416" spans="159:168">
      <c r="FC416">
        <v>413</v>
      </c>
      <c r="FD416">
        <f t="shared" si="90"/>
        <v>13</v>
      </c>
      <c r="FE416">
        <f t="shared" si="91"/>
        <v>26</v>
      </c>
      <c r="FF416" t="str">
        <f t="shared" si="92"/>
        <v/>
      </c>
      <c r="FI416" s="16">
        <v>413</v>
      </c>
      <c r="FJ416" s="17" t="str">
        <f t="shared" si="93"/>
        <v/>
      </c>
      <c r="FK416" s="17">
        <f t="shared" si="89"/>
        <v>203</v>
      </c>
      <c r="FL416" s="18" t="str">
        <f t="shared" si="94"/>
        <v>11001011</v>
      </c>
    </row>
    <row r="417" spans="159:168">
      <c r="FC417">
        <v>414</v>
      </c>
      <c r="FD417">
        <f t="shared" si="90"/>
        <v>14</v>
      </c>
      <c r="FE417">
        <f t="shared" si="91"/>
        <v>26</v>
      </c>
      <c r="FF417" t="str">
        <f t="shared" si="92"/>
        <v/>
      </c>
      <c r="FI417" s="16">
        <v>414</v>
      </c>
      <c r="FJ417" s="17" t="str">
        <f t="shared" si="93"/>
        <v/>
      </c>
      <c r="FK417" s="17">
        <f t="shared" si="89"/>
        <v>5</v>
      </c>
      <c r="FL417" s="18" t="str">
        <f t="shared" si="94"/>
        <v>00000101</v>
      </c>
    </row>
    <row r="418" spans="159:168">
      <c r="FC418">
        <v>415</v>
      </c>
      <c r="FD418">
        <f t="shared" si="90"/>
        <v>15</v>
      </c>
      <c r="FE418">
        <f t="shared" si="91"/>
        <v>26</v>
      </c>
      <c r="FF418" t="str">
        <f t="shared" si="92"/>
        <v/>
      </c>
      <c r="FI418" s="16">
        <v>415</v>
      </c>
      <c r="FJ418" s="17" t="str">
        <f t="shared" si="93"/>
        <v/>
      </c>
      <c r="FK418" s="17">
        <f t="shared" si="89"/>
        <v>39</v>
      </c>
      <c r="FL418" s="18" t="str">
        <f t="shared" si="94"/>
        <v>00100111</v>
      </c>
    </row>
    <row r="419" spans="159:168">
      <c r="FC419">
        <v>416</v>
      </c>
      <c r="FD419">
        <f t="shared" si="90"/>
        <v>16</v>
      </c>
      <c r="FE419">
        <f t="shared" si="91"/>
        <v>26</v>
      </c>
      <c r="FF419" t="str">
        <f t="shared" si="92"/>
        <v/>
      </c>
      <c r="FI419" s="16">
        <v>416</v>
      </c>
      <c r="FJ419" s="17" t="str">
        <f t="shared" si="93"/>
        <v/>
      </c>
      <c r="FK419" s="17">
        <f t="shared" si="89"/>
        <v>167</v>
      </c>
      <c r="FL419" s="18" t="str">
        <f t="shared" si="94"/>
        <v>10100111</v>
      </c>
    </row>
    <row r="420" spans="159:168">
      <c r="FC420">
        <v>417</v>
      </c>
      <c r="FD420">
        <f t="shared" si="90"/>
        <v>1</v>
      </c>
      <c r="FE420">
        <f t="shared" si="91"/>
        <v>27</v>
      </c>
      <c r="FF420" t="str">
        <f t="shared" si="92"/>
        <v/>
      </c>
      <c r="FI420" s="16">
        <v>417</v>
      </c>
      <c r="FJ420" s="17" t="str">
        <f t="shared" si="93"/>
        <v/>
      </c>
      <c r="FK420" s="17">
        <f t="shared" si="89"/>
        <v>209</v>
      </c>
      <c r="FL420" s="18" t="str">
        <f t="shared" si="94"/>
        <v>11010001</v>
      </c>
    </row>
    <row r="421" spans="159:168">
      <c r="FC421">
        <v>418</v>
      </c>
      <c r="FD421">
        <f t="shared" si="90"/>
        <v>2</v>
      </c>
      <c r="FE421">
        <f t="shared" si="91"/>
        <v>27</v>
      </c>
      <c r="FF421" t="str">
        <f t="shared" si="92"/>
        <v/>
      </c>
      <c r="FI421" s="16">
        <v>418</v>
      </c>
      <c r="FJ421" s="17" t="str">
        <f t="shared" si="93"/>
        <v/>
      </c>
      <c r="FK421" s="17">
        <f t="shared" si="89"/>
        <v>63</v>
      </c>
      <c r="FL421" s="18" t="str">
        <f t="shared" si="94"/>
        <v>00111111</v>
      </c>
    </row>
    <row r="422" spans="159:168">
      <c r="FC422">
        <v>419</v>
      </c>
      <c r="FD422">
        <f t="shared" si="90"/>
        <v>3</v>
      </c>
      <c r="FE422">
        <f t="shared" si="91"/>
        <v>27</v>
      </c>
      <c r="FF422" t="str">
        <f t="shared" si="92"/>
        <v/>
      </c>
      <c r="FI422" s="16">
        <v>419</v>
      </c>
      <c r="FJ422" s="17" t="str">
        <f t="shared" si="93"/>
        <v/>
      </c>
      <c r="FK422" s="17">
        <f t="shared" si="89"/>
        <v>158</v>
      </c>
      <c r="FL422" s="18" t="str">
        <f t="shared" si="94"/>
        <v>10011110</v>
      </c>
    </row>
    <row r="423" spans="159:168">
      <c r="FC423">
        <v>420</v>
      </c>
      <c r="FD423">
        <f t="shared" si="90"/>
        <v>4</v>
      </c>
      <c r="FE423">
        <f t="shared" si="91"/>
        <v>27</v>
      </c>
      <c r="FF423" t="str">
        <f t="shared" si="92"/>
        <v/>
      </c>
      <c r="FI423" s="16">
        <v>420</v>
      </c>
      <c r="FJ423" s="17" t="str">
        <f t="shared" si="93"/>
        <v/>
      </c>
      <c r="FK423" s="17">
        <f t="shared" si="89"/>
        <v>0</v>
      </c>
      <c r="FL423" s="18" t="str">
        <f t="shared" si="94"/>
        <v>00000000</v>
      </c>
    </row>
    <row r="424" spans="159:168">
      <c r="FC424">
        <v>421</v>
      </c>
      <c r="FD424">
        <f t="shared" si="90"/>
        <v>5</v>
      </c>
      <c r="FE424">
        <f t="shared" si="91"/>
        <v>27</v>
      </c>
      <c r="FF424" t="str">
        <f t="shared" si="92"/>
        <v/>
      </c>
      <c r="FI424" s="16">
        <v>421</v>
      </c>
      <c r="FJ424" s="17" t="str">
        <f t="shared" si="93"/>
        <v/>
      </c>
      <c r="FK424" s="17">
        <f t="shared" si="89"/>
        <v>43</v>
      </c>
      <c r="FL424" s="18" t="str">
        <f t="shared" si="94"/>
        <v>00101011</v>
      </c>
    </row>
    <row r="425" spans="159:168">
      <c r="FC425">
        <v>422</v>
      </c>
      <c r="FD425">
        <f t="shared" si="90"/>
        <v>6</v>
      </c>
      <c r="FE425">
        <f t="shared" si="91"/>
        <v>27</v>
      </c>
      <c r="FF425" t="str">
        <f t="shared" si="92"/>
        <v/>
      </c>
      <c r="FI425" s="16">
        <v>422</v>
      </c>
      <c r="FJ425" s="17" t="str">
        <f t="shared" si="93"/>
        <v/>
      </c>
      <c r="FK425" s="17">
        <f t="shared" si="89"/>
        <v>70</v>
      </c>
      <c r="FL425" s="18" t="str">
        <f t="shared" si="94"/>
        <v>01000110</v>
      </c>
    </row>
    <row r="426" spans="159:168">
      <c r="FC426">
        <v>423</v>
      </c>
      <c r="FD426">
        <f t="shared" si="90"/>
        <v>7</v>
      </c>
      <c r="FE426">
        <f t="shared" si="91"/>
        <v>27</v>
      </c>
      <c r="FF426" t="str">
        <f t="shared" si="92"/>
        <v/>
      </c>
      <c r="FI426" s="16">
        <v>423</v>
      </c>
      <c r="FJ426" s="17" t="str">
        <f t="shared" si="93"/>
        <v/>
      </c>
      <c r="FK426" s="17">
        <f t="shared" si="89"/>
        <v>155</v>
      </c>
      <c r="FL426" s="18" t="str">
        <f t="shared" si="94"/>
        <v>10011011</v>
      </c>
    </row>
    <row r="427" spans="159:168">
      <c r="FC427">
        <v>424</v>
      </c>
      <c r="FD427">
        <f t="shared" si="90"/>
        <v>8</v>
      </c>
      <c r="FE427">
        <f t="shared" si="91"/>
        <v>27</v>
      </c>
      <c r="FF427" t="str">
        <f t="shared" si="92"/>
        <v/>
      </c>
      <c r="FI427" s="16">
        <v>424</v>
      </c>
      <c r="FJ427" s="17" t="str">
        <f t="shared" si="93"/>
        <v/>
      </c>
      <c r="FK427" s="17">
        <f t="shared" si="89"/>
        <v>159</v>
      </c>
      <c r="FL427" s="18" t="str">
        <f t="shared" si="94"/>
        <v>10011111</v>
      </c>
    </row>
    <row r="428" spans="159:168">
      <c r="FC428">
        <v>425</v>
      </c>
      <c r="FD428">
        <f t="shared" si="90"/>
        <v>9</v>
      </c>
      <c r="FE428">
        <f t="shared" si="91"/>
        <v>27</v>
      </c>
      <c r="FF428" t="str">
        <f t="shared" si="92"/>
        <v/>
      </c>
      <c r="FI428" s="16">
        <v>425</v>
      </c>
      <c r="FJ428" s="17" t="str">
        <f t="shared" si="93"/>
        <v/>
      </c>
      <c r="FK428" s="17">
        <f t="shared" si="89"/>
        <v>96</v>
      </c>
      <c r="FL428" s="18" t="str">
        <f t="shared" si="94"/>
        <v>01100000</v>
      </c>
    </row>
    <row r="429" spans="159:168">
      <c r="FC429">
        <v>426</v>
      </c>
      <c r="FD429">
        <f t="shared" si="90"/>
        <v>10</v>
      </c>
      <c r="FE429">
        <f t="shared" si="91"/>
        <v>27</v>
      </c>
      <c r="FF429" t="str">
        <f t="shared" si="92"/>
        <v/>
      </c>
      <c r="FI429" s="16">
        <v>426</v>
      </c>
      <c r="FJ429" s="17" t="str">
        <f t="shared" si="93"/>
        <v/>
      </c>
      <c r="FK429" s="17">
        <f t="shared" si="89"/>
        <v>116</v>
      </c>
      <c r="FL429" s="18" t="str">
        <f t="shared" si="94"/>
        <v>01110100</v>
      </c>
    </row>
    <row r="430" spans="159:168">
      <c r="FC430">
        <v>427</v>
      </c>
      <c r="FD430">
        <f t="shared" si="90"/>
        <v>11</v>
      </c>
      <c r="FE430">
        <f t="shared" si="91"/>
        <v>27</v>
      </c>
      <c r="FF430" t="str">
        <f t="shared" si="92"/>
        <v/>
      </c>
      <c r="FI430" s="16">
        <v>427</v>
      </c>
      <c r="FJ430" s="17" t="str">
        <f t="shared" si="93"/>
        <v/>
      </c>
      <c r="FK430" s="17">
        <f t="shared" si="89"/>
        <v>112</v>
      </c>
      <c r="FL430" s="18" t="str">
        <f t="shared" si="94"/>
        <v>01110000</v>
      </c>
    </row>
    <row r="431" spans="159:168">
      <c r="FC431">
        <v>428</v>
      </c>
      <c r="FD431">
        <f t="shared" si="90"/>
        <v>12</v>
      </c>
      <c r="FE431">
        <f t="shared" si="91"/>
        <v>27</v>
      </c>
      <c r="FF431" t="str">
        <f t="shared" si="92"/>
        <v/>
      </c>
      <c r="FI431" s="16">
        <v>428</v>
      </c>
      <c r="FJ431" s="17" t="str">
        <f t="shared" si="93"/>
        <v/>
      </c>
      <c r="FK431" s="17">
        <f t="shared" si="89"/>
        <v>49</v>
      </c>
      <c r="FL431" s="18" t="str">
        <f t="shared" si="94"/>
        <v>00110001</v>
      </c>
    </row>
    <row r="432" spans="159:168">
      <c r="FC432">
        <v>429</v>
      </c>
      <c r="FD432">
        <f t="shared" si="90"/>
        <v>13</v>
      </c>
      <c r="FE432">
        <f t="shared" si="91"/>
        <v>27</v>
      </c>
      <c r="FF432" t="str">
        <f t="shared" si="92"/>
        <v/>
      </c>
      <c r="FI432" s="16">
        <v>429</v>
      </c>
      <c r="FJ432" s="17" t="str">
        <f t="shared" si="93"/>
        <v/>
      </c>
      <c r="FK432" s="17">
        <f t="shared" si="89"/>
        <v>216</v>
      </c>
      <c r="FL432" s="18" t="str">
        <f t="shared" si="94"/>
        <v>11011000</v>
      </c>
    </row>
    <row r="433" spans="159:168">
      <c r="FC433">
        <v>430</v>
      </c>
      <c r="FD433">
        <f t="shared" si="90"/>
        <v>14</v>
      </c>
      <c r="FE433">
        <f t="shared" si="91"/>
        <v>27</v>
      </c>
      <c r="FF433" t="str">
        <f t="shared" si="92"/>
        <v/>
      </c>
      <c r="FI433" s="16">
        <v>430</v>
      </c>
      <c r="FJ433" s="17" t="str">
        <f t="shared" si="93"/>
        <v/>
      </c>
      <c r="FK433" s="17">
        <f t="shared" si="89"/>
        <v>175</v>
      </c>
      <c r="FL433" s="18" t="str">
        <f t="shared" si="94"/>
        <v>10101111</v>
      </c>
    </row>
    <row r="434" spans="159:168">
      <c r="FC434">
        <v>431</v>
      </c>
      <c r="FD434">
        <f t="shared" si="90"/>
        <v>15</v>
      </c>
      <c r="FE434">
        <f t="shared" si="91"/>
        <v>27</v>
      </c>
      <c r="FF434" t="str">
        <f t="shared" si="92"/>
        <v/>
      </c>
      <c r="FI434" s="16">
        <v>431</v>
      </c>
      <c r="FJ434" s="17" t="str">
        <f t="shared" si="93"/>
        <v/>
      </c>
      <c r="FK434" s="17">
        <f t="shared" si="89"/>
        <v>218</v>
      </c>
      <c r="FL434" s="18" t="str">
        <f t="shared" si="94"/>
        <v>11011010</v>
      </c>
    </row>
    <row r="435" spans="159:168">
      <c r="FC435">
        <v>432</v>
      </c>
      <c r="FD435">
        <f t="shared" si="90"/>
        <v>16</v>
      </c>
      <c r="FE435">
        <f t="shared" si="91"/>
        <v>27</v>
      </c>
      <c r="FF435" t="str">
        <f t="shared" si="92"/>
        <v/>
      </c>
      <c r="FI435" s="16">
        <v>432</v>
      </c>
      <c r="FJ435" s="17" t="str">
        <f t="shared" si="93"/>
        <v/>
      </c>
      <c r="FK435" s="17">
        <f t="shared" si="89"/>
        <v>247</v>
      </c>
      <c r="FL435" s="18" t="str">
        <f t="shared" si="94"/>
        <v>11110111</v>
      </c>
    </row>
    <row r="436" spans="159:168">
      <c r="FC436">
        <v>433</v>
      </c>
      <c r="FD436">
        <f t="shared" si="90"/>
        <v>1</v>
      </c>
      <c r="FE436">
        <f t="shared" si="91"/>
        <v>28</v>
      </c>
      <c r="FF436" t="str">
        <f t="shared" si="92"/>
        <v/>
      </c>
      <c r="FI436" s="16">
        <v>433</v>
      </c>
      <c r="FJ436" s="17" t="str">
        <f t="shared" si="93"/>
        <v/>
      </c>
      <c r="FK436" s="17">
        <f t="shared" si="89"/>
        <v>160</v>
      </c>
      <c r="FL436" s="18" t="str">
        <f t="shared" si="94"/>
        <v>10100000</v>
      </c>
    </row>
    <row r="437" spans="159:168">
      <c r="FC437">
        <v>434</v>
      </c>
      <c r="FD437">
        <f t="shared" si="90"/>
        <v>2</v>
      </c>
      <c r="FE437">
        <f t="shared" si="91"/>
        <v>28</v>
      </c>
      <c r="FF437" t="str">
        <f t="shared" si="92"/>
        <v/>
      </c>
      <c r="FI437" s="16">
        <v>434</v>
      </c>
      <c r="FJ437" s="17" t="str">
        <f t="shared" si="93"/>
        <v/>
      </c>
      <c r="FK437" s="17">
        <f t="shared" si="89"/>
        <v>232</v>
      </c>
      <c r="FL437" s="18" t="str">
        <f t="shared" si="94"/>
        <v>11101000</v>
      </c>
    </row>
    <row r="438" spans="159:168">
      <c r="FC438">
        <v>435</v>
      </c>
      <c r="FD438">
        <f t="shared" si="90"/>
        <v>3</v>
      </c>
      <c r="FE438">
        <f t="shared" si="91"/>
        <v>28</v>
      </c>
      <c r="FF438" t="str">
        <f t="shared" si="92"/>
        <v/>
      </c>
      <c r="FI438" s="16">
        <v>435</v>
      </c>
      <c r="FJ438" s="17" t="str">
        <f t="shared" si="93"/>
        <v/>
      </c>
      <c r="FK438" s="17">
        <f t="shared" si="89"/>
        <v>174</v>
      </c>
      <c r="FL438" s="18" t="str">
        <f t="shared" si="94"/>
        <v>10101110</v>
      </c>
    </row>
    <row r="439" spans="159:168">
      <c r="FC439">
        <v>436</v>
      </c>
      <c r="FD439">
        <f t="shared" si="90"/>
        <v>4</v>
      </c>
      <c r="FE439">
        <f t="shared" si="91"/>
        <v>28</v>
      </c>
      <c r="FF439" t="str">
        <f t="shared" si="92"/>
        <v/>
      </c>
      <c r="FI439" s="16">
        <v>436</v>
      </c>
      <c r="FJ439" s="17" t="str">
        <f t="shared" si="93"/>
        <v/>
      </c>
      <c r="FK439" s="17">
        <f t="shared" si="89"/>
        <v>0</v>
      </c>
      <c r="FL439" s="18" t="str">
        <f t="shared" si="94"/>
        <v>00000000</v>
      </c>
    </row>
    <row r="440" spans="159:168">
      <c r="FC440">
        <v>437</v>
      </c>
      <c r="FD440">
        <f t="shared" si="90"/>
        <v>5</v>
      </c>
      <c r="FE440">
        <f t="shared" si="91"/>
        <v>28</v>
      </c>
      <c r="FF440" t="str">
        <f t="shared" si="92"/>
        <v/>
      </c>
      <c r="FI440" s="16">
        <v>437</v>
      </c>
      <c r="FJ440" s="17" t="str">
        <f t="shared" si="93"/>
        <v/>
      </c>
      <c r="FK440" s="17">
        <f t="shared" si="89"/>
        <v>26</v>
      </c>
      <c r="FL440" s="18" t="str">
        <f t="shared" si="94"/>
        <v>00011010</v>
      </c>
    </row>
    <row r="441" spans="159:168">
      <c r="FC441">
        <v>438</v>
      </c>
      <c r="FD441">
        <f t="shared" si="90"/>
        <v>6</v>
      </c>
      <c r="FE441">
        <f t="shared" si="91"/>
        <v>28</v>
      </c>
      <c r="FF441" t="str">
        <f t="shared" si="92"/>
        <v/>
      </c>
      <c r="FI441" s="16">
        <v>438</v>
      </c>
      <c r="FJ441" s="17" t="str">
        <f t="shared" si="93"/>
        <v/>
      </c>
      <c r="FK441" s="17">
        <f t="shared" si="89"/>
        <v>178</v>
      </c>
      <c r="FL441" s="18" t="str">
        <f t="shared" si="94"/>
        <v>10110010</v>
      </c>
    </row>
    <row r="442" spans="159:168">
      <c r="FC442">
        <v>439</v>
      </c>
      <c r="FD442">
        <f t="shared" si="90"/>
        <v>7</v>
      </c>
      <c r="FE442">
        <f t="shared" si="91"/>
        <v>28</v>
      </c>
      <c r="FF442" t="str">
        <f t="shared" si="92"/>
        <v/>
      </c>
      <c r="FI442" s="16">
        <v>439</v>
      </c>
      <c r="FJ442" s="17" t="str">
        <f t="shared" si="93"/>
        <v/>
      </c>
      <c r="FK442" s="17">
        <f t="shared" si="89"/>
        <v>157</v>
      </c>
      <c r="FL442" s="18" t="str">
        <f t="shared" si="94"/>
        <v>10011101</v>
      </c>
    </row>
    <row r="443" spans="159:168">
      <c r="FC443">
        <v>440</v>
      </c>
      <c r="FD443">
        <f t="shared" si="90"/>
        <v>8</v>
      </c>
      <c r="FE443">
        <f t="shared" si="91"/>
        <v>28</v>
      </c>
      <c r="FF443" t="str">
        <f t="shared" si="92"/>
        <v/>
      </c>
      <c r="FI443" s="16">
        <v>440</v>
      </c>
      <c r="FJ443" s="17" t="str">
        <f t="shared" si="93"/>
        <v/>
      </c>
      <c r="FK443" s="17">
        <f t="shared" si="89"/>
        <v>77</v>
      </c>
      <c r="FL443" s="18" t="str">
        <f t="shared" si="94"/>
        <v>01001101</v>
      </c>
    </row>
    <row r="444" spans="159:168">
      <c r="FC444">
        <v>441</v>
      </c>
      <c r="FD444">
        <f t="shared" si="90"/>
        <v>9</v>
      </c>
      <c r="FE444">
        <f t="shared" si="91"/>
        <v>28</v>
      </c>
      <c r="FF444" t="str">
        <f t="shared" si="92"/>
        <v/>
      </c>
      <c r="FI444" s="16">
        <v>441</v>
      </c>
      <c r="FJ444" s="17" t="str">
        <f t="shared" si="93"/>
        <v/>
      </c>
      <c r="FK444" s="17">
        <f t="shared" si="89"/>
        <v>200</v>
      </c>
      <c r="FL444" s="18" t="str">
        <f t="shared" si="94"/>
        <v>11001000</v>
      </c>
    </row>
    <row r="445" spans="159:168">
      <c r="FC445">
        <v>442</v>
      </c>
      <c r="FD445">
        <f t="shared" si="90"/>
        <v>10</v>
      </c>
      <c r="FE445">
        <f t="shared" si="91"/>
        <v>28</v>
      </c>
      <c r="FF445" t="str">
        <f t="shared" si="92"/>
        <v/>
      </c>
      <c r="FI445" s="16">
        <v>442</v>
      </c>
      <c r="FJ445" s="17" t="str">
        <f t="shared" si="93"/>
        <v/>
      </c>
      <c r="FK445" s="17">
        <f t="shared" si="89"/>
        <v>218</v>
      </c>
      <c r="FL445" s="18" t="str">
        <f t="shared" si="94"/>
        <v>11011010</v>
      </c>
    </row>
    <row r="446" spans="159:168">
      <c r="FC446">
        <v>443</v>
      </c>
      <c r="FD446">
        <f t="shared" si="90"/>
        <v>11</v>
      </c>
      <c r="FE446">
        <f t="shared" si="91"/>
        <v>28</v>
      </c>
      <c r="FF446" t="str">
        <f t="shared" si="92"/>
        <v/>
      </c>
      <c r="FI446" s="16">
        <v>443</v>
      </c>
      <c r="FJ446" s="17" t="str">
        <f t="shared" si="93"/>
        <v/>
      </c>
      <c r="FK446" s="17">
        <f t="shared" si="89"/>
        <v>240</v>
      </c>
      <c r="FL446" s="18" t="str">
        <f t="shared" si="94"/>
        <v>11110000</v>
      </c>
    </row>
    <row r="447" spans="159:168">
      <c r="FC447">
        <v>444</v>
      </c>
      <c r="FD447">
        <f t="shared" si="90"/>
        <v>12</v>
      </c>
      <c r="FE447">
        <f t="shared" si="91"/>
        <v>28</v>
      </c>
      <c r="FF447" t="str">
        <f t="shared" si="92"/>
        <v/>
      </c>
      <c r="FI447" s="16">
        <v>444</v>
      </c>
      <c r="FJ447" s="17" t="str">
        <f t="shared" si="93"/>
        <v/>
      </c>
      <c r="FK447" s="17">
        <f t="shared" si="89"/>
        <v>111</v>
      </c>
      <c r="FL447" s="18" t="str">
        <f t="shared" si="94"/>
        <v>01101111</v>
      </c>
    </row>
    <row r="448" spans="159:168">
      <c r="FC448">
        <v>445</v>
      </c>
      <c r="FD448">
        <f t="shared" si="90"/>
        <v>13</v>
      </c>
      <c r="FE448">
        <f t="shared" si="91"/>
        <v>28</v>
      </c>
      <c r="FF448" t="str">
        <f t="shared" si="92"/>
        <v/>
      </c>
      <c r="FI448" s="16">
        <v>445</v>
      </c>
      <c r="FJ448" s="17" t="str">
        <f t="shared" si="93"/>
        <v/>
      </c>
      <c r="FK448" s="17">
        <f t="shared" si="89"/>
        <v>27</v>
      </c>
      <c r="FL448" s="18" t="str">
        <f t="shared" si="94"/>
        <v>00011011</v>
      </c>
    </row>
    <row r="449" spans="159:168">
      <c r="FC449">
        <v>446</v>
      </c>
      <c r="FD449">
        <f t="shared" si="90"/>
        <v>14</v>
      </c>
      <c r="FE449">
        <f t="shared" si="91"/>
        <v>28</v>
      </c>
      <c r="FF449" t="str">
        <f t="shared" si="92"/>
        <v/>
      </c>
      <c r="FI449" s="16">
        <v>446</v>
      </c>
      <c r="FJ449" s="17" t="str">
        <f t="shared" si="93"/>
        <v/>
      </c>
      <c r="FK449" s="17">
        <f t="shared" si="89"/>
        <v>31</v>
      </c>
      <c r="FL449" s="18" t="str">
        <f t="shared" si="94"/>
        <v>00011111</v>
      </c>
    </row>
    <row r="450" spans="159:168">
      <c r="FC450">
        <v>447</v>
      </c>
      <c r="FD450">
        <f t="shared" si="90"/>
        <v>15</v>
      </c>
      <c r="FE450">
        <f t="shared" si="91"/>
        <v>28</v>
      </c>
      <c r="FF450" t="str">
        <f t="shared" si="92"/>
        <v/>
      </c>
      <c r="FI450" s="16">
        <v>447</v>
      </c>
      <c r="FJ450" s="17" t="str">
        <f t="shared" si="93"/>
        <v/>
      </c>
      <c r="FK450" s="17">
        <f t="shared" si="89"/>
        <v>179</v>
      </c>
      <c r="FL450" s="18" t="str">
        <f t="shared" si="94"/>
        <v>10110011</v>
      </c>
    </row>
    <row r="451" spans="159:168">
      <c r="FC451">
        <v>448</v>
      </c>
      <c r="FD451">
        <f t="shared" si="90"/>
        <v>16</v>
      </c>
      <c r="FE451">
        <f t="shared" si="91"/>
        <v>28</v>
      </c>
      <c r="FF451" t="str">
        <f t="shared" si="92"/>
        <v/>
      </c>
      <c r="FI451" s="16">
        <v>448</v>
      </c>
      <c r="FJ451" s="17" t="str">
        <f t="shared" si="93"/>
        <v/>
      </c>
      <c r="FK451" s="17">
        <f t="shared" si="89"/>
        <v>153</v>
      </c>
      <c r="FL451" s="18" t="str">
        <f t="shared" si="94"/>
        <v>10011001</v>
      </c>
    </row>
    <row r="452" spans="159:168">
      <c r="FC452">
        <v>449</v>
      </c>
      <c r="FD452">
        <f t="shared" si="90"/>
        <v>1</v>
      </c>
      <c r="FE452">
        <f t="shared" si="91"/>
        <v>29</v>
      </c>
      <c r="FF452" t="str">
        <f t="shared" si="92"/>
        <v/>
      </c>
      <c r="FI452" s="16">
        <v>449</v>
      </c>
      <c r="FJ452" s="17" t="str">
        <f t="shared" si="93"/>
        <v/>
      </c>
      <c r="FK452" s="17">
        <f t="shared" si="89"/>
        <v>92</v>
      </c>
      <c r="FL452" s="18" t="str">
        <f t="shared" si="94"/>
        <v>01011100</v>
      </c>
    </row>
    <row r="453" spans="159:168">
      <c r="FC453">
        <v>450</v>
      </c>
      <c r="FD453">
        <f t="shared" si="90"/>
        <v>2</v>
      </c>
      <c r="FE453">
        <f t="shared" si="91"/>
        <v>29</v>
      </c>
      <c r="FF453" t="str">
        <f t="shared" si="92"/>
        <v/>
      </c>
      <c r="FI453" s="16">
        <v>450</v>
      </c>
      <c r="FJ453" s="17" t="str">
        <f t="shared" si="93"/>
        <v/>
      </c>
      <c r="FK453" s="17">
        <f t="shared" ref="FK453:FK516" si="95">IF(FI453&lt;=$FH$2,FF453,IF(FI453&lt;=$FH$2+$FH$3,INDEX($FJ$4:$FJ$2494,FI453-$FH$2),""))</f>
        <v>55</v>
      </c>
      <c r="FL453" s="18" t="str">
        <f t="shared" si="94"/>
        <v>00110111</v>
      </c>
    </row>
    <row r="454" spans="159:168">
      <c r="FC454">
        <v>451</v>
      </c>
      <c r="FD454">
        <f t="shared" si="90"/>
        <v>3</v>
      </c>
      <c r="FE454">
        <f t="shared" si="91"/>
        <v>29</v>
      </c>
      <c r="FF454" t="str">
        <f t="shared" si="92"/>
        <v/>
      </c>
      <c r="FI454" s="16">
        <v>451</v>
      </c>
      <c r="FJ454" s="17" t="str">
        <f t="shared" si="93"/>
        <v/>
      </c>
      <c r="FK454" s="17">
        <f t="shared" si="95"/>
        <v>132</v>
      </c>
      <c r="FL454" s="18" t="str">
        <f t="shared" si="94"/>
        <v>10000100</v>
      </c>
    </row>
    <row r="455" spans="159:168">
      <c r="FC455">
        <v>452</v>
      </c>
      <c r="FD455">
        <f t="shared" si="90"/>
        <v>4</v>
      </c>
      <c r="FE455">
        <f t="shared" si="91"/>
        <v>29</v>
      </c>
      <c r="FF455" t="str">
        <f t="shared" si="92"/>
        <v/>
      </c>
      <c r="FI455" s="16">
        <v>452</v>
      </c>
      <c r="FJ455" s="17" t="str">
        <f t="shared" si="93"/>
        <v/>
      </c>
      <c r="FK455" s="17">
        <f t="shared" si="95"/>
        <v>0</v>
      </c>
      <c r="FL455" s="18" t="str">
        <f t="shared" si="94"/>
        <v>00000000</v>
      </c>
    </row>
    <row r="456" spans="159:168">
      <c r="FC456">
        <v>453</v>
      </c>
      <c r="FD456">
        <f t="shared" si="90"/>
        <v>5</v>
      </c>
      <c r="FE456">
        <f t="shared" si="91"/>
        <v>29</v>
      </c>
      <c r="FF456" t="str">
        <f t="shared" si="92"/>
        <v/>
      </c>
      <c r="FI456" s="16">
        <v>453</v>
      </c>
      <c r="FJ456" s="17" t="str">
        <f t="shared" si="93"/>
        <v/>
      </c>
      <c r="FK456" s="17">
        <f t="shared" si="95"/>
        <v>56</v>
      </c>
      <c r="FL456" s="18" t="str">
        <f t="shared" si="94"/>
        <v>00111000</v>
      </c>
    </row>
    <row r="457" spans="159:168">
      <c r="FC457">
        <v>454</v>
      </c>
      <c r="FD457">
        <f t="shared" si="90"/>
        <v>6</v>
      </c>
      <c r="FE457">
        <f t="shared" si="91"/>
        <v>29</v>
      </c>
      <c r="FF457" t="str">
        <f t="shared" si="92"/>
        <v/>
      </c>
      <c r="FI457" s="16">
        <v>454</v>
      </c>
      <c r="FJ457" s="17" t="str">
        <f t="shared" si="93"/>
        <v/>
      </c>
      <c r="FK457" s="17">
        <f t="shared" si="95"/>
        <v>90</v>
      </c>
      <c r="FL457" s="18" t="str">
        <f t="shared" si="94"/>
        <v>01011010</v>
      </c>
    </row>
    <row r="458" spans="159:168">
      <c r="FC458">
        <v>455</v>
      </c>
      <c r="FD458">
        <f t="shared" si="90"/>
        <v>7</v>
      </c>
      <c r="FE458">
        <f t="shared" si="91"/>
        <v>29</v>
      </c>
      <c r="FF458" t="str">
        <f t="shared" si="92"/>
        <v/>
      </c>
      <c r="FI458" s="16">
        <v>455</v>
      </c>
      <c r="FJ458" s="17" t="str">
        <f t="shared" si="93"/>
        <v/>
      </c>
      <c r="FK458" s="17">
        <f t="shared" si="95"/>
        <v>212</v>
      </c>
      <c r="FL458" s="18" t="str">
        <f t="shared" si="94"/>
        <v>11010100</v>
      </c>
    </row>
    <row r="459" spans="159:168">
      <c r="FC459">
        <v>456</v>
      </c>
      <c r="FD459">
        <f t="shared" si="90"/>
        <v>8</v>
      </c>
      <c r="FE459">
        <f t="shared" si="91"/>
        <v>29</v>
      </c>
      <c r="FF459" t="str">
        <f t="shared" si="92"/>
        <v/>
      </c>
      <c r="FI459" s="16">
        <v>456</v>
      </c>
      <c r="FJ459" s="17" t="str">
        <f t="shared" si="93"/>
        <v/>
      </c>
      <c r="FK459" s="17">
        <f t="shared" si="95"/>
        <v>211</v>
      </c>
      <c r="FL459" s="18" t="str">
        <f t="shared" si="94"/>
        <v>11010011</v>
      </c>
    </row>
    <row r="460" spans="159:168">
      <c r="FC460">
        <v>457</v>
      </c>
      <c r="FD460">
        <f t="shared" si="90"/>
        <v>9</v>
      </c>
      <c r="FE460">
        <f t="shared" si="91"/>
        <v>29</v>
      </c>
      <c r="FF460" t="str">
        <f t="shared" si="92"/>
        <v/>
      </c>
      <c r="FI460" s="16">
        <v>457</v>
      </c>
      <c r="FJ460" s="17" t="str">
        <f t="shared" si="93"/>
        <v/>
      </c>
      <c r="FK460" s="17">
        <f t="shared" si="95"/>
        <v>26</v>
      </c>
      <c r="FL460" s="18" t="str">
        <f t="shared" si="94"/>
        <v>00011010</v>
      </c>
    </row>
    <row r="461" spans="159:168">
      <c r="FC461">
        <v>458</v>
      </c>
      <c r="FD461">
        <f t="shared" si="90"/>
        <v>10</v>
      </c>
      <c r="FE461">
        <f t="shared" si="91"/>
        <v>29</v>
      </c>
      <c r="FF461" t="str">
        <f t="shared" si="92"/>
        <v/>
      </c>
      <c r="FI461" s="16">
        <v>458</v>
      </c>
      <c r="FJ461" s="17" t="str">
        <f t="shared" si="93"/>
        <v/>
      </c>
      <c r="FK461" s="17">
        <f t="shared" si="95"/>
        <v>108</v>
      </c>
      <c r="FL461" s="18" t="str">
        <f t="shared" si="94"/>
        <v>01101100</v>
      </c>
    </row>
    <row r="462" spans="159:168">
      <c r="FC462">
        <v>459</v>
      </c>
      <c r="FD462">
        <f t="shared" si="90"/>
        <v>11</v>
      </c>
      <c r="FE462">
        <f t="shared" si="91"/>
        <v>29</v>
      </c>
      <c r="FF462" t="str">
        <f t="shared" si="92"/>
        <v/>
      </c>
      <c r="FI462" s="16">
        <v>459</v>
      </c>
      <c r="FJ462" s="17" t="str">
        <f t="shared" si="93"/>
        <v/>
      </c>
      <c r="FK462" s="17">
        <f t="shared" si="95"/>
        <v>10</v>
      </c>
      <c r="FL462" s="18" t="str">
        <f t="shared" si="94"/>
        <v>00001010</v>
      </c>
    </row>
    <row r="463" spans="159:168">
      <c r="FC463">
        <v>460</v>
      </c>
      <c r="FD463">
        <f t="shared" si="90"/>
        <v>12</v>
      </c>
      <c r="FE463">
        <f t="shared" si="91"/>
        <v>29</v>
      </c>
      <c r="FF463" t="str">
        <f t="shared" si="92"/>
        <v/>
      </c>
      <c r="FI463" s="16">
        <v>460</v>
      </c>
      <c r="FJ463" s="17" t="str">
        <f t="shared" si="93"/>
        <v/>
      </c>
      <c r="FK463" s="17">
        <f t="shared" si="95"/>
        <v>243</v>
      </c>
      <c r="FL463" s="18" t="str">
        <f t="shared" si="94"/>
        <v>11110011</v>
      </c>
    </row>
    <row r="464" spans="159:168">
      <c r="FC464">
        <v>461</v>
      </c>
      <c r="FD464">
        <f t="shared" si="90"/>
        <v>13</v>
      </c>
      <c r="FE464">
        <f t="shared" si="91"/>
        <v>29</v>
      </c>
      <c r="FF464" t="str">
        <f t="shared" si="92"/>
        <v/>
      </c>
      <c r="FI464" s="16">
        <v>461</v>
      </c>
      <c r="FJ464" s="17" t="str">
        <f t="shared" si="93"/>
        <v/>
      </c>
      <c r="FK464" s="17">
        <f t="shared" si="95"/>
        <v>94</v>
      </c>
      <c r="FL464" s="18" t="str">
        <f t="shared" si="94"/>
        <v>01011110</v>
      </c>
    </row>
    <row r="465" spans="159:168">
      <c r="FC465">
        <v>462</v>
      </c>
      <c r="FD465">
        <f t="shared" si="90"/>
        <v>14</v>
      </c>
      <c r="FE465">
        <f t="shared" si="91"/>
        <v>29</v>
      </c>
      <c r="FF465" t="str">
        <f t="shared" si="92"/>
        <v/>
      </c>
      <c r="FI465" s="16">
        <v>462</v>
      </c>
      <c r="FJ465" s="17" t="str">
        <f t="shared" si="93"/>
        <v/>
      </c>
      <c r="FK465" s="17">
        <f t="shared" si="95"/>
        <v>63</v>
      </c>
      <c r="FL465" s="18" t="str">
        <f t="shared" si="94"/>
        <v>00111111</v>
      </c>
    </row>
    <row r="466" spans="159:168">
      <c r="FC466">
        <v>463</v>
      </c>
      <c r="FD466">
        <f t="shared" si="90"/>
        <v>15</v>
      </c>
      <c r="FE466">
        <f t="shared" si="91"/>
        <v>29</v>
      </c>
      <c r="FF466" t="str">
        <f t="shared" si="92"/>
        <v/>
      </c>
      <c r="FI466" s="16">
        <v>463</v>
      </c>
      <c r="FJ466" s="17" t="str">
        <f t="shared" si="93"/>
        <v/>
      </c>
      <c r="FK466" s="17">
        <f t="shared" si="95"/>
        <v>42</v>
      </c>
      <c r="FL466" s="18" t="str">
        <f t="shared" si="94"/>
        <v>00101010</v>
      </c>
    </row>
    <row r="467" spans="159:168">
      <c r="FC467">
        <v>464</v>
      </c>
      <c r="FD467">
        <f t="shared" si="90"/>
        <v>16</v>
      </c>
      <c r="FE467">
        <f t="shared" si="91"/>
        <v>29</v>
      </c>
      <c r="FF467" t="str">
        <f t="shared" si="92"/>
        <v/>
      </c>
      <c r="FI467" s="16">
        <v>464</v>
      </c>
      <c r="FJ467" s="17" t="str">
        <f t="shared" si="93"/>
        <v/>
      </c>
      <c r="FK467" s="17">
        <f t="shared" si="95"/>
        <v>111</v>
      </c>
      <c r="FL467" s="18" t="str">
        <f t="shared" si="94"/>
        <v>01101111</v>
      </c>
    </row>
    <row r="468" spans="159:168">
      <c r="FC468">
        <v>465</v>
      </c>
      <c r="FD468">
        <f t="shared" si="90"/>
        <v>1</v>
      </c>
      <c r="FE468">
        <f t="shared" si="91"/>
        <v>30</v>
      </c>
      <c r="FF468" t="str">
        <f t="shared" si="92"/>
        <v/>
      </c>
      <c r="FI468" s="16">
        <v>465</v>
      </c>
      <c r="FJ468" s="17" t="str">
        <f t="shared" si="93"/>
        <v/>
      </c>
      <c r="FK468" s="17">
        <f t="shared" si="95"/>
        <v>163</v>
      </c>
      <c r="FL468" s="18" t="str">
        <f t="shared" si="94"/>
        <v>10100011</v>
      </c>
    </row>
    <row r="469" spans="159:168">
      <c r="FC469">
        <v>466</v>
      </c>
      <c r="FD469">
        <f t="shared" si="90"/>
        <v>2</v>
      </c>
      <c r="FE469">
        <f t="shared" si="91"/>
        <v>30</v>
      </c>
      <c r="FF469" t="str">
        <f t="shared" si="92"/>
        <v/>
      </c>
      <c r="FI469" s="16">
        <v>466</v>
      </c>
      <c r="FJ469" s="17" t="str">
        <f t="shared" si="93"/>
        <v/>
      </c>
      <c r="FK469" s="17">
        <f t="shared" si="95"/>
        <v>102</v>
      </c>
      <c r="FL469" s="18" t="str">
        <f t="shared" si="94"/>
        <v>01100110</v>
      </c>
    </row>
    <row r="470" spans="159:168">
      <c r="FC470">
        <v>467</v>
      </c>
      <c r="FD470">
        <f t="shared" ref="FD470:FD533" si="96">IF(MOD(FC470,$FB$1+$FB$2)=0,$FB$1+$FB$2,MOD(FC470,$FB$1+$FB$2))</f>
        <v>3</v>
      </c>
      <c r="FE470">
        <f t="shared" ref="FE470:FE533" si="97">ROUNDUP(FC470/($FB$1+$FB$2),0)</f>
        <v>30</v>
      </c>
      <c r="FF470" t="str">
        <f t="shared" ref="FF470:FF533" si="98">IF(FE470&lt;$FB$3,INDEX($E$4:$DV$84,FD470,FE470),IF(FE470=$FB$3,INDEX($E$4:$DV$84,FD470+$FB$1,FE470),""))</f>
        <v/>
      </c>
      <c r="FI470" s="16">
        <v>467</v>
      </c>
      <c r="FJ470" s="17" t="str">
        <f t="shared" ref="FJ470:FJ533" si="99">IF(FE470&lt;=$FH$1,INDEX($DW$4:$EZ$84,FD470,FE470),"")</f>
        <v/>
      </c>
      <c r="FK470" s="17">
        <f t="shared" si="95"/>
        <v>79</v>
      </c>
      <c r="FL470" s="18" t="str">
        <f t="shared" ref="FL470:FL533" si="100">IFERROR(TEXT(DEC2BIN(FK470),"00000000"),"")</f>
        <v>01001111</v>
      </c>
    </row>
    <row r="471" spans="159:168">
      <c r="FC471">
        <v>468</v>
      </c>
      <c r="FD471">
        <f t="shared" si="96"/>
        <v>4</v>
      </c>
      <c r="FE471">
        <f t="shared" si="97"/>
        <v>30</v>
      </c>
      <c r="FF471" t="str">
        <f t="shared" si="98"/>
        <v/>
      </c>
      <c r="FI471" s="16">
        <v>468</v>
      </c>
      <c r="FJ471" s="17" t="str">
        <f t="shared" si="99"/>
        <v/>
      </c>
      <c r="FK471" s="17">
        <f t="shared" si="95"/>
        <v>0</v>
      </c>
      <c r="FL471" s="18" t="str">
        <f t="shared" si="100"/>
        <v>00000000</v>
      </c>
    </row>
    <row r="472" spans="159:168">
      <c r="FC472">
        <v>469</v>
      </c>
      <c r="FD472">
        <f t="shared" si="96"/>
        <v>5</v>
      </c>
      <c r="FE472">
        <f t="shared" si="97"/>
        <v>30</v>
      </c>
      <c r="FF472" t="str">
        <f t="shared" si="98"/>
        <v/>
      </c>
      <c r="FI472" s="16">
        <v>469</v>
      </c>
      <c r="FJ472" s="17" t="str">
        <f t="shared" si="99"/>
        <v/>
      </c>
      <c r="FK472" s="17">
        <f t="shared" si="95"/>
        <v>201</v>
      </c>
      <c r="FL472" s="18" t="str">
        <f t="shared" si="100"/>
        <v>11001001</v>
      </c>
    </row>
    <row r="473" spans="159:168">
      <c r="FC473">
        <v>470</v>
      </c>
      <c r="FD473">
        <f t="shared" si="96"/>
        <v>6</v>
      </c>
      <c r="FE473">
        <f t="shared" si="97"/>
        <v>30</v>
      </c>
      <c r="FF473" t="str">
        <f t="shared" si="98"/>
        <v/>
      </c>
      <c r="FI473" s="16">
        <v>470</v>
      </c>
      <c r="FJ473" s="17" t="str">
        <f t="shared" si="99"/>
        <v/>
      </c>
      <c r="FK473" s="17">
        <f t="shared" si="95"/>
        <v>6</v>
      </c>
      <c r="FL473" s="18" t="str">
        <f t="shared" si="100"/>
        <v>00000110</v>
      </c>
    </row>
    <row r="474" spans="159:168">
      <c r="FC474">
        <v>471</v>
      </c>
      <c r="FD474">
        <f t="shared" si="96"/>
        <v>7</v>
      </c>
      <c r="FE474">
        <f t="shared" si="97"/>
        <v>30</v>
      </c>
      <c r="FF474" t="str">
        <f t="shared" si="98"/>
        <v/>
      </c>
      <c r="FI474" s="16">
        <v>471</v>
      </c>
      <c r="FJ474" s="17" t="str">
        <f t="shared" si="99"/>
        <v/>
      </c>
      <c r="FK474" s="17">
        <f t="shared" si="95"/>
        <v>141</v>
      </c>
      <c r="FL474" s="18" t="str">
        <f t="shared" si="100"/>
        <v>10001101</v>
      </c>
    </row>
    <row r="475" spans="159:168">
      <c r="FC475">
        <v>472</v>
      </c>
      <c r="FD475">
        <f t="shared" si="96"/>
        <v>8</v>
      </c>
      <c r="FE475">
        <f t="shared" si="97"/>
        <v>30</v>
      </c>
      <c r="FF475" t="str">
        <f t="shared" si="98"/>
        <v/>
      </c>
      <c r="FI475" s="16">
        <v>472</v>
      </c>
      <c r="FJ475" s="17" t="str">
        <f t="shared" si="99"/>
        <v/>
      </c>
      <c r="FK475" s="17">
        <f t="shared" si="95"/>
        <v>16</v>
      </c>
      <c r="FL475" s="18" t="str">
        <f t="shared" si="100"/>
        <v>00010000</v>
      </c>
    </row>
    <row r="476" spans="159:168">
      <c r="FC476">
        <v>473</v>
      </c>
      <c r="FD476">
        <f t="shared" si="96"/>
        <v>9</v>
      </c>
      <c r="FE476">
        <f t="shared" si="97"/>
        <v>30</v>
      </c>
      <c r="FF476" t="str">
        <f t="shared" si="98"/>
        <v/>
      </c>
      <c r="FI476" s="16">
        <v>473</v>
      </c>
      <c r="FJ476" s="17" t="str">
        <f t="shared" si="99"/>
        <v/>
      </c>
      <c r="FK476" s="17">
        <f t="shared" si="95"/>
        <v>198</v>
      </c>
      <c r="FL476" s="18" t="str">
        <f t="shared" si="100"/>
        <v>11000110</v>
      </c>
    </row>
    <row r="477" spans="159:168">
      <c r="FC477">
        <v>474</v>
      </c>
      <c r="FD477">
        <f t="shared" si="96"/>
        <v>10</v>
      </c>
      <c r="FE477">
        <f t="shared" si="97"/>
        <v>30</v>
      </c>
      <c r="FF477" t="str">
        <f t="shared" si="98"/>
        <v/>
      </c>
      <c r="FI477" s="16">
        <v>474</v>
      </c>
      <c r="FJ477" s="17" t="str">
        <f t="shared" si="99"/>
        <v/>
      </c>
      <c r="FK477" s="17">
        <f t="shared" si="95"/>
        <v>194</v>
      </c>
      <c r="FL477" s="18" t="str">
        <f t="shared" si="100"/>
        <v>11000010</v>
      </c>
    </row>
    <row r="478" spans="159:168">
      <c r="FC478">
        <v>475</v>
      </c>
      <c r="FD478">
        <f t="shared" si="96"/>
        <v>11</v>
      </c>
      <c r="FE478">
        <f t="shared" si="97"/>
        <v>30</v>
      </c>
      <c r="FF478" t="str">
        <f t="shared" si="98"/>
        <v/>
      </c>
      <c r="FI478" s="16">
        <v>475</v>
      </c>
      <c r="FJ478" s="17" t="str">
        <f t="shared" si="99"/>
        <v/>
      </c>
      <c r="FK478" s="17">
        <f t="shared" si="95"/>
        <v>128</v>
      </c>
      <c r="FL478" s="18" t="str">
        <f t="shared" si="100"/>
        <v>10000000</v>
      </c>
    </row>
    <row r="479" spans="159:168">
      <c r="FC479">
        <v>476</v>
      </c>
      <c r="FD479">
        <f t="shared" si="96"/>
        <v>12</v>
      </c>
      <c r="FE479">
        <f t="shared" si="97"/>
        <v>30</v>
      </c>
      <c r="FF479" t="str">
        <f t="shared" si="98"/>
        <v/>
      </c>
      <c r="FI479" s="16">
        <v>476</v>
      </c>
      <c r="FJ479" s="17" t="str">
        <f t="shared" si="99"/>
        <v/>
      </c>
      <c r="FK479" s="17">
        <f t="shared" si="95"/>
        <v>232</v>
      </c>
      <c r="FL479" s="18" t="str">
        <f t="shared" si="100"/>
        <v>11101000</v>
      </c>
    </row>
    <row r="480" spans="159:168">
      <c r="FC480">
        <v>477</v>
      </c>
      <c r="FD480">
        <f t="shared" si="96"/>
        <v>13</v>
      </c>
      <c r="FE480">
        <f t="shared" si="97"/>
        <v>30</v>
      </c>
      <c r="FF480" t="str">
        <f t="shared" si="98"/>
        <v/>
      </c>
      <c r="FI480" s="16">
        <v>477</v>
      </c>
      <c r="FJ480" s="17" t="str">
        <f t="shared" si="99"/>
        <v/>
      </c>
      <c r="FK480" s="17">
        <f t="shared" si="95"/>
        <v>4</v>
      </c>
      <c r="FL480" s="18" t="str">
        <f t="shared" si="100"/>
        <v>00000100</v>
      </c>
    </row>
    <row r="481" spans="159:168">
      <c r="FC481">
        <v>478</v>
      </c>
      <c r="FD481">
        <f t="shared" si="96"/>
        <v>14</v>
      </c>
      <c r="FE481">
        <f t="shared" si="97"/>
        <v>30</v>
      </c>
      <c r="FF481" t="str">
        <f t="shared" si="98"/>
        <v/>
      </c>
      <c r="FI481" s="16">
        <v>478</v>
      </c>
      <c r="FJ481" s="17" t="str">
        <f t="shared" si="99"/>
        <v/>
      </c>
      <c r="FK481" s="17">
        <f t="shared" si="95"/>
        <v>109</v>
      </c>
      <c r="FL481" s="18" t="str">
        <f t="shared" si="100"/>
        <v>01101101</v>
      </c>
    </row>
    <row r="482" spans="159:168">
      <c r="FC482">
        <v>479</v>
      </c>
      <c r="FD482">
        <f t="shared" si="96"/>
        <v>15</v>
      </c>
      <c r="FE482">
        <f t="shared" si="97"/>
        <v>30</v>
      </c>
      <c r="FF482" t="str">
        <f t="shared" si="98"/>
        <v/>
      </c>
      <c r="FI482" s="16">
        <v>479</v>
      </c>
      <c r="FJ482" s="17" t="str">
        <f t="shared" si="99"/>
        <v/>
      </c>
      <c r="FK482" s="17">
        <f t="shared" si="95"/>
        <v>113</v>
      </c>
      <c r="FL482" s="18" t="str">
        <f t="shared" si="100"/>
        <v>01110001</v>
      </c>
    </row>
    <row r="483" spans="159:168">
      <c r="FC483">
        <v>480</v>
      </c>
      <c r="FD483">
        <f t="shared" si="96"/>
        <v>16</v>
      </c>
      <c r="FE483">
        <f t="shared" si="97"/>
        <v>30</v>
      </c>
      <c r="FF483" t="str">
        <f t="shared" si="98"/>
        <v/>
      </c>
      <c r="FI483" s="16">
        <v>480</v>
      </c>
      <c r="FJ483" s="17" t="str">
        <f t="shared" si="99"/>
        <v/>
      </c>
      <c r="FK483" s="17">
        <f t="shared" si="95"/>
        <v>253</v>
      </c>
      <c r="FL483" s="18" t="str">
        <f t="shared" si="100"/>
        <v>11111101</v>
      </c>
    </row>
    <row r="484" spans="159:168">
      <c r="FC484">
        <v>481</v>
      </c>
      <c r="FD484">
        <f t="shared" si="96"/>
        <v>1</v>
      </c>
      <c r="FE484">
        <f t="shared" si="97"/>
        <v>31</v>
      </c>
      <c r="FF484" t="str">
        <f t="shared" si="98"/>
        <v/>
      </c>
      <c r="FI484" s="16">
        <v>481</v>
      </c>
      <c r="FJ484" s="17" t="str">
        <f t="shared" si="99"/>
        <v/>
      </c>
      <c r="FK484" s="17">
        <f t="shared" si="95"/>
        <v>66</v>
      </c>
      <c r="FL484" s="18" t="str">
        <f t="shared" si="100"/>
        <v>01000010</v>
      </c>
    </row>
    <row r="485" spans="159:168">
      <c r="FC485">
        <v>482</v>
      </c>
      <c r="FD485">
        <f t="shared" si="96"/>
        <v>2</v>
      </c>
      <c r="FE485">
        <f t="shared" si="97"/>
        <v>31</v>
      </c>
      <c r="FF485" t="str">
        <f t="shared" si="98"/>
        <v/>
      </c>
      <c r="FI485" s="16">
        <v>482</v>
      </c>
      <c r="FJ485" s="17" t="str">
        <f t="shared" si="99"/>
        <v/>
      </c>
      <c r="FK485" s="17">
        <f t="shared" si="95"/>
        <v>41</v>
      </c>
      <c r="FL485" s="18" t="str">
        <f t="shared" si="100"/>
        <v>00101001</v>
      </c>
    </row>
    <row r="486" spans="159:168">
      <c r="FC486">
        <v>483</v>
      </c>
      <c r="FD486">
        <f t="shared" si="96"/>
        <v>3</v>
      </c>
      <c r="FE486">
        <f t="shared" si="97"/>
        <v>31</v>
      </c>
      <c r="FF486" t="str">
        <f t="shared" si="98"/>
        <v/>
      </c>
      <c r="FI486" s="16">
        <v>483</v>
      </c>
      <c r="FJ486" s="17" t="str">
        <f t="shared" si="99"/>
        <v/>
      </c>
      <c r="FK486" s="17">
        <f t="shared" si="95"/>
        <v>166</v>
      </c>
      <c r="FL486" s="18" t="str">
        <f t="shared" si="100"/>
        <v>10100110</v>
      </c>
    </row>
    <row r="487" spans="159:168">
      <c r="FC487">
        <v>484</v>
      </c>
      <c r="FD487">
        <f t="shared" si="96"/>
        <v>4</v>
      </c>
      <c r="FE487">
        <f t="shared" si="97"/>
        <v>31</v>
      </c>
      <c r="FF487" t="str">
        <f t="shared" si="98"/>
        <v/>
      </c>
      <c r="FI487" s="16">
        <v>484</v>
      </c>
      <c r="FJ487" s="17" t="str">
        <f t="shared" si="99"/>
        <v/>
      </c>
      <c r="FK487" s="17">
        <f t="shared" si="95"/>
        <v>0</v>
      </c>
      <c r="FL487" s="18" t="str">
        <f t="shared" si="100"/>
        <v>00000000</v>
      </c>
    </row>
    <row r="488" spans="159:168">
      <c r="FC488">
        <v>485</v>
      </c>
      <c r="FD488">
        <f t="shared" si="96"/>
        <v>5</v>
      </c>
      <c r="FE488">
        <f t="shared" si="97"/>
        <v>31</v>
      </c>
      <c r="FF488" t="str">
        <f t="shared" si="98"/>
        <v/>
      </c>
      <c r="FI488" s="16">
        <v>485</v>
      </c>
      <c r="FJ488" s="17" t="str">
        <f t="shared" si="99"/>
        <v/>
      </c>
      <c r="FK488" s="17">
        <f t="shared" si="95"/>
        <v>81</v>
      </c>
      <c r="FL488" s="18" t="str">
        <f t="shared" si="100"/>
        <v>01010001</v>
      </c>
    </row>
    <row r="489" spans="159:168">
      <c r="FC489">
        <v>486</v>
      </c>
      <c r="FD489">
        <f t="shared" si="96"/>
        <v>6</v>
      </c>
      <c r="FE489">
        <f t="shared" si="97"/>
        <v>31</v>
      </c>
      <c r="FF489" t="str">
        <f t="shared" si="98"/>
        <v/>
      </c>
      <c r="FI489" s="16">
        <v>486</v>
      </c>
      <c r="FJ489" s="17" t="str">
        <f t="shared" si="99"/>
        <v/>
      </c>
      <c r="FK489" s="17">
        <f t="shared" si="95"/>
        <v>160</v>
      </c>
      <c r="FL489" s="18" t="str">
        <f t="shared" si="100"/>
        <v>10100000</v>
      </c>
    </row>
    <row r="490" spans="159:168">
      <c r="FC490">
        <v>487</v>
      </c>
      <c r="FD490">
        <f t="shared" si="96"/>
        <v>7</v>
      </c>
      <c r="FE490">
        <f t="shared" si="97"/>
        <v>31</v>
      </c>
      <c r="FF490" t="str">
        <f t="shared" si="98"/>
        <v/>
      </c>
      <c r="FI490" s="16">
        <v>487</v>
      </c>
      <c r="FJ490" s="17" t="str">
        <f t="shared" si="99"/>
        <v/>
      </c>
      <c r="FK490" s="17">
        <f t="shared" si="95"/>
        <v>106</v>
      </c>
      <c r="FL490" s="18" t="str">
        <f t="shared" si="100"/>
        <v>01101010</v>
      </c>
    </row>
    <row r="491" spans="159:168">
      <c r="FC491">
        <v>488</v>
      </c>
      <c r="FD491">
        <f t="shared" si="96"/>
        <v>8</v>
      </c>
      <c r="FE491">
        <f t="shared" si="97"/>
        <v>31</v>
      </c>
      <c r="FF491" t="str">
        <f t="shared" si="98"/>
        <v/>
      </c>
      <c r="FI491" s="16">
        <v>488</v>
      </c>
      <c r="FJ491" s="17" t="str">
        <f t="shared" si="99"/>
        <v/>
      </c>
      <c r="FK491" s="17">
        <f t="shared" si="95"/>
        <v>184</v>
      </c>
      <c r="FL491" s="18" t="str">
        <f t="shared" si="100"/>
        <v>10111000</v>
      </c>
    </row>
    <row r="492" spans="159:168">
      <c r="FC492">
        <v>489</v>
      </c>
      <c r="FD492">
        <f t="shared" si="96"/>
        <v>9</v>
      </c>
      <c r="FE492">
        <f t="shared" si="97"/>
        <v>31</v>
      </c>
      <c r="FF492" t="str">
        <f t="shared" si="98"/>
        <v/>
      </c>
      <c r="FI492" s="16">
        <v>489</v>
      </c>
      <c r="FJ492" s="17" t="str">
        <f t="shared" si="99"/>
        <v/>
      </c>
      <c r="FK492" s="17">
        <f t="shared" si="95"/>
        <v>206</v>
      </c>
      <c r="FL492" s="18" t="str">
        <f t="shared" si="100"/>
        <v>11001110</v>
      </c>
    </row>
    <row r="493" spans="159:168">
      <c r="FC493">
        <v>490</v>
      </c>
      <c r="FD493">
        <f t="shared" si="96"/>
        <v>10</v>
      </c>
      <c r="FE493">
        <f t="shared" si="97"/>
        <v>31</v>
      </c>
      <c r="FF493" t="str">
        <f t="shared" si="98"/>
        <v/>
      </c>
      <c r="FI493" s="16">
        <v>490</v>
      </c>
      <c r="FJ493" s="17" t="str">
        <f t="shared" si="99"/>
        <v/>
      </c>
      <c r="FK493" s="17">
        <f t="shared" si="95"/>
        <v>147</v>
      </c>
      <c r="FL493" s="18" t="str">
        <f t="shared" si="100"/>
        <v>10010011</v>
      </c>
    </row>
    <row r="494" spans="159:168">
      <c r="FC494">
        <v>491</v>
      </c>
      <c r="FD494">
        <f t="shared" si="96"/>
        <v>11</v>
      </c>
      <c r="FE494">
        <f t="shared" si="97"/>
        <v>31</v>
      </c>
      <c r="FF494" t="str">
        <f t="shared" si="98"/>
        <v/>
      </c>
      <c r="FI494" s="16">
        <v>491</v>
      </c>
      <c r="FJ494" s="17" t="str">
        <f t="shared" si="99"/>
        <v/>
      </c>
      <c r="FK494" s="17">
        <f t="shared" si="95"/>
        <v>92</v>
      </c>
      <c r="FL494" s="18" t="str">
        <f t="shared" si="100"/>
        <v>01011100</v>
      </c>
    </row>
    <row r="495" spans="159:168">
      <c r="FC495">
        <v>492</v>
      </c>
      <c r="FD495">
        <f t="shared" si="96"/>
        <v>12</v>
      </c>
      <c r="FE495">
        <f t="shared" si="97"/>
        <v>31</v>
      </c>
      <c r="FF495" t="str">
        <f t="shared" si="98"/>
        <v/>
      </c>
      <c r="FI495" s="16">
        <v>492</v>
      </c>
      <c r="FJ495" s="17" t="str">
        <f t="shared" si="99"/>
        <v/>
      </c>
      <c r="FK495" s="17">
        <f t="shared" si="95"/>
        <v>90</v>
      </c>
      <c r="FL495" s="18" t="str">
        <f t="shared" si="100"/>
        <v>01011010</v>
      </c>
    </row>
    <row r="496" spans="159:168">
      <c r="FC496">
        <v>493</v>
      </c>
      <c r="FD496">
        <f t="shared" si="96"/>
        <v>13</v>
      </c>
      <c r="FE496">
        <f t="shared" si="97"/>
        <v>31</v>
      </c>
      <c r="FF496" t="str">
        <f t="shared" si="98"/>
        <v/>
      </c>
      <c r="FI496" s="16">
        <v>493</v>
      </c>
      <c r="FJ496" s="17" t="str">
        <f t="shared" si="99"/>
        <v/>
      </c>
      <c r="FK496" s="17">
        <f t="shared" si="95"/>
        <v>98</v>
      </c>
      <c r="FL496" s="18" t="str">
        <f t="shared" si="100"/>
        <v>01100010</v>
      </c>
    </row>
    <row r="497" spans="159:168">
      <c r="FC497">
        <v>494</v>
      </c>
      <c r="FD497">
        <f t="shared" si="96"/>
        <v>14</v>
      </c>
      <c r="FE497">
        <f t="shared" si="97"/>
        <v>31</v>
      </c>
      <c r="FF497" t="str">
        <f t="shared" si="98"/>
        <v/>
      </c>
      <c r="FI497" s="16">
        <v>494</v>
      </c>
      <c r="FJ497" s="17" t="str">
        <f t="shared" si="99"/>
        <v/>
      </c>
      <c r="FK497" s="17">
        <f t="shared" si="95"/>
        <v>178</v>
      </c>
      <c r="FL497" s="18" t="str">
        <f t="shared" si="100"/>
        <v>10110010</v>
      </c>
    </row>
    <row r="498" spans="159:168">
      <c r="FC498">
        <v>495</v>
      </c>
      <c r="FD498">
        <f t="shared" si="96"/>
        <v>15</v>
      </c>
      <c r="FE498">
        <f t="shared" si="97"/>
        <v>31</v>
      </c>
      <c r="FF498" t="str">
        <f t="shared" si="98"/>
        <v/>
      </c>
      <c r="FI498" s="16">
        <v>495</v>
      </c>
      <c r="FJ498" s="17" t="str">
        <f t="shared" si="99"/>
        <v/>
      </c>
      <c r="FK498" s="17">
        <f t="shared" si="95"/>
        <v>133</v>
      </c>
      <c r="FL498" s="18" t="str">
        <f t="shared" si="100"/>
        <v>10000101</v>
      </c>
    </row>
    <row r="499" spans="159:168">
      <c r="FC499">
        <v>496</v>
      </c>
      <c r="FD499">
        <f t="shared" si="96"/>
        <v>16</v>
      </c>
      <c r="FE499">
        <f t="shared" si="97"/>
        <v>31</v>
      </c>
      <c r="FF499" t="str">
        <f t="shared" si="98"/>
        <v/>
      </c>
      <c r="FI499" s="16">
        <v>496</v>
      </c>
      <c r="FJ499" s="17" t="str">
        <f t="shared" si="99"/>
        <v/>
      </c>
      <c r="FK499" s="17">
        <f t="shared" si="95"/>
        <v>207</v>
      </c>
      <c r="FL499" s="18" t="str">
        <f t="shared" si="100"/>
        <v>11001111</v>
      </c>
    </row>
    <row r="500" spans="159:168">
      <c r="FC500">
        <v>497</v>
      </c>
      <c r="FD500">
        <f t="shared" si="96"/>
        <v>1</v>
      </c>
      <c r="FE500">
        <f t="shared" si="97"/>
        <v>32</v>
      </c>
      <c r="FF500" t="str">
        <f t="shared" si="98"/>
        <v/>
      </c>
      <c r="FI500" s="16">
        <v>497</v>
      </c>
      <c r="FJ500" s="17" t="str">
        <f t="shared" si="99"/>
        <v/>
      </c>
      <c r="FK500" s="17">
        <f t="shared" si="95"/>
        <v>53</v>
      </c>
      <c r="FL500" s="18" t="str">
        <f t="shared" si="100"/>
        <v>00110101</v>
      </c>
    </row>
    <row r="501" spans="159:168">
      <c r="FC501">
        <v>498</v>
      </c>
      <c r="FD501">
        <f t="shared" si="96"/>
        <v>2</v>
      </c>
      <c r="FE501">
        <f t="shared" si="97"/>
        <v>32</v>
      </c>
      <c r="FF501" t="str">
        <f t="shared" si="98"/>
        <v/>
      </c>
      <c r="FI501" s="16">
        <v>498</v>
      </c>
      <c r="FJ501" s="17" t="str">
        <f t="shared" si="99"/>
        <v/>
      </c>
      <c r="FK501" s="17">
        <f t="shared" si="95"/>
        <v>54</v>
      </c>
      <c r="FL501" s="18" t="str">
        <f t="shared" si="100"/>
        <v>00110110</v>
      </c>
    </row>
    <row r="502" spans="159:168">
      <c r="FC502">
        <v>499</v>
      </c>
      <c r="FD502">
        <f t="shared" si="96"/>
        <v>3</v>
      </c>
      <c r="FE502">
        <f t="shared" si="97"/>
        <v>32</v>
      </c>
      <c r="FF502" t="str">
        <f t="shared" si="98"/>
        <v/>
      </c>
      <c r="FI502" s="16">
        <v>499</v>
      </c>
      <c r="FJ502" s="17" t="str">
        <f t="shared" si="99"/>
        <v/>
      </c>
      <c r="FK502" s="17">
        <f t="shared" si="95"/>
        <v>211</v>
      </c>
      <c r="FL502" s="18" t="str">
        <f t="shared" si="100"/>
        <v>11010011</v>
      </c>
    </row>
    <row r="503" spans="159:168">
      <c r="FC503">
        <v>500</v>
      </c>
      <c r="FD503">
        <f t="shared" si="96"/>
        <v>4</v>
      </c>
      <c r="FE503">
        <f t="shared" si="97"/>
        <v>32</v>
      </c>
      <c r="FF503" t="str">
        <f t="shared" si="98"/>
        <v/>
      </c>
      <c r="FI503" s="16">
        <v>500</v>
      </c>
      <c r="FJ503" s="17" t="str">
        <f t="shared" si="99"/>
        <v/>
      </c>
      <c r="FK503" s="17">
        <f t="shared" si="95"/>
        <v>0</v>
      </c>
      <c r="FL503" s="18" t="str">
        <f t="shared" si="100"/>
        <v>00000000</v>
      </c>
    </row>
    <row r="504" spans="159:168">
      <c r="FC504">
        <v>501</v>
      </c>
      <c r="FD504">
        <f t="shared" si="96"/>
        <v>5</v>
      </c>
      <c r="FE504">
        <f t="shared" si="97"/>
        <v>32</v>
      </c>
      <c r="FF504" t="str">
        <f t="shared" si="98"/>
        <v/>
      </c>
      <c r="FI504" s="16">
        <v>501</v>
      </c>
      <c r="FJ504" s="17" t="str">
        <f t="shared" si="99"/>
        <v/>
      </c>
      <c r="FK504" s="17">
        <f t="shared" si="95"/>
        <v>197</v>
      </c>
      <c r="FL504" s="18" t="str">
        <f t="shared" si="100"/>
        <v>11000101</v>
      </c>
    </row>
    <row r="505" spans="159:168">
      <c r="FC505">
        <v>502</v>
      </c>
      <c r="FD505">
        <f t="shared" si="96"/>
        <v>6</v>
      </c>
      <c r="FE505">
        <f t="shared" si="97"/>
        <v>32</v>
      </c>
      <c r="FF505" t="str">
        <f t="shared" si="98"/>
        <v/>
      </c>
      <c r="FI505" s="16">
        <v>502</v>
      </c>
      <c r="FJ505" s="17" t="str">
        <f t="shared" si="99"/>
        <v/>
      </c>
      <c r="FK505" s="17">
        <f t="shared" si="95"/>
        <v>214</v>
      </c>
      <c r="FL505" s="18" t="str">
        <f t="shared" si="100"/>
        <v>11010110</v>
      </c>
    </row>
    <row r="506" spans="159:168">
      <c r="FC506">
        <v>503</v>
      </c>
      <c r="FD506">
        <f t="shared" si="96"/>
        <v>7</v>
      </c>
      <c r="FE506">
        <f t="shared" si="97"/>
        <v>32</v>
      </c>
      <c r="FF506" t="str">
        <f t="shared" si="98"/>
        <v/>
      </c>
      <c r="FI506" s="16">
        <v>503</v>
      </c>
      <c r="FJ506" s="17" t="str">
        <f t="shared" si="99"/>
        <v/>
      </c>
      <c r="FK506" s="17">
        <f t="shared" si="95"/>
        <v>143</v>
      </c>
      <c r="FL506" s="18" t="str">
        <f t="shared" si="100"/>
        <v>10001111</v>
      </c>
    </row>
    <row r="507" spans="159:168">
      <c r="FC507">
        <v>504</v>
      </c>
      <c r="FD507">
        <f t="shared" si="96"/>
        <v>8</v>
      </c>
      <c r="FE507">
        <f t="shared" si="97"/>
        <v>32</v>
      </c>
      <c r="FF507" t="str">
        <f t="shared" si="98"/>
        <v/>
      </c>
      <c r="FI507" s="16">
        <v>504</v>
      </c>
      <c r="FJ507" s="17" t="str">
        <f t="shared" si="99"/>
        <v/>
      </c>
      <c r="FK507" s="17">
        <f t="shared" si="95"/>
        <v>141</v>
      </c>
      <c r="FL507" s="18" t="str">
        <f t="shared" si="100"/>
        <v>10001101</v>
      </c>
    </row>
    <row r="508" spans="159:168">
      <c r="FC508">
        <v>505</v>
      </c>
      <c r="FD508">
        <f t="shared" si="96"/>
        <v>9</v>
      </c>
      <c r="FE508">
        <f t="shared" si="97"/>
        <v>32</v>
      </c>
      <c r="FF508" t="str">
        <f t="shared" si="98"/>
        <v/>
      </c>
      <c r="FI508" s="16">
        <v>505</v>
      </c>
      <c r="FJ508" s="17" t="str">
        <f t="shared" si="99"/>
        <v/>
      </c>
      <c r="FK508" s="17">
        <f t="shared" si="95"/>
        <v>221</v>
      </c>
      <c r="FL508" s="18" t="str">
        <f t="shared" si="100"/>
        <v>11011101</v>
      </c>
    </row>
    <row r="509" spans="159:168">
      <c r="FC509">
        <v>506</v>
      </c>
      <c r="FD509">
        <f t="shared" si="96"/>
        <v>10</v>
      </c>
      <c r="FE509">
        <f t="shared" si="97"/>
        <v>32</v>
      </c>
      <c r="FF509" t="str">
        <f t="shared" si="98"/>
        <v/>
      </c>
      <c r="FI509" s="16">
        <v>506</v>
      </c>
      <c r="FJ509" s="17" t="str">
        <f t="shared" si="99"/>
        <v/>
      </c>
      <c r="FK509" s="17">
        <f t="shared" si="95"/>
        <v>164</v>
      </c>
      <c r="FL509" s="18" t="str">
        <f t="shared" si="100"/>
        <v>10100100</v>
      </c>
    </row>
    <row r="510" spans="159:168">
      <c r="FC510">
        <v>507</v>
      </c>
      <c r="FD510">
        <f t="shared" si="96"/>
        <v>11</v>
      </c>
      <c r="FE510">
        <f t="shared" si="97"/>
        <v>32</v>
      </c>
      <c r="FF510" t="str">
        <f t="shared" si="98"/>
        <v/>
      </c>
      <c r="FI510" s="16">
        <v>507</v>
      </c>
      <c r="FJ510" s="17" t="str">
        <f t="shared" si="99"/>
        <v/>
      </c>
      <c r="FK510" s="17">
        <f t="shared" si="95"/>
        <v>32</v>
      </c>
      <c r="FL510" s="18" t="str">
        <f t="shared" si="100"/>
        <v>00100000</v>
      </c>
    </row>
    <row r="511" spans="159:168">
      <c r="FC511">
        <v>508</v>
      </c>
      <c r="FD511">
        <f t="shared" si="96"/>
        <v>12</v>
      </c>
      <c r="FE511">
        <f t="shared" si="97"/>
        <v>32</v>
      </c>
      <c r="FF511" t="str">
        <f t="shared" si="98"/>
        <v/>
      </c>
      <c r="FI511" s="16">
        <v>508</v>
      </c>
      <c r="FJ511" s="17" t="str">
        <f t="shared" si="99"/>
        <v/>
      </c>
      <c r="FK511" s="17">
        <f t="shared" si="95"/>
        <v>230</v>
      </c>
      <c r="FL511" s="18" t="str">
        <f t="shared" si="100"/>
        <v>11100110</v>
      </c>
    </row>
    <row r="512" spans="159:168">
      <c r="FC512">
        <v>509</v>
      </c>
      <c r="FD512">
        <f t="shared" si="96"/>
        <v>13</v>
      </c>
      <c r="FE512">
        <f t="shared" si="97"/>
        <v>32</v>
      </c>
      <c r="FF512" t="str">
        <f t="shared" si="98"/>
        <v/>
      </c>
      <c r="FI512" s="16">
        <v>509</v>
      </c>
      <c r="FJ512" s="17" t="str">
        <f t="shared" si="99"/>
        <v/>
      </c>
      <c r="FK512" s="17">
        <f t="shared" si="95"/>
        <v>87</v>
      </c>
      <c r="FL512" s="18" t="str">
        <f t="shared" si="100"/>
        <v>01010111</v>
      </c>
    </row>
    <row r="513" spans="159:168">
      <c r="FC513">
        <v>510</v>
      </c>
      <c r="FD513">
        <f t="shared" si="96"/>
        <v>14</v>
      </c>
      <c r="FE513">
        <f t="shared" si="97"/>
        <v>32</v>
      </c>
      <c r="FF513" t="str">
        <f t="shared" si="98"/>
        <v/>
      </c>
      <c r="FI513" s="16">
        <v>510</v>
      </c>
      <c r="FJ513" s="17" t="str">
        <f t="shared" si="99"/>
        <v/>
      </c>
      <c r="FK513" s="17">
        <f t="shared" si="95"/>
        <v>85</v>
      </c>
      <c r="FL513" s="18" t="str">
        <f t="shared" si="100"/>
        <v>01010101</v>
      </c>
    </row>
    <row r="514" spans="159:168">
      <c r="FC514">
        <v>511</v>
      </c>
      <c r="FD514">
        <f t="shared" si="96"/>
        <v>15</v>
      </c>
      <c r="FE514">
        <f t="shared" si="97"/>
        <v>32</v>
      </c>
      <c r="FF514" t="str">
        <f t="shared" si="98"/>
        <v/>
      </c>
      <c r="FI514" s="16">
        <v>511</v>
      </c>
      <c r="FJ514" s="17" t="str">
        <f t="shared" si="99"/>
        <v/>
      </c>
      <c r="FK514" s="17">
        <f t="shared" si="95"/>
        <v>117</v>
      </c>
      <c r="FL514" s="18" t="str">
        <f t="shared" si="100"/>
        <v>01110101</v>
      </c>
    </row>
    <row r="515" spans="159:168">
      <c r="FC515">
        <v>512</v>
      </c>
      <c r="FD515">
        <f t="shared" si="96"/>
        <v>16</v>
      </c>
      <c r="FE515">
        <f t="shared" si="97"/>
        <v>32</v>
      </c>
      <c r="FF515" t="str">
        <f t="shared" si="98"/>
        <v/>
      </c>
      <c r="FI515" s="16">
        <v>512</v>
      </c>
      <c r="FJ515" s="17" t="str">
        <f t="shared" si="99"/>
        <v/>
      </c>
      <c r="FK515" s="17">
        <f t="shared" si="95"/>
        <v>63</v>
      </c>
      <c r="FL515" s="18" t="str">
        <f t="shared" si="100"/>
        <v>00111111</v>
      </c>
    </row>
    <row r="516" spans="159:168">
      <c r="FC516">
        <v>513</v>
      </c>
      <c r="FD516">
        <f t="shared" si="96"/>
        <v>1</v>
      </c>
      <c r="FE516">
        <f t="shared" si="97"/>
        <v>33</v>
      </c>
      <c r="FF516" t="str">
        <f t="shared" si="98"/>
        <v/>
      </c>
      <c r="FI516" s="16">
        <v>513</v>
      </c>
      <c r="FJ516" s="17" t="str">
        <f t="shared" si="99"/>
        <v/>
      </c>
      <c r="FK516" s="17">
        <f t="shared" si="95"/>
        <v>1</v>
      </c>
      <c r="FL516" s="18" t="str">
        <f t="shared" si="100"/>
        <v>00000001</v>
      </c>
    </row>
    <row r="517" spans="159:168">
      <c r="FC517">
        <v>514</v>
      </c>
      <c r="FD517">
        <f t="shared" si="96"/>
        <v>2</v>
      </c>
      <c r="FE517">
        <f t="shared" si="97"/>
        <v>33</v>
      </c>
      <c r="FF517" t="str">
        <f t="shared" si="98"/>
        <v/>
      </c>
      <c r="FI517" s="16">
        <v>514</v>
      </c>
      <c r="FJ517" s="17" t="str">
        <f t="shared" si="99"/>
        <v/>
      </c>
      <c r="FK517" s="17">
        <f t="shared" ref="FK517:FK580" si="101">IF(FI517&lt;=$FH$2,FF517,IF(FI517&lt;=$FH$2+$FH$3,INDEX($FJ$4:$FJ$2494,FI517-$FH$2),""))</f>
        <v>39</v>
      </c>
      <c r="FL517" s="18" t="str">
        <f t="shared" si="100"/>
        <v>00100111</v>
      </c>
    </row>
    <row r="518" spans="159:168">
      <c r="FC518">
        <v>515</v>
      </c>
      <c r="FD518">
        <f t="shared" si="96"/>
        <v>3</v>
      </c>
      <c r="FE518">
        <f t="shared" si="97"/>
        <v>33</v>
      </c>
      <c r="FF518" t="str">
        <f t="shared" si="98"/>
        <v/>
      </c>
      <c r="FI518" s="16">
        <v>515</v>
      </c>
      <c r="FJ518" s="17" t="str">
        <f t="shared" si="99"/>
        <v/>
      </c>
      <c r="FK518" s="17">
        <f t="shared" si="101"/>
        <v>252</v>
      </c>
      <c r="FL518" s="18" t="str">
        <f t="shared" si="100"/>
        <v>11111100</v>
      </c>
    </row>
    <row r="519" spans="159:168">
      <c r="FC519">
        <v>516</v>
      </c>
      <c r="FD519">
        <f t="shared" si="96"/>
        <v>4</v>
      </c>
      <c r="FE519">
        <f t="shared" si="97"/>
        <v>33</v>
      </c>
      <c r="FF519" t="str">
        <f t="shared" si="98"/>
        <v/>
      </c>
      <c r="FI519" s="16">
        <v>516</v>
      </c>
      <c r="FJ519" s="17" t="str">
        <f t="shared" si="99"/>
        <v/>
      </c>
      <c r="FK519" s="17">
        <f t="shared" si="101"/>
        <v>0</v>
      </c>
      <c r="FL519" s="18" t="str">
        <f t="shared" si="100"/>
        <v>00000000</v>
      </c>
    </row>
    <row r="520" spans="159:168">
      <c r="FC520">
        <v>517</v>
      </c>
      <c r="FD520">
        <f t="shared" si="96"/>
        <v>5</v>
      </c>
      <c r="FE520">
        <f t="shared" si="97"/>
        <v>33</v>
      </c>
      <c r="FF520" t="str">
        <f t="shared" si="98"/>
        <v/>
      </c>
      <c r="FI520" s="16">
        <v>517</v>
      </c>
      <c r="FJ520" s="17" t="str">
        <f t="shared" si="99"/>
        <v/>
      </c>
      <c r="FK520" s="17">
        <f t="shared" si="101"/>
        <v>175</v>
      </c>
      <c r="FL520" s="18" t="str">
        <f t="shared" si="100"/>
        <v>10101111</v>
      </c>
    </row>
    <row r="521" spans="159:168">
      <c r="FC521">
        <v>518</v>
      </c>
      <c r="FD521">
        <f t="shared" si="96"/>
        <v>6</v>
      </c>
      <c r="FE521">
        <f t="shared" si="97"/>
        <v>33</v>
      </c>
      <c r="FF521" t="str">
        <f t="shared" si="98"/>
        <v/>
      </c>
      <c r="FI521" s="16">
        <v>518</v>
      </c>
      <c r="FJ521" s="17" t="str">
        <f t="shared" si="99"/>
        <v/>
      </c>
      <c r="FK521" s="17">
        <f t="shared" si="101"/>
        <v>200</v>
      </c>
      <c r="FL521" s="18" t="str">
        <f t="shared" si="100"/>
        <v>11001000</v>
      </c>
    </row>
    <row r="522" spans="159:168">
      <c r="FC522">
        <v>519</v>
      </c>
      <c r="FD522">
        <f t="shared" si="96"/>
        <v>7</v>
      </c>
      <c r="FE522">
        <f t="shared" si="97"/>
        <v>33</v>
      </c>
      <c r="FF522" t="str">
        <f t="shared" si="98"/>
        <v/>
      </c>
      <c r="FI522" s="16">
        <v>519</v>
      </c>
      <c r="FJ522" s="17" t="str">
        <f t="shared" si="99"/>
        <v/>
      </c>
      <c r="FK522" s="17">
        <f t="shared" si="101"/>
        <v>226</v>
      </c>
      <c r="FL522" s="18" t="str">
        <f t="shared" si="100"/>
        <v>11100010</v>
      </c>
    </row>
    <row r="523" spans="159:168">
      <c r="FC523">
        <v>520</v>
      </c>
      <c r="FD523">
        <f t="shared" si="96"/>
        <v>8</v>
      </c>
      <c r="FE523">
        <f t="shared" si="97"/>
        <v>33</v>
      </c>
      <c r="FF523" t="str">
        <f t="shared" si="98"/>
        <v/>
      </c>
      <c r="FI523" s="16">
        <v>520</v>
      </c>
      <c r="FJ523" s="17" t="str">
        <f t="shared" si="99"/>
        <v/>
      </c>
      <c r="FK523" s="17">
        <f t="shared" si="101"/>
        <v>247</v>
      </c>
      <c r="FL523" s="18" t="str">
        <f t="shared" si="100"/>
        <v>11110111</v>
      </c>
    </row>
    <row r="524" spans="159:168">
      <c r="FC524">
        <v>521</v>
      </c>
      <c r="FD524">
        <f t="shared" si="96"/>
        <v>9</v>
      </c>
      <c r="FE524">
        <f t="shared" si="97"/>
        <v>33</v>
      </c>
      <c r="FF524" t="str">
        <f t="shared" si="98"/>
        <v/>
      </c>
      <c r="FI524" s="16">
        <v>521</v>
      </c>
      <c r="FJ524" s="17" t="str">
        <f t="shared" si="99"/>
        <v/>
      </c>
      <c r="FK524" s="17">
        <f t="shared" si="101"/>
        <v>232</v>
      </c>
      <c r="FL524" s="18" t="str">
        <f t="shared" si="100"/>
        <v>11101000</v>
      </c>
    </row>
    <row r="525" spans="159:168">
      <c r="FC525">
        <v>522</v>
      </c>
      <c r="FD525">
        <f t="shared" si="96"/>
        <v>10</v>
      </c>
      <c r="FE525">
        <f t="shared" si="97"/>
        <v>33</v>
      </c>
      <c r="FF525" t="str">
        <f t="shared" si="98"/>
        <v/>
      </c>
      <c r="FI525" s="16">
        <v>522</v>
      </c>
      <c r="FJ525" s="17" t="str">
        <f t="shared" si="99"/>
        <v/>
      </c>
      <c r="FK525" s="17">
        <f t="shared" si="101"/>
        <v>5</v>
      </c>
      <c r="FL525" s="18" t="str">
        <f t="shared" si="100"/>
        <v>00000101</v>
      </c>
    </row>
    <row r="526" spans="159:168">
      <c r="FC526">
        <v>523</v>
      </c>
      <c r="FD526">
        <f t="shared" si="96"/>
        <v>11</v>
      </c>
      <c r="FE526">
        <f t="shared" si="97"/>
        <v>33</v>
      </c>
      <c r="FF526" t="str">
        <f t="shared" si="98"/>
        <v/>
      </c>
      <c r="FI526" s="16">
        <v>523</v>
      </c>
      <c r="FJ526" s="17" t="str">
        <f t="shared" si="99"/>
        <v/>
      </c>
      <c r="FK526" s="17">
        <f t="shared" si="101"/>
        <v>47</v>
      </c>
      <c r="FL526" s="18" t="str">
        <f t="shared" si="100"/>
        <v>00101111</v>
      </c>
    </row>
    <row r="527" spans="159:168">
      <c r="FC527">
        <v>524</v>
      </c>
      <c r="FD527">
        <f t="shared" si="96"/>
        <v>12</v>
      </c>
      <c r="FE527">
        <f t="shared" si="97"/>
        <v>33</v>
      </c>
      <c r="FF527" t="str">
        <f t="shared" si="98"/>
        <v/>
      </c>
      <c r="FI527" s="16">
        <v>524</v>
      </c>
      <c r="FJ527" s="17" t="str">
        <f t="shared" si="99"/>
        <v/>
      </c>
      <c r="FK527" s="17">
        <f t="shared" si="101"/>
        <v>142</v>
      </c>
      <c r="FL527" s="18" t="str">
        <f t="shared" si="100"/>
        <v>10001110</v>
      </c>
    </row>
    <row r="528" spans="159:168">
      <c r="FC528">
        <v>525</v>
      </c>
      <c r="FD528">
        <f t="shared" si="96"/>
        <v>13</v>
      </c>
      <c r="FE528">
        <f t="shared" si="97"/>
        <v>33</v>
      </c>
      <c r="FF528" t="str">
        <f t="shared" si="98"/>
        <v/>
      </c>
      <c r="FI528" s="16">
        <v>525</v>
      </c>
      <c r="FJ528" s="17" t="str">
        <f t="shared" si="99"/>
        <v/>
      </c>
      <c r="FK528" s="17">
        <f t="shared" si="101"/>
        <v>167</v>
      </c>
      <c r="FL528" s="18" t="str">
        <f t="shared" si="100"/>
        <v>10100111</v>
      </c>
    </row>
    <row r="529" spans="159:168">
      <c r="FC529">
        <v>526</v>
      </c>
      <c r="FD529">
        <f t="shared" si="96"/>
        <v>14</v>
      </c>
      <c r="FE529">
        <f t="shared" si="97"/>
        <v>33</v>
      </c>
      <c r="FF529" t="str">
        <f t="shared" si="98"/>
        <v/>
      </c>
      <c r="FI529" s="16">
        <v>526</v>
      </c>
      <c r="FJ529" s="17" t="str">
        <f t="shared" si="99"/>
        <v/>
      </c>
      <c r="FK529" s="17">
        <f t="shared" si="101"/>
        <v>255</v>
      </c>
      <c r="FL529" s="18" t="str">
        <f t="shared" si="100"/>
        <v>11111111</v>
      </c>
    </row>
    <row r="530" spans="159:168">
      <c r="FC530">
        <v>527</v>
      </c>
      <c r="FD530">
        <f t="shared" si="96"/>
        <v>15</v>
      </c>
      <c r="FE530">
        <f t="shared" si="97"/>
        <v>33</v>
      </c>
      <c r="FF530" t="str">
        <f t="shared" si="98"/>
        <v/>
      </c>
      <c r="FI530" s="16">
        <v>527</v>
      </c>
      <c r="FJ530" s="17" t="str">
        <f t="shared" si="99"/>
        <v/>
      </c>
      <c r="FK530" s="17">
        <f t="shared" si="101"/>
        <v>100</v>
      </c>
      <c r="FL530" s="18" t="str">
        <f t="shared" si="100"/>
        <v>01100100</v>
      </c>
    </row>
    <row r="531" spans="159:168">
      <c r="FC531">
        <v>528</v>
      </c>
      <c r="FD531">
        <f t="shared" si="96"/>
        <v>16</v>
      </c>
      <c r="FE531">
        <f t="shared" si="97"/>
        <v>33</v>
      </c>
      <c r="FF531" t="str">
        <f t="shared" si="98"/>
        <v/>
      </c>
      <c r="FI531" s="16">
        <v>528</v>
      </c>
      <c r="FJ531" s="17" t="str">
        <f t="shared" si="99"/>
        <v/>
      </c>
      <c r="FK531" s="17">
        <f t="shared" si="101"/>
        <v>206</v>
      </c>
      <c r="FL531" s="18" t="str">
        <f t="shared" si="100"/>
        <v>11001110</v>
      </c>
    </row>
    <row r="532" spans="159:168">
      <c r="FC532">
        <v>529</v>
      </c>
      <c r="FD532">
        <f t="shared" si="96"/>
        <v>1</v>
      </c>
      <c r="FE532">
        <f t="shared" si="97"/>
        <v>34</v>
      </c>
      <c r="FF532" t="str">
        <f t="shared" si="98"/>
        <v/>
      </c>
      <c r="FI532" s="16">
        <v>529</v>
      </c>
      <c r="FJ532" s="17" t="str">
        <f t="shared" si="99"/>
        <v/>
      </c>
      <c r="FK532" s="17">
        <f t="shared" si="101"/>
        <v>57</v>
      </c>
      <c r="FL532" s="18" t="str">
        <f t="shared" si="100"/>
        <v>00111001</v>
      </c>
    </row>
    <row r="533" spans="159:168">
      <c r="FC533">
        <v>530</v>
      </c>
      <c r="FD533">
        <f t="shared" si="96"/>
        <v>2</v>
      </c>
      <c r="FE533">
        <f t="shared" si="97"/>
        <v>34</v>
      </c>
      <c r="FF533" t="str">
        <f t="shared" si="98"/>
        <v/>
      </c>
      <c r="FI533" s="16">
        <v>530</v>
      </c>
      <c r="FJ533" s="17" t="str">
        <f t="shared" si="99"/>
        <v/>
      </c>
      <c r="FK533" s="17">
        <f t="shared" si="101"/>
        <v>45</v>
      </c>
      <c r="FL533" s="18" t="str">
        <f t="shared" si="100"/>
        <v>00101101</v>
      </c>
    </row>
    <row r="534" spans="159:168">
      <c r="FC534">
        <v>531</v>
      </c>
      <c r="FD534">
        <f t="shared" ref="FD534:FD597" si="102">IF(MOD(FC534,$FB$1+$FB$2)=0,$FB$1+$FB$2,MOD(FC534,$FB$1+$FB$2))</f>
        <v>3</v>
      </c>
      <c r="FE534">
        <f t="shared" ref="FE534:FE597" si="103">ROUNDUP(FC534/($FB$1+$FB$2),0)</f>
        <v>34</v>
      </c>
      <c r="FF534" t="str">
        <f t="shared" ref="FF534:FF597" si="104">IF(FE534&lt;$FB$3,INDEX($E$4:$DV$84,FD534,FE534),IF(FE534=$FB$3,INDEX($E$4:$DV$84,FD534+$FB$1,FE534),""))</f>
        <v/>
      </c>
      <c r="FI534" s="16">
        <v>531</v>
      </c>
      <c r="FJ534" s="17" t="str">
        <f t="shared" ref="FJ534:FJ597" si="105">IF(FE534&lt;=$FH$1,INDEX($DW$4:$EZ$84,FD534,FE534),"")</f>
        <v/>
      </c>
      <c r="FK534" s="17">
        <f t="shared" si="101"/>
        <v>72</v>
      </c>
      <c r="FL534" s="18" t="str">
        <f t="shared" ref="FL534:FL597" si="106">IFERROR(TEXT(DEC2BIN(FK534),"00000000"),"")</f>
        <v>01001000</v>
      </c>
    </row>
    <row r="535" spans="159:168">
      <c r="FC535">
        <v>532</v>
      </c>
      <c r="FD535">
        <f t="shared" si="102"/>
        <v>4</v>
      </c>
      <c r="FE535">
        <f t="shared" si="103"/>
        <v>34</v>
      </c>
      <c r="FF535" t="str">
        <f t="shared" si="104"/>
        <v/>
      </c>
      <c r="FI535" s="16">
        <v>532</v>
      </c>
      <c r="FJ535" s="17" t="str">
        <f t="shared" si="105"/>
        <v/>
      </c>
      <c r="FK535" s="17">
        <f t="shared" si="101"/>
        <v>0</v>
      </c>
      <c r="FL535" s="18" t="str">
        <f t="shared" si="106"/>
        <v>00000000</v>
      </c>
    </row>
    <row r="536" spans="159:168">
      <c r="FC536">
        <v>533</v>
      </c>
      <c r="FD536">
        <f t="shared" si="102"/>
        <v>5</v>
      </c>
      <c r="FE536">
        <f t="shared" si="103"/>
        <v>34</v>
      </c>
      <c r="FF536" t="str">
        <f t="shared" si="104"/>
        <v/>
      </c>
      <c r="FI536" s="16">
        <v>533</v>
      </c>
      <c r="FJ536" s="17" t="str">
        <f t="shared" si="105"/>
        <v/>
      </c>
      <c r="FK536" s="17">
        <f t="shared" si="101"/>
        <v>248</v>
      </c>
      <c r="FL536" s="18" t="str">
        <f t="shared" si="106"/>
        <v>11111000</v>
      </c>
    </row>
    <row r="537" spans="159:168">
      <c r="FC537">
        <v>534</v>
      </c>
      <c r="FD537">
        <f t="shared" si="102"/>
        <v>6</v>
      </c>
      <c r="FE537">
        <f t="shared" si="103"/>
        <v>34</v>
      </c>
      <c r="FF537" t="str">
        <f t="shared" si="104"/>
        <v/>
      </c>
      <c r="FI537" s="16">
        <v>534</v>
      </c>
      <c r="FJ537" s="17" t="str">
        <f t="shared" si="105"/>
        <v/>
      </c>
      <c r="FK537" s="17">
        <f t="shared" si="101"/>
        <v>105</v>
      </c>
      <c r="FL537" s="18" t="str">
        <f t="shared" si="106"/>
        <v>01101001</v>
      </c>
    </row>
    <row r="538" spans="159:168">
      <c r="FC538">
        <v>535</v>
      </c>
      <c r="FD538">
        <f t="shared" si="102"/>
        <v>7</v>
      </c>
      <c r="FE538">
        <f t="shared" si="103"/>
        <v>34</v>
      </c>
      <c r="FF538" t="str">
        <f t="shared" si="104"/>
        <v/>
      </c>
      <c r="FI538" s="16">
        <v>535</v>
      </c>
      <c r="FJ538" s="17" t="str">
        <f t="shared" si="105"/>
        <v/>
      </c>
      <c r="FK538" s="17">
        <f t="shared" si="101"/>
        <v>248</v>
      </c>
      <c r="FL538" s="18" t="str">
        <f t="shared" si="106"/>
        <v>11111000</v>
      </c>
    </row>
    <row r="539" spans="159:168">
      <c r="FC539">
        <v>536</v>
      </c>
      <c r="FD539">
        <f t="shared" si="102"/>
        <v>8</v>
      </c>
      <c r="FE539">
        <f t="shared" si="103"/>
        <v>34</v>
      </c>
      <c r="FF539" t="str">
        <f t="shared" si="104"/>
        <v/>
      </c>
      <c r="FI539" s="16">
        <v>536</v>
      </c>
      <c r="FJ539" s="17" t="str">
        <f t="shared" si="105"/>
        <v/>
      </c>
      <c r="FK539" s="17">
        <f t="shared" si="101"/>
        <v>166</v>
      </c>
      <c r="FL539" s="18" t="str">
        <f t="shared" si="106"/>
        <v>10100110</v>
      </c>
    </row>
    <row r="540" spans="159:168">
      <c r="FC540">
        <v>537</v>
      </c>
      <c r="FD540">
        <f t="shared" si="102"/>
        <v>9</v>
      </c>
      <c r="FE540">
        <f t="shared" si="103"/>
        <v>34</v>
      </c>
      <c r="FF540" t="str">
        <f t="shared" si="104"/>
        <v/>
      </c>
      <c r="FI540" s="16">
        <v>537</v>
      </c>
      <c r="FJ540" s="17" t="str">
        <f t="shared" si="105"/>
        <v/>
      </c>
      <c r="FK540" s="17">
        <f t="shared" si="101"/>
        <v>56</v>
      </c>
      <c r="FL540" s="18" t="str">
        <f t="shared" si="106"/>
        <v>00111000</v>
      </c>
    </row>
    <row r="541" spans="159:168">
      <c r="FC541">
        <v>538</v>
      </c>
      <c r="FD541">
        <f t="shared" si="102"/>
        <v>10</v>
      </c>
      <c r="FE541">
        <f t="shared" si="103"/>
        <v>34</v>
      </c>
      <c r="FF541" t="str">
        <f t="shared" si="104"/>
        <v/>
      </c>
      <c r="FI541" s="16">
        <v>538</v>
      </c>
      <c r="FJ541" s="17" t="str">
        <f t="shared" si="105"/>
        <v/>
      </c>
      <c r="FK541" s="17">
        <f t="shared" si="101"/>
        <v>8</v>
      </c>
      <c r="FL541" s="18" t="str">
        <f t="shared" si="106"/>
        <v>00001000</v>
      </c>
    </row>
    <row r="542" spans="159:168">
      <c r="FC542">
        <v>539</v>
      </c>
      <c r="FD542">
        <f t="shared" si="102"/>
        <v>11</v>
      </c>
      <c r="FE542">
        <f t="shared" si="103"/>
        <v>34</v>
      </c>
      <c r="FF542" t="str">
        <f t="shared" si="104"/>
        <v/>
      </c>
      <c r="FI542" s="16">
        <v>539</v>
      </c>
      <c r="FJ542" s="17" t="str">
        <f t="shared" si="105"/>
        <v/>
      </c>
      <c r="FK542" s="17">
        <f t="shared" si="101"/>
        <v>86</v>
      </c>
      <c r="FL542" s="18" t="str">
        <f t="shared" si="106"/>
        <v>01010110</v>
      </c>
    </row>
    <row r="543" spans="159:168">
      <c r="FC543">
        <v>540</v>
      </c>
      <c r="FD543">
        <f t="shared" si="102"/>
        <v>12</v>
      </c>
      <c r="FE543">
        <f t="shared" si="103"/>
        <v>34</v>
      </c>
      <c r="FF543" t="str">
        <f t="shared" si="104"/>
        <v/>
      </c>
      <c r="FI543" s="16">
        <v>540</v>
      </c>
      <c r="FJ543" s="17" t="str">
        <f t="shared" si="105"/>
        <v/>
      </c>
      <c r="FK543" s="17">
        <f t="shared" si="101"/>
        <v>210</v>
      </c>
      <c r="FL543" s="18" t="str">
        <f t="shared" si="106"/>
        <v>11010010</v>
      </c>
    </row>
    <row r="544" spans="159:168">
      <c r="FC544">
        <v>541</v>
      </c>
      <c r="FD544">
        <f t="shared" si="102"/>
        <v>13</v>
      </c>
      <c r="FE544">
        <f t="shared" si="103"/>
        <v>34</v>
      </c>
      <c r="FF544" t="str">
        <f t="shared" si="104"/>
        <v/>
      </c>
      <c r="FI544" s="16">
        <v>541</v>
      </c>
      <c r="FJ544" s="17" t="str">
        <f t="shared" si="105"/>
        <v/>
      </c>
      <c r="FK544" s="17">
        <f t="shared" si="101"/>
        <v>194</v>
      </c>
      <c r="FL544" s="18" t="str">
        <f t="shared" si="106"/>
        <v>11000010</v>
      </c>
    </row>
    <row r="545" spans="159:168">
      <c r="FC545">
        <v>542</v>
      </c>
      <c r="FD545">
        <f t="shared" si="102"/>
        <v>14</v>
      </c>
      <c r="FE545">
        <f t="shared" si="103"/>
        <v>34</v>
      </c>
      <c r="FF545" t="str">
        <f t="shared" si="104"/>
        <v/>
      </c>
      <c r="FI545" s="16">
        <v>542</v>
      </c>
      <c r="FJ545" s="17" t="str">
        <f t="shared" si="105"/>
        <v/>
      </c>
      <c r="FK545" s="17">
        <f t="shared" si="101"/>
        <v>134</v>
      </c>
      <c r="FL545" s="18" t="str">
        <f t="shared" si="106"/>
        <v>10000110</v>
      </c>
    </row>
    <row r="546" spans="159:168">
      <c r="FC546">
        <v>543</v>
      </c>
      <c r="FD546">
        <f t="shared" si="102"/>
        <v>15</v>
      </c>
      <c r="FE546">
        <f t="shared" si="103"/>
        <v>34</v>
      </c>
      <c r="FF546" t="str">
        <f t="shared" si="104"/>
        <v/>
      </c>
      <c r="FI546" s="16">
        <v>543</v>
      </c>
      <c r="FJ546" s="17" t="str">
        <f t="shared" si="105"/>
        <v/>
      </c>
      <c r="FK546" s="17">
        <f t="shared" si="101"/>
        <v>26</v>
      </c>
      <c r="FL546" s="18" t="str">
        <f t="shared" si="106"/>
        <v>00011010</v>
      </c>
    </row>
    <row r="547" spans="159:168">
      <c r="FC547">
        <v>544</v>
      </c>
      <c r="FD547">
        <f t="shared" si="102"/>
        <v>16</v>
      </c>
      <c r="FE547">
        <f t="shared" si="103"/>
        <v>34</v>
      </c>
      <c r="FF547" t="str">
        <f t="shared" si="104"/>
        <v/>
      </c>
      <c r="FI547" s="16">
        <v>544</v>
      </c>
      <c r="FJ547" s="17" t="str">
        <f t="shared" si="105"/>
        <v/>
      </c>
      <c r="FK547" s="17">
        <f t="shared" si="101"/>
        <v>31</v>
      </c>
      <c r="FL547" s="18" t="str">
        <f t="shared" si="106"/>
        <v>00011111</v>
      </c>
    </row>
    <row r="548" spans="159:168">
      <c r="FC548">
        <v>545</v>
      </c>
      <c r="FD548">
        <f t="shared" si="102"/>
        <v>1</v>
      </c>
      <c r="FE548">
        <f t="shared" si="103"/>
        <v>35</v>
      </c>
      <c r="FF548" t="str">
        <f t="shared" si="104"/>
        <v/>
      </c>
      <c r="FI548" s="16">
        <v>545</v>
      </c>
      <c r="FJ548" s="17" t="str">
        <f t="shared" si="105"/>
        <v/>
      </c>
      <c r="FK548" s="17">
        <f t="shared" si="101"/>
        <v>68</v>
      </c>
      <c r="FL548" s="18" t="str">
        <f t="shared" si="106"/>
        <v>01000100</v>
      </c>
    </row>
    <row r="549" spans="159:168">
      <c r="FC549">
        <v>546</v>
      </c>
      <c r="FD549">
        <f t="shared" si="102"/>
        <v>2</v>
      </c>
      <c r="FE549">
        <f t="shared" si="103"/>
        <v>35</v>
      </c>
      <c r="FF549" t="str">
        <f t="shared" si="104"/>
        <v/>
      </c>
      <c r="FI549" s="16">
        <v>546</v>
      </c>
      <c r="FJ549" s="17" t="str">
        <f t="shared" si="105"/>
        <v/>
      </c>
      <c r="FK549" s="17">
        <f t="shared" si="101"/>
        <v>182</v>
      </c>
      <c r="FL549" s="18" t="str">
        <f t="shared" si="106"/>
        <v>10110110</v>
      </c>
    </row>
    <row r="550" spans="159:168">
      <c r="FC550">
        <v>547</v>
      </c>
      <c r="FD550">
        <f t="shared" si="102"/>
        <v>3</v>
      </c>
      <c r="FE550">
        <f t="shared" si="103"/>
        <v>35</v>
      </c>
      <c r="FF550" t="str">
        <f t="shared" si="104"/>
        <v/>
      </c>
      <c r="FI550" s="16">
        <v>547</v>
      </c>
      <c r="FJ550" s="17" t="str">
        <f t="shared" si="105"/>
        <v/>
      </c>
      <c r="FK550" s="17">
        <f t="shared" si="101"/>
        <v>117</v>
      </c>
      <c r="FL550" s="18" t="str">
        <f t="shared" si="106"/>
        <v>01110101</v>
      </c>
    </row>
    <row r="551" spans="159:168">
      <c r="FC551">
        <v>548</v>
      </c>
      <c r="FD551">
        <f t="shared" si="102"/>
        <v>4</v>
      </c>
      <c r="FE551">
        <f t="shared" si="103"/>
        <v>35</v>
      </c>
      <c r="FF551" t="str">
        <f t="shared" si="104"/>
        <v/>
      </c>
      <c r="FI551" s="16">
        <v>548</v>
      </c>
      <c r="FJ551" s="17" t="str">
        <f t="shared" si="105"/>
        <v/>
      </c>
      <c r="FK551" s="17">
        <f t="shared" si="101"/>
        <v>0</v>
      </c>
      <c r="FL551" s="18" t="str">
        <f t="shared" si="106"/>
        <v>00000000</v>
      </c>
    </row>
    <row r="552" spans="159:168">
      <c r="FC552">
        <v>549</v>
      </c>
      <c r="FD552">
        <f t="shared" si="102"/>
        <v>5</v>
      </c>
      <c r="FE552">
        <f t="shared" si="103"/>
        <v>35</v>
      </c>
      <c r="FF552" t="str">
        <f t="shared" si="104"/>
        <v/>
      </c>
      <c r="FI552" s="16">
        <v>549</v>
      </c>
      <c r="FJ552" s="17" t="str">
        <f t="shared" si="105"/>
        <v/>
      </c>
      <c r="FK552" s="17" t="str">
        <f t="shared" si="101"/>
        <v/>
      </c>
      <c r="FL552" s="18" t="str">
        <f t="shared" si="106"/>
        <v/>
      </c>
    </row>
    <row r="553" spans="159:168">
      <c r="FC553">
        <v>550</v>
      </c>
      <c r="FD553">
        <f t="shared" si="102"/>
        <v>6</v>
      </c>
      <c r="FE553">
        <f t="shared" si="103"/>
        <v>35</v>
      </c>
      <c r="FF553" t="str">
        <f t="shared" si="104"/>
        <v/>
      </c>
      <c r="FI553" s="16">
        <v>550</v>
      </c>
      <c r="FJ553" s="17" t="str">
        <f t="shared" si="105"/>
        <v/>
      </c>
      <c r="FK553" s="17" t="str">
        <f t="shared" si="101"/>
        <v/>
      </c>
      <c r="FL553" s="18" t="str">
        <f t="shared" si="106"/>
        <v/>
      </c>
    </row>
    <row r="554" spans="159:168">
      <c r="FC554">
        <v>551</v>
      </c>
      <c r="FD554">
        <f t="shared" si="102"/>
        <v>7</v>
      </c>
      <c r="FE554">
        <f t="shared" si="103"/>
        <v>35</v>
      </c>
      <c r="FF554" t="str">
        <f t="shared" si="104"/>
        <v/>
      </c>
      <c r="FI554" s="16">
        <v>551</v>
      </c>
      <c r="FJ554" s="17" t="str">
        <f t="shared" si="105"/>
        <v/>
      </c>
      <c r="FK554" s="17" t="str">
        <f t="shared" si="101"/>
        <v/>
      </c>
      <c r="FL554" s="18" t="str">
        <f t="shared" si="106"/>
        <v/>
      </c>
    </row>
    <row r="555" spans="159:168">
      <c r="FC555">
        <v>552</v>
      </c>
      <c r="FD555">
        <f t="shared" si="102"/>
        <v>8</v>
      </c>
      <c r="FE555">
        <f t="shared" si="103"/>
        <v>35</v>
      </c>
      <c r="FF555" t="str">
        <f t="shared" si="104"/>
        <v/>
      </c>
      <c r="FI555" s="16">
        <v>552</v>
      </c>
      <c r="FJ555" s="17" t="str">
        <f t="shared" si="105"/>
        <v/>
      </c>
      <c r="FK555" s="17" t="str">
        <f t="shared" si="101"/>
        <v/>
      </c>
      <c r="FL555" s="18" t="str">
        <f t="shared" si="106"/>
        <v/>
      </c>
    </row>
    <row r="556" spans="159:168">
      <c r="FC556">
        <v>553</v>
      </c>
      <c r="FD556">
        <f t="shared" si="102"/>
        <v>9</v>
      </c>
      <c r="FE556">
        <f t="shared" si="103"/>
        <v>35</v>
      </c>
      <c r="FF556" t="str">
        <f t="shared" si="104"/>
        <v/>
      </c>
      <c r="FI556" s="16">
        <v>553</v>
      </c>
      <c r="FJ556" s="17" t="str">
        <f t="shared" si="105"/>
        <v/>
      </c>
      <c r="FK556" s="17" t="str">
        <f t="shared" si="101"/>
        <v/>
      </c>
      <c r="FL556" s="18" t="str">
        <f t="shared" si="106"/>
        <v/>
      </c>
    </row>
    <row r="557" spans="159:168">
      <c r="FC557">
        <v>554</v>
      </c>
      <c r="FD557">
        <f t="shared" si="102"/>
        <v>10</v>
      </c>
      <c r="FE557">
        <f t="shared" si="103"/>
        <v>35</v>
      </c>
      <c r="FF557" t="str">
        <f t="shared" si="104"/>
        <v/>
      </c>
      <c r="FI557" s="16">
        <v>554</v>
      </c>
      <c r="FJ557" s="17" t="str">
        <f t="shared" si="105"/>
        <v/>
      </c>
      <c r="FK557" s="17" t="str">
        <f t="shared" si="101"/>
        <v/>
      </c>
      <c r="FL557" s="18" t="str">
        <f t="shared" si="106"/>
        <v/>
      </c>
    </row>
    <row r="558" spans="159:168">
      <c r="FC558">
        <v>555</v>
      </c>
      <c r="FD558">
        <f t="shared" si="102"/>
        <v>11</v>
      </c>
      <c r="FE558">
        <f t="shared" si="103"/>
        <v>35</v>
      </c>
      <c r="FF558" t="str">
        <f t="shared" si="104"/>
        <v/>
      </c>
      <c r="FI558" s="16">
        <v>555</v>
      </c>
      <c r="FJ558" s="17" t="str">
        <f t="shared" si="105"/>
        <v/>
      </c>
      <c r="FK558" s="17" t="str">
        <f t="shared" si="101"/>
        <v/>
      </c>
      <c r="FL558" s="18" t="str">
        <f t="shared" si="106"/>
        <v/>
      </c>
    </row>
    <row r="559" spans="159:168">
      <c r="FC559">
        <v>556</v>
      </c>
      <c r="FD559">
        <f t="shared" si="102"/>
        <v>12</v>
      </c>
      <c r="FE559">
        <f t="shared" si="103"/>
        <v>35</v>
      </c>
      <c r="FF559" t="str">
        <f t="shared" si="104"/>
        <v/>
      </c>
      <c r="FI559" s="16">
        <v>556</v>
      </c>
      <c r="FJ559" s="17" t="str">
        <f t="shared" si="105"/>
        <v/>
      </c>
      <c r="FK559" s="17" t="str">
        <f t="shared" si="101"/>
        <v/>
      </c>
      <c r="FL559" s="18" t="str">
        <f t="shared" si="106"/>
        <v/>
      </c>
    </row>
    <row r="560" spans="159:168">
      <c r="FC560">
        <v>557</v>
      </c>
      <c r="FD560">
        <f t="shared" si="102"/>
        <v>13</v>
      </c>
      <c r="FE560">
        <f t="shared" si="103"/>
        <v>35</v>
      </c>
      <c r="FF560" t="str">
        <f t="shared" si="104"/>
        <v/>
      </c>
      <c r="FI560" s="16">
        <v>557</v>
      </c>
      <c r="FJ560" s="17" t="str">
        <f t="shared" si="105"/>
        <v/>
      </c>
      <c r="FK560" s="17" t="str">
        <f t="shared" si="101"/>
        <v/>
      </c>
      <c r="FL560" s="18" t="str">
        <f t="shared" si="106"/>
        <v/>
      </c>
    </row>
    <row r="561" spans="159:168">
      <c r="FC561">
        <v>558</v>
      </c>
      <c r="FD561">
        <f t="shared" si="102"/>
        <v>14</v>
      </c>
      <c r="FE561">
        <f t="shared" si="103"/>
        <v>35</v>
      </c>
      <c r="FF561" t="str">
        <f t="shared" si="104"/>
        <v/>
      </c>
      <c r="FI561" s="16">
        <v>558</v>
      </c>
      <c r="FJ561" s="17" t="str">
        <f t="shared" si="105"/>
        <v/>
      </c>
      <c r="FK561" s="17" t="str">
        <f t="shared" si="101"/>
        <v/>
      </c>
      <c r="FL561" s="18" t="str">
        <f t="shared" si="106"/>
        <v/>
      </c>
    </row>
    <row r="562" spans="159:168">
      <c r="FC562">
        <v>559</v>
      </c>
      <c r="FD562">
        <f t="shared" si="102"/>
        <v>15</v>
      </c>
      <c r="FE562">
        <f t="shared" si="103"/>
        <v>35</v>
      </c>
      <c r="FF562" t="str">
        <f t="shared" si="104"/>
        <v/>
      </c>
      <c r="FI562" s="16">
        <v>559</v>
      </c>
      <c r="FJ562" s="17" t="str">
        <f t="shared" si="105"/>
        <v/>
      </c>
      <c r="FK562" s="17" t="str">
        <f t="shared" si="101"/>
        <v/>
      </c>
      <c r="FL562" s="18" t="str">
        <f t="shared" si="106"/>
        <v/>
      </c>
    </row>
    <row r="563" spans="159:168">
      <c r="FC563">
        <v>560</v>
      </c>
      <c r="FD563">
        <f t="shared" si="102"/>
        <v>16</v>
      </c>
      <c r="FE563">
        <f t="shared" si="103"/>
        <v>35</v>
      </c>
      <c r="FF563" t="str">
        <f t="shared" si="104"/>
        <v/>
      </c>
      <c r="FI563" s="16">
        <v>560</v>
      </c>
      <c r="FJ563" s="17" t="str">
        <f t="shared" si="105"/>
        <v/>
      </c>
      <c r="FK563" s="17" t="str">
        <f t="shared" si="101"/>
        <v/>
      </c>
      <c r="FL563" s="18" t="str">
        <f t="shared" si="106"/>
        <v/>
      </c>
    </row>
    <row r="564" spans="159:168">
      <c r="FC564">
        <v>561</v>
      </c>
      <c r="FD564">
        <f t="shared" si="102"/>
        <v>1</v>
      </c>
      <c r="FE564">
        <f t="shared" si="103"/>
        <v>36</v>
      </c>
      <c r="FF564" t="str">
        <f t="shared" si="104"/>
        <v/>
      </c>
      <c r="FI564" s="16">
        <v>561</v>
      </c>
      <c r="FJ564" s="17" t="str">
        <f t="shared" si="105"/>
        <v/>
      </c>
      <c r="FK564" s="17" t="str">
        <f t="shared" si="101"/>
        <v/>
      </c>
      <c r="FL564" s="18" t="str">
        <f t="shared" si="106"/>
        <v/>
      </c>
    </row>
    <row r="565" spans="159:168">
      <c r="FC565">
        <v>562</v>
      </c>
      <c r="FD565">
        <f t="shared" si="102"/>
        <v>2</v>
      </c>
      <c r="FE565">
        <f t="shared" si="103"/>
        <v>36</v>
      </c>
      <c r="FF565" t="str">
        <f t="shared" si="104"/>
        <v/>
      </c>
      <c r="FI565" s="16">
        <v>562</v>
      </c>
      <c r="FJ565" s="17" t="str">
        <f t="shared" si="105"/>
        <v/>
      </c>
      <c r="FK565" s="17" t="str">
        <f t="shared" si="101"/>
        <v/>
      </c>
      <c r="FL565" s="18" t="str">
        <f t="shared" si="106"/>
        <v/>
      </c>
    </row>
    <row r="566" spans="159:168">
      <c r="FC566">
        <v>563</v>
      </c>
      <c r="FD566">
        <f t="shared" si="102"/>
        <v>3</v>
      </c>
      <c r="FE566">
        <f t="shared" si="103"/>
        <v>36</v>
      </c>
      <c r="FF566" t="str">
        <f t="shared" si="104"/>
        <v/>
      </c>
      <c r="FI566" s="16">
        <v>563</v>
      </c>
      <c r="FJ566" s="17" t="str">
        <f t="shared" si="105"/>
        <v/>
      </c>
      <c r="FK566" s="17" t="str">
        <f t="shared" si="101"/>
        <v/>
      </c>
      <c r="FL566" s="18" t="str">
        <f t="shared" si="106"/>
        <v/>
      </c>
    </row>
    <row r="567" spans="159:168">
      <c r="FC567">
        <v>564</v>
      </c>
      <c r="FD567">
        <f t="shared" si="102"/>
        <v>4</v>
      </c>
      <c r="FE567">
        <f t="shared" si="103"/>
        <v>36</v>
      </c>
      <c r="FF567" t="str">
        <f t="shared" si="104"/>
        <v/>
      </c>
      <c r="FI567" s="16">
        <v>564</v>
      </c>
      <c r="FJ567" s="17" t="str">
        <f t="shared" si="105"/>
        <v/>
      </c>
      <c r="FK567" s="17" t="str">
        <f t="shared" si="101"/>
        <v/>
      </c>
      <c r="FL567" s="18" t="str">
        <f t="shared" si="106"/>
        <v/>
      </c>
    </row>
    <row r="568" spans="159:168">
      <c r="FC568">
        <v>565</v>
      </c>
      <c r="FD568">
        <f t="shared" si="102"/>
        <v>5</v>
      </c>
      <c r="FE568">
        <f t="shared" si="103"/>
        <v>36</v>
      </c>
      <c r="FF568" t="str">
        <f t="shared" si="104"/>
        <v/>
      </c>
      <c r="FI568" s="16">
        <v>565</v>
      </c>
      <c r="FJ568" s="17" t="str">
        <f t="shared" si="105"/>
        <v/>
      </c>
      <c r="FK568" s="17" t="str">
        <f t="shared" si="101"/>
        <v/>
      </c>
      <c r="FL568" s="18" t="str">
        <f t="shared" si="106"/>
        <v/>
      </c>
    </row>
    <row r="569" spans="159:168">
      <c r="FC569">
        <v>566</v>
      </c>
      <c r="FD569">
        <f t="shared" si="102"/>
        <v>6</v>
      </c>
      <c r="FE569">
        <f t="shared" si="103"/>
        <v>36</v>
      </c>
      <c r="FF569" t="str">
        <f t="shared" si="104"/>
        <v/>
      </c>
      <c r="FI569" s="16">
        <v>566</v>
      </c>
      <c r="FJ569" s="17" t="str">
        <f t="shared" si="105"/>
        <v/>
      </c>
      <c r="FK569" s="17" t="str">
        <f t="shared" si="101"/>
        <v/>
      </c>
      <c r="FL569" s="18" t="str">
        <f t="shared" si="106"/>
        <v/>
      </c>
    </row>
    <row r="570" spans="159:168">
      <c r="FC570">
        <v>567</v>
      </c>
      <c r="FD570">
        <f t="shared" si="102"/>
        <v>7</v>
      </c>
      <c r="FE570">
        <f t="shared" si="103"/>
        <v>36</v>
      </c>
      <c r="FF570" t="str">
        <f t="shared" si="104"/>
        <v/>
      </c>
      <c r="FI570" s="16">
        <v>567</v>
      </c>
      <c r="FJ570" s="17" t="str">
        <f t="shared" si="105"/>
        <v/>
      </c>
      <c r="FK570" s="17" t="str">
        <f t="shared" si="101"/>
        <v/>
      </c>
      <c r="FL570" s="18" t="str">
        <f t="shared" si="106"/>
        <v/>
      </c>
    </row>
    <row r="571" spans="159:168">
      <c r="FC571">
        <v>568</v>
      </c>
      <c r="FD571">
        <f t="shared" si="102"/>
        <v>8</v>
      </c>
      <c r="FE571">
        <f t="shared" si="103"/>
        <v>36</v>
      </c>
      <c r="FF571" t="str">
        <f t="shared" si="104"/>
        <v/>
      </c>
      <c r="FI571" s="16">
        <v>568</v>
      </c>
      <c r="FJ571" s="17" t="str">
        <f t="shared" si="105"/>
        <v/>
      </c>
      <c r="FK571" s="17" t="str">
        <f t="shared" si="101"/>
        <v/>
      </c>
      <c r="FL571" s="18" t="str">
        <f t="shared" si="106"/>
        <v/>
      </c>
    </row>
    <row r="572" spans="159:168">
      <c r="FC572">
        <v>569</v>
      </c>
      <c r="FD572">
        <f t="shared" si="102"/>
        <v>9</v>
      </c>
      <c r="FE572">
        <f t="shared" si="103"/>
        <v>36</v>
      </c>
      <c r="FF572" t="str">
        <f t="shared" si="104"/>
        <v/>
      </c>
      <c r="FI572" s="16">
        <v>569</v>
      </c>
      <c r="FJ572" s="17" t="str">
        <f t="shared" si="105"/>
        <v/>
      </c>
      <c r="FK572" s="17" t="str">
        <f t="shared" si="101"/>
        <v/>
      </c>
      <c r="FL572" s="18" t="str">
        <f t="shared" si="106"/>
        <v/>
      </c>
    </row>
    <row r="573" spans="159:168">
      <c r="FC573">
        <v>570</v>
      </c>
      <c r="FD573">
        <f t="shared" si="102"/>
        <v>10</v>
      </c>
      <c r="FE573">
        <f t="shared" si="103"/>
        <v>36</v>
      </c>
      <c r="FF573" t="str">
        <f t="shared" si="104"/>
        <v/>
      </c>
      <c r="FI573" s="16">
        <v>570</v>
      </c>
      <c r="FJ573" s="17" t="str">
        <f t="shared" si="105"/>
        <v/>
      </c>
      <c r="FK573" s="17" t="str">
        <f t="shared" si="101"/>
        <v/>
      </c>
      <c r="FL573" s="18" t="str">
        <f t="shared" si="106"/>
        <v/>
      </c>
    </row>
    <row r="574" spans="159:168">
      <c r="FC574">
        <v>571</v>
      </c>
      <c r="FD574">
        <f t="shared" si="102"/>
        <v>11</v>
      </c>
      <c r="FE574">
        <f t="shared" si="103"/>
        <v>36</v>
      </c>
      <c r="FF574" t="str">
        <f t="shared" si="104"/>
        <v/>
      </c>
      <c r="FI574" s="16">
        <v>571</v>
      </c>
      <c r="FJ574" s="17" t="str">
        <f t="shared" si="105"/>
        <v/>
      </c>
      <c r="FK574" s="17" t="str">
        <f t="shared" si="101"/>
        <v/>
      </c>
      <c r="FL574" s="18" t="str">
        <f t="shared" si="106"/>
        <v/>
      </c>
    </row>
    <row r="575" spans="159:168">
      <c r="FC575">
        <v>572</v>
      </c>
      <c r="FD575">
        <f t="shared" si="102"/>
        <v>12</v>
      </c>
      <c r="FE575">
        <f t="shared" si="103"/>
        <v>36</v>
      </c>
      <c r="FF575" t="str">
        <f t="shared" si="104"/>
        <v/>
      </c>
      <c r="FI575" s="16">
        <v>572</v>
      </c>
      <c r="FJ575" s="17" t="str">
        <f t="shared" si="105"/>
        <v/>
      </c>
      <c r="FK575" s="17" t="str">
        <f t="shared" si="101"/>
        <v/>
      </c>
      <c r="FL575" s="18" t="str">
        <f t="shared" si="106"/>
        <v/>
      </c>
    </row>
    <row r="576" spans="159:168">
      <c r="FC576">
        <v>573</v>
      </c>
      <c r="FD576">
        <f t="shared" si="102"/>
        <v>13</v>
      </c>
      <c r="FE576">
        <f t="shared" si="103"/>
        <v>36</v>
      </c>
      <c r="FF576" t="str">
        <f t="shared" si="104"/>
        <v/>
      </c>
      <c r="FI576" s="16">
        <v>573</v>
      </c>
      <c r="FJ576" s="17" t="str">
        <f t="shared" si="105"/>
        <v/>
      </c>
      <c r="FK576" s="17" t="str">
        <f t="shared" si="101"/>
        <v/>
      </c>
      <c r="FL576" s="18" t="str">
        <f t="shared" si="106"/>
        <v/>
      </c>
    </row>
    <row r="577" spans="159:168">
      <c r="FC577">
        <v>574</v>
      </c>
      <c r="FD577">
        <f t="shared" si="102"/>
        <v>14</v>
      </c>
      <c r="FE577">
        <f t="shared" si="103"/>
        <v>36</v>
      </c>
      <c r="FF577" t="str">
        <f t="shared" si="104"/>
        <v/>
      </c>
      <c r="FI577" s="16">
        <v>574</v>
      </c>
      <c r="FJ577" s="17" t="str">
        <f t="shared" si="105"/>
        <v/>
      </c>
      <c r="FK577" s="17" t="str">
        <f t="shared" si="101"/>
        <v/>
      </c>
      <c r="FL577" s="18" t="str">
        <f t="shared" si="106"/>
        <v/>
      </c>
    </row>
    <row r="578" spans="159:168">
      <c r="FC578">
        <v>575</v>
      </c>
      <c r="FD578">
        <f t="shared" si="102"/>
        <v>15</v>
      </c>
      <c r="FE578">
        <f t="shared" si="103"/>
        <v>36</v>
      </c>
      <c r="FF578" t="str">
        <f t="shared" si="104"/>
        <v/>
      </c>
      <c r="FI578" s="16">
        <v>575</v>
      </c>
      <c r="FJ578" s="17" t="str">
        <f t="shared" si="105"/>
        <v/>
      </c>
      <c r="FK578" s="17" t="str">
        <f t="shared" si="101"/>
        <v/>
      </c>
      <c r="FL578" s="18" t="str">
        <f t="shared" si="106"/>
        <v/>
      </c>
    </row>
    <row r="579" spans="159:168">
      <c r="FC579">
        <v>576</v>
      </c>
      <c r="FD579">
        <f t="shared" si="102"/>
        <v>16</v>
      </c>
      <c r="FE579">
        <f t="shared" si="103"/>
        <v>36</v>
      </c>
      <c r="FF579" t="str">
        <f t="shared" si="104"/>
        <v/>
      </c>
      <c r="FI579" s="16">
        <v>576</v>
      </c>
      <c r="FJ579" s="17" t="str">
        <f t="shared" si="105"/>
        <v/>
      </c>
      <c r="FK579" s="17" t="str">
        <f t="shared" si="101"/>
        <v/>
      </c>
      <c r="FL579" s="18" t="str">
        <f t="shared" si="106"/>
        <v/>
      </c>
    </row>
    <row r="580" spans="159:168">
      <c r="FC580">
        <v>577</v>
      </c>
      <c r="FD580">
        <f t="shared" si="102"/>
        <v>1</v>
      </c>
      <c r="FE580">
        <f t="shared" si="103"/>
        <v>37</v>
      </c>
      <c r="FF580" t="str">
        <f t="shared" si="104"/>
        <v/>
      </c>
      <c r="FI580" s="16">
        <v>577</v>
      </c>
      <c r="FJ580" s="17" t="str">
        <f t="shared" si="105"/>
        <v/>
      </c>
      <c r="FK580" s="17" t="str">
        <f t="shared" si="101"/>
        <v/>
      </c>
      <c r="FL580" s="18" t="str">
        <f t="shared" si="106"/>
        <v/>
      </c>
    </row>
    <row r="581" spans="159:168">
      <c r="FC581">
        <v>578</v>
      </c>
      <c r="FD581">
        <f t="shared" si="102"/>
        <v>2</v>
      </c>
      <c r="FE581">
        <f t="shared" si="103"/>
        <v>37</v>
      </c>
      <c r="FF581" t="str">
        <f t="shared" si="104"/>
        <v/>
      </c>
      <c r="FI581" s="16">
        <v>578</v>
      </c>
      <c r="FJ581" s="17" t="str">
        <f t="shared" si="105"/>
        <v/>
      </c>
      <c r="FK581" s="17" t="str">
        <f t="shared" ref="FK581:FK644" si="107">IF(FI581&lt;=$FH$2,FF581,IF(FI581&lt;=$FH$2+$FH$3,INDEX($FJ$4:$FJ$2494,FI581-$FH$2),""))</f>
        <v/>
      </c>
      <c r="FL581" s="18" t="str">
        <f t="shared" si="106"/>
        <v/>
      </c>
    </row>
    <row r="582" spans="159:168">
      <c r="FC582">
        <v>579</v>
      </c>
      <c r="FD582">
        <f t="shared" si="102"/>
        <v>3</v>
      </c>
      <c r="FE582">
        <f t="shared" si="103"/>
        <v>37</v>
      </c>
      <c r="FF582" t="str">
        <f t="shared" si="104"/>
        <v/>
      </c>
      <c r="FI582" s="16">
        <v>579</v>
      </c>
      <c r="FJ582" s="17" t="str">
        <f t="shared" si="105"/>
        <v/>
      </c>
      <c r="FK582" s="17" t="str">
        <f t="shared" si="107"/>
        <v/>
      </c>
      <c r="FL582" s="18" t="str">
        <f t="shared" si="106"/>
        <v/>
      </c>
    </row>
    <row r="583" spans="159:168">
      <c r="FC583">
        <v>580</v>
      </c>
      <c r="FD583">
        <f t="shared" si="102"/>
        <v>4</v>
      </c>
      <c r="FE583">
        <f t="shared" si="103"/>
        <v>37</v>
      </c>
      <c r="FF583" t="str">
        <f t="shared" si="104"/>
        <v/>
      </c>
      <c r="FI583" s="16">
        <v>580</v>
      </c>
      <c r="FJ583" s="17" t="str">
        <f t="shared" si="105"/>
        <v/>
      </c>
      <c r="FK583" s="17" t="str">
        <f t="shared" si="107"/>
        <v/>
      </c>
      <c r="FL583" s="18" t="str">
        <f t="shared" si="106"/>
        <v/>
      </c>
    </row>
    <row r="584" spans="159:168">
      <c r="FC584">
        <v>581</v>
      </c>
      <c r="FD584">
        <f t="shared" si="102"/>
        <v>5</v>
      </c>
      <c r="FE584">
        <f t="shared" si="103"/>
        <v>37</v>
      </c>
      <c r="FF584" t="str">
        <f t="shared" si="104"/>
        <v/>
      </c>
      <c r="FI584" s="16">
        <v>581</v>
      </c>
      <c r="FJ584" s="17" t="str">
        <f t="shared" si="105"/>
        <v/>
      </c>
      <c r="FK584" s="17" t="str">
        <f t="shared" si="107"/>
        <v/>
      </c>
      <c r="FL584" s="18" t="str">
        <f t="shared" si="106"/>
        <v/>
      </c>
    </row>
    <row r="585" spans="159:168">
      <c r="FC585">
        <v>582</v>
      </c>
      <c r="FD585">
        <f t="shared" si="102"/>
        <v>6</v>
      </c>
      <c r="FE585">
        <f t="shared" si="103"/>
        <v>37</v>
      </c>
      <c r="FF585" t="str">
        <f t="shared" si="104"/>
        <v/>
      </c>
      <c r="FI585" s="16">
        <v>582</v>
      </c>
      <c r="FJ585" s="17" t="str">
        <f t="shared" si="105"/>
        <v/>
      </c>
      <c r="FK585" s="17" t="str">
        <f t="shared" si="107"/>
        <v/>
      </c>
      <c r="FL585" s="18" t="str">
        <f t="shared" si="106"/>
        <v/>
      </c>
    </row>
    <row r="586" spans="159:168">
      <c r="FC586">
        <v>583</v>
      </c>
      <c r="FD586">
        <f t="shared" si="102"/>
        <v>7</v>
      </c>
      <c r="FE586">
        <f t="shared" si="103"/>
        <v>37</v>
      </c>
      <c r="FF586" t="str">
        <f t="shared" si="104"/>
        <v/>
      </c>
      <c r="FI586" s="16">
        <v>583</v>
      </c>
      <c r="FJ586" s="17" t="str">
        <f t="shared" si="105"/>
        <v/>
      </c>
      <c r="FK586" s="17" t="str">
        <f t="shared" si="107"/>
        <v/>
      </c>
      <c r="FL586" s="18" t="str">
        <f t="shared" si="106"/>
        <v/>
      </c>
    </row>
    <row r="587" spans="159:168">
      <c r="FC587">
        <v>584</v>
      </c>
      <c r="FD587">
        <f t="shared" si="102"/>
        <v>8</v>
      </c>
      <c r="FE587">
        <f t="shared" si="103"/>
        <v>37</v>
      </c>
      <c r="FF587" t="str">
        <f t="shared" si="104"/>
        <v/>
      </c>
      <c r="FI587" s="16">
        <v>584</v>
      </c>
      <c r="FJ587" s="17" t="str">
        <f t="shared" si="105"/>
        <v/>
      </c>
      <c r="FK587" s="17" t="str">
        <f t="shared" si="107"/>
        <v/>
      </c>
      <c r="FL587" s="18" t="str">
        <f t="shared" si="106"/>
        <v/>
      </c>
    </row>
    <row r="588" spans="159:168">
      <c r="FC588">
        <v>585</v>
      </c>
      <c r="FD588">
        <f t="shared" si="102"/>
        <v>9</v>
      </c>
      <c r="FE588">
        <f t="shared" si="103"/>
        <v>37</v>
      </c>
      <c r="FF588" t="str">
        <f t="shared" si="104"/>
        <v/>
      </c>
      <c r="FI588" s="16">
        <v>585</v>
      </c>
      <c r="FJ588" s="17" t="str">
        <f t="shared" si="105"/>
        <v/>
      </c>
      <c r="FK588" s="17" t="str">
        <f t="shared" si="107"/>
        <v/>
      </c>
      <c r="FL588" s="18" t="str">
        <f t="shared" si="106"/>
        <v/>
      </c>
    </row>
    <row r="589" spans="159:168">
      <c r="FC589">
        <v>586</v>
      </c>
      <c r="FD589">
        <f t="shared" si="102"/>
        <v>10</v>
      </c>
      <c r="FE589">
        <f t="shared" si="103"/>
        <v>37</v>
      </c>
      <c r="FF589" t="str">
        <f t="shared" si="104"/>
        <v/>
      </c>
      <c r="FI589" s="16">
        <v>586</v>
      </c>
      <c r="FJ589" s="17" t="str">
        <f t="shared" si="105"/>
        <v/>
      </c>
      <c r="FK589" s="17" t="str">
        <f t="shared" si="107"/>
        <v/>
      </c>
      <c r="FL589" s="18" t="str">
        <f t="shared" si="106"/>
        <v/>
      </c>
    </row>
    <row r="590" spans="159:168">
      <c r="FC590">
        <v>587</v>
      </c>
      <c r="FD590">
        <f t="shared" si="102"/>
        <v>11</v>
      </c>
      <c r="FE590">
        <f t="shared" si="103"/>
        <v>37</v>
      </c>
      <c r="FF590" t="str">
        <f t="shared" si="104"/>
        <v/>
      </c>
      <c r="FI590" s="16">
        <v>587</v>
      </c>
      <c r="FJ590" s="17" t="str">
        <f t="shared" si="105"/>
        <v/>
      </c>
      <c r="FK590" s="17" t="str">
        <f t="shared" si="107"/>
        <v/>
      </c>
      <c r="FL590" s="18" t="str">
        <f t="shared" si="106"/>
        <v/>
      </c>
    </row>
    <row r="591" spans="159:168">
      <c r="FC591">
        <v>588</v>
      </c>
      <c r="FD591">
        <f t="shared" si="102"/>
        <v>12</v>
      </c>
      <c r="FE591">
        <f t="shared" si="103"/>
        <v>37</v>
      </c>
      <c r="FF591" t="str">
        <f t="shared" si="104"/>
        <v/>
      </c>
      <c r="FI591" s="16">
        <v>588</v>
      </c>
      <c r="FJ591" s="17" t="str">
        <f t="shared" si="105"/>
        <v/>
      </c>
      <c r="FK591" s="17" t="str">
        <f t="shared" si="107"/>
        <v/>
      </c>
      <c r="FL591" s="18" t="str">
        <f t="shared" si="106"/>
        <v/>
      </c>
    </row>
    <row r="592" spans="159:168">
      <c r="FC592">
        <v>589</v>
      </c>
      <c r="FD592">
        <f t="shared" si="102"/>
        <v>13</v>
      </c>
      <c r="FE592">
        <f t="shared" si="103"/>
        <v>37</v>
      </c>
      <c r="FF592" t="str">
        <f t="shared" si="104"/>
        <v/>
      </c>
      <c r="FI592" s="16">
        <v>589</v>
      </c>
      <c r="FJ592" s="17" t="str">
        <f t="shared" si="105"/>
        <v/>
      </c>
      <c r="FK592" s="17" t="str">
        <f t="shared" si="107"/>
        <v/>
      </c>
      <c r="FL592" s="18" t="str">
        <f t="shared" si="106"/>
        <v/>
      </c>
    </row>
    <row r="593" spans="159:168">
      <c r="FC593">
        <v>590</v>
      </c>
      <c r="FD593">
        <f t="shared" si="102"/>
        <v>14</v>
      </c>
      <c r="FE593">
        <f t="shared" si="103"/>
        <v>37</v>
      </c>
      <c r="FF593" t="str">
        <f t="shared" si="104"/>
        <v/>
      </c>
      <c r="FI593" s="16">
        <v>590</v>
      </c>
      <c r="FJ593" s="17" t="str">
        <f t="shared" si="105"/>
        <v/>
      </c>
      <c r="FK593" s="17" t="str">
        <f t="shared" si="107"/>
        <v/>
      </c>
      <c r="FL593" s="18" t="str">
        <f t="shared" si="106"/>
        <v/>
      </c>
    </row>
    <row r="594" spans="159:168">
      <c r="FC594">
        <v>591</v>
      </c>
      <c r="FD594">
        <f t="shared" si="102"/>
        <v>15</v>
      </c>
      <c r="FE594">
        <f t="shared" si="103"/>
        <v>37</v>
      </c>
      <c r="FF594" t="str">
        <f t="shared" si="104"/>
        <v/>
      </c>
      <c r="FI594" s="16">
        <v>591</v>
      </c>
      <c r="FJ594" s="17" t="str">
        <f t="shared" si="105"/>
        <v/>
      </c>
      <c r="FK594" s="17" t="str">
        <f t="shared" si="107"/>
        <v/>
      </c>
      <c r="FL594" s="18" t="str">
        <f t="shared" si="106"/>
        <v/>
      </c>
    </row>
    <row r="595" spans="159:168">
      <c r="FC595">
        <v>592</v>
      </c>
      <c r="FD595">
        <f t="shared" si="102"/>
        <v>16</v>
      </c>
      <c r="FE595">
        <f t="shared" si="103"/>
        <v>37</v>
      </c>
      <c r="FF595" t="str">
        <f t="shared" si="104"/>
        <v/>
      </c>
      <c r="FI595" s="16">
        <v>592</v>
      </c>
      <c r="FJ595" s="17" t="str">
        <f t="shared" si="105"/>
        <v/>
      </c>
      <c r="FK595" s="17" t="str">
        <f t="shared" si="107"/>
        <v/>
      </c>
      <c r="FL595" s="18" t="str">
        <f t="shared" si="106"/>
        <v/>
      </c>
    </row>
    <row r="596" spans="159:168">
      <c r="FC596">
        <v>593</v>
      </c>
      <c r="FD596">
        <f t="shared" si="102"/>
        <v>1</v>
      </c>
      <c r="FE596">
        <f t="shared" si="103"/>
        <v>38</v>
      </c>
      <c r="FF596" t="str">
        <f t="shared" si="104"/>
        <v/>
      </c>
      <c r="FI596" s="16">
        <v>593</v>
      </c>
      <c r="FJ596" s="17" t="str">
        <f t="shared" si="105"/>
        <v/>
      </c>
      <c r="FK596" s="17" t="str">
        <f t="shared" si="107"/>
        <v/>
      </c>
      <c r="FL596" s="18" t="str">
        <f t="shared" si="106"/>
        <v/>
      </c>
    </row>
    <row r="597" spans="159:168">
      <c r="FC597">
        <v>594</v>
      </c>
      <c r="FD597">
        <f t="shared" si="102"/>
        <v>2</v>
      </c>
      <c r="FE597">
        <f t="shared" si="103"/>
        <v>38</v>
      </c>
      <c r="FF597" t="str">
        <f t="shared" si="104"/>
        <v/>
      </c>
      <c r="FI597" s="16">
        <v>594</v>
      </c>
      <c r="FJ597" s="17" t="str">
        <f t="shared" si="105"/>
        <v/>
      </c>
      <c r="FK597" s="17" t="str">
        <f t="shared" si="107"/>
        <v/>
      </c>
      <c r="FL597" s="18" t="str">
        <f t="shared" si="106"/>
        <v/>
      </c>
    </row>
    <row r="598" spans="159:168">
      <c r="FC598">
        <v>595</v>
      </c>
      <c r="FD598">
        <f t="shared" ref="FD598:FD661" si="108">IF(MOD(FC598,$FB$1+$FB$2)=0,$FB$1+$FB$2,MOD(FC598,$FB$1+$FB$2))</f>
        <v>3</v>
      </c>
      <c r="FE598">
        <f t="shared" ref="FE598:FE661" si="109">ROUNDUP(FC598/($FB$1+$FB$2),0)</f>
        <v>38</v>
      </c>
      <c r="FF598" t="str">
        <f t="shared" ref="FF598:FF661" si="110">IF(FE598&lt;$FB$3,INDEX($E$4:$DV$84,FD598,FE598),IF(FE598=$FB$3,INDEX($E$4:$DV$84,FD598+$FB$1,FE598),""))</f>
        <v/>
      </c>
      <c r="FI598" s="16">
        <v>595</v>
      </c>
      <c r="FJ598" s="17" t="str">
        <f t="shared" ref="FJ598:FJ661" si="111">IF(FE598&lt;=$FH$1,INDEX($DW$4:$EZ$84,FD598,FE598),"")</f>
        <v/>
      </c>
      <c r="FK598" s="17" t="str">
        <f t="shared" si="107"/>
        <v/>
      </c>
      <c r="FL598" s="18" t="str">
        <f t="shared" ref="FL598:FL661" si="112">IFERROR(TEXT(DEC2BIN(FK598),"00000000"),"")</f>
        <v/>
      </c>
    </row>
    <row r="599" spans="159:168">
      <c r="FC599">
        <v>596</v>
      </c>
      <c r="FD599">
        <f t="shared" si="108"/>
        <v>4</v>
      </c>
      <c r="FE599">
        <f t="shared" si="109"/>
        <v>38</v>
      </c>
      <c r="FF599" t="str">
        <f t="shared" si="110"/>
        <v/>
      </c>
      <c r="FI599" s="16">
        <v>596</v>
      </c>
      <c r="FJ599" s="17" t="str">
        <f t="shared" si="111"/>
        <v/>
      </c>
      <c r="FK599" s="17" t="str">
        <f t="shared" si="107"/>
        <v/>
      </c>
      <c r="FL599" s="18" t="str">
        <f t="shared" si="112"/>
        <v/>
      </c>
    </row>
    <row r="600" spans="159:168">
      <c r="FC600">
        <v>597</v>
      </c>
      <c r="FD600">
        <f t="shared" si="108"/>
        <v>5</v>
      </c>
      <c r="FE600">
        <f t="shared" si="109"/>
        <v>38</v>
      </c>
      <c r="FF600" t="str">
        <f t="shared" si="110"/>
        <v/>
      </c>
      <c r="FI600" s="16">
        <v>597</v>
      </c>
      <c r="FJ600" s="17" t="str">
        <f t="shared" si="111"/>
        <v/>
      </c>
      <c r="FK600" s="17" t="str">
        <f t="shared" si="107"/>
        <v/>
      </c>
      <c r="FL600" s="18" t="str">
        <f t="shared" si="112"/>
        <v/>
      </c>
    </row>
    <row r="601" spans="159:168">
      <c r="FC601">
        <v>598</v>
      </c>
      <c r="FD601">
        <f t="shared" si="108"/>
        <v>6</v>
      </c>
      <c r="FE601">
        <f t="shared" si="109"/>
        <v>38</v>
      </c>
      <c r="FF601" t="str">
        <f t="shared" si="110"/>
        <v/>
      </c>
      <c r="FI601" s="16">
        <v>598</v>
      </c>
      <c r="FJ601" s="17" t="str">
        <f t="shared" si="111"/>
        <v/>
      </c>
      <c r="FK601" s="17" t="str">
        <f t="shared" si="107"/>
        <v/>
      </c>
      <c r="FL601" s="18" t="str">
        <f t="shared" si="112"/>
        <v/>
      </c>
    </row>
    <row r="602" spans="159:168">
      <c r="FC602">
        <v>599</v>
      </c>
      <c r="FD602">
        <f t="shared" si="108"/>
        <v>7</v>
      </c>
      <c r="FE602">
        <f t="shared" si="109"/>
        <v>38</v>
      </c>
      <c r="FF602" t="str">
        <f t="shared" si="110"/>
        <v/>
      </c>
      <c r="FI602" s="16">
        <v>599</v>
      </c>
      <c r="FJ602" s="17" t="str">
        <f t="shared" si="111"/>
        <v/>
      </c>
      <c r="FK602" s="17" t="str">
        <f t="shared" si="107"/>
        <v/>
      </c>
      <c r="FL602" s="18" t="str">
        <f t="shared" si="112"/>
        <v/>
      </c>
    </row>
    <row r="603" spans="159:168">
      <c r="FC603">
        <v>600</v>
      </c>
      <c r="FD603">
        <f t="shared" si="108"/>
        <v>8</v>
      </c>
      <c r="FE603">
        <f t="shared" si="109"/>
        <v>38</v>
      </c>
      <c r="FF603" t="str">
        <f t="shared" si="110"/>
        <v/>
      </c>
      <c r="FI603" s="16">
        <v>600</v>
      </c>
      <c r="FJ603" s="17" t="str">
        <f t="shared" si="111"/>
        <v/>
      </c>
      <c r="FK603" s="17" t="str">
        <f t="shared" si="107"/>
        <v/>
      </c>
      <c r="FL603" s="18" t="str">
        <f t="shared" si="112"/>
        <v/>
      </c>
    </row>
    <row r="604" spans="159:168">
      <c r="FC604">
        <v>601</v>
      </c>
      <c r="FD604">
        <f t="shared" si="108"/>
        <v>9</v>
      </c>
      <c r="FE604">
        <f t="shared" si="109"/>
        <v>38</v>
      </c>
      <c r="FF604" t="str">
        <f t="shared" si="110"/>
        <v/>
      </c>
      <c r="FI604" s="16">
        <v>601</v>
      </c>
      <c r="FJ604" s="17" t="str">
        <f t="shared" si="111"/>
        <v/>
      </c>
      <c r="FK604" s="17" t="str">
        <f t="shared" si="107"/>
        <v/>
      </c>
      <c r="FL604" s="18" t="str">
        <f t="shared" si="112"/>
        <v/>
      </c>
    </row>
    <row r="605" spans="159:168">
      <c r="FC605">
        <v>602</v>
      </c>
      <c r="FD605">
        <f t="shared" si="108"/>
        <v>10</v>
      </c>
      <c r="FE605">
        <f t="shared" si="109"/>
        <v>38</v>
      </c>
      <c r="FF605" t="str">
        <f t="shared" si="110"/>
        <v/>
      </c>
      <c r="FI605" s="16">
        <v>602</v>
      </c>
      <c r="FJ605" s="17" t="str">
        <f t="shared" si="111"/>
        <v/>
      </c>
      <c r="FK605" s="17" t="str">
        <f t="shared" si="107"/>
        <v/>
      </c>
      <c r="FL605" s="18" t="str">
        <f t="shared" si="112"/>
        <v/>
      </c>
    </row>
    <row r="606" spans="159:168">
      <c r="FC606">
        <v>603</v>
      </c>
      <c r="FD606">
        <f t="shared" si="108"/>
        <v>11</v>
      </c>
      <c r="FE606">
        <f t="shared" si="109"/>
        <v>38</v>
      </c>
      <c r="FF606" t="str">
        <f t="shared" si="110"/>
        <v/>
      </c>
      <c r="FI606" s="16">
        <v>603</v>
      </c>
      <c r="FJ606" s="17" t="str">
        <f t="shared" si="111"/>
        <v/>
      </c>
      <c r="FK606" s="17" t="str">
        <f t="shared" si="107"/>
        <v/>
      </c>
      <c r="FL606" s="18" t="str">
        <f t="shared" si="112"/>
        <v/>
      </c>
    </row>
    <row r="607" spans="159:168">
      <c r="FC607">
        <v>604</v>
      </c>
      <c r="FD607">
        <f t="shared" si="108"/>
        <v>12</v>
      </c>
      <c r="FE607">
        <f t="shared" si="109"/>
        <v>38</v>
      </c>
      <c r="FF607" t="str">
        <f t="shared" si="110"/>
        <v/>
      </c>
      <c r="FI607" s="16">
        <v>604</v>
      </c>
      <c r="FJ607" s="17" t="str">
        <f t="shared" si="111"/>
        <v/>
      </c>
      <c r="FK607" s="17" t="str">
        <f t="shared" si="107"/>
        <v/>
      </c>
      <c r="FL607" s="18" t="str">
        <f t="shared" si="112"/>
        <v/>
      </c>
    </row>
    <row r="608" spans="159:168">
      <c r="FC608">
        <v>605</v>
      </c>
      <c r="FD608">
        <f t="shared" si="108"/>
        <v>13</v>
      </c>
      <c r="FE608">
        <f t="shared" si="109"/>
        <v>38</v>
      </c>
      <c r="FF608" t="str">
        <f t="shared" si="110"/>
        <v/>
      </c>
      <c r="FI608" s="16">
        <v>605</v>
      </c>
      <c r="FJ608" s="17" t="str">
        <f t="shared" si="111"/>
        <v/>
      </c>
      <c r="FK608" s="17" t="str">
        <f t="shared" si="107"/>
        <v/>
      </c>
      <c r="FL608" s="18" t="str">
        <f t="shared" si="112"/>
        <v/>
      </c>
    </row>
    <row r="609" spans="159:168">
      <c r="FC609">
        <v>606</v>
      </c>
      <c r="FD609">
        <f t="shared" si="108"/>
        <v>14</v>
      </c>
      <c r="FE609">
        <f t="shared" si="109"/>
        <v>38</v>
      </c>
      <c r="FF609" t="str">
        <f t="shared" si="110"/>
        <v/>
      </c>
      <c r="FI609" s="16">
        <v>606</v>
      </c>
      <c r="FJ609" s="17" t="str">
        <f t="shared" si="111"/>
        <v/>
      </c>
      <c r="FK609" s="17" t="str">
        <f t="shared" si="107"/>
        <v/>
      </c>
      <c r="FL609" s="18" t="str">
        <f t="shared" si="112"/>
        <v/>
      </c>
    </row>
    <row r="610" spans="159:168">
      <c r="FC610">
        <v>607</v>
      </c>
      <c r="FD610">
        <f t="shared" si="108"/>
        <v>15</v>
      </c>
      <c r="FE610">
        <f t="shared" si="109"/>
        <v>38</v>
      </c>
      <c r="FF610" t="str">
        <f t="shared" si="110"/>
        <v/>
      </c>
      <c r="FI610" s="16">
        <v>607</v>
      </c>
      <c r="FJ610" s="17" t="str">
        <f t="shared" si="111"/>
        <v/>
      </c>
      <c r="FK610" s="17" t="str">
        <f t="shared" si="107"/>
        <v/>
      </c>
      <c r="FL610" s="18" t="str">
        <f t="shared" si="112"/>
        <v/>
      </c>
    </row>
    <row r="611" spans="159:168">
      <c r="FC611">
        <v>608</v>
      </c>
      <c r="FD611">
        <f t="shared" si="108"/>
        <v>16</v>
      </c>
      <c r="FE611">
        <f t="shared" si="109"/>
        <v>38</v>
      </c>
      <c r="FF611" t="str">
        <f t="shared" si="110"/>
        <v/>
      </c>
      <c r="FI611" s="16">
        <v>608</v>
      </c>
      <c r="FJ611" s="17" t="str">
        <f t="shared" si="111"/>
        <v/>
      </c>
      <c r="FK611" s="17" t="str">
        <f t="shared" si="107"/>
        <v/>
      </c>
      <c r="FL611" s="18" t="str">
        <f t="shared" si="112"/>
        <v/>
      </c>
    </row>
    <row r="612" spans="159:168">
      <c r="FC612">
        <v>609</v>
      </c>
      <c r="FD612">
        <f t="shared" si="108"/>
        <v>1</v>
      </c>
      <c r="FE612">
        <f t="shared" si="109"/>
        <v>39</v>
      </c>
      <c r="FF612" t="str">
        <f t="shared" si="110"/>
        <v/>
      </c>
      <c r="FI612" s="16">
        <v>609</v>
      </c>
      <c r="FJ612" s="17" t="str">
        <f t="shared" si="111"/>
        <v/>
      </c>
      <c r="FK612" s="17" t="str">
        <f t="shared" si="107"/>
        <v/>
      </c>
      <c r="FL612" s="18" t="str">
        <f t="shared" si="112"/>
        <v/>
      </c>
    </row>
    <row r="613" spans="159:168">
      <c r="FC613">
        <v>610</v>
      </c>
      <c r="FD613">
        <f t="shared" si="108"/>
        <v>2</v>
      </c>
      <c r="FE613">
        <f t="shared" si="109"/>
        <v>39</v>
      </c>
      <c r="FF613" t="str">
        <f t="shared" si="110"/>
        <v/>
      </c>
      <c r="FI613" s="16">
        <v>610</v>
      </c>
      <c r="FJ613" s="17" t="str">
        <f t="shared" si="111"/>
        <v/>
      </c>
      <c r="FK613" s="17" t="str">
        <f t="shared" si="107"/>
        <v/>
      </c>
      <c r="FL613" s="18" t="str">
        <f t="shared" si="112"/>
        <v/>
      </c>
    </row>
    <row r="614" spans="159:168">
      <c r="FC614">
        <v>611</v>
      </c>
      <c r="FD614">
        <f t="shared" si="108"/>
        <v>3</v>
      </c>
      <c r="FE614">
        <f t="shared" si="109"/>
        <v>39</v>
      </c>
      <c r="FF614" t="str">
        <f t="shared" si="110"/>
        <v/>
      </c>
      <c r="FI614" s="16">
        <v>611</v>
      </c>
      <c r="FJ614" s="17" t="str">
        <f t="shared" si="111"/>
        <v/>
      </c>
      <c r="FK614" s="17" t="str">
        <f t="shared" si="107"/>
        <v/>
      </c>
      <c r="FL614" s="18" t="str">
        <f t="shared" si="112"/>
        <v/>
      </c>
    </row>
    <row r="615" spans="159:168">
      <c r="FC615">
        <v>612</v>
      </c>
      <c r="FD615">
        <f t="shared" si="108"/>
        <v>4</v>
      </c>
      <c r="FE615">
        <f t="shared" si="109"/>
        <v>39</v>
      </c>
      <c r="FF615" t="str">
        <f t="shared" si="110"/>
        <v/>
      </c>
      <c r="FI615" s="16">
        <v>612</v>
      </c>
      <c r="FJ615" s="17" t="str">
        <f t="shared" si="111"/>
        <v/>
      </c>
      <c r="FK615" s="17" t="str">
        <f t="shared" si="107"/>
        <v/>
      </c>
      <c r="FL615" s="18" t="str">
        <f t="shared" si="112"/>
        <v/>
      </c>
    </row>
    <row r="616" spans="159:168">
      <c r="FC616">
        <v>613</v>
      </c>
      <c r="FD616">
        <f t="shared" si="108"/>
        <v>5</v>
      </c>
      <c r="FE616">
        <f t="shared" si="109"/>
        <v>39</v>
      </c>
      <c r="FF616" t="str">
        <f t="shared" si="110"/>
        <v/>
      </c>
      <c r="FI616" s="16">
        <v>613</v>
      </c>
      <c r="FJ616" s="17" t="str">
        <f t="shared" si="111"/>
        <v/>
      </c>
      <c r="FK616" s="17" t="str">
        <f t="shared" si="107"/>
        <v/>
      </c>
      <c r="FL616" s="18" t="str">
        <f t="shared" si="112"/>
        <v/>
      </c>
    </row>
    <row r="617" spans="159:168">
      <c r="FC617">
        <v>614</v>
      </c>
      <c r="FD617">
        <f t="shared" si="108"/>
        <v>6</v>
      </c>
      <c r="FE617">
        <f t="shared" si="109"/>
        <v>39</v>
      </c>
      <c r="FF617" t="str">
        <f t="shared" si="110"/>
        <v/>
      </c>
      <c r="FI617" s="16">
        <v>614</v>
      </c>
      <c r="FJ617" s="17" t="str">
        <f t="shared" si="111"/>
        <v/>
      </c>
      <c r="FK617" s="17" t="str">
        <f t="shared" si="107"/>
        <v/>
      </c>
      <c r="FL617" s="18" t="str">
        <f t="shared" si="112"/>
        <v/>
      </c>
    </row>
    <row r="618" spans="159:168">
      <c r="FC618">
        <v>615</v>
      </c>
      <c r="FD618">
        <f t="shared" si="108"/>
        <v>7</v>
      </c>
      <c r="FE618">
        <f t="shared" si="109"/>
        <v>39</v>
      </c>
      <c r="FF618" t="str">
        <f t="shared" si="110"/>
        <v/>
      </c>
      <c r="FI618" s="16">
        <v>615</v>
      </c>
      <c r="FJ618" s="17" t="str">
        <f t="shared" si="111"/>
        <v/>
      </c>
      <c r="FK618" s="17" t="str">
        <f t="shared" si="107"/>
        <v/>
      </c>
      <c r="FL618" s="18" t="str">
        <f t="shared" si="112"/>
        <v/>
      </c>
    </row>
    <row r="619" spans="159:168">
      <c r="FC619">
        <v>616</v>
      </c>
      <c r="FD619">
        <f t="shared" si="108"/>
        <v>8</v>
      </c>
      <c r="FE619">
        <f t="shared" si="109"/>
        <v>39</v>
      </c>
      <c r="FF619" t="str">
        <f t="shared" si="110"/>
        <v/>
      </c>
      <c r="FI619" s="16">
        <v>616</v>
      </c>
      <c r="FJ619" s="17" t="str">
        <f t="shared" si="111"/>
        <v/>
      </c>
      <c r="FK619" s="17" t="str">
        <f t="shared" si="107"/>
        <v/>
      </c>
      <c r="FL619" s="18" t="str">
        <f t="shared" si="112"/>
        <v/>
      </c>
    </row>
    <row r="620" spans="159:168">
      <c r="FC620">
        <v>617</v>
      </c>
      <c r="FD620">
        <f t="shared" si="108"/>
        <v>9</v>
      </c>
      <c r="FE620">
        <f t="shared" si="109"/>
        <v>39</v>
      </c>
      <c r="FF620" t="str">
        <f t="shared" si="110"/>
        <v/>
      </c>
      <c r="FI620" s="16">
        <v>617</v>
      </c>
      <c r="FJ620" s="17" t="str">
        <f t="shared" si="111"/>
        <v/>
      </c>
      <c r="FK620" s="17" t="str">
        <f t="shared" si="107"/>
        <v/>
      </c>
      <c r="FL620" s="18" t="str">
        <f t="shared" si="112"/>
        <v/>
      </c>
    </row>
    <row r="621" spans="159:168">
      <c r="FC621">
        <v>618</v>
      </c>
      <c r="FD621">
        <f t="shared" si="108"/>
        <v>10</v>
      </c>
      <c r="FE621">
        <f t="shared" si="109"/>
        <v>39</v>
      </c>
      <c r="FF621" t="str">
        <f t="shared" si="110"/>
        <v/>
      </c>
      <c r="FI621" s="16">
        <v>618</v>
      </c>
      <c r="FJ621" s="17" t="str">
        <f t="shared" si="111"/>
        <v/>
      </c>
      <c r="FK621" s="17" t="str">
        <f t="shared" si="107"/>
        <v/>
      </c>
      <c r="FL621" s="18" t="str">
        <f t="shared" si="112"/>
        <v/>
      </c>
    </row>
    <row r="622" spans="159:168">
      <c r="FC622">
        <v>619</v>
      </c>
      <c r="FD622">
        <f t="shared" si="108"/>
        <v>11</v>
      </c>
      <c r="FE622">
        <f t="shared" si="109"/>
        <v>39</v>
      </c>
      <c r="FF622" t="str">
        <f t="shared" si="110"/>
        <v/>
      </c>
      <c r="FI622" s="16">
        <v>619</v>
      </c>
      <c r="FJ622" s="17" t="str">
        <f t="shared" si="111"/>
        <v/>
      </c>
      <c r="FK622" s="17" t="str">
        <f t="shared" si="107"/>
        <v/>
      </c>
      <c r="FL622" s="18" t="str">
        <f t="shared" si="112"/>
        <v/>
      </c>
    </row>
    <row r="623" spans="159:168">
      <c r="FC623">
        <v>620</v>
      </c>
      <c r="FD623">
        <f t="shared" si="108"/>
        <v>12</v>
      </c>
      <c r="FE623">
        <f t="shared" si="109"/>
        <v>39</v>
      </c>
      <c r="FF623" t="str">
        <f t="shared" si="110"/>
        <v/>
      </c>
      <c r="FI623" s="16">
        <v>620</v>
      </c>
      <c r="FJ623" s="17" t="str">
        <f t="shared" si="111"/>
        <v/>
      </c>
      <c r="FK623" s="17" t="str">
        <f t="shared" si="107"/>
        <v/>
      </c>
      <c r="FL623" s="18" t="str">
        <f t="shared" si="112"/>
        <v/>
      </c>
    </row>
    <row r="624" spans="159:168">
      <c r="FC624">
        <v>621</v>
      </c>
      <c r="FD624">
        <f t="shared" si="108"/>
        <v>13</v>
      </c>
      <c r="FE624">
        <f t="shared" si="109"/>
        <v>39</v>
      </c>
      <c r="FF624" t="str">
        <f t="shared" si="110"/>
        <v/>
      </c>
      <c r="FI624" s="16">
        <v>621</v>
      </c>
      <c r="FJ624" s="17" t="str">
        <f t="shared" si="111"/>
        <v/>
      </c>
      <c r="FK624" s="17" t="str">
        <f t="shared" si="107"/>
        <v/>
      </c>
      <c r="FL624" s="18" t="str">
        <f t="shared" si="112"/>
        <v/>
      </c>
    </row>
    <row r="625" spans="159:168">
      <c r="FC625">
        <v>622</v>
      </c>
      <c r="FD625">
        <f t="shared" si="108"/>
        <v>14</v>
      </c>
      <c r="FE625">
        <f t="shared" si="109"/>
        <v>39</v>
      </c>
      <c r="FF625" t="str">
        <f t="shared" si="110"/>
        <v/>
      </c>
      <c r="FI625" s="16">
        <v>622</v>
      </c>
      <c r="FJ625" s="17" t="str">
        <f t="shared" si="111"/>
        <v/>
      </c>
      <c r="FK625" s="17" t="str">
        <f t="shared" si="107"/>
        <v/>
      </c>
      <c r="FL625" s="18" t="str">
        <f t="shared" si="112"/>
        <v/>
      </c>
    </row>
    <row r="626" spans="159:168">
      <c r="FC626">
        <v>623</v>
      </c>
      <c r="FD626">
        <f t="shared" si="108"/>
        <v>15</v>
      </c>
      <c r="FE626">
        <f t="shared" si="109"/>
        <v>39</v>
      </c>
      <c r="FF626" t="str">
        <f t="shared" si="110"/>
        <v/>
      </c>
      <c r="FI626" s="16">
        <v>623</v>
      </c>
      <c r="FJ626" s="17" t="str">
        <f t="shared" si="111"/>
        <v/>
      </c>
      <c r="FK626" s="17" t="str">
        <f t="shared" si="107"/>
        <v/>
      </c>
      <c r="FL626" s="18" t="str">
        <f t="shared" si="112"/>
        <v/>
      </c>
    </row>
    <row r="627" spans="159:168">
      <c r="FC627">
        <v>624</v>
      </c>
      <c r="FD627">
        <f t="shared" si="108"/>
        <v>16</v>
      </c>
      <c r="FE627">
        <f t="shared" si="109"/>
        <v>39</v>
      </c>
      <c r="FF627" t="str">
        <f t="shared" si="110"/>
        <v/>
      </c>
      <c r="FI627" s="16">
        <v>624</v>
      </c>
      <c r="FJ627" s="17" t="str">
        <f t="shared" si="111"/>
        <v/>
      </c>
      <c r="FK627" s="17" t="str">
        <f t="shared" si="107"/>
        <v/>
      </c>
      <c r="FL627" s="18" t="str">
        <f t="shared" si="112"/>
        <v/>
      </c>
    </row>
    <row r="628" spans="159:168">
      <c r="FC628">
        <v>625</v>
      </c>
      <c r="FD628">
        <f t="shared" si="108"/>
        <v>1</v>
      </c>
      <c r="FE628">
        <f t="shared" si="109"/>
        <v>40</v>
      </c>
      <c r="FF628" t="str">
        <f t="shared" si="110"/>
        <v/>
      </c>
      <c r="FI628" s="16">
        <v>625</v>
      </c>
      <c r="FJ628" s="17" t="str">
        <f t="shared" si="111"/>
        <v/>
      </c>
      <c r="FK628" s="17" t="str">
        <f t="shared" si="107"/>
        <v/>
      </c>
      <c r="FL628" s="18" t="str">
        <f t="shared" si="112"/>
        <v/>
      </c>
    </row>
    <row r="629" spans="159:168">
      <c r="FC629">
        <v>626</v>
      </c>
      <c r="FD629">
        <f t="shared" si="108"/>
        <v>2</v>
      </c>
      <c r="FE629">
        <f t="shared" si="109"/>
        <v>40</v>
      </c>
      <c r="FF629" t="str">
        <f t="shared" si="110"/>
        <v/>
      </c>
      <c r="FI629" s="16">
        <v>626</v>
      </c>
      <c r="FJ629" s="17" t="str">
        <f t="shared" si="111"/>
        <v/>
      </c>
      <c r="FK629" s="17" t="str">
        <f t="shared" si="107"/>
        <v/>
      </c>
      <c r="FL629" s="18" t="str">
        <f t="shared" si="112"/>
        <v/>
      </c>
    </row>
    <row r="630" spans="159:168">
      <c r="FC630">
        <v>627</v>
      </c>
      <c r="FD630">
        <f t="shared" si="108"/>
        <v>3</v>
      </c>
      <c r="FE630">
        <f t="shared" si="109"/>
        <v>40</v>
      </c>
      <c r="FF630" t="str">
        <f t="shared" si="110"/>
        <v/>
      </c>
      <c r="FI630" s="16">
        <v>627</v>
      </c>
      <c r="FJ630" s="17" t="str">
        <f t="shared" si="111"/>
        <v/>
      </c>
      <c r="FK630" s="17" t="str">
        <f t="shared" si="107"/>
        <v/>
      </c>
      <c r="FL630" s="18" t="str">
        <f t="shared" si="112"/>
        <v/>
      </c>
    </row>
    <row r="631" spans="159:168">
      <c r="FC631">
        <v>628</v>
      </c>
      <c r="FD631">
        <f t="shared" si="108"/>
        <v>4</v>
      </c>
      <c r="FE631">
        <f t="shared" si="109"/>
        <v>40</v>
      </c>
      <c r="FF631" t="str">
        <f t="shared" si="110"/>
        <v/>
      </c>
      <c r="FI631" s="16">
        <v>628</v>
      </c>
      <c r="FJ631" s="17" t="str">
        <f t="shared" si="111"/>
        <v/>
      </c>
      <c r="FK631" s="17" t="str">
        <f t="shared" si="107"/>
        <v/>
      </c>
      <c r="FL631" s="18" t="str">
        <f t="shared" si="112"/>
        <v/>
      </c>
    </row>
    <row r="632" spans="159:168">
      <c r="FC632">
        <v>629</v>
      </c>
      <c r="FD632">
        <f t="shared" si="108"/>
        <v>5</v>
      </c>
      <c r="FE632">
        <f t="shared" si="109"/>
        <v>40</v>
      </c>
      <c r="FF632" t="str">
        <f t="shared" si="110"/>
        <v/>
      </c>
      <c r="FI632" s="16">
        <v>629</v>
      </c>
      <c r="FJ632" s="17" t="str">
        <f t="shared" si="111"/>
        <v/>
      </c>
      <c r="FK632" s="17" t="str">
        <f t="shared" si="107"/>
        <v/>
      </c>
      <c r="FL632" s="18" t="str">
        <f t="shared" si="112"/>
        <v/>
      </c>
    </row>
    <row r="633" spans="159:168">
      <c r="FC633">
        <v>630</v>
      </c>
      <c r="FD633">
        <f t="shared" si="108"/>
        <v>6</v>
      </c>
      <c r="FE633">
        <f t="shared" si="109"/>
        <v>40</v>
      </c>
      <c r="FF633" t="str">
        <f t="shared" si="110"/>
        <v/>
      </c>
      <c r="FI633" s="16">
        <v>630</v>
      </c>
      <c r="FJ633" s="17" t="str">
        <f t="shared" si="111"/>
        <v/>
      </c>
      <c r="FK633" s="17" t="str">
        <f t="shared" si="107"/>
        <v/>
      </c>
      <c r="FL633" s="18" t="str">
        <f t="shared" si="112"/>
        <v/>
      </c>
    </row>
    <row r="634" spans="159:168">
      <c r="FC634">
        <v>631</v>
      </c>
      <c r="FD634">
        <f t="shared" si="108"/>
        <v>7</v>
      </c>
      <c r="FE634">
        <f t="shared" si="109"/>
        <v>40</v>
      </c>
      <c r="FF634" t="str">
        <f t="shared" si="110"/>
        <v/>
      </c>
      <c r="FI634" s="16">
        <v>631</v>
      </c>
      <c r="FJ634" s="17" t="str">
        <f t="shared" si="111"/>
        <v/>
      </c>
      <c r="FK634" s="17" t="str">
        <f t="shared" si="107"/>
        <v/>
      </c>
      <c r="FL634" s="18" t="str">
        <f t="shared" si="112"/>
        <v/>
      </c>
    </row>
    <row r="635" spans="159:168">
      <c r="FC635">
        <v>632</v>
      </c>
      <c r="FD635">
        <f t="shared" si="108"/>
        <v>8</v>
      </c>
      <c r="FE635">
        <f t="shared" si="109"/>
        <v>40</v>
      </c>
      <c r="FF635" t="str">
        <f t="shared" si="110"/>
        <v/>
      </c>
      <c r="FI635" s="16">
        <v>632</v>
      </c>
      <c r="FJ635" s="17" t="str">
        <f t="shared" si="111"/>
        <v/>
      </c>
      <c r="FK635" s="17" t="str">
        <f t="shared" si="107"/>
        <v/>
      </c>
      <c r="FL635" s="18" t="str">
        <f t="shared" si="112"/>
        <v/>
      </c>
    </row>
    <row r="636" spans="159:168">
      <c r="FC636">
        <v>633</v>
      </c>
      <c r="FD636">
        <f t="shared" si="108"/>
        <v>9</v>
      </c>
      <c r="FE636">
        <f t="shared" si="109"/>
        <v>40</v>
      </c>
      <c r="FF636" t="str">
        <f t="shared" si="110"/>
        <v/>
      </c>
      <c r="FI636" s="16">
        <v>633</v>
      </c>
      <c r="FJ636" s="17" t="str">
        <f t="shared" si="111"/>
        <v/>
      </c>
      <c r="FK636" s="17" t="str">
        <f t="shared" si="107"/>
        <v/>
      </c>
      <c r="FL636" s="18" t="str">
        <f t="shared" si="112"/>
        <v/>
      </c>
    </row>
    <row r="637" spans="159:168">
      <c r="FC637">
        <v>634</v>
      </c>
      <c r="FD637">
        <f t="shared" si="108"/>
        <v>10</v>
      </c>
      <c r="FE637">
        <f t="shared" si="109"/>
        <v>40</v>
      </c>
      <c r="FF637" t="str">
        <f t="shared" si="110"/>
        <v/>
      </c>
      <c r="FI637" s="16">
        <v>634</v>
      </c>
      <c r="FJ637" s="17" t="str">
        <f t="shared" si="111"/>
        <v/>
      </c>
      <c r="FK637" s="17" t="str">
        <f t="shared" si="107"/>
        <v/>
      </c>
      <c r="FL637" s="18" t="str">
        <f t="shared" si="112"/>
        <v/>
      </c>
    </row>
    <row r="638" spans="159:168">
      <c r="FC638">
        <v>635</v>
      </c>
      <c r="FD638">
        <f t="shared" si="108"/>
        <v>11</v>
      </c>
      <c r="FE638">
        <f t="shared" si="109"/>
        <v>40</v>
      </c>
      <c r="FF638" t="str">
        <f t="shared" si="110"/>
        <v/>
      </c>
      <c r="FI638" s="16">
        <v>635</v>
      </c>
      <c r="FJ638" s="17" t="str">
        <f t="shared" si="111"/>
        <v/>
      </c>
      <c r="FK638" s="17" t="str">
        <f t="shared" si="107"/>
        <v/>
      </c>
      <c r="FL638" s="18" t="str">
        <f t="shared" si="112"/>
        <v/>
      </c>
    </row>
    <row r="639" spans="159:168">
      <c r="FC639">
        <v>636</v>
      </c>
      <c r="FD639">
        <f t="shared" si="108"/>
        <v>12</v>
      </c>
      <c r="FE639">
        <f t="shared" si="109"/>
        <v>40</v>
      </c>
      <c r="FF639" t="str">
        <f t="shared" si="110"/>
        <v/>
      </c>
      <c r="FI639" s="16">
        <v>636</v>
      </c>
      <c r="FJ639" s="17" t="str">
        <f t="shared" si="111"/>
        <v/>
      </c>
      <c r="FK639" s="17" t="str">
        <f t="shared" si="107"/>
        <v/>
      </c>
      <c r="FL639" s="18" t="str">
        <f t="shared" si="112"/>
        <v/>
      </c>
    </row>
    <row r="640" spans="159:168">
      <c r="FC640">
        <v>637</v>
      </c>
      <c r="FD640">
        <f t="shared" si="108"/>
        <v>13</v>
      </c>
      <c r="FE640">
        <f t="shared" si="109"/>
        <v>40</v>
      </c>
      <c r="FF640" t="str">
        <f t="shared" si="110"/>
        <v/>
      </c>
      <c r="FI640" s="16">
        <v>637</v>
      </c>
      <c r="FJ640" s="17" t="str">
        <f t="shared" si="111"/>
        <v/>
      </c>
      <c r="FK640" s="17" t="str">
        <f t="shared" si="107"/>
        <v/>
      </c>
      <c r="FL640" s="18" t="str">
        <f t="shared" si="112"/>
        <v/>
      </c>
    </row>
    <row r="641" spans="159:168">
      <c r="FC641">
        <v>638</v>
      </c>
      <c r="FD641">
        <f t="shared" si="108"/>
        <v>14</v>
      </c>
      <c r="FE641">
        <f t="shared" si="109"/>
        <v>40</v>
      </c>
      <c r="FF641" t="str">
        <f t="shared" si="110"/>
        <v/>
      </c>
      <c r="FI641" s="16">
        <v>638</v>
      </c>
      <c r="FJ641" s="17" t="str">
        <f t="shared" si="111"/>
        <v/>
      </c>
      <c r="FK641" s="17" t="str">
        <f t="shared" si="107"/>
        <v/>
      </c>
      <c r="FL641" s="18" t="str">
        <f t="shared" si="112"/>
        <v/>
      </c>
    </row>
    <row r="642" spans="159:168">
      <c r="FC642">
        <v>639</v>
      </c>
      <c r="FD642">
        <f t="shared" si="108"/>
        <v>15</v>
      </c>
      <c r="FE642">
        <f t="shared" si="109"/>
        <v>40</v>
      </c>
      <c r="FF642" t="str">
        <f t="shared" si="110"/>
        <v/>
      </c>
      <c r="FI642" s="16">
        <v>639</v>
      </c>
      <c r="FJ642" s="17" t="str">
        <f t="shared" si="111"/>
        <v/>
      </c>
      <c r="FK642" s="17" t="str">
        <f t="shared" si="107"/>
        <v/>
      </c>
      <c r="FL642" s="18" t="str">
        <f t="shared" si="112"/>
        <v/>
      </c>
    </row>
    <row r="643" spans="159:168">
      <c r="FC643">
        <v>640</v>
      </c>
      <c r="FD643">
        <f t="shared" si="108"/>
        <v>16</v>
      </c>
      <c r="FE643">
        <f t="shared" si="109"/>
        <v>40</v>
      </c>
      <c r="FF643" t="str">
        <f t="shared" si="110"/>
        <v/>
      </c>
      <c r="FI643" s="16">
        <v>640</v>
      </c>
      <c r="FJ643" s="17" t="str">
        <f t="shared" si="111"/>
        <v/>
      </c>
      <c r="FK643" s="17" t="str">
        <f t="shared" si="107"/>
        <v/>
      </c>
      <c r="FL643" s="18" t="str">
        <f t="shared" si="112"/>
        <v/>
      </c>
    </row>
    <row r="644" spans="159:168">
      <c r="FC644">
        <v>641</v>
      </c>
      <c r="FD644">
        <f t="shared" si="108"/>
        <v>1</v>
      </c>
      <c r="FE644">
        <f t="shared" si="109"/>
        <v>41</v>
      </c>
      <c r="FF644" t="str">
        <f t="shared" si="110"/>
        <v/>
      </c>
      <c r="FI644" s="16">
        <v>641</v>
      </c>
      <c r="FJ644" s="17" t="str">
        <f t="shared" si="111"/>
        <v/>
      </c>
      <c r="FK644" s="17" t="str">
        <f t="shared" si="107"/>
        <v/>
      </c>
      <c r="FL644" s="18" t="str">
        <f t="shared" si="112"/>
        <v/>
      </c>
    </row>
    <row r="645" spans="159:168">
      <c r="FC645">
        <v>642</v>
      </c>
      <c r="FD645">
        <f t="shared" si="108"/>
        <v>2</v>
      </c>
      <c r="FE645">
        <f t="shared" si="109"/>
        <v>41</v>
      </c>
      <c r="FF645" t="str">
        <f t="shared" si="110"/>
        <v/>
      </c>
      <c r="FI645" s="16">
        <v>642</v>
      </c>
      <c r="FJ645" s="17" t="str">
        <f t="shared" si="111"/>
        <v/>
      </c>
      <c r="FK645" s="17" t="str">
        <f t="shared" ref="FK645:FK708" si="113">IF(FI645&lt;=$FH$2,FF645,IF(FI645&lt;=$FH$2+$FH$3,INDEX($FJ$4:$FJ$2494,FI645-$FH$2),""))</f>
        <v/>
      </c>
      <c r="FL645" s="18" t="str">
        <f t="shared" si="112"/>
        <v/>
      </c>
    </row>
    <row r="646" spans="159:168">
      <c r="FC646">
        <v>643</v>
      </c>
      <c r="FD646">
        <f t="shared" si="108"/>
        <v>3</v>
      </c>
      <c r="FE646">
        <f t="shared" si="109"/>
        <v>41</v>
      </c>
      <c r="FF646" t="str">
        <f t="shared" si="110"/>
        <v/>
      </c>
      <c r="FI646" s="16">
        <v>643</v>
      </c>
      <c r="FJ646" s="17" t="str">
        <f t="shared" si="111"/>
        <v/>
      </c>
      <c r="FK646" s="17" t="str">
        <f t="shared" si="113"/>
        <v/>
      </c>
      <c r="FL646" s="18" t="str">
        <f t="shared" si="112"/>
        <v/>
      </c>
    </row>
    <row r="647" spans="159:168">
      <c r="FC647">
        <v>644</v>
      </c>
      <c r="FD647">
        <f t="shared" si="108"/>
        <v>4</v>
      </c>
      <c r="FE647">
        <f t="shared" si="109"/>
        <v>41</v>
      </c>
      <c r="FF647" t="str">
        <f t="shared" si="110"/>
        <v/>
      </c>
      <c r="FI647" s="16">
        <v>644</v>
      </c>
      <c r="FJ647" s="17" t="str">
        <f t="shared" si="111"/>
        <v/>
      </c>
      <c r="FK647" s="17" t="str">
        <f t="shared" si="113"/>
        <v/>
      </c>
      <c r="FL647" s="18" t="str">
        <f t="shared" si="112"/>
        <v/>
      </c>
    </row>
    <row r="648" spans="159:168">
      <c r="FC648">
        <v>645</v>
      </c>
      <c r="FD648">
        <f t="shared" si="108"/>
        <v>5</v>
      </c>
      <c r="FE648">
        <f t="shared" si="109"/>
        <v>41</v>
      </c>
      <c r="FF648" t="str">
        <f t="shared" si="110"/>
        <v/>
      </c>
      <c r="FI648" s="16">
        <v>645</v>
      </c>
      <c r="FJ648" s="17" t="str">
        <f t="shared" si="111"/>
        <v/>
      </c>
      <c r="FK648" s="17" t="str">
        <f t="shared" si="113"/>
        <v/>
      </c>
      <c r="FL648" s="18" t="str">
        <f t="shared" si="112"/>
        <v/>
      </c>
    </row>
    <row r="649" spans="159:168">
      <c r="FC649">
        <v>646</v>
      </c>
      <c r="FD649">
        <f t="shared" si="108"/>
        <v>6</v>
      </c>
      <c r="FE649">
        <f t="shared" si="109"/>
        <v>41</v>
      </c>
      <c r="FF649" t="str">
        <f t="shared" si="110"/>
        <v/>
      </c>
      <c r="FI649" s="16">
        <v>646</v>
      </c>
      <c r="FJ649" s="17" t="str">
        <f t="shared" si="111"/>
        <v/>
      </c>
      <c r="FK649" s="17" t="str">
        <f t="shared" si="113"/>
        <v/>
      </c>
      <c r="FL649" s="18" t="str">
        <f t="shared" si="112"/>
        <v/>
      </c>
    </row>
    <row r="650" spans="159:168">
      <c r="FC650">
        <v>647</v>
      </c>
      <c r="FD650">
        <f t="shared" si="108"/>
        <v>7</v>
      </c>
      <c r="FE650">
        <f t="shared" si="109"/>
        <v>41</v>
      </c>
      <c r="FF650" t="str">
        <f t="shared" si="110"/>
        <v/>
      </c>
      <c r="FI650" s="16">
        <v>647</v>
      </c>
      <c r="FJ650" s="17" t="str">
        <f t="shared" si="111"/>
        <v/>
      </c>
      <c r="FK650" s="17" t="str">
        <f t="shared" si="113"/>
        <v/>
      </c>
      <c r="FL650" s="18" t="str">
        <f t="shared" si="112"/>
        <v/>
      </c>
    </row>
    <row r="651" spans="159:168">
      <c r="FC651">
        <v>648</v>
      </c>
      <c r="FD651">
        <f t="shared" si="108"/>
        <v>8</v>
      </c>
      <c r="FE651">
        <f t="shared" si="109"/>
        <v>41</v>
      </c>
      <c r="FF651" t="str">
        <f t="shared" si="110"/>
        <v/>
      </c>
      <c r="FI651" s="16">
        <v>648</v>
      </c>
      <c r="FJ651" s="17" t="str">
        <f t="shared" si="111"/>
        <v/>
      </c>
      <c r="FK651" s="17" t="str">
        <f t="shared" si="113"/>
        <v/>
      </c>
      <c r="FL651" s="18" t="str">
        <f t="shared" si="112"/>
        <v/>
      </c>
    </row>
    <row r="652" spans="159:168">
      <c r="FC652">
        <v>649</v>
      </c>
      <c r="FD652">
        <f t="shared" si="108"/>
        <v>9</v>
      </c>
      <c r="FE652">
        <f t="shared" si="109"/>
        <v>41</v>
      </c>
      <c r="FF652" t="str">
        <f t="shared" si="110"/>
        <v/>
      </c>
      <c r="FI652" s="16">
        <v>649</v>
      </c>
      <c r="FJ652" s="17" t="str">
        <f t="shared" si="111"/>
        <v/>
      </c>
      <c r="FK652" s="17" t="str">
        <f t="shared" si="113"/>
        <v/>
      </c>
      <c r="FL652" s="18" t="str">
        <f t="shared" si="112"/>
        <v/>
      </c>
    </row>
    <row r="653" spans="159:168">
      <c r="FC653">
        <v>650</v>
      </c>
      <c r="FD653">
        <f t="shared" si="108"/>
        <v>10</v>
      </c>
      <c r="FE653">
        <f t="shared" si="109"/>
        <v>41</v>
      </c>
      <c r="FF653" t="str">
        <f t="shared" si="110"/>
        <v/>
      </c>
      <c r="FI653" s="16">
        <v>650</v>
      </c>
      <c r="FJ653" s="17" t="str">
        <f t="shared" si="111"/>
        <v/>
      </c>
      <c r="FK653" s="17" t="str">
        <f t="shared" si="113"/>
        <v/>
      </c>
      <c r="FL653" s="18" t="str">
        <f t="shared" si="112"/>
        <v/>
      </c>
    </row>
    <row r="654" spans="159:168">
      <c r="FC654">
        <v>651</v>
      </c>
      <c r="FD654">
        <f t="shared" si="108"/>
        <v>11</v>
      </c>
      <c r="FE654">
        <f t="shared" si="109"/>
        <v>41</v>
      </c>
      <c r="FF654" t="str">
        <f t="shared" si="110"/>
        <v/>
      </c>
      <c r="FI654" s="16">
        <v>651</v>
      </c>
      <c r="FJ654" s="17" t="str">
        <f t="shared" si="111"/>
        <v/>
      </c>
      <c r="FK654" s="17" t="str">
        <f t="shared" si="113"/>
        <v/>
      </c>
      <c r="FL654" s="18" t="str">
        <f t="shared" si="112"/>
        <v/>
      </c>
    </row>
    <row r="655" spans="159:168">
      <c r="FC655">
        <v>652</v>
      </c>
      <c r="FD655">
        <f t="shared" si="108"/>
        <v>12</v>
      </c>
      <c r="FE655">
        <f t="shared" si="109"/>
        <v>41</v>
      </c>
      <c r="FF655" t="str">
        <f t="shared" si="110"/>
        <v/>
      </c>
      <c r="FI655" s="16">
        <v>652</v>
      </c>
      <c r="FJ655" s="17" t="str">
        <f t="shared" si="111"/>
        <v/>
      </c>
      <c r="FK655" s="17" t="str">
        <f t="shared" si="113"/>
        <v/>
      </c>
      <c r="FL655" s="18" t="str">
        <f t="shared" si="112"/>
        <v/>
      </c>
    </row>
    <row r="656" spans="159:168">
      <c r="FC656">
        <v>653</v>
      </c>
      <c r="FD656">
        <f t="shared" si="108"/>
        <v>13</v>
      </c>
      <c r="FE656">
        <f t="shared" si="109"/>
        <v>41</v>
      </c>
      <c r="FF656" t="str">
        <f t="shared" si="110"/>
        <v/>
      </c>
      <c r="FI656" s="16">
        <v>653</v>
      </c>
      <c r="FJ656" s="17" t="str">
        <f t="shared" si="111"/>
        <v/>
      </c>
      <c r="FK656" s="17" t="str">
        <f t="shared" si="113"/>
        <v/>
      </c>
      <c r="FL656" s="18" t="str">
        <f t="shared" si="112"/>
        <v/>
      </c>
    </row>
    <row r="657" spans="159:168">
      <c r="FC657">
        <v>654</v>
      </c>
      <c r="FD657">
        <f t="shared" si="108"/>
        <v>14</v>
      </c>
      <c r="FE657">
        <f t="shared" si="109"/>
        <v>41</v>
      </c>
      <c r="FF657" t="str">
        <f t="shared" si="110"/>
        <v/>
      </c>
      <c r="FI657" s="16">
        <v>654</v>
      </c>
      <c r="FJ657" s="17" t="str">
        <f t="shared" si="111"/>
        <v/>
      </c>
      <c r="FK657" s="17" t="str">
        <f t="shared" si="113"/>
        <v/>
      </c>
      <c r="FL657" s="18" t="str">
        <f t="shared" si="112"/>
        <v/>
      </c>
    </row>
    <row r="658" spans="159:168">
      <c r="FC658">
        <v>655</v>
      </c>
      <c r="FD658">
        <f t="shared" si="108"/>
        <v>15</v>
      </c>
      <c r="FE658">
        <f t="shared" si="109"/>
        <v>41</v>
      </c>
      <c r="FF658" t="str">
        <f t="shared" si="110"/>
        <v/>
      </c>
      <c r="FI658" s="16">
        <v>655</v>
      </c>
      <c r="FJ658" s="17" t="str">
        <f t="shared" si="111"/>
        <v/>
      </c>
      <c r="FK658" s="17" t="str">
        <f t="shared" si="113"/>
        <v/>
      </c>
      <c r="FL658" s="18" t="str">
        <f t="shared" si="112"/>
        <v/>
      </c>
    </row>
    <row r="659" spans="159:168">
      <c r="FC659">
        <v>656</v>
      </c>
      <c r="FD659">
        <f t="shared" si="108"/>
        <v>16</v>
      </c>
      <c r="FE659">
        <f t="shared" si="109"/>
        <v>41</v>
      </c>
      <c r="FF659" t="str">
        <f t="shared" si="110"/>
        <v/>
      </c>
      <c r="FI659" s="16">
        <v>656</v>
      </c>
      <c r="FJ659" s="17" t="str">
        <f t="shared" si="111"/>
        <v/>
      </c>
      <c r="FK659" s="17" t="str">
        <f t="shared" si="113"/>
        <v/>
      </c>
      <c r="FL659" s="18" t="str">
        <f t="shared" si="112"/>
        <v/>
      </c>
    </row>
    <row r="660" spans="159:168">
      <c r="FC660">
        <v>657</v>
      </c>
      <c r="FD660">
        <f t="shared" si="108"/>
        <v>1</v>
      </c>
      <c r="FE660">
        <f t="shared" si="109"/>
        <v>42</v>
      </c>
      <c r="FF660" t="str">
        <f t="shared" si="110"/>
        <v/>
      </c>
      <c r="FI660" s="16">
        <v>657</v>
      </c>
      <c r="FJ660" s="17" t="str">
        <f t="shared" si="111"/>
        <v/>
      </c>
      <c r="FK660" s="17" t="str">
        <f t="shared" si="113"/>
        <v/>
      </c>
      <c r="FL660" s="18" t="str">
        <f t="shared" si="112"/>
        <v/>
      </c>
    </row>
    <row r="661" spans="159:168">
      <c r="FC661">
        <v>658</v>
      </c>
      <c r="FD661">
        <f t="shared" si="108"/>
        <v>2</v>
      </c>
      <c r="FE661">
        <f t="shared" si="109"/>
        <v>42</v>
      </c>
      <c r="FF661" t="str">
        <f t="shared" si="110"/>
        <v/>
      </c>
      <c r="FI661" s="16">
        <v>658</v>
      </c>
      <c r="FJ661" s="17" t="str">
        <f t="shared" si="111"/>
        <v/>
      </c>
      <c r="FK661" s="17" t="str">
        <f t="shared" si="113"/>
        <v/>
      </c>
      <c r="FL661" s="18" t="str">
        <f t="shared" si="112"/>
        <v/>
      </c>
    </row>
    <row r="662" spans="159:168">
      <c r="FC662">
        <v>659</v>
      </c>
      <c r="FD662">
        <f t="shared" ref="FD662:FD725" si="114">IF(MOD(FC662,$FB$1+$FB$2)=0,$FB$1+$FB$2,MOD(FC662,$FB$1+$FB$2))</f>
        <v>3</v>
      </c>
      <c r="FE662">
        <f t="shared" ref="FE662:FE725" si="115">ROUNDUP(FC662/($FB$1+$FB$2),0)</f>
        <v>42</v>
      </c>
      <c r="FF662" t="str">
        <f t="shared" ref="FF662:FF725" si="116">IF(FE662&lt;$FB$3,INDEX($E$4:$DV$84,FD662,FE662),IF(FE662=$FB$3,INDEX($E$4:$DV$84,FD662+$FB$1,FE662),""))</f>
        <v/>
      </c>
      <c r="FI662" s="16">
        <v>659</v>
      </c>
      <c r="FJ662" s="17" t="str">
        <f t="shared" ref="FJ662:FJ725" si="117">IF(FE662&lt;=$FH$1,INDEX($DW$4:$EZ$84,FD662,FE662),"")</f>
        <v/>
      </c>
      <c r="FK662" s="17" t="str">
        <f t="shared" si="113"/>
        <v/>
      </c>
      <c r="FL662" s="18" t="str">
        <f t="shared" ref="FL662:FL725" si="118">IFERROR(TEXT(DEC2BIN(FK662),"00000000"),"")</f>
        <v/>
      </c>
    </row>
    <row r="663" spans="159:168">
      <c r="FC663">
        <v>660</v>
      </c>
      <c r="FD663">
        <f t="shared" si="114"/>
        <v>4</v>
      </c>
      <c r="FE663">
        <f t="shared" si="115"/>
        <v>42</v>
      </c>
      <c r="FF663" t="str">
        <f t="shared" si="116"/>
        <v/>
      </c>
      <c r="FI663" s="16">
        <v>660</v>
      </c>
      <c r="FJ663" s="17" t="str">
        <f t="shared" si="117"/>
        <v/>
      </c>
      <c r="FK663" s="17" t="str">
        <f t="shared" si="113"/>
        <v/>
      </c>
      <c r="FL663" s="18" t="str">
        <f t="shared" si="118"/>
        <v/>
      </c>
    </row>
    <row r="664" spans="159:168">
      <c r="FC664">
        <v>661</v>
      </c>
      <c r="FD664">
        <f t="shared" si="114"/>
        <v>5</v>
      </c>
      <c r="FE664">
        <f t="shared" si="115"/>
        <v>42</v>
      </c>
      <c r="FF664" t="str">
        <f t="shared" si="116"/>
        <v/>
      </c>
      <c r="FI664" s="16">
        <v>661</v>
      </c>
      <c r="FJ664" s="17" t="str">
        <f t="shared" si="117"/>
        <v/>
      </c>
      <c r="FK664" s="17" t="str">
        <f t="shared" si="113"/>
        <v/>
      </c>
      <c r="FL664" s="18" t="str">
        <f t="shared" si="118"/>
        <v/>
      </c>
    </row>
    <row r="665" spans="159:168">
      <c r="FC665">
        <v>662</v>
      </c>
      <c r="FD665">
        <f t="shared" si="114"/>
        <v>6</v>
      </c>
      <c r="FE665">
        <f t="shared" si="115"/>
        <v>42</v>
      </c>
      <c r="FF665" t="str">
        <f t="shared" si="116"/>
        <v/>
      </c>
      <c r="FI665" s="16">
        <v>662</v>
      </c>
      <c r="FJ665" s="17" t="str">
        <f t="shared" si="117"/>
        <v/>
      </c>
      <c r="FK665" s="17" t="str">
        <f t="shared" si="113"/>
        <v/>
      </c>
      <c r="FL665" s="18" t="str">
        <f t="shared" si="118"/>
        <v/>
      </c>
    </row>
    <row r="666" spans="159:168">
      <c r="FC666">
        <v>663</v>
      </c>
      <c r="FD666">
        <f t="shared" si="114"/>
        <v>7</v>
      </c>
      <c r="FE666">
        <f t="shared" si="115"/>
        <v>42</v>
      </c>
      <c r="FF666" t="str">
        <f t="shared" si="116"/>
        <v/>
      </c>
      <c r="FI666" s="16">
        <v>663</v>
      </c>
      <c r="FJ666" s="17" t="str">
        <f t="shared" si="117"/>
        <v/>
      </c>
      <c r="FK666" s="17" t="str">
        <f t="shared" si="113"/>
        <v/>
      </c>
      <c r="FL666" s="18" t="str">
        <f t="shared" si="118"/>
        <v/>
      </c>
    </row>
    <row r="667" spans="159:168">
      <c r="FC667">
        <v>664</v>
      </c>
      <c r="FD667">
        <f t="shared" si="114"/>
        <v>8</v>
      </c>
      <c r="FE667">
        <f t="shared" si="115"/>
        <v>42</v>
      </c>
      <c r="FF667" t="str">
        <f t="shared" si="116"/>
        <v/>
      </c>
      <c r="FI667" s="16">
        <v>664</v>
      </c>
      <c r="FJ667" s="17" t="str">
        <f t="shared" si="117"/>
        <v/>
      </c>
      <c r="FK667" s="17" t="str">
        <f t="shared" si="113"/>
        <v/>
      </c>
      <c r="FL667" s="18" t="str">
        <f t="shared" si="118"/>
        <v/>
      </c>
    </row>
    <row r="668" spans="159:168">
      <c r="FC668">
        <v>665</v>
      </c>
      <c r="FD668">
        <f t="shared" si="114"/>
        <v>9</v>
      </c>
      <c r="FE668">
        <f t="shared" si="115"/>
        <v>42</v>
      </c>
      <c r="FF668" t="str">
        <f t="shared" si="116"/>
        <v/>
      </c>
      <c r="FI668" s="16">
        <v>665</v>
      </c>
      <c r="FJ668" s="17" t="str">
        <f t="shared" si="117"/>
        <v/>
      </c>
      <c r="FK668" s="17" t="str">
        <f t="shared" si="113"/>
        <v/>
      </c>
      <c r="FL668" s="18" t="str">
        <f t="shared" si="118"/>
        <v/>
      </c>
    </row>
    <row r="669" spans="159:168">
      <c r="FC669">
        <v>666</v>
      </c>
      <c r="FD669">
        <f t="shared" si="114"/>
        <v>10</v>
      </c>
      <c r="FE669">
        <f t="shared" si="115"/>
        <v>42</v>
      </c>
      <c r="FF669" t="str">
        <f t="shared" si="116"/>
        <v/>
      </c>
      <c r="FI669" s="16">
        <v>666</v>
      </c>
      <c r="FJ669" s="17" t="str">
        <f t="shared" si="117"/>
        <v/>
      </c>
      <c r="FK669" s="17" t="str">
        <f t="shared" si="113"/>
        <v/>
      </c>
      <c r="FL669" s="18" t="str">
        <f t="shared" si="118"/>
        <v/>
      </c>
    </row>
    <row r="670" spans="159:168">
      <c r="FC670">
        <v>667</v>
      </c>
      <c r="FD670">
        <f t="shared" si="114"/>
        <v>11</v>
      </c>
      <c r="FE670">
        <f t="shared" si="115"/>
        <v>42</v>
      </c>
      <c r="FF670" t="str">
        <f t="shared" si="116"/>
        <v/>
      </c>
      <c r="FI670" s="16">
        <v>667</v>
      </c>
      <c r="FJ670" s="17" t="str">
        <f t="shared" si="117"/>
        <v/>
      </c>
      <c r="FK670" s="17" t="str">
        <f t="shared" si="113"/>
        <v/>
      </c>
      <c r="FL670" s="18" t="str">
        <f t="shared" si="118"/>
        <v/>
      </c>
    </row>
    <row r="671" spans="159:168">
      <c r="FC671">
        <v>668</v>
      </c>
      <c r="FD671">
        <f t="shared" si="114"/>
        <v>12</v>
      </c>
      <c r="FE671">
        <f t="shared" si="115"/>
        <v>42</v>
      </c>
      <c r="FF671" t="str">
        <f t="shared" si="116"/>
        <v/>
      </c>
      <c r="FI671" s="16">
        <v>668</v>
      </c>
      <c r="FJ671" s="17" t="str">
        <f t="shared" si="117"/>
        <v/>
      </c>
      <c r="FK671" s="17" t="str">
        <f t="shared" si="113"/>
        <v/>
      </c>
      <c r="FL671" s="18" t="str">
        <f t="shared" si="118"/>
        <v/>
      </c>
    </row>
    <row r="672" spans="159:168">
      <c r="FC672">
        <v>669</v>
      </c>
      <c r="FD672">
        <f t="shared" si="114"/>
        <v>13</v>
      </c>
      <c r="FE672">
        <f t="shared" si="115"/>
        <v>42</v>
      </c>
      <c r="FF672" t="str">
        <f t="shared" si="116"/>
        <v/>
      </c>
      <c r="FI672" s="16">
        <v>669</v>
      </c>
      <c r="FJ672" s="17" t="str">
        <f t="shared" si="117"/>
        <v/>
      </c>
      <c r="FK672" s="17" t="str">
        <f t="shared" si="113"/>
        <v/>
      </c>
      <c r="FL672" s="18" t="str">
        <f t="shared" si="118"/>
        <v/>
      </c>
    </row>
    <row r="673" spans="159:168">
      <c r="FC673">
        <v>670</v>
      </c>
      <c r="FD673">
        <f t="shared" si="114"/>
        <v>14</v>
      </c>
      <c r="FE673">
        <f t="shared" si="115"/>
        <v>42</v>
      </c>
      <c r="FF673" t="str">
        <f t="shared" si="116"/>
        <v/>
      </c>
      <c r="FI673" s="16">
        <v>670</v>
      </c>
      <c r="FJ673" s="17" t="str">
        <f t="shared" si="117"/>
        <v/>
      </c>
      <c r="FK673" s="17" t="str">
        <f t="shared" si="113"/>
        <v/>
      </c>
      <c r="FL673" s="18" t="str">
        <f t="shared" si="118"/>
        <v/>
      </c>
    </row>
    <row r="674" spans="159:168">
      <c r="FC674">
        <v>671</v>
      </c>
      <c r="FD674">
        <f t="shared" si="114"/>
        <v>15</v>
      </c>
      <c r="FE674">
        <f t="shared" si="115"/>
        <v>42</v>
      </c>
      <c r="FF674" t="str">
        <f t="shared" si="116"/>
        <v/>
      </c>
      <c r="FI674" s="16">
        <v>671</v>
      </c>
      <c r="FJ674" s="17" t="str">
        <f t="shared" si="117"/>
        <v/>
      </c>
      <c r="FK674" s="17" t="str">
        <f t="shared" si="113"/>
        <v/>
      </c>
      <c r="FL674" s="18" t="str">
        <f t="shared" si="118"/>
        <v/>
      </c>
    </row>
    <row r="675" spans="159:168">
      <c r="FC675">
        <v>672</v>
      </c>
      <c r="FD675">
        <f t="shared" si="114"/>
        <v>16</v>
      </c>
      <c r="FE675">
        <f t="shared" si="115"/>
        <v>42</v>
      </c>
      <c r="FF675" t="str">
        <f t="shared" si="116"/>
        <v/>
      </c>
      <c r="FI675" s="16">
        <v>672</v>
      </c>
      <c r="FJ675" s="17" t="str">
        <f t="shared" si="117"/>
        <v/>
      </c>
      <c r="FK675" s="17" t="str">
        <f t="shared" si="113"/>
        <v/>
      </c>
      <c r="FL675" s="18" t="str">
        <f t="shared" si="118"/>
        <v/>
      </c>
    </row>
    <row r="676" spans="159:168">
      <c r="FC676">
        <v>673</v>
      </c>
      <c r="FD676">
        <f t="shared" si="114"/>
        <v>1</v>
      </c>
      <c r="FE676">
        <f t="shared" si="115"/>
        <v>43</v>
      </c>
      <c r="FF676" t="str">
        <f t="shared" si="116"/>
        <v/>
      </c>
      <c r="FI676" s="16">
        <v>673</v>
      </c>
      <c r="FJ676" s="17" t="str">
        <f t="shared" si="117"/>
        <v/>
      </c>
      <c r="FK676" s="17" t="str">
        <f t="shared" si="113"/>
        <v/>
      </c>
      <c r="FL676" s="18" t="str">
        <f t="shared" si="118"/>
        <v/>
      </c>
    </row>
    <row r="677" spans="159:168">
      <c r="FC677">
        <v>674</v>
      </c>
      <c r="FD677">
        <f t="shared" si="114"/>
        <v>2</v>
      </c>
      <c r="FE677">
        <f t="shared" si="115"/>
        <v>43</v>
      </c>
      <c r="FF677" t="str">
        <f t="shared" si="116"/>
        <v/>
      </c>
      <c r="FI677" s="16">
        <v>674</v>
      </c>
      <c r="FJ677" s="17" t="str">
        <f t="shared" si="117"/>
        <v/>
      </c>
      <c r="FK677" s="17" t="str">
        <f t="shared" si="113"/>
        <v/>
      </c>
      <c r="FL677" s="18" t="str">
        <f t="shared" si="118"/>
        <v/>
      </c>
    </row>
    <row r="678" spans="159:168">
      <c r="FC678">
        <v>675</v>
      </c>
      <c r="FD678">
        <f t="shared" si="114"/>
        <v>3</v>
      </c>
      <c r="FE678">
        <f t="shared" si="115"/>
        <v>43</v>
      </c>
      <c r="FF678" t="str">
        <f t="shared" si="116"/>
        <v/>
      </c>
      <c r="FI678" s="16">
        <v>675</v>
      </c>
      <c r="FJ678" s="17" t="str">
        <f t="shared" si="117"/>
        <v/>
      </c>
      <c r="FK678" s="17" t="str">
        <f t="shared" si="113"/>
        <v/>
      </c>
      <c r="FL678" s="18" t="str">
        <f t="shared" si="118"/>
        <v/>
      </c>
    </row>
    <row r="679" spans="159:168">
      <c r="FC679">
        <v>676</v>
      </c>
      <c r="FD679">
        <f t="shared" si="114"/>
        <v>4</v>
      </c>
      <c r="FE679">
        <f t="shared" si="115"/>
        <v>43</v>
      </c>
      <c r="FF679" t="str">
        <f t="shared" si="116"/>
        <v/>
      </c>
      <c r="FI679" s="16">
        <v>676</v>
      </c>
      <c r="FJ679" s="17" t="str">
        <f t="shared" si="117"/>
        <v/>
      </c>
      <c r="FK679" s="17" t="str">
        <f t="shared" si="113"/>
        <v/>
      </c>
      <c r="FL679" s="18" t="str">
        <f t="shared" si="118"/>
        <v/>
      </c>
    </row>
    <row r="680" spans="159:168">
      <c r="FC680">
        <v>677</v>
      </c>
      <c r="FD680">
        <f t="shared" si="114"/>
        <v>5</v>
      </c>
      <c r="FE680">
        <f t="shared" si="115"/>
        <v>43</v>
      </c>
      <c r="FF680" t="str">
        <f t="shared" si="116"/>
        <v/>
      </c>
      <c r="FI680" s="16">
        <v>677</v>
      </c>
      <c r="FJ680" s="17" t="str">
        <f t="shared" si="117"/>
        <v/>
      </c>
      <c r="FK680" s="17" t="str">
        <f t="shared" si="113"/>
        <v/>
      </c>
      <c r="FL680" s="18" t="str">
        <f t="shared" si="118"/>
        <v/>
      </c>
    </row>
    <row r="681" spans="159:168">
      <c r="FC681">
        <v>678</v>
      </c>
      <c r="FD681">
        <f t="shared" si="114"/>
        <v>6</v>
      </c>
      <c r="FE681">
        <f t="shared" si="115"/>
        <v>43</v>
      </c>
      <c r="FF681" t="str">
        <f t="shared" si="116"/>
        <v/>
      </c>
      <c r="FI681" s="16">
        <v>678</v>
      </c>
      <c r="FJ681" s="17" t="str">
        <f t="shared" si="117"/>
        <v/>
      </c>
      <c r="FK681" s="17" t="str">
        <f t="shared" si="113"/>
        <v/>
      </c>
      <c r="FL681" s="18" t="str">
        <f t="shared" si="118"/>
        <v/>
      </c>
    </row>
    <row r="682" spans="159:168">
      <c r="FC682">
        <v>679</v>
      </c>
      <c r="FD682">
        <f t="shared" si="114"/>
        <v>7</v>
      </c>
      <c r="FE682">
        <f t="shared" si="115"/>
        <v>43</v>
      </c>
      <c r="FF682" t="str">
        <f t="shared" si="116"/>
        <v/>
      </c>
      <c r="FI682" s="16">
        <v>679</v>
      </c>
      <c r="FJ682" s="17" t="str">
        <f t="shared" si="117"/>
        <v/>
      </c>
      <c r="FK682" s="17" t="str">
        <f t="shared" si="113"/>
        <v/>
      </c>
      <c r="FL682" s="18" t="str">
        <f t="shared" si="118"/>
        <v/>
      </c>
    </row>
    <row r="683" spans="159:168">
      <c r="FC683">
        <v>680</v>
      </c>
      <c r="FD683">
        <f t="shared" si="114"/>
        <v>8</v>
      </c>
      <c r="FE683">
        <f t="shared" si="115"/>
        <v>43</v>
      </c>
      <c r="FF683" t="str">
        <f t="shared" si="116"/>
        <v/>
      </c>
      <c r="FI683" s="16">
        <v>680</v>
      </c>
      <c r="FJ683" s="17" t="str">
        <f t="shared" si="117"/>
        <v/>
      </c>
      <c r="FK683" s="17" t="str">
        <f t="shared" si="113"/>
        <v/>
      </c>
      <c r="FL683" s="18" t="str">
        <f t="shared" si="118"/>
        <v/>
      </c>
    </row>
    <row r="684" spans="159:168">
      <c r="FC684">
        <v>681</v>
      </c>
      <c r="FD684">
        <f t="shared" si="114"/>
        <v>9</v>
      </c>
      <c r="FE684">
        <f t="shared" si="115"/>
        <v>43</v>
      </c>
      <c r="FF684" t="str">
        <f t="shared" si="116"/>
        <v/>
      </c>
      <c r="FI684" s="16">
        <v>681</v>
      </c>
      <c r="FJ684" s="17" t="str">
        <f t="shared" si="117"/>
        <v/>
      </c>
      <c r="FK684" s="17" t="str">
        <f t="shared" si="113"/>
        <v/>
      </c>
      <c r="FL684" s="18" t="str">
        <f t="shared" si="118"/>
        <v/>
      </c>
    </row>
    <row r="685" spans="159:168">
      <c r="FC685">
        <v>682</v>
      </c>
      <c r="FD685">
        <f t="shared" si="114"/>
        <v>10</v>
      </c>
      <c r="FE685">
        <f t="shared" si="115"/>
        <v>43</v>
      </c>
      <c r="FF685" t="str">
        <f t="shared" si="116"/>
        <v/>
      </c>
      <c r="FI685" s="16">
        <v>682</v>
      </c>
      <c r="FJ685" s="17" t="str">
        <f t="shared" si="117"/>
        <v/>
      </c>
      <c r="FK685" s="17" t="str">
        <f t="shared" si="113"/>
        <v/>
      </c>
      <c r="FL685" s="18" t="str">
        <f t="shared" si="118"/>
        <v/>
      </c>
    </row>
    <row r="686" spans="159:168">
      <c r="FC686">
        <v>683</v>
      </c>
      <c r="FD686">
        <f t="shared" si="114"/>
        <v>11</v>
      </c>
      <c r="FE686">
        <f t="shared" si="115"/>
        <v>43</v>
      </c>
      <c r="FF686" t="str">
        <f t="shared" si="116"/>
        <v/>
      </c>
      <c r="FI686" s="16">
        <v>683</v>
      </c>
      <c r="FJ686" s="17" t="str">
        <f t="shared" si="117"/>
        <v/>
      </c>
      <c r="FK686" s="17" t="str">
        <f t="shared" si="113"/>
        <v/>
      </c>
      <c r="FL686" s="18" t="str">
        <f t="shared" si="118"/>
        <v/>
      </c>
    </row>
    <row r="687" spans="159:168">
      <c r="FC687">
        <v>684</v>
      </c>
      <c r="FD687">
        <f t="shared" si="114"/>
        <v>12</v>
      </c>
      <c r="FE687">
        <f t="shared" si="115"/>
        <v>43</v>
      </c>
      <c r="FF687" t="str">
        <f t="shared" si="116"/>
        <v/>
      </c>
      <c r="FI687" s="16">
        <v>684</v>
      </c>
      <c r="FJ687" s="17" t="str">
        <f t="shared" si="117"/>
        <v/>
      </c>
      <c r="FK687" s="17" t="str">
        <f t="shared" si="113"/>
        <v/>
      </c>
      <c r="FL687" s="18" t="str">
        <f t="shared" si="118"/>
        <v/>
      </c>
    </row>
    <row r="688" spans="159:168">
      <c r="FC688">
        <v>685</v>
      </c>
      <c r="FD688">
        <f t="shared" si="114"/>
        <v>13</v>
      </c>
      <c r="FE688">
        <f t="shared" si="115"/>
        <v>43</v>
      </c>
      <c r="FF688" t="str">
        <f t="shared" si="116"/>
        <v/>
      </c>
      <c r="FI688" s="16">
        <v>685</v>
      </c>
      <c r="FJ688" s="17" t="str">
        <f t="shared" si="117"/>
        <v/>
      </c>
      <c r="FK688" s="17" t="str">
        <f t="shared" si="113"/>
        <v/>
      </c>
      <c r="FL688" s="18" t="str">
        <f t="shared" si="118"/>
        <v/>
      </c>
    </row>
    <row r="689" spans="159:168">
      <c r="FC689">
        <v>686</v>
      </c>
      <c r="FD689">
        <f t="shared" si="114"/>
        <v>14</v>
      </c>
      <c r="FE689">
        <f t="shared" si="115"/>
        <v>43</v>
      </c>
      <c r="FF689" t="str">
        <f t="shared" si="116"/>
        <v/>
      </c>
      <c r="FI689" s="16">
        <v>686</v>
      </c>
      <c r="FJ689" s="17" t="str">
        <f t="shared" si="117"/>
        <v/>
      </c>
      <c r="FK689" s="17" t="str">
        <f t="shared" si="113"/>
        <v/>
      </c>
      <c r="FL689" s="18" t="str">
        <f t="shared" si="118"/>
        <v/>
      </c>
    </row>
    <row r="690" spans="159:168">
      <c r="FC690">
        <v>687</v>
      </c>
      <c r="FD690">
        <f t="shared" si="114"/>
        <v>15</v>
      </c>
      <c r="FE690">
        <f t="shared" si="115"/>
        <v>43</v>
      </c>
      <c r="FF690" t="str">
        <f t="shared" si="116"/>
        <v/>
      </c>
      <c r="FI690" s="16">
        <v>687</v>
      </c>
      <c r="FJ690" s="17" t="str">
        <f t="shared" si="117"/>
        <v/>
      </c>
      <c r="FK690" s="17" t="str">
        <f t="shared" si="113"/>
        <v/>
      </c>
      <c r="FL690" s="18" t="str">
        <f t="shared" si="118"/>
        <v/>
      </c>
    </row>
    <row r="691" spans="159:168">
      <c r="FC691">
        <v>688</v>
      </c>
      <c r="FD691">
        <f t="shared" si="114"/>
        <v>16</v>
      </c>
      <c r="FE691">
        <f t="shared" si="115"/>
        <v>43</v>
      </c>
      <c r="FF691" t="str">
        <f t="shared" si="116"/>
        <v/>
      </c>
      <c r="FI691" s="16">
        <v>688</v>
      </c>
      <c r="FJ691" s="17" t="str">
        <f t="shared" si="117"/>
        <v/>
      </c>
      <c r="FK691" s="17" t="str">
        <f t="shared" si="113"/>
        <v/>
      </c>
      <c r="FL691" s="18" t="str">
        <f t="shared" si="118"/>
        <v/>
      </c>
    </row>
    <row r="692" spans="159:168">
      <c r="FC692">
        <v>689</v>
      </c>
      <c r="FD692">
        <f t="shared" si="114"/>
        <v>1</v>
      </c>
      <c r="FE692">
        <f t="shared" si="115"/>
        <v>44</v>
      </c>
      <c r="FF692" t="str">
        <f t="shared" si="116"/>
        <v/>
      </c>
      <c r="FI692" s="16">
        <v>689</v>
      </c>
      <c r="FJ692" s="17" t="str">
        <f t="shared" si="117"/>
        <v/>
      </c>
      <c r="FK692" s="17" t="str">
        <f t="shared" si="113"/>
        <v/>
      </c>
      <c r="FL692" s="18" t="str">
        <f t="shared" si="118"/>
        <v/>
      </c>
    </row>
    <row r="693" spans="159:168">
      <c r="FC693">
        <v>690</v>
      </c>
      <c r="FD693">
        <f t="shared" si="114"/>
        <v>2</v>
      </c>
      <c r="FE693">
        <f t="shared" si="115"/>
        <v>44</v>
      </c>
      <c r="FF693" t="str">
        <f t="shared" si="116"/>
        <v/>
      </c>
      <c r="FI693" s="16">
        <v>690</v>
      </c>
      <c r="FJ693" s="17" t="str">
        <f t="shared" si="117"/>
        <v/>
      </c>
      <c r="FK693" s="17" t="str">
        <f t="shared" si="113"/>
        <v/>
      </c>
      <c r="FL693" s="18" t="str">
        <f t="shared" si="118"/>
        <v/>
      </c>
    </row>
    <row r="694" spans="159:168">
      <c r="FC694">
        <v>691</v>
      </c>
      <c r="FD694">
        <f t="shared" si="114"/>
        <v>3</v>
      </c>
      <c r="FE694">
        <f t="shared" si="115"/>
        <v>44</v>
      </c>
      <c r="FF694" t="str">
        <f t="shared" si="116"/>
        <v/>
      </c>
      <c r="FI694" s="16">
        <v>691</v>
      </c>
      <c r="FJ694" s="17" t="str">
        <f t="shared" si="117"/>
        <v/>
      </c>
      <c r="FK694" s="17" t="str">
        <f t="shared" si="113"/>
        <v/>
      </c>
      <c r="FL694" s="18" t="str">
        <f t="shared" si="118"/>
        <v/>
      </c>
    </row>
    <row r="695" spans="159:168">
      <c r="FC695">
        <v>692</v>
      </c>
      <c r="FD695">
        <f t="shared" si="114"/>
        <v>4</v>
      </c>
      <c r="FE695">
        <f t="shared" si="115"/>
        <v>44</v>
      </c>
      <c r="FF695" t="str">
        <f t="shared" si="116"/>
        <v/>
      </c>
      <c r="FI695" s="16">
        <v>692</v>
      </c>
      <c r="FJ695" s="17" t="str">
        <f t="shared" si="117"/>
        <v/>
      </c>
      <c r="FK695" s="17" t="str">
        <f t="shared" si="113"/>
        <v/>
      </c>
      <c r="FL695" s="18" t="str">
        <f t="shared" si="118"/>
        <v/>
      </c>
    </row>
    <row r="696" spans="159:168">
      <c r="FC696">
        <v>693</v>
      </c>
      <c r="FD696">
        <f t="shared" si="114"/>
        <v>5</v>
      </c>
      <c r="FE696">
        <f t="shared" si="115"/>
        <v>44</v>
      </c>
      <c r="FF696" t="str">
        <f t="shared" si="116"/>
        <v/>
      </c>
      <c r="FI696" s="16">
        <v>693</v>
      </c>
      <c r="FJ696" s="17" t="str">
        <f t="shared" si="117"/>
        <v/>
      </c>
      <c r="FK696" s="17" t="str">
        <f t="shared" si="113"/>
        <v/>
      </c>
      <c r="FL696" s="18" t="str">
        <f t="shared" si="118"/>
        <v/>
      </c>
    </row>
    <row r="697" spans="159:168">
      <c r="FC697">
        <v>694</v>
      </c>
      <c r="FD697">
        <f t="shared" si="114"/>
        <v>6</v>
      </c>
      <c r="FE697">
        <f t="shared" si="115"/>
        <v>44</v>
      </c>
      <c r="FF697" t="str">
        <f t="shared" si="116"/>
        <v/>
      </c>
      <c r="FI697" s="16">
        <v>694</v>
      </c>
      <c r="FJ697" s="17" t="str">
        <f t="shared" si="117"/>
        <v/>
      </c>
      <c r="FK697" s="17" t="str">
        <f t="shared" si="113"/>
        <v/>
      </c>
      <c r="FL697" s="18" t="str">
        <f t="shared" si="118"/>
        <v/>
      </c>
    </row>
    <row r="698" spans="159:168">
      <c r="FC698">
        <v>695</v>
      </c>
      <c r="FD698">
        <f t="shared" si="114"/>
        <v>7</v>
      </c>
      <c r="FE698">
        <f t="shared" si="115"/>
        <v>44</v>
      </c>
      <c r="FF698" t="str">
        <f t="shared" si="116"/>
        <v/>
      </c>
      <c r="FI698" s="16">
        <v>695</v>
      </c>
      <c r="FJ698" s="17" t="str">
        <f t="shared" si="117"/>
        <v/>
      </c>
      <c r="FK698" s="17" t="str">
        <f t="shared" si="113"/>
        <v/>
      </c>
      <c r="FL698" s="18" t="str">
        <f t="shared" si="118"/>
        <v/>
      </c>
    </row>
    <row r="699" spans="159:168">
      <c r="FC699">
        <v>696</v>
      </c>
      <c r="FD699">
        <f t="shared" si="114"/>
        <v>8</v>
      </c>
      <c r="FE699">
        <f t="shared" si="115"/>
        <v>44</v>
      </c>
      <c r="FF699" t="str">
        <f t="shared" si="116"/>
        <v/>
      </c>
      <c r="FI699" s="16">
        <v>696</v>
      </c>
      <c r="FJ699" s="17" t="str">
        <f t="shared" si="117"/>
        <v/>
      </c>
      <c r="FK699" s="17" t="str">
        <f t="shared" si="113"/>
        <v/>
      </c>
      <c r="FL699" s="18" t="str">
        <f t="shared" si="118"/>
        <v/>
      </c>
    </row>
    <row r="700" spans="159:168">
      <c r="FC700">
        <v>697</v>
      </c>
      <c r="FD700">
        <f t="shared" si="114"/>
        <v>9</v>
      </c>
      <c r="FE700">
        <f t="shared" si="115"/>
        <v>44</v>
      </c>
      <c r="FF700" t="str">
        <f t="shared" si="116"/>
        <v/>
      </c>
      <c r="FI700" s="16">
        <v>697</v>
      </c>
      <c r="FJ700" s="17" t="str">
        <f t="shared" si="117"/>
        <v/>
      </c>
      <c r="FK700" s="17" t="str">
        <f t="shared" si="113"/>
        <v/>
      </c>
      <c r="FL700" s="18" t="str">
        <f t="shared" si="118"/>
        <v/>
      </c>
    </row>
    <row r="701" spans="159:168">
      <c r="FC701">
        <v>698</v>
      </c>
      <c r="FD701">
        <f t="shared" si="114"/>
        <v>10</v>
      </c>
      <c r="FE701">
        <f t="shared" si="115"/>
        <v>44</v>
      </c>
      <c r="FF701" t="str">
        <f t="shared" si="116"/>
        <v/>
      </c>
      <c r="FI701" s="16">
        <v>698</v>
      </c>
      <c r="FJ701" s="17" t="str">
        <f t="shared" si="117"/>
        <v/>
      </c>
      <c r="FK701" s="17" t="str">
        <f t="shared" si="113"/>
        <v/>
      </c>
      <c r="FL701" s="18" t="str">
        <f t="shared" si="118"/>
        <v/>
      </c>
    </row>
    <row r="702" spans="159:168">
      <c r="FC702">
        <v>699</v>
      </c>
      <c r="FD702">
        <f t="shared" si="114"/>
        <v>11</v>
      </c>
      <c r="FE702">
        <f t="shared" si="115"/>
        <v>44</v>
      </c>
      <c r="FF702" t="str">
        <f t="shared" si="116"/>
        <v/>
      </c>
      <c r="FI702" s="16">
        <v>699</v>
      </c>
      <c r="FJ702" s="17" t="str">
        <f t="shared" si="117"/>
        <v/>
      </c>
      <c r="FK702" s="17" t="str">
        <f t="shared" si="113"/>
        <v/>
      </c>
      <c r="FL702" s="18" t="str">
        <f t="shared" si="118"/>
        <v/>
      </c>
    </row>
    <row r="703" spans="159:168">
      <c r="FC703">
        <v>700</v>
      </c>
      <c r="FD703">
        <f t="shared" si="114"/>
        <v>12</v>
      </c>
      <c r="FE703">
        <f t="shared" si="115"/>
        <v>44</v>
      </c>
      <c r="FF703" t="str">
        <f t="shared" si="116"/>
        <v/>
      </c>
      <c r="FI703" s="16">
        <v>700</v>
      </c>
      <c r="FJ703" s="17" t="str">
        <f t="shared" si="117"/>
        <v/>
      </c>
      <c r="FK703" s="17" t="str">
        <f t="shared" si="113"/>
        <v/>
      </c>
      <c r="FL703" s="18" t="str">
        <f t="shared" si="118"/>
        <v/>
      </c>
    </row>
    <row r="704" spans="159:168">
      <c r="FC704">
        <v>701</v>
      </c>
      <c r="FD704">
        <f t="shared" si="114"/>
        <v>13</v>
      </c>
      <c r="FE704">
        <f t="shared" si="115"/>
        <v>44</v>
      </c>
      <c r="FF704" t="str">
        <f t="shared" si="116"/>
        <v/>
      </c>
      <c r="FI704" s="16">
        <v>701</v>
      </c>
      <c r="FJ704" s="17" t="str">
        <f t="shared" si="117"/>
        <v/>
      </c>
      <c r="FK704" s="17" t="str">
        <f t="shared" si="113"/>
        <v/>
      </c>
      <c r="FL704" s="18" t="str">
        <f t="shared" si="118"/>
        <v/>
      </c>
    </row>
    <row r="705" spans="159:168">
      <c r="FC705">
        <v>702</v>
      </c>
      <c r="FD705">
        <f t="shared" si="114"/>
        <v>14</v>
      </c>
      <c r="FE705">
        <f t="shared" si="115"/>
        <v>44</v>
      </c>
      <c r="FF705" t="str">
        <f t="shared" si="116"/>
        <v/>
      </c>
      <c r="FI705" s="16">
        <v>702</v>
      </c>
      <c r="FJ705" s="17" t="str">
        <f t="shared" si="117"/>
        <v/>
      </c>
      <c r="FK705" s="17" t="str">
        <f t="shared" si="113"/>
        <v/>
      </c>
      <c r="FL705" s="18" t="str">
        <f t="shared" si="118"/>
        <v/>
      </c>
    </row>
    <row r="706" spans="159:168">
      <c r="FC706">
        <v>703</v>
      </c>
      <c r="FD706">
        <f t="shared" si="114"/>
        <v>15</v>
      </c>
      <c r="FE706">
        <f t="shared" si="115"/>
        <v>44</v>
      </c>
      <c r="FF706" t="str">
        <f t="shared" si="116"/>
        <v/>
      </c>
      <c r="FI706" s="16">
        <v>703</v>
      </c>
      <c r="FJ706" s="17" t="str">
        <f t="shared" si="117"/>
        <v/>
      </c>
      <c r="FK706" s="17" t="str">
        <f t="shared" si="113"/>
        <v/>
      </c>
      <c r="FL706" s="18" t="str">
        <f t="shared" si="118"/>
        <v/>
      </c>
    </row>
    <row r="707" spans="159:168">
      <c r="FC707">
        <v>704</v>
      </c>
      <c r="FD707">
        <f t="shared" si="114"/>
        <v>16</v>
      </c>
      <c r="FE707">
        <f t="shared" si="115"/>
        <v>44</v>
      </c>
      <c r="FF707" t="str">
        <f t="shared" si="116"/>
        <v/>
      </c>
      <c r="FI707" s="16">
        <v>704</v>
      </c>
      <c r="FJ707" s="17" t="str">
        <f t="shared" si="117"/>
        <v/>
      </c>
      <c r="FK707" s="17" t="str">
        <f t="shared" si="113"/>
        <v/>
      </c>
      <c r="FL707" s="18" t="str">
        <f t="shared" si="118"/>
        <v/>
      </c>
    </row>
    <row r="708" spans="159:168">
      <c r="FC708">
        <v>705</v>
      </c>
      <c r="FD708">
        <f t="shared" si="114"/>
        <v>1</v>
      </c>
      <c r="FE708">
        <f t="shared" si="115"/>
        <v>45</v>
      </c>
      <c r="FF708" t="str">
        <f t="shared" si="116"/>
        <v/>
      </c>
      <c r="FI708" s="16">
        <v>705</v>
      </c>
      <c r="FJ708" s="17" t="str">
        <f t="shared" si="117"/>
        <v/>
      </c>
      <c r="FK708" s="17" t="str">
        <f t="shared" si="113"/>
        <v/>
      </c>
      <c r="FL708" s="18" t="str">
        <f t="shared" si="118"/>
        <v/>
      </c>
    </row>
    <row r="709" spans="159:168">
      <c r="FC709">
        <v>706</v>
      </c>
      <c r="FD709">
        <f t="shared" si="114"/>
        <v>2</v>
      </c>
      <c r="FE709">
        <f t="shared" si="115"/>
        <v>45</v>
      </c>
      <c r="FF709" t="str">
        <f t="shared" si="116"/>
        <v/>
      </c>
      <c r="FI709" s="16">
        <v>706</v>
      </c>
      <c r="FJ709" s="17" t="str">
        <f t="shared" si="117"/>
        <v/>
      </c>
      <c r="FK709" s="17" t="str">
        <f t="shared" ref="FK709:FK772" si="119">IF(FI709&lt;=$FH$2,FF709,IF(FI709&lt;=$FH$2+$FH$3,INDEX($FJ$4:$FJ$2494,FI709-$FH$2),""))</f>
        <v/>
      </c>
      <c r="FL709" s="18" t="str">
        <f t="shared" si="118"/>
        <v/>
      </c>
    </row>
    <row r="710" spans="159:168">
      <c r="FC710">
        <v>707</v>
      </c>
      <c r="FD710">
        <f t="shared" si="114"/>
        <v>3</v>
      </c>
      <c r="FE710">
        <f t="shared" si="115"/>
        <v>45</v>
      </c>
      <c r="FF710" t="str">
        <f t="shared" si="116"/>
        <v/>
      </c>
      <c r="FI710" s="16">
        <v>707</v>
      </c>
      <c r="FJ710" s="17" t="str">
        <f t="shared" si="117"/>
        <v/>
      </c>
      <c r="FK710" s="17" t="str">
        <f t="shared" si="119"/>
        <v/>
      </c>
      <c r="FL710" s="18" t="str">
        <f t="shared" si="118"/>
        <v/>
      </c>
    </row>
    <row r="711" spans="159:168">
      <c r="FC711">
        <v>708</v>
      </c>
      <c r="FD711">
        <f t="shared" si="114"/>
        <v>4</v>
      </c>
      <c r="FE711">
        <f t="shared" si="115"/>
        <v>45</v>
      </c>
      <c r="FF711" t="str">
        <f t="shared" si="116"/>
        <v/>
      </c>
      <c r="FI711" s="16">
        <v>708</v>
      </c>
      <c r="FJ711" s="17" t="str">
        <f t="shared" si="117"/>
        <v/>
      </c>
      <c r="FK711" s="17" t="str">
        <f t="shared" si="119"/>
        <v/>
      </c>
      <c r="FL711" s="18" t="str">
        <f t="shared" si="118"/>
        <v/>
      </c>
    </row>
    <row r="712" spans="159:168">
      <c r="FC712">
        <v>709</v>
      </c>
      <c r="FD712">
        <f t="shared" si="114"/>
        <v>5</v>
      </c>
      <c r="FE712">
        <f t="shared" si="115"/>
        <v>45</v>
      </c>
      <c r="FF712" t="str">
        <f t="shared" si="116"/>
        <v/>
      </c>
      <c r="FI712" s="16">
        <v>709</v>
      </c>
      <c r="FJ712" s="17" t="str">
        <f t="shared" si="117"/>
        <v/>
      </c>
      <c r="FK712" s="17" t="str">
        <f t="shared" si="119"/>
        <v/>
      </c>
      <c r="FL712" s="18" t="str">
        <f t="shared" si="118"/>
        <v/>
      </c>
    </row>
    <row r="713" spans="159:168">
      <c r="FC713">
        <v>710</v>
      </c>
      <c r="FD713">
        <f t="shared" si="114"/>
        <v>6</v>
      </c>
      <c r="FE713">
        <f t="shared" si="115"/>
        <v>45</v>
      </c>
      <c r="FF713" t="str">
        <f t="shared" si="116"/>
        <v/>
      </c>
      <c r="FI713" s="16">
        <v>710</v>
      </c>
      <c r="FJ713" s="17" t="str">
        <f t="shared" si="117"/>
        <v/>
      </c>
      <c r="FK713" s="17" t="str">
        <f t="shared" si="119"/>
        <v/>
      </c>
      <c r="FL713" s="18" t="str">
        <f t="shared" si="118"/>
        <v/>
      </c>
    </row>
    <row r="714" spans="159:168">
      <c r="FC714">
        <v>711</v>
      </c>
      <c r="FD714">
        <f t="shared" si="114"/>
        <v>7</v>
      </c>
      <c r="FE714">
        <f t="shared" si="115"/>
        <v>45</v>
      </c>
      <c r="FF714" t="str">
        <f t="shared" si="116"/>
        <v/>
      </c>
      <c r="FI714" s="16">
        <v>711</v>
      </c>
      <c r="FJ714" s="17" t="str">
        <f t="shared" si="117"/>
        <v/>
      </c>
      <c r="FK714" s="17" t="str">
        <f t="shared" si="119"/>
        <v/>
      </c>
      <c r="FL714" s="18" t="str">
        <f t="shared" si="118"/>
        <v/>
      </c>
    </row>
    <row r="715" spans="159:168">
      <c r="FC715">
        <v>712</v>
      </c>
      <c r="FD715">
        <f t="shared" si="114"/>
        <v>8</v>
      </c>
      <c r="FE715">
        <f t="shared" si="115"/>
        <v>45</v>
      </c>
      <c r="FF715" t="str">
        <f t="shared" si="116"/>
        <v/>
      </c>
      <c r="FI715" s="16">
        <v>712</v>
      </c>
      <c r="FJ715" s="17" t="str">
        <f t="shared" si="117"/>
        <v/>
      </c>
      <c r="FK715" s="17" t="str">
        <f t="shared" si="119"/>
        <v/>
      </c>
      <c r="FL715" s="18" t="str">
        <f t="shared" si="118"/>
        <v/>
      </c>
    </row>
    <row r="716" spans="159:168">
      <c r="FC716">
        <v>713</v>
      </c>
      <c r="FD716">
        <f t="shared" si="114"/>
        <v>9</v>
      </c>
      <c r="FE716">
        <f t="shared" si="115"/>
        <v>45</v>
      </c>
      <c r="FF716" t="str">
        <f t="shared" si="116"/>
        <v/>
      </c>
      <c r="FI716" s="16">
        <v>713</v>
      </c>
      <c r="FJ716" s="17" t="str">
        <f t="shared" si="117"/>
        <v/>
      </c>
      <c r="FK716" s="17" t="str">
        <f t="shared" si="119"/>
        <v/>
      </c>
      <c r="FL716" s="18" t="str">
        <f t="shared" si="118"/>
        <v/>
      </c>
    </row>
    <row r="717" spans="159:168">
      <c r="FC717">
        <v>714</v>
      </c>
      <c r="FD717">
        <f t="shared" si="114"/>
        <v>10</v>
      </c>
      <c r="FE717">
        <f t="shared" si="115"/>
        <v>45</v>
      </c>
      <c r="FF717" t="str">
        <f t="shared" si="116"/>
        <v/>
      </c>
      <c r="FI717" s="16">
        <v>714</v>
      </c>
      <c r="FJ717" s="17" t="str">
        <f t="shared" si="117"/>
        <v/>
      </c>
      <c r="FK717" s="17" t="str">
        <f t="shared" si="119"/>
        <v/>
      </c>
      <c r="FL717" s="18" t="str">
        <f t="shared" si="118"/>
        <v/>
      </c>
    </row>
    <row r="718" spans="159:168">
      <c r="FC718">
        <v>715</v>
      </c>
      <c r="FD718">
        <f t="shared" si="114"/>
        <v>11</v>
      </c>
      <c r="FE718">
        <f t="shared" si="115"/>
        <v>45</v>
      </c>
      <c r="FF718" t="str">
        <f t="shared" si="116"/>
        <v/>
      </c>
      <c r="FI718" s="16">
        <v>715</v>
      </c>
      <c r="FJ718" s="17" t="str">
        <f t="shared" si="117"/>
        <v/>
      </c>
      <c r="FK718" s="17" t="str">
        <f t="shared" si="119"/>
        <v/>
      </c>
      <c r="FL718" s="18" t="str">
        <f t="shared" si="118"/>
        <v/>
      </c>
    </row>
    <row r="719" spans="159:168">
      <c r="FC719">
        <v>716</v>
      </c>
      <c r="FD719">
        <f t="shared" si="114"/>
        <v>12</v>
      </c>
      <c r="FE719">
        <f t="shared" si="115"/>
        <v>45</v>
      </c>
      <c r="FF719" t="str">
        <f t="shared" si="116"/>
        <v/>
      </c>
      <c r="FI719" s="16">
        <v>716</v>
      </c>
      <c r="FJ719" s="17" t="str">
        <f t="shared" si="117"/>
        <v/>
      </c>
      <c r="FK719" s="17" t="str">
        <f t="shared" si="119"/>
        <v/>
      </c>
      <c r="FL719" s="18" t="str">
        <f t="shared" si="118"/>
        <v/>
      </c>
    </row>
    <row r="720" spans="159:168">
      <c r="FC720">
        <v>717</v>
      </c>
      <c r="FD720">
        <f t="shared" si="114"/>
        <v>13</v>
      </c>
      <c r="FE720">
        <f t="shared" si="115"/>
        <v>45</v>
      </c>
      <c r="FF720" t="str">
        <f t="shared" si="116"/>
        <v/>
      </c>
      <c r="FI720" s="16">
        <v>717</v>
      </c>
      <c r="FJ720" s="17" t="str">
        <f t="shared" si="117"/>
        <v/>
      </c>
      <c r="FK720" s="17" t="str">
        <f t="shared" si="119"/>
        <v/>
      </c>
      <c r="FL720" s="18" t="str">
        <f t="shared" si="118"/>
        <v/>
      </c>
    </row>
    <row r="721" spans="159:168">
      <c r="FC721">
        <v>718</v>
      </c>
      <c r="FD721">
        <f t="shared" si="114"/>
        <v>14</v>
      </c>
      <c r="FE721">
        <f t="shared" si="115"/>
        <v>45</v>
      </c>
      <c r="FF721" t="str">
        <f t="shared" si="116"/>
        <v/>
      </c>
      <c r="FI721" s="16">
        <v>718</v>
      </c>
      <c r="FJ721" s="17" t="str">
        <f t="shared" si="117"/>
        <v/>
      </c>
      <c r="FK721" s="17" t="str">
        <f t="shared" si="119"/>
        <v/>
      </c>
      <c r="FL721" s="18" t="str">
        <f t="shared" si="118"/>
        <v/>
      </c>
    </row>
    <row r="722" spans="159:168">
      <c r="FC722">
        <v>719</v>
      </c>
      <c r="FD722">
        <f t="shared" si="114"/>
        <v>15</v>
      </c>
      <c r="FE722">
        <f t="shared" si="115"/>
        <v>45</v>
      </c>
      <c r="FF722" t="str">
        <f t="shared" si="116"/>
        <v/>
      </c>
      <c r="FI722" s="16">
        <v>719</v>
      </c>
      <c r="FJ722" s="17" t="str">
        <f t="shared" si="117"/>
        <v/>
      </c>
      <c r="FK722" s="17" t="str">
        <f t="shared" si="119"/>
        <v/>
      </c>
      <c r="FL722" s="18" t="str">
        <f t="shared" si="118"/>
        <v/>
      </c>
    </row>
    <row r="723" spans="159:168">
      <c r="FC723">
        <v>720</v>
      </c>
      <c r="FD723">
        <f t="shared" si="114"/>
        <v>16</v>
      </c>
      <c r="FE723">
        <f t="shared" si="115"/>
        <v>45</v>
      </c>
      <c r="FF723" t="str">
        <f t="shared" si="116"/>
        <v/>
      </c>
      <c r="FI723" s="16">
        <v>720</v>
      </c>
      <c r="FJ723" s="17" t="str">
        <f t="shared" si="117"/>
        <v/>
      </c>
      <c r="FK723" s="17" t="str">
        <f t="shared" si="119"/>
        <v/>
      </c>
      <c r="FL723" s="18" t="str">
        <f t="shared" si="118"/>
        <v/>
      </c>
    </row>
    <row r="724" spans="159:168">
      <c r="FC724">
        <v>721</v>
      </c>
      <c r="FD724">
        <f t="shared" si="114"/>
        <v>1</v>
      </c>
      <c r="FE724">
        <f t="shared" si="115"/>
        <v>46</v>
      </c>
      <c r="FF724" t="str">
        <f t="shared" si="116"/>
        <v/>
      </c>
      <c r="FI724" s="16">
        <v>721</v>
      </c>
      <c r="FJ724" s="17" t="str">
        <f t="shared" si="117"/>
        <v/>
      </c>
      <c r="FK724" s="17" t="str">
        <f t="shared" si="119"/>
        <v/>
      </c>
      <c r="FL724" s="18" t="str">
        <f t="shared" si="118"/>
        <v/>
      </c>
    </row>
    <row r="725" spans="159:168">
      <c r="FC725">
        <v>722</v>
      </c>
      <c r="FD725">
        <f t="shared" si="114"/>
        <v>2</v>
      </c>
      <c r="FE725">
        <f t="shared" si="115"/>
        <v>46</v>
      </c>
      <c r="FF725" t="str">
        <f t="shared" si="116"/>
        <v/>
      </c>
      <c r="FI725" s="16">
        <v>722</v>
      </c>
      <c r="FJ725" s="17" t="str">
        <f t="shared" si="117"/>
        <v/>
      </c>
      <c r="FK725" s="17" t="str">
        <f t="shared" si="119"/>
        <v/>
      </c>
      <c r="FL725" s="18" t="str">
        <f t="shared" si="118"/>
        <v/>
      </c>
    </row>
    <row r="726" spans="159:168">
      <c r="FC726">
        <v>723</v>
      </c>
      <c r="FD726">
        <f t="shared" ref="FD726:FD789" si="120">IF(MOD(FC726,$FB$1+$FB$2)=0,$FB$1+$FB$2,MOD(FC726,$FB$1+$FB$2))</f>
        <v>3</v>
      </c>
      <c r="FE726">
        <f t="shared" ref="FE726:FE789" si="121">ROUNDUP(FC726/($FB$1+$FB$2),0)</f>
        <v>46</v>
      </c>
      <c r="FF726" t="str">
        <f t="shared" ref="FF726:FF789" si="122">IF(FE726&lt;$FB$3,INDEX($E$4:$DV$84,FD726,FE726),IF(FE726=$FB$3,INDEX($E$4:$DV$84,FD726+$FB$1,FE726),""))</f>
        <v/>
      </c>
      <c r="FI726" s="16">
        <v>723</v>
      </c>
      <c r="FJ726" s="17" t="str">
        <f t="shared" ref="FJ726:FJ789" si="123">IF(FE726&lt;=$FH$1,INDEX($DW$4:$EZ$84,FD726,FE726),"")</f>
        <v/>
      </c>
      <c r="FK726" s="17" t="str">
        <f t="shared" si="119"/>
        <v/>
      </c>
      <c r="FL726" s="18" t="str">
        <f t="shared" ref="FL726:FL789" si="124">IFERROR(TEXT(DEC2BIN(FK726),"00000000"),"")</f>
        <v/>
      </c>
    </row>
    <row r="727" spans="159:168">
      <c r="FC727">
        <v>724</v>
      </c>
      <c r="FD727">
        <f t="shared" si="120"/>
        <v>4</v>
      </c>
      <c r="FE727">
        <f t="shared" si="121"/>
        <v>46</v>
      </c>
      <c r="FF727" t="str">
        <f t="shared" si="122"/>
        <v/>
      </c>
      <c r="FI727" s="16">
        <v>724</v>
      </c>
      <c r="FJ727" s="17" t="str">
        <f t="shared" si="123"/>
        <v/>
      </c>
      <c r="FK727" s="17" t="str">
        <f t="shared" si="119"/>
        <v/>
      </c>
      <c r="FL727" s="18" t="str">
        <f t="shared" si="124"/>
        <v/>
      </c>
    </row>
    <row r="728" spans="159:168">
      <c r="FC728">
        <v>725</v>
      </c>
      <c r="FD728">
        <f t="shared" si="120"/>
        <v>5</v>
      </c>
      <c r="FE728">
        <f t="shared" si="121"/>
        <v>46</v>
      </c>
      <c r="FF728" t="str">
        <f t="shared" si="122"/>
        <v/>
      </c>
      <c r="FI728" s="16">
        <v>725</v>
      </c>
      <c r="FJ728" s="17" t="str">
        <f t="shared" si="123"/>
        <v/>
      </c>
      <c r="FK728" s="17" t="str">
        <f t="shared" si="119"/>
        <v/>
      </c>
      <c r="FL728" s="18" t="str">
        <f t="shared" si="124"/>
        <v/>
      </c>
    </row>
    <row r="729" spans="159:168">
      <c r="FC729">
        <v>726</v>
      </c>
      <c r="FD729">
        <f t="shared" si="120"/>
        <v>6</v>
      </c>
      <c r="FE729">
        <f t="shared" si="121"/>
        <v>46</v>
      </c>
      <c r="FF729" t="str">
        <f t="shared" si="122"/>
        <v/>
      </c>
      <c r="FI729" s="16">
        <v>726</v>
      </c>
      <c r="FJ729" s="17" t="str">
        <f t="shared" si="123"/>
        <v/>
      </c>
      <c r="FK729" s="17" t="str">
        <f t="shared" si="119"/>
        <v/>
      </c>
      <c r="FL729" s="18" t="str">
        <f t="shared" si="124"/>
        <v/>
      </c>
    </row>
    <row r="730" spans="159:168">
      <c r="FC730">
        <v>727</v>
      </c>
      <c r="FD730">
        <f t="shared" si="120"/>
        <v>7</v>
      </c>
      <c r="FE730">
        <f t="shared" si="121"/>
        <v>46</v>
      </c>
      <c r="FF730" t="str">
        <f t="shared" si="122"/>
        <v/>
      </c>
      <c r="FI730" s="16">
        <v>727</v>
      </c>
      <c r="FJ730" s="17" t="str">
        <f t="shared" si="123"/>
        <v/>
      </c>
      <c r="FK730" s="17" t="str">
        <f t="shared" si="119"/>
        <v/>
      </c>
      <c r="FL730" s="18" t="str">
        <f t="shared" si="124"/>
        <v/>
      </c>
    </row>
    <row r="731" spans="159:168">
      <c r="FC731">
        <v>728</v>
      </c>
      <c r="FD731">
        <f t="shared" si="120"/>
        <v>8</v>
      </c>
      <c r="FE731">
        <f t="shared" si="121"/>
        <v>46</v>
      </c>
      <c r="FF731" t="str">
        <f t="shared" si="122"/>
        <v/>
      </c>
      <c r="FI731" s="16">
        <v>728</v>
      </c>
      <c r="FJ731" s="17" t="str">
        <f t="shared" si="123"/>
        <v/>
      </c>
      <c r="FK731" s="17" t="str">
        <f t="shared" si="119"/>
        <v/>
      </c>
      <c r="FL731" s="18" t="str">
        <f t="shared" si="124"/>
        <v/>
      </c>
    </row>
    <row r="732" spans="159:168">
      <c r="FC732">
        <v>729</v>
      </c>
      <c r="FD732">
        <f t="shared" si="120"/>
        <v>9</v>
      </c>
      <c r="FE732">
        <f t="shared" si="121"/>
        <v>46</v>
      </c>
      <c r="FF732" t="str">
        <f t="shared" si="122"/>
        <v/>
      </c>
      <c r="FI732" s="16">
        <v>729</v>
      </c>
      <c r="FJ732" s="17" t="str">
        <f t="shared" si="123"/>
        <v/>
      </c>
      <c r="FK732" s="17" t="str">
        <f t="shared" si="119"/>
        <v/>
      </c>
      <c r="FL732" s="18" t="str">
        <f t="shared" si="124"/>
        <v/>
      </c>
    </row>
    <row r="733" spans="159:168">
      <c r="FC733">
        <v>730</v>
      </c>
      <c r="FD733">
        <f t="shared" si="120"/>
        <v>10</v>
      </c>
      <c r="FE733">
        <f t="shared" si="121"/>
        <v>46</v>
      </c>
      <c r="FF733" t="str">
        <f t="shared" si="122"/>
        <v/>
      </c>
      <c r="FI733" s="16">
        <v>730</v>
      </c>
      <c r="FJ733" s="17" t="str">
        <f t="shared" si="123"/>
        <v/>
      </c>
      <c r="FK733" s="17" t="str">
        <f t="shared" si="119"/>
        <v/>
      </c>
      <c r="FL733" s="18" t="str">
        <f t="shared" si="124"/>
        <v/>
      </c>
    </row>
    <row r="734" spans="159:168">
      <c r="FC734">
        <v>731</v>
      </c>
      <c r="FD734">
        <f t="shared" si="120"/>
        <v>11</v>
      </c>
      <c r="FE734">
        <f t="shared" si="121"/>
        <v>46</v>
      </c>
      <c r="FF734" t="str">
        <f t="shared" si="122"/>
        <v/>
      </c>
      <c r="FI734" s="16">
        <v>731</v>
      </c>
      <c r="FJ734" s="17" t="str">
        <f t="shared" si="123"/>
        <v/>
      </c>
      <c r="FK734" s="17" t="str">
        <f t="shared" si="119"/>
        <v/>
      </c>
      <c r="FL734" s="18" t="str">
        <f t="shared" si="124"/>
        <v/>
      </c>
    </row>
    <row r="735" spans="159:168">
      <c r="FC735">
        <v>732</v>
      </c>
      <c r="FD735">
        <f t="shared" si="120"/>
        <v>12</v>
      </c>
      <c r="FE735">
        <f t="shared" si="121"/>
        <v>46</v>
      </c>
      <c r="FF735" t="str">
        <f t="shared" si="122"/>
        <v/>
      </c>
      <c r="FI735" s="16">
        <v>732</v>
      </c>
      <c r="FJ735" s="17" t="str">
        <f t="shared" si="123"/>
        <v/>
      </c>
      <c r="FK735" s="17" t="str">
        <f t="shared" si="119"/>
        <v/>
      </c>
      <c r="FL735" s="18" t="str">
        <f t="shared" si="124"/>
        <v/>
      </c>
    </row>
    <row r="736" spans="159:168">
      <c r="FC736">
        <v>733</v>
      </c>
      <c r="FD736">
        <f t="shared" si="120"/>
        <v>13</v>
      </c>
      <c r="FE736">
        <f t="shared" si="121"/>
        <v>46</v>
      </c>
      <c r="FF736" t="str">
        <f t="shared" si="122"/>
        <v/>
      </c>
      <c r="FI736" s="16">
        <v>733</v>
      </c>
      <c r="FJ736" s="17" t="str">
        <f t="shared" si="123"/>
        <v/>
      </c>
      <c r="FK736" s="17" t="str">
        <f t="shared" si="119"/>
        <v/>
      </c>
      <c r="FL736" s="18" t="str">
        <f t="shared" si="124"/>
        <v/>
      </c>
    </row>
    <row r="737" spans="159:168">
      <c r="FC737">
        <v>734</v>
      </c>
      <c r="FD737">
        <f t="shared" si="120"/>
        <v>14</v>
      </c>
      <c r="FE737">
        <f t="shared" si="121"/>
        <v>46</v>
      </c>
      <c r="FF737" t="str">
        <f t="shared" si="122"/>
        <v/>
      </c>
      <c r="FI737" s="16">
        <v>734</v>
      </c>
      <c r="FJ737" s="17" t="str">
        <f t="shared" si="123"/>
        <v/>
      </c>
      <c r="FK737" s="17" t="str">
        <f t="shared" si="119"/>
        <v/>
      </c>
      <c r="FL737" s="18" t="str">
        <f t="shared" si="124"/>
        <v/>
      </c>
    </row>
    <row r="738" spans="159:168">
      <c r="FC738">
        <v>735</v>
      </c>
      <c r="FD738">
        <f t="shared" si="120"/>
        <v>15</v>
      </c>
      <c r="FE738">
        <f t="shared" si="121"/>
        <v>46</v>
      </c>
      <c r="FF738" t="str">
        <f t="shared" si="122"/>
        <v/>
      </c>
      <c r="FI738" s="16">
        <v>735</v>
      </c>
      <c r="FJ738" s="17" t="str">
        <f t="shared" si="123"/>
        <v/>
      </c>
      <c r="FK738" s="17" t="str">
        <f t="shared" si="119"/>
        <v/>
      </c>
      <c r="FL738" s="18" t="str">
        <f t="shared" si="124"/>
        <v/>
      </c>
    </row>
    <row r="739" spans="159:168">
      <c r="FC739">
        <v>736</v>
      </c>
      <c r="FD739">
        <f t="shared" si="120"/>
        <v>16</v>
      </c>
      <c r="FE739">
        <f t="shared" si="121"/>
        <v>46</v>
      </c>
      <c r="FF739" t="str">
        <f t="shared" si="122"/>
        <v/>
      </c>
      <c r="FI739" s="16">
        <v>736</v>
      </c>
      <c r="FJ739" s="17" t="str">
        <f t="shared" si="123"/>
        <v/>
      </c>
      <c r="FK739" s="17" t="str">
        <f t="shared" si="119"/>
        <v/>
      </c>
      <c r="FL739" s="18" t="str">
        <f t="shared" si="124"/>
        <v/>
      </c>
    </row>
    <row r="740" spans="159:168">
      <c r="FC740">
        <v>737</v>
      </c>
      <c r="FD740">
        <f t="shared" si="120"/>
        <v>1</v>
      </c>
      <c r="FE740">
        <f t="shared" si="121"/>
        <v>47</v>
      </c>
      <c r="FF740" t="str">
        <f t="shared" si="122"/>
        <v/>
      </c>
      <c r="FI740" s="16">
        <v>737</v>
      </c>
      <c r="FJ740" s="17" t="str">
        <f t="shared" si="123"/>
        <v/>
      </c>
      <c r="FK740" s="17" t="str">
        <f t="shared" si="119"/>
        <v/>
      </c>
      <c r="FL740" s="18" t="str">
        <f t="shared" si="124"/>
        <v/>
      </c>
    </row>
    <row r="741" spans="159:168">
      <c r="FC741">
        <v>738</v>
      </c>
      <c r="FD741">
        <f t="shared" si="120"/>
        <v>2</v>
      </c>
      <c r="FE741">
        <f t="shared" si="121"/>
        <v>47</v>
      </c>
      <c r="FF741" t="str">
        <f t="shared" si="122"/>
        <v/>
      </c>
      <c r="FI741" s="16">
        <v>738</v>
      </c>
      <c r="FJ741" s="17" t="str">
        <f t="shared" si="123"/>
        <v/>
      </c>
      <c r="FK741" s="17" t="str">
        <f t="shared" si="119"/>
        <v/>
      </c>
      <c r="FL741" s="18" t="str">
        <f t="shared" si="124"/>
        <v/>
      </c>
    </row>
    <row r="742" spans="159:168">
      <c r="FC742">
        <v>739</v>
      </c>
      <c r="FD742">
        <f t="shared" si="120"/>
        <v>3</v>
      </c>
      <c r="FE742">
        <f t="shared" si="121"/>
        <v>47</v>
      </c>
      <c r="FF742" t="str">
        <f t="shared" si="122"/>
        <v/>
      </c>
      <c r="FI742" s="16">
        <v>739</v>
      </c>
      <c r="FJ742" s="17" t="str">
        <f t="shared" si="123"/>
        <v/>
      </c>
      <c r="FK742" s="17" t="str">
        <f t="shared" si="119"/>
        <v/>
      </c>
      <c r="FL742" s="18" t="str">
        <f t="shared" si="124"/>
        <v/>
      </c>
    </row>
    <row r="743" spans="159:168">
      <c r="FC743">
        <v>740</v>
      </c>
      <c r="FD743">
        <f t="shared" si="120"/>
        <v>4</v>
      </c>
      <c r="FE743">
        <f t="shared" si="121"/>
        <v>47</v>
      </c>
      <c r="FF743" t="str">
        <f t="shared" si="122"/>
        <v/>
      </c>
      <c r="FI743" s="16">
        <v>740</v>
      </c>
      <c r="FJ743" s="17" t="str">
        <f t="shared" si="123"/>
        <v/>
      </c>
      <c r="FK743" s="17" t="str">
        <f t="shared" si="119"/>
        <v/>
      </c>
      <c r="FL743" s="18" t="str">
        <f t="shared" si="124"/>
        <v/>
      </c>
    </row>
    <row r="744" spans="159:168">
      <c r="FC744">
        <v>741</v>
      </c>
      <c r="FD744">
        <f t="shared" si="120"/>
        <v>5</v>
      </c>
      <c r="FE744">
        <f t="shared" si="121"/>
        <v>47</v>
      </c>
      <c r="FF744" t="str">
        <f t="shared" si="122"/>
        <v/>
      </c>
      <c r="FI744" s="16">
        <v>741</v>
      </c>
      <c r="FJ744" s="17" t="str">
        <f t="shared" si="123"/>
        <v/>
      </c>
      <c r="FK744" s="17" t="str">
        <f t="shared" si="119"/>
        <v/>
      </c>
      <c r="FL744" s="18" t="str">
        <f t="shared" si="124"/>
        <v/>
      </c>
    </row>
    <row r="745" spans="159:168">
      <c r="FC745">
        <v>742</v>
      </c>
      <c r="FD745">
        <f t="shared" si="120"/>
        <v>6</v>
      </c>
      <c r="FE745">
        <f t="shared" si="121"/>
        <v>47</v>
      </c>
      <c r="FF745" t="str">
        <f t="shared" si="122"/>
        <v/>
      </c>
      <c r="FI745" s="16">
        <v>742</v>
      </c>
      <c r="FJ745" s="17" t="str">
        <f t="shared" si="123"/>
        <v/>
      </c>
      <c r="FK745" s="17" t="str">
        <f t="shared" si="119"/>
        <v/>
      </c>
      <c r="FL745" s="18" t="str">
        <f t="shared" si="124"/>
        <v/>
      </c>
    </row>
    <row r="746" spans="159:168">
      <c r="FC746">
        <v>743</v>
      </c>
      <c r="FD746">
        <f t="shared" si="120"/>
        <v>7</v>
      </c>
      <c r="FE746">
        <f t="shared" si="121"/>
        <v>47</v>
      </c>
      <c r="FF746" t="str">
        <f t="shared" si="122"/>
        <v/>
      </c>
      <c r="FI746" s="16">
        <v>743</v>
      </c>
      <c r="FJ746" s="17" t="str">
        <f t="shared" si="123"/>
        <v/>
      </c>
      <c r="FK746" s="17" t="str">
        <f t="shared" si="119"/>
        <v/>
      </c>
      <c r="FL746" s="18" t="str">
        <f t="shared" si="124"/>
        <v/>
      </c>
    </row>
    <row r="747" spans="159:168">
      <c r="FC747">
        <v>744</v>
      </c>
      <c r="FD747">
        <f t="shared" si="120"/>
        <v>8</v>
      </c>
      <c r="FE747">
        <f t="shared" si="121"/>
        <v>47</v>
      </c>
      <c r="FF747" t="str">
        <f t="shared" si="122"/>
        <v/>
      </c>
      <c r="FI747" s="16">
        <v>744</v>
      </c>
      <c r="FJ747" s="17" t="str">
        <f t="shared" si="123"/>
        <v/>
      </c>
      <c r="FK747" s="17" t="str">
        <f t="shared" si="119"/>
        <v/>
      </c>
      <c r="FL747" s="18" t="str">
        <f t="shared" si="124"/>
        <v/>
      </c>
    </row>
    <row r="748" spans="159:168">
      <c r="FC748">
        <v>745</v>
      </c>
      <c r="FD748">
        <f t="shared" si="120"/>
        <v>9</v>
      </c>
      <c r="FE748">
        <f t="shared" si="121"/>
        <v>47</v>
      </c>
      <c r="FF748" t="str">
        <f t="shared" si="122"/>
        <v/>
      </c>
      <c r="FI748" s="16">
        <v>745</v>
      </c>
      <c r="FJ748" s="17" t="str">
        <f t="shared" si="123"/>
        <v/>
      </c>
      <c r="FK748" s="17" t="str">
        <f t="shared" si="119"/>
        <v/>
      </c>
      <c r="FL748" s="18" t="str">
        <f t="shared" si="124"/>
        <v/>
      </c>
    </row>
    <row r="749" spans="159:168">
      <c r="FC749">
        <v>746</v>
      </c>
      <c r="FD749">
        <f t="shared" si="120"/>
        <v>10</v>
      </c>
      <c r="FE749">
        <f t="shared" si="121"/>
        <v>47</v>
      </c>
      <c r="FF749" t="str">
        <f t="shared" si="122"/>
        <v/>
      </c>
      <c r="FI749" s="16">
        <v>746</v>
      </c>
      <c r="FJ749" s="17" t="str">
        <f t="shared" si="123"/>
        <v/>
      </c>
      <c r="FK749" s="17" t="str">
        <f t="shared" si="119"/>
        <v/>
      </c>
      <c r="FL749" s="18" t="str">
        <f t="shared" si="124"/>
        <v/>
      </c>
    </row>
    <row r="750" spans="159:168">
      <c r="FC750">
        <v>747</v>
      </c>
      <c r="FD750">
        <f t="shared" si="120"/>
        <v>11</v>
      </c>
      <c r="FE750">
        <f t="shared" si="121"/>
        <v>47</v>
      </c>
      <c r="FF750" t="str">
        <f t="shared" si="122"/>
        <v/>
      </c>
      <c r="FI750" s="16">
        <v>747</v>
      </c>
      <c r="FJ750" s="17" t="str">
        <f t="shared" si="123"/>
        <v/>
      </c>
      <c r="FK750" s="17" t="str">
        <f t="shared" si="119"/>
        <v/>
      </c>
      <c r="FL750" s="18" t="str">
        <f t="shared" si="124"/>
        <v/>
      </c>
    </row>
    <row r="751" spans="159:168">
      <c r="FC751">
        <v>748</v>
      </c>
      <c r="FD751">
        <f t="shared" si="120"/>
        <v>12</v>
      </c>
      <c r="FE751">
        <f t="shared" si="121"/>
        <v>47</v>
      </c>
      <c r="FF751" t="str">
        <f t="shared" si="122"/>
        <v/>
      </c>
      <c r="FI751" s="16">
        <v>748</v>
      </c>
      <c r="FJ751" s="17" t="str">
        <f t="shared" si="123"/>
        <v/>
      </c>
      <c r="FK751" s="17" t="str">
        <f t="shared" si="119"/>
        <v/>
      </c>
      <c r="FL751" s="18" t="str">
        <f t="shared" si="124"/>
        <v/>
      </c>
    </row>
    <row r="752" spans="159:168">
      <c r="FC752">
        <v>749</v>
      </c>
      <c r="FD752">
        <f t="shared" si="120"/>
        <v>13</v>
      </c>
      <c r="FE752">
        <f t="shared" si="121"/>
        <v>47</v>
      </c>
      <c r="FF752" t="str">
        <f t="shared" si="122"/>
        <v/>
      </c>
      <c r="FI752" s="16">
        <v>749</v>
      </c>
      <c r="FJ752" s="17" t="str">
        <f t="shared" si="123"/>
        <v/>
      </c>
      <c r="FK752" s="17" t="str">
        <f t="shared" si="119"/>
        <v/>
      </c>
      <c r="FL752" s="18" t="str">
        <f t="shared" si="124"/>
        <v/>
      </c>
    </row>
    <row r="753" spans="159:168">
      <c r="FC753">
        <v>750</v>
      </c>
      <c r="FD753">
        <f t="shared" si="120"/>
        <v>14</v>
      </c>
      <c r="FE753">
        <f t="shared" si="121"/>
        <v>47</v>
      </c>
      <c r="FF753" t="str">
        <f t="shared" si="122"/>
        <v/>
      </c>
      <c r="FI753" s="16">
        <v>750</v>
      </c>
      <c r="FJ753" s="17" t="str">
        <f t="shared" si="123"/>
        <v/>
      </c>
      <c r="FK753" s="17" t="str">
        <f t="shared" si="119"/>
        <v/>
      </c>
      <c r="FL753" s="18" t="str">
        <f t="shared" si="124"/>
        <v/>
      </c>
    </row>
    <row r="754" spans="159:168">
      <c r="FC754">
        <v>751</v>
      </c>
      <c r="FD754">
        <f t="shared" si="120"/>
        <v>15</v>
      </c>
      <c r="FE754">
        <f t="shared" si="121"/>
        <v>47</v>
      </c>
      <c r="FF754" t="str">
        <f t="shared" si="122"/>
        <v/>
      </c>
      <c r="FI754" s="16">
        <v>751</v>
      </c>
      <c r="FJ754" s="17" t="str">
        <f t="shared" si="123"/>
        <v/>
      </c>
      <c r="FK754" s="17" t="str">
        <f t="shared" si="119"/>
        <v/>
      </c>
      <c r="FL754" s="18" t="str">
        <f t="shared" si="124"/>
        <v/>
      </c>
    </row>
    <row r="755" spans="159:168">
      <c r="FC755">
        <v>752</v>
      </c>
      <c r="FD755">
        <f t="shared" si="120"/>
        <v>16</v>
      </c>
      <c r="FE755">
        <f t="shared" si="121"/>
        <v>47</v>
      </c>
      <c r="FF755" t="str">
        <f t="shared" si="122"/>
        <v/>
      </c>
      <c r="FI755" s="16">
        <v>752</v>
      </c>
      <c r="FJ755" s="17" t="str">
        <f t="shared" si="123"/>
        <v/>
      </c>
      <c r="FK755" s="17" t="str">
        <f t="shared" si="119"/>
        <v/>
      </c>
      <c r="FL755" s="18" t="str">
        <f t="shared" si="124"/>
        <v/>
      </c>
    </row>
    <row r="756" spans="159:168">
      <c r="FC756">
        <v>753</v>
      </c>
      <c r="FD756">
        <f t="shared" si="120"/>
        <v>1</v>
      </c>
      <c r="FE756">
        <f t="shared" si="121"/>
        <v>48</v>
      </c>
      <c r="FF756" t="str">
        <f t="shared" si="122"/>
        <v/>
      </c>
      <c r="FI756" s="16">
        <v>753</v>
      </c>
      <c r="FJ756" s="17" t="str">
        <f t="shared" si="123"/>
        <v/>
      </c>
      <c r="FK756" s="17" t="str">
        <f t="shared" si="119"/>
        <v/>
      </c>
      <c r="FL756" s="18" t="str">
        <f t="shared" si="124"/>
        <v/>
      </c>
    </row>
    <row r="757" spans="159:168">
      <c r="FC757">
        <v>754</v>
      </c>
      <c r="FD757">
        <f t="shared" si="120"/>
        <v>2</v>
      </c>
      <c r="FE757">
        <f t="shared" si="121"/>
        <v>48</v>
      </c>
      <c r="FF757" t="str">
        <f t="shared" si="122"/>
        <v/>
      </c>
      <c r="FI757" s="16">
        <v>754</v>
      </c>
      <c r="FJ757" s="17" t="str">
        <f t="shared" si="123"/>
        <v/>
      </c>
      <c r="FK757" s="17" t="str">
        <f t="shared" si="119"/>
        <v/>
      </c>
      <c r="FL757" s="18" t="str">
        <f t="shared" si="124"/>
        <v/>
      </c>
    </row>
    <row r="758" spans="159:168">
      <c r="FC758">
        <v>755</v>
      </c>
      <c r="FD758">
        <f t="shared" si="120"/>
        <v>3</v>
      </c>
      <c r="FE758">
        <f t="shared" si="121"/>
        <v>48</v>
      </c>
      <c r="FF758" t="str">
        <f t="shared" si="122"/>
        <v/>
      </c>
      <c r="FI758" s="16">
        <v>755</v>
      </c>
      <c r="FJ758" s="17" t="str">
        <f t="shared" si="123"/>
        <v/>
      </c>
      <c r="FK758" s="17" t="str">
        <f t="shared" si="119"/>
        <v/>
      </c>
      <c r="FL758" s="18" t="str">
        <f t="shared" si="124"/>
        <v/>
      </c>
    </row>
    <row r="759" spans="159:168">
      <c r="FC759">
        <v>756</v>
      </c>
      <c r="FD759">
        <f t="shared" si="120"/>
        <v>4</v>
      </c>
      <c r="FE759">
        <f t="shared" si="121"/>
        <v>48</v>
      </c>
      <c r="FF759" t="str">
        <f t="shared" si="122"/>
        <v/>
      </c>
      <c r="FI759" s="16">
        <v>756</v>
      </c>
      <c r="FJ759" s="17" t="str">
        <f t="shared" si="123"/>
        <v/>
      </c>
      <c r="FK759" s="17" t="str">
        <f t="shared" si="119"/>
        <v/>
      </c>
      <c r="FL759" s="18" t="str">
        <f t="shared" si="124"/>
        <v/>
      </c>
    </row>
    <row r="760" spans="159:168">
      <c r="FC760">
        <v>757</v>
      </c>
      <c r="FD760">
        <f t="shared" si="120"/>
        <v>5</v>
      </c>
      <c r="FE760">
        <f t="shared" si="121"/>
        <v>48</v>
      </c>
      <c r="FF760" t="str">
        <f t="shared" si="122"/>
        <v/>
      </c>
      <c r="FI760" s="16">
        <v>757</v>
      </c>
      <c r="FJ760" s="17" t="str">
        <f t="shared" si="123"/>
        <v/>
      </c>
      <c r="FK760" s="17" t="str">
        <f t="shared" si="119"/>
        <v/>
      </c>
      <c r="FL760" s="18" t="str">
        <f t="shared" si="124"/>
        <v/>
      </c>
    </row>
    <row r="761" spans="159:168">
      <c r="FC761">
        <v>758</v>
      </c>
      <c r="FD761">
        <f t="shared" si="120"/>
        <v>6</v>
      </c>
      <c r="FE761">
        <f t="shared" si="121"/>
        <v>48</v>
      </c>
      <c r="FF761" t="str">
        <f t="shared" si="122"/>
        <v/>
      </c>
      <c r="FI761" s="16">
        <v>758</v>
      </c>
      <c r="FJ761" s="17" t="str">
        <f t="shared" si="123"/>
        <v/>
      </c>
      <c r="FK761" s="17" t="str">
        <f t="shared" si="119"/>
        <v/>
      </c>
      <c r="FL761" s="18" t="str">
        <f t="shared" si="124"/>
        <v/>
      </c>
    </row>
    <row r="762" spans="159:168">
      <c r="FC762">
        <v>759</v>
      </c>
      <c r="FD762">
        <f t="shared" si="120"/>
        <v>7</v>
      </c>
      <c r="FE762">
        <f t="shared" si="121"/>
        <v>48</v>
      </c>
      <c r="FF762" t="str">
        <f t="shared" si="122"/>
        <v/>
      </c>
      <c r="FI762" s="16">
        <v>759</v>
      </c>
      <c r="FJ762" s="17" t="str">
        <f t="shared" si="123"/>
        <v/>
      </c>
      <c r="FK762" s="17" t="str">
        <f t="shared" si="119"/>
        <v/>
      </c>
      <c r="FL762" s="18" t="str">
        <f t="shared" si="124"/>
        <v/>
      </c>
    </row>
    <row r="763" spans="159:168">
      <c r="FC763">
        <v>760</v>
      </c>
      <c r="FD763">
        <f t="shared" si="120"/>
        <v>8</v>
      </c>
      <c r="FE763">
        <f t="shared" si="121"/>
        <v>48</v>
      </c>
      <c r="FF763" t="str">
        <f t="shared" si="122"/>
        <v/>
      </c>
      <c r="FI763" s="16">
        <v>760</v>
      </c>
      <c r="FJ763" s="17" t="str">
        <f t="shared" si="123"/>
        <v/>
      </c>
      <c r="FK763" s="17" t="str">
        <f t="shared" si="119"/>
        <v/>
      </c>
      <c r="FL763" s="18" t="str">
        <f t="shared" si="124"/>
        <v/>
      </c>
    </row>
    <row r="764" spans="159:168">
      <c r="FC764">
        <v>761</v>
      </c>
      <c r="FD764">
        <f t="shared" si="120"/>
        <v>9</v>
      </c>
      <c r="FE764">
        <f t="shared" si="121"/>
        <v>48</v>
      </c>
      <c r="FF764" t="str">
        <f t="shared" si="122"/>
        <v/>
      </c>
      <c r="FI764" s="16">
        <v>761</v>
      </c>
      <c r="FJ764" s="17" t="str">
        <f t="shared" si="123"/>
        <v/>
      </c>
      <c r="FK764" s="17" t="str">
        <f t="shared" si="119"/>
        <v/>
      </c>
      <c r="FL764" s="18" t="str">
        <f t="shared" si="124"/>
        <v/>
      </c>
    </row>
    <row r="765" spans="159:168">
      <c r="FC765">
        <v>762</v>
      </c>
      <c r="FD765">
        <f t="shared" si="120"/>
        <v>10</v>
      </c>
      <c r="FE765">
        <f t="shared" si="121"/>
        <v>48</v>
      </c>
      <c r="FF765" t="str">
        <f t="shared" si="122"/>
        <v/>
      </c>
      <c r="FI765" s="16">
        <v>762</v>
      </c>
      <c r="FJ765" s="17" t="str">
        <f t="shared" si="123"/>
        <v/>
      </c>
      <c r="FK765" s="17" t="str">
        <f t="shared" si="119"/>
        <v/>
      </c>
      <c r="FL765" s="18" t="str">
        <f t="shared" si="124"/>
        <v/>
      </c>
    </row>
    <row r="766" spans="159:168">
      <c r="FC766">
        <v>763</v>
      </c>
      <c r="FD766">
        <f t="shared" si="120"/>
        <v>11</v>
      </c>
      <c r="FE766">
        <f t="shared" si="121"/>
        <v>48</v>
      </c>
      <c r="FF766" t="str">
        <f t="shared" si="122"/>
        <v/>
      </c>
      <c r="FI766" s="16">
        <v>763</v>
      </c>
      <c r="FJ766" s="17" t="str">
        <f t="shared" si="123"/>
        <v/>
      </c>
      <c r="FK766" s="17" t="str">
        <f t="shared" si="119"/>
        <v/>
      </c>
      <c r="FL766" s="18" t="str">
        <f t="shared" si="124"/>
        <v/>
      </c>
    </row>
    <row r="767" spans="159:168">
      <c r="FC767">
        <v>764</v>
      </c>
      <c r="FD767">
        <f t="shared" si="120"/>
        <v>12</v>
      </c>
      <c r="FE767">
        <f t="shared" si="121"/>
        <v>48</v>
      </c>
      <c r="FF767" t="str">
        <f t="shared" si="122"/>
        <v/>
      </c>
      <c r="FI767" s="16">
        <v>764</v>
      </c>
      <c r="FJ767" s="17" t="str">
        <f t="shared" si="123"/>
        <v/>
      </c>
      <c r="FK767" s="17" t="str">
        <f t="shared" si="119"/>
        <v/>
      </c>
      <c r="FL767" s="18" t="str">
        <f t="shared" si="124"/>
        <v/>
      </c>
    </row>
    <row r="768" spans="159:168">
      <c r="FC768">
        <v>765</v>
      </c>
      <c r="FD768">
        <f t="shared" si="120"/>
        <v>13</v>
      </c>
      <c r="FE768">
        <f t="shared" si="121"/>
        <v>48</v>
      </c>
      <c r="FF768" t="str">
        <f t="shared" si="122"/>
        <v/>
      </c>
      <c r="FI768" s="16">
        <v>765</v>
      </c>
      <c r="FJ768" s="17" t="str">
        <f t="shared" si="123"/>
        <v/>
      </c>
      <c r="FK768" s="17" t="str">
        <f t="shared" si="119"/>
        <v/>
      </c>
      <c r="FL768" s="18" t="str">
        <f t="shared" si="124"/>
        <v/>
      </c>
    </row>
    <row r="769" spans="159:168">
      <c r="FC769">
        <v>766</v>
      </c>
      <c r="FD769">
        <f t="shared" si="120"/>
        <v>14</v>
      </c>
      <c r="FE769">
        <f t="shared" si="121"/>
        <v>48</v>
      </c>
      <c r="FF769" t="str">
        <f t="shared" si="122"/>
        <v/>
      </c>
      <c r="FI769" s="16">
        <v>766</v>
      </c>
      <c r="FJ769" s="17" t="str">
        <f t="shared" si="123"/>
        <v/>
      </c>
      <c r="FK769" s="17" t="str">
        <f t="shared" si="119"/>
        <v/>
      </c>
      <c r="FL769" s="18" t="str">
        <f t="shared" si="124"/>
        <v/>
      </c>
    </row>
    <row r="770" spans="159:168">
      <c r="FC770">
        <v>767</v>
      </c>
      <c r="FD770">
        <f t="shared" si="120"/>
        <v>15</v>
      </c>
      <c r="FE770">
        <f t="shared" si="121"/>
        <v>48</v>
      </c>
      <c r="FF770" t="str">
        <f t="shared" si="122"/>
        <v/>
      </c>
      <c r="FI770" s="16">
        <v>767</v>
      </c>
      <c r="FJ770" s="17" t="str">
        <f t="shared" si="123"/>
        <v/>
      </c>
      <c r="FK770" s="17" t="str">
        <f t="shared" si="119"/>
        <v/>
      </c>
      <c r="FL770" s="18" t="str">
        <f t="shared" si="124"/>
        <v/>
      </c>
    </row>
    <row r="771" spans="159:168">
      <c r="FC771">
        <v>768</v>
      </c>
      <c r="FD771">
        <f t="shared" si="120"/>
        <v>16</v>
      </c>
      <c r="FE771">
        <f t="shared" si="121"/>
        <v>48</v>
      </c>
      <c r="FF771" t="str">
        <f t="shared" si="122"/>
        <v/>
      </c>
      <c r="FI771" s="16">
        <v>768</v>
      </c>
      <c r="FJ771" s="17" t="str">
        <f t="shared" si="123"/>
        <v/>
      </c>
      <c r="FK771" s="17" t="str">
        <f t="shared" si="119"/>
        <v/>
      </c>
      <c r="FL771" s="18" t="str">
        <f t="shared" si="124"/>
        <v/>
      </c>
    </row>
    <row r="772" spans="159:168">
      <c r="FC772">
        <v>769</v>
      </c>
      <c r="FD772">
        <f t="shared" si="120"/>
        <v>1</v>
      </c>
      <c r="FE772">
        <f t="shared" si="121"/>
        <v>49</v>
      </c>
      <c r="FF772" t="str">
        <f t="shared" si="122"/>
        <v/>
      </c>
      <c r="FI772" s="16">
        <v>769</v>
      </c>
      <c r="FJ772" s="17" t="str">
        <f t="shared" si="123"/>
        <v/>
      </c>
      <c r="FK772" s="17" t="str">
        <f t="shared" si="119"/>
        <v/>
      </c>
      <c r="FL772" s="18" t="str">
        <f t="shared" si="124"/>
        <v/>
      </c>
    </row>
    <row r="773" spans="159:168">
      <c r="FC773">
        <v>770</v>
      </c>
      <c r="FD773">
        <f t="shared" si="120"/>
        <v>2</v>
      </c>
      <c r="FE773">
        <f t="shared" si="121"/>
        <v>49</v>
      </c>
      <c r="FF773" t="str">
        <f t="shared" si="122"/>
        <v/>
      </c>
      <c r="FI773" s="16">
        <v>770</v>
      </c>
      <c r="FJ773" s="17" t="str">
        <f t="shared" si="123"/>
        <v/>
      </c>
      <c r="FK773" s="17" t="str">
        <f t="shared" ref="FK773:FK836" si="125">IF(FI773&lt;=$FH$2,FF773,IF(FI773&lt;=$FH$2+$FH$3,INDEX($FJ$4:$FJ$2494,FI773-$FH$2),""))</f>
        <v/>
      </c>
      <c r="FL773" s="18" t="str">
        <f t="shared" si="124"/>
        <v/>
      </c>
    </row>
    <row r="774" spans="159:168">
      <c r="FC774">
        <v>771</v>
      </c>
      <c r="FD774">
        <f t="shared" si="120"/>
        <v>3</v>
      </c>
      <c r="FE774">
        <f t="shared" si="121"/>
        <v>49</v>
      </c>
      <c r="FF774" t="str">
        <f t="shared" si="122"/>
        <v/>
      </c>
      <c r="FI774" s="16">
        <v>771</v>
      </c>
      <c r="FJ774" s="17" t="str">
        <f t="shared" si="123"/>
        <v/>
      </c>
      <c r="FK774" s="17" t="str">
        <f t="shared" si="125"/>
        <v/>
      </c>
      <c r="FL774" s="18" t="str">
        <f t="shared" si="124"/>
        <v/>
      </c>
    </row>
    <row r="775" spans="159:168">
      <c r="FC775">
        <v>772</v>
      </c>
      <c r="FD775">
        <f t="shared" si="120"/>
        <v>4</v>
      </c>
      <c r="FE775">
        <f t="shared" si="121"/>
        <v>49</v>
      </c>
      <c r="FF775" t="str">
        <f t="shared" si="122"/>
        <v/>
      </c>
      <c r="FI775" s="16">
        <v>772</v>
      </c>
      <c r="FJ775" s="17" t="str">
        <f t="shared" si="123"/>
        <v/>
      </c>
      <c r="FK775" s="17" t="str">
        <f t="shared" si="125"/>
        <v/>
      </c>
      <c r="FL775" s="18" t="str">
        <f t="shared" si="124"/>
        <v/>
      </c>
    </row>
    <row r="776" spans="159:168">
      <c r="FC776">
        <v>773</v>
      </c>
      <c r="FD776">
        <f t="shared" si="120"/>
        <v>5</v>
      </c>
      <c r="FE776">
        <f t="shared" si="121"/>
        <v>49</v>
      </c>
      <c r="FF776" t="str">
        <f t="shared" si="122"/>
        <v/>
      </c>
      <c r="FI776" s="16">
        <v>773</v>
      </c>
      <c r="FJ776" s="17" t="str">
        <f t="shared" si="123"/>
        <v/>
      </c>
      <c r="FK776" s="17" t="str">
        <f t="shared" si="125"/>
        <v/>
      </c>
      <c r="FL776" s="18" t="str">
        <f t="shared" si="124"/>
        <v/>
      </c>
    </row>
    <row r="777" spans="159:168">
      <c r="FC777">
        <v>774</v>
      </c>
      <c r="FD777">
        <f t="shared" si="120"/>
        <v>6</v>
      </c>
      <c r="FE777">
        <f t="shared" si="121"/>
        <v>49</v>
      </c>
      <c r="FF777" t="str">
        <f t="shared" si="122"/>
        <v/>
      </c>
      <c r="FI777" s="16">
        <v>774</v>
      </c>
      <c r="FJ777" s="17" t="str">
        <f t="shared" si="123"/>
        <v/>
      </c>
      <c r="FK777" s="17" t="str">
        <f t="shared" si="125"/>
        <v/>
      </c>
      <c r="FL777" s="18" t="str">
        <f t="shared" si="124"/>
        <v/>
      </c>
    </row>
    <row r="778" spans="159:168">
      <c r="FC778">
        <v>775</v>
      </c>
      <c r="FD778">
        <f t="shared" si="120"/>
        <v>7</v>
      </c>
      <c r="FE778">
        <f t="shared" si="121"/>
        <v>49</v>
      </c>
      <c r="FF778" t="str">
        <f t="shared" si="122"/>
        <v/>
      </c>
      <c r="FI778" s="16">
        <v>775</v>
      </c>
      <c r="FJ778" s="17" t="str">
        <f t="shared" si="123"/>
        <v/>
      </c>
      <c r="FK778" s="17" t="str">
        <f t="shared" si="125"/>
        <v/>
      </c>
      <c r="FL778" s="18" t="str">
        <f t="shared" si="124"/>
        <v/>
      </c>
    </row>
    <row r="779" spans="159:168">
      <c r="FC779">
        <v>776</v>
      </c>
      <c r="FD779">
        <f t="shared" si="120"/>
        <v>8</v>
      </c>
      <c r="FE779">
        <f t="shared" si="121"/>
        <v>49</v>
      </c>
      <c r="FF779" t="str">
        <f t="shared" si="122"/>
        <v/>
      </c>
      <c r="FI779" s="16">
        <v>776</v>
      </c>
      <c r="FJ779" s="17" t="str">
        <f t="shared" si="123"/>
        <v/>
      </c>
      <c r="FK779" s="17" t="str">
        <f t="shared" si="125"/>
        <v/>
      </c>
      <c r="FL779" s="18" t="str">
        <f t="shared" si="124"/>
        <v/>
      </c>
    </row>
    <row r="780" spans="159:168">
      <c r="FC780">
        <v>777</v>
      </c>
      <c r="FD780">
        <f t="shared" si="120"/>
        <v>9</v>
      </c>
      <c r="FE780">
        <f t="shared" si="121"/>
        <v>49</v>
      </c>
      <c r="FF780" t="str">
        <f t="shared" si="122"/>
        <v/>
      </c>
      <c r="FI780" s="16">
        <v>777</v>
      </c>
      <c r="FJ780" s="17" t="str">
        <f t="shared" si="123"/>
        <v/>
      </c>
      <c r="FK780" s="17" t="str">
        <f t="shared" si="125"/>
        <v/>
      </c>
      <c r="FL780" s="18" t="str">
        <f t="shared" si="124"/>
        <v/>
      </c>
    </row>
    <row r="781" spans="159:168">
      <c r="FC781">
        <v>778</v>
      </c>
      <c r="FD781">
        <f t="shared" si="120"/>
        <v>10</v>
      </c>
      <c r="FE781">
        <f t="shared" si="121"/>
        <v>49</v>
      </c>
      <c r="FF781" t="str">
        <f t="shared" si="122"/>
        <v/>
      </c>
      <c r="FI781" s="16">
        <v>778</v>
      </c>
      <c r="FJ781" s="17" t="str">
        <f t="shared" si="123"/>
        <v/>
      </c>
      <c r="FK781" s="17" t="str">
        <f t="shared" si="125"/>
        <v/>
      </c>
      <c r="FL781" s="18" t="str">
        <f t="shared" si="124"/>
        <v/>
      </c>
    </row>
    <row r="782" spans="159:168">
      <c r="FC782">
        <v>779</v>
      </c>
      <c r="FD782">
        <f t="shared" si="120"/>
        <v>11</v>
      </c>
      <c r="FE782">
        <f t="shared" si="121"/>
        <v>49</v>
      </c>
      <c r="FF782" t="str">
        <f t="shared" si="122"/>
        <v/>
      </c>
      <c r="FI782" s="16">
        <v>779</v>
      </c>
      <c r="FJ782" s="17" t="str">
        <f t="shared" si="123"/>
        <v/>
      </c>
      <c r="FK782" s="17" t="str">
        <f t="shared" si="125"/>
        <v/>
      </c>
      <c r="FL782" s="18" t="str">
        <f t="shared" si="124"/>
        <v/>
      </c>
    </row>
    <row r="783" spans="159:168">
      <c r="FC783">
        <v>780</v>
      </c>
      <c r="FD783">
        <f t="shared" si="120"/>
        <v>12</v>
      </c>
      <c r="FE783">
        <f t="shared" si="121"/>
        <v>49</v>
      </c>
      <c r="FF783" t="str">
        <f t="shared" si="122"/>
        <v/>
      </c>
      <c r="FI783" s="16">
        <v>780</v>
      </c>
      <c r="FJ783" s="17" t="str">
        <f t="shared" si="123"/>
        <v/>
      </c>
      <c r="FK783" s="17" t="str">
        <f t="shared" si="125"/>
        <v/>
      </c>
      <c r="FL783" s="18" t="str">
        <f t="shared" si="124"/>
        <v/>
      </c>
    </row>
    <row r="784" spans="159:168">
      <c r="FC784">
        <v>781</v>
      </c>
      <c r="FD784">
        <f t="shared" si="120"/>
        <v>13</v>
      </c>
      <c r="FE784">
        <f t="shared" si="121"/>
        <v>49</v>
      </c>
      <c r="FF784" t="str">
        <f t="shared" si="122"/>
        <v/>
      </c>
      <c r="FI784" s="16">
        <v>781</v>
      </c>
      <c r="FJ784" s="17" t="str">
        <f t="shared" si="123"/>
        <v/>
      </c>
      <c r="FK784" s="17" t="str">
        <f t="shared" si="125"/>
        <v/>
      </c>
      <c r="FL784" s="18" t="str">
        <f t="shared" si="124"/>
        <v/>
      </c>
    </row>
    <row r="785" spans="159:168">
      <c r="FC785">
        <v>782</v>
      </c>
      <c r="FD785">
        <f t="shared" si="120"/>
        <v>14</v>
      </c>
      <c r="FE785">
        <f t="shared" si="121"/>
        <v>49</v>
      </c>
      <c r="FF785" t="str">
        <f t="shared" si="122"/>
        <v/>
      </c>
      <c r="FI785" s="16">
        <v>782</v>
      </c>
      <c r="FJ785" s="17" t="str">
        <f t="shared" si="123"/>
        <v/>
      </c>
      <c r="FK785" s="17" t="str">
        <f t="shared" si="125"/>
        <v/>
      </c>
      <c r="FL785" s="18" t="str">
        <f t="shared" si="124"/>
        <v/>
      </c>
    </row>
    <row r="786" spans="159:168">
      <c r="FC786">
        <v>783</v>
      </c>
      <c r="FD786">
        <f t="shared" si="120"/>
        <v>15</v>
      </c>
      <c r="FE786">
        <f t="shared" si="121"/>
        <v>49</v>
      </c>
      <c r="FF786" t="str">
        <f t="shared" si="122"/>
        <v/>
      </c>
      <c r="FI786" s="16">
        <v>783</v>
      </c>
      <c r="FJ786" s="17" t="str">
        <f t="shared" si="123"/>
        <v/>
      </c>
      <c r="FK786" s="17" t="str">
        <f t="shared" si="125"/>
        <v/>
      </c>
      <c r="FL786" s="18" t="str">
        <f t="shared" si="124"/>
        <v/>
      </c>
    </row>
    <row r="787" spans="159:168">
      <c r="FC787">
        <v>784</v>
      </c>
      <c r="FD787">
        <f t="shared" si="120"/>
        <v>16</v>
      </c>
      <c r="FE787">
        <f t="shared" si="121"/>
        <v>49</v>
      </c>
      <c r="FF787" t="str">
        <f t="shared" si="122"/>
        <v/>
      </c>
      <c r="FI787" s="16">
        <v>784</v>
      </c>
      <c r="FJ787" s="17" t="str">
        <f t="shared" si="123"/>
        <v/>
      </c>
      <c r="FK787" s="17" t="str">
        <f t="shared" si="125"/>
        <v/>
      </c>
      <c r="FL787" s="18" t="str">
        <f t="shared" si="124"/>
        <v/>
      </c>
    </row>
    <row r="788" spans="159:168">
      <c r="FC788">
        <v>785</v>
      </c>
      <c r="FD788">
        <f t="shared" si="120"/>
        <v>1</v>
      </c>
      <c r="FE788">
        <f t="shared" si="121"/>
        <v>50</v>
      </c>
      <c r="FF788" t="str">
        <f t="shared" si="122"/>
        <v/>
      </c>
      <c r="FI788" s="16">
        <v>785</v>
      </c>
      <c r="FJ788" s="17" t="str">
        <f t="shared" si="123"/>
        <v/>
      </c>
      <c r="FK788" s="17" t="str">
        <f t="shared" si="125"/>
        <v/>
      </c>
      <c r="FL788" s="18" t="str">
        <f t="shared" si="124"/>
        <v/>
      </c>
    </row>
    <row r="789" spans="159:168">
      <c r="FC789">
        <v>786</v>
      </c>
      <c r="FD789">
        <f t="shared" si="120"/>
        <v>2</v>
      </c>
      <c r="FE789">
        <f t="shared" si="121"/>
        <v>50</v>
      </c>
      <c r="FF789" t="str">
        <f t="shared" si="122"/>
        <v/>
      </c>
      <c r="FI789" s="16">
        <v>786</v>
      </c>
      <c r="FJ789" s="17" t="str">
        <f t="shared" si="123"/>
        <v/>
      </c>
      <c r="FK789" s="17" t="str">
        <f t="shared" si="125"/>
        <v/>
      </c>
      <c r="FL789" s="18" t="str">
        <f t="shared" si="124"/>
        <v/>
      </c>
    </row>
    <row r="790" spans="159:168">
      <c r="FC790">
        <v>787</v>
      </c>
      <c r="FD790">
        <f t="shared" ref="FD790:FD853" si="126">IF(MOD(FC790,$FB$1+$FB$2)=0,$FB$1+$FB$2,MOD(FC790,$FB$1+$FB$2))</f>
        <v>3</v>
      </c>
      <c r="FE790">
        <f t="shared" ref="FE790:FE853" si="127">ROUNDUP(FC790/($FB$1+$FB$2),0)</f>
        <v>50</v>
      </c>
      <c r="FF790" t="str">
        <f t="shared" ref="FF790:FF853" si="128">IF(FE790&lt;$FB$3,INDEX($E$4:$DV$84,FD790,FE790),IF(FE790=$FB$3,INDEX($E$4:$DV$84,FD790+$FB$1,FE790),""))</f>
        <v/>
      </c>
      <c r="FI790" s="16">
        <v>787</v>
      </c>
      <c r="FJ790" s="17" t="str">
        <f t="shared" ref="FJ790:FJ853" si="129">IF(FE790&lt;=$FH$1,INDEX($DW$4:$EZ$84,FD790,FE790),"")</f>
        <v/>
      </c>
      <c r="FK790" s="17" t="str">
        <f t="shared" si="125"/>
        <v/>
      </c>
      <c r="FL790" s="18" t="str">
        <f t="shared" ref="FL790:FL853" si="130">IFERROR(TEXT(DEC2BIN(FK790),"00000000"),"")</f>
        <v/>
      </c>
    </row>
    <row r="791" spans="159:168">
      <c r="FC791">
        <v>788</v>
      </c>
      <c r="FD791">
        <f t="shared" si="126"/>
        <v>4</v>
      </c>
      <c r="FE791">
        <f t="shared" si="127"/>
        <v>50</v>
      </c>
      <c r="FF791" t="str">
        <f t="shared" si="128"/>
        <v/>
      </c>
      <c r="FI791" s="16">
        <v>788</v>
      </c>
      <c r="FJ791" s="17" t="str">
        <f t="shared" si="129"/>
        <v/>
      </c>
      <c r="FK791" s="17" t="str">
        <f t="shared" si="125"/>
        <v/>
      </c>
      <c r="FL791" s="18" t="str">
        <f t="shared" si="130"/>
        <v/>
      </c>
    </row>
    <row r="792" spans="159:168">
      <c r="FC792">
        <v>789</v>
      </c>
      <c r="FD792">
        <f t="shared" si="126"/>
        <v>5</v>
      </c>
      <c r="FE792">
        <f t="shared" si="127"/>
        <v>50</v>
      </c>
      <c r="FF792" t="str">
        <f t="shared" si="128"/>
        <v/>
      </c>
      <c r="FI792" s="16">
        <v>789</v>
      </c>
      <c r="FJ792" s="17" t="str">
        <f t="shared" si="129"/>
        <v/>
      </c>
      <c r="FK792" s="17" t="str">
        <f t="shared" si="125"/>
        <v/>
      </c>
      <c r="FL792" s="18" t="str">
        <f t="shared" si="130"/>
        <v/>
      </c>
    </row>
    <row r="793" spans="159:168">
      <c r="FC793">
        <v>790</v>
      </c>
      <c r="FD793">
        <f t="shared" si="126"/>
        <v>6</v>
      </c>
      <c r="FE793">
        <f t="shared" si="127"/>
        <v>50</v>
      </c>
      <c r="FF793" t="str">
        <f t="shared" si="128"/>
        <v/>
      </c>
      <c r="FI793" s="16">
        <v>790</v>
      </c>
      <c r="FJ793" s="17" t="str">
        <f t="shared" si="129"/>
        <v/>
      </c>
      <c r="FK793" s="17" t="str">
        <f t="shared" si="125"/>
        <v/>
      </c>
      <c r="FL793" s="18" t="str">
        <f t="shared" si="130"/>
        <v/>
      </c>
    </row>
    <row r="794" spans="159:168">
      <c r="FC794">
        <v>791</v>
      </c>
      <c r="FD794">
        <f t="shared" si="126"/>
        <v>7</v>
      </c>
      <c r="FE794">
        <f t="shared" si="127"/>
        <v>50</v>
      </c>
      <c r="FF794" t="str">
        <f t="shared" si="128"/>
        <v/>
      </c>
      <c r="FI794" s="16">
        <v>791</v>
      </c>
      <c r="FJ794" s="17" t="str">
        <f t="shared" si="129"/>
        <v/>
      </c>
      <c r="FK794" s="17" t="str">
        <f t="shared" si="125"/>
        <v/>
      </c>
      <c r="FL794" s="18" t="str">
        <f t="shared" si="130"/>
        <v/>
      </c>
    </row>
    <row r="795" spans="159:168">
      <c r="FC795">
        <v>792</v>
      </c>
      <c r="FD795">
        <f t="shared" si="126"/>
        <v>8</v>
      </c>
      <c r="FE795">
        <f t="shared" si="127"/>
        <v>50</v>
      </c>
      <c r="FF795" t="str">
        <f t="shared" si="128"/>
        <v/>
      </c>
      <c r="FI795" s="16">
        <v>792</v>
      </c>
      <c r="FJ795" s="17" t="str">
        <f t="shared" si="129"/>
        <v/>
      </c>
      <c r="FK795" s="17" t="str">
        <f t="shared" si="125"/>
        <v/>
      </c>
      <c r="FL795" s="18" t="str">
        <f t="shared" si="130"/>
        <v/>
      </c>
    </row>
    <row r="796" spans="159:168">
      <c r="FC796">
        <v>793</v>
      </c>
      <c r="FD796">
        <f t="shared" si="126"/>
        <v>9</v>
      </c>
      <c r="FE796">
        <f t="shared" si="127"/>
        <v>50</v>
      </c>
      <c r="FF796" t="str">
        <f t="shared" si="128"/>
        <v/>
      </c>
      <c r="FI796" s="16">
        <v>793</v>
      </c>
      <c r="FJ796" s="17" t="str">
        <f t="shared" si="129"/>
        <v/>
      </c>
      <c r="FK796" s="17" t="str">
        <f t="shared" si="125"/>
        <v/>
      </c>
      <c r="FL796" s="18" t="str">
        <f t="shared" si="130"/>
        <v/>
      </c>
    </row>
    <row r="797" spans="159:168">
      <c r="FC797">
        <v>794</v>
      </c>
      <c r="FD797">
        <f t="shared" si="126"/>
        <v>10</v>
      </c>
      <c r="FE797">
        <f t="shared" si="127"/>
        <v>50</v>
      </c>
      <c r="FF797" t="str">
        <f t="shared" si="128"/>
        <v/>
      </c>
      <c r="FI797" s="16">
        <v>794</v>
      </c>
      <c r="FJ797" s="17" t="str">
        <f t="shared" si="129"/>
        <v/>
      </c>
      <c r="FK797" s="17" t="str">
        <f t="shared" si="125"/>
        <v/>
      </c>
      <c r="FL797" s="18" t="str">
        <f t="shared" si="130"/>
        <v/>
      </c>
    </row>
    <row r="798" spans="159:168">
      <c r="FC798">
        <v>795</v>
      </c>
      <c r="FD798">
        <f t="shared" si="126"/>
        <v>11</v>
      </c>
      <c r="FE798">
        <f t="shared" si="127"/>
        <v>50</v>
      </c>
      <c r="FF798" t="str">
        <f t="shared" si="128"/>
        <v/>
      </c>
      <c r="FI798" s="16">
        <v>795</v>
      </c>
      <c r="FJ798" s="17" t="str">
        <f t="shared" si="129"/>
        <v/>
      </c>
      <c r="FK798" s="17" t="str">
        <f t="shared" si="125"/>
        <v/>
      </c>
      <c r="FL798" s="18" t="str">
        <f t="shared" si="130"/>
        <v/>
      </c>
    </row>
    <row r="799" spans="159:168">
      <c r="FC799">
        <v>796</v>
      </c>
      <c r="FD799">
        <f t="shared" si="126"/>
        <v>12</v>
      </c>
      <c r="FE799">
        <f t="shared" si="127"/>
        <v>50</v>
      </c>
      <c r="FF799" t="str">
        <f t="shared" si="128"/>
        <v/>
      </c>
      <c r="FI799" s="16">
        <v>796</v>
      </c>
      <c r="FJ799" s="17" t="str">
        <f t="shared" si="129"/>
        <v/>
      </c>
      <c r="FK799" s="17" t="str">
        <f t="shared" si="125"/>
        <v/>
      </c>
      <c r="FL799" s="18" t="str">
        <f t="shared" si="130"/>
        <v/>
      </c>
    </row>
    <row r="800" spans="159:168">
      <c r="FC800">
        <v>797</v>
      </c>
      <c r="FD800">
        <f t="shared" si="126"/>
        <v>13</v>
      </c>
      <c r="FE800">
        <f t="shared" si="127"/>
        <v>50</v>
      </c>
      <c r="FF800" t="str">
        <f t="shared" si="128"/>
        <v/>
      </c>
      <c r="FI800" s="16">
        <v>797</v>
      </c>
      <c r="FJ800" s="17" t="str">
        <f t="shared" si="129"/>
        <v/>
      </c>
      <c r="FK800" s="17" t="str">
        <f t="shared" si="125"/>
        <v/>
      </c>
      <c r="FL800" s="18" t="str">
        <f t="shared" si="130"/>
        <v/>
      </c>
    </row>
    <row r="801" spans="159:168">
      <c r="FC801">
        <v>798</v>
      </c>
      <c r="FD801">
        <f t="shared" si="126"/>
        <v>14</v>
      </c>
      <c r="FE801">
        <f t="shared" si="127"/>
        <v>50</v>
      </c>
      <c r="FF801" t="str">
        <f t="shared" si="128"/>
        <v/>
      </c>
      <c r="FI801" s="16">
        <v>798</v>
      </c>
      <c r="FJ801" s="17" t="str">
        <f t="shared" si="129"/>
        <v/>
      </c>
      <c r="FK801" s="17" t="str">
        <f t="shared" si="125"/>
        <v/>
      </c>
      <c r="FL801" s="18" t="str">
        <f t="shared" si="130"/>
        <v/>
      </c>
    </row>
    <row r="802" spans="159:168">
      <c r="FC802">
        <v>799</v>
      </c>
      <c r="FD802">
        <f t="shared" si="126"/>
        <v>15</v>
      </c>
      <c r="FE802">
        <f t="shared" si="127"/>
        <v>50</v>
      </c>
      <c r="FF802" t="str">
        <f t="shared" si="128"/>
        <v/>
      </c>
      <c r="FI802" s="16">
        <v>799</v>
      </c>
      <c r="FJ802" s="17" t="str">
        <f t="shared" si="129"/>
        <v/>
      </c>
      <c r="FK802" s="17" t="str">
        <f t="shared" si="125"/>
        <v/>
      </c>
      <c r="FL802" s="18" t="str">
        <f t="shared" si="130"/>
        <v/>
      </c>
    </row>
    <row r="803" spans="159:168">
      <c r="FC803">
        <v>800</v>
      </c>
      <c r="FD803">
        <f t="shared" si="126"/>
        <v>16</v>
      </c>
      <c r="FE803">
        <f t="shared" si="127"/>
        <v>50</v>
      </c>
      <c r="FF803" t="str">
        <f t="shared" si="128"/>
        <v/>
      </c>
      <c r="FI803" s="16">
        <v>800</v>
      </c>
      <c r="FJ803" s="17" t="str">
        <f t="shared" si="129"/>
        <v/>
      </c>
      <c r="FK803" s="17" t="str">
        <f t="shared" si="125"/>
        <v/>
      </c>
      <c r="FL803" s="18" t="str">
        <f t="shared" si="130"/>
        <v/>
      </c>
    </row>
    <row r="804" spans="159:168">
      <c r="FC804">
        <v>801</v>
      </c>
      <c r="FD804">
        <f t="shared" si="126"/>
        <v>1</v>
      </c>
      <c r="FE804">
        <f t="shared" si="127"/>
        <v>51</v>
      </c>
      <c r="FF804" t="str">
        <f t="shared" si="128"/>
        <v/>
      </c>
      <c r="FI804" s="16">
        <v>801</v>
      </c>
      <c r="FJ804" s="17" t="str">
        <f t="shared" si="129"/>
        <v/>
      </c>
      <c r="FK804" s="17" t="str">
        <f t="shared" si="125"/>
        <v/>
      </c>
      <c r="FL804" s="18" t="str">
        <f t="shared" si="130"/>
        <v/>
      </c>
    </row>
    <row r="805" spans="159:168">
      <c r="FC805">
        <v>802</v>
      </c>
      <c r="FD805">
        <f t="shared" si="126"/>
        <v>2</v>
      </c>
      <c r="FE805">
        <f t="shared" si="127"/>
        <v>51</v>
      </c>
      <c r="FF805" t="str">
        <f t="shared" si="128"/>
        <v/>
      </c>
      <c r="FI805" s="16">
        <v>802</v>
      </c>
      <c r="FJ805" s="17" t="str">
        <f t="shared" si="129"/>
        <v/>
      </c>
      <c r="FK805" s="17" t="str">
        <f t="shared" si="125"/>
        <v/>
      </c>
      <c r="FL805" s="18" t="str">
        <f t="shared" si="130"/>
        <v/>
      </c>
    </row>
    <row r="806" spans="159:168">
      <c r="FC806">
        <v>803</v>
      </c>
      <c r="FD806">
        <f t="shared" si="126"/>
        <v>3</v>
      </c>
      <c r="FE806">
        <f t="shared" si="127"/>
        <v>51</v>
      </c>
      <c r="FF806" t="str">
        <f t="shared" si="128"/>
        <v/>
      </c>
      <c r="FI806" s="16">
        <v>803</v>
      </c>
      <c r="FJ806" s="17" t="str">
        <f t="shared" si="129"/>
        <v/>
      </c>
      <c r="FK806" s="17" t="str">
        <f t="shared" si="125"/>
        <v/>
      </c>
      <c r="FL806" s="18" t="str">
        <f t="shared" si="130"/>
        <v/>
      </c>
    </row>
    <row r="807" spans="159:168">
      <c r="FC807">
        <v>804</v>
      </c>
      <c r="FD807">
        <f t="shared" si="126"/>
        <v>4</v>
      </c>
      <c r="FE807">
        <f t="shared" si="127"/>
        <v>51</v>
      </c>
      <c r="FF807" t="str">
        <f t="shared" si="128"/>
        <v/>
      </c>
      <c r="FI807" s="16">
        <v>804</v>
      </c>
      <c r="FJ807" s="17" t="str">
        <f t="shared" si="129"/>
        <v/>
      </c>
      <c r="FK807" s="17" t="str">
        <f t="shared" si="125"/>
        <v/>
      </c>
      <c r="FL807" s="18" t="str">
        <f t="shared" si="130"/>
        <v/>
      </c>
    </row>
    <row r="808" spans="159:168">
      <c r="FC808">
        <v>805</v>
      </c>
      <c r="FD808">
        <f t="shared" si="126"/>
        <v>5</v>
      </c>
      <c r="FE808">
        <f t="shared" si="127"/>
        <v>51</v>
      </c>
      <c r="FF808" t="str">
        <f t="shared" si="128"/>
        <v/>
      </c>
      <c r="FI808" s="16">
        <v>805</v>
      </c>
      <c r="FJ808" s="17" t="str">
        <f t="shared" si="129"/>
        <v/>
      </c>
      <c r="FK808" s="17" t="str">
        <f t="shared" si="125"/>
        <v/>
      </c>
      <c r="FL808" s="18" t="str">
        <f t="shared" si="130"/>
        <v/>
      </c>
    </row>
    <row r="809" spans="159:168">
      <c r="FC809">
        <v>806</v>
      </c>
      <c r="FD809">
        <f t="shared" si="126"/>
        <v>6</v>
      </c>
      <c r="FE809">
        <f t="shared" si="127"/>
        <v>51</v>
      </c>
      <c r="FF809" t="str">
        <f t="shared" si="128"/>
        <v/>
      </c>
      <c r="FI809" s="16">
        <v>806</v>
      </c>
      <c r="FJ809" s="17" t="str">
        <f t="shared" si="129"/>
        <v/>
      </c>
      <c r="FK809" s="17" t="str">
        <f t="shared" si="125"/>
        <v/>
      </c>
      <c r="FL809" s="18" t="str">
        <f t="shared" si="130"/>
        <v/>
      </c>
    </row>
    <row r="810" spans="159:168">
      <c r="FC810">
        <v>807</v>
      </c>
      <c r="FD810">
        <f t="shared" si="126"/>
        <v>7</v>
      </c>
      <c r="FE810">
        <f t="shared" si="127"/>
        <v>51</v>
      </c>
      <c r="FF810" t="str">
        <f t="shared" si="128"/>
        <v/>
      </c>
      <c r="FI810" s="16">
        <v>807</v>
      </c>
      <c r="FJ810" s="17" t="str">
        <f t="shared" si="129"/>
        <v/>
      </c>
      <c r="FK810" s="17" t="str">
        <f t="shared" si="125"/>
        <v/>
      </c>
      <c r="FL810" s="18" t="str">
        <f t="shared" si="130"/>
        <v/>
      </c>
    </row>
    <row r="811" spans="159:168">
      <c r="FC811">
        <v>808</v>
      </c>
      <c r="FD811">
        <f t="shared" si="126"/>
        <v>8</v>
      </c>
      <c r="FE811">
        <f t="shared" si="127"/>
        <v>51</v>
      </c>
      <c r="FF811" t="str">
        <f t="shared" si="128"/>
        <v/>
      </c>
      <c r="FI811" s="16">
        <v>808</v>
      </c>
      <c r="FJ811" s="17" t="str">
        <f t="shared" si="129"/>
        <v/>
      </c>
      <c r="FK811" s="17" t="str">
        <f t="shared" si="125"/>
        <v/>
      </c>
      <c r="FL811" s="18" t="str">
        <f t="shared" si="130"/>
        <v/>
      </c>
    </row>
    <row r="812" spans="159:168">
      <c r="FC812">
        <v>809</v>
      </c>
      <c r="FD812">
        <f t="shared" si="126"/>
        <v>9</v>
      </c>
      <c r="FE812">
        <f t="shared" si="127"/>
        <v>51</v>
      </c>
      <c r="FF812" t="str">
        <f t="shared" si="128"/>
        <v/>
      </c>
      <c r="FI812" s="16">
        <v>809</v>
      </c>
      <c r="FJ812" s="17" t="str">
        <f t="shared" si="129"/>
        <v/>
      </c>
      <c r="FK812" s="17" t="str">
        <f t="shared" si="125"/>
        <v/>
      </c>
      <c r="FL812" s="18" t="str">
        <f t="shared" si="130"/>
        <v/>
      </c>
    </row>
    <row r="813" spans="159:168">
      <c r="FC813">
        <v>810</v>
      </c>
      <c r="FD813">
        <f t="shared" si="126"/>
        <v>10</v>
      </c>
      <c r="FE813">
        <f t="shared" si="127"/>
        <v>51</v>
      </c>
      <c r="FF813" t="str">
        <f t="shared" si="128"/>
        <v/>
      </c>
      <c r="FI813" s="16">
        <v>810</v>
      </c>
      <c r="FJ813" s="17" t="str">
        <f t="shared" si="129"/>
        <v/>
      </c>
      <c r="FK813" s="17" t="str">
        <f t="shared" si="125"/>
        <v/>
      </c>
      <c r="FL813" s="18" t="str">
        <f t="shared" si="130"/>
        <v/>
      </c>
    </row>
    <row r="814" spans="159:168">
      <c r="FC814">
        <v>811</v>
      </c>
      <c r="FD814">
        <f t="shared" si="126"/>
        <v>11</v>
      </c>
      <c r="FE814">
        <f t="shared" si="127"/>
        <v>51</v>
      </c>
      <c r="FF814" t="str">
        <f t="shared" si="128"/>
        <v/>
      </c>
      <c r="FI814" s="16">
        <v>811</v>
      </c>
      <c r="FJ814" s="17" t="str">
        <f t="shared" si="129"/>
        <v/>
      </c>
      <c r="FK814" s="17" t="str">
        <f t="shared" si="125"/>
        <v/>
      </c>
      <c r="FL814" s="18" t="str">
        <f t="shared" si="130"/>
        <v/>
      </c>
    </row>
    <row r="815" spans="159:168">
      <c r="FC815">
        <v>812</v>
      </c>
      <c r="FD815">
        <f t="shared" si="126"/>
        <v>12</v>
      </c>
      <c r="FE815">
        <f t="shared" si="127"/>
        <v>51</v>
      </c>
      <c r="FF815" t="str">
        <f t="shared" si="128"/>
        <v/>
      </c>
      <c r="FI815" s="16">
        <v>812</v>
      </c>
      <c r="FJ815" s="17" t="str">
        <f t="shared" si="129"/>
        <v/>
      </c>
      <c r="FK815" s="17" t="str">
        <f t="shared" si="125"/>
        <v/>
      </c>
      <c r="FL815" s="18" t="str">
        <f t="shared" si="130"/>
        <v/>
      </c>
    </row>
    <row r="816" spans="159:168">
      <c r="FC816">
        <v>813</v>
      </c>
      <c r="FD816">
        <f t="shared" si="126"/>
        <v>13</v>
      </c>
      <c r="FE816">
        <f t="shared" si="127"/>
        <v>51</v>
      </c>
      <c r="FF816" t="str">
        <f t="shared" si="128"/>
        <v/>
      </c>
      <c r="FI816" s="16">
        <v>813</v>
      </c>
      <c r="FJ816" s="17" t="str">
        <f t="shared" si="129"/>
        <v/>
      </c>
      <c r="FK816" s="17" t="str">
        <f t="shared" si="125"/>
        <v/>
      </c>
      <c r="FL816" s="18" t="str">
        <f t="shared" si="130"/>
        <v/>
      </c>
    </row>
    <row r="817" spans="159:168">
      <c r="FC817">
        <v>814</v>
      </c>
      <c r="FD817">
        <f t="shared" si="126"/>
        <v>14</v>
      </c>
      <c r="FE817">
        <f t="shared" si="127"/>
        <v>51</v>
      </c>
      <c r="FF817" t="str">
        <f t="shared" si="128"/>
        <v/>
      </c>
      <c r="FI817" s="16">
        <v>814</v>
      </c>
      <c r="FJ817" s="17" t="str">
        <f t="shared" si="129"/>
        <v/>
      </c>
      <c r="FK817" s="17" t="str">
        <f t="shared" si="125"/>
        <v/>
      </c>
      <c r="FL817" s="18" t="str">
        <f t="shared" si="130"/>
        <v/>
      </c>
    </row>
    <row r="818" spans="159:168">
      <c r="FC818">
        <v>815</v>
      </c>
      <c r="FD818">
        <f t="shared" si="126"/>
        <v>15</v>
      </c>
      <c r="FE818">
        <f t="shared" si="127"/>
        <v>51</v>
      </c>
      <c r="FF818" t="str">
        <f t="shared" si="128"/>
        <v/>
      </c>
      <c r="FI818" s="16">
        <v>815</v>
      </c>
      <c r="FJ818" s="17" t="str">
        <f t="shared" si="129"/>
        <v/>
      </c>
      <c r="FK818" s="17" t="str">
        <f t="shared" si="125"/>
        <v/>
      </c>
      <c r="FL818" s="18" t="str">
        <f t="shared" si="130"/>
        <v/>
      </c>
    </row>
    <row r="819" spans="159:168">
      <c r="FC819">
        <v>816</v>
      </c>
      <c r="FD819">
        <f t="shared" si="126"/>
        <v>16</v>
      </c>
      <c r="FE819">
        <f t="shared" si="127"/>
        <v>51</v>
      </c>
      <c r="FF819" t="str">
        <f t="shared" si="128"/>
        <v/>
      </c>
      <c r="FI819" s="16">
        <v>816</v>
      </c>
      <c r="FJ819" s="17" t="str">
        <f t="shared" si="129"/>
        <v/>
      </c>
      <c r="FK819" s="17" t="str">
        <f t="shared" si="125"/>
        <v/>
      </c>
      <c r="FL819" s="18" t="str">
        <f t="shared" si="130"/>
        <v/>
      </c>
    </row>
    <row r="820" spans="159:168">
      <c r="FC820">
        <v>817</v>
      </c>
      <c r="FD820">
        <f t="shared" si="126"/>
        <v>1</v>
      </c>
      <c r="FE820">
        <f t="shared" si="127"/>
        <v>52</v>
      </c>
      <c r="FF820" t="str">
        <f t="shared" si="128"/>
        <v/>
      </c>
      <c r="FI820" s="16">
        <v>817</v>
      </c>
      <c r="FJ820" s="17" t="str">
        <f t="shared" si="129"/>
        <v/>
      </c>
      <c r="FK820" s="17" t="str">
        <f t="shared" si="125"/>
        <v/>
      </c>
      <c r="FL820" s="18" t="str">
        <f t="shared" si="130"/>
        <v/>
      </c>
    </row>
    <row r="821" spans="159:168">
      <c r="FC821">
        <v>818</v>
      </c>
      <c r="FD821">
        <f t="shared" si="126"/>
        <v>2</v>
      </c>
      <c r="FE821">
        <f t="shared" si="127"/>
        <v>52</v>
      </c>
      <c r="FF821" t="str">
        <f t="shared" si="128"/>
        <v/>
      </c>
      <c r="FI821" s="16">
        <v>818</v>
      </c>
      <c r="FJ821" s="17" t="str">
        <f t="shared" si="129"/>
        <v/>
      </c>
      <c r="FK821" s="17" t="str">
        <f t="shared" si="125"/>
        <v/>
      </c>
      <c r="FL821" s="18" t="str">
        <f t="shared" si="130"/>
        <v/>
      </c>
    </row>
    <row r="822" spans="159:168">
      <c r="FC822">
        <v>819</v>
      </c>
      <c r="FD822">
        <f t="shared" si="126"/>
        <v>3</v>
      </c>
      <c r="FE822">
        <f t="shared" si="127"/>
        <v>52</v>
      </c>
      <c r="FF822" t="str">
        <f t="shared" si="128"/>
        <v/>
      </c>
      <c r="FI822" s="16">
        <v>819</v>
      </c>
      <c r="FJ822" s="17" t="str">
        <f t="shared" si="129"/>
        <v/>
      </c>
      <c r="FK822" s="17" t="str">
        <f t="shared" si="125"/>
        <v/>
      </c>
      <c r="FL822" s="18" t="str">
        <f t="shared" si="130"/>
        <v/>
      </c>
    </row>
    <row r="823" spans="159:168">
      <c r="FC823">
        <v>820</v>
      </c>
      <c r="FD823">
        <f t="shared" si="126"/>
        <v>4</v>
      </c>
      <c r="FE823">
        <f t="shared" si="127"/>
        <v>52</v>
      </c>
      <c r="FF823" t="str">
        <f t="shared" si="128"/>
        <v/>
      </c>
      <c r="FI823" s="16">
        <v>820</v>
      </c>
      <c r="FJ823" s="17" t="str">
        <f t="shared" si="129"/>
        <v/>
      </c>
      <c r="FK823" s="17" t="str">
        <f t="shared" si="125"/>
        <v/>
      </c>
      <c r="FL823" s="18" t="str">
        <f t="shared" si="130"/>
        <v/>
      </c>
    </row>
    <row r="824" spans="159:168">
      <c r="FC824">
        <v>821</v>
      </c>
      <c r="FD824">
        <f t="shared" si="126"/>
        <v>5</v>
      </c>
      <c r="FE824">
        <f t="shared" si="127"/>
        <v>52</v>
      </c>
      <c r="FF824" t="str">
        <f t="shared" si="128"/>
        <v/>
      </c>
      <c r="FI824" s="16">
        <v>821</v>
      </c>
      <c r="FJ824" s="17" t="str">
        <f t="shared" si="129"/>
        <v/>
      </c>
      <c r="FK824" s="17" t="str">
        <f t="shared" si="125"/>
        <v/>
      </c>
      <c r="FL824" s="18" t="str">
        <f t="shared" si="130"/>
        <v/>
      </c>
    </row>
    <row r="825" spans="159:168">
      <c r="FC825">
        <v>822</v>
      </c>
      <c r="FD825">
        <f t="shared" si="126"/>
        <v>6</v>
      </c>
      <c r="FE825">
        <f t="shared" si="127"/>
        <v>52</v>
      </c>
      <c r="FF825" t="str">
        <f t="shared" si="128"/>
        <v/>
      </c>
      <c r="FI825" s="16">
        <v>822</v>
      </c>
      <c r="FJ825" s="17" t="str">
        <f t="shared" si="129"/>
        <v/>
      </c>
      <c r="FK825" s="17" t="str">
        <f t="shared" si="125"/>
        <v/>
      </c>
      <c r="FL825" s="18" t="str">
        <f t="shared" si="130"/>
        <v/>
      </c>
    </row>
    <row r="826" spans="159:168">
      <c r="FC826">
        <v>823</v>
      </c>
      <c r="FD826">
        <f t="shared" si="126"/>
        <v>7</v>
      </c>
      <c r="FE826">
        <f t="shared" si="127"/>
        <v>52</v>
      </c>
      <c r="FF826" t="str">
        <f t="shared" si="128"/>
        <v/>
      </c>
      <c r="FI826" s="16">
        <v>823</v>
      </c>
      <c r="FJ826" s="17" t="str">
        <f t="shared" si="129"/>
        <v/>
      </c>
      <c r="FK826" s="17" t="str">
        <f t="shared" si="125"/>
        <v/>
      </c>
      <c r="FL826" s="18" t="str">
        <f t="shared" si="130"/>
        <v/>
      </c>
    </row>
    <row r="827" spans="159:168">
      <c r="FC827">
        <v>824</v>
      </c>
      <c r="FD827">
        <f t="shared" si="126"/>
        <v>8</v>
      </c>
      <c r="FE827">
        <f t="shared" si="127"/>
        <v>52</v>
      </c>
      <c r="FF827" t="str">
        <f t="shared" si="128"/>
        <v/>
      </c>
      <c r="FI827" s="16">
        <v>824</v>
      </c>
      <c r="FJ827" s="17" t="str">
        <f t="shared" si="129"/>
        <v/>
      </c>
      <c r="FK827" s="17" t="str">
        <f t="shared" si="125"/>
        <v/>
      </c>
      <c r="FL827" s="18" t="str">
        <f t="shared" si="130"/>
        <v/>
      </c>
    </row>
    <row r="828" spans="159:168">
      <c r="FC828">
        <v>825</v>
      </c>
      <c r="FD828">
        <f t="shared" si="126"/>
        <v>9</v>
      </c>
      <c r="FE828">
        <f t="shared" si="127"/>
        <v>52</v>
      </c>
      <c r="FF828" t="str">
        <f t="shared" si="128"/>
        <v/>
      </c>
      <c r="FI828" s="16">
        <v>825</v>
      </c>
      <c r="FJ828" s="17" t="str">
        <f t="shared" si="129"/>
        <v/>
      </c>
      <c r="FK828" s="17" t="str">
        <f t="shared" si="125"/>
        <v/>
      </c>
      <c r="FL828" s="18" t="str">
        <f t="shared" si="130"/>
        <v/>
      </c>
    </row>
    <row r="829" spans="159:168">
      <c r="FC829">
        <v>826</v>
      </c>
      <c r="FD829">
        <f t="shared" si="126"/>
        <v>10</v>
      </c>
      <c r="FE829">
        <f t="shared" si="127"/>
        <v>52</v>
      </c>
      <c r="FF829" t="str">
        <f t="shared" si="128"/>
        <v/>
      </c>
      <c r="FI829" s="16">
        <v>826</v>
      </c>
      <c r="FJ829" s="17" t="str">
        <f t="shared" si="129"/>
        <v/>
      </c>
      <c r="FK829" s="17" t="str">
        <f t="shared" si="125"/>
        <v/>
      </c>
      <c r="FL829" s="18" t="str">
        <f t="shared" si="130"/>
        <v/>
      </c>
    </row>
    <row r="830" spans="159:168">
      <c r="FC830">
        <v>827</v>
      </c>
      <c r="FD830">
        <f t="shared" si="126"/>
        <v>11</v>
      </c>
      <c r="FE830">
        <f t="shared" si="127"/>
        <v>52</v>
      </c>
      <c r="FF830" t="str">
        <f t="shared" si="128"/>
        <v/>
      </c>
      <c r="FI830" s="16">
        <v>827</v>
      </c>
      <c r="FJ830" s="17" t="str">
        <f t="shared" si="129"/>
        <v/>
      </c>
      <c r="FK830" s="17" t="str">
        <f t="shared" si="125"/>
        <v/>
      </c>
      <c r="FL830" s="18" t="str">
        <f t="shared" si="130"/>
        <v/>
      </c>
    </row>
    <row r="831" spans="159:168">
      <c r="FC831">
        <v>828</v>
      </c>
      <c r="FD831">
        <f t="shared" si="126"/>
        <v>12</v>
      </c>
      <c r="FE831">
        <f t="shared" si="127"/>
        <v>52</v>
      </c>
      <c r="FF831" t="str">
        <f t="shared" si="128"/>
        <v/>
      </c>
      <c r="FI831" s="16">
        <v>828</v>
      </c>
      <c r="FJ831" s="17" t="str">
        <f t="shared" si="129"/>
        <v/>
      </c>
      <c r="FK831" s="17" t="str">
        <f t="shared" si="125"/>
        <v/>
      </c>
      <c r="FL831" s="18" t="str">
        <f t="shared" si="130"/>
        <v/>
      </c>
    </row>
    <row r="832" spans="159:168">
      <c r="FC832">
        <v>829</v>
      </c>
      <c r="FD832">
        <f t="shared" si="126"/>
        <v>13</v>
      </c>
      <c r="FE832">
        <f t="shared" si="127"/>
        <v>52</v>
      </c>
      <c r="FF832" t="str">
        <f t="shared" si="128"/>
        <v/>
      </c>
      <c r="FI832" s="16">
        <v>829</v>
      </c>
      <c r="FJ832" s="17" t="str">
        <f t="shared" si="129"/>
        <v/>
      </c>
      <c r="FK832" s="17" t="str">
        <f t="shared" si="125"/>
        <v/>
      </c>
      <c r="FL832" s="18" t="str">
        <f t="shared" si="130"/>
        <v/>
      </c>
    </row>
    <row r="833" spans="159:168">
      <c r="FC833">
        <v>830</v>
      </c>
      <c r="FD833">
        <f t="shared" si="126"/>
        <v>14</v>
      </c>
      <c r="FE833">
        <f t="shared" si="127"/>
        <v>52</v>
      </c>
      <c r="FF833" t="str">
        <f t="shared" si="128"/>
        <v/>
      </c>
      <c r="FI833" s="16">
        <v>830</v>
      </c>
      <c r="FJ833" s="17" t="str">
        <f t="shared" si="129"/>
        <v/>
      </c>
      <c r="FK833" s="17" t="str">
        <f t="shared" si="125"/>
        <v/>
      </c>
      <c r="FL833" s="18" t="str">
        <f t="shared" si="130"/>
        <v/>
      </c>
    </row>
    <row r="834" spans="159:168">
      <c r="FC834">
        <v>831</v>
      </c>
      <c r="FD834">
        <f t="shared" si="126"/>
        <v>15</v>
      </c>
      <c r="FE834">
        <f t="shared" si="127"/>
        <v>52</v>
      </c>
      <c r="FF834" t="str">
        <f t="shared" si="128"/>
        <v/>
      </c>
      <c r="FI834" s="16">
        <v>831</v>
      </c>
      <c r="FJ834" s="17" t="str">
        <f t="shared" si="129"/>
        <v/>
      </c>
      <c r="FK834" s="17" t="str">
        <f t="shared" si="125"/>
        <v/>
      </c>
      <c r="FL834" s="18" t="str">
        <f t="shared" si="130"/>
        <v/>
      </c>
    </row>
    <row r="835" spans="159:168">
      <c r="FC835">
        <v>832</v>
      </c>
      <c r="FD835">
        <f t="shared" si="126"/>
        <v>16</v>
      </c>
      <c r="FE835">
        <f t="shared" si="127"/>
        <v>52</v>
      </c>
      <c r="FF835" t="str">
        <f t="shared" si="128"/>
        <v/>
      </c>
      <c r="FI835" s="16">
        <v>832</v>
      </c>
      <c r="FJ835" s="17" t="str">
        <f t="shared" si="129"/>
        <v/>
      </c>
      <c r="FK835" s="17" t="str">
        <f t="shared" si="125"/>
        <v/>
      </c>
      <c r="FL835" s="18" t="str">
        <f t="shared" si="130"/>
        <v/>
      </c>
    </row>
    <row r="836" spans="159:168">
      <c r="FC836">
        <v>833</v>
      </c>
      <c r="FD836">
        <f t="shared" si="126"/>
        <v>1</v>
      </c>
      <c r="FE836">
        <f t="shared" si="127"/>
        <v>53</v>
      </c>
      <c r="FF836" t="str">
        <f t="shared" si="128"/>
        <v/>
      </c>
      <c r="FI836" s="16">
        <v>833</v>
      </c>
      <c r="FJ836" s="17" t="str">
        <f t="shared" si="129"/>
        <v/>
      </c>
      <c r="FK836" s="17" t="str">
        <f t="shared" si="125"/>
        <v/>
      </c>
      <c r="FL836" s="18" t="str">
        <f t="shared" si="130"/>
        <v/>
      </c>
    </row>
    <row r="837" spans="159:168">
      <c r="FC837">
        <v>834</v>
      </c>
      <c r="FD837">
        <f t="shared" si="126"/>
        <v>2</v>
      </c>
      <c r="FE837">
        <f t="shared" si="127"/>
        <v>53</v>
      </c>
      <c r="FF837" t="str">
        <f t="shared" si="128"/>
        <v/>
      </c>
      <c r="FI837" s="16">
        <v>834</v>
      </c>
      <c r="FJ837" s="17" t="str">
        <f t="shared" si="129"/>
        <v/>
      </c>
      <c r="FK837" s="17" t="str">
        <f t="shared" ref="FK837:FK900" si="131">IF(FI837&lt;=$FH$2,FF837,IF(FI837&lt;=$FH$2+$FH$3,INDEX($FJ$4:$FJ$2494,FI837-$FH$2),""))</f>
        <v/>
      </c>
      <c r="FL837" s="18" t="str">
        <f t="shared" si="130"/>
        <v/>
      </c>
    </row>
    <row r="838" spans="159:168">
      <c r="FC838">
        <v>835</v>
      </c>
      <c r="FD838">
        <f t="shared" si="126"/>
        <v>3</v>
      </c>
      <c r="FE838">
        <f t="shared" si="127"/>
        <v>53</v>
      </c>
      <c r="FF838" t="str">
        <f t="shared" si="128"/>
        <v/>
      </c>
      <c r="FI838" s="16">
        <v>835</v>
      </c>
      <c r="FJ838" s="17" t="str">
        <f t="shared" si="129"/>
        <v/>
      </c>
      <c r="FK838" s="17" t="str">
        <f t="shared" si="131"/>
        <v/>
      </c>
      <c r="FL838" s="18" t="str">
        <f t="shared" si="130"/>
        <v/>
      </c>
    </row>
    <row r="839" spans="159:168">
      <c r="FC839">
        <v>836</v>
      </c>
      <c r="FD839">
        <f t="shared" si="126"/>
        <v>4</v>
      </c>
      <c r="FE839">
        <f t="shared" si="127"/>
        <v>53</v>
      </c>
      <c r="FF839" t="str">
        <f t="shared" si="128"/>
        <v/>
      </c>
      <c r="FI839" s="16">
        <v>836</v>
      </c>
      <c r="FJ839" s="17" t="str">
        <f t="shared" si="129"/>
        <v/>
      </c>
      <c r="FK839" s="17" t="str">
        <f t="shared" si="131"/>
        <v/>
      </c>
      <c r="FL839" s="18" t="str">
        <f t="shared" si="130"/>
        <v/>
      </c>
    </row>
    <row r="840" spans="159:168">
      <c r="FC840">
        <v>837</v>
      </c>
      <c r="FD840">
        <f t="shared" si="126"/>
        <v>5</v>
      </c>
      <c r="FE840">
        <f t="shared" si="127"/>
        <v>53</v>
      </c>
      <c r="FF840" t="str">
        <f t="shared" si="128"/>
        <v/>
      </c>
      <c r="FI840" s="16">
        <v>837</v>
      </c>
      <c r="FJ840" s="17" t="str">
        <f t="shared" si="129"/>
        <v/>
      </c>
      <c r="FK840" s="17" t="str">
        <f t="shared" si="131"/>
        <v/>
      </c>
      <c r="FL840" s="18" t="str">
        <f t="shared" si="130"/>
        <v/>
      </c>
    </row>
    <row r="841" spans="159:168">
      <c r="FC841">
        <v>838</v>
      </c>
      <c r="FD841">
        <f t="shared" si="126"/>
        <v>6</v>
      </c>
      <c r="FE841">
        <f t="shared" si="127"/>
        <v>53</v>
      </c>
      <c r="FF841" t="str">
        <f t="shared" si="128"/>
        <v/>
      </c>
      <c r="FI841" s="16">
        <v>838</v>
      </c>
      <c r="FJ841" s="17" t="str">
        <f t="shared" si="129"/>
        <v/>
      </c>
      <c r="FK841" s="17" t="str">
        <f t="shared" si="131"/>
        <v/>
      </c>
      <c r="FL841" s="18" t="str">
        <f t="shared" si="130"/>
        <v/>
      </c>
    </row>
    <row r="842" spans="159:168">
      <c r="FC842">
        <v>839</v>
      </c>
      <c r="FD842">
        <f t="shared" si="126"/>
        <v>7</v>
      </c>
      <c r="FE842">
        <f t="shared" si="127"/>
        <v>53</v>
      </c>
      <c r="FF842" t="str">
        <f t="shared" si="128"/>
        <v/>
      </c>
      <c r="FI842" s="16">
        <v>839</v>
      </c>
      <c r="FJ842" s="17" t="str">
        <f t="shared" si="129"/>
        <v/>
      </c>
      <c r="FK842" s="17" t="str">
        <f t="shared" si="131"/>
        <v/>
      </c>
      <c r="FL842" s="18" t="str">
        <f t="shared" si="130"/>
        <v/>
      </c>
    </row>
    <row r="843" spans="159:168">
      <c r="FC843">
        <v>840</v>
      </c>
      <c r="FD843">
        <f t="shared" si="126"/>
        <v>8</v>
      </c>
      <c r="FE843">
        <f t="shared" si="127"/>
        <v>53</v>
      </c>
      <c r="FF843" t="str">
        <f t="shared" si="128"/>
        <v/>
      </c>
      <c r="FI843" s="16">
        <v>840</v>
      </c>
      <c r="FJ843" s="17" t="str">
        <f t="shared" si="129"/>
        <v/>
      </c>
      <c r="FK843" s="17" t="str">
        <f t="shared" si="131"/>
        <v/>
      </c>
      <c r="FL843" s="18" t="str">
        <f t="shared" si="130"/>
        <v/>
      </c>
    </row>
    <row r="844" spans="159:168">
      <c r="FC844">
        <v>841</v>
      </c>
      <c r="FD844">
        <f t="shared" si="126"/>
        <v>9</v>
      </c>
      <c r="FE844">
        <f t="shared" si="127"/>
        <v>53</v>
      </c>
      <c r="FF844" t="str">
        <f t="shared" si="128"/>
        <v/>
      </c>
      <c r="FI844" s="16">
        <v>841</v>
      </c>
      <c r="FJ844" s="17" t="str">
        <f t="shared" si="129"/>
        <v/>
      </c>
      <c r="FK844" s="17" t="str">
        <f t="shared" si="131"/>
        <v/>
      </c>
      <c r="FL844" s="18" t="str">
        <f t="shared" si="130"/>
        <v/>
      </c>
    </row>
    <row r="845" spans="159:168">
      <c r="FC845">
        <v>842</v>
      </c>
      <c r="FD845">
        <f t="shared" si="126"/>
        <v>10</v>
      </c>
      <c r="FE845">
        <f t="shared" si="127"/>
        <v>53</v>
      </c>
      <c r="FF845" t="str">
        <f t="shared" si="128"/>
        <v/>
      </c>
      <c r="FI845" s="16">
        <v>842</v>
      </c>
      <c r="FJ845" s="17" t="str">
        <f t="shared" si="129"/>
        <v/>
      </c>
      <c r="FK845" s="17" t="str">
        <f t="shared" si="131"/>
        <v/>
      </c>
      <c r="FL845" s="18" t="str">
        <f t="shared" si="130"/>
        <v/>
      </c>
    </row>
    <row r="846" spans="159:168">
      <c r="FC846">
        <v>843</v>
      </c>
      <c r="FD846">
        <f t="shared" si="126"/>
        <v>11</v>
      </c>
      <c r="FE846">
        <f t="shared" si="127"/>
        <v>53</v>
      </c>
      <c r="FF846" t="str">
        <f t="shared" si="128"/>
        <v/>
      </c>
      <c r="FI846" s="16">
        <v>843</v>
      </c>
      <c r="FJ846" s="17" t="str">
        <f t="shared" si="129"/>
        <v/>
      </c>
      <c r="FK846" s="17" t="str">
        <f t="shared" si="131"/>
        <v/>
      </c>
      <c r="FL846" s="18" t="str">
        <f t="shared" si="130"/>
        <v/>
      </c>
    </row>
    <row r="847" spans="159:168">
      <c r="FC847">
        <v>844</v>
      </c>
      <c r="FD847">
        <f t="shared" si="126"/>
        <v>12</v>
      </c>
      <c r="FE847">
        <f t="shared" si="127"/>
        <v>53</v>
      </c>
      <c r="FF847" t="str">
        <f t="shared" si="128"/>
        <v/>
      </c>
      <c r="FI847" s="16">
        <v>844</v>
      </c>
      <c r="FJ847" s="17" t="str">
        <f t="shared" si="129"/>
        <v/>
      </c>
      <c r="FK847" s="17" t="str">
        <f t="shared" si="131"/>
        <v/>
      </c>
      <c r="FL847" s="18" t="str">
        <f t="shared" si="130"/>
        <v/>
      </c>
    </row>
    <row r="848" spans="159:168">
      <c r="FC848">
        <v>845</v>
      </c>
      <c r="FD848">
        <f t="shared" si="126"/>
        <v>13</v>
      </c>
      <c r="FE848">
        <f t="shared" si="127"/>
        <v>53</v>
      </c>
      <c r="FF848" t="str">
        <f t="shared" si="128"/>
        <v/>
      </c>
      <c r="FI848" s="16">
        <v>845</v>
      </c>
      <c r="FJ848" s="17" t="str">
        <f t="shared" si="129"/>
        <v/>
      </c>
      <c r="FK848" s="17" t="str">
        <f t="shared" si="131"/>
        <v/>
      </c>
      <c r="FL848" s="18" t="str">
        <f t="shared" si="130"/>
        <v/>
      </c>
    </row>
    <row r="849" spans="159:168">
      <c r="FC849">
        <v>846</v>
      </c>
      <c r="FD849">
        <f t="shared" si="126"/>
        <v>14</v>
      </c>
      <c r="FE849">
        <f t="shared" si="127"/>
        <v>53</v>
      </c>
      <c r="FF849" t="str">
        <f t="shared" si="128"/>
        <v/>
      </c>
      <c r="FI849" s="16">
        <v>846</v>
      </c>
      <c r="FJ849" s="17" t="str">
        <f t="shared" si="129"/>
        <v/>
      </c>
      <c r="FK849" s="17" t="str">
        <f t="shared" si="131"/>
        <v/>
      </c>
      <c r="FL849" s="18" t="str">
        <f t="shared" si="130"/>
        <v/>
      </c>
    </row>
    <row r="850" spans="159:168">
      <c r="FC850">
        <v>847</v>
      </c>
      <c r="FD850">
        <f t="shared" si="126"/>
        <v>15</v>
      </c>
      <c r="FE850">
        <f t="shared" si="127"/>
        <v>53</v>
      </c>
      <c r="FF850" t="str">
        <f t="shared" si="128"/>
        <v/>
      </c>
      <c r="FI850" s="16">
        <v>847</v>
      </c>
      <c r="FJ850" s="17" t="str">
        <f t="shared" si="129"/>
        <v/>
      </c>
      <c r="FK850" s="17" t="str">
        <f t="shared" si="131"/>
        <v/>
      </c>
      <c r="FL850" s="18" t="str">
        <f t="shared" si="130"/>
        <v/>
      </c>
    </row>
    <row r="851" spans="159:168">
      <c r="FC851">
        <v>848</v>
      </c>
      <c r="FD851">
        <f t="shared" si="126"/>
        <v>16</v>
      </c>
      <c r="FE851">
        <f t="shared" si="127"/>
        <v>53</v>
      </c>
      <c r="FF851" t="str">
        <f t="shared" si="128"/>
        <v/>
      </c>
      <c r="FI851" s="16">
        <v>848</v>
      </c>
      <c r="FJ851" s="17" t="str">
        <f t="shared" si="129"/>
        <v/>
      </c>
      <c r="FK851" s="17" t="str">
        <f t="shared" si="131"/>
        <v/>
      </c>
      <c r="FL851" s="18" t="str">
        <f t="shared" si="130"/>
        <v/>
      </c>
    </row>
    <row r="852" spans="159:168">
      <c r="FC852">
        <v>849</v>
      </c>
      <c r="FD852">
        <f t="shared" si="126"/>
        <v>1</v>
      </c>
      <c r="FE852">
        <f t="shared" si="127"/>
        <v>54</v>
      </c>
      <c r="FF852" t="str">
        <f t="shared" si="128"/>
        <v/>
      </c>
      <c r="FI852" s="16">
        <v>849</v>
      </c>
      <c r="FJ852" s="17" t="str">
        <f t="shared" si="129"/>
        <v/>
      </c>
      <c r="FK852" s="17" t="str">
        <f t="shared" si="131"/>
        <v/>
      </c>
      <c r="FL852" s="18" t="str">
        <f t="shared" si="130"/>
        <v/>
      </c>
    </row>
    <row r="853" spans="159:168">
      <c r="FC853">
        <v>850</v>
      </c>
      <c r="FD853">
        <f t="shared" si="126"/>
        <v>2</v>
      </c>
      <c r="FE853">
        <f t="shared" si="127"/>
        <v>54</v>
      </c>
      <c r="FF853" t="str">
        <f t="shared" si="128"/>
        <v/>
      </c>
      <c r="FI853" s="16">
        <v>850</v>
      </c>
      <c r="FJ853" s="17" t="str">
        <f t="shared" si="129"/>
        <v/>
      </c>
      <c r="FK853" s="17" t="str">
        <f t="shared" si="131"/>
        <v/>
      </c>
      <c r="FL853" s="18" t="str">
        <f t="shared" si="130"/>
        <v/>
      </c>
    </row>
    <row r="854" spans="159:168">
      <c r="FC854" s="118">
        <v>851</v>
      </c>
      <c r="FD854" s="118">
        <f t="shared" ref="FD854:FD917" si="132">IF(MOD(FC854,$FB$1+$FB$2)=0,$FB$1+$FB$2,MOD(FC854,$FB$1+$FB$2))</f>
        <v>3</v>
      </c>
      <c r="FE854" s="118">
        <f t="shared" ref="FE854:FE917" si="133">ROUNDUP(FC854/($FB$1+$FB$2),0)</f>
        <v>54</v>
      </c>
      <c r="FF854" s="118" t="str">
        <f t="shared" ref="FF854:FF917" si="134">IF(FE854&lt;$FB$3,INDEX($E$4:$DV$84,FD854,FE854),IF(FE854=$FB$3,INDEX($E$4:$DV$84,FD854+$FB$1,FE854),""))</f>
        <v/>
      </c>
      <c r="FI854" s="16">
        <v>851</v>
      </c>
      <c r="FJ854" s="17" t="str">
        <f t="shared" ref="FJ854:FJ917" si="135">IF(FE854&lt;=$FH$1,INDEX($DW$4:$EZ$84,FD854,FE854),"")</f>
        <v/>
      </c>
      <c r="FK854" s="17" t="str">
        <f t="shared" si="131"/>
        <v/>
      </c>
      <c r="FL854" s="18" t="str">
        <f t="shared" ref="FL854:FL917" si="136">IFERROR(TEXT(DEC2BIN(FK854),"00000000"),"")</f>
        <v/>
      </c>
    </row>
    <row r="855" spans="159:168">
      <c r="FC855" s="118">
        <v>852</v>
      </c>
      <c r="FD855" s="118">
        <f t="shared" si="132"/>
        <v>4</v>
      </c>
      <c r="FE855" s="118">
        <f t="shared" si="133"/>
        <v>54</v>
      </c>
      <c r="FF855" s="118" t="str">
        <f t="shared" si="134"/>
        <v/>
      </c>
      <c r="FI855" s="16">
        <v>852</v>
      </c>
      <c r="FJ855" s="17" t="str">
        <f t="shared" si="135"/>
        <v/>
      </c>
      <c r="FK855" s="17" t="str">
        <f t="shared" si="131"/>
        <v/>
      </c>
      <c r="FL855" s="18" t="str">
        <f t="shared" si="136"/>
        <v/>
      </c>
    </row>
    <row r="856" spans="159:168">
      <c r="FC856" s="118">
        <v>853</v>
      </c>
      <c r="FD856" s="118">
        <f t="shared" si="132"/>
        <v>5</v>
      </c>
      <c r="FE856" s="118">
        <f t="shared" si="133"/>
        <v>54</v>
      </c>
      <c r="FF856" s="118" t="str">
        <f t="shared" si="134"/>
        <v/>
      </c>
      <c r="FI856" s="16">
        <v>853</v>
      </c>
      <c r="FJ856" s="17" t="str">
        <f t="shared" si="135"/>
        <v/>
      </c>
      <c r="FK856" s="17" t="str">
        <f t="shared" si="131"/>
        <v/>
      </c>
      <c r="FL856" s="18" t="str">
        <f t="shared" si="136"/>
        <v/>
      </c>
    </row>
    <row r="857" spans="159:168">
      <c r="FC857" s="118">
        <v>854</v>
      </c>
      <c r="FD857" s="118">
        <f t="shared" si="132"/>
        <v>6</v>
      </c>
      <c r="FE857" s="118">
        <f t="shared" si="133"/>
        <v>54</v>
      </c>
      <c r="FF857" s="118" t="str">
        <f t="shared" si="134"/>
        <v/>
      </c>
      <c r="FI857" s="16">
        <v>854</v>
      </c>
      <c r="FJ857" s="17" t="str">
        <f t="shared" si="135"/>
        <v/>
      </c>
      <c r="FK857" s="17" t="str">
        <f t="shared" si="131"/>
        <v/>
      </c>
      <c r="FL857" s="18" t="str">
        <f t="shared" si="136"/>
        <v/>
      </c>
    </row>
    <row r="858" spans="159:168">
      <c r="FC858" s="118">
        <v>855</v>
      </c>
      <c r="FD858" s="118">
        <f t="shared" si="132"/>
        <v>7</v>
      </c>
      <c r="FE858" s="118">
        <f t="shared" si="133"/>
        <v>54</v>
      </c>
      <c r="FF858" s="118" t="str">
        <f t="shared" si="134"/>
        <v/>
      </c>
      <c r="FI858" s="16">
        <v>855</v>
      </c>
      <c r="FJ858" s="17" t="str">
        <f t="shared" si="135"/>
        <v/>
      </c>
      <c r="FK858" s="17" t="str">
        <f t="shared" si="131"/>
        <v/>
      </c>
      <c r="FL858" s="18" t="str">
        <f t="shared" si="136"/>
        <v/>
      </c>
    </row>
    <row r="859" spans="159:168">
      <c r="FC859" s="118">
        <v>856</v>
      </c>
      <c r="FD859" s="118">
        <f t="shared" si="132"/>
        <v>8</v>
      </c>
      <c r="FE859" s="118">
        <f t="shared" si="133"/>
        <v>54</v>
      </c>
      <c r="FF859" s="118" t="str">
        <f t="shared" si="134"/>
        <v/>
      </c>
      <c r="FI859" s="16">
        <v>856</v>
      </c>
      <c r="FJ859" s="17" t="str">
        <f t="shared" si="135"/>
        <v/>
      </c>
      <c r="FK859" s="17" t="str">
        <f t="shared" si="131"/>
        <v/>
      </c>
      <c r="FL859" s="18" t="str">
        <f t="shared" si="136"/>
        <v/>
      </c>
    </row>
    <row r="860" spans="159:168">
      <c r="FC860" s="118">
        <v>857</v>
      </c>
      <c r="FD860" s="118">
        <f t="shared" si="132"/>
        <v>9</v>
      </c>
      <c r="FE860" s="118">
        <f t="shared" si="133"/>
        <v>54</v>
      </c>
      <c r="FF860" s="118" t="str">
        <f t="shared" si="134"/>
        <v/>
      </c>
      <c r="FI860" s="16">
        <v>857</v>
      </c>
      <c r="FJ860" s="17" t="str">
        <f t="shared" si="135"/>
        <v/>
      </c>
      <c r="FK860" s="17" t="str">
        <f t="shared" si="131"/>
        <v/>
      </c>
      <c r="FL860" s="18" t="str">
        <f t="shared" si="136"/>
        <v/>
      </c>
    </row>
    <row r="861" spans="159:168">
      <c r="FC861" s="118">
        <v>858</v>
      </c>
      <c r="FD861" s="118">
        <f t="shared" si="132"/>
        <v>10</v>
      </c>
      <c r="FE861" s="118">
        <f t="shared" si="133"/>
        <v>54</v>
      </c>
      <c r="FF861" s="118" t="str">
        <f t="shared" si="134"/>
        <v/>
      </c>
      <c r="FI861" s="16">
        <v>858</v>
      </c>
      <c r="FJ861" s="17" t="str">
        <f t="shared" si="135"/>
        <v/>
      </c>
      <c r="FK861" s="17" t="str">
        <f t="shared" si="131"/>
        <v/>
      </c>
      <c r="FL861" s="18" t="str">
        <f t="shared" si="136"/>
        <v/>
      </c>
    </row>
    <row r="862" spans="159:168">
      <c r="FC862" s="118">
        <v>859</v>
      </c>
      <c r="FD862" s="118">
        <f t="shared" si="132"/>
        <v>11</v>
      </c>
      <c r="FE862" s="118">
        <f t="shared" si="133"/>
        <v>54</v>
      </c>
      <c r="FF862" s="118" t="str">
        <f t="shared" si="134"/>
        <v/>
      </c>
      <c r="FI862" s="16">
        <v>859</v>
      </c>
      <c r="FJ862" s="17" t="str">
        <f t="shared" si="135"/>
        <v/>
      </c>
      <c r="FK862" s="17" t="str">
        <f t="shared" si="131"/>
        <v/>
      </c>
      <c r="FL862" s="18" t="str">
        <f t="shared" si="136"/>
        <v/>
      </c>
    </row>
    <row r="863" spans="159:168">
      <c r="FC863" s="118">
        <v>860</v>
      </c>
      <c r="FD863" s="118">
        <f t="shared" si="132"/>
        <v>12</v>
      </c>
      <c r="FE863" s="118">
        <f t="shared" si="133"/>
        <v>54</v>
      </c>
      <c r="FF863" s="118" t="str">
        <f t="shared" si="134"/>
        <v/>
      </c>
      <c r="FI863" s="16">
        <v>860</v>
      </c>
      <c r="FJ863" s="17" t="str">
        <f t="shared" si="135"/>
        <v/>
      </c>
      <c r="FK863" s="17" t="str">
        <f t="shared" si="131"/>
        <v/>
      </c>
      <c r="FL863" s="18" t="str">
        <f t="shared" si="136"/>
        <v/>
      </c>
    </row>
    <row r="864" spans="159:168">
      <c r="FC864" s="118">
        <v>861</v>
      </c>
      <c r="FD864" s="118">
        <f t="shared" si="132"/>
        <v>13</v>
      </c>
      <c r="FE864" s="118">
        <f t="shared" si="133"/>
        <v>54</v>
      </c>
      <c r="FF864" s="118" t="str">
        <f t="shared" si="134"/>
        <v/>
      </c>
      <c r="FI864" s="16">
        <v>861</v>
      </c>
      <c r="FJ864" s="17" t="str">
        <f t="shared" si="135"/>
        <v/>
      </c>
      <c r="FK864" s="17" t="str">
        <f t="shared" si="131"/>
        <v/>
      </c>
      <c r="FL864" s="18" t="str">
        <f t="shared" si="136"/>
        <v/>
      </c>
    </row>
    <row r="865" spans="159:168">
      <c r="FC865" s="118">
        <v>862</v>
      </c>
      <c r="FD865" s="118">
        <f t="shared" si="132"/>
        <v>14</v>
      </c>
      <c r="FE865" s="118">
        <f t="shared" si="133"/>
        <v>54</v>
      </c>
      <c r="FF865" s="118" t="str">
        <f t="shared" si="134"/>
        <v/>
      </c>
      <c r="FI865" s="16">
        <v>862</v>
      </c>
      <c r="FJ865" s="17" t="str">
        <f t="shared" si="135"/>
        <v/>
      </c>
      <c r="FK865" s="17" t="str">
        <f t="shared" si="131"/>
        <v/>
      </c>
      <c r="FL865" s="18" t="str">
        <f t="shared" si="136"/>
        <v/>
      </c>
    </row>
    <row r="866" spans="159:168">
      <c r="FC866" s="118">
        <v>863</v>
      </c>
      <c r="FD866" s="118">
        <f t="shared" si="132"/>
        <v>15</v>
      </c>
      <c r="FE866" s="118">
        <f t="shared" si="133"/>
        <v>54</v>
      </c>
      <c r="FF866" s="118" t="str">
        <f t="shared" si="134"/>
        <v/>
      </c>
      <c r="FI866" s="16">
        <v>863</v>
      </c>
      <c r="FJ866" s="17" t="str">
        <f t="shared" si="135"/>
        <v/>
      </c>
      <c r="FK866" s="17" t="str">
        <f t="shared" si="131"/>
        <v/>
      </c>
      <c r="FL866" s="18" t="str">
        <f t="shared" si="136"/>
        <v/>
      </c>
    </row>
    <row r="867" spans="159:168">
      <c r="FC867" s="118">
        <v>864</v>
      </c>
      <c r="FD867" s="118">
        <f t="shared" si="132"/>
        <v>16</v>
      </c>
      <c r="FE867" s="118">
        <f t="shared" si="133"/>
        <v>54</v>
      </c>
      <c r="FF867" s="118" t="str">
        <f t="shared" si="134"/>
        <v/>
      </c>
      <c r="FI867" s="16">
        <v>864</v>
      </c>
      <c r="FJ867" s="17" t="str">
        <f t="shared" si="135"/>
        <v/>
      </c>
      <c r="FK867" s="17" t="str">
        <f t="shared" si="131"/>
        <v/>
      </c>
      <c r="FL867" s="18" t="str">
        <f t="shared" si="136"/>
        <v/>
      </c>
    </row>
    <row r="868" spans="159:168">
      <c r="FC868" s="118">
        <v>865</v>
      </c>
      <c r="FD868" s="118">
        <f t="shared" si="132"/>
        <v>1</v>
      </c>
      <c r="FE868" s="118">
        <f t="shared" si="133"/>
        <v>55</v>
      </c>
      <c r="FF868" s="118" t="str">
        <f t="shared" si="134"/>
        <v/>
      </c>
      <c r="FI868" s="16">
        <v>865</v>
      </c>
      <c r="FJ868" s="17" t="str">
        <f t="shared" si="135"/>
        <v/>
      </c>
      <c r="FK868" s="17" t="str">
        <f t="shared" si="131"/>
        <v/>
      </c>
      <c r="FL868" s="18" t="str">
        <f t="shared" si="136"/>
        <v/>
      </c>
    </row>
    <row r="869" spans="159:168">
      <c r="FC869" s="118">
        <v>866</v>
      </c>
      <c r="FD869" s="118">
        <f t="shared" si="132"/>
        <v>2</v>
      </c>
      <c r="FE869" s="118">
        <f t="shared" si="133"/>
        <v>55</v>
      </c>
      <c r="FF869" s="118" t="str">
        <f t="shared" si="134"/>
        <v/>
      </c>
      <c r="FI869" s="16">
        <v>866</v>
      </c>
      <c r="FJ869" s="17" t="str">
        <f t="shared" si="135"/>
        <v/>
      </c>
      <c r="FK869" s="17" t="str">
        <f t="shared" si="131"/>
        <v/>
      </c>
      <c r="FL869" s="18" t="str">
        <f t="shared" si="136"/>
        <v/>
      </c>
    </row>
    <row r="870" spans="159:168">
      <c r="FC870" s="118">
        <v>867</v>
      </c>
      <c r="FD870" s="118">
        <f t="shared" si="132"/>
        <v>3</v>
      </c>
      <c r="FE870" s="118">
        <f t="shared" si="133"/>
        <v>55</v>
      </c>
      <c r="FF870" s="118" t="str">
        <f t="shared" si="134"/>
        <v/>
      </c>
      <c r="FI870" s="16">
        <v>867</v>
      </c>
      <c r="FJ870" s="17" t="str">
        <f t="shared" si="135"/>
        <v/>
      </c>
      <c r="FK870" s="17" t="str">
        <f t="shared" si="131"/>
        <v/>
      </c>
      <c r="FL870" s="18" t="str">
        <f t="shared" si="136"/>
        <v/>
      </c>
    </row>
    <row r="871" spans="159:168">
      <c r="FC871" s="118">
        <v>868</v>
      </c>
      <c r="FD871" s="118">
        <f t="shared" si="132"/>
        <v>4</v>
      </c>
      <c r="FE871" s="118">
        <f t="shared" si="133"/>
        <v>55</v>
      </c>
      <c r="FF871" s="118" t="str">
        <f t="shared" si="134"/>
        <v/>
      </c>
      <c r="FI871" s="16">
        <v>868</v>
      </c>
      <c r="FJ871" s="17" t="str">
        <f t="shared" si="135"/>
        <v/>
      </c>
      <c r="FK871" s="17" t="str">
        <f t="shared" si="131"/>
        <v/>
      </c>
      <c r="FL871" s="18" t="str">
        <f t="shared" si="136"/>
        <v/>
      </c>
    </row>
    <row r="872" spans="159:168">
      <c r="FC872" s="118">
        <v>869</v>
      </c>
      <c r="FD872" s="118">
        <f t="shared" si="132"/>
        <v>5</v>
      </c>
      <c r="FE872" s="118">
        <f t="shared" si="133"/>
        <v>55</v>
      </c>
      <c r="FF872" s="118" t="str">
        <f t="shared" si="134"/>
        <v/>
      </c>
      <c r="FI872" s="16">
        <v>869</v>
      </c>
      <c r="FJ872" s="17" t="str">
        <f t="shared" si="135"/>
        <v/>
      </c>
      <c r="FK872" s="17" t="str">
        <f t="shared" si="131"/>
        <v/>
      </c>
      <c r="FL872" s="18" t="str">
        <f t="shared" si="136"/>
        <v/>
      </c>
    </row>
    <row r="873" spans="159:168">
      <c r="FC873" s="118">
        <v>870</v>
      </c>
      <c r="FD873" s="118">
        <f t="shared" si="132"/>
        <v>6</v>
      </c>
      <c r="FE873" s="118">
        <f t="shared" si="133"/>
        <v>55</v>
      </c>
      <c r="FF873" s="118" t="str">
        <f t="shared" si="134"/>
        <v/>
      </c>
      <c r="FI873" s="16">
        <v>870</v>
      </c>
      <c r="FJ873" s="17" t="str">
        <f t="shared" si="135"/>
        <v/>
      </c>
      <c r="FK873" s="17" t="str">
        <f t="shared" si="131"/>
        <v/>
      </c>
      <c r="FL873" s="18" t="str">
        <f t="shared" si="136"/>
        <v/>
      </c>
    </row>
    <row r="874" spans="159:168">
      <c r="FC874" s="118">
        <v>871</v>
      </c>
      <c r="FD874" s="118">
        <f t="shared" si="132"/>
        <v>7</v>
      </c>
      <c r="FE874" s="118">
        <f t="shared" si="133"/>
        <v>55</v>
      </c>
      <c r="FF874" s="118" t="str">
        <f t="shared" si="134"/>
        <v/>
      </c>
      <c r="FI874" s="16">
        <v>871</v>
      </c>
      <c r="FJ874" s="17" t="str">
        <f t="shared" si="135"/>
        <v/>
      </c>
      <c r="FK874" s="17" t="str">
        <f t="shared" si="131"/>
        <v/>
      </c>
      <c r="FL874" s="18" t="str">
        <f t="shared" si="136"/>
        <v/>
      </c>
    </row>
    <row r="875" spans="159:168">
      <c r="FC875" s="118">
        <v>872</v>
      </c>
      <c r="FD875" s="118">
        <f t="shared" si="132"/>
        <v>8</v>
      </c>
      <c r="FE875" s="118">
        <f t="shared" si="133"/>
        <v>55</v>
      </c>
      <c r="FF875" s="118" t="str">
        <f t="shared" si="134"/>
        <v/>
      </c>
      <c r="FI875" s="16">
        <v>872</v>
      </c>
      <c r="FJ875" s="17" t="str">
        <f t="shared" si="135"/>
        <v/>
      </c>
      <c r="FK875" s="17" t="str">
        <f t="shared" si="131"/>
        <v/>
      </c>
      <c r="FL875" s="18" t="str">
        <f t="shared" si="136"/>
        <v/>
      </c>
    </row>
    <row r="876" spans="159:168">
      <c r="FC876" s="118">
        <v>873</v>
      </c>
      <c r="FD876" s="118">
        <f t="shared" si="132"/>
        <v>9</v>
      </c>
      <c r="FE876" s="118">
        <f t="shared" si="133"/>
        <v>55</v>
      </c>
      <c r="FF876" s="118" t="str">
        <f t="shared" si="134"/>
        <v/>
      </c>
      <c r="FI876" s="16">
        <v>873</v>
      </c>
      <c r="FJ876" s="17" t="str">
        <f t="shared" si="135"/>
        <v/>
      </c>
      <c r="FK876" s="17" t="str">
        <f t="shared" si="131"/>
        <v/>
      </c>
      <c r="FL876" s="18" t="str">
        <f t="shared" si="136"/>
        <v/>
      </c>
    </row>
    <row r="877" spans="159:168">
      <c r="FC877" s="118">
        <v>874</v>
      </c>
      <c r="FD877" s="118">
        <f t="shared" si="132"/>
        <v>10</v>
      </c>
      <c r="FE877" s="118">
        <f t="shared" si="133"/>
        <v>55</v>
      </c>
      <c r="FF877" s="118" t="str">
        <f t="shared" si="134"/>
        <v/>
      </c>
      <c r="FI877" s="16">
        <v>874</v>
      </c>
      <c r="FJ877" s="17" t="str">
        <f t="shared" si="135"/>
        <v/>
      </c>
      <c r="FK877" s="17" t="str">
        <f t="shared" si="131"/>
        <v/>
      </c>
      <c r="FL877" s="18" t="str">
        <f t="shared" si="136"/>
        <v/>
      </c>
    </row>
    <row r="878" spans="159:168">
      <c r="FC878" s="118">
        <v>875</v>
      </c>
      <c r="FD878" s="118">
        <f t="shared" si="132"/>
        <v>11</v>
      </c>
      <c r="FE878" s="118">
        <f t="shared" si="133"/>
        <v>55</v>
      </c>
      <c r="FF878" s="118" t="str">
        <f t="shared" si="134"/>
        <v/>
      </c>
      <c r="FI878" s="16">
        <v>875</v>
      </c>
      <c r="FJ878" s="17" t="str">
        <f t="shared" si="135"/>
        <v/>
      </c>
      <c r="FK878" s="17" t="str">
        <f t="shared" si="131"/>
        <v/>
      </c>
      <c r="FL878" s="18" t="str">
        <f t="shared" si="136"/>
        <v/>
      </c>
    </row>
    <row r="879" spans="159:168">
      <c r="FC879" s="118">
        <v>876</v>
      </c>
      <c r="FD879" s="118">
        <f t="shared" si="132"/>
        <v>12</v>
      </c>
      <c r="FE879" s="118">
        <f t="shared" si="133"/>
        <v>55</v>
      </c>
      <c r="FF879" s="118" t="str">
        <f t="shared" si="134"/>
        <v/>
      </c>
      <c r="FI879" s="16">
        <v>876</v>
      </c>
      <c r="FJ879" s="17" t="str">
        <f t="shared" si="135"/>
        <v/>
      </c>
      <c r="FK879" s="17" t="str">
        <f t="shared" si="131"/>
        <v/>
      </c>
      <c r="FL879" s="18" t="str">
        <f t="shared" si="136"/>
        <v/>
      </c>
    </row>
    <row r="880" spans="159:168">
      <c r="FC880" s="118">
        <v>877</v>
      </c>
      <c r="FD880" s="118">
        <f t="shared" si="132"/>
        <v>13</v>
      </c>
      <c r="FE880" s="118">
        <f t="shared" si="133"/>
        <v>55</v>
      </c>
      <c r="FF880" s="118" t="str">
        <f t="shared" si="134"/>
        <v/>
      </c>
      <c r="FI880" s="16">
        <v>877</v>
      </c>
      <c r="FJ880" s="17" t="str">
        <f t="shared" si="135"/>
        <v/>
      </c>
      <c r="FK880" s="17" t="str">
        <f t="shared" si="131"/>
        <v/>
      </c>
      <c r="FL880" s="18" t="str">
        <f t="shared" si="136"/>
        <v/>
      </c>
    </row>
    <row r="881" spans="159:168">
      <c r="FC881" s="118">
        <v>878</v>
      </c>
      <c r="FD881" s="118">
        <f t="shared" si="132"/>
        <v>14</v>
      </c>
      <c r="FE881" s="118">
        <f t="shared" si="133"/>
        <v>55</v>
      </c>
      <c r="FF881" s="118" t="str">
        <f t="shared" si="134"/>
        <v/>
      </c>
      <c r="FI881" s="16">
        <v>878</v>
      </c>
      <c r="FJ881" s="17" t="str">
        <f t="shared" si="135"/>
        <v/>
      </c>
      <c r="FK881" s="17" t="str">
        <f t="shared" si="131"/>
        <v/>
      </c>
      <c r="FL881" s="18" t="str">
        <f t="shared" si="136"/>
        <v/>
      </c>
    </row>
    <row r="882" spans="159:168">
      <c r="FC882" s="118">
        <v>879</v>
      </c>
      <c r="FD882" s="118">
        <f t="shared" si="132"/>
        <v>15</v>
      </c>
      <c r="FE882" s="118">
        <f t="shared" si="133"/>
        <v>55</v>
      </c>
      <c r="FF882" s="118" t="str">
        <f t="shared" si="134"/>
        <v/>
      </c>
      <c r="FI882" s="16">
        <v>879</v>
      </c>
      <c r="FJ882" s="17" t="str">
        <f t="shared" si="135"/>
        <v/>
      </c>
      <c r="FK882" s="17" t="str">
        <f t="shared" si="131"/>
        <v/>
      </c>
      <c r="FL882" s="18" t="str">
        <f t="shared" si="136"/>
        <v/>
      </c>
    </row>
    <row r="883" spans="159:168">
      <c r="FC883" s="118">
        <v>880</v>
      </c>
      <c r="FD883" s="118">
        <f t="shared" si="132"/>
        <v>16</v>
      </c>
      <c r="FE883" s="118">
        <f t="shared" si="133"/>
        <v>55</v>
      </c>
      <c r="FF883" s="118" t="str">
        <f t="shared" si="134"/>
        <v/>
      </c>
      <c r="FI883" s="16">
        <v>880</v>
      </c>
      <c r="FJ883" s="17" t="str">
        <f t="shared" si="135"/>
        <v/>
      </c>
      <c r="FK883" s="17" t="str">
        <f t="shared" si="131"/>
        <v/>
      </c>
      <c r="FL883" s="18" t="str">
        <f t="shared" si="136"/>
        <v/>
      </c>
    </row>
    <row r="884" spans="159:168">
      <c r="FC884" s="118">
        <v>881</v>
      </c>
      <c r="FD884" s="118">
        <f t="shared" si="132"/>
        <v>1</v>
      </c>
      <c r="FE884" s="118">
        <f t="shared" si="133"/>
        <v>56</v>
      </c>
      <c r="FF884" s="118" t="str">
        <f t="shared" si="134"/>
        <v/>
      </c>
      <c r="FI884" s="16">
        <v>881</v>
      </c>
      <c r="FJ884" s="17" t="str">
        <f t="shared" si="135"/>
        <v/>
      </c>
      <c r="FK884" s="17" t="str">
        <f t="shared" si="131"/>
        <v/>
      </c>
      <c r="FL884" s="18" t="str">
        <f t="shared" si="136"/>
        <v/>
      </c>
    </row>
    <row r="885" spans="159:168">
      <c r="FC885" s="118">
        <v>882</v>
      </c>
      <c r="FD885" s="118">
        <f t="shared" si="132"/>
        <v>2</v>
      </c>
      <c r="FE885" s="118">
        <f t="shared" si="133"/>
        <v>56</v>
      </c>
      <c r="FF885" s="118" t="str">
        <f t="shared" si="134"/>
        <v/>
      </c>
      <c r="FI885" s="16">
        <v>882</v>
      </c>
      <c r="FJ885" s="17" t="str">
        <f t="shared" si="135"/>
        <v/>
      </c>
      <c r="FK885" s="17" t="str">
        <f t="shared" si="131"/>
        <v/>
      </c>
      <c r="FL885" s="18" t="str">
        <f t="shared" si="136"/>
        <v/>
      </c>
    </row>
    <row r="886" spans="159:168">
      <c r="FC886" s="118">
        <v>883</v>
      </c>
      <c r="FD886" s="118">
        <f t="shared" si="132"/>
        <v>3</v>
      </c>
      <c r="FE886" s="118">
        <f t="shared" si="133"/>
        <v>56</v>
      </c>
      <c r="FF886" s="118" t="str">
        <f t="shared" si="134"/>
        <v/>
      </c>
      <c r="FI886" s="16">
        <v>883</v>
      </c>
      <c r="FJ886" s="17" t="str">
        <f t="shared" si="135"/>
        <v/>
      </c>
      <c r="FK886" s="17" t="str">
        <f t="shared" si="131"/>
        <v/>
      </c>
      <c r="FL886" s="18" t="str">
        <f t="shared" si="136"/>
        <v/>
      </c>
    </row>
    <row r="887" spans="159:168">
      <c r="FC887" s="118">
        <v>884</v>
      </c>
      <c r="FD887" s="118">
        <f t="shared" si="132"/>
        <v>4</v>
      </c>
      <c r="FE887" s="118">
        <f t="shared" si="133"/>
        <v>56</v>
      </c>
      <c r="FF887" s="118" t="str">
        <f t="shared" si="134"/>
        <v/>
      </c>
      <c r="FI887" s="16">
        <v>884</v>
      </c>
      <c r="FJ887" s="17" t="str">
        <f t="shared" si="135"/>
        <v/>
      </c>
      <c r="FK887" s="17" t="str">
        <f t="shared" si="131"/>
        <v/>
      </c>
      <c r="FL887" s="18" t="str">
        <f t="shared" si="136"/>
        <v/>
      </c>
    </row>
    <row r="888" spans="159:168">
      <c r="FC888" s="118">
        <v>885</v>
      </c>
      <c r="FD888" s="118">
        <f t="shared" si="132"/>
        <v>5</v>
      </c>
      <c r="FE888" s="118">
        <f t="shared" si="133"/>
        <v>56</v>
      </c>
      <c r="FF888" s="118" t="str">
        <f t="shared" si="134"/>
        <v/>
      </c>
      <c r="FI888" s="16">
        <v>885</v>
      </c>
      <c r="FJ888" s="17" t="str">
        <f t="shared" si="135"/>
        <v/>
      </c>
      <c r="FK888" s="17" t="str">
        <f t="shared" si="131"/>
        <v/>
      </c>
      <c r="FL888" s="18" t="str">
        <f t="shared" si="136"/>
        <v/>
      </c>
    </row>
    <row r="889" spans="159:168">
      <c r="FC889" s="118">
        <v>886</v>
      </c>
      <c r="FD889" s="118">
        <f t="shared" si="132"/>
        <v>6</v>
      </c>
      <c r="FE889" s="118">
        <f t="shared" si="133"/>
        <v>56</v>
      </c>
      <c r="FF889" s="118" t="str">
        <f t="shared" si="134"/>
        <v/>
      </c>
      <c r="FI889" s="16">
        <v>886</v>
      </c>
      <c r="FJ889" s="17" t="str">
        <f t="shared" si="135"/>
        <v/>
      </c>
      <c r="FK889" s="17" t="str">
        <f t="shared" si="131"/>
        <v/>
      </c>
      <c r="FL889" s="18" t="str">
        <f t="shared" si="136"/>
        <v/>
      </c>
    </row>
    <row r="890" spans="159:168">
      <c r="FC890" s="118">
        <v>887</v>
      </c>
      <c r="FD890" s="118">
        <f t="shared" si="132"/>
        <v>7</v>
      </c>
      <c r="FE890" s="118">
        <f t="shared" si="133"/>
        <v>56</v>
      </c>
      <c r="FF890" s="118" t="str">
        <f t="shared" si="134"/>
        <v/>
      </c>
      <c r="FI890" s="16">
        <v>887</v>
      </c>
      <c r="FJ890" s="17" t="str">
        <f t="shared" si="135"/>
        <v/>
      </c>
      <c r="FK890" s="17" t="str">
        <f t="shared" si="131"/>
        <v/>
      </c>
      <c r="FL890" s="18" t="str">
        <f t="shared" si="136"/>
        <v/>
      </c>
    </row>
    <row r="891" spans="159:168">
      <c r="FC891" s="118">
        <v>888</v>
      </c>
      <c r="FD891" s="118">
        <f t="shared" si="132"/>
        <v>8</v>
      </c>
      <c r="FE891" s="118">
        <f t="shared" si="133"/>
        <v>56</v>
      </c>
      <c r="FF891" s="118" t="str">
        <f t="shared" si="134"/>
        <v/>
      </c>
      <c r="FI891" s="16">
        <v>888</v>
      </c>
      <c r="FJ891" s="17" t="str">
        <f t="shared" si="135"/>
        <v/>
      </c>
      <c r="FK891" s="17" t="str">
        <f t="shared" si="131"/>
        <v/>
      </c>
      <c r="FL891" s="18" t="str">
        <f t="shared" si="136"/>
        <v/>
      </c>
    </row>
    <row r="892" spans="159:168">
      <c r="FC892" s="118">
        <v>889</v>
      </c>
      <c r="FD892" s="118">
        <f t="shared" si="132"/>
        <v>9</v>
      </c>
      <c r="FE892" s="118">
        <f t="shared" si="133"/>
        <v>56</v>
      </c>
      <c r="FF892" s="118" t="str">
        <f t="shared" si="134"/>
        <v/>
      </c>
      <c r="FI892" s="16">
        <v>889</v>
      </c>
      <c r="FJ892" s="17" t="str">
        <f t="shared" si="135"/>
        <v/>
      </c>
      <c r="FK892" s="17" t="str">
        <f t="shared" si="131"/>
        <v/>
      </c>
      <c r="FL892" s="18" t="str">
        <f t="shared" si="136"/>
        <v/>
      </c>
    </row>
    <row r="893" spans="159:168">
      <c r="FC893" s="118">
        <v>890</v>
      </c>
      <c r="FD893" s="118">
        <f t="shared" si="132"/>
        <v>10</v>
      </c>
      <c r="FE893" s="118">
        <f t="shared" si="133"/>
        <v>56</v>
      </c>
      <c r="FF893" s="118" t="str">
        <f t="shared" si="134"/>
        <v/>
      </c>
      <c r="FI893" s="16">
        <v>890</v>
      </c>
      <c r="FJ893" s="17" t="str">
        <f t="shared" si="135"/>
        <v/>
      </c>
      <c r="FK893" s="17" t="str">
        <f t="shared" si="131"/>
        <v/>
      </c>
      <c r="FL893" s="18" t="str">
        <f t="shared" si="136"/>
        <v/>
      </c>
    </row>
    <row r="894" spans="159:168">
      <c r="FC894" s="118">
        <v>891</v>
      </c>
      <c r="FD894" s="118">
        <f t="shared" si="132"/>
        <v>11</v>
      </c>
      <c r="FE894" s="118">
        <f t="shared" si="133"/>
        <v>56</v>
      </c>
      <c r="FF894" s="118" t="str">
        <f t="shared" si="134"/>
        <v/>
      </c>
      <c r="FI894" s="16">
        <v>891</v>
      </c>
      <c r="FJ894" s="17" t="str">
        <f t="shared" si="135"/>
        <v/>
      </c>
      <c r="FK894" s="17" t="str">
        <f t="shared" si="131"/>
        <v/>
      </c>
      <c r="FL894" s="18" t="str">
        <f t="shared" si="136"/>
        <v/>
      </c>
    </row>
    <row r="895" spans="159:168">
      <c r="FC895" s="118">
        <v>892</v>
      </c>
      <c r="FD895" s="118">
        <f t="shared" si="132"/>
        <v>12</v>
      </c>
      <c r="FE895" s="118">
        <f t="shared" si="133"/>
        <v>56</v>
      </c>
      <c r="FF895" s="118" t="str">
        <f t="shared" si="134"/>
        <v/>
      </c>
      <c r="FI895" s="16">
        <v>892</v>
      </c>
      <c r="FJ895" s="17" t="str">
        <f t="shared" si="135"/>
        <v/>
      </c>
      <c r="FK895" s="17" t="str">
        <f t="shared" si="131"/>
        <v/>
      </c>
      <c r="FL895" s="18" t="str">
        <f t="shared" si="136"/>
        <v/>
      </c>
    </row>
    <row r="896" spans="159:168">
      <c r="FC896" s="118">
        <v>893</v>
      </c>
      <c r="FD896" s="118">
        <f t="shared" si="132"/>
        <v>13</v>
      </c>
      <c r="FE896" s="118">
        <f t="shared" si="133"/>
        <v>56</v>
      </c>
      <c r="FF896" s="118" t="str">
        <f t="shared" si="134"/>
        <v/>
      </c>
      <c r="FI896" s="16">
        <v>893</v>
      </c>
      <c r="FJ896" s="17" t="str">
        <f t="shared" si="135"/>
        <v/>
      </c>
      <c r="FK896" s="17" t="str">
        <f t="shared" si="131"/>
        <v/>
      </c>
      <c r="FL896" s="18" t="str">
        <f t="shared" si="136"/>
        <v/>
      </c>
    </row>
    <row r="897" spans="159:168">
      <c r="FC897" s="118">
        <v>894</v>
      </c>
      <c r="FD897" s="118">
        <f t="shared" si="132"/>
        <v>14</v>
      </c>
      <c r="FE897" s="118">
        <f t="shared" si="133"/>
        <v>56</v>
      </c>
      <c r="FF897" s="118" t="str">
        <f t="shared" si="134"/>
        <v/>
      </c>
      <c r="FI897" s="16">
        <v>894</v>
      </c>
      <c r="FJ897" s="17" t="str">
        <f t="shared" si="135"/>
        <v/>
      </c>
      <c r="FK897" s="17" t="str">
        <f t="shared" si="131"/>
        <v/>
      </c>
      <c r="FL897" s="18" t="str">
        <f t="shared" si="136"/>
        <v/>
      </c>
    </row>
    <row r="898" spans="159:168">
      <c r="FC898" s="118">
        <v>895</v>
      </c>
      <c r="FD898" s="118">
        <f t="shared" si="132"/>
        <v>15</v>
      </c>
      <c r="FE898" s="118">
        <f t="shared" si="133"/>
        <v>56</v>
      </c>
      <c r="FF898" s="118" t="str">
        <f t="shared" si="134"/>
        <v/>
      </c>
      <c r="FI898" s="16">
        <v>895</v>
      </c>
      <c r="FJ898" s="17" t="str">
        <f t="shared" si="135"/>
        <v/>
      </c>
      <c r="FK898" s="17" t="str">
        <f t="shared" si="131"/>
        <v/>
      </c>
      <c r="FL898" s="18" t="str">
        <f t="shared" si="136"/>
        <v/>
      </c>
    </row>
    <row r="899" spans="159:168">
      <c r="FC899" s="118">
        <v>896</v>
      </c>
      <c r="FD899" s="118">
        <f t="shared" si="132"/>
        <v>16</v>
      </c>
      <c r="FE899" s="118">
        <f t="shared" si="133"/>
        <v>56</v>
      </c>
      <c r="FF899" s="118" t="str">
        <f t="shared" si="134"/>
        <v/>
      </c>
      <c r="FI899" s="16">
        <v>896</v>
      </c>
      <c r="FJ899" s="17" t="str">
        <f t="shared" si="135"/>
        <v/>
      </c>
      <c r="FK899" s="17" t="str">
        <f t="shared" si="131"/>
        <v/>
      </c>
      <c r="FL899" s="18" t="str">
        <f t="shared" si="136"/>
        <v/>
      </c>
    </row>
    <row r="900" spans="159:168">
      <c r="FC900" s="118">
        <v>897</v>
      </c>
      <c r="FD900" s="118">
        <f t="shared" si="132"/>
        <v>1</v>
      </c>
      <c r="FE900" s="118">
        <f t="shared" si="133"/>
        <v>57</v>
      </c>
      <c r="FF900" s="118" t="str">
        <f t="shared" si="134"/>
        <v/>
      </c>
      <c r="FI900" s="16">
        <v>897</v>
      </c>
      <c r="FJ900" s="17" t="str">
        <f t="shared" si="135"/>
        <v/>
      </c>
      <c r="FK900" s="17" t="str">
        <f t="shared" si="131"/>
        <v/>
      </c>
      <c r="FL900" s="18" t="str">
        <f t="shared" si="136"/>
        <v/>
      </c>
    </row>
    <row r="901" spans="159:168">
      <c r="FC901" s="118">
        <v>898</v>
      </c>
      <c r="FD901" s="118">
        <f t="shared" si="132"/>
        <v>2</v>
      </c>
      <c r="FE901" s="118">
        <f t="shared" si="133"/>
        <v>57</v>
      </c>
      <c r="FF901" s="118" t="str">
        <f t="shared" si="134"/>
        <v/>
      </c>
      <c r="FI901" s="16">
        <v>898</v>
      </c>
      <c r="FJ901" s="17" t="str">
        <f t="shared" si="135"/>
        <v/>
      </c>
      <c r="FK901" s="17" t="str">
        <f t="shared" ref="FK901:FK964" si="137">IF(FI901&lt;=$FH$2,FF901,IF(FI901&lt;=$FH$2+$FH$3,INDEX($FJ$4:$FJ$2494,FI901-$FH$2),""))</f>
        <v/>
      </c>
      <c r="FL901" s="18" t="str">
        <f t="shared" si="136"/>
        <v/>
      </c>
    </row>
    <row r="902" spans="159:168">
      <c r="FC902" s="118">
        <v>899</v>
      </c>
      <c r="FD902" s="118">
        <f t="shared" si="132"/>
        <v>3</v>
      </c>
      <c r="FE902" s="118">
        <f t="shared" si="133"/>
        <v>57</v>
      </c>
      <c r="FF902" s="118" t="str">
        <f t="shared" si="134"/>
        <v/>
      </c>
      <c r="FI902" s="16">
        <v>899</v>
      </c>
      <c r="FJ902" s="17" t="str">
        <f t="shared" si="135"/>
        <v/>
      </c>
      <c r="FK902" s="17" t="str">
        <f t="shared" si="137"/>
        <v/>
      </c>
      <c r="FL902" s="18" t="str">
        <f t="shared" si="136"/>
        <v/>
      </c>
    </row>
    <row r="903" spans="159:168">
      <c r="FC903" s="118">
        <v>900</v>
      </c>
      <c r="FD903" s="118">
        <f t="shared" si="132"/>
        <v>4</v>
      </c>
      <c r="FE903" s="118">
        <f t="shared" si="133"/>
        <v>57</v>
      </c>
      <c r="FF903" s="118" t="str">
        <f t="shared" si="134"/>
        <v/>
      </c>
      <c r="FI903" s="16">
        <v>900</v>
      </c>
      <c r="FJ903" s="17" t="str">
        <f t="shared" si="135"/>
        <v/>
      </c>
      <c r="FK903" s="17" t="str">
        <f t="shared" si="137"/>
        <v/>
      </c>
      <c r="FL903" s="18" t="str">
        <f t="shared" si="136"/>
        <v/>
      </c>
    </row>
    <row r="904" spans="159:168">
      <c r="FC904" s="118">
        <v>901</v>
      </c>
      <c r="FD904" s="118">
        <f t="shared" si="132"/>
        <v>5</v>
      </c>
      <c r="FE904" s="118">
        <f t="shared" si="133"/>
        <v>57</v>
      </c>
      <c r="FF904" s="118" t="str">
        <f t="shared" si="134"/>
        <v/>
      </c>
      <c r="FI904" s="16">
        <v>901</v>
      </c>
      <c r="FJ904" s="17" t="str">
        <f t="shared" si="135"/>
        <v/>
      </c>
      <c r="FK904" s="17" t="str">
        <f t="shared" si="137"/>
        <v/>
      </c>
      <c r="FL904" s="18" t="str">
        <f t="shared" si="136"/>
        <v/>
      </c>
    </row>
    <row r="905" spans="159:168">
      <c r="FC905" s="118">
        <v>902</v>
      </c>
      <c r="FD905" s="118">
        <f t="shared" si="132"/>
        <v>6</v>
      </c>
      <c r="FE905" s="118">
        <f t="shared" si="133"/>
        <v>57</v>
      </c>
      <c r="FF905" s="118" t="str">
        <f t="shared" si="134"/>
        <v/>
      </c>
      <c r="FI905" s="16">
        <v>902</v>
      </c>
      <c r="FJ905" s="17" t="str">
        <f t="shared" si="135"/>
        <v/>
      </c>
      <c r="FK905" s="17" t="str">
        <f t="shared" si="137"/>
        <v/>
      </c>
      <c r="FL905" s="18" t="str">
        <f t="shared" si="136"/>
        <v/>
      </c>
    </row>
    <row r="906" spans="159:168">
      <c r="FC906" s="118">
        <v>903</v>
      </c>
      <c r="FD906" s="118">
        <f t="shared" si="132"/>
        <v>7</v>
      </c>
      <c r="FE906" s="118">
        <f t="shared" si="133"/>
        <v>57</v>
      </c>
      <c r="FF906" s="118" t="str">
        <f t="shared" si="134"/>
        <v/>
      </c>
      <c r="FI906" s="16">
        <v>903</v>
      </c>
      <c r="FJ906" s="17" t="str">
        <f t="shared" si="135"/>
        <v/>
      </c>
      <c r="FK906" s="17" t="str">
        <f t="shared" si="137"/>
        <v/>
      </c>
      <c r="FL906" s="18" t="str">
        <f t="shared" si="136"/>
        <v/>
      </c>
    </row>
    <row r="907" spans="159:168">
      <c r="FC907" s="118">
        <v>904</v>
      </c>
      <c r="FD907" s="118">
        <f t="shared" si="132"/>
        <v>8</v>
      </c>
      <c r="FE907" s="118">
        <f t="shared" si="133"/>
        <v>57</v>
      </c>
      <c r="FF907" s="118" t="str">
        <f t="shared" si="134"/>
        <v/>
      </c>
      <c r="FI907" s="16">
        <v>904</v>
      </c>
      <c r="FJ907" s="17" t="str">
        <f t="shared" si="135"/>
        <v/>
      </c>
      <c r="FK907" s="17" t="str">
        <f t="shared" si="137"/>
        <v/>
      </c>
      <c r="FL907" s="18" t="str">
        <f t="shared" si="136"/>
        <v/>
      </c>
    </row>
    <row r="908" spans="159:168">
      <c r="FC908" s="118">
        <v>905</v>
      </c>
      <c r="FD908" s="118">
        <f t="shared" si="132"/>
        <v>9</v>
      </c>
      <c r="FE908" s="118">
        <f t="shared" si="133"/>
        <v>57</v>
      </c>
      <c r="FF908" s="118" t="str">
        <f t="shared" si="134"/>
        <v/>
      </c>
      <c r="FI908" s="16">
        <v>905</v>
      </c>
      <c r="FJ908" s="17" t="str">
        <f t="shared" si="135"/>
        <v/>
      </c>
      <c r="FK908" s="17" t="str">
        <f t="shared" si="137"/>
        <v/>
      </c>
      <c r="FL908" s="18" t="str">
        <f t="shared" si="136"/>
        <v/>
      </c>
    </row>
    <row r="909" spans="159:168">
      <c r="FC909" s="118">
        <v>906</v>
      </c>
      <c r="FD909" s="118">
        <f t="shared" si="132"/>
        <v>10</v>
      </c>
      <c r="FE909" s="118">
        <f t="shared" si="133"/>
        <v>57</v>
      </c>
      <c r="FF909" s="118" t="str">
        <f t="shared" si="134"/>
        <v/>
      </c>
      <c r="FI909" s="16">
        <v>906</v>
      </c>
      <c r="FJ909" s="17" t="str">
        <f t="shared" si="135"/>
        <v/>
      </c>
      <c r="FK909" s="17" t="str">
        <f t="shared" si="137"/>
        <v/>
      </c>
      <c r="FL909" s="18" t="str">
        <f t="shared" si="136"/>
        <v/>
      </c>
    </row>
    <row r="910" spans="159:168">
      <c r="FC910" s="118">
        <v>907</v>
      </c>
      <c r="FD910" s="118">
        <f t="shared" si="132"/>
        <v>11</v>
      </c>
      <c r="FE910" s="118">
        <f t="shared" si="133"/>
        <v>57</v>
      </c>
      <c r="FF910" s="118" t="str">
        <f t="shared" si="134"/>
        <v/>
      </c>
      <c r="FI910" s="16">
        <v>907</v>
      </c>
      <c r="FJ910" s="17" t="str">
        <f t="shared" si="135"/>
        <v/>
      </c>
      <c r="FK910" s="17" t="str">
        <f t="shared" si="137"/>
        <v/>
      </c>
      <c r="FL910" s="18" t="str">
        <f t="shared" si="136"/>
        <v/>
      </c>
    </row>
    <row r="911" spans="159:168">
      <c r="FC911" s="118">
        <v>908</v>
      </c>
      <c r="FD911" s="118">
        <f t="shared" si="132"/>
        <v>12</v>
      </c>
      <c r="FE911" s="118">
        <f t="shared" si="133"/>
        <v>57</v>
      </c>
      <c r="FF911" s="118" t="str">
        <f t="shared" si="134"/>
        <v/>
      </c>
      <c r="FI911" s="16">
        <v>908</v>
      </c>
      <c r="FJ911" s="17" t="str">
        <f t="shared" si="135"/>
        <v/>
      </c>
      <c r="FK911" s="17" t="str">
        <f t="shared" si="137"/>
        <v/>
      </c>
      <c r="FL911" s="18" t="str">
        <f t="shared" si="136"/>
        <v/>
      </c>
    </row>
    <row r="912" spans="159:168">
      <c r="FC912" s="118">
        <v>909</v>
      </c>
      <c r="FD912" s="118">
        <f t="shared" si="132"/>
        <v>13</v>
      </c>
      <c r="FE912" s="118">
        <f t="shared" si="133"/>
        <v>57</v>
      </c>
      <c r="FF912" s="118" t="str">
        <f t="shared" si="134"/>
        <v/>
      </c>
      <c r="FI912" s="16">
        <v>909</v>
      </c>
      <c r="FJ912" s="17" t="str">
        <f t="shared" si="135"/>
        <v/>
      </c>
      <c r="FK912" s="17" t="str">
        <f t="shared" si="137"/>
        <v/>
      </c>
      <c r="FL912" s="18" t="str">
        <f t="shared" si="136"/>
        <v/>
      </c>
    </row>
    <row r="913" spans="159:168">
      <c r="FC913" s="118">
        <v>910</v>
      </c>
      <c r="FD913" s="118">
        <f t="shared" si="132"/>
        <v>14</v>
      </c>
      <c r="FE913" s="118">
        <f t="shared" si="133"/>
        <v>57</v>
      </c>
      <c r="FF913" s="118" t="str">
        <f t="shared" si="134"/>
        <v/>
      </c>
      <c r="FI913" s="16">
        <v>910</v>
      </c>
      <c r="FJ913" s="17" t="str">
        <f t="shared" si="135"/>
        <v/>
      </c>
      <c r="FK913" s="17" t="str">
        <f t="shared" si="137"/>
        <v/>
      </c>
      <c r="FL913" s="18" t="str">
        <f t="shared" si="136"/>
        <v/>
      </c>
    </row>
    <row r="914" spans="159:168">
      <c r="FC914" s="118">
        <v>911</v>
      </c>
      <c r="FD914" s="118">
        <f t="shared" si="132"/>
        <v>15</v>
      </c>
      <c r="FE914" s="118">
        <f t="shared" si="133"/>
        <v>57</v>
      </c>
      <c r="FF914" s="118" t="str">
        <f t="shared" si="134"/>
        <v/>
      </c>
      <c r="FI914" s="16">
        <v>911</v>
      </c>
      <c r="FJ914" s="17" t="str">
        <f t="shared" si="135"/>
        <v/>
      </c>
      <c r="FK914" s="17" t="str">
        <f t="shared" si="137"/>
        <v/>
      </c>
      <c r="FL914" s="18" t="str">
        <f t="shared" si="136"/>
        <v/>
      </c>
    </row>
    <row r="915" spans="159:168">
      <c r="FC915" s="118">
        <v>912</v>
      </c>
      <c r="FD915" s="118">
        <f t="shared" si="132"/>
        <v>16</v>
      </c>
      <c r="FE915" s="118">
        <f t="shared" si="133"/>
        <v>57</v>
      </c>
      <c r="FF915" s="118" t="str">
        <f t="shared" si="134"/>
        <v/>
      </c>
      <c r="FI915" s="16">
        <v>912</v>
      </c>
      <c r="FJ915" s="17" t="str">
        <f t="shared" si="135"/>
        <v/>
      </c>
      <c r="FK915" s="17" t="str">
        <f t="shared" si="137"/>
        <v/>
      </c>
      <c r="FL915" s="18" t="str">
        <f t="shared" si="136"/>
        <v/>
      </c>
    </row>
    <row r="916" spans="159:168">
      <c r="FC916" s="118">
        <v>913</v>
      </c>
      <c r="FD916" s="118">
        <f t="shared" si="132"/>
        <v>1</v>
      </c>
      <c r="FE916" s="118">
        <f t="shared" si="133"/>
        <v>58</v>
      </c>
      <c r="FF916" s="118" t="str">
        <f t="shared" si="134"/>
        <v/>
      </c>
      <c r="FI916" s="16">
        <v>913</v>
      </c>
      <c r="FJ916" s="17" t="str">
        <f t="shared" si="135"/>
        <v/>
      </c>
      <c r="FK916" s="17" t="str">
        <f t="shared" si="137"/>
        <v/>
      </c>
      <c r="FL916" s="18" t="str">
        <f t="shared" si="136"/>
        <v/>
      </c>
    </row>
    <row r="917" spans="159:168">
      <c r="FC917" s="118">
        <v>914</v>
      </c>
      <c r="FD917" s="118">
        <f t="shared" si="132"/>
        <v>2</v>
      </c>
      <c r="FE917" s="118">
        <f t="shared" si="133"/>
        <v>58</v>
      </c>
      <c r="FF917" s="118" t="str">
        <f t="shared" si="134"/>
        <v/>
      </c>
      <c r="FI917" s="16">
        <v>914</v>
      </c>
      <c r="FJ917" s="17" t="str">
        <f t="shared" si="135"/>
        <v/>
      </c>
      <c r="FK917" s="17" t="str">
        <f t="shared" si="137"/>
        <v/>
      </c>
      <c r="FL917" s="18" t="str">
        <f t="shared" si="136"/>
        <v/>
      </c>
    </row>
    <row r="918" spans="159:168">
      <c r="FC918" s="118">
        <v>915</v>
      </c>
      <c r="FD918" s="118">
        <f t="shared" ref="FD918:FD981" si="138">IF(MOD(FC918,$FB$1+$FB$2)=0,$FB$1+$FB$2,MOD(FC918,$FB$1+$FB$2))</f>
        <v>3</v>
      </c>
      <c r="FE918" s="118">
        <f t="shared" ref="FE918:FE981" si="139">ROUNDUP(FC918/($FB$1+$FB$2),0)</f>
        <v>58</v>
      </c>
      <c r="FF918" s="118" t="str">
        <f t="shared" ref="FF918:FF981" si="140">IF(FE918&lt;$FB$3,INDEX($E$4:$DV$84,FD918,FE918),IF(FE918=$FB$3,INDEX($E$4:$DV$84,FD918+$FB$1,FE918),""))</f>
        <v/>
      </c>
      <c r="FI918" s="16">
        <v>915</v>
      </c>
      <c r="FJ918" s="17" t="str">
        <f t="shared" ref="FJ918:FJ981" si="141">IF(FE918&lt;=$FH$1,INDEX($DW$4:$EZ$84,FD918,FE918),"")</f>
        <v/>
      </c>
      <c r="FK918" s="17" t="str">
        <f t="shared" si="137"/>
        <v/>
      </c>
      <c r="FL918" s="18" t="str">
        <f t="shared" ref="FL918:FL981" si="142">IFERROR(TEXT(DEC2BIN(FK918),"00000000"),"")</f>
        <v/>
      </c>
    </row>
    <row r="919" spans="159:168">
      <c r="FC919" s="118">
        <v>916</v>
      </c>
      <c r="FD919" s="118">
        <f t="shared" si="138"/>
        <v>4</v>
      </c>
      <c r="FE919" s="118">
        <f t="shared" si="139"/>
        <v>58</v>
      </c>
      <c r="FF919" s="118" t="str">
        <f t="shared" si="140"/>
        <v/>
      </c>
      <c r="FI919" s="16">
        <v>916</v>
      </c>
      <c r="FJ919" s="17" t="str">
        <f t="shared" si="141"/>
        <v/>
      </c>
      <c r="FK919" s="17" t="str">
        <f t="shared" si="137"/>
        <v/>
      </c>
      <c r="FL919" s="18" t="str">
        <f t="shared" si="142"/>
        <v/>
      </c>
    </row>
    <row r="920" spans="159:168">
      <c r="FC920" s="118">
        <v>917</v>
      </c>
      <c r="FD920" s="118">
        <f t="shared" si="138"/>
        <v>5</v>
      </c>
      <c r="FE920" s="118">
        <f t="shared" si="139"/>
        <v>58</v>
      </c>
      <c r="FF920" s="118" t="str">
        <f t="shared" si="140"/>
        <v/>
      </c>
      <c r="FI920" s="16">
        <v>917</v>
      </c>
      <c r="FJ920" s="17" t="str">
        <f t="shared" si="141"/>
        <v/>
      </c>
      <c r="FK920" s="17" t="str">
        <f t="shared" si="137"/>
        <v/>
      </c>
      <c r="FL920" s="18" t="str">
        <f t="shared" si="142"/>
        <v/>
      </c>
    </row>
    <row r="921" spans="159:168">
      <c r="FC921" s="118">
        <v>918</v>
      </c>
      <c r="FD921" s="118">
        <f t="shared" si="138"/>
        <v>6</v>
      </c>
      <c r="FE921" s="118">
        <f t="shared" si="139"/>
        <v>58</v>
      </c>
      <c r="FF921" s="118" t="str">
        <f t="shared" si="140"/>
        <v/>
      </c>
      <c r="FI921" s="16">
        <v>918</v>
      </c>
      <c r="FJ921" s="17" t="str">
        <f t="shared" si="141"/>
        <v/>
      </c>
      <c r="FK921" s="17" t="str">
        <f t="shared" si="137"/>
        <v/>
      </c>
      <c r="FL921" s="18" t="str">
        <f t="shared" si="142"/>
        <v/>
      </c>
    </row>
    <row r="922" spans="159:168">
      <c r="FC922" s="118">
        <v>919</v>
      </c>
      <c r="FD922" s="118">
        <f t="shared" si="138"/>
        <v>7</v>
      </c>
      <c r="FE922" s="118">
        <f t="shared" si="139"/>
        <v>58</v>
      </c>
      <c r="FF922" s="118" t="str">
        <f t="shared" si="140"/>
        <v/>
      </c>
      <c r="FI922" s="16">
        <v>919</v>
      </c>
      <c r="FJ922" s="17" t="str">
        <f t="shared" si="141"/>
        <v/>
      </c>
      <c r="FK922" s="17" t="str">
        <f t="shared" si="137"/>
        <v/>
      </c>
      <c r="FL922" s="18" t="str">
        <f t="shared" si="142"/>
        <v/>
      </c>
    </row>
    <row r="923" spans="159:168">
      <c r="FC923" s="118">
        <v>920</v>
      </c>
      <c r="FD923" s="118">
        <f t="shared" si="138"/>
        <v>8</v>
      </c>
      <c r="FE923" s="118">
        <f t="shared" si="139"/>
        <v>58</v>
      </c>
      <c r="FF923" s="118" t="str">
        <f t="shared" si="140"/>
        <v/>
      </c>
      <c r="FI923" s="16">
        <v>920</v>
      </c>
      <c r="FJ923" s="17" t="str">
        <f t="shared" si="141"/>
        <v/>
      </c>
      <c r="FK923" s="17" t="str">
        <f t="shared" si="137"/>
        <v/>
      </c>
      <c r="FL923" s="18" t="str">
        <f t="shared" si="142"/>
        <v/>
      </c>
    </row>
    <row r="924" spans="159:168">
      <c r="FC924" s="118">
        <v>921</v>
      </c>
      <c r="FD924" s="118">
        <f t="shared" si="138"/>
        <v>9</v>
      </c>
      <c r="FE924" s="118">
        <f t="shared" si="139"/>
        <v>58</v>
      </c>
      <c r="FF924" s="118" t="str">
        <f t="shared" si="140"/>
        <v/>
      </c>
      <c r="FI924" s="16">
        <v>921</v>
      </c>
      <c r="FJ924" s="17" t="str">
        <f t="shared" si="141"/>
        <v/>
      </c>
      <c r="FK924" s="17" t="str">
        <f t="shared" si="137"/>
        <v/>
      </c>
      <c r="FL924" s="18" t="str">
        <f t="shared" si="142"/>
        <v/>
      </c>
    </row>
    <row r="925" spans="159:168">
      <c r="FC925" s="118">
        <v>922</v>
      </c>
      <c r="FD925" s="118">
        <f t="shared" si="138"/>
        <v>10</v>
      </c>
      <c r="FE925" s="118">
        <f t="shared" si="139"/>
        <v>58</v>
      </c>
      <c r="FF925" s="118" t="str">
        <f t="shared" si="140"/>
        <v/>
      </c>
      <c r="FI925" s="16">
        <v>922</v>
      </c>
      <c r="FJ925" s="17" t="str">
        <f t="shared" si="141"/>
        <v/>
      </c>
      <c r="FK925" s="17" t="str">
        <f t="shared" si="137"/>
        <v/>
      </c>
      <c r="FL925" s="18" t="str">
        <f t="shared" si="142"/>
        <v/>
      </c>
    </row>
    <row r="926" spans="159:168">
      <c r="FC926" s="118">
        <v>923</v>
      </c>
      <c r="FD926" s="118">
        <f t="shared" si="138"/>
        <v>11</v>
      </c>
      <c r="FE926" s="118">
        <f t="shared" si="139"/>
        <v>58</v>
      </c>
      <c r="FF926" s="118" t="str">
        <f t="shared" si="140"/>
        <v/>
      </c>
      <c r="FI926" s="16">
        <v>923</v>
      </c>
      <c r="FJ926" s="17" t="str">
        <f t="shared" si="141"/>
        <v/>
      </c>
      <c r="FK926" s="17" t="str">
        <f t="shared" si="137"/>
        <v/>
      </c>
      <c r="FL926" s="18" t="str">
        <f t="shared" si="142"/>
        <v/>
      </c>
    </row>
    <row r="927" spans="159:168">
      <c r="FC927" s="118">
        <v>924</v>
      </c>
      <c r="FD927" s="118">
        <f t="shared" si="138"/>
        <v>12</v>
      </c>
      <c r="FE927" s="118">
        <f t="shared" si="139"/>
        <v>58</v>
      </c>
      <c r="FF927" s="118" t="str">
        <f t="shared" si="140"/>
        <v/>
      </c>
      <c r="FI927" s="16">
        <v>924</v>
      </c>
      <c r="FJ927" s="17" t="str">
        <f t="shared" si="141"/>
        <v/>
      </c>
      <c r="FK927" s="17" t="str">
        <f t="shared" si="137"/>
        <v/>
      </c>
      <c r="FL927" s="18" t="str">
        <f t="shared" si="142"/>
        <v/>
      </c>
    </row>
    <row r="928" spans="159:168">
      <c r="FC928" s="118">
        <v>925</v>
      </c>
      <c r="FD928" s="118">
        <f t="shared" si="138"/>
        <v>13</v>
      </c>
      <c r="FE928" s="118">
        <f t="shared" si="139"/>
        <v>58</v>
      </c>
      <c r="FF928" s="118" t="str">
        <f t="shared" si="140"/>
        <v/>
      </c>
      <c r="FI928" s="16">
        <v>925</v>
      </c>
      <c r="FJ928" s="17" t="str">
        <f t="shared" si="141"/>
        <v/>
      </c>
      <c r="FK928" s="17" t="str">
        <f t="shared" si="137"/>
        <v/>
      </c>
      <c r="FL928" s="18" t="str">
        <f t="shared" si="142"/>
        <v/>
      </c>
    </row>
    <row r="929" spans="159:168">
      <c r="FC929" s="118">
        <v>926</v>
      </c>
      <c r="FD929" s="118">
        <f t="shared" si="138"/>
        <v>14</v>
      </c>
      <c r="FE929" s="118">
        <f t="shared" si="139"/>
        <v>58</v>
      </c>
      <c r="FF929" s="118" t="str">
        <f t="shared" si="140"/>
        <v/>
      </c>
      <c r="FI929" s="16">
        <v>926</v>
      </c>
      <c r="FJ929" s="17" t="str">
        <f t="shared" si="141"/>
        <v/>
      </c>
      <c r="FK929" s="17" t="str">
        <f t="shared" si="137"/>
        <v/>
      </c>
      <c r="FL929" s="18" t="str">
        <f t="shared" si="142"/>
        <v/>
      </c>
    </row>
    <row r="930" spans="159:168">
      <c r="FC930" s="118">
        <v>927</v>
      </c>
      <c r="FD930" s="118">
        <f t="shared" si="138"/>
        <v>15</v>
      </c>
      <c r="FE930" s="118">
        <f t="shared" si="139"/>
        <v>58</v>
      </c>
      <c r="FF930" s="118" t="str">
        <f t="shared" si="140"/>
        <v/>
      </c>
      <c r="FI930" s="16">
        <v>927</v>
      </c>
      <c r="FJ930" s="17" t="str">
        <f t="shared" si="141"/>
        <v/>
      </c>
      <c r="FK930" s="17" t="str">
        <f t="shared" si="137"/>
        <v/>
      </c>
      <c r="FL930" s="18" t="str">
        <f t="shared" si="142"/>
        <v/>
      </c>
    </row>
    <row r="931" spans="159:168">
      <c r="FC931" s="118">
        <v>928</v>
      </c>
      <c r="FD931" s="118">
        <f t="shared" si="138"/>
        <v>16</v>
      </c>
      <c r="FE931" s="118">
        <f t="shared" si="139"/>
        <v>58</v>
      </c>
      <c r="FF931" s="118" t="str">
        <f t="shared" si="140"/>
        <v/>
      </c>
      <c r="FI931" s="16">
        <v>928</v>
      </c>
      <c r="FJ931" s="17" t="str">
        <f t="shared" si="141"/>
        <v/>
      </c>
      <c r="FK931" s="17" t="str">
        <f t="shared" si="137"/>
        <v/>
      </c>
      <c r="FL931" s="18" t="str">
        <f t="shared" si="142"/>
        <v/>
      </c>
    </row>
    <row r="932" spans="159:168">
      <c r="FC932" s="118">
        <v>929</v>
      </c>
      <c r="FD932" s="118">
        <f t="shared" si="138"/>
        <v>1</v>
      </c>
      <c r="FE932" s="118">
        <f t="shared" si="139"/>
        <v>59</v>
      </c>
      <c r="FF932" s="118" t="str">
        <f t="shared" si="140"/>
        <v/>
      </c>
      <c r="FI932" s="16">
        <v>929</v>
      </c>
      <c r="FJ932" s="17" t="str">
        <f t="shared" si="141"/>
        <v/>
      </c>
      <c r="FK932" s="17" t="str">
        <f t="shared" si="137"/>
        <v/>
      </c>
      <c r="FL932" s="18" t="str">
        <f t="shared" si="142"/>
        <v/>
      </c>
    </row>
    <row r="933" spans="159:168">
      <c r="FC933" s="118">
        <v>930</v>
      </c>
      <c r="FD933" s="118">
        <f t="shared" si="138"/>
        <v>2</v>
      </c>
      <c r="FE933" s="118">
        <f t="shared" si="139"/>
        <v>59</v>
      </c>
      <c r="FF933" s="118" t="str">
        <f t="shared" si="140"/>
        <v/>
      </c>
      <c r="FI933" s="16">
        <v>930</v>
      </c>
      <c r="FJ933" s="17" t="str">
        <f t="shared" si="141"/>
        <v/>
      </c>
      <c r="FK933" s="17" t="str">
        <f t="shared" si="137"/>
        <v/>
      </c>
      <c r="FL933" s="18" t="str">
        <f t="shared" si="142"/>
        <v/>
      </c>
    </row>
    <row r="934" spans="159:168">
      <c r="FC934" s="118">
        <v>931</v>
      </c>
      <c r="FD934" s="118">
        <f t="shared" si="138"/>
        <v>3</v>
      </c>
      <c r="FE934" s="118">
        <f t="shared" si="139"/>
        <v>59</v>
      </c>
      <c r="FF934" s="118" t="str">
        <f t="shared" si="140"/>
        <v/>
      </c>
      <c r="FI934" s="16">
        <v>931</v>
      </c>
      <c r="FJ934" s="17" t="str">
        <f t="shared" si="141"/>
        <v/>
      </c>
      <c r="FK934" s="17" t="str">
        <f t="shared" si="137"/>
        <v/>
      </c>
      <c r="FL934" s="18" t="str">
        <f t="shared" si="142"/>
        <v/>
      </c>
    </row>
    <row r="935" spans="159:168">
      <c r="FC935" s="118">
        <v>932</v>
      </c>
      <c r="FD935" s="118">
        <f t="shared" si="138"/>
        <v>4</v>
      </c>
      <c r="FE935" s="118">
        <f t="shared" si="139"/>
        <v>59</v>
      </c>
      <c r="FF935" s="118" t="str">
        <f t="shared" si="140"/>
        <v/>
      </c>
      <c r="FI935" s="16">
        <v>932</v>
      </c>
      <c r="FJ935" s="17" t="str">
        <f t="shared" si="141"/>
        <v/>
      </c>
      <c r="FK935" s="17" t="str">
        <f t="shared" si="137"/>
        <v/>
      </c>
      <c r="FL935" s="18" t="str">
        <f t="shared" si="142"/>
        <v/>
      </c>
    </row>
    <row r="936" spans="159:168">
      <c r="FC936" s="118">
        <v>933</v>
      </c>
      <c r="FD936" s="118">
        <f t="shared" si="138"/>
        <v>5</v>
      </c>
      <c r="FE936" s="118">
        <f t="shared" si="139"/>
        <v>59</v>
      </c>
      <c r="FF936" s="118" t="str">
        <f t="shared" si="140"/>
        <v/>
      </c>
      <c r="FI936" s="16">
        <v>933</v>
      </c>
      <c r="FJ936" s="17" t="str">
        <f t="shared" si="141"/>
        <v/>
      </c>
      <c r="FK936" s="17" t="str">
        <f t="shared" si="137"/>
        <v/>
      </c>
      <c r="FL936" s="18" t="str">
        <f t="shared" si="142"/>
        <v/>
      </c>
    </row>
    <row r="937" spans="159:168">
      <c r="FC937" s="118">
        <v>934</v>
      </c>
      <c r="FD937" s="118">
        <f t="shared" si="138"/>
        <v>6</v>
      </c>
      <c r="FE937" s="118">
        <f t="shared" si="139"/>
        <v>59</v>
      </c>
      <c r="FF937" s="118" t="str">
        <f t="shared" si="140"/>
        <v/>
      </c>
      <c r="FI937" s="16">
        <v>934</v>
      </c>
      <c r="FJ937" s="17" t="str">
        <f t="shared" si="141"/>
        <v/>
      </c>
      <c r="FK937" s="17" t="str">
        <f t="shared" si="137"/>
        <v/>
      </c>
      <c r="FL937" s="18" t="str">
        <f t="shared" si="142"/>
        <v/>
      </c>
    </row>
    <row r="938" spans="159:168">
      <c r="FC938" s="118">
        <v>935</v>
      </c>
      <c r="FD938" s="118">
        <f t="shared" si="138"/>
        <v>7</v>
      </c>
      <c r="FE938" s="118">
        <f t="shared" si="139"/>
        <v>59</v>
      </c>
      <c r="FF938" s="118" t="str">
        <f t="shared" si="140"/>
        <v/>
      </c>
      <c r="FI938" s="16">
        <v>935</v>
      </c>
      <c r="FJ938" s="17" t="str">
        <f t="shared" si="141"/>
        <v/>
      </c>
      <c r="FK938" s="17" t="str">
        <f t="shared" si="137"/>
        <v/>
      </c>
      <c r="FL938" s="18" t="str">
        <f t="shared" si="142"/>
        <v/>
      </c>
    </row>
    <row r="939" spans="159:168">
      <c r="FC939" s="118">
        <v>936</v>
      </c>
      <c r="FD939" s="118">
        <f t="shared" si="138"/>
        <v>8</v>
      </c>
      <c r="FE939" s="118">
        <f t="shared" si="139"/>
        <v>59</v>
      </c>
      <c r="FF939" s="118" t="str">
        <f t="shared" si="140"/>
        <v/>
      </c>
      <c r="FI939" s="16">
        <v>936</v>
      </c>
      <c r="FJ939" s="17" t="str">
        <f t="shared" si="141"/>
        <v/>
      </c>
      <c r="FK939" s="17" t="str">
        <f t="shared" si="137"/>
        <v/>
      </c>
      <c r="FL939" s="18" t="str">
        <f t="shared" si="142"/>
        <v/>
      </c>
    </row>
    <row r="940" spans="159:168">
      <c r="FC940" s="118">
        <v>937</v>
      </c>
      <c r="FD940" s="118">
        <f t="shared" si="138"/>
        <v>9</v>
      </c>
      <c r="FE940" s="118">
        <f t="shared" si="139"/>
        <v>59</v>
      </c>
      <c r="FF940" s="118" t="str">
        <f t="shared" si="140"/>
        <v/>
      </c>
      <c r="FI940" s="16">
        <v>937</v>
      </c>
      <c r="FJ940" s="17" t="str">
        <f t="shared" si="141"/>
        <v/>
      </c>
      <c r="FK940" s="17" t="str">
        <f t="shared" si="137"/>
        <v/>
      </c>
      <c r="FL940" s="18" t="str">
        <f t="shared" si="142"/>
        <v/>
      </c>
    </row>
    <row r="941" spans="159:168">
      <c r="FC941" s="118">
        <v>938</v>
      </c>
      <c r="FD941" s="118">
        <f t="shared" si="138"/>
        <v>10</v>
      </c>
      <c r="FE941" s="118">
        <f t="shared" si="139"/>
        <v>59</v>
      </c>
      <c r="FF941" s="118" t="str">
        <f t="shared" si="140"/>
        <v/>
      </c>
      <c r="FI941" s="16">
        <v>938</v>
      </c>
      <c r="FJ941" s="17" t="str">
        <f t="shared" si="141"/>
        <v/>
      </c>
      <c r="FK941" s="17" t="str">
        <f t="shared" si="137"/>
        <v/>
      </c>
      <c r="FL941" s="18" t="str">
        <f t="shared" si="142"/>
        <v/>
      </c>
    </row>
    <row r="942" spans="159:168">
      <c r="FC942" s="118">
        <v>939</v>
      </c>
      <c r="FD942" s="118">
        <f t="shared" si="138"/>
        <v>11</v>
      </c>
      <c r="FE942" s="118">
        <f t="shared" si="139"/>
        <v>59</v>
      </c>
      <c r="FF942" s="118" t="str">
        <f t="shared" si="140"/>
        <v/>
      </c>
      <c r="FI942" s="16">
        <v>939</v>
      </c>
      <c r="FJ942" s="17" t="str">
        <f t="shared" si="141"/>
        <v/>
      </c>
      <c r="FK942" s="17" t="str">
        <f t="shared" si="137"/>
        <v/>
      </c>
      <c r="FL942" s="18" t="str">
        <f t="shared" si="142"/>
        <v/>
      </c>
    </row>
    <row r="943" spans="159:168">
      <c r="FC943" s="118">
        <v>940</v>
      </c>
      <c r="FD943" s="118">
        <f t="shared" si="138"/>
        <v>12</v>
      </c>
      <c r="FE943" s="118">
        <f t="shared" si="139"/>
        <v>59</v>
      </c>
      <c r="FF943" s="118" t="str">
        <f t="shared" si="140"/>
        <v/>
      </c>
      <c r="FI943" s="16">
        <v>940</v>
      </c>
      <c r="FJ943" s="17" t="str">
        <f t="shared" si="141"/>
        <v/>
      </c>
      <c r="FK943" s="17" t="str">
        <f t="shared" si="137"/>
        <v/>
      </c>
      <c r="FL943" s="18" t="str">
        <f t="shared" si="142"/>
        <v/>
      </c>
    </row>
    <row r="944" spans="159:168">
      <c r="FC944" s="118">
        <v>941</v>
      </c>
      <c r="FD944" s="118">
        <f t="shared" si="138"/>
        <v>13</v>
      </c>
      <c r="FE944" s="118">
        <f t="shared" si="139"/>
        <v>59</v>
      </c>
      <c r="FF944" s="118" t="str">
        <f t="shared" si="140"/>
        <v/>
      </c>
      <c r="FI944" s="16">
        <v>941</v>
      </c>
      <c r="FJ944" s="17" t="str">
        <f t="shared" si="141"/>
        <v/>
      </c>
      <c r="FK944" s="17" t="str">
        <f t="shared" si="137"/>
        <v/>
      </c>
      <c r="FL944" s="18" t="str">
        <f t="shared" si="142"/>
        <v/>
      </c>
    </row>
    <row r="945" spans="159:168">
      <c r="FC945" s="118">
        <v>942</v>
      </c>
      <c r="FD945" s="118">
        <f t="shared" si="138"/>
        <v>14</v>
      </c>
      <c r="FE945" s="118">
        <f t="shared" si="139"/>
        <v>59</v>
      </c>
      <c r="FF945" s="118" t="str">
        <f t="shared" si="140"/>
        <v/>
      </c>
      <c r="FI945" s="16">
        <v>942</v>
      </c>
      <c r="FJ945" s="17" t="str">
        <f t="shared" si="141"/>
        <v/>
      </c>
      <c r="FK945" s="17" t="str">
        <f t="shared" si="137"/>
        <v/>
      </c>
      <c r="FL945" s="18" t="str">
        <f t="shared" si="142"/>
        <v/>
      </c>
    </row>
    <row r="946" spans="159:168">
      <c r="FC946" s="118">
        <v>943</v>
      </c>
      <c r="FD946" s="118">
        <f t="shared" si="138"/>
        <v>15</v>
      </c>
      <c r="FE946" s="118">
        <f t="shared" si="139"/>
        <v>59</v>
      </c>
      <c r="FF946" s="118" t="str">
        <f t="shared" si="140"/>
        <v/>
      </c>
      <c r="FI946" s="16">
        <v>943</v>
      </c>
      <c r="FJ946" s="17" t="str">
        <f t="shared" si="141"/>
        <v/>
      </c>
      <c r="FK946" s="17" t="str">
        <f t="shared" si="137"/>
        <v/>
      </c>
      <c r="FL946" s="18" t="str">
        <f t="shared" si="142"/>
        <v/>
      </c>
    </row>
    <row r="947" spans="159:168">
      <c r="FC947" s="118">
        <v>944</v>
      </c>
      <c r="FD947" s="118">
        <f t="shared" si="138"/>
        <v>16</v>
      </c>
      <c r="FE947" s="118">
        <f t="shared" si="139"/>
        <v>59</v>
      </c>
      <c r="FF947" s="118" t="str">
        <f t="shared" si="140"/>
        <v/>
      </c>
      <c r="FI947" s="16">
        <v>944</v>
      </c>
      <c r="FJ947" s="17" t="str">
        <f t="shared" si="141"/>
        <v/>
      </c>
      <c r="FK947" s="17" t="str">
        <f t="shared" si="137"/>
        <v/>
      </c>
      <c r="FL947" s="18" t="str">
        <f t="shared" si="142"/>
        <v/>
      </c>
    </row>
    <row r="948" spans="159:168">
      <c r="FC948" s="118">
        <v>945</v>
      </c>
      <c r="FD948" s="118">
        <f t="shared" si="138"/>
        <v>1</v>
      </c>
      <c r="FE948" s="118">
        <f t="shared" si="139"/>
        <v>60</v>
      </c>
      <c r="FF948" s="118" t="str">
        <f t="shared" si="140"/>
        <v/>
      </c>
      <c r="FI948" s="16">
        <v>945</v>
      </c>
      <c r="FJ948" s="17" t="str">
        <f t="shared" si="141"/>
        <v/>
      </c>
      <c r="FK948" s="17" t="str">
        <f t="shared" si="137"/>
        <v/>
      </c>
      <c r="FL948" s="18" t="str">
        <f t="shared" si="142"/>
        <v/>
      </c>
    </row>
    <row r="949" spans="159:168">
      <c r="FC949" s="118">
        <v>946</v>
      </c>
      <c r="FD949" s="118">
        <f t="shared" si="138"/>
        <v>2</v>
      </c>
      <c r="FE949" s="118">
        <f t="shared" si="139"/>
        <v>60</v>
      </c>
      <c r="FF949" s="118" t="str">
        <f t="shared" si="140"/>
        <v/>
      </c>
      <c r="FI949" s="16">
        <v>946</v>
      </c>
      <c r="FJ949" s="17" t="str">
        <f t="shared" si="141"/>
        <v/>
      </c>
      <c r="FK949" s="17" t="str">
        <f t="shared" si="137"/>
        <v/>
      </c>
      <c r="FL949" s="18" t="str">
        <f t="shared" si="142"/>
        <v/>
      </c>
    </row>
    <row r="950" spans="159:168">
      <c r="FC950" s="118">
        <v>947</v>
      </c>
      <c r="FD950" s="118">
        <f t="shared" si="138"/>
        <v>3</v>
      </c>
      <c r="FE950" s="118">
        <f t="shared" si="139"/>
        <v>60</v>
      </c>
      <c r="FF950" s="118" t="str">
        <f t="shared" si="140"/>
        <v/>
      </c>
      <c r="FI950" s="16">
        <v>947</v>
      </c>
      <c r="FJ950" s="17" t="str">
        <f t="shared" si="141"/>
        <v/>
      </c>
      <c r="FK950" s="17" t="str">
        <f t="shared" si="137"/>
        <v/>
      </c>
      <c r="FL950" s="18" t="str">
        <f t="shared" si="142"/>
        <v/>
      </c>
    </row>
    <row r="951" spans="159:168">
      <c r="FC951" s="118">
        <v>948</v>
      </c>
      <c r="FD951" s="118">
        <f t="shared" si="138"/>
        <v>4</v>
      </c>
      <c r="FE951" s="118">
        <f t="shared" si="139"/>
        <v>60</v>
      </c>
      <c r="FF951" s="118" t="str">
        <f t="shared" si="140"/>
        <v/>
      </c>
      <c r="FI951" s="16">
        <v>948</v>
      </c>
      <c r="FJ951" s="17" t="str">
        <f t="shared" si="141"/>
        <v/>
      </c>
      <c r="FK951" s="17" t="str">
        <f t="shared" si="137"/>
        <v/>
      </c>
      <c r="FL951" s="18" t="str">
        <f t="shared" si="142"/>
        <v/>
      </c>
    </row>
    <row r="952" spans="159:168">
      <c r="FC952" s="118">
        <v>949</v>
      </c>
      <c r="FD952" s="118">
        <f t="shared" si="138"/>
        <v>5</v>
      </c>
      <c r="FE952" s="118">
        <f t="shared" si="139"/>
        <v>60</v>
      </c>
      <c r="FF952" s="118" t="str">
        <f t="shared" si="140"/>
        <v/>
      </c>
      <c r="FI952" s="16">
        <v>949</v>
      </c>
      <c r="FJ952" s="17" t="str">
        <f t="shared" si="141"/>
        <v/>
      </c>
      <c r="FK952" s="17" t="str">
        <f t="shared" si="137"/>
        <v/>
      </c>
      <c r="FL952" s="18" t="str">
        <f t="shared" si="142"/>
        <v/>
      </c>
    </row>
    <row r="953" spans="159:168">
      <c r="FC953" s="118">
        <v>950</v>
      </c>
      <c r="FD953" s="118">
        <f t="shared" si="138"/>
        <v>6</v>
      </c>
      <c r="FE953" s="118">
        <f t="shared" si="139"/>
        <v>60</v>
      </c>
      <c r="FF953" s="118" t="str">
        <f t="shared" si="140"/>
        <v/>
      </c>
      <c r="FI953" s="16">
        <v>950</v>
      </c>
      <c r="FJ953" s="17" t="str">
        <f t="shared" si="141"/>
        <v/>
      </c>
      <c r="FK953" s="17" t="str">
        <f t="shared" si="137"/>
        <v/>
      </c>
      <c r="FL953" s="18" t="str">
        <f t="shared" si="142"/>
        <v/>
      </c>
    </row>
    <row r="954" spans="159:168">
      <c r="FC954" s="118">
        <v>951</v>
      </c>
      <c r="FD954" s="118">
        <f t="shared" si="138"/>
        <v>7</v>
      </c>
      <c r="FE954" s="118">
        <f t="shared" si="139"/>
        <v>60</v>
      </c>
      <c r="FF954" s="118" t="str">
        <f t="shared" si="140"/>
        <v/>
      </c>
      <c r="FI954" s="16">
        <v>951</v>
      </c>
      <c r="FJ954" s="17" t="str">
        <f t="shared" si="141"/>
        <v/>
      </c>
      <c r="FK954" s="17" t="str">
        <f t="shared" si="137"/>
        <v/>
      </c>
      <c r="FL954" s="18" t="str">
        <f t="shared" si="142"/>
        <v/>
      </c>
    </row>
    <row r="955" spans="159:168">
      <c r="FC955" s="118">
        <v>952</v>
      </c>
      <c r="FD955" s="118">
        <f t="shared" si="138"/>
        <v>8</v>
      </c>
      <c r="FE955" s="118">
        <f t="shared" si="139"/>
        <v>60</v>
      </c>
      <c r="FF955" s="118" t="str">
        <f t="shared" si="140"/>
        <v/>
      </c>
      <c r="FI955" s="16">
        <v>952</v>
      </c>
      <c r="FJ955" s="17" t="str">
        <f t="shared" si="141"/>
        <v/>
      </c>
      <c r="FK955" s="17" t="str">
        <f t="shared" si="137"/>
        <v/>
      </c>
      <c r="FL955" s="18" t="str">
        <f t="shared" si="142"/>
        <v/>
      </c>
    </row>
    <row r="956" spans="159:168">
      <c r="FC956" s="118">
        <v>953</v>
      </c>
      <c r="FD956" s="118">
        <f t="shared" si="138"/>
        <v>9</v>
      </c>
      <c r="FE956" s="118">
        <f t="shared" si="139"/>
        <v>60</v>
      </c>
      <c r="FF956" s="118" t="str">
        <f t="shared" si="140"/>
        <v/>
      </c>
      <c r="FI956" s="16">
        <v>953</v>
      </c>
      <c r="FJ956" s="17" t="str">
        <f t="shared" si="141"/>
        <v/>
      </c>
      <c r="FK956" s="17" t="str">
        <f t="shared" si="137"/>
        <v/>
      </c>
      <c r="FL956" s="18" t="str">
        <f t="shared" si="142"/>
        <v/>
      </c>
    </row>
    <row r="957" spans="159:168">
      <c r="FC957" s="118">
        <v>954</v>
      </c>
      <c r="FD957" s="118">
        <f t="shared" si="138"/>
        <v>10</v>
      </c>
      <c r="FE957" s="118">
        <f t="shared" si="139"/>
        <v>60</v>
      </c>
      <c r="FF957" s="118" t="str">
        <f t="shared" si="140"/>
        <v/>
      </c>
      <c r="FI957" s="16">
        <v>954</v>
      </c>
      <c r="FJ957" s="17" t="str">
        <f t="shared" si="141"/>
        <v/>
      </c>
      <c r="FK957" s="17" t="str">
        <f t="shared" si="137"/>
        <v/>
      </c>
      <c r="FL957" s="18" t="str">
        <f t="shared" si="142"/>
        <v/>
      </c>
    </row>
    <row r="958" spans="159:168">
      <c r="FC958" s="118">
        <v>955</v>
      </c>
      <c r="FD958" s="118">
        <f t="shared" si="138"/>
        <v>11</v>
      </c>
      <c r="FE958" s="118">
        <f t="shared" si="139"/>
        <v>60</v>
      </c>
      <c r="FF958" s="118" t="str">
        <f t="shared" si="140"/>
        <v/>
      </c>
      <c r="FI958" s="16">
        <v>955</v>
      </c>
      <c r="FJ958" s="17" t="str">
        <f t="shared" si="141"/>
        <v/>
      </c>
      <c r="FK958" s="17" t="str">
        <f t="shared" si="137"/>
        <v/>
      </c>
      <c r="FL958" s="18" t="str">
        <f t="shared" si="142"/>
        <v/>
      </c>
    </row>
    <row r="959" spans="159:168">
      <c r="FC959" s="118">
        <v>956</v>
      </c>
      <c r="FD959" s="118">
        <f t="shared" si="138"/>
        <v>12</v>
      </c>
      <c r="FE959" s="118">
        <f t="shared" si="139"/>
        <v>60</v>
      </c>
      <c r="FF959" s="118" t="str">
        <f t="shared" si="140"/>
        <v/>
      </c>
      <c r="FI959" s="16">
        <v>956</v>
      </c>
      <c r="FJ959" s="17" t="str">
        <f t="shared" si="141"/>
        <v/>
      </c>
      <c r="FK959" s="17" t="str">
        <f t="shared" si="137"/>
        <v/>
      </c>
      <c r="FL959" s="18" t="str">
        <f t="shared" si="142"/>
        <v/>
      </c>
    </row>
    <row r="960" spans="159:168">
      <c r="FC960" s="118">
        <v>957</v>
      </c>
      <c r="FD960" s="118">
        <f t="shared" si="138"/>
        <v>13</v>
      </c>
      <c r="FE960" s="118">
        <f t="shared" si="139"/>
        <v>60</v>
      </c>
      <c r="FF960" s="118" t="str">
        <f t="shared" si="140"/>
        <v/>
      </c>
      <c r="FI960" s="16">
        <v>957</v>
      </c>
      <c r="FJ960" s="17" t="str">
        <f t="shared" si="141"/>
        <v/>
      </c>
      <c r="FK960" s="17" t="str">
        <f t="shared" si="137"/>
        <v/>
      </c>
      <c r="FL960" s="18" t="str">
        <f t="shared" si="142"/>
        <v/>
      </c>
    </row>
    <row r="961" spans="159:168">
      <c r="FC961" s="118">
        <v>958</v>
      </c>
      <c r="FD961" s="118">
        <f t="shared" si="138"/>
        <v>14</v>
      </c>
      <c r="FE961" s="118">
        <f t="shared" si="139"/>
        <v>60</v>
      </c>
      <c r="FF961" s="118" t="str">
        <f t="shared" si="140"/>
        <v/>
      </c>
      <c r="FI961" s="16">
        <v>958</v>
      </c>
      <c r="FJ961" s="17" t="str">
        <f t="shared" si="141"/>
        <v/>
      </c>
      <c r="FK961" s="17" t="str">
        <f t="shared" si="137"/>
        <v/>
      </c>
      <c r="FL961" s="18" t="str">
        <f t="shared" si="142"/>
        <v/>
      </c>
    </row>
    <row r="962" spans="159:168">
      <c r="FC962" s="118">
        <v>959</v>
      </c>
      <c r="FD962" s="118">
        <f t="shared" si="138"/>
        <v>15</v>
      </c>
      <c r="FE962" s="118">
        <f t="shared" si="139"/>
        <v>60</v>
      </c>
      <c r="FF962" s="118" t="str">
        <f t="shared" si="140"/>
        <v/>
      </c>
      <c r="FI962" s="16">
        <v>959</v>
      </c>
      <c r="FJ962" s="17" t="str">
        <f t="shared" si="141"/>
        <v/>
      </c>
      <c r="FK962" s="17" t="str">
        <f t="shared" si="137"/>
        <v/>
      </c>
      <c r="FL962" s="18" t="str">
        <f t="shared" si="142"/>
        <v/>
      </c>
    </row>
    <row r="963" spans="159:168">
      <c r="FC963" s="118">
        <v>960</v>
      </c>
      <c r="FD963" s="118">
        <f t="shared" si="138"/>
        <v>16</v>
      </c>
      <c r="FE963" s="118">
        <f t="shared" si="139"/>
        <v>60</v>
      </c>
      <c r="FF963" s="118" t="str">
        <f t="shared" si="140"/>
        <v/>
      </c>
      <c r="FI963" s="16">
        <v>960</v>
      </c>
      <c r="FJ963" s="17" t="str">
        <f t="shared" si="141"/>
        <v/>
      </c>
      <c r="FK963" s="17" t="str">
        <f t="shared" si="137"/>
        <v/>
      </c>
      <c r="FL963" s="18" t="str">
        <f t="shared" si="142"/>
        <v/>
      </c>
    </row>
    <row r="964" spans="159:168">
      <c r="FC964" s="118">
        <v>961</v>
      </c>
      <c r="FD964" s="118">
        <f t="shared" si="138"/>
        <v>1</v>
      </c>
      <c r="FE964" s="118">
        <f t="shared" si="139"/>
        <v>61</v>
      </c>
      <c r="FF964" s="118" t="str">
        <f t="shared" si="140"/>
        <v/>
      </c>
      <c r="FI964" s="16">
        <v>961</v>
      </c>
      <c r="FJ964" s="17" t="str">
        <f t="shared" si="141"/>
        <v/>
      </c>
      <c r="FK964" s="17" t="str">
        <f t="shared" si="137"/>
        <v/>
      </c>
      <c r="FL964" s="18" t="str">
        <f t="shared" si="142"/>
        <v/>
      </c>
    </row>
    <row r="965" spans="159:168">
      <c r="FC965" s="118">
        <v>962</v>
      </c>
      <c r="FD965" s="118">
        <f t="shared" si="138"/>
        <v>2</v>
      </c>
      <c r="FE965" s="118">
        <f t="shared" si="139"/>
        <v>61</v>
      </c>
      <c r="FF965" s="118" t="str">
        <f t="shared" si="140"/>
        <v/>
      </c>
      <c r="FI965" s="16">
        <v>962</v>
      </c>
      <c r="FJ965" s="17" t="str">
        <f t="shared" si="141"/>
        <v/>
      </c>
      <c r="FK965" s="17" t="str">
        <f t="shared" ref="FK965:FK1028" si="143">IF(FI965&lt;=$FH$2,FF965,IF(FI965&lt;=$FH$2+$FH$3,INDEX($FJ$4:$FJ$2494,FI965-$FH$2),""))</f>
        <v/>
      </c>
      <c r="FL965" s="18" t="str">
        <f t="shared" si="142"/>
        <v/>
      </c>
    </row>
    <row r="966" spans="159:168">
      <c r="FC966" s="118">
        <v>963</v>
      </c>
      <c r="FD966" s="118">
        <f t="shared" si="138"/>
        <v>3</v>
      </c>
      <c r="FE966" s="118">
        <f t="shared" si="139"/>
        <v>61</v>
      </c>
      <c r="FF966" s="118" t="str">
        <f t="shared" si="140"/>
        <v/>
      </c>
      <c r="FI966" s="16">
        <v>963</v>
      </c>
      <c r="FJ966" s="17" t="str">
        <f t="shared" si="141"/>
        <v/>
      </c>
      <c r="FK966" s="17" t="str">
        <f t="shared" si="143"/>
        <v/>
      </c>
      <c r="FL966" s="18" t="str">
        <f t="shared" si="142"/>
        <v/>
      </c>
    </row>
    <row r="967" spans="159:168">
      <c r="FC967" s="118">
        <v>964</v>
      </c>
      <c r="FD967" s="118">
        <f t="shared" si="138"/>
        <v>4</v>
      </c>
      <c r="FE967" s="118">
        <f t="shared" si="139"/>
        <v>61</v>
      </c>
      <c r="FF967" s="118" t="str">
        <f t="shared" si="140"/>
        <v/>
      </c>
      <c r="FI967" s="16">
        <v>964</v>
      </c>
      <c r="FJ967" s="17" t="str">
        <f t="shared" si="141"/>
        <v/>
      </c>
      <c r="FK967" s="17" t="str">
        <f t="shared" si="143"/>
        <v/>
      </c>
      <c r="FL967" s="18" t="str">
        <f t="shared" si="142"/>
        <v/>
      </c>
    </row>
    <row r="968" spans="159:168">
      <c r="FC968" s="118">
        <v>965</v>
      </c>
      <c r="FD968" s="118">
        <f t="shared" si="138"/>
        <v>5</v>
      </c>
      <c r="FE968" s="118">
        <f t="shared" si="139"/>
        <v>61</v>
      </c>
      <c r="FF968" s="118" t="str">
        <f t="shared" si="140"/>
        <v/>
      </c>
      <c r="FI968" s="16">
        <v>965</v>
      </c>
      <c r="FJ968" s="17" t="str">
        <f t="shared" si="141"/>
        <v/>
      </c>
      <c r="FK968" s="17" t="str">
        <f t="shared" si="143"/>
        <v/>
      </c>
      <c r="FL968" s="18" t="str">
        <f t="shared" si="142"/>
        <v/>
      </c>
    </row>
    <row r="969" spans="159:168">
      <c r="FC969" s="118">
        <v>966</v>
      </c>
      <c r="FD969" s="118">
        <f t="shared" si="138"/>
        <v>6</v>
      </c>
      <c r="FE969" s="118">
        <f t="shared" si="139"/>
        <v>61</v>
      </c>
      <c r="FF969" s="118" t="str">
        <f t="shared" si="140"/>
        <v/>
      </c>
      <c r="FI969" s="16">
        <v>966</v>
      </c>
      <c r="FJ969" s="17" t="str">
        <f t="shared" si="141"/>
        <v/>
      </c>
      <c r="FK969" s="17" t="str">
        <f t="shared" si="143"/>
        <v/>
      </c>
      <c r="FL969" s="18" t="str">
        <f t="shared" si="142"/>
        <v/>
      </c>
    </row>
    <row r="970" spans="159:168">
      <c r="FC970" s="118">
        <v>967</v>
      </c>
      <c r="FD970" s="118">
        <f t="shared" si="138"/>
        <v>7</v>
      </c>
      <c r="FE970" s="118">
        <f t="shared" si="139"/>
        <v>61</v>
      </c>
      <c r="FF970" s="118" t="str">
        <f t="shared" si="140"/>
        <v/>
      </c>
      <c r="FI970" s="16">
        <v>967</v>
      </c>
      <c r="FJ970" s="17" t="str">
        <f t="shared" si="141"/>
        <v/>
      </c>
      <c r="FK970" s="17" t="str">
        <f t="shared" si="143"/>
        <v/>
      </c>
      <c r="FL970" s="18" t="str">
        <f t="shared" si="142"/>
        <v/>
      </c>
    </row>
    <row r="971" spans="159:168">
      <c r="FC971" s="118">
        <v>968</v>
      </c>
      <c r="FD971" s="118">
        <f t="shared" si="138"/>
        <v>8</v>
      </c>
      <c r="FE971" s="118">
        <f t="shared" si="139"/>
        <v>61</v>
      </c>
      <c r="FF971" s="118" t="str">
        <f t="shared" si="140"/>
        <v/>
      </c>
      <c r="FI971" s="16">
        <v>968</v>
      </c>
      <c r="FJ971" s="17" t="str">
        <f t="shared" si="141"/>
        <v/>
      </c>
      <c r="FK971" s="17" t="str">
        <f t="shared" si="143"/>
        <v/>
      </c>
      <c r="FL971" s="18" t="str">
        <f t="shared" si="142"/>
        <v/>
      </c>
    </row>
    <row r="972" spans="159:168">
      <c r="FC972" s="118">
        <v>969</v>
      </c>
      <c r="FD972" s="118">
        <f t="shared" si="138"/>
        <v>9</v>
      </c>
      <c r="FE972" s="118">
        <f t="shared" si="139"/>
        <v>61</v>
      </c>
      <c r="FF972" s="118" t="str">
        <f t="shared" si="140"/>
        <v/>
      </c>
      <c r="FI972" s="16">
        <v>969</v>
      </c>
      <c r="FJ972" s="17" t="str">
        <f t="shared" si="141"/>
        <v/>
      </c>
      <c r="FK972" s="17" t="str">
        <f t="shared" si="143"/>
        <v/>
      </c>
      <c r="FL972" s="18" t="str">
        <f t="shared" si="142"/>
        <v/>
      </c>
    </row>
    <row r="973" spans="159:168">
      <c r="FC973" s="118">
        <v>970</v>
      </c>
      <c r="FD973" s="118">
        <f t="shared" si="138"/>
        <v>10</v>
      </c>
      <c r="FE973" s="118">
        <f t="shared" si="139"/>
        <v>61</v>
      </c>
      <c r="FF973" s="118" t="str">
        <f t="shared" si="140"/>
        <v/>
      </c>
      <c r="FI973" s="16">
        <v>970</v>
      </c>
      <c r="FJ973" s="17" t="str">
        <f t="shared" si="141"/>
        <v/>
      </c>
      <c r="FK973" s="17" t="str">
        <f t="shared" si="143"/>
        <v/>
      </c>
      <c r="FL973" s="18" t="str">
        <f t="shared" si="142"/>
        <v/>
      </c>
    </row>
    <row r="974" spans="159:168">
      <c r="FC974" s="118">
        <v>971</v>
      </c>
      <c r="FD974" s="118">
        <f t="shared" si="138"/>
        <v>11</v>
      </c>
      <c r="FE974" s="118">
        <f t="shared" si="139"/>
        <v>61</v>
      </c>
      <c r="FF974" s="118" t="str">
        <f t="shared" si="140"/>
        <v/>
      </c>
      <c r="FI974" s="16">
        <v>971</v>
      </c>
      <c r="FJ974" s="17" t="str">
        <f t="shared" si="141"/>
        <v/>
      </c>
      <c r="FK974" s="17" t="str">
        <f t="shared" si="143"/>
        <v/>
      </c>
      <c r="FL974" s="18" t="str">
        <f t="shared" si="142"/>
        <v/>
      </c>
    </row>
    <row r="975" spans="159:168">
      <c r="FC975" s="118">
        <v>972</v>
      </c>
      <c r="FD975" s="118">
        <f t="shared" si="138"/>
        <v>12</v>
      </c>
      <c r="FE975" s="118">
        <f t="shared" si="139"/>
        <v>61</v>
      </c>
      <c r="FF975" s="118" t="str">
        <f t="shared" si="140"/>
        <v/>
      </c>
      <c r="FI975" s="16">
        <v>972</v>
      </c>
      <c r="FJ975" s="17" t="str">
        <f t="shared" si="141"/>
        <v/>
      </c>
      <c r="FK975" s="17" t="str">
        <f t="shared" si="143"/>
        <v/>
      </c>
      <c r="FL975" s="18" t="str">
        <f t="shared" si="142"/>
        <v/>
      </c>
    </row>
    <row r="976" spans="159:168">
      <c r="FC976" s="118">
        <v>973</v>
      </c>
      <c r="FD976" s="118">
        <f t="shared" si="138"/>
        <v>13</v>
      </c>
      <c r="FE976" s="118">
        <f t="shared" si="139"/>
        <v>61</v>
      </c>
      <c r="FF976" s="118" t="str">
        <f t="shared" si="140"/>
        <v/>
      </c>
      <c r="FI976" s="16">
        <v>973</v>
      </c>
      <c r="FJ976" s="17" t="str">
        <f t="shared" si="141"/>
        <v/>
      </c>
      <c r="FK976" s="17" t="str">
        <f t="shared" si="143"/>
        <v/>
      </c>
      <c r="FL976" s="18" t="str">
        <f t="shared" si="142"/>
        <v/>
      </c>
    </row>
    <row r="977" spans="159:168">
      <c r="FC977" s="118">
        <v>974</v>
      </c>
      <c r="FD977" s="118">
        <f t="shared" si="138"/>
        <v>14</v>
      </c>
      <c r="FE977" s="118">
        <f t="shared" si="139"/>
        <v>61</v>
      </c>
      <c r="FF977" s="118" t="str">
        <f t="shared" si="140"/>
        <v/>
      </c>
      <c r="FI977" s="16">
        <v>974</v>
      </c>
      <c r="FJ977" s="17" t="str">
        <f t="shared" si="141"/>
        <v/>
      </c>
      <c r="FK977" s="17" t="str">
        <f t="shared" si="143"/>
        <v/>
      </c>
      <c r="FL977" s="18" t="str">
        <f t="shared" si="142"/>
        <v/>
      </c>
    </row>
    <row r="978" spans="159:168">
      <c r="FC978" s="118">
        <v>975</v>
      </c>
      <c r="FD978" s="118">
        <f t="shared" si="138"/>
        <v>15</v>
      </c>
      <c r="FE978" s="118">
        <f t="shared" si="139"/>
        <v>61</v>
      </c>
      <c r="FF978" s="118" t="str">
        <f t="shared" si="140"/>
        <v/>
      </c>
      <c r="FI978" s="16">
        <v>975</v>
      </c>
      <c r="FJ978" s="17" t="str">
        <f t="shared" si="141"/>
        <v/>
      </c>
      <c r="FK978" s="17" t="str">
        <f t="shared" si="143"/>
        <v/>
      </c>
      <c r="FL978" s="18" t="str">
        <f t="shared" si="142"/>
        <v/>
      </c>
    </row>
    <row r="979" spans="159:168">
      <c r="FC979" s="118">
        <v>976</v>
      </c>
      <c r="FD979" s="118">
        <f t="shared" si="138"/>
        <v>16</v>
      </c>
      <c r="FE979" s="118">
        <f t="shared" si="139"/>
        <v>61</v>
      </c>
      <c r="FF979" s="118" t="str">
        <f t="shared" si="140"/>
        <v/>
      </c>
      <c r="FI979" s="16">
        <v>976</v>
      </c>
      <c r="FJ979" s="17" t="str">
        <f t="shared" si="141"/>
        <v/>
      </c>
      <c r="FK979" s="17" t="str">
        <f t="shared" si="143"/>
        <v/>
      </c>
      <c r="FL979" s="18" t="str">
        <f t="shared" si="142"/>
        <v/>
      </c>
    </row>
    <row r="980" spans="159:168">
      <c r="FC980" s="118">
        <v>977</v>
      </c>
      <c r="FD980" s="118">
        <f t="shared" si="138"/>
        <v>1</v>
      </c>
      <c r="FE980" s="118">
        <f t="shared" si="139"/>
        <v>62</v>
      </c>
      <c r="FF980" s="118" t="str">
        <f t="shared" si="140"/>
        <v/>
      </c>
      <c r="FI980" s="16">
        <v>977</v>
      </c>
      <c r="FJ980" s="17" t="str">
        <f t="shared" si="141"/>
        <v/>
      </c>
      <c r="FK980" s="17" t="str">
        <f t="shared" si="143"/>
        <v/>
      </c>
      <c r="FL980" s="18" t="str">
        <f t="shared" si="142"/>
        <v/>
      </c>
    </row>
    <row r="981" spans="159:168">
      <c r="FC981" s="118">
        <v>978</v>
      </c>
      <c r="FD981" s="118">
        <f t="shared" si="138"/>
        <v>2</v>
      </c>
      <c r="FE981" s="118">
        <f t="shared" si="139"/>
        <v>62</v>
      </c>
      <c r="FF981" s="118" t="str">
        <f t="shared" si="140"/>
        <v/>
      </c>
      <c r="FI981" s="16">
        <v>978</v>
      </c>
      <c r="FJ981" s="17" t="str">
        <f t="shared" si="141"/>
        <v/>
      </c>
      <c r="FK981" s="17" t="str">
        <f t="shared" si="143"/>
        <v/>
      </c>
      <c r="FL981" s="18" t="str">
        <f t="shared" si="142"/>
        <v/>
      </c>
    </row>
    <row r="982" spans="159:168">
      <c r="FC982" s="118">
        <v>979</v>
      </c>
      <c r="FD982" s="118">
        <f t="shared" ref="FD982:FD1045" si="144">IF(MOD(FC982,$FB$1+$FB$2)=0,$FB$1+$FB$2,MOD(FC982,$FB$1+$FB$2))</f>
        <v>3</v>
      </c>
      <c r="FE982" s="118">
        <f t="shared" ref="FE982:FE1045" si="145">ROUNDUP(FC982/($FB$1+$FB$2),0)</f>
        <v>62</v>
      </c>
      <c r="FF982" s="118" t="str">
        <f t="shared" ref="FF982:FF1045" si="146">IF(FE982&lt;$FB$3,INDEX($E$4:$DV$84,FD982,FE982),IF(FE982=$FB$3,INDEX($E$4:$DV$84,FD982+$FB$1,FE982),""))</f>
        <v/>
      </c>
      <c r="FI982" s="16">
        <v>979</v>
      </c>
      <c r="FJ982" s="17" t="str">
        <f t="shared" ref="FJ982:FJ1045" si="147">IF(FE982&lt;=$FH$1,INDEX($DW$4:$EZ$84,FD982,FE982),"")</f>
        <v/>
      </c>
      <c r="FK982" s="17" t="str">
        <f t="shared" si="143"/>
        <v/>
      </c>
      <c r="FL982" s="18" t="str">
        <f t="shared" ref="FL982:FL1045" si="148">IFERROR(TEXT(DEC2BIN(FK982),"00000000"),"")</f>
        <v/>
      </c>
    </row>
    <row r="983" spans="159:168">
      <c r="FC983" s="118">
        <v>980</v>
      </c>
      <c r="FD983" s="118">
        <f t="shared" si="144"/>
        <v>4</v>
      </c>
      <c r="FE983" s="118">
        <f t="shared" si="145"/>
        <v>62</v>
      </c>
      <c r="FF983" s="118" t="str">
        <f t="shared" si="146"/>
        <v/>
      </c>
      <c r="FI983" s="16">
        <v>980</v>
      </c>
      <c r="FJ983" s="17" t="str">
        <f t="shared" si="147"/>
        <v/>
      </c>
      <c r="FK983" s="17" t="str">
        <f t="shared" si="143"/>
        <v/>
      </c>
      <c r="FL983" s="18" t="str">
        <f t="shared" si="148"/>
        <v/>
      </c>
    </row>
    <row r="984" spans="159:168">
      <c r="FC984" s="118">
        <v>981</v>
      </c>
      <c r="FD984" s="118">
        <f t="shared" si="144"/>
        <v>5</v>
      </c>
      <c r="FE984" s="118">
        <f t="shared" si="145"/>
        <v>62</v>
      </c>
      <c r="FF984" s="118" t="str">
        <f t="shared" si="146"/>
        <v/>
      </c>
      <c r="FI984" s="16">
        <v>981</v>
      </c>
      <c r="FJ984" s="17" t="str">
        <f t="shared" si="147"/>
        <v/>
      </c>
      <c r="FK984" s="17" t="str">
        <f t="shared" si="143"/>
        <v/>
      </c>
      <c r="FL984" s="18" t="str">
        <f t="shared" si="148"/>
        <v/>
      </c>
    </row>
    <row r="985" spans="159:168">
      <c r="FC985" s="118">
        <v>982</v>
      </c>
      <c r="FD985" s="118">
        <f t="shared" si="144"/>
        <v>6</v>
      </c>
      <c r="FE985" s="118">
        <f t="shared" si="145"/>
        <v>62</v>
      </c>
      <c r="FF985" s="118" t="str">
        <f t="shared" si="146"/>
        <v/>
      </c>
      <c r="FI985" s="16">
        <v>982</v>
      </c>
      <c r="FJ985" s="17" t="str">
        <f t="shared" si="147"/>
        <v/>
      </c>
      <c r="FK985" s="17" t="str">
        <f t="shared" si="143"/>
        <v/>
      </c>
      <c r="FL985" s="18" t="str">
        <f t="shared" si="148"/>
        <v/>
      </c>
    </row>
    <row r="986" spans="159:168">
      <c r="FC986" s="118">
        <v>983</v>
      </c>
      <c r="FD986" s="118">
        <f t="shared" si="144"/>
        <v>7</v>
      </c>
      <c r="FE986" s="118">
        <f t="shared" si="145"/>
        <v>62</v>
      </c>
      <c r="FF986" s="118" t="str">
        <f t="shared" si="146"/>
        <v/>
      </c>
      <c r="FI986" s="16">
        <v>983</v>
      </c>
      <c r="FJ986" s="17" t="str">
        <f t="shared" si="147"/>
        <v/>
      </c>
      <c r="FK986" s="17" t="str">
        <f t="shared" si="143"/>
        <v/>
      </c>
      <c r="FL986" s="18" t="str">
        <f t="shared" si="148"/>
        <v/>
      </c>
    </row>
    <row r="987" spans="159:168">
      <c r="FC987" s="118">
        <v>984</v>
      </c>
      <c r="FD987" s="118">
        <f t="shared" si="144"/>
        <v>8</v>
      </c>
      <c r="FE987" s="118">
        <f t="shared" si="145"/>
        <v>62</v>
      </c>
      <c r="FF987" s="118" t="str">
        <f t="shared" si="146"/>
        <v/>
      </c>
      <c r="FI987" s="16">
        <v>984</v>
      </c>
      <c r="FJ987" s="17" t="str">
        <f t="shared" si="147"/>
        <v/>
      </c>
      <c r="FK987" s="17" t="str">
        <f t="shared" si="143"/>
        <v/>
      </c>
      <c r="FL987" s="18" t="str">
        <f t="shared" si="148"/>
        <v/>
      </c>
    </row>
    <row r="988" spans="159:168">
      <c r="FC988" s="118">
        <v>985</v>
      </c>
      <c r="FD988" s="118">
        <f t="shared" si="144"/>
        <v>9</v>
      </c>
      <c r="FE988" s="118">
        <f t="shared" si="145"/>
        <v>62</v>
      </c>
      <c r="FF988" s="118" t="str">
        <f t="shared" si="146"/>
        <v/>
      </c>
      <c r="FI988" s="16">
        <v>985</v>
      </c>
      <c r="FJ988" s="17" t="str">
        <f t="shared" si="147"/>
        <v/>
      </c>
      <c r="FK988" s="17" t="str">
        <f t="shared" si="143"/>
        <v/>
      </c>
      <c r="FL988" s="18" t="str">
        <f t="shared" si="148"/>
        <v/>
      </c>
    </row>
    <row r="989" spans="159:168">
      <c r="FC989" s="118">
        <v>986</v>
      </c>
      <c r="FD989" s="118">
        <f t="shared" si="144"/>
        <v>10</v>
      </c>
      <c r="FE989" s="118">
        <f t="shared" si="145"/>
        <v>62</v>
      </c>
      <c r="FF989" s="118" t="str">
        <f t="shared" si="146"/>
        <v/>
      </c>
      <c r="FI989" s="16">
        <v>986</v>
      </c>
      <c r="FJ989" s="17" t="str">
        <f t="shared" si="147"/>
        <v/>
      </c>
      <c r="FK989" s="17" t="str">
        <f t="shared" si="143"/>
        <v/>
      </c>
      <c r="FL989" s="18" t="str">
        <f t="shared" si="148"/>
        <v/>
      </c>
    </row>
    <row r="990" spans="159:168">
      <c r="FC990" s="118">
        <v>987</v>
      </c>
      <c r="FD990" s="118">
        <f t="shared" si="144"/>
        <v>11</v>
      </c>
      <c r="FE990" s="118">
        <f t="shared" si="145"/>
        <v>62</v>
      </c>
      <c r="FF990" s="118" t="str">
        <f t="shared" si="146"/>
        <v/>
      </c>
      <c r="FI990" s="16">
        <v>987</v>
      </c>
      <c r="FJ990" s="17" t="str">
        <f t="shared" si="147"/>
        <v/>
      </c>
      <c r="FK990" s="17" t="str">
        <f t="shared" si="143"/>
        <v/>
      </c>
      <c r="FL990" s="18" t="str">
        <f t="shared" si="148"/>
        <v/>
      </c>
    </row>
    <row r="991" spans="159:168">
      <c r="FC991" s="118">
        <v>988</v>
      </c>
      <c r="FD991" s="118">
        <f t="shared" si="144"/>
        <v>12</v>
      </c>
      <c r="FE991" s="118">
        <f t="shared" si="145"/>
        <v>62</v>
      </c>
      <c r="FF991" s="118" t="str">
        <f t="shared" si="146"/>
        <v/>
      </c>
      <c r="FI991" s="16">
        <v>988</v>
      </c>
      <c r="FJ991" s="17" t="str">
        <f t="shared" si="147"/>
        <v/>
      </c>
      <c r="FK991" s="17" t="str">
        <f t="shared" si="143"/>
        <v/>
      </c>
      <c r="FL991" s="18" t="str">
        <f t="shared" si="148"/>
        <v/>
      </c>
    </row>
    <row r="992" spans="159:168">
      <c r="FC992" s="118">
        <v>989</v>
      </c>
      <c r="FD992" s="118">
        <f t="shared" si="144"/>
        <v>13</v>
      </c>
      <c r="FE992" s="118">
        <f t="shared" si="145"/>
        <v>62</v>
      </c>
      <c r="FF992" s="118" t="str">
        <f t="shared" si="146"/>
        <v/>
      </c>
      <c r="FI992" s="16">
        <v>989</v>
      </c>
      <c r="FJ992" s="17" t="str">
        <f t="shared" si="147"/>
        <v/>
      </c>
      <c r="FK992" s="17" t="str">
        <f t="shared" si="143"/>
        <v/>
      </c>
      <c r="FL992" s="18" t="str">
        <f t="shared" si="148"/>
        <v/>
      </c>
    </row>
    <row r="993" spans="159:168">
      <c r="FC993" s="118">
        <v>990</v>
      </c>
      <c r="FD993" s="118">
        <f t="shared" si="144"/>
        <v>14</v>
      </c>
      <c r="FE993" s="118">
        <f t="shared" si="145"/>
        <v>62</v>
      </c>
      <c r="FF993" s="118" t="str">
        <f t="shared" si="146"/>
        <v/>
      </c>
      <c r="FI993" s="16">
        <v>990</v>
      </c>
      <c r="FJ993" s="17" t="str">
        <f t="shared" si="147"/>
        <v/>
      </c>
      <c r="FK993" s="17" t="str">
        <f t="shared" si="143"/>
        <v/>
      </c>
      <c r="FL993" s="18" t="str">
        <f t="shared" si="148"/>
        <v/>
      </c>
    </row>
    <row r="994" spans="159:168">
      <c r="FC994" s="118">
        <v>991</v>
      </c>
      <c r="FD994" s="118">
        <f t="shared" si="144"/>
        <v>15</v>
      </c>
      <c r="FE994" s="118">
        <f t="shared" si="145"/>
        <v>62</v>
      </c>
      <c r="FF994" s="118" t="str">
        <f t="shared" si="146"/>
        <v/>
      </c>
      <c r="FI994" s="16">
        <v>991</v>
      </c>
      <c r="FJ994" s="17" t="str">
        <f t="shared" si="147"/>
        <v/>
      </c>
      <c r="FK994" s="17" t="str">
        <f t="shared" si="143"/>
        <v/>
      </c>
      <c r="FL994" s="18" t="str">
        <f t="shared" si="148"/>
        <v/>
      </c>
    </row>
    <row r="995" spans="159:168">
      <c r="FC995" s="118">
        <v>992</v>
      </c>
      <c r="FD995" s="118">
        <f t="shared" si="144"/>
        <v>16</v>
      </c>
      <c r="FE995" s="118">
        <f t="shared" si="145"/>
        <v>62</v>
      </c>
      <c r="FF995" s="118" t="str">
        <f t="shared" si="146"/>
        <v/>
      </c>
      <c r="FI995" s="16">
        <v>992</v>
      </c>
      <c r="FJ995" s="17" t="str">
        <f t="shared" si="147"/>
        <v/>
      </c>
      <c r="FK995" s="17" t="str">
        <f t="shared" si="143"/>
        <v/>
      </c>
      <c r="FL995" s="18" t="str">
        <f t="shared" si="148"/>
        <v/>
      </c>
    </row>
    <row r="996" spans="159:168">
      <c r="FC996" s="118">
        <v>993</v>
      </c>
      <c r="FD996" s="118">
        <f t="shared" si="144"/>
        <v>1</v>
      </c>
      <c r="FE996" s="118">
        <f t="shared" si="145"/>
        <v>63</v>
      </c>
      <c r="FF996" s="118" t="str">
        <f t="shared" si="146"/>
        <v/>
      </c>
      <c r="FI996" s="16">
        <v>993</v>
      </c>
      <c r="FJ996" s="17" t="str">
        <f t="shared" si="147"/>
        <v/>
      </c>
      <c r="FK996" s="17" t="str">
        <f t="shared" si="143"/>
        <v/>
      </c>
      <c r="FL996" s="18" t="str">
        <f t="shared" si="148"/>
        <v/>
      </c>
    </row>
    <row r="997" spans="159:168">
      <c r="FC997" s="118">
        <v>994</v>
      </c>
      <c r="FD997" s="118">
        <f t="shared" si="144"/>
        <v>2</v>
      </c>
      <c r="FE997" s="118">
        <f t="shared" si="145"/>
        <v>63</v>
      </c>
      <c r="FF997" s="118" t="str">
        <f t="shared" si="146"/>
        <v/>
      </c>
      <c r="FI997" s="16">
        <v>994</v>
      </c>
      <c r="FJ997" s="17" t="str">
        <f t="shared" si="147"/>
        <v/>
      </c>
      <c r="FK997" s="17" t="str">
        <f t="shared" si="143"/>
        <v/>
      </c>
      <c r="FL997" s="18" t="str">
        <f t="shared" si="148"/>
        <v/>
      </c>
    </row>
    <row r="998" spans="159:168">
      <c r="FC998" s="118">
        <v>995</v>
      </c>
      <c r="FD998" s="118">
        <f t="shared" si="144"/>
        <v>3</v>
      </c>
      <c r="FE998" s="118">
        <f t="shared" si="145"/>
        <v>63</v>
      </c>
      <c r="FF998" s="118" t="str">
        <f t="shared" si="146"/>
        <v/>
      </c>
      <c r="FI998" s="16">
        <v>995</v>
      </c>
      <c r="FJ998" s="17" t="str">
        <f t="shared" si="147"/>
        <v/>
      </c>
      <c r="FK998" s="17" t="str">
        <f t="shared" si="143"/>
        <v/>
      </c>
      <c r="FL998" s="18" t="str">
        <f t="shared" si="148"/>
        <v/>
      </c>
    </row>
    <row r="999" spans="159:168">
      <c r="FC999" s="118">
        <v>996</v>
      </c>
      <c r="FD999" s="118">
        <f t="shared" si="144"/>
        <v>4</v>
      </c>
      <c r="FE999" s="118">
        <f t="shared" si="145"/>
        <v>63</v>
      </c>
      <c r="FF999" s="118" t="str">
        <f t="shared" si="146"/>
        <v/>
      </c>
      <c r="FI999" s="16">
        <v>996</v>
      </c>
      <c r="FJ999" s="17" t="str">
        <f t="shared" si="147"/>
        <v/>
      </c>
      <c r="FK999" s="17" t="str">
        <f t="shared" si="143"/>
        <v/>
      </c>
      <c r="FL999" s="18" t="str">
        <f t="shared" si="148"/>
        <v/>
      </c>
    </row>
    <row r="1000" spans="159:168">
      <c r="FC1000" s="118">
        <v>997</v>
      </c>
      <c r="FD1000" s="118">
        <f t="shared" si="144"/>
        <v>5</v>
      </c>
      <c r="FE1000" s="118">
        <f t="shared" si="145"/>
        <v>63</v>
      </c>
      <c r="FF1000" s="118" t="str">
        <f t="shared" si="146"/>
        <v/>
      </c>
      <c r="FI1000" s="16">
        <v>997</v>
      </c>
      <c r="FJ1000" s="17" t="str">
        <f t="shared" si="147"/>
        <v/>
      </c>
      <c r="FK1000" s="17" t="str">
        <f t="shared" si="143"/>
        <v/>
      </c>
      <c r="FL1000" s="18" t="str">
        <f t="shared" si="148"/>
        <v/>
      </c>
    </row>
    <row r="1001" spans="159:168">
      <c r="FC1001" s="118">
        <v>998</v>
      </c>
      <c r="FD1001" s="118">
        <f t="shared" si="144"/>
        <v>6</v>
      </c>
      <c r="FE1001" s="118">
        <f t="shared" si="145"/>
        <v>63</v>
      </c>
      <c r="FF1001" s="118" t="str">
        <f t="shared" si="146"/>
        <v/>
      </c>
      <c r="FI1001" s="16">
        <v>998</v>
      </c>
      <c r="FJ1001" s="17" t="str">
        <f t="shared" si="147"/>
        <v/>
      </c>
      <c r="FK1001" s="17" t="str">
        <f t="shared" si="143"/>
        <v/>
      </c>
      <c r="FL1001" s="18" t="str">
        <f t="shared" si="148"/>
        <v/>
      </c>
    </row>
    <row r="1002" spans="159:168">
      <c r="FC1002" s="118">
        <v>999</v>
      </c>
      <c r="FD1002" s="118">
        <f t="shared" si="144"/>
        <v>7</v>
      </c>
      <c r="FE1002" s="118">
        <f t="shared" si="145"/>
        <v>63</v>
      </c>
      <c r="FF1002" s="118" t="str">
        <f t="shared" si="146"/>
        <v/>
      </c>
      <c r="FI1002" s="16">
        <v>999</v>
      </c>
      <c r="FJ1002" s="17" t="str">
        <f t="shared" si="147"/>
        <v/>
      </c>
      <c r="FK1002" s="17" t="str">
        <f t="shared" si="143"/>
        <v/>
      </c>
      <c r="FL1002" s="18" t="str">
        <f t="shared" si="148"/>
        <v/>
      </c>
    </row>
    <row r="1003" spans="159:168">
      <c r="FC1003" s="118">
        <v>1000</v>
      </c>
      <c r="FD1003" s="118">
        <f t="shared" si="144"/>
        <v>8</v>
      </c>
      <c r="FE1003" s="118">
        <f t="shared" si="145"/>
        <v>63</v>
      </c>
      <c r="FF1003" s="118" t="str">
        <f t="shared" si="146"/>
        <v/>
      </c>
      <c r="FI1003" s="16">
        <v>1000</v>
      </c>
      <c r="FJ1003" s="17" t="str">
        <f t="shared" si="147"/>
        <v/>
      </c>
      <c r="FK1003" s="17" t="str">
        <f t="shared" si="143"/>
        <v/>
      </c>
      <c r="FL1003" s="18" t="str">
        <f t="shared" si="148"/>
        <v/>
      </c>
    </row>
    <row r="1004" spans="159:168">
      <c r="FC1004" s="118">
        <v>1001</v>
      </c>
      <c r="FD1004" s="118">
        <f t="shared" si="144"/>
        <v>9</v>
      </c>
      <c r="FE1004" s="118">
        <f t="shared" si="145"/>
        <v>63</v>
      </c>
      <c r="FF1004" s="118" t="str">
        <f t="shared" si="146"/>
        <v/>
      </c>
      <c r="FI1004" s="16">
        <v>1001</v>
      </c>
      <c r="FJ1004" s="17" t="str">
        <f t="shared" si="147"/>
        <v/>
      </c>
      <c r="FK1004" s="17" t="str">
        <f t="shared" si="143"/>
        <v/>
      </c>
      <c r="FL1004" s="18" t="str">
        <f t="shared" si="148"/>
        <v/>
      </c>
    </row>
    <row r="1005" spans="159:168">
      <c r="FC1005" s="118">
        <v>1002</v>
      </c>
      <c r="FD1005" s="118">
        <f t="shared" si="144"/>
        <v>10</v>
      </c>
      <c r="FE1005" s="118">
        <f t="shared" si="145"/>
        <v>63</v>
      </c>
      <c r="FF1005" s="118" t="str">
        <f t="shared" si="146"/>
        <v/>
      </c>
      <c r="FI1005" s="16">
        <v>1002</v>
      </c>
      <c r="FJ1005" s="17" t="str">
        <f t="shared" si="147"/>
        <v/>
      </c>
      <c r="FK1005" s="17" t="str">
        <f t="shared" si="143"/>
        <v/>
      </c>
      <c r="FL1005" s="18" t="str">
        <f t="shared" si="148"/>
        <v/>
      </c>
    </row>
    <row r="1006" spans="159:168">
      <c r="FC1006" s="118">
        <v>1003</v>
      </c>
      <c r="FD1006" s="118">
        <f t="shared" si="144"/>
        <v>11</v>
      </c>
      <c r="FE1006" s="118">
        <f t="shared" si="145"/>
        <v>63</v>
      </c>
      <c r="FF1006" s="118" t="str">
        <f t="shared" si="146"/>
        <v/>
      </c>
      <c r="FI1006" s="16">
        <v>1003</v>
      </c>
      <c r="FJ1006" s="17" t="str">
        <f t="shared" si="147"/>
        <v/>
      </c>
      <c r="FK1006" s="17" t="str">
        <f t="shared" si="143"/>
        <v/>
      </c>
      <c r="FL1006" s="18" t="str">
        <f t="shared" si="148"/>
        <v/>
      </c>
    </row>
    <row r="1007" spans="159:168">
      <c r="FC1007" s="118">
        <v>1004</v>
      </c>
      <c r="FD1007" s="118">
        <f t="shared" si="144"/>
        <v>12</v>
      </c>
      <c r="FE1007" s="118">
        <f t="shared" si="145"/>
        <v>63</v>
      </c>
      <c r="FF1007" s="118" t="str">
        <f t="shared" si="146"/>
        <v/>
      </c>
      <c r="FI1007" s="16">
        <v>1004</v>
      </c>
      <c r="FJ1007" s="17" t="str">
        <f t="shared" si="147"/>
        <v/>
      </c>
      <c r="FK1007" s="17" t="str">
        <f t="shared" si="143"/>
        <v/>
      </c>
      <c r="FL1007" s="18" t="str">
        <f t="shared" si="148"/>
        <v/>
      </c>
    </row>
    <row r="1008" spans="159:168">
      <c r="FC1008" s="118">
        <v>1005</v>
      </c>
      <c r="FD1008" s="118">
        <f t="shared" si="144"/>
        <v>13</v>
      </c>
      <c r="FE1008" s="118">
        <f t="shared" si="145"/>
        <v>63</v>
      </c>
      <c r="FF1008" s="118" t="str">
        <f t="shared" si="146"/>
        <v/>
      </c>
      <c r="FI1008" s="16">
        <v>1005</v>
      </c>
      <c r="FJ1008" s="17" t="str">
        <f t="shared" si="147"/>
        <v/>
      </c>
      <c r="FK1008" s="17" t="str">
        <f t="shared" si="143"/>
        <v/>
      </c>
      <c r="FL1008" s="18" t="str">
        <f t="shared" si="148"/>
        <v/>
      </c>
    </row>
    <row r="1009" spans="159:168">
      <c r="FC1009" s="118">
        <v>1006</v>
      </c>
      <c r="FD1009" s="118">
        <f t="shared" si="144"/>
        <v>14</v>
      </c>
      <c r="FE1009" s="118">
        <f t="shared" si="145"/>
        <v>63</v>
      </c>
      <c r="FF1009" s="118" t="str">
        <f t="shared" si="146"/>
        <v/>
      </c>
      <c r="FI1009" s="16">
        <v>1006</v>
      </c>
      <c r="FJ1009" s="17" t="str">
        <f t="shared" si="147"/>
        <v/>
      </c>
      <c r="FK1009" s="17" t="str">
        <f t="shared" si="143"/>
        <v/>
      </c>
      <c r="FL1009" s="18" t="str">
        <f t="shared" si="148"/>
        <v/>
      </c>
    </row>
    <row r="1010" spans="159:168">
      <c r="FC1010" s="118">
        <v>1007</v>
      </c>
      <c r="FD1010" s="118">
        <f t="shared" si="144"/>
        <v>15</v>
      </c>
      <c r="FE1010" s="118">
        <f t="shared" si="145"/>
        <v>63</v>
      </c>
      <c r="FF1010" s="118" t="str">
        <f t="shared" si="146"/>
        <v/>
      </c>
      <c r="FI1010" s="16">
        <v>1007</v>
      </c>
      <c r="FJ1010" s="17" t="str">
        <f t="shared" si="147"/>
        <v/>
      </c>
      <c r="FK1010" s="17" t="str">
        <f t="shared" si="143"/>
        <v/>
      </c>
      <c r="FL1010" s="18" t="str">
        <f t="shared" si="148"/>
        <v/>
      </c>
    </row>
    <row r="1011" spans="159:168">
      <c r="FC1011" s="118">
        <v>1008</v>
      </c>
      <c r="FD1011" s="118">
        <f t="shared" si="144"/>
        <v>16</v>
      </c>
      <c r="FE1011" s="118">
        <f t="shared" si="145"/>
        <v>63</v>
      </c>
      <c r="FF1011" s="118" t="str">
        <f t="shared" si="146"/>
        <v/>
      </c>
      <c r="FI1011" s="16">
        <v>1008</v>
      </c>
      <c r="FJ1011" s="17" t="str">
        <f t="shared" si="147"/>
        <v/>
      </c>
      <c r="FK1011" s="17" t="str">
        <f t="shared" si="143"/>
        <v/>
      </c>
      <c r="FL1011" s="18" t="str">
        <f t="shared" si="148"/>
        <v/>
      </c>
    </row>
    <row r="1012" spans="159:168">
      <c r="FC1012" s="118">
        <v>1009</v>
      </c>
      <c r="FD1012" s="118">
        <f t="shared" si="144"/>
        <v>1</v>
      </c>
      <c r="FE1012" s="118">
        <f t="shared" si="145"/>
        <v>64</v>
      </c>
      <c r="FF1012" s="118" t="str">
        <f t="shared" si="146"/>
        <v/>
      </c>
      <c r="FI1012" s="16">
        <v>1009</v>
      </c>
      <c r="FJ1012" s="17" t="str">
        <f t="shared" si="147"/>
        <v/>
      </c>
      <c r="FK1012" s="17" t="str">
        <f t="shared" si="143"/>
        <v/>
      </c>
      <c r="FL1012" s="18" t="str">
        <f t="shared" si="148"/>
        <v/>
      </c>
    </row>
    <row r="1013" spans="159:168">
      <c r="FC1013" s="118">
        <v>1010</v>
      </c>
      <c r="FD1013" s="118">
        <f t="shared" si="144"/>
        <v>2</v>
      </c>
      <c r="FE1013" s="118">
        <f t="shared" si="145"/>
        <v>64</v>
      </c>
      <c r="FF1013" s="118" t="str">
        <f t="shared" si="146"/>
        <v/>
      </c>
      <c r="FI1013" s="16">
        <v>1010</v>
      </c>
      <c r="FJ1013" s="17" t="str">
        <f t="shared" si="147"/>
        <v/>
      </c>
      <c r="FK1013" s="17" t="str">
        <f t="shared" si="143"/>
        <v/>
      </c>
      <c r="FL1013" s="18" t="str">
        <f t="shared" si="148"/>
        <v/>
      </c>
    </row>
    <row r="1014" spans="159:168">
      <c r="FC1014" s="118">
        <v>1011</v>
      </c>
      <c r="FD1014" s="118">
        <f t="shared" si="144"/>
        <v>3</v>
      </c>
      <c r="FE1014" s="118">
        <f t="shared" si="145"/>
        <v>64</v>
      </c>
      <c r="FF1014" s="118" t="str">
        <f t="shared" si="146"/>
        <v/>
      </c>
      <c r="FI1014" s="16">
        <v>1011</v>
      </c>
      <c r="FJ1014" s="17" t="str">
        <f t="shared" si="147"/>
        <v/>
      </c>
      <c r="FK1014" s="17" t="str">
        <f t="shared" si="143"/>
        <v/>
      </c>
      <c r="FL1014" s="18" t="str">
        <f t="shared" si="148"/>
        <v/>
      </c>
    </row>
    <row r="1015" spans="159:168">
      <c r="FC1015" s="118">
        <v>1012</v>
      </c>
      <c r="FD1015" s="118">
        <f t="shared" si="144"/>
        <v>4</v>
      </c>
      <c r="FE1015" s="118">
        <f t="shared" si="145"/>
        <v>64</v>
      </c>
      <c r="FF1015" s="118" t="str">
        <f t="shared" si="146"/>
        <v/>
      </c>
      <c r="FI1015" s="16">
        <v>1012</v>
      </c>
      <c r="FJ1015" s="17" t="str">
        <f t="shared" si="147"/>
        <v/>
      </c>
      <c r="FK1015" s="17" t="str">
        <f t="shared" si="143"/>
        <v/>
      </c>
      <c r="FL1015" s="18" t="str">
        <f t="shared" si="148"/>
        <v/>
      </c>
    </row>
    <row r="1016" spans="159:168">
      <c r="FC1016" s="118">
        <v>1013</v>
      </c>
      <c r="FD1016" s="118">
        <f t="shared" si="144"/>
        <v>5</v>
      </c>
      <c r="FE1016" s="118">
        <f t="shared" si="145"/>
        <v>64</v>
      </c>
      <c r="FF1016" s="118" t="str">
        <f t="shared" si="146"/>
        <v/>
      </c>
      <c r="FI1016" s="16">
        <v>1013</v>
      </c>
      <c r="FJ1016" s="17" t="str">
        <f t="shared" si="147"/>
        <v/>
      </c>
      <c r="FK1016" s="17" t="str">
        <f t="shared" si="143"/>
        <v/>
      </c>
      <c r="FL1016" s="18" t="str">
        <f t="shared" si="148"/>
        <v/>
      </c>
    </row>
    <row r="1017" spans="159:168">
      <c r="FC1017" s="118">
        <v>1014</v>
      </c>
      <c r="FD1017" s="118">
        <f t="shared" si="144"/>
        <v>6</v>
      </c>
      <c r="FE1017" s="118">
        <f t="shared" si="145"/>
        <v>64</v>
      </c>
      <c r="FF1017" s="118" t="str">
        <f t="shared" si="146"/>
        <v/>
      </c>
      <c r="FI1017" s="16">
        <v>1014</v>
      </c>
      <c r="FJ1017" s="17" t="str">
        <f t="shared" si="147"/>
        <v/>
      </c>
      <c r="FK1017" s="17" t="str">
        <f t="shared" si="143"/>
        <v/>
      </c>
      <c r="FL1017" s="18" t="str">
        <f t="shared" si="148"/>
        <v/>
      </c>
    </row>
    <row r="1018" spans="159:168">
      <c r="FC1018" s="118">
        <v>1015</v>
      </c>
      <c r="FD1018" s="118">
        <f t="shared" si="144"/>
        <v>7</v>
      </c>
      <c r="FE1018" s="118">
        <f t="shared" si="145"/>
        <v>64</v>
      </c>
      <c r="FF1018" s="118" t="str">
        <f t="shared" si="146"/>
        <v/>
      </c>
      <c r="FI1018" s="16">
        <v>1015</v>
      </c>
      <c r="FJ1018" s="17" t="str">
        <f t="shared" si="147"/>
        <v/>
      </c>
      <c r="FK1018" s="17" t="str">
        <f t="shared" si="143"/>
        <v/>
      </c>
      <c r="FL1018" s="18" t="str">
        <f t="shared" si="148"/>
        <v/>
      </c>
    </row>
    <row r="1019" spans="159:168">
      <c r="FC1019" s="118">
        <v>1016</v>
      </c>
      <c r="FD1019" s="118">
        <f t="shared" si="144"/>
        <v>8</v>
      </c>
      <c r="FE1019" s="118">
        <f t="shared" si="145"/>
        <v>64</v>
      </c>
      <c r="FF1019" s="118" t="str">
        <f t="shared" si="146"/>
        <v/>
      </c>
      <c r="FI1019" s="16">
        <v>1016</v>
      </c>
      <c r="FJ1019" s="17" t="str">
        <f t="shared" si="147"/>
        <v/>
      </c>
      <c r="FK1019" s="17" t="str">
        <f t="shared" si="143"/>
        <v/>
      </c>
      <c r="FL1019" s="18" t="str">
        <f t="shared" si="148"/>
        <v/>
      </c>
    </row>
    <row r="1020" spans="159:168">
      <c r="FC1020" s="118">
        <v>1017</v>
      </c>
      <c r="FD1020" s="118">
        <f t="shared" si="144"/>
        <v>9</v>
      </c>
      <c r="FE1020" s="118">
        <f t="shared" si="145"/>
        <v>64</v>
      </c>
      <c r="FF1020" s="118" t="str">
        <f t="shared" si="146"/>
        <v/>
      </c>
      <c r="FI1020" s="16">
        <v>1017</v>
      </c>
      <c r="FJ1020" s="17" t="str">
        <f t="shared" si="147"/>
        <v/>
      </c>
      <c r="FK1020" s="17" t="str">
        <f t="shared" si="143"/>
        <v/>
      </c>
      <c r="FL1020" s="18" t="str">
        <f t="shared" si="148"/>
        <v/>
      </c>
    </row>
    <row r="1021" spans="159:168">
      <c r="FC1021" s="118">
        <v>1018</v>
      </c>
      <c r="FD1021" s="118">
        <f t="shared" si="144"/>
        <v>10</v>
      </c>
      <c r="FE1021" s="118">
        <f t="shared" si="145"/>
        <v>64</v>
      </c>
      <c r="FF1021" s="118" t="str">
        <f t="shared" si="146"/>
        <v/>
      </c>
      <c r="FI1021" s="16">
        <v>1018</v>
      </c>
      <c r="FJ1021" s="17" t="str">
        <f t="shared" si="147"/>
        <v/>
      </c>
      <c r="FK1021" s="17" t="str">
        <f t="shared" si="143"/>
        <v/>
      </c>
      <c r="FL1021" s="18" t="str">
        <f t="shared" si="148"/>
        <v/>
      </c>
    </row>
    <row r="1022" spans="159:168">
      <c r="FC1022" s="118">
        <v>1019</v>
      </c>
      <c r="FD1022" s="118">
        <f t="shared" si="144"/>
        <v>11</v>
      </c>
      <c r="FE1022" s="118">
        <f t="shared" si="145"/>
        <v>64</v>
      </c>
      <c r="FF1022" s="118" t="str">
        <f t="shared" si="146"/>
        <v/>
      </c>
      <c r="FI1022" s="16">
        <v>1019</v>
      </c>
      <c r="FJ1022" s="17" t="str">
        <f t="shared" si="147"/>
        <v/>
      </c>
      <c r="FK1022" s="17" t="str">
        <f t="shared" si="143"/>
        <v/>
      </c>
      <c r="FL1022" s="18" t="str">
        <f t="shared" si="148"/>
        <v/>
      </c>
    </row>
    <row r="1023" spans="159:168">
      <c r="FC1023" s="118">
        <v>1020</v>
      </c>
      <c r="FD1023" s="118">
        <f t="shared" si="144"/>
        <v>12</v>
      </c>
      <c r="FE1023" s="118">
        <f t="shared" si="145"/>
        <v>64</v>
      </c>
      <c r="FF1023" s="118" t="str">
        <f t="shared" si="146"/>
        <v/>
      </c>
      <c r="FI1023" s="16">
        <v>1020</v>
      </c>
      <c r="FJ1023" s="17" t="str">
        <f t="shared" si="147"/>
        <v/>
      </c>
      <c r="FK1023" s="17" t="str">
        <f t="shared" si="143"/>
        <v/>
      </c>
      <c r="FL1023" s="18" t="str">
        <f t="shared" si="148"/>
        <v/>
      </c>
    </row>
    <row r="1024" spans="159:168">
      <c r="FC1024" s="118">
        <v>1021</v>
      </c>
      <c r="FD1024" s="118">
        <f t="shared" si="144"/>
        <v>13</v>
      </c>
      <c r="FE1024" s="118">
        <f t="shared" si="145"/>
        <v>64</v>
      </c>
      <c r="FF1024" s="118" t="str">
        <f t="shared" si="146"/>
        <v/>
      </c>
      <c r="FI1024" s="16">
        <v>1021</v>
      </c>
      <c r="FJ1024" s="17" t="str">
        <f t="shared" si="147"/>
        <v/>
      </c>
      <c r="FK1024" s="17" t="str">
        <f t="shared" si="143"/>
        <v/>
      </c>
      <c r="FL1024" s="18" t="str">
        <f t="shared" si="148"/>
        <v/>
      </c>
    </row>
    <row r="1025" spans="159:168">
      <c r="FC1025" s="118">
        <v>1022</v>
      </c>
      <c r="FD1025" s="118">
        <f t="shared" si="144"/>
        <v>14</v>
      </c>
      <c r="FE1025" s="118">
        <f t="shared" si="145"/>
        <v>64</v>
      </c>
      <c r="FF1025" s="118" t="str">
        <f t="shared" si="146"/>
        <v/>
      </c>
      <c r="FI1025" s="16">
        <v>1022</v>
      </c>
      <c r="FJ1025" s="17" t="str">
        <f t="shared" si="147"/>
        <v/>
      </c>
      <c r="FK1025" s="17" t="str">
        <f t="shared" si="143"/>
        <v/>
      </c>
      <c r="FL1025" s="18" t="str">
        <f t="shared" si="148"/>
        <v/>
      </c>
    </row>
    <row r="1026" spans="159:168">
      <c r="FC1026" s="118">
        <v>1023</v>
      </c>
      <c r="FD1026" s="118">
        <f t="shared" si="144"/>
        <v>15</v>
      </c>
      <c r="FE1026" s="118">
        <f t="shared" si="145"/>
        <v>64</v>
      </c>
      <c r="FF1026" s="118" t="str">
        <f t="shared" si="146"/>
        <v/>
      </c>
      <c r="FI1026" s="16">
        <v>1023</v>
      </c>
      <c r="FJ1026" s="17" t="str">
        <f t="shared" si="147"/>
        <v/>
      </c>
      <c r="FK1026" s="17" t="str">
        <f t="shared" si="143"/>
        <v/>
      </c>
      <c r="FL1026" s="18" t="str">
        <f t="shared" si="148"/>
        <v/>
      </c>
    </row>
    <row r="1027" spans="159:168">
      <c r="FC1027" s="118">
        <v>1024</v>
      </c>
      <c r="FD1027" s="118">
        <f t="shared" si="144"/>
        <v>16</v>
      </c>
      <c r="FE1027" s="118">
        <f t="shared" si="145"/>
        <v>64</v>
      </c>
      <c r="FF1027" s="118" t="str">
        <f t="shared" si="146"/>
        <v/>
      </c>
      <c r="FI1027" s="16">
        <v>1024</v>
      </c>
      <c r="FJ1027" s="17" t="str">
        <f t="shared" si="147"/>
        <v/>
      </c>
      <c r="FK1027" s="17" t="str">
        <f t="shared" si="143"/>
        <v/>
      </c>
      <c r="FL1027" s="18" t="str">
        <f t="shared" si="148"/>
        <v/>
      </c>
    </row>
    <row r="1028" spans="159:168">
      <c r="FC1028" s="118">
        <v>1025</v>
      </c>
      <c r="FD1028" s="118">
        <f t="shared" si="144"/>
        <v>1</v>
      </c>
      <c r="FE1028" s="118">
        <f t="shared" si="145"/>
        <v>65</v>
      </c>
      <c r="FF1028" s="118" t="str">
        <f t="shared" si="146"/>
        <v/>
      </c>
      <c r="FI1028" s="16">
        <v>1025</v>
      </c>
      <c r="FJ1028" s="17" t="str">
        <f t="shared" si="147"/>
        <v/>
      </c>
      <c r="FK1028" s="17" t="str">
        <f t="shared" si="143"/>
        <v/>
      </c>
      <c r="FL1028" s="18" t="str">
        <f t="shared" si="148"/>
        <v/>
      </c>
    </row>
    <row r="1029" spans="159:168">
      <c r="FC1029" s="118">
        <v>1026</v>
      </c>
      <c r="FD1029" s="118">
        <f t="shared" si="144"/>
        <v>2</v>
      </c>
      <c r="FE1029" s="118">
        <f t="shared" si="145"/>
        <v>65</v>
      </c>
      <c r="FF1029" s="118" t="str">
        <f t="shared" si="146"/>
        <v/>
      </c>
      <c r="FI1029" s="16">
        <v>1026</v>
      </c>
      <c r="FJ1029" s="17" t="str">
        <f t="shared" si="147"/>
        <v/>
      </c>
      <c r="FK1029" s="17" t="str">
        <f t="shared" ref="FK1029:FK1092" si="149">IF(FI1029&lt;=$FH$2,FF1029,IF(FI1029&lt;=$FH$2+$FH$3,INDEX($FJ$4:$FJ$2494,FI1029-$FH$2),""))</f>
        <v/>
      </c>
      <c r="FL1029" s="18" t="str">
        <f t="shared" si="148"/>
        <v/>
      </c>
    </row>
    <row r="1030" spans="159:168">
      <c r="FC1030" s="118">
        <v>1027</v>
      </c>
      <c r="FD1030" s="118">
        <f t="shared" si="144"/>
        <v>3</v>
      </c>
      <c r="FE1030" s="118">
        <f t="shared" si="145"/>
        <v>65</v>
      </c>
      <c r="FF1030" s="118" t="str">
        <f t="shared" si="146"/>
        <v/>
      </c>
      <c r="FI1030" s="16">
        <v>1027</v>
      </c>
      <c r="FJ1030" s="17" t="str">
        <f t="shared" si="147"/>
        <v/>
      </c>
      <c r="FK1030" s="17" t="str">
        <f t="shared" si="149"/>
        <v/>
      </c>
      <c r="FL1030" s="18" t="str">
        <f t="shared" si="148"/>
        <v/>
      </c>
    </row>
    <row r="1031" spans="159:168">
      <c r="FC1031" s="118">
        <v>1028</v>
      </c>
      <c r="FD1031" s="118">
        <f t="shared" si="144"/>
        <v>4</v>
      </c>
      <c r="FE1031" s="118">
        <f t="shared" si="145"/>
        <v>65</v>
      </c>
      <c r="FF1031" s="118" t="str">
        <f t="shared" si="146"/>
        <v/>
      </c>
      <c r="FI1031" s="16">
        <v>1028</v>
      </c>
      <c r="FJ1031" s="17" t="str">
        <f t="shared" si="147"/>
        <v/>
      </c>
      <c r="FK1031" s="17" t="str">
        <f t="shared" si="149"/>
        <v/>
      </c>
      <c r="FL1031" s="18" t="str">
        <f t="shared" si="148"/>
        <v/>
      </c>
    </row>
    <row r="1032" spans="159:168">
      <c r="FC1032" s="118">
        <v>1029</v>
      </c>
      <c r="FD1032" s="118">
        <f t="shared" si="144"/>
        <v>5</v>
      </c>
      <c r="FE1032" s="118">
        <f t="shared" si="145"/>
        <v>65</v>
      </c>
      <c r="FF1032" s="118" t="str">
        <f t="shared" si="146"/>
        <v/>
      </c>
      <c r="FI1032" s="16">
        <v>1029</v>
      </c>
      <c r="FJ1032" s="17" t="str">
        <f t="shared" si="147"/>
        <v/>
      </c>
      <c r="FK1032" s="17" t="str">
        <f t="shared" si="149"/>
        <v/>
      </c>
      <c r="FL1032" s="18" t="str">
        <f t="shared" si="148"/>
        <v/>
      </c>
    </row>
    <row r="1033" spans="159:168">
      <c r="FC1033" s="118">
        <v>1030</v>
      </c>
      <c r="FD1033" s="118">
        <f t="shared" si="144"/>
        <v>6</v>
      </c>
      <c r="FE1033" s="118">
        <f t="shared" si="145"/>
        <v>65</v>
      </c>
      <c r="FF1033" s="118" t="str">
        <f t="shared" si="146"/>
        <v/>
      </c>
      <c r="FI1033" s="16">
        <v>1030</v>
      </c>
      <c r="FJ1033" s="17" t="str">
        <f t="shared" si="147"/>
        <v/>
      </c>
      <c r="FK1033" s="17" t="str">
        <f t="shared" si="149"/>
        <v/>
      </c>
      <c r="FL1033" s="18" t="str">
        <f t="shared" si="148"/>
        <v/>
      </c>
    </row>
    <row r="1034" spans="159:168">
      <c r="FC1034" s="118">
        <v>1031</v>
      </c>
      <c r="FD1034" s="118">
        <f t="shared" si="144"/>
        <v>7</v>
      </c>
      <c r="FE1034" s="118">
        <f t="shared" si="145"/>
        <v>65</v>
      </c>
      <c r="FF1034" s="118" t="str">
        <f t="shared" si="146"/>
        <v/>
      </c>
      <c r="FI1034" s="16">
        <v>1031</v>
      </c>
      <c r="FJ1034" s="17" t="str">
        <f t="shared" si="147"/>
        <v/>
      </c>
      <c r="FK1034" s="17" t="str">
        <f t="shared" si="149"/>
        <v/>
      </c>
      <c r="FL1034" s="18" t="str">
        <f t="shared" si="148"/>
        <v/>
      </c>
    </row>
    <row r="1035" spans="159:168">
      <c r="FC1035" s="118">
        <v>1032</v>
      </c>
      <c r="FD1035" s="118">
        <f t="shared" si="144"/>
        <v>8</v>
      </c>
      <c r="FE1035" s="118">
        <f t="shared" si="145"/>
        <v>65</v>
      </c>
      <c r="FF1035" s="118" t="str">
        <f t="shared" si="146"/>
        <v/>
      </c>
      <c r="FI1035" s="16">
        <v>1032</v>
      </c>
      <c r="FJ1035" s="17" t="str">
        <f t="shared" si="147"/>
        <v/>
      </c>
      <c r="FK1035" s="17" t="str">
        <f t="shared" si="149"/>
        <v/>
      </c>
      <c r="FL1035" s="18" t="str">
        <f t="shared" si="148"/>
        <v/>
      </c>
    </row>
    <row r="1036" spans="159:168">
      <c r="FC1036" s="118">
        <v>1033</v>
      </c>
      <c r="FD1036" s="118">
        <f t="shared" si="144"/>
        <v>9</v>
      </c>
      <c r="FE1036" s="118">
        <f t="shared" si="145"/>
        <v>65</v>
      </c>
      <c r="FF1036" s="118" t="str">
        <f t="shared" si="146"/>
        <v/>
      </c>
      <c r="FI1036" s="16">
        <v>1033</v>
      </c>
      <c r="FJ1036" s="17" t="str">
        <f t="shared" si="147"/>
        <v/>
      </c>
      <c r="FK1036" s="17" t="str">
        <f t="shared" si="149"/>
        <v/>
      </c>
      <c r="FL1036" s="18" t="str">
        <f t="shared" si="148"/>
        <v/>
      </c>
    </row>
    <row r="1037" spans="159:168">
      <c r="FC1037" s="118">
        <v>1034</v>
      </c>
      <c r="FD1037" s="118">
        <f t="shared" si="144"/>
        <v>10</v>
      </c>
      <c r="FE1037" s="118">
        <f t="shared" si="145"/>
        <v>65</v>
      </c>
      <c r="FF1037" s="118" t="str">
        <f t="shared" si="146"/>
        <v/>
      </c>
      <c r="FI1037" s="16">
        <v>1034</v>
      </c>
      <c r="FJ1037" s="17" t="str">
        <f t="shared" si="147"/>
        <v/>
      </c>
      <c r="FK1037" s="17" t="str">
        <f t="shared" si="149"/>
        <v/>
      </c>
      <c r="FL1037" s="18" t="str">
        <f t="shared" si="148"/>
        <v/>
      </c>
    </row>
    <row r="1038" spans="159:168">
      <c r="FC1038" s="118">
        <v>1035</v>
      </c>
      <c r="FD1038" s="118">
        <f t="shared" si="144"/>
        <v>11</v>
      </c>
      <c r="FE1038" s="118">
        <f t="shared" si="145"/>
        <v>65</v>
      </c>
      <c r="FF1038" s="118" t="str">
        <f t="shared" si="146"/>
        <v/>
      </c>
      <c r="FI1038" s="16">
        <v>1035</v>
      </c>
      <c r="FJ1038" s="17" t="str">
        <f t="shared" si="147"/>
        <v/>
      </c>
      <c r="FK1038" s="17" t="str">
        <f t="shared" si="149"/>
        <v/>
      </c>
      <c r="FL1038" s="18" t="str">
        <f t="shared" si="148"/>
        <v/>
      </c>
    </row>
    <row r="1039" spans="159:168">
      <c r="FC1039" s="118">
        <v>1036</v>
      </c>
      <c r="FD1039" s="118">
        <f t="shared" si="144"/>
        <v>12</v>
      </c>
      <c r="FE1039" s="118">
        <f t="shared" si="145"/>
        <v>65</v>
      </c>
      <c r="FF1039" s="118" t="str">
        <f t="shared" si="146"/>
        <v/>
      </c>
      <c r="FI1039" s="16">
        <v>1036</v>
      </c>
      <c r="FJ1039" s="17" t="str">
        <f t="shared" si="147"/>
        <v/>
      </c>
      <c r="FK1039" s="17" t="str">
        <f t="shared" si="149"/>
        <v/>
      </c>
      <c r="FL1039" s="18" t="str">
        <f t="shared" si="148"/>
        <v/>
      </c>
    </row>
    <row r="1040" spans="159:168">
      <c r="FC1040" s="118">
        <v>1037</v>
      </c>
      <c r="FD1040" s="118">
        <f t="shared" si="144"/>
        <v>13</v>
      </c>
      <c r="FE1040" s="118">
        <f t="shared" si="145"/>
        <v>65</v>
      </c>
      <c r="FF1040" s="118" t="str">
        <f t="shared" si="146"/>
        <v/>
      </c>
      <c r="FI1040" s="16">
        <v>1037</v>
      </c>
      <c r="FJ1040" s="17" t="str">
        <f t="shared" si="147"/>
        <v/>
      </c>
      <c r="FK1040" s="17" t="str">
        <f t="shared" si="149"/>
        <v/>
      </c>
      <c r="FL1040" s="18" t="str">
        <f t="shared" si="148"/>
        <v/>
      </c>
    </row>
    <row r="1041" spans="159:168">
      <c r="FC1041" s="118">
        <v>1038</v>
      </c>
      <c r="FD1041" s="118">
        <f t="shared" si="144"/>
        <v>14</v>
      </c>
      <c r="FE1041" s="118">
        <f t="shared" si="145"/>
        <v>65</v>
      </c>
      <c r="FF1041" s="118" t="str">
        <f t="shared" si="146"/>
        <v/>
      </c>
      <c r="FI1041" s="16">
        <v>1038</v>
      </c>
      <c r="FJ1041" s="17" t="str">
        <f t="shared" si="147"/>
        <v/>
      </c>
      <c r="FK1041" s="17" t="str">
        <f t="shared" si="149"/>
        <v/>
      </c>
      <c r="FL1041" s="18" t="str">
        <f t="shared" si="148"/>
        <v/>
      </c>
    </row>
    <row r="1042" spans="159:168">
      <c r="FC1042" s="118">
        <v>1039</v>
      </c>
      <c r="FD1042" s="118">
        <f t="shared" si="144"/>
        <v>15</v>
      </c>
      <c r="FE1042" s="118">
        <f t="shared" si="145"/>
        <v>65</v>
      </c>
      <c r="FF1042" s="118" t="str">
        <f t="shared" si="146"/>
        <v/>
      </c>
      <c r="FI1042" s="16">
        <v>1039</v>
      </c>
      <c r="FJ1042" s="17" t="str">
        <f t="shared" si="147"/>
        <v/>
      </c>
      <c r="FK1042" s="17" t="str">
        <f t="shared" si="149"/>
        <v/>
      </c>
      <c r="FL1042" s="18" t="str">
        <f t="shared" si="148"/>
        <v/>
      </c>
    </row>
    <row r="1043" spans="159:168">
      <c r="FC1043" s="118">
        <v>1040</v>
      </c>
      <c r="FD1043" s="118">
        <f t="shared" si="144"/>
        <v>16</v>
      </c>
      <c r="FE1043" s="118">
        <f t="shared" si="145"/>
        <v>65</v>
      </c>
      <c r="FF1043" s="118" t="str">
        <f t="shared" si="146"/>
        <v/>
      </c>
      <c r="FI1043" s="16">
        <v>1040</v>
      </c>
      <c r="FJ1043" s="17" t="str">
        <f t="shared" si="147"/>
        <v/>
      </c>
      <c r="FK1043" s="17" t="str">
        <f t="shared" si="149"/>
        <v/>
      </c>
      <c r="FL1043" s="18" t="str">
        <f t="shared" si="148"/>
        <v/>
      </c>
    </row>
    <row r="1044" spans="159:168">
      <c r="FC1044" s="118">
        <v>1041</v>
      </c>
      <c r="FD1044" s="118">
        <f t="shared" si="144"/>
        <v>1</v>
      </c>
      <c r="FE1044" s="118">
        <f t="shared" si="145"/>
        <v>66</v>
      </c>
      <c r="FF1044" s="118" t="str">
        <f t="shared" si="146"/>
        <v/>
      </c>
      <c r="FI1044" s="16">
        <v>1041</v>
      </c>
      <c r="FJ1044" s="17" t="str">
        <f t="shared" si="147"/>
        <v/>
      </c>
      <c r="FK1044" s="17" t="str">
        <f t="shared" si="149"/>
        <v/>
      </c>
      <c r="FL1044" s="18" t="str">
        <f t="shared" si="148"/>
        <v/>
      </c>
    </row>
    <row r="1045" spans="159:168">
      <c r="FC1045" s="118">
        <v>1042</v>
      </c>
      <c r="FD1045" s="118">
        <f t="shared" si="144"/>
        <v>2</v>
      </c>
      <c r="FE1045" s="118">
        <f t="shared" si="145"/>
        <v>66</v>
      </c>
      <c r="FF1045" s="118" t="str">
        <f t="shared" si="146"/>
        <v/>
      </c>
      <c r="FI1045" s="16">
        <v>1042</v>
      </c>
      <c r="FJ1045" s="17" t="str">
        <f t="shared" si="147"/>
        <v/>
      </c>
      <c r="FK1045" s="17" t="str">
        <f t="shared" si="149"/>
        <v/>
      </c>
      <c r="FL1045" s="18" t="str">
        <f t="shared" si="148"/>
        <v/>
      </c>
    </row>
    <row r="1046" spans="159:168">
      <c r="FC1046" s="118">
        <v>1043</v>
      </c>
      <c r="FD1046" s="118">
        <f t="shared" ref="FD1046:FD1109" si="150">IF(MOD(FC1046,$FB$1+$FB$2)=0,$FB$1+$FB$2,MOD(FC1046,$FB$1+$FB$2))</f>
        <v>3</v>
      </c>
      <c r="FE1046" s="118">
        <f t="shared" ref="FE1046:FE1109" si="151">ROUNDUP(FC1046/($FB$1+$FB$2),0)</f>
        <v>66</v>
      </c>
      <c r="FF1046" s="118" t="str">
        <f t="shared" ref="FF1046:FF1109" si="152">IF(FE1046&lt;$FB$3,INDEX($E$4:$DV$84,FD1046,FE1046),IF(FE1046=$FB$3,INDEX($E$4:$DV$84,FD1046+$FB$1,FE1046),""))</f>
        <v/>
      </c>
      <c r="FI1046" s="16">
        <v>1043</v>
      </c>
      <c r="FJ1046" s="17" t="str">
        <f t="shared" ref="FJ1046:FJ1109" si="153">IF(FE1046&lt;=$FH$1,INDEX($DW$4:$EZ$84,FD1046,FE1046),"")</f>
        <v/>
      </c>
      <c r="FK1046" s="17" t="str">
        <f t="shared" si="149"/>
        <v/>
      </c>
      <c r="FL1046" s="18" t="str">
        <f t="shared" ref="FL1046:FL1109" si="154">IFERROR(TEXT(DEC2BIN(FK1046),"00000000"),"")</f>
        <v/>
      </c>
    </row>
    <row r="1047" spans="159:168">
      <c r="FC1047" s="118">
        <v>1044</v>
      </c>
      <c r="FD1047" s="118">
        <f t="shared" si="150"/>
        <v>4</v>
      </c>
      <c r="FE1047" s="118">
        <f t="shared" si="151"/>
        <v>66</v>
      </c>
      <c r="FF1047" s="118" t="str">
        <f t="shared" si="152"/>
        <v/>
      </c>
      <c r="FI1047" s="16">
        <v>1044</v>
      </c>
      <c r="FJ1047" s="17" t="str">
        <f t="shared" si="153"/>
        <v/>
      </c>
      <c r="FK1047" s="17" t="str">
        <f t="shared" si="149"/>
        <v/>
      </c>
      <c r="FL1047" s="18" t="str">
        <f t="shared" si="154"/>
        <v/>
      </c>
    </row>
    <row r="1048" spans="159:168">
      <c r="FC1048" s="118">
        <v>1045</v>
      </c>
      <c r="FD1048" s="118">
        <f t="shared" si="150"/>
        <v>5</v>
      </c>
      <c r="FE1048" s="118">
        <f t="shared" si="151"/>
        <v>66</v>
      </c>
      <c r="FF1048" s="118" t="str">
        <f t="shared" si="152"/>
        <v/>
      </c>
      <c r="FI1048" s="16">
        <v>1045</v>
      </c>
      <c r="FJ1048" s="17" t="str">
        <f t="shared" si="153"/>
        <v/>
      </c>
      <c r="FK1048" s="17" t="str">
        <f t="shared" si="149"/>
        <v/>
      </c>
      <c r="FL1048" s="18" t="str">
        <f t="shared" si="154"/>
        <v/>
      </c>
    </row>
    <row r="1049" spans="159:168">
      <c r="FC1049" s="118">
        <v>1046</v>
      </c>
      <c r="FD1049" s="118">
        <f t="shared" si="150"/>
        <v>6</v>
      </c>
      <c r="FE1049" s="118">
        <f t="shared" si="151"/>
        <v>66</v>
      </c>
      <c r="FF1049" s="118" t="str">
        <f t="shared" si="152"/>
        <v/>
      </c>
      <c r="FI1049" s="16">
        <v>1046</v>
      </c>
      <c r="FJ1049" s="17" t="str">
        <f t="shared" si="153"/>
        <v/>
      </c>
      <c r="FK1049" s="17" t="str">
        <f t="shared" si="149"/>
        <v/>
      </c>
      <c r="FL1049" s="18" t="str">
        <f t="shared" si="154"/>
        <v/>
      </c>
    </row>
    <row r="1050" spans="159:168">
      <c r="FC1050" s="118">
        <v>1047</v>
      </c>
      <c r="FD1050" s="118">
        <f t="shared" si="150"/>
        <v>7</v>
      </c>
      <c r="FE1050" s="118">
        <f t="shared" si="151"/>
        <v>66</v>
      </c>
      <c r="FF1050" s="118" t="str">
        <f t="shared" si="152"/>
        <v/>
      </c>
      <c r="FI1050" s="16">
        <v>1047</v>
      </c>
      <c r="FJ1050" s="17" t="str">
        <f t="shared" si="153"/>
        <v/>
      </c>
      <c r="FK1050" s="17" t="str">
        <f t="shared" si="149"/>
        <v/>
      </c>
      <c r="FL1050" s="18" t="str">
        <f t="shared" si="154"/>
        <v/>
      </c>
    </row>
    <row r="1051" spans="159:168">
      <c r="FC1051" s="118">
        <v>1048</v>
      </c>
      <c r="FD1051" s="118">
        <f t="shared" si="150"/>
        <v>8</v>
      </c>
      <c r="FE1051" s="118">
        <f t="shared" si="151"/>
        <v>66</v>
      </c>
      <c r="FF1051" s="118" t="str">
        <f t="shared" si="152"/>
        <v/>
      </c>
      <c r="FI1051" s="16">
        <v>1048</v>
      </c>
      <c r="FJ1051" s="17" t="str">
        <f t="shared" si="153"/>
        <v/>
      </c>
      <c r="FK1051" s="17" t="str">
        <f t="shared" si="149"/>
        <v/>
      </c>
      <c r="FL1051" s="18" t="str">
        <f t="shared" si="154"/>
        <v/>
      </c>
    </row>
    <row r="1052" spans="159:168">
      <c r="FC1052" s="118">
        <v>1049</v>
      </c>
      <c r="FD1052" s="118">
        <f t="shared" si="150"/>
        <v>9</v>
      </c>
      <c r="FE1052" s="118">
        <f t="shared" si="151"/>
        <v>66</v>
      </c>
      <c r="FF1052" s="118" t="str">
        <f t="shared" si="152"/>
        <v/>
      </c>
      <c r="FI1052" s="16">
        <v>1049</v>
      </c>
      <c r="FJ1052" s="17" t="str">
        <f t="shared" si="153"/>
        <v/>
      </c>
      <c r="FK1052" s="17" t="str">
        <f t="shared" si="149"/>
        <v/>
      </c>
      <c r="FL1052" s="18" t="str">
        <f t="shared" si="154"/>
        <v/>
      </c>
    </row>
    <row r="1053" spans="159:168">
      <c r="FC1053" s="118">
        <v>1050</v>
      </c>
      <c r="FD1053" s="118">
        <f t="shared" si="150"/>
        <v>10</v>
      </c>
      <c r="FE1053" s="118">
        <f t="shared" si="151"/>
        <v>66</v>
      </c>
      <c r="FF1053" s="118" t="str">
        <f t="shared" si="152"/>
        <v/>
      </c>
      <c r="FI1053" s="16">
        <v>1050</v>
      </c>
      <c r="FJ1053" s="17" t="str">
        <f t="shared" si="153"/>
        <v/>
      </c>
      <c r="FK1053" s="17" t="str">
        <f t="shared" si="149"/>
        <v/>
      </c>
      <c r="FL1053" s="18" t="str">
        <f t="shared" si="154"/>
        <v/>
      </c>
    </row>
    <row r="1054" spans="159:168">
      <c r="FC1054" s="118">
        <v>1051</v>
      </c>
      <c r="FD1054" s="118">
        <f t="shared" si="150"/>
        <v>11</v>
      </c>
      <c r="FE1054" s="118">
        <f t="shared" si="151"/>
        <v>66</v>
      </c>
      <c r="FF1054" s="118" t="str">
        <f t="shared" si="152"/>
        <v/>
      </c>
      <c r="FI1054" s="16">
        <v>1051</v>
      </c>
      <c r="FJ1054" s="17" t="str">
        <f t="shared" si="153"/>
        <v/>
      </c>
      <c r="FK1054" s="17" t="str">
        <f t="shared" si="149"/>
        <v/>
      </c>
      <c r="FL1054" s="18" t="str">
        <f t="shared" si="154"/>
        <v/>
      </c>
    </row>
    <row r="1055" spans="159:168">
      <c r="FC1055" s="118">
        <v>1052</v>
      </c>
      <c r="FD1055" s="118">
        <f t="shared" si="150"/>
        <v>12</v>
      </c>
      <c r="FE1055" s="118">
        <f t="shared" si="151"/>
        <v>66</v>
      </c>
      <c r="FF1055" s="118" t="str">
        <f t="shared" si="152"/>
        <v/>
      </c>
      <c r="FI1055" s="16">
        <v>1052</v>
      </c>
      <c r="FJ1055" s="17" t="str">
        <f t="shared" si="153"/>
        <v/>
      </c>
      <c r="FK1055" s="17" t="str">
        <f t="shared" si="149"/>
        <v/>
      </c>
      <c r="FL1055" s="18" t="str">
        <f t="shared" si="154"/>
        <v/>
      </c>
    </row>
    <row r="1056" spans="159:168">
      <c r="FC1056" s="118">
        <v>1053</v>
      </c>
      <c r="FD1056" s="118">
        <f t="shared" si="150"/>
        <v>13</v>
      </c>
      <c r="FE1056" s="118">
        <f t="shared" si="151"/>
        <v>66</v>
      </c>
      <c r="FF1056" s="118" t="str">
        <f t="shared" si="152"/>
        <v/>
      </c>
      <c r="FI1056" s="16">
        <v>1053</v>
      </c>
      <c r="FJ1056" s="17" t="str">
        <f t="shared" si="153"/>
        <v/>
      </c>
      <c r="FK1056" s="17" t="str">
        <f t="shared" si="149"/>
        <v/>
      </c>
      <c r="FL1056" s="18" t="str">
        <f t="shared" si="154"/>
        <v/>
      </c>
    </row>
    <row r="1057" spans="159:168">
      <c r="FC1057" s="118">
        <v>1054</v>
      </c>
      <c r="FD1057" s="118">
        <f t="shared" si="150"/>
        <v>14</v>
      </c>
      <c r="FE1057" s="118">
        <f t="shared" si="151"/>
        <v>66</v>
      </c>
      <c r="FF1057" s="118" t="str">
        <f t="shared" si="152"/>
        <v/>
      </c>
      <c r="FI1057" s="16">
        <v>1054</v>
      </c>
      <c r="FJ1057" s="17" t="str">
        <f t="shared" si="153"/>
        <v/>
      </c>
      <c r="FK1057" s="17" t="str">
        <f t="shared" si="149"/>
        <v/>
      </c>
      <c r="FL1057" s="18" t="str">
        <f t="shared" si="154"/>
        <v/>
      </c>
    </row>
    <row r="1058" spans="159:168">
      <c r="FC1058" s="118">
        <v>1055</v>
      </c>
      <c r="FD1058" s="118">
        <f t="shared" si="150"/>
        <v>15</v>
      </c>
      <c r="FE1058" s="118">
        <f t="shared" si="151"/>
        <v>66</v>
      </c>
      <c r="FF1058" s="118" t="str">
        <f t="shared" si="152"/>
        <v/>
      </c>
      <c r="FI1058" s="16">
        <v>1055</v>
      </c>
      <c r="FJ1058" s="17" t="str">
        <f t="shared" si="153"/>
        <v/>
      </c>
      <c r="FK1058" s="17" t="str">
        <f t="shared" si="149"/>
        <v/>
      </c>
      <c r="FL1058" s="18" t="str">
        <f t="shared" si="154"/>
        <v/>
      </c>
    </row>
    <row r="1059" spans="159:168">
      <c r="FC1059" s="118">
        <v>1056</v>
      </c>
      <c r="FD1059" s="118">
        <f t="shared" si="150"/>
        <v>16</v>
      </c>
      <c r="FE1059" s="118">
        <f t="shared" si="151"/>
        <v>66</v>
      </c>
      <c r="FF1059" s="118" t="str">
        <f t="shared" si="152"/>
        <v/>
      </c>
      <c r="FI1059" s="16">
        <v>1056</v>
      </c>
      <c r="FJ1059" s="17" t="str">
        <f t="shared" si="153"/>
        <v/>
      </c>
      <c r="FK1059" s="17" t="str">
        <f t="shared" si="149"/>
        <v/>
      </c>
      <c r="FL1059" s="18" t="str">
        <f t="shared" si="154"/>
        <v/>
      </c>
    </row>
    <row r="1060" spans="159:168">
      <c r="FC1060" s="118">
        <v>1057</v>
      </c>
      <c r="FD1060" s="118">
        <f t="shared" si="150"/>
        <v>1</v>
      </c>
      <c r="FE1060" s="118">
        <f t="shared" si="151"/>
        <v>67</v>
      </c>
      <c r="FF1060" s="118" t="str">
        <f t="shared" si="152"/>
        <v/>
      </c>
      <c r="FI1060" s="16">
        <v>1057</v>
      </c>
      <c r="FJ1060" s="17" t="str">
        <f t="shared" si="153"/>
        <v/>
      </c>
      <c r="FK1060" s="17" t="str">
        <f t="shared" si="149"/>
        <v/>
      </c>
      <c r="FL1060" s="18" t="str">
        <f t="shared" si="154"/>
        <v/>
      </c>
    </row>
    <row r="1061" spans="159:168">
      <c r="FC1061" s="118">
        <v>1058</v>
      </c>
      <c r="FD1061" s="118">
        <f t="shared" si="150"/>
        <v>2</v>
      </c>
      <c r="FE1061" s="118">
        <f t="shared" si="151"/>
        <v>67</v>
      </c>
      <c r="FF1061" s="118" t="str">
        <f t="shared" si="152"/>
        <v/>
      </c>
      <c r="FI1061" s="16">
        <v>1058</v>
      </c>
      <c r="FJ1061" s="17" t="str">
        <f t="shared" si="153"/>
        <v/>
      </c>
      <c r="FK1061" s="17" t="str">
        <f t="shared" si="149"/>
        <v/>
      </c>
      <c r="FL1061" s="18" t="str">
        <f t="shared" si="154"/>
        <v/>
      </c>
    </row>
    <row r="1062" spans="159:168">
      <c r="FC1062" s="118">
        <v>1059</v>
      </c>
      <c r="FD1062" s="118">
        <f t="shared" si="150"/>
        <v>3</v>
      </c>
      <c r="FE1062" s="118">
        <f t="shared" si="151"/>
        <v>67</v>
      </c>
      <c r="FF1062" s="118" t="str">
        <f t="shared" si="152"/>
        <v/>
      </c>
      <c r="FI1062" s="16">
        <v>1059</v>
      </c>
      <c r="FJ1062" s="17" t="str">
        <f t="shared" si="153"/>
        <v/>
      </c>
      <c r="FK1062" s="17" t="str">
        <f t="shared" si="149"/>
        <v/>
      </c>
      <c r="FL1062" s="18" t="str">
        <f t="shared" si="154"/>
        <v/>
      </c>
    </row>
    <row r="1063" spans="159:168">
      <c r="FC1063" s="118">
        <v>1060</v>
      </c>
      <c r="FD1063" s="118">
        <f t="shared" si="150"/>
        <v>4</v>
      </c>
      <c r="FE1063" s="118">
        <f t="shared" si="151"/>
        <v>67</v>
      </c>
      <c r="FF1063" s="118" t="str">
        <f t="shared" si="152"/>
        <v/>
      </c>
      <c r="FI1063" s="16">
        <v>1060</v>
      </c>
      <c r="FJ1063" s="17" t="str">
        <f t="shared" si="153"/>
        <v/>
      </c>
      <c r="FK1063" s="17" t="str">
        <f t="shared" si="149"/>
        <v/>
      </c>
      <c r="FL1063" s="18" t="str">
        <f t="shared" si="154"/>
        <v/>
      </c>
    </row>
    <row r="1064" spans="159:168">
      <c r="FC1064" s="118">
        <v>1061</v>
      </c>
      <c r="FD1064" s="118">
        <f t="shared" si="150"/>
        <v>5</v>
      </c>
      <c r="FE1064" s="118">
        <f t="shared" si="151"/>
        <v>67</v>
      </c>
      <c r="FF1064" s="118" t="str">
        <f t="shared" si="152"/>
        <v/>
      </c>
      <c r="FI1064" s="16">
        <v>1061</v>
      </c>
      <c r="FJ1064" s="17" t="str">
        <f t="shared" si="153"/>
        <v/>
      </c>
      <c r="FK1064" s="17" t="str">
        <f t="shared" si="149"/>
        <v/>
      </c>
      <c r="FL1064" s="18" t="str">
        <f t="shared" si="154"/>
        <v/>
      </c>
    </row>
    <row r="1065" spans="159:168">
      <c r="FC1065" s="118">
        <v>1062</v>
      </c>
      <c r="FD1065" s="118">
        <f t="shared" si="150"/>
        <v>6</v>
      </c>
      <c r="FE1065" s="118">
        <f t="shared" si="151"/>
        <v>67</v>
      </c>
      <c r="FF1065" s="118" t="str">
        <f t="shared" si="152"/>
        <v/>
      </c>
      <c r="FI1065" s="16">
        <v>1062</v>
      </c>
      <c r="FJ1065" s="17" t="str">
        <f t="shared" si="153"/>
        <v/>
      </c>
      <c r="FK1065" s="17" t="str">
        <f t="shared" si="149"/>
        <v/>
      </c>
      <c r="FL1065" s="18" t="str">
        <f t="shared" si="154"/>
        <v/>
      </c>
    </row>
    <row r="1066" spans="159:168">
      <c r="FC1066" s="118">
        <v>1063</v>
      </c>
      <c r="FD1066" s="118">
        <f t="shared" si="150"/>
        <v>7</v>
      </c>
      <c r="FE1066" s="118">
        <f t="shared" si="151"/>
        <v>67</v>
      </c>
      <c r="FF1066" s="118" t="str">
        <f t="shared" si="152"/>
        <v/>
      </c>
      <c r="FI1066" s="16">
        <v>1063</v>
      </c>
      <c r="FJ1066" s="17" t="str">
        <f t="shared" si="153"/>
        <v/>
      </c>
      <c r="FK1066" s="17" t="str">
        <f t="shared" si="149"/>
        <v/>
      </c>
      <c r="FL1066" s="18" t="str">
        <f t="shared" si="154"/>
        <v/>
      </c>
    </row>
    <row r="1067" spans="159:168">
      <c r="FC1067" s="118">
        <v>1064</v>
      </c>
      <c r="FD1067" s="118">
        <f t="shared" si="150"/>
        <v>8</v>
      </c>
      <c r="FE1067" s="118">
        <f t="shared" si="151"/>
        <v>67</v>
      </c>
      <c r="FF1067" s="118" t="str">
        <f t="shared" si="152"/>
        <v/>
      </c>
      <c r="FI1067" s="16">
        <v>1064</v>
      </c>
      <c r="FJ1067" s="17" t="str">
        <f t="shared" si="153"/>
        <v/>
      </c>
      <c r="FK1067" s="17" t="str">
        <f t="shared" si="149"/>
        <v/>
      </c>
      <c r="FL1067" s="18" t="str">
        <f t="shared" si="154"/>
        <v/>
      </c>
    </row>
    <row r="1068" spans="159:168">
      <c r="FC1068" s="118">
        <v>1065</v>
      </c>
      <c r="FD1068" s="118">
        <f t="shared" si="150"/>
        <v>9</v>
      </c>
      <c r="FE1068" s="118">
        <f t="shared" si="151"/>
        <v>67</v>
      </c>
      <c r="FF1068" s="118" t="str">
        <f t="shared" si="152"/>
        <v/>
      </c>
      <c r="FI1068" s="16">
        <v>1065</v>
      </c>
      <c r="FJ1068" s="17" t="str">
        <f t="shared" si="153"/>
        <v/>
      </c>
      <c r="FK1068" s="17" t="str">
        <f t="shared" si="149"/>
        <v/>
      </c>
      <c r="FL1068" s="18" t="str">
        <f t="shared" si="154"/>
        <v/>
      </c>
    </row>
    <row r="1069" spans="159:168">
      <c r="FC1069" s="118">
        <v>1066</v>
      </c>
      <c r="FD1069" s="118">
        <f t="shared" si="150"/>
        <v>10</v>
      </c>
      <c r="FE1069" s="118">
        <f t="shared" si="151"/>
        <v>67</v>
      </c>
      <c r="FF1069" s="118" t="str">
        <f t="shared" si="152"/>
        <v/>
      </c>
      <c r="FI1069" s="16">
        <v>1066</v>
      </c>
      <c r="FJ1069" s="17" t="str">
        <f t="shared" si="153"/>
        <v/>
      </c>
      <c r="FK1069" s="17" t="str">
        <f t="shared" si="149"/>
        <v/>
      </c>
      <c r="FL1069" s="18" t="str">
        <f t="shared" si="154"/>
        <v/>
      </c>
    </row>
    <row r="1070" spans="159:168">
      <c r="FC1070" s="118">
        <v>1067</v>
      </c>
      <c r="FD1070" s="118">
        <f t="shared" si="150"/>
        <v>11</v>
      </c>
      <c r="FE1070" s="118">
        <f t="shared" si="151"/>
        <v>67</v>
      </c>
      <c r="FF1070" s="118" t="str">
        <f t="shared" si="152"/>
        <v/>
      </c>
      <c r="FI1070" s="16">
        <v>1067</v>
      </c>
      <c r="FJ1070" s="17" t="str">
        <f t="shared" si="153"/>
        <v/>
      </c>
      <c r="FK1070" s="17" t="str">
        <f t="shared" si="149"/>
        <v/>
      </c>
      <c r="FL1070" s="18" t="str">
        <f t="shared" si="154"/>
        <v/>
      </c>
    </row>
    <row r="1071" spans="159:168">
      <c r="FC1071" s="118">
        <v>1068</v>
      </c>
      <c r="FD1071" s="118">
        <f t="shared" si="150"/>
        <v>12</v>
      </c>
      <c r="FE1071" s="118">
        <f t="shared" si="151"/>
        <v>67</v>
      </c>
      <c r="FF1071" s="118" t="str">
        <f t="shared" si="152"/>
        <v/>
      </c>
      <c r="FI1071" s="16">
        <v>1068</v>
      </c>
      <c r="FJ1071" s="17" t="str">
        <f t="shared" si="153"/>
        <v/>
      </c>
      <c r="FK1071" s="17" t="str">
        <f t="shared" si="149"/>
        <v/>
      </c>
      <c r="FL1071" s="18" t="str">
        <f t="shared" si="154"/>
        <v/>
      </c>
    </row>
    <row r="1072" spans="159:168">
      <c r="FC1072" s="118">
        <v>1069</v>
      </c>
      <c r="FD1072" s="118">
        <f t="shared" si="150"/>
        <v>13</v>
      </c>
      <c r="FE1072" s="118">
        <f t="shared" si="151"/>
        <v>67</v>
      </c>
      <c r="FF1072" s="118" t="str">
        <f t="shared" si="152"/>
        <v/>
      </c>
      <c r="FI1072" s="16">
        <v>1069</v>
      </c>
      <c r="FJ1072" s="17" t="str">
        <f t="shared" si="153"/>
        <v/>
      </c>
      <c r="FK1072" s="17" t="str">
        <f t="shared" si="149"/>
        <v/>
      </c>
      <c r="FL1072" s="18" t="str">
        <f t="shared" si="154"/>
        <v/>
      </c>
    </row>
    <row r="1073" spans="159:168">
      <c r="FC1073" s="118">
        <v>1070</v>
      </c>
      <c r="FD1073" s="118">
        <f t="shared" si="150"/>
        <v>14</v>
      </c>
      <c r="FE1073" s="118">
        <f t="shared" si="151"/>
        <v>67</v>
      </c>
      <c r="FF1073" s="118" t="str">
        <f t="shared" si="152"/>
        <v/>
      </c>
      <c r="FI1073" s="16">
        <v>1070</v>
      </c>
      <c r="FJ1073" s="17" t="str">
        <f t="shared" si="153"/>
        <v/>
      </c>
      <c r="FK1073" s="17" t="str">
        <f t="shared" si="149"/>
        <v/>
      </c>
      <c r="FL1073" s="18" t="str">
        <f t="shared" si="154"/>
        <v/>
      </c>
    </row>
    <row r="1074" spans="159:168">
      <c r="FC1074" s="118">
        <v>1071</v>
      </c>
      <c r="FD1074" s="118">
        <f t="shared" si="150"/>
        <v>15</v>
      </c>
      <c r="FE1074" s="118">
        <f t="shared" si="151"/>
        <v>67</v>
      </c>
      <c r="FF1074" s="118" t="str">
        <f t="shared" si="152"/>
        <v/>
      </c>
      <c r="FI1074" s="16">
        <v>1071</v>
      </c>
      <c r="FJ1074" s="17" t="str">
        <f t="shared" si="153"/>
        <v/>
      </c>
      <c r="FK1074" s="17" t="str">
        <f t="shared" si="149"/>
        <v/>
      </c>
      <c r="FL1074" s="18" t="str">
        <f t="shared" si="154"/>
        <v/>
      </c>
    </row>
    <row r="1075" spans="159:168">
      <c r="FC1075" s="118">
        <v>1072</v>
      </c>
      <c r="FD1075" s="118">
        <f t="shared" si="150"/>
        <v>16</v>
      </c>
      <c r="FE1075" s="118">
        <f t="shared" si="151"/>
        <v>67</v>
      </c>
      <c r="FF1075" s="118" t="str">
        <f t="shared" si="152"/>
        <v/>
      </c>
      <c r="FI1075" s="16">
        <v>1072</v>
      </c>
      <c r="FJ1075" s="17" t="str">
        <f t="shared" si="153"/>
        <v/>
      </c>
      <c r="FK1075" s="17" t="str">
        <f t="shared" si="149"/>
        <v/>
      </c>
      <c r="FL1075" s="18" t="str">
        <f t="shared" si="154"/>
        <v/>
      </c>
    </row>
    <row r="1076" spans="159:168">
      <c r="FC1076" s="118">
        <v>1073</v>
      </c>
      <c r="FD1076" s="118">
        <f t="shared" si="150"/>
        <v>1</v>
      </c>
      <c r="FE1076" s="118">
        <f t="shared" si="151"/>
        <v>68</v>
      </c>
      <c r="FF1076" s="118" t="str">
        <f t="shared" si="152"/>
        <v/>
      </c>
      <c r="FI1076" s="16">
        <v>1073</v>
      </c>
      <c r="FJ1076" s="17" t="str">
        <f t="shared" si="153"/>
        <v/>
      </c>
      <c r="FK1076" s="17" t="str">
        <f t="shared" si="149"/>
        <v/>
      </c>
      <c r="FL1076" s="18" t="str">
        <f t="shared" si="154"/>
        <v/>
      </c>
    </row>
    <row r="1077" spans="159:168">
      <c r="FC1077" s="118">
        <v>1074</v>
      </c>
      <c r="FD1077" s="118">
        <f t="shared" si="150"/>
        <v>2</v>
      </c>
      <c r="FE1077" s="118">
        <f t="shared" si="151"/>
        <v>68</v>
      </c>
      <c r="FF1077" s="118" t="str">
        <f t="shared" si="152"/>
        <v/>
      </c>
      <c r="FI1077" s="16">
        <v>1074</v>
      </c>
      <c r="FJ1077" s="17" t="str">
        <f t="shared" si="153"/>
        <v/>
      </c>
      <c r="FK1077" s="17" t="str">
        <f t="shared" si="149"/>
        <v/>
      </c>
      <c r="FL1077" s="18" t="str">
        <f t="shared" si="154"/>
        <v/>
      </c>
    </row>
    <row r="1078" spans="159:168">
      <c r="FC1078" s="118">
        <v>1075</v>
      </c>
      <c r="FD1078" s="118">
        <f t="shared" si="150"/>
        <v>3</v>
      </c>
      <c r="FE1078" s="118">
        <f t="shared" si="151"/>
        <v>68</v>
      </c>
      <c r="FF1078" s="118" t="str">
        <f t="shared" si="152"/>
        <v/>
      </c>
      <c r="FI1078" s="16">
        <v>1075</v>
      </c>
      <c r="FJ1078" s="17" t="str">
        <f t="shared" si="153"/>
        <v/>
      </c>
      <c r="FK1078" s="17" t="str">
        <f t="shared" si="149"/>
        <v/>
      </c>
      <c r="FL1078" s="18" t="str">
        <f t="shared" si="154"/>
        <v/>
      </c>
    </row>
    <row r="1079" spans="159:168">
      <c r="FC1079" s="118">
        <v>1076</v>
      </c>
      <c r="FD1079" s="118">
        <f t="shared" si="150"/>
        <v>4</v>
      </c>
      <c r="FE1079" s="118">
        <f t="shared" si="151"/>
        <v>68</v>
      </c>
      <c r="FF1079" s="118" t="str">
        <f t="shared" si="152"/>
        <v/>
      </c>
      <c r="FI1079" s="16">
        <v>1076</v>
      </c>
      <c r="FJ1079" s="17" t="str">
        <f t="shared" si="153"/>
        <v/>
      </c>
      <c r="FK1079" s="17" t="str">
        <f t="shared" si="149"/>
        <v/>
      </c>
      <c r="FL1079" s="18" t="str">
        <f t="shared" si="154"/>
        <v/>
      </c>
    </row>
    <row r="1080" spans="159:168">
      <c r="FC1080" s="118">
        <v>1077</v>
      </c>
      <c r="FD1080" s="118">
        <f t="shared" si="150"/>
        <v>5</v>
      </c>
      <c r="FE1080" s="118">
        <f t="shared" si="151"/>
        <v>68</v>
      </c>
      <c r="FF1080" s="118" t="str">
        <f t="shared" si="152"/>
        <v/>
      </c>
      <c r="FI1080" s="16">
        <v>1077</v>
      </c>
      <c r="FJ1080" s="17" t="str">
        <f t="shared" si="153"/>
        <v/>
      </c>
      <c r="FK1080" s="17" t="str">
        <f t="shared" si="149"/>
        <v/>
      </c>
      <c r="FL1080" s="18" t="str">
        <f t="shared" si="154"/>
        <v/>
      </c>
    </row>
    <row r="1081" spans="159:168">
      <c r="FC1081" s="118">
        <v>1078</v>
      </c>
      <c r="FD1081" s="118">
        <f t="shared" si="150"/>
        <v>6</v>
      </c>
      <c r="FE1081" s="118">
        <f t="shared" si="151"/>
        <v>68</v>
      </c>
      <c r="FF1081" s="118" t="str">
        <f t="shared" si="152"/>
        <v/>
      </c>
      <c r="FI1081" s="16">
        <v>1078</v>
      </c>
      <c r="FJ1081" s="17" t="str">
        <f t="shared" si="153"/>
        <v/>
      </c>
      <c r="FK1081" s="17" t="str">
        <f t="shared" si="149"/>
        <v/>
      </c>
      <c r="FL1081" s="18" t="str">
        <f t="shared" si="154"/>
        <v/>
      </c>
    </row>
    <row r="1082" spans="159:168">
      <c r="FC1082" s="118">
        <v>1079</v>
      </c>
      <c r="FD1082" s="118">
        <f t="shared" si="150"/>
        <v>7</v>
      </c>
      <c r="FE1082" s="118">
        <f t="shared" si="151"/>
        <v>68</v>
      </c>
      <c r="FF1082" s="118" t="str">
        <f t="shared" si="152"/>
        <v/>
      </c>
      <c r="FI1082" s="16">
        <v>1079</v>
      </c>
      <c r="FJ1082" s="17" t="str">
        <f t="shared" si="153"/>
        <v/>
      </c>
      <c r="FK1082" s="17" t="str">
        <f t="shared" si="149"/>
        <v/>
      </c>
      <c r="FL1082" s="18" t="str">
        <f t="shared" si="154"/>
        <v/>
      </c>
    </row>
    <row r="1083" spans="159:168">
      <c r="FC1083" s="118">
        <v>1080</v>
      </c>
      <c r="FD1083" s="118">
        <f t="shared" si="150"/>
        <v>8</v>
      </c>
      <c r="FE1083" s="118">
        <f t="shared" si="151"/>
        <v>68</v>
      </c>
      <c r="FF1083" s="118" t="str">
        <f t="shared" si="152"/>
        <v/>
      </c>
      <c r="FI1083" s="16">
        <v>1080</v>
      </c>
      <c r="FJ1083" s="17" t="str">
        <f t="shared" si="153"/>
        <v/>
      </c>
      <c r="FK1083" s="17" t="str">
        <f t="shared" si="149"/>
        <v/>
      </c>
      <c r="FL1083" s="18" t="str">
        <f t="shared" si="154"/>
        <v/>
      </c>
    </row>
    <row r="1084" spans="159:168">
      <c r="FC1084" s="118">
        <v>1081</v>
      </c>
      <c r="FD1084" s="118">
        <f t="shared" si="150"/>
        <v>9</v>
      </c>
      <c r="FE1084" s="118">
        <f t="shared" si="151"/>
        <v>68</v>
      </c>
      <c r="FF1084" s="118" t="str">
        <f t="shared" si="152"/>
        <v/>
      </c>
      <c r="FI1084" s="16">
        <v>1081</v>
      </c>
      <c r="FJ1084" s="17" t="str">
        <f t="shared" si="153"/>
        <v/>
      </c>
      <c r="FK1084" s="17" t="str">
        <f t="shared" si="149"/>
        <v/>
      </c>
      <c r="FL1084" s="18" t="str">
        <f t="shared" si="154"/>
        <v/>
      </c>
    </row>
    <row r="1085" spans="159:168">
      <c r="FC1085" s="118">
        <v>1082</v>
      </c>
      <c r="FD1085" s="118">
        <f t="shared" si="150"/>
        <v>10</v>
      </c>
      <c r="FE1085" s="118">
        <f t="shared" si="151"/>
        <v>68</v>
      </c>
      <c r="FF1085" s="118" t="str">
        <f t="shared" si="152"/>
        <v/>
      </c>
      <c r="FI1085" s="16">
        <v>1082</v>
      </c>
      <c r="FJ1085" s="17" t="str">
        <f t="shared" si="153"/>
        <v/>
      </c>
      <c r="FK1085" s="17" t="str">
        <f t="shared" si="149"/>
        <v/>
      </c>
      <c r="FL1085" s="18" t="str">
        <f t="shared" si="154"/>
        <v/>
      </c>
    </row>
    <row r="1086" spans="159:168">
      <c r="FC1086" s="118">
        <v>1083</v>
      </c>
      <c r="FD1086" s="118">
        <f t="shared" si="150"/>
        <v>11</v>
      </c>
      <c r="FE1086" s="118">
        <f t="shared" si="151"/>
        <v>68</v>
      </c>
      <c r="FF1086" s="118" t="str">
        <f t="shared" si="152"/>
        <v/>
      </c>
      <c r="FI1086" s="16">
        <v>1083</v>
      </c>
      <c r="FJ1086" s="17" t="str">
        <f t="shared" si="153"/>
        <v/>
      </c>
      <c r="FK1086" s="17" t="str">
        <f t="shared" si="149"/>
        <v/>
      </c>
      <c r="FL1086" s="18" t="str">
        <f t="shared" si="154"/>
        <v/>
      </c>
    </row>
    <row r="1087" spans="159:168">
      <c r="FC1087" s="118">
        <v>1084</v>
      </c>
      <c r="FD1087" s="118">
        <f t="shared" si="150"/>
        <v>12</v>
      </c>
      <c r="FE1087" s="118">
        <f t="shared" si="151"/>
        <v>68</v>
      </c>
      <c r="FF1087" s="118" t="str">
        <f t="shared" si="152"/>
        <v/>
      </c>
      <c r="FI1087" s="16">
        <v>1084</v>
      </c>
      <c r="FJ1087" s="17" t="str">
        <f t="shared" si="153"/>
        <v/>
      </c>
      <c r="FK1087" s="17" t="str">
        <f t="shared" si="149"/>
        <v/>
      </c>
      <c r="FL1087" s="18" t="str">
        <f t="shared" si="154"/>
        <v/>
      </c>
    </row>
    <row r="1088" spans="159:168">
      <c r="FC1088" s="118">
        <v>1085</v>
      </c>
      <c r="FD1088" s="118">
        <f t="shared" si="150"/>
        <v>13</v>
      </c>
      <c r="FE1088" s="118">
        <f t="shared" si="151"/>
        <v>68</v>
      </c>
      <c r="FF1088" s="118" t="str">
        <f t="shared" si="152"/>
        <v/>
      </c>
      <c r="FI1088" s="16">
        <v>1085</v>
      </c>
      <c r="FJ1088" s="17" t="str">
        <f t="shared" si="153"/>
        <v/>
      </c>
      <c r="FK1088" s="17" t="str">
        <f t="shared" si="149"/>
        <v/>
      </c>
      <c r="FL1088" s="18" t="str">
        <f t="shared" si="154"/>
        <v/>
      </c>
    </row>
    <row r="1089" spans="159:168">
      <c r="FC1089" s="118">
        <v>1086</v>
      </c>
      <c r="FD1089" s="118">
        <f t="shared" si="150"/>
        <v>14</v>
      </c>
      <c r="FE1089" s="118">
        <f t="shared" si="151"/>
        <v>68</v>
      </c>
      <c r="FF1089" s="118" t="str">
        <f t="shared" si="152"/>
        <v/>
      </c>
      <c r="FI1089" s="16">
        <v>1086</v>
      </c>
      <c r="FJ1089" s="17" t="str">
        <f t="shared" si="153"/>
        <v/>
      </c>
      <c r="FK1089" s="17" t="str">
        <f t="shared" si="149"/>
        <v/>
      </c>
      <c r="FL1089" s="18" t="str">
        <f t="shared" si="154"/>
        <v/>
      </c>
    </row>
    <row r="1090" spans="159:168">
      <c r="FC1090" s="118">
        <v>1087</v>
      </c>
      <c r="FD1090" s="118">
        <f t="shared" si="150"/>
        <v>15</v>
      </c>
      <c r="FE1090" s="118">
        <f t="shared" si="151"/>
        <v>68</v>
      </c>
      <c r="FF1090" s="118" t="str">
        <f t="shared" si="152"/>
        <v/>
      </c>
      <c r="FI1090" s="16">
        <v>1087</v>
      </c>
      <c r="FJ1090" s="17" t="str">
        <f t="shared" si="153"/>
        <v/>
      </c>
      <c r="FK1090" s="17" t="str">
        <f t="shared" si="149"/>
        <v/>
      </c>
      <c r="FL1090" s="18" t="str">
        <f t="shared" si="154"/>
        <v/>
      </c>
    </row>
    <row r="1091" spans="159:168">
      <c r="FC1091" s="118">
        <v>1088</v>
      </c>
      <c r="FD1091" s="118">
        <f t="shared" si="150"/>
        <v>16</v>
      </c>
      <c r="FE1091" s="118">
        <f t="shared" si="151"/>
        <v>68</v>
      </c>
      <c r="FF1091" s="118" t="str">
        <f t="shared" si="152"/>
        <v/>
      </c>
      <c r="FI1091" s="16">
        <v>1088</v>
      </c>
      <c r="FJ1091" s="17" t="str">
        <f t="shared" si="153"/>
        <v/>
      </c>
      <c r="FK1091" s="17" t="str">
        <f t="shared" si="149"/>
        <v/>
      </c>
      <c r="FL1091" s="18" t="str">
        <f t="shared" si="154"/>
        <v/>
      </c>
    </row>
    <row r="1092" spans="159:168">
      <c r="FC1092" s="118">
        <v>1089</v>
      </c>
      <c r="FD1092" s="118">
        <f t="shared" si="150"/>
        <v>1</v>
      </c>
      <c r="FE1092" s="118">
        <f t="shared" si="151"/>
        <v>69</v>
      </c>
      <c r="FF1092" s="118" t="str">
        <f t="shared" si="152"/>
        <v/>
      </c>
      <c r="FI1092" s="16">
        <v>1089</v>
      </c>
      <c r="FJ1092" s="17" t="str">
        <f t="shared" si="153"/>
        <v/>
      </c>
      <c r="FK1092" s="17" t="str">
        <f t="shared" si="149"/>
        <v/>
      </c>
      <c r="FL1092" s="18" t="str">
        <f t="shared" si="154"/>
        <v/>
      </c>
    </row>
    <row r="1093" spans="159:168">
      <c r="FC1093" s="118">
        <v>1090</v>
      </c>
      <c r="FD1093" s="118">
        <f t="shared" si="150"/>
        <v>2</v>
      </c>
      <c r="FE1093" s="118">
        <f t="shared" si="151"/>
        <v>69</v>
      </c>
      <c r="FF1093" s="118" t="str">
        <f t="shared" si="152"/>
        <v/>
      </c>
      <c r="FI1093" s="16">
        <v>1090</v>
      </c>
      <c r="FJ1093" s="17" t="str">
        <f t="shared" si="153"/>
        <v/>
      </c>
      <c r="FK1093" s="17" t="str">
        <f t="shared" ref="FK1093:FK1156" si="155">IF(FI1093&lt;=$FH$2,FF1093,IF(FI1093&lt;=$FH$2+$FH$3,INDEX($FJ$4:$FJ$2494,FI1093-$FH$2),""))</f>
        <v/>
      </c>
      <c r="FL1093" s="18" t="str">
        <f t="shared" si="154"/>
        <v/>
      </c>
    </row>
    <row r="1094" spans="159:168">
      <c r="FC1094" s="118">
        <v>1091</v>
      </c>
      <c r="FD1094" s="118">
        <f t="shared" si="150"/>
        <v>3</v>
      </c>
      <c r="FE1094" s="118">
        <f t="shared" si="151"/>
        <v>69</v>
      </c>
      <c r="FF1094" s="118" t="str">
        <f t="shared" si="152"/>
        <v/>
      </c>
      <c r="FI1094" s="16">
        <v>1091</v>
      </c>
      <c r="FJ1094" s="17" t="str">
        <f t="shared" si="153"/>
        <v/>
      </c>
      <c r="FK1094" s="17" t="str">
        <f t="shared" si="155"/>
        <v/>
      </c>
      <c r="FL1094" s="18" t="str">
        <f t="shared" si="154"/>
        <v/>
      </c>
    </row>
    <row r="1095" spans="159:168">
      <c r="FC1095" s="118">
        <v>1092</v>
      </c>
      <c r="FD1095" s="118">
        <f t="shared" si="150"/>
        <v>4</v>
      </c>
      <c r="FE1095" s="118">
        <f t="shared" si="151"/>
        <v>69</v>
      </c>
      <c r="FF1095" s="118" t="str">
        <f t="shared" si="152"/>
        <v/>
      </c>
      <c r="FI1095" s="16">
        <v>1092</v>
      </c>
      <c r="FJ1095" s="17" t="str">
        <f t="shared" si="153"/>
        <v/>
      </c>
      <c r="FK1095" s="17" t="str">
        <f t="shared" si="155"/>
        <v/>
      </c>
      <c r="FL1095" s="18" t="str">
        <f t="shared" si="154"/>
        <v/>
      </c>
    </row>
    <row r="1096" spans="159:168">
      <c r="FC1096" s="118">
        <v>1093</v>
      </c>
      <c r="FD1096" s="118">
        <f t="shared" si="150"/>
        <v>5</v>
      </c>
      <c r="FE1096" s="118">
        <f t="shared" si="151"/>
        <v>69</v>
      </c>
      <c r="FF1096" s="118" t="str">
        <f t="shared" si="152"/>
        <v/>
      </c>
      <c r="FI1096" s="16">
        <v>1093</v>
      </c>
      <c r="FJ1096" s="17" t="str">
        <f t="shared" si="153"/>
        <v/>
      </c>
      <c r="FK1096" s="17" t="str">
        <f t="shared" si="155"/>
        <v/>
      </c>
      <c r="FL1096" s="18" t="str">
        <f t="shared" si="154"/>
        <v/>
      </c>
    </row>
    <row r="1097" spans="159:168">
      <c r="FC1097" s="118">
        <v>1094</v>
      </c>
      <c r="FD1097" s="118">
        <f t="shared" si="150"/>
        <v>6</v>
      </c>
      <c r="FE1097" s="118">
        <f t="shared" si="151"/>
        <v>69</v>
      </c>
      <c r="FF1097" s="118" t="str">
        <f t="shared" si="152"/>
        <v/>
      </c>
      <c r="FI1097" s="16">
        <v>1094</v>
      </c>
      <c r="FJ1097" s="17" t="str">
        <f t="shared" si="153"/>
        <v/>
      </c>
      <c r="FK1097" s="17" t="str">
        <f t="shared" si="155"/>
        <v/>
      </c>
      <c r="FL1097" s="18" t="str">
        <f t="shared" si="154"/>
        <v/>
      </c>
    </row>
    <row r="1098" spans="159:168">
      <c r="FC1098" s="118">
        <v>1095</v>
      </c>
      <c r="FD1098" s="118">
        <f t="shared" si="150"/>
        <v>7</v>
      </c>
      <c r="FE1098" s="118">
        <f t="shared" si="151"/>
        <v>69</v>
      </c>
      <c r="FF1098" s="118" t="str">
        <f t="shared" si="152"/>
        <v/>
      </c>
      <c r="FI1098" s="16">
        <v>1095</v>
      </c>
      <c r="FJ1098" s="17" t="str">
        <f t="shared" si="153"/>
        <v/>
      </c>
      <c r="FK1098" s="17" t="str">
        <f t="shared" si="155"/>
        <v/>
      </c>
      <c r="FL1098" s="18" t="str">
        <f t="shared" si="154"/>
        <v/>
      </c>
    </row>
    <row r="1099" spans="159:168">
      <c r="FC1099" s="118">
        <v>1096</v>
      </c>
      <c r="FD1099" s="118">
        <f t="shared" si="150"/>
        <v>8</v>
      </c>
      <c r="FE1099" s="118">
        <f t="shared" si="151"/>
        <v>69</v>
      </c>
      <c r="FF1099" s="118" t="str">
        <f t="shared" si="152"/>
        <v/>
      </c>
      <c r="FI1099" s="16">
        <v>1096</v>
      </c>
      <c r="FJ1099" s="17" t="str">
        <f t="shared" si="153"/>
        <v/>
      </c>
      <c r="FK1099" s="17" t="str">
        <f t="shared" si="155"/>
        <v/>
      </c>
      <c r="FL1099" s="18" t="str">
        <f t="shared" si="154"/>
        <v/>
      </c>
    </row>
    <row r="1100" spans="159:168">
      <c r="FC1100" s="118">
        <v>1097</v>
      </c>
      <c r="FD1100" s="118">
        <f t="shared" si="150"/>
        <v>9</v>
      </c>
      <c r="FE1100" s="118">
        <f t="shared" si="151"/>
        <v>69</v>
      </c>
      <c r="FF1100" s="118" t="str">
        <f t="shared" si="152"/>
        <v/>
      </c>
      <c r="FI1100" s="16">
        <v>1097</v>
      </c>
      <c r="FJ1100" s="17" t="str">
        <f t="shared" si="153"/>
        <v/>
      </c>
      <c r="FK1100" s="17" t="str">
        <f t="shared" si="155"/>
        <v/>
      </c>
      <c r="FL1100" s="18" t="str">
        <f t="shared" si="154"/>
        <v/>
      </c>
    </row>
    <row r="1101" spans="159:168">
      <c r="FC1101" s="118">
        <v>1098</v>
      </c>
      <c r="FD1101" s="118">
        <f t="shared" si="150"/>
        <v>10</v>
      </c>
      <c r="FE1101" s="118">
        <f t="shared" si="151"/>
        <v>69</v>
      </c>
      <c r="FF1101" s="118" t="str">
        <f t="shared" si="152"/>
        <v/>
      </c>
      <c r="FI1101" s="16">
        <v>1098</v>
      </c>
      <c r="FJ1101" s="17" t="str">
        <f t="shared" si="153"/>
        <v/>
      </c>
      <c r="FK1101" s="17" t="str">
        <f t="shared" si="155"/>
        <v/>
      </c>
      <c r="FL1101" s="18" t="str">
        <f t="shared" si="154"/>
        <v/>
      </c>
    </row>
    <row r="1102" spans="159:168">
      <c r="FC1102" s="118">
        <v>1099</v>
      </c>
      <c r="FD1102" s="118">
        <f t="shared" si="150"/>
        <v>11</v>
      </c>
      <c r="FE1102" s="118">
        <f t="shared" si="151"/>
        <v>69</v>
      </c>
      <c r="FF1102" s="118" t="str">
        <f t="shared" si="152"/>
        <v/>
      </c>
      <c r="FI1102" s="16">
        <v>1099</v>
      </c>
      <c r="FJ1102" s="17" t="str">
        <f t="shared" si="153"/>
        <v/>
      </c>
      <c r="FK1102" s="17" t="str">
        <f t="shared" si="155"/>
        <v/>
      </c>
      <c r="FL1102" s="18" t="str">
        <f t="shared" si="154"/>
        <v/>
      </c>
    </row>
    <row r="1103" spans="159:168">
      <c r="FC1103" s="118">
        <v>1100</v>
      </c>
      <c r="FD1103" s="118">
        <f t="shared" si="150"/>
        <v>12</v>
      </c>
      <c r="FE1103" s="118">
        <f t="shared" si="151"/>
        <v>69</v>
      </c>
      <c r="FF1103" s="118" t="str">
        <f t="shared" si="152"/>
        <v/>
      </c>
      <c r="FI1103" s="16">
        <v>1100</v>
      </c>
      <c r="FJ1103" s="17" t="str">
        <f t="shared" si="153"/>
        <v/>
      </c>
      <c r="FK1103" s="17" t="str">
        <f t="shared" si="155"/>
        <v/>
      </c>
      <c r="FL1103" s="18" t="str">
        <f t="shared" si="154"/>
        <v/>
      </c>
    </row>
    <row r="1104" spans="159:168">
      <c r="FC1104" s="118">
        <v>1101</v>
      </c>
      <c r="FD1104" s="118">
        <f t="shared" si="150"/>
        <v>13</v>
      </c>
      <c r="FE1104" s="118">
        <f t="shared" si="151"/>
        <v>69</v>
      </c>
      <c r="FF1104" s="118" t="str">
        <f t="shared" si="152"/>
        <v/>
      </c>
      <c r="FI1104" s="16">
        <v>1101</v>
      </c>
      <c r="FJ1104" s="17" t="str">
        <f t="shared" si="153"/>
        <v/>
      </c>
      <c r="FK1104" s="17" t="str">
        <f t="shared" si="155"/>
        <v/>
      </c>
      <c r="FL1104" s="18" t="str">
        <f t="shared" si="154"/>
        <v/>
      </c>
    </row>
    <row r="1105" spans="159:168">
      <c r="FC1105" s="118">
        <v>1102</v>
      </c>
      <c r="FD1105" s="118">
        <f t="shared" si="150"/>
        <v>14</v>
      </c>
      <c r="FE1105" s="118">
        <f t="shared" si="151"/>
        <v>69</v>
      </c>
      <c r="FF1105" s="118" t="str">
        <f t="shared" si="152"/>
        <v/>
      </c>
      <c r="FI1105" s="16">
        <v>1102</v>
      </c>
      <c r="FJ1105" s="17" t="str">
        <f t="shared" si="153"/>
        <v/>
      </c>
      <c r="FK1105" s="17" t="str">
        <f t="shared" si="155"/>
        <v/>
      </c>
      <c r="FL1105" s="18" t="str">
        <f t="shared" si="154"/>
        <v/>
      </c>
    </row>
    <row r="1106" spans="159:168">
      <c r="FC1106" s="118">
        <v>1103</v>
      </c>
      <c r="FD1106" s="118">
        <f t="shared" si="150"/>
        <v>15</v>
      </c>
      <c r="FE1106" s="118">
        <f t="shared" si="151"/>
        <v>69</v>
      </c>
      <c r="FF1106" s="118" t="str">
        <f t="shared" si="152"/>
        <v/>
      </c>
      <c r="FI1106" s="16">
        <v>1103</v>
      </c>
      <c r="FJ1106" s="17" t="str">
        <f t="shared" si="153"/>
        <v/>
      </c>
      <c r="FK1106" s="17" t="str">
        <f t="shared" si="155"/>
        <v/>
      </c>
      <c r="FL1106" s="18" t="str">
        <f t="shared" si="154"/>
        <v/>
      </c>
    </row>
    <row r="1107" spans="159:168">
      <c r="FC1107" s="118">
        <v>1104</v>
      </c>
      <c r="FD1107" s="118">
        <f t="shared" si="150"/>
        <v>16</v>
      </c>
      <c r="FE1107" s="118">
        <f t="shared" si="151"/>
        <v>69</v>
      </c>
      <c r="FF1107" s="118" t="str">
        <f t="shared" si="152"/>
        <v/>
      </c>
      <c r="FI1107" s="16">
        <v>1104</v>
      </c>
      <c r="FJ1107" s="17" t="str">
        <f t="shared" si="153"/>
        <v/>
      </c>
      <c r="FK1107" s="17" t="str">
        <f t="shared" si="155"/>
        <v/>
      </c>
      <c r="FL1107" s="18" t="str">
        <f t="shared" si="154"/>
        <v/>
      </c>
    </row>
    <row r="1108" spans="159:168">
      <c r="FC1108" s="118">
        <v>1105</v>
      </c>
      <c r="FD1108" s="118">
        <f t="shared" si="150"/>
        <v>1</v>
      </c>
      <c r="FE1108" s="118">
        <f t="shared" si="151"/>
        <v>70</v>
      </c>
      <c r="FF1108" s="118" t="str">
        <f t="shared" si="152"/>
        <v/>
      </c>
      <c r="FI1108" s="16">
        <v>1105</v>
      </c>
      <c r="FJ1108" s="17" t="str">
        <f t="shared" si="153"/>
        <v/>
      </c>
      <c r="FK1108" s="17" t="str">
        <f t="shared" si="155"/>
        <v/>
      </c>
      <c r="FL1108" s="18" t="str">
        <f t="shared" si="154"/>
        <v/>
      </c>
    </row>
    <row r="1109" spans="159:168">
      <c r="FC1109" s="118">
        <v>1106</v>
      </c>
      <c r="FD1109" s="118">
        <f t="shared" si="150"/>
        <v>2</v>
      </c>
      <c r="FE1109" s="118">
        <f t="shared" si="151"/>
        <v>70</v>
      </c>
      <c r="FF1109" s="118" t="str">
        <f t="shared" si="152"/>
        <v/>
      </c>
      <c r="FI1109" s="16">
        <v>1106</v>
      </c>
      <c r="FJ1109" s="17" t="str">
        <f t="shared" si="153"/>
        <v/>
      </c>
      <c r="FK1109" s="17" t="str">
        <f t="shared" si="155"/>
        <v/>
      </c>
      <c r="FL1109" s="18" t="str">
        <f t="shared" si="154"/>
        <v/>
      </c>
    </row>
    <row r="1110" spans="159:168">
      <c r="FC1110" s="118">
        <v>1107</v>
      </c>
      <c r="FD1110" s="118">
        <f t="shared" ref="FD1110:FD1173" si="156">IF(MOD(FC1110,$FB$1+$FB$2)=0,$FB$1+$FB$2,MOD(FC1110,$FB$1+$FB$2))</f>
        <v>3</v>
      </c>
      <c r="FE1110" s="118">
        <f t="shared" ref="FE1110:FE1173" si="157">ROUNDUP(FC1110/($FB$1+$FB$2),0)</f>
        <v>70</v>
      </c>
      <c r="FF1110" s="118" t="str">
        <f t="shared" ref="FF1110:FF1173" si="158">IF(FE1110&lt;$FB$3,INDEX($E$4:$DV$84,FD1110,FE1110),IF(FE1110=$FB$3,INDEX($E$4:$DV$84,FD1110+$FB$1,FE1110),""))</f>
        <v/>
      </c>
      <c r="FI1110" s="16">
        <v>1107</v>
      </c>
      <c r="FJ1110" s="17" t="str">
        <f t="shared" ref="FJ1110:FJ1173" si="159">IF(FE1110&lt;=$FH$1,INDEX($DW$4:$EZ$84,FD1110,FE1110),"")</f>
        <v/>
      </c>
      <c r="FK1110" s="17" t="str">
        <f t="shared" si="155"/>
        <v/>
      </c>
      <c r="FL1110" s="18" t="str">
        <f t="shared" ref="FL1110:FL1173" si="160">IFERROR(TEXT(DEC2BIN(FK1110),"00000000"),"")</f>
        <v/>
      </c>
    </row>
    <row r="1111" spans="159:168">
      <c r="FC1111" s="118">
        <v>1108</v>
      </c>
      <c r="FD1111" s="118">
        <f t="shared" si="156"/>
        <v>4</v>
      </c>
      <c r="FE1111" s="118">
        <f t="shared" si="157"/>
        <v>70</v>
      </c>
      <c r="FF1111" s="118" t="str">
        <f t="shared" si="158"/>
        <v/>
      </c>
      <c r="FI1111" s="16">
        <v>1108</v>
      </c>
      <c r="FJ1111" s="17" t="str">
        <f t="shared" si="159"/>
        <v/>
      </c>
      <c r="FK1111" s="17" t="str">
        <f t="shared" si="155"/>
        <v/>
      </c>
      <c r="FL1111" s="18" t="str">
        <f t="shared" si="160"/>
        <v/>
      </c>
    </row>
    <row r="1112" spans="159:168">
      <c r="FC1112" s="118">
        <v>1109</v>
      </c>
      <c r="FD1112" s="118">
        <f t="shared" si="156"/>
        <v>5</v>
      </c>
      <c r="FE1112" s="118">
        <f t="shared" si="157"/>
        <v>70</v>
      </c>
      <c r="FF1112" s="118" t="str">
        <f t="shared" si="158"/>
        <v/>
      </c>
      <c r="FI1112" s="16">
        <v>1109</v>
      </c>
      <c r="FJ1112" s="17" t="str">
        <f t="shared" si="159"/>
        <v/>
      </c>
      <c r="FK1112" s="17" t="str">
        <f t="shared" si="155"/>
        <v/>
      </c>
      <c r="FL1112" s="18" t="str">
        <f t="shared" si="160"/>
        <v/>
      </c>
    </row>
    <row r="1113" spans="159:168">
      <c r="FC1113" s="118">
        <v>1110</v>
      </c>
      <c r="FD1113" s="118">
        <f t="shared" si="156"/>
        <v>6</v>
      </c>
      <c r="FE1113" s="118">
        <f t="shared" si="157"/>
        <v>70</v>
      </c>
      <c r="FF1113" s="118" t="str">
        <f t="shared" si="158"/>
        <v/>
      </c>
      <c r="FI1113" s="16">
        <v>1110</v>
      </c>
      <c r="FJ1113" s="17" t="str">
        <f t="shared" si="159"/>
        <v/>
      </c>
      <c r="FK1113" s="17" t="str">
        <f t="shared" si="155"/>
        <v/>
      </c>
      <c r="FL1113" s="18" t="str">
        <f t="shared" si="160"/>
        <v/>
      </c>
    </row>
    <row r="1114" spans="159:168">
      <c r="FC1114" s="118">
        <v>1111</v>
      </c>
      <c r="FD1114" s="118">
        <f t="shared" si="156"/>
        <v>7</v>
      </c>
      <c r="FE1114" s="118">
        <f t="shared" si="157"/>
        <v>70</v>
      </c>
      <c r="FF1114" s="118" t="str">
        <f t="shared" si="158"/>
        <v/>
      </c>
      <c r="FI1114" s="16">
        <v>1111</v>
      </c>
      <c r="FJ1114" s="17" t="str">
        <f t="shared" si="159"/>
        <v/>
      </c>
      <c r="FK1114" s="17" t="str">
        <f t="shared" si="155"/>
        <v/>
      </c>
      <c r="FL1114" s="18" t="str">
        <f t="shared" si="160"/>
        <v/>
      </c>
    </row>
    <row r="1115" spans="159:168">
      <c r="FC1115" s="118">
        <v>1112</v>
      </c>
      <c r="FD1115" s="118">
        <f t="shared" si="156"/>
        <v>8</v>
      </c>
      <c r="FE1115" s="118">
        <f t="shared" si="157"/>
        <v>70</v>
      </c>
      <c r="FF1115" s="118" t="str">
        <f t="shared" si="158"/>
        <v/>
      </c>
      <c r="FI1115" s="16">
        <v>1112</v>
      </c>
      <c r="FJ1115" s="17" t="str">
        <f t="shared" si="159"/>
        <v/>
      </c>
      <c r="FK1115" s="17" t="str">
        <f t="shared" si="155"/>
        <v/>
      </c>
      <c r="FL1115" s="18" t="str">
        <f t="shared" si="160"/>
        <v/>
      </c>
    </row>
    <row r="1116" spans="159:168">
      <c r="FC1116" s="118">
        <v>1113</v>
      </c>
      <c r="FD1116" s="118">
        <f t="shared" si="156"/>
        <v>9</v>
      </c>
      <c r="FE1116" s="118">
        <f t="shared" si="157"/>
        <v>70</v>
      </c>
      <c r="FF1116" s="118" t="str">
        <f t="shared" si="158"/>
        <v/>
      </c>
      <c r="FI1116" s="16">
        <v>1113</v>
      </c>
      <c r="FJ1116" s="17" t="str">
        <f t="shared" si="159"/>
        <v/>
      </c>
      <c r="FK1116" s="17" t="str">
        <f t="shared" si="155"/>
        <v/>
      </c>
      <c r="FL1116" s="18" t="str">
        <f t="shared" si="160"/>
        <v/>
      </c>
    </row>
    <row r="1117" spans="159:168">
      <c r="FC1117" s="118">
        <v>1114</v>
      </c>
      <c r="FD1117" s="118">
        <f t="shared" si="156"/>
        <v>10</v>
      </c>
      <c r="FE1117" s="118">
        <f t="shared" si="157"/>
        <v>70</v>
      </c>
      <c r="FF1117" s="118" t="str">
        <f t="shared" si="158"/>
        <v/>
      </c>
      <c r="FI1117" s="16">
        <v>1114</v>
      </c>
      <c r="FJ1117" s="17" t="str">
        <f t="shared" si="159"/>
        <v/>
      </c>
      <c r="FK1117" s="17" t="str">
        <f t="shared" si="155"/>
        <v/>
      </c>
      <c r="FL1117" s="18" t="str">
        <f t="shared" si="160"/>
        <v/>
      </c>
    </row>
    <row r="1118" spans="159:168">
      <c r="FC1118" s="118">
        <v>1115</v>
      </c>
      <c r="FD1118" s="118">
        <f t="shared" si="156"/>
        <v>11</v>
      </c>
      <c r="FE1118" s="118">
        <f t="shared" si="157"/>
        <v>70</v>
      </c>
      <c r="FF1118" s="118" t="str">
        <f t="shared" si="158"/>
        <v/>
      </c>
      <c r="FI1118" s="16">
        <v>1115</v>
      </c>
      <c r="FJ1118" s="17" t="str">
        <f t="shared" si="159"/>
        <v/>
      </c>
      <c r="FK1118" s="17" t="str">
        <f t="shared" si="155"/>
        <v/>
      </c>
      <c r="FL1118" s="18" t="str">
        <f t="shared" si="160"/>
        <v/>
      </c>
    </row>
    <row r="1119" spans="159:168">
      <c r="FC1119" s="118">
        <v>1116</v>
      </c>
      <c r="FD1119" s="118">
        <f t="shared" si="156"/>
        <v>12</v>
      </c>
      <c r="FE1119" s="118">
        <f t="shared" si="157"/>
        <v>70</v>
      </c>
      <c r="FF1119" s="118" t="str">
        <f t="shared" si="158"/>
        <v/>
      </c>
      <c r="FI1119" s="16">
        <v>1116</v>
      </c>
      <c r="FJ1119" s="17" t="str">
        <f t="shared" si="159"/>
        <v/>
      </c>
      <c r="FK1119" s="17" t="str">
        <f t="shared" si="155"/>
        <v/>
      </c>
      <c r="FL1119" s="18" t="str">
        <f t="shared" si="160"/>
        <v/>
      </c>
    </row>
    <row r="1120" spans="159:168">
      <c r="FC1120" s="118">
        <v>1117</v>
      </c>
      <c r="FD1120" s="118">
        <f t="shared" si="156"/>
        <v>13</v>
      </c>
      <c r="FE1120" s="118">
        <f t="shared" si="157"/>
        <v>70</v>
      </c>
      <c r="FF1120" s="118" t="str">
        <f t="shared" si="158"/>
        <v/>
      </c>
      <c r="FI1120" s="16">
        <v>1117</v>
      </c>
      <c r="FJ1120" s="17" t="str">
        <f t="shared" si="159"/>
        <v/>
      </c>
      <c r="FK1120" s="17" t="str">
        <f t="shared" si="155"/>
        <v/>
      </c>
      <c r="FL1120" s="18" t="str">
        <f t="shared" si="160"/>
        <v/>
      </c>
    </row>
    <row r="1121" spans="159:168">
      <c r="FC1121" s="118">
        <v>1118</v>
      </c>
      <c r="FD1121" s="118">
        <f t="shared" si="156"/>
        <v>14</v>
      </c>
      <c r="FE1121" s="118">
        <f t="shared" si="157"/>
        <v>70</v>
      </c>
      <c r="FF1121" s="118" t="str">
        <f t="shared" si="158"/>
        <v/>
      </c>
      <c r="FI1121" s="16">
        <v>1118</v>
      </c>
      <c r="FJ1121" s="17" t="str">
        <f t="shared" si="159"/>
        <v/>
      </c>
      <c r="FK1121" s="17" t="str">
        <f t="shared" si="155"/>
        <v/>
      </c>
      <c r="FL1121" s="18" t="str">
        <f t="shared" si="160"/>
        <v/>
      </c>
    </row>
    <row r="1122" spans="159:168">
      <c r="FC1122" s="118">
        <v>1119</v>
      </c>
      <c r="FD1122" s="118">
        <f t="shared" si="156"/>
        <v>15</v>
      </c>
      <c r="FE1122" s="118">
        <f t="shared" si="157"/>
        <v>70</v>
      </c>
      <c r="FF1122" s="118" t="str">
        <f t="shared" si="158"/>
        <v/>
      </c>
      <c r="FI1122" s="16">
        <v>1119</v>
      </c>
      <c r="FJ1122" s="17" t="str">
        <f t="shared" si="159"/>
        <v/>
      </c>
      <c r="FK1122" s="17" t="str">
        <f t="shared" si="155"/>
        <v/>
      </c>
      <c r="FL1122" s="18" t="str">
        <f t="shared" si="160"/>
        <v/>
      </c>
    </row>
    <row r="1123" spans="159:168">
      <c r="FC1123" s="118">
        <v>1120</v>
      </c>
      <c r="FD1123" s="118">
        <f t="shared" si="156"/>
        <v>16</v>
      </c>
      <c r="FE1123" s="118">
        <f t="shared" si="157"/>
        <v>70</v>
      </c>
      <c r="FF1123" s="118" t="str">
        <f t="shared" si="158"/>
        <v/>
      </c>
      <c r="FI1123" s="16">
        <v>1120</v>
      </c>
      <c r="FJ1123" s="17" t="str">
        <f t="shared" si="159"/>
        <v/>
      </c>
      <c r="FK1123" s="17" t="str">
        <f t="shared" si="155"/>
        <v/>
      </c>
      <c r="FL1123" s="18" t="str">
        <f t="shared" si="160"/>
        <v/>
      </c>
    </row>
    <row r="1124" spans="159:168">
      <c r="FC1124" s="118">
        <v>1121</v>
      </c>
      <c r="FD1124" s="118">
        <f t="shared" si="156"/>
        <v>1</v>
      </c>
      <c r="FE1124" s="118">
        <f t="shared" si="157"/>
        <v>71</v>
      </c>
      <c r="FF1124" s="118" t="str">
        <f t="shared" si="158"/>
        <v/>
      </c>
      <c r="FI1124" s="16">
        <v>1121</v>
      </c>
      <c r="FJ1124" s="17" t="str">
        <f t="shared" si="159"/>
        <v/>
      </c>
      <c r="FK1124" s="17" t="str">
        <f t="shared" si="155"/>
        <v/>
      </c>
      <c r="FL1124" s="18" t="str">
        <f t="shared" si="160"/>
        <v/>
      </c>
    </row>
    <row r="1125" spans="159:168">
      <c r="FC1125" s="118">
        <v>1122</v>
      </c>
      <c r="FD1125" s="118">
        <f t="shared" si="156"/>
        <v>2</v>
      </c>
      <c r="FE1125" s="118">
        <f t="shared" si="157"/>
        <v>71</v>
      </c>
      <c r="FF1125" s="118" t="str">
        <f t="shared" si="158"/>
        <v/>
      </c>
      <c r="FI1125" s="16">
        <v>1122</v>
      </c>
      <c r="FJ1125" s="17" t="str">
        <f t="shared" si="159"/>
        <v/>
      </c>
      <c r="FK1125" s="17" t="str">
        <f t="shared" si="155"/>
        <v/>
      </c>
      <c r="FL1125" s="18" t="str">
        <f t="shared" si="160"/>
        <v/>
      </c>
    </row>
    <row r="1126" spans="159:168">
      <c r="FC1126" s="118">
        <v>1123</v>
      </c>
      <c r="FD1126" s="118">
        <f t="shared" si="156"/>
        <v>3</v>
      </c>
      <c r="FE1126" s="118">
        <f t="shared" si="157"/>
        <v>71</v>
      </c>
      <c r="FF1126" s="118" t="str">
        <f t="shared" si="158"/>
        <v/>
      </c>
      <c r="FI1126" s="16">
        <v>1123</v>
      </c>
      <c r="FJ1126" s="17" t="str">
        <f t="shared" si="159"/>
        <v/>
      </c>
      <c r="FK1126" s="17" t="str">
        <f t="shared" si="155"/>
        <v/>
      </c>
      <c r="FL1126" s="18" t="str">
        <f t="shared" si="160"/>
        <v/>
      </c>
    </row>
    <row r="1127" spans="159:168">
      <c r="FC1127" s="118">
        <v>1124</v>
      </c>
      <c r="FD1127" s="118">
        <f t="shared" si="156"/>
        <v>4</v>
      </c>
      <c r="FE1127" s="118">
        <f t="shared" si="157"/>
        <v>71</v>
      </c>
      <c r="FF1127" s="118" t="str">
        <f t="shared" si="158"/>
        <v/>
      </c>
      <c r="FI1127" s="16">
        <v>1124</v>
      </c>
      <c r="FJ1127" s="17" t="str">
        <f t="shared" si="159"/>
        <v/>
      </c>
      <c r="FK1127" s="17" t="str">
        <f t="shared" si="155"/>
        <v/>
      </c>
      <c r="FL1127" s="18" t="str">
        <f t="shared" si="160"/>
        <v/>
      </c>
    </row>
    <row r="1128" spans="159:168">
      <c r="FC1128" s="118">
        <v>1125</v>
      </c>
      <c r="FD1128" s="118">
        <f t="shared" si="156"/>
        <v>5</v>
      </c>
      <c r="FE1128" s="118">
        <f t="shared" si="157"/>
        <v>71</v>
      </c>
      <c r="FF1128" s="118" t="str">
        <f t="shared" si="158"/>
        <v/>
      </c>
      <c r="FI1128" s="16">
        <v>1125</v>
      </c>
      <c r="FJ1128" s="17" t="str">
        <f t="shared" si="159"/>
        <v/>
      </c>
      <c r="FK1128" s="17" t="str">
        <f t="shared" si="155"/>
        <v/>
      </c>
      <c r="FL1128" s="18" t="str">
        <f t="shared" si="160"/>
        <v/>
      </c>
    </row>
    <row r="1129" spans="159:168">
      <c r="FC1129" s="118">
        <v>1126</v>
      </c>
      <c r="FD1129" s="118">
        <f t="shared" si="156"/>
        <v>6</v>
      </c>
      <c r="FE1129" s="118">
        <f t="shared" si="157"/>
        <v>71</v>
      </c>
      <c r="FF1129" s="118" t="str">
        <f t="shared" si="158"/>
        <v/>
      </c>
      <c r="FI1129" s="16">
        <v>1126</v>
      </c>
      <c r="FJ1129" s="17" t="str">
        <f t="shared" si="159"/>
        <v/>
      </c>
      <c r="FK1129" s="17" t="str">
        <f t="shared" si="155"/>
        <v/>
      </c>
      <c r="FL1129" s="18" t="str">
        <f t="shared" si="160"/>
        <v/>
      </c>
    </row>
    <row r="1130" spans="159:168">
      <c r="FC1130" s="118">
        <v>1127</v>
      </c>
      <c r="FD1130" s="118">
        <f t="shared" si="156"/>
        <v>7</v>
      </c>
      <c r="FE1130" s="118">
        <f t="shared" si="157"/>
        <v>71</v>
      </c>
      <c r="FF1130" s="118" t="str">
        <f t="shared" si="158"/>
        <v/>
      </c>
      <c r="FI1130" s="16">
        <v>1127</v>
      </c>
      <c r="FJ1130" s="17" t="str">
        <f t="shared" si="159"/>
        <v/>
      </c>
      <c r="FK1130" s="17" t="str">
        <f t="shared" si="155"/>
        <v/>
      </c>
      <c r="FL1130" s="18" t="str">
        <f t="shared" si="160"/>
        <v/>
      </c>
    </row>
    <row r="1131" spans="159:168">
      <c r="FC1131" s="118">
        <v>1128</v>
      </c>
      <c r="FD1131" s="118">
        <f t="shared" si="156"/>
        <v>8</v>
      </c>
      <c r="FE1131" s="118">
        <f t="shared" si="157"/>
        <v>71</v>
      </c>
      <c r="FF1131" s="118" t="str">
        <f t="shared" si="158"/>
        <v/>
      </c>
      <c r="FI1131" s="16">
        <v>1128</v>
      </c>
      <c r="FJ1131" s="17" t="str">
        <f t="shared" si="159"/>
        <v/>
      </c>
      <c r="FK1131" s="17" t="str">
        <f t="shared" si="155"/>
        <v/>
      </c>
      <c r="FL1131" s="18" t="str">
        <f t="shared" si="160"/>
        <v/>
      </c>
    </row>
    <row r="1132" spans="159:168">
      <c r="FC1132" s="118">
        <v>1129</v>
      </c>
      <c r="FD1132" s="118">
        <f t="shared" si="156"/>
        <v>9</v>
      </c>
      <c r="FE1132" s="118">
        <f t="shared" si="157"/>
        <v>71</v>
      </c>
      <c r="FF1132" s="118" t="str">
        <f t="shared" si="158"/>
        <v/>
      </c>
      <c r="FI1132" s="16">
        <v>1129</v>
      </c>
      <c r="FJ1132" s="17" t="str">
        <f t="shared" si="159"/>
        <v/>
      </c>
      <c r="FK1132" s="17" t="str">
        <f t="shared" si="155"/>
        <v/>
      </c>
      <c r="FL1132" s="18" t="str">
        <f t="shared" si="160"/>
        <v/>
      </c>
    </row>
    <row r="1133" spans="159:168">
      <c r="FC1133" s="118">
        <v>1130</v>
      </c>
      <c r="FD1133" s="118">
        <f t="shared" si="156"/>
        <v>10</v>
      </c>
      <c r="FE1133" s="118">
        <f t="shared" si="157"/>
        <v>71</v>
      </c>
      <c r="FF1133" s="118" t="str">
        <f t="shared" si="158"/>
        <v/>
      </c>
      <c r="FI1133" s="16">
        <v>1130</v>
      </c>
      <c r="FJ1133" s="17" t="str">
        <f t="shared" si="159"/>
        <v/>
      </c>
      <c r="FK1133" s="17" t="str">
        <f t="shared" si="155"/>
        <v/>
      </c>
      <c r="FL1133" s="18" t="str">
        <f t="shared" si="160"/>
        <v/>
      </c>
    </row>
    <row r="1134" spans="159:168">
      <c r="FC1134" s="118">
        <v>1131</v>
      </c>
      <c r="FD1134" s="118">
        <f t="shared" si="156"/>
        <v>11</v>
      </c>
      <c r="FE1134" s="118">
        <f t="shared" si="157"/>
        <v>71</v>
      </c>
      <c r="FF1134" s="118" t="str">
        <f t="shared" si="158"/>
        <v/>
      </c>
      <c r="FI1134" s="16">
        <v>1131</v>
      </c>
      <c r="FJ1134" s="17" t="str">
        <f t="shared" si="159"/>
        <v/>
      </c>
      <c r="FK1134" s="17" t="str">
        <f t="shared" si="155"/>
        <v/>
      </c>
      <c r="FL1134" s="18" t="str">
        <f t="shared" si="160"/>
        <v/>
      </c>
    </row>
    <row r="1135" spans="159:168">
      <c r="FC1135" s="118">
        <v>1132</v>
      </c>
      <c r="FD1135" s="118">
        <f t="shared" si="156"/>
        <v>12</v>
      </c>
      <c r="FE1135" s="118">
        <f t="shared" si="157"/>
        <v>71</v>
      </c>
      <c r="FF1135" s="118" t="str">
        <f t="shared" si="158"/>
        <v/>
      </c>
      <c r="FI1135" s="16">
        <v>1132</v>
      </c>
      <c r="FJ1135" s="17" t="str">
        <f t="shared" si="159"/>
        <v/>
      </c>
      <c r="FK1135" s="17" t="str">
        <f t="shared" si="155"/>
        <v/>
      </c>
      <c r="FL1135" s="18" t="str">
        <f t="shared" si="160"/>
        <v/>
      </c>
    </row>
    <row r="1136" spans="159:168">
      <c r="FC1136" s="118">
        <v>1133</v>
      </c>
      <c r="FD1136" s="118">
        <f t="shared" si="156"/>
        <v>13</v>
      </c>
      <c r="FE1136" s="118">
        <f t="shared" si="157"/>
        <v>71</v>
      </c>
      <c r="FF1136" s="118" t="str">
        <f t="shared" si="158"/>
        <v/>
      </c>
      <c r="FI1136" s="16">
        <v>1133</v>
      </c>
      <c r="FJ1136" s="17" t="str">
        <f t="shared" si="159"/>
        <v/>
      </c>
      <c r="FK1136" s="17" t="str">
        <f t="shared" si="155"/>
        <v/>
      </c>
      <c r="FL1136" s="18" t="str">
        <f t="shared" si="160"/>
        <v/>
      </c>
    </row>
    <row r="1137" spans="159:168">
      <c r="FC1137" s="118">
        <v>1134</v>
      </c>
      <c r="FD1137" s="118">
        <f t="shared" si="156"/>
        <v>14</v>
      </c>
      <c r="FE1137" s="118">
        <f t="shared" si="157"/>
        <v>71</v>
      </c>
      <c r="FF1137" s="118" t="str">
        <f t="shared" si="158"/>
        <v/>
      </c>
      <c r="FI1137" s="16">
        <v>1134</v>
      </c>
      <c r="FJ1137" s="17" t="str">
        <f t="shared" si="159"/>
        <v/>
      </c>
      <c r="FK1137" s="17" t="str">
        <f t="shared" si="155"/>
        <v/>
      </c>
      <c r="FL1137" s="18" t="str">
        <f t="shared" si="160"/>
        <v/>
      </c>
    </row>
    <row r="1138" spans="159:168">
      <c r="FC1138" s="118">
        <v>1135</v>
      </c>
      <c r="FD1138" s="118">
        <f t="shared" si="156"/>
        <v>15</v>
      </c>
      <c r="FE1138" s="118">
        <f t="shared" si="157"/>
        <v>71</v>
      </c>
      <c r="FF1138" s="118" t="str">
        <f t="shared" si="158"/>
        <v/>
      </c>
      <c r="FI1138" s="16">
        <v>1135</v>
      </c>
      <c r="FJ1138" s="17" t="str">
        <f t="shared" si="159"/>
        <v/>
      </c>
      <c r="FK1138" s="17" t="str">
        <f t="shared" si="155"/>
        <v/>
      </c>
      <c r="FL1138" s="18" t="str">
        <f t="shared" si="160"/>
        <v/>
      </c>
    </row>
    <row r="1139" spans="159:168">
      <c r="FC1139" s="118">
        <v>1136</v>
      </c>
      <c r="FD1139" s="118">
        <f t="shared" si="156"/>
        <v>16</v>
      </c>
      <c r="FE1139" s="118">
        <f t="shared" si="157"/>
        <v>71</v>
      </c>
      <c r="FF1139" s="118" t="str">
        <f t="shared" si="158"/>
        <v/>
      </c>
      <c r="FI1139" s="16">
        <v>1136</v>
      </c>
      <c r="FJ1139" s="17" t="str">
        <f t="shared" si="159"/>
        <v/>
      </c>
      <c r="FK1139" s="17" t="str">
        <f t="shared" si="155"/>
        <v/>
      </c>
      <c r="FL1139" s="18" t="str">
        <f t="shared" si="160"/>
        <v/>
      </c>
    </row>
    <row r="1140" spans="159:168">
      <c r="FC1140" s="118">
        <v>1137</v>
      </c>
      <c r="FD1140" s="118">
        <f t="shared" si="156"/>
        <v>1</v>
      </c>
      <c r="FE1140" s="118">
        <f t="shared" si="157"/>
        <v>72</v>
      </c>
      <c r="FF1140" s="118" t="str">
        <f t="shared" si="158"/>
        <v/>
      </c>
      <c r="FI1140" s="16">
        <v>1137</v>
      </c>
      <c r="FJ1140" s="17" t="str">
        <f t="shared" si="159"/>
        <v/>
      </c>
      <c r="FK1140" s="17" t="str">
        <f t="shared" si="155"/>
        <v/>
      </c>
      <c r="FL1140" s="18" t="str">
        <f t="shared" si="160"/>
        <v/>
      </c>
    </row>
    <row r="1141" spans="159:168">
      <c r="FC1141" s="118">
        <v>1138</v>
      </c>
      <c r="FD1141" s="118">
        <f t="shared" si="156"/>
        <v>2</v>
      </c>
      <c r="FE1141" s="118">
        <f t="shared" si="157"/>
        <v>72</v>
      </c>
      <c r="FF1141" s="118" t="str">
        <f t="shared" si="158"/>
        <v/>
      </c>
      <c r="FI1141" s="16">
        <v>1138</v>
      </c>
      <c r="FJ1141" s="17" t="str">
        <f t="shared" si="159"/>
        <v/>
      </c>
      <c r="FK1141" s="17" t="str">
        <f t="shared" si="155"/>
        <v/>
      </c>
      <c r="FL1141" s="18" t="str">
        <f t="shared" si="160"/>
        <v/>
      </c>
    </row>
    <row r="1142" spans="159:168">
      <c r="FC1142" s="118">
        <v>1139</v>
      </c>
      <c r="FD1142" s="118">
        <f t="shared" si="156"/>
        <v>3</v>
      </c>
      <c r="FE1142" s="118">
        <f t="shared" si="157"/>
        <v>72</v>
      </c>
      <c r="FF1142" s="118" t="str">
        <f t="shared" si="158"/>
        <v/>
      </c>
      <c r="FI1142" s="16">
        <v>1139</v>
      </c>
      <c r="FJ1142" s="17" t="str">
        <f t="shared" si="159"/>
        <v/>
      </c>
      <c r="FK1142" s="17" t="str">
        <f t="shared" si="155"/>
        <v/>
      </c>
      <c r="FL1142" s="18" t="str">
        <f t="shared" si="160"/>
        <v/>
      </c>
    </row>
    <row r="1143" spans="159:168">
      <c r="FC1143" s="118">
        <v>1140</v>
      </c>
      <c r="FD1143" s="118">
        <f t="shared" si="156"/>
        <v>4</v>
      </c>
      <c r="FE1143" s="118">
        <f t="shared" si="157"/>
        <v>72</v>
      </c>
      <c r="FF1143" s="118" t="str">
        <f t="shared" si="158"/>
        <v/>
      </c>
      <c r="FI1143" s="16">
        <v>1140</v>
      </c>
      <c r="FJ1143" s="17" t="str">
        <f t="shared" si="159"/>
        <v/>
      </c>
      <c r="FK1143" s="17" t="str">
        <f t="shared" si="155"/>
        <v/>
      </c>
      <c r="FL1143" s="18" t="str">
        <f t="shared" si="160"/>
        <v/>
      </c>
    </row>
    <row r="1144" spans="159:168">
      <c r="FC1144" s="118">
        <v>1141</v>
      </c>
      <c r="FD1144" s="118">
        <f t="shared" si="156"/>
        <v>5</v>
      </c>
      <c r="FE1144" s="118">
        <f t="shared" si="157"/>
        <v>72</v>
      </c>
      <c r="FF1144" s="118" t="str">
        <f t="shared" si="158"/>
        <v/>
      </c>
      <c r="FI1144" s="16">
        <v>1141</v>
      </c>
      <c r="FJ1144" s="17" t="str">
        <f t="shared" si="159"/>
        <v/>
      </c>
      <c r="FK1144" s="17" t="str">
        <f t="shared" si="155"/>
        <v/>
      </c>
      <c r="FL1144" s="18" t="str">
        <f t="shared" si="160"/>
        <v/>
      </c>
    </row>
    <row r="1145" spans="159:168">
      <c r="FC1145" s="118">
        <v>1142</v>
      </c>
      <c r="FD1145" s="118">
        <f t="shared" si="156"/>
        <v>6</v>
      </c>
      <c r="FE1145" s="118">
        <f t="shared" si="157"/>
        <v>72</v>
      </c>
      <c r="FF1145" s="118" t="str">
        <f t="shared" si="158"/>
        <v/>
      </c>
      <c r="FI1145" s="16">
        <v>1142</v>
      </c>
      <c r="FJ1145" s="17" t="str">
        <f t="shared" si="159"/>
        <v/>
      </c>
      <c r="FK1145" s="17" t="str">
        <f t="shared" si="155"/>
        <v/>
      </c>
      <c r="FL1145" s="18" t="str">
        <f t="shared" si="160"/>
        <v/>
      </c>
    </row>
    <row r="1146" spans="159:168">
      <c r="FC1146" s="118">
        <v>1143</v>
      </c>
      <c r="FD1146" s="118">
        <f t="shared" si="156"/>
        <v>7</v>
      </c>
      <c r="FE1146" s="118">
        <f t="shared" si="157"/>
        <v>72</v>
      </c>
      <c r="FF1146" s="118" t="str">
        <f t="shared" si="158"/>
        <v/>
      </c>
      <c r="FI1146" s="16">
        <v>1143</v>
      </c>
      <c r="FJ1146" s="17" t="str">
        <f t="shared" si="159"/>
        <v/>
      </c>
      <c r="FK1146" s="17" t="str">
        <f t="shared" si="155"/>
        <v/>
      </c>
      <c r="FL1146" s="18" t="str">
        <f t="shared" si="160"/>
        <v/>
      </c>
    </row>
    <row r="1147" spans="159:168">
      <c r="FC1147" s="118">
        <v>1144</v>
      </c>
      <c r="FD1147" s="118">
        <f t="shared" si="156"/>
        <v>8</v>
      </c>
      <c r="FE1147" s="118">
        <f t="shared" si="157"/>
        <v>72</v>
      </c>
      <c r="FF1147" s="118" t="str">
        <f t="shared" si="158"/>
        <v/>
      </c>
      <c r="FI1147" s="16">
        <v>1144</v>
      </c>
      <c r="FJ1147" s="17" t="str">
        <f t="shared" si="159"/>
        <v/>
      </c>
      <c r="FK1147" s="17" t="str">
        <f t="shared" si="155"/>
        <v/>
      </c>
      <c r="FL1147" s="18" t="str">
        <f t="shared" si="160"/>
        <v/>
      </c>
    </row>
    <row r="1148" spans="159:168">
      <c r="FC1148" s="118">
        <v>1145</v>
      </c>
      <c r="FD1148" s="118">
        <f t="shared" si="156"/>
        <v>9</v>
      </c>
      <c r="FE1148" s="118">
        <f t="shared" si="157"/>
        <v>72</v>
      </c>
      <c r="FF1148" s="118" t="str">
        <f t="shared" si="158"/>
        <v/>
      </c>
      <c r="FI1148" s="16">
        <v>1145</v>
      </c>
      <c r="FJ1148" s="17" t="str">
        <f t="shared" si="159"/>
        <v/>
      </c>
      <c r="FK1148" s="17" t="str">
        <f t="shared" si="155"/>
        <v/>
      </c>
      <c r="FL1148" s="18" t="str">
        <f t="shared" si="160"/>
        <v/>
      </c>
    </row>
    <row r="1149" spans="159:168">
      <c r="FC1149" s="118">
        <v>1146</v>
      </c>
      <c r="FD1149" s="118">
        <f t="shared" si="156"/>
        <v>10</v>
      </c>
      <c r="FE1149" s="118">
        <f t="shared" si="157"/>
        <v>72</v>
      </c>
      <c r="FF1149" s="118" t="str">
        <f t="shared" si="158"/>
        <v/>
      </c>
      <c r="FI1149" s="16">
        <v>1146</v>
      </c>
      <c r="FJ1149" s="17" t="str">
        <f t="shared" si="159"/>
        <v/>
      </c>
      <c r="FK1149" s="17" t="str">
        <f t="shared" si="155"/>
        <v/>
      </c>
      <c r="FL1149" s="18" t="str">
        <f t="shared" si="160"/>
        <v/>
      </c>
    </row>
    <row r="1150" spans="159:168">
      <c r="FC1150" s="118">
        <v>1147</v>
      </c>
      <c r="FD1150" s="118">
        <f t="shared" si="156"/>
        <v>11</v>
      </c>
      <c r="FE1150" s="118">
        <f t="shared" si="157"/>
        <v>72</v>
      </c>
      <c r="FF1150" s="118" t="str">
        <f t="shared" si="158"/>
        <v/>
      </c>
      <c r="FI1150" s="16">
        <v>1147</v>
      </c>
      <c r="FJ1150" s="17" t="str">
        <f t="shared" si="159"/>
        <v/>
      </c>
      <c r="FK1150" s="17" t="str">
        <f t="shared" si="155"/>
        <v/>
      </c>
      <c r="FL1150" s="18" t="str">
        <f t="shared" si="160"/>
        <v/>
      </c>
    </row>
    <row r="1151" spans="159:168">
      <c r="FC1151" s="118">
        <v>1148</v>
      </c>
      <c r="FD1151" s="118">
        <f t="shared" si="156"/>
        <v>12</v>
      </c>
      <c r="FE1151" s="118">
        <f t="shared" si="157"/>
        <v>72</v>
      </c>
      <c r="FF1151" s="118" t="str">
        <f t="shared" si="158"/>
        <v/>
      </c>
      <c r="FI1151" s="16">
        <v>1148</v>
      </c>
      <c r="FJ1151" s="17" t="str">
        <f t="shared" si="159"/>
        <v/>
      </c>
      <c r="FK1151" s="17" t="str">
        <f t="shared" si="155"/>
        <v/>
      </c>
      <c r="FL1151" s="18" t="str">
        <f t="shared" si="160"/>
        <v/>
      </c>
    </row>
    <row r="1152" spans="159:168">
      <c r="FC1152" s="118">
        <v>1149</v>
      </c>
      <c r="FD1152" s="118">
        <f t="shared" si="156"/>
        <v>13</v>
      </c>
      <c r="FE1152" s="118">
        <f t="shared" si="157"/>
        <v>72</v>
      </c>
      <c r="FF1152" s="118" t="str">
        <f t="shared" si="158"/>
        <v/>
      </c>
      <c r="FI1152" s="16">
        <v>1149</v>
      </c>
      <c r="FJ1152" s="17" t="str">
        <f t="shared" si="159"/>
        <v/>
      </c>
      <c r="FK1152" s="17" t="str">
        <f t="shared" si="155"/>
        <v/>
      </c>
      <c r="FL1152" s="18" t="str">
        <f t="shared" si="160"/>
        <v/>
      </c>
    </row>
    <row r="1153" spans="159:168">
      <c r="FC1153" s="118">
        <v>1150</v>
      </c>
      <c r="FD1153" s="118">
        <f t="shared" si="156"/>
        <v>14</v>
      </c>
      <c r="FE1153" s="118">
        <f t="shared" si="157"/>
        <v>72</v>
      </c>
      <c r="FF1153" s="118" t="str">
        <f t="shared" si="158"/>
        <v/>
      </c>
      <c r="FI1153" s="16">
        <v>1150</v>
      </c>
      <c r="FJ1153" s="17" t="str">
        <f t="shared" si="159"/>
        <v/>
      </c>
      <c r="FK1153" s="17" t="str">
        <f t="shared" si="155"/>
        <v/>
      </c>
      <c r="FL1153" s="18" t="str">
        <f t="shared" si="160"/>
        <v/>
      </c>
    </row>
    <row r="1154" spans="159:168">
      <c r="FC1154" s="118">
        <v>1151</v>
      </c>
      <c r="FD1154" s="118">
        <f t="shared" si="156"/>
        <v>15</v>
      </c>
      <c r="FE1154" s="118">
        <f t="shared" si="157"/>
        <v>72</v>
      </c>
      <c r="FF1154" s="118" t="str">
        <f t="shared" si="158"/>
        <v/>
      </c>
      <c r="FI1154" s="16">
        <v>1151</v>
      </c>
      <c r="FJ1154" s="17" t="str">
        <f t="shared" si="159"/>
        <v/>
      </c>
      <c r="FK1154" s="17" t="str">
        <f t="shared" si="155"/>
        <v/>
      </c>
      <c r="FL1154" s="18" t="str">
        <f t="shared" si="160"/>
        <v/>
      </c>
    </row>
    <row r="1155" spans="159:168">
      <c r="FC1155" s="118">
        <v>1152</v>
      </c>
      <c r="FD1155" s="118">
        <f t="shared" si="156"/>
        <v>16</v>
      </c>
      <c r="FE1155" s="118">
        <f t="shared" si="157"/>
        <v>72</v>
      </c>
      <c r="FF1155" s="118" t="str">
        <f t="shared" si="158"/>
        <v/>
      </c>
      <c r="FI1155" s="16">
        <v>1152</v>
      </c>
      <c r="FJ1155" s="17" t="str">
        <f t="shared" si="159"/>
        <v/>
      </c>
      <c r="FK1155" s="17" t="str">
        <f t="shared" si="155"/>
        <v/>
      </c>
      <c r="FL1155" s="18" t="str">
        <f t="shared" si="160"/>
        <v/>
      </c>
    </row>
    <row r="1156" spans="159:168">
      <c r="FC1156" s="118">
        <v>1153</v>
      </c>
      <c r="FD1156" s="118">
        <f t="shared" si="156"/>
        <v>1</v>
      </c>
      <c r="FE1156" s="118">
        <f t="shared" si="157"/>
        <v>73</v>
      </c>
      <c r="FF1156" s="118" t="str">
        <f t="shared" si="158"/>
        <v/>
      </c>
      <c r="FI1156" s="16">
        <v>1153</v>
      </c>
      <c r="FJ1156" s="17" t="str">
        <f t="shared" si="159"/>
        <v/>
      </c>
      <c r="FK1156" s="17" t="str">
        <f t="shared" si="155"/>
        <v/>
      </c>
      <c r="FL1156" s="18" t="str">
        <f t="shared" si="160"/>
        <v/>
      </c>
    </row>
    <row r="1157" spans="159:168">
      <c r="FC1157" s="118">
        <v>1154</v>
      </c>
      <c r="FD1157" s="118">
        <f t="shared" si="156"/>
        <v>2</v>
      </c>
      <c r="FE1157" s="118">
        <f t="shared" si="157"/>
        <v>73</v>
      </c>
      <c r="FF1157" s="118" t="str">
        <f t="shared" si="158"/>
        <v/>
      </c>
      <c r="FI1157" s="16">
        <v>1154</v>
      </c>
      <c r="FJ1157" s="17" t="str">
        <f t="shared" si="159"/>
        <v/>
      </c>
      <c r="FK1157" s="17" t="str">
        <f t="shared" ref="FK1157:FK1220" si="161">IF(FI1157&lt;=$FH$2,FF1157,IF(FI1157&lt;=$FH$2+$FH$3,INDEX($FJ$4:$FJ$2494,FI1157-$FH$2),""))</f>
        <v/>
      </c>
      <c r="FL1157" s="18" t="str">
        <f t="shared" si="160"/>
        <v/>
      </c>
    </row>
    <row r="1158" spans="159:168">
      <c r="FC1158" s="118">
        <v>1155</v>
      </c>
      <c r="FD1158" s="118">
        <f t="shared" si="156"/>
        <v>3</v>
      </c>
      <c r="FE1158" s="118">
        <f t="shared" si="157"/>
        <v>73</v>
      </c>
      <c r="FF1158" s="118" t="str">
        <f t="shared" si="158"/>
        <v/>
      </c>
      <c r="FI1158" s="16">
        <v>1155</v>
      </c>
      <c r="FJ1158" s="17" t="str">
        <f t="shared" si="159"/>
        <v/>
      </c>
      <c r="FK1158" s="17" t="str">
        <f t="shared" si="161"/>
        <v/>
      </c>
      <c r="FL1158" s="18" t="str">
        <f t="shared" si="160"/>
        <v/>
      </c>
    </row>
    <row r="1159" spans="159:168">
      <c r="FC1159" s="118">
        <v>1156</v>
      </c>
      <c r="FD1159" s="118">
        <f t="shared" si="156"/>
        <v>4</v>
      </c>
      <c r="FE1159" s="118">
        <f t="shared" si="157"/>
        <v>73</v>
      </c>
      <c r="FF1159" s="118" t="str">
        <f t="shared" si="158"/>
        <v/>
      </c>
      <c r="FI1159" s="16">
        <v>1156</v>
      </c>
      <c r="FJ1159" s="17" t="str">
        <f t="shared" si="159"/>
        <v/>
      </c>
      <c r="FK1159" s="17" t="str">
        <f t="shared" si="161"/>
        <v/>
      </c>
      <c r="FL1159" s="18" t="str">
        <f t="shared" si="160"/>
        <v/>
      </c>
    </row>
    <row r="1160" spans="159:168">
      <c r="FC1160" s="118">
        <v>1157</v>
      </c>
      <c r="FD1160" s="118">
        <f t="shared" si="156"/>
        <v>5</v>
      </c>
      <c r="FE1160" s="118">
        <f t="shared" si="157"/>
        <v>73</v>
      </c>
      <c r="FF1160" s="118" t="str">
        <f t="shared" si="158"/>
        <v/>
      </c>
      <c r="FI1160" s="16">
        <v>1157</v>
      </c>
      <c r="FJ1160" s="17" t="str">
        <f t="shared" si="159"/>
        <v/>
      </c>
      <c r="FK1160" s="17" t="str">
        <f t="shared" si="161"/>
        <v/>
      </c>
      <c r="FL1160" s="18" t="str">
        <f t="shared" si="160"/>
        <v/>
      </c>
    </row>
    <row r="1161" spans="159:168">
      <c r="FC1161" s="118">
        <v>1158</v>
      </c>
      <c r="FD1161" s="118">
        <f t="shared" si="156"/>
        <v>6</v>
      </c>
      <c r="FE1161" s="118">
        <f t="shared" si="157"/>
        <v>73</v>
      </c>
      <c r="FF1161" s="118" t="str">
        <f t="shared" si="158"/>
        <v/>
      </c>
      <c r="FI1161" s="16">
        <v>1158</v>
      </c>
      <c r="FJ1161" s="17" t="str">
        <f t="shared" si="159"/>
        <v/>
      </c>
      <c r="FK1161" s="17" t="str">
        <f t="shared" si="161"/>
        <v/>
      </c>
      <c r="FL1161" s="18" t="str">
        <f t="shared" si="160"/>
        <v/>
      </c>
    </row>
    <row r="1162" spans="159:168">
      <c r="FC1162" s="118">
        <v>1159</v>
      </c>
      <c r="FD1162" s="118">
        <f t="shared" si="156"/>
        <v>7</v>
      </c>
      <c r="FE1162" s="118">
        <f t="shared" si="157"/>
        <v>73</v>
      </c>
      <c r="FF1162" s="118" t="str">
        <f t="shared" si="158"/>
        <v/>
      </c>
      <c r="FI1162" s="16">
        <v>1159</v>
      </c>
      <c r="FJ1162" s="17" t="str">
        <f t="shared" si="159"/>
        <v/>
      </c>
      <c r="FK1162" s="17" t="str">
        <f t="shared" si="161"/>
        <v/>
      </c>
      <c r="FL1162" s="18" t="str">
        <f t="shared" si="160"/>
        <v/>
      </c>
    </row>
    <row r="1163" spans="159:168">
      <c r="FC1163" s="118">
        <v>1160</v>
      </c>
      <c r="FD1163" s="118">
        <f t="shared" si="156"/>
        <v>8</v>
      </c>
      <c r="FE1163" s="118">
        <f t="shared" si="157"/>
        <v>73</v>
      </c>
      <c r="FF1163" s="118" t="str">
        <f t="shared" si="158"/>
        <v/>
      </c>
      <c r="FI1163" s="16">
        <v>1160</v>
      </c>
      <c r="FJ1163" s="17" t="str">
        <f t="shared" si="159"/>
        <v/>
      </c>
      <c r="FK1163" s="17" t="str">
        <f t="shared" si="161"/>
        <v/>
      </c>
      <c r="FL1163" s="18" t="str">
        <f t="shared" si="160"/>
        <v/>
      </c>
    </row>
    <row r="1164" spans="159:168">
      <c r="FC1164" s="118">
        <v>1161</v>
      </c>
      <c r="FD1164" s="118">
        <f t="shared" si="156"/>
        <v>9</v>
      </c>
      <c r="FE1164" s="118">
        <f t="shared" si="157"/>
        <v>73</v>
      </c>
      <c r="FF1164" s="118" t="str">
        <f t="shared" si="158"/>
        <v/>
      </c>
      <c r="FI1164" s="16">
        <v>1161</v>
      </c>
      <c r="FJ1164" s="17" t="str">
        <f t="shared" si="159"/>
        <v/>
      </c>
      <c r="FK1164" s="17" t="str">
        <f t="shared" si="161"/>
        <v/>
      </c>
      <c r="FL1164" s="18" t="str">
        <f t="shared" si="160"/>
        <v/>
      </c>
    </row>
    <row r="1165" spans="159:168">
      <c r="FC1165" s="118">
        <v>1162</v>
      </c>
      <c r="FD1165" s="118">
        <f t="shared" si="156"/>
        <v>10</v>
      </c>
      <c r="FE1165" s="118">
        <f t="shared" si="157"/>
        <v>73</v>
      </c>
      <c r="FF1165" s="118" t="str">
        <f t="shared" si="158"/>
        <v/>
      </c>
      <c r="FI1165" s="16">
        <v>1162</v>
      </c>
      <c r="FJ1165" s="17" t="str">
        <f t="shared" si="159"/>
        <v/>
      </c>
      <c r="FK1165" s="17" t="str">
        <f t="shared" si="161"/>
        <v/>
      </c>
      <c r="FL1165" s="18" t="str">
        <f t="shared" si="160"/>
        <v/>
      </c>
    </row>
    <row r="1166" spans="159:168">
      <c r="FC1166" s="118">
        <v>1163</v>
      </c>
      <c r="FD1166" s="118">
        <f t="shared" si="156"/>
        <v>11</v>
      </c>
      <c r="FE1166" s="118">
        <f t="shared" si="157"/>
        <v>73</v>
      </c>
      <c r="FF1166" s="118" t="str">
        <f t="shared" si="158"/>
        <v/>
      </c>
      <c r="FI1166" s="16">
        <v>1163</v>
      </c>
      <c r="FJ1166" s="17" t="str">
        <f t="shared" si="159"/>
        <v/>
      </c>
      <c r="FK1166" s="17" t="str">
        <f t="shared" si="161"/>
        <v/>
      </c>
      <c r="FL1166" s="18" t="str">
        <f t="shared" si="160"/>
        <v/>
      </c>
    </row>
    <row r="1167" spans="159:168">
      <c r="FC1167" s="118">
        <v>1164</v>
      </c>
      <c r="FD1167" s="118">
        <f t="shared" si="156"/>
        <v>12</v>
      </c>
      <c r="FE1167" s="118">
        <f t="shared" si="157"/>
        <v>73</v>
      </c>
      <c r="FF1167" s="118" t="str">
        <f t="shared" si="158"/>
        <v/>
      </c>
      <c r="FI1167" s="16">
        <v>1164</v>
      </c>
      <c r="FJ1167" s="17" t="str">
        <f t="shared" si="159"/>
        <v/>
      </c>
      <c r="FK1167" s="17" t="str">
        <f t="shared" si="161"/>
        <v/>
      </c>
      <c r="FL1167" s="18" t="str">
        <f t="shared" si="160"/>
        <v/>
      </c>
    </row>
    <row r="1168" spans="159:168">
      <c r="FC1168" s="118">
        <v>1165</v>
      </c>
      <c r="FD1168" s="118">
        <f t="shared" si="156"/>
        <v>13</v>
      </c>
      <c r="FE1168" s="118">
        <f t="shared" si="157"/>
        <v>73</v>
      </c>
      <c r="FF1168" s="118" t="str">
        <f t="shared" si="158"/>
        <v/>
      </c>
      <c r="FI1168" s="16">
        <v>1165</v>
      </c>
      <c r="FJ1168" s="17" t="str">
        <f t="shared" si="159"/>
        <v/>
      </c>
      <c r="FK1168" s="17" t="str">
        <f t="shared" si="161"/>
        <v/>
      </c>
      <c r="FL1168" s="18" t="str">
        <f t="shared" si="160"/>
        <v/>
      </c>
    </row>
    <row r="1169" spans="159:168">
      <c r="FC1169" s="118">
        <v>1166</v>
      </c>
      <c r="FD1169" s="118">
        <f t="shared" si="156"/>
        <v>14</v>
      </c>
      <c r="FE1169" s="118">
        <f t="shared" si="157"/>
        <v>73</v>
      </c>
      <c r="FF1169" s="118" t="str">
        <f t="shared" si="158"/>
        <v/>
      </c>
      <c r="FI1169" s="16">
        <v>1166</v>
      </c>
      <c r="FJ1169" s="17" t="str">
        <f t="shared" si="159"/>
        <v/>
      </c>
      <c r="FK1169" s="17" t="str">
        <f t="shared" si="161"/>
        <v/>
      </c>
      <c r="FL1169" s="18" t="str">
        <f t="shared" si="160"/>
        <v/>
      </c>
    </row>
    <row r="1170" spans="159:168">
      <c r="FC1170" s="118">
        <v>1167</v>
      </c>
      <c r="FD1170" s="118">
        <f t="shared" si="156"/>
        <v>15</v>
      </c>
      <c r="FE1170" s="118">
        <f t="shared" si="157"/>
        <v>73</v>
      </c>
      <c r="FF1170" s="118" t="str">
        <f t="shared" si="158"/>
        <v/>
      </c>
      <c r="FI1170" s="16">
        <v>1167</v>
      </c>
      <c r="FJ1170" s="17" t="str">
        <f t="shared" si="159"/>
        <v/>
      </c>
      <c r="FK1170" s="17" t="str">
        <f t="shared" si="161"/>
        <v/>
      </c>
      <c r="FL1170" s="18" t="str">
        <f t="shared" si="160"/>
        <v/>
      </c>
    </row>
    <row r="1171" spans="159:168">
      <c r="FC1171" s="118">
        <v>1168</v>
      </c>
      <c r="FD1171" s="118">
        <f t="shared" si="156"/>
        <v>16</v>
      </c>
      <c r="FE1171" s="118">
        <f t="shared" si="157"/>
        <v>73</v>
      </c>
      <c r="FF1171" s="118" t="str">
        <f t="shared" si="158"/>
        <v/>
      </c>
      <c r="FI1171" s="16">
        <v>1168</v>
      </c>
      <c r="FJ1171" s="17" t="str">
        <f t="shared" si="159"/>
        <v/>
      </c>
      <c r="FK1171" s="17" t="str">
        <f t="shared" si="161"/>
        <v/>
      </c>
      <c r="FL1171" s="18" t="str">
        <f t="shared" si="160"/>
        <v/>
      </c>
    </row>
    <row r="1172" spans="159:168">
      <c r="FC1172" s="118">
        <v>1169</v>
      </c>
      <c r="FD1172" s="118">
        <f t="shared" si="156"/>
        <v>1</v>
      </c>
      <c r="FE1172" s="118">
        <f t="shared" si="157"/>
        <v>74</v>
      </c>
      <c r="FF1172" s="118" t="str">
        <f t="shared" si="158"/>
        <v/>
      </c>
      <c r="FI1172" s="16">
        <v>1169</v>
      </c>
      <c r="FJ1172" s="17" t="str">
        <f t="shared" si="159"/>
        <v/>
      </c>
      <c r="FK1172" s="17" t="str">
        <f t="shared" si="161"/>
        <v/>
      </c>
      <c r="FL1172" s="18" t="str">
        <f t="shared" si="160"/>
        <v/>
      </c>
    </row>
    <row r="1173" spans="159:168">
      <c r="FC1173" s="118">
        <v>1170</v>
      </c>
      <c r="FD1173" s="118">
        <f t="shared" si="156"/>
        <v>2</v>
      </c>
      <c r="FE1173" s="118">
        <f t="shared" si="157"/>
        <v>74</v>
      </c>
      <c r="FF1173" s="118" t="str">
        <f t="shared" si="158"/>
        <v/>
      </c>
      <c r="FI1173" s="16">
        <v>1170</v>
      </c>
      <c r="FJ1173" s="17" t="str">
        <f t="shared" si="159"/>
        <v/>
      </c>
      <c r="FK1173" s="17" t="str">
        <f t="shared" si="161"/>
        <v/>
      </c>
      <c r="FL1173" s="18" t="str">
        <f t="shared" si="160"/>
        <v/>
      </c>
    </row>
    <row r="1174" spans="159:168">
      <c r="FC1174" s="118">
        <v>1171</v>
      </c>
      <c r="FD1174" s="118">
        <f t="shared" ref="FD1174:FD1237" si="162">IF(MOD(FC1174,$FB$1+$FB$2)=0,$FB$1+$FB$2,MOD(FC1174,$FB$1+$FB$2))</f>
        <v>3</v>
      </c>
      <c r="FE1174" s="118">
        <f t="shared" ref="FE1174:FE1237" si="163">ROUNDUP(FC1174/($FB$1+$FB$2),0)</f>
        <v>74</v>
      </c>
      <c r="FF1174" s="118" t="str">
        <f t="shared" ref="FF1174:FF1237" si="164">IF(FE1174&lt;$FB$3,INDEX($E$4:$DV$84,FD1174,FE1174),IF(FE1174=$FB$3,INDEX($E$4:$DV$84,FD1174+$FB$1,FE1174),""))</f>
        <v/>
      </c>
      <c r="FI1174" s="16">
        <v>1171</v>
      </c>
      <c r="FJ1174" s="17" t="str">
        <f t="shared" ref="FJ1174:FJ1237" si="165">IF(FE1174&lt;=$FH$1,INDEX($DW$4:$EZ$84,FD1174,FE1174),"")</f>
        <v/>
      </c>
      <c r="FK1174" s="17" t="str">
        <f t="shared" si="161"/>
        <v/>
      </c>
      <c r="FL1174" s="18" t="str">
        <f t="shared" ref="FL1174:FL1237" si="166">IFERROR(TEXT(DEC2BIN(FK1174),"00000000"),"")</f>
        <v/>
      </c>
    </row>
    <row r="1175" spans="159:168">
      <c r="FC1175" s="118">
        <v>1172</v>
      </c>
      <c r="FD1175" s="118">
        <f t="shared" si="162"/>
        <v>4</v>
      </c>
      <c r="FE1175" s="118">
        <f t="shared" si="163"/>
        <v>74</v>
      </c>
      <c r="FF1175" s="118" t="str">
        <f t="shared" si="164"/>
        <v/>
      </c>
      <c r="FI1175" s="16">
        <v>1172</v>
      </c>
      <c r="FJ1175" s="17" t="str">
        <f t="shared" si="165"/>
        <v/>
      </c>
      <c r="FK1175" s="17" t="str">
        <f t="shared" si="161"/>
        <v/>
      </c>
      <c r="FL1175" s="18" t="str">
        <f t="shared" si="166"/>
        <v/>
      </c>
    </row>
    <row r="1176" spans="159:168">
      <c r="FC1176" s="118">
        <v>1173</v>
      </c>
      <c r="FD1176" s="118">
        <f t="shared" si="162"/>
        <v>5</v>
      </c>
      <c r="FE1176" s="118">
        <f t="shared" si="163"/>
        <v>74</v>
      </c>
      <c r="FF1176" s="118" t="str">
        <f t="shared" si="164"/>
        <v/>
      </c>
      <c r="FI1176" s="16">
        <v>1173</v>
      </c>
      <c r="FJ1176" s="17" t="str">
        <f t="shared" si="165"/>
        <v/>
      </c>
      <c r="FK1176" s="17" t="str">
        <f t="shared" si="161"/>
        <v/>
      </c>
      <c r="FL1176" s="18" t="str">
        <f t="shared" si="166"/>
        <v/>
      </c>
    </row>
    <row r="1177" spans="159:168">
      <c r="FC1177" s="118">
        <v>1174</v>
      </c>
      <c r="FD1177" s="118">
        <f t="shared" si="162"/>
        <v>6</v>
      </c>
      <c r="FE1177" s="118">
        <f t="shared" si="163"/>
        <v>74</v>
      </c>
      <c r="FF1177" s="118" t="str">
        <f t="shared" si="164"/>
        <v/>
      </c>
      <c r="FI1177" s="16">
        <v>1174</v>
      </c>
      <c r="FJ1177" s="17" t="str">
        <f t="shared" si="165"/>
        <v/>
      </c>
      <c r="FK1177" s="17" t="str">
        <f t="shared" si="161"/>
        <v/>
      </c>
      <c r="FL1177" s="18" t="str">
        <f t="shared" si="166"/>
        <v/>
      </c>
    </row>
    <row r="1178" spans="159:168">
      <c r="FC1178" s="118">
        <v>1175</v>
      </c>
      <c r="FD1178" s="118">
        <f t="shared" si="162"/>
        <v>7</v>
      </c>
      <c r="FE1178" s="118">
        <f t="shared" si="163"/>
        <v>74</v>
      </c>
      <c r="FF1178" s="118" t="str">
        <f t="shared" si="164"/>
        <v/>
      </c>
      <c r="FI1178" s="16">
        <v>1175</v>
      </c>
      <c r="FJ1178" s="17" t="str">
        <f t="shared" si="165"/>
        <v/>
      </c>
      <c r="FK1178" s="17" t="str">
        <f t="shared" si="161"/>
        <v/>
      </c>
      <c r="FL1178" s="18" t="str">
        <f t="shared" si="166"/>
        <v/>
      </c>
    </row>
    <row r="1179" spans="159:168">
      <c r="FC1179" s="118">
        <v>1176</v>
      </c>
      <c r="FD1179" s="118">
        <f t="shared" si="162"/>
        <v>8</v>
      </c>
      <c r="FE1179" s="118">
        <f t="shared" si="163"/>
        <v>74</v>
      </c>
      <c r="FF1179" s="118" t="str">
        <f t="shared" si="164"/>
        <v/>
      </c>
      <c r="FI1179" s="16">
        <v>1176</v>
      </c>
      <c r="FJ1179" s="17" t="str">
        <f t="shared" si="165"/>
        <v/>
      </c>
      <c r="FK1179" s="17" t="str">
        <f t="shared" si="161"/>
        <v/>
      </c>
      <c r="FL1179" s="18" t="str">
        <f t="shared" si="166"/>
        <v/>
      </c>
    </row>
    <row r="1180" spans="159:168">
      <c r="FC1180" s="118">
        <v>1177</v>
      </c>
      <c r="FD1180" s="118">
        <f t="shared" si="162"/>
        <v>9</v>
      </c>
      <c r="FE1180" s="118">
        <f t="shared" si="163"/>
        <v>74</v>
      </c>
      <c r="FF1180" s="118" t="str">
        <f t="shared" si="164"/>
        <v/>
      </c>
      <c r="FI1180" s="16">
        <v>1177</v>
      </c>
      <c r="FJ1180" s="17" t="str">
        <f t="shared" si="165"/>
        <v/>
      </c>
      <c r="FK1180" s="17" t="str">
        <f t="shared" si="161"/>
        <v/>
      </c>
      <c r="FL1180" s="18" t="str">
        <f t="shared" si="166"/>
        <v/>
      </c>
    </row>
    <row r="1181" spans="159:168">
      <c r="FC1181" s="118">
        <v>1178</v>
      </c>
      <c r="FD1181" s="118">
        <f t="shared" si="162"/>
        <v>10</v>
      </c>
      <c r="FE1181" s="118">
        <f t="shared" si="163"/>
        <v>74</v>
      </c>
      <c r="FF1181" s="118" t="str">
        <f t="shared" si="164"/>
        <v/>
      </c>
      <c r="FI1181" s="16">
        <v>1178</v>
      </c>
      <c r="FJ1181" s="17" t="str">
        <f t="shared" si="165"/>
        <v/>
      </c>
      <c r="FK1181" s="17" t="str">
        <f t="shared" si="161"/>
        <v/>
      </c>
      <c r="FL1181" s="18" t="str">
        <f t="shared" si="166"/>
        <v/>
      </c>
    </row>
    <row r="1182" spans="159:168">
      <c r="FC1182" s="118">
        <v>1179</v>
      </c>
      <c r="FD1182" s="118">
        <f t="shared" si="162"/>
        <v>11</v>
      </c>
      <c r="FE1182" s="118">
        <f t="shared" si="163"/>
        <v>74</v>
      </c>
      <c r="FF1182" s="118" t="str">
        <f t="shared" si="164"/>
        <v/>
      </c>
      <c r="FI1182" s="16">
        <v>1179</v>
      </c>
      <c r="FJ1182" s="17" t="str">
        <f t="shared" si="165"/>
        <v/>
      </c>
      <c r="FK1182" s="17" t="str">
        <f t="shared" si="161"/>
        <v/>
      </c>
      <c r="FL1182" s="18" t="str">
        <f t="shared" si="166"/>
        <v/>
      </c>
    </row>
    <row r="1183" spans="159:168">
      <c r="FC1183" s="118">
        <v>1180</v>
      </c>
      <c r="FD1183" s="118">
        <f t="shared" si="162"/>
        <v>12</v>
      </c>
      <c r="FE1183" s="118">
        <f t="shared" si="163"/>
        <v>74</v>
      </c>
      <c r="FF1183" s="118" t="str">
        <f t="shared" si="164"/>
        <v/>
      </c>
      <c r="FI1183" s="16">
        <v>1180</v>
      </c>
      <c r="FJ1183" s="17" t="str">
        <f t="shared" si="165"/>
        <v/>
      </c>
      <c r="FK1183" s="17" t="str">
        <f t="shared" si="161"/>
        <v/>
      </c>
      <c r="FL1183" s="18" t="str">
        <f t="shared" si="166"/>
        <v/>
      </c>
    </row>
    <row r="1184" spans="159:168">
      <c r="FC1184" s="118">
        <v>1181</v>
      </c>
      <c r="FD1184" s="118">
        <f t="shared" si="162"/>
        <v>13</v>
      </c>
      <c r="FE1184" s="118">
        <f t="shared" si="163"/>
        <v>74</v>
      </c>
      <c r="FF1184" s="118" t="str">
        <f t="shared" si="164"/>
        <v/>
      </c>
      <c r="FI1184" s="16">
        <v>1181</v>
      </c>
      <c r="FJ1184" s="17" t="str">
        <f t="shared" si="165"/>
        <v/>
      </c>
      <c r="FK1184" s="17" t="str">
        <f t="shared" si="161"/>
        <v/>
      </c>
      <c r="FL1184" s="18" t="str">
        <f t="shared" si="166"/>
        <v/>
      </c>
    </row>
    <row r="1185" spans="159:168">
      <c r="FC1185" s="118">
        <v>1182</v>
      </c>
      <c r="FD1185" s="118">
        <f t="shared" si="162"/>
        <v>14</v>
      </c>
      <c r="FE1185" s="118">
        <f t="shared" si="163"/>
        <v>74</v>
      </c>
      <c r="FF1185" s="118" t="str">
        <f t="shared" si="164"/>
        <v/>
      </c>
      <c r="FI1185" s="16">
        <v>1182</v>
      </c>
      <c r="FJ1185" s="17" t="str">
        <f t="shared" si="165"/>
        <v/>
      </c>
      <c r="FK1185" s="17" t="str">
        <f t="shared" si="161"/>
        <v/>
      </c>
      <c r="FL1185" s="18" t="str">
        <f t="shared" si="166"/>
        <v/>
      </c>
    </row>
    <row r="1186" spans="159:168">
      <c r="FC1186" s="118">
        <v>1183</v>
      </c>
      <c r="FD1186" s="118">
        <f t="shared" si="162"/>
        <v>15</v>
      </c>
      <c r="FE1186" s="118">
        <f t="shared" si="163"/>
        <v>74</v>
      </c>
      <c r="FF1186" s="118" t="str">
        <f t="shared" si="164"/>
        <v/>
      </c>
      <c r="FI1186" s="16">
        <v>1183</v>
      </c>
      <c r="FJ1186" s="17" t="str">
        <f t="shared" si="165"/>
        <v/>
      </c>
      <c r="FK1186" s="17" t="str">
        <f t="shared" si="161"/>
        <v/>
      </c>
      <c r="FL1186" s="18" t="str">
        <f t="shared" si="166"/>
        <v/>
      </c>
    </row>
    <row r="1187" spans="159:168">
      <c r="FC1187" s="118">
        <v>1184</v>
      </c>
      <c r="FD1187" s="118">
        <f t="shared" si="162"/>
        <v>16</v>
      </c>
      <c r="FE1187" s="118">
        <f t="shared" si="163"/>
        <v>74</v>
      </c>
      <c r="FF1187" s="118" t="str">
        <f t="shared" si="164"/>
        <v/>
      </c>
      <c r="FI1187" s="16">
        <v>1184</v>
      </c>
      <c r="FJ1187" s="17" t="str">
        <f t="shared" si="165"/>
        <v/>
      </c>
      <c r="FK1187" s="17" t="str">
        <f t="shared" si="161"/>
        <v/>
      </c>
      <c r="FL1187" s="18" t="str">
        <f t="shared" si="166"/>
        <v/>
      </c>
    </row>
    <row r="1188" spans="159:168">
      <c r="FC1188" s="118">
        <v>1185</v>
      </c>
      <c r="FD1188" s="118">
        <f t="shared" si="162"/>
        <v>1</v>
      </c>
      <c r="FE1188" s="118">
        <f t="shared" si="163"/>
        <v>75</v>
      </c>
      <c r="FF1188" s="118" t="str">
        <f t="shared" si="164"/>
        <v/>
      </c>
      <c r="FI1188" s="16">
        <v>1185</v>
      </c>
      <c r="FJ1188" s="17" t="str">
        <f t="shared" si="165"/>
        <v/>
      </c>
      <c r="FK1188" s="17" t="str">
        <f t="shared" si="161"/>
        <v/>
      </c>
      <c r="FL1188" s="18" t="str">
        <f t="shared" si="166"/>
        <v/>
      </c>
    </row>
    <row r="1189" spans="159:168">
      <c r="FC1189" s="118">
        <v>1186</v>
      </c>
      <c r="FD1189" s="118">
        <f t="shared" si="162"/>
        <v>2</v>
      </c>
      <c r="FE1189" s="118">
        <f t="shared" si="163"/>
        <v>75</v>
      </c>
      <c r="FF1189" s="118" t="str">
        <f t="shared" si="164"/>
        <v/>
      </c>
      <c r="FI1189" s="16">
        <v>1186</v>
      </c>
      <c r="FJ1189" s="17" t="str">
        <f t="shared" si="165"/>
        <v/>
      </c>
      <c r="FK1189" s="17" t="str">
        <f t="shared" si="161"/>
        <v/>
      </c>
      <c r="FL1189" s="18" t="str">
        <f t="shared" si="166"/>
        <v/>
      </c>
    </row>
    <row r="1190" spans="159:168">
      <c r="FC1190" s="118">
        <v>1187</v>
      </c>
      <c r="FD1190" s="118">
        <f t="shared" si="162"/>
        <v>3</v>
      </c>
      <c r="FE1190" s="118">
        <f t="shared" si="163"/>
        <v>75</v>
      </c>
      <c r="FF1190" s="118" t="str">
        <f t="shared" si="164"/>
        <v/>
      </c>
      <c r="FI1190" s="16">
        <v>1187</v>
      </c>
      <c r="FJ1190" s="17" t="str">
        <f t="shared" si="165"/>
        <v/>
      </c>
      <c r="FK1190" s="17" t="str">
        <f t="shared" si="161"/>
        <v/>
      </c>
      <c r="FL1190" s="18" t="str">
        <f t="shared" si="166"/>
        <v/>
      </c>
    </row>
    <row r="1191" spans="159:168">
      <c r="FC1191" s="118">
        <v>1188</v>
      </c>
      <c r="FD1191" s="118">
        <f t="shared" si="162"/>
        <v>4</v>
      </c>
      <c r="FE1191" s="118">
        <f t="shared" si="163"/>
        <v>75</v>
      </c>
      <c r="FF1191" s="118" t="str">
        <f t="shared" si="164"/>
        <v/>
      </c>
      <c r="FI1191" s="16">
        <v>1188</v>
      </c>
      <c r="FJ1191" s="17" t="str">
        <f t="shared" si="165"/>
        <v/>
      </c>
      <c r="FK1191" s="17" t="str">
        <f t="shared" si="161"/>
        <v/>
      </c>
      <c r="FL1191" s="18" t="str">
        <f t="shared" si="166"/>
        <v/>
      </c>
    </row>
    <row r="1192" spans="159:168">
      <c r="FC1192" s="118">
        <v>1189</v>
      </c>
      <c r="FD1192" s="118">
        <f t="shared" si="162"/>
        <v>5</v>
      </c>
      <c r="FE1192" s="118">
        <f t="shared" si="163"/>
        <v>75</v>
      </c>
      <c r="FF1192" s="118" t="str">
        <f t="shared" si="164"/>
        <v/>
      </c>
      <c r="FI1192" s="16">
        <v>1189</v>
      </c>
      <c r="FJ1192" s="17" t="str">
        <f t="shared" si="165"/>
        <v/>
      </c>
      <c r="FK1192" s="17" t="str">
        <f t="shared" si="161"/>
        <v/>
      </c>
      <c r="FL1192" s="18" t="str">
        <f t="shared" si="166"/>
        <v/>
      </c>
    </row>
    <row r="1193" spans="159:168">
      <c r="FC1193" s="118">
        <v>1190</v>
      </c>
      <c r="FD1193" s="118">
        <f t="shared" si="162"/>
        <v>6</v>
      </c>
      <c r="FE1193" s="118">
        <f t="shared" si="163"/>
        <v>75</v>
      </c>
      <c r="FF1193" s="118" t="str">
        <f t="shared" si="164"/>
        <v/>
      </c>
      <c r="FI1193" s="16">
        <v>1190</v>
      </c>
      <c r="FJ1193" s="17" t="str">
        <f t="shared" si="165"/>
        <v/>
      </c>
      <c r="FK1193" s="17" t="str">
        <f t="shared" si="161"/>
        <v/>
      </c>
      <c r="FL1193" s="18" t="str">
        <f t="shared" si="166"/>
        <v/>
      </c>
    </row>
    <row r="1194" spans="159:168">
      <c r="FC1194" s="118">
        <v>1191</v>
      </c>
      <c r="FD1194" s="118">
        <f t="shared" si="162"/>
        <v>7</v>
      </c>
      <c r="FE1194" s="118">
        <f t="shared" si="163"/>
        <v>75</v>
      </c>
      <c r="FF1194" s="118" t="str">
        <f t="shared" si="164"/>
        <v/>
      </c>
      <c r="FI1194" s="16">
        <v>1191</v>
      </c>
      <c r="FJ1194" s="17" t="str">
        <f t="shared" si="165"/>
        <v/>
      </c>
      <c r="FK1194" s="17" t="str">
        <f t="shared" si="161"/>
        <v/>
      </c>
      <c r="FL1194" s="18" t="str">
        <f t="shared" si="166"/>
        <v/>
      </c>
    </row>
    <row r="1195" spans="159:168">
      <c r="FC1195" s="118">
        <v>1192</v>
      </c>
      <c r="FD1195" s="118">
        <f t="shared" si="162"/>
        <v>8</v>
      </c>
      <c r="FE1195" s="118">
        <f t="shared" si="163"/>
        <v>75</v>
      </c>
      <c r="FF1195" s="118" t="str">
        <f t="shared" si="164"/>
        <v/>
      </c>
      <c r="FI1195" s="16">
        <v>1192</v>
      </c>
      <c r="FJ1195" s="17" t="str">
        <f t="shared" si="165"/>
        <v/>
      </c>
      <c r="FK1195" s="17" t="str">
        <f t="shared" si="161"/>
        <v/>
      </c>
      <c r="FL1195" s="18" t="str">
        <f t="shared" si="166"/>
        <v/>
      </c>
    </row>
    <row r="1196" spans="159:168">
      <c r="FC1196" s="118">
        <v>1193</v>
      </c>
      <c r="FD1196" s="118">
        <f t="shared" si="162"/>
        <v>9</v>
      </c>
      <c r="FE1196" s="118">
        <f t="shared" si="163"/>
        <v>75</v>
      </c>
      <c r="FF1196" s="118" t="str">
        <f t="shared" si="164"/>
        <v/>
      </c>
      <c r="FI1196" s="16">
        <v>1193</v>
      </c>
      <c r="FJ1196" s="17" t="str">
        <f t="shared" si="165"/>
        <v/>
      </c>
      <c r="FK1196" s="17" t="str">
        <f t="shared" si="161"/>
        <v/>
      </c>
      <c r="FL1196" s="18" t="str">
        <f t="shared" si="166"/>
        <v/>
      </c>
    </row>
    <row r="1197" spans="159:168">
      <c r="FC1197" s="118">
        <v>1194</v>
      </c>
      <c r="FD1197" s="118">
        <f t="shared" si="162"/>
        <v>10</v>
      </c>
      <c r="FE1197" s="118">
        <f t="shared" si="163"/>
        <v>75</v>
      </c>
      <c r="FF1197" s="118" t="str">
        <f t="shared" si="164"/>
        <v/>
      </c>
      <c r="FI1197" s="16">
        <v>1194</v>
      </c>
      <c r="FJ1197" s="17" t="str">
        <f t="shared" si="165"/>
        <v/>
      </c>
      <c r="FK1197" s="17" t="str">
        <f t="shared" si="161"/>
        <v/>
      </c>
      <c r="FL1197" s="18" t="str">
        <f t="shared" si="166"/>
        <v/>
      </c>
    </row>
    <row r="1198" spans="159:168">
      <c r="FC1198" s="118">
        <v>1195</v>
      </c>
      <c r="FD1198" s="118">
        <f t="shared" si="162"/>
        <v>11</v>
      </c>
      <c r="FE1198" s="118">
        <f t="shared" si="163"/>
        <v>75</v>
      </c>
      <c r="FF1198" s="118" t="str">
        <f t="shared" si="164"/>
        <v/>
      </c>
      <c r="FI1198" s="16">
        <v>1195</v>
      </c>
      <c r="FJ1198" s="17" t="str">
        <f t="shared" si="165"/>
        <v/>
      </c>
      <c r="FK1198" s="17" t="str">
        <f t="shared" si="161"/>
        <v/>
      </c>
      <c r="FL1198" s="18" t="str">
        <f t="shared" si="166"/>
        <v/>
      </c>
    </row>
    <row r="1199" spans="159:168">
      <c r="FC1199" s="118">
        <v>1196</v>
      </c>
      <c r="FD1199" s="118">
        <f t="shared" si="162"/>
        <v>12</v>
      </c>
      <c r="FE1199" s="118">
        <f t="shared" si="163"/>
        <v>75</v>
      </c>
      <c r="FF1199" s="118" t="str">
        <f t="shared" si="164"/>
        <v/>
      </c>
      <c r="FI1199" s="16">
        <v>1196</v>
      </c>
      <c r="FJ1199" s="17" t="str">
        <f t="shared" si="165"/>
        <v/>
      </c>
      <c r="FK1199" s="17" t="str">
        <f t="shared" si="161"/>
        <v/>
      </c>
      <c r="FL1199" s="18" t="str">
        <f t="shared" si="166"/>
        <v/>
      </c>
    </row>
    <row r="1200" spans="159:168">
      <c r="FC1200" s="118">
        <v>1197</v>
      </c>
      <c r="FD1200" s="118">
        <f t="shared" si="162"/>
        <v>13</v>
      </c>
      <c r="FE1200" s="118">
        <f t="shared" si="163"/>
        <v>75</v>
      </c>
      <c r="FF1200" s="118" t="str">
        <f t="shared" si="164"/>
        <v/>
      </c>
      <c r="FI1200" s="16">
        <v>1197</v>
      </c>
      <c r="FJ1200" s="17" t="str">
        <f t="shared" si="165"/>
        <v/>
      </c>
      <c r="FK1200" s="17" t="str">
        <f t="shared" si="161"/>
        <v/>
      </c>
      <c r="FL1200" s="18" t="str">
        <f t="shared" si="166"/>
        <v/>
      </c>
    </row>
    <row r="1201" spans="159:168">
      <c r="FC1201" s="118">
        <v>1198</v>
      </c>
      <c r="FD1201" s="118">
        <f t="shared" si="162"/>
        <v>14</v>
      </c>
      <c r="FE1201" s="118">
        <f t="shared" si="163"/>
        <v>75</v>
      </c>
      <c r="FF1201" s="118" t="str">
        <f t="shared" si="164"/>
        <v/>
      </c>
      <c r="FI1201" s="16">
        <v>1198</v>
      </c>
      <c r="FJ1201" s="17" t="str">
        <f t="shared" si="165"/>
        <v/>
      </c>
      <c r="FK1201" s="17" t="str">
        <f t="shared" si="161"/>
        <v/>
      </c>
      <c r="FL1201" s="18" t="str">
        <f t="shared" si="166"/>
        <v/>
      </c>
    </row>
    <row r="1202" spans="159:168">
      <c r="FC1202" s="118">
        <v>1199</v>
      </c>
      <c r="FD1202" s="118">
        <f t="shared" si="162"/>
        <v>15</v>
      </c>
      <c r="FE1202" s="118">
        <f t="shared" si="163"/>
        <v>75</v>
      </c>
      <c r="FF1202" s="118" t="str">
        <f t="shared" si="164"/>
        <v/>
      </c>
      <c r="FI1202" s="16">
        <v>1199</v>
      </c>
      <c r="FJ1202" s="17" t="str">
        <f t="shared" si="165"/>
        <v/>
      </c>
      <c r="FK1202" s="17" t="str">
        <f t="shared" si="161"/>
        <v/>
      </c>
      <c r="FL1202" s="18" t="str">
        <f t="shared" si="166"/>
        <v/>
      </c>
    </row>
    <row r="1203" spans="159:168">
      <c r="FC1203" s="118">
        <v>1200</v>
      </c>
      <c r="FD1203" s="118">
        <f t="shared" si="162"/>
        <v>16</v>
      </c>
      <c r="FE1203" s="118">
        <f t="shared" si="163"/>
        <v>75</v>
      </c>
      <c r="FF1203" s="118" t="str">
        <f t="shared" si="164"/>
        <v/>
      </c>
      <c r="FI1203" s="16">
        <v>1200</v>
      </c>
      <c r="FJ1203" s="17" t="str">
        <f t="shared" si="165"/>
        <v/>
      </c>
      <c r="FK1203" s="17" t="str">
        <f t="shared" si="161"/>
        <v/>
      </c>
      <c r="FL1203" s="18" t="str">
        <f t="shared" si="166"/>
        <v/>
      </c>
    </row>
    <row r="1204" spans="159:168">
      <c r="FC1204" s="118">
        <v>1201</v>
      </c>
      <c r="FD1204" s="118">
        <f t="shared" si="162"/>
        <v>1</v>
      </c>
      <c r="FE1204" s="118">
        <f t="shared" si="163"/>
        <v>76</v>
      </c>
      <c r="FF1204" s="118" t="str">
        <f t="shared" si="164"/>
        <v/>
      </c>
      <c r="FI1204" s="16">
        <v>1201</v>
      </c>
      <c r="FJ1204" s="17" t="str">
        <f t="shared" si="165"/>
        <v/>
      </c>
      <c r="FK1204" s="17" t="str">
        <f t="shared" si="161"/>
        <v/>
      </c>
      <c r="FL1204" s="18" t="str">
        <f t="shared" si="166"/>
        <v/>
      </c>
    </row>
    <row r="1205" spans="159:168">
      <c r="FC1205" s="118">
        <v>1202</v>
      </c>
      <c r="FD1205" s="118">
        <f t="shared" si="162"/>
        <v>2</v>
      </c>
      <c r="FE1205" s="118">
        <f t="shared" si="163"/>
        <v>76</v>
      </c>
      <c r="FF1205" s="118" t="str">
        <f t="shared" si="164"/>
        <v/>
      </c>
      <c r="FI1205" s="16">
        <v>1202</v>
      </c>
      <c r="FJ1205" s="17" t="str">
        <f t="shared" si="165"/>
        <v/>
      </c>
      <c r="FK1205" s="17" t="str">
        <f t="shared" si="161"/>
        <v/>
      </c>
      <c r="FL1205" s="18" t="str">
        <f t="shared" si="166"/>
        <v/>
      </c>
    </row>
    <row r="1206" spans="159:168">
      <c r="FC1206" s="118">
        <v>1203</v>
      </c>
      <c r="FD1206" s="118">
        <f t="shared" si="162"/>
        <v>3</v>
      </c>
      <c r="FE1206" s="118">
        <f t="shared" si="163"/>
        <v>76</v>
      </c>
      <c r="FF1206" s="118" t="str">
        <f t="shared" si="164"/>
        <v/>
      </c>
      <c r="FI1206" s="16">
        <v>1203</v>
      </c>
      <c r="FJ1206" s="17" t="str">
        <f t="shared" si="165"/>
        <v/>
      </c>
      <c r="FK1206" s="17" t="str">
        <f t="shared" si="161"/>
        <v/>
      </c>
      <c r="FL1206" s="18" t="str">
        <f t="shared" si="166"/>
        <v/>
      </c>
    </row>
    <row r="1207" spans="159:168">
      <c r="FC1207" s="118">
        <v>1204</v>
      </c>
      <c r="FD1207" s="118">
        <f t="shared" si="162"/>
        <v>4</v>
      </c>
      <c r="FE1207" s="118">
        <f t="shared" si="163"/>
        <v>76</v>
      </c>
      <c r="FF1207" s="118" t="str">
        <f t="shared" si="164"/>
        <v/>
      </c>
      <c r="FI1207" s="16">
        <v>1204</v>
      </c>
      <c r="FJ1207" s="17" t="str">
        <f t="shared" si="165"/>
        <v/>
      </c>
      <c r="FK1207" s="17" t="str">
        <f t="shared" si="161"/>
        <v/>
      </c>
      <c r="FL1207" s="18" t="str">
        <f t="shared" si="166"/>
        <v/>
      </c>
    </row>
    <row r="1208" spans="159:168">
      <c r="FC1208" s="118">
        <v>1205</v>
      </c>
      <c r="FD1208" s="118">
        <f t="shared" si="162"/>
        <v>5</v>
      </c>
      <c r="FE1208" s="118">
        <f t="shared" si="163"/>
        <v>76</v>
      </c>
      <c r="FF1208" s="118" t="str">
        <f t="shared" si="164"/>
        <v/>
      </c>
      <c r="FI1208" s="16">
        <v>1205</v>
      </c>
      <c r="FJ1208" s="17" t="str">
        <f t="shared" si="165"/>
        <v/>
      </c>
      <c r="FK1208" s="17" t="str">
        <f t="shared" si="161"/>
        <v/>
      </c>
      <c r="FL1208" s="18" t="str">
        <f t="shared" si="166"/>
        <v/>
      </c>
    </row>
    <row r="1209" spans="159:168">
      <c r="FC1209" s="118">
        <v>1206</v>
      </c>
      <c r="FD1209" s="118">
        <f t="shared" si="162"/>
        <v>6</v>
      </c>
      <c r="FE1209" s="118">
        <f t="shared" si="163"/>
        <v>76</v>
      </c>
      <c r="FF1209" s="118" t="str">
        <f t="shared" si="164"/>
        <v/>
      </c>
      <c r="FI1209" s="16">
        <v>1206</v>
      </c>
      <c r="FJ1209" s="17" t="str">
        <f t="shared" si="165"/>
        <v/>
      </c>
      <c r="FK1209" s="17" t="str">
        <f t="shared" si="161"/>
        <v/>
      </c>
      <c r="FL1209" s="18" t="str">
        <f t="shared" si="166"/>
        <v/>
      </c>
    </row>
    <row r="1210" spans="159:168">
      <c r="FC1210" s="118">
        <v>1207</v>
      </c>
      <c r="FD1210" s="118">
        <f t="shared" si="162"/>
        <v>7</v>
      </c>
      <c r="FE1210" s="118">
        <f t="shared" si="163"/>
        <v>76</v>
      </c>
      <c r="FF1210" s="118" t="str">
        <f t="shared" si="164"/>
        <v/>
      </c>
      <c r="FI1210" s="16">
        <v>1207</v>
      </c>
      <c r="FJ1210" s="17" t="str">
        <f t="shared" si="165"/>
        <v/>
      </c>
      <c r="FK1210" s="17" t="str">
        <f t="shared" si="161"/>
        <v/>
      </c>
      <c r="FL1210" s="18" t="str">
        <f t="shared" si="166"/>
        <v/>
      </c>
    </row>
    <row r="1211" spans="159:168">
      <c r="FC1211" s="118">
        <v>1208</v>
      </c>
      <c r="FD1211" s="118">
        <f t="shared" si="162"/>
        <v>8</v>
      </c>
      <c r="FE1211" s="118">
        <f t="shared" si="163"/>
        <v>76</v>
      </c>
      <c r="FF1211" s="118" t="str">
        <f t="shared" si="164"/>
        <v/>
      </c>
      <c r="FI1211" s="16">
        <v>1208</v>
      </c>
      <c r="FJ1211" s="17" t="str">
        <f t="shared" si="165"/>
        <v/>
      </c>
      <c r="FK1211" s="17" t="str">
        <f t="shared" si="161"/>
        <v/>
      </c>
      <c r="FL1211" s="18" t="str">
        <f t="shared" si="166"/>
        <v/>
      </c>
    </row>
    <row r="1212" spans="159:168">
      <c r="FC1212" s="118">
        <v>1209</v>
      </c>
      <c r="FD1212" s="118">
        <f t="shared" si="162"/>
        <v>9</v>
      </c>
      <c r="FE1212" s="118">
        <f t="shared" si="163"/>
        <v>76</v>
      </c>
      <c r="FF1212" s="118" t="str">
        <f t="shared" si="164"/>
        <v/>
      </c>
      <c r="FI1212" s="16">
        <v>1209</v>
      </c>
      <c r="FJ1212" s="17" t="str">
        <f t="shared" si="165"/>
        <v/>
      </c>
      <c r="FK1212" s="17" t="str">
        <f t="shared" si="161"/>
        <v/>
      </c>
      <c r="FL1212" s="18" t="str">
        <f t="shared" si="166"/>
        <v/>
      </c>
    </row>
    <row r="1213" spans="159:168">
      <c r="FC1213" s="118">
        <v>1210</v>
      </c>
      <c r="FD1213" s="118">
        <f t="shared" si="162"/>
        <v>10</v>
      </c>
      <c r="FE1213" s="118">
        <f t="shared" si="163"/>
        <v>76</v>
      </c>
      <c r="FF1213" s="118" t="str">
        <f t="shared" si="164"/>
        <v/>
      </c>
      <c r="FI1213" s="16">
        <v>1210</v>
      </c>
      <c r="FJ1213" s="17" t="str">
        <f t="shared" si="165"/>
        <v/>
      </c>
      <c r="FK1213" s="17" t="str">
        <f t="shared" si="161"/>
        <v/>
      </c>
      <c r="FL1213" s="18" t="str">
        <f t="shared" si="166"/>
        <v/>
      </c>
    </row>
    <row r="1214" spans="159:168">
      <c r="FC1214" s="118">
        <v>1211</v>
      </c>
      <c r="FD1214" s="118">
        <f t="shared" si="162"/>
        <v>11</v>
      </c>
      <c r="FE1214" s="118">
        <f t="shared" si="163"/>
        <v>76</v>
      </c>
      <c r="FF1214" s="118" t="str">
        <f t="shared" si="164"/>
        <v/>
      </c>
      <c r="FI1214" s="16">
        <v>1211</v>
      </c>
      <c r="FJ1214" s="17" t="str">
        <f t="shared" si="165"/>
        <v/>
      </c>
      <c r="FK1214" s="17" t="str">
        <f t="shared" si="161"/>
        <v/>
      </c>
      <c r="FL1214" s="18" t="str">
        <f t="shared" si="166"/>
        <v/>
      </c>
    </row>
    <row r="1215" spans="159:168">
      <c r="FC1215" s="118">
        <v>1212</v>
      </c>
      <c r="FD1215" s="118">
        <f t="shared" si="162"/>
        <v>12</v>
      </c>
      <c r="FE1215" s="118">
        <f t="shared" si="163"/>
        <v>76</v>
      </c>
      <c r="FF1215" s="118" t="str">
        <f t="shared" si="164"/>
        <v/>
      </c>
      <c r="FI1215" s="16">
        <v>1212</v>
      </c>
      <c r="FJ1215" s="17" t="str">
        <f t="shared" si="165"/>
        <v/>
      </c>
      <c r="FK1215" s="17" t="str">
        <f t="shared" si="161"/>
        <v/>
      </c>
      <c r="FL1215" s="18" t="str">
        <f t="shared" si="166"/>
        <v/>
      </c>
    </row>
    <row r="1216" spans="159:168">
      <c r="FC1216" s="118">
        <v>1213</v>
      </c>
      <c r="FD1216" s="118">
        <f t="shared" si="162"/>
        <v>13</v>
      </c>
      <c r="FE1216" s="118">
        <f t="shared" si="163"/>
        <v>76</v>
      </c>
      <c r="FF1216" s="118" t="str">
        <f t="shared" si="164"/>
        <v/>
      </c>
      <c r="FI1216" s="16">
        <v>1213</v>
      </c>
      <c r="FJ1216" s="17" t="str">
        <f t="shared" si="165"/>
        <v/>
      </c>
      <c r="FK1216" s="17" t="str">
        <f t="shared" si="161"/>
        <v/>
      </c>
      <c r="FL1216" s="18" t="str">
        <f t="shared" si="166"/>
        <v/>
      </c>
    </row>
    <row r="1217" spans="159:168">
      <c r="FC1217" s="118">
        <v>1214</v>
      </c>
      <c r="FD1217" s="118">
        <f t="shared" si="162"/>
        <v>14</v>
      </c>
      <c r="FE1217" s="118">
        <f t="shared" si="163"/>
        <v>76</v>
      </c>
      <c r="FF1217" s="118" t="str">
        <f t="shared" si="164"/>
        <v/>
      </c>
      <c r="FI1217" s="16">
        <v>1214</v>
      </c>
      <c r="FJ1217" s="17" t="str">
        <f t="shared" si="165"/>
        <v/>
      </c>
      <c r="FK1217" s="17" t="str">
        <f t="shared" si="161"/>
        <v/>
      </c>
      <c r="FL1217" s="18" t="str">
        <f t="shared" si="166"/>
        <v/>
      </c>
    </row>
    <row r="1218" spans="159:168">
      <c r="FC1218" s="118">
        <v>1215</v>
      </c>
      <c r="FD1218" s="118">
        <f t="shared" si="162"/>
        <v>15</v>
      </c>
      <c r="FE1218" s="118">
        <f t="shared" si="163"/>
        <v>76</v>
      </c>
      <c r="FF1218" s="118" t="str">
        <f t="shared" si="164"/>
        <v/>
      </c>
      <c r="FI1218" s="16">
        <v>1215</v>
      </c>
      <c r="FJ1218" s="17" t="str">
        <f t="shared" si="165"/>
        <v/>
      </c>
      <c r="FK1218" s="17" t="str">
        <f t="shared" si="161"/>
        <v/>
      </c>
      <c r="FL1218" s="18" t="str">
        <f t="shared" si="166"/>
        <v/>
      </c>
    </row>
    <row r="1219" spans="159:168">
      <c r="FC1219" s="118">
        <v>1216</v>
      </c>
      <c r="FD1219" s="118">
        <f t="shared" si="162"/>
        <v>16</v>
      </c>
      <c r="FE1219" s="118">
        <f t="shared" si="163"/>
        <v>76</v>
      </c>
      <c r="FF1219" s="118" t="str">
        <f t="shared" si="164"/>
        <v/>
      </c>
      <c r="FI1219" s="16">
        <v>1216</v>
      </c>
      <c r="FJ1219" s="17" t="str">
        <f t="shared" si="165"/>
        <v/>
      </c>
      <c r="FK1219" s="17" t="str">
        <f t="shared" si="161"/>
        <v/>
      </c>
      <c r="FL1219" s="18" t="str">
        <f t="shared" si="166"/>
        <v/>
      </c>
    </row>
    <row r="1220" spans="159:168">
      <c r="FC1220" s="118">
        <v>1217</v>
      </c>
      <c r="FD1220" s="118">
        <f t="shared" si="162"/>
        <v>1</v>
      </c>
      <c r="FE1220" s="118">
        <f t="shared" si="163"/>
        <v>77</v>
      </c>
      <c r="FF1220" s="118" t="str">
        <f t="shared" si="164"/>
        <v/>
      </c>
      <c r="FI1220" s="16">
        <v>1217</v>
      </c>
      <c r="FJ1220" s="17" t="str">
        <f t="shared" si="165"/>
        <v/>
      </c>
      <c r="FK1220" s="17" t="str">
        <f t="shared" si="161"/>
        <v/>
      </c>
      <c r="FL1220" s="18" t="str">
        <f t="shared" si="166"/>
        <v/>
      </c>
    </row>
    <row r="1221" spans="159:168">
      <c r="FC1221" s="118">
        <v>1218</v>
      </c>
      <c r="FD1221" s="118">
        <f t="shared" si="162"/>
        <v>2</v>
      </c>
      <c r="FE1221" s="118">
        <f t="shared" si="163"/>
        <v>77</v>
      </c>
      <c r="FF1221" s="118" t="str">
        <f t="shared" si="164"/>
        <v/>
      </c>
      <c r="FI1221" s="16">
        <v>1218</v>
      </c>
      <c r="FJ1221" s="17" t="str">
        <f t="shared" si="165"/>
        <v/>
      </c>
      <c r="FK1221" s="17" t="str">
        <f t="shared" ref="FK1221:FK1284" si="167">IF(FI1221&lt;=$FH$2,FF1221,IF(FI1221&lt;=$FH$2+$FH$3,INDEX($FJ$4:$FJ$2494,FI1221-$FH$2),""))</f>
        <v/>
      </c>
      <c r="FL1221" s="18" t="str">
        <f t="shared" si="166"/>
        <v/>
      </c>
    </row>
    <row r="1222" spans="159:168">
      <c r="FC1222" s="118">
        <v>1219</v>
      </c>
      <c r="FD1222" s="118">
        <f t="shared" si="162"/>
        <v>3</v>
      </c>
      <c r="FE1222" s="118">
        <f t="shared" si="163"/>
        <v>77</v>
      </c>
      <c r="FF1222" s="118" t="str">
        <f t="shared" si="164"/>
        <v/>
      </c>
      <c r="FI1222" s="16">
        <v>1219</v>
      </c>
      <c r="FJ1222" s="17" t="str">
        <f t="shared" si="165"/>
        <v/>
      </c>
      <c r="FK1222" s="17" t="str">
        <f t="shared" si="167"/>
        <v/>
      </c>
      <c r="FL1222" s="18" t="str">
        <f t="shared" si="166"/>
        <v/>
      </c>
    </row>
    <row r="1223" spans="159:168">
      <c r="FC1223" s="118">
        <v>1220</v>
      </c>
      <c r="FD1223" s="118">
        <f t="shared" si="162"/>
        <v>4</v>
      </c>
      <c r="FE1223" s="118">
        <f t="shared" si="163"/>
        <v>77</v>
      </c>
      <c r="FF1223" s="118" t="str">
        <f t="shared" si="164"/>
        <v/>
      </c>
      <c r="FI1223" s="16">
        <v>1220</v>
      </c>
      <c r="FJ1223" s="17" t="str">
        <f t="shared" si="165"/>
        <v/>
      </c>
      <c r="FK1223" s="17" t="str">
        <f t="shared" si="167"/>
        <v/>
      </c>
      <c r="FL1223" s="18" t="str">
        <f t="shared" si="166"/>
        <v/>
      </c>
    </row>
    <row r="1224" spans="159:168">
      <c r="FC1224" s="118">
        <v>1221</v>
      </c>
      <c r="FD1224" s="118">
        <f t="shared" si="162"/>
        <v>5</v>
      </c>
      <c r="FE1224" s="118">
        <f t="shared" si="163"/>
        <v>77</v>
      </c>
      <c r="FF1224" s="118" t="str">
        <f t="shared" si="164"/>
        <v/>
      </c>
      <c r="FI1224" s="16">
        <v>1221</v>
      </c>
      <c r="FJ1224" s="17" t="str">
        <f t="shared" si="165"/>
        <v/>
      </c>
      <c r="FK1224" s="17" t="str">
        <f t="shared" si="167"/>
        <v/>
      </c>
      <c r="FL1224" s="18" t="str">
        <f t="shared" si="166"/>
        <v/>
      </c>
    </row>
    <row r="1225" spans="159:168">
      <c r="FC1225" s="118">
        <v>1222</v>
      </c>
      <c r="FD1225" s="118">
        <f t="shared" si="162"/>
        <v>6</v>
      </c>
      <c r="FE1225" s="118">
        <f t="shared" si="163"/>
        <v>77</v>
      </c>
      <c r="FF1225" s="118" t="str">
        <f t="shared" si="164"/>
        <v/>
      </c>
      <c r="FI1225" s="16">
        <v>1222</v>
      </c>
      <c r="FJ1225" s="17" t="str">
        <f t="shared" si="165"/>
        <v/>
      </c>
      <c r="FK1225" s="17" t="str">
        <f t="shared" si="167"/>
        <v/>
      </c>
      <c r="FL1225" s="18" t="str">
        <f t="shared" si="166"/>
        <v/>
      </c>
    </row>
    <row r="1226" spans="159:168">
      <c r="FC1226" s="118">
        <v>1223</v>
      </c>
      <c r="FD1226" s="118">
        <f t="shared" si="162"/>
        <v>7</v>
      </c>
      <c r="FE1226" s="118">
        <f t="shared" si="163"/>
        <v>77</v>
      </c>
      <c r="FF1226" s="118" t="str">
        <f t="shared" si="164"/>
        <v/>
      </c>
      <c r="FI1226" s="16">
        <v>1223</v>
      </c>
      <c r="FJ1226" s="17" t="str">
        <f t="shared" si="165"/>
        <v/>
      </c>
      <c r="FK1226" s="17" t="str">
        <f t="shared" si="167"/>
        <v/>
      </c>
      <c r="FL1226" s="18" t="str">
        <f t="shared" si="166"/>
        <v/>
      </c>
    </row>
    <row r="1227" spans="159:168">
      <c r="FC1227" s="118">
        <v>1224</v>
      </c>
      <c r="FD1227" s="118">
        <f t="shared" si="162"/>
        <v>8</v>
      </c>
      <c r="FE1227" s="118">
        <f t="shared" si="163"/>
        <v>77</v>
      </c>
      <c r="FF1227" s="118" t="str">
        <f t="shared" si="164"/>
        <v/>
      </c>
      <c r="FI1227" s="16">
        <v>1224</v>
      </c>
      <c r="FJ1227" s="17" t="str">
        <f t="shared" si="165"/>
        <v/>
      </c>
      <c r="FK1227" s="17" t="str">
        <f t="shared" si="167"/>
        <v/>
      </c>
      <c r="FL1227" s="18" t="str">
        <f t="shared" si="166"/>
        <v/>
      </c>
    </row>
    <row r="1228" spans="159:168">
      <c r="FC1228" s="118">
        <v>1225</v>
      </c>
      <c r="FD1228" s="118">
        <f t="shared" si="162"/>
        <v>9</v>
      </c>
      <c r="FE1228" s="118">
        <f t="shared" si="163"/>
        <v>77</v>
      </c>
      <c r="FF1228" s="118" t="str">
        <f t="shared" si="164"/>
        <v/>
      </c>
      <c r="FI1228" s="16">
        <v>1225</v>
      </c>
      <c r="FJ1228" s="17" t="str">
        <f t="shared" si="165"/>
        <v/>
      </c>
      <c r="FK1228" s="17" t="str">
        <f t="shared" si="167"/>
        <v/>
      </c>
      <c r="FL1228" s="18" t="str">
        <f t="shared" si="166"/>
        <v/>
      </c>
    </row>
    <row r="1229" spans="159:168">
      <c r="FC1229" s="118">
        <v>1226</v>
      </c>
      <c r="FD1229" s="118">
        <f t="shared" si="162"/>
        <v>10</v>
      </c>
      <c r="FE1229" s="118">
        <f t="shared" si="163"/>
        <v>77</v>
      </c>
      <c r="FF1229" s="118" t="str">
        <f t="shared" si="164"/>
        <v/>
      </c>
      <c r="FI1229" s="16">
        <v>1226</v>
      </c>
      <c r="FJ1229" s="17" t="str">
        <f t="shared" si="165"/>
        <v/>
      </c>
      <c r="FK1229" s="17" t="str">
        <f t="shared" si="167"/>
        <v/>
      </c>
      <c r="FL1229" s="18" t="str">
        <f t="shared" si="166"/>
        <v/>
      </c>
    </row>
    <row r="1230" spans="159:168">
      <c r="FC1230" s="118">
        <v>1227</v>
      </c>
      <c r="FD1230" s="118">
        <f t="shared" si="162"/>
        <v>11</v>
      </c>
      <c r="FE1230" s="118">
        <f t="shared" si="163"/>
        <v>77</v>
      </c>
      <c r="FF1230" s="118" t="str">
        <f t="shared" si="164"/>
        <v/>
      </c>
      <c r="FI1230" s="16">
        <v>1227</v>
      </c>
      <c r="FJ1230" s="17" t="str">
        <f t="shared" si="165"/>
        <v/>
      </c>
      <c r="FK1230" s="17" t="str">
        <f t="shared" si="167"/>
        <v/>
      </c>
      <c r="FL1230" s="18" t="str">
        <f t="shared" si="166"/>
        <v/>
      </c>
    </row>
    <row r="1231" spans="159:168">
      <c r="FC1231" s="118">
        <v>1228</v>
      </c>
      <c r="FD1231" s="118">
        <f t="shared" si="162"/>
        <v>12</v>
      </c>
      <c r="FE1231" s="118">
        <f t="shared" si="163"/>
        <v>77</v>
      </c>
      <c r="FF1231" s="118" t="str">
        <f t="shared" si="164"/>
        <v/>
      </c>
      <c r="FI1231" s="16">
        <v>1228</v>
      </c>
      <c r="FJ1231" s="17" t="str">
        <f t="shared" si="165"/>
        <v/>
      </c>
      <c r="FK1231" s="17" t="str">
        <f t="shared" si="167"/>
        <v/>
      </c>
      <c r="FL1231" s="18" t="str">
        <f t="shared" si="166"/>
        <v/>
      </c>
    </row>
    <row r="1232" spans="159:168">
      <c r="FC1232" s="118">
        <v>1229</v>
      </c>
      <c r="FD1232" s="118">
        <f t="shared" si="162"/>
        <v>13</v>
      </c>
      <c r="FE1232" s="118">
        <f t="shared" si="163"/>
        <v>77</v>
      </c>
      <c r="FF1232" s="118" t="str">
        <f t="shared" si="164"/>
        <v/>
      </c>
      <c r="FI1232" s="16">
        <v>1229</v>
      </c>
      <c r="FJ1232" s="17" t="str">
        <f t="shared" si="165"/>
        <v/>
      </c>
      <c r="FK1232" s="17" t="str">
        <f t="shared" si="167"/>
        <v/>
      </c>
      <c r="FL1232" s="18" t="str">
        <f t="shared" si="166"/>
        <v/>
      </c>
    </row>
    <row r="1233" spans="159:168">
      <c r="FC1233" s="118">
        <v>1230</v>
      </c>
      <c r="FD1233" s="118">
        <f t="shared" si="162"/>
        <v>14</v>
      </c>
      <c r="FE1233" s="118">
        <f t="shared" si="163"/>
        <v>77</v>
      </c>
      <c r="FF1233" s="118" t="str">
        <f t="shared" si="164"/>
        <v/>
      </c>
      <c r="FI1233" s="16">
        <v>1230</v>
      </c>
      <c r="FJ1233" s="17" t="str">
        <f t="shared" si="165"/>
        <v/>
      </c>
      <c r="FK1233" s="17" t="str">
        <f t="shared" si="167"/>
        <v/>
      </c>
      <c r="FL1233" s="18" t="str">
        <f t="shared" si="166"/>
        <v/>
      </c>
    </row>
    <row r="1234" spans="159:168">
      <c r="FC1234" s="118">
        <v>1231</v>
      </c>
      <c r="FD1234" s="118">
        <f t="shared" si="162"/>
        <v>15</v>
      </c>
      <c r="FE1234" s="118">
        <f t="shared" si="163"/>
        <v>77</v>
      </c>
      <c r="FF1234" s="118" t="str">
        <f t="shared" si="164"/>
        <v/>
      </c>
      <c r="FI1234" s="16">
        <v>1231</v>
      </c>
      <c r="FJ1234" s="17" t="str">
        <f t="shared" si="165"/>
        <v/>
      </c>
      <c r="FK1234" s="17" t="str">
        <f t="shared" si="167"/>
        <v/>
      </c>
      <c r="FL1234" s="18" t="str">
        <f t="shared" si="166"/>
        <v/>
      </c>
    </row>
    <row r="1235" spans="159:168">
      <c r="FC1235" s="118">
        <v>1232</v>
      </c>
      <c r="FD1235" s="118">
        <f t="shared" si="162"/>
        <v>16</v>
      </c>
      <c r="FE1235" s="118">
        <f t="shared" si="163"/>
        <v>77</v>
      </c>
      <c r="FF1235" s="118" t="str">
        <f t="shared" si="164"/>
        <v/>
      </c>
      <c r="FI1235" s="16">
        <v>1232</v>
      </c>
      <c r="FJ1235" s="17" t="str">
        <f t="shared" si="165"/>
        <v/>
      </c>
      <c r="FK1235" s="17" t="str">
        <f t="shared" si="167"/>
        <v/>
      </c>
      <c r="FL1235" s="18" t="str">
        <f t="shared" si="166"/>
        <v/>
      </c>
    </row>
    <row r="1236" spans="159:168">
      <c r="FC1236" s="118">
        <v>1233</v>
      </c>
      <c r="FD1236" s="118">
        <f t="shared" si="162"/>
        <v>1</v>
      </c>
      <c r="FE1236" s="118">
        <f t="shared" si="163"/>
        <v>78</v>
      </c>
      <c r="FF1236" s="118" t="str">
        <f t="shared" si="164"/>
        <v/>
      </c>
      <c r="FI1236" s="16">
        <v>1233</v>
      </c>
      <c r="FJ1236" s="17" t="str">
        <f t="shared" si="165"/>
        <v/>
      </c>
      <c r="FK1236" s="17" t="str">
        <f t="shared" si="167"/>
        <v/>
      </c>
      <c r="FL1236" s="18" t="str">
        <f t="shared" si="166"/>
        <v/>
      </c>
    </row>
    <row r="1237" spans="159:168">
      <c r="FC1237" s="118">
        <v>1234</v>
      </c>
      <c r="FD1237" s="118">
        <f t="shared" si="162"/>
        <v>2</v>
      </c>
      <c r="FE1237" s="118">
        <f t="shared" si="163"/>
        <v>78</v>
      </c>
      <c r="FF1237" s="118" t="str">
        <f t="shared" si="164"/>
        <v/>
      </c>
      <c r="FI1237" s="16">
        <v>1234</v>
      </c>
      <c r="FJ1237" s="17" t="str">
        <f t="shared" si="165"/>
        <v/>
      </c>
      <c r="FK1237" s="17" t="str">
        <f t="shared" si="167"/>
        <v/>
      </c>
      <c r="FL1237" s="18" t="str">
        <f t="shared" si="166"/>
        <v/>
      </c>
    </row>
    <row r="1238" spans="159:168">
      <c r="FC1238" s="118">
        <v>1235</v>
      </c>
      <c r="FD1238" s="118">
        <f t="shared" ref="FD1238:FD1301" si="168">IF(MOD(FC1238,$FB$1+$FB$2)=0,$FB$1+$FB$2,MOD(FC1238,$FB$1+$FB$2))</f>
        <v>3</v>
      </c>
      <c r="FE1238" s="118">
        <f t="shared" ref="FE1238:FE1301" si="169">ROUNDUP(FC1238/($FB$1+$FB$2),0)</f>
        <v>78</v>
      </c>
      <c r="FF1238" s="118" t="str">
        <f t="shared" ref="FF1238:FF1301" si="170">IF(FE1238&lt;$FB$3,INDEX($E$4:$DV$84,FD1238,FE1238),IF(FE1238=$FB$3,INDEX($E$4:$DV$84,FD1238+$FB$1,FE1238),""))</f>
        <v/>
      </c>
      <c r="FI1238" s="16">
        <v>1235</v>
      </c>
      <c r="FJ1238" s="17" t="str">
        <f t="shared" ref="FJ1238:FJ1301" si="171">IF(FE1238&lt;=$FH$1,INDEX($DW$4:$EZ$84,FD1238,FE1238),"")</f>
        <v/>
      </c>
      <c r="FK1238" s="17" t="str">
        <f t="shared" si="167"/>
        <v/>
      </c>
      <c r="FL1238" s="18" t="str">
        <f t="shared" ref="FL1238:FL1301" si="172">IFERROR(TEXT(DEC2BIN(FK1238),"00000000"),"")</f>
        <v/>
      </c>
    </row>
    <row r="1239" spans="159:168">
      <c r="FC1239" s="118">
        <v>1236</v>
      </c>
      <c r="FD1239" s="118">
        <f t="shared" si="168"/>
        <v>4</v>
      </c>
      <c r="FE1239" s="118">
        <f t="shared" si="169"/>
        <v>78</v>
      </c>
      <c r="FF1239" s="118" t="str">
        <f t="shared" si="170"/>
        <v/>
      </c>
      <c r="FI1239" s="16">
        <v>1236</v>
      </c>
      <c r="FJ1239" s="17" t="str">
        <f t="shared" si="171"/>
        <v/>
      </c>
      <c r="FK1239" s="17" t="str">
        <f t="shared" si="167"/>
        <v/>
      </c>
      <c r="FL1239" s="18" t="str">
        <f t="shared" si="172"/>
        <v/>
      </c>
    </row>
    <row r="1240" spans="159:168">
      <c r="FC1240" s="118">
        <v>1237</v>
      </c>
      <c r="FD1240" s="118">
        <f t="shared" si="168"/>
        <v>5</v>
      </c>
      <c r="FE1240" s="118">
        <f t="shared" si="169"/>
        <v>78</v>
      </c>
      <c r="FF1240" s="118" t="str">
        <f t="shared" si="170"/>
        <v/>
      </c>
      <c r="FI1240" s="16">
        <v>1237</v>
      </c>
      <c r="FJ1240" s="17" t="str">
        <f t="shared" si="171"/>
        <v/>
      </c>
      <c r="FK1240" s="17" t="str">
        <f t="shared" si="167"/>
        <v/>
      </c>
      <c r="FL1240" s="18" t="str">
        <f t="shared" si="172"/>
        <v/>
      </c>
    </row>
    <row r="1241" spans="159:168">
      <c r="FC1241" s="118">
        <v>1238</v>
      </c>
      <c r="FD1241" s="118">
        <f t="shared" si="168"/>
        <v>6</v>
      </c>
      <c r="FE1241" s="118">
        <f t="shared" si="169"/>
        <v>78</v>
      </c>
      <c r="FF1241" s="118" t="str">
        <f t="shared" si="170"/>
        <v/>
      </c>
      <c r="FI1241" s="16">
        <v>1238</v>
      </c>
      <c r="FJ1241" s="17" t="str">
        <f t="shared" si="171"/>
        <v/>
      </c>
      <c r="FK1241" s="17" t="str">
        <f t="shared" si="167"/>
        <v/>
      </c>
      <c r="FL1241" s="18" t="str">
        <f t="shared" si="172"/>
        <v/>
      </c>
    </row>
    <row r="1242" spans="159:168">
      <c r="FC1242" s="118">
        <v>1239</v>
      </c>
      <c r="FD1242" s="118">
        <f t="shared" si="168"/>
        <v>7</v>
      </c>
      <c r="FE1242" s="118">
        <f t="shared" si="169"/>
        <v>78</v>
      </c>
      <c r="FF1242" s="118" t="str">
        <f t="shared" si="170"/>
        <v/>
      </c>
      <c r="FI1242" s="16">
        <v>1239</v>
      </c>
      <c r="FJ1242" s="17" t="str">
        <f t="shared" si="171"/>
        <v/>
      </c>
      <c r="FK1242" s="17" t="str">
        <f t="shared" si="167"/>
        <v/>
      </c>
      <c r="FL1242" s="18" t="str">
        <f t="shared" si="172"/>
        <v/>
      </c>
    </row>
    <row r="1243" spans="159:168">
      <c r="FC1243" s="118">
        <v>1240</v>
      </c>
      <c r="FD1243" s="118">
        <f t="shared" si="168"/>
        <v>8</v>
      </c>
      <c r="FE1243" s="118">
        <f t="shared" si="169"/>
        <v>78</v>
      </c>
      <c r="FF1243" s="118" t="str">
        <f t="shared" si="170"/>
        <v/>
      </c>
      <c r="FI1243" s="16">
        <v>1240</v>
      </c>
      <c r="FJ1243" s="17" t="str">
        <f t="shared" si="171"/>
        <v/>
      </c>
      <c r="FK1243" s="17" t="str">
        <f t="shared" si="167"/>
        <v/>
      </c>
      <c r="FL1243" s="18" t="str">
        <f t="shared" si="172"/>
        <v/>
      </c>
    </row>
    <row r="1244" spans="159:168">
      <c r="FC1244" s="118">
        <v>1241</v>
      </c>
      <c r="FD1244" s="118">
        <f t="shared" si="168"/>
        <v>9</v>
      </c>
      <c r="FE1244" s="118">
        <f t="shared" si="169"/>
        <v>78</v>
      </c>
      <c r="FF1244" s="118" t="str">
        <f t="shared" si="170"/>
        <v/>
      </c>
      <c r="FI1244" s="16">
        <v>1241</v>
      </c>
      <c r="FJ1244" s="17" t="str">
        <f t="shared" si="171"/>
        <v/>
      </c>
      <c r="FK1244" s="17" t="str">
        <f t="shared" si="167"/>
        <v/>
      </c>
      <c r="FL1244" s="18" t="str">
        <f t="shared" si="172"/>
        <v/>
      </c>
    </row>
    <row r="1245" spans="159:168">
      <c r="FC1245" s="118">
        <v>1242</v>
      </c>
      <c r="FD1245" s="118">
        <f t="shared" si="168"/>
        <v>10</v>
      </c>
      <c r="FE1245" s="118">
        <f t="shared" si="169"/>
        <v>78</v>
      </c>
      <c r="FF1245" s="118" t="str">
        <f t="shared" si="170"/>
        <v/>
      </c>
      <c r="FI1245" s="16">
        <v>1242</v>
      </c>
      <c r="FJ1245" s="17" t="str">
        <f t="shared" si="171"/>
        <v/>
      </c>
      <c r="FK1245" s="17" t="str">
        <f t="shared" si="167"/>
        <v/>
      </c>
      <c r="FL1245" s="18" t="str">
        <f t="shared" si="172"/>
        <v/>
      </c>
    </row>
    <row r="1246" spans="159:168">
      <c r="FC1246" s="118">
        <v>1243</v>
      </c>
      <c r="FD1246" s="118">
        <f t="shared" si="168"/>
        <v>11</v>
      </c>
      <c r="FE1246" s="118">
        <f t="shared" si="169"/>
        <v>78</v>
      </c>
      <c r="FF1246" s="118" t="str">
        <f t="shared" si="170"/>
        <v/>
      </c>
      <c r="FI1246" s="16">
        <v>1243</v>
      </c>
      <c r="FJ1246" s="17" t="str">
        <f t="shared" si="171"/>
        <v/>
      </c>
      <c r="FK1246" s="17" t="str">
        <f t="shared" si="167"/>
        <v/>
      </c>
      <c r="FL1246" s="18" t="str">
        <f t="shared" si="172"/>
        <v/>
      </c>
    </row>
    <row r="1247" spans="159:168">
      <c r="FC1247" s="118">
        <v>1244</v>
      </c>
      <c r="FD1247" s="118">
        <f t="shared" si="168"/>
        <v>12</v>
      </c>
      <c r="FE1247" s="118">
        <f t="shared" si="169"/>
        <v>78</v>
      </c>
      <c r="FF1247" s="118" t="str">
        <f t="shared" si="170"/>
        <v/>
      </c>
      <c r="FI1247" s="16">
        <v>1244</v>
      </c>
      <c r="FJ1247" s="17" t="str">
        <f t="shared" si="171"/>
        <v/>
      </c>
      <c r="FK1247" s="17" t="str">
        <f t="shared" si="167"/>
        <v/>
      </c>
      <c r="FL1247" s="18" t="str">
        <f t="shared" si="172"/>
        <v/>
      </c>
    </row>
    <row r="1248" spans="159:168">
      <c r="FC1248" s="118">
        <v>1245</v>
      </c>
      <c r="FD1248" s="118">
        <f t="shared" si="168"/>
        <v>13</v>
      </c>
      <c r="FE1248" s="118">
        <f t="shared" si="169"/>
        <v>78</v>
      </c>
      <c r="FF1248" s="118" t="str">
        <f t="shared" si="170"/>
        <v/>
      </c>
      <c r="FI1248" s="16">
        <v>1245</v>
      </c>
      <c r="FJ1248" s="17" t="str">
        <f t="shared" si="171"/>
        <v/>
      </c>
      <c r="FK1248" s="17" t="str">
        <f t="shared" si="167"/>
        <v/>
      </c>
      <c r="FL1248" s="18" t="str">
        <f t="shared" si="172"/>
        <v/>
      </c>
    </row>
    <row r="1249" spans="159:168">
      <c r="FC1249" s="118">
        <v>1246</v>
      </c>
      <c r="FD1249" s="118">
        <f t="shared" si="168"/>
        <v>14</v>
      </c>
      <c r="FE1249" s="118">
        <f t="shared" si="169"/>
        <v>78</v>
      </c>
      <c r="FF1249" s="118" t="str">
        <f t="shared" si="170"/>
        <v/>
      </c>
      <c r="FI1249" s="16">
        <v>1246</v>
      </c>
      <c r="FJ1249" s="17" t="str">
        <f t="shared" si="171"/>
        <v/>
      </c>
      <c r="FK1249" s="17" t="str">
        <f t="shared" si="167"/>
        <v/>
      </c>
      <c r="FL1249" s="18" t="str">
        <f t="shared" si="172"/>
        <v/>
      </c>
    </row>
    <row r="1250" spans="159:168">
      <c r="FC1250" s="118">
        <v>1247</v>
      </c>
      <c r="FD1250" s="118">
        <f t="shared" si="168"/>
        <v>15</v>
      </c>
      <c r="FE1250" s="118">
        <f t="shared" si="169"/>
        <v>78</v>
      </c>
      <c r="FF1250" s="118" t="str">
        <f t="shared" si="170"/>
        <v/>
      </c>
      <c r="FI1250" s="16">
        <v>1247</v>
      </c>
      <c r="FJ1250" s="17" t="str">
        <f t="shared" si="171"/>
        <v/>
      </c>
      <c r="FK1250" s="17" t="str">
        <f t="shared" si="167"/>
        <v/>
      </c>
      <c r="FL1250" s="18" t="str">
        <f t="shared" si="172"/>
        <v/>
      </c>
    </row>
    <row r="1251" spans="159:168">
      <c r="FC1251" s="118">
        <v>1248</v>
      </c>
      <c r="FD1251" s="118">
        <f t="shared" si="168"/>
        <v>16</v>
      </c>
      <c r="FE1251" s="118">
        <f t="shared" si="169"/>
        <v>78</v>
      </c>
      <c r="FF1251" s="118" t="str">
        <f t="shared" si="170"/>
        <v/>
      </c>
      <c r="FI1251" s="16">
        <v>1248</v>
      </c>
      <c r="FJ1251" s="17" t="str">
        <f t="shared" si="171"/>
        <v/>
      </c>
      <c r="FK1251" s="17" t="str">
        <f t="shared" si="167"/>
        <v/>
      </c>
      <c r="FL1251" s="18" t="str">
        <f t="shared" si="172"/>
        <v/>
      </c>
    </row>
    <row r="1252" spans="159:168">
      <c r="FC1252" s="118">
        <v>1249</v>
      </c>
      <c r="FD1252" s="118">
        <f t="shared" si="168"/>
        <v>1</v>
      </c>
      <c r="FE1252" s="118">
        <f t="shared" si="169"/>
        <v>79</v>
      </c>
      <c r="FF1252" s="118" t="str">
        <f t="shared" si="170"/>
        <v/>
      </c>
      <c r="FI1252" s="16">
        <v>1249</v>
      </c>
      <c r="FJ1252" s="17" t="str">
        <f t="shared" si="171"/>
        <v/>
      </c>
      <c r="FK1252" s="17" t="str">
        <f t="shared" si="167"/>
        <v/>
      </c>
      <c r="FL1252" s="18" t="str">
        <f t="shared" si="172"/>
        <v/>
      </c>
    </row>
    <row r="1253" spans="159:168">
      <c r="FC1253" s="118">
        <v>1250</v>
      </c>
      <c r="FD1253" s="118">
        <f t="shared" si="168"/>
        <v>2</v>
      </c>
      <c r="FE1253" s="118">
        <f t="shared" si="169"/>
        <v>79</v>
      </c>
      <c r="FF1253" s="118" t="str">
        <f t="shared" si="170"/>
        <v/>
      </c>
      <c r="FI1253" s="16">
        <v>1250</v>
      </c>
      <c r="FJ1253" s="17" t="str">
        <f t="shared" si="171"/>
        <v/>
      </c>
      <c r="FK1253" s="17" t="str">
        <f t="shared" si="167"/>
        <v/>
      </c>
      <c r="FL1253" s="18" t="str">
        <f t="shared" si="172"/>
        <v/>
      </c>
    </row>
    <row r="1254" spans="159:168">
      <c r="FC1254" s="118">
        <v>1251</v>
      </c>
      <c r="FD1254" s="118">
        <f t="shared" si="168"/>
        <v>3</v>
      </c>
      <c r="FE1254" s="118">
        <f t="shared" si="169"/>
        <v>79</v>
      </c>
      <c r="FF1254" s="118" t="str">
        <f t="shared" si="170"/>
        <v/>
      </c>
      <c r="FI1254" s="16">
        <v>1251</v>
      </c>
      <c r="FJ1254" s="17" t="str">
        <f t="shared" si="171"/>
        <v/>
      </c>
      <c r="FK1254" s="17" t="str">
        <f t="shared" si="167"/>
        <v/>
      </c>
      <c r="FL1254" s="18" t="str">
        <f t="shared" si="172"/>
        <v/>
      </c>
    </row>
    <row r="1255" spans="159:168">
      <c r="FC1255" s="118">
        <v>1252</v>
      </c>
      <c r="FD1255" s="118">
        <f t="shared" si="168"/>
        <v>4</v>
      </c>
      <c r="FE1255" s="118">
        <f t="shared" si="169"/>
        <v>79</v>
      </c>
      <c r="FF1255" s="118" t="str">
        <f t="shared" si="170"/>
        <v/>
      </c>
      <c r="FI1255" s="16">
        <v>1252</v>
      </c>
      <c r="FJ1255" s="17" t="str">
        <f t="shared" si="171"/>
        <v/>
      </c>
      <c r="FK1255" s="17" t="str">
        <f t="shared" si="167"/>
        <v/>
      </c>
      <c r="FL1255" s="18" t="str">
        <f t="shared" si="172"/>
        <v/>
      </c>
    </row>
    <row r="1256" spans="159:168">
      <c r="FC1256" s="118">
        <v>1253</v>
      </c>
      <c r="FD1256" s="118">
        <f t="shared" si="168"/>
        <v>5</v>
      </c>
      <c r="FE1256" s="118">
        <f t="shared" si="169"/>
        <v>79</v>
      </c>
      <c r="FF1256" s="118" t="str">
        <f t="shared" si="170"/>
        <v/>
      </c>
      <c r="FI1256" s="16">
        <v>1253</v>
      </c>
      <c r="FJ1256" s="17" t="str">
        <f t="shared" si="171"/>
        <v/>
      </c>
      <c r="FK1256" s="17" t="str">
        <f t="shared" si="167"/>
        <v/>
      </c>
      <c r="FL1256" s="18" t="str">
        <f t="shared" si="172"/>
        <v/>
      </c>
    </row>
    <row r="1257" spans="159:168">
      <c r="FC1257" s="118">
        <v>1254</v>
      </c>
      <c r="FD1257" s="118">
        <f t="shared" si="168"/>
        <v>6</v>
      </c>
      <c r="FE1257" s="118">
        <f t="shared" si="169"/>
        <v>79</v>
      </c>
      <c r="FF1257" s="118" t="str">
        <f t="shared" si="170"/>
        <v/>
      </c>
      <c r="FI1257" s="16">
        <v>1254</v>
      </c>
      <c r="FJ1257" s="17" t="str">
        <f t="shared" si="171"/>
        <v/>
      </c>
      <c r="FK1257" s="17" t="str">
        <f t="shared" si="167"/>
        <v/>
      </c>
      <c r="FL1257" s="18" t="str">
        <f t="shared" si="172"/>
        <v/>
      </c>
    </row>
    <row r="1258" spans="159:168">
      <c r="FC1258" s="118">
        <v>1255</v>
      </c>
      <c r="FD1258" s="118">
        <f t="shared" si="168"/>
        <v>7</v>
      </c>
      <c r="FE1258" s="118">
        <f t="shared" si="169"/>
        <v>79</v>
      </c>
      <c r="FF1258" s="118" t="str">
        <f t="shared" si="170"/>
        <v/>
      </c>
      <c r="FI1258" s="16">
        <v>1255</v>
      </c>
      <c r="FJ1258" s="17" t="str">
        <f t="shared" si="171"/>
        <v/>
      </c>
      <c r="FK1258" s="17" t="str">
        <f t="shared" si="167"/>
        <v/>
      </c>
      <c r="FL1258" s="18" t="str">
        <f t="shared" si="172"/>
        <v/>
      </c>
    </row>
    <row r="1259" spans="159:168">
      <c r="FC1259" s="118">
        <v>1256</v>
      </c>
      <c r="FD1259" s="118">
        <f t="shared" si="168"/>
        <v>8</v>
      </c>
      <c r="FE1259" s="118">
        <f t="shared" si="169"/>
        <v>79</v>
      </c>
      <c r="FF1259" s="118" t="str">
        <f t="shared" si="170"/>
        <v/>
      </c>
      <c r="FI1259" s="16">
        <v>1256</v>
      </c>
      <c r="FJ1259" s="17" t="str">
        <f t="shared" si="171"/>
        <v/>
      </c>
      <c r="FK1259" s="17" t="str">
        <f t="shared" si="167"/>
        <v/>
      </c>
      <c r="FL1259" s="18" t="str">
        <f t="shared" si="172"/>
        <v/>
      </c>
    </row>
    <row r="1260" spans="159:168">
      <c r="FC1260" s="118">
        <v>1257</v>
      </c>
      <c r="FD1260" s="118">
        <f t="shared" si="168"/>
        <v>9</v>
      </c>
      <c r="FE1260" s="118">
        <f t="shared" si="169"/>
        <v>79</v>
      </c>
      <c r="FF1260" s="118" t="str">
        <f t="shared" si="170"/>
        <v/>
      </c>
      <c r="FI1260" s="16">
        <v>1257</v>
      </c>
      <c r="FJ1260" s="17" t="str">
        <f t="shared" si="171"/>
        <v/>
      </c>
      <c r="FK1260" s="17" t="str">
        <f t="shared" si="167"/>
        <v/>
      </c>
      <c r="FL1260" s="18" t="str">
        <f t="shared" si="172"/>
        <v/>
      </c>
    </row>
    <row r="1261" spans="159:168">
      <c r="FC1261" s="118">
        <v>1258</v>
      </c>
      <c r="FD1261" s="118">
        <f t="shared" si="168"/>
        <v>10</v>
      </c>
      <c r="FE1261" s="118">
        <f t="shared" si="169"/>
        <v>79</v>
      </c>
      <c r="FF1261" s="118" t="str">
        <f t="shared" si="170"/>
        <v/>
      </c>
      <c r="FI1261" s="16">
        <v>1258</v>
      </c>
      <c r="FJ1261" s="17" t="str">
        <f t="shared" si="171"/>
        <v/>
      </c>
      <c r="FK1261" s="17" t="str">
        <f t="shared" si="167"/>
        <v/>
      </c>
      <c r="FL1261" s="18" t="str">
        <f t="shared" si="172"/>
        <v/>
      </c>
    </row>
    <row r="1262" spans="159:168">
      <c r="FC1262" s="118">
        <v>1259</v>
      </c>
      <c r="FD1262" s="118">
        <f t="shared" si="168"/>
        <v>11</v>
      </c>
      <c r="FE1262" s="118">
        <f t="shared" si="169"/>
        <v>79</v>
      </c>
      <c r="FF1262" s="118" t="str">
        <f t="shared" si="170"/>
        <v/>
      </c>
      <c r="FI1262" s="16">
        <v>1259</v>
      </c>
      <c r="FJ1262" s="17" t="str">
        <f t="shared" si="171"/>
        <v/>
      </c>
      <c r="FK1262" s="17" t="str">
        <f t="shared" si="167"/>
        <v/>
      </c>
      <c r="FL1262" s="18" t="str">
        <f t="shared" si="172"/>
        <v/>
      </c>
    </row>
    <row r="1263" spans="159:168">
      <c r="FC1263" s="118">
        <v>1260</v>
      </c>
      <c r="FD1263" s="118">
        <f t="shared" si="168"/>
        <v>12</v>
      </c>
      <c r="FE1263" s="118">
        <f t="shared" si="169"/>
        <v>79</v>
      </c>
      <c r="FF1263" s="118" t="str">
        <f t="shared" si="170"/>
        <v/>
      </c>
      <c r="FI1263" s="16">
        <v>1260</v>
      </c>
      <c r="FJ1263" s="17" t="str">
        <f t="shared" si="171"/>
        <v/>
      </c>
      <c r="FK1263" s="17" t="str">
        <f t="shared" si="167"/>
        <v/>
      </c>
      <c r="FL1263" s="18" t="str">
        <f t="shared" si="172"/>
        <v/>
      </c>
    </row>
    <row r="1264" spans="159:168">
      <c r="FC1264" s="118">
        <v>1261</v>
      </c>
      <c r="FD1264" s="118">
        <f t="shared" si="168"/>
        <v>13</v>
      </c>
      <c r="FE1264" s="118">
        <f t="shared" si="169"/>
        <v>79</v>
      </c>
      <c r="FF1264" s="118" t="str">
        <f t="shared" si="170"/>
        <v/>
      </c>
      <c r="FI1264" s="16">
        <v>1261</v>
      </c>
      <c r="FJ1264" s="17" t="str">
        <f t="shared" si="171"/>
        <v/>
      </c>
      <c r="FK1264" s="17" t="str">
        <f t="shared" si="167"/>
        <v/>
      </c>
      <c r="FL1264" s="18" t="str">
        <f t="shared" si="172"/>
        <v/>
      </c>
    </row>
    <row r="1265" spans="159:168">
      <c r="FC1265" s="118">
        <v>1262</v>
      </c>
      <c r="FD1265" s="118">
        <f t="shared" si="168"/>
        <v>14</v>
      </c>
      <c r="FE1265" s="118">
        <f t="shared" si="169"/>
        <v>79</v>
      </c>
      <c r="FF1265" s="118" t="str">
        <f t="shared" si="170"/>
        <v/>
      </c>
      <c r="FI1265" s="16">
        <v>1262</v>
      </c>
      <c r="FJ1265" s="17" t="str">
        <f t="shared" si="171"/>
        <v/>
      </c>
      <c r="FK1265" s="17" t="str">
        <f t="shared" si="167"/>
        <v/>
      </c>
      <c r="FL1265" s="18" t="str">
        <f t="shared" si="172"/>
        <v/>
      </c>
    </row>
    <row r="1266" spans="159:168">
      <c r="FC1266" s="118">
        <v>1263</v>
      </c>
      <c r="FD1266" s="118">
        <f t="shared" si="168"/>
        <v>15</v>
      </c>
      <c r="FE1266" s="118">
        <f t="shared" si="169"/>
        <v>79</v>
      </c>
      <c r="FF1266" s="118" t="str">
        <f t="shared" si="170"/>
        <v/>
      </c>
      <c r="FI1266" s="16">
        <v>1263</v>
      </c>
      <c r="FJ1266" s="17" t="str">
        <f t="shared" si="171"/>
        <v/>
      </c>
      <c r="FK1266" s="17" t="str">
        <f t="shared" si="167"/>
        <v/>
      </c>
      <c r="FL1266" s="18" t="str">
        <f t="shared" si="172"/>
        <v/>
      </c>
    </row>
    <row r="1267" spans="159:168">
      <c r="FC1267" s="118">
        <v>1264</v>
      </c>
      <c r="FD1267" s="118">
        <f t="shared" si="168"/>
        <v>16</v>
      </c>
      <c r="FE1267" s="118">
        <f t="shared" si="169"/>
        <v>79</v>
      </c>
      <c r="FF1267" s="118" t="str">
        <f t="shared" si="170"/>
        <v/>
      </c>
      <c r="FI1267" s="16">
        <v>1264</v>
      </c>
      <c r="FJ1267" s="17" t="str">
        <f t="shared" si="171"/>
        <v/>
      </c>
      <c r="FK1267" s="17" t="str">
        <f t="shared" si="167"/>
        <v/>
      </c>
      <c r="FL1267" s="18" t="str">
        <f t="shared" si="172"/>
        <v/>
      </c>
    </row>
    <row r="1268" spans="159:168">
      <c r="FC1268" s="118">
        <v>1265</v>
      </c>
      <c r="FD1268" s="118">
        <f t="shared" si="168"/>
        <v>1</v>
      </c>
      <c r="FE1268" s="118">
        <f t="shared" si="169"/>
        <v>80</v>
      </c>
      <c r="FF1268" s="118" t="str">
        <f t="shared" si="170"/>
        <v/>
      </c>
      <c r="FI1268" s="16">
        <v>1265</v>
      </c>
      <c r="FJ1268" s="17" t="str">
        <f t="shared" si="171"/>
        <v/>
      </c>
      <c r="FK1268" s="17" t="str">
        <f t="shared" si="167"/>
        <v/>
      </c>
      <c r="FL1268" s="18" t="str">
        <f t="shared" si="172"/>
        <v/>
      </c>
    </row>
    <row r="1269" spans="159:168">
      <c r="FC1269" s="118">
        <v>1266</v>
      </c>
      <c r="FD1269" s="118">
        <f t="shared" si="168"/>
        <v>2</v>
      </c>
      <c r="FE1269" s="118">
        <f t="shared" si="169"/>
        <v>80</v>
      </c>
      <c r="FF1269" s="118" t="str">
        <f t="shared" si="170"/>
        <v/>
      </c>
      <c r="FI1269" s="16">
        <v>1266</v>
      </c>
      <c r="FJ1269" s="17" t="str">
        <f t="shared" si="171"/>
        <v/>
      </c>
      <c r="FK1269" s="17" t="str">
        <f t="shared" si="167"/>
        <v/>
      </c>
      <c r="FL1269" s="18" t="str">
        <f t="shared" si="172"/>
        <v/>
      </c>
    </row>
    <row r="1270" spans="159:168">
      <c r="FC1270" s="118">
        <v>1267</v>
      </c>
      <c r="FD1270" s="118">
        <f t="shared" si="168"/>
        <v>3</v>
      </c>
      <c r="FE1270" s="118">
        <f t="shared" si="169"/>
        <v>80</v>
      </c>
      <c r="FF1270" s="118" t="str">
        <f t="shared" si="170"/>
        <v/>
      </c>
      <c r="FI1270" s="16">
        <v>1267</v>
      </c>
      <c r="FJ1270" s="17" t="str">
        <f t="shared" si="171"/>
        <v/>
      </c>
      <c r="FK1270" s="17" t="str">
        <f t="shared" si="167"/>
        <v/>
      </c>
      <c r="FL1270" s="18" t="str">
        <f t="shared" si="172"/>
        <v/>
      </c>
    </row>
    <row r="1271" spans="159:168">
      <c r="FC1271" s="118">
        <v>1268</v>
      </c>
      <c r="FD1271" s="118">
        <f t="shared" si="168"/>
        <v>4</v>
      </c>
      <c r="FE1271" s="118">
        <f t="shared" si="169"/>
        <v>80</v>
      </c>
      <c r="FF1271" s="118" t="str">
        <f t="shared" si="170"/>
        <v/>
      </c>
      <c r="FI1271" s="16">
        <v>1268</v>
      </c>
      <c r="FJ1271" s="17" t="str">
        <f t="shared" si="171"/>
        <v/>
      </c>
      <c r="FK1271" s="17" t="str">
        <f t="shared" si="167"/>
        <v/>
      </c>
      <c r="FL1271" s="18" t="str">
        <f t="shared" si="172"/>
        <v/>
      </c>
    </row>
    <row r="1272" spans="159:168">
      <c r="FC1272" s="118">
        <v>1269</v>
      </c>
      <c r="FD1272" s="118">
        <f t="shared" si="168"/>
        <v>5</v>
      </c>
      <c r="FE1272" s="118">
        <f t="shared" si="169"/>
        <v>80</v>
      </c>
      <c r="FF1272" s="118" t="str">
        <f t="shared" si="170"/>
        <v/>
      </c>
      <c r="FI1272" s="16">
        <v>1269</v>
      </c>
      <c r="FJ1272" s="17" t="str">
        <f t="shared" si="171"/>
        <v/>
      </c>
      <c r="FK1272" s="17" t="str">
        <f t="shared" si="167"/>
        <v/>
      </c>
      <c r="FL1272" s="18" t="str">
        <f t="shared" si="172"/>
        <v/>
      </c>
    </row>
    <row r="1273" spans="159:168">
      <c r="FC1273" s="118">
        <v>1270</v>
      </c>
      <c r="FD1273" s="118">
        <f t="shared" si="168"/>
        <v>6</v>
      </c>
      <c r="FE1273" s="118">
        <f t="shared" si="169"/>
        <v>80</v>
      </c>
      <c r="FF1273" s="118" t="str">
        <f t="shared" si="170"/>
        <v/>
      </c>
      <c r="FI1273" s="16">
        <v>1270</v>
      </c>
      <c r="FJ1273" s="17" t="str">
        <f t="shared" si="171"/>
        <v/>
      </c>
      <c r="FK1273" s="17" t="str">
        <f t="shared" si="167"/>
        <v/>
      </c>
      <c r="FL1273" s="18" t="str">
        <f t="shared" si="172"/>
        <v/>
      </c>
    </row>
    <row r="1274" spans="159:168">
      <c r="FC1274" s="118">
        <v>1271</v>
      </c>
      <c r="FD1274" s="118">
        <f t="shared" si="168"/>
        <v>7</v>
      </c>
      <c r="FE1274" s="118">
        <f t="shared" si="169"/>
        <v>80</v>
      </c>
      <c r="FF1274" s="118" t="str">
        <f t="shared" si="170"/>
        <v/>
      </c>
      <c r="FI1274" s="16">
        <v>1271</v>
      </c>
      <c r="FJ1274" s="17" t="str">
        <f t="shared" si="171"/>
        <v/>
      </c>
      <c r="FK1274" s="17" t="str">
        <f t="shared" si="167"/>
        <v/>
      </c>
      <c r="FL1274" s="18" t="str">
        <f t="shared" si="172"/>
        <v/>
      </c>
    </row>
    <row r="1275" spans="159:168">
      <c r="FC1275" s="118">
        <v>1272</v>
      </c>
      <c r="FD1275" s="118">
        <f t="shared" si="168"/>
        <v>8</v>
      </c>
      <c r="FE1275" s="118">
        <f t="shared" si="169"/>
        <v>80</v>
      </c>
      <c r="FF1275" s="118" t="str">
        <f t="shared" si="170"/>
        <v/>
      </c>
      <c r="FI1275" s="16">
        <v>1272</v>
      </c>
      <c r="FJ1275" s="17" t="str">
        <f t="shared" si="171"/>
        <v/>
      </c>
      <c r="FK1275" s="17" t="str">
        <f t="shared" si="167"/>
        <v/>
      </c>
      <c r="FL1275" s="18" t="str">
        <f t="shared" si="172"/>
        <v/>
      </c>
    </row>
    <row r="1276" spans="159:168">
      <c r="FC1276" s="118">
        <v>1273</v>
      </c>
      <c r="FD1276" s="118">
        <f t="shared" si="168"/>
        <v>9</v>
      </c>
      <c r="FE1276" s="118">
        <f t="shared" si="169"/>
        <v>80</v>
      </c>
      <c r="FF1276" s="118" t="str">
        <f t="shared" si="170"/>
        <v/>
      </c>
      <c r="FI1276" s="16">
        <v>1273</v>
      </c>
      <c r="FJ1276" s="17" t="str">
        <f t="shared" si="171"/>
        <v/>
      </c>
      <c r="FK1276" s="17" t="str">
        <f t="shared" si="167"/>
        <v/>
      </c>
      <c r="FL1276" s="18" t="str">
        <f t="shared" si="172"/>
        <v/>
      </c>
    </row>
    <row r="1277" spans="159:168">
      <c r="FC1277" s="118">
        <v>1274</v>
      </c>
      <c r="FD1277" s="118">
        <f t="shared" si="168"/>
        <v>10</v>
      </c>
      <c r="FE1277" s="118">
        <f t="shared" si="169"/>
        <v>80</v>
      </c>
      <c r="FF1277" s="118" t="str">
        <f t="shared" si="170"/>
        <v/>
      </c>
      <c r="FI1277" s="16">
        <v>1274</v>
      </c>
      <c r="FJ1277" s="17" t="str">
        <f t="shared" si="171"/>
        <v/>
      </c>
      <c r="FK1277" s="17" t="str">
        <f t="shared" si="167"/>
        <v/>
      </c>
      <c r="FL1277" s="18" t="str">
        <f t="shared" si="172"/>
        <v/>
      </c>
    </row>
    <row r="1278" spans="159:168">
      <c r="FC1278" s="118">
        <v>1275</v>
      </c>
      <c r="FD1278" s="118">
        <f t="shared" si="168"/>
        <v>11</v>
      </c>
      <c r="FE1278" s="118">
        <f t="shared" si="169"/>
        <v>80</v>
      </c>
      <c r="FF1278" s="118" t="str">
        <f t="shared" si="170"/>
        <v/>
      </c>
      <c r="FI1278" s="16">
        <v>1275</v>
      </c>
      <c r="FJ1278" s="17" t="str">
        <f t="shared" si="171"/>
        <v/>
      </c>
      <c r="FK1278" s="17" t="str">
        <f t="shared" si="167"/>
        <v/>
      </c>
      <c r="FL1278" s="18" t="str">
        <f t="shared" si="172"/>
        <v/>
      </c>
    </row>
    <row r="1279" spans="159:168">
      <c r="FC1279" s="118">
        <v>1276</v>
      </c>
      <c r="FD1279" s="118">
        <f t="shared" si="168"/>
        <v>12</v>
      </c>
      <c r="FE1279" s="118">
        <f t="shared" si="169"/>
        <v>80</v>
      </c>
      <c r="FF1279" s="118" t="str">
        <f t="shared" si="170"/>
        <v/>
      </c>
      <c r="FI1279" s="16">
        <v>1276</v>
      </c>
      <c r="FJ1279" s="17" t="str">
        <f t="shared" si="171"/>
        <v/>
      </c>
      <c r="FK1279" s="17" t="str">
        <f t="shared" si="167"/>
        <v/>
      </c>
      <c r="FL1279" s="18" t="str">
        <f t="shared" si="172"/>
        <v/>
      </c>
    </row>
    <row r="1280" spans="159:168">
      <c r="FC1280" s="118">
        <v>1277</v>
      </c>
      <c r="FD1280" s="118">
        <f t="shared" si="168"/>
        <v>13</v>
      </c>
      <c r="FE1280" s="118">
        <f t="shared" si="169"/>
        <v>80</v>
      </c>
      <c r="FF1280" s="118" t="str">
        <f t="shared" si="170"/>
        <v/>
      </c>
      <c r="FI1280" s="16">
        <v>1277</v>
      </c>
      <c r="FJ1280" s="17" t="str">
        <f t="shared" si="171"/>
        <v/>
      </c>
      <c r="FK1280" s="17" t="str">
        <f t="shared" si="167"/>
        <v/>
      </c>
      <c r="FL1280" s="18" t="str">
        <f t="shared" si="172"/>
        <v/>
      </c>
    </row>
    <row r="1281" spans="159:168">
      <c r="FC1281" s="118">
        <v>1278</v>
      </c>
      <c r="FD1281" s="118">
        <f t="shared" si="168"/>
        <v>14</v>
      </c>
      <c r="FE1281" s="118">
        <f t="shared" si="169"/>
        <v>80</v>
      </c>
      <c r="FF1281" s="118" t="str">
        <f t="shared" si="170"/>
        <v/>
      </c>
      <c r="FI1281" s="16">
        <v>1278</v>
      </c>
      <c r="FJ1281" s="17" t="str">
        <f t="shared" si="171"/>
        <v/>
      </c>
      <c r="FK1281" s="17" t="str">
        <f t="shared" si="167"/>
        <v/>
      </c>
      <c r="FL1281" s="18" t="str">
        <f t="shared" si="172"/>
        <v/>
      </c>
    </row>
    <row r="1282" spans="159:168">
      <c r="FC1282" s="118">
        <v>1279</v>
      </c>
      <c r="FD1282" s="118">
        <f t="shared" si="168"/>
        <v>15</v>
      </c>
      <c r="FE1282" s="118">
        <f t="shared" si="169"/>
        <v>80</v>
      </c>
      <c r="FF1282" s="118" t="str">
        <f t="shared" si="170"/>
        <v/>
      </c>
      <c r="FI1282" s="16">
        <v>1279</v>
      </c>
      <c r="FJ1282" s="17" t="str">
        <f t="shared" si="171"/>
        <v/>
      </c>
      <c r="FK1282" s="17" t="str">
        <f t="shared" si="167"/>
        <v/>
      </c>
      <c r="FL1282" s="18" t="str">
        <f t="shared" si="172"/>
        <v/>
      </c>
    </row>
    <row r="1283" spans="159:168">
      <c r="FC1283" s="118">
        <v>1280</v>
      </c>
      <c r="FD1283" s="118">
        <f t="shared" si="168"/>
        <v>16</v>
      </c>
      <c r="FE1283" s="118">
        <f t="shared" si="169"/>
        <v>80</v>
      </c>
      <c r="FF1283" s="118" t="str">
        <f t="shared" si="170"/>
        <v/>
      </c>
      <c r="FI1283" s="16">
        <v>1280</v>
      </c>
      <c r="FJ1283" s="17" t="str">
        <f t="shared" si="171"/>
        <v/>
      </c>
      <c r="FK1283" s="17" t="str">
        <f t="shared" si="167"/>
        <v/>
      </c>
      <c r="FL1283" s="18" t="str">
        <f t="shared" si="172"/>
        <v/>
      </c>
    </row>
    <row r="1284" spans="159:168">
      <c r="FC1284" s="118">
        <v>1281</v>
      </c>
      <c r="FD1284" s="118">
        <f t="shared" si="168"/>
        <v>1</v>
      </c>
      <c r="FE1284" s="118">
        <f t="shared" si="169"/>
        <v>81</v>
      </c>
      <c r="FF1284" s="118" t="str">
        <f t="shared" si="170"/>
        <v/>
      </c>
      <c r="FI1284" s="16">
        <v>1281</v>
      </c>
      <c r="FJ1284" s="17" t="str">
        <f t="shared" si="171"/>
        <v/>
      </c>
      <c r="FK1284" s="17" t="str">
        <f t="shared" si="167"/>
        <v/>
      </c>
      <c r="FL1284" s="18" t="str">
        <f t="shared" si="172"/>
        <v/>
      </c>
    </row>
    <row r="1285" spans="159:168">
      <c r="FC1285" s="118">
        <v>1282</v>
      </c>
      <c r="FD1285" s="118">
        <f t="shared" si="168"/>
        <v>2</v>
      </c>
      <c r="FE1285" s="118">
        <f t="shared" si="169"/>
        <v>81</v>
      </c>
      <c r="FF1285" s="118" t="str">
        <f t="shared" si="170"/>
        <v/>
      </c>
      <c r="FI1285" s="16">
        <v>1282</v>
      </c>
      <c r="FJ1285" s="17" t="str">
        <f t="shared" si="171"/>
        <v/>
      </c>
      <c r="FK1285" s="17" t="str">
        <f t="shared" ref="FK1285:FK1348" si="173">IF(FI1285&lt;=$FH$2,FF1285,IF(FI1285&lt;=$FH$2+$FH$3,INDEX($FJ$4:$FJ$2494,FI1285-$FH$2),""))</f>
        <v/>
      </c>
      <c r="FL1285" s="18" t="str">
        <f t="shared" si="172"/>
        <v/>
      </c>
    </row>
    <row r="1286" spans="159:168">
      <c r="FC1286" s="118">
        <v>1283</v>
      </c>
      <c r="FD1286" s="118">
        <f t="shared" si="168"/>
        <v>3</v>
      </c>
      <c r="FE1286" s="118">
        <f t="shared" si="169"/>
        <v>81</v>
      </c>
      <c r="FF1286" s="118" t="str">
        <f t="shared" si="170"/>
        <v/>
      </c>
      <c r="FI1286" s="16">
        <v>1283</v>
      </c>
      <c r="FJ1286" s="17" t="str">
        <f t="shared" si="171"/>
        <v/>
      </c>
      <c r="FK1286" s="17" t="str">
        <f t="shared" si="173"/>
        <v/>
      </c>
      <c r="FL1286" s="18" t="str">
        <f t="shared" si="172"/>
        <v/>
      </c>
    </row>
    <row r="1287" spans="159:168">
      <c r="FC1287" s="118">
        <v>1284</v>
      </c>
      <c r="FD1287" s="118">
        <f t="shared" si="168"/>
        <v>4</v>
      </c>
      <c r="FE1287" s="118">
        <f t="shared" si="169"/>
        <v>81</v>
      </c>
      <c r="FF1287" s="118" t="str">
        <f t="shared" si="170"/>
        <v/>
      </c>
      <c r="FI1287" s="16">
        <v>1284</v>
      </c>
      <c r="FJ1287" s="17" t="str">
        <f t="shared" si="171"/>
        <v/>
      </c>
      <c r="FK1287" s="17" t="str">
        <f t="shared" si="173"/>
        <v/>
      </c>
      <c r="FL1287" s="18" t="str">
        <f t="shared" si="172"/>
        <v/>
      </c>
    </row>
    <row r="1288" spans="159:168">
      <c r="FC1288" s="118">
        <v>1285</v>
      </c>
      <c r="FD1288" s="118">
        <f t="shared" si="168"/>
        <v>5</v>
      </c>
      <c r="FE1288" s="118">
        <f t="shared" si="169"/>
        <v>81</v>
      </c>
      <c r="FF1288" s="118" t="str">
        <f t="shared" si="170"/>
        <v/>
      </c>
      <c r="FI1288" s="16">
        <v>1285</v>
      </c>
      <c r="FJ1288" s="17" t="str">
        <f t="shared" si="171"/>
        <v/>
      </c>
      <c r="FK1288" s="17" t="str">
        <f t="shared" si="173"/>
        <v/>
      </c>
      <c r="FL1288" s="18" t="str">
        <f t="shared" si="172"/>
        <v/>
      </c>
    </row>
    <row r="1289" spans="159:168">
      <c r="FC1289" s="118">
        <v>1286</v>
      </c>
      <c r="FD1289" s="118">
        <f t="shared" si="168"/>
        <v>6</v>
      </c>
      <c r="FE1289" s="118">
        <f t="shared" si="169"/>
        <v>81</v>
      </c>
      <c r="FF1289" s="118" t="str">
        <f t="shared" si="170"/>
        <v/>
      </c>
      <c r="FI1289" s="16">
        <v>1286</v>
      </c>
      <c r="FJ1289" s="17" t="str">
        <f t="shared" si="171"/>
        <v/>
      </c>
      <c r="FK1289" s="17" t="str">
        <f t="shared" si="173"/>
        <v/>
      </c>
      <c r="FL1289" s="18" t="str">
        <f t="shared" si="172"/>
        <v/>
      </c>
    </row>
    <row r="1290" spans="159:168">
      <c r="FC1290" s="118">
        <v>1287</v>
      </c>
      <c r="FD1290" s="118">
        <f t="shared" si="168"/>
        <v>7</v>
      </c>
      <c r="FE1290" s="118">
        <f t="shared" si="169"/>
        <v>81</v>
      </c>
      <c r="FF1290" s="118" t="str">
        <f t="shared" si="170"/>
        <v/>
      </c>
      <c r="FI1290" s="16">
        <v>1287</v>
      </c>
      <c r="FJ1290" s="17" t="str">
        <f t="shared" si="171"/>
        <v/>
      </c>
      <c r="FK1290" s="17" t="str">
        <f t="shared" si="173"/>
        <v/>
      </c>
      <c r="FL1290" s="18" t="str">
        <f t="shared" si="172"/>
        <v/>
      </c>
    </row>
    <row r="1291" spans="159:168">
      <c r="FC1291" s="118">
        <v>1288</v>
      </c>
      <c r="FD1291" s="118">
        <f t="shared" si="168"/>
        <v>8</v>
      </c>
      <c r="FE1291" s="118">
        <f t="shared" si="169"/>
        <v>81</v>
      </c>
      <c r="FF1291" s="118" t="str">
        <f t="shared" si="170"/>
        <v/>
      </c>
      <c r="FI1291" s="16">
        <v>1288</v>
      </c>
      <c r="FJ1291" s="17" t="str">
        <f t="shared" si="171"/>
        <v/>
      </c>
      <c r="FK1291" s="17" t="str">
        <f t="shared" si="173"/>
        <v/>
      </c>
      <c r="FL1291" s="18" t="str">
        <f t="shared" si="172"/>
        <v/>
      </c>
    </row>
    <row r="1292" spans="159:168">
      <c r="FC1292" s="118">
        <v>1289</v>
      </c>
      <c r="FD1292" s="118">
        <f t="shared" si="168"/>
        <v>9</v>
      </c>
      <c r="FE1292" s="118">
        <f t="shared" si="169"/>
        <v>81</v>
      </c>
      <c r="FF1292" s="118" t="str">
        <f t="shared" si="170"/>
        <v/>
      </c>
      <c r="FI1292" s="16">
        <v>1289</v>
      </c>
      <c r="FJ1292" s="17" t="str">
        <f t="shared" si="171"/>
        <v/>
      </c>
      <c r="FK1292" s="17" t="str">
        <f t="shared" si="173"/>
        <v/>
      </c>
      <c r="FL1292" s="18" t="str">
        <f t="shared" si="172"/>
        <v/>
      </c>
    </row>
    <row r="1293" spans="159:168">
      <c r="FC1293" s="118">
        <v>1290</v>
      </c>
      <c r="FD1293" s="118">
        <f t="shared" si="168"/>
        <v>10</v>
      </c>
      <c r="FE1293" s="118">
        <f t="shared" si="169"/>
        <v>81</v>
      </c>
      <c r="FF1293" s="118" t="str">
        <f t="shared" si="170"/>
        <v/>
      </c>
      <c r="FI1293" s="16">
        <v>1290</v>
      </c>
      <c r="FJ1293" s="17" t="str">
        <f t="shared" si="171"/>
        <v/>
      </c>
      <c r="FK1293" s="17" t="str">
        <f t="shared" si="173"/>
        <v/>
      </c>
      <c r="FL1293" s="18" t="str">
        <f t="shared" si="172"/>
        <v/>
      </c>
    </row>
    <row r="1294" spans="159:168">
      <c r="FC1294" s="118">
        <v>1291</v>
      </c>
      <c r="FD1294" s="118">
        <f t="shared" si="168"/>
        <v>11</v>
      </c>
      <c r="FE1294" s="118">
        <f t="shared" si="169"/>
        <v>81</v>
      </c>
      <c r="FF1294" s="118" t="str">
        <f t="shared" si="170"/>
        <v/>
      </c>
      <c r="FI1294" s="16">
        <v>1291</v>
      </c>
      <c r="FJ1294" s="17" t="str">
        <f t="shared" si="171"/>
        <v/>
      </c>
      <c r="FK1294" s="17" t="str">
        <f t="shared" si="173"/>
        <v/>
      </c>
      <c r="FL1294" s="18" t="str">
        <f t="shared" si="172"/>
        <v/>
      </c>
    </row>
    <row r="1295" spans="159:168">
      <c r="FC1295" s="118">
        <v>1292</v>
      </c>
      <c r="FD1295" s="118">
        <f t="shared" si="168"/>
        <v>12</v>
      </c>
      <c r="FE1295" s="118">
        <f t="shared" si="169"/>
        <v>81</v>
      </c>
      <c r="FF1295" s="118" t="str">
        <f t="shared" si="170"/>
        <v/>
      </c>
      <c r="FI1295" s="16">
        <v>1292</v>
      </c>
      <c r="FJ1295" s="17" t="str">
        <f t="shared" si="171"/>
        <v/>
      </c>
      <c r="FK1295" s="17" t="str">
        <f t="shared" si="173"/>
        <v/>
      </c>
      <c r="FL1295" s="18" t="str">
        <f t="shared" si="172"/>
        <v/>
      </c>
    </row>
    <row r="1296" spans="159:168">
      <c r="FC1296" s="118">
        <v>1293</v>
      </c>
      <c r="FD1296" s="118">
        <f t="shared" si="168"/>
        <v>13</v>
      </c>
      <c r="FE1296" s="118">
        <f t="shared" si="169"/>
        <v>81</v>
      </c>
      <c r="FF1296" s="118" t="str">
        <f t="shared" si="170"/>
        <v/>
      </c>
      <c r="FI1296" s="16">
        <v>1293</v>
      </c>
      <c r="FJ1296" s="17" t="str">
        <f t="shared" si="171"/>
        <v/>
      </c>
      <c r="FK1296" s="17" t="str">
        <f t="shared" si="173"/>
        <v/>
      </c>
      <c r="FL1296" s="18" t="str">
        <f t="shared" si="172"/>
        <v/>
      </c>
    </row>
    <row r="1297" spans="159:168">
      <c r="FC1297" s="118">
        <v>1294</v>
      </c>
      <c r="FD1297" s="118">
        <f t="shared" si="168"/>
        <v>14</v>
      </c>
      <c r="FE1297" s="118">
        <f t="shared" si="169"/>
        <v>81</v>
      </c>
      <c r="FF1297" s="118" t="str">
        <f t="shared" si="170"/>
        <v/>
      </c>
      <c r="FI1297" s="16">
        <v>1294</v>
      </c>
      <c r="FJ1297" s="17" t="str">
        <f t="shared" si="171"/>
        <v/>
      </c>
      <c r="FK1297" s="17" t="str">
        <f t="shared" si="173"/>
        <v/>
      </c>
      <c r="FL1297" s="18" t="str">
        <f t="shared" si="172"/>
        <v/>
      </c>
    </row>
    <row r="1298" spans="159:168">
      <c r="FC1298" s="118">
        <v>1295</v>
      </c>
      <c r="FD1298" s="118">
        <f t="shared" si="168"/>
        <v>15</v>
      </c>
      <c r="FE1298" s="118">
        <f t="shared" si="169"/>
        <v>81</v>
      </c>
      <c r="FF1298" s="118" t="str">
        <f t="shared" si="170"/>
        <v/>
      </c>
      <c r="FI1298" s="16">
        <v>1295</v>
      </c>
      <c r="FJ1298" s="17" t="str">
        <f t="shared" si="171"/>
        <v/>
      </c>
      <c r="FK1298" s="17" t="str">
        <f t="shared" si="173"/>
        <v/>
      </c>
      <c r="FL1298" s="18" t="str">
        <f t="shared" si="172"/>
        <v/>
      </c>
    </row>
    <row r="1299" spans="159:168">
      <c r="FC1299" s="118">
        <v>1296</v>
      </c>
      <c r="FD1299" s="118">
        <f t="shared" si="168"/>
        <v>16</v>
      </c>
      <c r="FE1299" s="118">
        <f t="shared" si="169"/>
        <v>81</v>
      </c>
      <c r="FF1299" s="118" t="str">
        <f t="shared" si="170"/>
        <v/>
      </c>
      <c r="FI1299" s="16">
        <v>1296</v>
      </c>
      <c r="FJ1299" s="17" t="str">
        <f t="shared" si="171"/>
        <v/>
      </c>
      <c r="FK1299" s="17" t="str">
        <f t="shared" si="173"/>
        <v/>
      </c>
      <c r="FL1299" s="18" t="str">
        <f t="shared" si="172"/>
        <v/>
      </c>
    </row>
    <row r="1300" spans="159:168">
      <c r="FC1300" s="118">
        <v>1297</v>
      </c>
      <c r="FD1300" s="118">
        <f t="shared" si="168"/>
        <v>1</v>
      </c>
      <c r="FE1300" s="118">
        <f t="shared" si="169"/>
        <v>82</v>
      </c>
      <c r="FF1300" s="118" t="str">
        <f t="shared" si="170"/>
        <v/>
      </c>
      <c r="FI1300" s="16">
        <v>1297</v>
      </c>
      <c r="FJ1300" s="17" t="str">
        <f t="shared" si="171"/>
        <v/>
      </c>
      <c r="FK1300" s="17" t="str">
        <f t="shared" si="173"/>
        <v/>
      </c>
      <c r="FL1300" s="18" t="str">
        <f t="shared" si="172"/>
        <v/>
      </c>
    </row>
    <row r="1301" spans="159:168">
      <c r="FC1301" s="118">
        <v>1298</v>
      </c>
      <c r="FD1301" s="118">
        <f t="shared" si="168"/>
        <v>2</v>
      </c>
      <c r="FE1301" s="118">
        <f t="shared" si="169"/>
        <v>82</v>
      </c>
      <c r="FF1301" s="118" t="str">
        <f t="shared" si="170"/>
        <v/>
      </c>
      <c r="FI1301" s="16">
        <v>1298</v>
      </c>
      <c r="FJ1301" s="17" t="str">
        <f t="shared" si="171"/>
        <v/>
      </c>
      <c r="FK1301" s="17" t="str">
        <f t="shared" si="173"/>
        <v/>
      </c>
      <c r="FL1301" s="18" t="str">
        <f t="shared" si="172"/>
        <v/>
      </c>
    </row>
    <row r="1302" spans="159:168">
      <c r="FC1302" s="118">
        <v>1299</v>
      </c>
      <c r="FD1302" s="118">
        <f t="shared" ref="FD1302:FD1365" si="174">IF(MOD(FC1302,$FB$1+$FB$2)=0,$FB$1+$FB$2,MOD(FC1302,$FB$1+$FB$2))</f>
        <v>3</v>
      </c>
      <c r="FE1302" s="118">
        <f t="shared" ref="FE1302:FE1365" si="175">ROUNDUP(FC1302/($FB$1+$FB$2),0)</f>
        <v>82</v>
      </c>
      <c r="FF1302" s="118" t="str">
        <f t="shared" ref="FF1302:FF1365" si="176">IF(FE1302&lt;$FB$3,INDEX($E$4:$DV$84,FD1302,FE1302),IF(FE1302=$FB$3,INDEX($E$4:$DV$84,FD1302+$FB$1,FE1302),""))</f>
        <v/>
      </c>
      <c r="FI1302" s="16">
        <v>1299</v>
      </c>
      <c r="FJ1302" s="17" t="str">
        <f t="shared" ref="FJ1302:FJ1365" si="177">IF(FE1302&lt;=$FH$1,INDEX($DW$4:$EZ$84,FD1302,FE1302),"")</f>
        <v/>
      </c>
      <c r="FK1302" s="17" t="str">
        <f t="shared" si="173"/>
        <v/>
      </c>
      <c r="FL1302" s="18" t="str">
        <f t="shared" ref="FL1302:FL1365" si="178">IFERROR(TEXT(DEC2BIN(FK1302),"00000000"),"")</f>
        <v/>
      </c>
    </row>
    <row r="1303" spans="159:168">
      <c r="FC1303" s="118">
        <v>1300</v>
      </c>
      <c r="FD1303" s="118">
        <f t="shared" si="174"/>
        <v>4</v>
      </c>
      <c r="FE1303" s="118">
        <f t="shared" si="175"/>
        <v>82</v>
      </c>
      <c r="FF1303" s="118" t="str">
        <f t="shared" si="176"/>
        <v/>
      </c>
      <c r="FI1303" s="16">
        <v>1300</v>
      </c>
      <c r="FJ1303" s="17" t="str">
        <f t="shared" si="177"/>
        <v/>
      </c>
      <c r="FK1303" s="17" t="str">
        <f t="shared" si="173"/>
        <v/>
      </c>
      <c r="FL1303" s="18" t="str">
        <f t="shared" si="178"/>
        <v/>
      </c>
    </row>
    <row r="1304" spans="159:168">
      <c r="FC1304" s="118">
        <v>1301</v>
      </c>
      <c r="FD1304" s="118">
        <f t="shared" si="174"/>
        <v>5</v>
      </c>
      <c r="FE1304" s="118">
        <f t="shared" si="175"/>
        <v>82</v>
      </c>
      <c r="FF1304" s="118" t="str">
        <f t="shared" si="176"/>
        <v/>
      </c>
      <c r="FI1304" s="16">
        <v>1301</v>
      </c>
      <c r="FJ1304" s="17" t="str">
        <f t="shared" si="177"/>
        <v/>
      </c>
      <c r="FK1304" s="17" t="str">
        <f t="shared" si="173"/>
        <v/>
      </c>
      <c r="FL1304" s="18" t="str">
        <f t="shared" si="178"/>
        <v/>
      </c>
    </row>
    <row r="1305" spans="159:168">
      <c r="FC1305" s="118">
        <v>1302</v>
      </c>
      <c r="FD1305" s="118">
        <f t="shared" si="174"/>
        <v>6</v>
      </c>
      <c r="FE1305" s="118">
        <f t="shared" si="175"/>
        <v>82</v>
      </c>
      <c r="FF1305" s="118" t="str">
        <f t="shared" si="176"/>
        <v/>
      </c>
      <c r="FI1305" s="16">
        <v>1302</v>
      </c>
      <c r="FJ1305" s="17" t="str">
        <f t="shared" si="177"/>
        <v/>
      </c>
      <c r="FK1305" s="17" t="str">
        <f t="shared" si="173"/>
        <v/>
      </c>
      <c r="FL1305" s="18" t="str">
        <f t="shared" si="178"/>
        <v/>
      </c>
    </row>
    <row r="1306" spans="159:168">
      <c r="FC1306" s="118">
        <v>1303</v>
      </c>
      <c r="FD1306" s="118">
        <f t="shared" si="174"/>
        <v>7</v>
      </c>
      <c r="FE1306" s="118">
        <f t="shared" si="175"/>
        <v>82</v>
      </c>
      <c r="FF1306" s="118" t="str">
        <f t="shared" si="176"/>
        <v/>
      </c>
      <c r="FI1306" s="16">
        <v>1303</v>
      </c>
      <c r="FJ1306" s="17" t="str">
        <f t="shared" si="177"/>
        <v/>
      </c>
      <c r="FK1306" s="17" t="str">
        <f t="shared" si="173"/>
        <v/>
      </c>
      <c r="FL1306" s="18" t="str">
        <f t="shared" si="178"/>
        <v/>
      </c>
    </row>
    <row r="1307" spans="159:168">
      <c r="FC1307" s="118">
        <v>1304</v>
      </c>
      <c r="FD1307" s="118">
        <f t="shared" si="174"/>
        <v>8</v>
      </c>
      <c r="FE1307" s="118">
        <f t="shared" si="175"/>
        <v>82</v>
      </c>
      <c r="FF1307" s="118" t="str">
        <f t="shared" si="176"/>
        <v/>
      </c>
      <c r="FI1307" s="16">
        <v>1304</v>
      </c>
      <c r="FJ1307" s="17" t="str">
        <f t="shared" si="177"/>
        <v/>
      </c>
      <c r="FK1307" s="17" t="str">
        <f t="shared" si="173"/>
        <v/>
      </c>
      <c r="FL1307" s="18" t="str">
        <f t="shared" si="178"/>
        <v/>
      </c>
    </row>
    <row r="1308" spans="159:168">
      <c r="FC1308" s="118">
        <v>1305</v>
      </c>
      <c r="FD1308" s="118">
        <f t="shared" si="174"/>
        <v>9</v>
      </c>
      <c r="FE1308" s="118">
        <f t="shared" si="175"/>
        <v>82</v>
      </c>
      <c r="FF1308" s="118" t="str">
        <f t="shared" si="176"/>
        <v/>
      </c>
      <c r="FI1308" s="16">
        <v>1305</v>
      </c>
      <c r="FJ1308" s="17" t="str">
        <f t="shared" si="177"/>
        <v/>
      </c>
      <c r="FK1308" s="17" t="str">
        <f t="shared" si="173"/>
        <v/>
      </c>
      <c r="FL1308" s="18" t="str">
        <f t="shared" si="178"/>
        <v/>
      </c>
    </row>
    <row r="1309" spans="159:168">
      <c r="FC1309" s="118">
        <v>1306</v>
      </c>
      <c r="FD1309" s="118">
        <f t="shared" si="174"/>
        <v>10</v>
      </c>
      <c r="FE1309" s="118">
        <f t="shared" si="175"/>
        <v>82</v>
      </c>
      <c r="FF1309" s="118" t="str">
        <f t="shared" si="176"/>
        <v/>
      </c>
      <c r="FI1309" s="16">
        <v>1306</v>
      </c>
      <c r="FJ1309" s="17" t="str">
        <f t="shared" si="177"/>
        <v/>
      </c>
      <c r="FK1309" s="17" t="str">
        <f t="shared" si="173"/>
        <v/>
      </c>
      <c r="FL1309" s="18" t="str">
        <f t="shared" si="178"/>
        <v/>
      </c>
    </row>
    <row r="1310" spans="159:168">
      <c r="FC1310" s="118">
        <v>1307</v>
      </c>
      <c r="FD1310" s="118">
        <f t="shared" si="174"/>
        <v>11</v>
      </c>
      <c r="FE1310" s="118">
        <f t="shared" si="175"/>
        <v>82</v>
      </c>
      <c r="FF1310" s="118" t="str">
        <f t="shared" si="176"/>
        <v/>
      </c>
      <c r="FI1310" s="16">
        <v>1307</v>
      </c>
      <c r="FJ1310" s="17" t="str">
        <f t="shared" si="177"/>
        <v/>
      </c>
      <c r="FK1310" s="17" t="str">
        <f t="shared" si="173"/>
        <v/>
      </c>
      <c r="FL1310" s="18" t="str">
        <f t="shared" si="178"/>
        <v/>
      </c>
    </row>
    <row r="1311" spans="159:168">
      <c r="FC1311" s="118">
        <v>1308</v>
      </c>
      <c r="FD1311" s="118">
        <f t="shared" si="174"/>
        <v>12</v>
      </c>
      <c r="FE1311" s="118">
        <f t="shared" si="175"/>
        <v>82</v>
      </c>
      <c r="FF1311" s="118" t="str">
        <f t="shared" si="176"/>
        <v/>
      </c>
      <c r="FI1311" s="16">
        <v>1308</v>
      </c>
      <c r="FJ1311" s="17" t="str">
        <f t="shared" si="177"/>
        <v/>
      </c>
      <c r="FK1311" s="17" t="str">
        <f t="shared" si="173"/>
        <v/>
      </c>
      <c r="FL1311" s="18" t="str">
        <f t="shared" si="178"/>
        <v/>
      </c>
    </row>
    <row r="1312" spans="159:168">
      <c r="FC1312" s="118">
        <v>1309</v>
      </c>
      <c r="FD1312" s="118">
        <f t="shared" si="174"/>
        <v>13</v>
      </c>
      <c r="FE1312" s="118">
        <f t="shared" si="175"/>
        <v>82</v>
      </c>
      <c r="FF1312" s="118" t="str">
        <f t="shared" si="176"/>
        <v/>
      </c>
      <c r="FI1312" s="16">
        <v>1309</v>
      </c>
      <c r="FJ1312" s="17" t="str">
        <f t="shared" si="177"/>
        <v/>
      </c>
      <c r="FK1312" s="17" t="str">
        <f t="shared" si="173"/>
        <v/>
      </c>
      <c r="FL1312" s="18" t="str">
        <f t="shared" si="178"/>
        <v/>
      </c>
    </row>
    <row r="1313" spans="159:168">
      <c r="FC1313" s="118">
        <v>1310</v>
      </c>
      <c r="FD1313" s="118">
        <f t="shared" si="174"/>
        <v>14</v>
      </c>
      <c r="FE1313" s="118">
        <f t="shared" si="175"/>
        <v>82</v>
      </c>
      <c r="FF1313" s="118" t="str">
        <f t="shared" si="176"/>
        <v/>
      </c>
      <c r="FI1313" s="16">
        <v>1310</v>
      </c>
      <c r="FJ1313" s="17" t="str">
        <f t="shared" si="177"/>
        <v/>
      </c>
      <c r="FK1313" s="17" t="str">
        <f t="shared" si="173"/>
        <v/>
      </c>
      <c r="FL1313" s="18" t="str">
        <f t="shared" si="178"/>
        <v/>
      </c>
    </row>
    <row r="1314" spans="159:168">
      <c r="FC1314" s="118">
        <v>1311</v>
      </c>
      <c r="FD1314" s="118">
        <f t="shared" si="174"/>
        <v>15</v>
      </c>
      <c r="FE1314" s="118">
        <f t="shared" si="175"/>
        <v>82</v>
      </c>
      <c r="FF1314" s="118" t="str">
        <f t="shared" si="176"/>
        <v/>
      </c>
      <c r="FI1314" s="16">
        <v>1311</v>
      </c>
      <c r="FJ1314" s="17" t="str">
        <f t="shared" si="177"/>
        <v/>
      </c>
      <c r="FK1314" s="17" t="str">
        <f t="shared" si="173"/>
        <v/>
      </c>
      <c r="FL1314" s="18" t="str">
        <f t="shared" si="178"/>
        <v/>
      </c>
    </row>
    <row r="1315" spans="159:168">
      <c r="FC1315" s="118">
        <v>1312</v>
      </c>
      <c r="FD1315" s="118">
        <f t="shared" si="174"/>
        <v>16</v>
      </c>
      <c r="FE1315" s="118">
        <f t="shared" si="175"/>
        <v>82</v>
      </c>
      <c r="FF1315" s="118" t="str">
        <f t="shared" si="176"/>
        <v/>
      </c>
      <c r="FI1315" s="16">
        <v>1312</v>
      </c>
      <c r="FJ1315" s="17" t="str">
        <f t="shared" si="177"/>
        <v/>
      </c>
      <c r="FK1315" s="17" t="str">
        <f t="shared" si="173"/>
        <v/>
      </c>
      <c r="FL1315" s="18" t="str">
        <f t="shared" si="178"/>
        <v/>
      </c>
    </row>
    <row r="1316" spans="159:168">
      <c r="FC1316" s="118">
        <v>1313</v>
      </c>
      <c r="FD1316" s="118">
        <f t="shared" si="174"/>
        <v>1</v>
      </c>
      <c r="FE1316" s="118">
        <f t="shared" si="175"/>
        <v>83</v>
      </c>
      <c r="FF1316" s="118" t="str">
        <f t="shared" si="176"/>
        <v/>
      </c>
      <c r="FI1316" s="16">
        <v>1313</v>
      </c>
      <c r="FJ1316" s="17" t="str">
        <f t="shared" si="177"/>
        <v/>
      </c>
      <c r="FK1316" s="17" t="str">
        <f t="shared" si="173"/>
        <v/>
      </c>
      <c r="FL1316" s="18" t="str">
        <f t="shared" si="178"/>
        <v/>
      </c>
    </row>
    <row r="1317" spans="159:168">
      <c r="FC1317" s="118">
        <v>1314</v>
      </c>
      <c r="FD1317" s="118">
        <f t="shared" si="174"/>
        <v>2</v>
      </c>
      <c r="FE1317" s="118">
        <f t="shared" si="175"/>
        <v>83</v>
      </c>
      <c r="FF1317" s="118" t="str">
        <f t="shared" si="176"/>
        <v/>
      </c>
      <c r="FI1317" s="16">
        <v>1314</v>
      </c>
      <c r="FJ1317" s="17" t="str">
        <f t="shared" si="177"/>
        <v/>
      </c>
      <c r="FK1317" s="17" t="str">
        <f t="shared" si="173"/>
        <v/>
      </c>
      <c r="FL1317" s="18" t="str">
        <f t="shared" si="178"/>
        <v/>
      </c>
    </row>
    <row r="1318" spans="159:168">
      <c r="FC1318" s="118">
        <v>1315</v>
      </c>
      <c r="FD1318" s="118">
        <f t="shared" si="174"/>
        <v>3</v>
      </c>
      <c r="FE1318" s="118">
        <f t="shared" si="175"/>
        <v>83</v>
      </c>
      <c r="FF1318" s="118" t="str">
        <f t="shared" si="176"/>
        <v/>
      </c>
      <c r="FI1318" s="16">
        <v>1315</v>
      </c>
      <c r="FJ1318" s="17" t="str">
        <f t="shared" si="177"/>
        <v/>
      </c>
      <c r="FK1318" s="17" t="str">
        <f t="shared" si="173"/>
        <v/>
      </c>
      <c r="FL1318" s="18" t="str">
        <f t="shared" si="178"/>
        <v/>
      </c>
    </row>
    <row r="1319" spans="159:168">
      <c r="FC1319" s="118">
        <v>1316</v>
      </c>
      <c r="FD1319" s="118">
        <f t="shared" si="174"/>
        <v>4</v>
      </c>
      <c r="FE1319" s="118">
        <f t="shared" si="175"/>
        <v>83</v>
      </c>
      <c r="FF1319" s="118" t="str">
        <f t="shared" si="176"/>
        <v/>
      </c>
      <c r="FI1319" s="16">
        <v>1316</v>
      </c>
      <c r="FJ1319" s="17" t="str">
        <f t="shared" si="177"/>
        <v/>
      </c>
      <c r="FK1319" s="17" t="str">
        <f t="shared" si="173"/>
        <v/>
      </c>
      <c r="FL1319" s="18" t="str">
        <f t="shared" si="178"/>
        <v/>
      </c>
    </row>
    <row r="1320" spans="159:168">
      <c r="FC1320" s="118">
        <v>1317</v>
      </c>
      <c r="FD1320" s="118">
        <f t="shared" si="174"/>
        <v>5</v>
      </c>
      <c r="FE1320" s="118">
        <f t="shared" si="175"/>
        <v>83</v>
      </c>
      <c r="FF1320" s="118" t="str">
        <f t="shared" si="176"/>
        <v/>
      </c>
      <c r="FI1320" s="16">
        <v>1317</v>
      </c>
      <c r="FJ1320" s="17" t="str">
        <f t="shared" si="177"/>
        <v/>
      </c>
      <c r="FK1320" s="17" t="str">
        <f t="shared" si="173"/>
        <v/>
      </c>
      <c r="FL1320" s="18" t="str">
        <f t="shared" si="178"/>
        <v/>
      </c>
    </row>
    <row r="1321" spans="159:168">
      <c r="FC1321" s="118">
        <v>1318</v>
      </c>
      <c r="FD1321" s="118">
        <f t="shared" si="174"/>
        <v>6</v>
      </c>
      <c r="FE1321" s="118">
        <f t="shared" si="175"/>
        <v>83</v>
      </c>
      <c r="FF1321" s="118" t="str">
        <f t="shared" si="176"/>
        <v/>
      </c>
      <c r="FI1321" s="16">
        <v>1318</v>
      </c>
      <c r="FJ1321" s="17" t="str">
        <f t="shared" si="177"/>
        <v/>
      </c>
      <c r="FK1321" s="17" t="str">
        <f t="shared" si="173"/>
        <v/>
      </c>
      <c r="FL1321" s="18" t="str">
        <f t="shared" si="178"/>
        <v/>
      </c>
    </row>
    <row r="1322" spans="159:168">
      <c r="FC1322" s="118">
        <v>1319</v>
      </c>
      <c r="FD1322" s="118">
        <f t="shared" si="174"/>
        <v>7</v>
      </c>
      <c r="FE1322" s="118">
        <f t="shared" si="175"/>
        <v>83</v>
      </c>
      <c r="FF1322" s="118" t="str">
        <f t="shared" si="176"/>
        <v/>
      </c>
      <c r="FI1322" s="16">
        <v>1319</v>
      </c>
      <c r="FJ1322" s="17" t="str">
        <f t="shared" si="177"/>
        <v/>
      </c>
      <c r="FK1322" s="17" t="str">
        <f t="shared" si="173"/>
        <v/>
      </c>
      <c r="FL1322" s="18" t="str">
        <f t="shared" si="178"/>
        <v/>
      </c>
    </row>
    <row r="1323" spans="159:168">
      <c r="FC1323" s="118">
        <v>1320</v>
      </c>
      <c r="FD1323" s="118">
        <f t="shared" si="174"/>
        <v>8</v>
      </c>
      <c r="FE1323" s="118">
        <f t="shared" si="175"/>
        <v>83</v>
      </c>
      <c r="FF1323" s="118" t="str">
        <f t="shared" si="176"/>
        <v/>
      </c>
      <c r="FI1323" s="16">
        <v>1320</v>
      </c>
      <c r="FJ1323" s="17" t="str">
        <f t="shared" si="177"/>
        <v/>
      </c>
      <c r="FK1323" s="17" t="str">
        <f t="shared" si="173"/>
        <v/>
      </c>
      <c r="FL1323" s="18" t="str">
        <f t="shared" si="178"/>
        <v/>
      </c>
    </row>
    <row r="1324" spans="159:168">
      <c r="FC1324" s="118">
        <v>1321</v>
      </c>
      <c r="FD1324" s="118">
        <f t="shared" si="174"/>
        <v>9</v>
      </c>
      <c r="FE1324" s="118">
        <f t="shared" si="175"/>
        <v>83</v>
      </c>
      <c r="FF1324" s="118" t="str">
        <f t="shared" si="176"/>
        <v/>
      </c>
      <c r="FI1324" s="16">
        <v>1321</v>
      </c>
      <c r="FJ1324" s="17" t="str">
        <f t="shared" si="177"/>
        <v/>
      </c>
      <c r="FK1324" s="17" t="str">
        <f t="shared" si="173"/>
        <v/>
      </c>
      <c r="FL1324" s="18" t="str">
        <f t="shared" si="178"/>
        <v/>
      </c>
    </row>
    <row r="1325" spans="159:168">
      <c r="FC1325" s="118">
        <v>1322</v>
      </c>
      <c r="FD1325" s="118">
        <f t="shared" si="174"/>
        <v>10</v>
      </c>
      <c r="FE1325" s="118">
        <f t="shared" si="175"/>
        <v>83</v>
      </c>
      <c r="FF1325" s="118" t="str">
        <f t="shared" si="176"/>
        <v/>
      </c>
      <c r="FI1325" s="16">
        <v>1322</v>
      </c>
      <c r="FJ1325" s="17" t="str">
        <f t="shared" si="177"/>
        <v/>
      </c>
      <c r="FK1325" s="17" t="str">
        <f t="shared" si="173"/>
        <v/>
      </c>
      <c r="FL1325" s="18" t="str">
        <f t="shared" si="178"/>
        <v/>
      </c>
    </row>
    <row r="1326" spans="159:168">
      <c r="FC1326" s="118">
        <v>1323</v>
      </c>
      <c r="FD1326" s="118">
        <f t="shared" si="174"/>
        <v>11</v>
      </c>
      <c r="FE1326" s="118">
        <f t="shared" si="175"/>
        <v>83</v>
      </c>
      <c r="FF1326" s="118" t="str">
        <f t="shared" si="176"/>
        <v/>
      </c>
      <c r="FI1326" s="16">
        <v>1323</v>
      </c>
      <c r="FJ1326" s="17" t="str">
        <f t="shared" si="177"/>
        <v/>
      </c>
      <c r="FK1326" s="17" t="str">
        <f t="shared" si="173"/>
        <v/>
      </c>
      <c r="FL1326" s="18" t="str">
        <f t="shared" si="178"/>
        <v/>
      </c>
    </row>
    <row r="1327" spans="159:168">
      <c r="FC1327" s="118">
        <v>1324</v>
      </c>
      <c r="FD1327" s="118">
        <f t="shared" si="174"/>
        <v>12</v>
      </c>
      <c r="FE1327" s="118">
        <f t="shared" si="175"/>
        <v>83</v>
      </c>
      <c r="FF1327" s="118" t="str">
        <f t="shared" si="176"/>
        <v/>
      </c>
      <c r="FI1327" s="16">
        <v>1324</v>
      </c>
      <c r="FJ1327" s="17" t="str">
        <f t="shared" si="177"/>
        <v/>
      </c>
      <c r="FK1327" s="17" t="str">
        <f t="shared" si="173"/>
        <v/>
      </c>
      <c r="FL1327" s="18" t="str">
        <f t="shared" si="178"/>
        <v/>
      </c>
    </row>
    <row r="1328" spans="159:168">
      <c r="FC1328" s="118">
        <v>1325</v>
      </c>
      <c r="FD1328" s="118">
        <f t="shared" si="174"/>
        <v>13</v>
      </c>
      <c r="FE1328" s="118">
        <f t="shared" si="175"/>
        <v>83</v>
      </c>
      <c r="FF1328" s="118" t="str">
        <f t="shared" si="176"/>
        <v/>
      </c>
      <c r="FI1328" s="16">
        <v>1325</v>
      </c>
      <c r="FJ1328" s="17" t="str">
        <f t="shared" si="177"/>
        <v/>
      </c>
      <c r="FK1328" s="17" t="str">
        <f t="shared" si="173"/>
        <v/>
      </c>
      <c r="FL1328" s="18" t="str">
        <f t="shared" si="178"/>
        <v/>
      </c>
    </row>
    <row r="1329" spans="159:168">
      <c r="FC1329" s="118">
        <v>1326</v>
      </c>
      <c r="FD1329" s="118">
        <f t="shared" si="174"/>
        <v>14</v>
      </c>
      <c r="FE1329" s="118">
        <f t="shared" si="175"/>
        <v>83</v>
      </c>
      <c r="FF1329" s="118" t="str">
        <f t="shared" si="176"/>
        <v/>
      </c>
      <c r="FI1329" s="16">
        <v>1326</v>
      </c>
      <c r="FJ1329" s="17" t="str">
        <f t="shared" si="177"/>
        <v/>
      </c>
      <c r="FK1329" s="17" t="str">
        <f t="shared" si="173"/>
        <v/>
      </c>
      <c r="FL1329" s="18" t="str">
        <f t="shared" si="178"/>
        <v/>
      </c>
    </row>
    <row r="1330" spans="159:168">
      <c r="FC1330" s="118">
        <v>1327</v>
      </c>
      <c r="FD1330" s="118">
        <f t="shared" si="174"/>
        <v>15</v>
      </c>
      <c r="FE1330" s="118">
        <f t="shared" si="175"/>
        <v>83</v>
      </c>
      <c r="FF1330" s="118" t="str">
        <f t="shared" si="176"/>
        <v/>
      </c>
      <c r="FI1330" s="16">
        <v>1327</v>
      </c>
      <c r="FJ1330" s="17" t="str">
        <f t="shared" si="177"/>
        <v/>
      </c>
      <c r="FK1330" s="17" t="str">
        <f t="shared" si="173"/>
        <v/>
      </c>
      <c r="FL1330" s="18" t="str">
        <f t="shared" si="178"/>
        <v/>
      </c>
    </row>
    <row r="1331" spans="159:168">
      <c r="FC1331" s="118">
        <v>1328</v>
      </c>
      <c r="FD1331" s="118">
        <f t="shared" si="174"/>
        <v>16</v>
      </c>
      <c r="FE1331" s="118">
        <f t="shared" si="175"/>
        <v>83</v>
      </c>
      <c r="FF1331" s="118" t="str">
        <f t="shared" si="176"/>
        <v/>
      </c>
      <c r="FI1331" s="16">
        <v>1328</v>
      </c>
      <c r="FJ1331" s="17" t="str">
        <f t="shared" si="177"/>
        <v/>
      </c>
      <c r="FK1331" s="17" t="str">
        <f t="shared" si="173"/>
        <v/>
      </c>
      <c r="FL1331" s="18" t="str">
        <f t="shared" si="178"/>
        <v/>
      </c>
    </row>
    <row r="1332" spans="159:168">
      <c r="FC1332" s="118">
        <v>1329</v>
      </c>
      <c r="FD1332" s="118">
        <f t="shared" si="174"/>
        <v>1</v>
      </c>
      <c r="FE1332" s="118">
        <f t="shared" si="175"/>
        <v>84</v>
      </c>
      <c r="FF1332" s="118" t="str">
        <f t="shared" si="176"/>
        <v/>
      </c>
      <c r="FI1332" s="16">
        <v>1329</v>
      </c>
      <c r="FJ1332" s="17" t="str">
        <f t="shared" si="177"/>
        <v/>
      </c>
      <c r="FK1332" s="17" t="str">
        <f t="shared" si="173"/>
        <v/>
      </c>
      <c r="FL1332" s="18" t="str">
        <f t="shared" si="178"/>
        <v/>
      </c>
    </row>
    <row r="1333" spans="159:168">
      <c r="FC1333" s="118">
        <v>1330</v>
      </c>
      <c r="FD1333" s="118">
        <f t="shared" si="174"/>
        <v>2</v>
      </c>
      <c r="FE1333" s="118">
        <f t="shared" si="175"/>
        <v>84</v>
      </c>
      <c r="FF1333" s="118" t="str">
        <f t="shared" si="176"/>
        <v/>
      </c>
      <c r="FI1333" s="16">
        <v>1330</v>
      </c>
      <c r="FJ1333" s="17" t="str">
        <f t="shared" si="177"/>
        <v/>
      </c>
      <c r="FK1333" s="17" t="str">
        <f t="shared" si="173"/>
        <v/>
      </c>
      <c r="FL1333" s="18" t="str">
        <f t="shared" si="178"/>
        <v/>
      </c>
    </row>
    <row r="1334" spans="159:168">
      <c r="FC1334" s="118">
        <v>1331</v>
      </c>
      <c r="FD1334" s="118">
        <f t="shared" si="174"/>
        <v>3</v>
      </c>
      <c r="FE1334" s="118">
        <f t="shared" si="175"/>
        <v>84</v>
      </c>
      <c r="FF1334" s="118" t="str">
        <f t="shared" si="176"/>
        <v/>
      </c>
      <c r="FI1334" s="16">
        <v>1331</v>
      </c>
      <c r="FJ1334" s="17" t="str">
        <f t="shared" si="177"/>
        <v/>
      </c>
      <c r="FK1334" s="17" t="str">
        <f t="shared" si="173"/>
        <v/>
      </c>
      <c r="FL1334" s="18" t="str">
        <f t="shared" si="178"/>
        <v/>
      </c>
    </row>
    <row r="1335" spans="159:168">
      <c r="FC1335" s="118">
        <v>1332</v>
      </c>
      <c r="FD1335" s="118">
        <f t="shared" si="174"/>
        <v>4</v>
      </c>
      <c r="FE1335" s="118">
        <f t="shared" si="175"/>
        <v>84</v>
      </c>
      <c r="FF1335" s="118" t="str">
        <f t="shared" si="176"/>
        <v/>
      </c>
      <c r="FI1335" s="16">
        <v>1332</v>
      </c>
      <c r="FJ1335" s="17" t="str">
        <f t="shared" si="177"/>
        <v/>
      </c>
      <c r="FK1335" s="17" t="str">
        <f t="shared" si="173"/>
        <v/>
      </c>
      <c r="FL1335" s="18" t="str">
        <f t="shared" si="178"/>
        <v/>
      </c>
    </row>
    <row r="1336" spans="159:168">
      <c r="FC1336" s="118">
        <v>1333</v>
      </c>
      <c r="FD1336" s="118">
        <f t="shared" si="174"/>
        <v>5</v>
      </c>
      <c r="FE1336" s="118">
        <f t="shared" si="175"/>
        <v>84</v>
      </c>
      <c r="FF1336" s="118" t="str">
        <f t="shared" si="176"/>
        <v/>
      </c>
      <c r="FI1336" s="16">
        <v>1333</v>
      </c>
      <c r="FJ1336" s="17" t="str">
        <f t="shared" si="177"/>
        <v/>
      </c>
      <c r="FK1336" s="17" t="str">
        <f t="shared" si="173"/>
        <v/>
      </c>
      <c r="FL1336" s="18" t="str">
        <f t="shared" si="178"/>
        <v/>
      </c>
    </row>
    <row r="1337" spans="159:168">
      <c r="FC1337" s="118">
        <v>1334</v>
      </c>
      <c r="FD1337" s="118">
        <f t="shared" si="174"/>
        <v>6</v>
      </c>
      <c r="FE1337" s="118">
        <f t="shared" si="175"/>
        <v>84</v>
      </c>
      <c r="FF1337" s="118" t="str">
        <f t="shared" si="176"/>
        <v/>
      </c>
      <c r="FI1337" s="16">
        <v>1334</v>
      </c>
      <c r="FJ1337" s="17" t="str">
        <f t="shared" si="177"/>
        <v/>
      </c>
      <c r="FK1337" s="17" t="str">
        <f t="shared" si="173"/>
        <v/>
      </c>
      <c r="FL1337" s="18" t="str">
        <f t="shared" si="178"/>
        <v/>
      </c>
    </row>
    <row r="1338" spans="159:168">
      <c r="FC1338" s="118">
        <v>1335</v>
      </c>
      <c r="FD1338" s="118">
        <f t="shared" si="174"/>
        <v>7</v>
      </c>
      <c r="FE1338" s="118">
        <f t="shared" si="175"/>
        <v>84</v>
      </c>
      <c r="FF1338" s="118" t="str">
        <f t="shared" si="176"/>
        <v/>
      </c>
      <c r="FI1338" s="16">
        <v>1335</v>
      </c>
      <c r="FJ1338" s="17" t="str">
        <f t="shared" si="177"/>
        <v/>
      </c>
      <c r="FK1338" s="17" t="str">
        <f t="shared" si="173"/>
        <v/>
      </c>
      <c r="FL1338" s="18" t="str">
        <f t="shared" si="178"/>
        <v/>
      </c>
    </row>
    <row r="1339" spans="159:168">
      <c r="FC1339" s="118">
        <v>1336</v>
      </c>
      <c r="FD1339" s="118">
        <f t="shared" si="174"/>
        <v>8</v>
      </c>
      <c r="FE1339" s="118">
        <f t="shared" si="175"/>
        <v>84</v>
      </c>
      <c r="FF1339" s="118" t="str">
        <f t="shared" si="176"/>
        <v/>
      </c>
      <c r="FI1339" s="16">
        <v>1336</v>
      </c>
      <c r="FJ1339" s="17" t="str">
        <f t="shared" si="177"/>
        <v/>
      </c>
      <c r="FK1339" s="17" t="str">
        <f t="shared" si="173"/>
        <v/>
      </c>
      <c r="FL1339" s="18" t="str">
        <f t="shared" si="178"/>
        <v/>
      </c>
    </row>
    <row r="1340" spans="159:168">
      <c r="FC1340" s="118">
        <v>1337</v>
      </c>
      <c r="FD1340" s="118">
        <f t="shared" si="174"/>
        <v>9</v>
      </c>
      <c r="FE1340" s="118">
        <f t="shared" si="175"/>
        <v>84</v>
      </c>
      <c r="FF1340" s="118" t="str">
        <f t="shared" si="176"/>
        <v/>
      </c>
      <c r="FI1340" s="16">
        <v>1337</v>
      </c>
      <c r="FJ1340" s="17" t="str">
        <f t="shared" si="177"/>
        <v/>
      </c>
      <c r="FK1340" s="17" t="str">
        <f t="shared" si="173"/>
        <v/>
      </c>
      <c r="FL1340" s="18" t="str">
        <f t="shared" si="178"/>
        <v/>
      </c>
    </row>
    <row r="1341" spans="159:168">
      <c r="FC1341" s="118">
        <v>1338</v>
      </c>
      <c r="FD1341" s="118">
        <f t="shared" si="174"/>
        <v>10</v>
      </c>
      <c r="FE1341" s="118">
        <f t="shared" si="175"/>
        <v>84</v>
      </c>
      <c r="FF1341" s="118" t="str">
        <f t="shared" si="176"/>
        <v/>
      </c>
      <c r="FI1341" s="16">
        <v>1338</v>
      </c>
      <c r="FJ1341" s="17" t="str">
        <f t="shared" si="177"/>
        <v/>
      </c>
      <c r="FK1341" s="17" t="str">
        <f t="shared" si="173"/>
        <v/>
      </c>
      <c r="FL1341" s="18" t="str">
        <f t="shared" si="178"/>
        <v/>
      </c>
    </row>
    <row r="1342" spans="159:168">
      <c r="FC1342" s="118">
        <v>1339</v>
      </c>
      <c r="FD1342" s="118">
        <f t="shared" si="174"/>
        <v>11</v>
      </c>
      <c r="FE1342" s="118">
        <f t="shared" si="175"/>
        <v>84</v>
      </c>
      <c r="FF1342" s="118" t="str">
        <f t="shared" si="176"/>
        <v/>
      </c>
      <c r="FI1342" s="16">
        <v>1339</v>
      </c>
      <c r="FJ1342" s="17" t="str">
        <f t="shared" si="177"/>
        <v/>
      </c>
      <c r="FK1342" s="17" t="str">
        <f t="shared" si="173"/>
        <v/>
      </c>
      <c r="FL1342" s="18" t="str">
        <f t="shared" si="178"/>
        <v/>
      </c>
    </row>
    <row r="1343" spans="159:168">
      <c r="FC1343" s="118">
        <v>1340</v>
      </c>
      <c r="FD1343" s="118">
        <f t="shared" si="174"/>
        <v>12</v>
      </c>
      <c r="FE1343" s="118">
        <f t="shared" si="175"/>
        <v>84</v>
      </c>
      <c r="FF1343" s="118" t="str">
        <f t="shared" si="176"/>
        <v/>
      </c>
      <c r="FI1343" s="16">
        <v>1340</v>
      </c>
      <c r="FJ1343" s="17" t="str">
        <f t="shared" si="177"/>
        <v/>
      </c>
      <c r="FK1343" s="17" t="str">
        <f t="shared" si="173"/>
        <v/>
      </c>
      <c r="FL1343" s="18" t="str">
        <f t="shared" si="178"/>
        <v/>
      </c>
    </row>
    <row r="1344" spans="159:168">
      <c r="FC1344" s="118">
        <v>1341</v>
      </c>
      <c r="FD1344" s="118">
        <f t="shared" si="174"/>
        <v>13</v>
      </c>
      <c r="FE1344" s="118">
        <f t="shared" si="175"/>
        <v>84</v>
      </c>
      <c r="FF1344" s="118" t="str">
        <f t="shared" si="176"/>
        <v/>
      </c>
      <c r="FI1344" s="16">
        <v>1341</v>
      </c>
      <c r="FJ1344" s="17" t="str">
        <f t="shared" si="177"/>
        <v/>
      </c>
      <c r="FK1344" s="17" t="str">
        <f t="shared" si="173"/>
        <v/>
      </c>
      <c r="FL1344" s="18" t="str">
        <f t="shared" si="178"/>
        <v/>
      </c>
    </row>
    <row r="1345" spans="159:168">
      <c r="FC1345" s="118">
        <v>1342</v>
      </c>
      <c r="FD1345" s="118">
        <f t="shared" si="174"/>
        <v>14</v>
      </c>
      <c r="FE1345" s="118">
        <f t="shared" si="175"/>
        <v>84</v>
      </c>
      <c r="FF1345" s="118" t="str">
        <f t="shared" si="176"/>
        <v/>
      </c>
      <c r="FI1345" s="16">
        <v>1342</v>
      </c>
      <c r="FJ1345" s="17" t="str">
        <f t="shared" si="177"/>
        <v/>
      </c>
      <c r="FK1345" s="17" t="str">
        <f t="shared" si="173"/>
        <v/>
      </c>
      <c r="FL1345" s="18" t="str">
        <f t="shared" si="178"/>
        <v/>
      </c>
    </row>
    <row r="1346" spans="159:168">
      <c r="FC1346" s="118">
        <v>1343</v>
      </c>
      <c r="FD1346" s="118">
        <f t="shared" si="174"/>
        <v>15</v>
      </c>
      <c r="FE1346" s="118">
        <f t="shared" si="175"/>
        <v>84</v>
      </c>
      <c r="FF1346" s="118" t="str">
        <f t="shared" si="176"/>
        <v/>
      </c>
      <c r="FI1346" s="16">
        <v>1343</v>
      </c>
      <c r="FJ1346" s="17" t="str">
        <f t="shared" si="177"/>
        <v/>
      </c>
      <c r="FK1346" s="17" t="str">
        <f t="shared" si="173"/>
        <v/>
      </c>
      <c r="FL1346" s="18" t="str">
        <f t="shared" si="178"/>
        <v/>
      </c>
    </row>
    <row r="1347" spans="159:168">
      <c r="FC1347" s="118">
        <v>1344</v>
      </c>
      <c r="FD1347" s="118">
        <f t="shared" si="174"/>
        <v>16</v>
      </c>
      <c r="FE1347" s="118">
        <f t="shared" si="175"/>
        <v>84</v>
      </c>
      <c r="FF1347" s="118" t="str">
        <f t="shared" si="176"/>
        <v/>
      </c>
      <c r="FI1347" s="16">
        <v>1344</v>
      </c>
      <c r="FJ1347" s="17" t="str">
        <f t="shared" si="177"/>
        <v/>
      </c>
      <c r="FK1347" s="17" t="str">
        <f t="shared" si="173"/>
        <v/>
      </c>
      <c r="FL1347" s="18" t="str">
        <f t="shared" si="178"/>
        <v/>
      </c>
    </row>
    <row r="1348" spans="159:168">
      <c r="FC1348" s="118">
        <v>1345</v>
      </c>
      <c r="FD1348" s="118">
        <f t="shared" si="174"/>
        <v>1</v>
      </c>
      <c r="FE1348" s="118">
        <f t="shared" si="175"/>
        <v>85</v>
      </c>
      <c r="FF1348" s="118" t="str">
        <f t="shared" si="176"/>
        <v/>
      </c>
      <c r="FI1348" s="16">
        <v>1345</v>
      </c>
      <c r="FJ1348" s="17" t="str">
        <f t="shared" si="177"/>
        <v/>
      </c>
      <c r="FK1348" s="17" t="str">
        <f t="shared" si="173"/>
        <v/>
      </c>
      <c r="FL1348" s="18" t="str">
        <f t="shared" si="178"/>
        <v/>
      </c>
    </row>
    <row r="1349" spans="159:168">
      <c r="FC1349" s="118">
        <v>1346</v>
      </c>
      <c r="FD1349" s="118">
        <f t="shared" si="174"/>
        <v>2</v>
      </c>
      <c r="FE1349" s="118">
        <f t="shared" si="175"/>
        <v>85</v>
      </c>
      <c r="FF1349" s="118" t="str">
        <f t="shared" si="176"/>
        <v/>
      </c>
      <c r="FI1349" s="16">
        <v>1346</v>
      </c>
      <c r="FJ1349" s="17" t="str">
        <f t="shared" si="177"/>
        <v/>
      </c>
      <c r="FK1349" s="17" t="str">
        <f t="shared" ref="FK1349:FK1412" si="179">IF(FI1349&lt;=$FH$2,FF1349,IF(FI1349&lt;=$FH$2+$FH$3,INDEX($FJ$4:$FJ$2494,FI1349-$FH$2),""))</f>
        <v/>
      </c>
      <c r="FL1349" s="18" t="str">
        <f t="shared" si="178"/>
        <v/>
      </c>
    </row>
    <row r="1350" spans="159:168">
      <c r="FC1350" s="118">
        <v>1347</v>
      </c>
      <c r="FD1350" s="118">
        <f t="shared" si="174"/>
        <v>3</v>
      </c>
      <c r="FE1350" s="118">
        <f t="shared" si="175"/>
        <v>85</v>
      </c>
      <c r="FF1350" s="118" t="str">
        <f t="shared" si="176"/>
        <v/>
      </c>
      <c r="FI1350" s="16">
        <v>1347</v>
      </c>
      <c r="FJ1350" s="17" t="str">
        <f t="shared" si="177"/>
        <v/>
      </c>
      <c r="FK1350" s="17" t="str">
        <f t="shared" si="179"/>
        <v/>
      </c>
      <c r="FL1350" s="18" t="str">
        <f t="shared" si="178"/>
        <v/>
      </c>
    </row>
    <row r="1351" spans="159:168">
      <c r="FC1351" s="118">
        <v>1348</v>
      </c>
      <c r="FD1351" s="118">
        <f t="shared" si="174"/>
        <v>4</v>
      </c>
      <c r="FE1351" s="118">
        <f t="shared" si="175"/>
        <v>85</v>
      </c>
      <c r="FF1351" s="118" t="str">
        <f t="shared" si="176"/>
        <v/>
      </c>
      <c r="FI1351" s="16">
        <v>1348</v>
      </c>
      <c r="FJ1351" s="17" t="str">
        <f t="shared" si="177"/>
        <v/>
      </c>
      <c r="FK1351" s="17" t="str">
        <f t="shared" si="179"/>
        <v/>
      </c>
      <c r="FL1351" s="18" t="str">
        <f t="shared" si="178"/>
        <v/>
      </c>
    </row>
    <row r="1352" spans="159:168">
      <c r="FC1352" s="118">
        <v>1349</v>
      </c>
      <c r="FD1352" s="118">
        <f t="shared" si="174"/>
        <v>5</v>
      </c>
      <c r="FE1352" s="118">
        <f t="shared" si="175"/>
        <v>85</v>
      </c>
      <c r="FF1352" s="118" t="str">
        <f t="shared" si="176"/>
        <v/>
      </c>
      <c r="FI1352" s="16">
        <v>1349</v>
      </c>
      <c r="FJ1352" s="17" t="str">
        <f t="shared" si="177"/>
        <v/>
      </c>
      <c r="FK1352" s="17" t="str">
        <f t="shared" si="179"/>
        <v/>
      </c>
      <c r="FL1352" s="18" t="str">
        <f t="shared" si="178"/>
        <v/>
      </c>
    </row>
    <row r="1353" spans="159:168">
      <c r="FC1353" s="118">
        <v>1350</v>
      </c>
      <c r="FD1353" s="118">
        <f t="shared" si="174"/>
        <v>6</v>
      </c>
      <c r="FE1353" s="118">
        <f t="shared" si="175"/>
        <v>85</v>
      </c>
      <c r="FF1353" s="118" t="str">
        <f t="shared" si="176"/>
        <v/>
      </c>
      <c r="FI1353" s="16">
        <v>1350</v>
      </c>
      <c r="FJ1353" s="17" t="str">
        <f t="shared" si="177"/>
        <v/>
      </c>
      <c r="FK1353" s="17" t="str">
        <f t="shared" si="179"/>
        <v/>
      </c>
      <c r="FL1353" s="18" t="str">
        <f t="shared" si="178"/>
        <v/>
      </c>
    </row>
    <row r="1354" spans="159:168">
      <c r="FC1354" s="118">
        <v>1351</v>
      </c>
      <c r="FD1354" s="118">
        <f t="shared" si="174"/>
        <v>7</v>
      </c>
      <c r="FE1354" s="118">
        <f t="shared" si="175"/>
        <v>85</v>
      </c>
      <c r="FF1354" s="118" t="str">
        <f t="shared" si="176"/>
        <v/>
      </c>
      <c r="FI1354" s="16">
        <v>1351</v>
      </c>
      <c r="FJ1354" s="17" t="str">
        <f t="shared" si="177"/>
        <v/>
      </c>
      <c r="FK1354" s="17" t="str">
        <f t="shared" si="179"/>
        <v/>
      </c>
      <c r="FL1354" s="18" t="str">
        <f t="shared" si="178"/>
        <v/>
      </c>
    </row>
    <row r="1355" spans="159:168">
      <c r="FC1355" s="118">
        <v>1352</v>
      </c>
      <c r="FD1355" s="118">
        <f t="shared" si="174"/>
        <v>8</v>
      </c>
      <c r="FE1355" s="118">
        <f t="shared" si="175"/>
        <v>85</v>
      </c>
      <c r="FF1355" s="118" t="str">
        <f t="shared" si="176"/>
        <v/>
      </c>
      <c r="FI1355" s="16">
        <v>1352</v>
      </c>
      <c r="FJ1355" s="17" t="str">
        <f t="shared" si="177"/>
        <v/>
      </c>
      <c r="FK1355" s="17" t="str">
        <f t="shared" si="179"/>
        <v/>
      </c>
      <c r="FL1355" s="18" t="str">
        <f t="shared" si="178"/>
        <v/>
      </c>
    </row>
    <row r="1356" spans="159:168">
      <c r="FC1356" s="118">
        <v>1353</v>
      </c>
      <c r="FD1356" s="118">
        <f t="shared" si="174"/>
        <v>9</v>
      </c>
      <c r="FE1356" s="118">
        <f t="shared" si="175"/>
        <v>85</v>
      </c>
      <c r="FF1356" s="118" t="str">
        <f t="shared" si="176"/>
        <v/>
      </c>
      <c r="FI1356" s="16">
        <v>1353</v>
      </c>
      <c r="FJ1356" s="17" t="str">
        <f t="shared" si="177"/>
        <v/>
      </c>
      <c r="FK1356" s="17" t="str">
        <f t="shared" si="179"/>
        <v/>
      </c>
      <c r="FL1356" s="18" t="str">
        <f t="shared" si="178"/>
        <v/>
      </c>
    </row>
    <row r="1357" spans="159:168">
      <c r="FC1357" s="118">
        <v>1354</v>
      </c>
      <c r="FD1357" s="118">
        <f t="shared" si="174"/>
        <v>10</v>
      </c>
      <c r="FE1357" s="118">
        <f t="shared" si="175"/>
        <v>85</v>
      </c>
      <c r="FF1357" s="118" t="str">
        <f t="shared" si="176"/>
        <v/>
      </c>
      <c r="FI1357" s="16">
        <v>1354</v>
      </c>
      <c r="FJ1357" s="17" t="str">
        <f t="shared" si="177"/>
        <v/>
      </c>
      <c r="FK1357" s="17" t="str">
        <f t="shared" si="179"/>
        <v/>
      </c>
      <c r="FL1357" s="18" t="str">
        <f t="shared" si="178"/>
        <v/>
      </c>
    </row>
    <row r="1358" spans="159:168">
      <c r="FC1358" s="118">
        <v>1355</v>
      </c>
      <c r="FD1358" s="118">
        <f t="shared" si="174"/>
        <v>11</v>
      </c>
      <c r="FE1358" s="118">
        <f t="shared" si="175"/>
        <v>85</v>
      </c>
      <c r="FF1358" s="118" t="str">
        <f t="shared" si="176"/>
        <v/>
      </c>
      <c r="FI1358" s="16">
        <v>1355</v>
      </c>
      <c r="FJ1358" s="17" t="str">
        <f t="shared" si="177"/>
        <v/>
      </c>
      <c r="FK1358" s="17" t="str">
        <f t="shared" si="179"/>
        <v/>
      </c>
      <c r="FL1358" s="18" t="str">
        <f t="shared" si="178"/>
        <v/>
      </c>
    </row>
    <row r="1359" spans="159:168">
      <c r="FC1359" s="118">
        <v>1356</v>
      </c>
      <c r="FD1359" s="118">
        <f t="shared" si="174"/>
        <v>12</v>
      </c>
      <c r="FE1359" s="118">
        <f t="shared" si="175"/>
        <v>85</v>
      </c>
      <c r="FF1359" s="118" t="str">
        <f t="shared" si="176"/>
        <v/>
      </c>
      <c r="FI1359" s="16">
        <v>1356</v>
      </c>
      <c r="FJ1359" s="17" t="str">
        <f t="shared" si="177"/>
        <v/>
      </c>
      <c r="FK1359" s="17" t="str">
        <f t="shared" si="179"/>
        <v/>
      </c>
      <c r="FL1359" s="18" t="str">
        <f t="shared" si="178"/>
        <v/>
      </c>
    </row>
    <row r="1360" spans="159:168">
      <c r="FC1360" s="118">
        <v>1357</v>
      </c>
      <c r="FD1360" s="118">
        <f t="shared" si="174"/>
        <v>13</v>
      </c>
      <c r="FE1360" s="118">
        <f t="shared" si="175"/>
        <v>85</v>
      </c>
      <c r="FF1360" s="118" t="str">
        <f t="shared" si="176"/>
        <v/>
      </c>
      <c r="FI1360" s="16">
        <v>1357</v>
      </c>
      <c r="FJ1360" s="17" t="str">
        <f t="shared" si="177"/>
        <v/>
      </c>
      <c r="FK1360" s="17" t="str">
        <f t="shared" si="179"/>
        <v/>
      </c>
      <c r="FL1360" s="18" t="str">
        <f t="shared" si="178"/>
        <v/>
      </c>
    </row>
    <row r="1361" spans="159:168">
      <c r="FC1361" s="118">
        <v>1358</v>
      </c>
      <c r="FD1361" s="118">
        <f t="shared" si="174"/>
        <v>14</v>
      </c>
      <c r="FE1361" s="118">
        <f t="shared" si="175"/>
        <v>85</v>
      </c>
      <c r="FF1361" s="118" t="str">
        <f t="shared" si="176"/>
        <v/>
      </c>
      <c r="FI1361" s="16">
        <v>1358</v>
      </c>
      <c r="FJ1361" s="17" t="str">
        <f t="shared" si="177"/>
        <v/>
      </c>
      <c r="FK1361" s="17" t="str">
        <f t="shared" si="179"/>
        <v/>
      </c>
      <c r="FL1361" s="18" t="str">
        <f t="shared" si="178"/>
        <v/>
      </c>
    </row>
    <row r="1362" spans="159:168">
      <c r="FC1362" s="118">
        <v>1359</v>
      </c>
      <c r="FD1362" s="118">
        <f t="shared" si="174"/>
        <v>15</v>
      </c>
      <c r="FE1362" s="118">
        <f t="shared" si="175"/>
        <v>85</v>
      </c>
      <c r="FF1362" s="118" t="str">
        <f t="shared" si="176"/>
        <v/>
      </c>
      <c r="FI1362" s="16">
        <v>1359</v>
      </c>
      <c r="FJ1362" s="17" t="str">
        <f t="shared" si="177"/>
        <v/>
      </c>
      <c r="FK1362" s="17" t="str">
        <f t="shared" si="179"/>
        <v/>
      </c>
      <c r="FL1362" s="18" t="str">
        <f t="shared" si="178"/>
        <v/>
      </c>
    </row>
    <row r="1363" spans="159:168">
      <c r="FC1363" s="118">
        <v>1360</v>
      </c>
      <c r="FD1363" s="118">
        <f t="shared" si="174"/>
        <v>16</v>
      </c>
      <c r="FE1363" s="118">
        <f t="shared" si="175"/>
        <v>85</v>
      </c>
      <c r="FF1363" s="118" t="str">
        <f t="shared" si="176"/>
        <v/>
      </c>
      <c r="FI1363" s="16">
        <v>1360</v>
      </c>
      <c r="FJ1363" s="17" t="str">
        <f t="shared" si="177"/>
        <v/>
      </c>
      <c r="FK1363" s="17" t="str">
        <f t="shared" si="179"/>
        <v/>
      </c>
      <c r="FL1363" s="18" t="str">
        <f t="shared" si="178"/>
        <v/>
      </c>
    </row>
    <row r="1364" spans="159:168">
      <c r="FC1364" s="118">
        <v>1361</v>
      </c>
      <c r="FD1364" s="118">
        <f t="shared" si="174"/>
        <v>1</v>
      </c>
      <c r="FE1364" s="118">
        <f t="shared" si="175"/>
        <v>86</v>
      </c>
      <c r="FF1364" s="118" t="str">
        <f t="shared" si="176"/>
        <v/>
      </c>
      <c r="FI1364" s="16">
        <v>1361</v>
      </c>
      <c r="FJ1364" s="17" t="str">
        <f t="shared" si="177"/>
        <v/>
      </c>
      <c r="FK1364" s="17" t="str">
        <f t="shared" si="179"/>
        <v/>
      </c>
      <c r="FL1364" s="18" t="str">
        <f t="shared" si="178"/>
        <v/>
      </c>
    </row>
    <row r="1365" spans="159:168">
      <c r="FC1365" s="118">
        <v>1362</v>
      </c>
      <c r="FD1365" s="118">
        <f t="shared" si="174"/>
        <v>2</v>
      </c>
      <c r="FE1365" s="118">
        <f t="shared" si="175"/>
        <v>86</v>
      </c>
      <c r="FF1365" s="118" t="str">
        <f t="shared" si="176"/>
        <v/>
      </c>
      <c r="FI1365" s="16">
        <v>1362</v>
      </c>
      <c r="FJ1365" s="17" t="str">
        <f t="shared" si="177"/>
        <v/>
      </c>
      <c r="FK1365" s="17" t="str">
        <f t="shared" si="179"/>
        <v/>
      </c>
      <c r="FL1365" s="18" t="str">
        <f t="shared" si="178"/>
        <v/>
      </c>
    </row>
    <row r="1366" spans="159:168">
      <c r="FC1366" s="118">
        <v>1363</v>
      </c>
      <c r="FD1366" s="118">
        <f t="shared" ref="FD1366:FD1429" si="180">IF(MOD(FC1366,$FB$1+$FB$2)=0,$FB$1+$FB$2,MOD(FC1366,$FB$1+$FB$2))</f>
        <v>3</v>
      </c>
      <c r="FE1366" s="118">
        <f t="shared" ref="FE1366:FE1429" si="181">ROUNDUP(FC1366/($FB$1+$FB$2),0)</f>
        <v>86</v>
      </c>
      <c r="FF1366" s="118" t="str">
        <f t="shared" ref="FF1366:FF1429" si="182">IF(FE1366&lt;$FB$3,INDEX($E$4:$DV$84,FD1366,FE1366),IF(FE1366=$FB$3,INDEX($E$4:$DV$84,FD1366+$FB$1,FE1366),""))</f>
        <v/>
      </c>
      <c r="FI1366" s="16">
        <v>1363</v>
      </c>
      <c r="FJ1366" s="17" t="str">
        <f t="shared" ref="FJ1366:FJ1429" si="183">IF(FE1366&lt;=$FH$1,INDEX($DW$4:$EZ$84,FD1366,FE1366),"")</f>
        <v/>
      </c>
      <c r="FK1366" s="17" t="str">
        <f t="shared" si="179"/>
        <v/>
      </c>
      <c r="FL1366" s="18" t="str">
        <f t="shared" ref="FL1366:FL1429" si="184">IFERROR(TEXT(DEC2BIN(FK1366),"00000000"),"")</f>
        <v/>
      </c>
    </row>
    <row r="1367" spans="159:168">
      <c r="FC1367" s="118">
        <v>1364</v>
      </c>
      <c r="FD1367" s="118">
        <f t="shared" si="180"/>
        <v>4</v>
      </c>
      <c r="FE1367" s="118">
        <f t="shared" si="181"/>
        <v>86</v>
      </c>
      <c r="FF1367" s="118" t="str">
        <f t="shared" si="182"/>
        <v/>
      </c>
      <c r="FI1367" s="16">
        <v>1364</v>
      </c>
      <c r="FJ1367" s="17" t="str">
        <f t="shared" si="183"/>
        <v/>
      </c>
      <c r="FK1367" s="17" t="str">
        <f t="shared" si="179"/>
        <v/>
      </c>
      <c r="FL1367" s="18" t="str">
        <f t="shared" si="184"/>
        <v/>
      </c>
    </row>
    <row r="1368" spans="159:168">
      <c r="FC1368" s="118">
        <v>1365</v>
      </c>
      <c r="FD1368" s="118">
        <f t="shared" si="180"/>
        <v>5</v>
      </c>
      <c r="FE1368" s="118">
        <f t="shared" si="181"/>
        <v>86</v>
      </c>
      <c r="FF1368" s="118" t="str">
        <f t="shared" si="182"/>
        <v/>
      </c>
      <c r="FI1368" s="16">
        <v>1365</v>
      </c>
      <c r="FJ1368" s="17" t="str">
        <f t="shared" si="183"/>
        <v/>
      </c>
      <c r="FK1368" s="17" t="str">
        <f t="shared" si="179"/>
        <v/>
      </c>
      <c r="FL1368" s="18" t="str">
        <f t="shared" si="184"/>
        <v/>
      </c>
    </row>
    <row r="1369" spans="159:168">
      <c r="FC1369" s="118">
        <v>1366</v>
      </c>
      <c r="FD1369" s="118">
        <f t="shared" si="180"/>
        <v>6</v>
      </c>
      <c r="FE1369" s="118">
        <f t="shared" si="181"/>
        <v>86</v>
      </c>
      <c r="FF1369" s="118" t="str">
        <f t="shared" si="182"/>
        <v/>
      </c>
      <c r="FI1369" s="16">
        <v>1366</v>
      </c>
      <c r="FJ1369" s="17" t="str">
        <f t="shared" si="183"/>
        <v/>
      </c>
      <c r="FK1369" s="17" t="str">
        <f t="shared" si="179"/>
        <v/>
      </c>
      <c r="FL1369" s="18" t="str">
        <f t="shared" si="184"/>
        <v/>
      </c>
    </row>
    <row r="1370" spans="159:168">
      <c r="FC1370" s="118">
        <v>1367</v>
      </c>
      <c r="FD1370" s="118">
        <f t="shared" si="180"/>
        <v>7</v>
      </c>
      <c r="FE1370" s="118">
        <f t="shared" si="181"/>
        <v>86</v>
      </c>
      <c r="FF1370" s="118" t="str">
        <f t="shared" si="182"/>
        <v/>
      </c>
      <c r="FI1370" s="16">
        <v>1367</v>
      </c>
      <c r="FJ1370" s="17" t="str">
        <f t="shared" si="183"/>
        <v/>
      </c>
      <c r="FK1370" s="17" t="str">
        <f t="shared" si="179"/>
        <v/>
      </c>
      <c r="FL1370" s="18" t="str">
        <f t="shared" si="184"/>
        <v/>
      </c>
    </row>
    <row r="1371" spans="159:168">
      <c r="FC1371" s="118">
        <v>1368</v>
      </c>
      <c r="FD1371" s="118">
        <f t="shared" si="180"/>
        <v>8</v>
      </c>
      <c r="FE1371" s="118">
        <f t="shared" si="181"/>
        <v>86</v>
      </c>
      <c r="FF1371" s="118" t="str">
        <f t="shared" si="182"/>
        <v/>
      </c>
      <c r="FI1371" s="16">
        <v>1368</v>
      </c>
      <c r="FJ1371" s="17" t="str">
        <f t="shared" si="183"/>
        <v/>
      </c>
      <c r="FK1371" s="17" t="str">
        <f t="shared" si="179"/>
        <v/>
      </c>
      <c r="FL1371" s="18" t="str">
        <f t="shared" si="184"/>
        <v/>
      </c>
    </row>
    <row r="1372" spans="159:168">
      <c r="FC1372" s="118">
        <v>1369</v>
      </c>
      <c r="FD1372" s="118">
        <f t="shared" si="180"/>
        <v>9</v>
      </c>
      <c r="FE1372" s="118">
        <f t="shared" si="181"/>
        <v>86</v>
      </c>
      <c r="FF1372" s="118" t="str">
        <f t="shared" si="182"/>
        <v/>
      </c>
      <c r="FI1372" s="16">
        <v>1369</v>
      </c>
      <c r="FJ1372" s="17" t="str">
        <f t="shared" si="183"/>
        <v/>
      </c>
      <c r="FK1372" s="17" t="str">
        <f t="shared" si="179"/>
        <v/>
      </c>
      <c r="FL1372" s="18" t="str">
        <f t="shared" si="184"/>
        <v/>
      </c>
    </row>
    <row r="1373" spans="159:168">
      <c r="FC1373" s="118">
        <v>1370</v>
      </c>
      <c r="FD1373" s="118">
        <f t="shared" si="180"/>
        <v>10</v>
      </c>
      <c r="FE1373" s="118">
        <f t="shared" si="181"/>
        <v>86</v>
      </c>
      <c r="FF1373" s="118" t="str">
        <f t="shared" si="182"/>
        <v/>
      </c>
      <c r="FI1373" s="16">
        <v>1370</v>
      </c>
      <c r="FJ1373" s="17" t="str">
        <f t="shared" si="183"/>
        <v/>
      </c>
      <c r="FK1373" s="17" t="str">
        <f t="shared" si="179"/>
        <v/>
      </c>
      <c r="FL1373" s="18" t="str">
        <f t="shared" si="184"/>
        <v/>
      </c>
    </row>
    <row r="1374" spans="159:168">
      <c r="FC1374" s="118">
        <v>1371</v>
      </c>
      <c r="FD1374" s="118">
        <f t="shared" si="180"/>
        <v>11</v>
      </c>
      <c r="FE1374" s="118">
        <f t="shared" si="181"/>
        <v>86</v>
      </c>
      <c r="FF1374" s="118" t="str">
        <f t="shared" si="182"/>
        <v/>
      </c>
      <c r="FI1374" s="16">
        <v>1371</v>
      </c>
      <c r="FJ1374" s="17" t="str">
        <f t="shared" si="183"/>
        <v/>
      </c>
      <c r="FK1374" s="17" t="str">
        <f t="shared" si="179"/>
        <v/>
      </c>
      <c r="FL1374" s="18" t="str">
        <f t="shared" si="184"/>
        <v/>
      </c>
    </row>
    <row r="1375" spans="159:168">
      <c r="FC1375" s="118">
        <v>1372</v>
      </c>
      <c r="FD1375" s="118">
        <f t="shared" si="180"/>
        <v>12</v>
      </c>
      <c r="FE1375" s="118">
        <f t="shared" si="181"/>
        <v>86</v>
      </c>
      <c r="FF1375" s="118" t="str">
        <f t="shared" si="182"/>
        <v/>
      </c>
      <c r="FI1375" s="16">
        <v>1372</v>
      </c>
      <c r="FJ1375" s="17" t="str">
        <f t="shared" si="183"/>
        <v/>
      </c>
      <c r="FK1375" s="17" t="str">
        <f t="shared" si="179"/>
        <v/>
      </c>
      <c r="FL1375" s="18" t="str">
        <f t="shared" si="184"/>
        <v/>
      </c>
    </row>
    <row r="1376" spans="159:168">
      <c r="FC1376" s="118">
        <v>1373</v>
      </c>
      <c r="FD1376" s="118">
        <f t="shared" si="180"/>
        <v>13</v>
      </c>
      <c r="FE1376" s="118">
        <f t="shared" si="181"/>
        <v>86</v>
      </c>
      <c r="FF1376" s="118" t="str">
        <f t="shared" si="182"/>
        <v/>
      </c>
      <c r="FI1376" s="16">
        <v>1373</v>
      </c>
      <c r="FJ1376" s="17" t="str">
        <f t="shared" si="183"/>
        <v/>
      </c>
      <c r="FK1376" s="17" t="str">
        <f t="shared" si="179"/>
        <v/>
      </c>
      <c r="FL1376" s="18" t="str">
        <f t="shared" si="184"/>
        <v/>
      </c>
    </row>
    <row r="1377" spans="159:168">
      <c r="FC1377" s="118">
        <v>1374</v>
      </c>
      <c r="FD1377" s="118">
        <f t="shared" si="180"/>
        <v>14</v>
      </c>
      <c r="FE1377" s="118">
        <f t="shared" si="181"/>
        <v>86</v>
      </c>
      <c r="FF1377" s="118" t="str">
        <f t="shared" si="182"/>
        <v/>
      </c>
      <c r="FI1377" s="16">
        <v>1374</v>
      </c>
      <c r="FJ1377" s="17" t="str">
        <f t="shared" si="183"/>
        <v/>
      </c>
      <c r="FK1377" s="17" t="str">
        <f t="shared" si="179"/>
        <v/>
      </c>
      <c r="FL1377" s="18" t="str">
        <f t="shared" si="184"/>
        <v/>
      </c>
    </row>
    <row r="1378" spans="159:168">
      <c r="FC1378" s="118">
        <v>1375</v>
      </c>
      <c r="FD1378" s="118">
        <f t="shared" si="180"/>
        <v>15</v>
      </c>
      <c r="FE1378" s="118">
        <f t="shared" si="181"/>
        <v>86</v>
      </c>
      <c r="FF1378" s="118" t="str">
        <f t="shared" si="182"/>
        <v/>
      </c>
      <c r="FI1378" s="16">
        <v>1375</v>
      </c>
      <c r="FJ1378" s="17" t="str">
        <f t="shared" si="183"/>
        <v/>
      </c>
      <c r="FK1378" s="17" t="str">
        <f t="shared" si="179"/>
        <v/>
      </c>
      <c r="FL1378" s="18" t="str">
        <f t="shared" si="184"/>
        <v/>
      </c>
    </row>
    <row r="1379" spans="159:168">
      <c r="FC1379" s="118">
        <v>1376</v>
      </c>
      <c r="FD1379" s="118">
        <f t="shared" si="180"/>
        <v>16</v>
      </c>
      <c r="FE1379" s="118">
        <f t="shared" si="181"/>
        <v>86</v>
      </c>
      <c r="FF1379" s="118" t="str">
        <f t="shared" si="182"/>
        <v/>
      </c>
      <c r="FI1379" s="16">
        <v>1376</v>
      </c>
      <c r="FJ1379" s="17" t="str">
        <f t="shared" si="183"/>
        <v/>
      </c>
      <c r="FK1379" s="17" t="str">
        <f t="shared" si="179"/>
        <v/>
      </c>
      <c r="FL1379" s="18" t="str">
        <f t="shared" si="184"/>
        <v/>
      </c>
    </row>
    <row r="1380" spans="159:168">
      <c r="FC1380" s="118">
        <v>1377</v>
      </c>
      <c r="FD1380" s="118">
        <f t="shared" si="180"/>
        <v>1</v>
      </c>
      <c r="FE1380" s="118">
        <f t="shared" si="181"/>
        <v>87</v>
      </c>
      <c r="FF1380" s="118" t="str">
        <f t="shared" si="182"/>
        <v/>
      </c>
      <c r="FI1380" s="16">
        <v>1377</v>
      </c>
      <c r="FJ1380" s="17" t="str">
        <f t="shared" si="183"/>
        <v/>
      </c>
      <c r="FK1380" s="17" t="str">
        <f t="shared" si="179"/>
        <v/>
      </c>
      <c r="FL1380" s="18" t="str">
        <f t="shared" si="184"/>
        <v/>
      </c>
    </row>
    <row r="1381" spans="159:168">
      <c r="FC1381" s="118">
        <v>1378</v>
      </c>
      <c r="FD1381" s="118">
        <f t="shared" si="180"/>
        <v>2</v>
      </c>
      <c r="FE1381" s="118">
        <f t="shared" si="181"/>
        <v>87</v>
      </c>
      <c r="FF1381" s="118" t="str">
        <f t="shared" si="182"/>
        <v/>
      </c>
      <c r="FI1381" s="16">
        <v>1378</v>
      </c>
      <c r="FJ1381" s="17" t="str">
        <f t="shared" si="183"/>
        <v/>
      </c>
      <c r="FK1381" s="17" t="str">
        <f t="shared" si="179"/>
        <v/>
      </c>
      <c r="FL1381" s="18" t="str">
        <f t="shared" si="184"/>
        <v/>
      </c>
    </row>
    <row r="1382" spans="159:168">
      <c r="FC1382" s="118">
        <v>1379</v>
      </c>
      <c r="FD1382" s="118">
        <f t="shared" si="180"/>
        <v>3</v>
      </c>
      <c r="FE1382" s="118">
        <f t="shared" si="181"/>
        <v>87</v>
      </c>
      <c r="FF1382" s="118" t="str">
        <f t="shared" si="182"/>
        <v/>
      </c>
      <c r="FI1382" s="16">
        <v>1379</v>
      </c>
      <c r="FJ1382" s="17" t="str">
        <f t="shared" si="183"/>
        <v/>
      </c>
      <c r="FK1382" s="17" t="str">
        <f t="shared" si="179"/>
        <v/>
      </c>
      <c r="FL1382" s="18" t="str">
        <f t="shared" si="184"/>
        <v/>
      </c>
    </row>
    <row r="1383" spans="159:168">
      <c r="FC1383" s="118">
        <v>1380</v>
      </c>
      <c r="FD1383" s="118">
        <f t="shared" si="180"/>
        <v>4</v>
      </c>
      <c r="FE1383" s="118">
        <f t="shared" si="181"/>
        <v>87</v>
      </c>
      <c r="FF1383" s="118" t="str">
        <f t="shared" si="182"/>
        <v/>
      </c>
      <c r="FI1383" s="16">
        <v>1380</v>
      </c>
      <c r="FJ1383" s="17" t="str">
        <f t="shared" si="183"/>
        <v/>
      </c>
      <c r="FK1383" s="17" t="str">
        <f t="shared" si="179"/>
        <v/>
      </c>
      <c r="FL1383" s="18" t="str">
        <f t="shared" si="184"/>
        <v/>
      </c>
    </row>
    <row r="1384" spans="159:168">
      <c r="FC1384" s="118">
        <v>1381</v>
      </c>
      <c r="FD1384" s="118">
        <f t="shared" si="180"/>
        <v>5</v>
      </c>
      <c r="FE1384" s="118">
        <f t="shared" si="181"/>
        <v>87</v>
      </c>
      <c r="FF1384" s="118" t="str">
        <f t="shared" si="182"/>
        <v/>
      </c>
      <c r="FI1384" s="16">
        <v>1381</v>
      </c>
      <c r="FJ1384" s="17" t="str">
        <f t="shared" si="183"/>
        <v/>
      </c>
      <c r="FK1384" s="17" t="str">
        <f t="shared" si="179"/>
        <v/>
      </c>
      <c r="FL1384" s="18" t="str">
        <f t="shared" si="184"/>
        <v/>
      </c>
    </row>
    <row r="1385" spans="159:168">
      <c r="FC1385" s="118">
        <v>1382</v>
      </c>
      <c r="FD1385" s="118">
        <f t="shared" si="180"/>
        <v>6</v>
      </c>
      <c r="FE1385" s="118">
        <f t="shared" si="181"/>
        <v>87</v>
      </c>
      <c r="FF1385" s="118" t="str">
        <f t="shared" si="182"/>
        <v/>
      </c>
      <c r="FI1385" s="16">
        <v>1382</v>
      </c>
      <c r="FJ1385" s="17" t="str">
        <f t="shared" si="183"/>
        <v/>
      </c>
      <c r="FK1385" s="17" t="str">
        <f t="shared" si="179"/>
        <v/>
      </c>
      <c r="FL1385" s="18" t="str">
        <f t="shared" si="184"/>
        <v/>
      </c>
    </row>
    <row r="1386" spans="159:168">
      <c r="FC1386" s="118">
        <v>1383</v>
      </c>
      <c r="FD1386" s="118">
        <f t="shared" si="180"/>
        <v>7</v>
      </c>
      <c r="FE1386" s="118">
        <f t="shared" si="181"/>
        <v>87</v>
      </c>
      <c r="FF1386" s="118" t="str">
        <f t="shared" si="182"/>
        <v/>
      </c>
      <c r="FI1386" s="16">
        <v>1383</v>
      </c>
      <c r="FJ1386" s="17" t="str">
        <f t="shared" si="183"/>
        <v/>
      </c>
      <c r="FK1386" s="17" t="str">
        <f t="shared" si="179"/>
        <v/>
      </c>
      <c r="FL1386" s="18" t="str">
        <f t="shared" si="184"/>
        <v/>
      </c>
    </row>
    <row r="1387" spans="159:168">
      <c r="FC1387" s="118">
        <v>1384</v>
      </c>
      <c r="FD1387" s="118">
        <f t="shared" si="180"/>
        <v>8</v>
      </c>
      <c r="FE1387" s="118">
        <f t="shared" si="181"/>
        <v>87</v>
      </c>
      <c r="FF1387" s="118" t="str">
        <f t="shared" si="182"/>
        <v/>
      </c>
      <c r="FI1387" s="16">
        <v>1384</v>
      </c>
      <c r="FJ1387" s="17" t="str">
        <f t="shared" si="183"/>
        <v/>
      </c>
      <c r="FK1387" s="17" t="str">
        <f t="shared" si="179"/>
        <v/>
      </c>
      <c r="FL1387" s="18" t="str">
        <f t="shared" si="184"/>
        <v/>
      </c>
    </row>
    <row r="1388" spans="159:168">
      <c r="FC1388" s="118">
        <v>1385</v>
      </c>
      <c r="FD1388" s="118">
        <f t="shared" si="180"/>
        <v>9</v>
      </c>
      <c r="FE1388" s="118">
        <f t="shared" si="181"/>
        <v>87</v>
      </c>
      <c r="FF1388" s="118" t="str">
        <f t="shared" si="182"/>
        <v/>
      </c>
      <c r="FI1388" s="16">
        <v>1385</v>
      </c>
      <c r="FJ1388" s="17" t="str">
        <f t="shared" si="183"/>
        <v/>
      </c>
      <c r="FK1388" s="17" t="str">
        <f t="shared" si="179"/>
        <v/>
      </c>
      <c r="FL1388" s="18" t="str">
        <f t="shared" si="184"/>
        <v/>
      </c>
    </row>
    <row r="1389" spans="159:168">
      <c r="FC1389" s="118">
        <v>1386</v>
      </c>
      <c r="FD1389" s="118">
        <f t="shared" si="180"/>
        <v>10</v>
      </c>
      <c r="FE1389" s="118">
        <f t="shared" si="181"/>
        <v>87</v>
      </c>
      <c r="FF1389" s="118" t="str">
        <f t="shared" si="182"/>
        <v/>
      </c>
      <c r="FI1389" s="16">
        <v>1386</v>
      </c>
      <c r="FJ1389" s="17" t="str">
        <f t="shared" si="183"/>
        <v/>
      </c>
      <c r="FK1389" s="17" t="str">
        <f t="shared" si="179"/>
        <v/>
      </c>
      <c r="FL1389" s="18" t="str">
        <f t="shared" si="184"/>
        <v/>
      </c>
    </row>
    <row r="1390" spans="159:168">
      <c r="FC1390" s="118">
        <v>1387</v>
      </c>
      <c r="FD1390" s="118">
        <f t="shared" si="180"/>
        <v>11</v>
      </c>
      <c r="FE1390" s="118">
        <f t="shared" si="181"/>
        <v>87</v>
      </c>
      <c r="FF1390" s="118" t="str">
        <f t="shared" si="182"/>
        <v/>
      </c>
      <c r="FI1390" s="16">
        <v>1387</v>
      </c>
      <c r="FJ1390" s="17" t="str">
        <f t="shared" si="183"/>
        <v/>
      </c>
      <c r="FK1390" s="17" t="str">
        <f t="shared" si="179"/>
        <v/>
      </c>
      <c r="FL1390" s="18" t="str">
        <f t="shared" si="184"/>
        <v/>
      </c>
    </row>
    <row r="1391" spans="159:168">
      <c r="FC1391" s="118">
        <v>1388</v>
      </c>
      <c r="FD1391" s="118">
        <f t="shared" si="180"/>
        <v>12</v>
      </c>
      <c r="FE1391" s="118">
        <f t="shared" si="181"/>
        <v>87</v>
      </c>
      <c r="FF1391" s="118" t="str">
        <f t="shared" si="182"/>
        <v/>
      </c>
      <c r="FI1391" s="16">
        <v>1388</v>
      </c>
      <c r="FJ1391" s="17" t="str">
        <f t="shared" si="183"/>
        <v/>
      </c>
      <c r="FK1391" s="17" t="str">
        <f t="shared" si="179"/>
        <v/>
      </c>
      <c r="FL1391" s="18" t="str">
        <f t="shared" si="184"/>
        <v/>
      </c>
    </row>
    <row r="1392" spans="159:168">
      <c r="FC1392" s="118">
        <v>1389</v>
      </c>
      <c r="FD1392" s="118">
        <f t="shared" si="180"/>
        <v>13</v>
      </c>
      <c r="FE1392" s="118">
        <f t="shared" si="181"/>
        <v>87</v>
      </c>
      <c r="FF1392" s="118" t="str">
        <f t="shared" si="182"/>
        <v/>
      </c>
      <c r="FI1392" s="16">
        <v>1389</v>
      </c>
      <c r="FJ1392" s="17" t="str">
        <f t="shared" si="183"/>
        <v/>
      </c>
      <c r="FK1392" s="17" t="str">
        <f t="shared" si="179"/>
        <v/>
      </c>
      <c r="FL1392" s="18" t="str">
        <f t="shared" si="184"/>
        <v/>
      </c>
    </row>
    <row r="1393" spans="159:168">
      <c r="FC1393" s="118">
        <v>1390</v>
      </c>
      <c r="FD1393" s="118">
        <f t="shared" si="180"/>
        <v>14</v>
      </c>
      <c r="FE1393" s="118">
        <f t="shared" si="181"/>
        <v>87</v>
      </c>
      <c r="FF1393" s="118" t="str">
        <f t="shared" si="182"/>
        <v/>
      </c>
      <c r="FI1393" s="16">
        <v>1390</v>
      </c>
      <c r="FJ1393" s="17" t="str">
        <f t="shared" si="183"/>
        <v/>
      </c>
      <c r="FK1393" s="17" t="str">
        <f t="shared" si="179"/>
        <v/>
      </c>
      <c r="FL1393" s="18" t="str">
        <f t="shared" si="184"/>
        <v/>
      </c>
    </row>
    <row r="1394" spans="159:168">
      <c r="FC1394" s="118">
        <v>1391</v>
      </c>
      <c r="FD1394" s="118">
        <f t="shared" si="180"/>
        <v>15</v>
      </c>
      <c r="FE1394" s="118">
        <f t="shared" si="181"/>
        <v>87</v>
      </c>
      <c r="FF1394" s="118" t="str">
        <f t="shared" si="182"/>
        <v/>
      </c>
      <c r="FI1394" s="16">
        <v>1391</v>
      </c>
      <c r="FJ1394" s="17" t="str">
        <f t="shared" si="183"/>
        <v/>
      </c>
      <c r="FK1394" s="17" t="str">
        <f t="shared" si="179"/>
        <v/>
      </c>
      <c r="FL1394" s="18" t="str">
        <f t="shared" si="184"/>
        <v/>
      </c>
    </row>
    <row r="1395" spans="159:168">
      <c r="FC1395" s="118">
        <v>1392</v>
      </c>
      <c r="FD1395" s="118">
        <f t="shared" si="180"/>
        <v>16</v>
      </c>
      <c r="FE1395" s="118">
        <f t="shared" si="181"/>
        <v>87</v>
      </c>
      <c r="FF1395" s="118" t="str">
        <f t="shared" si="182"/>
        <v/>
      </c>
      <c r="FI1395" s="16">
        <v>1392</v>
      </c>
      <c r="FJ1395" s="17" t="str">
        <f t="shared" si="183"/>
        <v/>
      </c>
      <c r="FK1395" s="17" t="str">
        <f t="shared" si="179"/>
        <v/>
      </c>
      <c r="FL1395" s="18" t="str">
        <f t="shared" si="184"/>
        <v/>
      </c>
    </row>
    <row r="1396" spans="159:168">
      <c r="FC1396" s="118">
        <v>1393</v>
      </c>
      <c r="FD1396" s="118">
        <f t="shared" si="180"/>
        <v>1</v>
      </c>
      <c r="FE1396" s="118">
        <f t="shared" si="181"/>
        <v>88</v>
      </c>
      <c r="FF1396" s="118" t="str">
        <f t="shared" si="182"/>
        <v/>
      </c>
      <c r="FI1396" s="16">
        <v>1393</v>
      </c>
      <c r="FJ1396" s="17" t="str">
        <f t="shared" si="183"/>
        <v/>
      </c>
      <c r="FK1396" s="17" t="str">
        <f t="shared" si="179"/>
        <v/>
      </c>
      <c r="FL1396" s="18" t="str">
        <f t="shared" si="184"/>
        <v/>
      </c>
    </row>
    <row r="1397" spans="159:168">
      <c r="FC1397" s="118">
        <v>1394</v>
      </c>
      <c r="FD1397" s="118">
        <f t="shared" si="180"/>
        <v>2</v>
      </c>
      <c r="FE1397" s="118">
        <f t="shared" si="181"/>
        <v>88</v>
      </c>
      <c r="FF1397" s="118" t="str">
        <f t="shared" si="182"/>
        <v/>
      </c>
      <c r="FI1397" s="16">
        <v>1394</v>
      </c>
      <c r="FJ1397" s="17" t="str">
        <f t="shared" si="183"/>
        <v/>
      </c>
      <c r="FK1397" s="17" t="str">
        <f t="shared" si="179"/>
        <v/>
      </c>
      <c r="FL1397" s="18" t="str">
        <f t="shared" si="184"/>
        <v/>
      </c>
    </row>
    <row r="1398" spans="159:168">
      <c r="FC1398" s="118">
        <v>1395</v>
      </c>
      <c r="FD1398" s="118">
        <f t="shared" si="180"/>
        <v>3</v>
      </c>
      <c r="FE1398" s="118">
        <f t="shared" si="181"/>
        <v>88</v>
      </c>
      <c r="FF1398" s="118" t="str">
        <f t="shared" si="182"/>
        <v/>
      </c>
      <c r="FI1398" s="16">
        <v>1395</v>
      </c>
      <c r="FJ1398" s="17" t="str">
        <f t="shared" si="183"/>
        <v/>
      </c>
      <c r="FK1398" s="17" t="str">
        <f t="shared" si="179"/>
        <v/>
      </c>
      <c r="FL1398" s="18" t="str">
        <f t="shared" si="184"/>
        <v/>
      </c>
    </row>
    <row r="1399" spans="159:168">
      <c r="FC1399" s="118">
        <v>1396</v>
      </c>
      <c r="FD1399" s="118">
        <f t="shared" si="180"/>
        <v>4</v>
      </c>
      <c r="FE1399" s="118">
        <f t="shared" si="181"/>
        <v>88</v>
      </c>
      <c r="FF1399" s="118" t="str">
        <f t="shared" si="182"/>
        <v/>
      </c>
      <c r="FI1399" s="16">
        <v>1396</v>
      </c>
      <c r="FJ1399" s="17" t="str">
        <f t="shared" si="183"/>
        <v/>
      </c>
      <c r="FK1399" s="17" t="str">
        <f t="shared" si="179"/>
        <v/>
      </c>
      <c r="FL1399" s="18" t="str">
        <f t="shared" si="184"/>
        <v/>
      </c>
    </row>
    <row r="1400" spans="159:168">
      <c r="FC1400" s="118">
        <v>1397</v>
      </c>
      <c r="FD1400" s="118">
        <f t="shared" si="180"/>
        <v>5</v>
      </c>
      <c r="FE1400" s="118">
        <f t="shared" si="181"/>
        <v>88</v>
      </c>
      <c r="FF1400" s="118" t="str">
        <f t="shared" si="182"/>
        <v/>
      </c>
      <c r="FI1400" s="16">
        <v>1397</v>
      </c>
      <c r="FJ1400" s="17" t="str">
        <f t="shared" si="183"/>
        <v/>
      </c>
      <c r="FK1400" s="17" t="str">
        <f t="shared" si="179"/>
        <v/>
      </c>
      <c r="FL1400" s="18" t="str">
        <f t="shared" si="184"/>
        <v/>
      </c>
    </row>
    <row r="1401" spans="159:168">
      <c r="FC1401" s="118">
        <v>1398</v>
      </c>
      <c r="FD1401" s="118">
        <f t="shared" si="180"/>
        <v>6</v>
      </c>
      <c r="FE1401" s="118">
        <f t="shared" si="181"/>
        <v>88</v>
      </c>
      <c r="FF1401" s="118" t="str">
        <f t="shared" si="182"/>
        <v/>
      </c>
      <c r="FI1401" s="16">
        <v>1398</v>
      </c>
      <c r="FJ1401" s="17" t="str">
        <f t="shared" si="183"/>
        <v/>
      </c>
      <c r="FK1401" s="17" t="str">
        <f t="shared" si="179"/>
        <v/>
      </c>
      <c r="FL1401" s="18" t="str">
        <f t="shared" si="184"/>
        <v/>
      </c>
    </row>
    <row r="1402" spans="159:168">
      <c r="FC1402" s="118">
        <v>1399</v>
      </c>
      <c r="FD1402" s="118">
        <f t="shared" si="180"/>
        <v>7</v>
      </c>
      <c r="FE1402" s="118">
        <f t="shared" si="181"/>
        <v>88</v>
      </c>
      <c r="FF1402" s="118" t="str">
        <f t="shared" si="182"/>
        <v/>
      </c>
      <c r="FI1402" s="16">
        <v>1399</v>
      </c>
      <c r="FJ1402" s="17" t="str">
        <f t="shared" si="183"/>
        <v/>
      </c>
      <c r="FK1402" s="17" t="str">
        <f t="shared" si="179"/>
        <v/>
      </c>
      <c r="FL1402" s="18" t="str">
        <f t="shared" si="184"/>
        <v/>
      </c>
    </row>
    <row r="1403" spans="159:168">
      <c r="FC1403" s="118">
        <v>1400</v>
      </c>
      <c r="FD1403" s="118">
        <f t="shared" si="180"/>
        <v>8</v>
      </c>
      <c r="FE1403" s="118">
        <f t="shared" si="181"/>
        <v>88</v>
      </c>
      <c r="FF1403" s="118" t="str">
        <f t="shared" si="182"/>
        <v/>
      </c>
      <c r="FI1403" s="16">
        <v>1400</v>
      </c>
      <c r="FJ1403" s="17" t="str">
        <f t="shared" si="183"/>
        <v/>
      </c>
      <c r="FK1403" s="17" t="str">
        <f t="shared" si="179"/>
        <v/>
      </c>
      <c r="FL1403" s="18" t="str">
        <f t="shared" si="184"/>
        <v/>
      </c>
    </row>
    <row r="1404" spans="159:168">
      <c r="FC1404" s="118">
        <v>1401</v>
      </c>
      <c r="FD1404" s="118">
        <f t="shared" si="180"/>
        <v>9</v>
      </c>
      <c r="FE1404" s="118">
        <f t="shared" si="181"/>
        <v>88</v>
      </c>
      <c r="FF1404" s="118" t="str">
        <f t="shared" si="182"/>
        <v/>
      </c>
      <c r="FI1404" s="16">
        <v>1401</v>
      </c>
      <c r="FJ1404" s="17" t="str">
        <f t="shared" si="183"/>
        <v/>
      </c>
      <c r="FK1404" s="17" t="str">
        <f t="shared" si="179"/>
        <v/>
      </c>
      <c r="FL1404" s="18" t="str">
        <f t="shared" si="184"/>
        <v/>
      </c>
    </row>
    <row r="1405" spans="159:168">
      <c r="FC1405" s="118">
        <v>1402</v>
      </c>
      <c r="FD1405" s="118">
        <f t="shared" si="180"/>
        <v>10</v>
      </c>
      <c r="FE1405" s="118">
        <f t="shared" si="181"/>
        <v>88</v>
      </c>
      <c r="FF1405" s="118" t="str">
        <f t="shared" si="182"/>
        <v/>
      </c>
      <c r="FI1405" s="16">
        <v>1402</v>
      </c>
      <c r="FJ1405" s="17" t="str">
        <f t="shared" si="183"/>
        <v/>
      </c>
      <c r="FK1405" s="17" t="str">
        <f t="shared" si="179"/>
        <v/>
      </c>
      <c r="FL1405" s="18" t="str">
        <f t="shared" si="184"/>
        <v/>
      </c>
    </row>
    <row r="1406" spans="159:168">
      <c r="FC1406" s="118">
        <v>1403</v>
      </c>
      <c r="FD1406" s="118">
        <f t="shared" si="180"/>
        <v>11</v>
      </c>
      <c r="FE1406" s="118">
        <f t="shared" si="181"/>
        <v>88</v>
      </c>
      <c r="FF1406" s="118" t="str">
        <f t="shared" si="182"/>
        <v/>
      </c>
      <c r="FI1406" s="16">
        <v>1403</v>
      </c>
      <c r="FJ1406" s="17" t="str">
        <f t="shared" si="183"/>
        <v/>
      </c>
      <c r="FK1406" s="17" t="str">
        <f t="shared" si="179"/>
        <v/>
      </c>
      <c r="FL1406" s="18" t="str">
        <f t="shared" si="184"/>
        <v/>
      </c>
    </row>
    <row r="1407" spans="159:168">
      <c r="FC1407" s="118">
        <v>1404</v>
      </c>
      <c r="FD1407" s="118">
        <f t="shared" si="180"/>
        <v>12</v>
      </c>
      <c r="FE1407" s="118">
        <f t="shared" si="181"/>
        <v>88</v>
      </c>
      <c r="FF1407" s="118" t="str">
        <f t="shared" si="182"/>
        <v/>
      </c>
      <c r="FI1407" s="16">
        <v>1404</v>
      </c>
      <c r="FJ1407" s="17" t="str">
        <f t="shared" si="183"/>
        <v/>
      </c>
      <c r="FK1407" s="17" t="str">
        <f t="shared" si="179"/>
        <v/>
      </c>
      <c r="FL1407" s="18" t="str">
        <f t="shared" si="184"/>
        <v/>
      </c>
    </row>
    <row r="1408" spans="159:168">
      <c r="FC1408" s="118">
        <v>1405</v>
      </c>
      <c r="FD1408" s="118">
        <f t="shared" si="180"/>
        <v>13</v>
      </c>
      <c r="FE1408" s="118">
        <f t="shared" si="181"/>
        <v>88</v>
      </c>
      <c r="FF1408" s="118" t="str">
        <f t="shared" si="182"/>
        <v/>
      </c>
      <c r="FI1408" s="16">
        <v>1405</v>
      </c>
      <c r="FJ1408" s="17" t="str">
        <f t="shared" si="183"/>
        <v/>
      </c>
      <c r="FK1408" s="17" t="str">
        <f t="shared" si="179"/>
        <v/>
      </c>
      <c r="FL1408" s="18" t="str">
        <f t="shared" si="184"/>
        <v/>
      </c>
    </row>
    <row r="1409" spans="159:168">
      <c r="FC1409" s="118">
        <v>1406</v>
      </c>
      <c r="FD1409" s="118">
        <f t="shared" si="180"/>
        <v>14</v>
      </c>
      <c r="FE1409" s="118">
        <f t="shared" si="181"/>
        <v>88</v>
      </c>
      <c r="FF1409" s="118" t="str">
        <f t="shared" si="182"/>
        <v/>
      </c>
      <c r="FI1409" s="16">
        <v>1406</v>
      </c>
      <c r="FJ1409" s="17" t="str">
        <f t="shared" si="183"/>
        <v/>
      </c>
      <c r="FK1409" s="17" t="str">
        <f t="shared" si="179"/>
        <v/>
      </c>
      <c r="FL1409" s="18" t="str">
        <f t="shared" si="184"/>
        <v/>
      </c>
    </row>
    <row r="1410" spans="159:168">
      <c r="FC1410" s="118">
        <v>1407</v>
      </c>
      <c r="FD1410" s="118">
        <f t="shared" si="180"/>
        <v>15</v>
      </c>
      <c r="FE1410" s="118">
        <f t="shared" si="181"/>
        <v>88</v>
      </c>
      <c r="FF1410" s="118" t="str">
        <f t="shared" si="182"/>
        <v/>
      </c>
      <c r="FI1410" s="16">
        <v>1407</v>
      </c>
      <c r="FJ1410" s="17" t="str">
        <f t="shared" si="183"/>
        <v/>
      </c>
      <c r="FK1410" s="17" t="str">
        <f t="shared" si="179"/>
        <v/>
      </c>
      <c r="FL1410" s="18" t="str">
        <f t="shared" si="184"/>
        <v/>
      </c>
    </row>
    <row r="1411" spans="159:168">
      <c r="FC1411" s="118">
        <v>1408</v>
      </c>
      <c r="FD1411" s="118">
        <f t="shared" si="180"/>
        <v>16</v>
      </c>
      <c r="FE1411" s="118">
        <f t="shared" si="181"/>
        <v>88</v>
      </c>
      <c r="FF1411" s="118" t="str">
        <f t="shared" si="182"/>
        <v/>
      </c>
      <c r="FI1411" s="16">
        <v>1408</v>
      </c>
      <c r="FJ1411" s="17" t="str">
        <f t="shared" si="183"/>
        <v/>
      </c>
      <c r="FK1411" s="17" t="str">
        <f t="shared" si="179"/>
        <v/>
      </c>
      <c r="FL1411" s="18" t="str">
        <f t="shared" si="184"/>
        <v/>
      </c>
    </row>
    <row r="1412" spans="159:168">
      <c r="FC1412" s="118">
        <v>1409</v>
      </c>
      <c r="FD1412" s="118">
        <f t="shared" si="180"/>
        <v>1</v>
      </c>
      <c r="FE1412" s="118">
        <f t="shared" si="181"/>
        <v>89</v>
      </c>
      <c r="FF1412" s="118" t="str">
        <f t="shared" si="182"/>
        <v/>
      </c>
      <c r="FI1412" s="16">
        <v>1409</v>
      </c>
      <c r="FJ1412" s="17" t="str">
        <f t="shared" si="183"/>
        <v/>
      </c>
      <c r="FK1412" s="17" t="str">
        <f t="shared" si="179"/>
        <v/>
      </c>
      <c r="FL1412" s="18" t="str">
        <f t="shared" si="184"/>
        <v/>
      </c>
    </row>
    <row r="1413" spans="159:168">
      <c r="FC1413" s="118">
        <v>1410</v>
      </c>
      <c r="FD1413" s="118">
        <f t="shared" si="180"/>
        <v>2</v>
      </c>
      <c r="FE1413" s="118">
        <f t="shared" si="181"/>
        <v>89</v>
      </c>
      <c r="FF1413" s="118" t="str">
        <f t="shared" si="182"/>
        <v/>
      </c>
      <c r="FI1413" s="16">
        <v>1410</v>
      </c>
      <c r="FJ1413" s="17" t="str">
        <f t="shared" si="183"/>
        <v/>
      </c>
      <c r="FK1413" s="17" t="str">
        <f t="shared" ref="FK1413:FK1476" si="185">IF(FI1413&lt;=$FH$2,FF1413,IF(FI1413&lt;=$FH$2+$FH$3,INDEX($FJ$4:$FJ$2494,FI1413-$FH$2),""))</f>
        <v/>
      </c>
      <c r="FL1413" s="18" t="str">
        <f t="shared" si="184"/>
        <v/>
      </c>
    </row>
    <row r="1414" spans="159:168">
      <c r="FC1414" s="118">
        <v>1411</v>
      </c>
      <c r="FD1414" s="118">
        <f t="shared" si="180"/>
        <v>3</v>
      </c>
      <c r="FE1414" s="118">
        <f t="shared" si="181"/>
        <v>89</v>
      </c>
      <c r="FF1414" s="118" t="str">
        <f t="shared" si="182"/>
        <v/>
      </c>
      <c r="FI1414" s="16">
        <v>1411</v>
      </c>
      <c r="FJ1414" s="17" t="str">
        <f t="shared" si="183"/>
        <v/>
      </c>
      <c r="FK1414" s="17" t="str">
        <f t="shared" si="185"/>
        <v/>
      </c>
      <c r="FL1414" s="18" t="str">
        <f t="shared" si="184"/>
        <v/>
      </c>
    </row>
    <row r="1415" spans="159:168">
      <c r="FC1415" s="118">
        <v>1412</v>
      </c>
      <c r="FD1415" s="118">
        <f t="shared" si="180"/>
        <v>4</v>
      </c>
      <c r="FE1415" s="118">
        <f t="shared" si="181"/>
        <v>89</v>
      </c>
      <c r="FF1415" s="118" t="str">
        <f t="shared" si="182"/>
        <v/>
      </c>
      <c r="FI1415" s="16">
        <v>1412</v>
      </c>
      <c r="FJ1415" s="17" t="str">
        <f t="shared" si="183"/>
        <v/>
      </c>
      <c r="FK1415" s="17" t="str">
        <f t="shared" si="185"/>
        <v/>
      </c>
      <c r="FL1415" s="18" t="str">
        <f t="shared" si="184"/>
        <v/>
      </c>
    </row>
    <row r="1416" spans="159:168">
      <c r="FC1416" s="118">
        <v>1413</v>
      </c>
      <c r="FD1416" s="118">
        <f t="shared" si="180"/>
        <v>5</v>
      </c>
      <c r="FE1416" s="118">
        <f t="shared" si="181"/>
        <v>89</v>
      </c>
      <c r="FF1416" s="118" t="str">
        <f t="shared" si="182"/>
        <v/>
      </c>
      <c r="FI1416" s="16">
        <v>1413</v>
      </c>
      <c r="FJ1416" s="17" t="str">
        <f t="shared" si="183"/>
        <v/>
      </c>
      <c r="FK1416" s="17" t="str">
        <f t="shared" si="185"/>
        <v/>
      </c>
      <c r="FL1416" s="18" t="str">
        <f t="shared" si="184"/>
        <v/>
      </c>
    </row>
    <row r="1417" spans="159:168">
      <c r="FC1417" s="118">
        <v>1414</v>
      </c>
      <c r="FD1417" s="118">
        <f t="shared" si="180"/>
        <v>6</v>
      </c>
      <c r="FE1417" s="118">
        <f t="shared" si="181"/>
        <v>89</v>
      </c>
      <c r="FF1417" s="118" t="str">
        <f t="shared" si="182"/>
        <v/>
      </c>
      <c r="FI1417" s="16">
        <v>1414</v>
      </c>
      <c r="FJ1417" s="17" t="str">
        <f t="shared" si="183"/>
        <v/>
      </c>
      <c r="FK1417" s="17" t="str">
        <f t="shared" si="185"/>
        <v/>
      </c>
      <c r="FL1417" s="18" t="str">
        <f t="shared" si="184"/>
        <v/>
      </c>
    </row>
    <row r="1418" spans="159:168">
      <c r="FC1418" s="118">
        <v>1415</v>
      </c>
      <c r="FD1418" s="118">
        <f t="shared" si="180"/>
        <v>7</v>
      </c>
      <c r="FE1418" s="118">
        <f t="shared" si="181"/>
        <v>89</v>
      </c>
      <c r="FF1418" s="118" t="str">
        <f t="shared" si="182"/>
        <v/>
      </c>
      <c r="FI1418" s="16">
        <v>1415</v>
      </c>
      <c r="FJ1418" s="17" t="str">
        <f t="shared" si="183"/>
        <v/>
      </c>
      <c r="FK1418" s="17" t="str">
        <f t="shared" si="185"/>
        <v/>
      </c>
      <c r="FL1418" s="18" t="str">
        <f t="shared" si="184"/>
        <v/>
      </c>
    </row>
    <row r="1419" spans="159:168">
      <c r="FC1419" s="118">
        <v>1416</v>
      </c>
      <c r="FD1419" s="118">
        <f t="shared" si="180"/>
        <v>8</v>
      </c>
      <c r="FE1419" s="118">
        <f t="shared" si="181"/>
        <v>89</v>
      </c>
      <c r="FF1419" s="118" t="str">
        <f t="shared" si="182"/>
        <v/>
      </c>
      <c r="FI1419" s="16">
        <v>1416</v>
      </c>
      <c r="FJ1419" s="17" t="str">
        <f t="shared" si="183"/>
        <v/>
      </c>
      <c r="FK1419" s="17" t="str">
        <f t="shared" si="185"/>
        <v/>
      </c>
      <c r="FL1419" s="18" t="str">
        <f t="shared" si="184"/>
        <v/>
      </c>
    </row>
    <row r="1420" spans="159:168">
      <c r="FC1420" s="118">
        <v>1417</v>
      </c>
      <c r="FD1420" s="118">
        <f t="shared" si="180"/>
        <v>9</v>
      </c>
      <c r="FE1420" s="118">
        <f t="shared" si="181"/>
        <v>89</v>
      </c>
      <c r="FF1420" s="118" t="str">
        <f t="shared" si="182"/>
        <v/>
      </c>
      <c r="FI1420" s="16">
        <v>1417</v>
      </c>
      <c r="FJ1420" s="17" t="str">
        <f t="shared" si="183"/>
        <v/>
      </c>
      <c r="FK1420" s="17" t="str">
        <f t="shared" si="185"/>
        <v/>
      </c>
      <c r="FL1420" s="18" t="str">
        <f t="shared" si="184"/>
        <v/>
      </c>
    </row>
    <row r="1421" spans="159:168">
      <c r="FC1421" s="118">
        <v>1418</v>
      </c>
      <c r="FD1421" s="118">
        <f t="shared" si="180"/>
        <v>10</v>
      </c>
      <c r="FE1421" s="118">
        <f t="shared" si="181"/>
        <v>89</v>
      </c>
      <c r="FF1421" s="118" t="str">
        <f t="shared" si="182"/>
        <v/>
      </c>
      <c r="FI1421" s="16">
        <v>1418</v>
      </c>
      <c r="FJ1421" s="17" t="str">
        <f t="shared" si="183"/>
        <v/>
      </c>
      <c r="FK1421" s="17" t="str">
        <f t="shared" si="185"/>
        <v/>
      </c>
      <c r="FL1421" s="18" t="str">
        <f t="shared" si="184"/>
        <v/>
      </c>
    </row>
    <row r="1422" spans="159:168">
      <c r="FC1422" s="118">
        <v>1419</v>
      </c>
      <c r="FD1422" s="118">
        <f t="shared" si="180"/>
        <v>11</v>
      </c>
      <c r="FE1422" s="118">
        <f t="shared" si="181"/>
        <v>89</v>
      </c>
      <c r="FF1422" s="118" t="str">
        <f t="shared" si="182"/>
        <v/>
      </c>
      <c r="FI1422" s="16">
        <v>1419</v>
      </c>
      <c r="FJ1422" s="17" t="str">
        <f t="shared" si="183"/>
        <v/>
      </c>
      <c r="FK1422" s="17" t="str">
        <f t="shared" si="185"/>
        <v/>
      </c>
      <c r="FL1422" s="18" t="str">
        <f t="shared" si="184"/>
        <v/>
      </c>
    </row>
    <row r="1423" spans="159:168">
      <c r="FC1423" s="118">
        <v>1420</v>
      </c>
      <c r="FD1423" s="118">
        <f t="shared" si="180"/>
        <v>12</v>
      </c>
      <c r="FE1423" s="118">
        <f t="shared" si="181"/>
        <v>89</v>
      </c>
      <c r="FF1423" s="118" t="str">
        <f t="shared" si="182"/>
        <v/>
      </c>
      <c r="FI1423" s="16">
        <v>1420</v>
      </c>
      <c r="FJ1423" s="17" t="str">
        <f t="shared" si="183"/>
        <v/>
      </c>
      <c r="FK1423" s="17" t="str">
        <f t="shared" si="185"/>
        <v/>
      </c>
      <c r="FL1423" s="18" t="str">
        <f t="shared" si="184"/>
        <v/>
      </c>
    </row>
    <row r="1424" spans="159:168">
      <c r="FC1424" s="118">
        <v>1421</v>
      </c>
      <c r="FD1424" s="118">
        <f t="shared" si="180"/>
        <v>13</v>
      </c>
      <c r="FE1424" s="118">
        <f t="shared" si="181"/>
        <v>89</v>
      </c>
      <c r="FF1424" s="118" t="str">
        <f t="shared" si="182"/>
        <v/>
      </c>
      <c r="FI1424" s="16">
        <v>1421</v>
      </c>
      <c r="FJ1424" s="17" t="str">
        <f t="shared" si="183"/>
        <v/>
      </c>
      <c r="FK1424" s="17" t="str">
        <f t="shared" si="185"/>
        <v/>
      </c>
      <c r="FL1424" s="18" t="str">
        <f t="shared" si="184"/>
        <v/>
      </c>
    </row>
    <row r="1425" spans="159:168">
      <c r="FC1425" s="118">
        <v>1422</v>
      </c>
      <c r="FD1425" s="118">
        <f t="shared" si="180"/>
        <v>14</v>
      </c>
      <c r="FE1425" s="118">
        <f t="shared" si="181"/>
        <v>89</v>
      </c>
      <c r="FF1425" s="118" t="str">
        <f t="shared" si="182"/>
        <v/>
      </c>
      <c r="FI1425" s="16">
        <v>1422</v>
      </c>
      <c r="FJ1425" s="17" t="str">
        <f t="shared" si="183"/>
        <v/>
      </c>
      <c r="FK1425" s="17" t="str">
        <f t="shared" si="185"/>
        <v/>
      </c>
      <c r="FL1425" s="18" t="str">
        <f t="shared" si="184"/>
        <v/>
      </c>
    </row>
    <row r="1426" spans="159:168">
      <c r="FC1426" s="118">
        <v>1423</v>
      </c>
      <c r="FD1426" s="118">
        <f t="shared" si="180"/>
        <v>15</v>
      </c>
      <c r="FE1426" s="118">
        <f t="shared" si="181"/>
        <v>89</v>
      </c>
      <c r="FF1426" s="118" t="str">
        <f t="shared" si="182"/>
        <v/>
      </c>
      <c r="FI1426" s="16">
        <v>1423</v>
      </c>
      <c r="FJ1426" s="17" t="str">
        <f t="shared" si="183"/>
        <v/>
      </c>
      <c r="FK1426" s="17" t="str">
        <f t="shared" si="185"/>
        <v/>
      </c>
      <c r="FL1426" s="18" t="str">
        <f t="shared" si="184"/>
        <v/>
      </c>
    </row>
    <row r="1427" spans="159:168">
      <c r="FC1427" s="118">
        <v>1424</v>
      </c>
      <c r="FD1427" s="118">
        <f t="shared" si="180"/>
        <v>16</v>
      </c>
      <c r="FE1427" s="118">
        <f t="shared" si="181"/>
        <v>89</v>
      </c>
      <c r="FF1427" s="118" t="str">
        <f t="shared" si="182"/>
        <v/>
      </c>
      <c r="FI1427" s="16">
        <v>1424</v>
      </c>
      <c r="FJ1427" s="17" t="str">
        <f t="shared" si="183"/>
        <v/>
      </c>
      <c r="FK1427" s="17" t="str">
        <f t="shared" si="185"/>
        <v/>
      </c>
      <c r="FL1427" s="18" t="str">
        <f t="shared" si="184"/>
        <v/>
      </c>
    </row>
    <row r="1428" spans="159:168">
      <c r="FC1428" s="118">
        <v>1425</v>
      </c>
      <c r="FD1428" s="118">
        <f t="shared" si="180"/>
        <v>1</v>
      </c>
      <c r="FE1428" s="118">
        <f t="shared" si="181"/>
        <v>90</v>
      </c>
      <c r="FF1428" s="118" t="str">
        <f t="shared" si="182"/>
        <v/>
      </c>
      <c r="FI1428" s="16">
        <v>1425</v>
      </c>
      <c r="FJ1428" s="17" t="str">
        <f t="shared" si="183"/>
        <v/>
      </c>
      <c r="FK1428" s="17" t="str">
        <f t="shared" si="185"/>
        <v/>
      </c>
      <c r="FL1428" s="18" t="str">
        <f t="shared" si="184"/>
        <v/>
      </c>
    </row>
    <row r="1429" spans="159:168">
      <c r="FC1429" s="118">
        <v>1426</v>
      </c>
      <c r="FD1429" s="118">
        <f t="shared" si="180"/>
        <v>2</v>
      </c>
      <c r="FE1429" s="118">
        <f t="shared" si="181"/>
        <v>90</v>
      </c>
      <c r="FF1429" s="118" t="str">
        <f t="shared" si="182"/>
        <v/>
      </c>
      <c r="FI1429" s="16">
        <v>1426</v>
      </c>
      <c r="FJ1429" s="17" t="str">
        <f t="shared" si="183"/>
        <v/>
      </c>
      <c r="FK1429" s="17" t="str">
        <f t="shared" si="185"/>
        <v/>
      </c>
      <c r="FL1429" s="18" t="str">
        <f t="shared" si="184"/>
        <v/>
      </c>
    </row>
    <row r="1430" spans="159:168">
      <c r="FC1430" s="118">
        <v>1427</v>
      </c>
      <c r="FD1430" s="118">
        <f t="shared" ref="FD1430:FD1493" si="186">IF(MOD(FC1430,$FB$1+$FB$2)=0,$FB$1+$FB$2,MOD(FC1430,$FB$1+$FB$2))</f>
        <v>3</v>
      </c>
      <c r="FE1430" s="118">
        <f t="shared" ref="FE1430:FE1493" si="187">ROUNDUP(FC1430/($FB$1+$FB$2),0)</f>
        <v>90</v>
      </c>
      <c r="FF1430" s="118" t="str">
        <f t="shared" ref="FF1430:FF1493" si="188">IF(FE1430&lt;$FB$3,INDEX($E$4:$DV$84,FD1430,FE1430),IF(FE1430=$FB$3,INDEX($E$4:$DV$84,FD1430+$FB$1,FE1430),""))</f>
        <v/>
      </c>
      <c r="FI1430" s="16">
        <v>1427</v>
      </c>
      <c r="FJ1430" s="17" t="str">
        <f t="shared" ref="FJ1430:FJ1493" si="189">IF(FE1430&lt;=$FH$1,INDEX($DW$4:$EZ$84,FD1430,FE1430),"")</f>
        <v/>
      </c>
      <c r="FK1430" s="17" t="str">
        <f t="shared" si="185"/>
        <v/>
      </c>
      <c r="FL1430" s="18" t="str">
        <f t="shared" ref="FL1430:FL1493" si="190">IFERROR(TEXT(DEC2BIN(FK1430),"00000000"),"")</f>
        <v/>
      </c>
    </row>
    <row r="1431" spans="159:168">
      <c r="FC1431" s="118">
        <v>1428</v>
      </c>
      <c r="FD1431" s="118">
        <f t="shared" si="186"/>
        <v>4</v>
      </c>
      <c r="FE1431" s="118">
        <f t="shared" si="187"/>
        <v>90</v>
      </c>
      <c r="FF1431" s="118" t="str">
        <f t="shared" si="188"/>
        <v/>
      </c>
      <c r="FI1431" s="16">
        <v>1428</v>
      </c>
      <c r="FJ1431" s="17" t="str">
        <f t="shared" si="189"/>
        <v/>
      </c>
      <c r="FK1431" s="17" t="str">
        <f t="shared" si="185"/>
        <v/>
      </c>
      <c r="FL1431" s="18" t="str">
        <f t="shared" si="190"/>
        <v/>
      </c>
    </row>
    <row r="1432" spans="159:168">
      <c r="FC1432" s="118">
        <v>1429</v>
      </c>
      <c r="FD1432" s="118">
        <f t="shared" si="186"/>
        <v>5</v>
      </c>
      <c r="FE1432" s="118">
        <f t="shared" si="187"/>
        <v>90</v>
      </c>
      <c r="FF1432" s="118" t="str">
        <f t="shared" si="188"/>
        <v/>
      </c>
      <c r="FI1432" s="16">
        <v>1429</v>
      </c>
      <c r="FJ1432" s="17" t="str">
        <f t="shared" si="189"/>
        <v/>
      </c>
      <c r="FK1432" s="17" t="str">
        <f t="shared" si="185"/>
        <v/>
      </c>
      <c r="FL1432" s="18" t="str">
        <f t="shared" si="190"/>
        <v/>
      </c>
    </row>
    <row r="1433" spans="159:168">
      <c r="FC1433" s="118">
        <v>1430</v>
      </c>
      <c r="FD1433" s="118">
        <f t="shared" si="186"/>
        <v>6</v>
      </c>
      <c r="FE1433" s="118">
        <f t="shared" si="187"/>
        <v>90</v>
      </c>
      <c r="FF1433" s="118" t="str">
        <f t="shared" si="188"/>
        <v/>
      </c>
      <c r="FI1433" s="16">
        <v>1430</v>
      </c>
      <c r="FJ1433" s="17" t="str">
        <f t="shared" si="189"/>
        <v/>
      </c>
      <c r="FK1433" s="17" t="str">
        <f t="shared" si="185"/>
        <v/>
      </c>
      <c r="FL1433" s="18" t="str">
        <f t="shared" si="190"/>
        <v/>
      </c>
    </row>
    <row r="1434" spans="159:168">
      <c r="FC1434" s="118">
        <v>1431</v>
      </c>
      <c r="FD1434" s="118">
        <f t="shared" si="186"/>
        <v>7</v>
      </c>
      <c r="FE1434" s="118">
        <f t="shared" si="187"/>
        <v>90</v>
      </c>
      <c r="FF1434" s="118" t="str">
        <f t="shared" si="188"/>
        <v/>
      </c>
      <c r="FI1434" s="16">
        <v>1431</v>
      </c>
      <c r="FJ1434" s="17" t="str">
        <f t="shared" si="189"/>
        <v/>
      </c>
      <c r="FK1434" s="17" t="str">
        <f t="shared" si="185"/>
        <v/>
      </c>
      <c r="FL1434" s="18" t="str">
        <f t="shared" si="190"/>
        <v/>
      </c>
    </row>
    <row r="1435" spans="159:168">
      <c r="FC1435" s="118">
        <v>1432</v>
      </c>
      <c r="FD1435" s="118">
        <f t="shared" si="186"/>
        <v>8</v>
      </c>
      <c r="FE1435" s="118">
        <f t="shared" si="187"/>
        <v>90</v>
      </c>
      <c r="FF1435" s="118" t="str">
        <f t="shared" si="188"/>
        <v/>
      </c>
      <c r="FI1435" s="16">
        <v>1432</v>
      </c>
      <c r="FJ1435" s="17" t="str">
        <f t="shared" si="189"/>
        <v/>
      </c>
      <c r="FK1435" s="17" t="str">
        <f t="shared" si="185"/>
        <v/>
      </c>
      <c r="FL1435" s="18" t="str">
        <f t="shared" si="190"/>
        <v/>
      </c>
    </row>
    <row r="1436" spans="159:168">
      <c r="FC1436" s="118">
        <v>1433</v>
      </c>
      <c r="FD1436" s="118">
        <f t="shared" si="186"/>
        <v>9</v>
      </c>
      <c r="FE1436" s="118">
        <f t="shared" si="187"/>
        <v>90</v>
      </c>
      <c r="FF1436" s="118" t="str">
        <f t="shared" si="188"/>
        <v/>
      </c>
      <c r="FI1436" s="16">
        <v>1433</v>
      </c>
      <c r="FJ1436" s="17" t="str">
        <f t="shared" si="189"/>
        <v/>
      </c>
      <c r="FK1436" s="17" t="str">
        <f t="shared" si="185"/>
        <v/>
      </c>
      <c r="FL1436" s="18" t="str">
        <f t="shared" si="190"/>
        <v/>
      </c>
    </row>
    <row r="1437" spans="159:168">
      <c r="FC1437" s="118">
        <v>1434</v>
      </c>
      <c r="FD1437" s="118">
        <f t="shared" si="186"/>
        <v>10</v>
      </c>
      <c r="FE1437" s="118">
        <f t="shared" si="187"/>
        <v>90</v>
      </c>
      <c r="FF1437" s="118" t="str">
        <f t="shared" si="188"/>
        <v/>
      </c>
      <c r="FI1437" s="16">
        <v>1434</v>
      </c>
      <c r="FJ1437" s="17" t="str">
        <f t="shared" si="189"/>
        <v/>
      </c>
      <c r="FK1437" s="17" t="str">
        <f t="shared" si="185"/>
        <v/>
      </c>
      <c r="FL1437" s="18" t="str">
        <f t="shared" si="190"/>
        <v/>
      </c>
    </row>
    <row r="1438" spans="159:168">
      <c r="FC1438" s="118">
        <v>1435</v>
      </c>
      <c r="FD1438" s="118">
        <f t="shared" si="186"/>
        <v>11</v>
      </c>
      <c r="FE1438" s="118">
        <f t="shared" si="187"/>
        <v>90</v>
      </c>
      <c r="FF1438" s="118" t="str">
        <f t="shared" si="188"/>
        <v/>
      </c>
      <c r="FI1438" s="16">
        <v>1435</v>
      </c>
      <c r="FJ1438" s="17" t="str">
        <f t="shared" si="189"/>
        <v/>
      </c>
      <c r="FK1438" s="17" t="str">
        <f t="shared" si="185"/>
        <v/>
      </c>
      <c r="FL1438" s="18" t="str">
        <f t="shared" si="190"/>
        <v/>
      </c>
    </row>
    <row r="1439" spans="159:168">
      <c r="FC1439" s="118">
        <v>1436</v>
      </c>
      <c r="FD1439" s="118">
        <f t="shared" si="186"/>
        <v>12</v>
      </c>
      <c r="FE1439" s="118">
        <f t="shared" si="187"/>
        <v>90</v>
      </c>
      <c r="FF1439" s="118" t="str">
        <f t="shared" si="188"/>
        <v/>
      </c>
      <c r="FI1439" s="16">
        <v>1436</v>
      </c>
      <c r="FJ1439" s="17" t="str">
        <f t="shared" si="189"/>
        <v/>
      </c>
      <c r="FK1439" s="17" t="str">
        <f t="shared" si="185"/>
        <v/>
      </c>
      <c r="FL1439" s="18" t="str">
        <f t="shared" si="190"/>
        <v/>
      </c>
    </row>
    <row r="1440" spans="159:168">
      <c r="FC1440" s="118">
        <v>1437</v>
      </c>
      <c r="FD1440" s="118">
        <f t="shared" si="186"/>
        <v>13</v>
      </c>
      <c r="FE1440" s="118">
        <f t="shared" si="187"/>
        <v>90</v>
      </c>
      <c r="FF1440" s="118" t="str">
        <f t="shared" si="188"/>
        <v/>
      </c>
      <c r="FI1440" s="16">
        <v>1437</v>
      </c>
      <c r="FJ1440" s="17" t="str">
        <f t="shared" si="189"/>
        <v/>
      </c>
      <c r="FK1440" s="17" t="str">
        <f t="shared" si="185"/>
        <v/>
      </c>
      <c r="FL1440" s="18" t="str">
        <f t="shared" si="190"/>
        <v/>
      </c>
    </row>
    <row r="1441" spans="159:168">
      <c r="FC1441" s="118">
        <v>1438</v>
      </c>
      <c r="FD1441" s="118">
        <f t="shared" si="186"/>
        <v>14</v>
      </c>
      <c r="FE1441" s="118">
        <f t="shared" si="187"/>
        <v>90</v>
      </c>
      <c r="FF1441" s="118" t="str">
        <f t="shared" si="188"/>
        <v/>
      </c>
      <c r="FI1441" s="16">
        <v>1438</v>
      </c>
      <c r="FJ1441" s="17" t="str">
        <f t="shared" si="189"/>
        <v/>
      </c>
      <c r="FK1441" s="17" t="str">
        <f t="shared" si="185"/>
        <v/>
      </c>
      <c r="FL1441" s="18" t="str">
        <f t="shared" si="190"/>
        <v/>
      </c>
    </row>
    <row r="1442" spans="159:168">
      <c r="FC1442" s="118">
        <v>1439</v>
      </c>
      <c r="FD1442" s="118">
        <f t="shared" si="186"/>
        <v>15</v>
      </c>
      <c r="FE1442" s="118">
        <f t="shared" si="187"/>
        <v>90</v>
      </c>
      <c r="FF1442" s="118" t="str">
        <f t="shared" si="188"/>
        <v/>
      </c>
      <c r="FI1442" s="16">
        <v>1439</v>
      </c>
      <c r="FJ1442" s="17" t="str">
        <f t="shared" si="189"/>
        <v/>
      </c>
      <c r="FK1442" s="17" t="str">
        <f t="shared" si="185"/>
        <v/>
      </c>
      <c r="FL1442" s="18" t="str">
        <f t="shared" si="190"/>
        <v/>
      </c>
    </row>
    <row r="1443" spans="159:168">
      <c r="FC1443" s="118">
        <v>1440</v>
      </c>
      <c r="FD1443" s="118">
        <f t="shared" si="186"/>
        <v>16</v>
      </c>
      <c r="FE1443" s="118">
        <f t="shared" si="187"/>
        <v>90</v>
      </c>
      <c r="FF1443" s="118" t="str">
        <f t="shared" si="188"/>
        <v/>
      </c>
      <c r="FI1443" s="16">
        <v>1440</v>
      </c>
      <c r="FJ1443" s="17" t="str">
        <f t="shared" si="189"/>
        <v/>
      </c>
      <c r="FK1443" s="17" t="str">
        <f t="shared" si="185"/>
        <v/>
      </c>
      <c r="FL1443" s="18" t="str">
        <f t="shared" si="190"/>
        <v/>
      </c>
    </row>
    <row r="1444" spans="159:168">
      <c r="FC1444" s="118">
        <v>1441</v>
      </c>
      <c r="FD1444" s="118">
        <f t="shared" si="186"/>
        <v>1</v>
      </c>
      <c r="FE1444" s="118">
        <f t="shared" si="187"/>
        <v>91</v>
      </c>
      <c r="FF1444" s="118" t="str">
        <f t="shared" si="188"/>
        <v/>
      </c>
      <c r="FI1444" s="16">
        <v>1441</v>
      </c>
      <c r="FJ1444" s="17" t="str">
        <f t="shared" si="189"/>
        <v/>
      </c>
      <c r="FK1444" s="17" t="str">
        <f t="shared" si="185"/>
        <v/>
      </c>
      <c r="FL1444" s="18" t="str">
        <f t="shared" si="190"/>
        <v/>
      </c>
    </row>
    <row r="1445" spans="159:168">
      <c r="FC1445" s="118">
        <v>1442</v>
      </c>
      <c r="FD1445" s="118">
        <f t="shared" si="186"/>
        <v>2</v>
      </c>
      <c r="FE1445" s="118">
        <f t="shared" si="187"/>
        <v>91</v>
      </c>
      <c r="FF1445" s="118" t="str">
        <f t="shared" si="188"/>
        <v/>
      </c>
      <c r="FI1445" s="16">
        <v>1442</v>
      </c>
      <c r="FJ1445" s="17" t="str">
        <f t="shared" si="189"/>
        <v/>
      </c>
      <c r="FK1445" s="17" t="str">
        <f t="shared" si="185"/>
        <v/>
      </c>
      <c r="FL1445" s="18" t="str">
        <f t="shared" si="190"/>
        <v/>
      </c>
    </row>
    <row r="1446" spans="159:168">
      <c r="FC1446" s="118">
        <v>1443</v>
      </c>
      <c r="FD1446" s="118">
        <f t="shared" si="186"/>
        <v>3</v>
      </c>
      <c r="FE1446" s="118">
        <f t="shared" si="187"/>
        <v>91</v>
      </c>
      <c r="FF1446" s="118" t="str">
        <f t="shared" si="188"/>
        <v/>
      </c>
      <c r="FI1446" s="16">
        <v>1443</v>
      </c>
      <c r="FJ1446" s="17" t="str">
        <f t="shared" si="189"/>
        <v/>
      </c>
      <c r="FK1446" s="17" t="str">
        <f t="shared" si="185"/>
        <v/>
      </c>
      <c r="FL1446" s="18" t="str">
        <f t="shared" si="190"/>
        <v/>
      </c>
    </row>
    <row r="1447" spans="159:168">
      <c r="FC1447" s="118">
        <v>1444</v>
      </c>
      <c r="FD1447" s="118">
        <f t="shared" si="186"/>
        <v>4</v>
      </c>
      <c r="FE1447" s="118">
        <f t="shared" si="187"/>
        <v>91</v>
      </c>
      <c r="FF1447" s="118" t="str">
        <f t="shared" si="188"/>
        <v/>
      </c>
      <c r="FI1447" s="16">
        <v>1444</v>
      </c>
      <c r="FJ1447" s="17" t="str">
        <f t="shared" si="189"/>
        <v/>
      </c>
      <c r="FK1447" s="17" t="str">
        <f t="shared" si="185"/>
        <v/>
      </c>
      <c r="FL1447" s="18" t="str">
        <f t="shared" si="190"/>
        <v/>
      </c>
    </row>
    <row r="1448" spans="159:168">
      <c r="FC1448" s="118">
        <v>1445</v>
      </c>
      <c r="FD1448" s="118">
        <f t="shared" si="186"/>
        <v>5</v>
      </c>
      <c r="FE1448" s="118">
        <f t="shared" si="187"/>
        <v>91</v>
      </c>
      <c r="FF1448" s="118" t="str">
        <f t="shared" si="188"/>
        <v/>
      </c>
      <c r="FI1448" s="16">
        <v>1445</v>
      </c>
      <c r="FJ1448" s="17" t="str">
        <f t="shared" si="189"/>
        <v/>
      </c>
      <c r="FK1448" s="17" t="str">
        <f t="shared" si="185"/>
        <v/>
      </c>
      <c r="FL1448" s="18" t="str">
        <f t="shared" si="190"/>
        <v/>
      </c>
    </row>
    <row r="1449" spans="159:168">
      <c r="FC1449" s="118">
        <v>1446</v>
      </c>
      <c r="FD1449" s="118">
        <f t="shared" si="186"/>
        <v>6</v>
      </c>
      <c r="FE1449" s="118">
        <f t="shared" si="187"/>
        <v>91</v>
      </c>
      <c r="FF1449" s="118" t="str">
        <f t="shared" si="188"/>
        <v/>
      </c>
      <c r="FI1449" s="16">
        <v>1446</v>
      </c>
      <c r="FJ1449" s="17" t="str">
        <f t="shared" si="189"/>
        <v/>
      </c>
      <c r="FK1449" s="17" t="str">
        <f t="shared" si="185"/>
        <v/>
      </c>
      <c r="FL1449" s="18" t="str">
        <f t="shared" si="190"/>
        <v/>
      </c>
    </row>
    <row r="1450" spans="159:168">
      <c r="FC1450" s="118">
        <v>1447</v>
      </c>
      <c r="FD1450" s="118">
        <f t="shared" si="186"/>
        <v>7</v>
      </c>
      <c r="FE1450" s="118">
        <f t="shared" si="187"/>
        <v>91</v>
      </c>
      <c r="FF1450" s="118" t="str">
        <f t="shared" si="188"/>
        <v/>
      </c>
      <c r="FI1450" s="16">
        <v>1447</v>
      </c>
      <c r="FJ1450" s="17" t="str">
        <f t="shared" si="189"/>
        <v/>
      </c>
      <c r="FK1450" s="17" t="str">
        <f t="shared" si="185"/>
        <v/>
      </c>
      <c r="FL1450" s="18" t="str">
        <f t="shared" si="190"/>
        <v/>
      </c>
    </row>
    <row r="1451" spans="159:168">
      <c r="FC1451" s="118">
        <v>1448</v>
      </c>
      <c r="FD1451" s="118">
        <f t="shared" si="186"/>
        <v>8</v>
      </c>
      <c r="FE1451" s="118">
        <f t="shared" si="187"/>
        <v>91</v>
      </c>
      <c r="FF1451" s="118" t="str">
        <f t="shared" si="188"/>
        <v/>
      </c>
      <c r="FI1451" s="16">
        <v>1448</v>
      </c>
      <c r="FJ1451" s="17" t="str">
        <f t="shared" si="189"/>
        <v/>
      </c>
      <c r="FK1451" s="17" t="str">
        <f t="shared" si="185"/>
        <v/>
      </c>
      <c r="FL1451" s="18" t="str">
        <f t="shared" si="190"/>
        <v/>
      </c>
    </row>
    <row r="1452" spans="159:168">
      <c r="FC1452" s="118">
        <v>1449</v>
      </c>
      <c r="FD1452" s="118">
        <f t="shared" si="186"/>
        <v>9</v>
      </c>
      <c r="FE1452" s="118">
        <f t="shared" si="187"/>
        <v>91</v>
      </c>
      <c r="FF1452" s="118" t="str">
        <f t="shared" si="188"/>
        <v/>
      </c>
      <c r="FI1452" s="16">
        <v>1449</v>
      </c>
      <c r="FJ1452" s="17" t="str">
        <f t="shared" si="189"/>
        <v/>
      </c>
      <c r="FK1452" s="17" t="str">
        <f t="shared" si="185"/>
        <v/>
      </c>
      <c r="FL1452" s="18" t="str">
        <f t="shared" si="190"/>
        <v/>
      </c>
    </row>
    <row r="1453" spans="159:168">
      <c r="FC1453" s="118">
        <v>1450</v>
      </c>
      <c r="FD1453" s="118">
        <f t="shared" si="186"/>
        <v>10</v>
      </c>
      <c r="FE1453" s="118">
        <f t="shared" si="187"/>
        <v>91</v>
      </c>
      <c r="FF1453" s="118" t="str">
        <f t="shared" si="188"/>
        <v/>
      </c>
      <c r="FI1453" s="16">
        <v>1450</v>
      </c>
      <c r="FJ1453" s="17" t="str">
        <f t="shared" si="189"/>
        <v/>
      </c>
      <c r="FK1453" s="17" t="str">
        <f t="shared" si="185"/>
        <v/>
      </c>
      <c r="FL1453" s="18" t="str">
        <f t="shared" si="190"/>
        <v/>
      </c>
    </row>
    <row r="1454" spans="159:168">
      <c r="FC1454" s="118">
        <v>1451</v>
      </c>
      <c r="FD1454" s="118">
        <f t="shared" si="186"/>
        <v>11</v>
      </c>
      <c r="FE1454" s="118">
        <f t="shared" si="187"/>
        <v>91</v>
      </c>
      <c r="FF1454" s="118" t="str">
        <f t="shared" si="188"/>
        <v/>
      </c>
      <c r="FI1454" s="16">
        <v>1451</v>
      </c>
      <c r="FJ1454" s="17" t="str">
        <f t="shared" si="189"/>
        <v/>
      </c>
      <c r="FK1454" s="17" t="str">
        <f t="shared" si="185"/>
        <v/>
      </c>
      <c r="FL1454" s="18" t="str">
        <f t="shared" si="190"/>
        <v/>
      </c>
    </row>
    <row r="1455" spans="159:168">
      <c r="FC1455" s="118">
        <v>1452</v>
      </c>
      <c r="FD1455" s="118">
        <f t="shared" si="186"/>
        <v>12</v>
      </c>
      <c r="FE1455" s="118">
        <f t="shared" si="187"/>
        <v>91</v>
      </c>
      <c r="FF1455" s="118" t="str">
        <f t="shared" si="188"/>
        <v/>
      </c>
      <c r="FI1455" s="16">
        <v>1452</v>
      </c>
      <c r="FJ1455" s="17" t="str">
        <f t="shared" si="189"/>
        <v/>
      </c>
      <c r="FK1455" s="17" t="str">
        <f t="shared" si="185"/>
        <v/>
      </c>
      <c r="FL1455" s="18" t="str">
        <f t="shared" si="190"/>
        <v/>
      </c>
    </row>
    <row r="1456" spans="159:168">
      <c r="FC1456" s="118">
        <v>1453</v>
      </c>
      <c r="FD1456" s="118">
        <f t="shared" si="186"/>
        <v>13</v>
      </c>
      <c r="FE1456" s="118">
        <f t="shared" si="187"/>
        <v>91</v>
      </c>
      <c r="FF1456" s="118" t="str">
        <f t="shared" si="188"/>
        <v/>
      </c>
      <c r="FI1456" s="16">
        <v>1453</v>
      </c>
      <c r="FJ1456" s="17" t="str">
        <f t="shared" si="189"/>
        <v/>
      </c>
      <c r="FK1456" s="17" t="str">
        <f t="shared" si="185"/>
        <v/>
      </c>
      <c r="FL1456" s="18" t="str">
        <f t="shared" si="190"/>
        <v/>
      </c>
    </row>
    <row r="1457" spans="159:168">
      <c r="FC1457" s="118">
        <v>1454</v>
      </c>
      <c r="FD1457" s="118">
        <f t="shared" si="186"/>
        <v>14</v>
      </c>
      <c r="FE1457" s="118">
        <f t="shared" si="187"/>
        <v>91</v>
      </c>
      <c r="FF1457" s="118" t="str">
        <f t="shared" si="188"/>
        <v/>
      </c>
      <c r="FI1457" s="16">
        <v>1454</v>
      </c>
      <c r="FJ1457" s="17" t="str">
        <f t="shared" si="189"/>
        <v/>
      </c>
      <c r="FK1457" s="17" t="str">
        <f t="shared" si="185"/>
        <v/>
      </c>
      <c r="FL1457" s="18" t="str">
        <f t="shared" si="190"/>
        <v/>
      </c>
    </row>
    <row r="1458" spans="159:168">
      <c r="FC1458" s="118">
        <v>1455</v>
      </c>
      <c r="FD1458" s="118">
        <f t="shared" si="186"/>
        <v>15</v>
      </c>
      <c r="FE1458" s="118">
        <f t="shared" si="187"/>
        <v>91</v>
      </c>
      <c r="FF1458" s="118" t="str">
        <f t="shared" si="188"/>
        <v/>
      </c>
      <c r="FI1458" s="16">
        <v>1455</v>
      </c>
      <c r="FJ1458" s="17" t="str">
        <f t="shared" si="189"/>
        <v/>
      </c>
      <c r="FK1458" s="17" t="str">
        <f t="shared" si="185"/>
        <v/>
      </c>
      <c r="FL1458" s="18" t="str">
        <f t="shared" si="190"/>
        <v/>
      </c>
    </row>
    <row r="1459" spans="159:168">
      <c r="FC1459" s="118">
        <v>1456</v>
      </c>
      <c r="FD1459" s="118">
        <f t="shared" si="186"/>
        <v>16</v>
      </c>
      <c r="FE1459" s="118">
        <f t="shared" si="187"/>
        <v>91</v>
      </c>
      <c r="FF1459" s="118" t="str">
        <f t="shared" si="188"/>
        <v/>
      </c>
      <c r="FI1459" s="16">
        <v>1456</v>
      </c>
      <c r="FJ1459" s="17" t="str">
        <f t="shared" si="189"/>
        <v/>
      </c>
      <c r="FK1459" s="17" t="str">
        <f t="shared" si="185"/>
        <v/>
      </c>
      <c r="FL1459" s="18" t="str">
        <f t="shared" si="190"/>
        <v/>
      </c>
    </row>
    <row r="1460" spans="159:168">
      <c r="FC1460" s="118">
        <v>1457</v>
      </c>
      <c r="FD1460" s="118">
        <f t="shared" si="186"/>
        <v>1</v>
      </c>
      <c r="FE1460" s="118">
        <f t="shared" si="187"/>
        <v>92</v>
      </c>
      <c r="FF1460" s="118" t="str">
        <f t="shared" si="188"/>
        <v/>
      </c>
      <c r="FI1460" s="16">
        <v>1457</v>
      </c>
      <c r="FJ1460" s="17" t="str">
        <f t="shared" si="189"/>
        <v/>
      </c>
      <c r="FK1460" s="17" t="str">
        <f t="shared" si="185"/>
        <v/>
      </c>
      <c r="FL1460" s="18" t="str">
        <f t="shared" si="190"/>
        <v/>
      </c>
    </row>
    <row r="1461" spans="159:168">
      <c r="FC1461" s="118">
        <v>1458</v>
      </c>
      <c r="FD1461" s="118">
        <f t="shared" si="186"/>
        <v>2</v>
      </c>
      <c r="FE1461" s="118">
        <f t="shared" si="187"/>
        <v>92</v>
      </c>
      <c r="FF1461" s="118" t="str">
        <f t="shared" si="188"/>
        <v/>
      </c>
      <c r="FI1461" s="16">
        <v>1458</v>
      </c>
      <c r="FJ1461" s="17" t="str">
        <f t="shared" si="189"/>
        <v/>
      </c>
      <c r="FK1461" s="17" t="str">
        <f t="shared" si="185"/>
        <v/>
      </c>
      <c r="FL1461" s="18" t="str">
        <f t="shared" si="190"/>
        <v/>
      </c>
    </row>
    <row r="1462" spans="159:168">
      <c r="FC1462" s="118">
        <v>1459</v>
      </c>
      <c r="FD1462" s="118">
        <f t="shared" si="186"/>
        <v>3</v>
      </c>
      <c r="FE1462" s="118">
        <f t="shared" si="187"/>
        <v>92</v>
      </c>
      <c r="FF1462" s="118" t="str">
        <f t="shared" si="188"/>
        <v/>
      </c>
      <c r="FI1462" s="16">
        <v>1459</v>
      </c>
      <c r="FJ1462" s="17" t="str">
        <f t="shared" si="189"/>
        <v/>
      </c>
      <c r="FK1462" s="17" t="str">
        <f t="shared" si="185"/>
        <v/>
      </c>
      <c r="FL1462" s="18" t="str">
        <f t="shared" si="190"/>
        <v/>
      </c>
    </row>
    <row r="1463" spans="159:168">
      <c r="FC1463" s="118">
        <v>1460</v>
      </c>
      <c r="FD1463" s="118">
        <f t="shared" si="186"/>
        <v>4</v>
      </c>
      <c r="FE1463" s="118">
        <f t="shared" si="187"/>
        <v>92</v>
      </c>
      <c r="FF1463" s="118" t="str">
        <f t="shared" si="188"/>
        <v/>
      </c>
      <c r="FI1463" s="16">
        <v>1460</v>
      </c>
      <c r="FJ1463" s="17" t="str">
        <f t="shared" si="189"/>
        <v/>
      </c>
      <c r="FK1463" s="17" t="str">
        <f t="shared" si="185"/>
        <v/>
      </c>
      <c r="FL1463" s="18" t="str">
        <f t="shared" si="190"/>
        <v/>
      </c>
    </row>
    <row r="1464" spans="159:168">
      <c r="FC1464" s="118">
        <v>1461</v>
      </c>
      <c r="FD1464" s="118">
        <f t="shared" si="186"/>
        <v>5</v>
      </c>
      <c r="FE1464" s="118">
        <f t="shared" si="187"/>
        <v>92</v>
      </c>
      <c r="FF1464" s="118" t="str">
        <f t="shared" si="188"/>
        <v/>
      </c>
      <c r="FI1464" s="16">
        <v>1461</v>
      </c>
      <c r="FJ1464" s="17" t="str">
        <f t="shared" si="189"/>
        <v/>
      </c>
      <c r="FK1464" s="17" t="str">
        <f t="shared" si="185"/>
        <v/>
      </c>
      <c r="FL1464" s="18" t="str">
        <f t="shared" si="190"/>
        <v/>
      </c>
    </row>
    <row r="1465" spans="159:168">
      <c r="FC1465" s="118">
        <v>1462</v>
      </c>
      <c r="FD1465" s="118">
        <f t="shared" si="186"/>
        <v>6</v>
      </c>
      <c r="FE1465" s="118">
        <f t="shared" si="187"/>
        <v>92</v>
      </c>
      <c r="FF1465" s="118" t="str">
        <f t="shared" si="188"/>
        <v/>
      </c>
      <c r="FI1465" s="16">
        <v>1462</v>
      </c>
      <c r="FJ1465" s="17" t="str">
        <f t="shared" si="189"/>
        <v/>
      </c>
      <c r="FK1465" s="17" t="str">
        <f t="shared" si="185"/>
        <v/>
      </c>
      <c r="FL1465" s="18" t="str">
        <f t="shared" si="190"/>
        <v/>
      </c>
    </row>
    <row r="1466" spans="159:168">
      <c r="FC1466" s="118">
        <v>1463</v>
      </c>
      <c r="FD1466" s="118">
        <f t="shared" si="186"/>
        <v>7</v>
      </c>
      <c r="FE1466" s="118">
        <f t="shared" si="187"/>
        <v>92</v>
      </c>
      <c r="FF1466" s="118" t="str">
        <f t="shared" si="188"/>
        <v/>
      </c>
      <c r="FI1466" s="16">
        <v>1463</v>
      </c>
      <c r="FJ1466" s="17" t="str">
        <f t="shared" si="189"/>
        <v/>
      </c>
      <c r="FK1466" s="17" t="str">
        <f t="shared" si="185"/>
        <v/>
      </c>
      <c r="FL1466" s="18" t="str">
        <f t="shared" si="190"/>
        <v/>
      </c>
    </row>
    <row r="1467" spans="159:168">
      <c r="FC1467" s="118">
        <v>1464</v>
      </c>
      <c r="FD1467" s="118">
        <f t="shared" si="186"/>
        <v>8</v>
      </c>
      <c r="FE1467" s="118">
        <f t="shared" si="187"/>
        <v>92</v>
      </c>
      <c r="FF1467" s="118" t="str">
        <f t="shared" si="188"/>
        <v/>
      </c>
      <c r="FI1467" s="16">
        <v>1464</v>
      </c>
      <c r="FJ1467" s="17" t="str">
        <f t="shared" si="189"/>
        <v/>
      </c>
      <c r="FK1467" s="17" t="str">
        <f t="shared" si="185"/>
        <v/>
      </c>
      <c r="FL1467" s="18" t="str">
        <f t="shared" si="190"/>
        <v/>
      </c>
    </row>
    <row r="1468" spans="159:168">
      <c r="FC1468" s="118">
        <v>1465</v>
      </c>
      <c r="FD1468" s="118">
        <f t="shared" si="186"/>
        <v>9</v>
      </c>
      <c r="FE1468" s="118">
        <f t="shared" si="187"/>
        <v>92</v>
      </c>
      <c r="FF1468" s="118" t="str">
        <f t="shared" si="188"/>
        <v/>
      </c>
      <c r="FI1468" s="16">
        <v>1465</v>
      </c>
      <c r="FJ1468" s="17" t="str">
        <f t="shared" si="189"/>
        <v/>
      </c>
      <c r="FK1468" s="17" t="str">
        <f t="shared" si="185"/>
        <v/>
      </c>
      <c r="FL1468" s="18" t="str">
        <f t="shared" si="190"/>
        <v/>
      </c>
    </row>
    <row r="1469" spans="159:168">
      <c r="FC1469" s="118">
        <v>1466</v>
      </c>
      <c r="FD1469" s="118">
        <f t="shared" si="186"/>
        <v>10</v>
      </c>
      <c r="FE1469" s="118">
        <f t="shared" si="187"/>
        <v>92</v>
      </c>
      <c r="FF1469" s="118" t="str">
        <f t="shared" si="188"/>
        <v/>
      </c>
      <c r="FI1469" s="16">
        <v>1466</v>
      </c>
      <c r="FJ1469" s="17" t="str">
        <f t="shared" si="189"/>
        <v/>
      </c>
      <c r="FK1469" s="17" t="str">
        <f t="shared" si="185"/>
        <v/>
      </c>
      <c r="FL1469" s="18" t="str">
        <f t="shared" si="190"/>
        <v/>
      </c>
    </row>
    <row r="1470" spans="159:168">
      <c r="FC1470" s="118">
        <v>1467</v>
      </c>
      <c r="FD1470" s="118">
        <f t="shared" si="186"/>
        <v>11</v>
      </c>
      <c r="FE1470" s="118">
        <f t="shared" si="187"/>
        <v>92</v>
      </c>
      <c r="FF1470" s="118" t="str">
        <f t="shared" si="188"/>
        <v/>
      </c>
      <c r="FI1470" s="16">
        <v>1467</v>
      </c>
      <c r="FJ1470" s="17" t="str">
        <f t="shared" si="189"/>
        <v/>
      </c>
      <c r="FK1470" s="17" t="str">
        <f t="shared" si="185"/>
        <v/>
      </c>
      <c r="FL1470" s="18" t="str">
        <f t="shared" si="190"/>
        <v/>
      </c>
    </row>
    <row r="1471" spans="159:168">
      <c r="FC1471" s="118">
        <v>1468</v>
      </c>
      <c r="FD1471" s="118">
        <f t="shared" si="186"/>
        <v>12</v>
      </c>
      <c r="FE1471" s="118">
        <f t="shared" si="187"/>
        <v>92</v>
      </c>
      <c r="FF1471" s="118" t="str">
        <f t="shared" si="188"/>
        <v/>
      </c>
      <c r="FI1471" s="16">
        <v>1468</v>
      </c>
      <c r="FJ1471" s="17" t="str">
        <f t="shared" si="189"/>
        <v/>
      </c>
      <c r="FK1471" s="17" t="str">
        <f t="shared" si="185"/>
        <v/>
      </c>
      <c r="FL1471" s="18" t="str">
        <f t="shared" si="190"/>
        <v/>
      </c>
    </row>
    <row r="1472" spans="159:168">
      <c r="FC1472" s="118">
        <v>1469</v>
      </c>
      <c r="FD1472" s="118">
        <f t="shared" si="186"/>
        <v>13</v>
      </c>
      <c r="FE1472" s="118">
        <f t="shared" si="187"/>
        <v>92</v>
      </c>
      <c r="FF1472" s="118" t="str">
        <f t="shared" si="188"/>
        <v/>
      </c>
      <c r="FI1472" s="16">
        <v>1469</v>
      </c>
      <c r="FJ1472" s="17" t="str">
        <f t="shared" si="189"/>
        <v/>
      </c>
      <c r="FK1472" s="17" t="str">
        <f t="shared" si="185"/>
        <v/>
      </c>
      <c r="FL1472" s="18" t="str">
        <f t="shared" si="190"/>
        <v/>
      </c>
    </row>
    <row r="1473" spans="159:168">
      <c r="FC1473" s="118">
        <v>1470</v>
      </c>
      <c r="FD1473" s="118">
        <f t="shared" si="186"/>
        <v>14</v>
      </c>
      <c r="FE1473" s="118">
        <f t="shared" si="187"/>
        <v>92</v>
      </c>
      <c r="FF1473" s="118" t="str">
        <f t="shared" si="188"/>
        <v/>
      </c>
      <c r="FI1473" s="16">
        <v>1470</v>
      </c>
      <c r="FJ1473" s="17" t="str">
        <f t="shared" si="189"/>
        <v/>
      </c>
      <c r="FK1473" s="17" t="str">
        <f t="shared" si="185"/>
        <v/>
      </c>
      <c r="FL1473" s="18" t="str">
        <f t="shared" si="190"/>
        <v/>
      </c>
    </row>
    <row r="1474" spans="159:168">
      <c r="FC1474" s="118">
        <v>1471</v>
      </c>
      <c r="FD1474" s="118">
        <f t="shared" si="186"/>
        <v>15</v>
      </c>
      <c r="FE1474" s="118">
        <f t="shared" si="187"/>
        <v>92</v>
      </c>
      <c r="FF1474" s="118" t="str">
        <f t="shared" si="188"/>
        <v/>
      </c>
      <c r="FI1474" s="16">
        <v>1471</v>
      </c>
      <c r="FJ1474" s="17" t="str">
        <f t="shared" si="189"/>
        <v/>
      </c>
      <c r="FK1474" s="17" t="str">
        <f t="shared" si="185"/>
        <v/>
      </c>
      <c r="FL1474" s="18" t="str">
        <f t="shared" si="190"/>
        <v/>
      </c>
    </row>
    <row r="1475" spans="159:168">
      <c r="FC1475" s="118">
        <v>1472</v>
      </c>
      <c r="FD1475" s="118">
        <f t="shared" si="186"/>
        <v>16</v>
      </c>
      <c r="FE1475" s="118">
        <f t="shared" si="187"/>
        <v>92</v>
      </c>
      <c r="FF1475" s="118" t="str">
        <f t="shared" si="188"/>
        <v/>
      </c>
      <c r="FI1475" s="16">
        <v>1472</v>
      </c>
      <c r="FJ1475" s="17" t="str">
        <f t="shared" si="189"/>
        <v/>
      </c>
      <c r="FK1475" s="17" t="str">
        <f t="shared" si="185"/>
        <v/>
      </c>
      <c r="FL1475" s="18" t="str">
        <f t="shared" si="190"/>
        <v/>
      </c>
    </row>
    <row r="1476" spans="159:168">
      <c r="FC1476" s="118">
        <v>1473</v>
      </c>
      <c r="FD1476" s="118">
        <f t="shared" si="186"/>
        <v>1</v>
      </c>
      <c r="FE1476" s="118">
        <f t="shared" si="187"/>
        <v>93</v>
      </c>
      <c r="FF1476" s="118" t="str">
        <f t="shared" si="188"/>
        <v/>
      </c>
      <c r="FI1476" s="16">
        <v>1473</v>
      </c>
      <c r="FJ1476" s="17" t="str">
        <f t="shared" si="189"/>
        <v/>
      </c>
      <c r="FK1476" s="17" t="str">
        <f t="shared" si="185"/>
        <v/>
      </c>
      <c r="FL1476" s="18" t="str">
        <f t="shared" si="190"/>
        <v/>
      </c>
    </row>
    <row r="1477" spans="159:168">
      <c r="FC1477" s="118">
        <v>1474</v>
      </c>
      <c r="FD1477" s="118">
        <f t="shared" si="186"/>
        <v>2</v>
      </c>
      <c r="FE1477" s="118">
        <f t="shared" si="187"/>
        <v>93</v>
      </c>
      <c r="FF1477" s="118" t="str">
        <f t="shared" si="188"/>
        <v/>
      </c>
      <c r="FI1477" s="16">
        <v>1474</v>
      </c>
      <c r="FJ1477" s="17" t="str">
        <f t="shared" si="189"/>
        <v/>
      </c>
      <c r="FK1477" s="17" t="str">
        <f t="shared" ref="FK1477:FK1540" si="191">IF(FI1477&lt;=$FH$2,FF1477,IF(FI1477&lt;=$FH$2+$FH$3,INDEX($FJ$4:$FJ$2494,FI1477-$FH$2),""))</f>
        <v/>
      </c>
      <c r="FL1477" s="18" t="str">
        <f t="shared" si="190"/>
        <v/>
      </c>
    </row>
    <row r="1478" spans="159:168">
      <c r="FC1478" s="118">
        <v>1475</v>
      </c>
      <c r="FD1478" s="118">
        <f t="shared" si="186"/>
        <v>3</v>
      </c>
      <c r="FE1478" s="118">
        <f t="shared" si="187"/>
        <v>93</v>
      </c>
      <c r="FF1478" s="118" t="str">
        <f t="shared" si="188"/>
        <v/>
      </c>
      <c r="FI1478" s="16">
        <v>1475</v>
      </c>
      <c r="FJ1478" s="17" t="str">
        <f t="shared" si="189"/>
        <v/>
      </c>
      <c r="FK1478" s="17" t="str">
        <f t="shared" si="191"/>
        <v/>
      </c>
      <c r="FL1478" s="18" t="str">
        <f t="shared" si="190"/>
        <v/>
      </c>
    </row>
    <row r="1479" spans="159:168">
      <c r="FC1479" s="118">
        <v>1476</v>
      </c>
      <c r="FD1479" s="118">
        <f t="shared" si="186"/>
        <v>4</v>
      </c>
      <c r="FE1479" s="118">
        <f t="shared" si="187"/>
        <v>93</v>
      </c>
      <c r="FF1479" s="118" t="str">
        <f t="shared" si="188"/>
        <v/>
      </c>
      <c r="FI1479" s="16">
        <v>1476</v>
      </c>
      <c r="FJ1479" s="17" t="str">
        <f t="shared" si="189"/>
        <v/>
      </c>
      <c r="FK1479" s="17" t="str">
        <f t="shared" si="191"/>
        <v/>
      </c>
      <c r="FL1479" s="18" t="str">
        <f t="shared" si="190"/>
        <v/>
      </c>
    </row>
    <row r="1480" spans="159:168">
      <c r="FC1480" s="118">
        <v>1477</v>
      </c>
      <c r="FD1480" s="118">
        <f t="shared" si="186"/>
        <v>5</v>
      </c>
      <c r="FE1480" s="118">
        <f t="shared" si="187"/>
        <v>93</v>
      </c>
      <c r="FF1480" s="118" t="str">
        <f t="shared" si="188"/>
        <v/>
      </c>
      <c r="FI1480" s="16">
        <v>1477</v>
      </c>
      <c r="FJ1480" s="17" t="str">
        <f t="shared" si="189"/>
        <v/>
      </c>
      <c r="FK1480" s="17" t="str">
        <f t="shared" si="191"/>
        <v/>
      </c>
      <c r="FL1480" s="18" t="str">
        <f t="shared" si="190"/>
        <v/>
      </c>
    </row>
    <row r="1481" spans="159:168">
      <c r="FC1481" s="118">
        <v>1478</v>
      </c>
      <c r="FD1481" s="118">
        <f t="shared" si="186"/>
        <v>6</v>
      </c>
      <c r="FE1481" s="118">
        <f t="shared" si="187"/>
        <v>93</v>
      </c>
      <c r="FF1481" s="118" t="str">
        <f t="shared" si="188"/>
        <v/>
      </c>
      <c r="FI1481" s="16">
        <v>1478</v>
      </c>
      <c r="FJ1481" s="17" t="str">
        <f t="shared" si="189"/>
        <v/>
      </c>
      <c r="FK1481" s="17" t="str">
        <f t="shared" si="191"/>
        <v/>
      </c>
      <c r="FL1481" s="18" t="str">
        <f t="shared" si="190"/>
        <v/>
      </c>
    </row>
    <row r="1482" spans="159:168">
      <c r="FC1482" s="118">
        <v>1479</v>
      </c>
      <c r="FD1482" s="118">
        <f t="shared" si="186"/>
        <v>7</v>
      </c>
      <c r="FE1482" s="118">
        <f t="shared" si="187"/>
        <v>93</v>
      </c>
      <c r="FF1482" s="118" t="str">
        <f t="shared" si="188"/>
        <v/>
      </c>
      <c r="FI1482" s="16">
        <v>1479</v>
      </c>
      <c r="FJ1482" s="17" t="str">
        <f t="shared" si="189"/>
        <v/>
      </c>
      <c r="FK1482" s="17" t="str">
        <f t="shared" si="191"/>
        <v/>
      </c>
      <c r="FL1482" s="18" t="str">
        <f t="shared" si="190"/>
        <v/>
      </c>
    </row>
    <row r="1483" spans="159:168">
      <c r="FC1483" s="118">
        <v>1480</v>
      </c>
      <c r="FD1483" s="118">
        <f t="shared" si="186"/>
        <v>8</v>
      </c>
      <c r="FE1483" s="118">
        <f t="shared" si="187"/>
        <v>93</v>
      </c>
      <c r="FF1483" s="118" t="str">
        <f t="shared" si="188"/>
        <v/>
      </c>
      <c r="FI1483" s="16">
        <v>1480</v>
      </c>
      <c r="FJ1483" s="17" t="str">
        <f t="shared" si="189"/>
        <v/>
      </c>
      <c r="FK1483" s="17" t="str">
        <f t="shared" si="191"/>
        <v/>
      </c>
      <c r="FL1483" s="18" t="str">
        <f t="shared" si="190"/>
        <v/>
      </c>
    </row>
    <row r="1484" spans="159:168">
      <c r="FC1484" s="118">
        <v>1481</v>
      </c>
      <c r="FD1484" s="118">
        <f t="shared" si="186"/>
        <v>9</v>
      </c>
      <c r="FE1484" s="118">
        <f t="shared" si="187"/>
        <v>93</v>
      </c>
      <c r="FF1484" s="118" t="str">
        <f t="shared" si="188"/>
        <v/>
      </c>
      <c r="FI1484" s="16">
        <v>1481</v>
      </c>
      <c r="FJ1484" s="17" t="str">
        <f t="shared" si="189"/>
        <v/>
      </c>
      <c r="FK1484" s="17" t="str">
        <f t="shared" si="191"/>
        <v/>
      </c>
      <c r="FL1484" s="18" t="str">
        <f t="shared" si="190"/>
        <v/>
      </c>
    </row>
    <row r="1485" spans="159:168">
      <c r="FC1485" s="118">
        <v>1482</v>
      </c>
      <c r="FD1485" s="118">
        <f t="shared" si="186"/>
        <v>10</v>
      </c>
      <c r="FE1485" s="118">
        <f t="shared" si="187"/>
        <v>93</v>
      </c>
      <c r="FF1485" s="118" t="str">
        <f t="shared" si="188"/>
        <v/>
      </c>
      <c r="FI1485" s="16">
        <v>1482</v>
      </c>
      <c r="FJ1485" s="17" t="str">
        <f t="shared" si="189"/>
        <v/>
      </c>
      <c r="FK1485" s="17" t="str">
        <f t="shared" si="191"/>
        <v/>
      </c>
      <c r="FL1485" s="18" t="str">
        <f t="shared" si="190"/>
        <v/>
      </c>
    </row>
    <row r="1486" spans="159:168">
      <c r="FC1486" s="118">
        <v>1483</v>
      </c>
      <c r="FD1486" s="118">
        <f t="shared" si="186"/>
        <v>11</v>
      </c>
      <c r="FE1486" s="118">
        <f t="shared" si="187"/>
        <v>93</v>
      </c>
      <c r="FF1486" s="118" t="str">
        <f t="shared" si="188"/>
        <v/>
      </c>
      <c r="FI1486" s="16">
        <v>1483</v>
      </c>
      <c r="FJ1486" s="17" t="str">
        <f t="shared" si="189"/>
        <v/>
      </c>
      <c r="FK1486" s="17" t="str">
        <f t="shared" si="191"/>
        <v/>
      </c>
      <c r="FL1486" s="18" t="str">
        <f t="shared" si="190"/>
        <v/>
      </c>
    </row>
    <row r="1487" spans="159:168">
      <c r="FC1487" s="118">
        <v>1484</v>
      </c>
      <c r="FD1487" s="118">
        <f t="shared" si="186"/>
        <v>12</v>
      </c>
      <c r="FE1487" s="118">
        <f t="shared" si="187"/>
        <v>93</v>
      </c>
      <c r="FF1487" s="118" t="str">
        <f t="shared" si="188"/>
        <v/>
      </c>
      <c r="FI1487" s="16">
        <v>1484</v>
      </c>
      <c r="FJ1487" s="17" t="str">
        <f t="shared" si="189"/>
        <v/>
      </c>
      <c r="FK1487" s="17" t="str">
        <f t="shared" si="191"/>
        <v/>
      </c>
      <c r="FL1487" s="18" t="str">
        <f t="shared" si="190"/>
        <v/>
      </c>
    </row>
    <row r="1488" spans="159:168">
      <c r="FC1488" s="118">
        <v>1485</v>
      </c>
      <c r="FD1488" s="118">
        <f t="shared" si="186"/>
        <v>13</v>
      </c>
      <c r="FE1488" s="118">
        <f t="shared" si="187"/>
        <v>93</v>
      </c>
      <c r="FF1488" s="118" t="str">
        <f t="shared" si="188"/>
        <v/>
      </c>
      <c r="FI1488" s="16">
        <v>1485</v>
      </c>
      <c r="FJ1488" s="17" t="str">
        <f t="shared" si="189"/>
        <v/>
      </c>
      <c r="FK1488" s="17" t="str">
        <f t="shared" si="191"/>
        <v/>
      </c>
      <c r="FL1488" s="18" t="str">
        <f t="shared" si="190"/>
        <v/>
      </c>
    </row>
    <row r="1489" spans="159:168">
      <c r="FC1489" s="118">
        <v>1486</v>
      </c>
      <c r="FD1489" s="118">
        <f t="shared" si="186"/>
        <v>14</v>
      </c>
      <c r="FE1489" s="118">
        <f t="shared" si="187"/>
        <v>93</v>
      </c>
      <c r="FF1489" s="118" t="str">
        <f t="shared" si="188"/>
        <v/>
      </c>
      <c r="FI1489" s="16">
        <v>1486</v>
      </c>
      <c r="FJ1489" s="17" t="str">
        <f t="shared" si="189"/>
        <v/>
      </c>
      <c r="FK1489" s="17" t="str">
        <f t="shared" si="191"/>
        <v/>
      </c>
      <c r="FL1489" s="18" t="str">
        <f t="shared" si="190"/>
        <v/>
      </c>
    </row>
    <row r="1490" spans="159:168">
      <c r="FC1490" s="118">
        <v>1487</v>
      </c>
      <c r="FD1490" s="118">
        <f t="shared" si="186"/>
        <v>15</v>
      </c>
      <c r="FE1490" s="118">
        <f t="shared" si="187"/>
        <v>93</v>
      </c>
      <c r="FF1490" s="118" t="str">
        <f t="shared" si="188"/>
        <v/>
      </c>
      <c r="FI1490" s="16">
        <v>1487</v>
      </c>
      <c r="FJ1490" s="17" t="str">
        <f t="shared" si="189"/>
        <v/>
      </c>
      <c r="FK1490" s="17" t="str">
        <f t="shared" si="191"/>
        <v/>
      </c>
      <c r="FL1490" s="18" t="str">
        <f t="shared" si="190"/>
        <v/>
      </c>
    </row>
    <row r="1491" spans="159:168">
      <c r="FC1491" s="118">
        <v>1488</v>
      </c>
      <c r="FD1491" s="118">
        <f t="shared" si="186"/>
        <v>16</v>
      </c>
      <c r="FE1491" s="118">
        <f t="shared" si="187"/>
        <v>93</v>
      </c>
      <c r="FF1491" s="118" t="str">
        <f t="shared" si="188"/>
        <v/>
      </c>
      <c r="FI1491" s="16">
        <v>1488</v>
      </c>
      <c r="FJ1491" s="17" t="str">
        <f t="shared" si="189"/>
        <v/>
      </c>
      <c r="FK1491" s="17" t="str">
        <f t="shared" si="191"/>
        <v/>
      </c>
      <c r="FL1491" s="18" t="str">
        <f t="shared" si="190"/>
        <v/>
      </c>
    </row>
    <row r="1492" spans="159:168">
      <c r="FC1492" s="118">
        <v>1489</v>
      </c>
      <c r="FD1492" s="118">
        <f t="shared" si="186"/>
        <v>1</v>
      </c>
      <c r="FE1492" s="118">
        <f t="shared" si="187"/>
        <v>94</v>
      </c>
      <c r="FF1492" s="118" t="str">
        <f t="shared" si="188"/>
        <v/>
      </c>
      <c r="FI1492" s="16">
        <v>1489</v>
      </c>
      <c r="FJ1492" s="17" t="str">
        <f t="shared" si="189"/>
        <v/>
      </c>
      <c r="FK1492" s="17" t="str">
        <f t="shared" si="191"/>
        <v/>
      </c>
      <c r="FL1492" s="18" t="str">
        <f t="shared" si="190"/>
        <v/>
      </c>
    </row>
    <row r="1493" spans="159:168">
      <c r="FC1493" s="118">
        <v>1490</v>
      </c>
      <c r="FD1493" s="118">
        <f t="shared" si="186"/>
        <v>2</v>
      </c>
      <c r="FE1493" s="118">
        <f t="shared" si="187"/>
        <v>94</v>
      </c>
      <c r="FF1493" s="118" t="str">
        <f t="shared" si="188"/>
        <v/>
      </c>
      <c r="FI1493" s="16">
        <v>1490</v>
      </c>
      <c r="FJ1493" s="17" t="str">
        <f t="shared" si="189"/>
        <v/>
      </c>
      <c r="FK1493" s="17" t="str">
        <f t="shared" si="191"/>
        <v/>
      </c>
      <c r="FL1493" s="18" t="str">
        <f t="shared" si="190"/>
        <v/>
      </c>
    </row>
    <row r="1494" spans="159:168">
      <c r="FC1494" s="118">
        <v>1491</v>
      </c>
      <c r="FD1494" s="118">
        <f t="shared" ref="FD1494:FD1557" si="192">IF(MOD(FC1494,$FB$1+$FB$2)=0,$FB$1+$FB$2,MOD(FC1494,$FB$1+$FB$2))</f>
        <v>3</v>
      </c>
      <c r="FE1494" s="118">
        <f t="shared" ref="FE1494:FE1557" si="193">ROUNDUP(FC1494/($FB$1+$FB$2),0)</f>
        <v>94</v>
      </c>
      <c r="FF1494" s="118" t="str">
        <f t="shared" ref="FF1494:FF1557" si="194">IF(FE1494&lt;$FB$3,INDEX($E$4:$DV$84,FD1494,FE1494),IF(FE1494=$FB$3,INDEX($E$4:$DV$84,FD1494+$FB$1,FE1494),""))</f>
        <v/>
      </c>
      <c r="FI1494" s="16">
        <v>1491</v>
      </c>
      <c r="FJ1494" s="17" t="str">
        <f t="shared" ref="FJ1494:FJ1557" si="195">IF(FE1494&lt;=$FH$1,INDEX($DW$4:$EZ$84,FD1494,FE1494),"")</f>
        <v/>
      </c>
      <c r="FK1494" s="17" t="str">
        <f t="shared" si="191"/>
        <v/>
      </c>
      <c r="FL1494" s="18" t="str">
        <f t="shared" ref="FL1494:FL1557" si="196">IFERROR(TEXT(DEC2BIN(FK1494),"00000000"),"")</f>
        <v/>
      </c>
    </row>
    <row r="1495" spans="159:168">
      <c r="FC1495" s="118">
        <v>1492</v>
      </c>
      <c r="FD1495" s="118">
        <f t="shared" si="192"/>
        <v>4</v>
      </c>
      <c r="FE1495" s="118">
        <f t="shared" si="193"/>
        <v>94</v>
      </c>
      <c r="FF1495" s="118" t="str">
        <f t="shared" si="194"/>
        <v/>
      </c>
      <c r="FI1495" s="16">
        <v>1492</v>
      </c>
      <c r="FJ1495" s="17" t="str">
        <f t="shared" si="195"/>
        <v/>
      </c>
      <c r="FK1495" s="17" t="str">
        <f t="shared" si="191"/>
        <v/>
      </c>
      <c r="FL1495" s="18" t="str">
        <f t="shared" si="196"/>
        <v/>
      </c>
    </row>
    <row r="1496" spans="159:168">
      <c r="FC1496" s="118">
        <v>1493</v>
      </c>
      <c r="FD1496" s="118">
        <f t="shared" si="192"/>
        <v>5</v>
      </c>
      <c r="FE1496" s="118">
        <f t="shared" si="193"/>
        <v>94</v>
      </c>
      <c r="FF1496" s="118" t="str">
        <f t="shared" si="194"/>
        <v/>
      </c>
      <c r="FI1496" s="16">
        <v>1493</v>
      </c>
      <c r="FJ1496" s="17" t="str">
        <f t="shared" si="195"/>
        <v/>
      </c>
      <c r="FK1496" s="17" t="str">
        <f t="shared" si="191"/>
        <v/>
      </c>
      <c r="FL1496" s="18" t="str">
        <f t="shared" si="196"/>
        <v/>
      </c>
    </row>
    <row r="1497" spans="159:168">
      <c r="FC1497" s="118">
        <v>1494</v>
      </c>
      <c r="FD1497" s="118">
        <f t="shared" si="192"/>
        <v>6</v>
      </c>
      <c r="FE1497" s="118">
        <f t="shared" si="193"/>
        <v>94</v>
      </c>
      <c r="FF1497" s="118" t="str">
        <f t="shared" si="194"/>
        <v/>
      </c>
      <c r="FI1497" s="16">
        <v>1494</v>
      </c>
      <c r="FJ1497" s="17" t="str">
        <f t="shared" si="195"/>
        <v/>
      </c>
      <c r="FK1497" s="17" t="str">
        <f t="shared" si="191"/>
        <v/>
      </c>
      <c r="FL1497" s="18" t="str">
        <f t="shared" si="196"/>
        <v/>
      </c>
    </row>
    <row r="1498" spans="159:168">
      <c r="FC1498" s="118">
        <v>1495</v>
      </c>
      <c r="FD1498" s="118">
        <f t="shared" si="192"/>
        <v>7</v>
      </c>
      <c r="FE1498" s="118">
        <f t="shared" si="193"/>
        <v>94</v>
      </c>
      <c r="FF1498" s="118" t="str">
        <f t="shared" si="194"/>
        <v/>
      </c>
      <c r="FI1498" s="16">
        <v>1495</v>
      </c>
      <c r="FJ1498" s="17" t="str">
        <f t="shared" si="195"/>
        <v/>
      </c>
      <c r="FK1498" s="17" t="str">
        <f t="shared" si="191"/>
        <v/>
      </c>
      <c r="FL1498" s="18" t="str">
        <f t="shared" si="196"/>
        <v/>
      </c>
    </row>
    <row r="1499" spans="159:168">
      <c r="FC1499" s="118">
        <v>1496</v>
      </c>
      <c r="FD1499" s="118">
        <f t="shared" si="192"/>
        <v>8</v>
      </c>
      <c r="FE1499" s="118">
        <f t="shared" si="193"/>
        <v>94</v>
      </c>
      <c r="FF1499" s="118" t="str">
        <f t="shared" si="194"/>
        <v/>
      </c>
      <c r="FI1499" s="16">
        <v>1496</v>
      </c>
      <c r="FJ1499" s="17" t="str">
        <f t="shared" si="195"/>
        <v/>
      </c>
      <c r="FK1499" s="17" t="str">
        <f t="shared" si="191"/>
        <v/>
      </c>
      <c r="FL1499" s="18" t="str">
        <f t="shared" si="196"/>
        <v/>
      </c>
    </row>
    <row r="1500" spans="159:168">
      <c r="FC1500" s="118">
        <v>1497</v>
      </c>
      <c r="FD1500" s="118">
        <f t="shared" si="192"/>
        <v>9</v>
      </c>
      <c r="FE1500" s="118">
        <f t="shared" si="193"/>
        <v>94</v>
      </c>
      <c r="FF1500" s="118" t="str">
        <f t="shared" si="194"/>
        <v/>
      </c>
      <c r="FI1500" s="16">
        <v>1497</v>
      </c>
      <c r="FJ1500" s="17" t="str">
        <f t="shared" si="195"/>
        <v/>
      </c>
      <c r="FK1500" s="17" t="str">
        <f t="shared" si="191"/>
        <v/>
      </c>
      <c r="FL1500" s="18" t="str">
        <f t="shared" si="196"/>
        <v/>
      </c>
    </row>
    <row r="1501" spans="159:168">
      <c r="FC1501" s="118">
        <v>1498</v>
      </c>
      <c r="FD1501" s="118">
        <f t="shared" si="192"/>
        <v>10</v>
      </c>
      <c r="FE1501" s="118">
        <f t="shared" si="193"/>
        <v>94</v>
      </c>
      <c r="FF1501" s="118" t="str">
        <f t="shared" si="194"/>
        <v/>
      </c>
      <c r="FI1501" s="16">
        <v>1498</v>
      </c>
      <c r="FJ1501" s="17" t="str">
        <f t="shared" si="195"/>
        <v/>
      </c>
      <c r="FK1501" s="17" t="str">
        <f t="shared" si="191"/>
        <v/>
      </c>
      <c r="FL1501" s="18" t="str">
        <f t="shared" si="196"/>
        <v/>
      </c>
    </row>
    <row r="1502" spans="159:168">
      <c r="FC1502" s="118">
        <v>1499</v>
      </c>
      <c r="FD1502" s="118">
        <f t="shared" si="192"/>
        <v>11</v>
      </c>
      <c r="FE1502" s="118">
        <f t="shared" si="193"/>
        <v>94</v>
      </c>
      <c r="FF1502" s="118" t="str">
        <f t="shared" si="194"/>
        <v/>
      </c>
      <c r="FI1502" s="16">
        <v>1499</v>
      </c>
      <c r="FJ1502" s="17" t="str">
        <f t="shared" si="195"/>
        <v/>
      </c>
      <c r="FK1502" s="17" t="str">
        <f t="shared" si="191"/>
        <v/>
      </c>
      <c r="FL1502" s="18" t="str">
        <f t="shared" si="196"/>
        <v/>
      </c>
    </row>
    <row r="1503" spans="159:168">
      <c r="FC1503" s="118">
        <v>1500</v>
      </c>
      <c r="FD1503" s="118">
        <f t="shared" si="192"/>
        <v>12</v>
      </c>
      <c r="FE1503" s="118">
        <f t="shared" si="193"/>
        <v>94</v>
      </c>
      <c r="FF1503" s="118" t="str">
        <f t="shared" si="194"/>
        <v/>
      </c>
      <c r="FI1503" s="16">
        <v>1500</v>
      </c>
      <c r="FJ1503" s="17" t="str">
        <f t="shared" si="195"/>
        <v/>
      </c>
      <c r="FK1503" s="17" t="str">
        <f t="shared" si="191"/>
        <v/>
      </c>
      <c r="FL1503" s="18" t="str">
        <f t="shared" si="196"/>
        <v/>
      </c>
    </row>
    <row r="1504" spans="159:168">
      <c r="FC1504" s="118">
        <v>1501</v>
      </c>
      <c r="FD1504" s="118">
        <f t="shared" si="192"/>
        <v>13</v>
      </c>
      <c r="FE1504" s="118">
        <f t="shared" si="193"/>
        <v>94</v>
      </c>
      <c r="FF1504" s="118" t="str">
        <f t="shared" si="194"/>
        <v/>
      </c>
      <c r="FI1504" s="16">
        <v>1501</v>
      </c>
      <c r="FJ1504" s="17" t="str">
        <f t="shared" si="195"/>
        <v/>
      </c>
      <c r="FK1504" s="17" t="str">
        <f t="shared" si="191"/>
        <v/>
      </c>
      <c r="FL1504" s="18" t="str">
        <f t="shared" si="196"/>
        <v/>
      </c>
    </row>
    <row r="1505" spans="159:168">
      <c r="FC1505" s="118">
        <v>1502</v>
      </c>
      <c r="FD1505" s="118">
        <f t="shared" si="192"/>
        <v>14</v>
      </c>
      <c r="FE1505" s="118">
        <f t="shared" si="193"/>
        <v>94</v>
      </c>
      <c r="FF1505" s="118" t="str">
        <f t="shared" si="194"/>
        <v/>
      </c>
      <c r="FI1505" s="16">
        <v>1502</v>
      </c>
      <c r="FJ1505" s="17" t="str">
        <f t="shared" si="195"/>
        <v/>
      </c>
      <c r="FK1505" s="17" t="str">
        <f t="shared" si="191"/>
        <v/>
      </c>
      <c r="FL1505" s="18" t="str">
        <f t="shared" si="196"/>
        <v/>
      </c>
    </row>
    <row r="1506" spans="159:168">
      <c r="FC1506" s="118">
        <v>1503</v>
      </c>
      <c r="FD1506" s="118">
        <f t="shared" si="192"/>
        <v>15</v>
      </c>
      <c r="FE1506" s="118">
        <f t="shared" si="193"/>
        <v>94</v>
      </c>
      <c r="FF1506" s="118" t="str">
        <f t="shared" si="194"/>
        <v/>
      </c>
      <c r="FI1506" s="16">
        <v>1503</v>
      </c>
      <c r="FJ1506" s="17" t="str">
        <f t="shared" si="195"/>
        <v/>
      </c>
      <c r="FK1506" s="17" t="str">
        <f t="shared" si="191"/>
        <v/>
      </c>
      <c r="FL1506" s="18" t="str">
        <f t="shared" si="196"/>
        <v/>
      </c>
    </row>
    <row r="1507" spans="159:168">
      <c r="FC1507" s="118">
        <v>1504</v>
      </c>
      <c r="FD1507" s="118">
        <f t="shared" si="192"/>
        <v>16</v>
      </c>
      <c r="FE1507" s="118">
        <f t="shared" si="193"/>
        <v>94</v>
      </c>
      <c r="FF1507" s="118" t="str">
        <f t="shared" si="194"/>
        <v/>
      </c>
      <c r="FI1507" s="16">
        <v>1504</v>
      </c>
      <c r="FJ1507" s="17" t="str">
        <f t="shared" si="195"/>
        <v/>
      </c>
      <c r="FK1507" s="17" t="str">
        <f t="shared" si="191"/>
        <v/>
      </c>
      <c r="FL1507" s="18" t="str">
        <f t="shared" si="196"/>
        <v/>
      </c>
    </row>
    <row r="1508" spans="159:168">
      <c r="FC1508" s="118">
        <v>1505</v>
      </c>
      <c r="FD1508" s="118">
        <f t="shared" si="192"/>
        <v>1</v>
      </c>
      <c r="FE1508" s="118">
        <f t="shared" si="193"/>
        <v>95</v>
      </c>
      <c r="FF1508" s="118" t="str">
        <f t="shared" si="194"/>
        <v/>
      </c>
      <c r="FI1508" s="16">
        <v>1505</v>
      </c>
      <c r="FJ1508" s="17" t="str">
        <f t="shared" si="195"/>
        <v/>
      </c>
      <c r="FK1508" s="17" t="str">
        <f t="shared" si="191"/>
        <v/>
      </c>
      <c r="FL1508" s="18" t="str">
        <f t="shared" si="196"/>
        <v/>
      </c>
    </row>
    <row r="1509" spans="159:168">
      <c r="FC1509" s="118">
        <v>1506</v>
      </c>
      <c r="FD1509" s="118">
        <f t="shared" si="192"/>
        <v>2</v>
      </c>
      <c r="FE1509" s="118">
        <f t="shared" si="193"/>
        <v>95</v>
      </c>
      <c r="FF1509" s="118" t="str">
        <f t="shared" si="194"/>
        <v/>
      </c>
      <c r="FI1509" s="16">
        <v>1506</v>
      </c>
      <c r="FJ1509" s="17" t="str">
        <f t="shared" si="195"/>
        <v/>
      </c>
      <c r="FK1509" s="17" t="str">
        <f t="shared" si="191"/>
        <v/>
      </c>
      <c r="FL1509" s="18" t="str">
        <f t="shared" si="196"/>
        <v/>
      </c>
    </row>
    <row r="1510" spans="159:168">
      <c r="FC1510" s="118">
        <v>1507</v>
      </c>
      <c r="FD1510" s="118">
        <f t="shared" si="192"/>
        <v>3</v>
      </c>
      <c r="FE1510" s="118">
        <f t="shared" si="193"/>
        <v>95</v>
      </c>
      <c r="FF1510" s="118" t="str">
        <f t="shared" si="194"/>
        <v/>
      </c>
      <c r="FI1510" s="16">
        <v>1507</v>
      </c>
      <c r="FJ1510" s="17" t="str">
        <f t="shared" si="195"/>
        <v/>
      </c>
      <c r="FK1510" s="17" t="str">
        <f t="shared" si="191"/>
        <v/>
      </c>
      <c r="FL1510" s="18" t="str">
        <f t="shared" si="196"/>
        <v/>
      </c>
    </row>
    <row r="1511" spans="159:168">
      <c r="FC1511" s="118">
        <v>1508</v>
      </c>
      <c r="FD1511" s="118">
        <f t="shared" si="192"/>
        <v>4</v>
      </c>
      <c r="FE1511" s="118">
        <f t="shared" si="193"/>
        <v>95</v>
      </c>
      <c r="FF1511" s="118" t="str">
        <f t="shared" si="194"/>
        <v/>
      </c>
      <c r="FI1511" s="16">
        <v>1508</v>
      </c>
      <c r="FJ1511" s="17" t="str">
        <f t="shared" si="195"/>
        <v/>
      </c>
      <c r="FK1511" s="17" t="str">
        <f t="shared" si="191"/>
        <v/>
      </c>
      <c r="FL1511" s="18" t="str">
        <f t="shared" si="196"/>
        <v/>
      </c>
    </row>
    <row r="1512" spans="159:168">
      <c r="FC1512" s="118">
        <v>1509</v>
      </c>
      <c r="FD1512" s="118">
        <f t="shared" si="192"/>
        <v>5</v>
      </c>
      <c r="FE1512" s="118">
        <f t="shared" si="193"/>
        <v>95</v>
      </c>
      <c r="FF1512" s="118" t="str">
        <f t="shared" si="194"/>
        <v/>
      </c>
      <c r="FI1512" s="16">
        <v>1509</v>
      </c>
      <c r="FJ1512" s="17" t="str">
        <f t="shared" si="195"/>
        <v/>
      </c>
      <c r="FK1512" s="17" t="str">
        <f t="shared" si="191"/>
        <v/>
      </c>
      <c r="FL1512" s="18" t="str">
        <f t="shared" si="196"/>
        <v/>
      </c>
    </row>
    <row r="1513" spans="159:168">
      <c r="FC1513" s="118">
        <v>1510</v>
      </c>
      <c r="FD1513" s="118">
        <f t="shared" si="192"/>
        <v>6</v>
      </c>
      <c r="FE1513" s="118">
        <f t="shared" si="193"/>
        <v>95</v>
      </c>
      <c r="FF1513" s="118" t="str">
        <f t="shared" si="194"/>
        <v/>
      </c>
      <c r="FI1513" s="16">
        <v>1510</v>
      </c>
      <c r="FJ1513" s="17" t="str">
        <f t="shared" si="195"/>
        <v/>
      </c>
      <c r="FK1513" s="17" t="str">
        <f t="shared" si="191"/>
        <v/>
      </c>
      <c r="FL1513" s="18" t="str">
        <f t="shared" si="196"/>
        <v/>
      </c>
    </row>
    <row r="1514" spans="159:168">
      <c r="FC1514" s="118">
        <v>1511</v>
      </c>
      <c r="FD1514" s="118">
        <f t="shared" si="192"/>
        <v>7</v>
      </c>
      <c r="FE1514" s="118">
        <f t="shared" si="193"/>
        <v>95</v>
      </c>
      <c r="FF1514" s="118" t="str">
        <f t="shared" si="194"/>
        <v/>
      </c>
      <c r="FI1514" s="16">
        <v>1511</v>
      </c>
      <c r="FJ1514" s="17" t="str">
        <f t="shared" si="195"/>
        <v/>
      </c>
      <c r="FK1514" s="17" t="str">
        <f t="shared" si="191"/>
        <v/>
      </c>
      <c r="FL1514" s="18" t="str">
        <f t="shared" si="196"/>
        <v/>
      </c>
    </row>
    <row r="1515" spans="159:168">
      <c r="FC1515" s="118">
        <v>1512</v>
      </c>
      <c r="FD1515" s="118">
        <f t="shared" si="192"/>
        <v>8</v>
      </c>
      <c r="FE1515" s="118">
        <f t="shared" si="193"/>
        <v>95</v>
      </c>
      <c r="FF1515" s="118" t="str">
        <f t="shared" si="194"/>
        <v/>
      </c>
      <c r="FI1515" s="16">
        <v>1512</v>
      </c>
      <c r="FJ1515" s="17" t="str">
        <f t="shared" si="195"/>
        <v/>
      </c>
      <c r="FK1515" s="17" t="str">
        <f t="shared" si="191"/>
        <v/>
      </c>
      <c r="FL1515" s="18" t="str">
        <f t="shared" si="196"/>
        <v/>
      </c>
    </row>
    <row r="1516" spans="159:168">
      <c r="FC1516" s="118">
        <v>1513</v>
      </c>
      <c r="FD1516" s="118">
        <f t="shared" si="192"/>
        <v>9</v>
      </c>
      <c r="FE1516" s="118">
        <f t="shared" si="193"/>
        <v>95</v>
      </c>
      <c r="FF1516" s="118" t="str">
        <f t="shared" si="194"/>
        <v/>
      </c>
      <c r="FI1516" s="16">
        <v>1513</v>
      </c>
      <c r="FJ1516" s="17" t="str">
        <f t="shared" si="195"/>
        <v/>
      </c>
      <c r="FK1516" s="17" t="str">
        <f t="shared" si="191"/>
        <v/>
      </c>
      <c r="FL1516" s="18" t="str">
        <f t="shared" si="196"/>
        <v/>
      </c>
    </row>
    <row r="1517" spans="159:168">
      <c r="FC1517" s="118">
        <v>1514</v>
      </c>
      <c r="FD1517" s="118">
        <f t="shared" si="192"/>
        <v>10</v>
      </c>
      <c r="FE1517" s="118">
        <f t="shared" si="193"/>
        <v>95</v>
      </c>
      <c r="FF1517" s="118" t="str">
        <f t="shared" si="194"/>
        <v/>
      </c>
      <c r="FI1517" s="16">
        <v>1514</v>
      </c>
      <c r="FJ1517" s="17" t="str">
        <f t="shared" si="195"/>
        <v/>
      </c>
      <c r="FK1517" s="17" t="str">
        <f t="shared" si="191"/>
        <v/>
      </c>
      <c r="FL1517" s="18" t="str">
        <f t="shared" si="196"/>
        <v/>
      </c>
    </row>
    <row r="1518" spans="159:168">
      <c r="FC1518" s="118">
        <v>1515</v>
      </c>
      <c r="FD1518" s="118">
        <f t="shared" si="192"/>
        <v>11</v>
      </c>
      <c r="FE1518" s="118">
        <f t="shared" si="193"/>
        <v>95</v>
      </c>
      <c r="FF1518" s="118" t="str">
        <f t="shared" si="194"/>
        <v/>
      </c>
      <c r="FI1518" s="16">
        <v>1515</v>
      </c>
      <c r="FJ1518" s="17" t="str">
        <f t="shared" si="195"/>
        <v/>
      </c>
      <c r="FK1518" s="17" t="str">
        <f t="shared" si="191"/>
        <v/>
      </c>
      <c r="FL1518" s="18" t="str">
        <f t="shared" si="196"/>
        <v/>
      </c>
    </row>
    <row r="1519" spans="159:168">
      <c r="FC1519" s="118">
        <v>1516</v>
      </c>
      <c r="FD1519" s="118">
        <f t="shared" si="192"/>
        <v>12</v>
      </c>
      <c r="FE1519" s="118">
        <f t="shared" si="193"/>
        <v>95</v>
      </c>
      <c r="FF1519" s="118" t="str">
        <f t="shared" si="194"/>
        <v/>
      </c>
      <c r="FI1519" s="16">
        <v>1516</v>
      </c>
      <c r="FJ1519" s="17" t="str">
        <f t="shared" si="195"/>
        <v/>
      </c>
      <c r="FK1519" s="17" t="str">
        <f t="shared" si="191"/>
        <v/>
      </c>
      <c r="FL1519" s="18" t="str">
        <f t="shared" si="196"/>
        <v/>
      </c>
    </row>
    <row r="1520" spans="159:168">
      <c r="FC1520" s="118">
        <v>1517</v>
      </c>
      <c r="FD1520" s="118">
        <f t="shared" si="192"/>
        <v>13</v>
      </c>
      <c r="FE1520" s="118">
        <f t="shared" si="193"/>
        <v>95</v>
      </c>
      <c r="FF1520" s="118" t="str">
        <f t="shared" si="194"/>
        <v/>
      </c>
      <c r="FI1520" s="16">
        <v>1517</v>
      </c>
      <c r="FJ1520" s="17" t="str">
        <f t="shared" si="195"/>
        <v/>
      </c>
      <c r="FK1520" s="17" t="str">
        <f t="shared" si="191"/>
        <v/>
      </c>
      <c r="FL1520" s="18" t="str">
        <f t="shared" si="196"/>
        <v/>
      </c>
    </row>
    <row r="1521" spans="159:168">
      <c r="FC1521" s="118">
        <v>1518</v>
      </c>
      <c r="FD1521" s="118">
        <f t="shared" si="192"/>
        <v>14</v>
      </c>
      <c r="FE1521" s="118">
        <f t="shared" si="193"/>
        <v>95</v>
      </c>
      <c r="FF1521" s="118" t="str">
        <f t="shared" si="194"/>
        <v/>
      </c>
      <c r="FI1521" s="16">
        <v>1518</v>
      </c>
      <c r="FJ1521" s="17" t="str">
        <f t="shared" si="195"/>
        <v/>
      </c>
      <c r="FK1521" s="17" t="str">
        <f t="shared" si="191"/>
        <v/>
      </c>
      <c r="FL1521" s="18" t="str">
        <f t="shared" si="196"/>
        <v/>
      </c>
    </row>
    <row r="1522" spans="159:168">
      <c r="FC1522" s="118">
        <v>1519</v>
      </c>
      <c r="FD1522" s="118">
        <f t="shared" si="192"/>
        <v>15</v>
      </c>
      <c r="FE1522" s="118">
        <f t="shared" si="193"/>
        <v>95</v>
      </c>
      <c r="FF1522" s="118" t="str">
        <f t="shared" si="194"/>
        <v/>
      </c>
      <c r="FI1522" s="16">
        <v>1519</v>
      </c>
      <c r="FJ1522" s="17" t="str">
        <f t="shared" si="195"/>
        <v/>
      </c>
      <c r="FK1522" s="17" t="str">
        <f t="shared" si="191"/>
        <v/>
      </c>
      <c r="FL1522" s="18" t="str">
        <f t="shared" si="196"/>
        <v/>
      </c>
    </row>
    <row r="1523" spans="159:168">
      <c r="FC1523" s="118">
        <v>1520</v>
      </c>
      <c r="FD1523" s="118">
        <f t="shared" si="192"/>
        <v>16</v>
      </c>
      <c r="FE1523" s="118">
        <f t="shared" si="193"/>
        <v>95</v>
      </c>
      <c r="FF1523" s="118" t="str">
        <f t="shared" si="194"/>
        <v/>
      </c>
      <c r="FI1523" s="16">
        <v>1520</v>
      </c>
      <c r="FJ1523" s="17" t="str">
        <f t="shared" si="195"/>
        <v/>
      </c>
      <c r="FK1523" s="17" t="str">
        <f t="shared" si="191"/>
        <v/>
      </c>
      <c r="FL1523" s="18" t="str">
        <f t="shared" si="196"/>
        <v/>
      </c>
    </row>
    <row r="1524" spans="159:168">
      <c r="FC1524" s="118">
        <v>1521</v>
      </c>
      <c r="FD1524" s="118">
        <f t="shared" si="192"/>
        <v>1</v>
      </c>
      <c r="FE1524" s="118">
        <f t="shared" si="193"/>
        <v>96</v>
      </c>
      <c r="FF1524" s="118" t="str">
        <f t="shared" si="194"/>
        <v/>
      </c>
      <c r="FI1524" s="16">
        <v>1521</v>
      </c>
      <c r="FJ1524" s="17" t="str">
        <f t="shared" si="195"/>
        <v/>
      </c>
      <c r="FK1524" s="17" t="str">
        <f t="shared" si="191"/>
        <v/>
      </c>
      <c r="FL1524" s="18" t="str">
        <f t="shared" si="196"/>
        <v/>
      </c>
    </row>
    <row r="1525" spans="159:168">
      <c r="FC1525" s="118">
        <v>1522</v>
      </c>
      <c r="FD1525" s="118">
        <f t="shared" si="192"/>
        <v>2</v>
      </c>
      <c r="FE1525" s="118">
        <f t="shared" si="193"/>
        <v>96</v>
      </c>
      <c r="FF1525" s="118" t="str">
        <f t="shared" si="194"/>
        <v/>
      </c>
      <c r="FI1525" s="16">
        <v>1522</v>
      </c>
      <c r="FJ1525" s="17" t="str">
        <f t="shared" si="195"/>
        <v/>
      </c>
      <c r="FK1525" s="17" t="str">
        <f t="shared" si="191"/>
        <v/>
      </c>
      <c r="FL1525" s="18" t="str">
        <f t="shared" si="196"/>
        <v/>
      </c>
    </row>
    <row r="1526" spans="159:168">
      <c r="FC1526" s="118">
        <v>1523</v>
      </c>
      <c r="FD1526" s="118">
        <f t="shared" si="192"/>
        <v>3</v>
      </c>
      <c r="FE1526" s="118">
        <f t="shared" si="193"/>
        <v>96</v>
      </c>
      <c r="FF1526" s="118" t="str">
        <f t="shared" si="194"/>
        <v/>
      </c>
      <c r="FI1526" s="16">
        <v>1523</v>
      </c>
      <c r="FJ1526" s="17" t="str">
        <f t="shared" si="195"/>
        <v/>
      </c>
      <c r="FK1526" s="17" t="str">
        <f t="shared" si="191"/>
        <v/>
      </c>
      <c r="FL1526" s="18" t="str">
        <f t="shared" si="196"/>
        <v/>
      </c>
    </row>
    <row r="1527" spans="159:168">
      <c r="FC1527" s="118">
        <v>1524</v>
      </c>
      <c r="FD1527" s="118">
        <f t="shared" si="192"/>
        <v>4</v>
      </c>
      <c r="FE1527" s="118">
        <f t="shared" si="193"/>
        <v>96</v>
      </c>
      <c r="FF1527" s="118" t="str">
        <f t="shared" si="194"/>
        <v/>
      </c>
      <c r="FI1527" s="16">
        <v>1524</v>
      </c>
      <c r="FJ1527" s="17" t="str">
        <f t="shared" si="195"/>
        <v/>
      </c>
      <c r="FK1527" s="17" t="str">
        <f t="shared" si="191"/>
        <v/>
      </c>
      <c r="FL1527" s="18" t="str">
        <f t="shared" si="196"/>
        <v/>
      </c>
    </row>
    <row r="1528" spans="159:168">
      <c r="FC1528" s="118">
        <v>1525</v>
      </c>
      <c r="FD1528" s="118">
        <f t="shared" si="192"/>
        <v>5</v>
      </c>
      <c r="FE1528" s="118">
        <f t="shared" si="193"/>
        <v>96</v>
      </c>
      <c r="FF1528" s="118" t="str">
        <f t="shared" si="194"/>
        <v/>
      </c>
      <c r="FI1528" s="16">
        <v>1525</v>
      </c>
      <c r="FJ1528" s="17" t="str">
        <f t="shared" si="195"/>
        <v/>
      </c>
      <c r="FK1528" s="17" t="str">
        <f t="shared" si="191"/>
        <v/>
      </c>
      <c r="FL1528" s="18" t="str">
        <f t="shared" si="196"/>
        <v/>
      </c>
    </row>
    <row r="1529" spans="159:168">
      <c r="FC1529" s="118">
        <v>1526</v>
      </c>
      <c r="FD1529" s="118">
        <f t="shared" si="192"/>
        <v>6</v>
      </c>
      <c r="FE1529" s="118">
        <f t="shared" si="193"/>
        <v>96</v>
      </c>
      <c r="FF1529" s="118" t="str">
        <f t="shared" si="194"/>
        <v/>
      </c>
      <c r="FI1529" s="16">
        <v>1526</v>
      </c>
      <c r="FJ1529" s="17" t="str">
        <f t="shared" si="195"/>
        <v/>
      </c>
      <c r="FK1529" s="17" t="str">
        <f t="shared" si="191"/>
        <v/>
      </c>
      <c r="FL1529" s="18" t="str">
        <f t="shared" si="196"/>
        <v/>
      </c>
    </row>
    <row r="1530" spans="159:168">
      <c r="FC1530" s="118">
        <v>1527</v>
      </c>
      <c r="FD1530" s="118">
        <f t="shared" si="192"/>
        <v>7</v>
      </c>
      <c r="FE1530" s="118">
        <f t="shared" si="193"/>
        <v>96</v>
      </c>
      <c r="FF1530" s="118" t="str">
        <f t="shared" si="194"/>
        <v/>
      </c>
      <c r="FI1530" s="16">
        <v>1527</v>
      </c>
      <c r="FJ1530" s="17" t="str">
        <f t="shared" si="195"/>
        <v/>
      </c>
      <c r="FK1530" s="17" t="str">
        <f t="shared" si="191"/>
        <v/>
      </c>
      <c r="FL1530" s="18" t="str">
        <f t="shared" si="196"/>
        <v/>
      </c>
    </row>
    <row r="1531" spans="159:168">
      <c r="FC1531" s="118">
        <v>1528</v>
      </c>
      <c r="FD1531" s="118">
        <f t="shared" si="192"/>
        <v>8</v>
      </c>
      <c r="FE1531" s="118">
        <f t="shared" si="193"/>
        <v>96</v>
      </c>
      <c r="FF1531" s="118" t="str">
        <f t="shared" si="194"/>
        <v/>
      </c>
      <c r="FI1531" s="16">
        <v>1528</v>
      </c>
      <c r="FJ1531" s="17" t="str">
        <f t="shared" si="195"/>
        <v/>
      </c>
      <c r="FK1531" s="17" t="str">
        <f t="shared" si="191"/>
        <v/>
      </c>
      <c r="FL1531" s="18" t="str">
        <f t="shared" si="196"/>
        <v/>
      </c>
    </row>
    <row r="1532" spans="159:168">
      <c r="FC1532" s="118">
        <v>1529</v>
      </c>
      <c r="FD1532" s="118">
        <f t="shared" si="192"/>
        <v>9</v>
      </c>
      <c r="FE1532" s="118">
        <f t="shared" si="193"/>
        <v>96</v>
      </c>
      <c r="FF1532" s="118" t="str">
        <f t="shared" si="194"/>
        <v/>
      </c>
      <c r="FI1532" s="16">
        <v>1529</v>
      </c>
      <c r="FJ1532" s="17" t="str">
        <f t="shared" si="195"/>
        <v/>
      </c>
      <c r="FK1532" s="17" t="str">
        <f t="shared" si="191"/>
        <v/>
      </c>
      <c r="FL1532" s="18" t="str">
        <f t="shared" si="196"/>
        <v/>
      </c>
    </row>
    <row r="1533" spans="159:168">
      <c r="FC1533" s="118">
        <v>1530</v>
      </c>
      <c r="FD1533" s="118">
        <f t="shared" si="192"/>
        <v>10</v>
      </c>
      <c r="FE1533" s="118">
        <f t="shared" si="193"/>
        <v>96</v>
      </c>
      <c r="FF1533" s="118" t="str">
        <f t="shared" si="194"/>
        <v/>
      </c>
      <c r="FI1533" s="16">
        <v>1530</v>
      </c>
      <c r="FJ1533" s="17" t="str">
        <f t="shared" si="195"/>
        <v/>
      </c>
      <c r="FK1533" s="17" t="str">
        <f t="shared" si="191"/>
        <v/>
      </c>
      <c r="FL1533" s="18" t="str">
        <f t="shared" si="196"/>
        <v/>
      </c>
    </row>
    <row r="1534" spans="159:168">
      <c r="FC1534" s="118">
        <v>1531</v>
      </c>
      <c r="FD1534" s="118">
        <f t="shared" si="192"/>
        <v>11</v>
      </c>
      <c r="FE1534" s="118">
        <f t="shared" si="193"/>
        <v>96</v>
      </c>
      <c r="FF1534" s="118" t="str">
        <f t="shared" si="194"/>
        <v/>
      </c>
      <c r="FI1534" s="16">
        <v>1531</v>
      </c>
      <c r="FJ1534" s="17" t="str">
        <f t="shared" si="195"/>
        <v/>
      </c>
      <c r="FK1534" s="17" t="str">
        <f t="shared" si="191"/>
        <v/>
      </c>
      <c r="FL1534" s="18" t="str">
        <f t="shared" si="196"/>
        <v/>
      </c>
    </row>
    <row r="1535" spans="159:168">
      <c r="FC1535" s="118">
        <v>1532</v>
      </c>
      <c r="FD1535" s="118">
        <f t="shared" si="192"/>
        <v>12</v>
      </c>
      <c r="FE1535" s="118">
        <f t="shared" si="193"/>
        <v>96</v>
      </c>
      <c r="FF1535" s="118" t="str">
        <f t="shared" si="194"/>
        <v/>
      </c>
      <c r="FI1535" s="16">
        <v>1532</v>
      </c>
      <c r="FJ1535" s="17" t="str">
        <f t="shared" si="195"/>
        <v/>
      </c>
      <c r="FK1535" s="17" t="str">
        <f t="shared" si="191"/>
        <v/>
      </c>
      <c r="FL1535" s="18" t="str">
        <f t="shared" si="196"/>
        <v/>
      </c>
    </row>
    <row r="1536" spans="159:168">
      <c r="FC1536" s="118">
        <v>1533</v>
      </c>
      <c r="FD1536" s="118">
        <f t="shared" si="192"/>
        <v>13</v>
      </c>
      <c r="FE1536" s="118">
        <f t="shared" si="193"/>
        <v>96</v>
      </c>
      <c r="FF1536" s="118" t="str">
        <f t="shared" si="194"/>
        <v/>
      </c>
      <c r="FI1536" s="16">
        <v>1533</v>
      </c>
      <c r="FJ1536" s="17" t="str">
        <f t="shared" si="195"/>
        <v/>
      </c>
      <c r="FK1536" s="17" t="str">
        <f t="shared" si="191"/>
        <v/>
      </c>
      <c r="FL1536" s="18" t="str">
        <f t="shared" si="196"/>
        <v/>
      </c>
    </row>
    <row r="1537" spans="159:168">
      <c r="FC1537" s="118">
        <v>1534</v>
      </c>
      <c r="FD1537" s="118">
        <f t="shared" si="192"/>
        <v>14</v>
      </c>
      <c r="FE1537" s="118">
        <f t="shared" si="193"/>
        <v>96</v>
      </c>
      <c r="FF1537" s="118" t="str">
        <f t="shared" si="194"/>
        <v/>
      </c>
      <c r="FI1537" s="16">
        <v>1534</v>
      </c>
      <c r="FJ1537" s="17" t="str">
        <f t="shared" si="195"/>
        <v/>
      </c>
      <c r="FK1537" s="17" t="str">
        <f t="shared" si="191"/>
        <v/>
      </c>
      <c r="FL1537" s="18" t="str">
        <f t="shared" si="196"/>
        <v/>
      </c>
    </row>
    <row r="1538" spans="159:168">
      <c r="FC1538" s="118">
        <v>1535</v>
      </c>
      <c r="FD1538" s="118">
        <f t="shared" si="192"/>
        <v>15</v>
      </c>
      <c r="FE1538" s="118">
        <f t="shared" si="193"/>
        <v>96</v>
      </c>
      <c r="FF1538" s="118" t="str">
        <f t="shared" si="194"/>
        <v/>
      </c>
      <c r="FI1538" s="16">
        <v>1535</v>
      </c>
      <c r="FJ1538" s="17" t="str">
        <f t="shared" si="195"/>
        <v/>
      </c>
      <c r="FK1538" s="17" t="str">
        <f t="shared" si="191"/>
        <v/>
      </c>
      <c r="FL1538" s="18" t="str">
        <f t="shared" si="196"/>
        <v/>
      </c>
    </row>
    <row r="1539" spans="159:168">
      <c r="FC1539" s="118">
        <v>1536</v>
      </c>
      <c r="FD1539" s="118">
        <f t="shared" si="192"/>
        <v>16</v>
      </c>
      <c r="FE1539" s="118">
        <f t="shared" si="193"/>
        <v>96</v>
      </c>
      <c r="FF1539" s="118" t="str">
        <f t="shared" si="194"/>
        <v/>
      </c>
      <c r="FI1539" s="16">
        <v>1536</v>
      </c>
      <c r="FJ1539" s="17" t="str">
        <f t="shared" si="195"/>
        <v/>
      </c>
      <c r="FK1539" s="17" t="str">
        <f t="shared" si="191"/>
        <v/>
      </c>
      <c r="FL1539" s="18" t="str">
        <f t="shared" si="196"/>
        <v/>
      </c>
    </row>
    <row r="1540" spans="159:168">
      <c r="FC1540" s="118">
        <v>1537</v>
      </c>
      <c r="FD1540" s="118">
        <f t="shared" si="192"/>
        <v>1</v>
      </c>
      <c r="FE1540" s="118">
        <f t="shared" si="193"/>
        <v>97</v>
      </c>
      <c r="FF1540" s="118" t="str">
        <f t="shared" si="194"/>
        <v/>
      </c>
      <c r="FI1540" s="16">
        <v>1537</v>
      </c>
      <c r="FJ1540" s="17" t="str">
        <f t="shared" si="195"/>
        <v/>
      </c>
      <c r="FK1540" s="17" t="str">
        <f t="shared" si="191"/>
        <v/>
      </c>
      <c r="FL1540" s="18" t="str">
        <f t="shared" si="196"/>
        <v/>
      </c>
    </row>
    <row r="1541" spans="159:168">
      <c r="FC1541" s="118">
        <v>1538</v>
      </c>
      <c r="FD1541" s="118">
        <f t="shared" si="192"/>
        <v>2</v>
      </c>
      <c r="FE1541" s="118">
        <f t="shared" si="193"/>
        <v>97</v>
      </c>
      <c r="FF1541" s="118" t="str">
        <f t="shared" si="194"/>
        <v/>
      </c>
      <c r="FI1541" s="16">
        <v>1538</v>
      </c>
      <c r="FJ1541" s="17" t="str">
        <f t="shared" si="195"/>
        <v/>
      </c>
      <c r="FK1541" s="17" t="str">
        <f t="shared" ref="FK1541:FK1604" si="197">IF(FI1541&lt;=$FH$2,FF1541,IF(FI1541&lt;=$FH$2+$FH$3,INDEX($FJ$4:$FJ$2494,FI1541-$FH$2),""))</f>
        <v/>
      </c>
      <c r="FL1541" s="18" t="str">
        <f t="shared" si="196"/>
        <v/>
      </c>
    </row>
    <row r="1542" spans="159:168">
      <c r="FC1542" s="118">
        <v>1539</v>
      </c>
      <c r="FD1542" s="118">
        <f t="shared" si="192"/>
        <v>3</v>
      </c>
      <c r="FE1542" s="118">
        <f t="shared" si="193"/>
        <v>97</v>
      </c>
      <c r="FF1542" s="118" t="str">
        <f t="shared" si="194"/>
        <v/>
      </c>
      <c r="FI1542" s="16">
        <v>1539</v>
      </c>
      <c r="FJ1542" s="17" t="str">
        <f t="shared" si="195"/>
        <v/>
      </c>
      <c r="FK1542" s="17" t="str">
        <f t="shared" si="197"/>
        <v/>
      </c>
      <c r="FL1542" s="18" t="str">
        <f t="shared" si="196"/>
        <v/>
      </c>
    </row>
    <row r="1543" spans="159:168">
      <c r="FC1543" s="118">
        <v>1540</v>
      </c>
      <c r="FD1543" s="118">
        <f t="shared" si="192"/>
        <v>4</v>
      </c>
      <c r="FE1543" s="118">
        <f t="shared" si="193"/>
        <v>97</v>
      </c>
      <c r="FF1543" s="118" t="str">
        <f t="shared" si="194"/>
        <v/>
      </c>
      <c r="FI1543" s="16">
        <v>1540</v>
      </c>
      <c r="FJ1543" s="17" t="str">
        <f t="shared" si="195"/>
        <v/>
      </c>
      <c r="FK1543" s="17" t="str">
        <f t="shared" si="197"/>
        <v/>
      </c>
      <c r="FL1543" s="18" t="str">
        <f t="shared" si="196"/>
        <v/>
      </c>
    </row>
    <row r="1544" spans="159:168">
      <c r="FC1544" s="118">
        <v>1541</v>
      </c>
      <c r="FD1544" s="118">
        <f t="shared" si="192"/>
        <v>5</v>
      </c>
      <c r="FE1544" s="118">
        <f t="shared" si="193"/>
        <v>97</v>
      </c>
      <c r="FF1544" s="118" t="str">
        <f t="shared" si="194"/>
        <v/>
      </c>
      <c r="FI1544" s="16">
        <v>1541</v>
      </c>
      <c r="FJ1544" s="17" t="str">
        <f t="shared" si="195"/>
        <v/>
      </c>
      <c r="FK1544" s="17" t="str">
        <f t="shared" si="197"/>
        <v/>
      </c>
      <c r="FL1544" s="18" t="str">
        <f t="shared" si="196"/>
        <v/>
      </c>
    </row>
    <row r="1545" spans="159:168">
      <c r="FC1545" s="118">
        <v>1542</v>
      </c>
      <c r="FD1545" s="118">
        <f t="shared" si="192"/>
        <v>6</v>
      </c>
      <c r="FE1545" s="118">
        <f t="shared" si="193"/>
        <v>97</v>
      </c>
      <c r="FF1545" s="118" t="str">
        <f t="shared" si="194"/>
        <v/>
      </c>
      <c r="FI1545" s="16">
        <v>1542</v>
      </c>
      <c r="FJ1545" s="17" t="str">
        <f t="shared" si="195"/>
        <v/>
      </c>
      <c r="FK1545" s="17" t="str">
        <f t="shared" si="197"/>
        <v/>
      </c>
      <c r="FL1545" s="18" t="str">
        <f t="shared" si="196"/>
        <v/>
      </c>
    </row>
    <row r="1546" spans="159:168">
      <c r="FC1546" s="118">
        <v>1543</v>
      </c>
      <c r="FD1546" s="118">
        <f t="shared" si="192"/>
        <v>7</v>
      </c>
      <c r="FE1546" s="118">
        <f t="shared" si="193"/>
        <v>97</v>
      </c>
      <c r="FF1546" s="118" t="str">
        <f t="shared" si="194"/>
        <v/>
      </c>
      <c r="FI1546" s="16">
        <v>1543</v>
      </c>
      <c r="FJ1546" s="17" t="str">
        <f t="shared" si="195"/>
        <v/>
      </c>
      <c r="FK1546" s="17" t="str">
        <f t="shared" si="197"/>
        <v/>
      </c>
      <c r="FL1546" s="18" t="str">
        <f t="shared" si="196"/>
        <v/>
      </c>
    </row>
    <row r="1547" spans="159:168">
      <c r="FC1547" s="118">
        <v>1544</v>
      </c>
      <c r="FD1547" s="118">
        <f t="shared" si="192"/>
        <v>8</v>
      </c>
      <c r="FE1547" s="118">
        <f t="shared" si="193"/>
        <v>97</v>
      </c>
      <c r="FF1547" s="118" t="str">
        <f t="shared" si="194"/>
        <v/>
      </c>
      <c r="FI1547" s="16">
        <v>1544</v>
      </c>
      <c r="FJ1547" s="17" t="str">
        <f t="shared" si="195"/>
        <v/>
      </c>
      <c r="FK1547" s="17" t="str">
        <f t="shared" si="197"/>
        <v/>
      </c>
      <c r="FL1547" s="18" t="str">
        <f t="shared" si="196"/>
        <v/>
      </c>
    </row>
    <row r="1548" spans="159:168">
      <c r="FC1548" s="118">
        <v>1545</v>
      </c>
      <c r="FD1548" s="118">
        <f t="shared" si="192"/>
        <v>9</v>
      </c>
      <c r="FE1548" s="118">
        <f t="shared" si="193"/>
        <v>97</v>
      </c>
      <c r="FF1548" s="118" t="str">
        <f t="shared" si="194"/>
        <v/>
      </c>
      <c r="FI1548" s="16">
        <v>1545</v>
      </c>
      <c r="FJ1548" s="17" t="str">
        <f t="shared" si="195"/>
        <v/>
      </c>
      <c r="FK1548" s="17" t="str">
        <f t="shared" si="197"/>
        <v/>
      </c>
      <c r="FL1548" s="18" t="str">
        <f t="shared" si="196"/>
        <v/>
      </c>
    </row>
    <row r="1549" spans="159:168">
      <c r="FC1549" s="118">
        <v>1546</v>
      </c>
      <c r="FD1549" s="118">
        <f t="shared" si="192"/>
        <v>10</v>
      </c>
      <c r="FE1549" s="118">
        <f t="shared" si="193"/>
        <v>97</v>
      </c>
      <c r="FF1549" s="118" t="str">
        <f t="shared" si="194"/>
        <v/>
      </c>
      <c r="FI1549" s="16">
        <v>1546</v>
      </c>
      <c r="FJ1549" s="17" t="str">
        <f t="shared" si="195"/>
        <v/>
      </c>
      <c r="FK1549" s="17" t="str">
        <f t="shared" si="197"/>
        <v/>
      </c>
      <c r="FL1549" s="18" t="str">
        <f t="shared" si="196"/>
        <v/>
      </c>
    </row>
    <row r="1550" spans="159:168">
      <c r="FC1550" s="118">
        <v>1547</v>
      </c>
      <c r="FD1550" s="118">
        <f t="shared" si="192"/>
        <v>11</v>
      </c>
      <c r="FE1550" s="118">
        <f t="shared" si="193"/>
        <v>97</v>
      </c>
      <c r="FF1550" s="118" t="str">
        <f t="shared" si="194"/>
        <v/>
      </c>
      <c r="FI1550" s="16">
        <v>1547</v>
      </c>
      <c r="FJ1550" s="17" t="str">
        <f t="shared" si="195"/>
        <v/>
      </c>
      <c r="FK1550" s="17" t="str">
        <f t="shared" si="197"/>
        <v/>
      </c>
      <c r="FL1550" s="18" t="str">
        <f t="shared" si="196"/>
        <v/>
      </c>
    </row>
    <row r="1551" spans="159:168">
      <c r="FC1551" s="118">
        <v>1548</v>
      </c>
      <c r="FD1551" s="118">
        <f t="shared" si="192"/>
        <v>12</v>
      </c>
      <c r="FE1551" s="118">
        <f t="shared" si="193"/>
        <v>97</v>
      </c>
      <c r="FF1551" s="118" t="str">
        <f t="shared" si="194"/>
        <v/>
      </c>
      <c r="FI1551" s="16">
        <v>1548</v>
      </c>
      <c r="FJ1551" s="17" t="str">
        <f t="shared" si="195"/>
        <v/>
      </c>
      <c r="FK1551" s="17" t="str">
        <f t="shared" si="197"/>
        <v/>
      </c>
      <c r="FL1551" s="18" t="str">
        <f t="shared" si="196"/>
        <v/>
      </c>
    </row>
    <row r="1552" spans="159:168">
      <c r="FC1552" s="118">
        <v>1549</v>
      </c>
      <c r="FD1552" s="118">
        <f t="shared" si="192"/>
        <v>13</v>
      </c>
      <c r="FE1552" s="118">
        <f t="shared" si="193"/>
        <v>97</v>
      </c>
      <c r="FF1552" s="118" t="str">
        <f t="shared" si="194"/>
        <v/>
      </c>
      <c r="FI1552" s="16">
        <v>1549</v>
      </c>
      <c r="FJ1552" s="17" t="str">
        <f t="shared" si="195"/>
        <v/>
      </c>
      <c r="FK1552" s="17" t="str">
        <f t="shared" si="197"/>
        <v/>
      </c>
      <c r="FL1552" s="18" t="str">
        <f t="shared" si="196"/>
        <v/>
      </c>
    </row>
    <row r="1553" spans="159:168">
      <c r="FC1553" s="118">
        <v>1550</v>
      </c>
      <c r="FD1553" s="118">
        <f t="shared" si="192"/>
        <v>14</v>
      </c>
      <c r="FE1553" s="118">
        <f t="shared" si="193"/>
        <v>97</v>
      </c>
      <c r="FF1553" s="118" t="str">
        <f t="shared" si="194"/>
        <v/>
      </c>
      <c r="FI1553" s="16">
        <v>1550</v>
      </c>
      <c r="FJ1553" s="17" t="str">
        <f t="shared" si="195"/>
        <v/>
      </c>
      <c r="FK1553" s="17" t="str">
        <f t="shared" si="197"/>
        <v/>
      </c>
      <c r="FL1553" s="18" t="str">
        <f t="shared" si="196"/>
        <v/>
      </c>
    </row>
    <row r="1554" spans="159:168">
      <c r="FC1554" s="118">
        <v>1551</v>
      </c>
      <c r="FD1554" s="118">
        <f t="shared" si="192"/>
        <v>15</v>
      </c>
      <c r="FE1554" s="118">
        <f t="shared" si="193"/>
        <v>97</v>
      </c>
      <c r="FF1554" s="118" t="str">
        <f t="shared" si="194"/>
        <v/>
      </c>
      <c r="FI1554" s="16">
        <v>1551</v>
      </c>
      <c r="FJ1554" s="17" t="str">
        <f t="shared" si="195"/>
        <v/>
      </c>
      <c r="FK1554" s="17" t="str">
        <f t="shared" si="197"/>
        <v/>
      </c>
      <c r="FL1554" s="18" t="str">
        <f t="shared" si="196"/>
        <v/>
      </c>
    </row>
    <row r="1555" spans="159:168">
      <c r="FC1555" s="118">
        <v>1552</v>
      </c>
      <c r="FD1555" s="118">
        <f t="shared" si="192"/>
        <v>16</v>
      </c>
      <c r="FE1555" s="118">
        <f t="shared" si="193"/>
        <v>97</v>
      </c>
      <c r="FF1555" s="118" t="str">
        <f t="shared" si="194"/>
        <v/>
      </c>
      <c r="FI1555" s="16">
        <v>1552</v>
      </c>
      <c r="FJ1555" s="17" t="str">
        <f t="shared" si="195"/>
        <v/>
      </c>
      <c r="FK1555" s="17" t="str">
        <f t="shared" si="197"/>
        <v/>
      </c>
      <c r="FL1555" s="18" t="str">
        <f t="shared" si="196"/>
        <v/>
      </c>
    </row>
    <row r="1556" spans="159:168">
      <c r="FC1556" s="118">
        <v>1553</v>
      </c>
      <c r="FD1556" s="118">
        <f t="shared" si="192"/>
        <v>1</v>
      </c>
      <c r="FE1556" s="118">
        <f t="shared" si="193"/>
        <v>98</v>
      </c>
      <c r="FF1556" s="118" t="str">
        <f t="shared" si="194"/>
        <v/>
      </c>
      <c r="FI1556" s="16">
        <v>1553</v>
      </c>
      <c r="FJ1556" s="17" t="str">
        <f t="shared" si="195"/>
        <v/>
      </c>
      <c r="FK1556" s="17" t="str">
        <f t="shared" si="197"/>
        <v/>
      </c>
      <c r="FL1556" s="18" t="str">
        <f t="shared" si="196"/>
        <v/>
      </c>
    </row>
    <row r="1557" spans="159:168">
      <c r="FC1557" s="118">
        <v>1554</v>
      </c>
      <c r="FD1557" s="118">
        <f t="shared" si="192"/>
        <v>2</v>
      </c>
      <c r="FE1557" s="118">
        <f t="shared" si="193"/>
        <v>98</v>
      </c>
      <c r="FF1557" s="118" t="str">
        <f t="shared" si="194"/>
        <v/>
      </c>
      <c r="FI1557" s="16">
        <v>1554</v>
      </c>
      <c r="FJ1557" s="17" t="str">
        <f t="shared" si="195"/>
        <v/>
      </c>
      <c r="FK1557" s="17" t="str">
        <f t="shared" si="197"/>
        <v/>
      </c>
      <c r="FL1557" s="18" t="str">
        <f t="shared" si="196"/>
        <v/>
      </c>
    </row>
    <row r="1558" spans="159:168">
      <c r="FC1558" s="118">
        <v>1555</v>
      </c>
      <c r="FD1558" s="118">
        <f t="shared" ref="FD1558:FD1621" si="198">IF(MOD(FC1558,$FB$1+$FB$2)=0,$FB$1+$FB$2,MOD(FC1558,$FB$1+$FB$2))</f>
        <v>3</v>
      </c>
      <c r="FE1558" s="118">
        <f t="shared" ref="FE1558:FE1621" si="199">ROUNDUP(FC1558/($FB$1+$FB$2),0)</f>
        <v>98</v>
      </c>
      <c r="FF1558" s="118" t="str">
        <f t="shared" ref="FF1558:FF1621" si="200">IF(FE1558&lt;$FB$3,INDEX($E$4:$DV$84,FD1558,FE1558),IF(FE1558=$FB$3,INDEX($E$4:$DV$84,FD1558+$FB$1,FE1558),""))</f>
        <v/>
      </c>
      <c r="FI1558" s="16">
        <v>1555</v>
      </c>
      <c r="FJ1558" s="17" t="str">
        <f t="shared" ref="FJ1558:FJ1621" si="201">IF(FE1558&lt;=$FH$1,INDEX($DW$4:$EZ$84,FD1558,FE1558),"")</f>
        <v/>
      </c>
      <c r="FK1558" s="17" t="str">
        <f t="shared" si="197"/>
        <v/>
      </c>
      <c r="FL1558" s="18" t="str">
        <f t="shared" ref="FL1558:FL1621" si="202">IFERROR(TEXT(DEC2BIN(FK1558),"00000000"),"")</f>
        <v/>
      </c>
    </row>
    <row r="1559" spans="159:168">
      <c r="FC1559" s="118">
        <v>1556</v>
      </c>
      <c r="FD1559" s="118">
        <f t="shared" si="198"/>
        <v>4</v>
      </c>
      <c r="FE1559" s="118">
        <f t="shared" si="199"/>
        <v>98</v>
      </c>
      <c r="FF1559" s="118" t="str">
        <f t="shared" si="200"/>
        <v/>
      </c>
      <c r="FI1559" s="16">
        <v>1556</v>
      </c>
      <c r="FJ1559" s="17" t="str">
        <f t="shared" si="201"/>
        <v/>
      </c>
      <c r="FK1559" s="17" t="str">
        <f t="shared" si="197"/>
        <v/>
      </c>
      <c r="FL1559" s="18" t="str">
        <f t="shared" si="202"/>
        <v/>
      </c>
    </row>
    <row r="1560" spans="159:168">
      <c r="FC1560" s="118">
        <v>1557</v>
      </c>
      <c r="FD1560" s="118">
        <f t="shared" si="198"/>
        <v>5</v>
      </c>
      <c r="FE1560" s="118">
        <f t="shared" si="199"/>
        <v>98</v>
      </c>
      <c r="FF1560" s="118" t="str">
        <f t="shared" si="200"/>
        <v/>
      </c>
      <c r="FI1560" s="16">
        <v>1557</v>
      </c>
      <c r="FJ1560" s="17" t="str">
        <f t="shared" si="201"/>
        <v/>
      </c>
      <c r="FK1560" s="17" t="str">
        <f t="shared" si="197"/>
        <v/>
      </c>
      <c r="FL1560" s="18" t="str">
        <f t="shared" si="202"/>
        <v/>
      </c>
    </row>
    <row r="1561" spans="159:168">
      <c r="FC1561" s="118">
        <v>1558</v>
      </c>
      <c r="FD1561" s="118">
        <f t="shared" si="198"/>
        <v>6</v>
      </c>
      <c r="FE1561" s="118">
        <f t="shared" si="199"/>
        <v>98</v>
      </c>
      <c r="FF1561" s="118" t="str">
        <f t="shared" si="200"/>
        <v/>
      </c>
      <c r="FI1561" s="16">
        <v>1558</v>
      </c>
      <c r="FJ1561" s="17" t="str">
        <f t="shared" si="201"/>
        <v/>
      </c>
      <c r="FK1561" s="17" t="str">
        <f t="shared" si="197"/>
        <v/>
      </c>
      <c r="FL1561" s="18" t="str">
        <f t="shared" si="202"/>
        <v/>
      </c>
    </row>
    <row r="1562" spans="159:168">
      <c r="FC1562" s="118">
        <v>1559</v>
      </c>
      <c r="FD1562" s="118">
        <f t="shared" si="198"/>
        <v>7</v>
      </c>
      <c r="FE1562" s="118">
        <f t="shared" si="199"/>
        <v>98</v>
      </c>
      <c r="FF1562" s="118" t="str">
        <f t="shared" si="200"/>
        <v/>
      </c>
      <c r="FI1562" s="16">
        <v>1559</v>
      </c>
      <c r="FJ1562" s="17" t="str">
        <f t="shared" si="201"/>
        <v/>
      </c>
      <c r="FK1562" s="17" t="str">
        <f t="shared" si="197"/>
        <v/>
      </c>
      <c r="FL1562" s="18" t="str">
        <f t="shared" si="202"/>
        <v/>
      </c>
    </row>
    <row r="1563" spans="159:168">
      <c r="FC1563" s="118">
        <v>1560</v>
      </c>
      <c r="FD1563" s="118">
        <f t="shared" si="198"/>
        <v>8</v>
      </c>
      <c r="FE1563" s="118">
        <f t="shared" si="199"/>
        <v>98</v>
      </c>
      <c r="FF1563" s="118" t="str">
        <f t="shared" si="200"/>
        <v/>
      </c>
      <c r="FI1563" s="16">
        <v>1560</v>
      </c>
      <c r="FJ1563" s="17" t="str">
        <f t="shared" si="201"/>
        <v/>
      </c>
      <c r="FK1563" s="17" t="str">
        <f t="shared" si="197"/>
        <v/>
      </c>
      <c r="FL1563" s="18" t="str">
        <f t="shared" si="202"/>
        <v/>
      </c>
    </row>
    <row r="1564" spans="159:168">
      <c r="FC1564" s="118">
        <v>1561</v>
      </c>
      <c r="FD1564" s="118">
        <f t="shared" si="198"/>
        <v>9</v>
      </c>
      <c r="FE1564" s="118">
        <f t="shared" si="199"/>
        <v>98</v>
      </c>
      <c r="FF1564" s="118" t="str">
        <f t="shared" si="200"/>
        <v/>
      </c>
      <c r="FI1564" s="16">
        <v>1561</v>
      </c>
      <c r="FJ1564" s="17" t="str">
        <f t="shared" si="201"/>
        <v/>
      </c>
      <c r="FK1564" s="17" t="str">
        <f t="shared" si="197"/>
        <v/>
      </c>
      <c r="FL1564" s="18" t="str">
        <f t="shared" si="202"/>
        <v/>
      </c>
    </row>
    <row r="1565" spans="159:168">
      <c r="FC1565" s="118">
        <v>1562</v>
      </c>
      <c r="FD1565" s="118">
        <f t="shared" si="198"/>
        <v>10</v>
      </c>
      <c r="FE1565" s="118">
        <f t="shared" si="199"/>
        <v>98</v>
      </c>
      <c r="FF1565" s="118" t="str">
        <f t="shared" si="200"/>
        <v/>
      </c>
      <c r="FI1565" s="16">
        <v>1562</v>
      </c>
      <c r="FJ1565" s="17" t="str">
        <f t="shared" si="201"/>
        <v/>
      </c>
      <c r="FK1565" s="17" t="str">
        <f t="shared" si="197"/>
        <v/>
      </c>
      <c r="FL1565" s="18" t="str">
        <f t="shared" si="202"/>
        <v/>
      </c>
    </row>
    <row r="1566" spans="159:168">
      <c r="FC1566" s="118">
        <v>1563</v>
      </c>
      <c r="FD1566" s="118">
        <f t="shared" si="198"/>
        <v>11</v>
      </c>
      <c r="FE1566" s="118">
        <f t="shared" si="199"/>
        <v>98</v>
      </c>
      <c r="FF1566" s="118" t="str">
        <f t="shared" si="200"/>
        <v/>
      </c>
      <c r="FI1566" s="16">
        <v>1563</v>
      </c>
      <c r="FJ1566" s="17" t="str">
        <f t="shared" si="201"/>
        <v/>
      </c>
      <c r="FK1566" s="17" t="str">
        <f t="shared" si="197"/>
        <v/>
      </c>
      <c r="FL1566" s="18" t="str">
        <f t="shared" si="202"/>
        <v/>
      </c>
    </row>
    <row r="1567" spans="159:168">
      <c r="FC1567" s="118">
        <v>1564</v>
      </c>
      <c r="FD1567" s="118">
        <f t="shared" si="198"/>
        <v>12</v>
      </c>
      <c r="FE1567" s="118">
        <f t="shared" si="199"/>
        <v>98</v>
      </c>
      <c r="FF1567" s="118" t="str">
        <f t="shared" si="200"/>
        <v/>
      </c>
      <c r="FI1567" s="16">
        <v>1564</v>
      </c>
      <c r="FJ1567" s="17" t="str">
        <f t="shared" si="201"/>
        <v/>
      </c>
      <c r="FK1567" s="17" t="str">
        <f t="shared" si="197"/>
        <v/>
      </c>
      <c r="FL1567" s="18" t="str">
        <f t="shared" si="202"/>
        <v/>
      </c>
    </row>
    <row r="1568" spans="159:168">
      <c r="FC1568" s="118">
        <v>1565</v>
      </c>
      <c r="FD1568" s="118">
        <f t="shared" si="198"/>
        <v>13</v>
      </c>
      <c r="FE1568" s="118">
        <f t="shared" si="199"/>
        <v>98</v>
      </c>
      <c r="FF1568" s="118" t="str">
        <f t="shared" si="200"/>
        <v/>
      </c>
      <c r="FI1568" s="16">
        <v>1565</v>
      </c>
      <c r="FJ1568" s="17" t="str">
        <f t="shared" si="201"/>
        <v/>
      </c>
      <c r="FK1568" s="17" t="str">
        <f t="shared" si="197"/>
        <v/>
      </c>
      <c r="FL1568" s="18" t="str">
        <f t="shared" si="202"/>
        <v/>
      </c>
    </row>
    <row r="1569" spans="159:168">
      <c r="FC1569" s="118">
        <v>1566</v>
      </c>
      <c r="FD1569" s="118">
        <f t="shared" si="198"/>
        <v>14</v>
      </c>
      <c r="FE1569" s="118">
        <f t="shared" si="199"/>
        <v>98</v>
      </c>
      <c r="FF1569" s="118" t="str">
        <f t="shared" si="200"/>
        <v/>
      </c>
      <c r="FI1569" s="16">
        <v>1566</v>
      </c>
      <c r="FJ1569" s="17" t="str">
        <f t="shared" si="201"/>
        <v/>
      </c>
      <c r="FK1569" s="17" t="str">
        <f t="shared" si="197"/>
        <v/>
      </c>
      <c r="FL1569" s="18" t="str">
        <f t="shared" si="202"/>
        <v/>
      </c>
    </row>
    <row r="1570" spans="159:168">
      <c r="FC1570" s="118">
        <v>1567</v>
      </c>
      <c r="FD1570" s="118">
        <f t="shared" si="198"/>
        <v>15</v>
      </c>
      <c r="FE1570" s="118">
        <f t="shared" si="199"/>
        <v>98</v>
      </c>
      <c r="FF1570" s="118" t="str">
        <f t="shared" si="200"/>
        <v/>
      </c>
      <c r="FI1570" s="16">
        <v>1567</v>
      </c>
      <c r="FJ1570" s="17" t="str">
        <f t="shared" si="201"/>
        <v/>
      </c>
      <c r="FK1570" s="17" t="str">
        <f t="shared" si="197"/>
        <v/>
      </c>
      <c r="FL1570" s="18" t="str">
        <f t="shared" si="202"/>
        <v/>
      </c>
    </row>
    <row r="1571" spans="159:168">
      <c r="FC1571" s="118">
        <v>1568</v>
      </c>
      <c r="FD1571" s="118">
        <f t="shared" si="198"/>
        <v>16</v>
      </c>
      <c r="FE1571" s="118">
        <f t="shared" si="199"/>
        <v>98</v>
      </c>
      <c r="FF1571" s="118" t="str">
        <f t="shared" si="200"/>
        <v/>
      </c>
      <c r="FI1571" s="16">
        <v>1568</v>
      </c>
      <c r="FJ1571" s="17" t="str">
        <f t="shared" si="201"/>
        <v/>
      </c>
      <c r="FK1571" s="17" t="str">
        <f t="shared" si="197"/>
        <v/>
      </c>
      <c r="FL1571" s="18" t="str">
        <f t="shared" si="202"/>
        <v/>
      </c>
    </row>
    <row r="1572" spans="159:168">
      <c r="FC1572" s="118">
        <v>1569</v>
      </c>
      <c r="FD1572" s="118">
        <f t="shared" si="198"/>
        <v>1</v>
      </c>
      <c r="FE1572" s="118">
        <f t="shared" si="199"/>
        <v>99</v>
      </c>
      <c r="FF1572" s="118" t="str">
        <f t="shared" si="200"/>
        <v/>
      </c>
      <c r="FI1572" s="16">
        <v>1569</v>
      </c>
      <c r="FJ1572" s="17" t="str">
        <f t="shared" si="201"/>
        <v/>
      </c>
      <c r="FK1572" s="17" t="str">
        <f t="shared" si="197"/>
        <v/>
      </c>
      <c r="FL1572" s="18" t="str">
        <f t="shared" si="202"/>
        <v/>
      </c>
    </row>
    <row r="1573" spans="159:168">
      <c r="FC1573" s="118">
        <v>1570</v>
      </c>
      <c r="FD1573" s="118">
        <f t="shared" si="198"/>
        <v>2</v>
      </c>
      <c r="FE1573" s="118">
        <f t="shared" si="199"/>
        <v>99</v>
      </c>
      <c r="FF1573" s="118" t="str">
        <f t="shared" si="200"/>
        <v/>
      </c>
      <c r="FI1573" s="16">
        <v>1570</v>
      </c>
      <c r="FJ1573" s="17" t="str">
        <f t="shared" si="201"/>
        <v/>
      </c>
      <c r="FK1573" s="17" t="str">
        <f t="shared" si="197"/>
        <v/>
      </c>
      <c r="FL1573" s="18" t="str">
        <f t="shared" si="202"/>
        <v/>
      </c>
    </row>
    <row r="1574" spans="159:168">
      <c r="FC1574" s="118">
        <v>1571</v>
      </c>
      <c r="FD1574" s="118">
        <f t="shared" si="198"/>
        <v>3</v>
      </c>
      <c r="FE1574" s="118">
        <f t="shared" si="199"/>
        <v>99</v>
      </c>
      <c r="FF1574" s="118" t="str">
        <f t="shared" si="200"/>
        <v/>
      </c>
      <c r="FI1574" s="16">
        <v>1571</v>
      </c>
      <c r="FJ1574" s="17" t="str">
        <f t="shared" si="201"/>
        <v/>
      </c>
      <c r="FK1574" s="17" t="str">
        <f t="shared" si="197"/>
        <v/>
      </c>
      <c r="FL1574" s="18" t="str">
        <f t="shared" si="202"/>
        <v/>
      </c>
    </row>
    <row r="1575" spans="159:168">
      <c r="FC1575" s="118">
        <v>1572</v>
      </c>
      <c r="FD1575" s="118">
        <f t="shared" si="198"/>
        <v>4</v>
      </c>
      <c r="FE1575" s="118">
        <f t="shared" si="199"/>
        <v>99</v>
      </c>
      <c r="FF1575" s="118" t="str">
        <f t="shared" si="200"/>
        <v/>
      </c>
      <c r="FI1575" s="16">
        <v>1572</v>
      </c>
      <c r="FJ1575" s="17" t="str">
        <f t="shared" si="201"/>
        <v/>
      </c>
      <c r="FK1575" s="17" t="str">
        <f t="shared" si="197"/>
        <v/>
      </c>
      <c r="FL1575" s="18" t="str">
        <f t="shared" si="202"/>
        <v/>
      </c>
    </row>
    <row r="1576" spans="159:168">
      <c r="FC1576" s="118">
        <v>1573</v>
      </c>
      <c r="FD1576" s="118">
        <f t="shared" si="198"/>
        <v>5</v>
      </c>
      <c r="FE1576" s="118">
        <f t="shared" si="199"/>
        <v>99</v>
      </c>
      <c r="FF1576" s="118" t="str">
        <f t="shared" si="200"/>
        <v/>
      </c>
      <c r="FI1576" s="16">
        <v>1573</v>
      </c>
      <c r="FJ1576" s="17" t="str">
        <f t="shared" si="201"/>
        <v/>
      </c>
      <c r="FK1576" s="17" t="str">
        <f t="shared" si="197"/>
        <v/>
      </c>
      <c r="FL1576" s="18" t="str">
        <f t="shared" si="202"/>
        <v/>
      </c>
    </row>
    <row r="1577" spans="159:168">
      <c r="FC1577" s="118">
        <v>1574</v>
      </c>
      <c r="FD1577" s="118">
        <f t="shared" si="198"/>
        <v>6</v>
      </c>
      <c r="FE1577" s="118">
        <f t="shared" si="199"/>
        <v>99</v>
      </c>
      <c r="FF1577" s="118" t="str">
        <f t="shared" si="200"/>
        <v/>
      </c>
      <c r="FI1577" s="16">
        <v>1574</v>
      </c>
      <c r="FJ1577" s="17" t="str">
        <f t="shared" si="201"/>
        <v/>
      </c>
      <c r="FK1577" s="17" t="str">
        <f t="shared" si="197"/>
        <v/>
      </c>
      <c r="FL1577" s="18" t="str">
        <f t="shared" si="202"/>
        <v/>
      </c>
    </row>
    <row r="1578" spans="159:168">
      <c r="FC1578" s="118">
        <v>1575</v>
      </c>
      <c r="FD1578" s="118">
        <f t="shared" si="198"/>
        <v>7</v>
      </c>
      <c r="FE1578" s="118">
        <f t="shared" si="199"/>
        <v>99</v>
      </c>
      <c r="FF1578" s="118" t="str">
        <f t="shared" si="200"/>
        <v/>
      </c>
      <c r="FI1578" s="16">
        <v>1575</v>
      </c>
      <c r="FJ1578" s="17" t="str">
        <f t="shared" si="201"/>
        <v/>
      </c>
      <c r="FK1578" s="17" t="str">
        <f t="shared" si="197"/>
        <v/>
      </c>
      <c r="FL1578" s="18" t="str">
        <f t="shared" si="202"/>
        <v/>
      </c>
    </row>
    <row r="1579" spans="159:168">
      <c r="FC1579" s="118">
        <v>1576</v>
      </c>
      <c r="FD1579" s="118">
        <f t="shared" si="198"/>
        <v>8</v>
      </c>
      <c r="FE1579" s="118">
        <f t="shared" si="199"/>
        <v>99</v>
      </c>
      <c r="FF1579" s="118" t="str">
        <f t="shared" si="200"/>
        <v/>
      </c>
      <c r="FI1579" s="16">
        <v>1576</v>
      </c>
      <c r="FJ1579" s="17" t="str">
        <f t="shared" si="201"/>
        <v/>
      </c>
      <c r="FK1579" s="17" t="str">
        <f t="shared" si="197"/>
        <v/>
      </c>
      <c r="FL1579" s="18" t="str">
        <f t="shared" si="202"/>
        <v/>
      </c>
    </row>
    <row r="1580" spans="159:168">
      <c r="FC1580" s="118">
        <v>1577</v>
      </c>
      <c r="FD1580" s="118">
        <f t="shared" si="198"/>
        <v>9</v>
      </c>
      <c r="FE1580" s="118">
        <f t="shared" si="199"/>
        <v>99</v>
      </c>
      <c r="FF1580" s="118" t="str">
        <f t="shared" si="200"/>
        <v/>
      </c>
      <c r="FI1580" s="16">
        <v>1577</v>
      </c>
      <c r="FJ1580" s="17" t="str">
        <f t="shared" si="201"/>
        <v/>
      </c>
      <c r="FK1580" s="17" t="str">
        <f t="shared" si="197"/>
        <v/>
      </c>
      <c r="FL1580" s="18" t="str">
        <f t="shared" si="202"/>
        <v/>
      </c>
    </row>
    <row r="1581" spans="159:168">
      <c r="FC1581" s="118">
        <v>1578</v>
      </c>
      <c r="FD1581" s="118">
        <f t="shared" si="198"/>
        <v>10</v>
      </c>
      <c r="FE1581" s="118">
        <f t="shared" si="199"/>
        <v>99</v>
      </c>
      <c r="FF1581" s="118" t="str">
        <f t="shared" si="200"/>
        <v/>
      </c>
      <c r="FI1581" s="16">
        <v>1578</v>
      </c>
      <c r="FJ1581" s="17" t="str">
        <f t="shared" si="201"/>
        <v/>
      </c>
      <c r="FK1581" s="17" t="str">
        <f t="shared" si="197"/>
        <v/>
      </c>
      <c r="FL1581" s="18" t="str">
        <f t="shared" si="202"/>
        <v/>
      </c>
    </row>
    <row r="1582" spans="159:168">
      <c r="FC1582" s="118">
        <v>1579</v>
      </c>
      <c r="FD1582" s="118">
        <f t="shared" si="198"/>
        <v>11</v>
      </c>
      <c r="FE1582" s="118">
        <f t="shared" si="199"/>
        <v>99</v>
      </c>
      <c r="FF1582" s="118" t="str">
        <f t="shared" si="200"/>
        <v/>
      </c>
      <c r="FI1582" s="16">
        <v>1579</v>
      </c>
      <c r="FJ1582" s="17" t="str">
        <f t="shared" si="201"/>
        <v/>
      </c>
      <c r="FK1582" s="17" t="str">
        <f t="shared" si="197"/>
        <v/>
      </c>
      <c r="FL1582" s="18" t="str">
        <f t="shared" si="202"/>
        <v/>
      </c>
    </row>
    <row r="1583" spans="159:168">
      <c r="FC1583" s="118">
        <v>1580</v>
      </c>
      <c r="FD1583" s="118">
        <f t="shared" si="198"/>
        <v>12</v>
      </c>
      <c r="FE1583" s="118">
        <f t="shared" si="199"/>
        <v>99</v>
      </c>
      <c r="FF1583" s="118" t="str">
        <f t="shared" si="200"/>
        <v/>
      </c>
      <c r="FI1583" s="16">
        <v>1580</v>
      </c>
      <c r="FJ1583" s="17" t="str">
        <f t="shared" si="201"/>
        <v/>
      </c>
      <c r="FK1583" s="17" t="str">
        <f t="shared" si="197"/>
        <v/>
      </c>
      <c r="FL1583" s="18" t="str">
        <f t="shared" si="202"/>
        <v/>
      </c>
    </row>
    <row r="1584" spans="159:168">
      <c r="FC1584" s="118">
        <v>1581</v>
      </c>
      <c r="FD1584" s="118">
        <f t="shared" si="198"/>
        <v>13</v>
      </c>
      <c r="FE1584" s="118">
        <f t="shared" si="199"/>
        <v>99</v>
      </c>
      <c r="FF1584" s="118" t="str">
        <f t="shared" si="200"/>
        <v/>
      </c>
      <c r="FI1584" s="16">
        <v>1581</v>
      </c>
      <c r="FJ1584" s="17" t="str">
        <f t="shared" si="201"/>
        <v/>
      </c>
      <c r="FK1584" s="17" t="str">
        <f t="shared" si="197"/>
        <v/>
      </c>
      <c r="FL1584" s="18" t="str">
        <f t="shared" si="202"/>
        <v/>
      </c>
    </row>
    <row r="1585" spans="159:168">
      <c r="FC1585" s="118">
        <v>1582</v>
      </c>
      <c r="FD1585" s="118">
        <f t="shared" si="198"/>
        <v>14</v>
      </c>
      <c r="FE1585" s="118">
        <f t="shared" si="199"/>
        <v>99</v>
      </c>
      <c r="FF1585" s="118" t="str">
        <f t="shared" si="200"/>
        <v/>
      </c>
      <c r="FI1585" s="16">
        <v>1582</v>
      </c>
      <c r="FJ1585" s="17" t="str">
        <f t="shared" si="201"/>
        <v/>
      </c>
      <c r="FK1585" s="17" t="str">
        <f t="shared" si="197"/>
        <v/>
      </c>
      <c r="FL1585" s="18" t="str">
        <f t="shared" si="202"/>
        <v/>
      </c>
    </row>
    <row r="1586" spans="159:168">
      <c r="FC1586" s="118">
        <v>1583</v>
      </c>
      <c r="FD1586" s="118">
        <f t="shared" si="198"/>
        <v>15</v>
      </c>
      <c r="FE1586" s="118">
        <f t="shared" si="199"/>
        <v>99</v>
      </c>
      <c r="FF1586" s="118" t="str">
        <f t="shared" si="200"/>
        <v/>
      </c>
      <c r="FI1586" s="16">
        <v>1583</v>
      </c>
      <c r="FJ1586" s="17" t="str">
        <f t="shared" si="201"/>
        <v/>
      </c>
      <c r="FK1586" s="17" t="str">
        <f t="shared" si="197"/>
        <v/>
      </c>
      <c r="FL1586" s="18" t="str">
        <f t="shared" si="202"/>
        <v/>
      </c>
    </row>
    <row r="1587" spans="159:168">
      <c r="FC1587" s="118">
        <v>1584</v>
      </c>
      <c r="FD1587" s="118">
        <f t="shared" si="198"/>
        <v>16</v>
      </c>
      <c r="FE1587" s="118">
        <f t="shared" si="199"/>
        <v>99</v>
      </c>
      <c r="FF1587" s="118" t="str">
        <f t="shared" si="200"/>
        <v/>
      </c>
      <c r="FI1587" s="16">
        <v>1584</v>
      </c>
      <c r="FJ1587" s="17" t="str">
        <f t="shared" si="201"/>
        <v/>
      </c>
      <c r="FK1587" s="17" t="str">
        <f t="shared" si="197"/>
        <v/>
      </c>
      <c r="FL1587" s="18" t="str">
        <f t="shared" si="202"/>
        <v/>
      </c>
    </row>
    <row r="1588" spans="159:168">
      <c r="FC1588" s="118">
        <v>1585</v>
      </c>
      <c r="FD1588" s="118">
        <f t="shared" si="198"/>
        <v>1</v>
      </c>
      <c r="FE1588" s="118">
        <f t="shared" si="199"/>
        <v>100</v>
      </c>
      <c r="FF1588" s="118" t="str">
        <f t="shared" si="200"/>
        <v/>
      </c>
      <c r="FI1588" s="16">
        <v>1585</v>
      </c>
      <c r="FJ1588" s="17" t="str">
        <f t="shared" si="201"/>
        <v/>
      </c>
      <c r="FK1588" s="17" t="str">
        <f t="shared" si="197"/>
        <v/>
      </c>
      <c r="FL1588" s="18" t="str">
        <f t="shared" si="202"/>
        <v/>
      </c>
    </row>
    <row r="1589" spans="159:168">
      <c r="FC1589" s="118">
        <v>1586</v>
      </c>
      <c r="FD1589" s="118">
        <f t="shared" si="198"/>
        <v>2</v>
      </c>
      <c r="FE1589" s="118">
        <f t="shared" si="199"/>
        <v>100</v>
      </c>
      <c r="FF1589" s="118" t="str">
        <f t="shared" si="200"/>
        <v/>
      </c>
      <c r="FI1589" s="16">
        <v>1586</v>
      </c>
      <c r="FJ1589" s="17" t="str">
        <f t="shared" si="201"/>
        <v/>
      </c>
      <c r="FK1589" s="17" t="str">
        <f t="shared" si="197"/>
        <v/>
      </c>
      <c r="FL1589" s="18" t="str">
        <f t="shared" si="202"/>
        <v/>
      </c>
    </row>
    <row r="1590" spans="159:168">
      <c r="FC1590" s="118">
        <v>1587</v>
      </c>
      <c r="FD1590" s="118">
        <f t="shared" si="198"/>
        <v>3</v>
      </c>
      <c r="FE1590" s="118">
        <f t="shared" si="199"/>
        <v>100</v>
      </c>
      <c r="FF1590" s="118" t="str">
        <f t="shared" si="200"/>
        <v/>
      </c>
      <c r="FI1590" s="16">
        <v>1587</v>
      </c>
      <c r="FJ1590" s="17" t="str">
        <f t="shared" si="201"/>
        <v/>
      </c>
      <c r="FK1590" s="17" t="str">
        <f t="shared" si="197"/>
        <v/>
      </c>
      <c r="FL1590" s="18" t="str">
        <f t="shared" si="202"/>
        <v/>
      </c>
    </row>
    <row r="1591" spans="159:168">
      <c r="FC1591" s="118">
        <v>1588</v>
      </c>
      <c r="FD1591" s="118">
        <f t="shared" si="198"/>
        <v>4</v>
      </c>
      <c r="FE1591" s="118">
        <f t="shared" si="199"/>
        <v>100</v>
      </c>
      <c r="FF1591" s="118" t="str">
        <f t="shared" si="200"/>
        <v/>
      </c>
      <c r="FI1591" s="16">
        <v>1588</v>
      </c>
      <c r="FJ1591" s="17" t="str">
        <f t="shared" si="201"/>
        <v/>
      </c>
      <c r="FK1591" s="17" t="str">
        <f t="shared" si="197"/>
        <v/>
      </c>
      <c r="FL1591" s="18" t="str">
        <f t="shared" si="202"/>
        <v/>
      </c>
    </row>
    <row r="1592" spans="159:168">
      <c r="FC1592" s="118">
        <v>1589</v>
      </c>
      <c r="FD1592" s="118">
        <f t="shared" si="198"/>
        <v>5</v>
      </c>
      <c r="FE1592" s="118">
        <f t="shared" si="199"/>
        <v>100</v>
      </c>
      <c r="FF1592" s="118" t="str">
        <f t="shared" si="200"/>
        <v/>
      </c>
      <c r="FI1592" s="16">
        <v>1589</v>
      </c>
      <c r="FJ1592" s="17" t="str">
        <f t="shared" si="201"/>
        <v/>
      </c>
      <c r="FK1592" s="17" t="str">
        <f t="shared" si="197"/>
        <v/>
      </c>
      <c r="FL1592" s="18" t="str">
        <f t="shared" si="202"/>
        <v/>
      </c>
    </row>
    <row r="1593" spans="159:168">
      <c r="FC1593" s="118">
        <v>1590</v>
      </c>
      <c r="FD1593" s="118">
        <f t="shared" si="198"/>
        <v>6</v>
      </c>
      <c r="FE1593" s="118">
        <f t="shared" si="199"/>
        <v>100</v>
      </c>
      <c r="FF1593" s="118" t="str">
        <f t="shared" si="200"/>
        <v/>
      </c>
      <c r="FI1593" s="16">
        <v>1590</v>
      </c>
      <c r="FJ1593" s="17" t="str">
        <f t="shared" si="201"/>
        <v/>
      </c>
      <c r="FK1593" s="17" t="str">
        <f t="shared" si="197"/>
        <v/>
      </c>
      <c r="FL1593" s="18" t="str">
        <f t="shared" si="202"/>
        <v/>
      </c>
    </row>
    <row r="1594" spans="159:168">
      <c r="FC1594" s="118">
        <v>1591</v>
      </c>
      <c r="FD1594" s="118">
        <f t="shared" si="198"/>
        <v>7</v>
      </c>
      <c r="FE1594" s="118">
        <f t="shared" si="199"/>
        <v>100</v>
      </c>
      <c r="FF1594" s="118" t="str">
        <f t="shared" si="200"/>
        <v/>
      </c>
      <c r="FI1594" s="16">
        <v>1591</v>
      </c>
      <c r="FJ1594" s="17" t="str">
        <f t="shared" si="201"/>
        <v/>
      </c>
      <c r="FK1594" s="17" t="str">
        <f t="shared" si="197"/>
        <v/>
      </c>
      <c r="FL1594" s="18" t="str">
        <f t="shared" si="202"/>
        <v/>
      </c>
    </row>
    <row r="1595" spans="159:168">
      <c r="FC1595" s="118">
        <v>1592</v>
      </c>
      <c r="FD1595" s="118">
        <f t="shared" si="198"/>
        <v>8</v>
      </c>
      <c r="FE1595" s="118">
        <f t="shared" si="199"/>
        <v>100</v>
      </c>
      <c r="FF1595" s="118" t="str">
        <f t="shared" si="200"/>
        <v/>
      </c>
      <c r="FI1595" s="16">
        <v>1592</v>
      </c>
      <c r="FJ1595" s="17" t="str">
        <f t="shared" si="201"/>
        <v/>
      </c>
      <c r="FK1595" s="17" t="str">
        <f t="shared" si="197"/>
        <v/>
      </c>
      <c r="FL1595" s="18" t="str">
        <f t="shared" si="202"/>
        <v/>
      </c>
    </row>
    <row r="1596" spans="159:168">
      <c r="FC1596" s="118">
        <v>1593</v>
      </c>
      <c r="FD1596" s="118">
        <f t="shared" si="198"/>
        <v>9</v>
      </c>
      <c r="FE1596" s="118">
        <f t="shared" si="199"/>
        <v>100</v>
      </c>
      <c r="FF1596" s="118" t="str">
        <f t="shared" si="200"/>
        <v/>
      </c>
      <c r="FI1596" s="16">
        <v>1593</v>
      </c>
      <c r="FJ1596" s="17" t="str">
        <f t="shared" si="201"/>
        <v/>
      </c>
      <c r="FK1596" s="17" t="str">
        <f t="shared" si="197"/>
        <v/>
      </c>
      <c r="FL1596" s="18" t="str">
        <f t="shared" si="202"/>
        <v/>
      </c>
    </row>
    <row r="1597" spans="159:168">
      <c r="FC1597" s="118">
        <v>1594</v>
      </c>
      <c r="FD1597" s="118">
        <f t="shared" si="198"/>
        <v>10</v>
      </c>
      <c r="FE1597" s="118">
        <f t="shared" si="199"/>
        <v>100</v>
      </c>
      <c r="FF1597" s="118" t="str">
        <f t="shared" si="200"/>
        <v/>
      </c>
      <c r="FI1597" s="16">
        <v>1594</v>
      </c>
      <c r="FJ1597" s="17" t="str">
        <f t="shared" si="201"/>
        <v/>
      </c>
      <c r="FK1597" s="17" t="str">
        <f t="shared" si="197"/>
        <v/>
      </c>
      <c r="FL1597" s="18" t="str">
        <f t="shared" si="202"/>
        <v/>
      </c>
    </row>
    <row r="1598" spans="159:168">
      <c r="FC1598" s="118">
        <v>1595</v>
      </c>
      <c r="FD1598" s="118">
        <f t="shared" si="198"/>
        <v>11</v>
      </c>
      <c r="FE1598" s="118">
        <f t="shared" si="199"/>
        <v>100</v>
      </c>
      <c r="FF1598" s="118" t="str">
        <f t="shared" si="200"/>
        <v/>
      </c>
      <c r="FI1598" s="16">
        <v>1595</v>
      </c>
      <c r="FJ1598" s="17" t="str">
        <f t="shared" si="201"/>
        <v/>
      </c>
      <c r="FK1598" s="17" t="str">
        <f t="shared" si="197"/>
        <v/>
      </c>
      <c r="FL1598" s="18" t="str">
        <f t="shared" si="202"/>
        <v/>
      </c>
    </row>
    <row r="1599" spans="159:168">
      <c r="FC1599" s="118">
        <v>1596</v>
      </c>
      <c r="FD1599" s="118">
        <f t="shared" si="198"/>
        <v>12</v>
      </c>
      <c r="FE1599" s="118">
        <f t="shared" si="199"/>
        <v>100</v>
      </c>
      <c r="FF1599" s="118" t="str">
        <f t="shared" si="200"/>
        <v/>
      </c>
      <c r="FI1599" s="16">
        <v>1596</v>
      </c>
      <c r="FJ1599" s="17" t="str">
        <f t="shared" si="201"/>
        <v/>
      </c>
      <c r="FK1599" s="17" t="str">
        <f t="shared" si="197"/>
        <v/>
      </c>
      <c r="FL1599" s="18" t="str">
        <f t="shared" si="202"/>
        <v/>
      </c>
    </row>
    <row r="1600" spans="159:168">
      <c r="FC1600" s="118">
        <v>1597</v>
      </c>
      <c r="FD1600" s="118">
        <f t="shared" si="198"/>
        <v>13</v>
      </c>
      <c r="FE1600" s="118">
        <f t="shared" si="199"/>
        <v>100</v>
      </c>
      <c r="FF1600" s="118" t="str">
        <f t="shared" si="200"/>
        <v/>
      </c>
      <c r="FI1600" s="16">
        <v>1597</v>
      </c>
      <c r="FJ1600" s="17" t="str">
        <f t="shared" si="201"/>
        <v/>
      </c>
      <c r="FK1600" s="17" t="str">
        <f t="shared" si="197"/>
        <v/>
      </c>
      <c r="FL1600" s="18" t="str">
        <f t="shared" si="202"/>
        <v/>
      </c>
    </row>
    <row r="1601" spans="159:168">
      <c r="FC1601" s="118">
        <v>1598</v>
      </c>
      <c r="FD1601" s="118">
        <f t="shared" si="198"/>
        <v>14</v>
      </c>
      <c r="FE1601" s="118">
        <f t="shared" si="199"/>
        <v>100</v>
      </c>
      <c r="FF1601" s="118" t="str">
        <f t="shared" si="200"/>
        <v/>
      </c>
      <c r="FI1601" s="16">
        <v>1598</v>
      </c>
      <c r="FJ1601" s="17" t="str">
        <f t="shared" si="201"/>
        <v/>
      </c>
      <c r="FK1601" s="17" t="str">
        <f t="shared" si="197"/>
        <v/>
      </c>
      <c r="FL1601" s="18" t="str">
        <f t="shared" si="202"/>
        <v/>
      </c>
    </row>
    <row r="1602" spans="159:168">
      <c r="FC1602" s="118">
        <v>1599</v>
      </c>
      <c r="FD1602" s="118">
        <f t="shared" si="198"/>
        <v>15</v>
      </c>
      <c r="FE1602" s="118">
        <f t="shared" si="199"/>
        <v>100</v>
      </c>
      <c r="FF1602" s="118" t="str">
        <f t="shared" si="200"/>
        <v/>
      </c>
      <c r="FI1602" s="16">
        <v>1599</v>
      </c>
      <c r="FJ1602" s="17" t="str">
        <f t="shared" si="201"/>
        <v/>
      </c>
      <c r="FK1602" s="17" t="str">
        <f t="shared" si="197"/>
        <v/>
      </c>
      <c r="FL1602" s="18" t="str">
        <f t="shared" si="202"/>
        <v/>
      </c>
    </row>
    <row r="1603" spans="159:168">
      <c r="FC1603" s="118">
        <v>1600</v>
      </c>
      <c r="FD1603" s="118">
        <f t="shared" si="198"/>
        <v>16</v>
      </c>
      <c r="FE1603" s="118">
        <f t="shared" si="199"/>
        <v>100</v>
      </c>
      <c r="FF1603" s="118" t="str">
        <f t="shared" si="200"/>
        <v/>
      </c>
      <c r="FI1603" s="16">
        <v>1600</v>
      </c>
      <c r="FJ1603" s="17" t="str">
        <f t="shared" si="201"/>
        <v/>
      </c>
      <c r="FK1603" s="17" t="str">
        <f t="shared" si="197"/>
        <v/>
      </c>
      <c r="FL1603" s="18" t="str">
        <f t="shared" si="202"/>
        <v/>
      </c>
    </row>
    <row r="1604" spans="159:168">
      <c r="FC1604" s="118">
        <v>1601</v>
      </c>
      <c r="FD1604" s="118">
        <f t="shared" si="198"/>
        <v>1</v>
      </c>
      <c r="FE1604" s="118">
        <f t="shared" si="199"/>
        <v>101</v>
      </c>
      <c r="FF1604" s="118" t="str">
        <f t="shared" si="200"/>
        <v/>
      </c>
      <c r="FI1604" s="16">
        <v>1601</v>
      </c>
      <c r="FJ1604" s="17" t="str">
        <f t="shared" si="201"/>
        <v/>
      </c>
      <c r="FK1604" s="17" t="str">
        <f t="shared" si="197"/>
        <v/>
      </c>
      <c r="FL1604" s="18" t="str">
        <f t="shared" si="202"/>
        <v/>
      </c>
    </row>
    <row r="1605" spans="159:168">
      <c r="FC1605" s="118">
        <v>1602</v>
      </c>
      <c r="FD1605" s="118">
        <f t="shared" si="198"/>
        <v>2</v>
      </c>
      <c r="FE1605" s="118">
        <f t="shared" si="199"/>
        <v>101</v>
      </c>
      <c r="FF1605" s="118" t="str">
        <f t="shared" si="200"/>
        <v/>
      </c>
      <c r="FI1605" s="16">
        <v>1602</v>
      </c>
      <c r="FJ1605" s="17" t="str">
        <f t="shared" si="201"/>
        <v/>
      </c>
      <c r="FK1605" s="17" t="str">
        <f t="shared" ref="FK1605:FK1668" si="203">IF(FI1605&lt;=$FH$2,FF1605,IF(FI1605&lt;=$FH$2+$FH$3,INDEX($FJ$4:$FJ$2494,FI1605-$FH$2),""))</f>
        <v/>
      </c>
      <c r="FL1605" s="18" t="str">
        <f t="shared" si="202"/>
        <v/>
      </c>
    </row>
    <row r="1606" spans="159:168">
      <c r="FC1606" s="118">
        <v>1603</v>
      </c>
      <c r="FD1606" s="118">
        <f t="shared" si="198"/>
        <v>3</v>
      </c>
      <c r="FE1606" s="118">
        <f t="shared" si="199"/>
        <v>101</v>
      </c>
      <c r="FF1606" s="118" t="str">
        <f t="shared" si="200"/>
        <v/>
      </c>
      <c r="FI1606" s="16">
        <v>1603</v>
      </c>
      <c r="FJ1606" s="17" t="str">
        <f t="shared" si="201"/>
        <v/>
      </c>
      <c r="FK1606" s="17" t="str">
        <f t="shared" si="203"/>
        <v/>
      </c>
      <c r="FL1606" s="18" t="str">
        <f t="shared" si="202"/>
        <v/>
      </c>
    </row>
    <row r="1607" spans="159:168">
      <c r="FC1607" s="118">
        <v>1604</v>
      </c>
      <c r="FD1607" s="118">
        <f t="shared" si="198"/>
        <v>4</v>
      </c>
      <c r="FE1607" s="118">
        <f t="shared" si="199"/>
        <v>101</v>
      </c>
      <c r="FF1607" s="118" t="str">
        <f t="shared" si="200"/>
        <v/>
      </c>
      <c r="FI1607" s="16">
        <v>1604</v>
      </c>
      <c r="FJ1607" s="17" t="str">
        <f t="shared" si="201"/>
        <v/>
      </c>
      <c r="FK1607" s="17" t="str">
        <f t="shared" si="203"/>
        <v/>
      </c>
      <c r="FL1607" s="18" t="str">
        <f t="shared" si="202"/>
        <v/>
      </c>
    </row>
    <row r="1608" spans="159:168">
      <c r="FC1608" s="118">
        <v>1605</v>
      </c>
      <c r="FD1608" s="118">
        <f t="shared" si="198"/>
        <v>5</v>
      </c>
      <c r="FE1608" s="118">
        <f t="shared" si="199"/>
        <v>101</v>
      </c>
      <c r="FF1608" s="118" t="str">
        <f t="shared" si="200"/>
        <v/>
      </c>
      <c r="FI1608" s="16">
        <v>1605</v>
      </c>
      <c r="FJ1608" s="17" t="str">
        <f t="shared" si="201"/>
        <v/>
      </c>
      <c r="FK1608" s="17" t="str">
        <f t="shared" si="203"/>
        <v/>
      </c>
      <c r="FL1608" s="18" t="str">
        <f t="shared" si="202"/>
        <v/>
      </c>
    </row>
    <row r="1609" spans="159:168">
      <c r="FC1609" s="118">
        <v>1606</v>
      </c>
      <c r="FD1609" s="118">
        <f t="shared" si="198"/>
        <v>6</v>
      </c>
      <c r="FE1609" s="118">
        <f t="shared" si="199"/>
        <v>101</v>
      </c>
      <c r="FF1609" s="118" t="str">
        <f t="shared" si="200"/>
        <v/>
      </c>
      <c r="FI1609" s="16">
        <v>1606</v>
      </c>
      <c r="FJ1609" s="17" t="str">
        <f t="shared" si="201"/>
        <v/>
      </c>
      <c r="FK1609" s="17" t="str">
        <f t="shared" si="203"/>
        <v/>
      </c>
      <c r="FL1609" s="18" t="str">
        <f t="shared" si="202"/>
        <v/>
      </c>
    </row>
    <row r="1610" spans="159:168">
      <c r="FC1610" s="118">
        <v>1607</v>
      </c>
      <c r="FD1610" s="118">
        <f t="shared" si="198"/>
        <v>7</v>
      </c>
      <c r="FE1610" s="118">
        <f t="shared" si="199"/>
        <v>101</v>
      </c>
      <c r="FF1610" s="118" t="str">
        <f t="shared" si="200"/>
        <v/>
      </c>
      <c r="FI1610" s="16">
        <v>1607</v>
      </c>
      <c r="FJ1610" s="17" t="str">
        <f t="shared" si="201"/>
        <v/>
      </c>
      <c r="FK1610" s="17" t="str">
        <f t="shared" si="203"/>
        <v/>
      </c>
      <c r="FL1610" s="18" t="str">
        <f t="shared" si="202"/>
        <v/>
      </c>
    </row>
    <row r="1611" spans="159:168">
      <c r="FC1611" s="118">
        <v>1608</v>
      </c>
      <c r="FD1611" s="118">
        <f t="shared" si="198"/>
        <v>8</v>
      </c>
      <c r="FE1611" s="118">
        <f t="shared" si="199"/>
        <v>101</v>
      </c>
      <c r="FF1611" s="118" t="str">
        <f t="shared" si="200"/>
        <v/>
      </c>
      <c r="FI1611" s="16">
        <v>1608</v>
      </c>
      <c r="FJ1611" s="17" t="str">
        <f t="shared" si="201"/>
        <v/>
      </c>
      <c r="FK1611" s="17" t="str">
        <f t="shared" si="203"/>
        <v/>
      </c>
      <c r="FL1611" s="18" t="str">
        <f t="shared" si="202"/>
        <v/>
      </c>
    </row>
    <row r="1612" spans="159:168">
      <c r="FC1612" s="118">
        <v>1609</v>
      </c>
      <c r="FD1612" s="118">
        <f t="shared" si="198"/>
        <v>9</v>
      </c>
      <c r="FE1612" s="118">
        <f t="shared" si="199"/>
        <v>101</v>
      </c>
      <c r="FF1612" s="118" t="str">
        <f t="shared" si="200"/>
        <v/>
      </c>
      <c r="FI1612" s="16">
        <v>1609</v>
      </c>
      <c r="FJ1612" s="17" t="str">
        <f t="shared" si="201"/>
        <v/>
      </c>
      <c r="FK1612" s="17" t="str">
        <f t="shared" si="203"/>
        <v/>
      </c>
      <c r="FL1612" s="18" t="str">
        <f t="shared" si="202"/>
        <v/>
      </c>
    </row>
    <row r="1613" spans="159:168">
      <c r="FC1613" s="118">
        <v>1610</v>
      </c>
      <c r="FD1613" s="118">
        <f t="shared" si="198"/>
        <v>10</v>
      </c>
      <c r="FE1613" s="118">
        <f t="shared" si="199"/>
        <v>101</v>
      </c>
      <c r="FF1613" s="118" t="str">
        <f t="shared" si="200"/>
        <v/>
      </c>
      <c r="FI1613" s="16">
        <v>1610</v>
      </c>
      <c r="FJ1613" s="17" t="str">
        <f t="shared" si="201"/>
        <v/>
      </c>
      <c r="FK1613" s="17" t="str">
        <f t="shared" si="203"/>
        <v/>
      </c>
      <c r="FL1613" s="18" t="str">
        <f t="shared" si="202"/>
        <v/>
      </c>
    </row>
    <row r="1614" spans="159:168">
      <c r="FC1614" s="118">
        <v>1611</v>
      </c>
      <c r="FD1614" s="118">
        <f t="shared" si="198"/>
        <v>11</v>
      </c>
      <c r="FE1614" s="118">
        <f t="shared" si="199"/>
        <v>101</v>
      </c>
      <c r="FF1614" s="118" t="str">
        <f t="shared" si="200"/>
        <v/>
      </c>
      <c r="FI1614" s="16">
        <v>1611</v>
      </c>
      <c r="FJ1614" s="17" t="str">
        <f t="shared" si="201"/>
        <v/>
      </c>
      <c r="FK1614" s="17" t="str">
        <f t="shared" si="203"/>
        <v/>
      </c>
      <c r="FL1614" s="18" t="str">
        <f t="shared" si="202"/>
        <v/>
      </c>
    </row>
    <row r="1615" spans="159:168">
      <c r="FC1615" s="118">
        <v>1612</v>
      </c>
      <c r="FD1615" s="118">
        <f t="shared" si="198"/>
        <v>12</v>
      </c>
      <c r="FE1615" s="118">
        <f t="shared" si="199"/>
        <v>101</v>
      </c>
      <c r="FF1615" s="118" t="str">
        <f t="shared" si="200"/>
        <v/>
      </c>
      <c r="FI1615" s="16">
        <v>1612</v>
      </c>
      <c r="FJ1615" s="17" t="str">
        <f t="shared" si="201"/>
        <v/>
      </c>
      <c r="FK1615" s="17" t="str">
        <f t="shared" si="203"/>
        <v/>
      </c>
      <c r="FL1615" s="18" t="str">
        <f t="shared" si="202"/>
        <v/>
      </c>
    </row>
    <row r="1616" spans="159:168">
      <c r="FC1616" s="118">
        <v>1613</v>
      </c>
      <c r="FD1616" s="118">
        <f t="shared" si="198"/>
        <v>13</v>
      </c>
      <c r="FE1616" s="118">
        <f t="shared" si="199"/>
        <v>101</v>
      </c>
      <c r="FF1616" s="118" t="str">
        <f t="shared" si="200"/>
        <v/>
      </c>
      <c r="FI1616" s="16">
        <v>1613</v>
      </c>
      <c r="FJ1616" s="17" t="str">
        <f t="shared" si="201"/>
        <v/>
      </c>
      <c r="FK1616" s="17" t="str">
        <f t="shared" si="203"/>
        <v/>
      </c>
      <c r="FL1616" s="18" t="str">
        <f t="shared" si="202"/>
        <v/>
      </c>
    </row>
    <row r="1617" spans="159:168">
      <c r="FC1617" s="118">
        <v>1614</v>
      </c>
      <c r="FD1617" s="118">
        <f t="shared" si="198"/>
        <v>14</v>
      </c>
      <c r="FE1617" s="118">
        <f t="shared" si="199"/>
        <v>101</v>
      </c>
      <c r="FF1617" s="118" t="str">
        <f t="shared" si="200"/>
        <v/>
      </c>
      <c r="FI1617" s="16">
        <v>1614</v>
      </c>
      <c r="FJ1617" s="17" t="str">
        <f t="shared" si="201"/>
        <v/>
      </c>
      <c r="FK1617" s="17" t="str">
        <f t="shared" si="203"/>
        <v/>
      </c>
      <c r="FL1617" s="18" t="str">
        <f t="shared" si="202"/>
        <v/>
      </c>
    </row>
    <row r="1618" spans="159:168">
      <c r="FC1618" s="118">
        <v>1615</v>
      </c>
      <c r="FD1618" s="118">
        <f t="shared" si="198"/>
        <v>15</v>
      </c>
      <c r="FE1618" s="118">
        <f t="shared" si="199"/>
        <v>101</v>
      </c>
      <c r="FF1618" s="118" t="str">
        <f t="shared" si="200"/>
        <v/>
      </c>
      <c r="FI1618" s="16">
        <v>1615</v>
      </c>
      <c r="FJ1618" s="17" t="str">
        <f t="shared" si="201"/>
        <v/>
      </c>
      <c r="FK1618" s="17" t="str">
        <f t="shared" si="203"/>
        <v/>
      </c>
      <c r="FL1618" s="18" t="str">
        <f t="shared" si="202"/>
        <v/>
      </c>
    </row>
    <row r="1619" spans="159:168">
      <c r="FC1619" s="118">
        <v>1616</v>
      </c>
      <c r="FD1619" s="118">
        <f t="shared" si="198"/>
        <v>16</v>
      </c>
      <c r="FE1619" s="118">
        <f t="shared" si="199"/>
        <v>101</v>
      </c>
      <c r="FF1619" s="118" t="str">
        <f t="shared" si="200"/>
        <v/>
      </c>
      <c r="FI1619" s="16">
        <v>1616</v>
      </c>
      <c r="FJ1619" s="17" t="str">
        <f t="shared" si="201"/>
        <v/>
      </c>
      <c r="FK1619" s="17" t="str">
        <f t="shared" si="203"/>
        <v/>
      </c>
      <c r="FL1619" s="18" t="str">
        <f t="shared" si="202"/>
        <v/>
      </c>
    </row>
    <row r="1620" spans="159:168">
      <c r="FC1620" s="118">
        <v>1617</v>
      </c>
      <c r="FD1620" s="118">
        <f t="shared" si="198"/>
        <v>1</v>
      </c>
      <c r="FE1620" s="118">
        <f t="shared" si="199"/>
        <v>102</v>
      </c>
      <c r="FF1620" s="118" t="str">
        <f t="shared" si="200"/>
        <v/>
      </c>
      <c r="FI1620" s="16">
        <v>1617</v>
      </c>
      <c r="FJ1620" s="17" t="str">
        <f t="shared" si="201"/>
        <v/>
      </c>
      <c r="FK1620" s="17" t="str">
        <f t="shared" si="203"/>
        <v/>
      </c>
      <c r="FL1620" s="18" t="str">
        <f t="shared" si="202"/>
        <v/>
      </c>
    </row>
    <row r="1621" spans="159:168">
      <c r="FC1621" s="118">
        <v>1618</v>
      </c>
      <c r="FD1621" s="118">
        <f t="shared" si="198"/>
        <v>2</v>
      </c>
      <c r="FE1621" s="118">
        <f t="shared" si="199"/>
        <v>102</v>
      </c>
      <c r="FF1621" s="118" t="str">
        <f t="shared" si="200"/>
        <v/>
      </c>
      <c r="FI1621" s="16">
        <v>1618</v>
      </c>
      <c r="FJ1621" s="17" t="str">
        <f t="shared" si="201"/>
        <v/>
      </c>
      <c r="FK1621" s="17" t="str">
        <f t="shared" si="203"/>
        <v/>
      </c>
      <c r="FL1621" s="18" t="str">
        <f t="shared" si="202"/>
        <v/>
      </c>
    </row>
    <row r="1622" spans="159:168">
      <c r="FC1622" s="118">
        <v>1619</v>
      </c>
      <c r="FD1622" s="118">
        <f t="shared" ref="FD1622:FD1685" si="204">IF(MOD(FC1622,$FB$1+$FB$2)=0,$FB$1+$FB$2,MOD(FC1622,$FB$1+$FB$2))</f>
        <v>3</v>
      </c>
      <c r="FE1622" s="118">
        <f t="shared" ref="FE1622:FE1685" si="205">ROUNDUP(FC1622/($FB$1+$FB$2),0)</f>
        <v>102</v>
      </c>
      <c r="FF1622" s="118" t="str">
        <f t="shared" ref="FF1622:FF1685" si="206">IF(FE1622&lt;$FB$3,INDEX($E$4:$DV$84,FD1622,FE1622),IF(FE1622=$FB$3,INDEX($E$4:$DV$84,FD1622+$FB$1,FE1622),""))</f>
        <v/>
      </c>
      <c r="FI1622" s="16">
        <v>1619</v>
      </c>
      <c r="FJ1622" s="17" t="str">
        <f t="shared" ref="FJ1622:FJ1685" si="207">IF(FE1622&lt;=$FH$1,INDEX($DW$4:$EZ$84,FD1622,FE1622),"")</f>
        <v/>
      </c>
      <c r="FK1622" s="17" t="str">
        <f t="shared" si="203"/>
        <v/>
      </c>
      <c r="FL1622" s="18" t="str">
        <f t="shared" ref="FL1622:FL1685" si="208">IFERROR(TEXT(DEC2BIN(FK1622),"00000000"),"")</f>
        <v/>
      </c>
    </row>
    <row r="1623" spans="159:168">
      <c r="FC1623" s="118">
        <v>1620</v>
      </c>
      <c r="FD1623" s="118">
        <f t="shared" si="204"/>
        <v>4</v>
      </c>
      <c r="FE1623" s="118">
        <f t="shared" si="205"/>
        <v>102</v>
      </c>
      <c r="FF1623" s="118" t="str">
        <f t="shared" si="206"/>
        <v/>
      </c>
      <c r="FI1623" s="16">
        <v>1620</v>
      </c>
      <c r="FJ1623" s="17" t="str">
        <f t="shared" si="207"/>
        <v/>
      </c>
      <c r="FK1623" s="17" t="str">
        <f t="shared" si="203"/>
        <v/>
      </c>
      <c r="FL1623" s="18" t="str">
        <f t="shared" si="208"/>
        <v/>
      </c>
    </row>
    <row r="1624" spans="159:168">
      <c r="FC1624" s="118">
        <v>1621</v>
      </c>
      <c r="FD1624" s="118">
        <f t="shared" si="204"/>
        <v>5</v>
      </c>
      <c r="FE1624" s="118">
        <f t="shared" si="205"/>
        <v>102</v>
      </c>
      <c r="FF1624" s="118" t="str">
        <f t="shared" si="206"/>
        <v/>
      </c>
      <c r="FI1624" s="16">
        <v>1621</v>
      </c>
      <c r="FJ1624" s="17" t="str">
        <f t="shared" si="207"/>
        <v/>
      </c>
      <c r="FK1624" s="17" t="str">
        <f t="shared" si="203"/>
        <v/>
      </c>
      <c r="FL1624" s="18" t="str">
        <f t="shared" si="208"/>
        <v/>
      </c>
    </row>
    <row r="1625" spans="159:168">
      <c r="FC1625" s="118">
        <v>1622</v>
      </c>
      <c r="FD1625" s="118">
        <f t="shared" si="204"/>
        <v>6</v>
      </c>
      <c r="FE1625" s="118">
        <f t="shared" si="205"/>
        <v>102</v>
      </c>
      <c r="FF1625" s="118" t="str">
        <f t="shared" si="206"/>
        <v/>
      </c>
      <c r="FI1625" s="16">
        <v>1622</v>
      </c>
      <c r="FJ1625" s="17" t="str">
        <f t="shared" si="207"/>
        <v/>
      </c>
      <c r="FK1625" s="17" t="str">
        <f t="shared" si="203"/>
        <v/>
      </c>
      <c r="FL1625" s="18" t="str">
        <f t="shared" si="208"/>
        <v/>
      </c>
    </row>
    <row r="1626" spans="159:168">
      <c r="FC1626" s="118">
        <v>1623</v>
      </c>
      <c r="FD1626" s="118">
        <f t="shared" si="204"/>
        <v>7</v>
      </c>
      <c r="FE1626" s="118">
        <f t="shared" si="205"/>
        <v>102</v>
      </c>
      <c r="FF1626" s="118" t="str">
        <f t="shared" si="206"/>
        <v/>
      </c>
      <c r="FI1626" s="16">
        <v>1623</v>
      </c>
      <c r="FJ1626" s="17" t="str">
        <f t="shared" si="207"/>
        <v/>
      </c>
      <c r="FK1626" s="17" t="str">
        <f t="shared" si="203"/>
        <v/>
      </c>
      <c r="FL1626" s="18" t="str">
        <f t="shared" si="208"/>
        <v/>
      </c>
    </row>
    <row r="1627" spans="159:168">
      <c r="FC1627" s="118">
        <v>1624</v>
      </c>
      <c r="FD1627" s="118">
        <f t="shared" si="204"/>
        <v>8</v>
      </c>
      <c r="FE1627" s="118">
        <f t="shared" si="205"/>
        <v>102</v>
      </c>
      <c r="FF1627" s="118" t="str">
        <f t="shared" si="206"/>
        <v/>
      </c>
      <c r="FI1627" s="16">
        <v>1624</v>
      </c>
      <c r="FJ1627" s="17" t="str">
        <f t="shared" si="207"/>
        <v/>
      </c>
      <c r="FK1627" s="17" t="str">
        <f t="shared" si="203"/>
        <v/>
      </c>
      <c r="FL1627" s="18" t="str">
        <f t="shared" si="208"/>
        <v/>
      </c>
    </row>
    <row r="1628" spans="159:168">
      <c r="FC1628" s="118">
        <v>1625</v>
      </c>
      <c r="FD1628" s="118">
        <f t="shared" si="204"/>
        <v>9</v>
      </c>
      <c r="FE1628" s="118">
        <f t="shared" si="205"/>
        <v>102</v>
      </c>
      <c r="FF1628" s="118" t="str">
        <f t="shared" si="206"/>
        <v/>
      </c>
      <c r="FI1628" s="16">
        <v>1625</v>
      </c>
      <c r="FJ1628" s="17" t="str">
        <f t="shared" si="207"/>
        <v/>
      </c>
      <c r="FK1628" s="17" t="str">
        <f t="shared" si="203"/>
        <v/>
      </c>
      <c r="FL1628" s="18" t="str">
        <f t="shared" si="208"/>
        <v/>
      </c>
    </row>
    <row r="1629" spans="159:168">
      <c r="FC1629" s="118">
        <v>1626</v>
      </c>
      <c r="FD1629" s="118">
        <f t="shared" si="204"/>
        <v>10</v>
      </c>
      <c r="FE1629" s="118">
        <f t="shared" si="205"/>
        <v>102</v>
      </c>
      <c r="FF1629" s="118" t="str">
        <f t="shared" si="206"/>
        <v/>
      </c>
      <c r="FI1629" s="16">
        <v>1626</v>
      </c>
      <c r="FJ1629" s="17" t="str">
        <f t="shared" si="207"/>
        <v/>
      </c>
      <c r="FK1629" s="17" t="str">
        <f t="shared" si="203"/>
        <v/>
      </c>
      <c r="FL1629" s="18" t="str">
        <f t="shared" si="208"/>
        <v/>
      </c>
    </row>
    <row r="1630" spans="159:168">
      <c r="FC1630" s="118">
        <v>1627</v>
      </c>
      <c r="FD1630" s="118">
        <f t="shared" si="204"/>
        <v>11</v>
      </c>
      <c r="FE1630" s="118">
        <f t="shared" si="205"/>
        <v>102</v>
      </c>
      <c r="FF1630" s="118" t="str">
        <f t="shared" si="206"/>
        <v/>
      </c>
      <c r="FI1630" s="16">
        <v>1627</v>
      </c>
      <c r="FJ1630" s="17" t="str">
        <f t="shared" si="207"/>
        <v/>
      </c>
      <c r="FK1630" s="17" t="str">
        <f t="shared" si="203"/>
        <v/>
      </c>
      <c r="FL1630" s="18" t="str">
        <f t="shared" si="208"/>
        <v/>
      </c>
    </row>
    <row r="1631" spans="159:168">
      <c r="FC1631" s="118">
        <v>1628</v>
      </c>
      <c r="FD1631" s="118">
        <f t="shared" si="204"/>
        <v>12</v>
      </c>
      <c r="FE1631" s="118">
        <f t="shared" si="205"/>
        <v>102</v>
      </c>
      <c r="FF1631" s="118" t="str">
        <f t="shared" si="206"/>
        <v/>
      </c>
      <c r="FI1631" s="16">
        <v>1628</v>
      </c>
      <c r="FJ1631" s="17" t="str">
        <f t="shared" si="207"/>
        <v/>
      </c>
      <c r="FK1631" s="17" t="str">
        <f t="shared" si="203"/>
        <v/>
      </c>
      <c r="FL1631" s="18" t="str">
        <f t="shared" si="208"/>
        <v/>
      </c>
    </row>
    <row r="1632" spans="159:168">
      <c r="FC1632" s="118">
        <v>1629</v>
      </c>
      <c r="FD1632" s="118">
        <f t="shared" si="204"/>
        <v>13</v>
      </c>
      <c r="FE1632" s="118">
        <f t="shared" si="205"/>
        <v>102</v>
      </c>
      <c r="FF1632" s="118" t="str">
        <f t="shared" si="206"/>
        <v/>
      </c>
      <c r="FI1632" s="16">
        <v>1629</v>
      </c>
      <c r="FJ1632" s="17" t="str">
        <f t="shared" si="207"/>
        <v/>
      </c>
      <c r="FK1632" s="17" t="str">
        <f t="shared" si="203"/>
        <v/>
      </c>
      <c r="FL1632" s="18" t="str">
        <f t="shared" si="208"/>
        <v/>
      </c>
    </row>
    <row r="1633" spans="159:168">
      <c r="FC1633" s="118">
        <v>1630</v>
      </c>
      <c r="FD1633" s="118">
        <f t="shared" si="204"/>
        <v>14</v>
      </c>
      <c r="FE1633" s="118">
        <f t="shared" si="205"/>
        <v>102</v>
      </c>
      <c r="FF1633" s="118" t="str">
        <f t="shared" si="206"/>
        <v/>
      </c>
      <c r="FI1633" s="16">
        <v>1630</v>
      </c>
      <c r="FJ1633" s="17" t="str">
        <f t="shared" si="207"/>
        <v/>
      </c>
      <c r="FK1633" s="17" t="str">
        <f t="shared" si="203"/>
        <v/>
      </c>
      <c r="FL1633" s="18" t="str">
        <f t="shared" si="208"/>
        <v/>
      </c>
    </row>
    <row r="1634" spans="159:168">
      <c r="FC1634" s="118">
        <v>1631</v>
      </c>
      <c r="FD1634" s="118">
        <f t="shared" si="204"/>
        <v>15</v>
      </c>
      <c r="FE1634" s="118">
        <f t="shared" si="205"/>
        <v>102</v>
      </c>
      <c r="FF1634" s="118" t="str">
        <f t="shared" si="206"/>
        <v/>
      </c>
      <c r="FI1634" s="16">
        <v>1631</v>
      </c>
      <c r="FJ1634" s="17" t="str">
        <f t="shared" si="207"/>
        <v/>
      </c>
      <c r="FK1634" s="17" t="str">
        <f t="shared" si="203"/>
        <v/>
      </c>
      <c r="FL1634" s="18" t="str">
        <f t="shared" si="208"/>
        <v/>
      </c>
    </row>
    <row r="1635" spans="159:168">
      <c r="FC1635" s="118">
        <v>1632</v>
      </c>
      <c r="FD1635" s="118">
        <f t="shared" si="204"/>
        <v>16</v>
      </c>
      <c r="FE1635" s="118">
        <f t="shared" si="205"/>
        <v>102</v>
      </c>
      <c r="FF1635" s="118" t="str">
        <f t="shared" si="206"/>
        <v/>
      </c>
      <c r="FI1635" s="16">
        <v>1632</v>
      </c>
      <c r="FJ1635" s="17" t="str">
        <f t="shared" si="207"/>
        <v/>
      </c>
      <c r="FK1635" s="17" t="str">
        <f t="shared" si="203"/>
        <v/>
      </c>
      <c r="FL1635" s="18" t="str">
        <f t="shared" si="208"/>
        <v/>
      </c>
    </row>
    <row r="1636" spans="159:168">
      <c r="FC1636" s="118">
        <v>1633</v>
      </c>
      <c r="FD1636" s="118">
        <f t="shared" si="204"/>
        <v>1</v>
      </c>
      <c r="FE1636" s="118">
        <f t="shared" si="205"/>
        <v>103</v>
      </c>
      <c r="FF1636" s="118" t="str">
        <f t="shared" si="206"/>
        <v/>
      </c>
      <c r="FI1636" s="16">
        <v>1633</v>
      </c>
      <c r="FJ1636" s="17" t="str">
        <f t="shared" si="207"/>
        <v/>
      </c>
      <c r="FK1636" s="17" t="str">
        <f t="shared" si="203"/>
        <v/>
      </c>
      <c r="FL1636" s="18" t="str">
        <f t="shared" si="208"/>
        <v/>
      </c>
    </row>
    <row r="1637" spans="159:168">
      <c r="FC1637" s="118">
        <v>1634</v>
      </c>
      <c r="FD1637" s="118">
        <f t="shared" si="204"/>
        <v>2</v>
      </c>
      <c r="FE1637" s="118">
        <f t="shared" si="205"/>
        <v>103</v>
      </c>
      <c r="FF1637" s="118" t="str">
        <f t="shared" si="206"/>
        <v/>
      </c>
      <c r="FI1637" s="16">
        <v>1634</v>
      </c>
      <c r="FJ1637" s="17" t="str">
        <f t="shared" si="207"/>
        <v/>
      </c>
      <c r="FK1637" s="17" t="str">
        <f t="shared" si="203"/>
        <v/>
      </c>
      <c r="FL1637" s="18" t="str">
        <f t="shared" si="208"/>
        <v/>
      </c>
    </row>
    <row r="1638" spans="159:168">
      <c r="FC1638" s="118">
        <v>1635</v>
      </c>
      <c r="FD1638" s="118">
        <f t="shared" si="204"/>
        <v>3</v>
      </c>
      <c r="FE1638" s="118">
        <f t="shared" si="205"/>
        <v>103</v>
      </c>
      <c r="FF1638" s="118" t="str">
        <f t="shared" si="206"/>
        <v/>
      </c>
      <c r="FI1638" s="16">
        <v>1635</v>
      </c>
      <c r="FJ1638" s="17" t="str">
        <f t="shared" si="207"/>
        <v/>
      </c>
      <c r="FK1638" s="17" t="str">
        <f t="shared" si="203"/>
        <v/>
      </c>
      <c r="FL1638" s="18" t="str">
        <f t="shared" si="208"/>
        <v/>
      </c>
    </row>
    <row r="1639" spans="159:168">
      <c r="FC1639" s="118">
        <v>1636</v>
      </c>
      <c r="FD1639" s="118">
        <f t="shared" si="204"/>
        <v>4</v>
      </c>
      <c r="FE1639" s="118">
        <f t="shared" si="205"/>
        <v>103</v>
      </c>
      <c r="FF1639" s="118" t="str">
        <f t="shared" si="206"/>
        <v/>
      </c>
      <c r="FI1639" s="16">
        <v>1636</v>
      </c>
      <c r="FJ1639" s="17" t="str">
        <f t="shared" si="207"/>
        <v/>
      </c>
      <c r="FK1639" s="17" t="str">
        <f t="shared" si="203"/>
        <v/>
      </c>
      <c r="FL1639" s="18" t="str">
        <f t="shared" si="208"/>
        <v/>
      </c>
    </row>
    <row r="1640" spans="159:168">
      <c r="FC1640" s="118">
        <v>1637</v>
      </c>
      <c r="FD1640" s="118">
        <f t="shared" si="204"/>
        <v>5</v>
      </c>
      <c r="FE1640" s="118">
        <f t="shared" si="205"/>
        <v>103</v>
      </c>
      <c r="FF1640" s="118" t="str">
        <f t="shared" si="206"/>
        <v/>
      </c>
      <c r="FI1640" s="16">
        <v>1637</v>
      </c>
      <c r="FJ1640" s="17" t="str">
        <f t="shared" si="207"/>
        <v/>
      </c>
      <c r="FK1640" s="17" t="str">
        <f t="shared" si="203"/>
        <v/>
      </c>
      <c r="FL1640" s="18" t="str">
        <f t="shared" si="208"/>
        <v/>
      </c>
    </row>
    <row r="1641" spans="159:168">
      <c r="FC1641" s="118">
        <v>1638</v>
      </c>
      <c r="FD1641" s="118">
        <f t="shared" si="204"/>
        <v>6</v>
      </c>
      <c r="FE1641" s="118">
        <f t="shared" si="205"/>
        <v>103</v>
      </c>
      <c r="FF1641" s="118" t="str">
        <f t="shared" si="206"/>
        <v/>
      </c>
      <c r="FI1641" s="16">
        <v>1638</v>
      </c>
      <c r="FJ1641" s="17" t="str">
        <f t="shared" si="207"/>
        <v/>
      </c>
      <c r="FK1641" s="17" t="str">
        <f t="shared" si="203"/>
        <v/>
      </c>
      <c r="FL1641" s="18" t="str">
        <f t="shared" si="208"/>
        <v/>
      </c>
    </row>
    <row r="1642" spans="159:168">
      <c r="FC1642" s="118">
        <v>1639</v>
      </c>
      <c r="FD1642" s="118">
        <f t="shared" si="204"/>
        <v>7</v>
      </c>
      <c r="FE1642" s="118">
        <f t="shared" si="205"/>
        <v>103</v>
      </c>
      <c r="FF1642" s="118" t="str">
        <f t="shared" si="206"/>
        <v/>
      </c>
      <c r="FI1642" s="16">
        <v>1639</v>
      </c>
      <c r="FJ1642" s="17" t="str">
        <f t="shared" si="207"/>
        <v/>
      </c>
      <c r="FK1642" s="17" t="str">
        <f t="shared" si="203"/>
        <v/>
      </c>
      <c r="FL1642" s="18" t="str">
        <f t="shared" si="208"/>
        <v/>
      </c>
    </row>
    <row r="1643" spans="159:168">
      <c r="FC1643" s="118">
        <v>1640</v>
      </c>
      <c r="FD1643" s="118">
        <f t="shared" si="204"/>
        <v>8</v>
      </c>
      <c r="FE1643" s="118">
        <f t="shared" si="205"/>
        <v>103</v>
      </c>
      <c r="FF1643" s="118" t="str">
        <f t="shared" si="206"/>
        <v/>
      </c>
      <c r="FI1643" s="16">
        <v>1640</v>
      </c>
      <c r="FJ1643" s="17" t="str">
        <f t="shared" si="207"/>
        <v/>
      </c>
      <c r="FK1643" s="17" t="str">
        <f t="shared" si="203"/>
        <v/>
      </c>
      <c r="FL1643" s="18" t="str">
        <f t="shared" si="208"/>
        <v/>
      </c>
    </row>
    <row r="1644" spans="159:168">
      <c r="FC1644" s="118">
        <v>1641</v>
      </c>
      <c r="FD1644" s="118">
        <f t="shared" si="204"/>
        <v>9</v>
      </c>
      <c r="FE1644" s="118">
        <f t="shared" si="205"/>
        <v>103</v>
      </c>
      <c r="FF1644" s="118" t="str">
        <f t="shared" si="206"/>
        <v/>
      </c>
      <c r="FI1644" s="16">
        <v>1641</v>
      </c>
      <c r="FJ1644" s="17" t="str">
        <f t="shared" si="207"/>
        <v/>
      </c>
      <c r="FK1644" s="17" t="str">
        <f t="shared" si="203"/>
        <v/>
      </c>
      <c r="FL1644" s="18" t="str">
        <f t="shared" si="208"/>
        <v/>
      </c>
    </row>
    <row r="1645" spans="159:168">
      <c r="FC1645" s="118">
        <v>1642</v>
      </c>
      <c r="FD1645" s="118">
        <f t="shared" si="204"/>
        <v>10</v>
      </c>
      <c r="FE1645" s="118">
        <f t="shared" si="205"/>
        <v>103</v>
      </c>
      <c r="FF1645" s="118" t="str">
        <f t="shared" si="206"/>
        <v/>
      </c>
      <c r="FI1645" s="16">
        <v>1642</v>
      </c>
      <c r="FJ1645" s="17" t="str">
        <f t="shared" si="207"/>
        <v/>
      </c>
      <c r="FK1645" s="17" t="str">
        <f t="shared" si="203"/>
        <v/>
      </c>
      <c r="FL1645" s="18" t="str">
        <f t="shared" si="208"/>
        <v/>
      </c>
    </row>
    <row r="1646" spans="159:168">
      <c r="FC1646" s="118">
        <v>1643</v>
      </c>
      <c r="FD1646" s="118">
        <f t="shared" si="204"/>
        <v>11</v>
      </c>
      <c r="FE1646" s="118">
        <f t="shared" si="205"/>
        <v>103</v>
      </c>
      <c r="FF1646" s="118" t="str">
        <f t="shared" si="206"/>
        <v/>
      </c>
      <c r="FI1646" s="16">
        <v>1643</v>
      </c>
      <c r="FJ1646" s="17" t="str">
        <f t="shared" si="207"/>
        <v/>
      </c>
      <c r="FK1646" s="17" t="str">
        <f t="shared" si="203"/>
        <v/>
      </c>
      <c r="FL1646" s="18" t="str">
        <f t="shared" si="208"/>
        <v/>
      </c>
    </row>
    <row r="1647" spans="159:168">
      <c r="FC1647" s="118">
        <v>1644</v>
      </c>
      <c r="FD1647" s="118">
        <f t="shared" si="204"/>
        <v>12</v>
      </c>
      <c r="FE1647" s="118">
        <f t="shared" si="205"/>
        <v>103</v>
      </c>
      <c r="FF1647" s="118" t="str">
        <f t="shared" si="206"/>
        <v/>
      </c>
      <c r="FI1647" s="16">
        <v>1644</v>
      </c>
      <c r="FJ1647" s="17" t="str">
        <f t="shared" si="207"/>
        <v/>
      </c>
      <c r="FK1647" s="17" t="str">
        <f t="shared" si="203"/>
        <v/>
      </c>
      <c r="FL1647" s="18" t="str">
        <f t="shared" si="208"/>
        <v/>
      </c>
    </row>
    <row r="1648" spans="159:168">
      <c r="FC1648" s="118">
        <v>1645</v>
      </c>
      <c r="FD1648" s="118">
        <f t="shared" si="204"/>
        <v>13</v>
      </c>
      <c r="FE1648" s="118">
        <f t="shared" si="205"/>
        <v>103</v>
      </c>
      <c r="FF1648" s="118" t="str">
        <f t="shared" si="206"/>
        <v/>
      </c>
      <c r="FI1648" s="16">
        <v>1645</v>
      </c>
      <c r="FJ1648" s="17" t="str">
        <f t="shared" si="207"/>
        <v/>
      </c>
      <c r="FK1648" s="17" t="str">
        <f t="shared" si="203"/>
        <v/>
      </c>
      <c r="FL1648" s="18" t="str">
        <f t="shared" si="208"/>
        <v/>
      </c>
    </row>
    <row r="1649" spans="159:168">
      <c r="FC1649" s="118">
        <v>1646</v>
      </c>
      <c r="FD1649" s="118">
        <f t="shared" si="204"/>
        <v>14</v>
      </c>
      <c r="FE1649" s="118">
        <f t="shared" si="205"/>
        <v>103</v>
      </c>
      <c r="FF1649" s="118" t="str">
        <f t="shared" si="206"/>
        <v/>
      </c>
      <c r="FI1649" s="16">
        <v>1646</v>
      </c>
      <c r="FJ1649" s="17" t="str">
        <f t="shared" si="207"/>
        <v/>
      </c>
      <c r="FK1649" s="17" t="str">
        <f t="shared" si="203"/>
        <v/>
      </c>
      <c r="FL1649" s="18" t="str">
        <f t="shared" si="208"/>
        <v/>
      </c>
    </row>
    <row r="1650" spans="159:168">
      <c r="FC1650" s="118">
        <v>1647</v>
      </c>
      <c r="FD1650" s="118">
        <f t="shared" si="204"/>
        <v>15</v>
      </c>
      <c r="FE1650" s="118">
        <f t="shared" si="205"/>
        <v>103</v>
      </c>
      <c r="FF1650" s="118" t="str">
        <f t="shared" si="206"/>
        <v/>
      </c>
      <c r="FI1650" s="16">
        <v>1647</v>
      </c>
      <c r="FJ1650" s="17" t="str">
        <f t="shared" si="207"/>
        <v/>
      </c>
      <c r="FK1650" s="17" t="str">
        <f t="shared" si="203"/>
        <v/>
      </c>
      <c r="FL1650" s="18" t="str">
        <f t="shared" si="208"/>
        <v/>
      </c>
    </row>
    <row r="1651" spans="159:168">
      <c r="FC1651" s="118">
        <v>1648</v>
      </c>
      <c r="FD1651" s="118">
        <f t="shared" si="204"/>
        <v>16</v>
      </c>
      <c r="FE1651" s="118">
        <f t="shared" si="205"/>
        <v>103</v>
      </c>
      <c r="FF1651" s="118" t="str">
        <f t="shared" si="206"/>
        <v/>
      </c>
      <c r="FI1651" s="16">
        <v>1648</v>
      </c>
      <c r="FJ1651" s="17" t="str">
        <f t="shared" si="207"/>
        <v/>
      </c>
      <c r="FK1651" s="17" t="str">
        <f t="shared" si="203"/>
        <v/>
      </c>
      <c r="FL1651" s="18" t="str">
        <f t="shared" si="208"/>
        <v/>
      </c>
    </row>
    <row r="1652" spans="159:168">
      <c r="FC1652" s="118">
        <v>1649</v>
      </c>
      <c r="FD1652" s="118">
        <f t="shared" si="204"/>
        <v>1</v>
      </c>
      <c r="FE1652" s="118">
        <f t="shared" si="205"/>
        <v>104</v>
      </c>
      <c r="FF1652" s="118" t="str">
        <f t="shared" si="206"/>
        <v/>
      </c>
      <c r="FI1652" s="16">
        <v>1649</v>
      </c>
      <c r="FJ1652" s="17" t="str">
        <f t="shared" si="207"/>
        <v/>
      </c>
      <c r="FK1652" s="17" t="str">
        <f t="shared" si="203"/>
        <v/>
      </c>
      <c r="FL1652" s="18" t="str">
        <f t="shared" si="208"/>
        <v/>
      </c>
    </row>
    <row r="1653" spans="159:168">
      <c r="FC1653" s="118">
        <v>1650</v>
      </c>
      <c r="FD1653" s="118">
        <f t="shared" si="204"/>
        <v>2</v>
      </c>
      <c r="FE1653" s="118">
        <f t="shared" si="205"/>
        <v>104</v>
      </c>
      <c r="FF1653" s="118" t="str">
        <f t="shared" si="206"/>
        <v/>
      </c>
      <c r="FI1653" s="16">
        <v>1650</v>
      </c>
      <c r="FJ1653" s="17" t="str">
        <f t="shared" si="207"/>
        <v/>
      </c>
      <c r="FK1653" s="17" t="str">
        <f t="shared" si="203"/>
        <v/>
      </c>
      <c r="FL1653" s="18" t="str">
        <f t="shared" si="208"/>
        <v/>
      </c>
    </row>
    <row r="1654" spans="159:168">
      <c r="FC1654" s="118">
        <v>1651</v>
      </c>
      <c r="FD1654" s="118">
        <f t="shared" si="204"/>
        <v>3</v>
      </c>
      <c r="FE1654" s="118">
        <f t="shared" si="205"/>
        <v>104</v>
      </c>
      <c r="FF1654" s="118" t="str">
        <f t="shared" si="206"/>
        <v/>
      </c>
      <c r="FI1654" s="16">
        <v>1651</v>
      </c>
      <c r="FJ1654" s="17" t="str">
        <f t="shared" si="207"/>
        <v/>
      </c>
      <c r="FK1654" s="17" t="str">
        <f t="shared" si="203"/>
        <v/>
      </c>
      <c r="FL1654" s="18" t="str">
        <f t="shared" si="208"/>
        <v/>
      </c>
    </row>
    <row r="1655" spans="159:168">
      <c r="FC1655" s="118">
        <v>1652</v>
      </c>
      <c r="FD1655" s="118">
        <f t="shared" si="204"/>
        <v>4</v>
      </c>
      <c r="FE1655" s="118">
        <f t="shared" si="205"/>
        <v>104</v>
      </c>
      <c r="FF1655" s="118" t="str">
        <f t="shared" si="206"/>
        <v/>
      </c>
      <c r="FI1655" s="16">
        <v>1652</v>
      </c>
      <c r="FJ1655" s="17" t="str">
        <f t="shared" si="207"/>
        <v/>
      </c>
      <c r="FK1655" s="17" t="str">
        <f t="shared" si="203"/>
        <v/>
      </c>
      <c r="FL1655" s="18" t="str">
        <f t="shared" si="208"/>
        <v/>
      </c>
    </row>
    <row r="1656" spans="159:168">
      <c r="FC1656" s="118">
        <v>1653</v>
      </c>
      <c r="FD1656" s="118">
        <f t="shared" si="204"/>
        <v>5</v>
      </c>
      <c r="FE1656" s="118">
        <f t="shared" si="205"/>
        <v>104</v>
      </c>
      <c r="FF1656" s="118" t="str">
        <f t="shared" si="206"/>
        <v/>
      </c>
      <c r="FI1656" s="16">
        <v>1653</v>
      </c>
      <c r="FJ1656" s="17" t="str">
        <f t="shared" si="207"/>
        <v/>
      </c>
      <c r="FK1656" s="17" t="str">
        <f t="shared" si="203"/>
        <v/>
      </c>
      <c r="FL1656" s="18" t="str">
        <f t="shared" si="208"/>
        <v/>
      </c>
    </row>
    <row r="1657" spans="159:168">
      <c r="FC1657" s="118">
        <v>1654</v>
      </c>
      <c r="FD1657" s="118">
        <f t="shared" si="204"/>
        <v>6</v>
      </c>
      <c r="FE1657" s="118">
        <f t="shared" si="205"/>
        <v>104</v>
      </c>
      <c r="FF1657" s="118" t="str">
        <f t="shared" si="206"/>
        <v/>
      </c>
      <c r="FI1657" s="16">
        <v>1654</v>
      </c>
      <c r="FJ1657" s="17" t="str">
        <f t="shared" si="207"/>
        <v/>
      </c>
      <c r="FK1657" s="17" t="str">
        <f t="shared" si="203"/>
        <v/>
      </c>
      <c r="FL1657" s="18" t="str">
        <f t="shared" si="208"/>
        <v/>
      </c>
    </row>
    <row r="1658" spans="159:168">
      <c r="FC1658" s="118">
        <v>1655</v>
      </c>
      <c r="FD1658" s="118">
        <f t="shared" si="204"/>
        <v>7</v>
      </c>
      <c r="FE1658" s="118">
        <f t="shared" si="205"/>
        <v>104</v>
      </c>
      <c r="FF1658" s="118" t="str">
        <f t="shared" si="206"/>
        <v/>
      </c>
      <c r="FI1658" s="16">
        <v>1655</v>
      </c>
      <c r="FJ1658" s="17" t="str">
        <f t="shared" si="207"/>
        <v/>
      </c>
      <c r="FK1658" s="17" t="str">
        <f t="shared" si="203"/>
        <v/>
      </c>
      <c r="FL1658" s="18" t="str">
        <f t="shared" si="208"/>
        <v/>
      </c>
    </row>
    <row r="1659" spans="159:168">
      <c r="FC1659" s="118">
        <v>1656</v>
      </c>
      <c r="FD1659" s="118">
        <f t="shared" si="204"/>
        <v>8</v>
      </c>
      <c r="FE1659" s="118">
        <f t="shared" si="205"/>
        <v>104</v>
      </c>
      <c r="FF1659" s="118" t="str">
        <f t="shared" si="206"/>
        <v/>
      </c>
      <c r="FI1659" s="16">
        <v>1656</v>
      </c>
      <c r="FJ1659" s="17" t="str">
        <f t="shared" si="207"/>
        <v/>
      </c>
      <c r="FK1659" s="17" t="str">
        <f t="shared" si="203"/>
        <v/>
      </c>
      <c r="FL1659" s="18" t="str">
        <f t="shared" si="208"/>
        <v/>
      </c>
    </row>
    <row r="1660" spans="159:168">
      <c r="FC1660" s="118">
        <v>1657</v>
      </c>
      <c r="FD1660" s="118">
        <f t="shared" si="204"/>
        <v>9</v>
      </c>
      <c r="FE1660" s="118">
        <f t="shared" si="205"/>
        <v>104</v>
      </c>
      <c r="FF1660" s="118" t="str">
        <f t="shared" si="206"/>
        <v/>
      </c>
      <c r="FI1660" s="16">
        <v>1657</v>
      </c>
      <c r="FJ1660" s="17" t="str">
        <f t="shared" si="207"/>
        <v/>
      </c>
      <c r="FK1660" s="17" t="str">
        <f t="shared" si="203"/>
        <v/>
      </c>
      <c r="FL1660" s="18" t="str">
        <f t="shared" si="208"/>
        <v/>
      </c>
    </row>
    <row r="1661" spans="159:168">
      <c r="FC1661" s="118">
        <v>1658</v>
      </c>
      <c r="FD1661" s="118">
        <f t="shared" si="204"/>
        <v>10</v>
      </c>
      <c r="FE1661" s="118">
        <f t="shared" si="205"/>
        <v>104</v>
      </c>
      <c r="FF1661" s="118" t="str">
        <f t="shared" si="206"/>
        <v/>
      </c>
      <c r="FI1661" s="16">
        <v>1658</v>
      </c>
      <c r="FJ1661" s="17" t="str">
        <f t="shared" si="207"/>
        <v/>
      </c>
      <c r="FK1661" s="17" t="str">
        <f t="shared" si="203"/>
        <v/>
      </c>
      <c r="FL1661" s="18" t="str">
        <f t="shared" si="208"/>
        <v/>
      </c>
    </row>
    <row r="1662" spans="159:168">
      <c r="FC1662" s="118">
        <v>1659</v>
      </c>
      <c r="FD1662" s="118">
        <f t="shared" si="204"/>
        <v>11</v>
      </c>
      <c r="FE1662" s="118">
        <f t="shared" si="205"/>
        <v>104</v>
      </c>
      <c r="FF1662" s="118" t="str">
        <f t="shared" si="206"/>
        <v/>
      </c>
      <c r="FI1662" s="16">
        <v>1659</v>
      </c>
      <c r="FJ1662" s="17" t="str">
        <f t="shared" si="207"/>
        <v/>
      </c>
      <c r="FK1662" s="17" t="str">
        <f t="shared" si="203"/>
        <v/>
      </c>
      <c r="FL1662" s="18" t="str">
        <f t="shared" si="208"/>
        <v/>
      </c>
    </row>
    <row r="1663" spans="159:168">
      <c r="FC1663" s="118">
        <v>1660</v>
      </c>
      <c r="FD1663" s="118">
        <f t="shared" si="204"/>
        <v>12</v>
      </c>
      <c r="FE1663" s="118">
        <f t="shared" si="205"/>
        <v>104</v>
      </c>
      <c r="FF1663" s="118" t="str">
        <f t="shared" si="206"/>
        <v/>
      </c>
      <c r="FI1663" s="16">
        <v>1660</v>
      </c>
      <c r="FJ1663" s="17" t="str">
        <f t="shared" si="207"/>
        <v/>
      </c>
      <c r="FK1663" s="17" t="str">
        <f t="shared" si="203"/>
        <v/>
      </c>
      <c r="FL1663" s="18" t="str">
        <f t="shared" si="208"/>
        <v/>
      </c>
    </row>
    <row r="1664" spans="159:168">
      <c r="FC1664" s="118">
        <v>1661</v>
      </c>
      <c r="FD1664" s="118">
        <f t="shared" si="204"/>
        <v>13</v>
      </c>
      <c r="FE1664" s="118">
        <f t="shared" si="205"/>
        <v>104</v>
      </c>
      <c r="FF1664" s="118" t="str">
        <f t="shared" si="206"/>
        <v/>
      </c>
      <c r="FI1664" s="16">
        <v>1661</v>
      </c>
      <c r="FJ1664" s="17" t="str">
        <f t="shared" si="207"/>
        <v/>
      </c>
      <c r="FK1664" s="17" t="str">
        <f t="shared" si="203"/>
        <v/>
      </c>
      <c r="FL1664" s="18" t="str">
        <f t="shared" si="208"/>
        <v/>
      </c>
    </row>
    <row r="1665" spans="159:168">
      <c r="FC1665" s="118">
        <v>1662</v>
      </c>
      <c r="FD1665" s="118">
        <f t="shared" si="204"/>
        <v>14</v>
      </c>
      <c r="FE1665" s="118">
        <f t="shared" si="205"/>
        <v>104</v>
      </c>
      <c r="FF1665" s="118" t="str">
        <f t="shared" si="206"/>
        <v/>
      </c>
      <c r="FI1665" s="16">
        <v>1662</v>
      </c>
      <c r="FJ1665" s="17" t="str">
        <f t="shared" si="207"/>
        <v/>
      </c>
      <c r="FK1665" s="17" t="str">
        <f t="shared" si="203"/>
        <v/>
      </c>
      <c r="FL1665" s="18" t="str">
        <f t="shared" si="208"/>
        <v/>
      </c>
    </row>
    <row r="1666" spans="159:168">
      <c r="FC1666" s="118">
        <v>1663</v>
      </c>
      <c r="FD1666" s="118">
        <f t="shared" si="204"/>
        <v>15</v>
      </c>
      <c r="FE1666" s="118">
        <f t="shared" si="205"/>
        <v>104</v>
      </c>
      <c r="FF1666" s="118" t="str">
        <f t="shared" si="206"/>
        <v/>
      </c>
      <c r="FI1666" s="16">
        <v>1663</v>
      </c>
      <c r="FJ1666" s="17" t="str">
        <f t="shared" si="207"/>
        <v/>
      </c>
      <c r="FK1666" s="17" t="str">
        <f t="shared" si="203"/>
        <v/>
      </c>
      <c r="FL1666" s="18" t="str">
        <f t="shared" si="208"/>
        <v/>
      </c>
    </row>
    <row r="1667" spans="159:168">
      <c r="FC1667" s="118">
        <v>1664</v>
      </c>
      <c r="FD1667" s="118">
        <f t="shared" si="204"/>
        <v>16</v>
      </c>
      <c r="FE1667" s="118">
        <f t="shared" si="205"/>
        <v>104</v>
      </c>
      <c r="FF1667" s="118" t="str">
        <f t="shared" si="206"/>
        <v/>
      </c>
      <c r="FI1667" s="16">
        <v>1664</v>
      </c>
      <c r="FJ1667" s="17" t="str">
        <f t="shared" si="207"/>
        <v/>
      </c>
      <c r="FK1667" s="17" t="str">
        <f t="shared" si="203"/>
        <v/>
      </c>
      <c r="FL1667" s="18" t="str">
        <f t="shared" si="208"/>
        <v/>
      </c>
    </row>
    <row r="1668" spans="159:168">
      <c r="FC1668" s="118">
        <v>1665</v>
      </c>
      <c r="FD1668" s="118">
        <f t="shared" si="204"/>
        <v>1</v>
      </c>
      <c r="FE1668" s="118">
        <f t="shared" si="205"/>
        <v>105</v>
      </c>
      <c r="FF1668" s="118" t="str">
        <f t="shared" si="206"/>
        <v/>
      </c>
      <c r="FI1668" s="16">
        <v>1665</v>
      </c>
      <c r="FJ1668" s="17" t="str">
        <f t="shared" si="207"/>
        <v/>
      </c>
      <c r="FK1668" s="17" t="str">
        <f t="shared" si="203"/>
        <v/>
      </c>
      <c r="FL1668" s="18" t="str">
        <f t="shared" si="208"/>
        <v/>
      </c>
    </row>
    <row r="1669" spans="159:168">
      <c r="FC1669" s="118">
        <v>1666</v>
      </c>
      <c r="FD1669" s="118">
        <f t="shared" si="204"/>
        <v>2</v>
      </c>
      <c r="FE1669" s="118">
        <f t="shared" si="205"/>
        <v>105</v>
      </c>
      <c r="FF1669" s="118" t="str">
        <f t="shared" si="206"/>
        <v/>
      </c>
      <c r="FI1669" s="16">
        <v>1666</v>
      </c>
      <c r="FJ1669" s="17" t="str">
        <f t="shared" si="207"/>
        <v/>
      </c>
      <c r="FK1669" s="17" t="str">
        <f t="shared" ref="FK1669:FK1732" si="209">IF(FI1669&lt;=$FH$2,FF1669,IF(FI1669&lt;=$FH$2+$FH$3,INDEX($FJ$4:$FJ$2494,FI1669-$FH$2),""))</f>
        <v/>
      </c>
      <c r="FL1669" s="18" t="str">
        <f t="shared" si="208"/>
        <v/>
      </c>
    </row>
    <row r="1670" spans="159:168">
      <c r="FC1670" s="118">
        <v>1667</v>
      </c>
      <c r="FD1670" s="118">
        <f t="shared" si="204"/>
        <v>3</v>
      </c>
      <c r="FE1670" s="118">
        <f t="shared" si="205"/>
        <v>105</v>
      </c>
      <c r="FF1670" s="118" t="str">
        <f t="shared" si="206"/>
        <v/>
      </c>
      <c r="FI1670" s="16">
        <v>1667</v>
      </c>
      <c r="FJ1670" s="17" t="str">
        <f t="shared" si="207"/>
        <v/>
      </c>
      <c r="FK1670" s="17" t="str">
        <f t="shared" si="209"/>
        <v/>
      </c>
      <c r="FL1670" s="18" t="str">
        <f t="shared" si="208"/>
        <v/>
      </c>
    </row>
    <row r="1671" spans="159:168">
      <c r="FC1671" s="118">
        <v>1668</v>
      </c>
      <c r="FD1671" s="118">
        <f t="shared" si="204"/>
        <v>4</v>
      </c>
      <c r="FE1671" s="118">
        <f t="shared" si="205"/>
        <v>105</v>
      </c>
      <c r="FF1671" s="118" t="str">
        <f t="shared" si="206"/>
        <v/>
      </c>
      <c r="FI1671" s="16">
        <v>1668</v>
      </c>
      <c r="FJ1671" s="17" t="str">
        <f t="shared" si="207"/>
        <v/>
      </c>
      <c r="FK1671" s="17" t="str">
        <f t="shared" si="209"/>
        <v/>
      </c>
      <c r="FL1671" s="18" t="str">
        <f t="shared" si="208"/>
        <v/>
      </c>
    </row>
    <row r="1672" spans="159:168">
      <c r="FC1672" s="118">
        <v>1669</v>
      </c>
      <c r="FD1672" s="118">
        <f t="shared" si="204"/>
        <v>5</v>
      </c>
      <c r="FE1672" s="118">
        <f t="shared" si="205"/>
        <v>105</v>
      </c>
      <c r="FF1672" s="118" t="str">
        <f t="shared" si="206"/>
        <v/>
      </c>
      <c r="FI1672" s="16">
        <v>1669</v>
      </c>
      <c r="FJ1672" s="17" t="str">
        <f t="shared" si="207"/>
        <v/>
      </c>
      <c r="FK1672" s="17" t="str">
        <f t="shared" si="209"/>
        <v/>
      </c>
      <c r="FL1672" s="18" t="str">
        <f t="shared" si="208"/>
        <v/>
      </c>
    </row>
    <row r="1673" spans="159:168">
      <c r="FC1673" s="118">
        <v>1670</v>
      </c>
      <c r="FD1673" s="118">
        <f t="shared" si="204"/>
        <v>6</v>
      </c>
      <c r="FE1673" s="118">
        <f t="shared" si="205"/>
        <v>105</v>
      </c>
      <c r="FF1673" s="118" t="str">
        <f t="shared" si="206"/>
        <v/>
      </c>
      <c r="FI1673" s="16">
        <v>1670</v>
      </c>
      <c r="FJ1673" s="17" t="str">
        <f t="shared" si="207"/>
        <v/>
      </c>
      <c r="FK1673" s="17" t="str">
        <f t="shared" si="209"/>
        <v/>
      </c>
      <c r="FL1673" s="18" t="str">
        <f t="shared" si="208"/>
        <v/>
      </c>
    </row>
    <row r="1674" spans="159:168">
      <c r="FC1674" s="118">
        <v>1671</v>
      </c>
      <c r="FD1674" s="118">
        <f t="shared" si="204"/>
        <v>7</v>
      </c>
      <c r="FE1674" s="118">
        <f t="shared" si="205"/>
        <v>105</v>
      </c>
      <c r="FF1674" s="118" t="str">
        <f t="shared" si="206"/>
        <v/>
      </c>
      <c r="FI1674" s="16">
        <v>1671</v>
      </c>
      <c r="FJ1674" s="17" t="str">
        <f t="shared" si="207"/>
        <v/>
      </c>
      <c r="FK1674" s="17" t="str">
        <f t="shared" si="209"/>
        <v/>
      </c>
      <c r="FL1674" s="18" t="str">
        <f t="shared" si="208"/>
        <v/>
      </c>
    </row>
    <row r="1675" spans="159:168">
      <c r="FC1675" s="118">
        <v>1672</v>
      </c>
      <c r="FD1675" s="118">
        <f t="shared" si="204"/>
        <v>8</v>
      </c>
      <c r="FE1675" s="118">
        <f t="shared" si="205"/>
        <v>105</v>
      </c>
      <c r="FF1675" s="118" t="str">
        <f t="shared" si="206"/>
        <v/>
      </c>
      <c r="FI1675" s="16">
        <v>1672</v>
      </c>
      <c r="FJ1675" s="17" t="str">
        <f t="shared" si="207"/>
        <v/>
      </c>
      <c r="FK1675" s="17" t="str">
        <f t="shared" si="209"/>
        <v/>
      </c>
      <c r="FL1675" s="18" t="str">
        <f t="shared" si="208"/>
        <v/>
      </c>
    </row>
    <row r="1676" spans="159:168">
      <c r="FC1676" s="118">
        <v>1673</v>
      </c>
      <c r="FD1676" s="118">
        <f t="shared" si="204"/>
        <v>9</v>
      </c>
      <c r="FE1676" s="118">
        <f t="shared" si="205"/>
        <v>105</v>
      </c>
      <c r="FF1676" s="118" t="str">
        <f t="shared" si="206"/>
        <v/>
      </c>
      <c r="FI1676" s="16">
        <v>1673</v>
      </c>
      <c r="FJ1676" s="17" t="str">
        <f t="shared" si="207"/>
        <v/>
      </c>
      <c r="FK1676" s="17" t="str">
        <f t="shared" si="209"/>
        <v/>
      </c>
      <c r="FL1676" s="18" t="str">
        <f t="shared" si="208"/>
        <v/>
      </c>
    </row>
    <row r="1677" spans="159:168">
      <c r="FC1677" s="118">
        <v>1674</v>
      </c>
      <c r="FD1677" s="118">
        <f t="shared" si="204"/>
        <v>10</v>
      </c>
      <c r="FE1677" s="118">
        <f t="shared" si="205"/>
        <v>105</v>
      </c>
      <c r="FF1677" s="118" t="str">
        <f t="shared" si="206"/>
        <v/>
      </c>
      <c r="FI1677" s="16">
        <v>1674</v>
      </c>
      <c r="FJ1677" s="17" t="str">
        <f t="shared" si="207"/>
        <v/>
      </c>
      <c r="FK1677" s="17" t="str">
        <f t="shared" si="209"/>
        <v/>
      </c>
      <c r="FL1677" s="18" t="str">
        <f t="shared" si="208"/>
        <v/>
      </c>
    </row>
    <row r="1678" spans="159:168">
      <c r="FC1678" s="118">
        <v>1675</v>
      </c>
      <c r="FD1678" s="118">
        <f t="shared" si="204"/>
        <v>11</v>
      </c>
      <c r="FE1678" s="118">
        <f t="shared" si="205"/>
        <v>105</v>
      </c>
      <c r="FF1678" s="118" t="str">
        <f t="shared" si="206"/>
        <v/>
      </c>
      <c r="FI1678" s="16">
        <v>1675</v>
      </c>
      <c r="FJ1678" s="17" t="str">
        <f t="shared" si="207"/>
        <v/>
      </c>
      <c r="FK1678" s="17" t="str">
        <f t="shared" si="209"/>
        <v/>
      </c>
      <c r="FL1678" s="18" t="str">
        <f t="shared" si="208"/>
        <v/>
      </c>
    </row>
    <row r="1679" spans="159:168">
      <c r="FC1679" s="118">
        <v>1676</v>
      </c>
      <c r="FD1679" s="118">
        <f t="shared" si="204"/>
        <v>12</v>
      </c>
      <c r="FE1679" s="118">
        <f t="shared" si="205"/>
        <v>105</v>
      </c>
      <c r="FF1679" s="118" t="str">
        <f t="shared" si="206"/>
        <v/>
      </c>
      <c r="FI1679" s="16">
        <v>1676</v>
      </c>
      <c r="FJ1679" s="17" t="str">
        <f t="shared" si="207"/>
        <v/>
      </c>
      <c r="FK1679" s="17" t="str">
        <f t="shared" si="209"/>
        <v/>
      </c>
      <c r="FL1679" s="18" t="str">
        <f t="shared" si="208"/>
        <v/>
      </c>
    </row>
    <row r="1680" spans="159:168">
      <c r="FC1680" s="118">
        <v>1677</v>
      </c>
      <c r="FD1680" s="118">
        <f t="shared" si="204"/>
        <v>13</v>
      </c>
      <c r="FE1680" s="118">
        <f t="shared" si="205"/>
        <v>105</v>
      </c>
      <c r="FF1680" s="118" t="str">
        <f t="shared" si="206"/>
        <v/>
      </c>
      <c r="FI1680" s="16">
        <v>1677</v>
      </c>
      <c r="FJ1680" s="17" t="str">
        <f t="shared" si="207"/>
        <v/>
      </c>
      <c r="FK1680" s="17" t="str">
        <f t="shared" si="209"/>
        <v/>
      </c>
      <c r="FL1680" s="18" t="str">
        <f t="shared" si="208"/>
        <v/>
      </c>
    </row>
    <row r="1681" spans="159:168">
      <c r="FC1681" s="118">
        <v>1678</v>
      </c>
      <c r="FD1681" s="118">
        <f t="shared" si="204"/>
        <v>14</v>
      </c>
      <c r="FE1681" s="118">
        <f t="shared" si="205"/>
        <v>105</v>
      </c>
      <c r="FF1681" s="118" t="str">
        <f t="shared" si="206"/>
        <v/>
      </c>
      <c r="FI1681" s="16">
        <v>1678</v>
      </c>
      <c r="FJ1681" s="17" t="str">
        <f t="shared" si="207"/>
        <v/>
      </c>
      <c r="FK1681" s="17" t="str">
        <f t="shared" si="209"/>
        <v/>
      </c>
      <c r="FL1681" s="18" t="str">
        <f t="shared" si="208"/>
        <v/>
      </c>
    </row>
    <row r="1682" spans="159:168">
      <c r="FC1682" s="118">
        <v>1679</v>
      </c>
      <c r="FD1682" s="118">
        <f t="shared" si="204"/>
        <v>15</v>
      </c>
      <c r="FE1682" s="118">
        <f t="shared" si="205"/>
        <v>105</v>
      </c>
      <c r="FF1682" s="118" t="str">
        <f t="shared" si="206"/>
        <v/>
      </c>
      <c r="FI1682" s="16">
        <v>1679</v>
      </c>
      <c r="FJ1682" s="17" t="str">
        <f t="shared" si="207"/>
        <v/>
      </c>
      <c r="FK1682" s="17" t="str">
        <f t="shared" si="209"/>
        <v/>
      </c>
      <c r="FL1682" s="18" t="str">
        <f t="shared" si="208"/>
        <v/>
      </c>
    </row>
    <row r="1683" spans="159:168">
      <c r="FC1683" s="118">
        <v>1680</v>
      </c>
      <c r="FD1683" s="118">
        <f t="shared" si="204"/>
        <v>16</v>
      </c>
      <c r="FE1683" s="118">
        <f t="shared" si="205"/>
        <v>105</v>
      </c>
      <c r="FF1683" s="118" t="str">
        <f t="shared" si="206"/>
        <v/>
      </c>
      <c r="FI1683" s="16">
        <v>1680</v>
      </c>
      <c r="FJ1683" s="17" t="str">
        <f t="shared" si="207"/>
        <v/>
      </c>
      <c r="FK1683" s="17" t="str">
        <f t="shared" si="209"/>
        <v/>
      </c>
      <c r="FL1683" s="18" t="str">
        <f t="shared" si="208"/>
        <v/>
      </c>
    </row>
    <row r="1684" spans="159:168">
      <c r="FC1684" s="118">
        <v>1681</v>
      </c>
      <c r="FD1684" s="118">
        <f t="shared" si="204"/>
        <v>1</v>
      </c>
      <c r="FE1684" s="118">
        <f t="shared" si="205"/>
        <v>106</v>
      </c>
      <c r="FF1684" s="118" t="str">
        <f t="shared" si="206"/>
        <v/>
      </c>
      <c r="FI1684" s="16">
        <v>1681</v>
      </c>
      <c r="FJ1684" s="17" t="str">
        <f t="shared" si="207"/>
        <v/>
      </c>
      <c r="FK1684" s="17" t="str">
        <f t="shared" si="209"/>
        <v/>
      </c>
      <c r="FL1684" s="18" t="str">
        <f t="shared" si="208"/>
        <v/>
      </c>
    </row>
    <row r="1685" spans="159:168">
      <c r="FC1685" s="118">
        <v>1682</v>
      </c>
      <c r="FD1685" s="118">
        <f t="shared" si="204"/>
        <v>2</v>
      </c>
      <c r="FE1685" s="118">
        <f t="shared" si="205"/>
        <v>106</v>
      </c>
      <c r="FF1685" s="118" t="str">
        <f t="shared" si="206"/>
        <v/>
      </c>
      <c r="FI1685" s="16">
        <v>1682</v>
      </c>
      <c r="FJ1685" s="17" t="str">
        <f t="shared" si="207"/>
        <v/>
      </c>
      <c r="FK1685" s="17" t="str">
        <f t="shared" si="209"/>
        <v/>
      </c>
      <c r="FL1685" s="18" t="str">
        <f t="shared" si="208"/>
        <v/>
      </c>
    </row>
    <row r="1686" spans="159:168">
      <c r="FC1686" s="118">
        <v>1683</v>
      </c>
      <c r="FD1686" s="118">
        <f t="shared" ref="FD1686:FD1749" si="210">IF(MOD(FC1686,$FB$1+$FB$2)=0,$FB$1+$FB$2,MOD(FC1686,$FB$1+$FB$2))</f>
        <v>3</v>
      </c>
      <c r="FE1686" s="118">
        <f t="shared" ref="FE1686:FE1749" si="211">ROUNDUP(FC1686/($FB$1+$FB$2),0)</f>
        <v>106</v>
      </c>
      <c r="FF1686" s="118" t="str">
        <f t="shared" ref="FF1686:FF1749" si="212">IF(FE1686&lt;$FB$3,INDEX($E$4:$DV$84,FD1686,FE1686),IF(FE1686=$FB$3,INDEX($E$4:$DV$84,FD1686+$FB$1,FE1686),""))</f>
        <v/>
      </c>
      <c r="FI1686" s="16">
        <v>1683</v>
      </c>
      <c r="FJ1686" s="17" t="str">
        <f t="shared" ref="FJ1686:FJ1749" si="213">IF(FE1686&lt;=$FH$1,INDEX($DW$4:$EZ$84,FD1686,FE1686),"")</f>
        <v/>
      </c>
      <c r="FK1686" s="17" t="str">
        <f t="shared" si="209"/>
        <v/>
      </c>
      <c r="FL1686" s="18" t="str">
        <f t="shared" ref="FL1686:FL1749" si="214">IFERROR(TEXT(DEC2BIN(FK1686),"00000000"),"")</f>
        <v/>
      </c>
    </row>
    <row r="1687" spans="159:168">
      <c r="FC1687" s="118">
        <v>1684</v>
      </c>
      <c r="FD1687" s="118">
        <f t="shared" si="210"/>
        <v>4</v>
      </c>
      <c r="FE1687" s="118">
        <f t="shared" si="211"/>
        <v>106</v>
      </c>
      <c r="FF1687" s="118" t="str">
        <f t="shared" si="212"/>
        <v/>
      </c>
      <c r="FI1687" s="16">
        <v>1684</v>
      </c>
      <c r="FJ1687" s="17" t="str">
        <f t="shared" si="213"/>
        <v/>
      </c>
      <c r="FK1687" s="17" t="str">
        <f t="shared" si="209"/>
        <v/>
      </c>
      <c r="FL1687" s="18" t="str">
        <f t="shared" si="214"/>
        <v/>
      </c>
    </row>
    <row r="1688" spans="159:168">
      <c r="FC1688" s="118">
        <v>1685</v>
      </c>
      <c r="FD1688" s="118">
        <f t="shared" si="210"/>
        <v>5</v>
      </c>
      <c r="FE1688" s="118">
        <f t="shared" si="211"/>
        <v>106</v>
      </c>
      <c r="FF1688" s="118" t="str">
        <f t="shared" si="212"/>
        <v/>
      </c>
      <c r="FI1688" s="16">
        <v>1685</v>
      </c>
      <c r="FJ1688" s="17" t="str">
        <f t="shared" si="213"/>
        <v/>
      </c>
      <c r="FK1688" s="17" t="str">
        <f t="shared" si="209"/>
        <v/>
      </c>
      <c r="FL1688" s="18" t="str">
        <f t="shared" si="214"/>
        <v/>
      </c>
    </row>
    <row r="1689" spans="159:168">
      <c r="FC1689" s="118">
        <v>1686</v>
      </c>
      <c r="FD1689" s="118">
        <f t="shared" si="210"/>
        <v>6</v>
      </c>
      <c r="FE1689" s="118">
        <f t="shared" si="211"/>
        <v>106</v>
      </c>
      <c r="FF1689" s="118" t="str">
        <f t="shared" si="212"/>
        <v/>
      </c>
      <c r="FI1689" s="16">
        <v>1686</v>
      </c>
      <c r="FJ1689" s="17" t="str">
        <f t="shared" si="213"/>
        <v/>
      </c>
      <c r="FK1689" s="17" t="str">
        <f t="shared" si="209"/>
        <v/>
      </c>
      <c r="FL1689" s="18" t="str">
        <f t="shared" si="214"/>
        <v/>
      </c>
    </row>
    <row r="1690" spans="159:168">
      <c r="FC1690" s="118">
        <v>1687</v>
      </c>
      <c r="FD1690" s="118">
        <f t="shared" si="210"/>
        <v>7</v>
      </c>
      <c r="FE1690" s="118">
        <f t="shared" si="211"/>
        <v>106</v>
      </c>
      <c r="FF1690" s="118" t="str">
        <f t="shared" si="212"/>
        <v/>
      </c>
      <c r="FI1690" s="16">
        <v>1687</v>
      </c>
      <c r="FJ1690" s="17" t="str">
        <f t="shared" si="213"/>
        <v/>
      </c>
      <c r="FK1690" s="17" t="str">
        <f t="shared" si="209"/>
        <v/>
      </c>
      <c r="FL1690" s="18" t="str">
        <f t="shared" si="214"/>
        <v/>
      </c>
    </row>
    <row r="1691" spans="159:168">
      <c r="FC1691" s="118">
        <v>1688</v>
      </c>
      <c r="FD1691" s="118">
        <f t="shared" si="210"/>
        <v>8</v>
      </c>
      <c r="FE1691" s="118">
        <f t="shared" si="211"/>
        <v>106</v>
      </c>
      <c r="FF1691" s="118" t="str">
        <f t="shared" si="212"/>
        <v/>
      </c>
      <c r="FI1691" s="16">
        <v>1688</v>
      </c>
      <c r="FJ1691" s="17" t="str">
        <f t="shared" si="213"/>
        <v/>
      </c>
      <c r="FK1691" s="17" t="str">
        <f t="shared" si="209"/>
        <v/>
      </c>
      <c r="FL1691" s="18" t="str">
        <f t="shared" si="214"/>
        <v/>
      </c>
    </row>
    <row r="1692" spans="159:168">
      <c r="FC1692" s="118">
        <v>1689</v>
      </c>
      <c r="FD1692" s="118">
        <f t="shared" si="210"/>
        <v>9</v>
      </c>
      <c r="FE1692" s="118">
        <f t="shared" si="211"/>
        <v>106</v>
      </c>
      <c r="FF1692" s="118" t="str">
        <f t="shared" si="212"/>
        <v/>
      </c>
      <c r="FI1692" s="16">
        <v>1689</v>
      </c>
      <c r="FJ1692" s="17" t="str">
        <f t="shared" si="213"/>
        <v/>
      </c>
      <c r="FK1692" s="17" t="str">
        <f t="shared" si="209"/>
        <v/>
      </c>
      <c r="FL1692" s="18" t="str">
        <f t="shared" si="214"/>
        <v/>
      </c>
    </row>
    <row r="1693" spans="159:168">
      <c r="FC1693" s="118">
        <v>1690</v>
      </c>
      <c r="FD1693" s="118">
        <f t="shared" si="210"/>
        <v>10</v>
      </c>
      <c r="FE1693" s="118">
        <f t="shared" si="211"/>
        <v>106</v>
      </c>
      <c r="FF1693" s="118" t="str">
        <f t="shared" si="212"/>
        <v/>
      </c>
      <c r="FI1693" s="16">
        <v>1690</v>
      </c>
      <c r="FJ1693" s="17" t="str">
        <f t="shared" si="213"/>
        <v/>
      </c>
      <c r="FK1693" s="17" t="str">
        <f t="shared" si="209"/>
        <v/>
      </c>
      <c r="FL1693" s="18" t="str">
        <f t="shared" si="214"/>
        <v/>
      </c>
    </row>
    <row r="1694" spans="159:168">
      <c r="FC1694" s="118">
        <v>1691</v>
      </c>
      <c r="FD1694" s="118">
        <f t="shared" si="210"/>
        <v>11</v>
      </c>
      <c r="FE1694" s="118">
        <f t="shared" si="211"/>
        <v>106</v>
      </c>
      <c r="FF1694" s="118" t="str">
        <f t="shared" si="212"/>
        <v/>
      </c>
      <c r="FI1694" s="16">
        <v>1691</v>
      </c>
      <c r="FJ1694" s="17" t="str">
        <f t="shared" si="213"/>
        <v/>
      </c>
      <c r="FK1694" s="17" t="str">
        <f t="shared" si="209"/>
        <v/>
      </c>
      <c r="FL1694" s="18" t="str">
        <f t="shared" si="214"/>
        <v/>
      </c>
    </row>
    <row r="1695" spans="159:168">
      <c r="FC1695" s="118">
        <v>1692</v>
      </c>
      <c r="FD1695" s="118">
        <f t="shared" si="210"/>
        <v>12</v>
      </c>
      <c r="FE1695" s="118">
        <f t="shared" si="211"/>
        <v>106</v>
      </c>
      <c r="FF1695" s="118" t="str">
        <f t="shared" si="212"/>
        <v/>
      </c>
      <c r="FI1695" s="16">
        <v>1692</v>
      </c>
      <c r="FJ1695" s="17" t="str">
        <f t="shared" si="213"/>
        <v/>
      </c>
      <c r="FK1695" s="17" t="str">
        <f t="shared" si="209"/>
        <v/>
      </c>
      <c r="FL1695" s="18" t="str">
        <f t="shared" si="214"/>
        <v/>
      </c>
    </row>
    <row r="1696" spans="159:168">
      <c r="FC1696" s="118">
        <v>1693</v>
      </c>
      <c r="FD1696" s="118">
        <f t="shared" si="210"/>
        <v>13</v>
      </c>
      <c r="FE1696" s="118">
        <f t="shared" si="211"/>
        <v>106</v>
      </c>
      <c r="FF1696" s="118" t="str">
        <f t="shared" si="212"/>
        <v/>
      </c>
      <c r="FI1696" s="16">
        <v>1693</v>
      </c>
      <c r="FJ1696" s="17" t="str">
        <f t="shared" si="213"/>
        <v/>
      </c>
      <c r="FK1696" s="17" t="str">
        <f t="shared" si="209"/>
        <v/>
      </c>
      <c r="FL1696" s="18" t="str">
        <f t="shared" si="214"/>
        <v/>
      </c>
    </row>
    <row r="1697" spans="159:168">
      <c r="FC1697" s="118">
        <v>1694</v>
      </c>
      <c r="FD1697" s="118">
        <f t="shared" si="210"/>
        <v>14</v>
      </c>
      <c r="FE1697" s="118">
        <f t="shared" si="211"/>
        <v>106</v>
      </c>
      <c r="FF1697" s="118" t="str">
        <f t="shared" si="212"/>
        <v/>
      </c>
      <c r="FI1697" s="16">
        <v>1694</v>
      </c>
      <c r="FJ1697" s="17" t="str">
        <f t="shared" si="213"/>
        <v/>
      </c>
      <c r="FK1697" s="17" t="str">
        <f t="shared" si="209"/>
        <v/>
      </c>
      <c r="FL1697" s="18" t="str">
        <f t="shared" si="214"/>
        <v/>
      </c>
    </row>
    <row r="1698" spans="159:168">
      <c r="FC1698" s="118">
        <v>1695</v>
      </c>
      <c r="FD1698" s="118">
        <f t="shared" si="210"/>
        <v>15</v>
      </c>
      <c r="FE1698" s="118">
        <f t="shared" si="211"/>
        <v>106</v>
      </c>
      <c r="FF1698" s="118" t="str">
        <f t="shared" si="212"/>
        <v/>
      </c>
      <c r="FI1698" s="16">
        <v>1695</v>
      </c>
      <c r="FJ1698" s="17" t="str">
        <f t="shared" si="213"/>
        <v/>
      </c>
      <c r="FK1698" s="17" t="str">
        <f t="shared" si="209"/>
        <v/>
      </c>
      <c r="FL1698" s="18" t="str">
        <f t="shared" si="214"/>
        <v/>
      </c>
    </row>
    <row r="1699" spans="159:168">
      <c r="FC1699" s="118">
        <v>1696</v>
      </c>
      <c r="FD1699" s="118">
        <f t="shared" si="210"/>
        <v>16</v>
      </c>
      <c r="FE1699" s="118">
        <f t="shared" si="211"/>
        <v>106</v>
      </c>
      <c r="FF1699" s="118" t="str">
        <f t="shared" si="212"/>
        <v/>
      </c>
      <c r="FI1699" s="16">
        <v>1696</v>
      </c>
      <c r="FJ1699" s="17" t="str">
        <f t="shared" si="213"/>
        <v/>
      </c>
      <c r="FK1699" s="17" t="str">
        <f t="shared" si="209"/>
        <v/>
      </c>
      <c r="FL1699" s="18" t="str">
        <f t="shared" si="214"/>
        <v/>
      </c>
    </row>
    <row r="1700" spans="159:168">
      <c r="FC1700" s="118">
        <v>1697</v>
      </c>
      <c r="FD1700" s="118">
        <f t="shared" si="210"/>
        <v>1</v>
      </c>
      <c r="FE1700" s="118">
        <f t="shared" si="211"/>
        <v>107</v>
      </c>
      <c r="FF1700" s="118" t="str">
        <f t="shared" si="212"/>
        <v/>
      </c>
      <c r="FI1700" s="16">
        <v>1697</v>
      </c>
      <c r="FJ1700" s="17" t="str">
        <f t="shared" si="213"/>
        <v/>
      </c>
      <c r="FK1700" s="17" t="str">
        <f t="shared" si="209"/>
        <v/>
      </c>
      <c r="FL1700" s="18" t="str">
        <f t="shared" si="214"/>
        <v/>
      </c>
    </row>
    <row r="1701" spans="159:168">
      <c r="FC1701" s="118">
        <v>1698</v>
      </c>
      <c r="FD1701" s="118">
        <f t="shared" si="210"/>
        <v>2</v>
      </c>
      <c r="FE1701" s="118">
        <f t="shared" si="211"/>
        <v>107</v>
      </c>
      <c r="FF1701" s="118" t="str">
        <f t="shared" si="212"/>
        <v/>
      </c>
      <c r="FI1701" s="16">
        <v>1698</v>
      </c>
      <c r="FJ1701" s="17" t="str">
        <f t="shared" si="213"/>
        <v/>
      </c>
      <c r="FK1701" s="17" t="str">
        <f t="shared" si="209"/>
        <v/>
      </c>
      <c r="FL1701" s="18" t="str">
        <f t="shared" si="214"/>
        <v/>
      </c>
    </row>
    <row r="1702" spans="159:168">
      <c r="FC1702" s="118">
        <v>1699</v>
      </c>
      <c r="FD1702" s="118">
        <f t="shared" si="210"/>
        <v>3</v>
      </c>
      <c r="FE1702" s="118">
        <f t="shared" si="211"/>
        <v>107</v>
      </c>
      <c r="FF1702" s="118" t="str">
        <f t="shared" si="212"/>
        <v/>
      </c>
      <c r="FI1702" s="16">
        <v>1699</v>
      </c>
      <c r="FJ1702" s="17" t="str">
        <f t="shared" si="213"/>
        <v/>
      </c>
      <c r="FK1702" s="17" t="str">
        <f t="shared" si="209"/>
        <v/>
      </c>
      <c r="FL1702" s="18" t="str">
        <f t="shared" si="214"/>
        <v/>
      </c>
    </row>
    <row r="1703" spans="159:168">
      <c r="FC1703" s="118">
        <v>1700</v>
      </c>
      <c r="FD1703" s="118">
        <f t="shared" si="210"/>
        <v>4</v>
      </c>
      <c r="FE1703" s="118">
        <f t="shared" si="211"/>
        <v>107</v>
      </c>
      <c r="FF1703" s="118" t="str">
        <f t="shared" si="212"/>
        <v/>
      </c>
      <c r="FI1703" s="16">
        <v>1700</v>
      </c>
      <c r="FJ1703" s="17" t="str">
        <f t="shared" si="213"/>
        <v/>
      </c>
      <c r="FK1703" s="17" t="str">
        <f t="shared" si="209"/>
        <v/>
      </c>
      <c r="FL1703" s="18" t="str">
        <f t="shared" si="214"/>
        <v/>
      </c>
    </row>
    <row r="1704" spans="159:168">
      <c r="FC1704" s="118">
        <v>1701</v>
      </c>
      <c r="FD1704" s="118">
        <f t="shared" si="210"/>
        <v>5</v>
      </c>
      <c r="FE1704" s="118">
        <f t="shared" si="211"/>
        <v>107</v>
      </c>
      <c r="FF1704" s="118" t="str">
        <f t="shared" si="212"/>
        <v/>
      </c>
      <c r="FI1704" s="16">
        <v>1701</v>
      </c>
      <c r="FJ1704" s="17" t="str">
        <f t="shared" si="213"/>
        <v/>
      </c>
      <c r="FK1704" s="17" t="str">
        <f t="shared" si="209"/>
        <v/>
      </c>
      <c r="FL1704" s="18" t="str">
        <f t="shared" si="214"/>
        <v/>
      </c>
    </row>
    <row r="1705" spans="159:168">
      <c r="FC1705" s="118">
        <v>1702</v>
      </c>
      <c r="FD1705" s="118">
        <f t="shared" si="210"/>
        <v>6</v>
      </c>
      <c r="FE1705" s="118">
        <f t="shared" si="211"/>
        <v>107</v>
      </c>
      <c r="FF1705" s="118" t="str">
        <f t="shared" si="212"/>
        <v/>
      </c>
      <c r="FI1705" s="16">
        <v>1702</v>
      </c>
      <c r="FJ1705" s="17" t="str">
        <f t="shared" si="213"/>
        <v/>
      </c>
      <c r="FK1705" s="17" t="str">
        <f t="shared" si="209"/>
        <v/>
      </c>
      <c r="FL1705" s="18" t="str">
        <f t="shared" si="214"/>
        <v/>
      </c>
    </row>
    <row r="1706" spans="159:168">
      <c r="FC1706" s="118">
        <v>1703</v>
      </c>
      <c r="FD1706" s="118">
        <f t="shared" si="210"/>
        <v>7</v>
      </c>
      <c r="FE1706" s="118">
        <f t="shared" si="211"/>
        <v>107</v>
      </c>
      <c r="FF1706" s="118" t="str">
        <f t="shared" si="212"/>
        <v/>
      </c>
      <c r="FI1706" s="16">
        <v>1703</v>
      </c>
      <c r="FJ1706" s="17" t="str">
        <f t="shared" si="213"/>
        <v/>
      </c>
      <c r="FK1706" s="17" t="str">
        <f t="shared" si="209"/>
        <v/>
      </c>
      <c r="FL1706" s="18" t="str">
        <f t="shared" si="214"/>
        <v/>
      </c>
    </row>
    <row r="1707" spans="159:168">
      <c r="FC1707" s="118">
        <v>1704</v>
      </c>
      <c r="FD1707" s="118">
        <f t="shared" si="210"/>
        <v>8</v>
      </c>
      <c r="FE1707" s="118">
        <f t="shared" si="211"/>
        <v>107</v>
      </c>
      <c r="FF1707" s="118" t="str">
        <f t="shared" si="212"/>
        <v/>
      </c>
      <c r="FI1707" s="16">
        <v>1704</v>
      </c>
      <c r="FJ1707" s="17" t="str">
        <f t="shared" si="213"/>
        <v/>
      </c>
      <c r="FK1707" s="17" t="str">
        <f t="shared" si="209"/>
        <v/>
      </c>
      <c r="FL1707" s="18" t="str">
        <f t="shared" si="214"/>
        <v/>
      </c>
    </row>
    <row r="1708" spans="159:168">
      <c r="FC1708" s="118">
        <v>1705</v>
      </c>
      <c r="FD1708" s="118">
        <f t="shared" si="210"/>
        <v>9</v>
      </c>
      <c r="FE1708" s="118">
        <f t="shared" si="211"/>
        <v>107</v>
      </c>
      <c r="FF1708" s="118" t="str">
        <f t="shared" si="212"/>
        <v/>
      </c>
      <c r="FI1708" s="16">
        <v>1705</v>
      </c>
      <c r="FJ1708" s="17" t="str">
        <f t="shared" si="213"/>
        <v/>
      </c>
      <c r="FK1708" s="17" t="str">
        <f t="shared" si="209"/>
        <v/>
      </c>
      <c r="FL1708" s="18" t="str">
        <f t="shared" si="214"/>
        <v/>
      </c>
    </row>
    <row r="1709" spans="159:168">
      <c r="FC1709" s="118">
        <v>1706</v>
      </c>
      <c r="FD1709" s="118">
        <f t="shared" si="210"/>
        <v>10</v>
      </c>
      <c r="FE1709" s="118">
        <f t="shared" si="211"/>
        <v>107</v>
      </c>
      <c r="FF1709" s="118" t="str">
        <f t="shared" si="212"/>
        <v/>
      </c>
      <c r="FI1709" s="16">
        <v>1706</v>
      </c>
      <c r="FJ1709" s="17" t="str">
        <f t="shared" si="213"/>
        <v/>
      </c>
      <c r="FK1709" s="17" t="str">
        <f t="shared" si="209"/>
        <v/>
      </c>
      <c r="FL1709" s="18" t="str">
        <f t="shared" si="214"/>
        <v/>
      </c>
    </row>
    <row r="1710" spans="159:168">
      <c r="FC1710" s="118">
        <v>1707</v>
      </c>
      <c r="FD1710" s="118">
        <f t="shared" si="210"/>
        <v>11</v>
      </c>
      <c r="FE1710" s="118">
        <f t="shared" si="211"/>
        <v>107</v>
      </c>
      <c r="FF1710" s="118" t="str">
        <f t="shared" si="212"/>
        <v/>
      </c>
      <c r="FI1710" s="16">
        <v>1707</v>
      </c>
      <c r="FJ1710" s="17" t="str">
        <f t="shared" si="213"/>
        <v/>
      </c>
      <c r="FK1710" s="17" t="str">
        <f t="shared" si="209"/>
        <v/>
      </c>
      <c r="FL1710" s="18" t="str">
        <f t="shared" si="214"/>
        <v/>
      </c>
    </row>
    <row r="1711" spans="159:168">
      <c r="FC1711" s="118">
        <v>1708</v>
      </c>
      <c r="FD1711" s="118">
        <f t="shared" si="210"/>
        <v>12</v>
      </c>
      <c r="FE1711" s="118">
        <f t="shared" si="211"/>
        <v>107</v>
      </c>
      <c r="FF1711" s="118" t="str">
        <f t="shared" si="212"/>
        <v/>
      </c>
      <c r="FI1711" s="16">
        <v>1708</v>
      </c>
      <c r="FJ1711" s="17" t="str">
        <f t="shared" si="213"/>
        <v/>
      </c>
      <c r="FK1711" s="17" t="str">
        <f t="shared" si="209"/>
        <v/>
      </c>
      <c r="FL1711" s="18" t="str">
        <f t="shared" si="214"/>
        <v/>
      </c>
    </row>
    <row r="1712" spans="159:168">
      <c r="FC1712" s="118">
        <v>1709</v>
      </c>
      <c r="FD1712" s="118">
        <f t="shared" si="210"/>
        <v>13</v>
      </c>
      <c r="FE1712" s="118">
        <f t="shared" si="211"/>
        <v>107</v>
      </c>
      <c r="FF1712" s="118" t="str">
        <f t="shared" si="212"/>
        <v/>
      </c>
      <c r="FI1712" s="16">
        <v>1709</v>
      </c>
      <c r="FJ1712" s="17" t="str">
        <f t="shared" si="213"/>
        <v/>
      </c>
      <c r="FK1712" s="17" t="str">
        <f t="shared" si="209"/>
        <v/>
      </c>
      <c r="FL1712" s="18" t="str">
        <f t="shared" si="214"/>
        <v/>
      </c>
    </row>
    <row r="1713" spans="159:168">
      <c r="FC1713" s="118">
        <v>1710</v>
      </c>
      <c r="FD1713" s="118">
        <f t="shared" si="210"/>
        <v>14</v>
      </c>
      <c r="FE1713" s="118">
        <f t="shared" si="211"/>
        <v>107</v>
      </c>
      <c r="FF1713" s="118" t="str">
        <f t="shared" si="212"/>
        <v/>
      </c>
      <c r="FI1713" s="16">
        <v>1710</v>
      </c>
      <c r="FJ1713" s="17" t="str">
        <f t="shared" si="213"/>
        <v/>
      </c>
      <c r="FK1713" s="17" t="str">
        <f t="shared" si="209"/>
        <v/>
      </c>
      <c r="FL1713" s="18" t="str">
        <f t="shared" si="214"/>
        <v/>
      </c>
    </row>
    <row r="1714" spans="159:168">
      <c r="FC1714" s="118">
        <v>1711</v>
      </c>
      <c r="FD1714" s="118">
        <f t="shared" si="210"/>
        <v>15</v>
      </c>
      <c r="FE1714" s="118">
        <f t="shared" si="211"/>
        <v>107</v>
      </c>
      <c r="FF1714" s="118" t="str">
        <f t="shared" si="212"/>
        <v/>
      </c>
      <c r="FI1714" s="16">
        <v>1711</v>
      </c>
      <c r="FJ1714" s="17" t="str">
        <f t="shared" si="213"/>
        <v/>
      </c>
      <c r="FK1714" s="17" t="str">
        <f t="shared" si="209"/>
        <v/>
      </c>
      <c r="FL1714" s="18" t="str">
        <f t="shared" si="214"/>
        <v/>
      </c>
    </row>
    <row r="1715" spans="159:168">
      <c r="FC1715" s="118">
        <v>1712</v>
      </c>
      <c r="FD1715" s="118">
        <f t="shared" si="210"/>
        <v>16</v>
      </c>
      <c r="FE1715" s="118">
        <f t="shared" si="211"/>
        <v>107</v>
      </c>
      <c r="FF1715" s="118" t="str">
        <f t="shared" si="212"/>
        <v/>
      </c>
      <c r="FI1715" s="16">
        <v>1712</v>
      </c>
      <c r="FJ1715" s="17" t="str">
        <f t="shared" si="213"/>
        <v/>
      </c>
      <c r="FK1715" s="17" t="str">
        <f t="shared" si="209"/>
        <v/>
      </c>
      <c r="FL1715" s="18" t="str">
        <f t="shared" si="214"/>
        <v/>
      </c>
    </row>
    <row r="1716" spans="159:168">
      <c r="FC1716" s="118">
        <v>1713</v>
      </c>
      <c r="FD1716" s="118">
        <f t="shared" si="210"/>
        <v>1</v>
      </c>
      <c r="FE1716" s="118">
        <f t="shared" si="211"/>
        <v>108</v>
      </c>
      <c r="FF1716" s="118" t="str">
        <f t="shared" si="212"/>
        <v/>
      </c>
      <c r="FI1716" s="16">
        <v>1713</v>
      </c>
      <c r="FJ1716" s="17" t="str">
        <f t="shared" si="213"/>
        <v/>
      </c>
      <c r="FK1716" s="17" t="str">
        <f t="shared" si="209"/>
        <v/>
      </c>
      <c r="FL1716" s="18" t="str">
        <f t="shared" si="214"/>
        <v/>
      </c>
    </row>
    <row r="1717" spans="159:168">
      <c r="FC1717" s="118">
        <v>1714</v>
      </c>
      <c r="FD1717" s="118">
        <f t="shared" si="210"/>
        <v>2</v>
      </c>
      <c r="FE1717" s="118">
        <f t="shared" si="211"/>
        <v>108</v>
      </c>
      <c r="FF1717" s="118" t="str">
        <f t="shared" si="212"/>
        <v/>
      </c>
      <c r="FI1717" s="16">
        <v>1714</v>
      </c>
      <c r="FJ1717" s="17" t="str">
        <f t="shared" si="213"/>
        <v/>
      </c>
      <c r="FK1717" s="17" t="str">
        <f t="shared" si="209"/>
        <v/>
      </c>
      <c r="FL1717" s="18" t="str">
        <f t="shared" si="214"/>
        <v/>
      </c>
    </row>
    <row r="1718" spans="159:168">
      <c r="FC1718" s="118">
        <v>1715</v>
      </c>
      <c r="FD1718" s="118">
        <f t="shared" si="210"/>
        <v>3</v>
      </c>
      <c r="FE1718" s="118">
        <f t="shared" si="211"/>
        <v>108</v>
      </c>
      <c r="FF1718" s="118" t="str">
        <f t="shared" si="212"/>
        <v/>
      </c>
      <c r="FI1718" s="16">
        <v>1715</v>
      </c>
      <c r="FJ1718" s="17" t="str">
        <f t="shared" si="213"/>
        <v/>
      </c>
      <c r="FK1718" s="17" t="str">
        <f t="shared" si="209"/>
        <v/>
      </c>
      <c r="FL1718" s="18" t="str">
        <f t="shared" si="214"/>
        <v/>
      </c>
    </row>
    <row r="1719" spans="159:168">
      <c r="FC1719" s="118">
        <v>1716</v>
      </c>
      <c r="FD1719" s="118">
        <f t="shared" si="210"/>
        <v>4</v>
      </c>
      <c r="FE1719" s="118">
        <f t="shared" si="211"/>
        <v>108</v>
      </c>
      <c r="FF1719" s="118" t="str">
        <f t="shared" si="212"/>
        <v/>
      </c>
      <c r="FI1719" s="16">
        <v>1716</v>
      </c>
      <c r="FJ1719" s="17" t="str">
        <f t="shared" si="213"/>
        <v/>
      </c>
      <c r="FK1719" s="17" t="str">
        <f t="shared" si="209"/>
        <v/>
      </c>
      <c r="FL1719" s="18" t="str">
        <f t="shared" si="214"/>
        <v/>
      </c>
    </row>
    <row r="1720" spans="159:168">
      <c r="FC1720" s="118">
        <v>1717</v>
      </c>
      <c r="FD1720" s="118">
        <f t="shared" si="210"/>
        <v>5</v>
      </c>
      <c r="FE1720" s="118">
        <f t="shared" si="211"/>
        <v>108</v>
      </c>
      <c r="FF1720" s="118" t="str">
        <f t="shared" si="212"/>
        <v/>
      </c>
      <c r="FI1720" s="16">
        <v>1717</v>
      </c>
      <c r="FJ1720" s="17" t="str">
        <f t="shared" si="213"/>
        <v/>
      </c>
      <c r="FK1720" s="17" t="str">
        <f t="shared" si="209"/>
        <v/>
      </c>
      <c r="FL1720" s="18" t="str">
        <f t="shared" si="214"/>
        <v/>
      </c>
    </row>
    <row r="1721" spans="159:168">
      <c r="FC1721" s="118">
        <v>1718</v>
      </c>
      <c r="FD1721" s="118">
        <f t="shared" si="210"/>
        <v>6</v>
      </c>
      <c r="FE1721" s="118">
        <f t="shared" si="211"/>
        <v>108</v>
      </c>
      <c r="FF1721" s="118" t="str">
        <f t="shared" si="212"/>
        <v/>
      </c>
      <c r="FI1721" s="16">
        <v>1718</v>
      </c>
      <c r="FJ1721" s="17" t="str">
        <f t="shared" si="213"/>
        <v/>
      </c>
      <c r="FK1721" s="17" t="str">
        <f t="shared" si="209"/>
        <v/>
      </c>
      <c r="FL1721" s="18" t="str">
        <f t="shared" si="214"/>
        <v/>
      </c>
    </row>
    <row r="1722" spans="159:168">
      <c r="FC1722" s="118">
        <v>1719</v>
      </c>
      <c r="FD1722" s="118">
        <f t="shared" si="210"/>
        <v>7</v>
      </c>
      <c r="FE1722" s="118">
        <f t="shared" si="211"/>
        <v>108</v>
      </c>
      <c r="FF1722" s="118" t="str">
        <f t="shared" si="212"/>
        <v/>
      </c>
      <c r="FI1722" s="16">
        <v>1719</v>
      </c>
      <c r="FJ1722" s="17" t="str">
        <f t="shared" si="213"/>
        <v/>
      </c>
      <c r="FK1722" s="17" t="str">
        <f t="shared" si="209"/>
        <v/>
      </c>
      <c r="FL1722" s="18" t="str">
        <f t="shared" si="214"/>
        <v/>
      </c>
    </row>
    <row r="1723" spans="159:168">
      <c r="FC1723" s="118">
        <v>1720</v>
      </c>
      <c r="FD1723" s="118">
        <f t="shared" si="210"/>
        <v>8</v>
      </c>
      <c r="FE1723" s="118">
        <f t="shared" si="211"/>
        <v>108</v>
      </c>
      <c r="FF1723" s="118" t="str">
        <f t="shared" si="212"/>
        <v/>
      </c>
      <c r="FI1723" s="16">
        <v>1720</v>
      </c>
      <c r="FJ1723" s="17" t="str">
        <f t="shared" si="213"/>
        <v/>
      </c>
      <c r="FK1723" s="17" t="str">
        <f t="shared" si="209"/>
        <v/>
      </c>
      <c r="FL1723" s="18" t="str">
        <f t="shared" si="214"/>
        <v/>
      </c>
    </row>
    <row r="1724" spans="159:168">
      <c r="FC1724" s="118">
        <v>1721</v>
      </c>
      <c r="FD1724" s="118">
        <f t="shared" si="210"/>
        <v>9</v>
      </c>
      <c r="FE1724" s="118">
        <f t="shared" si="211"/>
        <v>108</v>
      </c>
      <c r="FF1724" s="118" t="str">
        <f t="shared" si="212"/>
        <v/>
      </c>
      <c r="FI1724" s="16">
        <v>1721</v>
      </c>
      <c r="FJ1724" s="17" t="str">
        <f t="shared" si="213"/>
        <v/>
      </c>
      <c r="FK1724" s="17" t="str">
        <f t="shared" si="209"/>
        <v/>
      </c>
      <c r="FL1724" s="18" t="str">
        <f t="shared" si="214"/>
        <v/>
      </c>
    </row>
    <row r="1725" spans="159:168">
      <c r="FC1725" s="118">
        <v>1722</v>
      </c>
      <c r="FD1725" s="118">
        <f t="shared" si="210"/>
        <v>10</v>
      </c>
      <c r="FE1725" s="118">
        <f t="shared" si="211"/>
        <v>108</v>
      </c>
      <c r="FF1725" s="118" t="str">
        <f t="shared" si="212"/>
        <v/>
      </c>
      <c r="FI1725" s="16">
        <v>1722</v>
      </c>
      <c r="FJ1725" s="17" t="str">
        <f t="shared" si="213"/>
        <v/>
      </c>
      <c r="FK1725" s="17" t="str">
        <f t="shared" si="209"/>
        <v/>
      </c>
      <c r="FL1725" s="18" t="str">
        <f t="shared" si="214"/>
        <v/>
      </c>
    </row>
    <row r="1726" spans="159:168">
      <c r="FC1726" s="118">
        <v>1723</v>
      </c>
      <c r="FD1726" s="118">
        <f t="shared" si="210"/>
        <v>11</v>
      </c>
      <c r="FE1726" s="118">
        <f t="shared" si="211"/>
        <v>108</v>
      </c>
      <c r="FF1726" s="118" t="str">
        <f t="shared" si="212"/>
        <v/>
      </c>
      <c r="FI1726" s="16">
        <v>1723</v>
      </c>
      <c r="FJ1726" s="17" t="str">
        <f t="shared" si="213"/>
        <v/>
      </c>
      <c r="FK1726" s="17" t="str">
        <f t="shared" si="209"/>
        <v/>
      </c>
      <c r="FL1726" s="18" t="str">
        <f t="shared" si="214"/>
        <v/>
      </c>
    </row>
    <row r="1727" spans="159:168">
      <c r="FC1727" s="118">
        <v>1724</v>
      </c>
      <c r="FD1727" s="118">
        <f t="shared" si="210"/>
        <v>12</v>
      </c>
      <c r="FE1727" s="118">
        <f t="shared" si="211"/>
        <v>108</v>
      </c>
      <c r="FF1727" s="118" t="str">
        <f t="shared" si="212"/>
        <v/>
      </c>
      <c r="FI1727" s="16">
        <v>1724</v>
      </c>
      <c r="FJ1727" s="17" t="str">
        <f t="shared" si="213"/>
        <v/>
      </c>
      <c r="FK1727" s="17" t="str">
        <f t="shared" si="209"/>
        <v/>
      </c>
      <c r="FL1727" s="18" t="str">
        <f t="shared" si="214"/>
        <v/>
      </c>
    </row>
    <row r="1728" spans="159:168">
      <c r="FC1728" s="118">
        <v>1725</v>
      </c>
      <c r="FD1728" s="118">
        <f t="shared" si="210"/>
        <v>13</v>
      </c>
      <c r="FE1728" s="118">
        <f t="shared" si="211"/>
        <v>108</v>
      </c>
      <c r="FF1728" s="118" t="str">
        <f t="shared" si="212"/>
        <v/>
      </c>
      <c r="FI1728" s="16">
        <v>1725</v>
      </c>
      <c r="FJ1728" s="17" t="str">
        <f t="shared" si="213"/>
        <v/>
      </c>
      <c r="FK1728" s="17" t="str">
        <f t="shared" si="209"/>
        <v/>
      </c>
      <c r="FL1728" s="18" t="str">
        <f t="shared" si="214"/>
        <v/>
      </c>
    </row>
    <row r="1729" spans="159:168">
      <c r="FC1729" s="118">
        <v>1726</v>
      </c>
      <c r="FD1729" s="118">
        <f t="shared" si="210"/>
        <v>14</v>
      </c>
      <c r="FE1729" s="118">
        <f t="shared" si="211"/>
        <v>108</v>
      </c>
      <c r="FF1729" s="118" t="str">
        <f t="shared" si="212"/>
        <v/>
      </c>
      <c r="FI1729" s="16">
        <v>1726</v>
      </c>
      <c r="FJ1729" s="17" t="str">
        <f t="shared" si="213"/>
        <v/>
      </c>
      <c r="FK1729" s="17" t="str">
        <f t="shared" si="209"/>
        <v/>
      </c>
      <c r="FL1729" s="18" t="str">
        <f t="shared" si="214"/>
        <v/>
      </c>
    </row>
    <row r="1730" spans="159:168">
      <c r="FC1730" s="118">
        <v>1727</v>
      </c>
      <c r="FD1730" s="118">
        <f t="shared" si="210"/>
        <v>15</v>
      </c>
      <c r="FE1730" s="118">
        <f t="shared" si="211"/>
        <v>108</v>
      </c>
      <c r="FF1730" s="118" t="str">
        <f t="shared" si="212"/>
        <v/>
      </c>
      <c r="FI1730" s="16">
        <v>1727</v>
      </c>
      <c r="FJ1730" s="17" t="str">
        <f t="shared" si="213"/>
        <v/>
      </c>
      <c r="FK1730" s="17" t="str">
        <f t="shared" si="209"/>
        <v/>
      </c>
      <c r="FL1730" s="18" t="str">
        <f t="shared" si="214"/>
        <v/>
      </c>
    </row>
    <row r="1731" spans="159:168">
      <c r="FC1731" s="118">
        <v>1728</v>
      </c>
      <c r="FD1731" s="118">
        <f t="shared" si="210"/>
        <v>16</v>
      </c>
      <c r="FE1731" s="118">
        <f t="shared" si="211"/>
        <v>108</v>
      </c>
      <c r="FF1731" s="118" t="str">
        <f t="shared" si="212"/>
        <v/>
      </c>
      <c r="FI1731" s="16">
        <v>1728</v>
      </c>
      <c r="FJ1731" s="17" t="str">
        <f t="shared" si="213"/>
        <v/>
      </c>
      <c r="FK1731" s="17" t="str">
        <f t="shared" si="209"/>
        <v/>
      </c>
      <c r="FL1731" s="18" t="str">
        <f t="shared" si="214"/>
        <v/>
      </c>
    </row>
    <row r="1732" spans="159:168">
      <c r="FC1732" s="118">
        <v>1729</v>
      </c>
      <c r="FD1732" s="118">
        <f t="shared" si="210"/>
        <v>1</v>
      </c>
      <c r="FE1732" s="118">
        <f t="shared" si="211"/>
        <v>109</v>
      </c>
      <c r="FF1732" s="118" t="str">
        <f t="shared" si="212"/>
        <v/>
      </c>
      <c r="FI1732" s="16">
        <v>1729</v>
      </c>
      <c r="FJ1732" s="17" t="str">
        <f t="shared" si="213"/>
        <v/>
      </c>
      <c r="FK1732" s="17" t="str">
        <f t="shared" si="209"/>
        <v/>
      </c>
      <c r="FL1732" s="18" t="str">
        <f t="shared" si="214"/>
        <v/>
      </c>
    </row>
    <row r="1733" spans="159:168">
      <c r="FC1733" s="118">
        <v>1730</v>
      </c>
      <c r="FD1733" s="118">
        <f t="shared" si="210"/>
        <v>2</v>
      </c>
      <c r="FE1733" s="118">
        <f t="shared" si="211"/>
        <v>109</v>
      </c>
      <c r="FF1733" s="118" t="str">
        <f t="shared" si="212"/>
        <v/>
      </c>
      <c r="FI1733" s="16">
        <v>1730</v>
      </c>
      <c r="FJ1733" s="17" t="str">
        <f t="shared" si="213"/>
        <v/>
      </c>
      <c r="FK1733" s="17" t="str">
        <f t="shared" ref="FK1733:FK1796" si="215">IF(FI1733&lt;=$FH$2,FF1733,IF(FI1733&lt;=$FH$2+$FH$3,INDEX($FJ$4:$FJ$2494,FI1733-$FH$2),""))</f>
        <v/>
      </c>
      <c r="FL1733" s="18" t="str">
        <f t="shared" si="214"/>
        <v/>
      </c>
    </row>
    <row r="1734" spans="159:168">
      <c r="FC1734" s="118">
        <v>1731</v>
      </c>
      <c r="FD1734" s="118">
        <f t="shared" si="210"/>
        <v>3</v>
      </c>
      <c r="FE1734" s="118">
        <f t="shared" si="211"/>
        <v>109</v>
      </c>
      <c r="FF1734" s="118" t="str">
        <f t="shared" si="212"/>
        <v/>
      </c>
      <c r="FI1734" s="16">
        <v>1731</v>
      </c>
      <c r="FJ1734" s="17" t="str">
        <f t="shared" si="213"/>
        <v/>
      </c>
      <c r="FK1734" s="17" t="str">
        <f t="shared" si="215"/>
        <v/>
      </c>
      <c r="FL1734" s="18" t="str">
        <f t="shared" si="214"/>
        <v/>
      </c>
    </row>
    <row r="1735" spans="159:168">
      <c r="FC1735" s="118">
        <v>1732</v>
      </c>
      <c r="FD1735" s="118">
        <f t="shared" si="210"/>
        <v>4</v>
      </c>
      <c r="FE1735" s="118">
        <f t="shared" si="211"/>
        <v>109</v>
      </c>
      <c r="FF1735" s="118" t="str">
        <f t="shared" si="212"/>
        <v/>
      </c>
      <c r="FI1735" s="16">
        <v>1732</v>
      </c>
      <c r="FJ1735" s="17" t="str">
        <f t="shared" si="213"/>
        <v/>
      </c>
      <c r="FK1735" s="17" t="str">
        <f t="shared" si="215"/>
        <v/>
      </c>
      <c r="FL1735" s="18" t="str">
        <f t="shared" si="214"/>
        <v/>
      </c>
    </row>
    <row r="1736" spans="159:168">
      <c r="FC1736" s="118">
        <v>1733</v>
      </c>
      <c r="FD1736" s="118">
        <f t="shared" si="210"/>
        <v>5</v>
      </c>
      <c r="FE1736" s="118">
        <f t="shared" si="211"/>
        <v>109</v>
      </c>
      <c r="FF1736" s="118" t="str">
        <f t="shared" si="212"/>
        <v/>
      </c>
      <c r="FI1736" s="16">
        <v>1733</v>
      </c>
      <c r="FJ1736" s="17" t="str">
        <f t="shared" si="213"/>
        <v/>
      </c>
      <c r="FK1736" s="17" t="str">
        <f t="shared" si="215"/>
        <v/>
      </c>
      <c r="FL1736" s="18" t="str">
        <f t="shared" si="214"/>
        <v/>
      </c>
    </row>
    <row r="1737" spans="159:168">
      <c r="FC1737" s="118">
        <v>1734</v>
      </c>
      <c r="FD1737" s="118">
        <f t="shared" si="210"/>
        <v>6</v>
      </c>
      <c r="FE1737" s="118">
        <f t="shared" si="211"/>
        <v>109</v>
      </c>
      <c r="FF1737" s="118" t="str">
        <f t="shared" si="212"/>
        <v/>
      </c>
      <c r="FI1737" s="16">
        <v>1734</v>
      </c>
      <c r="FJ1737" s="17" t="str">
        <f t="shared" si="213"/>
        <v/>
      </c>
      <c r="FK1737" s="17" t="str">
        <f t="shared" si="215"/>
        <v/>
      </c>
      <c r="FL1737" s="18" t="str">
        <f t="shared" si="214"/>
        <v/>
      </c>
    </row>
    <row r="1738" spans="159:168">
      <c r="FC1738" s="118">
        <v>1735</v>
      </c>
      <c r="FD1738" s="118">
        <f t="shared" si="210"/>
        <v>7</v>
      </c>
      <c r="FE1738" s="118">
        <f t="shared" si="211"/>
        <v>109</v>
      </c>
      <c r="FF1738" s="118" t="str">
        <f t="shared" si="212"/>
        <v/>
      </c>
      <c r="FI1738" s="16">
        <v>1735</v>
      </c>
      <c r="FJ1738" s="17" t="str">
        <f t="shared" si="213"/>
        <v/>
      </c>
      <c r="FK1738" s="17" t="str">
        <f t="shared" si="215"/>
        <v/>
      </c>
      <c r="FL1738" s="18" t="str">
        <f t="shared" si="214"/>
        <v/>
      </c>
    </row>
    <row r="1739" spans="159:168">
      <c r="FC1739" s="118">
        <v>1736</v>
      </c>
      <c r="FD1739" s="118">
        <f t="shared" si="210"/>
        <v>8</v>
      </c>
      <c r="FE1739" s="118">
        <f t="shared" si="211"/>
        <v>109</v>
      </c>
      <c r="FF1739" s="118" t="str">
        <f t="shared" si="212"/>
        <v/>
      </c>
      <c r="FI1739" s="16">
        <v>1736</v>
      </c>
      <c r="FJ1739" s="17" t="str">
        <f t="shared" si="213"/>
        <v/>
      </c>
      <c r="FK1739" s="17" t="str">
        <f t="shared" si="215"/>
        <v/>
      </c>
      <c r="FL1739" s="18" t="str">
        <f t="shared" si="214"/>
        <v/>
      </c>
    </row>
    <row r="1740" spans="159:168">
      <c r="FC1740" s="118">
        <v>1737</v>
      </c>
      <c r="FD1740" s="118">
        <f t="shared" si="210"/>
        <v>9</v>
      </c>
      <c r="FE1740" s="118">
        <f t="shared" si="211"/>
        <v>109</v>
      </c>
      <c r="FF1740" s="118" t="str">
        <f t="shared" si="212"/>
        <v/>
      </c>
      <c r="FI1740" s="16">
        <v>1737</v>
      </c>
      <c r="FJ1740" s="17" t="str">
        <f t="shared" si="213"/>
        <v/>
      </c>
      <c r="FK1740" s="17" t="str">
        <f t="shared" si="215"/>
        <v/>
      </c>
      <c r="FL1740" s="18" t="str">
        <f t="shared" si="214"/>
        <v/>
      </c>
    </row>
    <row r="1741" spans="159:168">
      <c r="FC1741" s="118">
        <v>1738</v>
      </c>
      <c r="FD1741" s="118">
        <f t="shared" si="210"/>
        <v>10</v>
      </c>
      <c r="FE1741" s="118">
        <f t="shared" si="211"/>
        <v>109</v>
      </c>
      <c r="FF1741" s="118" t="str">
        <f t="shared" si="212"/>
        <v/>
      </c>
      <c r="FI1741" s="16">
        <v>1738</v>
      </c>
      <c r="FJ1741" s="17" t="str">
        <f t="shared" si="213"/>
        <v/>
      </c>
      <c r="FK1741" s="17" t="str">
        <f t="shared" si="215"/>
        <v/>
      </c>
      <c r="FL1741" s="18" t="str">
        <f t="shared" si="214"/>
        <v/>
      </c>
    </row>
    <row r="1742" spans="159:168">
      <c r="FC1742" s="118">
        <v>1739</v>
      </c>
      <c r="FD1742" s="118">
        <f t="shared" si="210"/>
        <v>11</v>
      </c>
      <c r="FE1742" s="118">
        <f t="shared" si="211"/>
        <v>109</v>
      </c>
      <c r="FF1742" s="118" t="str">
        <f t="shared" si="212"/>
        <v/>
      </c>
      <c r="FI1742" s="16">
        <v>1739</v>
      </c>
      <c r="FJ1742" s="17" t="str">
        <f t="shared" si="213"/>
        <v/>
      </c>
      <c r="FK1742" s="17" t="str">
        <f t="shared" si="215"/>
        <v/>
      </c>
      <c r="FL1742" s="18" t="str">
        <f t="shared" si="214"/>
        <v/>
      </c>
    </row>
    <row r="1743" spans="159:168">
      <c r="FC1743" s="118">
        <v>1740</v>
      </c>
      <c r="FD1743" s="118">
        <f t="shared" si="210"/>
        <v>12</v>
      </c>
      <c r="FE1743" s="118">
        <f t="shared" si="211"/>
        <v>109</v>
      </c>
      <c r="FF1743" s="118" t="str">
        <f t="shared" si="212"/>
        <v/>
      </c>
      <c r="FI1743" s="16">
        <v>1740</v>
      </c>
      <c r="FJ1743" s="17" t="str">
        <f t="shared" si="213"/>
        <v/>
      </c>
      <c r="FK1743" s="17" t="str">
        <f t="shared" si="215"/>
        <v/>
      </c>
      <c r="FL1743" s="18" t="str">
        <f t="shared" si="214"/>
        <v/>
      </c>
    </row>
    <row r="1744" spans="159:168">
      <c r="FC1744" s="118">
        <v>1741</v>
      </c>
      <c r="FD1744" s="118">
        <f t="shared" si="210"/>
        <v>13</v>
      </c>
      <c r="FE1744" s="118">
        <f t="shared" si="211"/>
        <v>109</v>
      </c>
      <c r="FF1744" s="118" t="str">
        <f t="shared" si="212"/>
        <v/>
      </c>
      <c r="FI1744" s="16">
        <v>1741</v>
      </c>
      <c r="FJ1744" s="17" t="str">
        <f t="shared" si="213"/>
        <v/>
      </c>
      <c r="FK1744" s="17" t="str">
        <f t="shared" si="215"/>
        <v/>
      </c>
      <c r="FL1744" s="18" t="str">
        <f t="shared" si="214"/>
        <v/>
      </c>
    </row>
    <row r="1745" spans="159:168">
      <c r="FC1745" s="118">
        <v>1742</v>
      </c>
      <c r="FD1745" s="118">
        <f t="shared" si="210"/>
        <v>14</v>
      </c>
      <c r="FE1745" s="118">
        <f t="shared" si="211"/>
        <v>109</v>
      </c>
      <c r="FF1745" s="118" t="str">
        <f t="shared" si="212"/>
        <v/>
      </c>
      <c r="FI1745" s="16">
        <v>1742</v>
      </c>
      <c r="FJ1745" s="17" t="str">
        <f t="shared" si="213"/>
        <v/>
      </c>
      <c r="FK1745" s="17" t="str">
        <f t="shared" si="215"/>
        <v/>
      </c>
      <c r="FL1745" s="18" t="str">
        <f t="shared" si="214"/>
        <v/>
      </c>
    </row>
    <row r="1746" spans="159:168">
      <c r="FC1746" s="118">
        <v>1743</v>
      </c>
      <c r="FD1746" s="118">
        <f t="shared" si="210"/>
        <v>15</v>
      </c>
      <c r="FE1746" s="118">
        <f t="shared" si="211"/>
        <v>109</v>
      </c>
      <c r="FF1746" s="118" t="str">
        <f t="shared" si="212"/>
        <v/>
      </c>
      <c r="FI1746" s="16">
        <v>1743</v>
      </c>
      <c r="FJ1746" s="17" t="str">
        <f t="shared" si="213"/>
        <v/>
      </c>
      <c r="FK1746" s="17" t="str">
        <f t="shared" si="215"/>
        <v/>
      </c>
      <c r="FL1746" s="18" t="str">
        <f t="shared" si="214"/>
        <v/>
      </c>
    </row>
    <row r="1747" spans="159:168">
      <c r="FC1747" s="118">
        <v>1744</v>
      </c>
      <c r="FD1747" s="118">
        <f t="shared" si="210"/>
        <v>16</v>
      </c>
      <c r="FE1747" s="118">
        <f t="shared" si="211"/>
        <v>109</v>
      </c>
      <c r="FF1747" s="118" t="str">
        <f t="shared" si="212"/>
        <v/>
      </c>
      <c r="FI1747" s="16">
        <v>1744</v>
      </c>
      <c r="FJ1747" s="17" t="str">
        <f t="shared" si="213"/>
        <v/>
      </c>
      <c r="FK1747" s="17" t="str">
        <f t="shared" si="215"/>
        <v/>
      </c>
      <c r="FL1747" s="18" t="str">
        <f t="shared" si="214"/>
        <v/>
      </c>
    </row>
    <row r="1748" spans="159:168">
      <c r="FC1748" s="118">
        <v>1745</v>
      </c>
      <c r="FD1748" s="118">
        <f t="shared" si="210"/>
        <v>1</v>
      </c>
      <c r="FE1748" s="118">
        <f t="shared" si="211"/>
        <v>110</v>
      </c>
      <c r="FF1748" s="118" t="str">
        <f t="shared" si="212"/>
        <v/>
      </c>
      <c r="FI1748" s="16">
        <v>1745</v>
      </c>
      <c r="FJ1748" s="17" t="str">
        <f t="shared" si="213"/>
        <v/>
      </c>
      <c r="FK1748" s="17" t="str">
        <f t="shared" si="215"/>
        <v/>
      </c>
      <c r="FL1748" s="18" t="str">
        <f t="shared" si="214"/>
        <v/>
      </c>
    </row>
    <row r="1749" spans="159:168">
      <c r="FC1749" s="118">
        <v>1746</v>
      </c>
      <c r="FD1749" s="118">
        <f t="shared" si="210"/>
        <v>2</v>
      </c>
      <c r="FE1749" s="118">
        <f t="shared" si="211"/>
        <v>110</v>
      </c>
      <c r="FF1749" s="118" t="str">
        <f t="shared" si="212"/>
        <v/>
      </c>
      <c r="FI1749" s="16">
        <v>1746</v>
      </c>
      <c r="FJ1749" s="17" t="str">
        <f t="shared" si="213"/>
        <v/>
      </c>
      <c r="FK1749" s="17" t="str">
        <f t="shared" si="215"/>
        <v/>
      </c>
      <c r="FL1749" s="18" t="str">
        <f t="shared" si="214"/>
        <v/>
      </c>
    </row>
    <row r="1750" spans="159:168">
      <c r="FC1750" s="118">
        <v>1747</v>
      </c>
      <c r="FD1750" s="118">
        <f t="shared" ref="FD1750:FD1813" si="216">IF(MOD(FC1750,$FB$1+$FB$2)=0,$FB$1+$FB$2,MOD(FC1750,$FB$1+$FB$2))</f>
        <v>3</v>
      </c>
      <c r="FE1750" s="118">
        <f t="shared" ref="FE1750:FE1813" si="217">ROUNDUP(FC1750/($FB$1+$FB$2),0)</f>
        <v>110</v>
      </c>
      <c r="FF1750" s="118" t="str">
        <f t="shared" ref="FF1750:FF1813" si="218">IF(FE1750&lt;$FB$3,INDEX($E$4:$DV$84,FD1750,FE1750),IF(FE1750=$FB$3,INDEX($E$4:$DV$84,FD1750+$FB$1,FE1750),""))</f>
        <v/>
      </c>
      <c r="FI1750" s="16">
        <v>1747</v>
      </c>
      <c r="FJ1750" s="17" t="str">
        <f t="shared" ref="FJ1750:FJ1813" si="219">IF(FE1750&lt;=$FH$1,INDEX($DW$4:$EZ$84,FD1750,FE1750),"")</f>
        <v/>
      </c>
      <c r="FK1750" s="17" t="str">
        <f t="shared" si="215"/>
        <v/>
      </c>
      <c r="FL1750" s="18" t="str">
        <f t="shared" ref="FL1750:FL1813" si="220">IFERROR(TEXT(DEC2BIN(FK1750),"00000000"),"")</f>
        <v/>
      </c>
    </row>
    <row r="1751" spans="159:168">
      <c r="FC1751" s="118">
        <v>1748</v>
      </c>
      <c r="FD1751" s="118">
        <f t="shared" si="216"/>
        <v>4</v>
      </c>
      <c r="FE1751" s="118">
        <f t="shared" si="217"/>
        <v>110</v>
      </c>
      <c r="FF1751" s="118" t="str">
        <f t="shared" si="218"/>
        <v/>
      </c>
      <c r="FI1751" s="16">
        <v>1748</v>
      </c>
      <c r="FJ1751" s="17" t="str">
        <f t="shared" si="219"/>
        <v/>
      </c>
      <c r="FK1751" s="17" t="str">
        <f t="shared" si="215"/>
        <v/>
      </c>
      <c r="FL1751" s="18" t="str">
        <f t="shared" si="220"/>
        <v/>
      </c>
    </row>
    <row r="1752" spans="159:168">
      <c r="FC1752" s="118">
        <v>1749</v>
      </c>
      <c r="FD1752" s="118">
        <f t="shared" si="216"/>
        <v>5</v>
      </c>
      <c r="FE1752" s="118">
        <f t="shared" si="217"/>
        <v>110</v>
      </c>
      <c r="FF1752" s="118" t="str">
        <f t="shared" si="218"/>
        <v/>
      </c>
      <c r="FI1752" s="16">
        <v>1749</v>
      </c>
      <c r="FJ1752" s="17" t="str">
        <f t="shared" si="219"/>
        <v/>
      </c>
      <c r="FK1752" s="17" t="str">
        <f t="shared" si="215"/>
        <v/>
      </c>
      <c r="FL1752" s="18" t="str">
        <f t="shared" si="220"/>
        <v/>
      </c>
    </row>
    <row r="1753" spans="159:168">
      <c r="FC1753" s="118">
        <v>1750</v>
      </c>
      <c r="FD1753" s="118">
        <f t="shared" si="216"/>
        <v>6</v>
      </c>
      <c r="FE1753" s="118">
        <f t="shared" si="217"/>
        <v>110</v>
      </c>
      <c r="FF1753" s="118" t="str">
        <f t="shared" si="218"/>
        <v/>
      </c>
      <c r="FI1753" s="16">
        <v>1750</v>
      </c>
      <c r="FJ1753" s="17" t="str">
        <f t="shared" si="219"/>
        <v/>
      </c>
      <c r="FK1753" s="17" t="str">
        <f t="shared" si="215"/>
        <v/>
      </c>
      <c r="FL1753" s="18" t="str">
        <f t="shared" si="220"/>
        <v/>
      </c>
    </row>
    <row r="1754" spans="159:168">
      <c r="FC1754" s="118">
        <v>1751</v>
      </c>
      <c r="FD1754" s="118">
        <f t="shared" si="216"/>
        <v>7</v>
      </c>
      <c r="FE1754" s="118">
        <f t="shared" si="217"/>
        <v>110</v>
      </c>
      <c r="FF1754" s="118" t="str">
        <f t="shared" si="218"/>
        <v/>
      </c>
      <c r="FI1754" s="16">
        <v>1751</v>
      </c>
      <c r="FJ1754" s="17" t="str">
        <f t="shared" si="219"/>
        <v/>
      </c>
      <c r="FK1754" s="17" t="str">
        <f t="shared" si="215"/>
        <v/>
      </c>
      <c r="FL1754" s="18" t="str">
        <f t="shared" si="220"/>
        <v/>
      </c>
    </row>
    <row r="1755" spans="159:168">
      <c r="FC1755" s="118">
        <v>1752</v>
      </c>
      <c r="FD1755" s="118">
        <f t="shared" si="216"/>
        <v>8</v>
      </c>
      <c r="FE1755" s="118">
        <f t="shared" si="217"/>
        <v>110</v>
      </c>
      <c r="FF1755" s="118" t="str">
        <f t="shared" si="218"/>
        <v/>
      </c>
      <c r="FI1755" s="16">
        <v>1752</v>
      </c>
      <c r="FJ1755" s="17" t="str">
        <f t="shared" si="219"/>
        <v/>
      </c>
      <c r="FK1755" s="17" t="str">
        <f t="shared" si="215"/>
        <v/>
      </c>
      <c r="FL1755" s="18" t="str">
        <f t="shared" si="220"/>
        <v/>
      </c>
    </row>
    <row r="1756" spans="159:168">
      <c r="FC1756" s="118">
        <v>1753</v>
      </c>
      <c r="FD1756" s="118">
        <f t="shared" si="216"/>
        <v>9</v>
      </c>
      <c r="FE1756" s="118">
        <f t="shared" si="217"/>
        <v>110</v>
      </c>
      <c r="FF1756" s="118" t="str">
        <f t="shared" si="218"/>
        <v/>
      </c>
      <c r="FI1756" s="16">
        <v>1753</v>
      </c>
      <c r="FJ1756" s="17" t="str">
        <f t="shared" si="219"/>
        <v/>
      </c>
      <c r="FK1756" s="17" t="str">
        <f t="shared" si="215"/>
        <v/>
      </c>
      <c r="FL1756" s="18" t="str">
        <f t="shared" si="220"/>
        <v/>
      </c>
    </row>
    <row r="1757" spans="159:168">
      <c r="FC1757" s="118">
        <v>1754</v>
      </c>
      <c r="FD1757" s="118">
        <f t="shared" si="216"/>
        <v>10</v>
      </c>
      <c r="FE1757" s="118">
        <f t="shared" si="217"/>
        <v>110</v>
      </c>
      <c r="FF1757" s="118" t="str">
        <f t="shared" si="218"/>
        <v/>
      </c>
      <c r="FI1757" s="16">
        <v>1754</v>
      </c>
      <c r="FJ1757" s="17" t="str">
        <f t="shared" si="219"/>
        <v/>
      </c>
      <c r="FK1757" s="17" t="str">
        <f t="shared" si="215"/>
        <v/>
      </c>
      <c r="FL1757" s="18" t="str">
        <f t="shared" si="220"/>
        <v/>
      </c>
    </row>
    <row r="1758" spans="159:168">
      <c r="FC1758" s="118">
        <v>1755</v>
      </c>
      <c r="FD1758" s="118">
        <f t="shared" si="216"/>
        <v>11</v>
      </c>
      <c r="FE1758" s="118">
        <f t="shared" si="217"/>
        <v>110</v>
      </c>
      <c r="FF1758" s="118" t="str">
        <f t="shared" si="218"/>
        <v/>
      </c>
      <c r="FI1758" s="16">
        <v>1755</v>
      </c>
      <c r="FJ1758" s="17" t="str">
        <f t="shared" si="219"/>
        <v/>
      </c>
      <c r="FK1758" s="17" t="str">
        <f t="shared" si="215"/>
        <v/>
      </c>
      <c r="FL1758" s="18" t="str">
        <f t="shared" si="220"/>
        <v/>
      </c>
    </row>
    <row r="1759" spans="159:168">
      <c r="FC1759" s="118">
        <v>1756</v>
      </c>
      <c r="FD1759" s="118">
        <f t="shared" si="216"/>
        <v>12</v>
      </c>
      <c r="FE1759" s="118">
        <f t="shared" si="217"/>
        <v>110</v>
      </c>
      <c r="FF1759" s="118" t="str">
        <f t="shared" si="218"/>
        <v/>
      </c>
      <c r="FI1759" s="16">
        <v>1756</v>
      </c>
      <c r="FJ1759" s="17" t="str">
        <f t="shared" si="219"/>
        <v/>
      </c>
      <c r="FK1759" s="17" t="str">
        <f t="shared" si="215"/>
        <v/>
      </c>
      <c r="FL1759" s="18" t="str">
        <f t="shared" si="220"/>
        <v/>
      </c>
    </row>
    <row r="1760" spans="159:168">
      <c r="FC1760" s="118">
        <v>1757</v>
      </c>
      <c r="FD1760" s="118">
        <f t="shared" si="216"/>
        <v>13</v>
      </c>
      <c r="FE1760" s="118">
        <f t="shared" si="217"/>
        <v>110</v>
      </c>
      <c r="FF1760" s="118" t="str">
        <f t="shared" si="218"/>
        <v/>
      </c>
      <c r="FI1760" s="16">
        <v>1757</v>
      </c>
      <c r="FJ1760" s="17" t="str">
        <f t="shared" si="219"/>
        <v/>
      </c>
      <c r="FK1760" s="17" t="str">
        <f t="shared" si="215"/>
        <v/>
      </c>
      <c r="FL1760" s="18" t="str">
        <f t="shared" si="220"/>
        <v/>
      </c>
    </row>
    <row r="1761" spans="159:168">
      <c r="FC1761" s="118">
        <v>1758</v>
      </c>
      <c r="FD1761" s="118">
        <f t="shared" si="216"/>
        <v>14</v>
      </c>
      <c r="FE1761" s="118">
        <f t="shared" si="217"/>
        <v>110</v>
      </c>
      <c r="FF1761" s="118" t="str">
        <f t="shared" si="218"/>
        <v/>
      </c>
      <c r="FI1761" s="16">
        <v>1758</v>
      </c>
      <c r="FJ1761" s="17" t="str">
        <f t="shared" si="219"/>
        <v/>
      </c>
      <c r="FK1761" s="17" t="str">
        <f t="shared" si="215"/>
        <v/>
      </c>
      <c r="FL1761" s="18" t="str">
        <f t="shared" si="220"/>
        <v/>
      </c>
    </row>
    <row r="1762" spans="159:168">
      <c r="FC1762" s="118">
        <v>1759</v>
      </c>
      <c r="FD1762" s="118">
        <f t="shared" si="216"/>
        <v>15</v>
      </c>
      <c r="FE1762" s="118">
        <f t="shared" si="217"/>
        <v>110</v>
      </c>
      <c r="FF1762" s="118" t="str">
        <f t="shared" si="218"/>
        <v/>
      </c>
      <c r="FI1762" s="16">
        <v>1759</v>
      </c>
      <c r="FJ1762" s="17" t="str">
        <f t="shared" si="219"/>
        <v/>
      </c>
      <c r="FK1762" s="17" t="str">
        <f t="shared" si="215"/>
        <v/>
      </c>
      <c r="FL1762" s="18" t="str">
        <f t="shared" si="220"/>
        <v/>
      </c>
    </row>
    <row r="1763" spans="159:168">
      <c r="FC1763" s="118">
        <v>1760</v>
      </c>
      <c r="FD1763" s="118">
        <f t="shared" si="216"/>
        <v>16</v>
      </c>
      <c r="FE1763" s="118">
        <f t="shared" si="217"/>
        <v>110</v>
      </c>
      <c r="FF1763" s="118" t="str">
        <f t="shared" si="218"/>
        <v/>
      </c>
      <c r="FI1763" s="16">
        <v>1760</v>
      </c>
      <c r="FJ1763" s="17" t="str">
        <f t="shared" si="219"/>
        <v/>
      </c>
      <c r="FK1763" s="17" t="str">
        <f t="shared" si="215"/>
        <v/>
      </c>
      <c r="FL1763" s="18" t="str">
        <f t="shared" si="220"/>
        <v/>
      </c>
    </row>
    <row r="1764" spans="159:168">
      <c r="FC1764" s="118">
        <v>1761</v>
      </c>
      <c r="FD1764" s="118">
        <f t="shared" si="216"/>
        <v>1</v>
      </c>
      <c r="FE1764" s="118">
        <f t="shared" si="217"/>
        <v>111</v>
      </c>
      <c r="FF1764" s="118" t="str">
        <f t="shared" si="218"/>
        <v/>
      </c>
      <c r="FI1764" s="16">
        <v>1761</v>
      </c>
      <c r="FJ1764" s="17" t="str">
        <f t="shared" si="219"/>
        <v/>
      </c>
      <c r="FK1764" s="17" t="str">
        <f t="shared" si="215"/>
        <v/>
      </c>
      <c r="FL1764" s="18" t="str">
        <f t="shared" si="220"/>
        <v/>
      </c>
    </row>
    <row r="1765" spans="159:168">
      <c r="FC1765" s="118">
        <v>1762</v>
      </c>
      <c r="FD1765" s="118">
        <f t="shared" si="216"/>
        <v>2</v>
      </c>
      <c r="FE1765" s="118">
        <f t="shared" si="217"/>
        <v>111</v>
      </c>
      <c r="FF1765" s="118" t="str">
        <f t="shared" si="218"/>
        <v/>
      </c>
      <c r="FI1765" s="16">
        <v>1762</v>
      </c>
      <c r="FJ1765" s="17" t="str">
        <f t="shared" si="219"/>
        <v/>
      </c>
      <c r="FK1765" s="17" t="str">
        <f t="shared" si="215"/>
        <v/>
      </c>
      <c r="FL1765" s="18" t="str">
        <f t="shared" si="220"/>
        <v/>
      </c>
    </row>
    <row r="1766" spans="159:168">
      <c r="FC1766" s="118">
        <v>1763</v>
      </c>
      <c r="FD1766" s="118">
        <f t="shared" si="216"/>
        <v>3</v>
      </c>
      <c r="FE1766" s="118">
        <f t="shared" si="217"/>
        <v>111</v>
      </c>
      <c r="FF1766" s="118" t="str">
        <f t="shared" si="218"/>
        <v/>
      </c>
      <c r="FI1766" s="16">
        <v>1763</v>
      </c>
      <c r="FJ1766" s="17" t="str">
        <f t="shared" si="219"/>
        <v/>
      </c>
      <c r="FK1766" s="17" t="str">
        <f t="shared" si="215"/>
        <v/>
      </c>
      <c r="FL1766" s="18" t="str">
        <f t="shared" si="220"/>
        <v/>
      </c>
    </row>
    <row r="1767" spans="159:168">
      <c r="FC1767" s="118">
        <v>1764</v>
      </c>
      <c r="FD1767" s="118">
        <f t="shared" si="216"/>
        <v>4</v>
      </c>
      <c r="FE1767" s="118">
        <f t="shared" si="217"/>
        <v>111</v>
      </c>
      <c r="FF1767" s="118" t="str">
        <f t="shared" si="218"/>
        <v/>
      </c>
      <c r="FI1767" s="16">
        <v>1764</v>
      </c>
      <c r="FJ1767" s="17" t="str">
        <f t="shared" si="219"/>
        <v/>
      </c>
      <c r="FK1767" s="17" t="str">
        <f t="shared" si="215"/>
        <v/>
      </c>
      <c r="FL1767" s="18" t="str">
        <f t="shared" si="220"/>
        <v/>
      </c>
    </row>
    <row r="1768" spans="159:168">
      <c r="FC1768" s="118">
        <v>1765</v>
      </c>
      <c r="FD1768" s="118">
        <f t="shared" si="216"/>
        <v>5</v>
      </c>
      <c r="FE1768" s="118">
        <f t="shared" si="217"/>
        <v>111</v>
      </c>
      <c r="FF1768" s="118" t="str">
        <f t="shared" si="218"/>
        <v/>
      </c>
      <c r="FI1768" s="16">
        <v>1765</v>
      </c>
      <c r="FJ1768" s="17" t="str">
        <f t="shared" si="219"/>
        <v/>
      </c>
      <c r="FK1768" s="17" t="str">
        <f t="shared" si="215"/>
        <v/>
      </c>
      <c r="FL1768" s="18" t="str">
        <f t="shared" si="220"/>
        <v/>
      </c>
    </row>
    <row r="1769" spans="159:168">
      <c r="FC1769" s="118">
        <v>1766</v>
      </c>
      <c r="FD1769" s="118">
        <f t="shared" si="216"/>
        <v>6</v>
      </c>
      <c r="FE1769" s="118">
        <f t="shared" si="217"/>
        <v>111</v>
      </c>
      <c r="FF1769" s="118" t="str">
        <f t="shared" si="218"/>
        <v/>
      </c>
      <c r="FI1769" s="16">
        <v>1766</v>
      </c>
      <c r="FJ1769" s="17" t="str">
        <f t="shared" si="219"/>
        <v/>
      </c>
      <c r="FK1769" s="17" t="str">
        <f t="shared" si="215"/>
        <v/>
      </c>
      <c r="FL1769" s="18" t="str">
        <f t="shared" si="220"/>
        <v/>
      </c>
    </row>
    <row r="1770" spans="159:168">
      <c r="FC1770" s="118">
        <v>1767</v>
      </c>
      <c r="FD1770" s="118">
        <f t="shared" si="216"/>
        <v>7</v>
      </c>
      <c r="FE1770" s="118">
        <f t="shared" si="217"/>
        <v>111</v>
      </c>
      <c r="FF1770" s="118" t="str">
        <f t="shared" si="218"/>
        <v/>
      </c>
      <c r="FI1770" s="16">
        <v>1767</v>
      </c>
      <c r="FJ1770" s="17" t="str">
        <f t="shared" si="219"/>
        <v/>
      </c>
      <c r="FK1770" s="17" t="str">
        <f t="shared" si="215"/>
        <v/>
      </c>
      <c r="FL1770" s="18" t="str">
        <f t="shared" si="220"/>
        <v/>
      </c>
    </row>
    <row r="1771" spans="159:168">
      <c r="FC1771" s="118">
        <v>1768</v>
      </c>
      <c r="FD1771" s="118">
        <f t="shared" si="216"/>
        <v>8</v>
      </c>
      <c r="FE1771" s="118">
        <f t="shared" si="217"/>
        <v>111</v>
      </c>
      <c r="FF1771" s="118" t="str">
        <f t="shared" si="218"/>
        <v/>
      </c>
      <c r="FI1771" s="16">
        <v>1768</v>
      </c>
      <c r="FJ1771" s="17" t="str">
        <f t="shared" si="219"/>
        <v/>
      </c>
      <c r="FK1771" s="17" t="str">
        <f t="shared" si="215"/>
        <v/>
      </c>
      <c r="FL1771" s="18" t="str">
        <f t="shared" si="220"/>
        <v/>
      </c>
    </row>
    <row r="1772" spans="159:168">
      <c r="FC1772" s="118">
        <v>1769</v>
      </c>
      <c r="FD1772" s="118">
        <f t="shared" si="216"/>
        <v>9</v>
      </c>
      <c r="FE1772" s="118">
        <f t="shared" si="217"/>
        <v>111</v>
      </c>
      <c r="FF1772" s="118" t="str">
        <f t="shared" si="218"/>
        <v/>
      </c>
      <c r="FI1772" s="16">
        <v>1769</v>
      </c>
      <c r="FJ1772" s="17" t="str">
        <f t="shared" si="219"/>
        <v/>
      </c>
      <c r="FK1772" s="17" t="str">
        <f t="shared" si="215"/>
        <v/>
      </c>
      <c r="FL1772" s="18" t="str">
        <f t="shared" si="220"/>
        <v/>
      </c>
    </row>
    <row r="1773" spans="159:168">
      <c r="FC1773" s="118">
        <v>1770</v>
      </c>
      <c r="FD1773" s="118">
        <f t="shared" si="216"/>
        <v>10</v>
      </c>
      <c r="FE1773" s="118">
        <f t="shared" si="217"/>
        <v>111</v>
      </c>
      <c r="FF1773" s="118" t="str">
        <f t="shared" si="218"/>
        <v/>
      </c>
      <c r="FI1773" s="16">
        <v>1770</v>
      </c>
      <c r="FJ1773" s="17" t="str">
        <f t="shared" si="219"/>
        <v/>
      </c>
      <c r="FK1773" s="17" t="str">
        <f t="shared" si="215"/>
        <v/>
      </c>
      <c r="FL1773" s="18" t="str">
        <f t="shared" si="220"/>
        <v/>
      </c>
    </row>
    <row r="1774" spans="159:168">
      <c r="FC1774" s="118">
        <v>1771</v>
      </c>
      <c r="FD1774" s="118">
        <f t="shared" si="216"/>
        <v>11</v>
      </c>
      <c r="FE1774" s="118">
        <f t="shared" si="217"/>
        <v>111</v>
      </c>
      <c r="FF1774" s="118" t="str">
        <f t="shared" si="218"/>
        <v/>
      </c>
      <c r="FI1774" s="16">
        <v>1771</v>
      </c>
      <c r="FJ1774" s="17" t="str">
        <f t="shared" si="219"/>
        <v/>
      </c>
      <c r="FK1774" s="17" t="str">
        <f t="shared" si="215"/>
        <v/>
      </c>
      <c r="FL1774" s="18" t="str">
        <f t="shared" si="220"/>
        <v/>
      </c>
    </row>
    <row r="1775" spans="159:168">
      <c r="FC1775" s="118">
        <v>1772</v>
      </c>
      <c r="FD1775" s="118">
        <f t="shared" si="216"/>
        <v>12</v>
      </c>
      <c r="FE1775" s="118">
        <f t="shared" si="217"/>
        <v>111</v>
      </c>
      <c r="FF1775" s="118" t="str">
        <f t="shared" si="218"/>
        <v/>
      </c>
      <c r="FI1775" s="16">
        <v>1772</v>
      </c>
      <c r="FJ1775" s="17" t="str">
        <f t="shared" si="219"/>
        <v/>
      </c>
      <c r="FK1775" s="17" t="str">
        <f t="shared" si="215"/>
        <v/>
      </c>
      <c r="FL1775" s="18" t="str">
        <f t="shared" si="220"/>
        <v/>
      </c>
    </row>
    <row r="1776" spans="159:168">
      <c r="FC1776" s="118">
        <v>1773</v>
      </c>
      <c r="FD1776" s="118">
        <f t="shared" si="216"/>
        <v>13</v>
      </c>
      <c r="FE1776" s="118">
        <f t="shared" si="217"/>
        <v>111</v>
      </c>
      <c r="FF1776" s="118" t="str">
        <f t="shared" si="218"/>
        <v/>
      </c>
      <c r="FI1776" s="16">
        <v>1773</v>
      </c>
      <c r="FJ1776" s="17" t="str">
        <f t="shared" si="219"/>
        <v/>
      </c>
      <c r="FK1776" s="17" t="str">
        <f t="shared" si="215"/>
        <v/>
      </c>
      <c r="FL1776" s="18" t="str">
        <f t="shared" si="220"/>
        <v/>
      </c>
    </row>
    <row r="1777" spans="159:168">
      <c r="FC1777" s="118">
        <v>1774</v>
      </c>
      <c r="FD1777" s="118">
        <f t="shared" si="216"/>
        <v>14</v>
      </c>
      <c r="FE1777" s="118">
        <f t="shared" si="217"/>
        <v>111</v>
      </c>
      <c r="FF1777" s="118" t="str">
        <f t="shared" si="218"/>
        <v/>
      </c>
      <c r="FI1777" s="16">
        <v>1774</v>
      </c>
      <c r="FJ1777" s="17" t="str">
        <f t="shared" si="219"/>
        <v/>
      </c>
      <c r="FK1777" s="17" t="str">
        <f t="shared" si="215"/>
        <v/>
      </c>
      <c r="FL1777" s="18" t="str">
        <f t="shared" si="220"/>
        <v/>
      </c>
    </row>
    <row r="1778" spans="159:168">
      <c r="FC1778" s="118">
        <v>1775</v>
      </c>
      <c r="FD1778" s="118">
        <f t="shared" si="216"/>
        <v>15</v>
      </c>
      <c r="FE1778" s="118">
        <f t="shared" si="217"/>
        <v>111</v>
      </c>
      <c r="FF1778" s="118" t="str">
        <f t="shared" si="218"/>
        <v/>
      </c>
      <c r="FI1778" s="16">
        <v>1775</v>
      </c>
      <c r="FJ1778" s="17" t="str">
        <f t="shared" si="219"/>
        <v/>
      </c>
      <c r="FK1778" s="17" t="str">
        <f t="shared" si="215"/>
        <v/>
      </c>
      <c r="FL1778" s="18" t="str">
        <f t="shared" si="220"/>
        <v/>
      </c>
    </row>
    <row r="1779" spans="159:168">
      <c r="FC1779" s="118">
        <v>1776</v>
      </c>
      <c r="FD1779" s="118">
        <f t="shared" si="216"/>
        <v>16</v>
      </c>
      <c r="FE1779" s="118">
        <f t="shared" si="217"/>
        <v>111</v>
      </c>
      <c r="FF1779" s="118" t="str">
        <f t="shared" si="218"/>
        <v/>
      </c>
      <c r="FI1779" s="16">
        <v>1776</v>
      </c>
      <c r="FJ1779" s="17" t="str">
        <f t="shared" si="219"/>
        <v/>
      </c>
      <c r="FK1779" s="17" t="str">
        <f t="shared" si="215"/>
        <v/>
      </c>
      <c r="FL1779" s="18" t="str">
        <f t="shared" si="220"/>
        <v/>
      </c>
    </row>
    <row r="1780" spans="159:168">
      <c r="FC1780" s="118">
        <v>1777</v>
      </c>
      <c r="FD1780" s="118">
        <f t="shared" si="216"/>
        <v>1</v>
      </c>
      <c r="FE1780" s="118">
        <f t="shared" si="217"/>
        <v>112</v>
      </c>
      <c r="FF1780" s="118" t="str">
        <f t="shared" si="218"/>
        <v/>
      </c>
      <c r="FI1780" s="16">
        <v>1777</v>
      </c>
      <c r="FJ1780" s="17" t="str">
        <f t="shared" si="219"/>
        <v/>
      </c>
      <c r="FK1780" s="17" t="str">
        <f t="shared" si="215"/>
        <v/>
      </c>
      <c r="FL1780" s="18" t="str">
        <f t="shared" si="220"/>
        <v/>
      </c>
    </row>
    <row r="1781" spans="159:168">
      <c r="FC1781" s="118">
        <v>1778</v>
      </c>
      <c r="FD1781" s="118">
        <f t="shared" si="216"/>
        <v>2</v>
      </c>
      <c r="FE1781" s="118">
        <f t="shared" si="217"/>
        <v>112</v>
      </c>
      <c r="FF1781" s="118" t="str">
        <f t="shared" si="218"/>
        <v/>
      </c>
      <c r="FI1781" s="16">
        <v>1778</v>
      </c>
      <c r="FJ1781" s="17" t="str">
        <f t="shared" si="219"/>
        <v/>
      </c>
      <c r="FK1781" s="17" t="str">
        <f t="shared" si="215"/>
        <v/>
      </c>
      <c r="FL1781" s="18" t="str">
        <f t="shared" si="220"/>
        <v/>
      </c>
    </row>
    <row r="1782" spans="159:168">
      <c r="FC1782" s="118">
        <v>1779</v>
      </c>
      <c r="FD1782" s="118">
        <f t="shared" si="216"/>
        <v>3</v>
      </c>
      <c r="FE1782" s="118">
        <f t="shared" si="217"/>
        <v>112</v>
      </c>
      <c r="FF1782" s="118" t="str">
        <f t="shared" si="218"/>
        <v/>
      </c>
      <c r="FI1782" s="16">
        <v>1779</v>
      </c>
      <c r="FJ1782" s="17" t="str">
        <f t="shared" si="219"/>
        <v/>
      </c>
      <c r="FK1782" s="17" t="str">
        <f t="shared" si="215"/>
        <v/>
      </c>
      <c r="FL1782" s="18" t="str">
        <f t="shared" si="220"/>
        <v/>
      </c>
    </row>
    <row r="1783" spans="159:168">
      <c r="FC1783" s="118">
        <v>1780</v>
      </c>
      <c r="FD1783" s="118">
        <f t="shared" si="216"/>
        <v>4</v>
      </c>
      <c r="FE1783" s="118">
        <f t="shared" si="217"/>
        <v>112</v>
      </c>
      <c r="FF1783" s="118" t="str">
        <f t="shared" si="218"/>
        <v/>
      </c>
      <c r="FI1783" s="16">
        <v>1780</v>
      </c>
      <c r="FJ1783" s="17" t="str">
        <f t="shared" si="219"/>
        <v/>
      </c>
      <c r="FK1783" s="17" t="str">
        <f t="shared" si="215"/>
        <v/>
      </c>
      <c r="FL1783" s="18" t="str">
        <f t="shared" si="220"/>
        <v/>
      </c>
    </row>
    <row r="1784" spans="159:168">
      <c r="FC1784" s="118">
        <v>1781</v>
      </c>
      <c r="FD1784" s="118">
        <f t="shared" si="216"/>
        <v>5</v>
      </c>
      <c r="FE1784" s="118">
        <f t="shared" si="217"/>
        <v>112</v>
      </c>
      <c r="FF1784" s="118" t="str">
        <f t="shared" si="218"/>
        <v/>
      </c>
      <c r="FI1784" s="16">
        <v>1781</v>
      </c>
      <c r="FJ1784" s="17" t="str">
        <f t="shared" si="219"/>
        <v/>
      </c>
      <c r="FK1784" s="17" t="str">
        <f t="shared" si="215"/>
        <v/>
      </c>
      <c r="FL1784" s="18" t="str">
        <f t="shared" si="220"/>
        <v/>
      </c>
    </row>
    <row r="1785" spans="159:168">
      <c r="FC1785" s="118">
        <v>1782</v>
      </c>
      <c r="FD1785" s="118">
        <f t="shared" si="216"/>
        <v>6</v>
      </c>
      <c r="FE1785" s="118">
        <f t="shared" si="217"/>
        <v>112</v>
      </c>
      <c r="FF1785" s="118" t="str">
        <f t="shared" si="218"/>
        <v/>
      </c>
      <c r="FI1785" s="16">
        <v>1782</v>
      </c>
      <c r="FJ1785" s="17" t="str">
        <f t="shared" si="219"/>
        <v/>
      </c>
      <c r="FK1785" s="17" t="str">
        <f t="shared" si="215"/>
        <v/>
      </c>
      <c r="FL1785" s="18" t="str">
        <f t="shared" si="220"/>
        <v/>
      </c>
    </row>
    <row r="1786" spans="159:168">
      <c r="FC1786" s="118">
        <v>1783</v>
      </c>
      <c r="FD1786" s="118">
        <f t="shared" si="216"/>
        <v>7</v>
      </c>
      <c r="FE1786" s="118">
        <f t="shared" si="217"/>
        <v>112</v>
      </c>
      <c r="FF1786" s="118" t="str">
        <f t="shared" si="218"/>
        <v/>
      </c>
      <c r="FI1786" s="16">
        <v>1783</v>
      </c>
      <c r="FJ1786" s="17" t="str">
        <f t="shared" si="219"/>
        <v/>
      </c>
      <c r="FK1786" s="17" t="str">
        <f t="shared" si="215"/>
        <v/>
      </c>
      <c r="FL1786" s="18" t="str">
        <f t="shared" si="220"/>
        <v/>
      </c>
    </row>
    <row r="1787" spans="159:168">
      <c r="FC1787" s="118">
        <v>1784</v>
      </c>
      <c r="FD1787" s="118">
        <f t="shared" si="216"/>
        <v>8</v>
      </c>
      <c r="FE1787" s="118">
        <f t="shared" si="217"/>
        <v>112</v>
      </c>
      <c r="FF1787" s="118" t="str">
        <f t="shared" si="218"/>
        <v/>
      </c>
      <c r="FI1787" s="16">
        <v>1784</v>
      </c>
      <c r="FJ1787" s="17" t="str">
        <f t="shared" si="219"/>
        <v/>
      </c>
      <c r="FK1787" s="17" t="str">
        <f t="shared" si="215"/>
        <v/>
      </c>
      <c r="FL1787" s="18" t="str">
        <f t="shared" si="220"/>
        <v/>
      </c>
    </row>
    <row r="1788" spans="159:168">
      <c r="FC1788" s="118">
        <v>1785</v>
      </c>
      <c r="FD1788" s="118">
        <f t="shared" si="216"/>
        <v>9</v>
      </c>
      <c r="FE1788" s="118">
        <f t="shared" si="217"/>
        <v>112</v>
      </c>
      <c r="FF1788" s="118" t="str">
        <f t="shared" si="218"/>
        <v/>
      </c>
      <c r="FI1788" s="16">
        <v>1785</v>
      </c>
      <c r="FJ1788" s="17" t="str">
        <f t="shared" si="219"/>
        <v/>
      </c>
      <c r="FK1788" s="17" t="str">
        <f t="shared" si="215"/>
        <v/>
      </c>
      <c r="FL1788" s="18" t="str">
        <f t="shared" si="220"/>
        <v/>
      </c>
    </row>
    <row r="1789" spans="159:168">
      <c r="FC1789" s="118">
        <v>1786</v>
      </c>
      <c r="FD1789" s="118">
        <f t="shared" si="216"/>
        <v>10</v>
      </c>
      <c r="FE1789" s="118">
        <f t="shared" si="217"/>
        <v>112</v>
      </c>
      <c r="FF1789" s="118" t="str">
        <f t="shared" si="218"/>
        <v/>
      </c>
      <c r="FI1789" s="16">
        <v>1786</v>
      </c>
      <c r="FJ1789" s="17" t="str">
        <f t="shared" si="219"/>
        <v/>
      </c>
      <c r="FK1789" s="17" t="str">
        <f t="shared" si="215"/>
        <v/>
      </c>
      <c r="FL1789" s="18" t="str">
        <f t="shared" si="220"/>
        <v/>
      </c>
    </row>
    <row r="1790" spans="159:168">
      <c r="FC1790" s="118">
        <v>1787</v>
      </c>
      <c r="FD1790" s="118">
        <f t="shared" si="216"/>
        <v>11</v>
      </c>
      <c r="FE1790" s="118">
        <f t="shared" si="217"/>
        <v>112</v>
      </c>
      <c r="FF1790" s="118" t="str">
        <f t="shared" si="218"/>
        <v/>
      </c>
      <c r="FI1790" s="16">
        <v>1787</v>
      </c>
      <c r="FJ1790" s="17" t="str">
        <f t="shared" si="219"/>
        <v/>
      </c>
      <c r="FK1790" s="17" t="str">
        <f t="shared" si="215"/>
        <v/>
      </c>
      <c r="FL1790" s="18" t="str">
        <f t="shared" si="220"/>
        <v/>
      </c>
    </row>
    <row r="1791" spans="159:168">
      <c r="FC1791" s="118">
        <v>1788</v>
      </c>
      <c r="FD1791" s="118">
        <f t="shared" si="216"/>
        <v>12</v>
      </c>
      <c r="FE1791" s="118">
        <f t="shared" si="217"/>
        <v>112</v>
      </c>
      <c r="FF1791" s="118" t="str">
        <f t="shared" si="218"/>
        <v/>
      </c>
      <c r="FI1791" s="16">
        <v>1788</v>
      </c>
      <c r="FJ1791" s="17" t="str">
        <f t="shared" si="219"/>
        <v/>
      </c>
      <c r="FK1791" s="17" t="str">
        <f t="shared" si="215"/>
        <v/>
      </c>
      <c r="FL1791" s="18" t="str">
        <f t="shared" si="220"/>
        <v/>
      </c>
    </row>
    <row r="1792" spans="159:168">
      <c r="FC1792" s="118">
        <v>1789</v>
      </c>
      <c r="FD1792" s="118">
        <f t="shared" si="216"/>
        <v>13</v>
      </c>
      <c r="FE1792" s="118">
        <f t="shared" si="217"/>
        <v>112</v>
      </c>
      <c r="FF1792" s="118" t="str">
        <f t="shared" si="218"/>
        <v/>
      </c>
      <c r="FI1792" s="16">
        <v>1789</v>
      </c>
      <c r="FJ1792" s="17" t="str">
        <f t="shared" si="219"/>
        <v/>
      </c>
      <c r="FK1792" s="17" t="str">
        <f t="shared" si="215"/>
        <v/>
      </c>
      <c r="FL1792" s="18" t="str">
        <f t="shared" si="220"/>
        <v/>
      </c>
    </row>
    <row r="1793" spans="159:168">
      <c r="FC1793" s="118">
        <v>1790</v>
      </c>
      <c r="FD1793" s="118">
        <f t="shared" si="216"/>
        <v>14</v>
      </c>
      <c r="FE1793" s="118">
        <f t="shared" si="217"/>
        <v>112</v>
      </c>
      <c r="FF1793" s="118" t="str">
        <f t="shared" si="218"/>
        <v/>
      </c>
      <c r="FI1793" s="16">
        <v>1790</v>
      </c>
      <c r="FJ1793" s="17" t="str">
        <f t="shared" si="219"/>
        <v/>
      </c>
      <c r="FK1793" s="17" t="str">
        <f t="shared" si="215"/>
        <v/>
      </c>
      <c r="FL1793" s="18" t="str">
        <f t="shared" si="220"/>
        <v/>
      </c>
    </row>
    <row r="1794" spans="159:168">
      <c r="FC1794" s="118">
        <v>1791</v>
      </c>
      <c r="FD1794" s="118">
        <f t="shared" si="216"/>
        <v>15</v>
      </c>
      <c r="FE1794" s="118">
        <f t="shared" si="217"/>
        <v>112</v>
      </c>
      <c r="FF1794" s="118" t="str">
        <f t="shared" si="218"/>
        <v/>
      </c>
      <c r="FI1794" s="16">
        <v>1791</v>
      </c>
      <c r="FJ1794" s="17" t="str">
        <f t="shared" si="219"/>
        <v/>
      </c>
      <c r="FK1794" s="17" t="str">
        <f t="shared" si="215"/>
        <v/>
      </c>
      <c r="FL1794" s="18" t="str">
        <f t="shared" si="220"/>
        <v/>
      </c>
    </row>
    <row r="1795" spans="159:168">
      <c r="FC1795" s="118">
        <v>1792</v>
      </c>
      <c r="FD1795" s="118">
        <f t="shared" si="216"/>
        <v>16</v>
      </c>
      <c r="FE1795" s="118">
        <f t="shared" si="217"/>
        <v>112</v>
      </c>
      <c r="FF1795" s="118" t="str">
        <f t="shared" si="218"/>
        <v/>
      </c>
      <c r="FI1795" s="16">
        <v>1792</v>
      </c>
      <c r="FJ1795" s="17" t="str">
        <f t="shared" si="219"/>
        <v/>
      </c>
      <c r="FK1795" s="17" t="str">
        <f t="shared" si="215"/>
        <v/>
      </c>
      <c r="FL1795" s="18" t="str">
        <f t="shared" si="220"/>
        <v/>
      </c>
    </row>
    <row r="1796" spans="159:168">
      <c r="FC1796" s="118">
        <v>1793</v>
      </c>
      <c r="FD1796" s="118">
        <f t="shared" si="216"/>
        <v>1</v>
      </c>
      <c r="FE1796" s="118">
        <f t="shared" si="217"/>
        <v>113</v>
      </c>
      <c r="FF1796" s="118" t="str">
        <f t="shared" si="218"/>
        <v/>
      </c>
      <c r="FI1796" s="16">
        <v>1793</v>
      </c>
      <c r="FJ1796" s="17" t="str">
        <f t="shared" si="219"/>
        <v/>
      </c>
      <c r="FK1796" s="17" t="str">
        <f t="shared" si="215"/>
        <v/>
      </c>
      <c r="FL1796" s="18" t="str">
        <f t="shared" si="220"/>
        <v/>
      </c>
    </row>
    <row r="1797" spans="159:168">
      <c r="FC1797" s="118">
        <v>1794</v>
      </c>
      <c r="FD1797" s="118">
        <f t="shared" si="216"/>
        <v>2</v>
      </c>
      <c r="FE1797" s="118">
        <f t="shared" si="217"/>
        <v>113</v>
      </c>
      <c r="FF1797" s="118" t="str">
        <f t="shared" si="218"/>
        <v/>
      </c>
      <c r="FI1797" s="16">
        <v>1794</v>
      </c>
      <c r="FJ1797" s="17" t="str">
        <f t="shared" si="219"/>
        <v/>
      </c>
      <c r="FK1797" s="17" t="str">
        <f t="shared" ref="FK1797:FK1860" si="221">IF(FI1797&lt;=$FH$2,FF1797,IF(FI1797&lt;=$FH$2+$FH$3,INDEX($FJ$4:$FJ$2494,FI1797-$FH$2),""))</f>
        <v/>
      </c>
      <c r="FL1797" s="18" t="str">
        <f t="shared" si="220"/>
        <v/>
      </c>
    </row>
    <row r="1798" spans="159:168">
      <c r="FC1798" s="118">
        <v>1795</v>
      </c>
      <c r="FD1798" s="118">
        <f t="shared" si="216"/>
        <v>3</v>
      </c>
      <c r="FE1798" s="118">
        <f t="shared" si="217"/>
        <v>113</v>
      </c>
      <c r="FF1798" s="118" t="str">
        <f t="shared" si="218"/>
        <v/>
      </c>
      <c r="FI1798" s="16">
        <v>1795</v>
      </c>
      <c r="FJ1798" s="17" t="str">
        <f t="shared" si="219"/>
        <v/>
      </c>
      <c r="FK1798" s="17" t="str">
        <f t="shared" si="221"/>
        <v/>
      </c>
      <c r="FL1798" s="18" t="str">
        <f t="shared" si="220"/>
        <v/>
      </c>
    </row>
    <row r="1799" spans="159:168">
      <c r="FC1799" s="118">
        <v>1796</v>
      </c>
      <c r="FD1799" s="118">
        <f t="shared" si="216"/>
        <v>4</v>
      </c>
      <c r="FE1799" s="118">
        <f t="shared" si="217"/>
        <v>113</v>
      </c>
      <c r="FF1799" s="118" t="str">
        <f t="shared" si="218"/>
        <v/>
      </c>
      <c r="FI1799" s="16">
        <v>1796</v>
      </c>
      <c r="FJ1799" s="17" t="str">
        <f t="shared" si="219"/>
        <v/>
      </c>
      <c r="FK1799" s="17" t="str">
        <f t="shared" si="221"/>
        <v/>
      </c>
      <c r="FL1799" s="18" t="str">
        <f t="shared" si="220"/>
        <v/>
      </c>
    </row>
    <row r="1800" spans="159:168">
      <c r="FC1800" s="118">
        <v>1797</v>
      </c>
      <c r="FD1800" s="118">
        <f t="shared" si="216"/>
        <v>5</v>
      </c>
      <c r="FE1800" s="118">
        <f t="shared" si="217"/>
        <v>113</v>
      </c>
      <c r="FF1800" s="118" t="str">
        <f t="shared" si="218"/>
        <v/>
      </c>
      <c r="FI1800" s="16">
        <v>1797</v>
      </c>
      <c r="FJ1800" s="17" t="str">
        <f t="shared" si="219"/>
        <v/>
      </c>
      <c r="FK1800" s="17" t="str">
        <f t="shared" si="221"/>
        <v/>
      </c>
      <c r="FL1800" s="18" t="str">
        <f t="shared" si="220"/>
        <v/>
      </c>
    </row>
    <row r="1801" spans="159:168">
      <c r="FC1801" s="118">
        <v>1798</v>
      </c>
      <c r="FD1801" s="118">
        <f t="shared" si="216"/>
        <v>6</v>
      </c>
      <c r="FE1801" s="118">
        <f t="shared" si="217"/>
        <v>113</v>
      </c>
      <c r="FF1801" s="118" t="str">
        <f t="shared" si="218"/>
        <v/>
      </c>
      <c r="FI1801" s="16">
        <v>1798</v>
      </c>
      <c r="FJ1801" s="17" t="str">
        <f t="shared" si="219"/>
        <v/>
      </c>
      <c r="FK1801" s="17" t="str">
        <f t="shared" si="221"/>
        <v/>
      </c>
      <c r="FL1801" s="18" t="str">
        <f t="shared" si="220"/>
        <v/>
      </c>
    </row>
    <row r="1802" spans="159:168">
      <c r="FC1802" s="118">
        <v>1799</v>
      </c>
      <c r="FD1802" s="118">
        <f t="shared" si="216"/>
        <v>7</v>
      </c>
      <c r="FE1802" s="118">
        <f t="shared" si="217"/>
        <v>113</v>
      </c>
      <c r="FF1802" s="118" t="str">
        <f t="shared" si="218"/>
        <v/>
      </c>
      <c r="FI1802" s="16">
        <v>1799</v>
      </c>
      <c r="FJ1802" s="17" t="str">
        <f t="shared" si="219"/>
        <v/>
      </c>
      <c r="FK1802" s="17" t="str">
        <f t="shared" si="221"/>
        <v/>
      </c>
      <c r="FL1802" s="18" t="str">
        <f t="shared" si="220"/>
        <v/>
      </c>
    </row>
    <row r="1803" spans="159:168">
      <c r="FC1803" s="118">
        <v>1800</v>
      </c>
      <c r="FD1803" s="118">
        <f t="shared" si="216"/>
        <v>8</v>
      </c>
      <c r="FE1803" s="118">
        <f t="shared" si="217"/>
        <v>113</v>
      </c>
      <c r="FF1803" s="118" t="str">
        <f t="shared" si="218"/>
        <v/>
      </c>
      <c r="FI1803" s="16">
        <v>1800</v>
      </c>
      <c r="FJ1803" s="17" t="str">
        <f t="shared" si="219"/>
        <v/>
      </c>
      <c r="FK1803" s="17" t="str">
        <f t="shared" si="221"/>
        <v/>
      </c>
      <c r="FL1803" s="18" t="str">
        <f t="shared" si="220"/>
        <v/>
      </c>
    </row>
    <row r="1804" spans="159:168">
      <c r="FC1804" s="118">
        <v>1801</v>
      </c>
      <c r="FD1804" s="118">
        <f t="shared" si="216"/>
        <v>9</v>
      </c>
      <c r="FE1804" s="118">
        <f t="shared" si="217"/>
        <v>113</v>
      </c>
      <c r="FF1804" s="118" t="str">
        <f t="shared" si="218"/>
        <v/>
      </c>
      <c r="FI1804" s="16">
        <v>1801</v>
      </c>
      <c r="FJ1804" s="17" t="str">
        <f t="shared" si="219"/>
        <v/>
      </c>
      <c r="FK1804" s="17" t="str">
        <f t="shared" si="221"/>
        <v/>
      </c>
      <c r="FL1804" s="18" t="str">
        <f t="shared" si="220"/>
        <v/>
      </c>
    </row>
    <row r="1805" spans="159:168">
      <c r="FC1805" s="118">
        <v>1802</v>
      </c>
      <c r="FD1805" s="118">
        <f t="shared" si="216"/>
        <v>10</v>
      </c>
      <c r="FE1805" s="118">
        <f t="shared" si="217"/>
        <v>113</v>
      </c>
      <c r="FF1805" s="118" t="str">
        <f t="shared" si="218"/>
        <v/>
      </c>
      <c r="FI1805" s="16">
        <v>1802</v>
      </c>
      <c r="FJ1805" s="17" t="str">
        <f t="shared" si="219"/>
        <v/>
      </c>
      <c r="FK1805" s="17" t="str">
        <f t="shared" si="221"/>
        <v/>
      </c>
      <c r="FL1805" s="18" t="str">
        <f t="shared" si="220"/>
        <v/>
      </c>
    </row>
    <row r="1806" spans="159:168">
      <c r="FC1806" s="118">
        <v>1803</v>
      </c>
      <c r="FD1806" s="118">
        <f t="shared" si="216"/>
        <v>11</v>
      </c>
      <c r="FE1806" s="118">
        <f t="shared" si="217"/>
        <v>113</v>
      </c>
      <c r="FF1806" s="118" t="str">
        <f t="shared" si="218"/>
        <v/>
      </c>
      <c r="FI1806" s="16">
        <v>1803</v>
      </c>
      <c r="FJ1806" s="17" t="str">
        <f t="shared" si="219"/>
        <v/>
      </c>
      <c r="FK1806" s="17" t="str">
        <f t="shared" si="221"/>
        <v/>
      </c>
      <c r="FL1806" s="18" t="str">
        <f t="shared" si="220"/>
        <v/>
      </c>
    </row>
    <row r="1807" spans="159:168">
      <c r="FC1807" s="118">
        <v>1804</v>
      </c>
      <c r="FD1807" s="118">
        <f t="shared" si="216"/>
        <v>12</v>
      </c>
      <c r="FE1807" s="118">
        <f t="shared" si="217"/>
        <v>113</v>
      </c>
      <c r="FF1807" s="118" t="str">
        <f t="shared" si="218"/>
        <v/>
      </c>
      <c r="FI1807" s="16">
        <v>1804</v>
      </c>
      <c r="FJ1807" s="17" t="str">
        <f t="shared" si="219"/>
        <v/>
      </c>
      <c r="FK1807" s="17" t="str">
        <f t="shared" si="221"/>
        <v/>
      </c>
      <c r="FL1807" s="18" t="str">
        <f t="shared" si="220"/>
        <v/>
      </c>
    </row>
    <row r="1808" spans="159:168">
      <c r="FC1808" s="118">
        <v>1805</v>
      </c>
      <c r="FD1808" s="118">
        <f t="shared" si="216"/>
        <v>13</v>
      </c>
      <c r="FE1808" s="118">
        <f t="shared" si="217"/>
        <v>113</v>
      </c>
      <c r="FF1808" s="118" t="str">
        <f t="shared" si="218"/>
        <v/>
      </c>
      <c r="FI1808" s="16">
        <v>1805</v>
      </c>
      <c r="FJ1808" s="17" t="str">
        <f t="shared" si="219"/>
        <v/>
      </c>
      <c r="FK1808" s="17" t="str">
        <f t="shared" si="221"/>
        <v/>
      </c>
      <c r="FL1808" s="18" t="str">
        <f t="shared" si="220"/>
        <v/>
      </c>
    </row>
    <row r="1809" spans="159:168">
      <c r="FC1809" s="118">
        <v>1806</v>
      </c>
      <c r="FD1809" s="118">
        <f t="shared" si="216"/>
        <v>14</v>
      </c>
      <c r="FE1809" s="118">
        <f t="shared" si="217"/>
        <v>113</v>
      </c>
      <c r="FF1809" s="118" t="str">
        <f t="shared" si="218"/>
        <v/>
      </c>
      <c r="FI1809" s="16">
        <v>1806</v>
      </c>
      <c r="FJ1809" s="17" t="str">
        <f t="shared" si="219"/>
        <v/>
      </c>
      <c r="FK1809" s="17" t="str">
        <f t="shared" si="221"/>
        <v/>
      </c>
      <c r="FL1809" s="18" t="str">
        <f t="shared" si="220"/>
        <v/>
      </c>
    </row>
    <row r="1810" spans="159:168">
      <c r="FC1810" s="118">
        <v>1807</v>
      </c>
      <c r="FD1810" s="118">
        <f t="shared" si="216"/>
        <v>15</v>
      </c>
      <c r="FE1810" s="118">
        <f t="shared" si="217"/>
        <v>113</v>
      </c>
      <c r="FF1810" s="118" t="str">
        <f t="shared" si="218"/>
        <v/>
      </c>
      <c r="FI1810" s="16">
        <v>1807</v>
      </c>
      <c r="FJ1810" s="17" t="str">
        <f t="shared" si="219"/>
        <v/>
      </c>
      <c r="FK1810" s="17" t="str">
        <f t="shared" si="221"/>
        <v/>
      </c>
      <c r="FL1810" s="18" t="str">
        <f t="shared" si="220"/>
        <v/>
      </c>
    </row>
    <row r="1811" spans="159:168">
      <c r="FC1811" s="118">
        <v>1808</v>
      </c>
      <c r="FD1811" s="118">
        <f t="shared" si="216"/>
        <v>16</v>
      </c>
      <c r="FE1811" s="118">
        <f t="shared" si="217"/>
        <v>113</v>
      </c>
      <c r="FF1811" s="118" t="str">
        <f t="shared" si="218"/>
        <v/>
      </c>
      <c r="FI1811" s="16">
        <v>1808</v>
      </c>
      <c r="FJ1811" s="17" t="str">
        <f t="shared" si="219"/>
        <v/>
      </c>
      <c r="FK1811" s="17" t="str">
        <f t="shared" si="221"/>
        <v/>
      </c>
      <c r="FL1811" s="18" t="str">
        <f t="shared" si="220"/>
        <v/>
      </c>
    </row>
    <row r="1812" spans="159:168">
      <c r="FC1812" s="118">
        <v>1809</v>
      </c>
      <c r="FD1812" s="118">
        <f t="shared" si="216"/>
        <v>1</v>
      </c>
      <c r="FE1812" s="118">
        <f t="shared" si="217"/>
        <v>114</v>
      </c>
      <c r="FF1812" s="118" t="str">
        <f t="shared" si="218"/>
        <v/>
      </c>
      <c r="FI1812" s="16">
        <v>1809</v>
      </c>
      <c r="FJ1812" s="17" t="str">
        <f t="shared" si="219"/>
        <v/>
      </c>
      <c r="FK1812" s="17" t="str">
        <f t="shared" si="221"/>
        <v/>
      </c>
      <c r="FL1812" s="18" t="str">
        <f t="shared" si="220"/>
        <v/>
      </c>
    </row>
    <row r="1813" spans="159:168">
      <c r="FC1813" s="118">
        <v>1810</v>
      </c>
      <c r="FD1813" s="118">
        <f t="shared" si="216"/>
        <v>2</v>
      </c>
      <c r="FE1813" s="118">
        <f t="shared" si="217"/>
        <v>114</v>
      </c>
      <c r="FF1813" s="118" t="str">
        <f t="shared" si="218"/>
        <v/>
      </c>
      <c r="FI1813" s="16">
        <v>1810</v>
      </c>
      <c r="FJ1813" s="17" t="str">
        <f t="shared" si="219"/>
        <v/>
      </c>
      <c r="FK1813" s="17" t="str">
        <f t="shared" si="221"/>
        <v/>
      </c>
      <c r="FL1813" s="18" t="str">
        <f t="shared" si="220"/>
        <v/>
      </c>
    </row>
    <row r="1814" spans="159:168">
      <c r="FC1814" s="118">
        <v>1811</v>
      </c>
      <c r="FD1814" s="118">
        <f t="shared" ref="FD1814:FD1877" si="222">IF(MOD(FC1814,$FB$1+$FB$2)=0,$FB$1+$FB$2,MOD(FC1814,$FB$1+$FB$2))</f>
        <v>3</v>
      </c>
      <c r="FE1814" s="118">
        <f t="shared" ref="FE1814:FE1877" si="223">ROUNDUP(FC1814/($FB$1+$FB$2),0)</f>
        <v>114</v>
      </c>
      <c r="FF1814" s="118" t="str">
        <f t="shared" ref="FF1814:FF1877" si="224">IF(FE1814&lt;$FB$3,INDEX($E$4:$DV$84,FD1814,FE1814),IF(FE1814=$FB$3,INDEX($E$4:$DV$84,FD1814+$FB$1,FE1814),""))</f>
        <v/>
      </c>
      <c r="FI1814" s="16">
        <v>1811</v>
      </c>
      <c r="FJ1814" s="17" t="str">
        <f t="shared" ref="FJ1814:FJ1877" si="225">IF(FE1814&lt;=$FH$1,INDEX($DW$4:$EZ$84,FD1814,FE1814),"")</f>
        <v/>
      </c>
      <c r="FK1814" s="17" t="str">
        <f t="shared" si="221"/>
        <v/>
      </c>
      <c r="FL1814" s="18" t="str">
        <f t="shared" ref="FL1814:FL1877" si="226">IFERROR(TEXT(DEC2BIN(FK1814),"00000000"),"")</f>
        <v/>
      </c>
    </row>
    <row r="1815" spans="159:168">
      <c r="FC1815" s="118">
        <v>1812</v>
      </c>
      <c r="FD1815" s="118">
        <f t="shared" si="222"/>
        <v>4</v>
      </c>
      <c r="FE1815" s="118">
        <f t="shared" si="223"/>
        <v>114</v>
      </c>
      <c r="FF1815" s="118" t="str">
        <f t="shared" si="224"/>
        <v/>
      </c>
      <c r="FI1815" s="16">
        <v>1812</v>
      </c>
      <c r="FJ1815" s="17" t="str">
        <f t="shared" si="225"/>
        <v/>
      </c>
      <c r="FK1815" s="17" t="str">
        <f t="shared" si="221"/>
        <v/>
      </c>
      <c r="FL1815" s="18" t="str">
        <f t="shared" si="226"/>
        <v/>
      </c>
    </row>
    <row r="1816" spans="159:168">
      <c r="FC1816" s="118">
        <v>1813</v>
      </c>
      <c r="FD1816" s="118">
        <f t="shared" si="222"/>
        <v>5</v>
      </c>
      <c r="FE1816" s="118">
        <f t="shared" si="223"/>
        <v>114</v>
      </c>
      <c r="FF1816" s="118" t="str">
        <f t="shared" si="224"/>
        <v/>
      </c>
      <c r="FI1816" s="16">
        <v>1813</v>
      </c>
      <c r="FJ1816" s="17" t="str">
        <f t="shared" si="225"/>
        <v/>
      </c>
      <c r="FK1816" s="17" t="str">
        <f t="shared" si="221"/>
        <v/>
      </c>
      <c r="FL1816" s="18" t="str">
        <f t="shared" si="226"/>
        <v/>
      </c>
    </row>
    <row r="1817" spans="159:168">
      <c r="FC1817" s="118">
        <v>1814</v>
      </c>
      <c r="FD1817" s="118">
        <f t="shared" si="222"/>
        <v>6</v>
      </c>
      <c r="FE1817" s="118">
        <f t="shared" si="223"/>
        <v>114</v>
      </c>
      <c r="FF1817" s="118" t="str">
        <f t="shared" si="224"/>
        <v/>
      </c>
      <c r="FI1817" s="16">
        <v>1814</v>
      </c>
      <c r="FJ1817" s="17" t="str">
        <f t="shared" si="225"/>
        <v/>
      </c>
      <c r="FK1817" s="17" t="str">
        <f t="shared" si="221"/>
        <v/>
      </c>
      <c r="FL1817" s="18" t="str">
        <f t="shared" si="226"/>
        <v/>
      </c>
    </row>
    <row r="1818" spans="159:168">
      <c r="FC1818" s="118">
        <v>1815</v>
      </c>
      <c r="FD1818" s="118">
        <f t="shared" si="222"/>
        <v>7</v>
      </c>
      <c r="FE1818" s="118">
        <f t="shared" si="223"/>
        <v>114</v>
      </c>
      <c r="FF1818" s="118" t="str">
        <f t="shared" si="224"/>
        <v/>
      </c>
      <c r="FI1818" s="16">
        <v>1815</v>
      </c>
      <c r="FJ1818" s="17" t="str">
        <f t="shared" si="225"/>
        <v/>
      </c>
      <c r="FK1818" s="17" t="str">
        <f t="shared" si="221"/>
        <v/>
      </c>
      <c r="FL1818" s="18" t="str">
        <f t="shared" si="226"/>
        <v/>
      </c>
    </row>
    <row r="1819" spans="159:168">
      <c r="FC1819" s="118">
        <v>1816</v>
      </c>
      <c r="FD1819" s="118">
        <f t="shared" si="222"/>
        <v>8</v>
      </c>
      <c r="FE1819" s="118">
        <f t="shared" si="223"/>
        <v>114</v>
      </c>
      <c r="FF1819" s="118" t="str">
        <f t="shared" si="224"/>
        <v/>
      </c>
      <c r="FI1819" s="16">
        <v>1816</v>
      </c>
      <c r="FJ1819" s="17" t="str">
        <f t="shared" si="225"/>
        <v/>
      </c>
      <c r="FK1819" s="17" t="str">
        <f t="shared" si="221"/>
        <v/>
      </c>
      <c r="FL1819" s="18" t="str">
        <f t="shared" si="226"/>
        <v/>
      </c>
    </row>
    <row r="1820" spans="159:168">
      <c r="FC1820" s="118">
        <v>1817</v>
      </c>
      <c r="FD1820" s="118">
        <f t="shared" si="222"/>
        <v>9</v>
      </c>
      <c r="FE1820" s="118">
        <f t="shared" si="223"/>
        <v>114</v>
      </c>
      <c r="FF1820" s="118" t="str">
        <f t="shared" si="224"/>
        <v/>
      </c>
      <c r="FI1820" s="16">
        <v>1817</v>
      </c>
      <c r="FJ1820" s="17" t="str">
        <f t="shared" si="225"/>
        <v/>
      </c>
      <c r="FK1820" s="17" t="str">
        <f t="shared" si="221"/>
        <v/>
      </c>
      <c r="FL1820" s="18" t="str">
        <f t="shared" si="226"/>
        <v/>
      </c>
    </row>
    <row r="1821" spans="159:168">
      <c r="FC1821" s="118">
        <v>1818</v>
      </c>
      <c r="FD1821" s="118">
        <f t="shared" si="222"/>
        <v>10</v>
      </c>
      <c r="FE1821" s="118">
        <f t="shared" si="223"/>
        <v>114</v>
      </c>
      <c r="FF1821" s="118" t="str">
        <f t="shared" si="224"/>
        <v/>
      </c>
      <c r="FI1821" s="16">
        <v>1818</v>
      </c>
      <c r="FJ1821" s="17" t="str">
        <f t="shared" si="225"/>
        <v/>
      </c>
      <c r="FK1821" s="17" t="str">
        <f t="shared" si="221"/>
        <v/>
      </c>
      <c r="FL1821" s="18" t="str">
        <f t="shared" si="226"/>
        <v/>
      </c>
    </row>
    <row r="1822" spans="159:168">
      <c r="FC1822" s="118">
        <v>1819</v>
      </c>
      <c r="FD1822" s="118">
        <f t="shared" si="222"/>
        <v>11</v>
      </c>
      <c r="FE1822" s="118">
        <f t="shared" si="223"/>
        <v>114</v>
      </c>
      <c r="FF1822" s="118" t="str">
        <f t="shared" si="224"/>
        <v/>
      </c>
      <c r="FI1822" s="16">
        <v>1819</v>
      </c>
      <c r="FJ1822" s="17" t="str">
        <f t="shared" si="225"/>
        <v/>
      </c>
      <c r="FK1822" s="17" t="str">
        <f t="shared" si="221"/>
        <v/>
      </c>
      <c r="FL1822" s="18" t="str">
        <f t="shared" si="226"/>
        <v/>
      </c>
    </row>
    <row r="1823" spans="159:168">
      <c r="FC1823" s="118">
        <v>1820</v>
      </c>
      <c r="FD1823" s="118">
        <f t="shared" si="222"/>
        <v>12</v>
      </c>
      <c r="FE1823" s="118">
        <f t="shared" si="223"/>
        <v>114</v>
      </c>
      <c r="FF1823" s="118" t="str">
        <f t="shared" si="224"/>
        <v/>
      </c>
      <c r="FI1823" s="16">
        <v>1820</v>
      </c>
      <c r="FJ1823" s="17" t="str">
        <f t="shared" si="225"/>
        <v/>
      </c>
      <c r="FK1823" s="17" t="str">
        <f t="shared" si="221"/>
        <v/>
      </c>
      <c r="FL1823" s="18" t="str">
        <f t="shared" si="226"/>
        <v/>
      </c>
    </row>
    <row r="1824" spans="159:168">
      <c r="FC1824" s="118">
        <v>1821</v>
      </c>
      <c r="FD1824" s="118">
        <f t="shared" si="222"/>
        <v>13</v>
      </c>
      <c r="FE1824" s="118">
        <f t="shared" si="223"/>
        <v>114</v>
      </c>
      <c r="FF1824" s="118" t="str">
        <f t="shared" si="224"/>
        <v/>
      </c>
      <c r="FI1824" s="16">
        <v>1821</v>
      </c>
      <c r="FJ1824" s="17" t="str">
        <f t="shared" si="225"/>
        <v/>
      </c>
      <c r="FK1824" s="17" t="str">
        <f t="shared" si="221"/>
        <v/>
      </c>
      <c r="FL1824" s="18" t="str">
        <f t="shared" si="226"/>
        <v/>
      </c>
    </row>
    <row r="1825" spans="159:168">
      <c r="FC1825" s="118">
        <v>1822</v>
      </c>
      <c r="FD1825" s="118">
        <f t="shared" si="222"/>
        <v>14</v>
      </c>
      <c r="FE1825" s="118">
        <f t="shared" si="223"/>
        <v>114</v>
      </c>
      <c r="FF1825" s="118" t="str">
        <f t="shared" si="224"/>
        <v/>
      </c>
      <c r="FI1825" s="16">
        <v>1822</v>
      </c>
      <c r="FJ1825" s="17" t="str">
        <f t="shared" si="225"/>
        <v/>
      </c>
      <c r="FK1825" s="17" t="str">
        <f t="shared" si="221"/>
        <v/>
      </c>
      <c r="FL1825" s="18" t="str">
        <f t="shared" si="226"/>
        <v/>
      </c>
    </row>
    <row r="1826" spans="159:168">
      <c r="FC1826" s="118">
        <v>1823</v>
      </c>
      <c r="FD1826" s="118">
        <f t="shared" si="222"/>
        <v>15</v>
      </c>
      <c r="FE1826" s="118">
        <f t="shared" si="223"/>
        <v>114</v>
      </c>
      <c r="FF1826" s="118" t="str">
        <f t="shared" si="224"/>
        <v/>
      </c>
      <c r="FI1826" s="16">
        <v>1823</v>
      </c>
      <c r="FJ1826" s="17" t="str">
        <f t="shared" si="225"/>
        <v/>
      </c>
      <c r="FK1826" s="17" t="str">
        <f t="shared" si="221"/>
        <v/>
      </c>
      <c r="FL1826" s="18" t="str">
        <f t="shared" si="226"/>
        <v/>
      </c>
    </row>
    <row r="1827" spans="159:168">
      <c r="FC1827" s="118">
        <v>1824</v>
      </c>
      <c r="FD1827" s="118">
        <f t="shared" si="222"/>
        <v>16</v>
      </c>
      <c r="FE1827" s="118">
        <f t="shared" si="223"/>
        <v>114</v>
      </c>
      <c r="FF1827" s="118" t="str">
        <f t="shared" si="224"/>
        <v/>
      </c>
      <c r="FI1827" s="16">
        <v>1824</v>
      </c>
      <c r="FJ1827" s="17" t="str">
        <f t="shared" si="225"/>
        <v/>
      </c>
      <c r="FK1827" s="17" t="str">
        <f t="shared" si="221"/>
        <v/>
      </c>
      <c r="FL1827" s="18" t="str">
        <f t="shared" si="226"/>
        <v/>
      </c>
    </row>
    <row r="1828" spans="159:168">
      <c r="FC1828" s="118">
        <v>1825</v>
      </c>
      <c r="FD1828" s="118">
        <f t="shared" si="222"/>
        <v>1</v>
      </c>
      <c r="FE1828" s="118">
        <f t="shared" si="223"/>
        <v>115</v>
      </c>
      <c r="FF1828" s="118" t="str">
        <f t="shared" si="224"/>
        <v/>
      </c>
      <c r="FI1828" s="16">
        <v>1825</v>
      </c>
      <c r="FJ1828" s="17" t="str">
        <f t="shared" si="225"/>
        <v/>
      </c>
      <c r="FK1828" s="17" t="str">
        <f t="shared" si="221"/>
        <v/>
      </c>
      <c r="FL1828" s="18" t="str">
        <f t="shared" si="226"/>
        <v/>
      </c>
    </row>
    <row r="1829" spans="159:168">
      <c r="FC1829" s="118">
        <v>1826</v>
      </c>
      <c r="FD1829" s="118">
        <f t="shared" si="222"/>
        <v>2</v>
      </c>
      <c r="FE1829" s="118">
        <f t="shared" si="223"/>
        <v>115</v>
      </c>
      <c r="FF1829" s="118" t="str">
        <f t="shared" si="224"/>
        <v/>
      </c>
      <c r="FI1829" s="16">
        <v>1826</v>
      </c>
      <c r="FJ1829" s="17" t="str">
        <f t="shared" si="225"/>
        <v/>
      </c>
      <c r="FK1829" s="17" t="str">
        <f t="shared" si="221"/>
        <v/>
      </c>
      <c r="FL1829" s="18" t="str">
        <f t="shared" si="226"/>
        <v/>
      </c>
    </row>
    <row r="1830" spans="159:168">
      <c r="FC1830" s="118">
        <v>1827</v>
      </c>
      <c r="FD1830" s="118">
        <f t="shared" si="222"/>
        <v>3</v>
      </c>
      <c r="FE1830" s="118">
        <f t="shared" si="223"/>
        <v>115</v>
      </c>
      <c r="FF1830" s="118" t="str">
        <f t="shared" si="224"/>
        <v/>
      </c>
      <c r="FI1830" s="16">
        <v>1827</v>
      </c>
      <c r="FJ1830" s="17" t="str">
        <f t="shared" si="225"/>
        <v/>
      </c>
      <c r="FK1830" s="17" t="str">
        <f t="shared" si="221"/>
        <v/>
      </c>
      <c r="FL1830" s="18" t="str">
        <f t="shared" si="226"/>
        <v/>
      </c>
    </row>
    <row r="1831" spans="159:168">
      <c r="FC1831" s="118">
        <v>1828</v>
      </c>
      <c r="FD1831" s="118">
        <f t="shared" si="222"/>
        <v>4</v>
      </c>
      <c r="FE1831" s="118">
        <f t="shared" si="223"/>
        <v>115</v>
      </c>
      <c r="FF1831" s="118" t="str">
        <f t="shared" si="224"/>
        <v/>
      </c>
      <c r="FI1831" s="16">
        <v>1828</v>
      </c>
      <c r="FJ1831" s="17" t="str">
        <f t="shared" si="225"/>
        <v/>
      </c>
      <c r="FK1831" s="17" t="str">
        <f t="shared" si="221"/>
        <v/>
      </c>
      <c r="FL1831" s="18" t="str">
        <f t="shared" si="226"/>
        <v/>
      </c>
    </row>
    <row r="1832" spans="159:168">
      <c r="FC1832" s="118">
        <v>1829</v>
      </c>
      <c r="FD1832" s="118">
        <f t="shared" si="222"/>
        <v>5</v>
      </c>
      <c r="FE1832" s="118">
        <f t="shared" si="223"/>
        <v>115</v>
      </c>
      <c r="FF1832" s="118" t="str">
        <f t="shared" si="224"/>
        <v/>
      </c>
      <c r="FI1832" s="16">
        <v>1829</v>
      </c>
      <c r="FJ1832" s="17" t="str">
        <f t="shared" si="225"/>
        <v/>
      </c>
      <c r="FK1832" s="17" t="str">
        <f t="shared" si="221"/>
        <v/>
      </c>
      <c r="FL1832" s="18" t="str">
        <f t="shared" si="226"/>
        <v/>
      </c>
    </row>
    <row r="1833" spans="159:168">
      <c r="FC1833" s="118">
        <v>1830</v>
      </c>
      <c r="FD1833" s="118">
        <f t="shared" si="222"/>
        <v>6</v>
      </c>
      <c r="FE1833" s="118">
        <f t="shared" si="223"/>
        <v>115</v>
      </c>
      <c r="FF1833" s="118" t="str">
        <f t="shared" si="224"/>
        <v/>
      </c>
      <c r="FI1833" s="16">
        <v>1830</v>
      </c>
      <c r="FJ1833" s="17" t="str">
        <f t="shared" si="225"/>
        <v/>
      </c>
      <c r="FK1833" s="17" t="str">
        <f t="shared" si="221"/>
        <v/>
      </c>
      <c r="FL1833" s="18" t="str">
        <f t="shared" si="226"/>
        <v/>
      </c>
    </row>
    <row r="1834" spans="159:168">
      <c r="FC1834" s="118">
        <v>1831</v>
      </c>
      <c r="FD1834" s="118">
        <f t="shared" si="222"/>
        <v>7</v>
      </c>
      <c r="FE1834" s="118">
        <f t="shared" si="223"/>
        <v>115</v>
      </c>
      <c r="FF1834" s="118" t="str">
        <f t="shared" si="224"/>
        <v/>
      </c>
      <c r="FI1834" s="16">
        <v>1831</v>
      </c>
      <c r="FJ1834" s="17" t="str">
        <f t="shared" si="225"/>
        <v/>
      </c>
      <c r="FK1834" s="17" t="str">
        <f t="shared" si="221"/>
        <v/>
      </c>
      <c r="FL1834" s="18" t="str">
        <f t="shared" si="226"/>
        <v/>
      </c>
    </row>
    <row r="1835" spans="159:168">
      <c r="FC1835" s="118">
        <v>1832</v>
      </c>
      <c r="FD1835" s="118">
        <f t="shared" si="222"/>
        <v>8</v>
      </c>
      <c r="FE1835" s="118">
        <f t="shared" si="223"/>
        <v>115</v>
      </c>
      <c r="FF1835" s="118" t="str">
        <f t="shared" si="224"/>
        <v/>
      </c>
      <c r="FI1835" s="16">
        <v>1832</v>
      </c>
      <c r="FJ1835" s="17" t="str">
        <f t="shared" si="225"/>
        <v/>
      </c>
      <c r="FK1835" s="17" t="str">
        <f t="shared" si="221"/>
        <v/>
      </c>
      <c r="FL1835" s="18" t="str">
        <f t="shared" si="226"/>
        <v/>
      </c>
    </row>
    <row r="1836" spans="159:168">
      <c r="FC1836" s="118">
        <v>1833</v>
      </c>
      <c r="FD1836" s="118">
        <f t="shared" si="222"/>
        <v>9</v>
      </c>
      <c r="FE1836" s="118">
        <f t="shared" si="223"/>
        <v>115</v>
      </c>
      <c r="FF1836" s="118" t="str">
        <f t="shared" si="224"/>
        <v/>
      </c>
      <c r="FI1836" s="16">
        <v>1833</v>
      </c>
      <c r="FJ1836" s="17" t="str">
        <f t="shared" si="225"/>
        <v/>
      </c>
      <c r="FK1836" s="17" t="str">
        <f t="shared" si="221"/>
        <v/>
      </c>
      <c r="FL1836" s="18" t="str">
        <f t="shared" si="226"/>
        <v/>
      </c>
    </row>
    <row r="1837" spans="159:168">
      <c r="FC1837" s="118">
        <v>1834</v>
      </c>
      <c r="FD1837" s="118">
        <f t="shared" si="222"/>
        <v>10</v>
      </c>
      <c r="FE1837" s="118">
        <f t="shared" si="223"/>
        <v>115</v>
      </c>
      <c r="FF1837" s="118" t="str">
        <f t="shared" si="224"/>
        <v/>
      </c>
      <c r="FI1837" s="16">
        <v>1834</v>
      </c>
      <c r="FJ1837" s="17" t="str">
        <f t="shared" si="225"/>
        <v/>
      </c>
      <c r="FK1837" s="17" t="str">
        <f t="shared" si="221"/>
        <v/>
      </c>
      <c r="FL1837" s="18" t="str">
        <f t="shared" si="226"/>
        <v/>
      </c>
    </row>
    <row r="1838" spans="159:168">
      <c r="FC1838" s="118">
        <v>1835</v>
      </c>
      <c r="FD1838" s="118">
        <f t="shared" si="222"/>
        <v>11</v>
      </c>
      <c r="FE1838" s="118">
        <f t="shared" si="223"/>
        <v>115</v>
      </c>
      <c r="FF1838" s="118" t="str">
        <f t="shared" si="224"/>
        <v/>
      </c>
      <c r="FI1838" s="16">
        <v>1835</v>
      </c>
      <c r="FJ1838" s="17" t="str">
        <f t="shared" si="225"/>
        <v/>
      </c>
      <c r="FK1838" s="17" t="str">
        <f t="shared" si="221"/>
        <v/>
      </c>
      <c r="FL1838" s="18" t="str">
        <f t="shared" si="226"/>
        <v/>
      </c>
    </row>
    <row r="1839" spans="159:168">
      <c r="FC1839" s="118">
        <v>1836</v>
      </c>
      <c r="FD1839" s="118">
        <f t="shared" si="222"/>
        <v>12</v>
      </c>
      <c r="FE1839" s="118">
        <f t="shared" si="223"/>
        <v>115</v>
      </c>
      <c r="FF1839" s="118" t="str">
        <f t="shared" si="224"/>
        <v/>
      </c>
      <c r="FI1839" s="16">
        <v>1836</v>
      </c>
      <c r="FJ1839" s="17" t="str">
        <f t="shared" si="225"/>
        <v/>
      </c>
      <c r="FK1839" s="17" t="str">
        <f t="shared" si="221"/>
        <v/>
      </c>
      <c r="FL1839" s="18" t="str">
        <f t="shared" si="226"/>
        <v/>
      </c>
    </row>
    <row r="1840" spans="159:168">
      <c r="FC1840" s="118">
        <v>1837</v>
      </c>
      <c r="FD1840" s="118">
        <f t="shared" si="222"/>
        <v>13</v>
      </c>
      <c r="FE1840" s="118">
        <f t="shared" si="223"/>
        <v>115</v>
      </c>
      <c r="FF1840" s="118" t="str">
        <f t="shared" si="224"/>
        <v/>
      </c>
      <c r="FI1840" s="16">
        <v>1837</v>
      </c>
      <c r="FJ1840" s="17" t="str">
        <f t="shared" si="225"/>
        <v/>
      </c>
      <c r="FK1840" s="17" t="str">
        <f t="shared" si="221"/>
        <v/>
      </c>
      <c r="FL1840" s="18" t="str">
        <f t="shared" si="226"/>
        <v/>
      </c>
    </row>
    <row r="1841" spans="159:168">
      <c r="FC1841" s="118">
        <v>1838</v>
      </c>
      <c r="FD1841" s="118">
        <f t="shared" si="222"/>
        <v>14</v>
      </c>
      <c r="FE1841" s="118">
        <f t="shared" si="223"/>
        <v>115</v>
      </c>
      <c r="FF1841" s="118" t="str">
        <f t="shared" si="224"/>
        <v/>
      </c>
      <c r="FI1841" s="16">
        <v>1838</v>
      </c>
      <c r="FJ1841" s="17" t="str">
        <f t="shared" si="225"/>
        <v/>
      </c>
      <c r="FK1841" s="17" t="str">
        <f t="shared" si="221"/>
        <v/>
      </c>
      <c r="FL1841" s="18" t="str">
        <f t="shared" si="226"/>
        <v/>
      </c>
    </row>
    <row r="1842" spans="159:168">
      <c r="FC1842" s="118">
        <v>1839</v>
      </c>
      <c r="FD1842" s="118">
        <f t="shared" si="222"/>
        <v>15</v>
      </c>
      <c r="FE1842" s="118">
        <f t="shared" si="223"/>
        <v>115</v>
      </c>
      <c r="FF1842" s="118" t="str">
        <f t="shared" si="224"/>
        <v/>
      </c>
      <c r="FI1842" s="16">
        <v>1839</v>
      </c>
      <c r="FJ1842" s="17" t="str">
        <f t="shared" si="225"/>
        <v/>
      </c>
      <c r="FK1842" s="17" t="str">
        <f t="shared" si="221"/>
        <v/>
      </c>
      <c r="FL1842" s="18" t="str">
        <f t="shared" si="226"/>
        <v/>
      </c>
    </row>
    <row r="1843" spans="159:168">
      <c r="FC1843" s="118">
        <v>1840</v>
      </c>
      <c r="FD1843" s="118">
        <f t="shared" si="222"/>
        <v>16</v>
      </c>
      <c r="FE1843" s="118">
        <f t="shared" si="223"/>
        <v>115</v>
      </c>
      <c r="FF1843" s="118" t="str">
        <f t="shared" si="224"/>
        <v/>
      </c>
      <c r="FI1843" s="16">
        <v>1840</v>
      </c>
      <c r="FJ1843" s="17" t="str">
        <f t="shared" si="225"/>
        <v/>
      </c>
      <c r="FK1843" s="17" t="str">
        <f t="shared" si="221"/>
        <v/>
      </c>
      <c r="FL1843" s="18" t="str">
        <f t="shared" si="226"/>
        <v/>
      </c>
    </row>
    <row r="1844" spans="159:168">
      <c r="FC1844" s="118">
        <v>1841</v>
      </c>
      <c r="FD1844" s="118">
        <f t="shared" si="222"/>
        <v>1</v>
      </c>
      <c r="FE1844" s="118">
        <f t="shared" si="223"/>
        <v>116</v>
      </c>
      <c r="FF1844" s="118" t="str">
        <f t="shared" si="224"/>
        <v/>
      </c>
      <c r="FI1844" s="16">
        <v>1841</v>
      </c>
      <c r="FJ1844" s="17" t="str">
        <f t="shared" si="225"/>
        <v/>
      </c>
      <c r="FK1844" s="17" t="str">
        <f t="shared" si="221"/>
        <v/>
      </c>
      <c r="FL1844" s="18" t="str">
        <f t="shared" si="226"/>
        <v/>
      </c>
    </row>
    <row r="1845" spans="159:168">
      <c r="FC1845" s="118">
        <v>1842</v>
      </c>
      <c r="FD1845" s="118">
        <f t="shared" si="222"/>
        <v>2</v>
      </c>
      <c r="FE1845" s="118">
        <f t="shared" si="223"/>
        <v>116</v>
      </c>
      <c r="FF1845" s="118" t="str">
        <f t="shared" si="224"/>
        <v/>
      </c>
      <c r="FI1845" s="16">
        <v>1842</v>
      </c>
      <c r="FJ1845" s="17" t="str">
        <f t="shared" si="225"/>
        <v/>
      </c>
      <c r="FK1845" s="17" t="str">
        <f t="shared" si="221"/>
        <v/>
      </c>
      <c r="FL1845" s="18" t="str">
        <f t="shared" si="226"/>
        <v/>
      </c>
    </row>
    <row r="1846" spans="159:168">
      <c r="FC1846" s="118">
        <v>1843</v>
      </c>
      <c r="FD1846" s="118">
        <f t="shared" si="222"/>
        <v>3</v>
      </c>
      <c r="FE1846" s="118">
        <f t="shared" si="223"/>
        <v>116</v>
      </c>
      <c r="FF1846" s="118" t="str">
        <f t="shared" si="224"/>
        <v/>
      </c>
      <c r="FI1846" s="16">
        <v>1843</v>
      </c>
      <c r="FJ1846" s="17" t="str">
        <f t="shared" si="225"/>
        <v/>
      </c>
      <c r="FK1846" s="17" t="str">
        <f t="shared" si="221"/>
        <v/>
      </c>
      <c r="FL1846" s="18" t="str">
        <f t="shared" si="226"/>
        <v/>
      </c>
    </row>
    <row r="1847" spans="159:168">
      <c r="FC1847" s="118">
        <v>1844</v>
      </c>
      <c r="FD1847" s="118">
        <f t="shared" si="222"/>
        <v>4</v>
      </c>
      <c r="FE1847" s="118">
        <f t="shared" si="223"/>
        <v>116</v>
      </c>
      <c r="FF1847" s="118" t="str">
        <f t="shared" si="224"/>
        <v/>
      </c>
      <c r="FI1847" s="16">
        <v>1844</v>
      </c>
      <c r="FJ1847" s="17" t="str">
        <f t="shared" si="225"/>
        <v/>
      </c>
      <c r="FK1847" s="17" t="str">
        <f t="shared" si="221"/>
        <v/>
      </c>
      <c r="FL1847" s="18" t="str">
        <f t="shared" si="226"/>
        <v/>
      </c>
    </row>
    <row r="1848" spans="159:168">
      <c r="FC1848" s="118">
        <v>1845</v>
      </c>
      <c r="FD1848" s="118">
        <f t="shared" si="222"/>
        <v>5</v>
      </c>
      <c r="FE1848" s="118">
        <f t="shared" si="223"/>
        <v>116</v>
      </c>
      <c r="FF1848" s="118" t="str">
        <f t="shared" si="224"/>
        <v/>
      </c>
      <c r="FI1848" s="16">
        <v>1845</v>
      </c>
      <c r="FJ1848" s="17" t="str">
        <f t="shared" si="225"/>
        <v/>
      </c>
      <c r="FK1848" s="17" t="str">
        <f t="shared" si="221"/>
        <v/>
      </c>
      <c r="FL1848" s="18" t="str">
        <f t="shared" si="226"/>
        <v/>
      </c>
    </row>
    <row r="1849" spans="159:168">
      <c r="FC1849" s="118">
        <v>1846</v>
      </c>
      <c r="FD1849" s="118">
        <f t="shared" si="222"/>
        <v>6</v>
      </c>
      <c r="FE1849" s="118">
        <f t="shared" si="223"/>
        <v>116</v>
      </c>
      <c r="FF1849" s="118" t="str">
        <f t="shared" si="224"/>
        <v/>
      </c>
      <c r="FI1849" s="16">
        <v>1846</v>
      </c>
      <c r="FJ1849" s="17" t="str">
        <f t="shared" si="225"/>
        <v/>
      </c>
      <c r="FK1849" s="17" t="str">
        <f t="shared" si="221"/>
        <v/>
      </c>
      <c r="FL1849" s="18" t="str">
        <f t="shared" si="226"/>
        <v/>
      </c>
    </row>
    <row r="1850" spans="159:168">
      <c r="FC1850" s="118">
        <v>1847</v>
      </c>
      <c r="FD1850" s="118">
        <f t="shared" si="222"/>
        <v>7</v>
      </c>
      <c r="FE1850" s="118">
        <f t="shared" si="223"/>
        <v>116</v>
      </c>
      <c r="FF1850" s="118" t="str">
        <f t="shared" si="224"/>
        <v/>
      </c>
      <c r="FI1850" s="16">
        <v>1847</v>
      </c>
      <c r="FJ1850" s="17" t="str">
        <f t="shared" si="225"/>
        <v/>
      </c>
      <c r="FK1850" s="17" t="str">
        <f t="shared" si="221"/>
        <v/>
      </c>
      <c r="FL1850" s="18" t="str">
        <f t="shared" si="226"/>
        <v/>
      </c>
    </row>
    <row r="1851" spans="159:168">
      <c r="FC1851" s="118">
        <v>1848</v>
      </c>
      <c r="FD1851" s="118">
        <f t="shared" si="222"/>
        <v>8</v>
      </c>
      <c r="FE1851" s="118">
        <f t="shared" si="223"/>
        <v>116</v>
      </c>
      <c r="FF1851" s="118" t="str">
        <f t="shared" si="224"/>
        <v/>
      </c>
      <c r="FI1851" s="16">
        <v>1848</v>
      </c>
      <c r="FJ1851" s="17" t="str">
        <f t="shared" si="225"/>
        <v/>
      </c>
      <c r="FK1851" s="17" t="str">
        <f t="shared" si="221"/>
        <v/>
      </c>
      <c r="FL1851" s="18" t="str">
        <f t="shared" si="226"/>
        <v/>
      </c>
    </row>
    <row r="1852" spans="159:168">
      <c r="FC1852" s="118">
        <v>1849</v>
      </c>
      <c r="FD1852" s="118">
        <f t="shared" si="222"/>
        <v>9</v>
      </c>
      <c r="FE1852" s="118">
        <f t="shared" si="223"/>
        <v>116</v>
      </c>
      <c r="FF1852" s="118" t="str">
        <f t="shared" si="224"/>
        <v/>
      </c>
      <c r="FI1852" s="16">
        <v>1849</v>
      </c>
      <c r="FJ1852" s="17" t="str">
        <f t="shared" si="225"/>
        <v/>
      </c>
      <c r="FK1852" s="17" t="str">
        <f t="shared" si="221"/>
        <v/>
      </c>
      <c r="FL1852" s="18" t="str">
        <f t="shared" si="226"/>
        <v/>
      </c>
    </row>
    <row r="1853" spans="159:168">
      <c r="FC1853" s="118">
        <v>1850</v>
      </c>
      <c r="FD1853" s="118">
        <f t="shared" si="222"/>
        <v>10</v>
      </c>
      <c r="FE1853" s="118">
        <f t="shared" si="223"/>
        <v>116</v>
      </c>
      <c r="FF1853" s="118" t="str">
        <f t="shared" si="224"/>
        <v/>
      </c>
      <c r="FI1853" s="16">
        <v>1850</v>
      </c>
      <c r="FJ1853" s="17" t="str">
        <f t="shared" si="225"/>
        <v/>
      </c>
      <c r="FK1853" s="17" t="str">
        <f t="shared" si="221"/>
        <v/>
      </c>
      <c r="FL1853" s="18" t="str">
        <f t="shared" si="226"/>
        <v/>
      </c>
    </row>
    <row r="1854" spans="159:168">
      <c r="FC1854" s="118">
        <v>1851</v>
      </c>
      <c r="FD1854" s="118">
        <f t="shared" si="222"/>
        <v>11</v>
      </c>
      <c r="FE1854" s="118">
        <f t="shared" si="223"/>
        <v>116</v>
      </c>
      <c r="FF1854" s="118" t="str">
        <f t="shared" si="224"/>
        <v/>
      </c>
      <c r="FI1854" s="16">
        <v>1851</v>
      </c>
      <c r="FJ1854" s="17" t="str">
        <f t="shared" si="225"/>
        <v/>
      </c>
      <c r="FK1854" s="17" t="str">
        <f t="shared" si="221"/>
        <v/>
      </c>
      <c r="FL1854" s="18" t="str">
        <f t="shared" si="226"/>
        <v/>
      </c>
    </row>
    <row r="1855" spans="159:168">
      <c r="FC1855" s="118">
        <v>1852</v>
      </c>
      <c r="FD1855" s="118">
        <f t="shared" si="222"/>
        <v>12</v>
      </c>
      <c r="FE1855" s="118">
        <f t="shared" si="223"/>
        <v>116</v>
      </c>
      <c r="FF1855" s="118" t="str">
        <f t="shared" si="224"/>
        <v/>
      </c>
      <c r="FI1855" s="16">
        <v>1852</v>
      </c>
      <c r="FJ1855" s="17" t="str">
        <f t="shared" si="225"/>
        <v/>
      </c>
      <c r="FK1855" s="17" t="str">
        <f t="shared" si="221"/>
        <v/>
      </c>
      <c r="FL1855" s="18" t="str">
        <f t="shared" si="226"/>
        <v/>
      </c>
    </row>
    <row r="1856" spans="159:168">
      <c r="FC1856" s="118">
        <v>1853</v>
      </c>
      <c r="FD1856" s="118">
        <f t="shared" si="222"/>
        <v>13</v>
      </c>
      <c r="FE1856" s="118">
        <f t="shared" si="223"/>
        <v>116</v>
      </c>
      <c r="FF1856" s="118" t="str">
        <f t="shared" si="224"/>
        <v/>
      </c>
      <c r="FI1856" s="16">
        <v>1853</v>
      </c>
      <c r="FJ1856" s="17" t="str">
        <f t="shared" si="225"/>
        <v/>
      </c>
      <c r="FK1856" s="17" t="str">
        <f t="shared" si="221"/>
        <v/>
      </c>
      <c r="FL1856" s="18" t="str">
        <f t="shared" si="226"/>
        <v/>
      </c>
    </row>
    <row r="1857" spans="159:168">
      <c r="FC1857" s="118">
        <v>1854</v>
      </c>
      <c r="FD1857" s="118">
        <f t="shared" si="222"/>
        <v>14</v>
      </c>
      <c r="FE1857" s="118">
        <f t="shared" si="223"/>
        <v>116</v>
      </c>
      <c r="FF1857" s="118" t="str">
        <f t="shared" si="224"/>
        <v/>
      </c>
      <c r="FI1857" s="16">
        <v>1854</v>
      </c>
      <c r="FJ1857" s="17" t="str">
        <f t="shared" si="225"/>
        <v/>
      </c>
      <c r="FK1857" s="17" t="str">
        <f t="shared" si="221"/>
        <v/>
      </c>
      <c r="FL1857" s="18" t="str">
        <f t="shared" si="226"/>
        <v/>
      </c>
    </row>
    <row r="1858" spans="159:168">
      <c r="FC1858" s="118">
        <v>1855</v>
      </c>
      <c r="FD1858" s="118">
        <f t="shared" si="222"/>
        <v>15</v>
      </c>
      <c r="FE1858" s="118">
        <f t="shared" si="223"/>
        <v>116</v>
      </c>
      <c r="FF1858" s="118" t="str">
        <f t="shared" si="224"/>
        <v/>
      </c>
      <c r="FI1858" s="16">
        <v>1855</v>
      </c>
      <c r="FJ1858" s="17" t="str">
        <f t="shared" si="225"/>
        <v/>
      </c>
      <c r="FK1858" s="17" t="str">
        <f t="shared" si="221"/>
        <v/>
      </c>
      <c r="FL1858" s="18" t="str">
        <f t="shared" si="226"/>
        <v/>
      </c>
    </row>
    <row r="1859" spans="159:168">
      <c r="FC1859" s="118">
        <v>1856</v>
      </c>
      <c r="FD1859" s="118">
        <f t="shared" si="222"/>
        <v>16</v>
      </c>
      <c r="FE1859" s="118">
        <f t="shared" si="223"/>
        <v>116</v>
      </c>
      <c r="FF1859" s="118" t="str">
        <f t="shared" si="224"/>
        <v/>
      </c>
      <c r="FI1859" s="16">
        <v>1856</v>
      </c>
      <c r="FJ1859" s="17" t="str">
        <f t="shared" si="225"/>
        <v/>
      </c>
      <c r="FK1859" s="17" t="str">
        <f t="shared" si="221"/>
        <v/>
      </c>
      <c r="FL1859" s="18" t="str">
        <f t="shared" si="226"/>
        <v/>
      </c>
    </row>
    <row r="1860" spans="159:168">
      <c r="FC1860" s="118">
        <v>1857</v>
      </c>
      <c r="FD1860" s="118">
        <f t="shared" si="222"/>
        <v>1</v>
      </c>
      <c r="FE1860" s="118">
        <f t="shared" si="223"/>
        <v>117</v>
      </c>
      <c r="FF1860" s="118" t="str">
        <f t="shared" si="224"/>
        <v/>
      </c>
      <c r="FI1860" s="16">
        <v>1857</v>
      </c>
      <c r="FJ1860" s="17" t="str">
        <f t="shared" si="225"/>
        <v/>
      </c>
      <c r="FK1860" s="17" t="str">
        <f t="shared" si="221"/>
        <v/>
      </c>
      <c r="FL1860" s="18" t="str">
        <f t="shared" si="226"/>
        <v/>
      </c>
    </row>
    <row r="1861" spans="159:168">
      <c r="FC1861" s="118">
        <v>1858</v>
      </c>
      <c r="FD1861" s="118">
        <f t="shared" si="222"/>
        <v>2</v>
      </c>
      <c r="FE1861" s="118">
        <f t="shared" si="223"/>
        <v>117</v>
      </c>
      <c r="FF1861" s="118" t="str">
        <f t="shared" si="224"/>
        <v/>
      </c>
      <c r="FI1861" s="16">
        <v>1858</v>
      </c>
      <c r="FJ1861" s="17" t="str">
        <f t="shared" si="225"/>
        <v/>
      </c>
      <c r="FK1861" s="17" t="str">
        <f t="shared" ref="FK1861:FK1924" si="227">IF(FI1861&lt;=$FH$2,FF1861,IF(FI1861&lt;=$FH$2+$FH$3,INDEX($FJ$4:$FJ$2494,FI1861-$FH$2),""))</f>
        <v/>
      </c>
      <c r="FL1861" s="18" t="str">
        <f t="shared" si="226"/>
        <v/>
      </c>
    </row>
    <row r="1862" spans="159:168">
      <c r="FC1862" s="118">
        <v>1859</v>
      </c>
      <c r="FD1862" s="118">
        <f t="shared" si="222"/>
        <v>3</v>
      </c>
      <c r="FE1862" s="118">
        <f t="shared" si="223"/>
        <v>117</v>
      </c>
      <c r="FF1862" s="118" t="str">
        <f t="shared" si="224"/>
        <v/>
      </c>
      <c r="FI1862" s="16">
        <v>1859</v>
      </c>
      <c r="FJ1862" s="17" t="str">
        <f t="shared" si="225"/>
        <v/>
      </c>
      <c r="FK1862" s="17" t="str">
        <f t="shared" si="227"/>
        <v/>
      </c>
      <c r="FL1862" s="18" t="str">
        <f t="shared" si="226"/>
        <v/>
      </c>
    </row>
    <row r="1863" spans="159:168">
      <c r="FC1863" s="118">
        <v>1860</v>
      </c>
      <c r="FD1863" s="118">
        <f t="shared" si="222"/>
        <v>4</v>
      </c>
      <c r="FE1863" s="118">
        <f t="shared" si="223"/>
        <v>117</v>
      </c>
      <c r="FF1863" s="118" t="str">
        <f t="shared" si="224"/>
        <v/>
      </c>
      <c r="FI1863" s="16">
        <v>1860</v>
      </c>
      <c r="FJ1863" s="17" t="str">
        <f t="shared" si="225"/>
        <v/>
      </c>
      <c r="FK1863" s="17" t="str">
        <f t="shared" si="227"/>
        <v/>
      </c>
      <c r="FL1863" s="18" t="str">
        <f t="shared" si="226"/>
        <v/>
      </c>
    </row>
    <row r="1864" spans="159:168">
      <c r="FC1864" s="118">
        <v>1861</v>
      </c>
      <c r="FD1864" s="118">
        <f t="shared" si="222"/>
        <v>5</v>
      </c>
      <c r="FE1864" s="118">
        <f t="shared" si="223"/>
        <v>117</v>
      </c>
      <c r="FF1864" s="118" t="str">
        <f t="shared" si="224"/>
        <v/>
      </c>
      <c r="FI1864" s="16">
        <v>1861</v>
      </c>
      <c r="FJ1864" s="17" t="str">
        <f t="shared" si="225"/>
        <v/>
      </c>
      <c r="FK1864" s="17" t="str">
        <f t="shared" si="227"/>
        <v/>
      </c>
      <c r="FL1864" s="18" t="str">
        <f t="shared" si="226"/>
        <v/>
      </c>
    </row>
    <row r="1865" spans="159:168">
      <c r="FC1865" s="118">
        <v>1862</v>
      </c>
      <c r="FD1865" s="118">
        <f t="shared" si="222"/>
        <v>6</v>
      </c>
      <c r="FE1865" s="118">
        <f t="shared" si="223"/>
        <v>117</v>
      </c>
      <c r="FF1865" s="118" t="str">
        <f t="shared" si="224"/>
        <v/>
      </c>
      <c r="FI1865" s="16">
        <v>1862</v>
      </c>
      <c r="FJ1865" s="17" t="str">
        <f t="shared" si="225"/>
        <v/>
      </c>
      <c r="FK1865" s="17" t="str">
        <f t="shared" si="227"/>
        <v/>
      </c>
      <c r="FL1865" s="18" t="str">
        <f t="shared" si="226"/>
        <v/>
      </c>
    </row>
    <row r="1866" spans="159:168">
      <c r="FC1866" s="118">
        <v>1863</v>
      </c>
      <c r="FD1866" s="118">
        <f t="shared" si="222"/>
        <v>7</v>
      </c>
      <c r="FE1866" s="118">
        <f t="shared" si="223"/>
        <v>117</v>
      </c>
      <c r="FF1866" s="118" t="str">
        <f t="shared" si="224"/>
        <v/>
      </c>
      <c r="FI1866" s="16">
        <v>1863</v>
      </c>
      <c r="FJ1866" s="17" t="str">
        <f t="shared" si="225"/>
        <v/>
      </c>
      <c r="FK1866" s="17" t="str">
        <f t="shared" si="227"/>
        <v/>
      </c>
      <c r="FL1866" s="18" t="str">
        <f t="shared" si="226"/>
        <v/>
      </c>
    </row>
    <row r="1867" spans="159:168">
      <c r="FC1867" s="118">
        <v>1864</v>
      </c>
      <c r="FD1867" s="118">
        <f t="shared" si="222"/>
        <v>8</v>
      </c>
      <c r="FE1867" s="118">
        <f t="shared" si="223"/>
        <v>117</v>
      </c>
      <c r="FF1867" s="118" t="str">
        <f t="shared" si="224"/>
        <v/>
      </c>
      <c r="FI1867" s="16">
        <v>1864</v>
      </c>
      <c r="FJ1867" s="17" t="str">
        <f t="shared" si="225"/>
        <v/>
      </c>
      <c r="FK1867" s="17" t="str">
        <f t="shared" si="227"/>
        <v/>
      </c>
      <c r="FL1867" s="18" t="str">
        <f t="shared" si="226"/>
        <v/>
      </c>
    </row>
    <row r="1868" spans="159:168">
      <c r="FC1868" s="118">
        <v>1865</v>
      </c>
      <c r="FD1868" s="118">
        <f t="shared" si="222"/>
        <v>9</v>
      </c>
      <c r="FE1868" s="118">
        <f t="shared" si="223"/>
        <v>117</v>
      </c>
      <c r="FF1868" s="118" t="str">
        <f t="shared" si="224"/>
        <v/>
      </c>
      <c r="FI1868" s="16">
        <v>1865</v>
      </c>
      <c r="FJ1868" s="17" t="str">
        <f t="shared" si="225"/>
        <v/>
      </c>
      <c r="FK1868" s="17" t="str">
        <f t="shared" si="227"/>
        <v/>
      </c>
      <c r="FL1868" s="18" t="str">
        <f t="shared" si="226"/>
        <v/>
      </c>
    </row>
    <row r="1869" spans="159:168">
      <c r="FC1869" s="118">
        <v>1866</v>
      </c>
      <c r="FD1869" s="118">
        <f t="shared" si="222"/>
        <v>10</v>
      </c>
      <c r="FE1869" s="118">
        <f t="shared" si="223"/>
        <v>117</v>
      </c>
      <c r="FF1869" s="118" t="str">
        <f t="shared" si="224"/>
        <v/>
      </c>
      <c r="FI1869" s="16">
        <v>1866</v>
      </c>
      <c r="FJ1869" s="17" t="str">
        <f t="shared" si="225"/>
        <v/>
      </c>
      <c r="FK1869" s="17" t="str">
        <f t="shared" si="227"/>
        <v/>
      </c>
      <c r="FL1869" s="18" t="str">
        <f t="shared" si="226"/>
        <v/>
      </c>
    </row>
    <row r="1870" spans="159:168">
      <c r="FC1870" s="118">
        <v>1867</v>
      </c>
      <c r="FD1870" s="118">
        <f t="shared" si="222"/>
        <v>11</v>
      </c>
      <c r="FE1870" s="118">
        <f t="shared" si="223"/>
        <v>117</v>
      </c>
      <c r="FF1870" s="118" t="str">
        <f t="shared" si="224"/>
        <v/>
      </c>
      <c r="FI1870" s="16">
        <v>1867</v>
      </c>
      <c r="FJ1870" s="17" t="str">
        <f t="shared" si="225"/>
        <v/>
      </c>
      <c r="FK1870" s="17" t="str">
        <f t="shared" si="227"/>
        <v/>
      </c>
      <c r="FL1870" s="18" t="str">
        <f t="shared" si="226"/>
        <v/>
      </c>
    </row>
    <row r="1871" spans="159:168">
      <c r="FC1871" s="118">
        <v>1868</v>
      </c>
      <c r="FD1871" s="118">
        <f t="shared" si="222"/>
        <v>12</v>
      </c>
      <c r="FE1871" s="118">
        <f t="shared" si="223"/>
        <v>117</v>
      </c>
      <c r="FF1871" s="118" t="str">
        <f t="shared" si="224"/>
        <v/>
      </c>
      <c r="FI1871" s="16">
        <v>1868</v>
      </c>
      <c r="FJ1871" s="17" t="str">
        <f t="shared" si="225"/>
        <v/>
      </c>
      <c r="FK1871" s="17" t="str">
        <f t="shared" si="227"/>
        <v/>
      </c>
      <c r="FL1871" s="18" t="str">
        <f t="shared" si="226"/>
        <v/>
      </c>
    </row>
    <row r="1872" spans="159:168">
      <c r="FC1872" s="118">
        <v>1869</v>
      </c>
      <c r="FD1872" s="118">
        <f t="shared" si="222"/>
        <v>13</v>
      </c>
      <c r="FE1872" s="118">
        <f t="shared" si="223"/>
        <v>117</v>
      </c>
      <c r="FF1872" s="118" t="str">
        <f t="shared" si="224"/>
        <v/>
      </c>
      <c r="FI1872" s="16">
        <v>1869</v>
      </c>
      <c r="FJ1872" s="17" t="str">
        <f t="shared" si="225"/>
        <v/>
      </c>
      <c r="FK1872" s="17" t="str">
        <f t="shared" si="227"/>
        <v/>
      </c>
      <c r="FL1872" s="18" t="str">
        <f t="shared" si="226"/>
        <v/>
      </c>
    </row>
    <row r="1873" spans="159:168">
      <c r="FC1873" s="118">
        <v>1870</v>
      </c>
      <c r="FD1873" s="118">
        <f t="shared" si="222"/>
        <v>14</v>
      </c>
      <c r="FE1873" s="118">
        <f t="shared" si="223"/>
        <v>117</v>
      </c>
      <c r="FF1873" s="118" t="str">
        <f t="shared" si="224"/>
        <v/>
      </c>
      <c r="FI1873" s="16">
        <v>1870</v>
      </c>
      <c r="FJ1873" s="17" t="str">
        <f t="shared" si="225"/>
        <v/>
      </c>
      <c r="FK1873" s="17" t="str">
        <f t="shared" si="227"/>
        <v/>
      </c>
      <c r="FL1873" s="18" t="str">
        <f t="shared" si="226"/>
        <v/>
      </c>
    </row>
    <row r="1874" spans="159:168">
      <c r="FC1874" s="118">
        <v>1871</v>
      </c>
      <c r="FD1874" s="118">
        <f t="shared" si="222"/>
        <v>15</v>
      </c>
      <c r="FE1874" s="118">
        <f t="shared" si="223"/>
        <v>117</v>
      </c>
      <c r="FF1874" s="118" t="str">
        <f t="shared" si="224"/>
        <v/>
      </c>
      <c r="FI1874" s="16">
        <v>1871</v>
      </c>
      <c r="FJ1874" s="17" t="str">
        <f t="shared" si="225"/>
        <v/>
      </c>
      <c r="FK1874" s="17" t="str">
        <f t="shared" si="227"/>
        <v/>
      </c>
      <c r="FL1874" s="18" t="str">
        <f t="shared" si="226"/>
        <v/>
      </c>
    </row>
    <row r="1875" spans="159:168">
      <c r="FC1875" s="118">
        <v>1872</v>
      </c>
      <c r="FD1875" s="118">
        <f t="shared" si="222"/>
        <v>16</v>
      </c>
      <c r="FE1875" s="118">
        <f t="shared" si="223"/>
        <v>117</v>
      </c>
      <c r="FF1875" s="118" t="str">
        <f t="shared" si="224"/>
        <v/>
      </c>
      <c r="FI1875" s="16">
        <v>1872</v>
      </c>
      <c r="FJ1875" s="17" t="str">
        <f t="shared" si="225"/>
        <v/>
      </c>
      <c r="FK1875" s="17" t="str">
        <f t="shared" si="227"/>
        <v/>
      </c>
      <c r="FL1875" s="18" t="str">
        <f t="shared" si="226"/>
        <v/>
      </c>
    </row>
    <row r="1876" spans="159:168">
      <c r="FC1876" s="118">
        <v>1873</v>
      </c>
      <c r="FD1876" s="118">
        <f t="shared" si="222"/>
        <v>1</v>
      </c>
      <c r="FE1876" s="118">
        <f t="shared" si="223"/>
        <v>118</v>
      </c>
      <c r="FF1876" s="118" t="str">
        <f t="shared" si="224"/>
        <v/>
      </c>
      <c r="FI1876" s="16">
        <v>1873</v>
      </c>
      <c r="FJ1876" s="17" t="str">
        <f t="shared" si="225"/>
        <v/>
      </c>
      <c r="FK1876" s="17" t="str">
        <f t="shared" si="227"/>
        <v/>
      </c>
      <c r="FL1876" s="18" t="str">
        <f t="shared" si="226"/>
        <v/>
      </c>
    </row>
    <row r="1877" spans="159:168">
      <c r="FC1877" s="118">
        <v>1874</v>
      </c>
      <c r="FD1877" s="118">
        <f t="shared" si="222"/>
        <v>2</v>
      </c>
      <c r="FE1877" s="118">
        <f t="shared" si="223"/>
        <v>118</v>
      </c>
      <c r="FF1877" s="118" t="str">
        <f t="shared" si="224"/>
        <v/>
      </c>
      <c r="FI1877" s="16">
        <v>1874</v>
      </c>
      <c r="FJ1877" s="17" t="str">
        <f t="shared" si="225"/>
        <v/>
      </c>
      <c r="FK1877" s="17" t="str">
        <f t="shared" si="227"/>
        <v/>
      </c>
      <c r="FL1877" s="18" t="str">
        <f t="shared" si="226"/>
        <v/>
      </c>
    </row>
    <row r="1878" spans="159:168">
      <c r="FC1878" s="118">
        <v>1875</v>
      </c>
      <c r="FD1878" s="118">
        <f t="shared" ref="FD1878:FD1941" si="228">IF(MOD(FC1878,$FB$1+$FB$2)=0,$FB$1+$FB$2,MOD(FC1878,$FB$1+$FB$2))</f>
        <v>3</v>
      </c>
      <c r="FE1878" s="118">
        <f t="shared" ref="FE1878:FE1941" si="229">ROUNDUP(FC1878/($FB$1+$FB$2),0)</f>
        <v>118</v>
      </c>
      <c r="FF1878" s="118" t="str">
        <f t="shared" ref="FF1878:FF1941" si="230">IF(FE1878&lt;$FB$3,INDEX($E$4:$DV$84,FD1878,FE1878),IF(FE1878=$FB$3,INDEX($E$4:$DV$84,FD1878+$FB$1,FE1878),""))</f>
        <v/>
      </c>
      <c r="FI1878" s="16">
        <v>1875</v>
      </c>
      <c r="FJ1878" s="17" t="str">
        <f t="shared" ref="FJ1878:FJ1941" si="231">IF(FE1878&lt;=$FH$1,INDEX($DW$4:$EZ$84,FD1878,FE1878),"")</f>
        <v/>
      </c>
      <c r="FK1878" s="17" t="str">
        <f t="shared" si="227"/>
        <v/>
      </c>
      <c r="FL1878" s="18" t="str">
        <f t="shared" ref="FL1878:FL1941" si="232">IFERROR(TEXT(DEC2BIN(FK1878),"00000000"),"")</f>
        <v/>
      </c>
    </row>
    <row r="1879" spans="159:168">
      <c r="FC1879" s="118">
        <v>1876</v>
      </c>
      <c r="FD1879" s="118">
        <f t="shared" si="228"/>
        <v>4</v>
      </c>
      <c r="FE1879" s="118">
        <f t="shared" si="229"/>
        <v>118</v>
      </c>
      <c r="FF1879" s="118" t="str">
        <f t="shared" si="230"/>
        <v/>
      </c>
      <c r="FI1879" s="16">
        <v>1876</v>
      </c>
      <c r="FJ1879" s="17" t="str">
        <f t="shared" si="231"/>
        <v/>
      </c>
      <c r="FK1879" s="17" t="str">
        <f t="shared" si="227"/>
        <v/>
      </c>
      <c r="FL1879" s="18" t="str">
        <f t="shared" si="232"/>
        <v/>
      </c>
    </row>
    <row r="1880" spans="159:168">
      <c r="FC1880" s="118">
        <v>1877</v>
      </c>
      <c r="FD1880" s="118">
        <f t="shared" si="228"/>
        <v>5</v>
      </c>
      <c r="FE1880" s="118">
        <f t="shared" si="229"/>
        <v>118</v>
      </c>
      <c r="FF1880" s="118" t="str">
        <f t="shared" si="230"/>
        <v/>
      </c>
      <c r="FI1880" s="16">
        <v>1877</v>
      </c>
      <c r="FJ1880" s="17" t="str">
        <f t="shared" si="231"/>
        <v/>
      </c>
      <c r="FK1880" s="17" t="str">
        <f t="shared" si="227"/>
        <v/>
      </c>
      <c r="FL1880" s="18" t="str">
        <f t="shared" si="232"/>
        <v/>
      </c>
    </row>
    <row r="1881" spans="159:168">
      <c r="FC1881" s="118">
        <v>1878</v>
      </c>
      <c r="FD1881" s="118">
        <f t="shared" si="228"/>
        <v>6</v>
      </c>
      <c r="FE1881" s="118">
        <f t="shared" si="229"/>
        <v>118</v>
      </c>
      <c r="FF1881" s="118" t="str">
        <f t="shared" si="230"/>
        <v/>
      </c>
      <c r="FI1881" s="16">
        <v>1878</v>
      </c>
      <c r="FJ1881" s="17" t="str">
        <f t="shared" si="231"/>
        <v/>
      </c>
      <c r="FK1881" s="17" t="str">
        <f t="shared" si="227"/>
        <v/>
      </c>
      <c r="FL1881" s="18" t="str">
        <f t="shared" si="232"/>
        <v/>
      </c>
    </row>
    <row r="1882" spans="159:168">
      <c r="FC1882" s="118">
        <v>1879</v>
      </c>
      <c r="FD1882" s="118">
        <f t="shared" si="228"/>
        <v>7</v>
      </c>
      <c r="FE1882" s="118">
        <f t="shared" si="229"/>
        <v>118</v>
      </c>
      <c r="FF1882" s="118" t="str">
        <f t="shared" si="230"/>
        <v/>
      </c>
      <c r="FI1882" s="16">
        <v>1879</v>
      </c>
      <c r="FJ1882" s="17" t="str">
        <f t="shared" si="231"/>
        <v/>
      </c>
      <c r="FK1882" s="17" t="str">
        <f t="shared" si="227"/>
        <v/>
      </c>
      <c r="FL1882" s="18" t="str">
        <f t="shared" si="232"/>
        <v/>
      </c>
    </row>
    <row r="1883" spans="159:168">
      <c r="FC1883" s="118">
        <v>1880</v>
      </c>
      <c r="FD1883" s="118">
        <f t="shared" si="228"/>
        <v>8</v>
      </c>
      <c r="FE1883" s="118">
        <f t="shared" si="229"/>
        <v>118</v>
      </c>
      <c r="FF1883" s="118" t="str">
        <f t="shared" si="230"/>
        <v/>
      </c>
      <c r="FI1883" s="16">
        <v>1880</v>
      </c>
      <c r="FJ1883" s="17" t="str">
        <f t="shared" si="231"/>
        <v/>
      </c>
      <c r="FK1883" s="17" t="str">
        <f t="shared" si="227"/>
        <v/>
      </c>
      <c r="FL1883" s="18" t="str">
        <f t="shared" si="232"/>
        <v/>
      </c>
    </row>
    <row r="1884" spans="159:168">
      <c r="FC1884" s="118">
        <v>1881</v>
      </c>
      <c r="FD1884" s="118">
        <f t="shared" si="228"/>
        <v>9</v>
      </c>
      <c r="FE1884" s="118">
        <f t="shared" si="229"/>
        <v>118</v>
      </c>
      <c r="FF1884" s="118" t="str">
        <f t="shared" si="230"/>
        <v/>
      </c>
      <c r="FI1884" s="16">
        <v>1881</v>
      </c>
      <c r="FJ1884" s="17" t="str">
        <f t="shared" si="231"/>
        <v/>
      </c>
      <c r="FK1884" s="17" t="str">
        <f t="shared" si="227"/>
        <v/>
      </c>
      <c r="FL1884" s="18" t="str">
        <f t="shared" si="232"/>
        <v/>
      </c>
    </row>
    <row r="1885" spans="159:168">
      <c r="FC1885" s="118">
        <v>1882</v>
      </c>
      <c r="FD1885" s="118">
        <f t="shared" si="228"/>
        <v>10</v>
      </c>
      <c r="FE1885" s="118">
        <f t="shared" si="229"/>
        <v>118</v>
      </c>
      <c r="FF1885" s="118" t="str">
        <f t="shared" si="230"/>
        <v/>
      </c>
      <c r="FI1885" s="16">
        <v>1882</v>
      </c>
      <c r="FJ1885" s="17" t="str">
        <f t="shared" si="231"/>
        <v/>
      </c>
      <c r="FK1885" s="17" t="str">
        <f t="shared" si="227"/>
        <v/>
      </c>
      <c r="FL1885" s="18" t="str">
        <f t="shared" si="232"/>
        <v/>
      </c>
    </row>
    <row r="1886" spans="159:168">
      <c r="FC1886" s="118">
        <v>1883</v>
      </c>
      <c r="FD1886" s="118">
        <f t="shared" si="228"/>
        <v>11</v>
      </c>
      <c r="FE1886" s="118">
        <f t="shared" si="229"/>
        <v>118</v>
      </c>
      <c r="FF1886" s="118" t="str">
        <f t="shared" si="230"/>
        <v/>
      </c>
      <c r="FI1886" s="16">
        <v>1883</v>
      </c>
      <c r="FJ1886" s="17" t="str">
        <f t="shared" si="231"/>
        <v/>
      </c>
      <c r="FK1886" s="17" t="str">
        <f t="shared" si="227"/>
        <v/>
      </c>
      <c r="FL1886" s="18" t="str">
        <f t="shared" si="232"/>
        <v/>
      </c>
    </row>
    <row r="1887" spans="159:168">
      <c r="FC1887" s="118">
        <v>1884</v>
      </c>
      <c r="FD1887" s="118">
        <f t="shared" si="228"/>
        <v>12</v>
      </c>
      <c r="FE1887" s="118">
        <f t="shared" si="229"/>
        <v>118</v>
      </c>
      <c r="FF1887" s="118" t="str">
        <f t="shared" si="230"/>
        <v/>
      </c>
      <c r="FI1887" s="16">
        <v>1884</v>
      </c>
      <c r="FJ1887" s="17" t="str">
        <f t="shared" si="231"/>
        <v/>
      </c>
      <c r="FK1887" s="17" t="str">
        <f t="shared" si="227"/>
        <v/>
      </c>
      <c r="FL1887" s="18" t="str">
        <f t="shared" si="232"/>
        <v/>
      </c>
    </row>
    <row r="1888" spans="159:168">
      <c r="FC1888" s="118">
        <v>1885</v>
      </c>
      <c r="FD1888" s="118">
        <f t="shared" si="228"/>
        <v>13</v>
      </c>
      <c r="FE1888" s="118">
        <f t="shared" si="229"/>
        <v>118</v>
      </c>
      <c r="FF1888" s="118" t="str">
        <f t="shared" si="230"/>
        <v/>
      </c>
      <c r="FI1888" s="16">
        <v>1885</v>
      </c>
      <c r="FJ1888" s="17" t="str">
        <f t="shared" si="231"/>
        <v/>
      </c>
      <c r="FK1888" s="17" t="str">
        <f t="shared" si="227"/>
        <v/>
      </c>
      <c r="FL1888" s="18" t="str">
        <f t="shared" si="232"/>
        <v/>
      </c>
    </row>
    <row r="1889" spans="159:168">
      <c r="FC1889" s="118">
        <v>1886</v>
      </c>
      <c r="FD1889" s="118">
        <f t="shared" si="228"/>
        <v>14</v>
      </c>
      <c r="FE1889" s="118">
        <f t="shared" si="229"/>
        <v>118</v>
      </c>
      <c r="FF1889" s="118" t="str">
        <f t="shared" si="230"/>
        <v/>
      </c>
      <c r="FI1889" s="16">
        <v>1886</v>
      </c>
      <c r="FJ1889" s="17" t="str">
        <f t="shared" si="231"/>
        <v/>
      </c>
      <c r="FK1889" s="17" t="str">
        <f t="shared" si="227"/>
        <v/>
      </c>
      <c r="FL1889" s="18" t="str">
        <f t="shared" si="232"/>
        <v/>
      </c>
    </row>
    <row r="1890" spans="159:168">
      <c r="FC1890" s="118">
        <v>1887</v>
      </c>
      <c r="FD1890" s="118">
        <f t="shared" si="228"/>
        <v>15</v>
      </c>
      <c r="FE1890" s="118">
        <f t="shared" si="229"/>
        <v>118</v>
      </c>
      <c r="FF1890" s="118" t="str">
        <f t="shared" si="230"/>
        <v/>
      </c>
      <c r="FI1890" s="16">
        <v>1887</v>
      </c>
      <c r="FJ1890" s="17" t="str">
        <f t="shared" si="231"/>
        <v/>
      </c>
      <c r="FK1890" s="17" t="str">
        <f t="shared" si="227"/>
        <v/>
      </c>
      <c r="FL1890" s="18" t="str">
        <f t="shared" si="232"/>
        <v/>
      </c>
    </row>
    <row r="1891" spans="159:168">
      <c r="FC1891" s="118">
        <v>1888</v>
      </c>
      <c r="FD1891" s="118">
        <f t="shared" si="228"/>
        <v>16</v>
      </c>
      <c r="FE1891" s="118">
        <f t="shared" si="229"/>
        <v>118</v>
      </c>
      <c r="FF1891" s="118" t="str">
        <f t="shared" si="230"/>
        <v/>
      </c>
      <c r="FI1891" s="16">
        <v>1888</v>
      </c>
      <c r="FJ1891" s="17" t="str">
        <f t="shared" si="231"/>
        <v/>
      </c>
      <c r="FK1891" s="17" t="str">
        <f t="shared" si="227"/>
        <v/>
      </c>
      <c r="FL1891" s="18" t="str">
        <f t="shared" si="232"/>
        <v/>
      </c>
    </row>
    <row r="1892" spans="159:168">
      <c r="FC1892" s="118">
        <v>1889</v>
      </c>
      <c r="FD1892" s="118">
        <f t="shared" si="228"/>
        <v>1</v>
      </c>
      <c r="FE1892" s="118">
        <f t="shared" si="229"/>
        <v>119</v>
      </c>
      <c r="FF1892" s="118" t="str">
        <f t="shared" si="230"/>
        <v/>
      </c>
      <c r="FI1892" s="16">
        <v>1889</v>
      </c>
      <c r="FJ1892" s="17" t="str">
        <f t="shared" si="231"/>
        <v/>
      </c>
      <c r="FK1892" s="17" t="str">
        <f t="shared" si="227"/>
        <v/>
      </c>
      <c r="FL1892" s="18" t="str">
        <f t="shared" si="232"/>
        <v/>
      </c>
    </row>
    <row r="1893" spans="159:168">
      <c r="FC1893" s="118">
        <v>1890</v>
      </c>
      <c r="FD1893" s="118">
        <f t="shared" si="228"/>
        <v>2</v>
      </c>
      <c r="FE1893" s="118">
        <f t="shared" si="229"/>
        <v>119</v>
      </c>
      <c r="FF1893" s="118" t="str">
        <f t="shared" si="230"/>
        <v/>
      </c>
      <c r="FI1893" s="16">
        <v>1890</v>
      </c>
      <c r="FJ1893" s="17" t="str">
        <f t="shared" si="231"/>
        <v/>
      </c>
      <c r="FK1893" s="17" t="str">
        <f t="shared" si="227"/>
        <v/>
      </c>
      <c r="FL1893" s="18" t="str">
        <f t="shared" si="232"/>
        <v/>
      </c>
    </row>
    <row r="1894" spans="159:168">
      <c r="FC1894" s="118">
        <v>1891</v>
      </c>
      <c r="FD1894" s="118">
        <f t="shared" si="228"/>
        <v>3</v>
      </c>
      <c r="FE1894" s="118">
        <f t="shared" si="229"/>
        <v>119</v>
      </c>
      <c r="FF1894" s="118" t="str">
        <f t="shared" si="230"/>
        <v/>
      </c>
      <c r="FI1894" s="16">
        <v>1891</v>
      </c>
      <c r="FJ1894" s="17" t="str">
        <f t="shared" si="231"/>
        <v/>
      </c>
      <c r="FK1894" s="17" t="str">
        <f t="shared" si="227"/>
        <v/>
      </c>
      <c r="FL1894" s="18" t="str">
        <f t="shared" si="232"/>
        <v/>
      </c>
    </row>
    <row r="1895" spans="159:168">
      <c r="FC1895" s="118">
        <v>1892</v>
      </c>
      <c r="FD1895" s="118">
        <f t="shared" si="228"/>
        <v>4</v>
      </c>
      <c r="FE1895" s="118">
        <f t="shared" si="229"/>
        <v>119</v>
      </c>
      <c r="FF1895" s="118" t="str">
        <f t="shared" si="230"/>
        <v/>
      </c>
      <c r="FI1895" s="16">
        <v>1892</v>
      </c>
      <c r="FJ1895" s="17" t="str">
        <f t="shared" si="231"/>
        <v/>
      </c>
      <c r="FK1895" s="17" t="str">
        <f t="shared" si="227"/>
        <v/>
      </c>
      <c r="FL1895" s="18" t="str">
        <f t="shared" si="232"/>
        <v/>
      </c>
    </row>
    <row r="1896" spans="159:168">
      <c r="FC1896" s="118">
        <v>1893</v>
      </c>
      <c r="FD1896" s="118">
        <f t="shared" si="228"/>
        <v>5</v>
      </c>
      <c r="FE1896" s="118">
        <f t="shared" si="229"/>
        <v>119</v>
      </c>
      <c r="FF1896" s="118" t="str">
        <f t="shared" si="230"/>
        <v/>
      </c>
      <c r="FI1896" s="16">
        <v>1893</v>
      </c>
      <c r="FJ1896" s="17" t="str">
        <f t="shared" si="231"/>
        <v/>
      </c>
      <c r="FK1896" s="17" t="str">
        <f t="shared" si="227"/>
        <v/>
      </c>
      <c r="FL1896" s="18" t="str">
        <f t="shared" si="232"/>
        <v/>
      </c>
    </row>
    <row r="1897" spans="159:168">
      <c r="FC1897" s="118">
        <v>1894</v>
      </c>
      <c r="FD1897" s="118">
        <f t="shared" si="228"/>
        <v>6</v>
      </c>
      <c r="FE1897" s="118">
        <f t="shared" si="229"/>
        <v>119</v>
      </c>
      <c r="FF1897" s="118" t="str">
        <f t="shared" si="230"/>
        <v/>
      </c>
      <c r="FI1897" s="16">
        <v>1894</v>
      </c>
      <c r="FJ1897" s="17" t="str">
        <f t="shared" si="231"/>
        <v/>
      </c>
      <c r="FK1897" s="17" t="str">
        <f t="shared" si="227"/>
        <v/>
      </c>
      <c r="FL1897" s="18" t="str">
        <f t="shared" si="232"/>
        <v/>
      </c>
    </row>
    <row r="1898" spans="159:168">
      <c r="FC1898" s="118">
        <v>1895</v>
      </c>
      <c r="FD1898" s="118">
        <f t="shared" si="228"/>
        <v>7</v>
      </c>
      <c r="FE1898" s="118">
        <f t="shared" si="229"/>
        <v>119</v>
      </c>
      <c r="FF1898" s="118" t="str">
        <f t="shared" si="230"/>
        <v/>
      </c>
      <c r="FI1898" s="16">
        <v>1895</v>
      </c>
      <c r="FJ1898" s="17" t="str">
        <f t="shared" si="231"/>
        <v/>
      </c>
      <c r="FK1898" s="17" t="str">
        <f t="shared" si="227"/>
        <v/>
      </c>
      <c r="FL1898" s="18" t="str">
        <f t="shared" si="232"/>
        <v/>
      </c>
    </row>
    <row r="1899" spans="159:168">
      <c r="FC1899" s="118">
        <v>1896</v>
      </c>
      <c r="FD1899" s="118">
        <f t="shared" si="228"/>
        <v>8</v>
      </c>
      <c r="FE1899" s="118">
        <f t="shared" si="229"/>
        <v>119</v>
      </c>
      <c r="FF1899" s="118" t="str">
        <f t="shared" si="230"/>
        <v/>
      </c>
      <c r="FI1899" s="16">
        <v>1896</v>
      </c>
      <c r="FJ1899" s="17" t="str">
        <f t="shared" si="231"/>
        <v/>
      </c>
      <c r="FK1899" s="17" t="str">
        <f t="shared" si="227"/>
        <v/>
      </c>
      <c r="FL1899" s="18" t="str">
        <f t="shared" si="232"/>
        <v/>
      </c>
    </row>
    <row r="1900" spans="159:168">
      <c r="FC1900" s="118">
        <v>1897</v>
      </c>
      <c r="FD1900" s="118">
        <f t="shared" si="228"/>
        <v>9</v>
      </c>
      <c r="FE1900" s="118">
        <f t="shared" si="229"/>
        <v>119</v>
      </c>
      <c r="FF1900" s="118" t="str">
        <f t="shared" si="230"/>
        <v/>
      </c>
      <c r="FI1900" s="16">
        <v>1897</v>
      </c>
      <c r="FJ1900" s="17" t="str">
        <f t="shared" si="231"/>
        <v/>
      </c>
      <c r="FK1900" s="17" t="str">
        <f t="shared" si="227"/>
        <v/>
      </c>
      <c r="FL1900" s="18" t="str">
        <f t="shared" si="232"/>
        <v/>
      </c>
    </row>
    <row r="1901" spans="159:168">
      <c r="FC1901" s="118">
        <v>1898</v>
      </c>
      <c r="FD1901" s="118">
        <f t="shared" si="228"/>
        <v>10</v>
      </c>
      <c r="FE1901" s="118">
        <f t="shared" si="229"/>
        <v>119</v>
      </c>
      <c r="FF1901" s="118" t="str">
        <f t="shared" si="230"/>
        <v/>
      </c>
      <c r="FI1901" s="16">
        <v>1898</v>
      </c>
      <c r="FJ1901" s="17" t="str">
        <f t="shared" si="231"/>
        <v/>
      </c>
      <c r="FK1901" s="17" t="str">
        <f t="shared" si="227"/>
        <v/>
      </c>
      <c r="FL1901" s="18" t="str">
        <f t="shared" si="232"/>
        <v/>
      </c>
    </row>
    <row r="1902" spans="159:168">
      <c r="FC1902" s="118">
        <v>1899</v>
      </c>
      <c r="FD1902" s="118">
        <f t="shared" si="228"/>
        <v>11</v>
      </c>
      <c r="FE1902" s="118">
        <f t="shared" si="229"/>
        <v>119</v>
      </c>
      <c r="FF1902" s="118" t="str">
        <f t="shared" si="230"/>
        <v/>
      </c>
      <c r="FI1902" s="16">
        <v>1899</v>
      </c>
      <c r="FJ1902" s="17" t="str">
        <f t="shared" si="231"/>
        <v/>
      </c>
      <c r="FK1902" s="17" t="str">
        <f t="shared" si="227"/>
        <v/>
      </c>
      <c r="FL1902" s="18" t="str">
        <f t="shared" si="232"/>
        <v/>
      </c>
    </row>
    <row r="1903" spans="159:168">
      <c r="FC1903" s="118">
        <v>1900</v>
      </c>
      <c r="FD1903" s="118">
        <f t="shared" si="228"/>
        <v>12</v>
      </c>
      <c r="FE1903" s="118">
        <f t="shared" si="229"/>
        <v>119</v>
      </c>
      <c r="FF1903" s="118" t="str">
        <f t="shared" si="230"/>
        <v/>
      </c>
      <c r="FI1903" s="16">
        <v>1900</v>
      </c>
      <c r="FJ1903" s="17" t="str">
        <f t="shared" si="231"/>
        <v/>
      </c>
      <c r="FK1903" s="17" t="str">
        <f t="shared" si="227"/>
        <v/>
      </c>
      <c r="FL1903" s="18" t="str">
        <f t="shared" si="232"/>
        <v/>
      </c>
    </row>
    <row r="1904" spans="159:168">
      <c r="FC1904" s="118">
        <v>1901</v>
      </c>
      <c r="FD1904" s="118">
        <f t="shared" si="228"/>
        <v>13</v>
      </c>
      <c r="FE1904" s="118">
        <f t="shared" si="229"/>
        <v>119</v>
      </c>
      <c r="FF1904" s="118" t="str">
        <f t="shared" si="230"/>
        <v/>
      </c>
      <c r="FI1904" s="16">
        <v>1901</v>
      </c>
      <c r="FJ1904" s="17" t="str">
        <f t="shared" si="231"/>
        <v/>
      </c>
      <c r="FK1904" s="17" t="str">
        <f t="shared" si="227"/>
        <v/>
      </c>
      <c r="FL1904" s="18" t="str">
        <f t="shared" si="232"/>
        <v/>
      </c>
    </row>
    <row r="1905" spans="159:168">
      <c r="FC1905" s="118">
        <v>1902</v>
      </c>
      <c r="FD1905" s="118">
        <f t="shared" si="228"/>
        <v>14</v>
      </c>
      <c r="FE1905" s="118">
        <f t="shared" si="229"/>
        <v>119</v>
      </c>
      <c r="FF1905" s="118" t="str">
        <f t="shared" si="230"/>
        <v/>
      </c>
      <c r="FI1905" s="16">
        <v>1902</v>
      </c>
      <c r="FJ1905" s="17" t="str">
        <f t="shared" si="231"/>
        <v/>
      </c>
      <c r="FK1905" s="17" t="str">
        <f t="shared" si="227"/>
        <v/>
      </c>
      <c r="FL1905" s="18" t="str">
        <f t="shared" si="232"/>
        <v/>
      </c>
    </row>
    <row r="1906" spans="159:168">
      <c r="FC1906" s="118">
        <v>1903</v>
      </c>
      <c r="FD1906" s="118">
        <f t="shared" si="228"/>
        <v>15</v>
      </c>
      <c r="FE1906" s="118">
        <f t="shared" si="229"/>
        <v>119</v>
      </c>
      <c r="FF1906" s="118" t="str">
        <f t="shared" si="230"/>
        <v/>
      </c>
      <c r="FI1906" s="16">
        <v>1903</v>
      </c>
      <c r="FJ1906" s="17" t="str">
        <f t="shared" si="231"/>
        <v/>
      </c>
      <c r="FK1906" s="17" t="str">
        <f t="shared" si="227"/>
        <v/>
      </c>
      <c r="FL1906" s="18" t="str">
        <f t="shared" si="232"/>
        <v/>
      </c>
    </row>
    <row r="1907" spans="159:168">
      <c r="FC1907" s="118">
        <v>1904</v>
      </c>
      <c r="FD1907" s="118">
        <f t="shared" si="228"/>
        <v>16</v>
      </c>
      <c r="FE1907" s="118">
        <f t="shared" si="229"/>
        <v>119</v>
      </c>
      <c r="FF1907" s="118" t="str">
        <f t="shared" si="230"/>
        <v/>
      </c>
      <c r="FI1907" s="16">
        <v>1904</v>
      </c>
      <c r="FJ1907" s="17" t="str">
        <f t="shared" si="231"/>
        <v/>
      </c>
      <c r="FK1907" s="17" t="str">
        <f t="shared" si="227"/>
        <v/>
      </c>
      <c r="FL1907" s="18" t="str">
        <f t="shared" si="232"/>
        <v/>
      </c>
    </row>
    <row r="1908" spans="159:168">
      <c r="FC1908" s="118">
        <v>1905</v>
      </c>
      <c r="FD1908" s="118">
        <f t="shared" si="228"/>
        <v>1</v>
      </c>
      <c r="FE1908" s="118">
        <f t="shared" si="229"/>
        <v>120</v>
      </c>
      <c r="FF1908" s="118" t="str">
        <f t="shared" si="230"/>
        <v/>
      </c>
      <c r="FI1908" s="16">
        <v>1905</v>
      </c>
      <c r="FJ1908" s="17" t="str">
        <f t="shared" si="231"/>
        <v/>
      </c>
      <c r="FK1908" s="17" t="str">
        <f t="shared" si="227"/>
        <v/>
      </c>
      <c r="FL1908" s="18" t="str">
        <f t="shared" si="232"/>
        <v/>
      </c>
    </row>
    <row r="1909" spans="159:168">
      <c r="FC1909" s="118">
        <v>1906</v>
      </c>
      <c r="FD1909" s="118">
        <f t="shared" si="228"/>
        <v>2</v>
      </c>
      <c r="FE1909" s="118">
        <f t="shared" si="229"/>
        <v>120</v>
      </c>
      <c r="FF1909" s="118" t="str">
        <f t="shared" si="230"/>
        <v/>
      </c>
      <c r="FI1909" s="16">
        <v>1906</v>
      </c>
      <c r="FJ1909" s="17" t="str">
        <f t="shared" si="231"/>
        <v/>
      </c>
      <c r="FK1909" s="17" t="str">
        <f t="shared" si="227"/>
        <v/>
      </c>
      <c r="FL1909" s="18" t="str">
        <f t="shared" si="232"/>
        <v/>
      </c>
    </row>
    <row r="1910" spans="159:168">
      <c r="FC1910" s="118">
        <v>1907</v>
      </c>
      <c r="FD1910" s="118">
        <f t="shared" si="228"/>
        <v>3</v>
      </c>
      <c r="FE1910" s="118">
        <f t="shared" si="229"/>
        <v>120</v>
      </c>
      <c r="FF1910" s="118" t="str">
        <f t="shared" si="230"/>
        <v/>
      </c>
      <c r="FI1910" s="16">
        <v>1907</v>
      </c>
      <c r="FJ1910" s="17" t="str">
        <f t="shared" si="231"/>
        <v/>
      </c>
      <c r="FK1910" s="17" t="str">
        <f t="shared" si="227"/>
        <v/>
      </c>
      <c r="FL1910" s="18" t="str">
        <f t="shared" si="232"/>
        <v/>
      </c>
    </row>
    <row r="1911" spans="159:168">
      <c r="FC1911" s="118">
        <v>1908</v>
      </c>
      <c r="FD1911" s="118">
        <f t="shared" si="228"/>
        <v>4</v>
      </c>
      <c r="FE1911" s="118">
        <f t="shared" si="229"/>
        <v>120</v>
      </c>
      <c r="FF1911" s="118" t="str">
        <f t="shared" si="230"/>
        <v/>
      </c>
      <c r="FI1911" s="16">
        <v>1908</v>
      </c>
      <c r="FJ1911" s="17" t="str">
        <f t="shared" si="231"/>
        <v/>
      </c>
      <c r="FK1911" s="17" t="str">
        <f t="shared" si="227"/>
        <v/>
      </c>
      <c r="FL1911" s="18" t="str">
        <f t="shared" si="232"/>
        <v/>
      </c>
    </row>
    <row r="1912" spans="159:168">
      <c r="FC1912" s="118">
        <v>1909</v>
      </c>
      <c r="FD1912" s="118">
        <f t="shared" si="228"/>
        <v>5</v>
      </c>
      <c r="FE1912" s="118">
        <f t="shared" si="229"/>
        <v>120</v>
      </c>
      <c r="FF1912" s="118" t="str">
        <f t="shared" si="230"/>
        <v/>
      </c>
      <c r="FI1912" s="16">
        <v>1909</v>
      </c>
      <c r="FJ1912" s="17" t="str">
        <f t="shared" si="231"/>
        <v/>
      </c>
      <c r="FK1912" s="17" t="str">
        <f t="shared" si="227"/>
        <v/>
      </c>
      <c r="FL1912" s="18" t="str">
        <f t="shared" si="232"/>
        <v/>
      </c>
    </row>
    <row r="1913" spans="159:168">
      <c r="FC1913" s="118">
        <v>1910</v>
      </c>
      <c r="FD1913" s="118">
        <f t="shared" si="228"/>
        <v>6</v>
      </c>
      <c r="FE1913" s="118">
        <f t="shared" si="229"/>
        <v>120</v>
      </c>
      <c r="FF1913" s="118" t="str">
        <f t="shared" si="230"/>
        <v/>
      </c>
      <c r="FI1913" s="16">
        <v>1910</v>
      </c>
      <c r="FJ1913" s="17" t="str">
        <f t="shared" si="231"/>
        <v/>
      </c>
      <c r="FK1913" s="17" t="str">
        <f t="shared" si="227"/>
        <v/>
      </c>
      <c r="FL1913" s="18" t="str">
        <f t="shared" si="232"/>
        <v/>
      </c>
    </row>
    <row r="1914" spans="159:168">
      <c r="FC1914" s="118">
        <v>1911</v>
      </c>
      <c r="FD1914" s="118">
        <f t="shared" si="228"/>
        <v>7</v>
      </c>
      <c r="FE1914" s="118">
        <f t="shared" si="229"/>
        <v>120</v>
      </c>
      <c r="FF1914" s="118" t="str">
        <f t="shared" si="230"/>
        <v/>
      </c>
      <c r="FI1914" s="16">
        <v>1911</v>
      </c>
      <c r="FJ1914" s="17" t="str">
        <f t="shared" si="231"/>
        <v/>
      </c>
      <c r="FK1914" s="17" t="str">
        <f t="shared" si="227"/>
        <v/>
      </c>
      <c r="FL1914" s="18" t="str">
        <f t="shared" si="232"/>
        <v/>
      </c>
    </row>
    <row r="1915" spans="159:168">
      <c r="FC1915" s="118">
        <v>1912</v>
      </c>
      <c r="FD1915" s="118">
        <f t="shared" si="228"/>
        <v>8</v>
      </c>
      <c r="FE1915" s="118">
        <f t="shared" si="229"/>
        <v>120</v>
      </c>
      <c r="FF1915" s="118" t="str">
        <f t="shared" si="230"/>
        <v/>
      </c>
      <c r="FI1915" s="16">
        <v>1912</v>
      </c>
      <c r="FJ1915" s="17" t="str">
        <f t="shared" si="231"/>
        <v/>
      </c>
      <c r="FK1915" s="17" t="str">
        <f t="shared" si="227"/>
        <v/>
      </c>
      <c r="FL1915" s="18" t="str">
        <f t="shared" si="232"/>
        <v/>
      </c>
    </row>
    <row r="1916" spans="159:168">
      <c r="FC1916" s="118">
        <v>1913</v>
      </c>
      <c r="FD1916" s="118">
        <f t="shared" si="228"/>
        <v>9</v>
      </c>
      <c r="FE1916" s="118">
        <f t="shared" si="229"/>
        <v>120</v>
      </c>
      <c r="FF1916" s="118" t="str">
        <f t="shared" si="230"/>
        <v/>
      </c>
      <c r="FI1916" s="16">
        <v>1913</v>
      </c>
      <c r="FJ1916" s="17" t="str">
        <f t="shared" si="231"/>
        <v/>
      </c>
      <c r="FK1916" s="17" t="str">
        <f t="shared" si="227"/>
        <v/>
      </c>
      <c r="FL1916" s="18" t="str">
        <f t="shared" si="232"/>
        <v/>
      </c>
    </row>
    <row r="1917" spans="159:168">
      <c r="FC1917" s="118">
        <v>1914</v>
      </c>
      <c r="FD1917" s="118">
        <f t="shared" si="228"/>
        <v>10</v>
      </c>
      <c r="FE1917" s="118">
        <f t="shared" si="229"/>
        <v>120</v>
      </c>
      <c r="FF1917" s="118" t="str">
        <f t="shared" si="230"/>
        <v/>
      </c>
      <c r="FI1917" s="16">
        <v>1914</v>
      </c>
      <c r="FJ1917" s="17" t="str">
        <f t="shared" si="231"/>
        <v/>
      </c>
      <c r="FK1917" s="17" t="str">
        <f t="shared" si="227"/>
        <v/>
      </c>
      <c r="FL1917" s="18" t="str">
        <f t="shared" si="232"/>
        <v/>
      </c>
    </row>
    <row r="1918" spans="159:168">
      <c r="FC1918" s="118">
        <v>1915</v>
      </c>
      <c r="FD1918" s="118">
        <f t="shared" si="228"/>
        <v>11</v>
      </c>
      <c r="FE1918" s="118">
        <f t="shared" si="229"/>
        <v>120</v>
      </c>
      <c r="FF1918" s="118" t="str">
        <f t="shared" si="230"/>
        <v/>
      </c>
      <c r="FI1918" s="16">
        <v>1915</v>
      </c>
      <c r="FJ1918" s="17" t="str">
        <f t="shared" si="231"/>
        <v/>
      </c>
      <c r="FK1918" s="17" t="str">
        <f t="shared" si="227"/>
        <v/>
      </c>
      <c r="FL1918" s="18" t="str">
        <f t="shared" si="232"/>
        <v/>
      </c>
    </row>
    <row r="1919" spans="159:168">
      <c r="FC1919" s="118">
        <v>1916</v>
      </c>
      <c r="FD1919" s="118">
        <f t="shared" si="228"/>
        <v>12</v>
      </c>
      <c r="FE1919" s="118">
        <f t="shared" si="229"/>
        <v>120</v>
      </c>
      <c r="FF1919" s="118" t="str">
        <f t="shared" si="230"/>
        <v/>
      </c>
      <c r="FI1919" s="16">
        <v>1916</v>
      </c>
      <c r="FJ1919" s="17" t="str">
        <f t="shared" si="231"/>
        <v/>
      </c>
      <c r="FK1919" s="17" t="str">
        <f t="shared" si="227"/>
        <v/>
      </c>
      <c r="FL1919" s="18" t="str">
        <f t="shared" si="232"/>
        <v/>
      </c>
    </row>
    <row r="1920" spans="159:168">
      <c r="FC1920" s="118">
        <v>1917</v>
      </c>
      <c r="FD1920" s="118">
        <f t="shared" si="228"/>
        <v>13</v>
      </c>
      <c r="FE1920" s="118">
        <f t="shared" si="229"/>
        <v>120</v>
      </c>
      <c r="FF1920" s="118" t="str">
        <f t="shared" si="230"/>
        <v/>
      </c>
      <c r="FI1920" s="16">
        <v>1917</v>
      </c>
      <c r="FJ1920" s="17" t="str">
        <f t="shared" si="231"/>
        <v/>
      </c>
      <c r="FK1920" s="17" t="str">
        <f t="shared" si="227"/>
        <v/>
      </c>
      <c r="FL1920" s="18" t="str">
        <f t="shared" si="232"/>
        <v/>
      </c>
    </row>
    <row r="1921" spans="159:168">
      <c r="FC1921" s="118">
        <v>1918</v>
      </c>
      <c r="FD1921" s="118">
        <f t="shared" si="228"/>
        <v>14</v>
      </c>
      <c r="FE1921" s="118">
        <f t="shared" si="229"/>
        <v>120</v>
      </c>
      <c r="FF1921" s="118" t="str">
        <f t="shared" si="230"/>
        <v/>
      </c>
      <c r="FI1921" s="16">
        <v>1918</v>
      </c>
      <c r="FJ1921" s="17" t="str">
        <f t="shared" si="231"/>
        <v/>
      </c>
      <c r="FK1921" s="17" t="str">
        <f t="shared" si="227"/>
        <v/>
      </c>
      <c r="FL1921" s="18" t="str">
        <f t="shared" si="232"/>
        <v/>
      </c>
    </row>
    <row r="1922" spans="159:168">
      <c r="FC1922" s="118">
        <v>1919</v>
      </c>
      <c r="FD1922" s="118">
        <f t="shared" si="228"/>
        <v>15</v>
      </c>
      <c r="FE1922" s="118">
        <f t="shared" si="229"/>
        <v>120</v>
      </c>
      <c r="FF1922" s="118" t="str">
        <f t="shared" si="230"/>
        <v/>
      </c>
      <c r="FI1922" s="16">
        <v>1919</v>
      </c>
      <c r="FJ1922" s="17" t="str">
        <f t="shared" si="231"/>
        <v/>
      </c>
      <c r="FK1922" s="17" t="str">
        <f t="shared" si="227"/>
        <v/>
      </c>
      <c r="FL1922" s="18" t="str">
        <f t="shared" si="232"/>
        <v/>
      </c>
    </row>
    <row r="1923" spans="159:168">
      <c r="FC1923" s="118">
        <v>1920</v>
      </c>
      <c r="FD1923" s="118">
        <f t="shared" si="228"/>
        <v>16</v>
      </c>
      <c r="FE1923" s="118">
        <f t="shared" si="229"/>
        <v>120</v>
      </c>
      <c r="FF1923" s="118" t="str">
        <f t="shared" si="230"/>
        <v/>
      </c>
      <c r="FI1923" s="16">
        <v>1920</v>
      </c>
      <c r="FJ1923" s="17" t="str">
        <f t="shared" si="231"/>
        <v/>
      </c>
      <c r="FK1923" s="17" t="str">
        <f t="shared" si="227"/>
        <v/>
      </c>
      <c r="FL1923" s="18" t="str">
        <f t="shared" si="232"/>
        <v/>
      </c>
    </row>
    <row r="1924" spans="159:168">
      <c r="FC1924" s="118">
        <v>1921</v>
      </c>
      <c r="FD1924" s="118">
        <f t="shared" si="228"/>
        <v>1</v>
      </c>
      <c r="FE1924" s="118">
        <f t="shared" si="229"/>
        <v>121</v>
      </c>
      <c r="FF1924" s="118" t="str">
        <f t="shared" si="230"/>
        <v/>
      </c>
      <c r="FI1924" s="16">
        <v>1921</v>
      </c>
      <c r="FJ1924" s="17" t="str">
        <f t="shared" si="231"/>
        <v/>
      </c>
      <c r="FK1924" s="17" t="str">
        <f t="shared" si="227"/>
        <v/>
      </c>
      <c r="FL1924" s="18" t="str">
        <f t="shared" si="232"/>
        <v/>
      </c>
    </row>
    <row r="1925" spans="159:168">
      <c r="FC1925" s="118">
        <v>1922</v>
      </c>
      <c r="FD1925" s="118">
        <f t="shared" si="228"/>
        <v>2</v>
      </c>
      <c r="FE1925" s="118">
        <f t="shared" si="229"/>
        <v>121</v>
      </c>
      <c r="FF1925" s="118" t="str">
        <f t="shared" si="230"/>
        <v/>
      </c>
      <c r="FI1925" s="16">
        <v>1922</v>
      </c>
      <c r="FJ1925" s="17" t="str">
        <f t="shared" si="231"/>
        <v/>
      </c>
      <c r="FK1925" s="17" t="str">
        <f t="shared" ref="FK1925:FK1988" si="233">IF(FI1925&lt;=$FH$2,FF1925,IF(FI1925&lt;=$FH$2+$FH$3,INDEX($FJ$4:$FJ$2494,FI1925-$FH$2),""))</f>
        <v/>
      </c>
      <c r="FL1925" s="18" t="str">
        <f t="shared" si="232"/>
        <v/>
      </c>
    </row>
    <row r="1926" spans="159:168">
      <c r="FC1926" s="118">
        <v>1923</v>
      </c>
      <c r="FD1926" s="118">
        <f t="shared" si="228"/>
        <v>3</v>
      </c>
      <c r="FE1926" s="118">
        <f t="shared" si="229"/>
        <v>121</v>
      </c>
      <c r="FF1926" s="118" t="str">
        <f t="shared" si="230"/>
        <v/>
      </c>
      <c r="FI1926" s="16">
        <v>1923</v>
      </c>
      <c r="FJ1926" s="17" t="str">
        <f t="shared" si="231"/>
        <v/>
      </c>
      <c r="FK1926" s="17" t="str">
        <f t="shared" si="233"/>
        <v/>
      </c>
      <c r="FL1926" s="18" t="str">
        <f t="shared" si="232"/>
        <v/>
      </c>
    </row>
    <row r="1927" spans="159:168">
      <c r="FC1927" s="118">
        <v>1924</v>
      </c>
      <c r="FD1927" s="118">
        <f t="shared" si="228"/>
        <v>4</v>
      </c>
      <c r="FE1927" s="118">
        <f t="shared" si="229"/>
        <v>121</v>
      </c>
      <c r="FF1927" s="118" t="str">
        <f t="shared" si="230"/>
        <v/>
      </c>
      <c r="FI1927" s="16">
        <v>1924</v>
      </c>
      <c r="FJ1927" s="17" t="str">
        <f t="shared" si="231"/>
        <v/>
      </c>
      <c r="FK1927" s="17" t="str">
        <f t="shared" si="233"/>
        <v/>
      </c>
      <c r="FL1927" s="18" t="str">
        <f t="shared" si="232"/>
        <v/>
      </c>
    </row>
    <row r="1928" spans="159:168">
      <c r="FC1928" s="118">
        <v>1925</v>
      </c>
      <c r="FD1928" s="118">
        <f t="shared" si="228"/>
        <v>5</v>
      </c>
      <c r="FE1928" s="118">
        <f t="shared" si="229"/>
        <v>121</v>
      </c>
      <c r="FF1928" s="118" t="str">
        <f t="shared" si="230"/>
        <v/>
      </c>
      <c r="FI1928" s="16">
        <v>1925</v>
      </c>
      <c r="FJ1928" s="17" t="str">
        <f t="shared" si="231"/>
        <v/>
      </c>
      <c r="FK1928" s="17" t="str">
        <f t="shared" si="233"/>
        <v/>
      </c>
      <c r="FL1928" s="18" t="str">
        <f t="shared" si="232"/>
        <v/>
      </c>
    </row>
    <row r="1929" spans="159:168">
      <c r="FC1929" s="118">
        <v>1926</v>
      </c>
      <c r="FD1929" s="118">
        <f t="shared" si="228"/>
        <v>6</v>
      </c>
      <c r="FE1929" s="118">
        <f t="shared" si="229"/>
        <v>121</v>
      </c>
      <c r="FF1929" s="118" t="str">
        <f t="shared" si="230"/>
        <v/>
      </c>
      <c r="FI1929" s="16">
        <v>1926</v>
      </c>
      <c r="FJ1929" s="17" t="str">
        <f t="shared" si="231"/>
        <v/>
      </c>
      <c r="FK1929" s="17" t="str">
        <f t="shared" si="233"/>
        <v/>
      </c>
      <c r="FL1929" s="18" t="str">
        <f t="shared" si="232"/>
        <v/>
      </c>
    </row>
    <row r="1930" spans="159:168">
      <c r="FC1930" s="118">
        <v>1927</v>
      </c>
      <c r="FD1930" s="118">
        <f t="shared" si="228"/>
        <v>7</v>
      </c>
      <c r="FE1930" s="118">
        <f t="shared" si="229"/>
        <v>121</v>
      </c>
      <c r="FF1930" s="118" t="str">
        <f t="shared" si="230"/>
        <v/>
      </c>
      <c r="FI1930" s="16">
        <v>1927</v>
      </c>
      <c r="FJ1930" s="17" t="str">
        <f t="shared" si="231"/>
        <v/>
      </c>
      <c r="FK1930" s="17" t="str">
        <f t="shared" si="233"/>
        <v/>
      </c>
      <c r="FL1930" s="18" t="str">
        <f t="shared" si="232"/>
        <v/>
      </c>
    </row>
    <row r="1931" spans="159:168">
      <c r="FC1931" s="118">
        <v>1928</v>
      </c>
      <c r="FD1931" s="118">
        <f t="shared" si="228"/>
        <v>8</v>
      </c>
      <c r="FE1931" s="118">
        <f t="shared" si="229"/>
        <v>121</v>
      </c>
      <c r="FF1931" s="118" t="str">
        <f t="shared" si="230"/>
        <v/>
      </c>
      <c r="FI1931" s="16">
        <v>1928</v>
      </c>
      <c r="FJ1931" s="17" t="str">
        <f t="shared" si="231"/>
        <v/>
      </c>
      <c r="FK1931" s="17" t="str">
        <f t="shared" si="233"/>
        <v/>
      </c>
      <c r="FL1931" s="18" t="str">
        <f t="shared" si="232"/>
        <v/>
      </c>
    </row>
    <row r="1932" spans="159:168">
      <c r="FC1932" s="118">
        <v>1929</v>
      </c>
      <c r="FD1932" s="118">
        <f t="shared" si="228"/>
        <v>9</v>
      </c>
      <c r="FE1932" s="118">
        <f t="shared" si="229"/>
        <v>121</v>
      </c>
      <c r="FF1932" s="118" t="str">
        <f t="shared" si="230"/>
        <v/>
      </c>
      <c r="FI1932" s="16">
        <v>1929</v>
      </c>
      <c r="FJ1932" s="17" t="str">
        <f t="shared" si="231"/>
        <v/>
      </c>
      <c r="FK1932" s="17" t="str">
        <f t="shared" si="233"/>
        <v/>
      </c>
      <c r="FL1932" s="18" t="str">
        <f t="shared" si="232"/>
        <v/>
      </c>
    </row>
    <row r="1933" spans="159:168">
      <c r="FC1933" s="118">
        <v>1930</v>
      </c>
      <c r="FD1933" s="118">
        <f t="shared" si="228"/>
        <v>10</v>
      </c>
      <c r="FE1933" s="118">
        <f t="shared" si="229"/>
        <v>121</v>
      </c>
      <c r="FF1933" s="118" t="str">
        <f t="shared" si="230"/>
        <v/>
      </c>
      <c r="FI1933" s="16">
        <v>1930</v>
      </c>
      <c r="FJ1933" s="17" t="str">
        <f t="shared" si="231"/>
        <v/>
      </c>
      <c r="FK1933" s="17" t="str">
        <f t="shared" si="233"/>
        <v/>
      </c>
      <c r="FL1933" s="18" t="str">
        <f t="shared" si="232"/>
        <v/>
      </c>
    </row>
    <row r="1934" spans="159:168">
      <c r="FC1934" s="118">
        <v>1931</v>
      </c>
      <c r="FD1934" s="118">
        <f t="shared" si="228"/>
        <v>11</v>
      </c>
      <c r="FE1934" s="118">
        <f t="shared" si="229"/>
        <v>121</v>
      </c>
      <c r="FF1934" s="118" t="str">
        <f t="shared" si="230"/>
        <v/>
      </c>
      <c r="FI1934" s="16">
        <v>1931</v>
      </c>
      <c r="FJ1934" s="17" t="str">
        <f t="shared" si="231"/>
        <v/>
      </c>
      <c r="FK1934" s="17" t="str">
        <f t="shared" si="233"/>
        <v/>
      </c>
      <c r="FL1934" s="18" t="str">
        <f t="shared" si="232"/>
        <v/>
      </c>
    </row>
    <row r="1935" spans="159:168">
      <c r="FC1935" s="118">
        <v>1932</v>
      </c>
      <c r="FD1935" s="118">
        <f t="shared" si="228"/>
        <v>12</v>
      </c>
      <c r="FE1935" s="118">
        <f t="shared" si="229"/>
        <v>121</v>
      </c>
      <c r="FF1935" s="118" t="str">
        <f t="shared" si="230"/>
        <v/>
      </c>
      <c r="FI1935" s="16">
        <v>1932</v>
      </c>
      <c r="FJ1935" s="17" t="str">
        <f t="shared" si="231"/>
        <v/>
      </c>
      <c r="FK1935" s="17" t="str">
        <f t="shared" si="233"/>
        <v/>
      </c>
      <c r="FL1935" s="18" t="str">
        <f t="shared" si="232"/>
        <v/>
      </c>
    </row>
    <row r="1936" spans="159:168">
      <c r="FC1936" s="118">
        <v>1933</v>
      </c>
      <c r="FD1936" s="118">
        <f t="shared" si="228"/>
        <v>13</v>
      </c>
      <c r="FE1936" s="118">
        <f t="shared" si="229"/>
        <v>121</v>
      </c>
      <c r="FF1936" s="118" t="str">
        <f t="shared" si="230"/>
        <v/>
      </c>
      <c r="FI1936" s="16">
        <v>1933</v>
      </c>
      <c r="FJ1936" s="17" t="str">
        <f t="shared" si="231"/>
        <v/>
      </c>
      <c r="FK1936" s="17" t="str">
        <f t="shared" si="233"/>
        <v/>
      </c>
      <c r="FL1936" s="18" t="str">
        <f t="shared" si="232"/>
        <v/>
      </c>
    </row>
    <row r="1937" spans="159:168">
      <c r="FC1937" s="118">
        <v>1934</v>
      </c>
      <c r="FD1937" s="118">
        <f t="shared" si="228"/>
        <v>14</v>
      </c>
      <c r="FE1937" s="118">
        <f t="shared" si="229"/>
        <v>121</v>
      </c>
      <c r="FF1937" s="118" t="str">
        <f t="shared" si="230"/>
        <v/>
      </c>
      <c r="FI1937" s="16">
        <v>1934</v>
      </c>
      <c r="FJ1937" s="17" t="str">
        <f t="shared" si="231"/>
        <v/>
      </c>
      <c r="FK1937" s="17" t="str">
        <f t="shared" si="233"/>
        <v/>
      </c>
      <c r="FL1937" s="18" t="str">
        <f t="shared" si="232"/>
        <v/>
      </c>
    </row>
    <row r="1938" spans="159:168">
      <c r="FC1938" s="118">
        <v>1935</v>
      </c>
      <c r="FD1938" s="118">
        <f t="shared" si="228"/>
        <v>15</v>
      </c>
      <c r="FE1938" s="118">
        <f t="shared" si="229"/>
        <v>121</v>
      </c>
      <c r="FF1938" s="118" t="str">
        <f t="shared" si="230"/>
        <v/>
      </c>
      <c r="FI1938" s="16">
        <v>1935</v>
      </c>
      <c r="FJ1938" s="17" t="str">
        <f t="shared" si="231"/>
        <v/>
      </c>
      <c r="FK1938" s="17" t="str">
        <f t="shared" si="233"/>
        <v/>
      </c>
      <c r="FL1938" s="18" t="str">
        <f t="shared" si="232"/>
        <v/>
      </c>
    </row>
    <row r="1939" spans="159:168">
      <c r="FC1939" s="118">
        <v>1936</v>
      </c>
      <c r="FD1939" s="118">
        <f t="shared" si="228"/>
        <v>16</v>
      </c>
      <c r="FE1939" s="118">
        <f t="shared" si="229"/>
        <v>121</v>
      </c>
      <c r="FF1939" s="118" t="str">
        <f t="shared" si="230"/>
        <v/>
      </c>
      <c r="FI1939" s="16">
        <v>1936</v>
      </c>
      <c r="FJ1939" s="17" t="str">
        <f t="shared" si="231"/>
        <v/>
      </c>
      <c r="FK1939" s="17" t="str">
        <f t="shared" si="233"/>
        <v/>
      </c>
      <c r="FL1939" s="18" t="str">
        <f t="shared" si="232"/>
        <v/>
      </c>
    </row>
    <row r="1940" spans="159:168">
      <c r="FC1940" s="118">
        <v>1937</v>
      </c>
      <c r="FD1940" s="118">
        <f t="shared" si="228"/>
        <v>1</v>
      </c>
      <c r="FE1940" s="118">
        <f t="shared" si="229"/>
        <v>122</v>
      </c>
      <c r="FF1940" s="118" t="str">
        <f t="shared" si="230"/>
        <v/>
      </c>
      <c r="FI1940" s="16">
        <v>1937</v>
      </c>
      <c r="FJ1940" s="17" t="str">
        <f t="shared" si="231"/>
        <v/>
      </c>
      <c r="FK1940" s="17" t="str">
        <f t="shared" si="233"/>
        <v/>
      </c>
      <c r="FL1940" s="18" t="str">
        <f t="shared" si="232"/>
        <v/>
      </c>
    </row>
    <row r="1941" spans="159:168">
      <c r="FC1941" s="118">
        <v>1938</v>
      </c>
      <c r="FD1941" s="118">
        <f t="shared" si="228"/>
        <v>2</v>
      </c>
      <c r="FE1941" s="118">
        <f t="shared" si="229"/>
        <v>122</v>
      </c>
      <c r="FF1941" s="118" t="str">
        <f t="shared" si="230"/>
        <v/>
      </c>
      <c r="FI1941" s="16">
        <v>1938</v>
      </c>
      <c r="FJ1941" s="17" t="str">
        <f t="shared" si="231"/>
        <v/>
      </c>
      <c r="FK1941" s="17" t="str">
        <f t="shared" si="233"/>
        <v/>
      </c>
      <c r="FL1941" s="18" t="str">
        <f t="shared" si="232"/>
        <v/>
      </c>
    </row>
    <row r="1942" spans="159:168">
      <c r="FC1942" s="118">
        <v>1939</v>
      </c>
      <c r="FD1942" s="118">
        <f t="shared" ref="FD1942:FD2005" si="234">IF(MOD(FC1942,$FB$1+$FB$2)=0,$FB$1+$FB$2,MOD(FC1942,$FB$1+$FB$2))</f>
        <v>3</v>
      </c>
      <c r="FE1942" s="118">
        <f t="shared" ref="FE1942:FE2005" si="235">ROUNDUP(FC1942/($FB$1+$FB$2),0)</f>
        <v>122</v>
      </c>
      <c r="FF1942" s="118" t="str">
        <f t="shared" ref="FF1942:FF2005" si="236">IF(FE1942&lt;$FB$3,INDEX($E$4:$DV$84,FD1942,FE1942),IF(FE1942=$FB$3,INDEX($E$4:$DV$84,FD1942+$FB$1,FE1942),""))</f>
        <v/>
      </c>
      <c r="FI1942" s="16">
        <v>1939</v>
      </c>
      <c r="FJ1942" s="17" t="str">
        <f t="shared" ref="FJ1942:FJ2005" si="237">IF(FE1942&lt;=$FH$1,INDEX($DW$4:$EZ$84,FD1942,FE1942),"")</f>
        <v/>
      </c>
      <c r="FK1942" s="17" t="str">
        <f t="shared" si="233"/>
        <v/>
      </c>
      <c r="FL1942" s="18" t="str">
        <f t="shared" ref="FL1942:FL2005" si="238">IFERROR(TEXT(DEC2BIN(FK1942),"00000000"),"")</f>
        <v/>
      </c>
    </row>
    <row r="1943" spans="159:168">
      <c r="FC1943" s="118">
        <v>1940</v>
      </c>
      <c r="FD1943" s="118">
        <f t="shared" si="234"/>
        <v>4</v>
      </c>
      <c r="FE1943" s="118">
        <f t="shared" si="235"/>
        <v>122</v>
      </c>
      <c r="FF1943" s="118" t="str">
        <f t="shared" si="236"/>
        <v/>
      </c>
      <c r="FI1943" s="16">
        <v>1940</v>
      </c>
      <c r="FJ1943" s="17" t="str">
        <f t="shared" si="237"/>
        <v/>
      </c>
      <c r="FK1943" s="17" t="str">
        <f t="shared" si="233"/>
        <v/>
      </c>
      <c r="FL1943" s="18" t="str">
        <f t="shared" si="238"/>
        <v/>
      </c>
    </row>
    <row r="1944" spans="159:168">
      <c r="FC1944" s="118">
        <v>1941</v>
      </c>
      <c r="FD1944" s="118">
        <f t="shared" si="234"/>
        <v>5</v>
      </c>
      <c r="FE1944" s="118">
        <f t="shared" si="235"/>
        <v>122</v>
      </c>
      <c r="FF1944" s="118" t="str">
        <f t="shared" si="236"/>
        <v/>
      </c>
      <c r="FI1944" s="16">
        <v>1941</v>
      </c>
      <c r="FJ1944" s="17" t="str">
        <f t="shared" si="237"/>
        <v/>
      </c>
      <c r="FK1944" s="17" t="str">
        <f t="shared" si="233"/>
        <v/>
      </c>
      <c r="FL1944" s="18" t="str">
        <f t="shared" si="238"/>
        <v/>
      </c>
    </row>
    <row r="1945" spans="159:168">
      <c r="FC1945" s="118">
        <v>1942</v>
      </c>
      <c r="FD1945" s="118">
        <f t="shared" si="234"/>
        <v>6</v>
      </c>
      <c r="FE1945" s="118">
        <f t="shared" si="235"/>
        <v>122</v>
      </c>
      <c r="FF1945" s="118" t="str">
        <f t="shared" si="236"/>
        <v/>
      </c>
      <c r="FI1945" s="16">
        <v>1942</v>
      </c>
      <c r="FJ1945" s="17" t="str">
        <f t="shared" si="237"/>
        <v/>
      </c>
      <c r="FK1945" s="17" t="str">
        <f t="shared" si="233"/>
        <v/>
      </c>
      <c r="FL1945" s="18" t="str">
        <f t="shared" si="238"/>
        <v/>
      </c>
    </row>
    <row r="1946" spans="159:168">
      <c r="FC1946" s="118">
        <v>1943</v>
      </c>
      <c r="FD1946" s="118">
        <f t="shared" si="234"/>
        <v>7</v>
      </c>
      <c r="FE1946" s="118">
        <f t="shared" si="235"/>
        <v>122</v>
      </c>
      <c r="FF1946" s="118" t="str">
        <f t="shared" si="236"/>
        <v/>
      </c>
      <c r="FI1946" s="16">
        <v>1943</v>
      </c>
      <c r="FJ1946" s="17" t="str">
        <f t="shared" si="237"/>
        <v/>
      </c>
      <c r="FK1946" s="17" t="str">
        <f t="shared" si="233"/>
        <v/>
      </c>
      <c r="FL1946" s="18" t="str">
        <f t="shared" si="238"/>
        <v/>
      </c>
    </row>
    <row r="1947" spans="159:168">
      <c r="FC1947" s="118">
        <v>1944</v>
      </c>
      <c r="FD1947" s="118">
        <f t="shared" si="234"/>
        <v>8</v>
      </c>
      <c r="FE1947" s="118">
        <f t="shared" si="235"/>
        <v>122</v>
      </c>
      <c r="FF1947" s="118" t="str">
        <f t="shared" si="236"/>
        <v/>
      </c>
      <c r="FI1947" s="16">
        <v>1944</v>
      </c>
      <c r="FJ1947" s="17" t="str">
        <f t="shared" si="237"/>
        <v/>
      </c>
      <c r="FK1947" s="17" t="str">
        <f t="shared" si="233"/>
        <v/>
      </c>
      <c r="FL1947" s="18" t="str">
        <f t="shared" si="238"/>
        <v/>
      </c>
    </row>
    <row r="1948" spans="159:168">
      <c r="FC1948" s="118">
        <v>1945</v>
      </c>
      <c r="FD1948" s="118">
        <f t="shared" si="234"/>
        <v>9</v>
      </c>
      <c r="FE1948" s="118">
        <f t="shared" si="235"/>
        <v>122</v>
      </c>
      <c r="FF1948" s="118" t="str">
        <f t="shared" si="236"/>
        <v/>
      </c>
      <c r="FI1948" s="16">
        <v>1945</v>
      </c>
      <c r="FJ1948" s="17" t="str">
        <f t="shared" si="237"/>
        <v/>
      </c>
      <c r="FK1948" s="17" t="str">
        <f t="shared" si="233"/>
        <v/>
      </c>
      <c r="FL1948" s="18" t="str">
        <f t="shared" si="238"/>
        <v/>
      </c>
    </row>
    <row r="1949" spans="159:168">
      <c r="FC1949" s="118">
        <v>1946</v>
      </c>
      <c r="FD1949" s="118">
        <f t="shared" si="234"/>
        <v>10</v>
      </c>
      <c r="FE1949" s="118">
        <f t="shared" si="235"/>
        <v>122</v>
      </c>
      <c r="FF1949" s="118" t="str">
        <f t="shared" si="236"/>
        <v/>
      </c>
      <c r="FI1949" s="16">
        <v>1946</v>
      </c>
      <c r="FJ1949" s="17" t="str">
        <f t="shared" si="237"/>
        <v/>
      </c>
      <c r="FK1949" s="17" t="str">
        <f t="shared" si="233"/>
        <v/>
      </c>
      <c r="FL1949" s="18" t="str">
        <f t="shared" si="238"/>
        <v/>
      </c>
    </row>
    <row r="1950" spans="159:168">
      <c r="FC1950" s="118">
        <v>1947</v>
      </c>
      <c r="FD1950" s="118">
        <f t="shared" si="234"/>
        <v>11</v>
      </c>
      <c r="FE1950" s="118">
        <f t="shared" si="235"/>
        <v>122</v>
      </c>
      <c r="FF1950" s="118" t="str">
        <f t="shared" si="236"/>
        <v/>
      </c>
      <c r="FI1950" s="16">
        <v>1947</v>
      </c>
      <c r="FJ1950" s="17" t="str">
        <f t="shared" si="237"/>
        <v/>
      </c>
      <c r="FK1950" s="17" t="str">
        <f t="shared" si="233"/>
        <v/>
      </c>
      <c r="FL1950" s="18" t="str">
        <f t="shared" si="238"/>
        <v/>
      </c>
    </row>
    <row r="1951" spans="159:168">
      <c r="FC1951" s="118">
        <v>1948</v>
      </c>
      <c r="FD1951" s="118">
        <f t="shared" si="234"/>
        <v>12</v>
      </c>
      <c r="FE1951" s="118">
        <f t="shared" si="235"/>
        <v>122</v>
      </c>
      <c r="FF1951" s="118" t="str">
        <f t="shared" si="236"/>
        <v/>
      </c>
      <c r="FI1951" s="16">
        <v>1948</v>
      </c>
      <c r="FJ1951" s="17" t="str">
        <f t="shared" si="237"/>
        <v/>
      </c>
      <c r="FK1951" s="17" t="str">
        <f t="shared" si="233"/>
        <v/>
      </c>
      <c r="FL1951" s="18" t="str">
        <f t="shared" si="238"/>
        <v/>
      </c>
    </row>
    <row r="1952" spans="159:168">
      <c r="FC1952" s="118">
        <v>1949</v>
      </c>
      <c r="FD1952" s="118">
        <f t="shared" si="234"/>
        <v>13</v>
      </c>
      <c r="FE1952" s="118">
        <f t="shared" si="235"/>
        <v>122</v>
      </c>
      <c r="FF1952" s="118" t="str">
        <f t="shared" si="236"/>
        <v/>
      </c>
      <c r="FI1952" s="16">
        <v>1949</v>
      </c>
      <c r="FJ1952" s="17" t="str">
        <f t="shared" si="237"/>
        <v/>
      </c>
      <c r="FK1952" s="17" t="str">
        <f t="shared" si="233"/>
        <v/>
      </c>
      <c r="FL1952" s="18" t="str">
        <f t="shared" si="238"/>
        <v/>
      </c>
    </row>
    <row r="1953" spans="159:168">
      <c r="FC1953" s="118">
        <v>1950</v>
      </c>
      <c r="FD1953" s="118">
        <f t="shared" si="234"/>
        <v>14</v>
      </c>
      <c r="FE1953" s="118">
        <f t="shared" si="235"/>
        <v>122</v>
      </c>
      <c r="FF1953" s="118" t="str">
        <f t="shared" si="236"/>
        <v/>
      </c>
      <c r="FI1953" s="16">
        <v>1950</v>
      </c>
      <c r="FJ1953" s="17" t="str">
        <f t="shared" si="237"/>
        <v/>
      </c>
      <c r="FK1953" s="17" t="str">
        <f t="shared" si="233"/>
        <v/>
      </c>
      <c r="FL1953" s="18" t="str">
        <f t="shared" si="238"/>
        <v/>
      </c>
    </row>
    <row r="1954" spans="159:168">
      <c r="FC1954" s="118">
        <v>1951</v>
      </c>
      <c r="FD1954" s="118">
        <f t="shared" si="234"/>
        <v>15</v>
      </c>
      <c r="FE1954" s="118">
        <f t="shared" si="235"/>
        <v>122</v>
      </c>
      <c r="FF1954" s="118" t="str">
        <f t="shared" si="236"/>
        <v/>
      </c>
      <c r="FI1954" s="16">
        <v>1951</v>
      </c>
      <c r="FJ1954" s="17" t="str">
        <f t="shared" si="237"/>
        <v/>
      </c>
      <c r="FK1954" s="17" t="str">
        <f t="shared" si="233"/>
        <v/>
      </c>
      <c r="FL1954" s="18" t="str">
        <f t="shared" si="238"/>
        <v/>
      </c>
    </row>
    <row r="1955" spans="159:168">
      <c r="FC1955" s="118">
        <v>1952</v>
      </c>
      <c r="FD1955" s="118">
        <f t="shared" si="234"/>
        <v>16</v>
      </c>
      <c r="FE1955" s="118">
        <f t="shared" si="235"/>
        <v>122</v>
      </c>
      <c r="FF1955" s="118" t="str">
        <f t="shared" si="236"/>
        <v/>
      </c>
      <c r="FI1955" s="16">
        <v>1952</v>
      </c>
      <c r="FJ1955" s="17" t="str">
        <f t="shared" si="237"/>
        <v/>
      </c>
      <c r="FK1955" s="17" t="str">
        <f t="shared" si="233"/>
        <v/>
      </c>
      <c r="FL1955" s="18" t="str">
        <f t="shared" si="238"/>
        <v/>
      </c>
    </row>
    <row r="1956" spans="159:168">
      <c r="FC1956" s="118">
        <v>1953</v>
      </c>
      <c r="FD1956" s="118">
        <f t="shared" si="234"/>
        <v>1</v>
      </c>
      <c r="FE1956" s="118">
        <f t="shared" si="235"/>
        <v>123</v>
      </c>
      <c r="FF1956" s="118" t="str">
        <f t="shared" si="236"/>
        <v/>
      </c>
      <c r="FI1956" s="16">
        <v>1953</v>
      </c>
      <c r="FJ1956" s="17" t="str">
        <f t="shared" si="237"/>
        <v/>
      </c>
      <c r="FK1956" s="17" t="str">
        <f t="shared" si="233"/>
        <v/>
      </c>
      <c r="FL1956" s="18" t="str">
        <f t="shared" si="238"/>
        <v/>
      </c>
    </row>
    <row r="1957" spans="159:168">
      <c r="FC1957" s="118">
        <v>1954</v>
      </c>
      <c r="FD1957" s="118">
        <f t="shared" si="234"/>
        <v>2</v>
      </c>
      <c r="FE1957" s="118">
        <f t="shared" si="235"/>
        <v>123</v>
      </c>
      <c r="FF1957" s="118" t="str">
        <f t="shared" si="236"/>
        <v/>
      </c>
      <c r="FI1957" s="16">
        <v>1954</v>
      </c>
      <c r="FJ1957" s="17" t="str">
        <f t="shared" si="237"/>
        <v/>
      </c>
      <c r="FK1957" s="17" t="str">
        <f t="shared" si="233"/>
        <v/>
      </c>
      <c r="FL1957" s="18" t="str">
        <f t="shared" si="238"/>
        <v/>
      </c>
    </row>
    <row r="1958" spans="159:168">
      <c r="FC1958" s="118">
        <v>1955</v>
      </c>
      <c r="FD1958" s="118">
        <f t="shared" si="234"/>
        <v>3</v>
      </c>
      <c r="FE1958" s="118">
        <f t="shared" si="235"/>
        <v>123</v>
      </c>
      <c r="FF1958" s="118" t="str">
        <f t="shared" si="236"/>
        <v/>
      </c>
      <c r="FI1958" s="16">
        <v>1955</v>
      </c>
      <c r="FJ1958" s="17" t="str">
        <f t="shared" si="237"/>
        <v/>
      </c>
      <c r="FK1958" s="17" t="str">
        <f t="shared" si="233"/>
        <v/>
      </c>
      <c r="FL1958" s="18" t="str">
        <f t="shared" si="238"/>
        <v/>
      </c>
    </row>
    <row r="1959" spans="159:168">
      <c r="FC1959" s="118">
        <v>1956</v>
      </c>
      <c r="FD1959" s="118">
        <f t="shared" si="234"/>
        <v>4</v>
      </c>
      <c r="FE1959" s="118">
        <f t="shared" si="235"/>
        <v>123</v>
      </c>
      <c r="FF1959" s="118" t="str">
        <f t="shared" si="236"/>
        <v/>
      </c>
      <c r="FI1959" s="16">
        <v>1956</v>
      </c>
      <c r="FJ1959" s="17" t="str">
        <f t="shared" si="237"/>
        <v/>
      </c>
      <c r="FK1959" s="17" t="str">
        <f t="shared" si="233"/>
        <v/>
      </c>
      <c r="FL1959" s="18" t="str">
        <f t="shared" si="238"/>
        <v/>
      </c>
    </row>
    <row r="1960" spans="159:168">
      <c r="FC1960" s="118">
        <v>1957</v>
      </c>
      <c r="FD1960" s="118">
        <f t="shared" si="234"/>
        <v>5</v>
      </c>
      <c r="FE1960" s="118">
        <f t="shared" si="235"/>
        <v>123</v>
      </c>
      <c r="FF1960" s="118" t="str">
        <f t="shared" si="236"/>
        <v/>
      </c>
      <c r="FI1960" s="16">
        <v>1957</v>
      </c>
      <c r="FJ1960" s="17" t="str">
        <f t="shared" si="237"/>
        <v/>
      </c>
      <c r="FK1960" s="17" t="str">
        <f t="shared" si="233"/>
        <v/>
      </c>
      <c r="FL1960" s="18" t="str">
        <f t="shared" si="238"/>
        <v/>
      </c>
    </row>
    <row r="1961" spans="159:168">
      <c r="FC1961" s="118">
        <v>1958</v>
      </c>
      <c r="FD1961" s="118">
        <f t="shared" si="234"/>
        <v>6</v>
      </c>
      <c r="FE1961" s="118">
        <f t="shared" si="235"/>
        <v>123</v>
      </c>
      <c r="FF1961" s="118" t="str">
        <f t="shared" si="236"/>
        <v/>
      </c>
      <c r="FI1961" s="16">
        <v>1958</v>
      </c>
      <c r="FJ1961" s="17" t="str">
        <f t="shared" si="237"/>
        <v/>
      </c>
      <c r="FK1961" s="17" t="str">
        <f t="shared" si="233"/>
        <v/>
      </c>
      <c r="FL1961" s="18" t="str">
        <f t="shared" si="238"/>
        <v/>
      </c>
    </row>
    <row r="1962" spans="159:168">
      <c r="FC1962" s="118">
        <v>1959</v>
      </c>
      <c r="FD1962" s="118">
        <f t="shared" si="234"/>
        <v>7</v>
      </c>
      <c r="FE1962" s="118">
        <f t="shared" si="235"/>
        <v>123</v>
      </c>
      <c r="FF1962" s="118" t="str">
        <f t="shared" si="236"/>
        <v/>
      </c>
      <c r="FI1962" s="16">
        <v>1959</v>
      </c>
      <c r="FJ1962" s="17" t="str">
        <f t="shared" si="237"/>
        <v/>
      </c>
      <c r="FK1962" s="17" t="str">
        <f t="shared" si="233"/>
        <v/>
      </c>
      <c r="FL1962" s="18" t="str">
        <f t="shared" si="238"/>
        <v/>
      </c>
    </row>
    <row r="1963" spans="159:168">
      <c r="FC1963" s="118">
        <v>1960</v>
      </c>
      <c r="FD1963" s="118">
        <f t="shared" si="234"/>
        <v>8</v>
      </c>
      <c r="FE1963" s="118">
        <f t="shared" si="235"/>
        <v>123</v>
      </c>
      <c r="FF1963" s="118" t="str">
        <f t="shared" si="236"/>
        <v/>
      </c>
      <c r="FI1963" s="16">
        <v>1960</v>
      </c>
      <c r="FJ1963" s="17" t="str">
        <f t="shared" si="237"/>
        <v/>
      </c>
      <c r="FK1963" s="17" t="str">
        <f t="shared" si="233"/>
        <v/>
      </c>
      <c r="FL1963" s="18" t="str">
        <f t="shared" si="238"/>
        <v/>
      </c>
    </row>
    <row r="1964" spans="159:168">
      <c r="FC1964" s="118">
        <v>1961</v>
      </c>
      <c r="FD1964" s="118">
        <f t="shared" si="234"/>
        <v>9</v>
      </c>
      <c r="FE1964" s="118">
        <f t="shared" si="235"/>
        <v>123</v>
      </c>
      <c r="FF1964" s="118" t="str">
        <f t="shared" si="236"/>
        <v/>
      </c>
      <c r="FI1964" s="16">
        <v>1961</v>
      </c>
      <c r="FJ1964" s="17" t="str">
        <f t="shared" si="237"/>
        <v/>
      </c>
      <c r="FK1964" s="17" t="str">
        <f t="shared" si="233"/>
        <v/>
      </c>
      <c r="FL1964" s="18" t="str">
        <f t="shared" si="238"/>
        <v/>
      </c>
    </row>
    <row r="1965" spans="159:168">
      <c r="FC1965" s="118">
        <v>1962</v>
      </c>
      <c r="FD1965" s="118">
        <f t="shared" si="234"/>
        <v>10</v>
      </c>
      <c r="FE1965" s="118">
        <f t="shared" si="235"/>
        <v>123</v>
      </c>
      <c r="FF1965" s="118" t="str">
        <f t="shared" si="236"/>
        <v/>
      </c>
      <c r="FI1965" s="16">
        <v>1962</v>
      </c>
      <c r="FJ1965" s="17" t="str">
        <f t="shared" si="237"/>
        <v/>
      </c>
      <c r="FK1965" s="17" t="str">
        <f t="shared" si="233"/>
        <v/>
      </c>
      <c r="FL1965" s="18" t="str">
        <f t="shared" si="238"/>
        <v/>
      </c>
    </row>
    <row r="1966" spans="159:168">
      <c r="FC1966" s="118">
        <v>1963</v>
      </c>
      <c r="FD1966" s="118">
        <f t="shared" si="234"/>
        <v>11</v>
      </c>
      <c r="FE1966" s="118">
        <f t="shared" si="235"/>
        <v>123</v>
      </c>
      <c r="FF1966" s="118" t="str">
        <f t="shared" si="236"/>
        <v/>
      </c>
      <c r="FI1966" s="16">
        <v>1963</v>
      </c>
      <c r="FJ1966" s="17" t="str">
        <f t="shared" si="237"/>
        <v/>
      </c>
      <c r="FK1966" s="17" t="str">
        <f t="shared" si="233"/>
        <v/>
      </c>
      <c r="FL1966" s="18" t="str">
        <f t="shared" si="238"/>
        <v/>
      </c>
    </row>
    <row r="1967" spans="159:168">
      <c r="FC1967" s="118">
        <v>1964</v>
      </c>
      <c r="FD1967" s="118">
        <f t="shared" si="234"/>
        <v>12</v>
      </c>
      <c r="FE1967" s="118">
        <f t="shared" si="235"/>
        <v>123</v>
      </c>
      <c r="FF1967" s="118" t="str">
        <f t="shared" si="236"/>
        <v/>
      </c>
      <c r="FI1967" s="16">
        <v>1964</v>
      </c>
      <c r="FJ1967" s="17" t="str">
        <f t="shared" si="237"/>
        <v/>
      </c>
      <c r="FK1967" s="17" t="str">
        <f t="shared" si="233"/>
        <v/>
      </c>
      <c r="FL1967" s="18" t="str">
        <f t="shared" si="238"/>
        <v/>
      </c>
    </row>
    <row r="1968" spans="159:168">
      <c r="FC1968" s="118">
        <v>1965</v>
      </c>
      <c r="FD1968" s="118">
        <f t="shared" si="234"/>
        <v>13</v>
      </c>
      <c r="FE1968" s="118">
        <f t="shared" si="235"/>
        <v>123</v>
      </c>
      <c r="FF1968" s="118" t="str">
        <f t="shared" si="236"/>
        <v/>
      </c>
      <c r="FI1968" s="16">
        <v>1965</v>
      </c>
      <c r="FJ1968" s="17" t="str">
        <f t="shared" si="237"/>
        <v/>
      </c>
      <c r="FK1968" s="17" t="str">
        <f t="shared" si="233"/>
        <v/>
      </c>
      <c r="FL1968" s="18" t="str">
        <f t="shared" si="238"/>
        <v/>
      </c>
    </row>
    <row r="1969" spans="159:168">
      <c r="FC1969" s="118">
        <v>1966</v>
      </c>
      <c r="FD1969" s="118">
        <f t="shared" si="234"/>
        <v>14</v>
      </c>
      <c r="FE1969" s="118">
        <f t="shared" si="235"/>
        <v>123</v>
      </c>
      <c r="FF1969" s="118" t="str">
        <f t="shared" si="236"/>
        <v/>
      </c>
      <c r="FI1969" s="16">
        <v>1966</v>
      </c>
      <c r="FJ1969" s="17" t="str">
        <f t="shared" si="237"/>
        <v/>
      </c>
      <c r="FK1969" s="17" t="str">
        <f t="shared" si="233"/>
        <v/>
      </c>
      <c r="FL1969" s="18" t="str">
        <f t="shared" si="238"/>
        <v/>
      </c>
    </row>
    <row r="1970" spans="159:168">
      <c r="FC1970" s="118">
        <v>1967</v>
      </c>
      <c r="FD1970" s="118">
        <f t="shared" si="234"/>
        <v>15</v>
      </c>
      <c r="FE1970" s="118">
        <f t="shared" si="235"/>
        <v>123</v>
      </c>
      <c r="FF1970" s="118" t="str">
        <f t="shared" si="236"/>
        <v/>
      </c>
      <c r="FI1970" s="16">
        <v>1967</v>
      </c>
      <c r="FJ1970" s="17" t="str">
        <f t="shared" si="237"/>
        <v/>
      </c>
      <c r="FK1970" s="17" t="str">
        <f t="shared" si="233"/>
        <v/>
      </c>
      <c r="FL1970" s="18" t="str">
        <f t="shared" si="238"/>
        <v/>
      </c>
    </row>
    <row r="1971" spans="159:168">
      <c r="FC1971" s="118">
        <v>1968</v>
      </c>
      <c r="FD1971" s="118">
        <f t="shared" si="234"/>
        <v>16</v>
      </c>
      <c r="FE1971" s="118">
        <f t="shared" si="235"/>
        <v>123</v>
      </c>
      <c r="FF1971" s="118" t="str">
        <f t="shared" si="236"/>
        <v/>
      </c>
      <c r="FI1971" s="16">
        <v>1968</v>
      </c>
      <c r="FJ1971" s="17" t="str">
        <f t="shared" si="237"/>
        <v/>
      </c>
      <c r="FK1971" s="17" t="str">
        <f t="shared" si="233"/>
        <v/>
      </c>
      <c r="FL1971" s="18" t="str">
        <f t="shared" si="238"/>
        <v/>
      </c>
    </row>
    <row r="1972" spans="159:168">
      <c r="FC1972" s="118">
        <v>1969</v>
      </c>
      <c r="FD1972" s="118">
        <f t="shared" si="234"/>
        <v>1</v>
      </c>
      <c r="FE1972" s="118">
        <f t="shared" si="235"/>
        <v>124</v>
      </c>
      <c r="FF1972" s="118" t="str">
        <f t="shared" si="236"/>
        <v/>
      </c>
      <c r="FI1972" s="16">
        <v>1969</v>
      </c>
      <c r="FJ1972" s="17" t="str">
        <f t="shared" si="237"/>
        <v/>
      </c>
      <c r="FK1972" s="17" t="str">
        <f t="shared" si="233"/>
        <v/>
      </c>
      <c r="FL1972" s="18" t="str">
        <f t="shared" si="238"/>
        <v/>
      </c>
    </row>
    <row r="1973" spans="159:168">
      <c r="FC1973" s="118">
        <v>1970</v>
      </c>
      <c r="FD1973" s="118">
        <f t="shared" si="234"/>
        <v>2</v>
      </c>
      <c r="FE1973" s="118">
        <f t="shared" si="235"/>
        <v>124</v>
      </c>
      <c r="FF1973" s="118" t="str">
        <f t="shared" si="236"/>
        <v/>
      </c>
      <c r="FI1973" s="16">
        <v>1970</v>
      </c>
      <c r="FJ1973" s="17" t="str">
        <f t="shared" si="237"/>
        <v/>
      </c>
      <c r="FK1973" s="17" t="str">
        <f t="shared" si="233"/>
        <v/>
      </c>
      <c r="FL1973" s="18" t="str">
        <f t="shared" si="238"/>
        <v/>
      </c>
    </row>
    <row r="1974" spans="159:168">
      <c r="FC1974" s="118">
        <v>1971</v>
      </c>
      <c r="FD1974" s="118">
        <f t="shared" si="234"/>
        <v>3</v>
      </c>
      <c r="FE1974" s="118">
        <f t="shared" si="235"/>
        <v>124</v>
      </c>
      <c r="FF1974" s="118" t="str">
        <f t="shared" si="236"/>
        <v/>
      </c>
      <c r="FI1974" s="16">
        <v>1971</v>
      </c>
      <c r="FJ1974" s="17" t="str">
        <f t="shared" si="237"/>
        <v/>
      </c>
      <c r="FK1974" s="17" t="str">
        <f t="shared" si="233"/>
        <v/>
      </c>
      <c r="FL1974" s="18" t="str">
        <f t="shared" si="238"/>
        <v/>
      </c>
    </row>
    <row r="1975" spans="159:168">
      <c r="FC1975" s="118">
        <v>1972</v>
      </c>
      <c r="FD1975" s="118">
        <f t="shared" si="234"/>
        <v>4</v>
      </c>
      <c r="FE1975" s="118">
        <f t="shared" si="235"/>
        <v>124</v>
      </c>
      <c r="FF1975" s="118" t="str">
        <f t="shared" si="236"/>
        <v/>
      </c>
      <c r="FI1975" s="16">
        <v>1972</v>
      </c>
      <c r="FJ1975" s="17" t="str">
        <f t="shared" si="237"/>
        <v/>
      </c>
      <c r="FK1975" s="17" t="str">
        <f t="shared" si="233"/>
        <v/>
      </c>
      <c r="FL1975" s="18" t="str">
        <f t="shared" si="238"/>
        <v/>
      </c>
    </row>
    <row r="1976" spans="159:168">
      <c r="FC1976" s="118">
        <v>1973</v>
      </c>
      <c r="FD1976" s="118">
        <f t="shared" si="234"/>
        <v>5</v>
      </c>
      <c r="FE1976" s="118">
        <f t="shared" si="235"/>
        <v>124</v>
      </c>
      <c r="FF1976" s="118" t="str">
        <f t="shared" si="236"/>
        <v/>
      </c>
      <c r="FI1976" s="16">
        <v>1973</v>
      </c>
      <c r="FJ1976" s="17" t="str">
        <f t="shared" si="237"/>
        <v/>
      </c>
      <c r="FK1976" s="17" t="str">
        <f t="shared" si="233"/>
        <v/>
      </c>
      <c r="FL1976" s="18" t="str">
        <f t="shared" si="238"/>
        <v/>
      </c>
    </row>
    <row r="1977" spans="159:168">
      <c r="FC1977" s="118">
        <v>1974</v>
      </c>
      <c r="FD1977" s="118">
        <f t="shared" si="234"/>
        <v>6</v>
      </c>
      <c r="FE1977" s="118">
        <f t="shared" si="235"/>
        <v>124</v>
      </c>
      <c r="FF1977" s="118" t="str">
        <f t="shared" si="236"/>
        <v/>
      </c>
      <c r="FI1977" s="16">
        <v>1974</v>
      </c>
      <c r="FJ1977" s="17" t="str">
        <f t="shared" si="237"/>
        <v/>
      </c>
      <c r="FK1977" s="17" t="str">
        <f t="shared" si="233"/>
        <v/>
      </c>
      <c r="FL1977" s="18" t="str">
        <f t="shared" si="238"/>
        <v/>
      </c>
    </row>
    <row r="1978" spans="159:168">
      <c r="FC1978" s="118">
        <v>1975</v>
      </c>
      <c r="FD1978" s="118">
        <f t="shared" si="234"/>
        <v>7</v>
      </c>
      <c r="FE1978" s="118">
        <f t="shared" si="235"/>
        <v>124</v>
      </c>
      <c r="FF1978" s="118" t="str">
        <f t="shared" si="236"/>
        <v/>
      </c>
      <c r="FI1978" s="16">
        <v>1975</v>
      </c>
      <c r="FJ1978" s="17" t="str">
        <f t="shared" si="237"/>
        <v/>
      </c>
      <c r="FK1978" s="17" t="str">
        <f t="shared" si="233"/>
        <v/>
      </c>
      <c r="FL1978" s="18" t="str">
        <f t="shared" si="238"/>
        <v/>
      </c>
    </row>
    <row r="1979" spans="159:168">
      <c r="FC1979" s="118">
        <v>1976</v>
      </c>
      <c r="FD1979" s="118">
        <f t="shared" si="234"/>
        <v>8</v>
      </c>
      <c r="FE1979" s="118">
        <f t="shared" si="235"/>
        <v>124</v>
      </c>
      <c r="FF1979" s="118" t="str">
        <f t="shared" si="236"/>
        <v/>
      </c>
      <c r="FI1979" s="16">
        <v>1976</v>
      </c>
      <c r="FJ1979" s="17" t="str">
        <f t="shared" si="237"/>
        <v/>
      </c>
      <c r="FK1979" s="17" t="str">
        <f t="shared" si="233"/>
        <v/>
      </c>
      <c r="FL1979" s="18" t="str">
        <f t="shared" si="238"/>
        <v/>
      </c>
    </row>
    <row r="1980" spans="159:168">
      <c r="FC1980" s="118">
        <v>1977</v>
      </c>
      <c r="FD1980" s="118">
        <f t="shared" si="234"/>
        <v>9</v>
      </c>
      <c r="FE1980" s="118">
        <f t="shared" si="235"/>
        <v>124</v>
      </c>
      <c r="FF1980" s="118" t="str">
        <f t="shared" si="236"/>
        <v/>
      </c>
      <c r="FI1980" s="16">
        <v>1977</v>
      </c>
      <c r="FJ1980" s="17" t="str">
        <f t="shared" si="237"/>
        <v/>
      </c>
      <c r="FK1980" s="17" t="str">
        <f t="shared" si="233"/>
        <v/>
      </c>
      <c r="FL1980" s="18" t="str">
        <f t="shared" si="238"/>
        <v/>
      </c>
    </row>
    <row r="1981" spans="159:168">
      <c r="FC1981" s="118">
        <v>1978</v>
      </c>
      <c r="FD1981" s="118">
        <f t="shared" si="234"/>
        <v>10</v>
      </c>
      <c r="FE1981" s="118">
        <f t="shared" si="235"/>
        <v>124</v>
      </c>
      <c r="FF1981" s="118" t="str">
        <f t="shared" si="236"/>
        <v/>
      </c>
      <c r="FI1981" s="16">
        <v>1978</v>
      </c>
      <c r="FJ1981" s="17" t="str">
        <f t="shared" si="237"/>
        <v/>
      </c>
      <c r="FK1981" s="17" t="str">
        <f t="shared" si="233"/>
        <v/>
      </c>
      <c r="FL1981" s="18" t="str">
        <f t="shared" si="238"/>
        <v/>
      </c>
    </row>
    <row r="1982" spans="159:168">
      <c r="FC1982" s="118">
        <v>1979</v>
      </c>
      <c r="FD1982" s="118">
        <f t="shared" si="234"/>
        <v>11</v>
      </c>
      <c r="FE1982" s="118">
        <f t="shared" si="235"/>
        <v>124</v>
      </c>
      <c r="FF1982" s="118" t="str">
        <f t="shared" si="236"/>
        <v/>
      </c>
      <c r="FI1982" s="16">
        <v>1979</v>
      </c>
      <c r="FJ1982" s="17" t="str">
        <f t="shared" si="237"/>
        <v/>
      </c>
      <c r="FK1982" s="17" t="str">
        <f t="shared" si="233"/>
        <v/>
      </c>
      <c r="FL1982" s="18" t="str">
        <f t="shared" si="238"/>
        <v/>
      </c>
    </row>
    <row r="1983" spans="159:168">
      <c r="FC1983" s="118">
        <v>1980</v>
      </c>
      <c r="FD1983" s="118">
        <f t="shared" si="234"/>
        <v>12</v>
      </c>
      <c r="FE1983" s="118">
        <f t="shared" si="235"/>
        <v>124</v>
      </c>
      <c r="FF1983" s="118" t="str">
        <f t="shared" si="236"/>
        <v/>
      </c>
      <c r="FI1983" s="16">
        <v>1980</v>
      </c>
      <c r="FJ1983" s="17" t="str">
        <f t="shared" si="237"/>
        <v/>
      </c>
      <c r="FK1983" s="17" t="str">
        <f t="shared" si="233"/>
        <v/>
      </c>
      <c r="FL1983" s="18" t="str">
        <f t="shared" si="238"/>
        <v/>
      </c>
    </row>
    <row r="1984" spans="159:168">
      <c r="FC1984" s="118">
        <v>1981</v>
      </c>
      <c r="FD1984" s="118">
        <f t="shared" si="234"/>
        <v>13</v>
      </c>
      <c r="FE1984" s="118">
        <f t="shared" si="235"/>
        <v>124</v>
      </c>
      <c r="FF1984" s="118" t="str">
        <f t="shared" si="236"/>
        <v/>
      </c>
      <c r="FI1984" s="16">
        <v>1981</v>
      </c>
      <c r="FJ1984" s="17" t="str">
        <f t="shared" si="237"/>
        <v/>
      </c>
      <c r="FK1984" s="17" t="str">
        <f t="shared" si="233"/>
        <v/>
      </c>
      <c r="FL1984" s="18" t="str">
        <f t="shared" si="238"/>
        <v/>
      </c>
    </row>
    <row r="1985" spans="159:168">
      <c r="FC1985" s="118">
        <v>1982</v>
      </c>
      <c r="FD1985" s="118">
        <f t="shared" si="234"/>
        <v>14</v>
      </c>
      <c r="FE1985" s="118">
        <f t="shared" si="235"/>
        <v>124</v>
      </c>
      <c r="FF1985" s="118" t="str">
        <f t="shared" si="236"/>
        <v/>
      </c>
      <c r="FI1985" s="16">
        <v>1982</v>
      </c>
      <c r="FJ1985" s="17" t="str">
        <f t="shared" si="237"/>
        <v/>
      </c>
      <c r="FK1985" s="17" t="str">
        <f t="shared" si="233"/>
        <v/>
      </c>
      <c r="FL1985" s="18" t="str">
        <f t="shared" si="238"/>
        <v/>
      </c>
    </row>
    <row r="1986" spans="159:168">
      <c r="FC1986" s="118">
        <v>1983</v>
      </c>
      <c r="FD1986" s="118">
        <f t="shared" si="234"/>
        <v>15</v>
      </c>
      <c r="FE1986" s="118">
        <f t="shared" si="235"/>
        <v>124</v>
      </c>
      <c r="FF1986" s="118" t="str">
        <f t="shared" si="236"/>
        <v/>
      </c>
      <c r="FI1986" s="16">
        <v>1983</v>
      </c>
      <c r="FJ1986" s="17" t="str">
        <f t="shared" si="237"/>
        <v/>
      </c>
      <c r="FK1986" s="17" t="str">
        <f t="shared" si="233"/>
        <v/>
      </c>
      <c r="FL1986" s="18" t="str">
        <f t="shared" si="238"/>
        <v/>
      </c>
    </row>
    <row r="1987" spans="159:168">
      <c r="FC1987" s="118">
        <v>1984</v>
      </c>
      <c r="FD1987" s="118">
        <f t="shared" si="234"/>
        <v>16</v>
      </c>
      <c r="FE1987" s="118">
        <f t="shared" si="235"/>
        <v>124</v>
      </c>
      <c r="FF1987" s="118" t="str">
        <f t="shared" si="236"/>
        <v/>
      </c>
      <c r="FI1987" s="16">
        <v>1984</v>
      </c>
      <c r="FJ1987" s="17" t="str">
        <f t="shared" si="237"/>
        <v/>
      </c>
      <c r="FK1987" s="17" t="str">
        <f t="shared" si="233"/>
        <v/>
      </c>
      <c r="FL1987" s="18" t="str">
        <f t="shared" si="238"/>
        <v/>
      </c>
    </row>
    <row r="1988" spans="159:168">
      <c r="FC1988" s="118">
        <v>1985</v>
      </c>
      <c r="FD1988" s="118">
        <f t="shared" si="234"/>
        <v>1</v>
      </c>
      <c r="FE1988" s="118">
        <f t="shared" si="235"/>
        <v>125</v>
      </c>
      <c r="FF1988" s="118" t="str">
        <f t="shared" si="236"/>
        <v/>
      </c>
      <c r="FI1988" s="16">
        <v>1985</v>
      </c>
      <c r="FJ1988" s="17" t="str">
        <f t="shared" si="237"/>
        <v/>
      </c>
      <c r="FK1988" s="17" t="str">
        <f t="shared" si="233"/>
        <v/>
      </c>
      <c r="FL1988" s="18" t="str">
        <f t="shared" si="238"/>
        <v/>
      </c>
    </row>
    <row r="1989" spans="159:168">
      <c r="FC1989" s="118">
        <v>1986</v>
      </c>
      <c r="FD1989" s="118">
        <f t="shared" si="234"/>
        <v>2</v>
      </c>
      <c r="FE1989" s="118">
        <f t="shared" si="235"/>
        <v>125</v>
      </c>
      <c r="FF1989" s="118" t="str">
        <f t="shared" si="236"/>
        <v/>
      </c>
      <c r="FI1989" s="16">
        <v>1986</v>
      </c>
      <c r="FJ1989" s="17" t="str">
        <f t="shared" si="237"/>
        <v/>
      </c>
      <c r="FK1989" s="17" t="str">
        <f t="shared" ref="FK1989:FK2052" si="239">IF(FI1989&lt;=$FH$2,FF1989,IF(FI1989&lt;=$FH$2+$FH$3,INDEX($FJ$4:$FJ$2494,FI1989-$FH$2),""))</f>
        <v/>
      </c>
      <c r="FL1989" s="18" t="str">
        <f t="shared" si="238"/>
        <v/>
      </c>
    </row>
    <row r="1990" spans="159:168">
      <c r="FC1990" s="118">
        <v>1987</v>
      </c>
      <c r="FD1990" s="118">
        <f t="shared" si="234"/>
        <v>3</v>
      </c>
      <c r="FE1990" s="118">
        <f t="shared" si="235"/>
        <v>125</v>
      </c>
      <c r="FF1990" s="118" t="str">
        <f t="shared" si="236"/>
        <v/>
      </c>
      <c r="FI1990" s="16">
        <v>1987</v>
      </c>
      <c r="FJ1990" s="17" t="str">
        <f t="shared" si="237"/>
        <v/>
      </c>
      <c r="FK1990" s="17" t="str">
        <f t="shared" si="239"/>
        <v/>
      </c>
      <c r="FL1990" s="18" t="str">
        <f t="shared" si="238"/>
        <v/>
      </c>
    </row>
    <row r="1991" spans="159:168">
      <c r="FC1991" s="118">
        <v>1988</v>
      </c>
      <c r="FD1991" s="118">
        <f t="shared" si="234"/>
        <v>4</v>
      </c>
      <c r="FE1991" s="118">
        <f t="shared" si="235"/>
        <v>125</v>
      </c>
      <c r="FF1991" s="118" t="str">
        <f t="shared" si="236"/>
        <v/>
      </c>
      <c r="FI1991" s="16">
        <v>1988</v>
      </c>
      <c r="FJ1991" s="17" t="str">
        <f t="shared" si="237"/>
        <v/>
      </c>
      <c r="FK1991" s="17" t="str">
        <f t="shared" si="239"/>
        <v/>
      </c>
      <c r="FL1991" s="18" t="str">
        <f t="shared" si="238"/>
        <v/>
      </c>
    </row>
    <row r="1992" spans="159:168">
      <c r="FC1992" s="118">
        <v>1989</v>
      </c>
      <c r="FD1992" s="118">
        <f t="shared" si="234"/>
        <v>5</v>
      </c>
      <c r="FE1992" s="118">
        <f t="shared" si="235"/>
        <v>125</v>
      </c>
      <c r="FF1992" s="118" t="str">
        <f t="shared" si="236"/>
        <v/>
      </c>
      <c r="FI1992" s="16">
        <v>1989</v>
      </c>
      <c r="FJ1992" s="17" t="str">
        <f t="shared" si="237"/>
        <v/>
      </c>
      <c r="FK1992" s="17" t="str">
        <f t="shared" si="239"/>
        <v/>
      </c>
      <c r="FL1992" s="18" t="str">
        <f t="shared" si="238"/>
        <v/>
      </c>
    </row>
    <row r="1993" spans="159:168">
      <c r="FC1993" s="118">
        <v>1990</v>
      </c>
      <c r="FD1993" s="118">
        <f t="shared" si="234"/>
        <v>6</v>
      </c>
      <c r="FE1993" s="118">
        <f t="shared" si="235"/>
        <v>125</v>
      </c>
      <c r="FF1993" s="118" t="str">
        <f t="shared" si="236"/>
        <v/>
      </c>
      <c r="FI1993" s="16">
        <v>1990</v>
      </c>
      <c r="FJ1993" s="17" t="str">
        <f t="shared" si="237"/>
        <v/>
      </c>
      <c r="FK1993" s="17" t="str">
        <f t="shared" si="239"/>
        <v/>
      </c>
      <c r="FL1993" s="18" t="str">
        <f t="shared" si="238"/>
        <v/>
      </c>
    </row>
    <row r="1994" spans="159:168">
      <c r="FC1994" s="118">
        <v>1991</v>
      </c>
      <c r="FD1994" s="118">
        <f t="shared" si="234"/>
        <v>7</v>
      </c>
      <c r="FE1994" s="118">
        <f t="shared" si="235"/>
        <v>125</v>
      </c>
      <c r="FF1994" s="118" t="str">
        <f t="shared" si="236"/>
        <v/>
      </c>
      <c r="FI1994" s="16">
        <v>1991</v>
      </c>
      <c r="FJ1994" s="17" t="str">
        <f t="shared" si="237"/>
        <v/>
      </c>
      <c r="FK1994" s="17" t="str">
        <f t="shared" si="239"/>
        <v/>
      </c>
      <c r="FL1994" s="18" t="str">
        <f t="shared" si="238"/>
        <v/>
      </c>
    </row>
    <row r="1995" spans="159:168">
      <c r="FC1995" s="118">
        <v>1992</v>
      </c>
      <c r="FD1995" s="118">
        <f t="shared" si="234"/>
        <v>8</v>
      </c>
      <c r="FE1995" s="118">
        <f t="shared" si="235"/>
        <v>125</v>
      </c>
      <c r="FF1995" s="118" t="str">
        <f t="shared" si="236"/>
        <v/>
      </c>
      <c r="FI1995" s="16">
        <v>1992</v>
      </c>
      <c r="FJ1995" s="17" t="str">
        <f t="shared" si="237"/>
        <v/>
      </c>
      <c r="FK1995" s="17" t="str">
        <f t="shared" si="239"/>
        <v/>
      </c>
      <c r="FL1995" s="18" t="str">
        <f t="shared" si="238"/>
        <v/>
      </c>
    </row>
    <row r="1996" spans="159:168">
      <c r="FC1996" s="118">
        <v>1993</v>
      </c>
      <c r="FD1996" s="118">
        <f t="shared" si="234"/>
        <v>9</v>
      </c>
      <c r="FE1996" s="118">
        <f t="shared" si="235"/>
        <v>125</v>
      </c>
      <c r="FF1996" s="118" t="str">
        <f t="shared" si="236"/>
        <v/>
      </c>
      <c r="FI1996" s="16">
        <v>1993</v>
      </c>
      <c r="FJ1996" s="17" t="str">
        <f t="shared" si="237"/>
        <v/>
      </c>
      <c r="FK1996" s="17" t="str">
        <f t="shared" si="239"/>
        <v/>
      </c>
      <c r="FL1996" s="18" t="str">
        <f t="shared" si="238"/>
        <v/>
      </c>
    </row>
    <row r="1997" spans="159:168">
      <c r="FC1997" s="118">
        <v>1994</v>
      </c>
      <c r="FD1997" s="118">
        <f t="shared" si="234"/>
        <v>10</v>
      </c>
      <c r="FE1997" s="118">
        <f t="shared" si="235"/>
        <v>125</v>
      </c>
      <c r="FF1997" s="118" t="str">
        <f t="shared" si="236"/>
        <v/>
      </c>
      <c r="FI1997" s="16">
        <v>1994</v>
      </c>
      <c r="FJ1997" s="17" t="str">
        <f t="shared" si="237"/>
        <v/>
      </c>
      <c r="FK1997" s="17" t="str">
        <f t="shared" si="239"/>
        <v/>
      </c>
      <c r="FL1997" s="18" t="str">
        <f t="shared" si="238"/>
        <v/>
      </c>
    </row>
    <row r="1998" spans="159:168">
      <c r="FC1998" s="118">
        <v>1995</v>
      </c>
      <c r="FD1998" s="118">
        <f t="shared" si="234"/>
        <v>11</v>
      </c>
      <c r="FE1998" s="118">
        <f t="shared" si="235"/>
        <v>125</v>
      </c>
      <c r="FF1998" s="118" t="str">
        <f t="shared" si="236"/>
        <v/>
      </c>
      <c r="FI1998" s="16">
        <v>1995</v>
      </c>
      <c r="FJ1998" s="17" t="str">
        <f t="shared" si="237"/>
        <v/>
      </c>
      <c r="FK1998" s="17" t="str">
        <f t="shared" si="239"/>
        <v/>
      </c>
      <c r="FL1998" s="18" t="str">
        <f t="shared" si="238"/>
        <v/>
      </c>
    </row>
    <row r="1999" spans="159:168">
      <c r="FC1999" s="118">
        <v>1996</v>
      </c>
      <c r="FD1999" s="118">
        <f t="shared" si="234"/>
        <v>12</v>
      </c>
      <c r="FE1999" s="118">
        <f t="shared" si="235"/>
        <v>125</v>
      </c>
      <c r="FF1999" s="118" t="str">
        <f t="shared" si="236"/>
        <v/>
      </c>
      <c r="FI1999" s="16">
        <v>1996</v>
      </c>
      <c r="FJ1999" s="17" t="str">
        <f t="shared" si="237"/>
        <v/>
      </c>
      <c r="FK1999" s="17" t="str">
        <f t="shared" si="239"/>
        <v/>
      </c>
      <c r="FL1999" s="18" t="str">
        <f t="shared" si="238"/>
        <v/>
      </c>
    </row>
    <row r="2000" spans="159:168">
      <c r="FC2000" s="118">
        <v>1997</v>
      </c>
      <c r="FD2000" s="118">
        <f t="shared" si="234"/>
        <v>13</v>
      </c>
      <c r="FE2000" s="118">
        <f t="shared" si="235"/>
        <v>125</v>
      </c>
      <c r="FF2000" s="118" t="str">
        <f t="shared" si="236"/>
        <v/>
      </c>
      <c r="FI2000" s="16">
        <v>1997</v>
      </c>
      <c r="FJ2000" s="17" t="str">
        <f t="shared" si="237"/>
        <v/>
      </c>
      <c r="FK2000" s="17" t="str">
        <f t="shared" si="239"/>
        <v/>
      </c>
      <c r="FL2000" s="18" t="str">
        <f t="shared" si="238"/>
        <v/>
      </c>
    </row>
    <row r="2001" spans="159:168">
      <c r="FC2001" s="118">
        <v>1998</v>
      </c>
      <c r="FD2001" s="118">
        <f t="shared" si="234"/>
        <v>14</v>
      </c>
      <c r="FE2001" s="118">
        <f t="shared" si="235"/>
        <v>125</v>
      </c>
      <c r="FF2001" s="118" t="str">
        <f t="shared" si="236"/>
        <v/>
      </c>
      <c r="FI2001" s="16">
        <v>1998</v>
      </c>
      <c r="FJ2001" s="17" t="str">
        <f t="shared" si="237"/>
        <v/>
      </c>
      <c r="FK2001" s="17" t="str">
        <f t="shared" si="239"/>
        <v/>
      </c>
      <c r="FL2001" s="18" t="str">
        <f t="shared" si="238"/>
        <v/>
      </c>
    </row>
    <row r="2002" spans="159:168">
      <c r="FC2002" s="118">
        <v>1999</v>
      </c>
      <c r="FD2002" s="118">
        <f t="shared" si="234"/>
        <v>15</v>
      </c>
      <c r="FE2002" s="118">
        <f t="shared" si="235"/>
        <v>125</v>
      </c>
      <c r="FF2002" s="118" t="str">
        <f t="shared" si="236"/>
        <v/>
      </c>
      <c r="FI2002" s="16">
        <v>1999</v>
      </c>
      <c r="FJ2002" s="17" t="str">
        <f t="shared" si="237"/>
        <v/>
      </c>
      <c r="FK2002" s="17" t="str">
        <f t="shared" si="239"/>
        <v/>
      </c>
      <c r="FL2002" s="18" t="str">
        <f t="shared" si="238"/>
        <v/>
      </c>
    </row>
    <row r="2003" spans="159:168">
      <c r="FC2003" s="118">
        <v>2000</v>
      </c>
      <c r="FD2003" s="118">
        <f t="shared" si="234"/>
        <v>16</v>
      </c>
      <c r="FE2003" s="118">
        <f t="shared" si="235"/>
        <v>125</v>
      </c>
      <c r="FF2003" s="118" t="str">
        <f t="shared" si="236"/>
        <v/>
      </c>
      <c r="FI2003" s="16">
        <v>2000</v>
      </c>
      <c r="FJ2003" s="17" t="str">
        <f t="shared" si="237"/>
        <v/>
      </c>
      <c r="FK2003" s="17" t="str">
        <f t="shared" si="239"/>
        <v/>
      </c>
      <c r="FL2003" s="18" t="str">
        <f t="shared" si="238"/>
        <v/>
      </c>
    </row>
    <row r="2004" spans="159:168">
      <c r="FC2004" s="118">
        <v>2001</v>
      </c>
      <c r="FD2004" s="118">
        <f t="shared" si="234"/>
        <v>1</v>
      </c>
      <c r="FE2004" s="118">
        <f t="shared" si="235"/>
        <v>126</v>
      </c>
      <c r="FF2004" s="118" t="str">
        <f t="shared" si="236"/>
        <v/>
      </c>
      <c r="FI2004" s="16">
        <v>2001</v>
      </c>
      <c r="FJ2004" s="17" t="str">
        <f t="shared" si="237"/>
        <v/>
      </c>
      <c r="FK2004" s="17" t="str">
        <f t="shared" si="239"/>
        <v/>
      </c>
      <c r="FL2004" s="18" t="str">
        <f t="shared" si="238"/>
        <v/>
      </c>
    </row>
    <row r="2005" spans="159:168">
      <c r="FC2005" s="118">
        <v>2002</v>
      </c>
      <c r="FD2005" s="118">
        <f t="shared" si="234"/>
        <v>2</v>
      </c>
      <c r="FE2005" s="118">
        <f t="shared" si="235"/>
        <v>126</v>
      </c>
      <c r="FF2005" s="118" t="str">
        <f t="shared" si="236"/>
        <v/>
      </c>
      <c r="FI2005" s="16">
        <v>2002</v>
      </c>
      <c r="FJ2005" s="17" t="str">
        <f t="shared" si="237"/>
        <v/>
      </c>
      <c r="FK2005" s="17" t="str">
        <f t="shared" si="239"/>
        <v/>
      </c>
      <c r="FL2005" s="18" t="str">
        <f t="shared" si="238"/>
        <v/>
      </c>
    </row>
    <row r="2006" spans="159:168">
      <c r="FC2006" s="118">
        <v>2003</v>
      </c>
      <c r="FD2006" s="118">
        <f t="shared" ref="FD2006:FD2069" si="240">IF(MOD(FC2006,$FB$1+$FB$2)=0,$FB$1+$FB$2,MOD(FC2006,$FB$1+$FB$2))</f>
        <v>3</v>
      </c>
      <c r="FE2006" s="118">
        <f t="shared" ref="FE2006:FE2069" si="241">ROUNDUP(FC2006/($FB$1+$FB$2),0)</f>
        <v>126</v>
      </c>
      <c r="FF2006" s="118" t="str">
        <f t="shared" ref="FF2006:FF2069" si="242">IF(FE2006&lt;$FB$3,INDEX($E$4:$DV$84,FD2006,FE2006),IF(FE2006=$FB$3,INDEX($E$4:$DV$84,FD2006+$FB$1,FE2006),""))</f>
        <v/>
      </c>
      <c r="FI2006" s="16">
        <v>2003</v>
      </c>
      <c r="FJ2006" s="17" t="str">
        <f t="shared" ref="FJ2006:FJ2069" si="243">IF(FE2006&lt;=$FH$1,INDEX($DW$4:$EZ$84,FD2006,FE2006),"")</f>
        <v/>
      </c>
      <c r="FK2006" s="17" t="str">
        <f t="shared" si="239"/>
        <v/>
      </c>
      <c r="FL2006" s="18" t="str">
        <f t="shared" ref="FL2006:FL2069" si="244">IFERROR(TEXT(DEC2BIN(FK2006),"00000000"),"")</f>
        <v/>
      </c>
    </row>
    <row r="2007" spans="159:168">
      <c r="FC2007" s="118">
        <v>2004</v>
      </c>
      <c r="FD2007" s="118">
        <f t="shared" si="240"/>
        <v>4</v>
      </c>
      <c r="FE2007" s="118">
        <f t="shared" si="241"/>
        <v>126</v>
      </c>
      <c r="FF2007" s="118" t="str">
        <f t="shared" si="242"/>
        <v/>
      </c>
      <c r="FI2007" s="16">
        <v>2004</v>
      </c>
      <c r="FJ2007" s="17" t="str">
        <f t="shared" si="243"/>
        <v/>
      </c>
      <c r="FK2007" s="17" t="str">
        <f t="shared" si="239"/>
        <v/>
      </c>
      <c r="FL2007" s="18" t="str">
        <f t="shared" si="244"/>
        <v/>
      </c>
    </row>
    <row r="2008" spans="159:168">
      <c r="FC2008" s="118">
        <v>2005</v>
      </c>
      <c r="FD2008" s="118">
        <f t="shared" si="240"/>
        <v>5</v>
      </c>
      <c r="FE2008" s="118">
        <f t="shared" si="241"/>
        <v>126</v>
      </c>
      <c r="FF2008" s="118" t="str">
        <f t="shared" si="242"/>
        <v/>
      </c>
      <c r="FI2008" s="16">
        <v>2005</v>
      </c>
      <c r="FJ2008" s="17" t="str">
        <f t="shared" si="243"/>
        <v/>
      </c>
      <c r="FK2008" s="17" t="str">
        <f t="shared" si="239"/>
        <v/>
      </c>
      <c r="FL2008" s="18" t="str">
        <f t="shared" si="244"/>
        <v/>
      </c>
    </row>
    <row r="2009" spans="159:168">
      <c r="FC2009" s="118">
        <v>2006</v>
      </c>
      <c r="FD2009" s="118">
        <f t="shared" si="240"/>
        <v>6</v>
      </c>
      <c r="FE2009" s="118">
        <f t="shared" si="241"/>
        <v>126</v>
      </c>
      <c r="FF2009" s="118" t="str">
        <f t="shared" si="242"/>
        <v/>
      </c>
      <c r="FI2009" s="16">
        <v>2006</v>
      </c>
      <c r="FJ2009" s="17" t="str">
        <f t="shared" si="243"/>
        <v/>
      </c>
      <c r="FK2009" s="17" t="str">
        <f t="shared" si="239"/>
        <v/>
      </c>
      <c r="FL2009" s="18" t="str">
        <f t="shared" si="244"/>
        <v/>
      </c>
    </row>
    <row r="2010" spans="159:168">
      <c r="FC2010" s="118">
        <v>2007</v>
      </c>
      <c r="FD2010" s="118">
        <f t="shared" si="240"/>
        <v>7</v>
      </c>
      <c r="FE2010" s="118">
        <f t="shared" si="241"/>
        <v>126</v>
      </c>
      <c r="FF2010" s="118" t="str">
        <f t="shared" si="242"/>
        <v/>
      </c>
      <c r="FI2010" s="16">
        <v>2007</v>
      </c>
      <c r="FJ2010" s="17" t="str">
        <f t="shared" si="243"/>
        <v/>
      </c>
      <c r="FK2010" s="17" t="str">
        <f t="shared" si="239"/>
        <v/>
      </c>
      <c r="FL2010" s="18" t="str">
        <f t="shared" si="244"/>
        <v/>
      </c>
    </row>
    <row r="2011" spans="159:168">
      <c r="FC2011" s="118">
        <v>2008</v>
      </c>
      <c r="FD2011" s="118">
        <f t="shared" si="240"/>
        <v>8</v>
      </c>
      <c r="FE2011" s="118">
        <f t="shared" si="241"/>
        <v>126</v>
      </c>
      <c r="FF2011" s="118" t="str">
        <f t="shared" si="242"/>
        <v/>
      </c>
      <c r="FI2011" s="16">
        <v>2008</v>
      </c>
      <c r="FJ2011" s="17" t="str">
        <f t="shared" si="243"/>
        <v/>
      </c>
      <c r="FK2011" s="17" t="str">
        <f t="shared" si="239"/>
        <v/>
      </c>
      <c r="FL2011" s="18" t="str">
        <f t="shared" si="244"/>
        <v/>
      </c>
    </row>
    <row r="2012" spans="159:168">
      <c r="FC2012" s="118">
        <v>2009</v>
      </c>
      <c r="FD2012" s="118">
        <f t="shared" si="240"/>
        <v>9</v>
      </c>
      <c r="FE2012" s="118">
        <f t="shared" si="241"/>
        <v>126</v>
      </c>
      <c r="FF2012" s="118" t="str">
        <f t="shared" si="242"/>
        <v/>
      </c>
      <c r="FI2012" s="16">
        <v>2009</v>
      </c>
      <c r="FJ2012" s="17" t="str">
        <f t="shared" si="243"/>
        <v/>
      </c>
      <c r="FK2012" s="17" t="str">
        <f t="shared" si="239"/>
        <v/>
      </c>
      <c r="FL2012" s="18" t="str">
        <f t="shared" si="244"/>
        <v/>
      </c>
    </row>
    <row r="2013" spans="159:168">
      <c r="FC2013" s="118">
        <v>2010</v>
      </c>
      <c r="FD2013" s="118">
        <f t="shared" si="240"/>
        <v>10</v>
      </c>
      <c r="FE2013" s="118">
        <f t="shared" si="241"/>
        <v>126</v>
      </c>
      <c r="FF2013" s="118" t="str">
        <f t="shared" si="242"/>
        <v/>
      </c>
      <c r="FI2013" s="16">
        <v>2010</v>
      </c>
      <c r="FJ2013" s="17" t="str">
        <f t="shared" si="243"/>
        <v/>
      </c>
      <c r="FK2013" s="17" t="str">
        <f t="shared" si="239"/>
        <v/>
      </c>
      <c r="FL2013" s="18" t="str">
        <f t="shared" si="244"/>
        <v/>
      </c>
    </row>
    <row r="2014" spans="159:168">
      <c r="FC2014" s="118">
        <v>2011</v>
      </c>
      <c r="FD2014" s="118">
        <f t="shared" si="240"/>
        <v>11</v>
      </c>
      <c r="FE2014" s="118">
        <f t="shared" si="241"/>
        <v>126</v>
      </c>
      <c r="FF2014" s="118" t="str">
        <f t="shared" si="242"/>
        <v/>
      </c>
      <c r="FI2014" s="16">
        <v>2011</v>
      </c>
      <c r="FJ2014" s="17" t="str">
        <f t="shared" si="243"/>
        <v/>
      </c>
      <c r="FK2014" s="17" t="str">
        <f t="shared" si="239"/>
        <v/>
      </c>
      <c r="FL2014" s="18" t="str">
        <f t="shared" si="244"/>
        <v/>
      </c>
    </row>
    <row r="2015" spans="159:168">
      <c r="FC2015" s="118">
        <v>2012</v>
      </c>
      <c r="FD2015" s="118">
        <f t="shared" si="240"/>
        <v>12</v>
      </c>
      <c r="FE2015" s="118">
        <f t="shared" si="241"/>
        <v>126</v>
      </c>
      <c r="FF2015" s="118" t="str">
        <f t="shared" si="242"/>
        <v/>
      </c>
      <c r="FI2015" s="16">
        <v>2012</v>
      </c>
      <c r="FJ2015" s="17" t="str">
        <f t="shared" si="243"/>
        <v/>
      </c>
      <c r="FK2015" s="17" t="str">
        <f t="shared" si="239"/>
        <v/>
      </c>
      <c r="FL2015" s="18" t="str">
        <f t="shared" si="244"/>
        <v/>
      </c>
    </row>
    <row r="2016" spans="159:168">
      <c r="FC2016" s="118">
        <v>2013</v>
      </c>
      <c r="FD2016" s="118">
        <f t="shared" si="240"/>
        <v>13</v>
      </c>
      <c r="FE2016" s="118">
        <f t="shared" si="241"/>
        <v>126</v>
      </c>
      <c r="FF2016" s="118" t="str">
        <f t="shared" si="242"/>
        <v/>
      </c>
      <c r="FI2016" s="16">
        <v>2013</v>
      </c>
      <c r="FJ2016" s="17" t="str">
        <f t="shared" si="243"/>
        <v/>
      </c>
      <c r="FK2016" s="17" t="str">
        <f t="shared" si="239"/>
        <v/>
      </c>
      <c r="FL2016" s="18" t="str">
        <f t="shared" si="244"/>
        <v/>
      </c>
    </row>
    <row r="2017" spans="159:168">
      <c r="FC2017" s="118">
        <v>2014</v>
      </c>
      <c r="FD2017" s="118">
        <f t="shared" si="240"/>
        <v>14</v>
      </c>
      <c r="FE2017" s="118">
        <f t="shared" si="241"/>
        <v>126</v>
      </c>
      <c r="FF2017" s="118" t="str">
        <f t="shared" si="242"/>
        <v/>
      </c>
      <c r="FI2017" s="16">
        <v>2014</v>
      </c>
      <c r="FJ2017" s="17" t="str">
        <f t="shared" si="243"/>
        <v/>
      </c>
      <c r="FK2017" s="17" t="str">
        <f t="shared" si="239"/>
        <v/>
      </c>
      <c r="FL2017" s="18" t="str">
        <f t="shared" si="244"/>
        <v/>
      </c>
    </row>
    <row r="2018" spans="159:168">
      <c r="FC2018" s="118">
        <v>2015</v>
      </c>
      <c r="FD2018" s="118">
        <f t="shared" si="240"/>
        <v>15</v>
      </c>
      <c r="FE2018" s="118">
        <f t="shared" si="241"/>
        <v>126</v>
      </c>
      <c r="FF2018" s="118" t="str">
        <f t="shared" si="242"/>
        <v/>
      </c>
      <c r="FI2018" s="16">
        <v>2015</v>
      </c>
      <c r="FJ2018" s="17" t="str">
        <f t="shared" si="243"/>
        <v/>
      </c>
      <c r="FK2018" s="17" t="str">
        <f t="shared" si="239"/>
        <v/>
      </c>
      <c r="FL2018" s="18" t="str">
        <f t="shared" si="244"/>
        <v/>
      </c>
    </row>
    <row r="2019" spans="159:168">
      <c r="FC2019" s="118">
        <v>2016</v>
      </c>
      <c r="FD2019" s="118">
        <f t="shared" si="240"/>
        <v>16</v>
      </c>
      <c r="FE2019" s="118">
        <f t="shared" si="241"/>
        <v>126</v>
      </c>
      <c r="FF2019" s="118" t="str">
        <f t="shared" si="242"/>
        <v/>
      </c>
      <c r="FI2019" s="16">
        <v>2016</v>
      </c>
      <c r="FJ2019" s="17" t="str">
        <f t="shared" si="243"/>
        <v/>
      </c>
      <c r="FK2019" s="17" t="str">
        <f t="shared" si="239"/>
        <v/>
      </c>
      <c r="FL2019" s="18" t="str">
        <f t="shared" si="244"/>
        <v/>
      </c>
    </row>
    <row r="2020" spans="159:168">
      <c r="FC2020" s="118">
        <v>2017</v>
      </c>
      <c r="FD2020" s="118">
        <f t="shared" si="240"/>
        <v>1</v>
      </c>
      <c r="FE2020" s="118">
        <f t="shared" si="241"/>
        <v>127</v>
      </c>
      <c r="FF2020" s="118" t="str">
        <f t="shared" si="242"/>
        <v/>
      </c>
      <c r="FI2020" s="16">
        <v>2017</v>
      </c>
      <c r="FJ2020" s="17" t="str">
        <f t="shared" si="243"/>
        <v/>
      </c>
      <c r="FK2020" s="17" t="str">
        <f t="shared" si="239"/>
        <v/>
      </c>
      <c r="FL2020" s="18" t="str">
        <f t="shared" si="244"/>
        <v/>
      </c>
    </row>
    <row r="2021" spans="159:168">
      <c r="FC2021" s="118">
        <v>2018</v>
      </c>
      <c r="FD2021" s="118">
        <f t="shared" si="240"/>
        <v>2</v>
      </c>
      <c r="FE2021" s="118">
        <f t="shared" si="241"/>
        <v>127</v>
      </c>
      <c r="FF2021" s="118" t="str">
        <f t="shared" si="242"/>
        <v/>
      </c>
      <c r="FI2021" s="16">
        <v>2018</v>
      </c>
      <c r="FJ2021" s="17" t="str">
        <f t="shared" si="243"/>
        <v/>
      </c>
      <c r="FK2021" s="17" t="str">
        <f t="shared" si="239"/>
        <v/>
      </c>
      <c r="FL2021" s="18" t="str">
        <f t="shared" si="244"/>
        <v/>
      </c>
    </row>
    <row r="2022" spans="159:168">
      <c r="FC2022" s="118">
        <v>2019</v>
      </c>
      <c r="FD2022" s="118">
        <f t="shared" si="240"/>
        <v>3</v>
      </c>
      <c r="FE2022" s="118">
        <f t="shared" si="241"/>
        <v>127</v>
      </c>
      <c r="FF2022" s="118" t="str">
        <f t="shared" si="242"/>
        <v/>
      </c>
      <c r="FI2022" s="16">
        <v>2019</v>
      </c>
      <c r="FJ2022" s="17" t="str">
        <f t="shared" si="243"/>
        <v/>
      </c>
      <c r="FK2022" s="17" t="str">
        <f t="shared" si="239"/>
        <v/>
      </c>
      <c r="FL2022" s="18" t="str">
        <f t="shared" si="244"/>
        <v/>
      </c>
    </row>
    <row r="2023" spans="159:168">
      <c r="FC2023" s="118">
        <v>2020</v>
      </c>
      <c r="FD2023" s="118">
        <f t="shared" si="240"/>
        <v>4</v>
      </c>
      <c r="FE2023" s="118">
        <f t="shared" si="241"/>
        <v>127</v>
      </c>
      <c r="FF2023" s="118" t="str">
        <f t="shared" si="242"/>
        <v/>
      </c>
      <c r="FI2023" s="16">
        <v>2020</v>
      </c>
      <c r="FJ2023" s="17" t="str">
        <f t="shared" si="243"/>
        <v/>
      </c>
      <c r="FK2023" s="17" t="str">
        <f t="shared" si="239"/>
        <v/>
      </c>
      <c r="FL2023" s="18" t="str">
        <f t="shared" si="244"/>
        <v/>
      </c>
    </row>
    <row r="2024" spans="159:168">
      <c r="FC2024" s="118">
        <v>2021</v>
      </c>
      <c r="FD2024" s="118">
        <f t="shared" si="240"/>
        <v>5</v>
      </c>
      <c r="FE2024" s="118">
        <f t="shared" si="241"/>
        <v>127</v>
      </c>
      <c r="FF2024" s="118" t="str">
        <f t="shared" si="242"/>
        <v/>
      </c>
      <c r="FI2024" s="16">
        <v>2021</v>
      </c>
      <c r="FJ2024" s="17" t="str">
        <f t="shared" si="243"/>
        <v/>
      </c>
      <c r="FK2024" s="17" t="str">
        <f t="shared" si="239"/>
        <v/>
      </c>
      <c r="FL2024" s="18" t="str">
        <f t="shared" si="244"/>
        <v/>
      </c>
    </row>
    <row r="2025" spans="159:168">
      <c r="FC2025" s="118">
        <v>2022</v>
      </c>
      <c r="FD2025" s="118">
        <f t="shared" si="240"/>
        <v>6</v>
      </c>
      <c r="FE2025" s="118">
        <f t="shared" si="241"/>
        <v>127</v>
      </c>
      <c r="FF2025" s="118" t="str">
        <f t="shared" si="242"/>
        <v/>
      </c>
      <c r="FI2025" s="16">
        <v>2022</v>
      </c>
      <c r="FJ2025" s="17" t="str">
        <f t="shared" si="243"/>
        <v/>
      </c>
      <c r="FK2025" s="17" t="str">
        <f t="shared" si="239"/>
        <v/>
      </c>
      <c r="FL2025" s="18" t="str">
        <f t="shared" si="244"/>
        <v/>
      </c>
    </row>
    <row r="2026" spans="159:168">
      <c r="FC2026" s="118">
        <v>2023</v>
      </c>
      <c r="FD2026" s="118">
        <f t="shared" si="240"/>
        <v>7</v>
      </c>
      <c r="FE2026" s="118">
        <f t="shared" si="241"/>
        <v>127</v>
      </c>
      <c r="FF2026" s="118" t="str">
        <f t="shared" si="242"/>
        <v/>
      </c>
      <c r="FI2026" s="16">
        <v>2023</v>
      </c>
      <c r="FJ2026" s="17" t="str">
        <f t="shared" si="243"/>
        <v/>
      </c>
      <c r="FK2026" s="17" t="str">
        <f t="shared" si="239"/>
        <v/>
      </c>
      <c r="FL2026" s="18" t="str">
        <f t="shared" si="244"/>
        <v/>
      </c>
    </row>
    <row r="2027" spans="159:168">
      <c r="FC2027" s="118">
        <v>2024</v>
      </c>
      <c r="FD2027" s="118">
        <f t="shared" si="240"/>
        <v>8</v>
      </c>
      <c r="FE2027" s="118">
        <f t="shared" si="241"/>
        <v>127</v>
      </c>
      <c r="FF2027" s="118" t="str">
        <f t="shared" si="242"/>
        <v/>
      </c>
      <c r="FI2027" s="16">
        <v>2024</v>
      </c>
      <c r="FJ2027" s="17" t="str">
        <f t="shared" si="243"/>
        <v/>
      </c>
      <c r="FK2027" s="17" t="str">
        <f t="shared" si="239"/>
        <v/>
      </c>
      <c r="FL2027" s="18" t="str">
        <f t="shared" si="244"/>
        <v/>
      </c>
    </row>
    <row r="2028" spans="159:168">
      <c r="FC2028" s="118">
        <v>2025</v>
      </c>
      <c r="FD2028" s="118">
        <f t="shared" si="240"/>
        <v>9</v>
      </c>
      <c r="FE2028" s="118">
        <f t="shared" si="241"/>
        <v>127</v>
      </c>
      <c r="FF2028" s="118" t="str">
        <f t="shared" si="242"/>
        <v/>
      </c>
      <c r="FI2028" s="16">
        <v>2025</v>
      </c>
      <c r="FJ2028" s="17" t="str">
        <f t="shared" si="243"/>
        <v/>
      </c>
      <c r="FK2028" s="17" t="str">
        <f t="shared" si="239"/>
        <v/>
      </c>
      <c r="FL2028" s="18" t="str">
        <f t="shared" si="244"/>
        <v/>
      </c>
    </row>
    <row r="2029" spans="159:168">
      <c r="FC2029" s="118">
        <v>2026</v>
      </c>
      <c r="FD2029" s="118">
        <f t="shared" si="240"/>
        <v>10</v>
      </c>
      <c r="FE2029" s="118">
        <f t="shared" si="241"/>
        <v>127</v>
      </c>
      <c r="FF2029" s="118" t="str">
        <f t="shared" si="242"/>
        <v/>
      </c>
      <c r="FI2029" s="16">
        <v>2026</v>
      </c>
      <c r="FJ2029" s="17" t="str">
        <f t="shared" si="243"/>
        <v/>
      </c>
      <c r="FK2029" s="17" t="str">
        <f t="shared" si="239"/>
        <v/>
      </c>
      <c r="FL2029" s="18" t="str">
        <f t="shared" si="244"/>
        <v/>
      </c>
    </row>
    <row r="2030" spans="159:168">
      <c r="FC2030" s="118">
        <v>2027</v>
      </c>
      <c r="FD2030" s="118">
        <f t="shared" si="240"/>
        <v>11</v>
      </c>
      <c r="FE2030" s="118">
        <f t="shared" si="241"/>
        <v>127</v>
      </c>
      <c r="FF2030" s="118" t="str">
        <f t="shared" si="242"/>
        <v/>
      </c>
      <c r="FI2030" s="16">
        <v>2027</v>
      </c>
      <c r="FJ2030" s="17" t="str">
        <f t="shared" si="243"/>
        <v/>
      </c>
      <c r="FK2030" s="17" t="str">
        <f t="shared" si="239"/>
        <v/>
      </c>
      <c r="FL2030" s="18" t="str">
        <f t="shared" si="244"/>
        <v/>
      </c>
    </row>
    <row r="2031" spans="159:168">
      <c r="FC2031" s="118">
        <v>2028</v>
      </c>
      <c r="FD2031" s="118">
        <f t="shared" si="240"/>
        <v>12</v>
      </c>
      <c r="FE2031" s="118">
        <f t="shared" si="241"/>
        <v>127</v>
      </c>
      <c r="FF2031" s="118" t="str">
        <f t="shared" si="242"/>
        <v/>
      </c>
      <c r="FI2031" s="16">
        <v>2028</v>
      </c>
      <c r="FJ2031" s="17" t="str">
        <f t="shared" si="243"/>
        <v/>
      </c>
      <c r="FK2031" s="17" t="str">
        <f t="shared" si="239"/>
        <v/>
      </c>
      <c r="FL2031" s="18" t="str">
        <f t="shared" si="244"/>
        <v/>
      </c>
    </row>
    <row r="2032" spans="159:168">
      <c r="FC2032" s="118">
        <v>2029</v>
      </c>
      <c r="FD2032" s="118">
        <f t="shared" si="240"/>
        <v>13</v>
      </c>
      <c r="FE2032" s="118">
        <f t="shared" si="241"/>
        <v>127</v>
      </c>
      <c r="FF2032" s="118" t="str">
        <f t="shared" si="242"/>
        <v/>
      </c>
      <c r="FI2032" s="16">
        <v>2029</v>
      </c>
      <c r="FJ2032" s="17" t="str">
        <f t="shared" si="243"/>
        <v/>
      </c>
      <c r="FK2032" s="17" t="str">
        <f t="shared" si="239"/>
        <v/>
      </c>
      <c r="FL2032" s="18" t="str">
        <f t="shared" si="244"/>
        <v/>
      </c>
    </row>
    <row r="2033" spans="159:168">
      <c r="FC2033" s="118">
        <v>2030</v>
      </c>
      <c r="FD2033" s="118">
        <f t="shared" si="240"/>
        <v>14</v>
      </c>
      <c r="FE2033" s="118">
        <f t="shared" si="241"/>
        <v>127</v>
      </c>
      <c r="FF2033" s="118" t="str">
        <f t="shared" si="242"/>
        <v/>
      </c>
      <c r="FI2033" s="16">
        <v>2030</v>
      </c>
      <c r="FJ2033" s="17" t="str">
        <f t="shared" si="243"/>
        <v/>
      </c>
      <c r="FK2033" s="17" t="str">
        <f t="shared" si="239"/>
        <v/>
      </c>
      <c r="FL2033" s="18" t="str">
        <f t="shared" si="244"/>
        <v/>
      </c>
    </row>
    <row r="2034" spans="159:168">
      <c r="FC2034" s="118">
        <v>2031</v>
      </c>
      <c r="FD2034" s="118">
        <f t="shared" si="240"/>
        <v>15</v>
      </c>
      <c r="FE2034" s="118">
        <f t="shared" si="241"/>
        <v>127</v>
      </c>
      <c r="FF2034" s="118" t="str">
        <f t="shared" si="242"/>
        <v/>
      </c>
      <c r="FI2034" s="16">
        <v>2031</v>
      </c>
      <c r="FJ2034" s="17" t="str">
        <f t="shared" si="243"/>
        <v/>
      </c>
      <c r="FK2034" s="17" t="str">
        <f t="shared" si="239"/>
        <v/>
      </c>
      <c r="FL2034" s="18" t="str">
        <f t="shared" si="244"/>
        <v/>
      </c>
    </row>
    <row r="2035" spans="159:168">
      <c r="FC2035" s="118">
        <v>2032</v>
      </c>
      <c r="FD2035" s="118">
        <f t="shared" si="240"/>
        <v>16</v>
      </c>
      <c r="FE2035" s="118">
        <f t="shared" si="241"/>
        <v>127</v>
      </c>
      <c r="FF2035" s="118" t="str">
        <f t="shared" si="242"/>
        <v/>
      </c>
      <c r="FI2035" s="16">
        <v>2032</v>
      </c>
      <c r="FJ2035" s="17" t="str">
        <f t="shared" si="243"/>
        <v/>
      </c>
      <c r="FK2035" s="17" t="str">
        <f t="shared" si="239"/>
        <v/>
      </c>
      <c r="FL2035" s="18" t="str">
        <f t="shared" si="244"/>
        <v/>
      </c>
    </row>
    <row r="2036" spans="159:168">
      <c r="FC2036" s="118">
        <v>2033</v>
      </c>
      <c r="FD2036" s="118">
        <f t="shared" si="240"/>
        <v>1</v>
      </c>
      <c r="FE2036" s="118">
        <f t="shared" si="241"/>
        <v>128</v>
      </c>
      <c r="FF2036" s="118" t="str">
        <f t="shared" si="242"/>
        <v/>
      </c>
      <c r="FI2036" s="16">
        <v>2033</v>
      </c>
      <c r="FJ2036" s="17" t="str">
        <f t="shared" si="243"/>
        <v/>
      </c>
      <c r="FK2036" s="17" t="str">
        <f t="shared" si="239"/>
        <v/>
      </c>
      <c r="FL2036" s="18" t="str">
        <f t="shared" si="244"/>
        <v/>
      </c>
    </row>
    <row r="2037" spans="159:168">
      <c r="FC2037" s="118">
        <v>2034</v>
      </c>
      <c r="FD2037" s="118">
        <f t="shared" si="240"/>
        <v>2</v>
      </c>
      <c r="FE2037" s="118">
        <f t="shared" si="241"/>
        <v>128</v>
      </c>
      <c r="FF2037" s="118" t="str">
        <f t="shared" si="242"/>
        <v/>
      </c>
      <c r="FI2037" s="16">
        <v>2034</v>
      </c>
      <c r="FJ2037" s="17" t="str">
        <f t="shared" si="243"/>
        <v/>
      </c>
      <c r="FK2037" s="17" t="str">
        <f t="shared" si="239"/>
        <v/>
      </c>
      <c r="FL2037" s="18" t="str">
        <f t="shared" si="244"/>
        <v/>
      </c>
    </row>
    <row r="2038" spans="159:168">
      <c r="FC2038" s="118">
        <v>2035</v>
      </c>
      <c r="FD2038" s="118">
        <f t="shared" si="240"/>
        <v>3</v>
      </c>
      <c r="FE2038" s="118">
        <f t="shared" si="241"/>
        <v>128</v>
      </c>
      <c r="FF2038" s="118" t="str">
        <f t="shared" si="242"/>
        <v/>
      </c>
      <c r="FI2038" s="16">
        <v>2035</v>
      </c>
      <c r="FJ2038" s="17" t="str">
        <f t="shared" si="243"/>
        <v/>
      </c>
      <c r="FK2038" s="17" t="str">
        <f t="shared" si="239"/>
        <v/>
      </c>
      <c r="FL2038" s="18" t="str">
        <f t="shared" si="244"/>
        <v/>
      </c>
    </row>
    <row r="2039" spans="159:168">
      <c r="FC2039" s="118">
        <v>2036</v>
      </c>
      <c r="FD2039" s="118">
        <f t="shared" si="240"/>
        <v>4</v>
      </c>
      <c r="FE2039" s="118">
        <f t="shared" si="241"/>
        <v>128</v>
      </c>
      <c r="FF2039" s="118" t="str">
        <f t="shared" si="242"/>
        <v/>
      </c>
      <c r="FI2039" s="16">
        <v>2036</v>
      </c>
      <c r="FJ2039" s="17" t="str">
        <f t="shared" si="243"/>
        <v/>
      </c>
      <c r="FK2039" s="17" t="str">
        <f t="shared" si="239"/>
        <v/>
      </c>
      <c r="FL2039" s="18" t="str">
        <f t="shared" si="244"/>
        <v/>
      </c>
    </row>
    <row r="2040" spans="159:168">
      <c r="FC2040" s="118">
        <v>2037</v>
      </c>
      <c r="FD2040" s="118">
        <f t="shared" si="240"/>
        <v>5</v>
      </c>
      <c r="FE2040" s="118">
        <f t="shared" si="241"/>
        <v>128</v>
      </c>
      <c r="FF2040" s="118" t="str">
        <f t="shared" si="242"/>
        <v/>
      </c>
      <c r="FI2040" s="16">
        <v>2037</v>
      </c>
      <c r="FJ2040" s="17" t="str">
        <f t="shared" si="243"/>
        <v/>
      </c>
      <c r="FK2040" s="17" t="str">
        <f t="shared" si="239"/>
        <v/>
      </c>
      <c r="FL2040" s="18" t="str">
        <f t="shared" si="244"/>
        <v/>
      </c>
    </row>
    <row r="2041" spans="159:168">
      <c r="FC2041" s="118">
        <v>2038</v>
      </c>
      <c r="FD2041" s="118">
        <f t="shared" si="240"/>
        <v>6</v>
      </c>
      <c r="FE2041" s="118">
        <f t="shared" si="241"/>
        <v>128</v>
      </c>
      <c r="FF2041" s="118" t="str">
        <f t="shared" si="242"/>
        <v/>
      </c>
      <c r="FI2041" s="16">
        <v>2038</v>
      </c>
      <c r="FJ2041" s="17" t="str">
        <f t="shared" si="243"/>
        <v/>
      </c>
      <c r="FK2041" s="17" t="str">
        <f t="shared" si="239"/>
        <v/>
      </c>
      <c r="FL2041" s="18" t="str">
        <f t="shared" si="244"/>
        <v/>
      </c>
    </row>
    <row r="2042" spans="159:168">
      <c r="FC2042" s="118">
        <v>2039</v>
      </c>
      <c r="FD2042" s="118">
        <f t="shared" si="240"/>
        <v>7</v>
      </c>
      <c r="FE2042" s="118">
        <f t="shared" si="241"/>
        <v>128</v>
      </c>
      <c r="FF2042" s="118" t="str">
        <f t="shared" si="242"/>
        <v/>
      </c>
      <c r="FI2042" s="16">
        <v>2039</v>
      </c>
      <c r="FJ2042" s="17" t="str">
        <f t="shared" si="243"/>
        <v/>
      </c>
      <c r="FK2042" s="17" t="str">
        <f t="shared" si="239"/>
        <v/>
      </c>
      <c r="FL2042" s="18" t="str">
        <f t="shared" si="244"/>
        <v/>
      </c>
    </row>
    <row r="2043" spans="159:168">
      <c r="FC2043" s="118">
        <v>2040</v>
      </c>
      <c r="FD2043" s="118">
        <f t="shared" si="240"/>
        <v>8</v>
      </c>
      <c r="FE2043" s="118">
        <f t="shared" si="241"/>
        <v>128</v>
      </c>
      <c r="FF2043" s="118" t="str">
        <f t="shared" si="242"/>
        <v/>
      </c>
      <c r="FI2043" s="16">
        <v>2040</v>
      </c>
      <c r="FJ2043" s="17" t="str">
        <f t="shared" si="243"/>
        <v/>
      </c>
      <c r="FK2043" s="17" t="str">
        <f t="shared" si="239"/>
        <v/>
      </c>
      <c r="FL2043" s="18" t="str">
        <f t="shared" si="244"/>
        <v/>
      </c>
    </row>
    <row r="2044" spans="159:168">
      <c r="FC2044" s="118">
        <v>2041</v>
      </c>
      <c r="FD2044" s="118">
        <f t="shared" si="240"/>
        <v>9</v>
      </c>
      <c r="FE2044" s="118">
        <f t="shared" si="241"/>
        <v>128</v>
      </c>
      <c r="FF2044" s="118" t="str">
        <f t="shared" si="242"/>
        <v/>
      </c>
      <c r="FI2044" s="16">
        <v>2041</v>
      </c>
      <c r="FJ2044" s="17" t="str">
        <f t="shared" si="243"/>
        <v/>
      </c>
      <c r="FK2044" s="17" t="str">
        <f t="shared" si="239"/>
        <v/>
      </c>
      <c r="FL2044" s="18" t="str">
        <f t="shared" si="244"/>
        <v/>
      </c>
    </row>
    <row r="2045" spans="159:168">
      <c r="FC2045" s="118">
        <v>2042</v>
      </c>
      <c r="FD2045" s="118">
        <f t="shared" si="240"/>
        <v>10</v>
      </c>
      <c r="FE2045" s="118">
        <f t="shared" si="241"/>
        <v>128</v>
      </c>
      <c r="FF2045" s="118" t="str">
        <f t="shared" si="242"/>
        <v/>
      </c>
      <c r="FI2045" s="16">
        <v>2042</v>
      </c>
      <c r="FJ2045" s="17" t="str">
        <f t="shared" si="243"/>
        <v/>
      </c>
      <c r="FK2045" s="17" t="str">
        <f t="shared" si="239"/>
        <v/>
      </c>
      <c r="FL2045" s="18" t="str">
        <f t="shared" si="244"/>
        <v/>
      </c>
    </row>
    <row r="2046" spans="159:168">
      <c r="FC2046" s="118">
        <v>2043</v>
      </c>
      <c r="FD2046" s="118">
        <f t="shared" si="240"/>
        <v>11</v>
      </c>
      <c r="FE2046" s="118">
        <f t="shared" si="241"/>
        <v>128</v>
      </c>
      <c r="FF2046" s="118" t="str">
        <f t="shared" si="242"/>
        <v/>
      </c>
      <c r="FI2046" s="16">
        <v>2043</v>
      </c>
      <c r="FJ2046" s="17" t="str">
        <f t="shared" si="243"/>
        <v/>
      </c>
      <c r="FK2046" s="17" t="str">
        <f t="shared" si="239"/>
        <v/>
      </c>
      <c r="FL2046" s="18" t="str">
        <f t="shared" si="244"/>
        <v/>
      </c>
    </row>
    <row r="2047" spans="159:168">
      <c r="FC2047" s="118">
        <v>2044</v>
      </c>
      <c r="FD2047" s="118">
        <f t="shared" si="240"/>
        <v>12</v>
      </c>
      <c r="FE2047" s="118">
        <f t="shared" si="241"/>
        <v>128</v>
      </c>
      <c r="FF2047" s="118" t="str">
        <f t="shared" si="242"/>
        <v/>
      </c>
      <c r="FI2047" s="16">
        <v>2044</v>
      </c>
      <c r="FJ2047" s="17" t="str">
        <f t="shared" si="243"/>
        <v/>
      </c>
      <c r="FK2047" s="17" t="str">
        <f t="shared" si="239"/>
        <v/>
      </c>
      <c r="FL2047" s="18" t="str">
        <f t="shared" si="244"/>
        <v/>
      </c>
    </row>
    <row r="2048" spans="159:168">
      <c r="FC2048" s="118">
        <v>2045</v>
      </c>
      <c r="FD2048" s="118">
        <f t="shared" si="240"/>
        <v>13</v>
      </c>
      <c r="FE2048" s="118">
        <f t="shared" si="241"/>
        <v>128</v>
      </c>
      <c r="FF2048" s="118" t="str">
        <f t="shared" si="242"/>
        <v/>
      </c>
      <c r="FI2048" s="16">
        <v>2045</v>
      </c>
      <c r="FJ2048" s="17" t="str">
        <f t="shared" si="243"/>
        <v/>
      </c>
      <c r="FK2048" s="17" t="str">
        <f t="shared" si="239"/>
        <v/>
      </c>
      <c r="FL2048" s="18" t="str">
        <f t="shared" si="244"/>
        <v/>
      </c>
    </row>
    <row r="2049" spans="159:168">
      <c r="FC2049" s="118">
        <v>2046</v>
      </c>
      <c r="FD2049" s="118">
        <f t="shared" si="240"/>
        <v>14</v>
      </c>
      <c r="FE2049" s="118">
        <f t="shared" si="241"/>
        <v>128</v>
      </c>
      <c r="FF2049" s="118" t="str">
        <f t="shared" si="242"/>
        <v/>
      </c>
      <c r="FI2049" s="16">
        <v>2046</v>
      </c>
      <c r="FJ2049" s="17" t="str">
        <f t="shared" si="243"/>
        <v/>
      </c>
      <c r="FK2049" s="17" t="str">
        <f t="shared" si="239"/>
        <v/>
      </c>
      <c r="FL2049" s="18" t="str">
        <f t="shared" si="244"/>
        <v/>
      </c>
    </row>
    <row r="2050" spans="159:168">
      <c r="FC2050" s="118">
        <v>2047</v>
      </c>
      <c r="FD2050" s="118">
        <f t="shared" si="240"/>
        <v>15</v>
      </c>
      <c r="FE2050" s="118">
        <f t="shared" si="241"/>
        <v>128</v>
      </c>
      <c r="FF2050" s="118" t="str">
        <f t="shared" si="242"/>
        <v/>
      </c>
      <c r="FI2050" s="16">
        <v>2047</v>
      </c>
      <c r="FJ2050" s="17" t="str">
        <f t="shared" si="243"/>
        <v/>
      </c>
      <c r="FK2050" s="17" t="str">
        <f t="shared" si="239"/>
        <v/>
      </c>
      <c r="FL2050" s="18" t="str">
        <f t="shared" si="244"/>
        <v/>
      </c>
    </row>
    <row r="2051" spans="159:168">
      <c r="FC2051" s="118">
        <v>2048</v>
      </c>
      <c r="FD2051" s="118">
        <f t="shared" si="240"/>
        <v>16</v>
      </c>
      <c r="FE2051" s="118">
        <f t="shared" si="241"/>
        <v>128</v>
      </c>
      <c r="FF2051" s="118" t="str">
        <f t="shared" si="242"/>
        <v/>
      </c>
      <c r="FI2051" s="16">
        <v>2048</v>
      </c>
      <c r="FJ2051" s="17" t="str">
        <f t="shared" si="243"/>
        <v/>
      </c>
      <c r="FK2051" s="17" t="str">
        <f t="shared" si="239"/>
        <v/>
      </c>
      <c r="FL2051" s="18" t="str">
        <f t="shared" si="244"/>
        <v/>
      </c>
    </row>
    <row r="2052" spans="159:168">
      <c r="FC2052" s="118">
        <v>2049</v>
      </c>
      <c r="FD2052" s="118">
        <f t="shared" si="240"/>
        <v>1</v>
      </c>
      <c r="FE2052" s="118">
        <f t="shared" si="241"/>
        <v>129</v>
      </c>
      <c r="FF2052" s="118" t="str">
        <f t="shared" si="242"/>
        <v/>
      </c>
      <c r="FI2052" s="16">
        <v>2049</v>
      </c>
      <c r="FJ2052" s="17" t="str">
        <f t="shared" si="243"/>
        <v/>
      </c>
      <c r="FK2052" s="17" t="str">
        <f t="shared" si="239"/>
        <v/>
      </c>
      <c r="FL2052" s="18" t="str">
        <f t="shared" si="244"/>
        <v/>
      </c>
    </row>
    <row r="2053" spans="159:168">
      <c r="FC2053" s="118">
        <v>2050</v>
      </c>
      <c r="FD2053" s="118">
        <f t="shared" si="240"/>
        <v>2</v>
      </c>
      <c r="FE2053" s="118">
        <f t="shared" si="241"/>
        <v>129</v>
      </c>
      <c r="FF2053" s="118" t="str">
        <f t="shared" si="242"/>
        <v/>
      </c>
      <c r="FI2053" s="16">
        <v>2050</v>
      </c>
      <c r="FJ2053" s="17" t="str">
        <f t="shared" si="243"/>
        <v/>
      </c>
      <c r="FK2053" s="17" t="str">
        <f t="shared" ref="FK2053:FK2116" si="245">IF(FI2053&lt;=$FH$2,FF2053,IF(FI2053&lt;=$FH$2+$FH$3,INDEX($FJ$4:$FJ$2494,FI2053-$FH$2),""))</f>
        <v/>
      </c>
      <c r="FL2053" s="18" t="str">
        <f t="shared" si="244"/>
        <v/>
      </c>
    </row>
    <row r="2054" spans="159:168">
      <c r="FC2054" s="118">
        <v>2051</v>
      </c>
      <c r="FD2054" s="118">
        <f t="shared" si="240"/>
        <v>3</v>
      </c>
      <c r="FE2054" s="118">
        <f t="shared" si="241"/>
        <v>129</v>
      </c>
      <c r="FF2054" s="118" t="str">
        <f t="shared" si="242"/>
        <v/>
      </c>
      <c r="FI2054" s="16">
        <v>2051</v>
      </c>
      <c r="FJ2054" s="17" t="str">
        <f t="shared" si="243"/>
        <v/>
      </c>
      <c r="FK2054" s="17" t="str">
        <f t="shared" si="245"/>
        <v/>
      </c>
      <c r="FL2054" s="18" t="str">
        <f t="shared" si="244"/>
        <v/>
      </c>
    </row>
    <row r="2055" spans="159:168">
      <c r="FC2055" s="118">
        <v>2052</v>
      </c>
      <c r="FD2055" s="118">
        <f t="shared" si="240"/>
        <v>4</v>
      </c>
      <c r="FE2055" s="118">
        <f t="shared" si="241"/>
        <v>129</v>
      </c>
      <c r="FF2055" s="118" t="str">
        <f t="shared" si="242"/>
        <v/>
      </c>
      <c r="FI2055" s="16">
        <v>2052</v>
      </c>
      <c r="FJ2055" s="17" t="str">
        <f t="shared" si="243"/>
        <v/>
      </c>
      <c r="FK2055" s="17" t="str">
        <f t="shared" si="245"/>
        <v/>
      </c>
      <c r="FL2055" s="18" t="str">
        <f t="shared" si="244"/>
        <v/>
      </c>
    </row>
    <row r="2056" spans="159:168">
      <c r="FC2056" s="118">
        <v>2053</v>
      </c>
      <c r="FD2056" s="118">
        <f t="shared" si="240"/>
        <v>5</v>
      </c>
      <c r="FE2056" s="118">
        <f t="shared" si="241"/>
        <v>129</v>
      </c>
      <c r="FF2056" s="118" t="str">
        <f t="shared" si="242"/>
        <v/>
      </c>
      <c r="FI2056" s="16">
        <v>2053</v>
      </c>
      <c r="FJ2056" s="17" t="str">
        <f t="shared" si="243"/>
        <v/>
      </c>
      <c r="FK2056" s="17" t="str">
        <f t="shared" si="245"/>
        <v/>
      </c>
      <c r="FL2056" s="18" t="str">
        <f t="shared" si="244"/>
        <v/>
      </c>
    </row>
    <row r="2057" spans="159:168">
      <c r="FC2057" s="118">
        <v>2054</v>
      </c>
      <c r="FD2057" s="118">
        <f t="shared" si="240"/>
        <v>6</v>
      </c>
      <c r="FE2057" s="118">
        <f t="shared" si="241"/>
        <v>129</v>
      </c>
      <c r="FF2057" s="118" t="str">
        <f t="shared" si="242"/>
        <v/>
      </c>
      <c r="FI2057" s="16">
        <v>2054</v>
      </c>
      <c r="FJ2057" s="17" t="str">
        <f t="shared" si="243"/>
        <v/>
      </c>
      <c r="FK2057" s="17" t="str">
        <f t="shared" si="245"/>
        <v/>
      </c>
      <c r="FL2057" s="18" t="str">
        <f t="shared" si="244"/>
        <v/>
      </c>
    </row>
    <row r="2058" spans="159:168">
      <c r="FC2058" s="118">
        <v>2055</v>
      </c>
      <c r="FD2058" s="118">
        <f t="shared" si="240"/>
        <v>7</v>
      </c>
      <c r="FE2058" s="118">
        <f t="shared" si="241"/>
        <v>129</v>
      </c>
      <c r="FF2058" s="118" t="str">
        <f t="shared" si="242"/>
        <v/>
      </c>
      <c r="FI2058" s="16">
        <v>2055</v>
      </c>
      <c r="FJ2058" s="17" t="str">
        <f t="shared" si="243"/>
        <v/>
      </c>
      <c r="FK2058" s="17" t="str">
        <f t="shared" si="245"/>
        <v/>
      </c>
      <c r="FL2058" s="18" t="str">
        <f t="shared" si="244"/>
        <v/>
      </c>
    </row>
    <row r="2059" spans="159:168">
      <c r="FC2059" s="118">
        <v>2056</v>
      </c>
      <c r="FD2059" s="118">
        <f t="shared" si="240"/>
        <v>8</v>
      </c>
      <c r="FE2059" s="118">
        <f t="shared" si="241"/>
        <v>129</v>
      </c>
      <c r="FF2059" s="118" t="str">
        <f t="shared" si="242"/>
        <v/>
      </c>
      <c r="FI2059" s="16">
        <v>2056</v>
      </c>
      <c r="FJ2059" s="17" t="str">
        <f t="shared" si="243"/>
        <v/>
      </c>
      <c r="FK2059" s="17" t="str">
        <f t="shared" si="245"/>
        <v/>
      </c>
      <c r="FL2059" s="18" t="str">
        <f t="shared" si="244"/>
        <v/>
      </c>
    </row>
    <row r="2060" spans="159:168">
      <c r="FC2060" s="118">
        <v>2057</v>
      </c>
      <c r="FD2060" s="118">
        <f t="shared" si="240"/>
        <v>9</v>
      </c>
      <c r="FE2060" s="118">
        <f t="shared" si="241"/>
        <v>129</v>
      </c>
      <c r="FF2060" s="118" t="str">
        <f t="shared" si="242"/>
        <v/>
      </c>
      <c r="FI2060" s="16">
        <v>2057</v>
      </c>
      <c r="FJ2060" s="17" t="str">
        <f t="shared" si="243"/>
        <v/>
      </c>
      <c r="FK2060" s="17" t="str">
        <f t="shared" si="245"/>
        <v/>
      </c>
      <c r="FL2060" s="18" t="str">
        <f t="shared" si="244"/>
        <v/>
      </c>
    </row>
    <row r="2061" spans="159:168">
      <c r="FC2061" s="118">
        <v>2058</v>
      </c>
      <c r="FD2061" s="118">
        <f t="shared" si="240"/>
        <v>10</v>
      </c>
      <c r="FE2061" s="118">
        <f t="shared" si="241"/>
        <v>129</v>
      </c>
      <c r="FF2061" s="118" t="str">
        <f t="shared" si="242"/>
        <v/>
      </c>
      <c r="FI2061" s="16">
        <v>2058</v>
      </c>
      <c r="FJ2061" s="17" t="str">
        <f t="shared" si="243"/>
        <v/>
      </c>
      <c r="FK2061" s="17" t="str">
        <f t="shared" si="245"/>
        <v/>
      </c>
      <c r="FL2061" s="18" t="str">
        <f t="shared" si="244"/>
        <v/>
      </c>
    </row>
    <row r="2062" spans="159:168">
      <c r="FC2062" s="118">
        <v>2059</v>
      </c>
      <c r="FD2062" s="118">
        <f t="shared" si="240"/>
        <v>11</v>
      </c>
      <c r="FE2062" s="118">
        <f t="shared" si="241"/>
        <v>129</v>
      </c>
      <c r="FF2062" s="118" t="str">
        <f t="shared" si="242"/>
        <v/>
      </c>
      <c r="FI2062" s="16">
        <v>2059</v>
      </c>
      <c r="FJ2062" s="17" t="str">
        <f t="shared" si="243"/>
        <v/>
      </c>
      <c r="FK2062" s="17" t="str">
        <f t="shared" si="245"/>
        <v/>
      </c>
      <c r="FL2062" s="18" t="str">
        <f t="shared" si="244"/>
        <v/>
      </c>
    </row>
    <row r="2063" spans="159:168">
      <c r="FC2063" s="118">
        <v>2060</v>
      </c>
      <c r="FD2063" s="118">
        <f t="shared" si="240"/>
        <v>12</v>
      </c>
      <c r="FE2063" s="118">
        <f t="shared" si="241"/>
        <v>129</v>
      </c>
      <c r="FF2063" s="118" t="str">
        <f t="shared" si="242"/>
        <v/>
      </c>
      <c r="FI2063" s="16">
        <v>2060</v>
      </c>
      <c r="FJ2063" s="17" t="str">
        <f t="shared" si="243"/>
        <v/>
      </c>
      <c r="FK2063" s="17" t="str">
        <f t="shared" si="245"/>
        <v/>
      </c>
      <c r="FL2063" s="18" t="str">
        <f t="shared" si="244"/>
        <v/>
      </c>
    </row>
    <row r="2064" spans="159:168">
      <c r="FC2064" s="118">
        <v>2061</v>
      </c>
      <c r="FD2064" s="118">
        <f t="shared" si="240"/>
        <v>13</v>
      </c>
      <c r="FE2064" s="118">
        <f t="shared" si="241"/>
        <v>129</v>
      </c>
      <c r="FF2064" s="118" t="str">
        <f t="shared" si="242"/>
        <v/>
      </c>
      <c r="FI2064" s="16">
        <v>2061</v>
      </c>
      <c r="FJ2064" s="17" t="str">
        <f t="shared" si="243"/>
        <v/>
      </c>
      <c r="FK2064" s="17" t="str">
        <f t="shared" si="245"/>
        <v/>
      </c>
      <c r="FL2064" s="18" t="str">
        <f t="shared" si="244"/>
        <v/>
      </c>
    </row>
    <row r="2065" spans="159:168">
      <c r="FC2065" s="118">
        <v>2062</v>
      </c>
      <c r="FD2065" s="118">
        <f t="shared" si="240"/>
        <v>14</v>
      </c>
      <c r="FE2065" s="118">
        <f t="shared" si="241"/>
        <v>129</v>
      </c>
      <c r="FF2065" s="118" t="str">
        <f t="shared" si="242"/>
        <v/>
      </c>
      <c r="FI2065" s="16">
        <v>2062</v>
      </c>
      <c r="FJ2065" s="17" t="str">
        <f t="shared" si="243"/>
        <v/>
      </c>
      <c r="FK2065" s="17" t="str">
        <f t="shared" si="245"/>
        <v/>
      </c>
      <c r="FL2065" s="18" t="str">
        <f t="shared" si="244"/>
        <v/>
      </c>
    </row>
    <row r="2066" spans="159:168">
      <c r="FC2066" s="118">
        <v>2063</v>
      </c>
      <c r="FD2066" s="118">
        <f t="shared" si="240"/>
        <v>15</v>
      </c>
      <c r="FE2066" s="118">
        <f t="shared" si="241"/>
        <v>129</v>
      </c>
      <c r="FF2066" s="118" t="str">
        <f t="shared" si="242"/>
        <v/>
      </c>
      <c r="FI2066" s="16">
        <v>2063</v>
      </c>
      <c r="FJ2066" s="17" t="str">
        <f t="shared" si="243"/>
        <v/>
      </c>
      <c r="FK2066" s="17" t="str">
        <f t="shared" si="245"/>
        <v/>
      </c>
      <c r="FL2066" s="18" t="str">
        <f t="shared" si="244"/>
        <v/>
      </c>
    </row>
    <row r="2067" spans="159:168">
      <c r="FC2067" s="118">
        <v>2064</v>
      </c>
      <c r="FD2067" s="118">
        <f t="shared" si="240"/>
        <v>16</v>
      </c>
      <c r="FE2067" s="118">
        <f t="shared" si="241"/>
        <v>129</v>
      </c>
      <c r="FF2067" s="118" t="str">
        <f t="shared" si="242"/>
        <v/>
      </c>
      <c r="FI2067" s="16">
        <v>2064</v>
      </c>
      <c r="FJ2067" s="17" t="str">
        <f t="shared" si="243"/>
        <v/>
      </c>
      <c r="FK2067" s="17" t="str">
        <f t="shared" si="245"/>
        <v/>
      </c>
      <c r="FL2067" s="18" t="str">
        <f t="shared" si="244"/>
        <v/>
      </c>
    </row>
    <row r="2068" spans="159:168">
      <c r="FC2068" s="118">
        <v>2065</v>
      </c>
      <c r="FD2068" s="118">
        <f t="shared" si="240"/>
        <v>1</v>
      </c>
      <c r="FE2068" s="118">
        <f t="shared" si="241"/>
        <v>130</v>
      </c>
      <c r="FF2068" s="118" t="str">
        <f t="shared" si="242"/>
        <v/>
      </c>
      <c r="FI2068" s="16">
        <v>2065</v>
      </c>
      <c r="FJ2068" s="17" t="str">
        <f t="shared" si="243"/>
        <v/>
      </c>
      <c r="FK2068" s="17" t="str">
        <f t="shared" si="245"/>
        <v/>
      </c>
      <c r="FL2068" s="18" t="str">
        <f t="shared" si="244"/>
        <v/>
      </c>
    </row>
    <row r="2069" spans="159:168">
      <c r="FC2069" s="118">
        <v>2066</v>
      </c>
      <c r="FD2069" s="118">
        <f t="shared" si="240"/>
        <v>2</v>
      </c>
      <c r="FE2069" s="118">
        <f t="shared" si="241"/>
        <v>130</v>
      </c>
      <c r="FF2069" s="118" t="str">
        <f t="shared" si="242"/>
        <v/>
      </c>
      <c r="FI2069" s="16">
        <v>2066</v>
      </c>
      <c r="FJ2069" s="17" t="str">
        <f t="shared" si="243"/>
        <v/>
      </c>
      <c r="FK2069" s="17" t="str">
        <f t="shared" si="245"/>
        <v/>
      </c>
      <c r="FL2069" s="18" t="str">
        <f t="shared" si="244"/>
        <v/>
      </c>
    </row>
    <row r="2070" spans="159:168">
      <c r="FC2070" s="118">
        <v>2067</v>
      </c>
      <c r="FD2070" s="118">
        <f t="shared" ref="FD2070:FD2133" si="246">IF(MOD(FC2070,$FB$1+$FB$2)=0,$FB$1+$FB$2,MOD(FC2070,$FB$1+$FB$2))</f>
        <v>3</v>
      </c>
      <c r="FE2070" s="118">
        <f t="shared" ref="FE2070:FE2133" si="247">ROUNDUP(FC2070/($FB$1+$FB$2),0)</f>
        <v>130</v>
      </c>
      <c r="FF2070" s="118" t="str">
        <f t="shared" ref="FF2070:FF2133" si="248">IF(FE2070&lt;$FB$3,INDEX($E$4:$DV$84,FD2070,FE2070),IF(FE2070=$FB$3,INDEX($E$4:$DV$84,FD2070+$FB$1,FE2070),""))</f>
        <v/>
      </c>
      <c r="FI2070" s="16">
        <v>2067</v>
      </c>
      <c r="FJ2070" s="17" t="str">
        <f t="shared" ref="FJ2070:FJ2133" si="249">IF(FE2070&lt;=$FH$1,INDEX($DW$4:$EZ$84,FD2070,FE2070),"")</f>
        <v/>
      </c>
      <c r="FK2070" s="17" t="str">
        <f t="shared" si="245"/>
        <v/>
      </c>
      <c r="FL2070" s="18" t="str">
        <f t="shared" ref="FL2070:FL2133" si="250">IFERROR(TEXT(DEC2BIN(FK2070),"00000000"),"")</f>
        <v/>
      </c>
    </row>
    <row r="2071" spans="159:168">
      <c r="FC2071" s="118">
        <v>2068</v>
      </c>
      <c r="FD2071" s="118">
        <f t="shared" si="246"/>
        <v>4</v>
      </c>
      <c r="FE2071" s="118">
        <f t="shared" si="247"/>
        <v>130</v>
      </c>
      <c r="FF2071" s="118" t="str">
        <f t="shared" si="248"/>
        <v/>
      </c>
      <c r="FI2071" s="16">
        <v>2068</v>
      </c>
      <c r="FJ2071" s="17" t="str">
        <f t="shared" si="249"/>
        <v/>
      </c>
      <c r="FK2071" s="17" t="str">
        <f t="shared" si="245"/>
        <v/>
      </c>
      <c r="FL2071" s="18" t="str">
        <f t="shared" si="250"/>
        <v/>
      </c>
    </row>
    <row r="2072" spans="159:168">
      <c r="FC2072" s="118">
        <v>2069</v>
      </c>
      <c r="FD2072" s="118">
        <f t="shared" si="246"/>
        <v>5</v>
      </c>
      <c r="FE2072" s="118">
        <f t="shared" si="247"/>
        <v>130</v>
      </c>
      <c r="FF2072" s="118" t="str">
        <f t="shared" si="248"/>
        <v/>
      </c>
      <c r="FI2072" s="16">
        <v>2069</v>
      </c>
      <c r="FJ2072" s="17" t="str">
        <f t="shared" si="249"/>
        <v/>
      </c>
      <c r="FK2072" s="17" t="str">
        <f t="shared" si="245"/>
        <v/>
      </c>
      <c r="FL2072" s="18" t="str">
        <f t="shared" si="250"/>
        <v/>
      </c>
    </row>
    <row r="2073" spans="159:168">
      <c r="FC2073" s="118">
        <v>2070</v>
      </c>
      <c r="FD2073" s="118">
        <f t="shared" si="246"/>
        <v>6</v>
      </c>
      <c r="FE2073" s="118">
        <f t="shared" si="247"/>
        <v>130</v>
      </c>
      <c r="FF2073" s="118" t="str">
        <f t="shared" si="248"/>
        <v/>
      </c>
      <c r="FI2073" s="16">
        <v>2070</v>
      </c>
      <c r="FJ2073" s="17" t="str">
        <f t="shared" si="249"/>
        <v/>
      </c>
      <c r="FK2073" s="17" t="str">
        <f t="shared" si="245"/>
        <v/>
      </c>
      <c r="FL2073" s="18" t="str">
        <f t="shared" si="250"/>
        <v/>
      </c>
    </row>
    <row r="2074" spans="159:168">
      <c r="FC2074" s="118">
        <v>2071</v>
      </c>
      <c r="FD2074" s="118">
        <f t="shared" si="246"/>
        <v>7</v>
      </c>
      <c r="FE2074" s="118">
        <f t="shared" si="247"/>
        <v>130</v>
      </c>
      <c r="FF2074" s="118" t="str">
        <f t="shared" si="248"/>
        <v/>
      </c>
      <c r="FI2074" s="16">
        <v>2071</v>
      </c>
      <c r="FJ2074" s="17" t="str">
        <f t="shared" si="249"/>
        <v/>
      </c>
      <c r="FK2074" s="17" t="str">
        <f t="shared" si="245"/>
        <v/>
      </c>
      <c r="FL2074" s="18" t="str">
        <f t="shared" si="250"/>
        <v/>
      </c>
    </row>
    <row r="2075" spans="159:168">
      <c r="FC2075" s="118">
        <v>2072</v>
      </c>
      <c r="FD2075" s="118">
        <f t="shared" si="246"/>
        <v>8</v>
      </c>
      <c r="FE2075" s="118">
        <f t="shared" si="247"/>
        <v>130</v>
      </c>
      <c r="FF2075" s="118" t="str">
        <f t="shared" si="248"/>
        <v/>
      </c>
      <c r="FI2075" s="16">
        <v>2072</v>
      </c>
      <c r="FJ2075" s="17" t="str">
        <f t="shared" si="249"/>
        <v/>
      </c>
      <c r="FK2075" s="17" t="str">
        <f t="shared" si="245"/>
        <v/>
      </c>
      <c r="FL2075" s="18" t="str">
        <f t="shared" si="250"/>
        <v/>
      </c>
    </row>
    <row r="2076" spans="159:168">
      <c r="FC2076" s="118">
        <v>2073</v>
      </c>
      <c r="FD2076" s="118">
        <f t="shared" si="246"/>
        <v>9</v>
      </c>
      <c r="FE2076" s="118">
        <f t="shared" si="247"/>
        <v>130</v>
      </c>
      <c r="FF2076" s="118" t="str">
        <f t="shared" si="248"/>
        <v/>
      </c>
      <c r="FI2076" s="16">
        <v>2073</v>
      </c>
      <c r="FJ2076" s="17" t="str">
        <f t="shared" si="249"/>
        <v/>
      </c>
      <c r="FK2076" s="17" t="str">
        <f t="shared" si="245"/>
        <v/>
      </c>
      <c r="FL2076" s="18" t="str">
        <f t="shared" si="250"/>
        <v/>
      </c>
    </row>
    <row r="2077" spans="159:168">
      <c r="FC2077" s="118">
        <v>2074</v>
      </c>
      <c r="FD2077" s="118">
        <f t="shared" si="246"/>
        <v>10</v>
      </c>
      <c r="FE2077" s="118">
        <f t="shared" si="247"/>
        <v>130</v>
      </c>
      <c r="FF2077" s="118" t="str">
        <f t="shared" si="248"/>
        <v/>
      </c>
      <c r="FI2077" s="16">
        <v>2074</v>
      </c>
      <c r="FJ2077" s="17" t="str">
        <f t="shared" si="249"/>
        <v/>
      </c>
      <c r="FK2077" s="17" t="str">
        <f t="shared" si="245"/>
        <v/>
      </c>
      <c r="FL2077" s="18" t="str">
        <f t="shared" si="250"/>
        <v/>
      </c>
    </row>
    <row r="2078" spans="159:168">
      <c r="FC2078" s="118">
        <v>2075</v>
      </c>
      <c r="FD2078" s="118">
        <f t="shared" si="246"/>
        <v>11</v>
      </c>
      <c r="FE2078" s="118">
        <f t="shared" si="247"/>
        <v>130</v>
      </c>
      <c r="FF2078" s="118" t="str">
        <f t="shared" si="248"/>
        <v/>
      </c>
      <c r="FI2078" s="16">
        <v>2075</v>
      </c>
      <c r="FJ2078" s="17" t="str">
        <f t="shared" si="249"/>
        <v/>
      </c>
      <c r="FK2078" s="17" t="str">
        <f t="shared" si="245"/>
        <v/>
      </c>
      <c r="FL2078" s="18" t="str">
        <f t="shared" si="250"/>
        <v/>
      </c>
    </row>
    <row r="2079" spans="159:168">
      <c r="FC2079" s="118">
        <v>2076</v>
      </c>
      <c r="FD2079" s="118">
        <f t="shared" si="246"/>
        <v>12</v>
      </c>
      <c r="FE2079" s="118">
        <f t="shared" si="247"/>
        <v>130</v>
      </c>
      <c r="FF2079" s="118" t="str">
        <f t="shared" si="248"/>
        <v/>
      </c>
      <c r="FI2079" s="16">
        <v>2076</v>
      </c>
      <c r="FJ2079" s="17" t="str">
        <f t="shared" si="249"/>
        <v/>
      </c>
      <c r="FK2079" s="17" t="str">
        <f t="shared" si="245"/>
        <v/>
      </c>
      <c r="FL2079" s="18" t="str">
        <f t="shared" si="250"/>
        <v/>
      </c>
    </row>
    <row r="2080" spans="159:168">
      <c r="FC2080" s="118">
        <v>2077</v>
      </c>
      <c r="FD2080" s="118">
        <f t="shared" si="246"/>
        <v>13</v>
      </c>
      <c r="FE2080" s="118">
        <f t="shared" si="247"/>
        <v>130</v>
      </c>
      <c r="FF2080" s="118" t="str">
        <f t="shared" si="248"/>
        <v/>
      </c>
      <c r="FI2080" s="16">
        <v>2077</v>
      </c>
      <c r="FJ2080" s="17" t="str">
        <f t="shared" si="249"/>
        <v/>
      </c>
      <c r="FK2080" s="17" t="str">
        <f t="shared" si="245"/>
        <v/>
      </c>
      <c r="FL2080" s="18" t="str">
        <f t="shared" si="250"/>
        <v/>
      </c>
    </row>
    <row r="2081" spans="159:168">
      <c r="FC2081" s="118">
        <v>2078</v>
      </c>
      <c r="FD2081" s="118">
        <f t="shared" si="246"/>
        <v>14</v>
      </c>
      <c r="FE2081" s="118">
        <f t="shared" si="247"/>
        <v>130</v>
      </c>
      <c r="FF2081" s="118" t="str">
        <f t="shared" si="248"/>
        <v/>
      </c>
      <c r="FI2081" s="16">
        <v>2078</v>
      </c>
      <c r="FJ2081" s="17" t="str">
        <f t="shared" si="249"/>
        <v/>
      </c>
      <c r="FK2081" s="17" t="str">
        <f t="shared" si="245"/>
        <v/>
      </c>
      <c r="FL2081" s="18" t="str">
        <f t="shared" si="250"/>
        <v/>
      </c>
    </row>
    <row r="2082" spans="159:168">
      <c r="FC2082" s="118">
        <v>2079</v>
      </c>
      <c r="FD2082" s="118">
        <f t="shared" si="246"/>
        <v>15</v>
      </c>
      <c r="FE2082" s="118">
        <f t="shared" si="247"/>
        <v>130</v>
      </c>
      <c r="FF2082" s="118" t="str">
        <f t="shared" si="248"/>
        <v/>
      </c>
      <c r="FI2082" s="16">
        <v>2079</v>
      </c>
      <c r="FJ2082" s="17" t="str">
        <f t="shared" si="249"/>
        <v/>
      </c>
      <c r="FK2082" s="17" t="str">
        <f t="shared" si="245"/>
        <v/>
      </c>
      <c r="FL2082" s="18" t="str">
        <f t="shared" si="250"/>
        <v/>
      </c>
    </row>
    <row r="2083" spans="159:168">
      <c r="FC2083" s="118">
        <v>2080</v>
      </c>
      <c r="FD2083" s="118">
        <f t="shared" si="246"/>
        <v>16</v>
      </c>
      <c r="FE2083" s="118">
        <f t="shared" si="247"/>
        <v>130</v>
      </c>
      <c r="FF2083" s="118" t="str">
        <f t="shared" si="248"/>
        <v/>
      </c>
      <c r="FI2083" s="16">
        <v>2080</v>
      </c>
      <c r="FJ2083" s="17" t="str">
        <f t="shared" si="249"/>
        <v/>
      </c>
      <c r="FK2083" s="17" t="str">
        <f t="shared" si="245"/>
        <v/>
      </c>
      <c r="FL2083" s="18" t="str">
        <f t="shared" si="250"/>
        <v/>
      </c>
    </row>
    <row r="2084" spans="159:168">
      <c r="FC2084" s="118">
        <v>2081</v>
      </c>
      <c r="FD2084" s="118">
        <f t="shared" si="246"/>
        <v>1</v>
      </c>
      <c r="FE2084" s="118">
        <f t="shared" si="247"/>
        <v>131</v>
      </c>
      <c r="FF2084" s="118" t="str">
        <f t="shared" si="248"/>
        <v/>
      </c>
      <c r="FI2084" s="16">
        <v>2081</v>
      </c>
      <c r="FJ2084" s="17" t="str">
        <f t="shared" si="249"/>
        <v/>
      </c>
      <c r="FK2084" s="17" t="str">
        <f t="shared" si="245"/>
        <v/>
      </c>
      <c r="FL2084" s="18" t="str">
        <f t="shared" si="250"/>
        <v/>
      </c>
    </row>
    <row r="2085" spans="159:168">
      <c r="FC2085" s="118">
        <v>2082</v>
      </c>
      <c r="FD2085" s="118">
        <f t="shared" si="246"/>
        <v>2</v>
      </c>
      <c r="FE2085" s="118">
        <f t="shared" si="247"/>
        <v>131</v>
      </c>
      <c r="FF2085" s="118" t="str">
        <f t="shared" si="248"/>
        <v/>
      </c>
      <c r="FI2085" s="16">
        <v>2082</v>
      </c>
      <c r="FJ2085" s="17" t="str">
        <f t="shared" si="249"/>
        <v/>
      </c>
      <c r="FK2085" s="17" t="str">
        <f t="shared" si="245"/>
        <v/>
      </c>
      <c r="FL2085" s="18" t="str">
        <f t="shared" si="250"/>
        <v/>
      </c>
    </row>
    <row r="2086" spans="159:168">
      <c r="FC2086" s="118">
        <v>2083</v>
      </c>
      <c r="FD2086" s="118">
        <f t="shared" si="246"/>
        <v>3</v>
      </c>
      <c r="FE2086" s="118">
        <f t="shared" si="247"/>
        <v>131</v>
      </c>
      <c r="FF2086" s="118" t="str">
        <f t="shared" si="248"/>
        <v/>
      </c>
      <c r="FI2086" s="16">
        <v>2083</v>
      </c>
      <c r="FJ2086" s="17" t="str">
        <f t="shared" si="249"/>
        <v/>
      </c>
      <c r="FK2086" s="17" t="str">
        <f t="shared" si="245"/>
        <v/>
      </c>
      <c r="FL2086" s="18" t="str">
        <f t="shared" si="250"/>
        <v/>
      </c>
    </row>
    <row r="2087" spans="159:168">
      <c r="FC2087" s="118">
        <v>2084</v>
      </c>
      <c r="FD2087" s="118">
        <f t="shared" si="246"/>
        <v>4</v>
      </c>
      <c r="FE2087" s="118">
        <f t="shared" si="247"/>
        <v>131</v>
      </c>
      <c r="FF2087" s="118" t="str">
        <f t="shared" si="248"/>
        <v/>
      </c>
      <c r="FI2087" s="16">
        <v>2084</v>
      </c>
      <c r="FJ2087" s="17" t="str">
        <f t="shared" si="249"/>
        <v/>
      </c>
      <c r="FK2087" s="17" t="str">
        <f t="shared" si="245"/>
        <v/>
      </c>
      <c r="FL2087" s="18" t="str">
        <f t="shared" si="250"/>
        <v/>
      </c>
    </row>
    <row r="2088" spans="159:168">
      <c r="FC2088" s="118">
        <v>2085</v>
      </c>
      <c r="FD2088" s="118">
        <f t="shared" si="246"/>
        <v>5</v>
      </c>
      <c r="FE2088" s="118">
        <f t="shared" si="247"/>
        <v>131</v>
      </c>
      <c r="FF2088" s="118" t="str">
        <f t="shared" si="248"/>
        <v/>
      </c>
      <c r="FI2088" s="16">
        <v>2085</v>
      </c>
      <c r="FJ2088" s="17" t="str">
        <f t="shared" si="249"/>
        <v/>
      </c>
      <c r="FK2088" s="17" t="str">
        <f t="shared" si="245"/>
        <v/>
      </c>
      <c r="FL2088" s="18" t="str">
        <f t="shared" si="250"/>
        <v/>
      </c>
    </row>
    <row r="2089" spans="159:168">
      <c r="FC2089" s="118">
        <v>2086</v>
      </c>
      <c r="FD2089" s="118">
        <f t="shared" si="246"/>
        <v>6</v>
      </c>
      <c r="FE2089" s="118">
        <f t="shared" si="247"/>
        <v>131</v>
      </c>
      <c r="FF2089" s="118" t="str">
        <f t="shared" si="248"/>
        <v/>
      </c>
      <c r="FI2089" s="16">
        <v>2086</v>
      </c>
      <c r="FJ2089" s="17" t="str">
        <f t="shared" si="249"/>
        <v/>
      </c>
      <c r="FK2089" s="17" t="str">
        <f t="shared" si="245"/>
        <v/>
      </c>
      <c r="FL2089" s="18" t="str">
        <f t="shared" si="250"/>
        <v/>
      </c>
    </row>
    <row r="2090" spans="159:168">
      <c r="FC2090" s="118">
        <v>2087</v>
      </c>
      <c r="FD2090" s="118">
        <f t="shared" si="246"/>
        <v>7</v>
      </c>
      <c r="FE2090" s="118">
        <f t="shared" si="247"/>
        <v>131</v>
      </c>
      <c r="FF2090" s="118" t="str">
        <f t="shared" si="248"/>
        <v/>
      </c>
      <c r="FI2090" s="16">
        <v>2087</v>
      </c>
      <c r="FJ2090" s="17" t="str">
        <f t="shared" si="249"/>
        <v/>
      </c>
      <c r="FK2090" s="17" t="str">
        <f t="shared" si="245"/>
        <v/>
      </c>
      <c r="FL2090" s="18" t="str">
        <f t="shared" si="250"/>
        <v/>
      </c>
    </row>
    <row r="2091" spans="159:168">
      <c r="FC2091" s="118">
        <v>2088</v>
      </c>
      <c r="FD2091" s="118">
        <f t="shared" si="246"/>
        <v>8</v>
      </c>
      <c r="FE2091" s="118">
        <f t="shared" si="247"/>
        <v>131</v>
      </c>
      <c r="FF2091" s="118" t="str">
        <f t="shared" si="248"/>
        <v/>
      </c>
      <c r="FI2091" s="16">
        <v>2088</v>
      </c>
      <c r="FJ2091" s="17" t="str">
        <f t="shared" si="249"/>
        <v/>
      </c>
      <c r="FK2091" s="17" t="str">
        <f t="shared" si="245"/>
        <v/>
      </c>
      <c r="FL2091" s="18" t="str">
        <f t="shared" si="250"/>
        <v/>
      </c>
    </row>
    <row r="2092" spans="159:168">
      <c r="FC2092" s="118">
        <v>2089</v>
      </c>
      <c r="FD2092" s="118">
        <f t="shared" si="246"/>
        <v>9</v>
      </c>
      <c r="FE2092" s="118">
        <f t="shared" si="247"/>
        <v>131</v>
      </c>
      <c r="FF2092" s="118" t="str">
        <f t="shared" si="248"/>
        <v/>
      </c>
      <c r="FI2092" s="16">
        <v>2089</v>
      </c>
      <c r="FJ2092" s="17" t="str">
        <f t="shared" si="249"/>
        <v/>
      </c>
      <c r="FK2092" s="17" t="str">
        <f t="shared" si="245"/>
        <v/>
      </c>
      <c r="FL2092" s="18" t="str">
        <f t="shared" si="250"/>
        <v/>
      </c>
    </row>
    <row r="2093" spans="159:168">
      <c r="FC2093" s="118">
        <v>2090</v>
      </c>
      <c r="FD2093" s="118">
        <f t="shared" si="246"/>
        <v>10</v>
      </c>
      <c r="FE2093" s="118">
        <f t="shared" si="247"/>
        <v>131</v>
      </c>
      <c r="FF2093" s="118" t="str">
        <f t="shared" si="248"/>
        <v/>
      </c>
      <c r="FI2093" s="16">
        <v>2090</v>
      </c>
      <c r="FJ2093" s="17" t="str">
        <f t="shared" si="249"/>
        <v/>
      </c>
      <c r="FK2093" s="17" t="str">
        <f t="shared" si="245"/>
        <v/>
      </c>
      <c r="FL2093" s="18" t="str">
        <f t="shared" si="250"/>
        <v/>
      </c>
    </row>
    <row r="2094" spans="159:168">
      <c r="FC2094" s="118">
        <v>2091</v>
      </c>
      <c r="FD2094" s="118">
        <f t="shared" si="246"/>
        <v>11</v>
      </c>
      <c r="FE2094" s="118">
        <f t="shared" si="247"/>
        <v>131</v>
      </c>
      <c r="FF2094" s="118" t="str">
        <f t="shared" si="248"/>
        <v/>
      </c>
      <c r="FI2094" s="16">
        <v>2091</v>
      </c>
      <c r="FJ2094" s="17" t="str">
        <f t="shared" si="249"/>
        <v/>
      </c>
      <c r="FK2094" s="17" t="str">
        <f t="shared" si="245"/>
        <v/>
      </c>
      <c r="FL2094" s="18" t="str">
        <f t="shared" si="250"/>
        <v/>
      </c>
    </row>
    <row r="2095" spans="159:168">
      <c r="FC2095" s="118">
        <v>2092</v>
      </c>
      <c r="FD2095" s="118">
        <f t="shared" si="246"/>
        <v>12</v>
      </c>
      <c r="FE2095" s="118">
        <f t="shared" si="247"/>
        <v>131</v>
      </c>
      <c r="FF2095" s="118" t="str">
        <f t="shared" si="248"/>
        <v/>
      </c>
      <c r="FI2095" s="16">
        <v>2092</v>
      </c>
      <c r="FJ2095" s="17" t="str">
        <f t="shared" si="249"/>
        <v/>
      </c>
      <c r="FK2095" s="17" t="str">
        <f t="shared" si="245"/>
        <v/>
      </c>
      <c r="FL2095" s="18" t="str">
        <f t="shared" si="250"/>
        <v/>
      </c>
    </row>
    <row r="2096" spans="159:168">
      <c r="FC2096" s="118">
        <v>2093</v>
      </c>
      <c r="FD2096" s="118">
        <f t="shared" si="246"/>
        <v>13</v>
      </c>
      <c r="FE2096" s="118">
        <f t="shared" si="247"/>
        <v>131</v>
      </c>
      <c r="FF2096" s="118" t="str">
        <f t="shared" si="248"/>
        <v/>
      </c>
      <c r="FI2096" s="16">
        <v>2093</v>
      </c>
      <c r="FJ2096" s="17" t="str">
        <f t="shared" si="249"/>
        <v/>
      </c>
      <c r="FK2096" s="17" t="str">
        <f t="shared" si="245"/>
        <v/>
      </c>
      <c r="FL2096" s="18" t="str">
        <f t="shared" si="250"/>
        <v/>
      </c>
    </row>
    <row r="2097" spans="159:168">
      <c r="FC2097" s="118">
        <v>2094</v>
      </c>
      <c r="FD2097" s="118">
        <f t="shared" si="246"/>
        <v>14</v>
      </c>
      <c r="FE2097" s="118">
        <f t="shared" si="247"/>
        <v>131</v>
      </c>
      <c r="FF2097" s="118" t="str">
        <f t="shared" si="248"/>
        <v/>
      </c>
      <c r="FI2097" s="16">
        <v>2094</v>
      </c>
      <c r="FJ2097" s="17" t="str">
        <f t="shared" si="249"/>
        <v/>
      </c>
      <c r="FK2097" s="17" t="str">
        <f t="shared" si="245"/>
        <v/>
      </c>
      <c r="FL2097" s="18" t="str">
        <f t="shared" si="250"/>
        <v/>
      </c>
    </row>
    <row r="2098" spans="159:168">
      <c r="FC2098" s="118">
        <v>2095</v>
      </c>
      <c r="FD2098" s="118">
        <f t="shared" si="246"/>
        <v>15</v>
      </c>
      <c r="FE2098" s="118">
        <f t="shared" si="247"/>
        <v>131</v>
      </c>
      <c r="FF2098" s="118" t="str">
        <f t="shared" si="248"/>
        <v/>
      </c>
      <c r="FI2098" s="16">
        <v>2095</v>
      </c>
      <c r="FJ2098" s="17" t="str">
        <f t="shared" si="249"/>
        <v/>
      </c>
      <c r="FK2098" s="17" t="str">
        <f t="shared" si="245"/>
        <v/>
      </c>
      <c r="FL2098" s="18" t="str">
        <f t="shared" si="250"/>
        <v/>
      </c>
    </row>
    <row r="2099" spans="159:168">
      <c r="FC2099" s="118">
        <v>2096</v>
      </c>
      <c r="FD2099" s="118">
        <f t="shared" si="246"/>
        <v>16</v>
      </c>
      <c r="FE2099" s="118">
        <f t="shared" si="247"/>
        <v>131</v>
      </c>
      <c r="FF2099" s="118" t="str">
        <f t="shared" si="248"/>
        <v/>
      </c>
      <c r="FI2099" s="16">
        <v>2096</v>
      </c>
      <c r="FJ2099" s="17" t="str">
        <f t="shared" si="249"/>
        <v/>
      </c>
      <c r="FK2099" s="17" t="str">
        <f t="shared" si="245"/>
        <v/>
      </c>
      <c r="FL2099" s="18" t="str">
        <f t="shared" si="250"/>
        <v/>
      </c>
    </row>
    <row r="2100" spans="159:168">
      <c r="FC2100" s="118">
        <v>2097</v>
      </c>
      <c r="FD2100" s="118">
        <f t="shared" si="246"/>
        <v>1</v>
      </c>
      <c r="FE2100" s="118">
        <f t="shared" si="247"/>
        <v>132</v>
      </c>
      <c r="FF2100" s="118" t="str">
        <f t="shared" si="248"/>
        <v/>
      </c>
      <c r="FI2100" s="16">
        <v>2097</v>
      </c>
      <c r="FJ2100" s="17" t="str">
        <f t="shared" si="249"/>
        <v/>
      </c>
      <c r="FK2100" s="17" t="str">
        <f t="shared" si="245"/>
        <v/>
      </c>
      <c r="FL2100" s="18" t="str">
        <f t="shared" si="250"/>
        <v/>
      </c>
    </row>
    <row r="2101" spans="159:168">
      <c r="FC2101" s="118">
        <v>2098</v>
      </c>
      <c r="FD2101" s="118">
        <f t="shared" si="246"/>
        <v>2</v>
      </c>
      <c r="FE2101" s="118">
        <f t="shared" si="247"/>
        <v>132</v>
      </c>
      <c r="FF2101" s="118" t="str">
        <f t="shared" si="248"/>
        <v/>
      </c>
      <c r="FI2101" s="16">
        <v>2098</v>
      </c>
      <c r="FJ2101" s="17" t="str">
        <f t="shared" si="249"/>
        <v/>
      </c>
      <c r="FK2101" s="17" t="str">
        <f t="shared" si="245"/>
        <v/>
      </c>
      <c r="FL2101" s="18" t="str">
        <f t="shared" si="250"/>
        <v/>
      </c>
    </row>
    <row r="2102" spans="159:168">
      <c r="FC2102" s="118">
        <v>2099</v>
      </c>
      <c r="FD2102" s="118">
        <f t="shared" si="246"/>
        <v>3</v>
      </c>
      <c r="FE2102" s="118">
        <f t="shared" si="247"/>
        <v>132</v>
      </c>
      <c r="FF2102" s="118" t="str">
        <f t="shared" si="248"/>
        <v/>
      </c>
      <c r="FI2102" s="16">
        <v>2099</v>
      </c>
      <c r="FJ2102" s="17" t="str">
        <f t="shared" si="249"/>
        <v/>
      </c>
      <c r="FK2102" s="17" t="str">
        <f t="shared" si="245"/>
        <v/>
      </c>
      <c r="FL2102" s="18" t="str">
        <f t="shared" si="250"/>
        <v/>
      </c>
    </row>
    <row r="2103" spans="159:168">
      <c r="FC2103" s="118">
        <v>2100</v>
      </c>
      <c r="FD2103" s="118">
        <f t="shared" si="246"/>
        <v>4</v>
      </c>
      <c r="FE2103" s="118">
        <f t="shared" si="247"/>
        <v>132</v>
      </c>
      <c r="FF2103" s="118" t="str">
        <f t="shared" si="248"/>
        <v/>
      </c>
      <c r="FI2103" s="16">
        <v>2100</v>
      </c>
      <c r="FJ2103" s="17" t="str">
        <f t="shared" si="249"/>
        <v/>
      </c>
      <c r="FK2103" s="17" t="str">
        <f t="shared" si="245"/>
        <v/>
      </c>
      <c r="FL2103" s="18" t="str">
        <f t="shared" si="250"/>
        <v/>
      </c>
    </row>
    <row r="2104" spans="159:168">
      <c r="FC2104" s="118">
        <v>2101</v>
      </c>
      <c r="FD2104" s="118">
        <f t="shared" si="246"/>
        <v>5</v>
      </c>
      <c r="FE2104" s="118">
        <f t="shared" si="247"/>
        <v>132</v>
      </c>
      <c r="FF2104" s="118" t="str">
        <f t="shared" si="248"/>
        <v/>
      </c>
      <c r="FI2104" s="16">
        <v>2101</v>
      </c>
      <c r="FJ2104" s="17" t="str">
        <f t="shared" si="249"/>
        <v/>
      </c>
      <c r="FK2104" s="17" t="str">
        <f t="shared" si="245"/>
        <v/>
      </c>
      <c r="FL2104" s="18" t="str">
        <f t="shared" si="250"/>
        <v/>
      </c>
    </row>
    <row r="2105" spans="159:168">
      <c r="FC2105" s="118">
        <v>2102</v>
      </c>
      <c r="FD2105" s="118">
        <f t="shared" si="246"/>
        <v>6</v>
      </c>
      <c r="FE2105" s="118">
        <f t="shared" si="247"/>
        <v>132</v>
      </c>
      <c r="FF2105" s="118" t="str">
        <f t="shared" si="248"/>
        <v/>
      </c>
      <c r="FI2105" s="16">
        <v>2102</v>
      </c>
      <c r="FJ2105" s="17" t="str">
        <f t="shared" si="249"/>
        <v/>
      </c>
      <c r="FK2105" s="17" t="str">
        <f t="shared" si="245"/>
        <v/>
      </c>
      <c r="FL2105" s="18" t="str">
        <f t="shared" si="250"/>
        <v/>
      </c>
    </row>
    <row r="2106" spans="159:168">
      <c r="FC2106" s="118">
        <v>2103</v>
      </c>
      <c r="FD2106" s="118">
        <f t="shared" si="246"/>
        <v>7</v>
      </c>
      <c r="FE2106" s="118">
        <f t="shared" si="247"/>
        <v>132</v>
      </c>
      <c r="FF2106" s="118" t="str">
        <f t="shared" si="248"/>
        <v/>
      </c>
      <c r="FI2106" s="16">
        <v>2103</v>
      </c>
      <c r="FJ2106" s="17" t="str">
        <f t="shared" si="249"/>
        <v/>
      </c>
      <c r="FK2106" s="17" t="str">
        <f t="shared" si="245"/>
        <v/>
      </c>
      <c r="FL2106" s="18" t="str">
        <f t="shared" si="250"/>
        <v/>
      </c>
    </row>
    <row r="2107" spans="159:168">
      <c r="FC2107" s="118">
        <v>2104</v>
      </c>
      <c r="FD2107" s="118">
        <f t="shared" si="246"/>
        <v>8</v>
      </c>
      <c r="FE2107" s="118">
        <f t="shared" si="247"/>
        <v>132</v>
      </c>
      <c r="FF2107" s="118" t="str">
        <f t="shared" si="248"/>
        <v/>
      </c>
      <c r="FI2107" s="16">
        <v>2104</v>
      </c>
      <c r="FJ2107" s="17" t="str">
        <f t="shared" si="249"/>
        <v/>
      </c>
      <c r="FK2107" s="17" t="str">
        <f t="shared" si="245"/>
        <v/>
      </c>
      <c r="FL2107" s="18" t="str">
        <f t="shared" si="250"/>
        <v/>
      </c>
    </row>
    <row r="2108" spans="159:168">
      <c r="FC2108" s="118">
        <v>2105</v>
      </c>
      <c r="FD2108" s="118">
        <f t="shared" si="246"/>
        <v>9</v>
      </c>
      <c r="FE2108" s="118">
        <f t="shared" si="247"/>
        <v>132</v>
      </c>
      <c r="FF2108" s="118" t="str">
        <f t="shared" si="248"/>
        <v/>
      </c>
      <c r="FI2108" s="16">
        <v>2105</v>
      </c>
      <c r="FJ2108" s="17" t="str">
        <f t="shared" si="249"/>
        <v/>
      </c>
      <c r="FK2108" s="17" t="str">
        <f t="shared" si="245"/>
        <v/>
      </c>
      <c r="FL2108" s="18" t="str">
        <f t="shared" si="250"/>
        <v/>
      </c>
    </row>
    <row r="2109" spans="159:168">
      <c r="FC2109" s="118">
        <v>2106</v>
      </c>
      <c r="FD2109" s="118">
        <f t="shared" si="246"/>
        <v>10</v>
      </c>
      <c r="FE2109" s="118">
        <f t="shared" si="247"/>
        <v>132</v>
      </c>
      <c r="FF2109" s="118" t="str">
        <f t="shared" si="248"/>
        <v/>
      </c>
      <c r="FI2109" s="16">
        <v>2106</v>
      </c>
      <c r="FJ2109" s="17" t="str">
        <f t="shared" si="249"/>
        <v/>
      </c>
      <c r="FK2109" s="17" t="str">
        <f t="shared" si="245"/>
        <v/>
      </c>
      <c r="FL2109" s="18" t="str">
        <f t="shared" si="250"/>
        <v/>
      </c>
    </row>
    <row r="2110" spans="159:168">
      <c r="FC2110" s="118">
        <v>2107</v>
      </c>
      <c r="FD2110" s="118">
        <f t="shared" si="246"/>
        <v>11</v>
      </c>
      <c r="FE2110" s="118">
        <f t="shared" si="247"/>
        <v>132</v>
      </c>
      <c r="FF2110" s="118" t="str">
        <f t="shared" si="248"/>
        <v/>
      </c>
      <c r="FI2110" s="16">
        <v>2107</v>
      </c>
      <c r="FJ2110" s="17" t="str">
        <f t="shared" si="249"/>
        <v/>
      </c>
      <c r="FK2110" s="17" t="str">
        <f t="shared" si="245"/>
        <v/>
      </c>
      <c r="FL2110" s="18" t="str">
        <f t="shared" si="250"/>
        <v/>
      </c>
    </row>
    <row r="2111" spans="159:168">
      <c r="FC2111" s="118">
        <v>2108</v>
      </c>
      <c r="FD2111" s="118">
        <f t="shared" si="246"/>
        <v>12</v>
      </c>
      <c r="FE2111" s="118">
        <f t="shared" si="247"/>
        <v>132</v>
      </c>
      <c r="FF2111" s="118" t="str">
        <f t="shared" si="248"/>
        <v/>
      </c>
      <c r="FI2111" s="16">
        <v>2108</v>
      </c>
      <c r="FJ2111" s="17" t="str">
        <f t="shared" si="249"/>
        <v/>
      </c>
      <c r="FK2111" s="17" t="str">
        <f t="shared" si="245"/>
        <v/>
      </c>
      <c r="FL2111" s="18" t="str">
        <f t="shared" si="250"/>
        <v/>
      </c>
    </row>
    <row r="2112" spans="159:168">
      <c r="FC2112" s="118">
        <v>2109</v>
      </c>
      <c r="FD2112" s="118">
        <f t="shared" si="246"/>
        <v>13</v>
      </c>
      <c r="FE2112" s="118">
        <f t="shared" si="247"/>
        <v>132</v>
      </c>
      <c r="FF2112" s="118" t="str">
        <f t="shared" si="248"/>
        <v/>
      </c>
      <c r="FI2112" s="16">
        <v>2109</v>
      </c>
      <c r="FJ2112" s="17" t="str">
        <f t="shared" si="249"/>
        <v/>
      </c>
      <c r="FK2112" s="17" t="str">
        <f t="shared" si="245"/>
        <v/>
      </c>
      <c r="FL2112" s="18" t="str">
        <f t="shared" si="250"/>
        <v/>
      </c>
    </row>
    <row r="2113" spans="159:168">
      <c r="FC2113" s="118">
        <v>2110</v>
      </c>
      <c r="FD2113" s="118">
        <f t="shared" si="246"/>
        <v>14</v>
      </c>
      <c r="FE2113" s="118">
        <f t="shared" si="247"/>
        <v>132</v>
      </c>
      <c r="FF2113" s="118" t="str">
        <f t="shared" si="248"/>
        <v/>
      </c>
      <c r="FI2113" s="16">
        <v>2110</v>
      </c>
      <c r="FJ2113" s="17" t="str">
        <f t="shared" si="249"/>
        <v/>
      </c>
      <c r="FK2113" s="17" t="str">
        <f t="shared" si="245"/>
        <v/>
      </c>
      <c r="FL2113" s="18" t="str">
        <f t="shared" si="250"/>
        <v/>
      </c>
    </row>
    <row r="2114" spans="159:168">
      <c r="FC2114" s="118">
        <v>2111</v>
      </c>
      <c r="FD2114" s="118">
        <f t="shared" si="246"/>
        <v>15</v>
      </c>
      <c r="FE2114" s="118">
        <f t="shared" si="247"/>
        <v>132</v>
      </c>
      <c r="FF2114" s="118" t="str">
        <f t="shared" si="248"/>
        <v/>
      </c>
      <c r="FI2114" s="16">
        <v>2111</v>
      </c>
      <c r="FJ2114" s="17" t="str">
        <f t="shared" si="249"/>
        <v/>
      </c>
      <c r="FK2114" s="17" t="str">
        <f t="shared" si="245"/>
        <v/>
      </c>
      <c r="FL2114" s="18" t="str">
        <f t="shared" si="250"/>
        <v/>
      </c>
    </row>
    <row r="2115" spans="159:168">
      <c r="FC2115" s="118">
        <v>2112</v>
      </c>
      <c r="FD2115" s="118">
        <f t="shared" si="246"/>
        <v>16</v>
      </c>
      <c r="FE2115" s="118">
        <f t="shared" si="247"/>
        <v>132</v>
      </c>
      <c r="FF2115" s="118" t="str">
        <f t="shared" si="248"/>
        <v/>
      </c>
      <c r="FI2115" s="16">
        <v>2112</v>
      </c>
      <c r="FJ2115" s="17" t="str">
        <f t="shared" si="249"/>
        <v/>
      </c>
      <c r="FK2115" s="17" t="str">
        <f t="shared" si="245"/>
        <v/>
      </c>
      <c r="FL2115" s="18" t="str">
        <f t="shared" si="250"/>
        <v/>
      </c>
    </row>
    <row r="2116" spans="159:168">
      <c r="FC2116" s="118">
        <v>2113</v>
      </c>
      <c r="FD2116" s="118">
        <f t="shared" si="246"/>
        <v>1</v>
      </c>
      <c r="FE2116" s="118">
        <f t="shared" si="247"/>
        <v>133</v>
      </c>
      <c r="FF2116" s="118" t="str">
        <f t="shared" si="248"/>
        <v/>
      </c>
      <c r="FI2116" s="16">
        <v>2113</v>
      </c>
      <c r="FJ2116" s="17" t="str">
        <f t="shared" si="249"/>
        <v/>
      </c>
      <c r="FK2116" s="17" t="str">
        <f t="shared" si="245"/>
        <v/>
      </c>
      <c r="FL2116" s="18" t="str">
        <f t="shared" si="250"/>
        <v/>
      </c>
    </row>
    <row r="2117" spans="159:168">
      <c r="FC2117" s="118">
        <v>2114</v>
      </c>
      <c r="FD2117" s="118">
        <f t="shared" si="246"/>
        <v>2</v>
      </c>
      <c r="FE2117" s="118">
        <f t="shared" si="247"/>
        <v>133</v>
      </c>
      <c r="FF2117" s="118" t="str">
        <f t="shared" si="248"/>
        <v/>
      </c>
      <c r="FI2117" s="16">
        <v>2114</v>
      </c>
      <c r="FJ2117" s="17" t="str">
        <f t="shared" si="249"/>
        <v/>
      </c>
      <c r="FK2117" s="17" t="str">
        <f t="shared" ref="FK2117:FK2180" si="251">IF(FI2117&lt;=$FH$2,FF2117,IF(FI2117&lt;=$FH$2+$FH$3,INDEX($FJ$4:$FJ$2494,FI2117-$FH$2),""))</f>
        <v/>
      </c>
      <c r="FL2117" s="18" t="str">
        <f t="shared" si="250"/>
        <v/>
      </c>
    </row>
    <row r="2118" spans="159:168">
      <c r="FC2118" s="118">
        <v>2115</v>
      </c>
      <c r="FD2118" s="118">
        <f t="shared" si="246"/>
        <v>3</v>
      </c>
      <c r="FE2118" s="118">
        <f t="shared" si="247"/>
        <v>133</v>
      </c>
      <c r="FF2118" s="118" t="str">
        <f t="shared" si="248"/>
        <v/>
      </c>
      <c r="FI2118" s="16">
        <v>2115</v>
      </c>
      <c r="FJ2118" s="17" t="str">
        <f t="shared" si="249"/>
        <v/>
      </c>
      <c r="FK2118" s="17" t="str">
        <f t="shared" si="251"/>
        <v/>
      </c>
      <c r="FL2118" s="18" t="str">
        <f t="shared" si="250"/>
        <v/>
      </c>
    </row>
    <row r="2119" spans="159:168">
      <c r="FC2119" s="118">
        <v>2116</v>
      </c>
      <c r="FD2119" s="118">
        <f t="shared" si="246"/>
        <v>4</v>
      </c>
      <c r="FE2119" s="118">
        <f t="shared" si="247"/>
        <v>133</v>
      </c>
      <c r="FF2119" s="118" t="str">
        <f t="shared" si="248"/>
        <v/>
      </c>
      <c r="FI2119" s="16">
        <v>2116</v>
      </c>
      <c r="FJ2119" s="17" t="str">
        <f t="shared" si="249"/>
        <v/>
      </c>
      <c r="FK2119" s="17" t="str">
        <f t="shared" si="251"/>
        <v/>
      </c>
      <c r="FL2119" s="18" t="str">
        <f t="shared" si="250"/>
        <v/>
      </c>
    </row>
    <row r="2120" spans="159:168">
      <c r="FC2120" s="118">
        <v>2117</v>
      </c>
      <c r="FD2120" s="118">
        <f t="shared" si="246"/>
        <v>5</v>
      </c>
      <c r="FE2120" s="118">
        <f t="shared" si="247"/>
        <v>133</v>
      </c>
      <c r="FF2120" s="118" t="str">
        <f t="shared" si="248"/>
        <v/>
      </c>
      <c r="FI2120" s="16">
        <v>2117</v>
      </c>
      <c r="FJ2120" s="17" t="str">
        <f t="shared" si="249"/>
        <v/>
      </c>
      <c r="FK2120" s="17" t="str">
        <f t="shared" si="251"/>
        <v/>
      </c>
      <c r="FL2120" s="18" t="str">
        <f t="shared" si="250"/>
        <v/>
      </c>
    </row>
    <row r="2121" spans="159:168">
      <c r="FC2121" s="118">
        <v>2118</v>
      </c>
      <c r="FD2121" s="118">
        <f t="shared" si="246"/>
        <v>6</v>
      </c>
      <c r="FE2121" s="118">
        <f t="shared" si="247"/>
        <v>133</v>
      </c>
      <c r="FF2121" s="118" t="str">
        <f t="shared" si="248"/>
        <v/>
      </c>
      <c r="FI2121" s="16">
        <v>2118</v>
      </c>
      <c r="FJ2121" s="17" t="str">
        <f t="shared" si="249"/>
        <v/>
      </c>
      <c r="FK2121" s="17" t="str">
        <f t="shared" si="251"/>
        <v/>
      </c>
      <c r="FL2121" s="18" t="str">
        <f t="shared" si="250"/>
        <v/>
      </c>
    </row>
    <row r="2122" spans="159:168">
      <c r="FC2122" s="118">
        <v>2119</v>
      </c>
      <c r="FD2122" s="118">
        <f t="shared" si="246"/>
        <v>7</v>
      </c>
      <c r="FE2122" s="118">
        <f t="shared" si="247"/>
        <v>133</v>
      </c>
      <c r="FF2122" s="118" t="str">
        <f t="shared" si="248"/>
        <v/>
      </c>
      <c r="FI2122" s="16">
        <v>2119</v>
      </c>
      <c r="FJ2122" s="17" t="str">
        <f t="shared" si="249"/>
        <v/>
      </c>
      <c r="FK2122" s="17" t="str">
        <f t="shared" si="251"/>
        <v/>
      </c>
      <c r="FL2122" s="18" t="str">
        <f t="shared" si="250"/>
        <v/>
      </c>
    </row>
    <row r="2123" spans="159:168">
      <c r="FC2123" s="118">
        <v>2120</v>
      </c>
      <c r="FD2123" s="118">
        <f t="shared" si="246"/>
        <v>8</v>
      </c>
      <c r="FE2123" s="118">
        <f t="shared" si="247"/>
        <v>133</v>
      </c>
      <c r="FF2123" s="118" t="str">
        <f t="shared" si="248"/>
        <v/>
      </c>
      <c r="FI2123" s="16">
        <v>2120</v>
      </c>
      <c r="FJ2123" s="17" t="str">
        <f t="shared" si="249"/>
        <v/>
      </c>
      <c r="FK2123" s="17" t="str">
        <f t="shared" si="251"/>
        <v/>
      </c>
      <c r="FL2123" s="18" t="str">
        <f t="shared" si="250"/>
        <v/>
      </c>
    </row>
    <row r="2124" spans="159:168">
      <c r="FC2124" s="118">
        <v>2121</v>
      </c>
      <c r="FD2124" s="118">
        <f t="shared" si="246"/>
        <v>9</v>
      </c>
      <c r="FE2124" s="118">
        <f t="shared" si="247"/>
        <v>133</v>
      </c>
      <c r="FF2124" s="118" t="str">
        <f t="shared" si="248"/>
        <v/>
      </c>
      <c r="FI2124" s="16">
        <v>2121</v>
      </c>
      <c r="FJ2124" s="17" t="str">
        <f t="shared" si="249"/>
        <v/>
      </c>
      <c r="FK2124" s="17" t="str">
        <f t="shared" si="251"/>
        <v/>
      </c>
      <c r="FL2124" s="18" t="str">
        <f t="shared" si="250"/>
        <v/>
      </c>
    </row>
    <row r="2125" spans="159:168">
      <c r="FC2125" s="118">
        <v>2122</v>
      </c>
      <c r="FD2125" s="118">
        <f t="shared" si="246"/>
        <v>10</v>
      </c>
      <c r="FE2125" s="118">
        <f t="shared" si="247"/>
        <v>133</v>
      </c>
      <c r="FF2125" s="118" t="str">
        <f t="shared" si="248"/>
        <v/>
      </c>
      <c r="FI2125" s="16">
        <v>2122</v>
      </c>
      <c r="FJ2125" s="17" t="str">
        <f t="shared" si="249"/>
        <v/>
      </c>
      <c r="FK2125" s="17" t="str">
        <f t="shared" si="251"/>
        <v/>
      </c>
      <c r="FL2125" s="18" t="str">
        <f t="shared" si="250"/>
        <v/>
      </c>
    </row>
    <row r="2126" spans="159:168">
      <c r="FC2126" s="118">
        <v>2123</v>
      </c>
      <c r="FD2126" s="118">
        <f t="shared" si="246"/>
        <v>11</v>
      </c>
      <c r="FE2126" s="118">
        <f t="shared" si="247"/>
        <v>133</v>
      </c>
      <c r="FF2126" s="118" t="str">
        <f t="shared" si="248"/>
        <v/>
      </c>
      <c r="FI2126" s="16">
        <v>2123</v>
      </c>
      <c r="FJ2126" s="17" t="str">
        <f t="shared" si="249"/>
        <v/>
      </c>
      <c r="FK2126" s="17" t="str">
        <f t="shared" si="251"/>
        <v/>
      </c>
      <c r="FL2126" s="18" t="str">
        <f t="shared" si="250"/>
        <v/>
      </c>
    </row>
    <row r="2127" spans="159:168">
      <c r="FC2127" s="118">
        <v>2124</v>
      </c>
      <c r="FD2127" s="118">
        <f t="shared" si="246"/>
        <v>12</v>
      </c>
      <c r="FE2127" s="118">
        <f t="shared" si="247"/>
        <v>133</v>
      </c>
      <c r="FF2127" s="118" t="str">
        <f t="shared" si="248"/>
        <v/>
      </c>
      <c r="FI2127" s="16">
        <v>2124</v>
      </c>
      <c r="FJ2127" s="17" t="str">
        <f t="shared" si="249"/>
        <v/>
      </c>
      <c r="FK2127" s="17" t="str">
        <f t="shared" si="251"/>
        <v/>
      </c>
      <c r="FL2127" s="18" t="str">
        <f t="shared" si="250"/>
        <v/>
      </c>
    </row>
    <row r="2128" spans="159:168">
      <c r="FC2128" s="118">
        <v>2125</v>
      </c>
      <c r="FD2128" s="118">
        <f t="shared" si="246"/>
        <v>13</v>
      </c>
      <c r="FE2128" s="118">
        <f t="shared" si="247"/>
        <v>133</v>
      </c>
      <c r="FF2128" s="118" t="str">
        <f t="shared" si="248"/>
        <v/>
      </c>
      <c r="FI2128" s="16">
        <v>2125</v>
      </c>
      <c r="FJ2128" s="17" t="str">
        <f t="shared" si="249"/>
        <v/>
      </c>
      <c r="FK2128" s="17" t="str">
        <f t="shared" si="251"/>
        <v/>
      </c>
      <c r="FL2128" s="18" t="str">
        <f t="shared" si="250"/>
        <v/>
      </c>
    </row>
    <row r="2129" spans="159:168">
      <c r="FC2129" s="118">
        <v>2126</v>
      </c>
      <c r="FD2129" s="118">
        <f t="shared" si="246"/>
        <v>14</v>
      </c>
      <c r="FE2129" s="118">
        <f t="shared" si="247"/>
        <v>133</v>
      </c>
      <c r="FF2129" s="118" t="str">
        <f t="shared" si="248"/>
        <v/>
      </c>
      <c r="FI2129" s="16">
        <v>2126</v>
      </c>
      <c r="FJ2129" s="17" t="str">
        <f t="shared" si="249"/>
        <v/>
      </c>
      <c r="FK2129" s="17" t="str">
        <f t="shared" si="251"/>
        <v/>
      </c>
      <c r="FL2129" s="18" t="str">
        <f t="shared" si="250"/>
        <v/>
      </c>
    </row>
    <row r="2130" spans="159:168">
      <c r="FC2130" s="118">
        <v>2127</v>
      </c>
      <c r="FD2130" s="118">
        <f t="shared" si="246"/>
        <v>15</v>
      </c>
      <c r="FE2130" s="118">
        <f t="shared" si="247"/>
        <v>133</v>
      </c>
      <c r="FF2130" s="118" t="str">
        <f t="shared" si="248"/>
        <v/>
      </c>
      <c r="FI2130" s="16">
        <v>2127</v>
      </c>
      <c r="FJ2130" s="17" t="str">
        <f t="shared" si="249"/>
        <v/>
      </c>
      <c r="FK2130" s="17" t="str">
        <f t="shared" si="251"/>
        <v/>
      </c>
      <c r="FL2130" s="18" t="str">
        <f t="shared" si="250"/>
        <v/>
      </c>
    </row>
    <row r="2131" spans="159:168">
      <c r="FC2131" s="118">
        <v>2128</v>
      </c>
      <c r="FD2131" s="118">
        <f t="shared" si="246"/>
        <v>16</v>
      </c>
      <c r="FE2131" s="118">
        <f t="shared" si="247"/>
        <v>133</v>
      </c>
      <c r="FF2131" s="118" t="str">
        <f t="shared" si="248"/>
        <v/>
      </c>
      <c r="FI2131" s="16">
        <v>2128</v>
      </c>
      <c r="FJ2131" s="17" t="str">
        <f t="shared" si="249"/>
        <v/>
      </c>
      <c r="FK2131" s="17" t="str">
        <f t="shared" si="251"/>
        <v/>
      </c>
      <c r="FL2131" s="18" t="str">
        <f t="shared" si="250"/>
        <v/>
      </c>
    </row>
    <row r="2132" spans="159:168">
      <c r="FC2132" s="118">
        <v>2129</v>
      </c>
      <c r="FD2132" s="118">
        <f t="shared" si="246"/>
        <v>1</v>
      </c>
      <c r="FE2132" s="118">
        <f t="shared" si="247"/>
        <v>134</v>
      </c>
      <c r="FF2132" s="118" t="str">
        <f t="shared" si="248"/>
        <v/>
      </c>
      <c r="FI2132" s="16">
        <v>2129</v>
      </c>
      <c r="FJ2132" s="17" t="str">
        <f t="shared" si="249"/>
        <v/>
      </c>
      <c r="FK2132" s="17" t="str">
        <f t="shared" si="251"/>
        <v/>
      </c>
      <c r="FL2132" s="18" t="str">
        <f t="shared" si="250"/>
        <v/>
      </c>
    </row>
    <row r="2133" spans="159:168">
      <c r="FC2133" s="118">
        <v>2130</v>
      </c>
      <c r="FD2133" s="118">
        <f t="shared" si="246"/>
        <v>2</v>
      </c>
      <c r="FE2133" s="118">
        <f t="shared" si="247"/>
        <v>134</v>
      </c>
      <c r="FF2133" s="118" t="str">
        <f t="shared" si="248"/>
        <v/>
      </c>
      <c r="FI2133" s="16">
        <v>2130</v>
      </c>
      <c r="FJ2133" s="17" t="str">
        <f t="shared" si="249"/>
        <v/>
      </c>
      <c r="FK2133" s="17" t="str">
        <f t="shared" si="251"/>
        <v/>
      </c>
      <c r="FL2133" s="18" t="str">
        <f t="shared" si="250"/>
        <v/>
      </c>
    </row>
    <row r="2134" spans="159:168">
      <c r="FC2134" s="118">
        <v>2131</v>
      </c>
      <c r="FD2134" s="118">
        <f t="shared" ref="FD2134:FD2197" si="252">IF(MOD(FC2134,$FB$1+$FB$2)=0,$FB$1+$FB$2,MOD(FC2134,$FB$1+$FB$2))</f>
        <v>3</v>
      </c>
      <c r="FE2134" s="118">
        <f t="shared" ref="FE2134:FE2197" si="253">ROUNDUP(FC2134/($FB$1+$FB$2),0)</f>
        <v>134</v>
      </c>
      <c r="FF2134" s="118" t="str">
        <f t="shared" ref="FF2134:FF2197" si="254">IF(FE2134&lt;$FB$3,INDEX($E$4:$DV$84,FD2134,FE2134),IF(FE2134=$FB$3,INDEX($E$4:$DV$84,FD2134+$FB$1,FE2134),""))</f>
        <v/>
      </c>
      <c r="FI2134" s="16">
        <v>2131</v>
      </c>
      <c r="FJ2134" s="17" t="str">
        <f t="shared" ref="FJ2134:FJ2197" si="255">IF(FE2134&lt;=$FH$1,INDEX($DW$4:$EZ$84,FD2134,FE2134),"")</f>
        <v/>
      </c>
      <c r="FK2134" s="17" t="str">
        <f t="shared" si="251"/>
        <v/>
      </c>
      <c r="FL2134" s="18" t="str">
        <f t="shared" ref="FL2134:FL2197" si="256">IFERROR(TEXT(DEC2BIN(FK2134),"00000000"),"")</f>
        <v/>
      </c>
    </row>
    <row r="2135" spans="159:168">
      <c r="FC2135" s="118">
        <v>2132</v>
      </c>
      <c r="FD2135" s="118">
        <f t="shared" si="252"/>
        <v>4</v>
      </c>
      <c r="FE2135" s="118">
        <f t="shared" si="253"/>
        <v>134</v>
      </c>
      <c r="FF2135" s="118" t="str">
        <f t="shared" si="254"/>
        <v/>
      </c>
      <c r="FI2135" s="16">
        <v>2132</v>
      </c>
      <c r="FJ2135" s="17" t="str">
        <f t="shared" si="255"/>
        <v/>
      </c>
      <c r="FK2135" s="17" t="str">
        <f t="shared" si="251"/>
        <v/>
      </c>
      <c r="FL2135" s="18" t="str">
        <f t="shared" si="256"/>
        <v/>
      </c>
    </row>
    <row r="2136" spans="159:168">
      <c r="FC2136" s="118">
        <v>2133</v>
      </c>
      <c r="FD2136" s="118">
        <f t="shared" si="252"/>
        <v>5</v>
      </c>
      <c r="FE2136" s="118">
        <f t="shared" si="253"/>
        <v>134</v>
      </c>
      <c r="FF2136" s="118" t="str">
        <f t="shared" si="254"/>
        <v/>
      </c>
      <c r="FI2136" s="16">
        <v>2133</v>
      </c>
      <c r="FJ2136" s="17" t="str">
        <f t="shared" si="255"/>
        <v/>
      </c>
      <c r="FK2136" s="17" t="str">
        <f t="shared" si="251"/>
        <v/>
      </c>
      <c r="FL2136" s="18" t="str">
        <f t="shared" si="256"/>
        <v/>
      </c>
    </row>
    <row r="2137" spans="159:168">
      <c r="FC2137" s="118">
        <v>2134</v>
      </c>
      <c r="FD2137" s="118">
        <f t="shared" si="252"/>
        <v>6</v>
      </c>
      <c r="FE2137" s="118">
        <f t="shared" si="253"/>
        <v>134</v>
      </c>
      <c r="FF2137" s="118" t="str">
        <f t="shared" si="254"/>
        <v/>
      </c>
      <c r="FI2137" s="16">
        <v>2134</v>
      </c>
      <c r="FJ2137" s="17" t="str">
        <f t="shared" si="255"/>
        <v/>
      </c>
      <c r="FK2137" s="17" t="str">
        <f t="shared" si="251"/>
        <v/>
      </c>
      <c r="FL2137" s="18" t="str">
        <f t="shared" si="256"/>
        <v/>
      </c>
    </row>
    <row r="2138" spans="159:168">
      <c r="FC2138" s="118">
        <v>2135</v>
      </c>
      <c r="FD2138" s="118">
        <f t="shared" si="252"/>
        <v>7</v>
      </c>
      <c r="FE2138" s="118">
        <f t="shared" si="253"/>
        <v>134</v>
      </c>
      <c r="FF2138" s="118" t="str">
        <f t="shared" si="254"/>
        <v/>
      </c>
      <c r="FI2138" s="16">
        <v>2135</v>
      </c>
      <c r="FJ2138" s="17" t="str">
        <f t="shared" si="255"/>
        <v/>
      </c>
      <c r="FK2138" s="17" t="str">
        <f t="shared" si="251"/>
        <v/>
      </c>
      <c r="FL2138" s="18" t="str">
        <f t="shared" si="256"/>
        <v/>
      </c>
    </row>
    <row r="2139" spans="159:168">
      <c r="FC2139" s="118">
        <v>2136</v>
      </c>
      <c r="FD2139" s="118">
        <f t="shared" si="252"/>
        <v>8</v>
      </c>
      <c r="FE2139" s="118">
        <f t="shared" si="253"/>
        <v>134</v>
      </c>
      <c r="FF2139" s="118" t="str">
        <f t="shared" si="254"/>
        <v/>
      </c>
      <c r="FI2139" s="16">
        <v>2136</v>
      </c>
      <c r="FJ2139" s="17" t="str">
        <f t="shared" si="255"/>
        <v/>
      </c>
      <c r="FK2139" s="17" t="str">
        <f t="shared" si="251"/>
        <v/>
      </c>
      <c r="FL2139" s="18" t="str">
        <f t="shared" si="256"/>
        <v/>
      </c>
    </row>
    <row r="2140" spans="159:168">
      <c r="FC2140" s="118">
        <v>2137</v>
      </c>
      <c r="FD2140" s="118">
        <f t="shared" si="252"/>
        <v>9</v>
      </c>
      <c r="FE2140" s="118">
        <f t="shared" si="253"/>
        <v>134</v>
      </c>
      <c r="FF2140" s="118" t="str">
        <f t="shared" si="254"/>
        <v/>
      </c>
      <c r="FI2140" s="16">
        <v>2137</v>
      </c>
      <c r="FJ2140" s="17" t="str">
        <f t="shared" si="255"/>
        <v/>
      </c>
      <c r="FK2140" s="17" t="str">
        <f t="shared" si="251"/>
        <v/>
      </c>
      <c r="FL2140" s="18" t="str">
        <f t="shared" si="256"/>
        <v/>
      </c>
    </row>
    <row r="2141" spans="159:168">
      <c r="FC2141" s="118">
        <v>2138</v>
      </c>
      <c r="FD2141" s="118">
        <f t="shared" si="252"/>
        <v>10</v>
      </c>
      <c r="FE2141" s="118">
        <f t="shared" si="253"/>
        <v>134</v>
      </c>
      <c r="FF2141" s="118" t="str">
        <f t="shared" si="254"/>
        <v/>
      </c>
      <c r="FI2141" s="16">
        <v>2138</v>
      </c>
      <c r="FJ2141" s="17" t="str">
        <f t="shared" si="255"/>
        <v/>
      </c>
      <c r="FK2141" s="17" t="str">
        <f t="shared" si="251"/>
        <v/>
      </c>
      <c r="FL2141" s="18" t="str">
        <f t="shared" si="256"/>
        <v/>
      </c>
    </row>
    <row r="2142" spans="159:168">
      <c r="FC2142" s="118">
        <v>2139</v>
      </c>
      <c r="FD2142" s="118">
        <f t="shared" si="252"/>
        <v>11</v>
      </c>
      <c r="FE2142" s="118">
        <f t="shared" si="253"/>
        <v>134</v>
      </c>
      <c r="FF2142" s="118" t="str">
        <f t="shared" si="254"/>
        <v/>
      </c>
      <c r="FI2142" s="16">
        <v>2139</v>
      </c>
      <c r="FJ2142" s="17" t="str">
        <f t="shared" si="255"/>
        <v/>
      </c>
      <c r="FK2142" s="17" t="str">
        <f t="shared" si="251"/>
        <v/>
      </c>
      <c r="FL2142" s="18" t="str">
        <f t="shared" si="256"/>
        <v/>
      </c>
    </row>
    <row r="2143" spans="159:168">
      <c r="FC2143" s="118">
        <v>2140</v>
      </c>
      <c r="FD2143" s="118">
        <f t="shared" si="252"/>
        <v>12</v>
      </c>
      <c r="FE2143" s="118">
        <f t="shared" si="253"/>
        <v>134</v>
      </c>
      <c r="FF2143" s="118" t="str">
        <f t="shared" si="254"/>
        <v/>
      </c>
      <c r="FI2143" s="16">
        <v>2140</v>
      </c>
      <c r="FJ2143" s="17" t="str">
        <f t="shared" si="255"/>
        <v/>
      </c>
      <c r="FK2143" s="17" t="str">
        <f t="shared" si="251"/>
        <v/>
      </c>
      <c r="FL2143" s="18" t="str">
        <f t="shared" si="256"/>
        <v/>
      </c>
    </row>
    <row r="2144" spans="159:168">
      <c r="FC2144" s="118">
        <v>2141</v>
      </c>
      <c r="FD2144" s="118">
        <f t="shared" si="252"/>
        <v>13</v>
      </c>
      <c r="FE2144" s="118">
        <f t="shared" si="253"/>
        <v>134</v>
      </c>
      <c r="FF2144" s="118" t="str">
        <f t="shared" si="254"/>
        <v/>
      </c>
      <c r="FI2144" s="16">
        <v>2141</v>
      </c>
      <c r="FJ2144" s="17" t="str">
        <f t="shared" si="255"/>
        <v/>
      </c>
      <c r="FK2144" s="17" t="str">
        <f t="shared" si="251"/>
        <v/>
      </c>
      <c r="FL2144" s="18" t="str">
        <f t="shared" si="256"/>
        <v/>
      </c>
    </row>
    <row r="2145" spans="159:168">
      <c r="FC2145" s="118">
        <v>2142</v>
      </c>
      <c r="FD2145" s="118">
        <f t="shared" si="252"/>
        <v>14</v>
      </c>
      <c r="FE2145" s="118">
        <f t="shared" si="253"/>
        <v>134</v>
      </c>
      <c r="FF2145" s="118" t="str">
        <f t="shared" si="254"/>
        <v/>
      </c>
      <c r="FI2145" s="16">
        <v>2142</v>
      </c>
      <c r="FJ2145" s="17" t="str">
        <f t="shared" si="255"/>
        <v/>
      </c>
      <c r="FK2145" s="17" t="str">
        <f t="shared" si="251"/>
        <v/>
      </c>
      <c r="FL2145" s="18" t="str">
        <f t="shared" si="256"/>
        <v/>
      </c>
    </row>
    <row r="2146" spans="159:168">
      <c r="FC2146" s="118">
        <v>2143</v>
      </c>
      <c r="FD2146" s="118">
        <f t="shared" si="252"/>
        <v>15</v>
      </c>
      <c r="FE2146" s="118">
        <f t="shared" si="253"/>
        <v>134</v>
      </c>
      <c r="FF2146" s="118" t="str">
        <f t="shared" si="254"/>
        <v/>
      </c>
      <c r="FI2146" s="16">
        <v>2143</v>
      </c>
      <c r="FJ2146" s="17" t="str">
        <f t="shared" si="255"/>
        <v/>
      </c>
      <c r="FK2146" s="17" t="str">
        <f t="shared" si="251"/>
        <v/>
      </c>
      <c r="FL2146" s="18" t="str">
        <f t="shared" si="256"/>
        <v/>
      </c>
    </row>
    <row r="2147" spans="159:168">
      <c r="FC2147" s="118">
        <v>2144</v>
      </c>
      <c r="FD2147" s="118">
        <f t="shared" si="252"/>
        <v>16</v>
      </c>
      <c r="FE2147" s="118">
        <f t="shared" si="253"/>
        <v>134</v>
      </c>
      <c r="FF2147" s="118" t="str">
        <f t="shared" si="254"/>
        <v/>
      </c>
      <c r="FI2147" s="16">
        <v>2144</v>
      </c>
      <c r="FJ2147" s="17" t="str">
        <f t="shared" si="255"/>
        <v/>
      </c>
      <c r="FK2147" s="17" t="str">
        <f t="shared" si="251"/>
        <v/>
      </c>
      <c r="FL2147" s="18" t="str">
        <f t="shared" si="256"/>
        <v/>
      </c>
    </row>
    <row r="2148" spans="159:168">
      <c r="FC2148" s="118">
        <v>2145</v>
      </c>
      <c r="FD2148" s="118">
        <f t="shared" si="252"/>
        <v>1</v>
      </c>
      <c r="FE2148" s="118">
        <f t="shared" si="253"/>
        <v>135</v>
      </c>
      <c r="FF2148" s="118" t="str">
        <f t="shared" si="254"/>
        <v/>
      </c>
      <c r="FI2148" s="16">
        <v>2145</v>
      </c>
      <c r="FJ2148" s="17" t="str">
        <f t="shared" si="255"/>
        <v/>
      </c>
      <c r="FK2148" s="17" t="str">
        <f t="shared" si="251"/>
        <v/>
      </c>
      <c r="FL2148" s="18" t="str">
        <f t="shared" si="256"/>
        <v/>
      </c>
    </row>
    <row r="2149" spans="159:168">
      <c r="FC2149" s="118">
        <v>2146</v>
      </c>
      <c r="FD2149" s="118">
        <f t="shared" si="252"/>
        <v>2</v>
      </c>
      <c r="FE2149" s="118">
        <f t="shared" si="253"/>
        <v>135</v>
      </c>
      <c r="FF2149" s="118" t="str">
        <f t="shared" si="254"/>
        <v/>
      </c>
      <c r="FI2149" s="16">
        <v>2146</v>
      </c>
      <c r="FJ2149" s="17" t="str">
        <f t="shared" si="255"/>
        <v/>
      </c>
      <c r="FK2149" s="17" t="str">
        <f t="shared" si="251"/>
        <v/>
      </c>
      <c r="FL2149" s="18" t="str">
        <f t="shared" si="256"/>
        <v/>
      </c>
    </row>
    <row r="2150" spans="159:168">
      <c r="FC2150" s="118">
        <v>2147</v>
      </c>
      <c r="FD2150" s="118">
        <f t="shared" si="252"/>
        <v>3</v>
      </c>
      <c r="FE2150" s="118">
        <f t="shared" si="253"/>
        <v>135</v>
      </c>
      <c r="FF2150" s="118" t="str">
        <f t="shared" si="254"/>
        <v/>
      </c>
      <c r="FI2150" s="16">
        <v>2147</v>
      </c>
      <c r="FJ2150" s="17" t="str">
        <f t="shared" si="255"/>
        <v/>
      </c>
      <c r="FK2150" s="17" t="str">
        <f t="shared" si="251"/>
        <v/>
      </c>
      <c r="FL2150" s="18" t="str">
        <f t="shared" si="256"/>
        <v/>
      </c>
    </row>
    <row r="2151" spans="159:168">
      <c r="FC2151" s="118">
        <v>2148</v>
      </c>
      <c r="FD2151" s="118">
        <f t="shared" si="252"/>
        <v>4</v>
      </c>
      <c r="FE2151" s="118">
        <f t="shared" si="253"/>
        <v>135</v>
      </c>
      <c r="FF2151" s="118" t="str">
        <f t="shared" si="254"/>
        <v/>
      </c>
      <c r="FI2151" s="16">
        <v>2148</v>
      </c>
      <c r="FJ2151" s="17" t="str">
        <f t="shared" si="255"/>
        <v/>
      </c>
      <c r="FK2151" s="17" t="str">
        <f t="shared" si="251"/>
        <v/>
      </c>
      <c r="FL2151" s="18" t="str">
        <f t="shared" si="256"/>
        <v/>
      </c>
    </row>
    <row r="2152" spans="159:168">
      <c r="FC2152" s="118">
        <v>2149</v>
      </c>
      <c r="FD2152" s="118">
        <f t="shared" si="252"/>
        <v>5</v>
      </c>
      <c r="FE2152" s="118">
        <f t="shared" si="253"/>
        <v>135</v>
      </c>
      <c r="FF2152" s="118" t="str">
        <f t="shared" si="254"/>
        <v/>
      </c>
      <c r="FI2152" s="16">
        <v>2149</v>
      </c>
      <c r="FJ2152" s="17" t="str">
        <f t="shared" si="255"/>
        <v/>
      </c>
      <c r="FK2152" s="17" t="str">
        <f t="shared" si="251"/>
        <v/>
      </c>
      <c r="FL2152" s="18" t="str">
        <f t="shared" si="256"/>
        <v/>
      </c>
    </row>
    <row r="2153" spans="159:168">
      <c r="FC2153" s="118">
        <v>2150</v>
      </c>
      <c r="FD2153" s="118">
        <f t="shared" si="252"/>
        <v>6</v>
      </c>
      <c r="FE2153" s="118">
        <f t="shared" si="253"/>
        <v>135</v>
      </c>
      <c r="FF2153" s="118" t="str">
        <f t="shared" si="254"/>
        <v/>
      </c>
      <c r="FI2153" s="16">
        <v>2150</v>
      </c>
      <c r="FJ2153" s="17" t="str">
        <f t="shared" si="255"/>
        <v/>
      </c>
      <c r="FK2153" s="17" t="str">
        <f t="shared" si="251"/>
        <v/>
      </c>
      <c r="FL2153" s="18" t="str">
        <f t="shared" si="256"/>
        <v/>
      </c>
    </row>
    <row r="2154" spans="159:168">
      <c r="FC2154" s="118">
        <v>2151</v>
      </c>
      <c r="FD2154" s="118">
        <f t="shared" si="252"/>
        <v>7</v>
      </c>
      <c r="FE2154" s="118">
        <f t="shared" si="253"/>
        <v>135</v>
      </c>
      <c r="FF2154" s="118" t="str">
        <f t="shared" si="254"/>
        <v/>
      </c>
      <c r="FI2154" s="16">
        <v>2151</v>
      </c>
      <c r="FJ2154" s="17" t="str">
        <f t="shared" si="255"/>
        <v/>
      </c>
      <c r="FK2154" s="17" t="str">
        <f t="shared" si="251"/>
        <v/>
      </c>
      <c r="FL2154" s="18" t="str">
        <f t="shared" si="256"/>
        <v/>
      </c>
    </row>
    <row r="2155" spans="159:168">
      <c r="FC2155" s="118">
        <v>2152</v>
      </c>
      <c r="FD2155" s="118">
        <f t="shared" si="252"/>
        <v>8</v>
      </c>
      <c r="FE2155" s="118">
        <f t="shared" si="253"/>
        <v>135</v>
      </c>
      <c r="FF2155" s="118" t="str">
        <f t="shared" si="254"/>
        <v/>
      </c>
      <c r="FI2155" s="16">
        <v>2152</v>
      </c>
      <c r="FJ2155" s="17" t="str">
        <f t="shared" si="255"/>
        <v/>
      </c>
      <c r="FK2155" s="17" t="str">
        <f t="shared" si="251"/>
        <v/>
      </c>
      <c r="FL2155" s="18" t="str">
        <f t="shared" si="256"/>
        <v/>
      </c>
    </row>
    <row r="2156" spans="159:168">
      <c r="FC2156" s="118">
        <v>2153</v>
      </c>
      <c r="FD2156" s="118">
        <f t="shared" si="252"/>
        <v>9</v>
      </c>
      <c r="FE2156" s="118">
        <f t="shared" si="253"/>
        <v>135</v>
      </c>
      <c r="FF2156" s="118" t="str">
        <f t="shared" si="254"/>
        <v/>
      </c>
      <c r="FI2156" s="16">
        <v>2153</v>
      </c>
      <c r="FJ2156" s="17" t="str">
        <f t="shared" si="255"/>
        <v/>
      </c>
      <c r="FK2156" s="17" t="str">
        <f t="shared" si="251"/>
        <v/>
      </c>
      <c r="FL2156" s="18" t="str">
        <f t="shared" si="256"/>
        <v/>
      </c>
    </row>
    <row r="2157" spans="159:168">
      <c r="FC2157" s="118">
        <v>2154</v>
      </c>
      <c r="FD2157" s="118">
        <f t="shared" si="252"/>
        <v>10</v>
      </c>
      <c r="FE2157" s="118">
        <f t="shared" si="253"/>
        <v>135</v>
      </c>
      <c r="FF2157" s="118" t="str">
        <f t="shared" si="254"/>
        <v/>
      </c>
      <c r="FI2157" s="16">
        <v>2154</v>
      </c>
      <c r="FJ2157" s="17" t="str">
        <f t="shared" si="255"/>
        <v/>
      </c>
      <c r="FK2157" s="17" t="str">
        <f t="shared" si="251"/>
        <v/>
      </c>
      <c r="FL2157" s="18" t="str">
        <f t="shared" si="256"/>
        <v/>
      </c>
    </row>
    <row r="2158" spans="159:168">
      <c r="FC2158" s="118">
        <v>2155</v>
      </c>
      <c r="FD2158" s="118">
        <f t="shared" si="252"/>
        <v>11</v>
      </c>
      <c r="FE2158" s="118">
        <f t="shared" si="253"/>
        <v>135</v>
      </c>
      <c r="FF2158" s="118" t="str">
        <f t="shared" si="254"/>
        <v/>
      </c>
      <c r="FI2158" s="16">
        <v>2155</v>
      </c>
      <c r="FJ2158" s="17" t="str">
        <f t="shared" si="255"/>
        <v/>
      </c>
      <c r="FK2158" s="17" t="str">
        <f t="shared" si="251"/>
        <v/>
      </c>
      <c r="FL2158" s="18" t="str">
        <f t="shared" si="256"/>
        <v/>
      </c>
    </row>
    <row r="2159" spans="159:168">
      <c r="FC2159" s="118">
        <v>2156</v>
      </c>
      <c r="FD2159" s="118">
        <f t="shared" si="252"/>
        <v>12</v>
      </c>
      <c r="FE2159" s="118">
        <f t="shared" si="253"/>
        <v>135</v>
      </c>
      <c r="FF2159" s="118" t="str">
        <f t="shared" si="254"/>
        <v/>
      </c>
      <c r="FI2159" s="16">
        <v>2156</v>
      </c>
      <c r="FJ2159" s="17" t="str">
        <f t="shared" si="255"/>
        <v/>
      </c>
      <c r="FK2159" s="17" t="str">
        <f t="shared" si="251"/>
        <v/>
      </c>
      <c r="FL2159" s="18" t="str">
        <f t="shared" si="256"/>
        <v/>
      </c>
    </row>
    <row r="2160" spans="159:168">
      <c r="FC2160" s="118">
        <v>2157</v>
      </c>
      <c r="FD2160" s="118">
        <f t="shared" si="252"/>
        <v>13</v>
      </c>
      <c r="FE2160" s="118">
        <f t="shared" si="253"/>
        <v>135</v>
      </c>
      <c r="FF2160" s="118" t="str">
        <f t="shared" si="254"/>
        <v/>
      </c>
      <c r="FI2160" s="16">
        <v>2157</v>
      </c>
      <c r="FJ2160" s="17" t="str">
        <f t="shared" si="255"/>
        <v/>
      </c>
      <c r="FK2160" s="17" t="str">
        <f t="shared" si="251"/>
        <v/>
      </c>
      <c r="FL2160" s="18" t="str">
        <f t="shared" si="256"/>
        <v/>
      </c>
    </row>
    <row r="2161" spans="159:168">
      <c r="FC2161" s="118">
        <v>2158</v>
      </c>
      <c r="FD2161" s="118">
        <f t="shared" si="252"/>
        <v>14</v>
      </c>
      <c r="FE2161" s="118">
        <f t="shared" si="253"/>
        <v>135</v>
      </c>
      <c r="FF2161" s="118" t="str">
        <f t="shared" si="254"/>
        <v/>
      </c>
      <c r="FI2161" s="16">
        <v>2158</v>
      </c>
      <c r="FJ2161" s="17" t="str">
        <f t="shared" si="255"/>
        <v/>
      </c>
      <c r="FK2161" s="17" t="str">
        <f t="shared" si="251"/>
        <v/>
      </c>
      <c r="FL2161" s="18" t="str">
        <f t="shared" si="256"/>
        <v/>
      </c>
    </row>
    <row r="2162" spans="159:168">
      <c r="FC2162" s="118">
        <v>2159</v>
      </c>
      <c r="FD2162" s="118">
        <f t="shared" si="252"/>
        <v>15</v>
      </c>
      <c r="FE2162" s="118">
        <f t="shared" si="253"/>
        <v>135</v>
      </c>
      <c r="FF2162" s="118" t="str">
        <f t="shared" si="254"/>
        <v/>
      </c>
      <c r="FI2162" s="16">
        <v>2159</v>
      </c>
      <c r="FJ2162" s="17" t="str">
        <f t="shared" si="255"/>
        <v/>
      </c>
      <c r="FK2162" s="17" t="str">
        <f t="shared" si="251"/>
        <v/>
      </c>
      <c r="FL2162" s="18" t="str">
        <f t="shared" si="256"/>
        <v/>
      </c>
    </row>
    <row r="2163" spans="159:168">
      <c r="FC2163" s="118">
        <v>2160</v>
      </c>
      <c r="FD2163" s="118">
        <f t="shared" si="252"/>
        <v>16</v>
      </c>
      <c r="FE2163" s="118">
        <f t="shared" si="253"/>
        <v>135</v>
      </c>
      <c r="FF2163" s="118" t="str">
        <f t="shared" si="254"/>
        <v/>
      </c>
      <c r="FI2163" s="16">
        <v>2160</v>
      </c>
      <c r="FJ2163" s="17" t="str">
        <f t="shared" si="255"/>
        <v/>
      </c>
      <c r="FK2163" s="17" t="str">
        <f t="shared" si="251"/>
        <v/>
      </c>
      <c r="FL2163" s="18" t="str">
        <f t="shared" si="256"/>
        <v/>
      </c>
    </row>
    <row r="2164" spans="159:168">
      <c r="FC2164" s="118">
        <v>2161</v>
      </c>
      <c r="FD2164" s="118">
        <f t="shared" si="252"/>
        <v>1</v>
      </c>
      <c r="FE2164" s="118">
        <f t="shared" si="253"/>
        <v>136</v>
      </c>
      <c r="FF2164" s="118" t="str">
        <f t="shared" si="254"/>
        <v/>
      </c>
      <c r="FI2164" s="16">
        <v>2161</v>
      </c>
      <c r="FJ2164" s="17" t="str">
        <f t="shared" si="255"/>
        <v/>
      </c>
      <c r="FK2164" s="17" t="str">
        <f t="shared" si="251"/>
        <v/>
      </c>
      <c r="FL2164" s="18" t="str">
        <f t="shared" si="256"/>
        <v/>
      </c>
    </row>
    <row r="2165" spans="159:168">
      <c r="FC2165" s="118">
        <v>2162</v>
      </c>
      <c r="FD2165" s="118">
        <f t="shared" si="252"/>
        <v>2</v>
      </c>
      <c r="FE2165" s="118">
        <f t="shared" si="253"/>
        <v>136</v>
      </c>
      <c r="FF2165" s="118" t="str">
        <f t="shared" si="254"/>
        <v/>
      </c>
      <c r="FI2165" s="16">
        <v>2162</v>
      </c>
      <c r="FJ2165" s="17" t="str">
        <f t="shared" si="255"/>
        <v/>
      </c>
      <c r="FK2165" s="17" t="str">
        <f t="shared" si="251"/>
        <v/>
      </c>
      <c r="FL2165" s="18" t="str">
        <f t="shared" si="256"/>
        <v/>
      </c>
    </row>
    <row r="2166" spans="159:168">
      <c r="FC2166" s="118">
        <v>2163</v>
      </c>
      <c r="FD2166" s="118">
        <f t="shared" si="252"/>
        <v>3</v>
      </c>
      <c r="FE2166" s="118">
        <f t="shared" si="253"/>
        <v>136</v>
      </c>
      <c r="FF2166" s="118" t="str">
        <f t="shared" si="254"/>
        <v/>
      </c>
      <c r="FI2166" s="16">
        <v>2163</v>
      </c>
      <c r="FJ2166" s="17" t="str">
        <f t="shared" si="255"/>
        <v/>
      </c>
      <c r="FK2166" s="17" t="str">
        <f t="shared" si="251"/>
        <v/>
      </c>
      <c r="FL2166" s="18" t="str">
        <f t="shared" si="256"/>
        <v/>
      </c>
    </row>
    <row r="2167" spans="159:168">
      <c r="FC2167" s="118">
        <v>2164</v>
      </c>
      <c r="FD2167" s="118">
        <f t="shared" si="252"/>
        <v>4</v>
      </c>
      <c r="FE2167" s="118">
        <f t="shared" si="253"/>
        <v>136</v>
      </c>
      <c r="FF2167" s="118" t="str">
        <f t="shared" si="254"/>
        <v/>
      </c>
      <c r="FI2167" s="16">
        <v>2164</v>
      </c>
      <c r="FJ2167" s="17" t="str">
        <f t="shared" si="255"/>
        <v/>
      </c>
      <c r="FK2167" s="17" t="str">
        <f t="shared" si="251"/>
        <v/>
      </c>
      <c r="FL2167" s="18" t="str">
        <f t="shared" si="256"/>
        <v/>
      </c>
    </row>
    <row r="2168" spans="159:168">
      <c r="FC2168" s="118">
        <v>2165</v>
      </c>
      <c r="FD2168" s="118">
        <f t="shared" si="252"/>
        <v>5</v>
      </c>
      <c r="FE2168" s="118">
        <f t="shared" si="253"/>
        <v>136</v>
      </c>
      <c r="FF2168" s="118" t="str">
        <f t="shared" si="254"/>
        <v/>
      </c>
      <c r="FI2168" s="16">
        <v>2165</v>
      </c>
      <c r="FJ2168" s="17" t="str">
        <f t="shared" si="255"/>
        <v/>
      </c>
      <c r="FK2168" s="17" t="str">
        <f t="shared" si="251"/>
        <v/>
      </c>
      <c r="FL2168" s="18" t="str">
        <f t="shared" si="256"/>
        <v/>
      </c>
    </row>
    <row r="2169" spans="159:168">
      <c r="FC2169" s="118">
        <v>2166</v>
      </c>
      <c r="FD2169" s="118">
        <f t="shared" si="252"/>
        <v>6</v>
      </c>
      <c r="FE2169" s="118">
        <f t="shared" si="253"/>
        <v>136</v>
      </c>
      <c r="FF2169" s="118" t="str">
        <f t="shared" si="254"/>
        <v/>
      </c>
      <c r="FI2169" s="16">
        <v>2166</v>
      </c>
      <c r="FJ2169" s="17" t="str">
        <f t="shared" si="255"/>
        <v/>
      </c>
      <c r="FK2169" s="17" t="str">
        <f t="shared" si="251"/>
        <v/>
      </c>
      <c r="FL2169" s="18" t="str">
        <f t="shared" si="256"/>
        <v/>
      </c>
    </row>
    <row r="2170" spans="159:168">
      <c r="FC2170" s="118">
        <v>2167</v>
      </c>
      <c r="FD2170" s="118">
        <f t="shared" si="252"/>
        <v>7</v>
      </c>
      <c r="FE2170" s="118">
        <f t="shared" si="253"/>
        <v>136</v>
      </c>
      <c r="FF2170" s="118" t="str">
        <f t="shared" si="254"/>
        <v/>
      </c>
      <c r="FI2170" s="16">
        <v>2167</v>
      </c>
      <c r="FJ2170" s="17" t="str">
        <f t="shared" si="255"/>
        <v/>
      </c>
      <c r="FK2170" s="17" t="str">
        <f t="shared" si="251"/>
        <v/>
      </c>
      <c r="FL2170" s="18" t="str">
        <f t="shared" si="256"/>
        <v/>
      </c>
    </row>
    <row r="2171" spans="159:168">
      <c r="FC2171" s="118">
        <v>2168</v>
      </c>
      <c r="FD2171" s="118">
        <f t="shared" si="252"/>
        <v>8</v>
      </c>
      <c r="FE2171" s="118">
        <f t="shared" si="253"/>
        <v>136</v>
      </c>
      <c r="FF2171" s="118" t="str">
        <f t="shared" si="254"/>
        <v/>
      </c>
      <c r="FI2171" s="16">
        <v>2168</v>
      </c>
      <c r="FJ2171" s="17" t="str">
        <f t="shared" si="255"/>
        <v/>
      </c>
      <c r="FK2171" s="17" t="str">
        <f t="shared" si="251"/>
        <v/>
      </c>
      <c r="FL2171" s="18" t="str">
        <f t="shared" si="256"/>
        <v/>
      </c>
    </row>
    <row r="2172" spans="159:168">
      <c r="FC2172" s="118">
        <v>2169</v>
      </c>
      <c r="FD2172" s="118">
        <f t="shared" si="252"/>
        <v>9</v>
      </c>
      <c r="FE2172" s="118">
        <f t="shared" si="253"/>
        <v>136</v>
      </c>
      <c r="FF2172" s="118" t="str">
        <f t="shared" si="254"/>
        <v/>
      </c>
      <c r="FI2172" s="16">
        <v>2169</v>
      </c>
      <c r="FJ2172" s="17" t="str">
        <f t="shared" si="255"/>
        <v/>
      </c>
      <c r="FK2172" s="17" t="str">
        <f t="shared" si="251"/>
        <v/>
      </c>
      <c r="FL2172" s="18" t="str">
        <f t="shared" si="256"/>
        <v/>
      </c>
    </row>
    <row r="2173" spans="159:168">
      <c r="FC2173" s="118">
        <v>2170</v>
      </c>
      <c r="FD2173" s="118">
        <f t="shared" si="252"/>
        <v>10</v>
      </c>
      <c r="FE2173" s="118">
        <f t="shared" si="253"/>
        <v>136</v>
      </c>
      <c r="FF2173" s="118" t="str">
        <f t="shared" si="254"/>
        <v/>
      </c>
      <c r="FI2173" s="16">
        <v>2170</v>
      </c>
      <c r="FJ2173" s="17" t="str">
        <f t="shared" si="255"/>
        <v/>
      </c>
      <c r="FK2173" s="17" t="str">
        <f t="shared" si="251"/>
        <v/>
      </c>
      <c r="FL2173" s="18" t="str">
        <f t="shared" si="256"/>
        <v/>
      </c>
    </row>
    <row r="2174" spans="159:168">
      <c r="FC2174" s="118">
        <v>2171</v>
      </c>
      <c r="FD2174" s="118">
        <f t="shared" si="252"/>
        <v>11</v>
      </c>
      <c r="FE2174" s="118">
        <f t="shared" si="253"/>
        <v>136</v>
      </c>
      <c r="FF2174" s="118" t="str">
        <f t="shared" si="254"/>
        <v/>
      </c>
      <c r="FI2174" s="16">
        <v>2171</v>
      </c>
      <c r="FJ2174" s="17" t="str">
        <f t="shared" si="255"/>
        <v/>
      </c>
      <c r="FK2174" s="17" t="str">
        <f t="shared" si="251"/>
        <v/>
      </c>
      <c r="FL2174" s="18" t="str">
        <f t="shared" si="256"/>
        <v/>
      </c>
    </row>
    <row r="2175" spans="159:168">
      <c r="FC2175" s="118">
        <v>2172</v>
      </c>
      <c r="FD2175" s="118">
        <f t="shared" si="252"/>
        <v>12</v>
      </c>
      <c r="FE2175" s="118">
        <f t="shared" si="253"/>
        <v>136</v>
      </c>
      <c r="FF2175" s="118" t="str">
        <f t="shared" si="254"/>
        <v/>
      </c>
      <c r="FI2175" s="16">
        <v>2172</v>
      </c>
      <c r="FJ2175" s="17" t="str">
        <f t="shared" si="255"/>
        <v/>
      </c>
      <c r="FK2175" s="17" t="str">
        <f t="shared" si="251"/>
        <v/>
      </c>
      <c r="FL2175" s="18" t="str">
        <f t="shared" si="256"/>
        <v/>
      </c>
    </row>
    <row r="2176" spans="159:168">
      <c r="FC2176" s="118">
        <v>2173</v>
      </c>
      <c r="FD2176" s="118">
        <f t="shared" si="252"/>
        <v>13</v>
      </c>
      <c r="FE2176" s="118">
        <f t="shared" si="253"/>
        <v>136</v>
      </c>
      <c r="FF2176" s="118" t="str">
        <f t="shared" si="254"/>
        <v/>
      </c>
      <c r="FI2176" s="16">
        <v>2173</v>
      </c>
      <c r="FJ2176" s="17" t="str">
        <f t="shared" si="255"/>
        <v/>
      </c>
      <c r="FK2176" s="17" t="str">
        <f t="shared" si="251"/>
        <v/>
      </c>
      <c r="FL2176" s="18" t="str">
        <f t="shared" si="256"/>
        <v/>
      </c>
    </row>
    <row r="2177" spans="159:168">
      <c r="FC2177" s="118">
        <v>2174</v>
      </c>
      <c r="FD2177" s="118">
        <f t="shared" si="252"/>
        <v>14</v>
      </c>
      <c r="FE2177" s="118">
        <f t="shared" si="253"/>
        <v>136</v>
      </c>
      <c r="FF2177" s="118" t="str">
        <f t="shared" si="254"/>
        <v/>
      </c>
      <c r="FI2177" s="16">
        <v>2174</v>
      </c>
      <c r="FJ2177" s="17" t="str">
        <f t="shared" si="255"/>
        <v/>
      </c>
      <c r="FK2177" s="17" t="str">
        <f t="shared" si="251"/>
        <v/>
      </c>
      <c r="FL2177" s="18" t="str">
        <f t="shared" si="256"/>
        <v/>
      </c>
    </row>
    <row r="2178" spans="159:168">
      <c r="FC2178" s="118">
        <v>2175</v>
      </c>
      <c r="FD2178" s="118">
        <f t="shared" si="252"/>
        <v>15</v>
      </c>
      <c r="FE2178" s="118">
        <f t="shared" si="253"/>
        <v>136</v>
      </c>
      <c r="FF2178" s="118" t="str">
        <f t="shared" si="254"/>
        <v/>
      </c>
      <c r="FI2178" s="16">
        <v>2175</v>
      </c>
      <c r="FJ2178" s="17" t="str">
        <f t="shared" si="255"/>
        <v/>
      </c>
      <c r="FK2178" s="17" t="str">
        <f t="shared" si="251"/>
        <v/>
      </c>
      <c r="FL2178" s="18" t="str">
        <f t="shared" si="256"/>
        <v/>
      </c>
    </row>
    <row r="2179" spans="159:168">
      <c r="FC2179" s="118">
        <v>2176</v>
      </c>
      <c r="FD2179" s="118">
        <f t="shared" si="252"/>
        <v>16</v>
      </c>
      <c r="FE2179" s="118">
        <f t="shared" si="253"/>
        <v>136</v>
      </c>
      <c r="FF2179" s="118" t="str">
        <f t="shared" si="254"/>
        <v/>
      </c>
      <c r="FI2179" s="16">
        <v>2176</v>
      </c>
      <c r="FJ2179" s="17" t="str">
        <f t="shared" si="255"/>
        <v/>
      </c>
      <c r="FK2179" s="17" t="str">
        <f t="shared" si="251"/>
        <v/>
      </c>
      <c r="FL2179" s="18" t="str">
        <f t="shared" si="256"/>
        <v/>
      </c>
    </row>
    <row r="2180" spans="159:168">
      <c r="FC2180" s="118">
        <v>2177</v>
      </c>
      <c r="FD2180" s="118">
        <f t="shared" si="252"/>
        <v>1</v>
      </c>
      <c r="FE2180" s="118">
        <f t="shared" si="253"/>
        <v>137</v>
      </c>
      <c r="FF2180" s="118" t="str">
        <f t="shared" si="254"/>
        <v/>
      </c>
      <c r="FI2180" s="16">
        <v>2177</v>
      </c>
      <c r="FJ2180" s="17" t="str">
        <f t="shared" si="255"/>
        <v/>
      </c>
      <c r="FK2180" s="17" t="str">
        <f t="shared" si="251"/>
        <v/>
      </c>
      <c r="FL2180" s="18" t="str">
        <f t="shared" si="256"/>
        <v/>
      </c>
    </row>
    <row r="2181" spans="159:168">
      <c r="FC2181" s="118">
        <v>2178</v>
      </c>
      <c r="FD2181" s="118">
        <f t="shared" si="252"/>
        <v>2</v>
      </c>
      <c r="FE2181" s="118">
        <f t="shared" si="253"/>
        <v>137</v>
      </c>
      <c r="FF2181" s="118" t="str">
        <f t="shared" si="254"/>
        <v/>
      </c>
      <c r="FI2181" s="16">
        <v>2178</v>
      </c>
      <c r="FJ2181" s="17" t="str">
        <f t="shared" si="255"/>
        <v/>
      </c>
      <c r="FK2181" s="17" t="str">
        <f t="shared" ref="FK2181:FK2244" si="257">IF(FI2181&lt;=$FH$2,FF2181,IF(FI2181&lt;=$FH$2+$FH$3,INDEX($FJ$4:$FJ$2494,FI2181-$FH$2),""))</f>
        <v/>
      </c>
      <c r="FL2181" s="18" t="str">
        <f t="shared" si="256"/>
        <v/>
      </c>
    </row>
    <row r="2182" spans="159:168">
      <c r="FC2182" s="118">
        <v>2179</v>
      </c>
      <c r="FD2182" s="118">
        <f t="shared" si="252"/>
        <v>3</v>
      </c>
      <c r="FE2182" s="118">
        <f t="shared" si="253"/>
        <v>137</v>
      </c>
      <c r="FF2182" s="118" t="str">
        <f t="shared" si="254"/>
        <v/>
      </c>
      <c r="FI2182" s="16">
        <v>2179</v>
      </c>
      <c r="FJ2182" s="17" t="str">
        <f t="shared" si="255"/>
        <v/>
      </c>
      <c r="FK2182" s="17" t="str">
        <f t="shared" si="257"/>
        <v/>
      </c>
      <c r="FL2182" s="18" t="str">
        <f t="shared" si="256"/>
        <v/>
      </c>
    </row>
    <row r="2183" spans="159:168">
      <c r="FC2183" s="118">
        <v>2180</v>
      </c>
      <c r="FD2183" s="118">
        <f t="shared" si="252"/>
        <v>4</v>
      </c>
      <c r="FE2183" s="118">
        <f t="shared" si="253"/>
        <v>137</v>
      </c>
      <c r="FF2183" s="118" t="str">
        <f t="shared" si="254"/>
        <v/>
      </c>
      <c r="FI2183" s="16">
        <v>2180</v>
      </c>
      <c r="FJ2183" s="17" t="str">
        <f t="shared" si="255"/>
        <v/>
      </c>
      <c r="FK2183" s="17" t="str">
        <f t="shared" si="257"/>
        <v/>
      </c>
      <c r="FL2183" s="18" t="str">
        <f t="shared" si="256"/>
        <v/>
      </c>
    </row>
    <row r="2184" spans="159:168">
      <c r="FC2184" s="118">
        <v>2181</v>
      </c>
      <c r="FD2184" s="118">
        <f t="shared" si="252"/>
        <v>5</v>
      </c>
      <c r="FE2184" s="118">
        <f t="shared" si="253"/>
        <v>137</v>
      </c>
      <c r="FF2184" s="118" t="str">
        <f t="shared" si="254"/>
        <v/>
      </c>
      <c r="FI2184" s="16">
        <v>2181</v>
      </c>
      <c r="FJ2184" s="17" t="str">
        <f t="shared" si="255"/>
        <v/>
      </c>
      <c r="FK2184" s="17" t="str">
        <f t="shared" si="257"/>
        <v/>
      </c>
      <c r="FL2184" s="18" t="str">
        <f t="shared" si="256"/>
        <v/>
      </c>
    </row>
    <row r="2185" spans="159:168">
      <c r="FC2185" s="118">
        <v>2182</v>
      </c>
      <c r="FD2185" s="118">
        <f t="shared" si="252"/>
        <v>6</v>
      </c>
      <c r="FE2185" s="118">
        <f t="shared" si="253"/>
        <v>137</v>
      </c>
      <c r="FF2185" s="118" t="str">
        <f t="shared" si="254"/>
        <v/>
      </c>
      <c r="FI2185" s="16">
        <v>2182</v>
      </c>
      <c r="FJ2185" s="17" t="str">
        <f t="shared" si="255"/>
        <v/>
      </c>
      <c r="FK2185" s="17" t="str">
        <f t="shared" si="257"/>
        <v/>
      </c>
      <c r="FL2185" s="18" t="str">
        <f t="shared" si="256"/>
        <v/>
      </c>
    </row>
    <row r="2186" spans="159:168">
      <c r="FC2186" s="118">
        <v>2183</v>
      </c>
      <c r="FD2186" s="118">
        <f t="shared" si="252"/>
        <v>7</v>
      </c>
      <c r="FE2186" s="118">
        <f t="shared" si="253"/>
        <v>137</v>
      </c>
      <c r="FF2186" s="118" t="str">
        <f t="shared" si="254"/>
        <v/>
      </c>
      <c r="FI2186" s="16">
        <v>2183</v>
      </c>
      <c r="FJ2186" s="17" t="str">
        <f t="shared" si="255"/>
        <v/>
      </c>
      <c r="FK2186" s="17" t="str">
        <f t="shared" si="257"/>
        <v/>
      </c>
      <c r="FL2186" s="18" t="str">
        <f t="shared" si="256"/>
        <v/>
      </c>
    </row>
    <row r="2187" spans="159:168">
      <c r="FC2187" s="118">
        <v>2184</v>
      </c>
      <c r="FD2187" s="118">
        <f t="shared" si="252"/>
        <v>8</v>
      </c>
      <c r="FE2187" s="118">
        <f t="shared" si="253"/>
        <v>137</v>
      </c>
      <c r="FF2187" s="118" t="str">
        <f t="shared" si="254"/>
        <v/>
      </c>
      <c r="FI2187" s="16">
        <v>2184</v>
      </c>
      <c r="FJ2187" s="17" t="str">
        <f t="shared" si="255"/>
        <v/>
      </c>
      <c r="FK2187" s="17" t="str">
        <f t="shared" si="257"/>
        <v/>
      </c>
      <c r="FL2187" s="18" t="str">
        <f t="shared" si="256"/>
        <v/>
      </c>
    </row>
    <row r="2188" spans="159:168">
      <c r="FC2188" s="118">
        <v>2185</v>
      </c>
      <c r="FD2188" s="118">
        <f t="shared" si="252"/>
        <v>9</v>
      </c>
      <c r="FE2188" s="118">
        <f t="shared" si="253"/>
        <v>137</v>
      </c>
      <c r="FF2188" s="118" t="str">
        <f t="shared" si="254"/>
        <v/>
      </c>
      <c r="FI2188" s="16">
        <v>2185</v>
      </c>
      <c r="FJ2188" s="17" t="str">
        <f t="shared" si="255"/>
        <v/>
      </c>
      <c r="FK2188" s="17" t="str">
        <f t="shared" si="257"/>
        <v/>
      </c>
      <c r="FL2188" s="18" t="str">
        <f t="shared" si="256"/>
        <v/>
      </c>
    </row>
    <row r="2189" spans="159:168">
      <c r="FC2189" s="118">
        <v>2186</v>
      </c>
      <c r="FD2189" s="118">
        <f t="shared" si="252"/>
        <v>10</v>
      </c>
      <c r="FE2189" s="118">
        <f t="shared" si="253"/>
        <v>137</v>
      </c>
      <c r="FF2189" s="118" t="str">
        <f t="shared" si="254"/>
        <v/>
      </c>
      <c r="FI2189" s="16">
        <v>2186</v>
      </c>
      <c r="FJ2189" s="17" t="str">
        <f t="shared" si="255"/>
        <v/>
      </c>
      <c r="FK2189" s="17" t="str">
        <f t="shared" si="257"/>
        <v/>
      </c>
      <c r="FL2189" s="18" t="str">
        <f t="shared" si="256"/>
        <v/>
      </c>
    </row>
    <row r="2190" spans="159:168">
      <c r="FC2190" s="118">
        <v>2187</v>
      </c>
      <c r="FD2190" s="118">
        <f t="shared" si="252"/>
        <v>11</v>
      </c>
      <c r="FE2190" s="118">
        <f t="shared" si="253"/>
        <v>137</v>
      </c>
      <c r="FF2190" s="118" t="str">
        <f t="shared" si="254"/>
        <v/>
      </c>
      <c r="FI2190" s="16">
        <v>2187</v>
      </c>
      <c r="FJ2190" s="17" t="str">
        <f t="shared" si="255"/>
        <v/>
      </c>
      <c r="FK2190" s="17" t="str">
        <f t="shared" si="257"/>
        <v/>
      </c>
      <c r="FL2190" s="18" t="str">
        <f t="shared" si="256"/>
        <v/>
      </c>
    </row>
    <row r="2191" spans="159:168">
      <c r="FC2191" s="118">
        <v>2188</v>
      </c>
      <c r="FD2191" s="118">
        <f t="shared" si="252"/>
        <v>12</v>
      </c>
      <c r="FE2191" s="118">
        <f t="shared" si="253"/>
        <v>137</v>
      </c>
      <c r="FF2191" s="118" t="str">
        <f t="shared" si="254"/>
        <v/>
      </c>
      <c r="FI2191" s="16">
        <v>2188</v>
      </c>
      <c r="FJ2191" s="17" t="str">
        <f t="shared" si="255"/>
        <v/>
      </c>
      <c r="FK2191" s="17" t="str">
        <f t="shared" si="257"/>
        <v/>
      </c>
      <c r="FL2191" s="18" t="str">
        <f t="shared" si="256"/>
        <v/>
      </c>
    </row>
    <row r="2192" spans="159:168">
      <c r="FC2192" s="118">
        <v>2189</v>
      </c>
      <c r="FD2192" s="118">
        <f t="shared" si="252"/>
        <v>13</v>
      </c>
      <c r="FE2192" s="118">
        <f t="shared" si="253"/>
        <v>137</v>
      </c>
      <c r="FF2192" s="118" t="str">
        <f t="shared" si="254"/>
        <v/>
      </c>
      <c r="FI2192" s="16">
        <v>2189</v>
      </c>
      <c r="FJ2192" s="17" t="str">
        <f t="shared" si="255"/>
        <v/>
      </c>
      <c r="FK2192" s="17" t="str">
        <f t="shared" si="257"/>
        <v/>
      </c>
      <c r="FL2192" s="18" t="str">
        <f t="shared" si="256"/>
        <v/>
      </c>
    </row>
    <row r="2193" spans="159:168">
      <c r="FC2193" s="118">
        <v>2190</v>
      </c>
      <c r="FD2193" s="118">
        <f t="shared" si="252"/>
        <v>14</v>
      </c>
      <c r="FE2193" s="118">
        <f t="shared" si="253"/>
        <v>137</v>
      </c>
      <c r="FF2193" s="118" t="str">
        <f t="shared" si="254"/>
        <v/>
      </c>
      <c r="FI2193" s="16">
        <v>2190</v>
      </c>
      <c r="FJ2193" s="17" t="str">
        <f t="shared" si="255"/>
        <v/>
      </c>
      <c r="FK2193" s="17" t="str">
        <f t="shared" si="257"/>
        <v/>
      </c>
      <c r="FL2193" s="18" t="str">
        <f t="shared" si="256"/>
        <v/>
      </c>
    </row>
    <row r="2194" spans="159:168">
      <c r="FC2194" s="118">
        <v>2191</v>
      </c>
      <c r="FD2194" s="118">
        <f t="shared" si="252"/>
        <v>15</v>
      </c>
      <c r="FE2194" s="118">
        <f t="shared" si="253"/>
        <v>137</v>
      </c>
      <c r="FF2194" s="118" t="str">
        <f t="shared" si="254"/>
        <v/>
      </c>
      <c r="FI2194" s="16">
        <v>2191</v>
      </c>
      <c r="FJ2194" s="17" t="str">
        <f t="shared" si="255"/>
        <v/>
      </c>
      <c r="FK2194" s="17" t="str">
        <f t="shared" si="257"/>
        <v/>
      </c>
      <c r="FL2194" s="18" t="str">
        <f t="shared" si="256"/>
        <v/>
      </c>
    </row>
    <row r="2195" spans="159:168">
      <c r="FC2195" s="118">
        <v>2192</v>
      </c>
      <c r="FD2195" s="118">
        <f t="shared" si="252"/>
        <v>16</v>
      </c>
      <c r="FE2195" s="118">
        <f t="shared" si="253"/>
        <v>137</v>
      </c>
      <c r="FF2195" s="118" t="str">
        <f t="shared" si="254"/>
        <v/>
      </c>
      <c r="FI2195" s="16">
        <v>2192</v>
      </c>
      <c r="FJ2195" s="17" t="str">
        <f t="shared" si="255"/>
        <v/>
      </c>
      <c r="FK2195" s="17" t="str">
        <f t="shared" si="257"/>
        <v/>
      </c>
      <c r="FL2195" s="18" t="str">
        <f t="shared" si="256"/>
        <v/>
      </c>
    </row>
    <row r="2196" spans="159:168">
      <c r="FC2196" s="118">
        <v>2193</v>
      </c>
      <c r="FD2196" s="118">
        <f t="shared" si="252"/>
        <v>1</v>
      </c>
      <c r="FE2196" s="118">
        <f t="shared" si="253"/>
        <v>138</v>
      </c>
      <c r="FF2196" s="118" t="str">
        <f t="shared" si="254"/>
        <v/>
      </c>
      <c r="FI2196" s="16">
        <v>2193</v>
      </c>
      <c r="FJ2196" s="17" t="str">
        <f t="shared" si="255"/>
        <v/>
      </c>
      <c r="FK2196" s="17" t="str">
        <f t="shared" si="257"/>
        <v/>
      </c>
      <c r="FL2196" s="18" t="str">
        <f t="shared" si="256"/>
        <v/>
      </c>
    </row>
    <row r="2197" spans="159:168">
      <c r="FC2197" s="118">
        <v>2194</v>
      </c>
      <c r="FD2197" s="118">
        <f t="shared" si="252"/>
        <v>2</v>
      </c>
      <c r="FE2197" s="118">
        <f t="shared" si="253"/>
        <v>138</v>
      </c>
      <c r="FF2197" s="118" t="str">
        <f t="shared" si="254"/>
        <v/>
      </c>
      <c r="FI2197" s="16">
        <v>2194</v>
      </c>
      <c r="FJ2197" s="17" t="str">
        <f t="shared" si="255"/>
        <v/>
      </c>
      <c r="FK2197" s="17" t="str">
        <f t="shared" si="257"/>
        <v/>
      </c>
      <c r="FL2197" s="18" t="str">
        <f t="shared" si="256"/>
        <v/>
      </c>
    </row>
    <row r="2198" spans="159:168">
      <c r="FC2198" s="118">
        <v>2195</v>
      </c>
      <c r="FD2198" s="118">
        <f t="shared" ref="FD2198:FD2261" si="258">IF(MOD(FC2198,$FB$1+$FB$2)=0,$FB$1+$FB$2,MOD(FC2198,$FB$1+$FB$2))</f>
        <v>3</v>
      </c>
      <c r="FE2198" s="118">
        <f t="shared" ref="FE2198:FE2261" si="259">ROUNDUP(FC2198/($FB$1+$FB$2),0)</f>
        <v>138</v>
      </c>
      <c r="FF2198" s="118" t="str">
        <f t="shared" ref="FF2198:FF2261" si="260">IF(FE2198&lt;$FB$3,INDEX($E$4:$DV$84,FD2198,FE2198),IF(FE2198=$FB$3,INDEX($E$4:$DV$84,FD2198+$FB$1,FE2198),""))</f>
        <v/>
      </c>
      <c r="FI2198" s="16">
        <v>2195</v>
      </c>
      <c r="FJ2198" s="17" t="str">
        <f t="shared" ref="FJ2198:FJ2261" si="261">IF(FE2198&lt;=$FH$1,INDEX($DW$4:$EZ$84,FD2198,FE2198),"")</f>
        <v/>
      </c>
      <c r="FK2198" s="17" t="str">
        <f t="shared" si="257"/>
        <v/>
      </c>
      <c r="FL2198" s="18" t="str">
        <f t="shared" ref="FL2198:FL2261" si="262">IFERROR(TEXT(DEC2BIN(FK2198),"00000000"),"")</f>
        <v/>
      </c>
    </row>
    <row r="2199" spans="159:168">
      <c r="FC2199" s="118">
        <v>2196</v>
      </c>
      <c r="FD2199" s="118">
        <f t="shared" si="258"/>
        <v>4</v>
      </c>
      <c r="FE2199" s="118">
        <f t="shared" si="259"/>
        <v>138</v>
      </c>
      <c r="FF2199" s="118" t="str">
        <f t="shared" si="260"/>
        <v/>
      </c>
      <c r="FI2199" s="16">
        <v>2196</v>
      </c>
      <c r="FJ2199" s="17" t="str">
        <f t="shared" si="261"/>
        <v/>
      </c>
      <c r="FK2199" s="17" t="str">
        <f t="shared" si="257"/>
        <v/>
      </c>
      <c r="FL2199" s="18" t="str">
        <f t="shared" si="262"/>
        <v/>
      </c>
    </row>
    <row r="2200" spans="159:168">
      <c r="FC2200" s="118">
        <v>2197</v>
      </c>
      <c r="FD2200" s="118">
        <f t="shared" si="258"/>
        <v>5</v>
      </c>
      <c r="FE2200" s="118">
        <f t="shared" si="259"/>
        <v>138</v>
      </c>
      <c r="FF2200" s="118" t="str">
        <f t="shared" si="260"/>
        <v/>
      </c>
      <c r="FI2200" s="16">
        <v>2197</v>
      </c>
      <c r="FJ2200" s="17" t="str">
        <f t="shared" si="261"/>
        <v/>
      </c>
      <c r="FK2200" s="17" t="str">
        <f t="shared" si="257"/>
        <v/>
      </c>
      <c r="FL2200" s="18" t="str">
        <f t="shared" si="262"/>
        <v/>
      </c>
    </row>
    <row r="2201" spans="159:168">
      <c r="FC2201" s="118">
        <v>2198</v>
      </c>
      <c r="FD2201" s="118">
        <f t="shared" si="258"/>
        <v>6</v>
      </c>
      <c r="FE2201" s="118">
        <f t="shared" si="259"/>
        <v>138</v>
      </c>
      <c r="FF2201" s="118" t="str">
        <f t="shared" si="260"/>
        <v/>
      </c>
      <c r="FI2201" s="16">
        <v>2198</v>
      </c>
      <c r="FJ2201" s="17" t="str">
        <f t="shared" si="261"/>
        <v/>
      </c>
      <c r="FK2201" s="17" t="str">
        <f t="shared" si="257"/>
        <v/>
      </c>
      <c r="FL2201" s="18" t="str">
        <f t="shared" si="262"/>
        <v/>
      </c>
    </row>
    <row r="2202" spans="159:168">
      <c r="FC2202" s="118">
        <v>2199</v>
      </c>
      <c r="FD2202" s="118">
        <f t="shared" si="258"/>
        <v>7</v>
      </c>
      <c r="FE2202" s="118">
        <f t="shared" si="259"/>
        <v>138</v>
      </c>
      <c r="FF2202" s="118" t="str">
        <f t="shared" si="260"/>
        <v/>
      </c>
      <c r="FI2202" s="16">
        <v>2199</v>
      </c>
      <c r="FJ2202" s="17" t="str">
        <f t="shared" si="261"/>
        <v/>
      </c>
      <c r="FK2202" s="17" t="str">
        <f t="shared" si="257"/>
        <v/>
      </c>
      <c r="FL2202" s="18" t="str">
        <f t="shared" si="262"/>
        <v/>
      </c>
    </row>
    <row r="2203" spans="159:168">
      <c r="FC2203" s="118">
        <v>2200</v>
      </c>
      <c r="FD2203" s="118">
        <f t="shared" si="258"/>
        <v>8</v>
      </c>
      <c r="FE2203" s="118">
        <f t="shared" si="259"/>
        <v>138</v>
      </c>
      <c r="FF2203" s="118" t="str">
        <f t="shared" si="260"/>
        <v/>
      </c>
      <c r="FI2203" s="16">
        <v>2200</v>
      </c>
      <c r="FJ2203" s="17" t="str">
        <f t="shared" si="261"/>
        <v/>
      </c>
      <c r="FK2203" s="17" t="str">
        <f t="shared" si="257"/>
        <v/>
      </c>
      <c r="FL2203" s="18" t="str">
        <f t="shared" si="262"/>
        <v/>
      </c>
    </row>
    <row r="2204" spans="159:168">
      <c r="FC2204" s="118">
        <v>2201</v>
      </c>
      <c r="FD2204" s="118">
        <f t="shared" si="258"/>
        <v>9</v>
      </c>
      <c r="FE2204" s="118">
        <f t="shared" si="259"/>
        <v>138</v>
      </c>
      <c r="FF2204" s="118" t="str">
        <f t="shared" si="260"/>
        <v/>
      </c>
      <c r="FI2204" s="16">
        <v>2201</v>
      </c>
      <c r="FJ2204" s="17" t="str">
        <f t="shared" si="261"/>
        <v/>
      </c>
      <c r="FK2204" s="17" t="str">
        <f t="shared" si="257"/>
        <v/>
      </c>
      <c r="FL2204" s="18" t="str">
        <f t="shared" si="262"/>
        <v/>
      </c>
    </row>
    <row r="2205" spans="159:168">
      <c r="FC2205" s="118">
        <v>2202</v>
      </c>
      <c r="FD2205" s="118">
        <f t="shared" si="258"/>
        <v>10</v>
      </c>
      <c r="FE2205" s="118">
        <f t="shared" si="259"/>
        <v>138</v>
      </c>
      <c r="FF2205" s="118" t="str">
        <f t="shared" si="260"/>
        <v/>
      </c>
      <c r="FI2205" s="16">
        <v>2202</v>
      </c>
      <c r="FJ2205" s="17" t="str">
        <f t="shared" si="261"/>
        <v/>
      </c>
      <c r="FK2205" s="17" t="str">
        <f t="shared" si="257"/>
        <v/>
      </c>
      <c r="FL2205" s="18" t="str">
        <f t="shared" si="262"/>
        <v/>
      </c>
    </row>
    <row r="2206" spans="159:168">
      <c r="FC2206" s="118">
        <v>2203</v>
      </c>
      <c r="FD2206" s="118">
        <f t="shared" si="258"/>
        <v>11</v>
      </c>
      <c r="FE2206" s="118">
        <f t="shared" si="259"/>
        <v>138</v>
      </c>
      <c r="FF2206" s="118" t="str">
        <f t="shared" si="260"/>
        <v/>
      </c>
      <c r="FI2206" s="16">
        <v>2203</v>
      </c>
      <c r="FJ2206" s="17" t="str">
        <f t="shared" si="261"/>
        <v/>
      </c>
      <c r="FK2206" s="17" t="str">
        <f t="shared" si="257"/>
        <v/>
      </c>
      <c r="FL2206" s="18" t="str">
        <f t="shared" si="262"/>
        <v/>
      </c>
    </row>
    <row r="2207" spans="159:168">
      <c r="FC2207" s="118">
        <v>2204</v>
      </c>
      <c r="FD2207" s="118">
        <f t="shared" si="258"/>
        <v>12</v>
      </c>
      <c r="FE2207" s="118">
        <f t="shared" si="259"/>
        <v>138</v>
      </c>
      <c r="FF2207" s="118" t="str">
        <f t="shared" si="260"/>
        <v/>
      </c>
      <c r="FI2207" s="16">
        <v>2204</v>
      </c>
      <c r="FJ2207" s="17" t="str">
        <f t="shared" si="261"/>
        <v/>
      </c>
      <c r="FK2207" s="17" t="str">
        <f t="shared" si="257"/>
        <v/>
      </c>
      <c r="FL2207" s="18" t="str">
        <f t="shared" si="262"/>
        <v/>
      </c>
    </row>
    <row r="2208" spans="159:168">
      <c r="FC2208" s="118">
        <v>2205</v>
      </c>
      <c r="FD2208" s="118">
        <f t="shared" si="258"/>
        <v>13</v>
      </c>
      <c r="FE2208" s="118">
        <f t="shared" si="259"/>
        <v>138</v>
      </c>
      <c r="FF2208" s="118" t="str">
        <f t="shared" si="260"/>
        <v/>
      </c>
      <c r="FI2208" s="16">
        <v>2205</v>
      </c>
      <c r="FJ2208" s="17" t="str">
        <f t="shared" si="261"/>
        <v/>
      </c>
      <c r="FK2208" s="17" t="str">
        <f t="shared" si="257"/>
        <v/>
      </c>
      <c r="FL2208" s="18" t="str">
        <f t="shared" si="262"/>
        <v/>
      </c>
    </row>
    <row r="2209" spans="159:168">
      <c r="FC2209" s="118">
        <v>2206</v>
      </c>
      <c r="FD2209" s="118">
        <f t="shared" si="258"/>
        <v>14</v>
      </c>
      <c r="FE2209" s="118">
        <f t="shared" si="259"/>
        <v>138</v>
      </c>
      <c r="FF2209" s="118" t="str">
        <f t="shared" si="260"/>
        <v/>
      </c>
      <c r="FI2209" s="16">
        <v>2206</v>
      </c>
      <c r="FJ2209" s="17" t="str">
        <f t="shared" si="261"/>
        <v/>
      </c>
      <c r="FK2209" s="17" t="str">
        <f t="shared" si="257"/>
        <v/>
      </c>
      <c r="FL2209" s="18" t="str">
        <f t="shared" si="262"/>
        <v/>
      </c>
    </row>
    <row r="2210" spans="159:168">
      <c r="FC2210" s="118">
        <v>2207</v>
      </c>
      <c r="FD2210" s="118">
        <f t="shared" si="258"/>
        <v>15</v>
      </c>
      <c r="FE2210" s="118">
        <f t="shared" si="259"/>
        <v>138</v>
      </c>
      <c r="FF2210" s="118" t="str">
        <f t="shared" si="260"/>
        <v/>
      </c>
      <c r="FI2210" s="16">
        <v>2207</v>
      </c>
      <c r="FJ2210" s="17" t="str">
        <f t="shared" si="261"/>
        <v/>
      </c>
      <c r="FK2210" s="17" t="str">
        <f t="shared" si="257"/>
        <v/>
      </c>
      <c r="FL2210" s="18" t="str">
        <f t="shared" si="262"/>
        <v/>
      </c>
    </row>
    <row r="2211" spans="159:168">
      <c r="FC2211" s="118">
        <v>2208</v>
      </c>
      <c r="FD2211" s="118">
        <f t="shared" si="258"/>
        <v>16</v>
      </c>
      <c r="FE2211" s="118">
        <f t="shared" si="259"/>
        <v>138</v>
      </c>
      <c r="FF2211" s="118" t="str">
        <f t="shared" si="260"/>
        <v/>
      </c>
      <c r="FI2211" s="16">
        <v>2208</v>
      </c>
      <c r="FJ2211" s="17" t="str">
        <f t="shared" si="261"/>
        <v/>
      </c>
      <c r="FK2211" s="17" t="str">
        <f t="shared" si="257"/>
        <v/>
      </c>
      <c r="FL2211" s="18" t="str">
        <f t="shared" si="262"/>
        <v/>
      </c>
    </row>
    <row r="2212" spans="159:168">
      <c r="FC2212" s="118">
        <v>2209</v>
      </c>
      <c r="FD2212" s="118">
        <f t="shared" si="258"/>
        <v>1</v>
      </c>
      <c r="FE2212" s="118">
        <f t="shared" si="259"/>
        <v>139</v>
      </c>
      <c r="FF2212" s="118" t="str">
        <f t="shared" si="260"/>
        <v/>
      </c>
      <c r="FI2212" s="16">
        <v>2209</v>
      </c>
      <c r="FJ2212" s="17" t="str">
        <f t="shared" si="261"/>
        <v/>
      </c>
      <c r="FK2212" s="17" t="str">
        <f t="shared" si="257"/>
        <v/>
      </c>
      <c r="FL2212" s="18" t="str">
        <f t="shared" si="262"/>
        <v/>
      </c>
    </row>
    <row r="2213" spans="159:168">
      <c r="FC2213" s="118">
        <v>2210</v>
      </c>
      <c r="FD2213" s="118">
        <f t="shared" si="258"/>
        <v>2</v>
      </c>
      <c r="FE2213" s="118">
        <f t="shared" si="259"/>
        <v>139</v>
      </c>
      <c r="FF2213" s="118" t="str">
        <f t="shared" si="260"/>
        <v/>
      </c>
      <c r="FI2213" s="16">
        <v>2210</v>
      </c>
      <c r="FJ2213" s="17" t="str">
        <f t="shared" si="261"/>
        <v/>
      </c>
      <c r="FK2213" s="17" t="str">
        <f t="shared" si="257"/>
        <v/>
      </c>
      <c r="FL2213" s="18" t="str">
        <f t="shared" si="262"/>
        <v/>
      </c>
    </row>
    <row r="2214" spans="159:168">
      <c r="FC2214" s="118">
        <v>2211</v>
      </c>
      <c r="FD2214" s="118">
        <f t="shared" si="258"/>
        <v>3</v>
      </c>
      <c r="FE2214" s="118">
        <f t="shared" si="259"/>
        <v>139</v>
      </c>
      <c r="FF2214" s="118" t="str">
        <f t="shared" si="260"/>
        <v/>
      </c>
      <c r="FI2214" s="16">
        <v>2211</v>
      </c>
      <c r="FJ2214" s="17" t="str">
        <f t="shared" si="261"/>
        <v/>
      </c>
      <c r="FK2214" s="17" t="str">
        <f t="shared" si="257"/>
        <v/>
      </c>
      <c r="FL2214" s="18" t="str">
        <f t="shared" si="262"/>
        <v/>
      </c>
    </row>
    <row r="2215" spans="159:168">
      <c r="FC2215" s="118">
        <v>2212</v>
      </c>
      <c r="FD2215" s="118">
        <f t="shared" si="258"/>
        <v>4</v>
      </c>
      <c r="FE2215" s="118">
        <f t="shared" si="259"/>
        <v>139</v>
      </c>
      <c r="FF2215" s="118" t="str">
        <f t="shared" si="260"/>
        <v/>
      </c>
      <c r="FI2215" s="16">
        <v>2212</v>
      </c>
      <c r="FJ2215" s="17" t="str">
        <f t="shared" si="261"/>
        <v/>
      </c>
      <c r="FK2215" s="17" t="str">
        <f t="shared" si="257"/>
        <v/>
      </c>
      <c r="FL2215" s="18" t="str">
        <f t="shared" si="262"/>
        <v/>
      </c>
    </row>
    <row r="2216" spans="159:168">
      <c r="FC2216" s="118">
        <v>2213</v>
      </c>
      <c r="FD2216" s="118">
        <f t="shared" si="258"/>
        <v>5</v>
      </c>
      <c r="FE2216" s="118">
        <f t="shared" si="259"/>
        <v>139</v>
      </c>
      <c r="FF2216" s="118" t="str">
        <f t="shared" si="260"/>
        <v/>
      </c>
      <c r="FI2216" s="16">
        <v>2213</v>
      </c>
      <c r="FJ2216" s="17" t="str">
        <f t="shared" si="261"/>
        <v/>
      </c>
      <c r="FK2216" s="17" t="str">
        <f t="shared" si="257"/>
        <v/>
      </c>
      <c r="FL2216" s="18" t="str">
        <f t="shared" si="262"/>
        <v/>
      </c>
    </row>
    <row r="2217" spans="159:168">
      <c r="FC2217" s="118">
        <v>2214</v>
      </c>
      <c r="FD2217" s="118">
        <f t="shared" si="258"/>
        <v>6</v>
      </c>
      <c r="FE2217" s="118">
        <f t="shared" si="259"/>
        <v>139</v>
      </c>
      <c r="FF2217" s="118" t="str">
        <f t="shared" si="260"/>
        <v/>
      </c>
      <c r="FI2217" s="16">
        <v>2214</v>
      </c>
      <c r="FJ2217" s="17" t="str">
        <f t="shared" si="261"/>
        <v/>
      </c>
      <c r="FK2217" s="17" t="str">
        <f t="shared" si="257"/>
        <v/>
      </c>
      <c r="FL2217" s="18" t="str">
        <f t="shared" si="262"/>
        <v/>
      </c>
    </row>
    <row r="2218" spans="159:168">
      <c r="FC2218" s="118">
        <v>2215</v>
      </c>
      <c r="FD2218" s="118">
        <f t="shared" si="258"/>
        <v>7</v>
      </c>
      <c r="FE2218" s="118">
        <f t="shared" si="259"/>
        <v>139</v>
      </c>
      <c r="FF2218" s="118" t="str">
        <f t="shared" si="260"/>
        <v/>
      </c>
      <c r="FI2218" s="16">
        <v>2215</v>
      </c>
      <c r="FJ2218" s="17" t="str">
        <f t="shared" si="261"/>
        <v/>
      </c>
      <c r="FK2218" s="17" t="str">
        <f t="shared" si="257"/>
        <v/>
      </c>
      <c r="FL2218" s="18" t="str">
        <f t="shared" si="262"/>
        <v/>
      </c>
    </row>
    <row r="2219" spans="159:168">
      <c r="FC2219" s="118">
        <v>2216</v>
      </c>
      <c r="FD2219" s="118">
        <f t="shared" si="258"/>
        <v>8</v>
      </c>
      <c r="FE2219" s="118">
        <f t="shared" si="259"/>
        <v>139</v>
      </c>
      <c r="FF2219" s="118" t="str">
        <f t="shared" si="260"/>
        <v/>
      </c>
      <c r="FI2219" s="16">
        <v>2216</v>
      </c>
      <c r="FJ2219" s="17" t="str">
        <f t="shared" si="261"/>
        <v/>
      </c>
      <c r="FK2219" s="17" t="str">
        <f t="shared" si="257"/>
        <v/>
      </c>
      <c r="FL2219" s="18" t="str">
        <f t="shared" si="262"/>
        <v/>
      </c>
    </row>
    <row r="2220" spans="159:168">
      <c r="FC2220" s="118">
        <v>2217</v>
      </c>
      <c r="FD2220" s="118">
        <f t="shared" si="258"/>
        <v>9</v>
      </c>
      <c r="FE2220" s="118">
        <f t="shared" si="259"/>
        <v>139</v>
      </c>
      <c r="FF2220" s="118" t="str">
        <f t="shared" si="260"/>
        <v/>
      </c>
      <c r="FI2220" s="16">
        <v>2217</v>
      </c>
      <c r="FJ2220" s="17" t="str">
        <f t="shared" si="261"/>
        <v/>
      </c>
      <c r="FK2220" s="17" t="str">
        <f t="shared" si="257"/>
        <v/>
      </c>
      <c r="FL2220" s="18" t="str">
        <f t="shared" si="262"/>
        <v/>
      </c>
    </row>
    <row r="2221" spans="159:168">
      <c r="FC2221" s="118">
        <v>2218</v>
      </c>
      <c r="FD2221" s="118">
        <f t="shared" si="258"/>
        <v>10</v>
      </c>
      <c r="FE2221" s="118">
        <f t="shared" si="259"/>
        <v>139</v>
      </c>
      <c r="FF2221" s="118" t="str">
        <f t="shared" si="260"/>
        <v/>
      </c>
      <c r="FI2221" s="16">
        <v>2218</v>
      </c>
      <c r="FJ2221" s="17" t="str">
        <f t="shared" si="261"/>
        <v/>
      </c>
      <c r="FK2221" s="17" t="str">
        <f t="shared" si="257"/>
        <v/>
      </c>
      <c r="FL2221" s="18" t="str">
        <f t="shared" si="262"/>
        <v/>
      </c>
    </row>
    <row r="2222" spans="159:168">
      <c r="FC2222" s="118">
        <v>2219</v>
      </c>
      <c r="FD2222" s="118">
        <f t="shared" si="258"/>
        <v>11</v>
      </c>
      <c r="FE2222" s="118">
        <f t="shared" si="259"/>
        <v>139</v>
      </c>
      <c r="FF2222" s="118" t="str">
        <f t="shared" si="260"/>
        <v/>
      </c>
      <c r="FI2222" s="16">
        <v>2219</v>
      </c>
      <c r="FJ2222" s="17" t="str">
        <f t="shared" si="261"/>
        <v/>
      </c>
      <c r="FK2222" s="17" t="str">
        <f t="shared" si="257"/>
        <v/>
      </c>
      <c r="FL2222" s="18" t="str">
        <f t="shared" si="262"/>
        <v/>
      </c>
    </row>
    <row r="2223" spans="159:168">
      <c r="FC2223" s="118">
        <v>2220</v>
      </c>
      <c r="FD2223" s="118">
        <f t="shared" si="258"/>
        <v>12</v>
      </c>
      <c r="FE2223" s="118">
        <f t="shared" si="259"/>
        <v>139</v>
      </c>
      <c r="FF2223" s="118" t="str">
        <f t="shared" si="260"/>
        <v/>
      </c>
      <c r="FI2223" s="16">
        <v>2220</v>
      </c>
      <c r="FJ2223" s="17" t="str">
        <f t="shared" si="261"/>
        <v/>
      </c>
      <c r="FK2223" s="17" t="str">
        <f t="shared" si="257"/>
        <v/>
      </c>
      <c r="FL2223" s="18" t="str">
        <f t="shared" si="262"/>
        <v/>
      </c>
    </row>
    <row r="2224" spans="159:168">
      <c r="FC2224" s="118">
        <v>2221</v>
      </c>
      <c r="FD2224" s="118">
        <f t="shared" si="258"/>
        <v>13</v>
      </c>
      <c r="FE2224" s="118">
        <f t="shared" si="259"/>
        <v>139</v>
      </c>
      <c r="FF2224" s="118" t="str">
        <f t="shared" si="260"/>
        <v/>
      </c>
      <c r="FI2224" s="16">
        <v>2221</v>
      </c>
      <c r="FJ2224" s="17" t="str">
        <f t="shared" si="261"/>
        <v/>
      </c>
      <c r="FK2224" s="17" t="str">
        <f t="shared" si="257"/>
        <v/>
      </c>
      <c r="FL2224" s="18" t="str">
        <f t="shared" si="262"/>
        <v/>
      </c>
    </row>
    <row r="2225" spans="159:168">
      <c r="FC2225" s="118">
        <v>2222</v>
      </c>
      <c r="FD2225" s="118">
        <f t="shared" si="258"/>
        <v>14</v>
      </c>
      <c r="FE2225" s="118">
        <f t="shared" si="259"/>
        <v>139</v>
      </c>
      <c r="FF2225" s="118" t="str">
        <f t="shared" si="260"/>
        <v/>
      </c>
      <c r="FI2225" s="16">
        <v>2222</v>
      </c>
      <c r="FJ2225" s="17" t="str">
        <f t="shared" si="261"/>
        <v/>
      </c>
      <c r="FK2225" s="17" t="str">
        <f t="shared" si="257"/>
        <v/>
      </c>
      <c r="FL2225" s="18" t="str">
        <f t="shared" si="262"/>
        <v/>
      </c>
    </row>
    <row r="2226" spans="159:168">
      <c r="FC2226" s="118">
        <v>2223</v>
      </c>
      <c r="FD2226" s="118">
        <f t="shared" si="258"/>
        <v>15</v>
      </c>
      <c r="FE2226" s="118">
        <f t="shared" si="259"/>
        <v>139</v>
      </c>
      <c r="FF2226" s="118" t="str">
        <f t="shared" si="260"/>
        <v/>
      </c>
      <c r="FI2226" s="16">
        <v>2223</v>
      </c>
      <c r="FJ2226" s="17" t="str">
        <f t="shared" si="261"/>
        <v/>
      </c>
      <c r="FK2226" s="17" t="str">
        <f t="shared" si="257"/>
        <v/>
      </c>
      <c r="FL2226" s="18" t="str">
        <f t="shared" si="262"/>
        <v/>
      </c>
    </row>
    <row r="2227" spans="159:168">
      <c r="FC2227" s="118">
        <v>2224</v>
      </c>
      <c r="FD2227" s="118">
        <f t="shared" si="258"/>
        <v>16</v>
      </c>
      <c r="FE2227" s="118">
        <f t="shared" si="259"/>
        <v>139</v>
      </c>
      <c r="FF2227" s="118" t="str">
        <f t="shared" si="260"/>
        <v/>
      </c>
      <c r="FI2227" s="16">
        <v>2224</v>
      </c>
      <c r="FJ2227" s="17" t="str">
        <f t="shared" si="261"/>
        <v/>
      </c>
      <c r="FK2227" s="17" t="str">
        <f t="shared" si="257"/>
        <v/>
      </c>
      <c r="FL2227" s="18" t="str">
        <f t="shared" si="262"/>
        <v/>
      </c>
    </row>
    <row r="2228" spans="159:168">
      <c r="FC2228" s="118">
        <v>2225</v>
      </c>
      <c r="FD2228" s="118">
        <f t="shared" si="258"/>
        <v>1</v>
      </c>
      <c r="FE2228" s="118">
        <f t="shared" si="259"/>
        <v>140</v>
      </c>
      <c r="FF2228" s="118" t="str">
        <f t="shared" si="260"/>
        <v/>
      </c>
      <c r="FI2228" s="16">
        <v>2225</v>
      </c>
      <c r="FJ2228" s="17" t="str">
        <f t="shared" si="261"/>
        <v/>
      </c>
      <c r="FK2228" s="17" t="str">
        <f t="shared" si="257"/>
        <v/>
      </c>
      <c r="FL2228" s="18" t="str">
        <f t="shared" si="262"/>
        <v/>
      </c>
    </row>
    <row r="2229" spans="159:168">
      <c r="FC2229" s="118">
        <v>2226</v>
      </c>
      <c r="FD2229" s="118">
        <f t="shared" si="258"/>
        <v>2</v>
      </c>
      <c r="FE2229" s="118">
        <f t="shared" si="259"/>
        <v>140</v>
      </c>
      <c r="FF2229" s="118" t="str">
        <f t="shared" si="260"/>
        <v/>
      </c>
      <c r="FI2229" s="16">
        <v>2226</v>
      </c>
      <c r="FJ2229" s="17" t="str">
        <f t="shared" si="261"/>
        <v/>
      </c>
      <c r="FK2229" s="17" t="str">
        <f t="shared" si="257"/>
        <v/>
      </c>
      <c r="FL2229" s="18" t="str">
        <f t="shared" si="262"/>
        <v/>
      </c>
    </row>
    <row r="2230" spans="159:168">
      <c r="FC2230" s="118">
        <v>2227</v>
      </c>
      <c r="FD2230" s="118">
        <f t="shared" si="258"/>
        <v>3</v>
      </c>
      <c r="FE2230" s="118">
        <f t="shared" si="259"/>
        <v>140</v>
      </c>
      <c r="FF2230" s="118" t="str">
        <f t="shared" si="260"/>
        <v/>
      </c>
      <c r="FI2230" s="16">
        <v>2227</v>
      </c>
      <c r="FJ2230" s="17" t="str">
        <f t="shared" si="261"/>
        <v/>
      </c>
      <c r="FK2230" s="17" t="str">
        <f t="shared" si="257"/>
        <v/>
      </c>
      <c r="FL2230" s="18" t="str">
        <f t="shared" si="262"/>
        <v/>
      </c>
    </row>
    <row r="2231" spans="159:168">
      <c r="FC2231" s="118">
        <v>2228</v>
      </c>
      <c r="FD2231" s="118">
        <f t="shared" si="258"/>
        <v>4</v>
      </c>
      <c r="FE2231" s="118">
        <f t="shared" si="259"/>
        <v>140</v>
      </c>
      <c r="FF2231" s="118" t="str">
        <f t="shared" si="260"/>
        <v/>
      </c>
      <c r="FI2231" s="16">
        <v>2228</v>
      </c>
      <c r="FJ2231" s="17" t="str">
        <f t="shared" si="261"/>
        <v/>
      </c>
      <c r="FK2231" s="17" t="str">
        <f t="shared" si="257"/>
        <v/>
      </c>
      <c r="FL2231" s="18" t="str">
        <f t="shared" si="262"/>
        <v/>
      </c>
    </row>
    <row r="2232" spans="159:168">
      <c r="FC2232" s="118">
        <v>2229</v>
      </c>
      <c r="FD2232" s="118">
        <f t="shared" si="258"/>
        <v>5</v>
      </c>
      <c r="FE2232" s="118">
        <f t="shared" si="259"/>
        <v>140</v>
      </c>
      <c r="FF2232" s="118" t="str">
        <f t="shared" si="260"/>
        <v/>
      </c>
      <c r="FI2232" s="16">
        <v>2229</v>
      </c>
      <c r="FJ2232" s="17" t="str">
        <f t="shared" si="261"/>
        <v/>
      </c>
      <c r="FK2232" s="17" t="str">
        <f t="shared" si="257"/>
        <v/>
      </c>
      <c r="FL2232" s="18" t="str">
        <f t="shared" si="262"/>
        <v/>
      </c>
    </row>
    <row r="2233" spans="159:168">
      <c r="FC2233" s="118">
        <v>2230</v>
      </c>
      <c r="FD2233" s="118">
        <f t="shared" si="258"/>
        <v>6</v>
      </c>
      <c r="FE2233" s="118">
        <f t="shared" si="259"/>
        <v>140</v>
      </c>
      <c r="FF2233" s="118" t="str">
        <f t="shared" si="260"/>
        <v/>
      </c>
      <c r="FI2233" s="16">
        <v>2230</v>
      </c>
      <c r="FJ2233" s="17" t="str">
        <f t="shared" si="261"/>
        <v/>
      </c>
      <c r="FK2233" s="17" t="str">
        <f t="shared" si="257"/>
        <v/>
      </c>
      <c r="FL2233" s="18" t="str">
        <f t="shared" si="262"/>
        <v/>
      </c>
    </row>
    <row r="2234" spans="159:168">
      <c r="FC2234" s="118">
        <v>2231</v>
      </c>
      <c r="FD2234" s="118">
        <f t="shared" si="258"/>
        <v>7</v>
      </c>
      <c r="FE2234" s="118">
        <f t="shared" si="259"/>
        <v>140</v>
      </c>
      <c r="FF2234" s="118" t="str">
        <f t="shared" si="260"/>
        <v/>
      </c>
      <c r="FI2234" s="16">
        <v>2231</v>
      </c>
      <c r="FJ2234" s="17" t="str">
        <f t="shared" si="261"/>
        <v/>
      </c>
      <c r="FK2234" s="17" t="str">
        <f t="shared" si="257"/>
        <v/>
      </c>
      <c r="FL2234" s="18" t="str">
        <f t="shared" si="262"/>
        <v/>
      </c>
    </row>
    <row r="2235" spans="159:168">
      <c r="FC2235" s="118">
        <v>2232</v>
      </c>
      <c r="FD2235" s="118">
        <f t="shared" si="258"/>
        <v>8</v>
      </c>
      <c r="FE2235" s="118">
        <f t="shared" si="259"/>
        <v>140</v>
      </c>
      <c r="FF2235" s="118" t="str">
        <f t="shared" si="260"/>
        <v/>
      </c>
      <c r="FI2235" s="16">
        <v>2232</v>
      </c>
      <c r="FJ2235" s="17" t="str">
        <f t="shared" si="261"/>
        <v/>
      </c>
      <c r="FK2235" s="17" t="str">
        <f t="shared" si="257"/>
        <v/>
      </c>
      <c r="FL2235" s="18" t="str">
        <f t="shared" si="262"/>
        <v/>
      </c>
    </row>
    <row r="2236" spans="159:168">
      <c r="FC2236" s="118">
        <v>2233</v>
      </c>
      <c r="FD2236" s="118">
        <f t="shared" si="258"/>
        <v>9</v>
      </c>
      <c r="FE2236" s="118">
        <f t="shared" si="259"/>
        <v>140</v>
      </c>
      <c r="FF2236" s="118" t="str">
        <f t="shared" si="260"/>
        <v/>
      </c>
      <c r="FI2236" s="16">
        <v>2233</v>
      </c>
      <c r="FJ2236" s="17" t="str">
        <f t="shared" si="261"/>
        <v/>
      </c>
      <c r="FK2236" s="17" t="str">
        <f t="shared" si="257"/>
        <v/>
      </c>
      <c r="FL2236" s="18" t="str">
        <f t="shared" si="262"/>
        <v/>
      </c>
    </row>
    <row r="2237" spans="159:168">
      <c r="FC2237" s="118">
        <v>2234</v>
      </c>
      <c r="FD2237" s="118">
        <f t="shared" si="258"/>
        <v>10</v>
      </c>
      <c r="FE2237" s="118">
        <f t="shared" si="259"/>
        <v>140</v>
      </c>
      <c r="FF2237" s="118" t="str">
        <f t="shared" si="260"/>
        <v/>
      </c>
      <c r="FI2237" s="16">
        <v>2234</v>
      </c>
      <c r="FJ2237" s="17" t="str">
        <f t="shared" si="261"/>
        <v/>
      </c>
      <c r="FK2237" s="17" t="str">
        <f t="shared" si="257"/>
        <v/>
      </c>
      <c r="FL2237" s="18" t="str">
        <f t="shared" si="262"/>
        <v/>
      </c>
    </row>
    <row r="2238" spans="159:168">
      <c r="FC2238" s="118">
        <v>2235</v>
      </c>
      <c r="FD2238" s="118">
        <f t="shared" si="258"/>
        <v>11</v>
      </c>
      <c r="FE2238" s="118">
        <f t="shared" si="259"/>
        <v>140</v>
      </c>
      <c r="FF2238" s="118" t="str">
        <f t="shared" si="260"/>
        <v/>
      </c>
      <c r="FI2238" s="16">
        <v>2235</v>
      </c>
      <c r="FJ2238" s="17" t="str">
        <f t="shared" si="261"/>
        <v/>
      </c>
      <c r="FK2238" s="17" t="str">
        <f t="shared" si="257"/>
        <v/>
      </c>
      <c r="FL2238" s="18" t="str">
        <f t="shared" si="262"/>
        <v/>
      </c>
    </row>
    <row r="2239" spans="159:168">
      <c r="FC2239" s="118">
        <v>2236</v>
      </c>
      <c r="FD2239" s="118">
        <f t="shared" si="258"/>
        <v>12</v>
      </c>
      <c r="FE2239" s="118">
        <f t="shared" si="259"/>
        <v>140</v>
      </c>
      <c r="FF2239" s="118" t="str">
        <f t="shared" si="260"/>
        <v/>
      </c>
      <c r="FI2239" s="16">
        <v>2236</v>
      </c>
      <c r="FJ2239" s="17" t="str">
        <f t="shared" si="261"/>
        <v/>
      </c>
      <c r="FK2239" s="17" t="str">
        <f t="shared" si="257"/>
        <v/>
      </c>
      <c r="FL2239" s="18" t="str">
        <f t="shared" si="262"/>
        <v/>
      </c>
    </row>
    <row r="2240" spans="159:168">
      <c r="FC2240" s="118">
        <v>2237</v>
      </c>
      <c r="FD2240" s="118">
        <f t="shared" si="258"/>
        <v>13</v>
      </c>
      <c r="FE2240" s="118">
        <f t="shared" si="259"/>
        <v>140</v>
      </c>
      <c r="FF2240" s="118" t="str">
        <f t="shared" si="260"/>
        <v/>
      </c>
      <c r="FI2240" s="16">
        <v>2237</v>
      </c>
      <c r="FJ2240" s="17" t="str">
        <f t="shared" si="261"/>
        <v/>
      </c>
      <c r="FK2240" s="17" t="str">
        <f t="shared" si="257"/>
        <v/>
      </c>
      <c r="FL2240" s="18" t="str">
        <f t="shared" si="262"/>
        <v/>
      </c>
    </row>
    <row r="2241" spans="159:168">
      <c r="FC2241" s="118">
        <v>2238</v>
      </c>
      <c r="FD2241" s="118">
        <f t="shared" si="258"/>
        <v>14</v>
      </c>
      <c r="FE2241" s="118">
        <f t="shared" si="259"/>
        <v>140</v>
      </c>
      <c r="FF2241" s="118" t="str">
        <f t="shared" si="260"/>
        <v/>
      </c>
      <c r="FI2241" s="16">
        <v>2238</v>
      </c>
      <c r="FJ2241" s="17" t="str">
        <f t="shared" si="261"/>
        <v/>
      </c>
      <c r="FK2241" s="17" t="str">
        <f t="shared" si="257"/>
        <v/>
      </c>
      <c r="FL2241" s="18" t="str">
        <f t="shared" si="262"/>
        <v/>
      </c>
    </row>
    <row r="2242" spans="159:168">
      <c r="FC2242" s="118">
        <v>2239</v>
      </c>
      <c r="FD2242" s="118">
        <f t="shared" si="258"/>
        <v>15</v>
      </c>
      <c r="FE2242" s="118">
        <f t="shared" si="259"/>
        <v>140</v>
      </c>
      <c r="FF2242" s="118" t="str">
        <f t="shared" si="260"/>
        <v/>
      </c>
      <c r="FI2242" s="16">
        <v>2239</v>
      </c>
      <c r="FJ2242" s="17" t="str">
        <f t="shared" si="261"/>
        <v/>
      </c>
      <c r="FK2242" s="17" t="str">
        <f t="shared" si="257"/>
        <v/>
      </c>
      <c r="FL2242" s="18" t="str">
        <f t="shared" si="262"/>
        <v/>
      </c>
    </row>
    <row r="2243" spans="159:168">
      <c r="FC2243" s="118">
        <v>2240</v>
      </c>
      <c r="FD2243" s="118">
        <f t="shared" si="258"/>
        <v>16</v>
      </c>
      <c r="FE2243" s="118">
        <f t="shared" si="259"/>
        <v>140</v>
      </c>
      <c r="FF2243" s="118" t="str">
        <f t="shared" si="260"/>
        <v/>
      </c>
      <c r="FI2243" s="16">
        <v>2240</v>
      </c>
      <c r="FJ2243" s="17" t="str">
        <f t="shared" si="261"/>
        <v/>
      </c>
      <c r="FK2243" s="17" t="str">
        <f t="shared" si="257"/>
        <v/>
      </c>
      <c r="FL2243" s="18" t="str">
        <f t="shared" si="262"/>
        <v/>
      </c>
    </row>
    <row r="2244" spans="159:168">
      <c r="FC2244" s="118">
        <v>2241</v>
      </c>
      <c r="FD2244" s="118">
        <f t="shared" si="258"/>
        <v>1</v>
      </c>
      <c r="FE2244" s="118">
        <f t="shared" si="259"/>
        <v>141</v>
      </c>
      <c r="FF2244" s="118" t="str">
        <f t="shared" si="260"/>
        <v/>
      </c>
      <c r="FI2244" s="16">
        <v>2241</v>
      </c>
      <c r="FJ2244" s="17" t="str">
        <f t="shared" si="261"/>
        <v/>
      </c>
      <c r="FK2244" s="17" t="str">
        <f t="shared" si="257"/>
        <v/>
      </c>
      <c r="FL2244" s="18" t="str">
        <f t="shared" si="262"/>
        <v/>
      </c>
    </row>
    <row r="2245" spans="159:168">
      <c r="FC2245" s="118">
        <v>2242</v>
      </c>
      <c r="FD2245" s="118">
        <f t="shared" si="258"/>
        <v>2</v>
      </c>
      <c r="FE2245" s="118">
        <f t="shared" si="259"/>
        <v>141</v>
      </c>
      <c r="FF2245" s="118" t="str">
        <f t="shared" si="260"/>
        <v/>
      </c>
      <c r="FI2245" s="16">
        <v>2242</v>
      </c>
      <c r="FJ2245" s="17" t="str">
        <f t="shared" si="261"/>
        <v/>
      </c>
      <c r="FK2245" s="17" t="str">
        <f t="shared" ref="FK2245:FK2308" si="263">IF(FI2245&lt;=$FH$2,FF2245,IF(FI2245&lt;=$FH$2+$FH$3,INDEX($FJ$4:$FJ$2494,FI2245-$FH$2),""))</f>
        <v/>
      </c>
      <c r="FL2245" s="18" t="str">
        <f t="shared" si="262"/>
        <v/>
      </c>
    </row>
    <row r="2246" spans="159:168">
      <c r="FC2246" s="118">
        <v>2243</v>
      </c>
      <c r="FD2246" s="118">
        <f t="shared" si="258"/>
        <v>3</v>
      </c>
      <c r="FE2246" s="118">
        <f t="shared" si="259"/>
        <v>141</v>
      </c>
      <c r="FF2246" s="118" t="str">
        <f t="shared" si="260"/>
        <v/>
      </c>
      <c r="FI2246" s="16">
        <v>2243</v>
      </c>
      <c r="FJ2246" s="17" t="str">
        <f t="shared" si="261"/>
        <v/>
      </c>
      <c r="FK2246" s="17" t="str">
        <f t="shared" si="263"/>
        <v/>
      </c>
      <c r="FL2246" s="18" t="str">
        <f t="shared" si="262"/>
        <v/>
      </c>
    </row>
    <row r="2247" spans="159:168">
      <c r="FC2247" s="118">
        <v>2244</v>
      </c>
      <c r="FD2247" s="118">
        <f t="shared" si="258"/>
        <v>4</v>
      </c>
      <c r="FE2247" s="118">
        <f t="shared" si="259"/>
        <v>141</v>
      </c>
      <c r="FF2247" s="118" t="str">
        <f t="shared" si="260"/>
        <v/>
      </c>
      <c r="FI2247" s="16">
        <v>2244</v>
      </c>
      <c r="FJ2247" s="17" t="str">
        <f t="shared" si="261"/>
        <v/>
      </c>
      <c r="FK2247" s="17" t="str">
        <f t="shared" si="263"/>
        <v/>
      </c>
      <c r="FL2247" s="18" t="str">
        <f t="shared" si="262"/>
        <v/>
      </c>
    </row>
    <row r="2248" spans="159:168">
      <c r="FC2248" s="118">
        <v>2245</v>
      </c>
      <c r="FD2248" s="118">
        <f t="shared" si="258"/>
        <v>5</v>
      </c>
      <c r="FE2248" s="118">
        <f t="shared" si="259"/>
        <v>141</v>
      </c>
      <c r="FF2248" s="118" t="str">
        <f t="shared" si="260"/>
        <v/>
      </c>
      <c r="FI2248" s="16">
        <v>2245</v>
      </c>
      <c r="FJ2248" s="17" t="str">
        <f t="shared" si="261"/>
        <v/>
      </c>
      <c r="FK2248" s="17" t="str">
        <f t="shared" si="263"/>
        <v/>
      </c>
      <c r="FL2248" s="18" t="str">
        <f t="shared" si="262"/>
        <v/>
      </c>
    </row>
    <row r="2249" spans="159:168">
      <c r="FC2249" s="118">
        <v>2246</v>
      </c>
      <c r="FD2249" s="118">
        <f t="shared" si="258"/>
        <v>6</v>
      </c>
      <c r="FE2249" s="118">
        <f t="shared" si="259"/>
        <v>141</v>
      </c>
      <c r="FF2249" s="118" t="str">
        <f t="shared" si="260"/>
        <v/>
      </c>
      <c r="FI2249" s="16">
        <v>2246</v>
      </c>
      <c r="FJ2249" s="17" t="str">
        <f t="shared" si="261"/>
        <v/>
      </c>
      <c r="FK2249" s="17" t="str">
        <f t="shared" si="263"/>
        <v/>
      </c>
      <c r="FL2249" s="18" t="str">
        <f t="shared" si="262"/>
        <v/>
      </c>
    </row>
    <row r="2250" spans="159:168">
      <c r="FC2250" s="118">
        <v>2247</v>
      </c>
      <c r="FD2250" s="118">
        <f t="shared" si="258"/>
        <v>7</v>
      </c>
      <c r="FE2250" s="118">
        <f t="shared" si="259"/>
        <v>141</v>
      </c>
      <c r="FF2250" s="118" t="str">
        <f t="shared" si="260"/>
        <v/>
      </c>
      <c r="FI2250" s="16">
        <v>2247</v>
      </c>
      <c r="FJ2250" s="17" t="str">
        <f t="shared" si="261"/>
        <v/>
      </c>
      <c r="FK2250" s="17" t="str">
        <f t="shared" si="263"/>
        <v/>
      </c>
      <c r="FL2250" s="18" t="str">
        <f t="shared" si="262"/>
        <v/>
      </c>
    </row>
    <row r="2251" spans="159:168">
      <c r="FC2251" s="118">
        <v>2248</v>
      </c>
      <c r="FD2251" s="118">
        <f t="shared" si="258"/>
        <v>8</v>
      </c>
      <c r="FE2251" s="118">
        <f t="shared" si="259"/>
        <v>141</v>
      </c>
      <c r="FF2251" s="118" t="str">
        <f t="shared" si="260"/>
        <v/>
      </c>
      <c r="FI2251" s="16">
        <v>2248</v>
      </c>
      <c r="FJ2251" s="17" t="str">
        <f t="shared" si="261"/>
        <v/>
      </c>
      <c r="FK2251" s="17" t="str">
        <f t="shared" si="263"/>
        <v/>
      </c>
      <c r="FL2251" s="18" t="str">
        <f t="shared" si="262"/>
        <v/>
      </c>
    </row>
    <row r="2252" spans="159:168">
      <c r="FC2252" s="118">
        <v>2249</v>
      </c>
      <c r="FD2252" s="118">
        <f t="shared" si="258"/>
        <v>9</v>
      </c>
      <c r="FE2252" s="118">
        <f t="shared" si="259"/>
        <v>141</v>
      </c>
      <c r="FF2252" s="118" t="str">
        <f t="shared" si="260"/>
        <v/>
      </c>
      <c r="FI2252" s="16">
        <v>2249</v>
      </c>
      <c r="FJ2252" s="17" t="str">
        <f t="shared" si="261"/>
        <v/>
      </c>
      <c r="FK2252" s="17" t="str">
        <f t="shared" si="263"/>
        <v/>
      </c>
      <c r="FL2252" s="18" t="str">
        <f t="shared" si="262"/>
        <v/>
      </c>
    </row>
    <row r="2253" spans="159:168">
      <c r="FC2253" s="118">
        <v>2250</v>
      </c>
      <c r="FD2253" s="118">
        <f t="shared" si="258"/>
        <v>10</v>
      </c>
      <c r="FE2253" s="118">
        <f t="shared" si="259"/>
        <v>141</v>
      </c>
      <c r="FF2253" s="118" t="str">
        <f t="shared" si="260"/>
        <v/>
      </c>
      <c r="FI2253" s="16">
        <v>2250</v>
      </c>
      <c r="FJ2253" s="17" t="str">
        <f t="shared" si="261"/>
        <v/>
      </c>
      <c r="FK2253" s="17" t="str">
        <f t="shared" si="263"/>
        <v/>
      </c>
      <c r="FL2253" s="18" t="str">
        <f t="shared" si="262"/>
        <v/>
      </c>
    </row>
    <row r="2254" spans="159:168">
      <c r="FC2254" s="118">
        <v>2251</v>
      </c>
      <c r="FD2254" s="118">
        <f t="shared" si="258"/>
        <v>11</v>
      </c>
      <c r="FE2254" s="118">
        <f t="shared" si="259"/>
        <v>141</v>
      </c>
      <c r="FF2254" s="118" t="str">
        <f t="shared" si="260"/>
        <v/>
      </c>
      <c r="FI2254" s="16">
        <v>2251</v>
      </c>
      <c r="FJ2254" s="17" t="str">
        <f t="shared" si="261"/>
        <v/>
      </c>
      <c r="FK2254" s="17" t="str">
        <f t="shared" si="263"/>
        <v/>
      </c>
      <c r="FL2254" s="18" t="str">
        <f t="shared" si="262"/>
        <v/>
      </c>
    </row>
    <row r="2255" spans="159:168">
      <c r="FC2255" s="118">
        <v>2252</v>
      </c>
      <c r="FD2255" s="118">
        <f t="shared" si="258"/>
        <v>12</v>
      </c>
      <c r="FE2255" s="118">
        <f t="shared" si="259"/>
        <v>141</v>
      </c>
      <c r="FF2255" s="118" t="str">
        <f t="shared" si="260"/>
        <v/>
      </c>
      <c r="FI2255" s="16">
        <v>2252</v>
      </c>
      <c r="FJ2255" s="17" t="str">
        <f t="shared" si="261"/>
        <v/>
      </c>
      <c r="FK2255" s="17" t="str">
        <f t="shared" si="263"/>
        <v/>
      </c>
      <c r="FL2255" s="18" t="str">
        <f t="shared" si="262"/>
        <v/>
      </c>
    </row>
    <row r="2256" spans="159:168">
      <c r="FC2256" s="118">
        <v>2253</v>
      </c>
      <c r="FD2256" s="118">
        <f t="shared" si="258"/>
        <v>13</v>
      </c>
      <c r="FE2256" s="118">
        <f t="shared" si="259"/>
        <v>141</v>
      </c>
      <c r="FF2256" s="118" t="str">
        <f t="shared" si="260"/>
        <v/>
      </c>
      <c r="FI2256" s="16">
        <v>2253</v>
      </c>
      <c r="FJ2256" s="17" t="str">
        <f t="shared" si="261"/>
        <v/>
      </c>
      <c r="FK2256" s="17" t="str">
        <f t="shared" si="263"/>
        <v/>
      </c>
      <c r="FL2256" s="18" t="str">
        <f t="shared" si="262"/>
        <v/>
      </c>
    </row>
    <row r="2257" spans="159:168">
      <c r="FC2257" s="118">
        <v>2254</v>
      </c>
      <c r="FD2257" s="118">
        <f t="shared" si="258"/>
        <v>14</v>
      </c>
      <c r="FE2257" s="118">
        <f t="shared" si="259"/>
        <v>141</v>
      </c>
      <c r="FF2257" s="118" t="str">
        <f t="shared" si="260"/>
        <v/>
      </c>
      <c r="FI2257" s="16">
        <v>2254</v>
      </c>
      <c r="FJ2257" s="17" t="str">
        <f t="shared" si="261"/>
        <v/>
      </c>
      <c r="FK2257" s="17" t="str">
        <f t="shared" si="263"/>
        <v/>
      </c>
      <c r="FL2257" s="18" t="str">
        <f t="shared" si="262"/>
        <v/>
      </c>
    </row>
    <row r="2258" spans="159:168">
      <c r="FC2258" s="118">
        <v>2255</v>
      </c>
      <c r="FD2258" s="118">
        <f t="shared" si="258"/>
        <v>15</v>
      </c>
      <c r="FE2258" s="118">
        <f t="shared" si="259"/>
        <v>141</v>
      </c>
      <c r="FF2258" s="118" t="str">
        <f t="shared" si="260"/>
        <v/>
      </c>
      <c r="FI2258" s="16">
        <v>2255</v>
      </c>
      <c r="FJ2258" s="17" t="str">
        <f t="shared" si="261"/>
        <v/>
      </c>
      <c r="FK2258" s="17" t="str">
        <f t="shared" si="263"/>
        <v/>
      </c>
      <c r="FL2258" s="18" t="str">
        <f t="shared" si="262"/>
        <v/>
      </c>
    </row>
    <row r="2259" spans="159:168">
      <c r="FC2259" s="118">
        <v>2256</v>
      </c>
      <c r="FD2259" s="118">
        <f t="shared" si="258"/>
        <v>16</v>
      </c>
      <c r="FE2259" s="118">
        <f t="shared" si="259"/>
        <v>141</v>
      </c>
      <c r="FF2259" s="118" t="str">
        <f t="shared" si="260"/>
        <v/>
      </c>
      <c r="FI2259" s="16">
        <v>2256</v>
      </c>
      <c r="FJ2259" s="17" t="str">
        <f t="shared" si="261"/>
        <v/>
      </c>
      <c r="FK2259" s="17" t="str">
        <f t="shared" si="263"/>
        <v/>
      </c>
      <c r="FL2259" s="18" t="str">
        <f t="shared" si="262"/>
        <v/>
      </c>
    </row>
    <row r="2260" spans="159:168">
      <c r="FC2260" s="118">
        <v>2257</v>
      </c>
      <c r="FD2260" s="118">
        <f t="shared" si="258"/>
        <v>1</v>
      </c>
      <c r="FE2260" s="118">
        <f t="shared" si="259"/>
        <v>142</v>
      </c>
      <c r="FF2260" s="118" t="str">
        <f t="shared" si="260"/>
        <v/>
      </c>
      <c r="FI2260" s="16">
        <v>2257</v>
      </c>
      <c r="FJ2260" s="17" t="str">
        <f t="shared" si="261"/>
        <v/>
      </c>
      <c r="FK2260" s="17" t="str">
        <f t="shared" si="263"/>
        <v/>
      </c>
      <c r="FL2260" s="18" t="str">
        <f t="shared" si="262"/>
        <v/>
      </c>
    </row>
    <row r="2261" spans="159:168">
      <c r="FC2261" s="118">
        <v>2258</v>
      </c>
      <c r="FD2261" s="118">
        <f t="shared" si="258"/>
        <v>2</v>
      </c>
      <c r="FE2261" s="118">
        <f t="shared" si="259"/>
        <v>142</v>
      </c>
      <c r="FF2261" s="118" t="str">
        <f t="shared" si="260"/>
        <v/>
      </c>
      <c r="FI2261" s="16">
        <v>2258</v>
      </c>
      <c r="FJ2261" s="17" t="str">
        <f t="shared" si="261"/>
        <v/>
      </c>
      <c r="FK2261" s="17" t="str">
        <f t="shared" si="263"/>
        <v/>
      </c>
      <c r="FL2261" s="18" t="str">
        <f t="shared" si="262"/>
        <v/>
      </c>
    </row>
    <row r="2262" spans="159:168">
      <c r="FC2262" s="118">
        <v>2259</v>
      </c>
      <c r="FD2262" s="118">
        <f t="shared" ref="FD2262:FD2325" si="264">IF(MOD(FC2262,$FB$1+$FB$2)=0,$FB$1+$FB$2,MOD(FC2262,$FB$1+$FB$2))</f>
        <v>3</v>
      </c>
      <c r="FE2262" s="118">
        <f t="shared" ref="FE2262:FE2325" si="265">ROUNDUP(FC2262/($FB$1+$FB$2),0)</f>
        <v>142</v>
      </c>
      <c r="FF2262" s="118" t="str">
        <f t="shared" ref="FF2262:FF2325" si="266">IF(FE2262&lt;$FB$3,INDEX($E$4:$DV$84,FD2262,FE2262),IF(FE2262=$FB$3,INDEX($E$4:$DV$84,FD2262+$FB$1,FE2262),""))</f>
        <v/>
      </c>
      <c r="FI2262" s="16">
        <v>2259</v>
      </c>
      <c r="FJ2262" s="17" t="str">
        <f t="shared" ref="FJ2262:FJ2325" si="267">IF(FE2262&lt;=$FH$1,INDEX($DW$4:$EZ$84,FD2262,FE2262),"")</f>
        <v/>
      </c>
      <c r="FK2262" s="17" t="str">
        <f t="shared" si="263"/>
        <v/>
      </c>
      <c r="FL2262" s="18" t="str">
        <f t="shared" ref="FL2262:FL2325" si="268">IFERROR(TEXT(DEC2BIN(FK2262),"00000000"),"")</f>
        <v/>
      </c>
    </row>
    <row r="2263" spans="159:168">
      <c r="FC2263" s="118">
        <v>2260</v>
      </c>
      <c r="FD2263" s="118">
        <f t="shared" si="264"/>
        <v>4</v>
      </c>
      <c r="FE2263" s="118">
        <f t="shared" si="265"/>
        <v>142</v>
      </c>
      <c r="FF2263" s="118" t="str">
        <f t="shared" si="266"/>
        <v/>
      </c>
      <c r="FI2263" s="16">
        <v>2260</v>
      </c>
      <c r="FJ2263" s="17" t="str">
        <f t="shared" si="267"/>
        <v/>
      </c>
      <c r="FK2263" s="17" t="str">
        <f t="shared" si="263"/>
        <v/>
      </c>
      <c r="FL2263" s="18" t="str">
        <f t="shared" si="268"/>
        <v/>
      </c>
    </row>
    <row r="2264" spans="159:168">
      <c r="FC2264" s="118">
        <v>2261</v>
      </c>
      <c r="FD2264" s="118">
        <f t="shared" si="264"/>
        <v>5</v>
      </c>
      <c r="FE2264" s="118">
        <f t="shared" si="265"/>
        <v>142</v>
      </c>
      <c r="FF2264" s="118" t="str">
        <f t="shared" si="266"/>
        <v/>
      </c>
      <c r="FI2264" s="16">
        <v>2261</v>
      </c>
      <c r="FJ2264" s="17" t="str">
        <f t="shared" si="267"/>
        <v/>
      </c>
      <c r="FK2264" s="17" t="str">
        <f t="shared" si="263"/>
        <v/>
      </c>
      <c r="FL2264" s="18" t="str">
        <f t="shared" si="268"/>
        <v/>
      </c>
    </row>
    <row r="2265" spans="159:168">
      <c r="FC2265" s="118">
        <v>2262</v>
      </c>
      <c r="FD2265" s="118">
        <f t="shared" si="264"/>
        <v>6</v>
      </c>
      <c r="FE2265" s="118">
        <f t="shared" si="265"/>
        <v>142</v>
      </c>
      <c r="FF2265" s="118" t="str">
        <f t="shared" si="266"/>
        <v/>
      </c>
      <c r="FI2265" s="16">
        <v>2262</v>
      </c>
      <c r="FJ2265" s="17" t="str">
        <f t="shared" si="267"/>
        <v/>
      </c>
      <c r="FK2265" s="17" t="str">
        <f t="shared" si="263"/>
        <v/>
      </c>
      <c r="FL2265" s="18" t="str">
        <f t="shared" si="268"/>
        <v/>
      </c>
    </row>
    <row r="2266" spans="159:168">
      <c r="FC2266" s="118">
        <v>2263</v>
      </c>
      <c r="FD2266" s="118">
        <f t="shared" si="264"/>
        <v>7</v>
      </c>
      <c r="FE2266" s="118">
        <f t="shared" si="265"/>
        <v>142</v>
      </c>
      <c r="FF2266" s="118" t="str">
        <f t="shared" si="266"/>
        <v/>
      </c>
      <c r="FI2266" s="16">
        <v>2263</v>
      </c>
      <c r="FJ2266" s="17" t="str">
        <f t="shared" si="267"/>
        <v/>
      </c>
      <c r="FK2266" s="17" t="str">
        <f t="shared" si="263"/>
        <v/>
      </c>
      <c r="FL2266" s="18" t="str">
        <f t="shared" si="268"/>
        <v/>
      </c>
    </row>
    <row r="2267" spans="159:168">
      <c r="FC2267" s="118">
        <v>2264</v>
      </c>
      <c r="FD2267" s="118">
        <f t="shared" si="264"/>
        <v>8</v>
      </c>
      <c r="FE2267" s="118">
        <f t="shared" si="265"/>
        <v>142</v>
      </c>
      <c r="FF2267" s="118" t="str">
        <f t="shared" si="266"/>
        <v/>
      </c>
      <c r="FI2267" s="16">
        <v>2264</v>
      </c>
      <c r="FJ2267" s="17" t="str">
        <f t="shared" si="267"/>
        <v/>
      </c>
      <c r="FK2267" s="17" t="str">
        <f t="shared" si="263"/>
        <v/>
      </c>
      <c r="FL2267" s="18" t="str">
        <f t="shared" si="268"/>
        <v/>
      </c>
    </row>
    <row r="2268" spans="159:168">
      <c r="FC2268" s="118">
        <v>2265</v>
      </c>
      <c r="FD2268" s="118">
        <f t="shared" si="264"/>
        <v>9</v>
      </c>
      <c r="FE2268" s="118">
        <f t="shared" si="265"/>
        <v>142</v>
      </c>
      <c r="FF2268" s="118" t="str">
        <f t="shared" si="266"/>
        <v/>
      </c>
      <c r="FI2268" s="16">
        <v>2265</v>
      </c>
      <c r="FJ2268" s="17" t="str">
        <f t="shared" si="267"/>
        <v/>
      </c>
      <c r="FK2268" s="17" t="str">
        <f t="shared" si="263"/>
        <v/>
      </c>
      <c r="FL2268" s="18" t="str">
        <f t="shared" si="268"/>
        <v/>
      </c>
    </row>
    <row r="2269" spans="159:168">
      <c r="FC2269" s="118">
        <v>2266</v>
      </c>
      <c r="FD2269" s="118">
        <f t="shared" si="264"/>
        <v>10</v>
      </c>
      <c r="FE2269" s="118">
        <f t="shared" si="265"/>
        <v>142</v>
      </c>
      <c r="FF2269" s="118" t="str">
        <f t="shared" si="266"/>
        <v/>
      </c>
      <c r="FI2269" s="16">
        <v>2266</v>
      </c>
      <c r="FJ2269" s="17" t="str">
        <f t="shared" si="267"/>
        <v/>
      </c>
      <c r="FK2269" s="17" t="str">
        <f t="shared" si="263"/>
        <v/>
      </c>
      <c r="FL2269" s="18" t="str">
        <f t="shared" si="268"/>
        <v/>
      </c>
    </row>
    <row r="2270" spans="159:168">
      <c r="FC2270" s="118">
        <v>2267</v>
      </c>
      <c r="FD2270" s="118">
        <f t="shared" si="264"/>
        <v>11</v>
      </c>
      <c r="FE2270" s="118">
        <f t="shared" si="265"/>
        <v>142</v>
      </c>
      <c r="FF2270" s="118" t="str">
        <f t="shared" si="266"/>
        <v/>
      </c>
      <c r="FI2270" s="16">
        <v>2267</v>
      </c>
      <c r="FJ2270" s="17" t="str">
        <f t="shared" si="267"/>
        <v/>
      </c>
      <c r="FK2270" s="17" t="str">
        <f t="shared" si="263"/>
        <v/>
      </c>
      <c r="FL2270" s="18" t="str">
        <f t="shared" si="268"/>
        <v/>
      </c>
    </row>
    <row r="2271" spans="159:168">
      <c r="FC2271" s="118">
        <v>2268</v>
      </c>
      <c r="FD2271" s="118">
        <f t="shared" si="264"/>
        <v>12</v>
      </c>
      <c r="FE2271" s="118">
        <f t="shared" si="265"/>
        <v>142</v>
      </c>
      <c r="FF2271" s="118" t="str">
        <f t="shared" si="266"/>
        <v/>
      </c>
      <c r="FI2271" s="16">
        <v>2268</v>
      </c>
      <c r="FJ2271" s="17" t="str">
        <f t="shared" si="267"/>
        <v/>
      </c>
      <c r="FK2271" s="17" t="str">
        <f t="shared" si="263"/>
        <v/>
      </c>
      <c r="FL2271" s="18" t="str">
        <f t="shared" si="268"/>
        <v/>
      </c>
    </row>
    <row r="2272" spans="159:168">
      <c r="FC2272" s="118">
        <v>2269</v>
      </c>
      <c r="FD2272" s="118">
        <f t="shared" si="264"/>
        <v>13</v>
      </c>
      <c r="FE2272" s="118">
        <f t="shared" si="265"/>
        <v>142</v>
      </c>
      <c r="FF2272" s="118" t="str">
        <f t="shared" si="266"/>
        <v/>
      </c>
      <c r="FI2272" s="16">
        <v>2269</v>
      </c>
      <c r="FJ2272" s="17" t="str">
        <f t="shared" si="267"/>
        <v/>
      </c>
      <c r="FK2272" s="17" t="str">
        <f t="shared" si="263"/>
        <v/>
      </c>
      <c r="FL2272" s="18" t="str">
        <f t="shared" si="268"/>
        <v/>
      </c>
    </row>
    <row r="2273" spans="159:168">
      <c r="FC2273" s="118">
        <v>2270</v>
      </c>
      <c r="FD2273" s="118">
        <f t="shared" si="264"/>
        <v>14</v>
      </c>
      <c r="FE2273" s="118">
        <f t="shared" si="265"/>
        <v>142</v>
      </c>
      <c r="FF2273" s="118" t="str">
        <f t="shared" si="266"/>
        <v/>
      </c>
      <c r="FI2273" s="16">
        <v>2270</v>
      </c>
      <c r="FJ2273" s="17" t="str">
        <f t="shared" si="267"/>
        <v/>
      </c>
      <c r="FK2273" s="17" t="str">
        <f t="shared" si="263"/>
        <v/>
      </c>
      <c r="FL2273" s="18" t="str">
        <f t="shared" si="268"/>
        <v/>
      </c>
    </row>
    <row r="2274" spans="159:168">
      <c r="FC2274" s="118">
        <v>2271</v>
      </c>
      <c r="FD2274" s="118">
        <f t="shared" si="264"/>
        <v>15</v>
      </c>
      <c r="FE2274" s="118">
        <f t="shared" si="265"/>
        <v>142</v>
      </c>
      <c r="FF2274" s="118" t="str">
        <f t="shared" si="266"/>
        <v/>
      </c>
      <c r="FI2274" s="16">
        <v>2271</v>
      </c>
      <c r="FJ2274" s="17" t="str">
        <f t="shared" si="267"/>
        <v/>
      </c>
      <c r="FK2274" s="17" t="str">
        <f t="shared" si="263"/>
        <v/>
      </c>
      <c r="FL2274" s="18" t="str">
        <f t="shared" si="268"/>
        <v/>
      </c>
    </row>
    <row r="2275" spans="159:168">
      <c r="FC2275" s="118">
        <v>2272</v>
      </c>
      <c r="FD2275" s="118">
        <f t="shared" si="264"/>
        <v>16</v>
      </c>
      <c r="FE2275" s="118">
        <f t="shared" si="265"/>
        <v>142</v>
      </c>
      <c r="FF2275" s="118" t="str">
        <f t="shared" si="266"/>
        <v/>
      </c>
      <c r="FI2275" s="16">
        <v>2272</v>
      </c>
      <c r="FJ2275" s="17" t="str">
        <f t="shared" si="267"/>
        <v/>
      </c>
      <c r="FK2275" s="17" t="str">
        <f t="shared" si="263"/>
        <v/>
      </c>
      <c r="FL2275" s="18" t="str">
        <f t="shared" si="268"/>
        <v/>
      </c>
    </row>
    <row r="2276" spans="159:168">
      <c r="FC2276" s="118">
        <v>2273</v>
      </c>
      <c r="FD2276" s="118">
        <f t="shared" si="264"/>
        <v>1</v>
      </c>
      <c r="FE2276" s="118">
        <f t="shared" si="265"/>
        <v>143</v>
      </c>
      <c r="FF2276" s="118" t="str">
        <f t="shared" si="266"/>
        <v/>
      </c>
      <c r="FI2276" s="16">
        <v>2273</v>
      </c>
      <c r="FJ2276" s="17" t="str">
        <f t="shared" si="267"/>
        <v/>
      </c>
      <c r="FK2276" s="17" t="str">
        <f t="shared" si="263"/>
        <v/>
      </c>
      <c r="FL2276" s="18" t="str">
        <f t="shared" si="268"/>
        <v/>
      </c>
    </row>
    <row r="2277" spans="159:168">
      <c r="FC2277" s="118">
        <v>2274</v>
      </c>
      <c r="FD2277" s="118">
        <f t="shared" si="264"/>
        <v>2</v>
      </c>
      <c r="FE2277" s="118">
        <f t="shared" si="265"/>
        <v>143</v>
      </c>
      <c r="FF2277" s="118" t="str">
        <f t="shared" si="266"/>
        <v/>
      </c>
      <c r="FI2277" s="16">
        <v>2274</v>
      </c>
      <c r="FJ2277" s="17" t="str">
        <f t="shared" si="267"/>
        <v/>
      </c>
      <c r="FK2277" s="17" t="str">
        <f t="shared" si="263"/>
        <v/>
      </c>
      <c r="FL2277" s="18" t="str">
        <f t="shared" si="268"/>
        <v/>
      </c>
    </row>
    <row r="2278" spans="159:168">
      <c r="FC2278" s="118">
        <v>2275</v>
      </c>
      <c r="FD2278" s="118">
        <f t="shared" si="264"/>
        <v>3</v>
      </c>
      <c r="FE2278" s="118">
        <f t="shared" si="265"/>
        <v>143</v>
      </c>
      <c r="FF2278" s="118" t="str">
        <f t="shared" si="266"/>
        <v/>
      </c>
      <c r="FI2278" s="16">
        <v>2275</v>
      </c>
      <c r="FJ2278" s="17" t="str">
        <f t="shared" si="267"/>
        <v/>
      </c>
      <c r="FK2278" s="17" t="str">
        <f t="shared" si="263"/>
        <v/>
      </c>
      <c r="FL2278" s="18" t="str">
        <f t="shared" si="268"/>
        <v/>
      </c>
    </row>
    <row r="2279" spans="159:168">
      <c r="FC2279" s="118">
        <v>2276</v>
      </c>
      <c r="FD2279" s="118">
        <f t="shared" si="264"/>
        <v>4</v>
      </c>
      <c r="FE2279" s="118">
        <f t="shared" si="265"/>
        <v>143</v>
      </c>
      <c r="FF2279" s="118" t="str">
        <f t="shared" si="266"/>
        <v/>
      </c>
      <c r="FI2279" s="16">
        <v>2276</v>
      </c>
      <c r="FJ2279" s="17" t="str">
        <f t="shared" si="267"/>
        <v/>
      </c>
      <c r="FK2279" s="17" t="str">
        <f t="shared" si="263"/>
        <v/>
      </c>
      <c r="FL2279" s="18" t="str">
        <f t="shared" si="268"/>
        <v/>
      </c>
    </row>
    <row r="2280" spans="159:168">
      <c r="FC2280" s="118">
        <v>2277</v>
      </c>
      <c r="FD2280" s="118">
        <f t="shared" si="264"/>
        <v>5</v>
      </c>
      <c r="FE2280" s="118">
        <f t="shared" si="265"/>
        <v>143</v>
      </c>
      <c r="FF2280" s="118" t="str">
        <f t="shared" si="266"/>
        <v/>
      </c>
      <c r="FI2280" s="16">
        <v>2277</v>
      </c>
      <c r="FJ2280" s="17" t="str">
        <f t="shared" si="267"/>
        <v/>
      </c>
      <c r="FK2280" s="17" t="str">
        <f t="shared" si="263"/>
        <v/>
      </c>
      <c r="FL2280" s="18" t="str">
        <f t="shared" si="268"/>
        <v/>
      </c>
    </row>
    <row r="2281" spans="159:168">
      <c r="FC2281" s="118">
        <v>2278</v>
      </c>
      <c r="FD2281" s="118">
        <f t="shared" si="264"/>
        <v>6</v>
      </c>
      <c r="FE2281" s="118">
        <f t="shared" si="265"/>
        <v>143</v>
      </c>
      <c r="FF2281" s="118" t="str">
        <f t="shared" si="266"/>
        <v/>
      </c>
      <c r="FI2281" s="16">
        <v>2278</v>
      </c>
      <c r="FJ2281" s="17" t="str">
        <f t="shared" si="267"/>
        <v/>
      </c>
      <c r="FK2281" s="17" t="str">
        <f t="shared" si="263"/>
        <v/>
      </c>
      <c r="FL2281" s="18" t="str">
        <f t="shared" si="268"/>
        <v/>
      </c>
    </row>
    <row r="2282" spans="159:168">
      <c r="FC2282" s="118">
        <v>2279</v>
      </c>
      <c r="FD2282" s="118">
        <f t="shared" si="264"/>
        <v>7</v>
      </c>
      <c r="FE2282" s="118">
        <f t="shared" si="265"/>
        <v>143</v>
      </c>
      <c r="FF2282" s="118" t="str">
        <f t="shared" si="266"/>
        <v/>
      </c>
      <c r="FI2282" s="16">
        <v>2279</v>
      </c>
      <c r="FJ2282" s="17" t="str">
        <f t="shared" si="267"/>
        <v/>
      </c>
      <c r="FK2282" s="17" t="str">
        <f t="shared" si="263"/>
        <v/>
      </c>
      <c r="FL2282" s="18" t="str">
        <f t="shared" si="268"/>
        <v/>
      </c>
    </row>
    <row r="2283" spans="159:168">
      <c r="FC2283" s="118">
        <v>2280</v>
      </c>
      <c r="FD2283" s="118">
        <f t="shared" si="264"/>
        <v>8</v>
      </c>
      <c r="FE2283" s="118">
        <f t="shared" si="265"/>
        <v>143</v>
      </c>
      <c r="FF2283" s="118" t="str">
        <f t="shared" si="266"/>
        <v/>
      </c>
      <c r="FI2283" s="16">
        <v>2280</v>
      </c>
      <c r="FJ2283" s="17" t="str">
        <f t="shared" si="267"/>
        <v/>
      </c>
      <c r="FK2283" s="17" t="str">
        <f t="shared" si="263"/>
        <v/>
      </c>
      <c r="FL2283" s="18" t="str">
        <f t="shared" si="268"/>
        <v/>
      </c>
    </row>
    <row r="2284" spans="159:168">
      <c r="FC2284" s="118">
        <v>2281</v>
      </c>
      <c r="FD2284" s="118">
        <f t="shared" si="264"/>
        <v>9</v>
      </c>
      <c r="FE2284" s="118">
        <f t="shared" si="265"/>
        <v>143</v>
      </c>
      <c r="FF2284" s="118" t="str">
        <f t="shared" si="266"/>
        <v/>
      </c>
      <c r="FI2284" s="16">
        <v>2281</v>
      </c>
      <c r="FJ2284" s="17" t="str">
        <f t="shared" si="267"/>
        <v/>
      </c>
      <c r="FK2284" s="17" t="str">
        <f t="shared" si="263"/>
        <v/>
      </c>
      <c r="FL2284" s="18" t="str">
        <f t="shared" si="268"/>
        <v/>
      </c>
    </row>
    <row r="2285" spans="159:168">
      <c r="FC2285" s="118">
        <v>2282</v>
      </c>
      <c r="FD2285" s="118">
        <f t="shared" si="264"/>
        <v>10</v>
      </c>
      <c r="FE2285" s="118">
        <f t="shared" si="265"/>
        <v>143</v>
      </c>
      <c r="FF2285" s="118" t="str">
        <f t="shared" si="266"/>
        <v/>
      </c>
      <c r="FI2285" s="16">
        <v>2282</v>
      </c>
      <c r="FJ2285" s="17" t="str">
        <f t="shared" si="267"/>
        <v/>
      </c>
      <c r="FK2285" s="17" t="str">
        <f t="shared" si="263"/>
        <v/>
      </c>
      <c r="FL2285" s="18" t="str">
        <f t="shared" si="268"/>
        <v/>
      </c>
    </row>
    <row r="2286" spans="159:168">
      <c r="FC2286" s="118">
        <v>2283</v>
      </c>
      <c r="FD2286" s="118">
        <f t="shared" si="264"/>
        <v>11</v>
      </c>
      <c r="FE2286" s="118">
        <f t="shared" si="265"/>
        <v>143</v>
      </c>
      <c r="FF2286" s="118" t="str">
        <f t="shared" si="266"/>
        <v/>
      </c>
      <c r="FI2286" s="16">
        <v>2283</v>
      </c>
      <c r="FJ2286" s="17" t="str">
        <f t="shared" si="267"/>
        <v/>
      </c>
      <c r="FK2286" s="17" t="str">
        <f t="shared" si="263"/>
        <v/>
      </c>
      <c r="FL2286" s="18" t="str">
        <f t="shared" si="268"/>
        <v/>
      </c>
    </row>
    <row r="2287" spans="159:168">
      <c r="FC2287" s="118">
        <v>2284</v>
      </c>
      <c r="FD2287" s="118">
        <f t="shared" si="264"/>
        <v>12</v>
      </c>
      <c r="FE2287" s="118">
        <f t="shared" si="265"/>
        <v>143</v>
      </c>
      <c r="FF2287" s="118" t="str">
        <f t="shared" si="266"/>
        <v/>
      </c>
      <c r="FI2287" s="16">
        <v>2284</v>
      </c>
      <c r="FJ2287" s="17" t="str">
        <f t="shared" si="267"/>
        <v/>
      </c>
      <c r="FK2287" s="17" t="str">
        <f t="shared" si="263"/>
        <v/>
      </c>
      <c r="FL2287" s="18" t="str">
        <f t="shared" si="268"/>
        <v/>
      </c>
    </row>
    <row r="2288" spans="159:168">
      <c r="FC2288" s="118">
        <v>2285</v>
      </c>
      <c r="FD2288" s="118">
        <f t="shared" si="264"/>
        <v>13</v>
      </c>
      <c r="FE2288" s="118">
        <f t="shared" si="265"/>
        <v>143</v>
      </c>
      <c r="FF2288" s="118" t="str">
        <f t="shared" si="266"/>
        <v/>
      </c>
      <c r="FI2288" s="16">
        <v>2285</v>
      </c>
      <c r="FJ2288" s="17" t="str">
        <f t="shared" si="267"/>
        <v/>
      </c>
      <c r="FK2288" s="17" t="str">
        <f t="shared" si="263"/>
        <v/>
      </c>
      <c r="FL2288" s="18" t="str">
        <f t="shared" si="268"/>
        <v/>
      </c>
    </row>
    <row r="2289" spans="159:168">
      <c r="FC2289" s="118">
        <v>2286</v>
      </c>
      <c r="FD2289" s="118">
        <f t="shared" si="264"/>
        <v>14</v>
      </c>
      <c r="FE2289" s="118">
        <f t="shared" si="265"/>
        <v>143</v>
      </c>
      <c r="FF2289" s="118" t="str">
        <f t="shared" si="266"/>
        <v/>
      </c>
      <c r="FI2289" s="16">
        <v>2286</v>
      </c>
      <c r="FJ2289" s="17" t="str">
        <f t="shared" si="267"/>
        <v/>
      </c>
      <c r="FK2289" s="17" t="str">
        <f t="shared" si="263"/>
        <v/>
      </c>
      <c r="FL2289" s="18" t="str">
        <f t="shared" si="268"/>
        <v/>
      </c>
    </row>
    <row r="2290" spans="159:168">
      <c r="FC2290" s="118">
        <v>2287</v>
      </c>
      <c r="FD2290" s="118">
        <f t="shared" si="264"/>
        <v>15</v>
      </c>
      <c r="FE2290" s="118">
        <f t="shared" si="265"/>
        <v>143</v>
      </c>
      <c r="FF2290" s="118" t="str">
        <f t="shared" si="266"/>
        <v/>
      </c>
      <c r="FI2290" s="16">
        <v>2287</v>
      </c>
      <c r="FJ2290" s="17" t="str">
        <f t="shared" si="267"/>
        <v/>
      </c>
      <c r="FK2290" s="17" t="str">
        <f t="shared" si="263"/>
        <v/>
      </c>
      <c r="FL2290" s="18" t="str">
        <f t="shared" si="268"/>
        <v/>
      </c>
    </row>
    <row r="2291" spans="159:168">
      <c r="FC2291" s="118">
        <v>2288</v>
      </c>
      <c r="FD2291" s="118">
        <f t="shared" si="264"/>
        <v>16</v>
      </c>
      <c r="FE2291" s="118">
        <f t="shared" si="265"/>
        <v>143</v>
      </c>
      <c r="FF2291" s="118" t="str">
        <f t="shared" si="266"/>
        <v/>
      </c>
      <c r="FI2291" s="16">
        <v>2288</v>
      </c>
      <c r="FJ2291" s="17" t="str">
        <f t="shared" si="267"/>
        <v/>
      </c>
      <c r="FK2291" s="17" t="str">
        <f t="shared" si="263"/>
        <v/>
      </c>
      <c r="FL2291" s="18" t="str">
        <f t="shared" si="268"/>
        <v/>
      </c>
    </row>
    <row r="2292" spans="159:168">
      <c r="FC2292" s="118">
        <v>2289</v>
      </c>
      <c r="FD2292" s="118">
        <f t="shared" si="264"/>
        <v>1</v>
      </c>
      <c r="FE2292" s="118">
        <f t="shared" si="265"/>
        <v>144</v>
      </c>
      <c r="FF2292" s="118" t="str">
        <f t="shared" si="266"/>
        <v/>
      </c>
      <c r="FI2292" s="16">
        <v>2289</v>
      </c>
      <c r="FJ2292" s="17" t="str">
        <f t="shared" si="267"/>
        <v/>
      </c>
      <c r="FK2292" s="17" t="str">
        <f t="shared" si="263"/>
        <v/>
      </c>
      <c r="FL2292" s="18" t="str">
        <f t="shared" si="268"/>
        <v/>
      </c>
    </row>
    <row r="2293" spans="159:168">
      <c r="FC2293" s="118">
        <v>2290</v>
      </c>
      <c r="FD2293" s="118">
        <f t="shared" si="264"/>
        <v>2</v>
      </c>
      <c r="FE2293" s="118">
        <f t="shared" si="265"/>
        <v>144</v>
      </c>
      <c r="FF2293" s="118" t="str">
        <f t="shared" si="266"/>
        <v/>
      </c>
      <c r="FI2293" s="16">
        <v>2290</v>
      </c>
      <c r="FJ2293" s="17" t="str">
        <f t="shared" si="267"/>
        <v/>
      </c>
      <c r="FK2293" s="17" t="str">
        <f t="shared" si="263"/>
        <v/>
      </c>
      <c r="FL2293" s="18" t="str">
        <f t="shared" si="268"/>
        <v/>
      </c>
    </row>
    <row r="2294" spans="159:168">
      <c r="FC2294" s="118">
        <v>2291</v>
      </c>
      <c r="FD2294" s="118">
        <f t="shared" si="264"/>
        <v>3</v>
      </c>
      <c r="FE2294" s="118">
        <f t="shared" si="265"/>
        <v>144</v>
      </c>
      <c r="FF2294" s="118" t="str">
        <f t="shared" si="266"/>
        <v/>
      </c>
      <c r="FI2294" s="16">
        <v>2291</v>
      </c>
      <c r="FJ2294" s="17" t="str">
        <f t="shared" si="267"/>
        <v/>
      </c>
      <c r="FK2294" s="17" t="str">
        <f t="shared" si="263"/>
        <v/>
      </c>
      <c r="FL2294" s="18" t="str">
        <f t="shared" si="268"/>
        <v/>
      </c>
    </row>
    <row r="2295" spans="159:168">
      <c r="FC2295" s="118">
        <v>2292</v>
      </c>
      <c r="FD2295" s="118">
        <f t="shared" si="264"/>
        <v>4</v>
      </c>
      <c r="FE2295" s="118">
        <f t="shared" si="265"/>
        <v>144</v>
      </c>
      <c r="FF2295" s="118" t="str">
        <f t="shared" si="266"/>
        <v/>
      </c>
      <c r="FI2295" s="16">
        <v>2292</v>
      </c>
      <c r="FJ2295" s="17" t="str">
        <f t="shared" si="267"/>
        <v/>
      </c>
      <c r="FK2295" s="17" t="str">
        <f t="shared" si="263"/>
        <v/>
      </c>
      <c r="FL2295" s="18" t="str">
        <f t="shared" si="268"/>
        <v/>
      </c>
    </row>
    <row r="2296" spans="159:168">
      <c r="FC2296" s="118">
        <v>2293</v>
      </c>
      <c r="FD2296" s="118">
        <f t="shared" si="264"/>
        <v>5</v>
      </c>
      <c r="FE2296" s="118">
        <f t="shared" si="265"/>
        <v>144</v>
      </c>
      <c r="FF2296" s="118" t="str">
        <f t="shared" si="266"/>
        <v/>
      </c>
      <c r="FI2296" s="16">
        <v>2293</v>
      </c>
      <c r="FJ2296" s="17" t="str">
        <f t="shared" si="267"/>
        <v/>
      </c>
      <c r="FK2296" s="17" t="str">
        <f t="shared" si="263"/>
        <v/>
      </c>
      <c r="FL2296" s="18" t="str">
        <f t="shared" si="268"/>
        <v/>
      </c>
    </row>
    <row r="2297" spans="159:168">
      <c r="FC2297" s="118">
        <v>2294</v>
      </c>
      <c r="FD2297" s="118">
        <f t="shared" si="264"/>
        <v>6</v>
      </c>
      <c r="FE2297" s="118">
        <f t="shared" si="265"/>
        <v>144</v>
      </c>
      <c r="FF2297" s="118" t="str">
        <f t="shared" si="266"/>
        <v/>
      </c>
      <c r="FI2297" s="16">
        <v>2294</v>
      </c>
      <c r="FJ2297" s="17" t="str">
        <f t="shared" si="267"/>
        <v/>
      </c>
      <c r="FK2297" s="17" t="str">
        <f t="shared" si="263"/>
        <v/>
      </c>
      <c r="FL2297" s="18" t="str">
        <f t="shared" si="268"/>
        <v/>
      </c>
    </row>
    <row r="2298" spans="159:168">
      <c r="FC2298" s="118">
        <v>2295</v>
      </c>
      <c r="FD2298" s="118">
        <f t="shared" si="264"/>
        <v>7</v>
      </c>
      <c r="FE2298" s="118">
        <f t="shared" si="265"/>
        <v>144</v>
      </c>
      <c r="FF2298" s="118" t="str">
        <f t="shared" si="266"/>
        <v/>
      </c>
      <c r="FI2298" s="16">
        <v>2295</v>
      </c>
      <c r="FJ2298" s="17" t="str">
        <f t="shared" si="267"/>
        <v/>
      </c>
      <c r="FK2298" s="17" t="str">
        <f t="shared" si="263"/>
        <v/>
      </c>
      <c r="FL2298" s="18" t="str">
        <f t="shared" si="268"/>
        <v/>
      </c>
    </row>
    <row r="2299" spans="159:168">
      <c r="FC2299" s="118">
        <v>2296</v>
      </c>
      <c r="FD2299" s="118">
        <f t="shared" si="264"/>
        <v>8</v>
      </c>
      <c r="FE2299" s="118">
        <f t="shared" si="265"/>
        <v>144</v>
      </c>
      <c r="FF2299" s="118" t="str">
        <f t="shared" si="266"/>
        <v/>
      </c>
      <c r="FI2299" s="16">
        <v>2296</v>
      </c>
      <c r="FJ2299" s="17" t="str">
        <f t="shared" si="267"/>
        <v/>
      </c>
      <c r="FK2299" s="17" t="str">
        <f t="shared" si="263"/>
        <v/>
      </c>
      <c r="FL2299" s="18" t="str">
        <f t="shared" si="268"/>
        <v/>
      </c>
    </row>
    <row r="2300" spans="159:168">
      <c r="FC2300" s="118">
        <v>2297</v>
      </c>
      <c r="FD2300" s="118">
        <f t="shared" si="264"/>
        <v>9</v>
      </c>
      <c r="FE2300" s="118">
        <f t="shared" si="265"/>
        <v>144</v>
      </c>
      <c r="FF2300" s="118" t="str">
        <f t="shared" si="266"/>
        <v/>
      </c>
      <c r="FI2300" s="16">
        <v>2297</v>
      </c>
      <c r="FJ2300" s="17" t="str">
        <f t="shared" si="267"/>
        <v/>
      </c>
      <c r="FK2300" s="17" t="str">
        <f t="shared" si="263"/>
        <v/>
      </c>
      <c r="FL2300" s="18" t="str">
        <f t="shared" si="268"/>
        <v/>
      </c>
    </row>
    <row r="2301" spans="159:168">
      <c r="FC2301" s="118">
        <v>2298</v>
      </c>
      <c r="FD2301" s="118">
        <f t="shared" si="264"/>
        <v>10</v>
      </c>
      <c r="FE2301" s="118">
        <f t="shared" si="265"/>
        <v>144</v>
      </c>
      <c r="FF2301" s="118" t="str">
        <f t="shared" si="266"/>
        <v/>
      </c>
      <c r="FI2301" s="16">
        <v>2298</v>
      </c>
      <c r="FJ2301" s="17" t="str">
        <f t="shared" si="267"/>
        <v/>
      </c>
      <c r="FK2301" s="17" t="str">
        <f t="shared" si="263"/>
        <v/>
      </c>
      <c r="FL2301" s="18" t="str">
        <f t="shared" si="268"/>
        <v/>
      </c>
    </row>
    <row r="2302" spans="159:168">
      <c r="FC2302" s="118">
        <v>2299</v>
      </c>
      <c r="FD2302" s="118">
        <f t="shared" si="264"/>
        <v>11</v>
      </c>
      <c r="FE2302" s="118">
        <f t="shared" si="265"/>
        <v>144</v>
      </c>
      <c r="FF2302" s="118" t="str">
        <f t="shared" si="266"/>
        <v/>
      </c>
      <c r="FI2302" s="16">
        <v>2299</v>
      </c>
      <c r="FJ2302" s="17" t="str">
        <f t="shared" si="267"/>
        <v/>
      </c>
      <c r="FK2302" s="17" t="str">
        <f t="shared" si="263"/>
        <v/>
      </c>
      <c r="FL2302" s="18" t="str">
        <f t="shared" si="268"/>
        <v/>
      </c>
    </row>
    <row r="2303" spans="159:168">
      <c r="FC2303" s="118">
        <v>2300</v>
      </c>
      <c r="FD2303" s="118">
        <f t="shared" si="264"/>
        <v>12</v>
      </c>
      <c r="FE2303" s="118">
        <f t="shared" si="265"/>
        <v>144</v>
      </c>
      <c r="FF2303" s="118" t="str">
        <f t="shared" si="266"/>
        <v/>
      </c>
      <c r="FI2303" s="16">
        <v>2300</v>
      </c>
      <c r="FJ2303" s="17" t="str">
        <f t="shared" si="267"/>
        <v/>
      </c>
      <c r="FK2303" s="17" t="str">
        <f t="shared" si="263"/>
        <v/>
      </c>
      <c r="FL2303" s="18" t="str">
        <f t="shared" si="268"/>
        <v/>
      </c>
    </row>
    <row r="2304" spans="159:168">
      <c r="FC2304" s="118">
        <v>2301</v>
      </c>
      <c r="FD2304" s="118">
        <f t="shared" si="264"/>
        <v>13</v>
      </c>
      <c r="FE2304" s="118">
        <f t="shared" si="265"/>
        <v>144</v>
      </c>
      <c r="FF2304" s="118" t="str">
        <f t="shared" si="266"/>
        <v/>
      </c>
      <c r="FI2304" s="16">
        <v>2301</v>
      </c>
      <c r="FJ2304" s="17" t="str">
        <f t="shared" si="267"/>
        <v/>
      </c>
      <c r="FK2304" s="17" t="str">
        <f t="shared" si="263"/>
        <v/>
      </c>
      <c r="FL2304" s="18" t="str">
        <f t="shared" si="268"/>
        <v/>
      </c>
    </row>
    <row r="2305" spans="159:168">
      <c r="FC2305" s="118">
        <v>2302</v>
      </c>
      <c r="FD2305" s="118">
        <f t="shared" si="264"/>
        <v>14</v>
      </c>
      <c r="FE2305" s="118">
        <f t="shared" si="265"/>
        <v>144</v>
      </c>
      <c r="FF2305" s="118" t="str">
        <f t="shared" si="266"/>
        <v/>
      </c>
      <c r="FI2305" s="16">
        <v>2302</v>
      </c>
      <c r="FJ2305" s="17" t="str">
        <f t="shared" si="267"/>
        <v/>
      </c>
      <c r="FK2305" s="17" t="str">
        <f t="shared" si="263"/>
        <v/>
      </c>
      <c r="FL2305" s="18" t="str">
        <f t="shared" si="268"/>
        <v/>
      </c>
    </row>
    <row r="2306" spans="159:168">
      <c r="FC2306" s="118">
        <v>2303</v>
      </c>
      <c r="FD2306" s="118">
        <f t="shared" si="264"/>
        <v>15</v>
      </c>
      <c r="FE2306" s="118">
        <f t="shared" si="265"/>
        <v>144</v>
      </c>
      <c r="FF2306" s="118" t="str">
        <f t="shared" si="266"/>
        <v/>
      </c>
      <c r="FI2306" s="16">
        <v>2303</v>
      </c>
      <c r="FJ2306" s="17" t="str">
        <f t="shared" si="267"/>
        <v/>
      </c>
      <c r="FK2306" s="17" t="str">
        <f t="shared" si="263"/>
        <v/>
      </c>
      <c r="FL2306" s="18" t="str">
        <f t="shared" si="268"/>
        <v/>
      </c>
    </row>
    <row r="2307" spans="159:168">
      <c r="FC2307" s="118">
        <v>2304</v>
      </c>
      <c r="FD2307" s="118">
        <f t="shared" si="264"/>
        <v>16</v>
      </c>
      <c r="FE2307" s="118">
        <f t="shared" si="265"/>
        <v>144</v>
      </c>
      <c r="FF2307" s="118" t="str">
        <f t="shared" si="266"/>
        <v/>
      </c>
      <c r="FI2307" s="16">
        <v>2304</v>
      </c>
      <c r="FJ2307" s="17" t="str">
        <f t="shared" si="267"/>
        <v/>
      </c>
      <c r="FK2307" s="17" t="str">
        <f t="shared" si="263"/>
        <v/>
      </c>
      <c r="FL2307" s="18" t="str">
        <f t="shared" si="268"/>
        <v/>
      </c>
    </row>
    <row r="2308" spans="159:168">
      <c r="FC2308" s="118">
        <v>2305</v>
      </c>
      <c r="FD2308" s="118">
        <f t="shared" si="264"/>
        <v>1</v>
      </c>
      <c r="FE2308" s="118">
        <f t="shared" si="265"/>
        <v>145</v>
      </c>
      <c r="FF2308" s="118" t="str">
        <f t="shared" si="266"/>
        <v/>
      </c>
      <c r="FI2308" s="16">
        <v>2305</v>
      </c>
      <c r="FJ2308" s="17" t="str">
        <f t="shared" si="267"/>
        <v/>
      </c>
      <c r="FK2308" s="17" t="str">
        <f t="shared" si="263"/>
        <v/>
      </c>
      <c r="FL2308" s="18" t="str">
        <f t="shared" si="268"/>
        <v/>
      </c>
    </row>
    <row r="2309" spans="159:168">
      <c r="FC2309" s="118">
        <v>2306</v>
      </c>
      <c r="FD2309" s="118">
        <f t="shared" si="264"/>
        <v>2</v>
      </c>
      <c r="FE2309" s="118">
        <f t="shared" si="265"/>
        <v>145</v>
      </c>
      <c r="FF2309" s="118" t="str">
        <f t="shared" si="266"/>
        <v/>
      </c>
      <c r="FI2309" s="16">
        <v>2306</v>
      </c>
      <c r="FJ2309" s="17" t="str">
        <f t="shared" si="267"/>
        <v/>
      </c>
      <c r="FK2309" s="17" t="str">
        <f t="shared" ref="FK2309:FK2372" si="269">IF(FI2309&lt;=$FH$2,FF2309,IF(FI2309&lt;=$FH$2+$FH$3,INDEX($FJ$4:$FJ$2494,FI2309-$FH$2),""))</f>
        <v/>
      </c>
      <c r="FL2309" s="18" t="str">
        <f t="shared" si="268"/>
        <v/>
      </c>
    </row>
    <row r="2310" spans="159:168">
      <c r="FC2310" s="118">
        <v>2307</v>
      </c>
      <c r="FD2310" s="118">
        <f t="shared" si="264"/>
        <v>3</v>
      </c>
      <c r="FE2310" s="118">
        <f t="shared" si="265"/>
        <v>145</v>
      </c>
      <c r="FF2310" s="118" t="str">
        <f t="shared" si="266"/>
        <v/>
      </c>
      <c r="FI2310" s="16">
        <v>2307</v>
      </c>
      <c r="FJ2310" s="17" t="str">
        <f t="shared" si="267"/>
        <v/>
      </c>
      <c r="FK2310" s="17" t="str">
        <f t="shared" si="269"/>
        <v/>
      </c>
      <c r="FL2310" s="18" t="str">
        <f t="shared" si="268"/>
        <v/>
      </c>
    </row>
    <row r="2311" spans="159:168">
      <c r="FC2311" s="118">
        <v>2308</v>
      </c>
      <c r="FD2311" s="118">
        <f t="shared" si="264"/>
        <v>4</v>
      </c>
      <c r="FE2311" s="118">
        <f t="shared" si="265"/>
        <v>145</v>
      </c>
      <c r="FF2311" s="118" t="str">
        <f t="shared" si="266"/>
        <v/>
      </c>
      <c r="FI2311" s="16">
        <v>2308</v>
      </c>
      <c r="FJ2311" s="17" t="str">
        <f t="shared" si="267"/>
        <v/>
      </c>
      <c r="FK2311" s="17" t="str">
        <f t="shared" si="269"/>
        <v/>
      </c>
      <c r="FL2311" s="18" t="str">
        <f t="shared" si="268"/>
        <v/>
      </c>
    </row>
    <row r="2312" spans="159:168">
      <c r="FC2312" s="118">
        <v>2309</v>
      </c>
      <c r="FD2312" s="118">
        <f t="shared" si="264"/>
        <v>5</v>
      </c>
      <c r="FE2312" s="118">
        <f t="shared" si="265"/>
        <v>145</v>
      </c>
      <c r="FF2312" s="118" t="str">
        <f t="shared" si="266"/>
        <v/>
      </c>
      <c r="FI2312" s="16">
        <v>2309</v>
      </c>
      <c r="FJ2312" s="17" t="str">
        <f t="shared" si="267"/>
        <v/>
      </c>
      <c r="FK2312" s="17" t="str">
        <f t="shared" si="269"/>
        <v/>
      </c>
      <c r="FL2312" s="18" t="str">
        <f t="shared" si="268"/>
        <v/>
      </c>
    </row>
    <row r="2313" spans="159:168">
      <c r="FC2313" s="118">
        <v>2310</v>
      </c>
      <c r="FD2313" s="118">
        <f t="shared" si="264"/>
        <v>6</v>
      </c>
      <c r="FE2313" s="118">
        <f t="shared" si="265"/>
        <v>145</v>
      </c>
      <c r="FF2313" s="118" t="str">
        <f t="shared" si="266"/>
        <v/>
      </c>
      <c r="FI2313" s="16">
        <v>2310</v>
      </c>
      <c r="FJ2313" s="17" t="str">
        <f t="shared" si="267"/>
        <v/>
      </c>
      <c r="FK2313" s="17" t="str">
        <f t="shared" si="269"/>
        <v/>
      </c>
      <c r="FL2313" s="18" t="str">
        <f t="shared" si="268"/>
        <v/>
      </c>
    </row>
    <row r="2314" spans="159:168">
      <c r="FC2314" s="118">
        <v>2311</v>
      </c>
      <c r="FD2314" s="118">
        <f t="shared" si="264"/>
        <v>7</v>
      </c>
      <c r="FE2314" s="118">
        <f t="shared" si="265"/>
        <v>145</v>
      </c>
      <c r="FF2314" s="118" t="str">
        <f t="shared" si="266"/>
        <v/>
      </c>
      <c r="FI2314" s="16">
        <v>2311</v>
      </c>
      <c r="FJ2314" s="17" t="str">
        <f t="shared" si="267"/>
        <v/>
      </c>
      <c r="FK2314" s="17" t="str">
        <f t="shared" si="269"/>
        <v/>
      </c>
      <c r="FL2314" s="18" t="str">
        <f t="shared" si="268"/>
        <v/>
      </c>
    </row>
    <row r="2315" spans="159:168">
      <c r="FC2315" s="118">
        <v>2312</v>
      </c>
      <c r="FD2315" s="118">
        <f t="shared" si="264"/>
        <v>8</v>
      </c>
      <c r="FE2315" s="118">
        <f t="shared" si="265"/>
        <v>145</v>
      </c>
      <c r="FF2315" s="118" t="str">
        <f t="shared" si="266"/>
        <v/>
      </c>
      <c r="FI2315" s="16">
        <v>2312</v>
      </c>
      <c r="FJ2315" s="17" t="str">
        <f t="shared" si="267"/>
        <v/>
      </c>
      <c r="FK2315" s="17" t="str">
        <f t="shared" si="269"/>
        <v/>
      </c>
      <c r="FL2315" s="18" t="str">
        <f t="shared" si="268"/>
        <v/>
      </c>
    </row>
    <row r="2316" spans="159:168">
      <c r="FC2316" s="118">
        <v>2313</v>
      </c>
      <c r="FD2316" s="118">
        <f t="shared" si="264"/>
        <v>9</v>
      </c>
      <c r="FE2316" s="118">
        <f t="shared" si="265"/>
        <v>145</v>
      </c>
      <c r="FF2316" s="118" t="str">
        <f t="shared" si="266"/>
        <v/>
      </c>
      <c r="FI2316" s="16">
        <v>2313</v>
      </c>
      <c r="FJ2316" s="17" t="str">
        <f t="shared" si="267"/>
        <v/>
      </c>
      <c r="FK2316" s="17" t="str">
        <f t="shared" si="269"/>
        <v/>
      </c>
      <c r="FL2316" s="18" t="str">
        <f t="shared" si="268"/>
        <v/>
      </c>
    </row>
    <row r="2317" spans="159:168">
      <c r="FC2317" s="118">
        <v>2314</v>
      </c>
      <c r="FD2317" s="118">
        <f t="shared" si="264"/>
        <v>10</v>
      </c>
      <c r="FE2317" s="118">
        <f t="shared" si="265"/>
        <v>145</v>
      </c>
      <c r="FF2317" s="118" t="str">
        <f t="shared" si="266"/>
        <v/>
      </c>
      <c r="FI2317" s="16">
        <v>2314</v>
      </c>
      <c r="FJ2317" s="17" t="str">
        <f t="shared" si="267"/>
        <v/>
      </c>
      <c r="FK2317" s="17" t="str">
        <f t="shared" si="269"/>
        <v/>
      </c>
      <c r="FL2317" s="18" t="str">
        <f t="shared" si="268"/>
        <v/>
      </c>
    </row>
    <row r="2318" spans="159:168">
      <c r="FC2318" s="118">
        <v>2315</v>
      </c>
      <c r="FD2318" s="118">
        <f t="shared" si="264"/>
        <v>11</v>
      </c>
      <c r="FE2318" s="118">
        <f t="shared" si="265"/>
        <v>145</v>
      </c>
      <c r="FF2318" s="118" t="str">
        <f t="shared" si="266"/>
        <v/>
      </c>
      <c r="FI2318" s="16">
        <v>2315</v>
      </c>
      <c r="FJ2318" s="17" t="str">
        <f t="shared" si="267"/>
        <v/>
      </c>
      <c r="FK2318" s="17" t="str">
        <f t="shared" si="269"/>
        <v/>
      </c>
      <c r="FL2318" s="18" t="str">
        <f t="shared" si="268"/>
        <v/>
      </c>
    </row>
    <row r="2319" spans="159:168">
      <c r="FC2319" s="118">
        <v>2316</v>
      </c>
      <c r="FD2319" s="118">
        <f t="shared" si="264"/>
        <v>12</v>
      </c>
      <c r="FE2319" s="118">
        <f t="shared" si="265"/>
        <v>145</v>
      </c>
      <c r="FF2319" s="118" t="str">
        <f t="shared" si="266"/>
        <v/>
      </c>
      <c r="FI2319" s="16">
        <v>2316</v>
      </c>
      <c r="FJ2319" s="17" t="str">
        <f t="shared" si="267"/>
        <v/>
      </c>
      <c r="FK2319" s="17" t="str">
        <f t="shared" si="269"/>
        <v/>
      </c>
      <c r="FL2319" s="18" t="str">
        <f t="shared" si="268"/>
        <v/>
      </c>
    </row>
    <row r="2320" spans="159:168">
      <c r="FC2320" s="118">
        <v>2317</v>
      </c>
      <c r="FD2320" s="118">
        <f t="shared" si="264"/>
        <v>13</v>
      </c>
      <c r="FE2320" s="118">
        <f t="shared" si="265"/>
        <v>145</v>
      </c>
      <c r="FF2320" s="118" t="str">
        <f t="shared" si="266"/>
        <v/>
      </c>
      <c r="FI2320" s="16">
        <v>2317</v>
      </c>
      <c r="FJ2320" s="17" t="str">
        <f t="shared" si="267"/>
        <v/>
      </c>
      <c r="FK2320" s="17" t="str">
        <f t="shared" si="269"/>
        <v/>
      </c>
      <c r="FL2320" s="18" t="str">
        <f t="shared" si="268"/>
        <v/>
      </c>
    </row>
    <row r="2321" spans="159:168">
      <c r="FC2321" s="118">
        <v>2318</v>
      </c>
      <c r="FD2321" s="118">
        <f t="shared" si="264"/>
        <v>14</v>
      </c>
      <c r="FE2321" s="118">
        <f t="shared" si="265"/>
        <v>145</v>
      </c>
      <c r="FF2321" s="118" t="str">
        <f t="shared" si="266"/>
        <v/>
      </c>
      <c r="FI2321" s="16">
        <v>2318</v>
      </c>
      <c r="FJ2321" s="17" t="str">
        <f t="shared" si="267"/>
        <v/>
      </c>
      <c r="FK2321" s="17" t="str">
        <f t="shared" si="269"/>
        <v/>
      </c>
      <c r="FL2321" s="18" t="str">
        <f t="shared" si="268"/>
        <v/>
      </c>
    </row>
    <row r="2322" spans="159:168">
      <c r="FC2322" s="118">
        <v>2319</v>
      </c>
      <c r="FD2322" s="118">
        <f t="shared" si="264"/>
        <v>15</v>
      </c>
      <c r="FE2322" s="118">
        <f t="shared" si="265"/>
        <v>145</v>
      </c>
      <c r="FF2322" s="118" t="str">
        <f t="shared" si="266"/>
        <v/>
      </c>
      <c r="FI2322" s="16">
        <v>2319</v>
      </c>
      <c r="FJ2322" s="17" t="str">
        <f t="shared" si="267"/>
        <v/>
      </c>
      <c r="FK2322" s="17" t="str">
        <f t="shared" si="269"/>
        <v/>
      </c>
      <c r="FL2322" s="18" t="str">
        <f t="shared" si="268"/>
        <v/>
      </c>
    </row>
    <row r="2323" spans="159:168">
      <c r="FC2323" s="118">
        <v>2320</v>
      </c>
      <c r="FD2323" s="118">
        <f t="shared" si="264"/>
        <v>16</v>
      </c>
      <c r="FE2323" s="118">
        <f t="shared" si="265"/>
        <v>145</v>
      </c>
      <c r="FF2323" s="118" t="str">
        <f t="shared" si="266"/>
        <v/>
      </c>
      <c r="FI2323" s="16">
        <v>2320</v>
      </c>
      <c r="FJ2323" s="17" t="str">
        <f t="shared" si="267"/>
        <v/>
      </c>
      <c r="FK2323" s="17" t="str">
        <f t="shared" si="269"/>
        <v/>
      </c>
      <c r="FL2323" s="18" t="str">
        <f t="shared" si="268"/>
        <v/>
      </c>
    </row>
    <row r="2324" spans="159:168">
      <c r="FC2324" s="118">
        <v>2321</v>
      </c>
      <c r="FD2324" s="118">
        <f t="shared" si="264"/>
        <v>1</v>
      </c>
      <c r="FE2324" s="118">
        <f t="shared" si="265"/>
        <v>146</v>
      </c>
      <c r="FF2324" s="118" t="str">
        <f t="shared" si="266"/>
        <v/>
      </c>
      <c r="FI2324" s="16">
        <v>2321</v>
      </c>
      <c r="FJ2324" s="17" t="str">
        <f t="shared" si="267"/>
        <v/>
      </c>
      <c r="FK2324" s="17" t="str">
        <f t="shared" si="269"/>
        <v/>
      </c>
      <c r="FL2324" s="18" t="str">
        <f t="shared" si="268"/>
        <v/>
      </c>
    </row>
    <row r="2325" spans="159:168">
      <c r="FC2325" s="118">
        <v>2322</v>
      </c>
      <c r="FD2325" s="118">
        <f t="shared" si="264"/>
        <v>2</v>
      </c>
      <c r="FE2325" s="118">
        <f t="shared" si="265"/>
        <v>146</v>
      </c>
      <c r="FF2325" s="118" t="str">
        <f t="shared" si="266"/>
        <v/>
      </c>
      <c r="FI2325" s="16">
        <v>2322</v>
      </c>
      <c r="FJ2325" s="17" t="str">
        <f t="shared" si="267"/>
        <v/>
      </c>
      <c r="FK2325" s="17" t="str">
        <f t="shared" si="269"/>
        <v/>
      </c>
      <c r="FL2325" s="18" t="str">
        <f t="shared" si="268"/>
        <v/>
      </c>
    </row>
    <row r="2326" spans="159:168">
      <c r="FC2326" s="118">
        <v>2323</v>
      </c>
      <c r="FD2326" s="118">
        <f t="shared" ref="FD2326:FD2389" si="270">IF(MOD(FC2326,$FB$1+$FB$2)=0,$FB$1+$FB$2,MOD(FC2326,$FB$1+$FB$2))</f>
        <v>3</v>
      </c>
      <c r="FE2326" s="118">
        <f t="shared" ref="FE2326:FE2389" si="271">ROUNDUP(FC2326/($FB$1+$FB$2),0)</f>
        <v>146</v>
      </c>
      <c r="FF2326" s="118" t="str">
        <f t="shared" ref="FF2326:FF2389" si="272">IF(FE2326&lt;$FB$3,INDEX($E$4:$DV$84,FD2326,FE2326),IF(FE2326=$FB$3,INDEX($E$4:$DV$84,FD2326+$FB$1,FE2326),""))</f>
        <v/>
      </c>
      <c r="FI2326" s="16">
        <v>2323</v>
      </c>
      <c r="FJ2326" s="17" t="str">
        <f t="shared" ref="FJ2326:FJ2389" si="273">IF(FE2326&lt;=$FH$1,INDEX($DW$4:$EZ$84,FD2326,FE2326),"")</f>
        <v/>
      </c>
      <c r="FK2326" s="17" t="str">
        <f t="shared" si="269"/>
        <v/>
      </c>
      <c r="FL2326" s="18" t="str">
        <f t="shared" ref="FL2326:FL2389" si="274">IFERROR(TEXT(DEC2BIN(FK2326),"00000000"),"")</f>
        <v/>
      </c>
    </row>
    <row r="2327" spans="159:168">
      <c r="FC2327" s="118">
        <v>2324</v>
      </c>
      <c r="FD2327" s="118">
        <f t="shared" si="270"/>
        <v>4</v>
      </c>
      <c r="FE2327" s="118">
        <f t="shared" si="271"/>
        <v>146</v>
      </c>
      <c r="FF2327" s="118" t="str">
        <f t="shared" si="272"/>
        <v/>
      </c>
      <c r="FI2327" s="16">
        <v>2324</v>
      </c>
      <c r="FJ2327" s="17" t="str">
        <f t="shared" si="273"/>
        <v/>
      </c>
      <c r="FK2327" s="17" t="str">
        <f t="shared" si="269"/>
        <v/>
      </c>
      <c r="FL2327" s="18" t="str">
        <f t="shared" si="274"/>
        <v/>
      </c>
    </row>
    <row r="2328" spans="159:168">
      <c r="FC2328" s="118">
        <v>2325</v>
      </c>
      <c r="FD2328" s="118">
        <f t="shared" si="270"/>
        <v>5</v>
      </c>
      <c r="FE2328" s="118">
        <f t="shared" si="271"/>
        <v>146</v>
      </c>
      <c r="FF2328" s="118" t="str">
        <f t="shared" si="272"/>
        <v/>
      </c>
      <c r="FI2328" s="16">
        <v>2325</v>
      </c>
      <c r="FJ2328" s="17" t="str">
        <f t="shared" si="273"/>
        <v/>
      </c>
      <c r="FK2328" s="17" t="str">
        <f t="shared" si="269"/>
        <v/>
      </c>
      <c r="FL2328" s="18" t="str">
        <f t="shared" si="274"/>
        <v/>
      </c>
    </row>
    <row r="2329" spans="159:168">
      <c r="FC2329" s="118">
        <v>2326</v>
      </c>
      <c r="FD2329" s="118">
        <f t="shared" si="270"/>
        <v>6</v>
      </c>
      <c r="FE2329" s="118">
        <f t="shared" si="271"/>
        <v>146</v>
      </c>
      <c r="FF2329" s="118" t="str">
        <f t="shared" si="272"/>
        <v/>
      </c>
      <c r="FI2329" s="16">
        <v>2326</v>
      </c>
      <c r="FJ2329" s="17" t="str">
        <f t="shared" si="273"/>
        <v/>
      </c>
      <c r="FK2329" s="17" t="str">
        <f t="shared" si="269"/>
        <v/>
      </c>
      <c r="FL2329" s="18" t="str">
        <f t="shared" si="274"/>
        <v/>
      </c>
    </row>
    <row r="2330" spans="159:168">
      <c r="FC2330" s="118">
        <v>2327</v>
      </c>
      <c r="FD2330" s="118">
        <f t="shared" si="270"/>
        <v>7</v>
      </c>
      <c r="FE2330" s="118">
        <f t="shared" si="271"/>
        <v>146</v>
      </c>
      <c r="FF2330" s="118" t="str">
        <f t="shared" si="272"/>
        <v/>
      </c>
      <c r="FI2330" s="16">
        <v>2327</v>
      </c>
      <c r="FJ2330" s="17" t="str">
        <f t="shared" si="273"/>
        <v/>
      </c>
      <c r="FK2330" s="17" t="str">
        <f t="shared" si="269"/>
        <v/>
      </c>
      <c r="FL2330" s="18" t="str">
        <f t="shared" si="274"/>
        <v/>
      </c>
    </row>
    <row r="2331" spans="159:168">
      <c r="FC2331" s="118">
        <v>2328</v>
      </c>
      <c r="FD2331" s="118">
        <f t="shared" si="270"/>
        <v>8</v>
      </c>
      <c r="FE2331" s="118">
        <f t="shared" si="271"/>
        <v>146</v>
      </c>
      <c r="FF2331" s="118" t="str">
        <f t="shared" si="272"/>
        <v/>
      </c>
      <c r="FI2331" s="16">
        <v>2328</v>
      </c>
      <c r="FJ2331" s="17" t="str">
        <f t="shared" si="273"/>
        <v/>
      </c>
      <c r="FK2331" s="17" t="str">
        <f t="shared" si="269"/>
        <v/>
      </c>
      <c r="FL2331" s="18" t="str">
        <f t="shared" si="274"/>
        <v/>
      </c>
    </row>
    <row r="2332" spans="159:168">
      <c r="FC2332" s="118">
        <v>2329</v>
      </c>
      <c r="FD2332" s="118">
        <f t="shared" si="270"/>
        <v>9</v>
      </c>
      <c r="FE2332" s="118">
        <f t="shared" si="271"/>
        <v>146</v>
      </c>
      <c r="FF2332" s="118" t="str">
        <f t="shared" si="272"/>
        <v/>
      </c>
      <c r="FI2332" s="16">
        <v>2329</v>
      </c>
      <c r="FJ2332" s="17" t="str">
        <f t="shared" si="273"/>
        <v/>
      </c>
      <c r="FK2332" s="17" t="str">
        <f t="shared" si="269"/>
        <v/>
      </c>
      <c r="FL2332" s="18" t="str">
        <f t="shared" si="274"/>
        <v/>
      </c>
    </row>
    <row r="2333" spans="159:168">
      <c r="FC2333" s="118">
        <v>2330</v>
      </c>
      <c r="FD2333" s="118">
        <f t="shared" si="270"/>
        <v>10</v>
      </c>
      <c r="FE2333" s="118">
        <f t="shared" si="271"/>
        <v>146</v>
      </c>
      <c r="FF2333" s="118" t="str">
        <f t="shared" si="272"/>
        <v/>
      </c>
      <c r="FI2333" s="16">
        <v>2330</v>
      </c>
      <c r="FJ2333" s="17" t="str">
        <f t="shared" si="273"/>
        <v/>
      </c>
      <c r="FK2333" s="17" t="str">
        <f t="shared" si="269"/>
        <v/>
      </c>
      <c r="FL2333" s="18" t="str">
        <f t="shared" si="274"/>
        <v/>
      </c>
    </row>
    <row r="2334" spans="159:168">
      <c r="FC2334" s="118">
        <v>2331</v>
      </c>
      <c r="FD2334" s="118">
        <f t="shared" si="270"/>
        <v>11</v>
      </c>
      <c r="FE2334" s="118">
        <f t="shared" si="271"/>
        <v>146</v>
      </c>
      <c r="FF2334" s="118" t="str">
        <f t="shared" si="272"/>
        <v/>
      </c>
      <c r="FI2334" s="16">
        <v>2331</v>
      </c>
      <c r="FJ2334" s="17" t="str">
        <f t="shared" si="273"/>
        <v/>
      </c>
      <c r="FK2334" s="17" t="str">
        <f t="shared" si="269"/>
        <v/>
      </c>
      <c r="FL2334" s="18" t="str">
        <f t="shared" si="274"/>
        <v/>
      </c>
    </row>
    <row r="2335" spans="159:168">
      <c r="FC2335" s="118">
        <v>2332</v>
      </c>
      <c r="FD2335" s="118">
        <f t="shared" si="270"/>
        <v>12</v>
      </c>
      <c r="FE2335" s="118">
        <f t="shared" si="271"/>
        <v>146</v>
      </c>
      <c r="FF2335" s="118" t="str">
        <f t="shared" si="272"/>
        <v/>
      </c>
      <c r="FI2335" s="16">
        <v>2332</v>
      </c>
      <c r="FJ2335" s="17" t="str">
        <f t="shared" si="273"/>
        <v/>
      </c>
      <c r="FK2335" s="17" t="str">
        <f t="shared" si="269"/>
        <v/>
      </c>
      <c r="FL2335" s="18" t="str">
        <f t="shared" si="274"/>
        <v/>
      </c>
    </row>
    <row r="2336" spans="159:168">
      <c r="FC2336" s="118">
        <v>2333</v>
      </c>
      <c r="FD2336" s="118">
        <f t="shared" si="270"/>
        <v>13</v>
      </c>
      <c r="FE2336" s="118">
        <f t="shared" si="271"/>
        <v>146</v>
      </c>
      <c r="FF2336" s="118" t="str">
        <f t="shared" si="272"/>
        <v/>
      </c>
      <c r="FI2336" s="16">
        <v>2333</v>
      </c>
      <c r="FJ2336" s="17" t="str">
        <f t="shared" si="273"/>
        <v/>
      </c>
      <c r="FK2336" s="17" t="str">
        <f t="shared" si="269"/>
        <v/>
      </c>
      <c r="FL2336" s="18" t="str">
        <f t="shared" si="274"/>
        <v/>
      </c>
    </row>
    <row r="2337" spans="159:168">
      <c r="FC2337" s="118">
        <v>2334</v>
      </c>
      <c r="FD2337" s="118">
        <f t="shared" si="270"/>
        <v>14</v>
      </c>
      <c r="FE2337" s="118">
        <f t="shared" si="271"/>
        <v>146</v>
      </c>
      <c r="FF2337" s="118" t="str">
        <f t="shared" si="272"/>
        <v/>
      </c>
      <c r="FI2337" s="16">
        <v>2334</v>
      </c>
      <c r="FJ2337" s="17" t="str">
        <f t="shared" si="273"/>
        <v/>
      </c>
      <c r="FK2337" s="17" t="str">
        <f t="shared" si="269"/>
        <v/>
      </c>
      <c r="FL2337" s="18" t="str">
        <f t="shared" si="274"/>
        <v/>
      </c>
    </row>
    <row r="2338" spans="159:168">
      <c r="FC2338" s="118">
        <v>2335</v>
      </c>
      <c r="FD2338" s="118">
        <f t="shared" si="270"/>
        <v>15</v>
      </c>
      <c r="FE2338" s="118">
        <f t="shared" si="271"/>
        <v>146</v>
      </c>
      <c r="FF2338" s="118" t="str">
        <f t="shared" si="272"/>
        <v/>
      </c>
      <c r="FI2338" s="16">
        <v>2335</v>
      </c>
      <c r="FJ2338" s="17" t="str">
        <f t="shared" si="273"/>
        <v/>
      </c>
      <c r="FK2338" s="17" t="str">
        <f t="shared" si="269"/>
        <v/>
      </c>
      <c r="FL2338" s="18" t="str">
        <f t="shared" si="274"/>
        <v/>
      </c>
    </row>
    <row r="2339" spans="159:168">
      <c r="FC2339" s="118">
        <v>2336</v>
      </c>
      <c r="FD2339" s="118">
        <f t="shared" si="270"/>
        <v>16</v>
      </c>
      <c r="FE2339" s="118">
        <f t="shared" si="271"/>
        <v>146</v>
      </c>
      <c r="FF2339" s="118" t="str">
        <f t="shared" si="272"/>
        <v/>
      </c>
      <c r="FI2339" s="16">
        <v>2336</v>
      </c>
      <c r="FJ2339" s="17" t="str">
        <f t="shared" si="273"/>
        <v/>
      </c>
      <c r="FK2339" s="17" t="str">
        <f t="shared" si="269"/>
        <v/>
      </c>
      <c r="FL2339" s="18" t="str">
        <f t="shared" si="274"/>
        <v/>
      </c>
    </row>
    <row r="2340" spans="159:168">
      <c r="FC2340" s="118">
        <v>2337</v>
      </c>
      <c r="FD2340" s="118">
        <f t="shared" si="270"/>
        <v>1</v>
      </c>
      <c r="FE2340" s="118">
        <f t="shared" si="271"/>
        <v>147</v>
      </c>
      <c r="FF2340" s="118" t="str">
        <f t="shared" si="272"/>
        <v/>
      </c>
      <c r="FI2340" s="16">
        <v>2337</v>
      </c>
      <c r="FJ2340" s="17" t="str">
        <f t="shared" si="273"/>
        <v/>
      </c>
      <c r="FK2340" s="17" t="str">
        <f t="shared" si="269"/>
        <v/>
      </c>
      <c r="FL2340" s="18" t="str">
        <f t="shared" si="274"/>
        <v/>
      </c>
    </row>
    <row r="2341" spans="159:168">
      <c r="FC2341" s="118">
        <v>2338</v>
      </c>
      <c r="FD2341" s="118">
        <f t="shared" si="270"/>
        <v>2</v>
      </c>
      <c r="FE2341" s="118">
        <f t="shared" si="271"/>
        <v>147</v>
      </c>
      <c r="FF2341" s="118" t="str">
        <f t="shared" si="272"/>
        <v/>
      </c>
      <c r="FI2341" s="16">
        <v>2338</v>
      </c>
      <c r="FJ2341" s="17" t="str">
        <f t="shared" si="273"/>
        <v/>
      </c>
      <c r="FK2341" s="17" t="str">
        <f t="shared" si="269"/>
        <v/>
      </c>
      <c r="FL2341" s="18" t="str">
        <f t="shared" si="274"/>
        <v/>
      </c>
    </row>
    <row r="2342" spans="159:168">
      <c r="FC2342" s="118">
        <v>2339</v>
      </c>
      <c r="FD2342" s="118">
        <f t="shared" si="270"/>
        <v>3</v>
      </c>
      <c r="FE2342" s="118">
        <f t="shared" si="271"/>
        <v>147</v>
      </c>
      <c r="FF2342" s="118" t="str">
        <f t="shared" si="272"/>
        <v/>
      </c>
      <c r="FI2342" s="16">
        <v>2339</v>
      </c>
      <c r="FJ2342" s="17" t="str">
        <f t="shared" si="273"/>
        <v/>
      </c>
      <c r="FK2342" s="17" t="str">
        <f t="shared" si="269"/>
        <v/>
      </c>
      <c r="FL2342" s="18" t="str">
        <f t="shared" si="274"/>
        <v/>
      </c>
    </row>
    <row r="2343" spans="159:168">
      <c r="FC2343" s="118">
        <v>2340</v>
      </c>
      <c r="FD2343" s="118">
        <f t="shared" si="270"/>
        <v>4</v>
      </c>
      <c r="FE2343" s="118">
        <f t="shared" si="271"/>
        <v>147</v>
      </c>
      <c r="FF2343" s="118" t="str">
        <f t="shared" si="272"/>
        <v/>
      </c>
      <c r="FI2343" s="16">
        <v>2340</v>
      </c>
      <c r="FJ2343" s="17" t="str">
        <f t="shared" si="273"/>
        <v/>
      </c>
      <c r="FK2343" s="17" t="str">
        <f t="shared" si="269"/>
        <v/>
      </c>
      <c r="FL2343" s="18" t="str">
        <f t="shared" si="274"/>
        <v/>
      </c>
    </row>
    <row r="2344" spans="159:168">
      <c r="FC2344" s="118">
        <v>2341</v>
      </c>
      <c r="FD2344" s="118">
        <f t="shared" si="270"/>
        <v>5</v>
      </c>
      <c r="FE2344" s="118">
        <f t="shared" si="271"/>
        <v>147</v>
      </c>
      <c r="FF2344" s="118" t="str">
        <f t="shared" si="272"/>
        <v/>
      </c>
      <c r="FI2344" s="16">
        <v>2341</v>
      </c>
      <c r="FJ2344" s="17" t="str">
        <f t="shared" si="273"/>
        <v/>
      </c>
      <c r="FK2344" s="17" t="str">
        <f t="shared" si="269"/>
        <v/>
      </c>
      <c r="FL2344" s="18" t="str">
        <f t="shared" si="274"/>
        <v/>
      </c>
    </row>
    <row r="2345" spans="159:168">
      <c r="FC2345" s="118">
        <v>2342</v>
      </c>
      <c r="FD2345" s="118">
        <f t="shared" si="270"/>
        <v>6</v>
      </c>
      <c r="FE2345" s="118">
        <f t="shared" si="271"/>
        <v>147</v>
      </c>
      <c r="FF2345" s="118" t="str">
        <f t="shared" si="272"/>
        <v/>
      </c>
      <c r="FI2345" s="16">
        <v>2342</v>
      </c>
      <c r="FJ2345" s="17" t="str">
        <f t="shared" si="273"/>
        <v/>
      </c>
      <c r="FK2345" s="17" t="str">
        <f t="shared" si="269"/>
        <v/>
      </c>
      <c r="FL2345" s="18" t="str">
        <f t="shared" si="274"/>
        <v/>
      </c>
    </row>
    <row r="2346" spans="159:168">
      <c r="FC2346" s="118">
        <v>2343</v>
      </c>
      <c r="FD2346" s="118">
        <f t="shared" si="270"/>
        <v>7</v>
      </c>
      <c r="FE2346" s="118">
        <f t="shared" si="271"/>
        <v>147</v>
      </c>
      <c r="FF2346" s="118" t="str">
        <f t="shared" si="272"/>
        <v/>
      </c>
      <c r="FI2346" s="16">
        <v>2343</v>
      </c>
      <c r="FJ2346" s="17" t="str">
        <f t="shared" si="273"/>
        <v/>
      </c>
      <c r="FK2346" s="17" t="str">
        <f t="shared" si="269"/>
        <v/>
      </c>
      <c r="FL2346" s="18" t="str">
        <f t="shared" si="274"/>
        <v/>
      </c>
    </row>
    <row r="2347" spans="159:168">
      <c r="FC2347" s="118">
        <v>2344</v>
      </c>
      <c r="FD2347" s="118">
        <f t="shared" si="270"/>
        <v>8</v>
      </c>
      <c r="FE2347" s="118">
        <f t="shared" si="271"/>
        <v>147</v>
      </c>
      <c r="FF2347" s="118" t="str">
        <f t="shared" si="272"/>
        <v/>
      </c>
      <c r="FI2347" s="16">
        <v>2344</v>
      </c>
      <c r="FJ2347" s="17" t="str">
        <f t="shared" si="273"/>
        <v/>
      </c>
      <c r="FK2347" s="17" t="str">
        <f t="shared" si="269"/>
        <v/>
      </c>
      <c r="FL2347" s="18" t="str">
        <f t="shared" si="274"/>
        <v/>
      </c>
    </row>
    <row r="2348" spans="159:168">
      <c r="FC2348" s="118">
        <v>2345</v>
      </c>
      <c r="FD2348" s="118">
        <f t="shared" si="270"/>
        <v>9</v>
      </c>
      <c r="FE2348" s="118">
        <f t="shared" si="271"/>
        <v>147</v>
      </c>
      <c r="FF2348" s="118" t="str">
        <f t="shared" si="272"/>
        <v/>
      </c>
      <c r="FI2348" s="16">
        <v>2345</v>
      </c>
      <c r="FJ2348" s="17" t="str">
        <f t="shared" si="273"/>
        <v/>
      </c>
      <c r="FK2348" s="17" t="str">
        <f t="shared" si="269"/>
        <v/>
      </c>
      <c r="FL2348" s="18" t="str">
        <f t="shared" si="274"/>
        <v/>
      </c>
    </row>
    <row r="2349" spans="159:168">
      <c r="FC2349" s="118">
        <v>2346</v>
      </c>
      <c r="FD2349" s="118">
        <f t="shared" si="270"/>
        <v>10</v>
      </c>
      <c r="FE2349" s="118">
        <f t="shared" si="271"/>
        <v>147</v>
      </c>
      <c r="FF2349" s="118" t="str">
        <f t="shared" si="272"/>
        <v/>
      </c>
      <c r="FI2349" s="16">
        <v>2346</v>
      </c>
      <c r="FJ2349" s="17" t="str">
        <f t="shared" si="273"/>
        <v/>
      </c>
      <c r="FK2349" s="17" t="str">
        <f t="shared" si="269"/>
        <v/>
      </c>
      <c r="FL2349" s="18" t="str">
        <f t="shared" si="274"/>
        <v/>
      </c>
    </row>
    <row r="2350" spans="159:168">
      <c r="FC2350" s="118">
        <v>2347</v>
      </c>
      <c r="FD2350" s="118">
        <f t="shared" si="270"/>
        <v>11</v>
      </c>
      <c r="FE2350" s="118">
        <f t="shared" si="271"/>
        <v>147</v>
      </c>
      <c r="FF2350" s="118" t="str">
        <f t="shared" si="272"/>
        <v/>
      </c>
      <c r="FI2350" s="16">
        <v>2347</v>
      </c>
      <c r="FJ2350" s="17" t="str">
        <f t="shared" si="273"/>
        <v/>
      </c>
      <c r="FK2350" s="17" t="str">
        <f t="shared" si="269"/>
        <v/>
      </c>
      <c r="FL2350" s="18" t="str">
        <f t="shared" si="274"/>
        <v/>
      </c>
    </row>
    <row r="2351" spans="159:168">
      <c r="FC2351" s="118">
        <v>2348</v>
      </c>
      <c r="FD2351" s="118">
        <f t="shared" si="270"/>
        <v>12</v>
      </c>
      <c r="FE2351" s="118">
        <f t="shared" si="271"/>
        <v>147</v>
      </c>
      <c r="FF2351" s="118" t="str">
        <f t="shared" si="272"/>
        <v/>
      </c>
      <c r="FI2351" s="16">
        <v>2348</v>
      </c>
      <c r="FJ2351" s="17" t="str">
        <f t="shared" si="273"/>
        <v/>
      </c>
      <c r="FK2351" s="17" t="str">
        <f t="shared" si="269"/>
        <v/>
      </c>
      <c r="FL2351" s="18" t="str">
        <f t="shared" si="274"/>
        <v/>
      </c>
    </row>
    <row r="2352" spans="159:168">
      <c r="FC2352" s="118">
        <v>2349</v>
      </c>
      <c r="FD2352" s="118">
        <f t="shared" si="270"/>
        <v>13</v>
      </c>
      <c r="FE2352" s="118">
        <f t="shared" si="271"/>
        <v>147</v>
      </c>
      <c r="FF2352" s="118" t="str">
        <f t="shared" si="272"/>
        <v/>
      </c>
      <c r="FI2352" s="16">
        <v>2349</v>
      </c>
      <c r="FJ2352" s="17" t="str">
        <f t="shared" si="273"/>
        <v/>
      </c>
      <c r="FK2352" s="17" t="str">
        <f t="shared" si="269"/>
        <v/>
      </c>
      <c r="FL2352" s="18" t="str">
        <f t="shared" si="274"/>
        <v/>
      </c>
    </row>
    <row r="2353" spans="159:168">
      <c r="FC2353" s="118">
        <v>2350</v>
      </c>
      <c r="FD2353" s="118">
        <f t="shared" si="270"/>
        <v>14</v>
      </c>
      <c r="FE2353" s="118">
        <f t="shared" si="271"/>
        <v>147</v>
      </c>
      <c r="FF2353" s="118" t="str">
        <f t="shared" si="272"/>
        <v/>
      </c>
      <c r="FI2353" s="16">
        <v>2350</v>
      </c>
      <c r="FJ2353" s="17" t="str">
        <f t="shared" si="273"/>
        <v/>
      </c>
      <c r="FK2353" s="17" t="str">
        <f t="shared" si="269"/>
        <v/>
      </c>
      <c r="FL2353" s="18" t="str">
        <f t="shared" si="274"/>
        <v/>
      </c>
    </row>
    <row r="2354" spans="159:168">
      <c r="FC2354" s="118">
        <v>2351</v>
      </c>
      <c r="FD2354" s="118">
        <f t="shared" si="270"/>
        <v>15</v>
      </c>
      <c r="FE2354" s="118">
        <f t="shared" si="271"/>
        <v>147</v>
      </c>
      <c r="FF2354" s="118" t="str">
        <f t="shared" si="272"/>
        <v/>
      </c>
      <c r="FI2354" s="16">
        <v>2351</v>
      </c>
      <c r="FJ2354" s="17" t="str">
        <f t="shared" si="273"/>
        <v/>
      </c>
      <c r="FK2354" s="17" t="str">
        <f t="shared" si="269"/>
        <v/>
      </c>
      <c r="FL2354" s="18" t="str">
        <f t="shared" si="274"/>
        <v/>
      </c>
    </row>
    <row r="2355" spans="159:168">
      <c r="FC2355" s="118">
        <v>2352</v>
      </c>
      <c r="FD2355" s="118">
        <f t="shared" si="270"/>
        <v>16</v>
      </c>
      <c r="FE2355" s="118">
        <f t="shared" si="271"/>
        <v>147</v>
      </c>
      <c r="FF2355" s="118" t="str">
        <f t="shared" si="272"/>
        <v/>
      </c>
      <c r="FI2355" s="16">
        <v>2352</v>
      </c>
      <c r="FJ2355" s="17" t="str">
        <f t="shared" si="273"/>
        <v/>
      </c>
      <c r="FK2355" s="17" t="str">
        <f t="shared" si="269"/>
        <v/>
      </c>
      <c r="FL2355" s="18" t="str">
        <f t="shared" si="274"/>
        <v/>
      </c>
    </row>
    <row r="2356" spans="159:168">
      <c r="FC2356" s="118">
        <v>2353</v>
      </c>
      <c r="FD2356" s="118">
        <f t="shared" si="270"/>
        <v>1</v>
      </c>
      <c r="FE2356" s="118">
        <f t="shared" si="271"/>
        <v>148</v>
      </c>
      <c r="FF2356" s="118" t="str">
        <f t="shared" si="272"/>
        <v/>
      </c>
      <c r="FI2356" s="16">
        <v>2353</v>
      </c>
      <c r="FJ2356" s="17" t="str">
        <f t="shared" si="273"/>
        <v/>
      </c>
      <c r="FK2356" s="17" t="str">
        <f t="shared" si="269"/>
        <v/>
      </c>
      <c r="FL2356" s="18" t="str">
        <f t="shared" si="274"/>
        <v/>
      </c>
    </row>
    <row r="2357" spans="159:168">
      <c r="FC2357" s="118">
        <v>2354</v>
      </c>
      <c r="FD2357" s="118">
        <f t="shared" si="270"/>
        <v>2</v>
      </c>
      <c r="FE2357" s="118">
        <f t="shared" si="271"/>
        <v>148</v>
      </c>
      <c r="FF2357" s="118" t="str">
        <f t="shared" si="272"/>
        <v/>
      </c>
      <c r="FI2357" s="16">
        <v>2354</v>
      </c>
      <c r="FJ2357" s="17" t="str">
        <f t="shared" si="273"/>
        <v/>
      </c>
      <c r="FK2357" s="17" t="str">
        <f t="shared" si="269"/>
        <v/>
      </c>
      <c r="FL2357" s="18" t="str">
        <f t="shared" si="274"/>
        <v/>
      </c>
    </row>
    <row r="2358" spans="159:168">
      <c r="FC2358" s="118">
        <v>2355</v>
      </c>
      <c r="FD2358" s="118">
        <f t="shared" si="270"/>
        <v>3</v>
      </c>
      <c r="FE2358" s="118">
        <f t="shared" si="271"/>
        <v>148</v>
      </c>
      <c r="FF2358" s="118" t="str">
        <f t="shared" si="272"/>
        <v/>
      </c>
      <c r="FI2358" s="16">
        <v>2355</v>
      </c>
      <c r="FJ2358" s="17" t="str">
        <f t="shared" si="273"/>
        <v/>
      </c>
      <c r="FK2358" s="17" t="str">
        <f t="shared" si="269"/>
        <v/>
      </c>
      <c r="FL2358" s="18" t="str">
        <f t="shared" si="274"/>
        <v/>
      </c>
    </row>
    <row r="2359" spans="159:168">
      <c r="FC2359" s="118">
        <v>2356</v>
      </c>
      <c r="FD2359" s="118">
        <f t="shared" si="270"/>
        <v>4</v>
      </c>
      <c r="FE2359" s="118">
        <f t="shared" si="271"/>
        <v>148</v>
      </c>
      <c r="FF2359" s="118" t="str">
        <f t="shared" si="272"/>
        <v/>
      </c>
      <c r="FI2359" s="16">
        <v>2356</v>
      </c>
      <c r="FJ2359" s="17" t="str">
        <f t="shared" si="273"/>
        <v/>
      </c>
      <c r="FK2359" s="17" t="str">
        <f t="shared" si="269"/>
        <v/>
      </c>
      <c r="FL2359" s="18" t="str">
        <f t="shared" si="274"/>
        <v/>
      </c>
    </row>
    <row r="2360" spans="159:168">
      <c r="FC2360" s="118">
        <v>2357</v>
      </c>
      <c r="FD2360" s="118">
        <f t="shared" si="270"/>
        <v>5</v>
      </c>
      <c r="FE2360" s="118">
        <f t="shared" si="271"/>
        <v>148</v>
      </c>
      <c r="FF2360" s="118" t="str">
        <f t="shared" si="272"/>
        <v/>
      </c>
      <c r="FI2360" s="16">
        <v>2357</v>
      </c>
      <c r="FJ2360" s="17" t="str">
        <f t="shared" si="273"/>
        <v/>
      </c>
      <c r="FK2360" s="17" t="str">
        <f t="shared" si="269"/>
        <v/>
      </c>
      <c r="FL2360" s="18" t="str">
        <f t="shared" si="274"/>
        <v/>
      </c>
    </row>
    <row r="2361" spans="159:168">
      <c r="FC2361" s="118">
        <v>2358</v>
      </c>
      <c r="FD2361" s="118">
        <f t="shared" si="270"/>
        <v>6</v>
      </c>
      <c r="FE2361" s="118">
        <f t="shared" si="271"/>
        <v>148</v>
      </c>
      <c r="FF2361" s="118" t="str">
        <f t="shared" si="272"/>
        <v/>
      </c>
      <c r="FI2361" s="16">
        <v>2358</v>
      </c>
      <c r="FJ2361" s="17" t="str">
        <f t="shared" si="273"/>
        <v/>
      </c>
      <c r="FK2361" s="17" t="str">
        <f t="shared" si="269"/>
        <v/>
      </c>
      <c r="FL2361" s="18" t="str">
        <f t="shared" si="274"/>
        <v/>
      </c>
    </row>
    <row r="2362" spans="159:168">
      <c r="FC2362" s="118">
        <v>2359</v>
      </c>
      <c r="FD2362" s="118">
        <f t="shared" si="270"/>
        <v>7</v>
      </c>
      <c r="FE2362" s="118">
        <f t="shared" si="271"/>
        <v>148</v>
      </c>
      <c r="FF2362" s="118" t="str">
        <f t="shared" si="272"/>
        <v/>
      </c>
      <c r="FI2362" s="16">
        <v>2359</v>
      </c>
      <c r="FJ2362" s="17" t="str">
        <f t="shared" si="273"/>
        <v/>
      </c>
      <c r="FK2362" s="17" t="str">
        <f t="shared" si="269"/>
        <v/>
      </c>
      <c r="FL2362" s="18" t="str">
        <f t="shared" si="274"/>
        <v/>
      </c>
    </row>
    <row r="2363" spans="159:168">
      <c r="FC2363" s="118">
        <v>2360</v>
      </c>
      <c r="FD2363" s="118">
        <f t="shared" si="270"/>
        <v>8</v>
      </c>
      <c r="FE2363" s="118">
        <f t="shared" si="271"/>
        <v>148</v>
      </c>
      <c r="FF2363" s="118" t="str">
        <f t="shared" si="272"/>
        <v/>
      </c>
      <c r="FI2363" s="16">
        <v>2360</v>
      </c>
      <c r="FJ2363" s="17" t="str">
        <f t="shared" si="273"/>
        <v/>
      </c>
      <c r="FK2363" s="17" t="str">
        <f t="shared" si="269"/>
        <v/>
      </c>
      <c r="FL2363" s="18" t="str">
        <f t="shared" si="274"/>
        <v/>
      </c>
    </row>
    <row r="2364" spans="159:168">
      <c r="FC2364" s="118">
        <v>2361</v>
      </c>
      <c r="FD2364" s="118">
        <f t="shared" si="270"/>
        <v>9</v>
      </c>
      <c r="FE2364" s="118">
        <f t="shared" si="271"/>
        <v>148</v>
      </c>
      <c r="FF2364" s="118" t="str">
        <f t="shared" si="272"/>
        <v/>
      </c>
      <c r="FI2364" s="16">
        <v>2361</v>
      </c>
      <c r="FJ2364" s="17" t="str">
        <f t="shared" si="273"/>
        <v/>
      </c>
      <c r="FK2364" s="17" t="str">
        <f t="shared" si="269"/>
        <v/>
      </c>
      <c r="FL2364" s="18" t="str">
        <f t="shared" si="274"/>
        <v/>
      </c>
    </row>
    <row r="2365" spans="159:168">
      <c r="FC2365" s="118">
        <v>2362</v>
      </c>
      <c r="FD2365" s="118">
        <f t="shared" si="270"/>
        <v>10</v>
      </c>
      <c r="FE2365" s="118">
        <f t="shared" si="271"/>
        <v>148</v>
      </c>
      <c r="FF2365" s="118" t="str">
        <f t="shared" si="272"/>
        <v/>
      </c>
      <c r="FI2365" s="16">
        <v>2362</v>
      </c>
      <c r="FJ2365" s="17" t="str">
        <f t="shared" si="273"/>
        <v/>
      </c>
      <c r="FK2365" s="17" t="str">
        <f t="shared" si="269"/>
        <v/>
      </c>
      <c r="FL2365" s="18" t="str">
        <f t="shared" si="274"/>
        <v/>
      </c>
    </row>
    <row r="2366" spans="159:168">
      <c r="FC2366" s="118">
        <v>2363</v>
      </c>
      <c r="FD2366" s="118">
        <f t="shared" si="270"/>
        <v>11</v>
      </c>
      <c r="FE2366" s="118">
        <f t="shared" si="271"/>
        <v>148</v>
      </c>
      <c r="FF2366" s="118" t="str">
        <f t="shared" si="272"/>
        <v/>
      </c>
      <c r="FI2366" s="16">
        <v>2363</v>
      </c>
      <c r="FJ2366" s="17" t="str">
        <f t="shared" si="273"/>
        <v/>
      </c>
      <c r="FK2366" s="17" t="str">
        <f t="shared" si="269"/>
        <v/>
      </c>
      <c r="FL2366" s="18" t="str">
        <f t="shared" si="274"/>
        <v/>
      </c>
    </row>
    <row r="2367" spans="159:168">
      <c r="FC2367" s="118">
        <v>2364</v>
      </c>
      <c r="FD2367" s="118">
        <f t="shared" si="270"/>
        <v>12</v>
      </c>
      <c r="FE2367" s="118">
        <f t="shared" si="271"/>
        <v>148</v>
      </c>
      <c r="FF2367" s="118" t="str">
        <f t="shared" si="272"/>
        <v/>
      </c>
      <c r="FI2367" s="16">
        <v>2364</v>
      </c>
      <c r="FJ2367" s="17" t="str">
        <f t="shared" si="273"/>
        <v/>
      </c>
      <c r="FK2367" s="17" t="str">
        <f t="shared" si="269"/>
        <v/>
      </c>
      <c r="FL2367" s="18" t="str">
        <f t="shared" si="274"/>
        <v/>
      </c>
    </row>
    <row r="2368" spans="159:168">
      <c r="FC2368" s="118">
        <v>2365</v>
      </c>
      <c r="FD2368" s="118">
        <f t="shared" si="270"/>
        <v>13</v>
      </c>
      <c r="FE2368" s="118">
        <f t="shared" si="271"/>
        <v>148</v>
      </c>
      <c r="FF2368" s="118" t="str">
        <f t="shared" si="272"/>
        <v/>
      </c>
      <c r="FI2368" s="16">
        <v>2365</v>
      </c>
      <c r="FJ2368" s="17" t="str">
        <f t="shared" si="273"/>
        <v/>
      </c>
      <c r="FK2368" s="17" t="str">
        <f t="shared" si="269"/>
        <v/>
      </c>
      <c r="FL2368" s="18" t="str">
        <f t="shared" si="274"/>
        <v/>
      </c>
    </row>
    <row r="2369" spans="159:168">
      <c r="FC2369" s="118">
        <v>2366</v>
      </c>
      <c r="FD2369" s="118">
        <f t="shared" si="270"/>
        <v>14</v>
      </c>
      <c r="FE2369" s="118">
        <f t="shared" si="271"/>
        <v>148</v>
      </c>
      <c r="FF2369" s="118" t="str">
        <f t="shared" si="272"/>
        <v/>
      </c>
      <c r="FI2369" s="16">
        <v>2366</v>
      </c>
      <c r="FJ2369" s="17" t="str">
        <f t="shared" si="273"/>
        <v/>
      </c>
      <c r="FK2369" s="17" t="str">
        <f t="shared" si="269"/>
        <v/>
      </c>
      <c r="FL2369" s="18" t="str">
        <f t="shared" si="274"/>
        <v/>
      </c>
    </row>
    <row r="2370" spans="159:168">
      <c r="FC2370" s="118">
        <v>2367</v>
      </c>
      <c r="FD2370" s="118">
        <f t="shared" si="270"/>
        <v>15</v>
      </c>
      <c r="FE2370" s="118">
        <f t="shared" si="271"/>
        <v>148</v>
      </c>
      <c r="FF2370" s="118" t="str">
        <f t="shared" si="272"/>
        <v/>
      </c>
      <c r="FI2370" s="16">
        <v>2367</v>
      </c>
      <c r="FJ2370" s="17" t="str">
        <f t="shared" si="273"/>
        <v/>
      </c>
      <c r="FK2370" s="17" t="str">
        <f t="shared" si="269"/>
        <v/>
      </c>
      <c r="FL2370" s="18" t="str">
        <f t="shared" si="274"/>
        <v/>
      </c>
    </row>
    <row r="2371" spans="159:168">
      <c r="FC2371" s="118">
        <v>2368</v>
      </c>
      <c r="FD2371" s="118">
        <f t="shared" si="270"/>
        <v>16</v>
      </c>
      <c r="FE2371" s="118">
        <f t="shared" si="271"/>
        <v>148</v>
      </c>
      <c r="FF2371" s="118" t="str">
        <f t="shared" si="272"/>
        <v/>
      </c>
      <c r="FI2371" s="16">
        <v>2368</v>
      </c>
      <c r="FJ2371" s="17" t="str">
        <f t="shared" si="273"/>
        <v/>
      </c>
      <c r="FK2371" s="17" t="str">
        <f t="shared" si="269"/>
        <v/>
      </c>
      <c r="FL2371" s="18" t="str">
        <f t="shared" si="274"/>
        <v/>
      </c>
    </row>
    <row r="2372" spans="159:168">
      <c r="FC2372" s="118">
        <v>2369</v>
      </c>
      <c r="FD2372" s="118">
        <f t="shared" si="270"/>
        <v>1</v>
      </c>
      <c r="FE2372" s="118">
        <f t="shared" si="271"/>
        <v>149</v>
      </c>
      <c r="FF2372" s="118" t="str">
        <f t="shared" si="272"/>
        <v/>
      </c>
      <c r="FI2372" s="16">
        <v>2369</v>
      </c>
      <c r="FJ2372" s="17" t="str">
        <f t="shared" si="273"/>
        <v/>
      </c>
      <c r="FK2372" s="17" t="str">
        <f t="shared" si="269"/>
        <v/>
      </c>
      <c r="FL2372" s="18" t="str">
        <f t="shared" si="274"/>
        <v/>
      </c>
    </row>
    <row r="2373" spans="159:168">
      <c r="FC2373" s="118">
        <v>2370</v>
      </c>
      <c r="FD2373" s="118">
        <f t="shared" si="270"/>
        <v>2</v>
      </c>
      <c r="FE2373" s="118">
        <f t="shared" si="271"/>
        <v>149</v>
      </c>
      <c r="FF2373" s="118" t="str">
        <f t="shared" si="272"/>
        <v/>
      </c>
      <c r="FI2373" s="16">
        <v>2370</v>
      </c>
      <c r="FJ2373" s="17" t="str">
        <f t="shared" si="273"/>
        <v/>
      </c>
      <c r="FK2373" s="17" t="str">
        <f t="shared" ref="FK2373:FK2436" si="275">IF(FI2373&lt;=$FH$2,FF2373,IF(FI2373&lt;=$FH$2+$FH$3,INDEX($FJ$4:$FJ$2494,FI2373-$FH$2),""))</f>
        <v/>
      </c>
      <c r="FL2373" s="18" t="str">
        <f t="shared" si="274"/>
        <v/>
      </c>
    </row>
    <row r="2374" spans="159:168">
      <c r="FC2374" s="118">
        <v>2371</v>
      </c>
      <c r="FD2374" s="118">
        <f t="shared" si="270"/>
        <v>3</v>
      </c>
      <c r="FE2374" s="118">
        <f t="shared" si="271"/>
        <v>149</v>
      </c>
      <c r="FF2374" s="118" t="str">
        <f t="shared" si="272"/>
        <v/>
      </c>
      <c r="FI2374" s="16">
        <v>2371</v>
      </c>
      <c r="FJ2374" s="17" t="str">
        <f t="shared" si="273"/>
        <v/>
      </c>
      <c r="FK2374" s="17" t="str">
        <f t="shared" si="275"/>
        <v/>
      </c>
      <c r="FL2374" s="18" t="str">
        <f t="shared" si="274"/>
        <v/>
      </c>
    </row>
    <row r="2375" spans="159:168">
      <c r="FC2375" s="118">
        <v>2372</v>
      </c>
      <c r="FD2375" s="118">
        <f t="shared" si="270"/>
        <v>4</v>
      </c>
      <c r="FE2375" s="118">
        <f t="shared" si="271"/>
        <v>149</v>
      </c>
      <c r="FF2375" s="118" t="str">
        <f t="shared" si="272"/>
        <v/>
      </c>
      <c r="FI2375" s="16">
        <v>2372</v>
      </c>
      <c r="FJ2375" s="17" t="str">
        <f t="shared" si="273"/>
        <v/>
      </c>
      <c r="FK2375" s="17" t="str">
        <f t="shared" si="275"/>
        <v/>
      </c>
      <c r="FL2375" s="18" t="str">
        <f t="shared" si="274"/>
        <v/>
      </c>
    </row>
    <row r="2376" spans="159:168">
      <c r="FC2376" s="118">
        <v>2373</v>
      </c>
      <c r="FD2376" s="118">
        <f t="shared" si="270"/>
        <v>5</v>
      </c>
      <c r="FE2376" s="118">
        <f t="shared" si="271"/>
        <v>149</v>
      </c>
      <c r="FF2376" s="118" t="str">
        <f t="shared" si="272"/>
        <v/>
      </c>
      <c r="FI2376" s="16">
        <v>2373</v>
      </c>
      <c r="FJ2376" s="17" t="str">
        <f t="shared" si="273"/>
        <v/>
      </c>
      <c r="FK2376" s="17" t="str">
        <f t="shared" si="275"/>
        <v/>
      </c>
      <c r="FL2376" s="18" t="str">
        <f t="shared" si="274"/>
        <v/>
      </c>
    </row>
    <row r="2377" spans="159:168">
      <c r="FC2377" s="118">
        <v>2374</v>
      </c>
      <c r="FD2377" s="118">
        <f t="shared" si="270"/>
        <v>6</v>
      </c>
      <c r="FE2377" s="118">
        <f t="shared" si="271"/>
        <v>149</v>
      </c>
      <c r="FF2377" s="118" t="str">
        <f t="shared" si="272"/>
        <v/>
      </c>
      <c r="FI2377" s="16">
        <v>2374</v>
      </c>
      <c r="FJ2377" s="17" t="str">
        <f t="shared" si="273"/>
        <v/>
      </c>
      <c r="FK2377" s="17" t="str">
        <f t="shared" si="275"/>
        <v/>
      </c>
      <c r="FL2377" s="18" t="str">
        <f t="shared" si="274"/>
        <v/>
      </c>
    </row>
    <row r="2378" spans="159:168">
      <c r="FC2378" s="118">
        <v>2375</v>
      </c>
      <c r="FD2378" s="118">
        <f t="shared" si="270"/>
        <v>7</v>
      </c>
      <c r="FE2378" s="118">
        <f t="shared" si="271"/>
        <v>149</v>
      </c>
      <c r="FF2378" s="118" t="str">
        <f t="shared" si="272"/>
        <v/>
      </c>
      <c r="FI2378" s="16">
        <v>2375</v>
      </c>
      <c r="FJ2378" s="17" t="str">
        <f t="shared" si="273"/>
        <v/>
      </c>
      <c r="FK2378" s="17" t="str">
        <f t="shared" si="275"/>
        <v/>
      </c>
      <c r="FL2378" s="18" t="str">
        <f t="shared" si="274"/>
        <v/>
      </c>
    </row>
    <row r="2379" spans="159:168">
      <c r="FC2379" s="118">
        <v>2376</v>
      </c>
      <c r="FD2379" s="118">
        <f t="shared" si="270"/>
        <v>8</v>
      </c>
      <c r="FE2379" s="118">
        <f t="shared" si="271"/>
        <v>149</v>
      </c>
      <c r="FF2379" s="118" t="str">
        <f t="shared" si="272"/>
        <v/>
      </c>
      <c r="FI2379" s="16">
        <v>2376</v>
      </c>
      <c r="FJ2379" s="17" t="str">
        <f t="shared" si="273"/>
        <v/>
      </c>
      <c r="FK2379" s="17" t="str">
        <f t="shared" si="275"/>
        <v/>
      </c>
      <c r="FL2379" s="18" t="str">
        <f t="shared" si="274"/>
        <v/>
      </c>
    </row>
    <row r="2380" spans="159:168">
      <c r="FC2380" s="118">
        <v>2377</v>
      </c>
      <c r="FD2380" s="118">
        <f t="shared" si="270"/>
        <v>9</v>
      </c>
      <c r="FE2380" s="118">
        <f t="shared" si="271"/>
        <v>149</v>
      </c>
      <c r="FF2380" s="118" t="str">
        <f t="shared" si="272"/>
        <v/>
      </c>
      <c r="FI2380" s="16">
        <v>2377</v>
      </c>
      <c r="FJ2380" s="17" t="str">
        <f t="shared" si="273"/>
        <v/>
      </c>
      <c r="FK2380" s="17" t="str">
        <f t="shared" si="275"/>
        <v/>
      </c>
      <c r="FL2380" s="18" t="str">
        <f t="shared" si="274"/>
        <v/>
      </c>
    </row>
    <row r="2381" spans="159:168">
      <c r="FC2381" s="118">
        <v>2378</v>
      </c>
      <c r="FD2381" s="118">
        <f t="shared" si="270"/>
        <v>10</v>
      </c>
      <c r="FE2381" s="118">
        <f t="shared" si="271"/>
        <v>149</v>
      </c>
      <c r="FF2381" s="118" t="str">
        <f t="shared" si="272"/>
        <v/>
      </c>
      <c r="FI2381" s="16">
        <v>2378</v>
      </c>
      <c r="FJ2381" s="17" t="str">
        <f t="shared" si="273"/>
        <v/>
      </c>
      <c r="FK2381" s="17" t="str">
        <f t="shared" si="275"/>
        <v/>
      </c>
      <c r="FL2381" s="18" t="str">
        <f t="shared" si="274"/>
        <v/>
      </c>
    </row>
    <row r="2382" spans="159:168">
      <c r="FC2382" s="118">
        <v>2379</v>
      </c>
      <c r="FD2382" s="118">
        <f t="shared" si="270"/>
        <v>11</v>
      </c>
      <c r="FE2382" s="118">
        <f t="shared" si="271"/>
        <v>149</v>
      </c>
      <c r="FF2382" s="118" t="str">
        <f t="shared" si="272"/>
        <v/>
      </c>
      <c r="FI2382" s="16">
        <v>2379</v>
      </c>
      <c r="FJ2382" s="17" t="str">
        <f t="shared" si="273"/>
        <v/>
      </c>
      <c r="FK2382" s="17" t="str">
        <f t="shared" si="275"/>
        <v/>
      </c>
      <c r="FL2382" s="18" t="str">
        <f t="shared" si="274"/>
        <v/>
      </c>
    </row>
    <row r="2383" spans="159:168">
      <c r="FC2383" s="118">
        <v>2380</v>
      </c>
      <c r="FD2383" s="118">
        <f t="shared" si="270"/>
        <v>12</v>
      </c>
      <c r="FE2383" s="118">
        <f t="shared" si="271"/>
        <v>149</v>
      </c>
      <c r="FF2383" s="118" t="str">
        <f t="shared" si="272"/>
        <v/>
      </c>
      <c r="FI2383" s="16">
        <v>2380</v>
      </c>
      <c r="FJ2383" s="17" t="str">
        <f t="shared" si="273"/>
        <v/>
      </c>
      <c r="FK2383" s="17" t="str">
        <f t="shared" si="275"/>
        <v/>
      </c>
      <c r="FL2383" s="18" t="str">
        <f t="shared" si="274"/>
        <v/>
      </c>
    </row>
    <row r="2384" spans="159:168">
      <c r="FC2384" s="118">
        <v>2381</v>
      </c>
      <c r="FD2384" s="118">
        <f t="shared" si="270"/>
        <v>13</v>
      </c>
      <c r="FE2384" s="118">
        <f t="shared" si="271"/>
        <v>149</v>
      </c>
      <c r="FF2384" s="118" t="str">
        <f t="shared" si="272"/>
        <v/>
      </c>
      <c r="FI2384" s="16">
        <v>2381</v>
      </c>
      <c r="FJ2384" s="17" t="str">
        <f t="shared" si="273"/>
        <v/>
      </c>
      <c r="FK2384" s="17" t="str">
        <f t="shared" si="275"/>
        <v/>
      </c>
      <c r="FL2384" s="18" t="str">
        <f t="shared" si="274"/>
        <v/>
      </c>
    </row>
    <row r="2385" spans="159:168">
      <c r="FC2385" s="118">
        <v>2382</v>
      </c>
      <c r="FD2385" s="118">
        <f t="shared" si="270"/>
        <v>14</v>
      </c>
      <c r="FE2385" s="118">
        <f t="shared" si="271"/>
        <v>149</v>
      </c>
      <c r="FF2385" s="118" t="str">
        <f t="shared" si="272"/>
        <v/>
      </c>
      <c r="FI2385" s="16">
        <v>2382</v>
      </c>
      <c r="FJ2385" s="17" t="str">
        <f t="shared" si="273"/>
        <v/>
      </c>
      <c r="FK2385" s="17" t="str">
        <f t="shared" si="275"/>
        <v/>
      </c>
      <c r="FL2385" s="18" t="str">
        <f t="shared" si="274"/>
        <v/>
      </c>
    </row>
    <row r="2386" spans="159:168">
      <c r="FC2386" s="118">
        <v>2383</v>
      </c>
      <c r="FD2386" s="118">
        <f t="shared" si="270"/>
        <v>15</v>
      </c>
      <c r="FE2386" s="118">
        <f t="shared" si="271"/>
        <v>149</v>
      </c>
      <c r="FF2386" s="118" t="str">
        <f t="shared" si="272"/>
        <v/>
      </c>
      <c r="FI2386" s="16">
        <v>2383</v>
      </c>
      <c r="FJ2386" s="17" t="str">
        <f t="shared" si="273"/>
        <v/>
      </c>
      <c r="FK2386" s="17" t="str">
        <f t="shared" si="275"/>
        <v/>
      </c>
      <c r="FL2386" s="18" t="str">
        <f t="shared" si="274"/>
        <v/>
      </c>
    </row>
    <row r="2387" spans="159:168">
      <c r="FC2387" s="118">
        <v>2384</v>
      </c>
      <c r="FD2387" s="118">
        <f t="shared" si="270"/>
        <v>16</v>
      </c>
      <c r="FE2387" s="118">
        <f t="shared" si="271"/>
        <v>149</v>
      </c>
      <c r="FF2387" s="118" t="str">
        <f t="shared" si="272"/>
        <v/>
      </c>
      <c r="FI2387" s="16">
        <v>2384</v>
      </c>
      <c r="FJ2387" s="17" t="str">
        <f t="shared" si="273"/>
        <v/>
      </c>
      <c r="FK2387" s="17" t="str">
        <f t="shared" si="275"/>
        <v/>
      </c>
      <c r="FL2387" s="18" t="str">
        <f t="shared" si="274"/>
        <v/>
      </c>
    </row>
    <row r="2388" spans="159:168">
      <c r="FC2388" s="118">
        <v>2385</v>
      </c>
      <c r="FD2388" s="118">
        <f t="shared" si="270"/>
        <v>1</v>
      </c>
      <c r="FE2388" s="118">
        <f t="shared" si="271"/>
        <v>150</v>
      </c>
      <c r="FF2388" s="118" t="str">
        <f t="shared" si="272"/>
        <v/>
      </c>
      <c r="FI2388" s="16">
        <v>2385</v>
      </c>
      <c r="FJ2388" s="17" t="str">
        <f t="shared" si="273"/>
        <v/>
      </c>
      <c r="FK2388" s="17" t="str">
        <f t="shared" si="275"/>
        <v/>
      </c>
      <c r="FL2388" s="18" t="str">
        <f t="shared" si="274"/>
        <v/>
      </c>
    </row>
    <row r="2389" spans="159:168">
      <c r="FC2389" s="118">
        <v>2386</v>
      </c>
      <c r="FD2389" s="118">
        <f t="shared" si="270"/>
        <v>2</v>
      </c>
      <c r="FE2389" s="118">
        <f t="shared" si="271"/>
        <v>150</v>
      </c>
      <c r="FF2389" s="118" t="str">
        <f t="shared" si="272"/>
        <v/>
      </c>
      <c r="FI2389" s="16">
        <v>2386</v>
      </c>
      <c r="FJ2389" s="17" t="str">
        <f t="shared" si="273"/>
        <v/>
      </c>
      <c r="FK2389" s="17" t="str">
        <f t="shared" si="275"/>
        <v/>
      </c>
      <c r="FL2389" s="18" t="str">
        <f t="shared" si="274"/>
        <v/>
      </c>
    </row>
    <row r="2390" spans="159:168">
      <c r="FC2390" s="118">
        <v>2387</v>
      </c>
      <c r="FD2390" s="118">
        <f t="shared" ref="FD2390:FD2453" si="276">IF(MOD(FC2390,$FB$1+$FB$2)=0,$FB$1+$FB$2,MOD(FC2390,$FB$1+$FB$2))</f>
        <v>3</v>
      </c>
      <c r="FE2390" s="118">
        <f t="shared" ref="FE2390:FE2453" si="277">ROUNDUP(FC2390/($FB$1+$FB$2),0)</f>
        <v>150</v>
      </c>
      <c r="FF2390" s="118" t="str">
        <f t="shared" ref="FF2390:FF2453" si="278">IF(FE2390&lt;$FB$3,INDEX($E$4:$DV$84,FD2390,FE2390),IF(FE2390=$FB$3,INDEX($E$4:$DV$84,FD2390+$FB$1,FE2390),""))</f>
        <v/>
      </c>
      <c r="FI2390" s="16">
        <v>2387</v>
      </c>
      <c r="FJ2390" s="17" t="str">
        <f t="shared" ref="FJ2390:FJ2453" si="279">IF(FE2390&lt;=$FH$1,INDEX($DW$4:$EZ$84,FD2390,FE2390),"")</f>
        <v/>
      </c>
      <c r="FK2390" s="17" t="str">
        <f t="shared" si="275"/>
        <v/>
      </c>
      <c r="FL2390" s="18" t="str">
        <f t="shared" ref="FL2390:FL2453" si="280">IFERROR(TEXT(DEC2BIN(FK2390),"00000000"),"")</f>
        <v/>
      </c>
    </row>
    <row r="2391" spans="159:168">
      <c r="FC2391" s="118">
        <v>2388</v>
      </c>
      <c r="FD2391" s="118">
        <f t="shared" si="276"/>
        <v>4</v>
      </c>
      <c r="FE2391" s="118">
        <f t="shared" si="277"/>
        <v>150</v>
      </c>
      <c r="FF2391" s="118" t="str">
        <f t="shared" si="278"/>
        <v/>
      </c>
      <c r="FI2391" s="16">
        <v>2388</v>
      </c>
      <c r="FJ2391" s="17" t="str">
        <f t="shared" si="279"/>
        <v/>
      </c>
      <c r="FK2391" s="17" t="str">
        <f t="shared" si="275"/>
        <v/>
      </c>
      <c r="FL2391" s="18" t="str">
        <f t="shared" si="280"/>
        <v/>
      </c>
    </row>
    <row r="2392" spans="159:168">
      <c r="FC2392" s="118">
        <v>2389</v>
      </c>
      <c r="FD2392" s="118">
        <f t="shared" si="276"/>
        <v>5</v>
      </c>
      <c r="FE2392" s="118">
        <f t="shared" si="277"/>
        <v>150</v>
      </c>
      <c r="FF2392" s="118" t="str">
        <f t="shared" si="278"/>
        <v/>
      </c>
      <c r="FI2392" s="16">
        <v>2389</v>
      </c>
      <c r="FJ2392" s="17" t="str">
        <f t="shared" si="279"/>
        <v/>
      </c>
      <c r="FK2392" s="17" t="str">
        <f t="shared" si="275"/>
        <v/>
      </c>
      <c r="FL2392" s="18" t="str">
        <f t="shared" si="280"/>
        <v/>
      </c>
    </row>
    <row r="2393" spans="159:168">
      <c r="FC2393" s="118">
        <v>2390</v>
      </c>
      <c r="FD2393" s="118">
        <f t="shared" si="276"/>
        <v>6</v>
      </c>
      <c r="FE2393" s="118">
        <f t="shared" si="277"/>
        <v>150</v>
      </c>
      <c r="FF2393" s="118" t="str">
        <f t="shared" si="278"/>
        <v/>
      </c>
      <c r="FI2393" s="16">
        <v>2390</v>
      </c>
      <c r="FJ2393" s="17" t="str">
        <f t="shared" si="279"/>
        <v/>
      </c>
      <c r="FK2393" s="17" t="str">
        <f t="shared" si="275"/>
        <v/>
      </c>
      <c r="FL2393" s="18" t="str">
        <f t="shared" si="280"/>
        <v/>
      </c>
    </row>
    <row r="2394" spans="159:168">
      <c r="FC2394" s="118">
        <v>2391</v>
      </c>
      <c r="FD2394" s="118">
        <f t="shared" si="276"/>
        <v>7</v>
      </c>
      <c r="FE2394" s="118">
        <f t="shared" si="277"/>
        <v>150</v>
      </c>
      <c r="FF2394" s="118" t="str">
        <f t="shared" si="278"/>
        <v/>
      </c>
      <c r="FI2394" s="16">
        <v>2391</v>
      </c>
      <c r="FJ2394" s="17" t="str">
        <f t="shared" si="279"/>
        <v/>
      </c>
      <c r="FK2394" s="17" t="str">
        <f t="shared" si="275"/>
        <v/>
      </c>
      <c r="FL2394" s="18" t="str">
        <f t="shared" si="280"/>
        <v/>
      </c>
    </row>
    <row r="2395" spans="159:168">
      <c r="FC2395" s="118">
        <v>2392</v>
      </c>
      <c r="FD2395" s="118">
        <f t="shared" si="276"/>
        <v>8</v>
      </c>
      <c r="FE2395" s="118">
        <f t="shared" si="277"/>
        <v>150</v>
      </c>
      <c r="FF2395" s="118" t="str">
        <f t="shared" si="278"/>
        <v/>
      </c>
      <c r="FI2395" s="16">
        <v>2392</v>
      </c>
      <c r="FJ2395" s="17" t="str">
        <f t="shared" si="279"/>
        <v/>
      </c>
      <c r="FK2395" s="17" t="str">
        <f t="shared" si="275"/>
        <v/>
      </c>
      <c r="FL2395" s="18" t="str">
        <f t="shared" si="280"/>
        <v/>
      </c>
    </row>
    <row r="2396" spans="159:168">
      <c r="FC2396" s="118">
        <v>2393</v>
      </c>
      <c r="FD2396" s="118">
        <f t="shared" si="276"/>
        <v>9</v>
      </c>
      <c r="FE2396" s="118">
        <f t="shared" si="277"/>
        <v>150</v>
      </c>
      <c r="FF2396" s="118" t="str">
        <f t="shared" si="278"/>
        <v/>
      </c>
      <c r="FI2396" s="16">
        <v>2393</v>
      </c>
      <c r="FJ2396" s="17" t="str">
        <f t="shared" si="279"/>
        <v/>
      </c>
      <c r="FK2396" s="17" t="str">
        <f t="shared" si="275"/>
        <v/>
      </c>
      <c r="FL2396" s="18" t="str">
        <f t="shared" si="280"/>
        <v/>
      </c>
    </row>
    <row r="2397" spans="159:168">
      <c r="FC2397" s="118">
        <v>2394</v>
      </c>
      <c r="FD2397" s="118">
        <f t="shared" si="276"/>
        <v>10</v>
      </c>
      <c r="FE2397" s="118">
        <f t="shared" si="277"/>
        <v>150</v>
      </c>
      <c r="FF2397" s="118" t="str">
        <f t="shared" si="278"/>
        <v/>
      </c>
      <c r="FI2397" s="16">
        <v>2394</v>
      </c>
      <c r="FJ2397" s="17" t="str">
        <f t="shared" si="279"/>
        <v/>
      </c>
      <c r="FK2397" s="17" t="str">
        <f t="shared" si="275"/>
        <v/>
      </c>
      <c r="FL2397" s="18" t="str">
        <f t="shared" si="280"/>
        <v/>
      </c>
    </row>
    <row r="2398" spans="159:168">
      <c r="FC2398" s="118">
        <v>2395</v>
      </c>
      <c r="FD2398" s="118">
        <f t="shared" si="276"/>
        <v>11</v>
      </c>
      <c r="FE2398" s="118">
        <f t="shared" si="277"/>
        <v>150</v>
      </c>
      <c r="FF2398" s="118" t="str">
        <f t="shared" si="278"/>
        <v/>
      </c>
      <c r="FI2398" s="16">
        <v>2395</v>
      </c>
      <c r="FJ2398" s="17" t="str">
        <f t="shared" si="279"/>
        <v/>
      </c>
      <c r="FK2398" s="17" t="str">
        <f t="shared" si="275"/>
        <v/>
      </c>
      <c r="FL2398" s="18" t="str">
        <f t="shared" si="280"/>
        <v/>
      </c>
    </row>
    <row r="2399" spans="159:168">
      <c r="FC2399" s="118">
        <v>2396</v>
      </c>
      <c r="FD2399" s="118">
        <f t="shared" si="276"/>
        <v>12</v>
      </c>
      <c r="FE2399" s="118">
        <f t="shared" si="277"/>
        <v>150</v>
      </c>
      <c r="FF2399" s="118" t="str">
        <f t="shared" si="278"/>
        <v/>
      </c>
      <c r="FI2399" s="16">
        <v>2396</v>
      </c>
      <c r="FJ2399" s="17" t="str">
        <f t="shared" si="279"/>
        <v/>
      </c>
      <c r="FK2399" s="17" t="str">
        <f t="shared" si="275"/>
        <v/>
      </c>
      <c r="FL2399" s="18" t="str">
        <f t="shared" si="280"/>
        <v/>
      </c>
    </row>
    <row r="2400" spans="159:168">
      <c r="FC2400" s="118">
        <v>2397</v>
      </c>
      <c r="FD2400" s="118">
        <f t="shared" si="276"/>
        <v>13</v>
      </c>
      <c r="FE2400" s="118">
        <f t="shared" si="277"/>
        <v>150</v>
      </c>
      <c r="FF2400" s="118" t="str">
        <f t="shared" si="278"/>
        <v/>
      </c>
      <c r="FI2400" s="16">
        <v>2397</v>
      </c>
      <c r="FJ2400" s="17" t="str">
        <f t="shared" si="279"/>
        <v/>
      </c>
      <c r="FK2400" s="17" t="str">
        <f t="shared" si="275"/>
        <v/>
      </c>
      <c r="FL2400" s="18" t="str">
        <f t="shared" si="280"/>
        <v/>
      </c>
    </row>
    <row r="2401" spans="159:168">
      <c r="FC2401" s="118">
        <v>2398</v>
      </c>
      <c r="FD2401" s="118">
        <f t="shared" si="276"/>
        <v>14</v>
      </c>
      <c r="FE2401" s="118">
        <f t="shared" si="277"/>
        <v>150</v>
      </c>
      <c r="FF2401" s="118" t="str">
        <f t="shared" si="278"/>
        <v/>
      </c>
      <c r="FI2401" s="16">
        <v>2398</v>
      </c>
      <c r="FJ2401" s="17" t="str">
        <f t="shared" si="279"/>
        <v/>
      </c>
      <c r="FK2401" s="17" t="str">
        <f t="shared" si="275"/>
        <v/>
      </c>
      <c r="FL2401" s="18" t="str">
        <f t="shared" si="280"/>
        <v/>
      </c>
    </row>
    <row r="2402" spans="159:168">
      <c r="FC2402" s="118">
        <v>2399</v>
      </c>
      <c r="FD2402" s="118">
        <f t="shared" si="276"/>
        <v>15</v>
      </c>
      <c r="FE2402" s="118">
        <f t="shared" si="277"/>
        <v>150</v>
      </c>
      <c r="FF2402" s="118" t="str">
        <f t="shared" si="278"/>
        <v/>
      </c>
      <c r="FI2402" s="16">
        <v>2399</v>
      </c>
      <c r="FJ2402" s="17" t="str">
        <f t="shared" si="279"/>
        <v/>
      </c>
      <c r="FK2402" s="17" t="str">
        <f t="shared" si="275"/>
        <v/>
      </c>
      <c r="FL2402" s="18" t="str">
        <f t="shared" si="280"/>
        <v/>
      </c>
    </row>
    <row r="2403" spans="159:168">
      <c r="FC2403" s="118">
        <v>2400</v>
      </c>
      <c r="FD2403" s="118">
        <f t="shared" si="276"/>
        <v>16</v>
      </c>
      <c r="FE2403" s="118">
        <f t="shared" si="277"/>
        <v>150</v>
      </c>
      <c r="FF2403" s="118" t="str">
        <f t="shared" si="278"/>
        <v/>
      </c>
      <c r="FI2403" s="16">
        <v>2400</v>
      </c>
      <c r="FJ2403" s="17" t="str">
        <f t="shared" si="279"/>
        <v/>
      </c>
      <c r="FK2403" s="17" t="str">
        <f t="shared" si="275"/>
        <v/>
      </c>
      <c r="FL2403" s="18" t="str">
        <f t="shared" si="280"/>
        <v/>
      </c>
    </row>
    <row r="2404" spans="159:168">
      <c r="FC2404" s="118">
        <v>2401</v>
      </c>
      <c r="FD2404" s="118">
        <f t="shared" si="276"/>
        <v>1</v>
      </c>
      <c r="FE2404" s="118">
        <f t="shared" si="277"/>
        <v>151</v>
      </c>
      <c r="FF2404" s="118" t="str">
        <f t="shared" si="278"/>
        <v/>
      </c>
      <c r="FI2404" s="16">
        <v>2401</v>
      </c>
      <c r="FJ2404" s="17" t="str">
        <f t="shared" si="279"/>
        <v/>
      </c>
      <c r="FK2404" s="17" t="str">
        <f t="shared" si="275"/>
        <v/>
      </c>
      <c r="FL2404" s="18" t="str">
        <f t="shared" si="280"/>
        <v/>
      </c>
    </row>
    <row r="2405" spans="159:168">
      <c r="FC2405" s="118">
        <v>2402</v>
      </c>
      <c r="FD2405" s="118">
        <f t="shared" si="276"/>
        <v>2</v>
      </c>
      <c r="FE2405" s="118">
        <f t="shared" si="277"/>
        <v>151</v>
      </c>
      <c r="FF2405" s="118" t="str">
        <f t="shared" si="278"/>
        <v/>
      </c>
      <c r="FI2405" s="16">
        <v>2402</v>
      </c>
      <c r="FJ2405" s="17" t="str">
        <f t="shared" si="279"/>
        <v/>
      </c>
      <c r="FK2405" s="17" t="str">
        <f t="shared" si="275"/>
        <v/>
      </c>
      <c r="FL2405" s="18" t="str">
        <f t="shared" si="280"/>
        <v/>
      </c>
    </row>
    <row r="2406" spans="159:168">
      <c r="FC2406" s="118">
        <v>2403</v>
      </c>
      <c r="FD2406" s="118">
        <f t="shared" si="276"/>
        <v>3</v>
      </c>
      <c r="FE2406" s="118">
        <f t="shared" si="277"/>
        <v>151</v>
      </c>
      <c r="FF2406" s="118" t="str">
        <f t="shared" si="278"/>
        <v/>
      </c>
      <c r="FI2406" s="16">
        <v>2403</v>
      </c>
      <c r="FJ2406" s="17" t="str">
        <f t="shared" si="279"/>
        <v/>
      </c>
      <c r="FK2406" s="17" t="str">
        <f t="shared" si="275"/>
        <v/>
      </c>
      <c r="FL2406" s="18" t="str">
        <f t="shared" si="280"/>
        <v/>
      </c>
    </row>
    <row r="2407" spans="159:168">
      <c r="FC2407" s="118">
        <v>2404</v>
      </c>
      <c r="FD2407" s="118">
        <f t="shared" si="276"/>
        <v>4</v>
      </c>
      <c r="FE2407" s="118">
        <f t="shared" si="277"/>
        <v>151</v>
      </c>
      <c r="FF2407" s="118" t="str">
        <f t="shared" si="278"/>
        <v/>
      </c>
      <c r="FI2407" s="16">
        <v>2404</v>
      </c>
      <c r="FJ2407" s="17" t="str">
        <f t="shared" si="279"/>
        <v/>
      </c>
      <c r="FK2407" s="17" t="str">
        <f t="shared" si="275"/>
        <v/>
      </c>
      <c r="FL2407" s="18" t="str">
        <f t="shared" si="280"/>
        <v/>
      </c>
    </row>
    <row r="2408" spans="159:168">
      <c r="FC2408" s="118">
        <v>2405</v>
      </c>
      <c r="FD2408" s="118">
        <f t="shared" si="276"/>
        <v>5</v>
      </c>
      <c r="FE2408" s="118">
        <f t="shared" si="277"/>
        <v>151</v>
      </c>
      <c r="FF2408" s="118" t="str">
        <f t="shared" si="278"/>
        <v/>
      </c>
      <c r="FI2408" s="16">
        <v>2405</v>
      </c>
      <c r="FJ2408" s="17" t="str">
        <f t="shared" si="279"/>
        <v/>
      </c>
      <c r="FK2408" s="17" t="str">
        <f t="shared" si="275"/>
        <v/>
      </c>
      <c r="FL2408" s="18" t="str">
        <f t="shared" si="280"/>
        <v/>
      </c>
    </row>
    <row r="2409" spans="159:168">
      <c r="FC2409" s="118">
        <v>2406</v>
      </c>
      <c r="FD2409" s="118">
        <f t="shared" si="276"/>
        <v>6</v>
      </c>
      <c r="FE2409" s="118">
        <f t="shared" si="277"/>
        <v>151</v>
      </c>
      <c r="FF2409" s="118" t="str">
        <f t="shared" si="278"/>
        <v/>
      </c>
      <c r="FI2409" s="16">
        <v>2406</v>
      </c>
      <c r="FJ2409" s="17" t="str">
        <f t="shared" si="279"/>
        <v/>
      </c>
      <c r="FK2409" s="17" t="str">
        <f t="shared" si="275"/>
        <v/>
      </c>
      <c r="FL2409" s="18" t="str">
        <f t="shared" si="280"/>
        <v/>
      </c>
    </row>
    <row r="2410" spans="159:168">
      <c r="FC2410" s="118">
        <v>2407</v>
      </c>
      <c r="FD2410" s="118">
        <f t="shared" si="276"/>
        <v>7</v>
      </c>
      <c r="FE2410" s="118">
        <f t="shared" si="277"/>
        <v>151</v>
      </c>
      <c r="FF2410" s="118" t="str">
        <f t="shared" si="278"/>
        <v/>
      </c>
      <c r="FI2410" s="16">
        <v>2407</v>
      </c>
      <c r="FJ2410" s="17" t="str">
        <f t="shared" si="279"/>
        <v/>
      </c>
      <c r="FK2410" s="17" t="str">
        <f t="shared" si="275"/>
        <v/>
      </c>
      <c r="FL2410" s="18" t="str">
        <f t="shared" si="280"/>
        <v/>
      </c>
    </row>
    <row r="2411" spans="159:168">
      <c r="FC2411" s="118">
        <v>2408</v>
      </c>
      <c r="FD2411" s="118">
        <f t="shared" si="276"/>
        <v>8</v>
      </c>
      <c r="FE2411" s="118">
        <f t="shared" si="277"/>
        <v>151</v>
      </c>
      <c r="FF2411" s="118" t="str">
        <f t="shared" si="278"/>
        <v/>
      </c>
      <c r="FI2411" s="16">
        <v>2408</v>
      </c>
      <c r="FJ2411" s="17" t="str">
        <f t="shared" si="279"/>
        <v/>
      </c>
      <c r="FK2411" s="17" t="str">
        <f t="shared" si="275"/>
        <v/>
      </c>
      <c r="FL2411" s="18" t="str">
        <f t="shared" si="280"/>
        <v/>
      </c>
    </row>
    <row r="2412" spans="159:168">
      <c r="FC2412" s="118">
        <v>2409</v>
      </c>
      <c r="FD2412" s="118">
        <f t="shared" si="276"/>
        <v>9</v>
      </c>
      <c r="FE2412" s="118">
        <f t="shared" si="277"/>
        <v>151</v>
      </c>
      <c r="FF2412" s="118" t="str">
        <f t="shared" si="278"/>
        <v/>
      </c>
      <c r="FI2412" s="16">
        <v>2409</v>
      </c>
      <c r="FJ2412" s="17" t="str">
        <f t="shared" si="279"/>
        <v/>
      </c>
      <c r="FK2412" s="17" t="str">
        <f t="shared" si="275"/>
        <v/>
      </c>
      <c r="FL2412" s="18" t="str">
        <f t="shared" si="280"/>
        <v/>
      </c>
    </row>
    <row r="2413" spans="159:168">
      <c r="FC2413" s="118">
        <v>2410</v>
      </c>
      <c r="FD2413" s="118">
        <f t="shared" si="276"/>
        <v>10</v>
      </c>
      <c r="FE2413" s="118">
        <f t="shared" si="277"/>
        <v>151</v>
      </c>
      <c r="FF2413" s="118" t="str">
        <f t="shared" si="278"/>
        <v/>
      </c>
      <c r="FI2413" s="16">
        <v>2410</v>
      </c>
      <c r="FJ2413" s="17" t="str">
        <f t="shared" si="279"/>
        <v/>
      </c>
      <c r="FK2413" s="17" t="str">
        <f t="shared" si="275"/>
        <v/>
      </c>
      <c r="FL2413" s="18" t="str">
        <f t="shared" si="280"/>
        <v/>
      </c>
    </row>
    <row r="2414" spans="159:168">
      <c r="FC2414" s="118">
        <v>2411</v>
      </c>
      <c r="FD2414" s="118">
        <f t="shared" si="276"/>
        <v>11</v>
      </c>
      <c r="FE2414" s="118">
        <f t="shared" si="277"/>
        <v>151</v>
      </c>
      <c r="FF2414" s="118" t="str">
        <f t="shared" si="278"/>
        <v/>
      </c>
      <c r="FI2414" s="16">
        <v>2411</v>
      </c>
      <c r="FJ2414" s="17" t="str">
        <f t="shared" si="279"/>
        <v/>
      </c>
      <c r="FK2414" s="17" t="str">
        <f t="shared" si="275"/>
        <v/>
      </c>
      <c r="FL2414" s="18" t="str">
        <f t="shared" si="280"/>
        <v/>
      </c>
    </row>
    <row r="2415" spans="159:168">
      <c r="FC2415" s="118">
        <v>2412</v>
      </c>
      <c r="FD2415" s="118">
        <f t="shared" si="276"/>
        <v>12</v>
      </c>
      <c r="FE2415" s="118">
        <f t="shared" si="277"/>
        <v>151</v>
      </c>
      <c r="FF2415" s="118" t="str">
        <f t="shared" si="278"/>
        <v/>
      </c>
      <c r="FI2415" s="16">
        <v>2412</v>
      </c>
      <c r="FJ2415" s="17" t="str">
        <f t="shared" si="279"/>
        <v/>
      </c>
      <c r="FK2415" s="17" t="str">
        <f t="shared" si="275"/>
        <v/>
      </c>
      <c r="FL2415" s="18" t="str">
        <f t="shared" si="280"/>
        <v/>
      </c>
    </row>
    <row r="2416" spans="159:168">
      <c r="FC2416" s="118">
        <v>2413</v>
      </c>
      <c r="FD2416" s="118">
        <f t="shared" si="276"/>
        <v>13</v>
      </c>
      <c r="FE2416" s="118">
        <f t="shared" si="277"/>
        <v>151</v>
      </c>
      <c r="FF2416" s="118" t="str">
        <f t="shared" si="278"/>
        <v/>
      </c>
      <c r="FI2416" s="16">
        <v>2413</v>
      </c>
      <c r="FJ2416" s="17" t="str">
        <f t="shared" si="279"/>
        <v/>
      </c>
      <c r="FK2416" s="17" t="str">
        <f t="shared" si="275"/>
        <v/>
      </c>
      <c r="FL2416" s="18" t="str">
        <f t="shared" si="280"/>
        <v/>
      </c>
    </row>
    <row r="2417" spans="159:168">
      <c r="FC2417" s="118">
        <v>2414</v>
      </c>
      <c r="FD2417" s="118">
        <f t="shared" si="276"/>
        <v>14</v>
      </c>
      <c r="FE2417" s="118">
        <f t="shared" si="277"/>
        <v>151</v>
      </c>
      <c r="FF2417" s="118" t="str">
        <f t="shared" si="278"/>
        <v/>
      </c>
      <c r="FI2417" s="16">
        <v>2414</v>
      </c>
      <c r="FJ2417" s="17" t="str">
        <f t="shared" si="279"/>
        <v/>
      </c>
      <c r="FK2417" s="17" t="str">
        <f t="shared" si="275"/>
        <v/>
      </c>
      <c r="FL2417" s="18" t="str">
        <f t="shared" si="280"/>
        <v/>
      </c>
    </row>
    <row r="2418" spans="159:168">
      <c r="FC2418" s="118">
        <v>2415</v>
      </c>
      <c r="FD2418" s="118">
        <f t="shared" si="276"/>
        <v>15</v>
      </c>
      <c r="FE2418" s="118">
        <f t="shared" si="277"/>
        <v>151</v>
      </c>
      <c r="FF2418" s="118" t="str">
        <f t="shared" si="278"/>
        <v/>
      </c>
      <c r="FI2418" s="16">
        <v>2415</v>
      </c>
      <c r="FJ2418" s="17" t="str">
        <f t="shared" si="279"/>
        <v/>
      </c>
      <c r="FK2418" s="17" t="str">
        <f t="shared" si="275"/>
        <v/>
      </c>
      <c r="FL2418" s="18" t="str">
        <f t="shared" si="280"/>
        <v/>
      </c>
    </row>
    <row r="2419" spans="159:168">
      <c r="FC2419" s="118">
        <v>2416</v>
      </c>
      <c r="FD2419" s="118">
        <f t="shared" si="276"/>
        <v>16</v>
      </c>
      <c r="FE2419" s="118">
        <f t="shared" si="277"/>
        <v>151</v>
      </c>
      <c r="FF2419" s="118" t="str">
        <f t="shared" si="278"/>
        <v/>
      </c>
      <c r="FI2419" s="16">
        <v>2416</v>
      </c>
      <c r="FJ2419" s="17" t="str">
        <f t="shared" si="279"/>
        <v/>
      </c>
      <c r="FK2419" s="17" t="str">
        <f t="shared" si="275"/>
        <v/>
      </c>
      <c r="FL2419" s="18" t="str">
        <f t="shared" si="280"/>
        <v/>
      </c>
    </row>
    <row r="2420" spans="159:168">
      <c r="FC2420" s="118">
        <v>2417</v>
      </c>
      <c r="FD2420" s="118">
        <f t="shared" si="276"/>
        <v>1</v>
      </c>
      <c r="FE2420" s="118">
        <f t="shared" si="277"/>
        <v>152</v>
      </c>
      <c r="FF2420" s="118" t="str">
        <f t="shared" si="278"/>
        <v/>
      </c>
      <c r="FI2420" s="16">
        <v>2417</v>
      </c>
      <c r="FJ2420" s="17" t="str">
        <f t="shared" si="279"/>
        <v/>
      </c>
      <c r="FK2420" s="17" t="str">
        <f t="shared" si="275"/>
        <v/>
      </c>
      <c r="FL2420" s="18" t="str">
        <f t="shared" si="280"/>
        <v/>
      </c>
    </row>
    <row r="2421" spans="159:168">
      <c r="FC2421" s="118">
        <v>2418</v>
      </c>
      <c r="FD2421" s="118">
        <f t="shared" si="276"/>
        <v>2</v>
      </c>
      <c r="FE2421" s="118">
        <f t="shared" si="277"/>
        <v>152</v>
      </c>
      <c r="FF2421" s="118" t="str">
        <f t="shared" si="278"/>
        <v/>
      </c>
      <c r="FI2421" s="16">
        <v>2418</v>
      </c>
      <c r="FJ2421" s="17" t="str">
        <f t="shared" si="279"/>
        <v/>
      </c>
      <c r="FK2421" s="17" t="str">
        <f t="shared" si="275"/>
        <v/>
      </c>
      <c r="FL2421" s="18" t="str">
        <f t="shared" si="280"/>
        <v/>
      </c>
    </row>
    <row r="2422" spans="159:168">
      <c r="FC2422" s="118">
        <v>2419</v>
      </c>
      <c r="FD2422" s="118">
        <f t="shared" si="276"/>
        <v>3</v>
      </c>
      <c r="FE2422" s="118">
        <f t="shared" si="277"/>
        <v>152</v>
      </c>
      <c r="FF2422" s="118" t="str">
        <f t="shared" si="278"/>
        <v/>
      </c>
      <c r="FI2422" s="16">
        <v>2419</v>
      </c>
      <c r="FJ2422" s="17" t="str">
        <f t="shared" si="279"/>
        <v/>
      </c>
      <c r="FK2422" s="17" t="str">
        <f t="shared" si="275"/>
        <v/>
      </c>
      <c r="FL2422" s="18" t="str">
        <f t="shared" si="280"/>
        <v/>
      </c>
    </row>
    <row r="2423" spans="159:168">
      <c r="FC2423" s="118">
        <v>2420</v>
      </c>
      <c r="FD2423" s="118">
        <f t="shared" si="276"/>
        <v>4</v>
      </c>
      <c r="FE2423" s="118">
        <f t="shared" si="277"/>
        <v>152</v>
      </c>
      <c r="FF2423" s="118" t="str">
        <f t="shared" si="278"/>
        <v/>
      </c>
      <c r="FI2423" s="16">
        <v>2420</v>
      </c>
      <c r="FJ2423" s="17" t="str">
        <f t="shared" si="279"/>
        <v/>
      </c>
      <c r="FK2423" s="17" t="str">
        <f t="shared" si="275"/>
        <v/>
      </c>
      <c r="FL2423" s="18" t="str">
        <f t="shared" si="280"/>
        <v/>
      </c>
    </row>
    <row r="2424" spans="159:168">
      <c r="FC2424" s="118">
        <v>2421</v>
      </c>
      <c r="FD2424" s="118">
        <f t="shared" si="276"/>
        <v>5</v>
      </c>
      <c r="FE2424" s="118">
        <f t="shared" si="277"/>
        <v>152</v>
      </c>
      <c r="FF2424" s="118" t="str">
        <f t="shared" si="278"/>
        <v/>
      </c>
      <c r="FI2424" s="16">
        <v>2421</v>
      </c>
      <c r="FJ2424" s="17" t="str">
        <f t="shared" si="279"/>
        <v/>
      </c>
      <c r="FK2424" s="17" t="str">
        <f t="shared" si="275"/>
        <v/>
      </c>
      <c r="FL2424" s="18" t="str">
        <f t="shared" si="280"/>
        <v/>
      </c>
    </row>
    <row r="2425" spans="159:168">
      <c r="FC2425" s="118">
        <v>2422</v>
      </c>
      <c r="FD2425" s="118">
        <f t="shared" si="276"/>
        <v>6</v>
      </c>
      <c r="FE2425" s="118">
        <f t="shared" si="277"/>
        <v>152</v>
      </c>
      <c r="FF2425" s="118" t="str">
        <f t="shared" si="278"/>
        <v/>
      </c>
      <c r="FI2425" s="16">
        <v>2422</v>
      </c>
      <c r="FJ2425" s="17" t="str">
        <f t="shared" si="279"/>
        <v/>
      </c>
      <c r="FK2425" s="17" t="str">
        <f t="shared" si="275"/>
        <v/>
      </c>
      <c r="FL2425" s="18" t="str">
        <f t="shared" si="280"/>
        <v/>
      </c>
    </row>
    <row r="2426" spans="159:168">
      <c r="FC2426" s="118">
        <v>2423</v>
      </c>
      <c r="FD2426" s="118">
        <f t="shared" si="276"/>
        <v>7</v>
      </c>
      <c r="FE2426" s="118">
        <f t="shared" si="277"/>
        <v>152</v>
      </c>
      <c r="FF2426" s="118" t="str">
        <f t="shared" si="278"/>
        <v/>
      </c>
      <c r="FI2426" s="16">
        <v>2423</v>
      </c>
      <c r="FJ2426" s="17" t="str">
        <f t="shared" si="279"/>
        <v/>
      </c>
      <c r="FK2426" s="17" t="str">
        <f t="shared" si="275"/>
        <v/>
      </c>
      <c r="FL2426" s="18" t="str">
        <f t="shared" si="280"/>
        <v/>
      </c>
    </row>
    <row r="2427" spans="159:168">
      <c r="FC2427" s="118">
        <v>2424</v>
      </c>
      <c r="FD2427" s="118">
        <f t="shared" si="276"/>
        <v>8</v>
      </c>
      <c r="FE2427" s="118">
        <f t="shared" si="277"/>
        <v>152</v>
      </c>
      <c r="FF2427" s="118" t="str">
        <f t="shared" si="278"/>
        <v/>
      </c>
      <c r="FI2427" s="16">
        <v>2424</v>
      </c>
      <c r="FJ2427" s="17" t="str">
        <f t="shared" si="279"/>
        <v/>
      </c>
      <c r="FK2427" s="17" t="str">
        <f t="shared" si="275"/>
        <v/>
      </c>
      <c r="FL2427" s="18" t="str">
        <f t="shared" si="280"/>
        <v/>
      </c>
    </row>
    <row r="2428" spans="159:168">
      <c r="FC2428" s="118">
        <v>2425</v>
      </c>
      <c r="FD2428" s="118">
        <f t="shared" si="276"/>
        <v>9</v>
      </c>
      <c r="FE2428" s="118">
        <f t="shared" si="277"/>
        <v>152</v>
      </c>
      <c r="FF2428" s="118" t="str">
        <f t="shared" si="278"/>
        <v/>
      </c>
      <c r="FI2428" s="16">
        <v>2425</v>
      </c>
      <c r="FJ2428" s="17" t="str">
        <f t="shared" si="279"/>
        <v/>
      </c>
      <c r="FK2428" s="17" t="str">
        <f t="shared" si="275"/>
        <v/>
      </c>
      <c r="FL2428" s="18" t="str">
        <f t="shared" si="280"/>
        <v/>
      </c>
    </row>
    <row r="2429" spans="159:168">
      <c r="FC2429" s="118">
        <v>2426</v>
      </c>
      <c r="FD2429" s="118">
        <f t="shared" si="276"/>
        <v>10</v>
      </c>
      <c r="FE2429" s="118">
        <f t="shared" si="277"/>
        <v>152</v>
      </c>
      <c r="FF2429" s="118" t="str">
        <f t="shared" si="278"/>
        <v/>
      </c>
      <c r="FI2429" s="16">
        <v>2426</v>
      </c>
      <c r="FJ2429" s="17" t="str">
        <f t="shared" si="279"/>
        <v/>
      </c>
      <c r="FK2429" s="17" t="str">
        <f t="shared" si="275"/>
        <v/>
      </c>
      <c r="FL2429" s="18" t="str">
        <f t="shared" si="280"/>
        <v/>
      </c>
    </row>
    <row r="2430" spans="159:168">
      <c r="FC2430" s="118">
        <v>2427</v>
      </c>
      <c r="FD2430" s="118">
        <f t="shared" si="276"/>
        <v>11</v>
      </c>
      <c r="FE2430" s="118">
        <f t="shared" si="277"/>
        <v>152</v>
      </c>
      <c r="FF2430" s="118" t="str">
        <f t="shared" si="278"/>
        <v/>
      </c>
      <c r="FI2430" s="16">
        <v>2427</v>
      </c>
      <c r="FJ2430" s="17" t="str">
        <f t="shared" si="279"/>
        <v/>
      </c>
      <c r="FK2430" s="17" t="str">
        <f t="shared" si="275"/>
        <v/>
      </c>
      <c r="FL2430" s="18" t="str">
        <f t="shared" si="280"/>
        <v/>
      </c>
    </row>
    <row r="2431" spans="159:168">
      <c r="FC2431" s="118">
        <v>2428</v>
      </c>
      <c r="FD2431" s="118">
        <f t="shared" si="276"/>
        <v>12</v>
      </c>
      <c r="FE2431" s="118">
        <f t="shared" si="277"/>
        <v>152</v>
      </c>
      <c r="FF2431" s="118" t="str">
        <f t="shared" si="278"/>
        <v/>
      </c>
      <c r="FI2431" s="16">
        <v>2428</v>
      </c>
      <c r="FJ2431" s="17" t="str">
        <f t="shared" si="279"/>
        <v/>
      </c>
      <c r="FK2431" s="17" t="str">
        <f t="shared" si="275"/>
        <v/>
      </c>
      <c r="FL2431" s="18" t="str">
        <f t="shared" si="280"/>
        <v/>
      </c>
    </row>
    <row r="2432" spans="159:168">
      <c r="FC2432" s="118">
        <v>2429</v>
      </c>
      <c r="FD2432" s="118">
        <f t="shared" si="276"/>
        <v>13</v>
      </c>
      <c r="FE2432" s="118">
        <f t="shared" si="277"/>
        <v>152</v>
      </c>
      <c r="FF2432" s="118" t="str">
        <f t="shared" si="278"/>
        <v/>
      </c>
      <c r="FI2432" s="16">
        <v>2429</v>
      </c>
      <c r="FJ2432" s="17" t="str">
        <f t="shared" si="279"/>
        <v/>
      </c>
      <c r="FK2432" s="17" t="str">
        <f t="shared" si="275"/>
        <v/>
      </c>
      <c r="FL2432" s="18" t="str">
        <f t="shared" si="280"/>
        <v/>
      </c>
    </row>
    <row r="2433" spans="159:168">
      <c r="FC2433" s="118">
        <v>2430</v>
      </c>
      <c r="FD2433" s="118">
        <f t="shared" si="276"/>
        <v>14</v>
      </c>
      <c r="FE2433" s="118">
        <f t="shared" si="277"/>
        <v>152</v>
      </c>
      <c r="FF2433" s="118" t="str">
        <f t="shared" si="278"/>
        <v/>
      </c>
      <c r="FI2433" s="16">
        <v>2430</v>
      </c>
      <c r="FJ2433" s="17" t="str">
        <f t="shared" si="279"/>
        <v/>
      </c>
      <c r="FK2433" s="17" t="str">
        <f t="shared" si="275"/>
        <v/>
      </c>
      <c r="FL2433" s="18" t="str">
        <f t="shared" si="280"/>
        <v/>
      </c>
    </row>
    <row r="2434" spans="159:168">
      <c r="FC2434" s="118">
        <v>2431</v>
      </c>
      <c r="FD2434" s="118">
        <f t="shared" si="276"/>
        <v>15</v>
      </c>
      <c r="FE2434" s="118">
        <f t="shared" si="277"/>
        <v>152</v>
      </c>
      <c r="FF2434" s="118" t="str">
        <f t="shared" si="278"/>
        <v/>
      </c>
      <c r="FI2434" s="16">
        <v>2431</v>
      </c>
      <c r="FJ2434" s="17" t="str">
        <f t="shared" si="279"/>
        <v/>
      </c>
      <c r="FK2434" s="17" t="str">
        <f t="shared" si="275"/>
        <v/>
      </c>
      <c r="FL2434" s="18" t="str">
        <f t="shared" si="280"/>
        <v/>
      </c>
    </row>
    <row r="2435" spans="159:168">
      <c r="FC2435" s="118">
        <v>2432</v>
      </c>
      <c r="FD2435" s="118">
        <f t="shared" si="276"/>
        <v>16</v>
      </c>
      <c r="FE2435" s="118">
        <f t="shared" si="277"/>
        <v>152</v>
      </c>
      <c r="FF2435" s="118" t="str">
        <f t="shared" si="278"/>
        <v/>
      </c>
      <c r="FI2435" s="16">
        <v>2432</v>
      </c>
      <c r="FJ2435" s="17" t="str">
        <f t="shared" si="279"/>
        <v/>
      </c>
      <c r="FK2435" s="17" t="str">
        <f t="shared" si="275"/>
        <v/>
      </c>
      <c r="FL2435" s="18" t="str">
        <f t="shared" si="280"/>
        <v/>
      </c>
    </row>
    <row r="2436" spans="159:168">
      <c r="FC2436" s="118">
        <v>2433</v>
      </c>
      <c r="FD2436" s="118">
        <f t="shared" si="276"/>
        <v>1</v>
      </c>
      <c r="FE2436" s="118">
        <f t="shared" si="277"/>
        <v>153</v>
      </c>
      <c r="FF2436" s="118" t="str">
        <f t="shared" si="278"/>
        <v/>
      </c>
      <c r="FI2436" s="16">
        <v>2433</v>
      </c>
      <c r="FJ2436" s="17" t="str">
        <f t="shared" si="279"/>
        <v/>
      </c>
      <c r="FK2436" s="17" t="str">
        <f t="shared" si="275"/>
        <v/>
      </c>
      <c r="FL2436" s="18" t="str">
        <f t="shared" si="280"/>
        <v/>
      </c>
    </row>
    <row r="2437" spans="159:168">
      <c r="FC2437" s="118">
        <v>2434</v>
      </c>
      <c r="FD2437" s="118">
        <f t="shared" si="276"/>
        <v>2</v>
      </c>
      <c r="FE2437" s="118">
        <f t="shared" si="277"/>
        <v>153</v>
      </c>
      <c r="FF2437" s="118" t="str">
        <f t="shared" si="278"/>
        <v/>
      </c>
      <c r="FI2437" s="16">
        <v>2434</v>
      </c>
      <c r="FJ2437" s="17" t="str">
        <f t="shared" si="279"/>
        <v/>
      </c>
      <c r="FK2437" s="17" t="str">
        <f t="shared" ref="FK2437:FK2500" si="281">IF(FI2437&lt;=$FH$2,FF2437,IF(FI2437&lt;=$FH$2+$FH$3,INDEX($FJ$4:$FJ$2494,FI2437-$FH$2),""))</f>
        <v/>
      </c>
      <c r="FL2437" s="18" t="str">
        <f t="shared" si="280"/>
        <v/>
      </c>
    </row>
    <row r="2438" spans="159:168">
      <c r="FC2438" s="118">
        <v>2435</v>
      </c>
      <c r="FD2438" s="118">
        <f t="shared" si="276"/>
        <v>3</v>
      </c>
      <c r="FE2438" s="118">
        <f t="shared" si="277"/>
        <v>153</v>
      </c>
      <c r="FF2438" s="118" t="str">
        <f t="shared" si="278"/>
        <v/>
      </c>
      <c r="FI2438" s="16">
        <v>2435</v>
      </c>
      <c r="FJ2438" s="17" t="str">
        <f t="shared" si="279"/>
        <v/>
      </c>
      <c r="FK2438" s="17" t="str">
        <f t="shared" si="281"/>
        <v/>
      </c>
      <c r="FL2438" s="18" t="str">
        <f t="shared" si="280"/>
        <v/>
      </c>
    </row>
    <row r="2439" spans="159:168">
      <c r="FC2439" s="118">
        <v>2436</v>
      </c>
      <c r="FD2439" s="118">
        <f t="shared" si="276"/>
        <v>4</v>
      </c>
      <c r="FE2439" s="118">
        <f t="shared" si="277"/>
        <v>153</v>
      </c>
      <c r="FF2439" s="118" t="str">
        <f t="shared" si="278"/>
        <v/>
      </c>
      <c r="FI2439" s="16">
        <v>2436</v>
      </c>
      <c r="FJ2439" s="17" t="str">
        <f t="shared" si="279"/>
        <v/>
      </c>
      <c r="FK2439" s="17" t="str">
        <f t="shared" si="281"/>
        <v/>
      </c>
      <c r="FL2439" s="18" t="str">
        <f t="shared" si="280"/>
        <v/>
      </c>
    </row>
    <row r="2440" spans="159:168">
      <c r="FC2440" s="118">
        <v>2437</v>
      </c>
      <c r="FD2440" s="118">
        <f t="shared" si="276"/>
        <v>5</v>
      </c>
      <c r="FE2440" s="118">
        <f t="shared" si="277"/>
        <v>153</v>
      </c>
      <c r="FF2440" s="118" t="str">
        <f t="shared" si="278"/>
        <v/>
      </c>
      <c r="FI2440" s="16">
        <v>2437</v>
      </c>
      <c r="FJ2440" s="17" t="str">
        <f t="shared" si="279"/>
        <v/>
      </c>
      <c r="FK2440" s="17" t="str">
        <f t="shared" si="281"/>
        <v/>
      </c>
      <c r="FL2440" s="18" t="str">
        <f t="shared" si="280"/>
        <v/>
      </c>
    </row>
    <row r="2441" spans="159:168">
      <c r="FC2441" s="118">
        <v>2438</v>
      </c>
      <c r="FD2441" s="118">
        <f t="shared" si="276"/>
        <v>6</v>
      </c>
      <c r="FE2441" s="118">
        <f t="shared" si="277"/>
        <v>153</v>
      </c>
      <c r="FF2441" s="118" t="str">
        <f t="shared" si="278"/>
        <v/>
      </c>
      <c r="FI2441" s="16">
        <v>2438</v>
      </c>
      <c r="FJ2441" s="17" t="str">
        <f t="shared" si="279"/>
        <v/>
      </c>
      <c r="FK2441" s="17" t="str">
        <f t="shared" si="281"/>
        <v/>
      </c>
      <c r="FL2441" s="18" t="str">
        <f t="shared" si="280"/>
        <v/>
      </c>
    </row>
    <row r="2442" spans="159:168">
      <c r="FC2442" s="118">
        <v>2439</v>
      </c>
      <c r="FD2442" s="118">
        <f t="shared" si="276"/>
        <v>7</v>
      </c>
      <c r="FE2442" s="118">
        <f t="shared" si="277"/>
        <v>153</v>
      </c>
      <c r="FF2442" s="118" t="str">
        <f t="shared" si="278"/>
        <v/>
      </c>
      <c r="FI2442" s="16">
        <v>2439</v>
      </c>
      <c r="FJ2442" s="17" t="str">
        <f t="shared" si="279"/>
        <v/>
      </c>
      <c r="FK2442" s="17" t="str">
        <f t="shared" si="281"/>
        <v/>
      </c>
      <c r="FL2442" s="18" t="str">
        <f t="shared" si="280"/>
        <v/>
      </c>
    </row>
    <row r="2443" spans="159:168">
      <c r="FC2443" s="118">
        <v>2440</v>
      </c>
      <c r="FD2443" s="118">
        <f t="shared" si="276"/>
        <v>8</v>
      </c>
      <c r="FE2443" s="118">
        <f t="shared" si="277"/>
        <v>153</v>
      </c>
      <c r="FF2443" s="118" t="str">
        <f t="shared" si="278"/>
        <v/>
      </c>
      <c r="FI2443" s="16">
        <v>2440</v>
      </c>
      <c r="FJ2443" s="17" t="str">
        <f t="shared" si="279"/>
        <v/>
      </c>
      <c r="FK2443" s="17" t="str">
        <f t="shared" si="281"/>
        <v/>
      </c>
      <c r="FL2443" s="18" t="str">
        <f t="shared" si="280"/>
        <v/>
      </c>
    </row>
    <row r="2444" spans="159:168">
      <c r="FC2444" s="118">
        <v>2441</v>
      </c>
      <c r="FD2444" s="118">
        <f t="shared" si="276"/>
        <v>9</v>
      </c>
      <c r="FE2444" s="118">
        <f t="shared" si="277"/>
        <v>153</v>
      </c>
      <c r="FF2444" s="118" t="str">
        <f t="shared" si="278"/>
        <v/>
      </c>
      <c r="FI2444" s="16">
        <v>2441</v>
      </c>
      <c r="FJ2444" s="17" t="str">
        <f t="shared" si="279"/>
        <v/>
      </c>
      <c r="FK2444" s="17" t="str">
        <f t="shared" si="281"/>
        <v/>
      </c>
      <c r="FL2444" s="18" t="str">
        <f t="shared" si="280"/>
        <v/>
      </c>
    </row>
    <row r="2445" spans="159:168">
      <c r="FC2445" s="118">
        <v>2442</v>
      </c>
      <c r="FD2445" s="118">
        <f t="shared" si="276"/>
        <v>10</v>
      </c>
      <c r="FE2445" s="118">
        <f t="shared" si="277"/>
        <v>153</v>
      </c>
      <c r="FF2445" s="118" t="str">
        <f t="shared" si="278"/>
        <v/>
      </c>
      <c r="FI2445" s="16">
        <v>2442</v>
      </c>
      <c r="FJ2445" s="17" t="str">
        <f t="shared" si="279"/>
        <v/>
      </c>
      <c r="FK2445" s="17" t="str">
        <f t="shared" si="281"/>
        <v/>
      </c>
      <c r="FL2445" s="18" t="str">
        <f t="shared" si="280"/>
        <v/>
      </c>
    </row>
    <row r="2446" spans="159:168">
      <c r="FC2446" s="118">
        <v>2443</v>
      </c>
      <c r="FD2446" s="118">
        <f t="shared" si="276"/>
        <v>11</v>
      </c>
      <c r="FE2446" s="118">
        <f t="shared" si="277"/>
        <v>153</v>
      </c>
      <c r="FF2446" s="118" t="str">
        <f t="shared" si="278"/>
        <v/>
      </c>
      <c r="FI2446" s="16">
        <v>2443</v>
      </c>
      <c r="FJ2446" s="17" t="str">
        <f t="shared" si="279"/>
        <v/>
      </c>
      <c r="FK2446" s="17" t="str">
        <f t="shared" si="281"/>
        <v/>
      </c>
      <c r="FL2446" s="18" t="str">
        <f t="shared" si="280"/>
        <v/>
      </c>
    </row>
    <row r="2447" spans="159:168">
      <c r="FC2447" s="118">
        <v>2444</v>
      </c>
      <c r="FD2447" s="118">
        <f t="shared" si="276"/>
        <v>12</v>
      </c>
      <c r="FE2447" s="118">
        <f t="shared" si="277"/>
        <v>153</v>
      </c>
      <c r="FF2447" s="118" t="str">
        <f t="shared" si="278"/>
        <v/>
      </c>
      <c r="FI2447" s="16">
        <v>2444</v>
      </c>
      <c r="FJ2447" s="17" t="str">
        <f t="shared" si="279"/>
        <v/>
      </c>
      <c r="FK2447" s="17" t="str">
        <f t="shared" si="281"/>
        <v/>
      </c>
      <c r="FL2447" s="18" t="str">
        <f t="shared" si="280"/>
        <v/>
      </c>
    </row>
    <row r="2448" spans="159:168">
      <c r="FC2448" s="118">
        <v>2445</v>
      </c>
      <c r="FD2448" s="118">
        <f t="shared" si="276"/>
        <v>13</v>
      </c>
      <c r="FE2448" s="118">
        <f t="shared" si="277"/>
        <v>153</v>
      </c>
      <c r="FF2448" s="118" t="str">
        <f t="shared" si="278"/>
        <v/>
      </c>
      <c r="FI2448" s="16">
        <v>2445</v>
      </c>
      <c r="FJ2448" s="17" t="str">
        <f t="shared" si="279"/>
        <v/>
      </c>
      <c r="FK2448" s="17" t="str">
        <f t="shared" si="281"/>
        <v/>
      </c>
      <c r="FL2448" s="18" t="str">
        <f t="shared" si="280"/>
        <v/>
      </c>
    </row>
    <row r="2449" spans="159:168">
      <c r="FC2449" s="118">
        <v>2446</v>
      </c>
      <c r="FD2449" s="118">
        <f t="shared" si="276"/>
        <v>14</v>
      </c>
      <c r="FE2449" s="118">
        <f t="shared" si="277"/>
        <v>153</v>
      </c>
      <c r="FF2449" s="118" t="str">
        <f t="shared" si="278"/>
        <v/>
      </c>
      <c r="FI2449" s="16">
        <v>2446</v>
      </c>
      <c r="FJ2449" s="17" t="str">
        <f t="shared" si="279"/>
        <v/>
      </c>
      <c r="FK2449" s="17" t="str">
        <f t="shared" si="281"/>
        <v/>
      </c>
      <c r="FL2449" s="18" t="str">
        <f t="shared" si="280"/>
        <v/>
      </c>
    </row>
    <row r="2450" spans="159:168">
      <c r="FC2450" s="118">
        <v>2447</v>
      </c>
      <c r="FD2450" s="118">
        <f t="shared" si="276"/>
        <v>15</v>
      </c>
      <c r="FE2450" s="118">
        <f t="shared" si="277"/>
        <v>153</v>
      </c>
      <c r="FF2450" s="118" t="str">
        <f t="shared" si="278"/>
        <v/>
      </c>
      <c r="FI2450" s="16">
        <v>2447</v>
      </c>
      <c r="FJ2450" s="17" t="str">
        <f t="shared" si="279"/>
        <v/>
      </c>
      <c r="FK2450" s="17" t="str">
        <f t="shared" si="281"/>
        <v/>
      </c>
      <c r="FL2450" s="18" t="str">
        <f t="shared" si="280"/>
        <v/>
      </c>
    </row>
    <row r="2451" spans="159:168">
      <c r="FC2451" s="118">
        <v>2448</v>
      </c>
      <c r="FD2451" s="118">
        <f t="shared" si="276"/>
        <v>16</v>
      </c>
      <c r="FE2451" s="118">
        <f t="shared" si="277"/>
        <v>153</v>
      </c>
      <c r="FF2451" s="118" t="str">
        <f t="shared" si="278"/>
        <v/>
      </c>
      <c r="FI2451" s="16">
        <v>2448</v>
      </c>
      <c r="FJ2451" s="17" t="str">
        <f t="shared" si="279"/>
        <v/>
      </c>
      <c r="FK2451" s="17" t="str">
        <f t="shared" si="281"/>
        <v/>
      </c>
      <c r="FL2451" s="18" t="str">
        <f t="shared" si="280"/>
        <v/>
      </c>
    </row>
    <row r="2452" spans="159:168">
      <c r="FC2452" s="118">
        <v>2449</v>
      </c>
      <c r="FD2452" s="118">
        <f t="shared" si="276"/>
        <v>1</v>
      </c>
      <c r="FE2452" s="118">
        <f t="shared" si="277"/>
        <v>154</v>
      </c>
      <c r="FF2452" s="118" t="str">
        <f t="shared" si="278"/>
        <v/>
      </c>
      <c r="FI2452" s="16">
        <v>2449</v>
      </c>
      <c r="FJ2452" s="17" t="str">
        <f t="shared" si="279"/>
        <v/>
      </c>
      <c r="FK2452" s="17" t="str">
        <f t="shared" si="281"/>
        <v/>
      </c>
      <c r="FL2452" s="18" t="str">
        <f t="shared" si="280"/>
        <v/>
      </c>
    </row>
    <row r="2453" spans="159:168">
      <c r="FC2453" s="118">
        <v>2450</v>
      </c>
      <c r="FD2453" s="118">
        <f t="shared" si="276"/>
        <v>2</v>
      </c>
      <c r="FE2453" s="118">
        <f t="shared" si="277"/>
        <v>154</v>
      </c>
      <c r="FF2453" s="118" t="str">
        <f t="shared" si="278"/>
        <v/>
      </c>
      <c r="FI2453" s="16">
        <v>2450</v>
      </c>
      <c r="FJ2453" s="17" t="str">
        <f t="shared" si="279"/>
        <v/>
      </c>
      <c r="FK2453" s="17" t="str">
        <f t="shared" si="281"/>
        <v/>
      </c>
      <c r="FL2453" s="18" t="str">
        <f t="shared" si="280"/>
        <v/>
      </c>
    </row>
    <row r="2454" spans="159:168">
      <c r="FC2454" s="118">
        <v>2451</v>
      </c>
      <c r="FD2454" s="118">
        <f t="shared" ref="FD2454:FD2497" si="282">IF(MOD(FC2454,$FB$1+$FB$2)=0,$FB$1+$FB$2,MOD(FC2454,$FB$1+$FB$2))</f>
        <v>3</v>
      </c>
      <c r="FE2454" s="118">
        <f t="shared" ref="FE2454:FE2497" si="283">ROUNDUP(FC2454/($FB$1+$FB$2),0)</f>
        <v>154</v>
      </c>
      <c r="FF2454" s="118" t="str">
        <f t="shared" ref="FF2454:FF2497" si="284">IF(FE2454&lt;$FB$3,INDEX($E$4:$DV$84,FD2454,FE2454),IF(FE2454=$FB$3,INDEX($E$4:$DV$84,FD2454+$FB$1,FE2454),""))</f>
        <v/>
      </c>
      <c r="FI2454" s="16">
        <v>2451</v>
      </c>
      <c r="FJ2454" s="17" t="str">
        <f t="shared" ref="FJ2454:FJ2517" si="285">IF(FE2454&lt;=$FH$1,INDEX($DW$4:$EZ$84,FD2454,FE2454),"")</f>
        <v/>
      </c>
      <c r="FK2454" s="17" t="str">
        <f t="shared" si="281"/>
        <v/>
      </c>
      <c r="FL2454" s="18" t="str">
        <f t="shared" ref="FL2454:FL2517" si="286">IFERROR(TEXT(DEC2BIN(FK2454),"00000000"),"")</f>
        <v/>
      </c>
    </row>
    <row r="2455" spans="159:168">
      <c r="FC2455" s="118">
        <v>2452</v>
      </c>
      <c r="FD2455" s="118">
        <f t="shared" si="282"/>
        <v>4</v>
      </c>
      <c r="FE2455" s="118">
        <f t="shared" si="283"/>
        <v>154</v>
      </c>
      <c r="FF2455" s="118" t="str">
        <f t="shared" si="284"/>
        <v/>
      </c>
      <c r="FI2455" s="16">
        <v>2452</v>
      </c>
      <c r="FJ2455" s="17" t="str">
        <f t="shared" si="285"/>
        <v/>
      </c>
      <c r="FK2455" s="17" t="str">
        <f t="shared" si="281"/>
        <v/>
      </c>
      <c r="FL2455" s="18" t="str">
        <f t="shared" si="286"/>
        <v/>
      </c>
    </row>
    <row r="2456" spans="159:168">
      <c r="FC2456" s="118">
        <v>2453</v>
      </c>
      <c r="FD2456" s="118">
        <f t="shared" si="282"/>
        <v>5</v>
      </c>
      <c r="FE2456" s="118">
        <f t="shared" si="283"/>
        <v>154</v>
      </c>
      <c r="FF2456" s="118" t="str">
        <f t="shared" si="284"/>
        <v/>
      </c>
      <c r="FI2456" s="16">
        <v>2453</v>
      </c>
      <c r="FJ2456" s="17" t="str">
        <f t="shared" si="285"/>
        <v/>
      </c>
      <c r="FK2456" s="17" t="str">
        <f t="shared" si="281"/>
        <v/>
      </c>
      <c r="FL2456" s="18" t="str">
        <f t="shared" si="286"/>
        <v/>
      </c>
    </row>
    <row r="2457" spans="159:168">
      <c r="FC2457" s="118">
        <v>2454</v>
      </c>
      <c r="FD2457" s="118">
        <f t="shared" si="282"/>
        <v>6</v>
      </c>
      <c r="FE2457" s="118">
        <f t="shared" si="283"/>
        <v>154</v>
      </c>
      <c r="FF2457" s="118" t="str">
        <f t="shared" si="284"/>
        <v/>
      </c>
      <c r="FI2457" s="16">
        <v>2454</v>
      </c>
      <c r="FJ2457" s="17" t="str">
        <f t="shared" si="285"/>
        <v/>
      </c>
      <c r="FK2457" s="17" t="str">
        <f t="shared" si="281"/>
        <v/>
      </c>
      <c r="FL2457" s="18" t="str">
        <f t="shared" si="286"/>
        <v/>
      </c>
    </row>
    <row r="2458" spans="159:168">
      <c r="FC2458" s="118">
        <v>2455</v>
      </c>
      <c r="FD2458" s="118">
        <f t="shared" si="282"/>
        <v>7</v>
      </c>
      <c r="FE2458" s="118">
        <f t="shared" si="283"/>
        <v>154</v>
      </c>
      <c r="FF2458" s="118" t="str">
        <f t="shared" si="284"/>
        <v/>
      </c>
      <c r="FI2458" s="16">
        <v>2455</v>
      </c>
      <c r="FJ2458" s="17" t="str">
        <f t="shared" si="285"/>
        <v/>
      </c>
      <c r="FK2458" s="17" t="str">
        <f t="shared" si="281"/>
        <v/>
      </c>
      <c r="FL2458" s="18" t="str">
        <f t="shared" si="286"/>
        <v/>
      </c>
    </row>
    <row r="2459" spans="159:168">
      <c r="FC2459" s="118">
        <v>2456</v>
      </c>
      <c r="FD2459" s="118">
        <f t="shared" si="282"/>
        <v>8</v>
      </c>
      <c r="FE2459" s="118">
        <f t="shared" si="283"/>
        <v>154</v>
      </c>
      <c r="FF2459" s="118" t="str">
        <f t="shared" si="284"/>
        <v/>
      </c>
      <c r="FI2459" s="16">
        <v>2456</v>
      </c>
      <c r="FJ2459" s="17" t="str">
        <f t="shared" si="285"/>
        <v/>
      </c>
      <c r="FK2459" s="17" t="str">
        <f t="shared" si="281"/>
        <v/>
      </c>
      <c r="FL2459" s="18" t="str">
        <f t="shared" si="286"/>
        <v/>
      </c>
    </row>
    <row r="2460" spans="159:168">
      <c r="FC2460" s="118">
        <v>2457</v>
      </c>
      <c r="FD2460" s="118">
        <f t="shared" si="282"/>
        <v>9</v>
      </c>
      <c r="FE2460" s="118">
        <f t="shared" si="283"/>
        <v>154</v>
      </c>
      <c r="FF2460" s="118" t="str">
        <f t="shared" si="284"/>
        <v/>
      </c>
      <c r="FI2460" s="16">
        <v>2457</v>
      </c>
      <c r="FJ2460" s="17" t="str">
        <f t="shared" si="285"/>
        <v/>
      </c>
      <c r="FK2460" s="17" t="str">
        <f t="shared" si="281"/>
        <v/>
      </c>
      <c r="FL2460" s="18" t="str">
        <f t="shared" si="286"/>
        <v/>
      </c>
    </row>
    <row r="2461" spans="159:168">
      <c r="FC2461" s="118">
        <v>2458</v>
      </c>
      <c r="FD2461" s="118">
        <f t="shared" si="282"/>
        <v>10</v>
      </c>
      <c r="FE2461" s="118">
        <f t="shared" si="283"/>
        <v>154</v>
      </c>
      <c r="FF2461" s="118" t="str">
        <f t="shared" si="284"/>
        <v/>
      </c>
      <c r="FI2461" s="16">
        <v>2458</v>
      </c>
      <c r="FJ2461" s="17" t="str">
        <f t="shared" si="285"/>
        <v/>
      </c>
      <c r="FK2461" s="17" t="str">
        <f t="shared" si="281"/>
        <v/>
      </c>
      <c r="FL2461" s="18" t="str">
        <f t="shared" si="286"/>
        <v/>
      </c>
    </row>
    <row r="2462" spans="159:168">
      <c r="FC2462" s="118">
        <v>2459</v>
      </c>
      <c r="FD2462" s="118">
        <f t="shared" si="282"/>
        <v>11</v>
      </c>
      <c r="FE2462" s="118">
        <f t="shared" si="283"/>
        <v>154</v>
      </c>
      <c r="FF2462" s="118" t="str">
        <f t="shared" si="284"/>
        <v/>
      </c>
      <c r="FI2462" s="16">
        <v>2459</v>
      </c>
      <c r="FJ2462" s="17" t="str">
        <f t="shared" si="285"/>
        <v/>
      </c>
      <c r="FK2462" s="17" t="str">
        <f t="shared" si="281"/>
        <v/>
      </c>
      <c r="FL2462" s="18" t="str">
        <f t="shared" si="286"/>
        <v/>
      </c>
    </row>
    <row r="2463" spans="159:168">
      <c r="FC2463" s="118">
        <v>2460</v>
      </c>
      <c r="FD2463" s="118">
        <f t="shared" si="282"/>
        <v>12</v>
      </c>
      <c r="FE2463" s="118">
        <f t="shared" si="283"/>
        <v>154</v>
      </c>
      <c r="FF2463" s="118" t="str">
        <f t="shared" si="284"/>
        <v/>
      </c>
      <c r="FI2463" s="16">
        <v>2460</v>
      </c>
      <c r="FJ2463" s="17" t="str">
        <f t="shared" si="285"/>
        <v/>
      </c>
      <c r="FK2463" s="17" t="str">
        <f t="shared" si="281"/>
        <v/>
      </c>
      <c r="FL2463" s="18" t="str">
        <f t="shared" si="286"/>
        <v/>
      </c>
    </row>
    <row r="2464" spans="159:168">
      <c r="FC2464" s="118">
        <v>2461</v>
      </c>
      <c r="FD2464" s="118">
        <f t="shared" si="282"/>
        <v>13</v>
      </c>
      <c r="FE2464" s="118">
        <f t="shared" si="283"/>
        <v>154</v>
      </c>
      <c r="FF2464" s="118" t="str">
        <f t="shared" si="284"/>
        <v/>
      </c>
      <c r="FI2464" s="16">
        <v>2461</v>
      </c>
      <c r="FJ2464" s="17" t="str">
        <f t="shared" si="285"/>
        <v/>
      </c>
      <c r="FK2464" s="17" t="str">
        <f t="shared" si="281"/>
        <v/>
      </c>
      <c r="FL2464" s="18" t="str">
        <f t="shared" si="286"/>
        <v/>
      </c>
    </row>
    <row r="2465" spans="159:168">
      <c r="FC2465" s="118">
        <v>2462</v>
      </c>
      <c r="FD2465" s="118">
        <f t="shared" si="282"/>
        <v>14</v>
      </c>
      <c r="FE2465" s="118">
        <f t="shared" si="283"/>
        <v>154</v>
      </c>
      <c r="FF2465" s="118" t="str">
        <f t="shared" si="284"/>
        <v/>
      </c>
      <c r="FI2465" s="16">
        <v>2462</v>
      </c>
      <c r="FJ2465" s="17" t="str">
        <f t="shared" si="285"/>
        <v/>
      </c>
      <c r="FK2465" s="17" t="str">
        <f t="shared" si="281"/>
        <v/>
      </c>
      <c r="FL2465" s="18" t="str">
        <f t="shared" si="286"/>
        <v/>
      </c>
    </row>
    <row r="2466" spans="159:168">
      <c r="FC2466" s="118">
        <v>2463</v>
      </c>
      <c r="FD2466" s="118">
        <f t="shared" si="282"/>
        <v>15</v>
      </c>
      <c r="FE2466" s="118">
        <f t="shared" si="283"/>
        <v>154</v>
      </c>
      <c r="FF2466" s="118" t="str">
        <f t="shared" si="284"/>
        <v/>
      </c>
      <c r="FI2466" s="16">
        <v>2463</v>
      </c>
      <c r="FJ2466" s="17" t="str">
        <f t="shared" si="285"/>
        <v/>
      </c>
      <c r="FK2466" s="17" t="str">
        <f t="shared" si="281"/>
        <v/>
      </c>
      <c r="FL2466" s="18" t="str">
        <f t="shared" si="286"/>
        <v/>
      </c>
    </row>
    <row r="2467" spans="159:168">
      <c r="FC2467" s="118">
        <v>2464</v>
      </c>
      <c r="FD2467" s="118">
        <f t="shared" si="282"/>
        <v>16</v>
      </c>
      <c r="FE2467" s="118">
        <f t="shared" si="283"/>
        <v>154</v>
      </c>
      <c r="FF2467" s="118" t="str">
        <f t="shared" si="284"/>
        <v/>
      </c>
      <c r="FI2467" s="16">
        <v>2464</v>
      </c>
      <c r="FJ2467" s="17" t="str">
        <f t="shared" si="285"/>
        <v/>
      </c>
      <c r="FK2467" s="17" t="str">
        <f t="shared" si="281"/>
        <v/>
      </c>
      <c r="FL2467" s="18" t="str">
        <f t="shared" si="286"/>
        <v/>
      </c>
    </row>
    <row r="2468" spans="159:168">
      <c r="FC2468" s="118">
        <v>2465</v>
      </c>
      <c r="FD2468" s="118">
        <f t="shared" si="282"/>
        <v>1</v>
      </c>
      <c r="FE2468" s="118">
        <f t="shared" si="283"/>
        <v>155</v>
      </c>
      <c r="FF2468" s="118" t="str">
        <f t="shared" si="284"/>
        <v/>
      </c>
      <c r="FI2468" s="16">
        <v>2465</v>
      </c>
      <c r="FJ2468" s="17" t="str">
        <f t="shared" si="285"/>
        <v/>
      </c>
      <c r="FK2468" s="17" t="str">
        <f t="shared" si="281"/>
        <v/>
      </c>
      <c r="FL2468" s="18" t="str">
        <f t="shared" si="286"/>
        <v/>
      </c>
    </row>
    <row r="2469" spans="159:168">
      <c r="FC2469" s="118">
        <v>2466</v>
      </c>
      <c r="FD2469" s="118">
        <f t="shared" si="282"/>
        <v>2</v>
      </c>
      <c r="FE2469" s="118">
        <f t="shared" si="283"/>
        <v>155</v>
      </c>
      <c r="FF2469" s="118" t="str">
        <f t="shared" si="284"/>
        <v/>
      </c>
      <c r="FI2469" s="16">
        <v>2466</v>
      </c>
      <c r="FJ2469" s="17" t="str">
        <f t="shared" si="285"/>
        <v/>
      </c>
      <c r="FK2469" s="17" t="str">
        <f t="shared" si="281"/>
        <v/>
      </c>
      <c r="FL2469" s="18" t="str">
        <f t="shared" si="286"/>
        <v/>
      </c>
    </row>
    <row r="2470" spans="159:168">
      <c r="FC2470" s="118">
        <v>2467</v>
      </c>
      <c r="FD2470" s="118">
        <f t="shared" si="282"/>
        <v>3</v>
      </c>
      <c r="FE2470" s="118">
        <f t="shared" si="283"/>
        <v>155</v>
      </c>
      <c r="FF2470" s="118" t="str">
        <f t="shared" si="284"/>
        <v/>
      </c>
      <c r="FI2470" s="16">
        <v>2467</v>
      </c>
      <c r="FJ2470" s="17" t="str">
        <f t="shared" si="285"/>
        <v/>
      </c>
      <c r="FK2470" s="17" t="str">
        <f t="shared" si="281"/>
        <v/>
      </c>
      <c r="FL2470" s="18" t="str">
        <f t="shared" si="286"/>
        <v/>
      </c>
    </row>
    <row r="2471" spans="159:168">
      <c r="FC2471" s="118">
        <v>2468</v>
      </c>
      <c r="FD2471" s="118">
        <f t="shared" si="282"/>
        <v>4</v>
      </c>
      <c r="FE2471" s="118">
        <f t="shared" si="283"/>
        <v>155</v>
      </c>
      <c r="FF2471" s="118" t="str">
        <f t="shared" si="284"/>
        <v/>
      </c>
      <c r="FI2471" s="16">
        <v>2468</v>
      </c>
      <c r="FJ2471" s="17" t="str">
        <f t="shared" si="285"/>
        <v/>
      </c>
      <c r="FK2471" s="17" t="str">
        <f t="shared" si="281"/>
        <v/>
      </c>
      <c r="FL2471" s="18" t="str">
        <f t="shared" si="286"/>
        <v/>
      </c>
    </row>
    <row r="2472" spans="159:168">
      <c r="FC2472" s="118">
        <v>2469</v>
      </c>
      <c r="FD2472" s="118">
        <f t="shared" si="282"/>
        <v>5</v>
      </c>
      <c r="FE2472" s="118">
        <f t="shared" si="283"/>
        <v>155</v>
      </c>
      <c r="FF2472" s="118" t="str">
        <f t="shared" si="284"/>
        <v/>
      </c>
      <c r="FI2472" s="16">
        <v>2469</v>
      </c>
      <c r="FJ2472" s="17" t="str">
        <f t="shared" si="285"/>
        <v/>
      </c>
      <c r="FK2472" s="17" t="str">
        <f t="shared" si="281"/>
        <v/>
      </c>
      <c r="FL2472" s="18" t="str">
        <f t="shared" si="286"/>
        <v/>
      </c>
    </row>
    <row r="2473" spans="159:168">
      <c r="FC2473" s="118">
        <v>2470</v>
      </c>
      <c r="FD2473" s="118">
        <f t="shared" si="282"/>
        <v>6</v>
      </c>
      <c r="FE2473" s="118">
        <f t="shared" si="283"/>
        <v>155</v>
      </c>
      <c r="FF2473" s="118" t="str">
        <f t="shared" si="284"/>
        <v/>
      </c>
      <c r="FI2473" s="16">
        <v>2470</v>
      </c>
      <c r="FJ2473" s="17" t="str">
        <f t="shared" si="285"/>
        <v/>
      </c>
      <c r="FK2473" s="17" t="str">
        <f t="shared" si="281"/>
        <v/>
      </c>
      <c r="FL2473" s="18" t="str">
        <f t="shared" si="286"/>
        <v/>
      </c>
    </row>
    <row r="2474" spans="159:168">
      <c r="FC2474" s="118">
        <v>2471</v>
      </c>
      <c r="FD2474" s="118">
        <f t="shared" si="282"/>
        <v>7</v>
      </c>
      <c r="FE2474" s="118">
        <f t="shared" si="283"/>
        <v>155</v>
      </c>
      <c r="FF2474" s="118" t="str">
        <f t="shared" si="284"/>
        <v/>
      </c>
      <c r="FI2474" s="16">
        <v>2471</v>
      </c>
      <c r="FJ2474" s="17" t="str">
        <f t="shared" si="285"/>
        <v/>
      </c>
      <c r="FK2474" s="17" t="str">
        <f t="shared" si="281"/>
        <v/>
      </c>
      <c r="FL2474" s="18" t="str">
        <f t="shared" si="286"/>
        <v/>
      </c>
    </row>
    <row r="2475" spans="159:168">
      <c r="FC2475" s="118">
        <v>2472</v>
      </c>
      <c r="FD2475" s="118">
        <f t="shared" si="282"/>
        <v>8</v>
      </c>
      <c r="FE2475" s="118">
        <f t="shared" si="283"/>
        <v>155</v>
      </c>
      <c r="FF2475" s="118" t="str">
        <f t="shared" si="284"/>
        <v/>
      </c>
      <c r="FI2475" s="16">
        <v>2472</v>
      </c>
      <c r="FJ2475" s="17" t="str">
        <f t="shared" si="285"/>
        <v/>
      </c>
      <c r="FK2475" s="17" t="str">
        <f t="shared" si="281"/>
        <v/>
      </c>
      <c r="FL2475" s="18" t="str">
        <f t="shared" si="286"/>
        <v/>
      </c>
    </row>
    <row r="2476" spans="159:168">
      <c r="FC2476" s="118">
        <v>2473</v>
      </c>
      <c r="FD2476" s="118">
        <f t="shared" si="282"/>
        <v>9</v>
      </c>
      <c r="FE2476" s="118">
        <f t="shared" si="283"/>
        <v>155</v>
      </c>
      <c r="FF2476" s="118" t="str">
        <f t="shared" si="284"/>
        <v/>
      </c>
      <c r="FI2476" s="16">
        <v>2473</v>
      </c>
      <c r="FJ2476" s="17" t="str">
        <f t="shared" si="285"/>
        <v/>
      </c>
      <c r="FK2476" s="17" t="str">
        <f t="shared" si="281"/>
        <v/>
      </c>
      <c r="FL2476" s="18" t="str">
        <f t="shared" si="286"/>
        <v/>
      </c>
    </row>
    <row r="2477" spans="159:168">
      <c r="FC2477" s="118">
        <v>2474</v>
      </c>
      <c r="FD2477" s="118">
        <f t="shared" si="282"/>
        <v>10</v>
      </c>
      <c r="FE2477" s="118">
        <f t="shared" si="283"/>
        <v>155</v>
      </c>
      <c r="FF2477" s="118" t="str">
        <f t="shared" si="284"/>
        <v/>
      </c>
      <c r="FI2477" s="16">
        <v>2474</v>
      </c>
      <c r="FJ2477" s="17" t="str">
        <f t="shared" si="285"/>
        <v/>
      </c>
      <c r="FK2477" s="17" t="str">
        <f t="shared" si="281"/>
        <v/>
      </c>
      <c r="FL2477" s="18" t="str">
        <f t="shared" si="286"/>
        <v/>
      </c>
    </row>
    <row r="2478" spans="159:168">
      <c r="FC2478" s="118">
        <v>2475</v>
      </c>
      <c r="FD2478" s="118">
        <f t="shared" si="282"/>
        <v>11</v>
      </c>
      <c r="FE2478" s="118">
        <f t="shared" si="283"/>
        <v>155</v>
      </c>
      <c r="FF2478" s="118" t="str">
        <f t="shared" si="284"/>
        <v/>
      </c>
      <c r="FI2478" s="16">
        <v>2475</v>
      </c>
      <c r="FJ2478" s="17" t="str">
        <f t="shared" si="285"/>
        <v/>
      </c>
      <c r="FK2478" s="17" t="str">
        <f t="shared" si="281"/>
        <v/>
      </c>
      <c r="FL2478" s="18" t="str">
        <f t="shared" si="286"/>
        <v/>
      </c>
    </row>
    <row r="2479" spans="159:168">
      <c r="FC2479" s="118">
        <v>2476</v>
      </c>
      <c r="FD2479" s="118">
        <f t="shared" si="282"/>
        <v>12</v>
      </c>
      <c r="FE2479" s="118">
        <f t="shared" si="283"/>
        <v>155</v>
      </c>
      <c r="FF2479" s="118" t="str">
        <f t="shared" si="284"/>
        <v/>
      </c>
      <c r="FI2479" s="16">
        <v>2476</v>
      </c>
      <c r="FJ2479" s="17" t="str">
        <f t="shared" si="285"/>
        <v/>
      </c>
      <c r="FK2479" s="17" t="str">
        <f t="shared" si="281"/>
        <v/>
      </c>
      <c r="FL2479" s="18" t="str">
        <f t="shared" si="286"/>
        <v/>
      </c>
    </row>
    <row r="2480" spans="159:168">
      <c r="FC2480" s="118">
        <v>2477</v>
      </c>
      <c r="FD2480" s="118">
        <f t="shared" si="282"/>
        <v>13</v>
      </c>
      <c r="FE2480" s="118">
        <f t="shared" si="283"/>
        <v>155</v>
      </c>
      <c r="FF2480" s="118" t="str">
        <f t="shared" si="284"/>
        <v/>
      </c>
      <c r="FI2480" s="16">
        <v>2477</v>
      </c>
      <c r="FJ2480" s="17" t="str">
        <f t="shared" si="285"/>
        <v/>
      </c>
      <c r="FK2480" s="17" t="str">
        <f t="shared" si="281"/>
        <v/>
      </c>
      <c r="FL2480" s="18" t="str">
        <f t="shared" si="286"/>
        <v/>
      </c>
    </row>
    <row r="2481" spans="159:168">
      <c r="FC2481" s="118">
        <v>2478</v>
      </c>
      <c r="FD2481" s="118">
        <f t="shared" si="282"/>
        <v>14</v>
      </c>
      <c r="FE2481" s="118">
        <f t="shared" si="283"/>
        <v>155</v>
      </c>
      <c r="FF2481" s="118" t="str">
        <f t="shared" si="284"/>
        <v/>
      </c>
      <c r="FI2481" s="16">
        <v>2478</v>
      </c>
      <c r="FJ2481" s="17" t="str">
        <f t="shared" si="285"/>
        <v/>
      </c>
      <c r="FK2481" s="17" t="str">
        <f t="shared" si="281"/>
        <v/>
      </c>
      <c r="FL2481" s="18" t="str">
        <f t="shared" si="286"/>
        <v/>
      </c>
    </row>
    <row r="2482" spans="159:168">
      <c r="FC2482" s="118">
        <v>2479</v>
      </c>
      <c r="FD2482" s="118">
        <f t="shared" si="282"/>
        <v>15</v>
      </c>
      <c r="FE2482" s="118">
        <f t="shared" si="283"/>
        <v>155</v>
      </c>
      <c r="FF2482" s="118" t="str">
        <f t="shared" si="284"/>
        <v/>
      </c>
      <c r="FI2482" s="16">
        <v>2479</v>
      </c>
      <c r="FJ2482" s="17" t="str">
        <f t="shared" si="285"/>
        <v/>
      </c>
      <c r="FK2482" s="17" t="str">
        <f t="shared" si="281"/>
        <v/>
      </c>
      <c r="FL2482" s="18" t="str">
        <f t="shared" si="286"/>
        <v/>
      </c>
    </row>
    <row r="2483" spans="159:168">
      <c r="FC2483" s="118">
        <v>2480</v>
      </c>
      <c r="FD2483" s="118">
        <f t="shared" si="282"/>
        <v>16</v>
      </c>
      <c r="FE2483" s="118">
        <f t="shared" si="283"/>
        <v>155</v>
      </c>
      <c r="FF2483" s="118" t="str">
        <f t="shared" si="284"/>
        <v/>
      </c>
      <c r="FI2483" s="16">
        <v>2480</v>
      </c>
      <c r="FJ2483" s="17" t="str">
        <f t="shared" si="285"/>
        <v/>
      </c>
      <c r="FK2483" s="17" t="str">
        <f t="shared" si="281"/>
        <v/>
      </c>
      <c r="FL2483" s="18" t="str">
        <f t="shared" si="286"/>
        <v/>
      </c>
    </row>
    <row r="2484" spans="159:168">
      <c r="FC2484" s="118">
        <v>2481</v>
      </c>
      <c r="FD2484" s="118">
        <f t="shared" si="282"/>
        <v>1</v>
      </c>
      <c r="FE2484" s="118">
        <f t="shared" si="283"/>
        <v>156</v>
      </c>
      <c r="FF2484" s="118" t="str">
        <f t="shared" si="284"/>
        <v/>
      </c>
      <c r="FI2484" s="16">
        <v>2481</v>
      </c>
      <c r="FJ2484" s="17" t="str">
        <f t="shared" si="285"/>
        <v/>
      </c>
      <c r="FK2484" s="17" t="str">
        <f t="shared" si="281"/>
        <v/>
      </c>
      <c r="FL2484" s="18" t="str">
        <f t="shared" si="286"/>
        <v/>
      </c>
    </row>
    <row r="2485" spans="159:168">
      <c r="FC2485" s="118">
        <v>2482</v>
      </c>
      <c r="FD2485" s="118">
        <f t="shared" si="282"/>
        <v>2</v>
      </c>
      <c r="FE2485" s="118">
        <f t="shared" si="283"/>
        <v>156</v>
      </c>
      <c r="FF2485" s="118" t="str">
        <f t="shared" si="284"/>
        <v/>
      </c>
      <c r="FI2485" s="16">
        <v>2482</v>
      </c>
      <c r="FJ2485" s="17" t="str">
        <f t="shared" si="285"/>
        <v/>
      </c>
      <c r="FK2485" s="17" t="str">
        <f t="shared" si="281"/>
        <v/>
      </c>
      <c r="FL2485" s="18" t="str">
        <f t="shared" si="286"/>
        <v/>
      </c>
    </row>
    <row r="2486" spans="159:168">
      <c r="FC2486" s="118">
        <v>2483</v>
      </c>
      <c r="FD2486" s="118">
        <f t="shared" si="282"/>
        <v>3</v>
      </c>
      <c r="FE2486" s="118">
        <f t="shared" si="283"/>
        <v>156</v>
      </c>
      <c r="FF2486" s="118" t="str">
        <f t="shared" si="284"/>
        <v/>
      </c>
      <c r="FI2486" s="16">
        <v>2483</v>
      </c>
      <c r="FJ2486" s="17" t="str">
        <f t="shared" si="285"/>
        <v/>
      </c>
      <c r="FK2486" s="17" t="str">
        <f t="shared" si="281"/>
        <v/>
      </c>
      <c r="FL2486" s="18" t="str">
        <f t="shared" si="286"/>
        <v/>
      </c>
    </row>
    <row r="2487" spans="159:168">
      <c r="FC2487" s="118">
        <v>2484</v>
      </c>
      <c r="FD2487" s="118">
        <f t="shared" si="282"/>
        <v>4</v>
      </c>
      <c r="FE2487" s="118">
        <f t="shared" si="283"/>
        <v>156</v>
      </c>
      <c r="FF2487" s="118" t="str">
        <f t="shared" si="284"/>
        <v/>
      </c>
      <c r="FI2487" s="16">
        <v>2484</v>
      </c>
      <c r="FJ2487" s="17" t="str">
        <f t="shared" si="285"/>
        <v/>
      </c>
      <c r="FK2487" s="17" t="str">
        <f t="shared" si="281"/>
        <v/>
      </c>
      <c r="FL2487" s="18" t="str">
        <f t="shared" si="286"/>
        <v/>
      </c>
    </row>
    <row r="2488" spans="159:168">
      <c r="FC2488" s="118">
        <v>2485</v>
      </c>
      <c r="FD2488" s="118">
        <f t="shared" si="282"/>
        <v>5</v>
      </c>
      <c r="FE2488" s="118">
        <f t="shared" si="283"/>
        <v>156</v>
      </c>
      <c r="FF2488" s="118" t="str">
        <f t="shared" si="284"/>
        <v/>
      </c>
      <c r="FI2488" s="16">
        <v>2485</v>
      </c>
      <c r="FJ2488" s="17" t="str">
        <f t="shared" si="285"/>
        <v/>
      </c>
      <c r="FK2488" s="17" t="str">
        <f t="shared" si="281"/>
        <v/>
      </c>
      <c r="FL2488" s="18" t="str">
        <f t="shared" si="286"/>
        <v/>
      </c>
    </row>
    <row r="2489" spans="159:168">
      <c r="FC2489" s="118">
        <v>2486</v>
      </c>
      <c r="FD2489" s="118">
        <f t="shared" si="282"/>
        <v>6</v>
      </c>
      <c r="FE2489" s="118">
        <f t="shared" si="283"/>
        <v>156</v>
      </c>
      <c r="FF2489" s="118" t="str">
        <f t="shared" si="284"/>
        <v/>
      </c>
      <c r="FI2489" s="16">
        <v>2486</v>
      </c>
      <c r="FJ2489" s="17" t="str">
        <f t="shared" si="285"/>
        <v/>
      </c>
      <c r="FK2489" s="17" t="str">
        <f t="shared" si="281"/>
        <v/>
      </c>
      <c r="FL2489" s="18" t="str">
        <f t="shared" si="286"/>
        <v/>
      </c>
    </row>
    <row r="2490" spans="159:168">
      <c r="FC2490" s="118">
        <v>2487</v>
      </c>
      <c r="FD2490" s="118">
        <f t="shared" si="282"/>
        <v>7</v>
      </c>
      <c r="FE2490" s="118">
        <f t="shared" si="283"/>
        <v>156</v>
      </c>
      <c r="FF2490" s="118" t="str">
        <f t="shared" si="284"/>
        <v/>
      </c>
      <c r="FI2490" s="16">
        <v>2487</v>
      </c>
      <c r="FJ2490" s="17" t="str">
        <f t="shared" si="285"/>
        <v/>
      </c>
      <c r="FK2490" s="17" t="str">
        <f t="shared" si="281"/>
        <v/>
      </c>
      <c r="FL2490" s="18" t="str">
        <f t="shared" si="286"/>
        <v/>
      </c>
    </row>
    <row r="2491" spans="159:168">
      <c r="FC2491" s="118">
        <v>2488</v>
      </c>
      <c r="FD2491" s="118">
        <f t="shared" si="282"/>
        <v>8</v>
      </c>
      <c r="FE2491" s="118">
        <f t="shared" si="283"/>
        <v>156</v>
      </c>
      <c r="FF2491" s="118" t="str">
        <f t="shared" si="284"/>
        <v/>
      </c>
      <c r="FI2491" s="16">
        <v>2488</v>
      </c>
      <c r="FJ2491" s="17" t="str">
        <f t="shared" si="285"/>
        <v/>
      </c>
      <c r="FK2491" s="17" t="str">
        <f t="shared" si="281"/>
        <v/>
      </c>
      <c r="FL2491" s="18" t="str">
        <f t="shared" si="286"/>
        <v/>
      </c>
    </row>
    <row r="2492" spans="159:168">
      <c r="FC2492" s="118">
        <v>2489</v>
      </c>
      <c r="FD2492" s="118">
        <f t="shared" si="282"/>
        <v>9</v>
      </c>
      <c r="FE2492" s="118">
        <f t="shared" si="283"/>
        <v>156</v>
      </c>
      <c r="FF2492" s="118" t="str">
        <f t="shared" si="284"/>
        <v/>
      </c>
      <c r="FI2492" s="16">
        <v>2489</v>
      </c>
      <c r="FJ2492" s="17" t="str">
        <f t="shared" si="285"/>
        <v/>
      </c>
      <c r="FK2492" s="17" t="str">
        <f t="shared" si="281"/>
        <v/>
      </c>
      <c r="FL2492" s="18" t="str">
        <f t="shared" si="286"/>
        <v/>
      </c>
    </row>
    <row r="2493" spans="159:168">
      <c r="FC2493" s="118">
        <v>2490</v>
      </c>
      <c r="FD2493" s="118">
        <f t="shared" si="282"/>
        <v>10</v>
      </c>
      <c r="FE2493" s="118">
        <f t="shared" si="283"/>
        <v>156</v>
      </c>
      <c r="FF2493" s="118" t="str">
        <f t="shared" si="284"/>
        <v/>
      </c>
      <c r="FI2493" s="16">
        <v>2490</v>
      </c>
      <c r="FJ2493" s="17" t="str">
        <f t="shared" si="285"/>
        <v/>
      </c>
      <c r="FK2493" s="17" t="str">
        <f t="shared" si="281"/>
        <v/>
      </c>
      <c r="FL2493" s="18" t="str">
        <f t="shared" si="286"/>
        <v/>
      </c>
    </row>
    <row r="2494" spans="159:168">
      <c r="FC2494" s="118">
        <v>2491</v>
      </c>
      <c r="FD2494" s="118">
        <f t="shared" si="282"/>
        <v>11</v>
      </c>
      <c r="FE2494" s="118">
        <f t="shared" si="283"/>
        <v>156</v>
      </c>
      <c r="FF2494" s="118" t="str">
        <f t="shared" si="284"/>
        <v/>
      </c>
      <c r="FI2494" s="16">
        <v>2491</v>
      </c>
      <c r="FJ2494" s="17" t="str">
        <f t="shared" si="285"/>
        <v/>
      </c>
      <c r="FK2494" s="17" t="str">
        <f t="shared" si="281"/>
        <v/>
      </c>
      <c r="FL2494" s="18" t="str">
        <f t="shared" si="286"/>
        <v/>
      </c>
    </row>
    <row r="2495" spans="159:168">
      <c r="FC2495" s="118">
        <v>2492</v>
      </c>
      <c r="FD2495" s="118">
        <f t="shared" si="282"/>
        <v>12</v>
      </c>
      <c r="FE2495" s="118">
        <f t="shared" si="283"/>
        <v>156</v>
      </c>
      <c r="FF2495" s="118" t="str">
        <f t="shared" si="284"/>
        <v/>
      </c>
      <c r="FI2495" s="16">
        <v>2492</v>
      </c>
      <c r="FJ2495" s="17" t="str">
        <f t="shared" si="285"/>
        <v/>
      </c>
      <c r="FK2495" s="17" t="str">
        <f t="shared" si="281"/>
        <v/>
      </c>
      <c r="FL2495" s="18" t="str">
        <f t="shared" si="286"/>
        <v/>
      </c>
    </row>
    <row r="2496" spans="159:168">
      <c r="FC2496" s="118">
        <v>2493</v>
      </c>
      <c r="FD2496" s="118">
        <f t="shared" si="282"/>
        <v>13</v>
      </c>
      <c r="FE2496" s="118">
        <f t="shared" si="283"/>
        <v>156</v>
      </c>
      <c r="FF2496" s="118" t="str">
        <f t="shared" si="284"/>
        <v/>
      </c>
      <c r="FI2496" s="16">
        <v>2493</v>
      </c>
      <c r="FJ2496" s="17" t="str">
        <f t="shared" si="285"/>
        <v/>
      </c>
      <c r="FK2496" s="17" t="str">
        <f t="shared" si="281"/>
        <v/>
      </c>
      <c r="FL2496" s="18" t="str">
        <f t="shared" si="286"/>
        <v/>
      </c>
    </row>
    <row r="2497" spans="159:168">
      <c r="FC2497" s="118">
        <v>2494</v>
      </c>
      <c r="FD2497" s="118">
        <f t="shared" si="282"/>
        <v>14</v>
      </c>
      <c r="FE2497" s="118">
        <f t="shared" si="283"/>
        <v>156</v>
      </c>
      <c r="FF2497" s="118" t="str">
        <f t="shared" si="284"/>
        <v/>
      </c>
      <c r="FI2497" s="16">
        <v>2494</v>
      </c>
      <c r="FJ2497" s="17" t="str">
        <f t="shared" si="285"/>
        <v/>
      </c>
      <c r="FK2497" s="17" t="str">
        <f t="shared" si="281"/>
        <v/>
      </c>
      <c r="FL2497" s="18" t="str">
        <f t="shared" si="286"/>
        <v/>
      </c>
    </row>
    <row r="2498" spans="159:168">
      <c r="FI2498" s="16">
        <v>2495</v>
      </c>
      <c r="FJ2498" s="17" t="e">
        <f t="shared" si="285"/>
        <v>#VALUE!</v>
      </c>
      <c r="FK2498" s="17" t="str">
        <f t="shared" si="281"/>
        <v/>
      </c>
      <c r="FL2498" s="18" t="str">
        <f t="shared" si="286"/>
        <v/>
      </c>
    </row>
    <row r="2499" spans="159:168">
      <c r="FI2499" s="16">
        <v>2496</v>
      </c>
      <c r="FJ2499" s="17" t="e">
        <f t="shared" si="285"/>
        <v>#VALUE!</v>
      </c>
      <c r="FK2499" s="17" t="str">
        <f t="shared" si="281"/>
        <v/>
      </c>
      <c r="FL2499" s="18" t="str">
        <f t="shared" si="286"/>
        <v/>
      </c>
    </row>
    <row r="2500" spans="159:168">
      <c r="FI2500" s="16">
        <v>2497</v>
      </c>
      <c r="FJ2500" s="17" t="e">
        <f t="shared" si="285"/>
        <v>#VALUE!</v>
      </c>
      <c r="FK2500" s="17" t="str">
        <f t="shared" si="281"/>
        <v/>
      </c>
      <c r="FL2500" s="18" t="str">
        <f t="shared" si="286"/>
        <v/>
      </c>
    </row>
    <row r="2501" spans="159:168">
      <c r="FI2501" s="16">
        <v>2498</v>
      </c>
      <c r="FJ2501" s="17" t="e">
        <f t="shared" si="285"/>
        <v>#VALUE!</v>
      </c>
      <c r="FK2501" s="17" t="str">
        <f t="shared" ref="FK2501:FK2564" si="287">IF(FI2501&lt;=$FH$2,FF2501,IF(FI2501&lt;=$FH$2+$FH$3,INDEX($FJ$4:$FJ$2494,FI2501-$FH$2),""))</f>
        <v/>
      </c>
      <c r="FL2501" s="18" t="str">
        <f t="shared" si="286"/>
        <v/>
      </c>
    </row>
    <row r="2502" spans="159:168">
      <c r="FI2502" s="16">
        <v>2499</v>
      </c>
      <c r="FJ2502" s="17" t="e">
        <f t="shared" si="285"/>
        <v>#VALUE!</v>
      </c>
      <c r="FK2502" s="17" t="str">
        <f t="shared" si="287"/>
        <v/>
      </c>
      <c r="FL2502" s="18" t="str">
        <f t="shared" si="286"/>
        <v/>
      </c>
    </row>
    <row r="2503" spans="159:168">
      <c r="FI2503" s="16">
        <v>2500</v>
      </c>
      <c r="FJ2503" s="17" t="e">
        <f t="shared" si="285"/>
        <v>#VALUE!</v>
      </c>
      <c r="FK2503" s="17" t="str">
        <f t="shared" si="287"/>
        <v/>
      </c>
      <c r="FL2503" s="18" t="str">
        <f t="shared" si="286"/>
        <v/>
      </c>
    </row>
    <row r="2504" spans="159:168">
      <c r="FI2504" s="16">
        <v>2501</v>
      </c>
      <c r="FJ2504" s="17" t="e">
        <f t="shared" si="285"/>
        <v>#VALUE!</v>
      </c>
      <c r="FK2504" s="17" t="str">
        <f t="shared" si="287"/>
        <v/>
      </c>
      <c r="FL2504" s="18" t="str">
        <f t="shared" si="286"/>
        <v/>
      </c>
    </row>
    <row r="2505" spans="159:168">
      <c r="FI2505" s="16">
        <v>2502</v>
      </c>
      <c r="FJ2505" s="17" t="e">
        <f t="shared" si="285"/>
        <v>#VALUE!</v>
      </c>
      <c r="FK2505" s="17" t="str">
        <f t="shared" si="287"/>
        <v/>
      </c>
      <c r="FL2505" s="18" t="str">
        <f t="shared" si="286"/>
        <v/>
      </c>
    </row>
    <row r="2506" spans="159:168">
      <c r="FI2506" s="16">
        <v>2503</v>
      </c>
      <c r="FJ2506" s="17" t="e">
        <f t="shared" si="285"/>
        <v>#VALUE!</v>
      </c>
      <c r="FK2506" s="17" t="str">
        <f t="shared" si="287"/>
        <v/>
      </c>
      <c r="FL2506" s="18" t="str">
        <f t="shared" si="286"/>
        <v/>
      </c>
    </row>
    <row r="2507" spans="159:168">
      <c r="FI2507" s="16">
        <v>2504</v>
      </c>
      <c r="FJ2507" s="17" t="e">
        <f t="shared" si="285"/>
        <v>#VALUE!</v>
      </c>
      <c r="FK2507" s="17" t="str">
        <f t="shared" si="287"/>
        <v/>
      </c>
      <c r="FL2507" s="18" t="str">
        <f t="shared" si="286"/>
        <v/>
      </c>
    </row>
    <row r="2508" spans="159:168">
      <c r="FI2508" s="16">
        <v>2505</v>
      </c>
      <c r="FJ2508" s="17" t="e">
        <f t="shared" si="285"/>
        <v>#VALUE!</v>
      </c>
      <c r="FK2508" s="17" t="str">
        <f t="shared" si="287"/>
        <v/>
      </c>
      <c r="FL2508" s="18" t="str">
        <f t="shared" si="286"/>
        <v/>
      </c>
    </row>
    <row r="2509" spans="159:168">
      <c r="FI2509" s="16">
        <v>2506</v>
      </c>
      <c r="FJ2509" s="17" t="e">
        <f t="shared" si="285"/>
        <v>#VALUE!</v>
      </c>
      <c r="FK2509" s="17" t="str">
        <f t="shared" si="287"/>
        <v/>
      </c>
      <c r="FL2509" s="18" t="str">
        <f t="shared" si="286"/>
        <v/>
      </c>
    </row>
    <row r="2510" spans="159:168">
      <c r="FI2510" s="16">
        <v>2507</v>
      </c>
      <c r="FJ2510" s="17" t="e">
        <f t="shared" si="285"/>
        <v>#VALUE!</v>
      </c>
      <c r="FK2510" s="17" t="str">
        <f t="shared" si="287"/>
        <v/>
      </c>
      <c r="FL2510" s="18" t="str">
        <f t="shared" si="286"/>
        <v/>
      </c>
    </row>
    <row r="2511" spans="159:168">
      <c r="FI2511" s="16">
        <v>2508</v>
      </c>
      <c r="FJ2511" s="17" t="e">
        <f t="shared" si="285"/>
        <v>#VALUE!</v>
      </c>
      <c r="FK2511" s="17" t="str">
        <f t="shared" si="287"/>
        <v/>
      </c>
      <c r="FL2511" s="18" t="str">
        <f t="shared" si="286"/>
        <v/>
      </c>
    </row>
    <row r="2512" spans="159:168">
      <c r="FI2512" s="16">
        <v>2509</v>
      </c>
      <c r="FJ2512" s="17" t="e">
        <f t="shared" si="285"/>
        <v>#VALUE!</v>
      </c>
      <c r="FK2512" s="17" t="str">
        <f t="shared" si="287"/>
        <v/>
      </c>
      <c r="FL2512" s="18" t="str">
        <f t="shared" si="286"/>
        <v/>
      </c>
    </row>
    <row r="2513" spans="165:168">
      <c r="FI2513" s="16">
        <v>2510</v>
      </c>
      <c r="FJ2513" s="17" t="e">
        <f t="shared" si="285"/>
        <v>#VALUE!</v>
      </c>
      <c r="FK2513" s="17" t="str">
        <f t="shared" si="287"/>
        <v/>
      </c>
      <c r="FL2513" s="18" t="str">
        <f t="shared" si="286"/>
        <v/>
      </c>
    </row>
    <row r="2514" spans="165:168">
      <c r="FI2514" s="16">
        <v>2511</v>
      </c>
      <c r="FJ2514" s="17" t="e">
        <f t="shared" si="285"/>
        <v>#VALUE!</v>
      </c>
      <c r="FK2514" s="17" t="str">
        <f t="shared" si="287"/>
        <v/>
      </c>
      <c r="FL2514" s="18" t="str">
        <f t="shared" si="286"/>
        <v/>
      </c>
    </row>
    <row r="2515" spans="165:168">
      <c r="FI2515" s="16">
        <v>2512</v>
      </c>
      <c r="FJ2515" s="17" t="e">
        <f t="shared" si="285"/>
        <v>#VALUE!</v>
      </c>
      <c r="FK2515" s="17" t="str">
        <f t="shared" si="287"/>
        <v/>
      </c>
      <c r="FL2515" s="18" t="str">
        <f t="shared" si="286"/>
        <v/>
      </c>
    </row>
    <row r="2516" spans="165:168">
      <c r="FI2516" s="16">
        <v>2513</v>
      </c>
      <c r="FJ2516" s="17" t="e">
        <f t="shared" si="285"/>
        <v>#VALUE!</v>
      </c>
      <c r="FK2516" s="17" t="str">
        <f t="shared" si="287"/>
        <v/>
      </c>
      <c r="FL2516" s="18" t="str">
        <f t="shared" si="286"/>
        <v/>
      </c>
    </row>
    <row r="2517" spans="165:168">
      <c r="FI2517" s="16">
        <v>2514</v>
      </c>
      <c r="FJ2517" s="17" t="e">
        <f t="shared" si="285"/>
        <v>#VALUE!</v>
      </c>
      <c r="FK2517" s="17" t="str">
        <f t="shared" si="287"/>
        <v/>
      </c>
      <c r="FL2517" s="18" t="str">
        <f t="shared" si="286"/>
        <v/>
      </c>
    </row>
    <row r="2518" spans="165:168">
      <c r="FI2518" s="16">
        <v>2515</v>
      </c>
      <c r="FJ2518" s="17" t="e">
        <f t="shared" ref="FJ2518:FJ2581" si="288">IF(FE2518&lt;=$FH$1,INDEX($DW$4:$EZ$84,FD2518,FE2518),"")</f>
        <v>#VALUE!</v>
      </c>
      <c r="FK2518" s="17" t="str">
        <f t="shared" si="287"/>
        <v/>
      </c>
      <c r="FL2518" s="18" t="str">
        <f t="shared" ref="FL2518:FL2581" si="289">IFERROR(TEXT(DEC2BIN(FK2518),"00000000"),"")</f>
        <v/>
      </c>
    </row>
    <row r="2519" spans="165:168">
      <c r="FI2519" s="16">
        <v>2516</v>
      </c>
      <c r="FJ2519" s="17" t="e">
        <f t="shared" si="288"/>
        <v>#VALUE!</v>
      </c>
      <c r="FK2519" s="17" t="str">
        <f t="shared" si="287"/>
        <v/>
      </c>
      <c r="FL2519" s="18" t="str">
        <f t="shared" si="289"/>
        <v/>
      </c>
    </row>
    <row r="2520" spans="165:168">
      <c r="FI2520" s="16">
        <v>2517</v>
      </c>
      <c r="FJ2520" s="17" t="e">
        <f t="shared" si="288"/>
        <v>#VALUE!</v>
      </c>
      <c r="FK2520" s="17" t="str">
        <f t="shared" si="287"/>
        <v/>
      </c>
      <c r="FL2520" s="18" t="str">
        <f t="shared" si="289"/>
        <v/>
      </c>
    </row>
    <row r="2521" spans="165:168">
      <c r="FI2521" s="16">
        <v>2518</v>
      </c>
      <c r="FJ2521" s="17" t="e">
        <f t="shared" si="288"/>
        <v>#VALUE!</v>
      </c>
      <c r="FK2521" s="17" t="str">
        <f t="shared" si="287"/>
        <v/>
      </c>
      <c r="FL2521" s="18" t="str">
        <f t="shared" si="289"/>
        <v/>
      </c>
    </row>
    <row r="2522" spans="165:168">
      <c r="FI2522" s="16">
        <v>2519</v>
      </c>
      <c r="FJ2522" s="17" t="e">
        <f t="shared" si="288"/>
        <v>#VALUE!</v>
      </c>
      <c r="FK2522" s="17" t="str">
        <f t="shared" si="287"/>
        <v/>
      </c>
      <c r="FL2522" s="18" t="str">
        <f t="shared" si="289"/>
        <v/>
      </c>
    </row>
    <row r="2523" spans="165:168">
      <c r="FI2523" s="16">
        <v>2520</v>
      </c>
      <c r="FJ2523" s="17" t="e">
        <f t="shared" si="288"/>
        <v>#VALUE!</v>
      </c>
      <c r="FK2523" s="17" t="str">
        <f t="shared" si="287"/>
        <v/>
      </c>
      <c r="FL2523" s="18" t="str">
        <f t="shared" si="289"/>
        <v/>
      </c>
    </row>
    <row r="2524" spans="165:168">
      <c r="FI2524" s="16">
        <v>2521</v>
      </c>
      <c r="FJ2524" s="17" t="e">
        <f t="shared" si="288"/>
        <v>#VALUE!</v>
      </c>
      <c r="FK2524" s="17" t="str">
        <f t="shared" si="287"/>
        <v/>
      </c>
      <c r="FL2524" s="18" t="str">
        <f t="shared" si="289"/>
        <v/>
      </c>
    </row>
    <row r="2525" spans="165:168">
      <c r="FI2525" s="16">
        <v>2522</v>
      </c>
      <c r="FJ2525" s="17" t="e">
        <f t="shared" si="288"/>
        <v>#VALUE!</v>
      </c>
      <c r="FK2525" s="17" t="str">
        <f t="shared" si="287"/>
        <v/>
      </c>
      <c r="FL2525" s="18" t="str">
        <f t="shared" si="289"/>
        <v/>
      </c>
    </row>
    <row r="2526" spans="165:168">
      <c r="FI2526" s="16">
        <v>2523</v>
      </c>
      <c r="FJ2526" s="17" t="e">
        <f t="shared" si="288"/>
        <v>#VALUE!</v>
      </c>
      <c r="FK2526" s="17" t="str">
        <f t="shared" si="287"/>
        <v/>
      </c>
      <c r="FL2526" s="18" t="str">
        <f t="shared" si="289"/>
        <v/>
      </c>
    </row>
    <row r="2527" spans="165:168">
      <c r="FI2527" s="16">
        <v>2524</v>
      </c>
      <c r="FJ2527" s="17" t="e">
        <f t="shared" si="288"/>
        <v>#VALUE!</v>
      </c>
      <c r="FK2527" s="17" t="str">
        <f t="shared" si="287"/>
        <v/>
      </c>
      <c r="FL2527" s="18" t="str">
        <f t="shared" si="289"/>
        <v/>
      </c>
    </row>
    <row r="2528" spans="165:168">
      <c r="FI2528" s="16">
        <v>2525</v>
      </c>
      <c r="FJ2528" s="17" t="e">
        <f t="shared" si="288"/>
        <v>#VALUE!</v>
      </c>
      <c r="FK2528" s="17" t="str">
        <f t="shared" si="287"/>
        <v/>
      </c>
      <c r="FL2528" s="18" t="str">
        <f t="shared" si="289"/>
        <v/>
      </c>
    </row>
    <row r="2529" spans="165:168">
      <c r="FI2529" s="16">
        <v>2526</v>
      </c>
      <c r="FJ2529" s="17" t="e">
        <f t="shared" si="288"/>
        <v>#VALUE!</v>
      </c>
      <c r="FK2529" s="17" t="str">
        <f t="shared" si="287"/>
        <v/>
      </c>
      <c r="FL2529" s="18" t="str">
        <f t="shared" si="289"/>
        <v/>
      </c>
    </row>
    <row r="2530" spans="165:168">
      <c r="FI2530" s="16">
        <v>2527</v>
      </c>
      <c r="FJ2530" s="17" t="e">
        <f t="shared" si="288"/>
        <v>#VALUE!</v>
      </c>
      <c r="FK2530" s="17" t="str">
        <f t="shared" si="287"/>
        <v/>
      </c>
      <c r="FL2530" s="18" t="str">
        <f t="shared" si="289"/>
        <v/>
      </c>
    </row>
    <row r="2531" spans="165:168">
      <c r="FI2531" s="16">
        <v>2528</v>
      </c>
      <c r="FJ2531" s="17" t="e">
        <f t="shared" si="288"/>
        <v>#VALUE!</v>
      </c>
      <c r="FK2531" s="17" t="str">
        <f t="shared" si="287"/>
        <v/>
      </c>
      <c r="FL2531" s="18" t="str">
        <f t="shared" si="289"/>
        <v/>
      </c>
    </row>
    <row r="2532" spans="165:168">
      <c r="FI2532" s="16">
        <v>2529</v>
      </c>
      <c r="FJ2532" s="17" t="e">
        <f t="shared" si="288"/>
        <v>#VALUE!</v>
      </c>
      <c r="FK2532" s="17" t="str">
        <f t="shared" si="287"/>
        <v/>
      </c>
      <c r="FL2532" s="18" t="str">
        <f t="shared" si="289"/>
        <v/>
      </c>
    </row>
    <row r="2533" spans="165:168">
      <c r="FI2533" s="16">
        <v>2530</v>
      </c>
      <c r="FJ2533" s="17" t="e">
        <f t="shared" si="288"/>
        <v>#VALUE!</v>
      </c>
      <c r="FK2533" s="17" t="str">
        <f t="shared" si="287"/>
        <v/>
      </c>
      <c r="FL2533" s="18" t="str">
        <f t="shared" si="289"/>
        <v/>
      </c>
    </row>
    <row r="2534" spans="165:168">
      <c r="FI2534" s="16">
        <v>2531</v>
      </c>
      <c r="FJ2534" s="17" t="e">
        <f t="shared" si="288"/>
        <v>#VALUE!</v>
      </c>
      <c r="FK2534" s="17" t="str">
        <f t="shared" si="287"/>
        <v/>
      </c>
      <c r="FL2534" s="18" t="str">
        <f t="shared" si="289"/>
        <v/>
      </c>
    </row>
    <row r="2535" spans="165:168">
      <c r="FI2535" s="16">
        <v>2532</v>
      </c>
      <c r="FJ2535" s="17" t="e">
        <f t="shared" si="288"/>
        <v>#VALUE!</v>
      </c>
      <c r="FK2535" s="17" t="str">
        <f t="shared" si="287"/>
        <v/>
      </c>
      <c r="FL2535" s="18" t="str">
        <f t="shared" si="289"/>
        <v/>
      </c>
    </row>
    <row r="2536" spans="165:168">
      <c r="FI2536" s="16">
        <v>2533</v>
      </c>
      <c r="FJ2536" s="17" t="e">
        <f t="shared" si="288"/>
        <v>#VALUE!</v>
      </c>
      <c r="FK2536" s="17" t="str">
        <f t="shared" si="287"/>
        <v/>
      </c>
      <c r="FL2536" s="18" t="str">
        <f t="shared" si="289"/>
        <v/>
      </c>
    </row>
    <row r="2537" spans="165:168">
      <c r="FI2537" s="16">
        <v>2534</v>
      </c>
      <c r="FJ2537" s="17" t="e">
        <f t="shared" si="288"/>
        <v>#VALUE!</v>
      </c>
      <c r="FK2537" s="17" t="str">
        <f t="shared" si="287"/>
        <v/>
      </c>
      <c r="FL2537" s="18" t="str">
        <f t="shared" si="289"/>
        <v/>
      </c>
    </row>
    <row r="2538" spans="165:168">
      <c r="FI2538" s="16">
        <v>2535</v>
      </c>
      <c r="FJ2538" s="17" t="e">
        <f t="shared" si="288"/>
        <v>#VALUE!</v>
      </c>
      <c r="FK2538" s="17" t="str">
        <f t="shared" si="287"/>
        <v/>
      </c>
      <c r="FL2538" s="18" t="str">
        <f t="shared" si="289"/>
        <v/>
      </c>
    </row>
    <row r="2539" spans="165:168">
      <c r="FI2539" s="16">
        <v>2536</v>
      </c>
      <c r="FJ2539" s="17" t="e">
        <f t="shared" si="288"/>
        <v>#VALUE!</v>
      </c>
      <c r="FK2539" s="17" t="str">
        <f t="shared" si="287"/>
        <v/>
      </c>
      <c r="FL2539" s="18" t="str">
        <f t="shared" si="289"/>
        <v/>
      </c>
    </row>
    <row r="2540" spans="165:168">
      <c r="FI2540" s="16">
        <v>2537</v>
      </c>
      <c r="FJ2540" s="17" t="e">
        <f t="shared" si="288"/>
        <v>#VALUE!</v>
      </c>
      <c r="FK2540" s="17" t="str">
        <f t="shared" si="287"/>
        <v/>
      </c>
      <c r="FL2540" s="18" t="str">
        <f t="shared" si="289"/>
        <v/>
      </c>
    </row>
    <row r="2541" spans="165:168">
      <c r="FI2541" s="16">
        <v>2538</v>
      </c>
      <c r="FJ2541" s="17" t="e">
        <f t="shared" si="288"/>
        <v>#VALUE!</v>
      </c>
      <c r="FK2541" s="17" t="str">
        <f t="shared" si="287"/>
        <v/>
      </c>
      <c r="FL2541" s="18" t="str">
        <f t="shared" si="289"/>
        <v/>
      </c>
    </row>
    <row r="2542" spans="165:168">
      <c r="FI2542" s="16">
        <v>2539</v>
      </c>
      <c r="FJ2542" s="17" t="e">
        <f t="shared" si="288"/>
        <v>#VALUE!</v>
      </c>
      <c r="FK2542" s="17" t="str">
        <f t="shared" si="287"/>
        <v/>
      </c>
      <c r="FL2542" s="18" t="str">
        <f t="shared" si="289"/>
        <v/>
      </c>
    </row>
    <row r="2543" spans="165:168">
      <c r="FI2543" s="16">
        <v>2540</v>
      </c>
      <c r="FJ2543" s="17" t="e">
        <f t="shared" si="288"/>
        <v>#VALUE!</v>
      </c>
      <c r="FK2543" s="17" t="str">
        <f t="shared" si="287"/>
        <v/>
      </c>
      <c r="FL2543" s="18" t="str">
        <f t="shared" si="289"/>
        <v/>
      </c>
    </row>
    <row r="2544" spans="165:168">
      <c r="FI2544" s="16">
        <v>2541</v>
      </c>
      <c r="FJ2544" s="17" t="e">
        <f t="shared" si="288"/>
        <v>#VALUE!</v>
      </c>
      <c r="FK2544" s="17" t="str">
        <f t="shared" si="287"/>
        <v/>
      </c>
      <c r="FL2544" s="18" t="str">
        <f t="shared" si="289"/>
        <v/>
      </c>
    </row>
    <row r="2545" spans="165:168">
      <c r="FI2545" s="16">
        <v>2542</v>
      </c>
      <c r="FJ2545" s="17" t="e">
        <f t="shared" si="288"/>
        <v>#VALUE!</v>
      </c>
      <c r="FK2545" s="17" t="str">
        <f t="shared" si="287"/>
        <v/>
      </c>
      <c r="FL2545" s="18" t="str">
        <f t="shared" si="289"/>
        <v/>
      </c>
    </row>
    <row r="2546" spans="165:168">
      <c r="FI2546" s="16">
        <v>2543</v>
      </c>
      <c r="FJ2546" s="17" t="e">
        <f t="shared" si="288"/>
        <v>#VALUE!</v>
      </c>
      <c r="FK2546" s="17" t="str">
        <f t="shared" si="287"/>
        <v/>
      </c>
      <c r="FL2546" s="18" t="str">
        <f t="shared" si="289"/>
        <v/>
      </c>
    </row>
    <row r="2547" spans="165:168">
      <c r="FI2547" s="16">
        <v>2544</v>
      </c>
      <c r="FJ2547" s="17" t="e">
        <f t="shared" si="288"/>
        <v>#VALUE!</v>
      </c>
      <c r="FK2547" s="17" t="str">
        <f t="shared" si="287"/>
        <v/>
      </c>
      <c r="FL2547" s="18" t="str">
        <f t="shared" si="289"/>
        <v/>
      </c>
    </row>
    <row r="2548" spans="165:168">
      <c r="FI2548" s="16">
        <v>2545</v>
      </c>
      <c r="FJ2548" s="17" t="e">
        <f t="shared" si="288"/>
        <v>#VALUE!</v>
      </c>
      <c r="FK2548" s="17" t="str">
        <f t="shared" si="287"/>
        <v/>
      </c>
      <c r="FL2548" s="18" t="str">
        <f t="shared" si="289"/>
        <v/>
      </c>
    </row>
    <row r="2549" spans="165:168">
      <c r="FI2549" s="16">
        <v>2546</v>
      </c>
      <c r="FJ2549" s="17" t="e">
        <f t="shared" si="288"/>
        <v>#VALUE!</v>
      </c>
      <c r="FK2549" s="17" t="str">
        <f t="shared" si="287"/>
        <v/>
      </c>
      <c r="FL2549" s="18" t="str">
        <f t="shared" si="289"/>
        <v/>
      </c>
    </row>
    <row r="2550" spans="165:168">
      <c r="FI2550" s="16">
        <v>2547</v>
      </c>
      <c r="FJ2550" s="17" t="e">
        <f t="shared" si="288"/>
        <v>#VALUE!</v>
      </c>
      <c r="FK2550" s="17" t="str">
        <f t="shared" si="287"/>
        <v/>
      </c>
      <c r="FL2550" s="18" t="str">
        <f t="shared" si="289"/>
        <v/>
      </c>
    </row>
    <row r="2551" spans="165:168">
      <c r="FI2551" s="16">
        <v>2548</v>
      </c>
      <c r="FJ2551" s="17" t="e">
        <f t="shared" si="288"/>
        <v>#VALUE!</v>
      </c>
      <c r="FK2551" s="17" t="str">
        <f t="shared" si="287"/>
        <v/>
      </c>
      <c r="FL2551" s="18" t="str">
        <f t="shared" si="289"/>
        <v/>
      </c>
    </row>
    <row r="2552" spans="165:168">
      <c r="FI2552" s="16">
        <v>2549</v>
      </c>
      <c r="FJ2552" s="17" t="e">
        <f t="shared" si="288"/>
        <v>#VALUE!</v>
      </c>
      <c r="FK2552" s="17" t="str">
        <f t="shared" si="287"/>
        <v/>
      </c>
      <c r="FL2552" s="18" t="str">
        <f t="shared" si="289"/>
        <v/>
      </c>
    </row>
    <row r="2553" spans="165:168">
      <c r="FI2553" s="16">
        <v>2550</v>
      </c>
      <c r="FJ2553" s="17" t="e">
        <f t="shared" si="288"/>
        <v>#VALUE!</v>
      </c>
      <c r="FK2553" s="17" t="str">
        <f t="shared" si="287"/>
        <v/>
      </c>
      <c r="FL2553" s="18" t="str">
        <f t="shared" si="289"/>
        <v/>
      </c>
    </row>
    <row r="2554" spans="165:168">
      <c r="FI2554" s="16">
        <v>2551</v>
      </c>
      <c r="FJ2554" s="17" t="e">
        <f t="shared" si="288"/>
        <v>#VALUE!</v>
      </c>
      <c r="FK2554" s="17" t="str">
        <f t="shared" si="287"/>
        <v/>
      </c>
      <c r="FL2554" s="18" t="str">
        <f t="shared" si="289"/>
        <v/>
      </c>
    </row>
    <row r="2555" spans="165:168">
      <c r="FI2555" s="16">
        <v>2552</v>
      </c>
      <c r="FJ2555" s="17" t="e">
        <f t="shared" si="288"/>
        <v>#VALUE!</v>
      </c>
      <c r="FK2555" s="17" t="str">
        <f t="shared" si="287"/>
        <v/>
      </c>
      <c r="FL2555" s="18" t="str">
        <f t="shared" si="289"/>
        <v/>
      </c>
    </row>
    <row r="2556" spans="165:168">
      <c r="FI2556" s="16">
        <v>2553</v>
      </c>
      <c r="FJ2556" s="17" t="e">
        <f t="shared" si="288"/>
        <v>#VALUE!</v>
      </c>
      <c r="FK2556" s="17" t="str">
        <f t="shared" si="287"/>
        <v/>
      </c>
      <c r="FL2556" s="18" t="str">
        <f t="shared" si="289"/>
        <v/>
      </c>
    </row>
    <row r="2557" spans="165:168">
      <c r="FI2557" s="16">
        <v>2554</v>
      </c>
      <c r="FJ2557" s="17" t="e">
        <f t="shared" si="288"/>
        <v>#VALUE!</v>
      </c>
      <c r="FK2557" s="17" t="str">
        <f t="shared" si="287"/>
        <v/>
      </c>
      <c r="FL2557" s="18" t="str">
        <f t="shared" si="289"/>
        <v/>
      </c>
    </row>
    <row r="2558" spans="165:168">
      <c r="FI2558" s="16">
        <v>2555</v>
      </c>
      <c r="FJ2558" s="17" t="e">
        <f t="shared" si="288"/>
        <v>#VALUE!</v>
      </c>
      <c r="FK2558" s="17" t="str">
        <f t="shared" si="287"/>
        <v/>
      </c>
      <c r="FL2558" s="18" t="str">
        <f t="shared" si="289"/>
        <v/>
      </c>
    </row>
    <row r="2559" spans="165:168">
      <c r="FI2559" s="16">
        <v>2556</v>
      </c>
      <c r="FJ2559" s="17" t="e">
        <f t="shared" si="288"/>
        <v>#VALUE!</v>
      </c>
      <c r="FK2559" s="17" t="str">
        <f t="shared" si="287"/>
        <v/>
      </c>
      <c r="FL2559" s="18" t="str">
        <f t="shared" si="289"/>
        <v/>
      </c>
    </row>
    <row r="2560" spans="165:168">
      <c r="FI2560" s="16">
        <v>2557</v>
      </c>
      <c r="FJ2560" s="17" t="e">
        <f t="shared" si="288"/>
        <v>#VALUE!</v>
      </c>
      <c r="FK2560" s="17" t="str">
        <f t="shared" si="287"/>
        <v/>
      </c>
      <c r="FL2560" s="18" t="str">
        <f t="shared" si="289"/>
        <v/>
      </c>
    </row>
    <row r="2561" spans="165:168">
      <c r="FI2561" s="16">
        <v>2558</v>
      </c>
      <c r="FJ2561" s="17" t="e">
        <f t="shared" si="288"/>
        <v>#VALUE!</v>
      </c>
      <c r="FK2561" s="17" t="str">
        <f t="shared" si="287"/>
        <v/>
      </c>
      <c r="FL2561" s="18" t="str">
        <f t="shared" si="289"/>
        <v/>
      </c>
    </row>
    <row r="2562" spans="165:168">
      <c r="FI2562" s="16">
        <v>2559</v>
      </c>
      <c r="FJ2562" s="17" t="e">
        <f t="shared" si="288"/>
        <v>#VALUE!</v>
      </c>
      <c r="FK2562" s="17" t="str">
        <f t="shared" si="287"/>
        <v/>
      </c>
      <c r="FL2562" s="18" t="str">
        <f t="shared" si="289"/>
        <v/>
      </c>
    </row>
    <row r="2563" spans="165:168">
      <c r="FI2563" s="16">
        <v>2560</v>
      </c>
      <c r="FJ2563" s="17" t="e">
        <f t="shared" si="288"/>
        <v>#VALUE!</v>
      </c>
      <c r="FK2563" s="17" t="str">
        <f t="shared" si="287"/>
        <v/>
      </c>
      <c r="FL2563" s="18" t="str">
        <f t="shared" si="289"/>
        <v/>
      </c>
    </row>
    <row r="2564" spans="165:168">
      <c r="FI2564" s="16">
        <v>2561</v>
      </c>
      <c r="FJ2564" s="17" t="e">
        <f t="shared" si="288"/>
        <v>#VALUE!</v>
      </c>
      <c r="FK2564" s="17" t="str">
        <f t="shared" si="287"/>
        <v/>
      </c>
      <c r="FL2564" s="18" t="str">
        <f t="shared" si="289"/>
        <v/>
      </c>
    </row>
    <row r="2565" spans="165:168">
      <c r="FI2565" s="16">
        <v>2562</v>
      </c>
      <c r="FJ2565" s="17" t="e">
        <f t="shared" si="288"/>
        <v>#VALUE!</v>
      </c>
      <c r="FK2565" s="17" t="str">
        <f t="shared" ref="FK2565:FK2628" si="290">IF(FI2565&lt;=$FH$2,FF2565,IF(FI2565&lt;=$FH$2+$FH$3,INDEX($FJ$4:$FJ$2494,FI2565-$FH$2),""))</f>
        <v/>
      </c>
      <c r="FL2565" s="18" t="str">
        <f t="shared" si="289"/>
        <v/>
      </c>
    </row>
    <row r="2566" spans="165:168">
      <c r="FI2566" s="16">
        <v>2563</v>
      </c>
      <c r="FJ2566" s="17" t="e">
        <f t="shared" si="288"/>
        <v>#VALUE!</v>
      </c>
      <c r="FK2566" s="17" t="str">
        <f t="shared" si="290"/>
        <v/>
      </c>
      <c r="FL2566" s="18" t="str">
        <f t="shared" si="289"/>
        <v/>
      </c>
    </row>
    <row r="2567" spans="165:168">
      <c r="FI2567" s="16">
        <v>2564</v>
      </c>
      <c r="FJ2567" s="17" t="e">
        <f t="shared" si="288"/>
        <v>#VALUE!</v>
      </c>
      <c r="FK2567" s="17" t="str">
        <f t="shared" si="290"/>
        <v/>
      </c>
      <c r="FL2567" s="18" t="str">
        <f t="shared" si="289"/>
        <v/>
      </c>
    </row>
    <row r="2568" spans="165:168">
      <c r="FI2568" s="16">
        <v>2565</v>
      </c>
      <c r="FJ2568" s="17" t="e">
        <f t="shared" si="288"/>
        <v>#VALUE!</v>
      </c>
      <c r="FK2568" s="17" t="str">
        <f t="shared" si="290"/>
        <v/>
      </c>
      <c r="FL2568" s="18" t="str">
        <f t="shared" si="289"/>
        <v/>
      </c>
    </row>
    <row r="2569" spans="165:168">
      <c r="FI2569" s="16">
        <v>2566</v>
      </c>
      <c r="FJ2569" s="17" t="e">
        <f t="shared" si="288"/>
        <v>#VALUE!</v>
      </c>
      <c r="FK2569" s="17" t="str">
        <f t="shared" si="290"/>
        <v/>
      </c>
      <c r="FL2569" s="18" t="str">
        <f t="shared" si="289"/>
        <v/>
      </c>
    </row>
    <row r="2570" spans="165:168">
      <c r="FI2570" s="16">
        <v>2567</v>
      </c>
      <c r="FJ2570" s="17" t="e">
        <f t="shared" si="288"/>
        <v>#VALUE!</v>
      </c>
      <c r="FK2570" s="17" t="str">
        <f t="shared" si="290"/>
        <v/>
      </c>
      <c r="FL2570" s="18" t="str">
        <f t="shared" si="289"/>
        <v/>
      </c>
    </row>
    <row r="2571" spans="165:168">
      <c r="FI2571" s="16">
        <v>2568</v>
      </c>
      <c r="FJ2571" s="17" t="e">
        <f t="shared" si="288"/>
        <v>#VALUE!</v>
      </c>
      <c r="FK2571" s="17" t="str">
        <f t="shared" si="290"/>
        <v/>
      </c>
      <c r="FL2571" s="18" t="str">
        <f t="shared" si="289"/>
        <v/>
      </c>
    </row>
    <row r="2572" spans="165:168">
      <c r="FI2572" s="16">
        <v>2569</v>
      </c>
      <c r="FJ2572" s="17" t="e">
        <f t="shared" si="288"/>
        <v>#VALUE!</v>
      </c>
      <c r="FK2572" s="17" t="str">
        <f t="shared" si="290"/>
        <v/>
      </c>
      <c r="FL2572" s="18" t="str">
        <f t="shared" si="289"/>
        <v/>
      </c>
    </row>
    <row r="2573" spans="165:168">
      <c r="FI2573" s="16">
        <v>2570</v>
      </c>
      <c r="FJ2573" s="17" t="e">
        <f t="shared" si="288"/>
        <v>#VALUE!</v>
      </c>
      <c r="FK2573" s="17" t="str">
        <f t="shared" si="290"/>
        <v/>
      </c>
      <c r="FL2573" s="18" t="str">
        <f t="shared" si="289"/>
        <v/>
      </c>
    </row>
    <row r="2574" spans="165:168">
      <c r="FI2574" s="16">
        <v>2571</v>
      </c>
      <c r="FJ2574" s="17" t="e">
        <f t="shared" si="288"/>
        <v>#VALUE!</v>
      </c>
      <c r="FK2574" s="17" t="str">
        <f t="shared" si="290"/>
        <v/>
      </c>
      <c r="FL2574" s="18" t="str">
        <f t="shared" si="289"/>
        <v/>
      </c>
    </row>
    <row r="2575" spans="165:168">
      <c r="FI2575" s="16">
        <v>2572</v>
      </c>
      <c r="FJ2575" s="17" t="e">
        <f t="shared" si="288"/>
        <v>#VALUE!</v>
      </c>
      <c r="FK2575" s="17" t="str">
        <f t="shared" si="290"/>
        <v/>
      </c>
      <c r="FL2575" s="18" t="str">
        <f t="shared" si="289"/>
        <v/>
      </c>
    </row>
    <row r="2576" spans="165:168">
      <c r="FI2576" s="16">
        <v>2573</v>
      </c>
      <c r="FJ2576" s="17" t="e">
        <f t="shared" si="288"/>
        <v>#VALUE!</v>
      </c>
      <c r="FK2576" s="17" t="str">
        <f t="shared" si="290"/>
        <v/>
      </c>
      <c r="FL2576" s="18" t="str">
        <f t="shared" si="289"/>
        <v/>
      </c>
    </row>
    <row r="2577" spans="165:168">
      <c r="FI2577" s="16">
        <v>2574</v>
      </c>
      <c r="FJ2577" s="17" t="e">
        <f t="shared" si="288"/>
        <v>#VALUE!</v>
      </c>
      <c r="FK2577" s="17" t="str">
        <f t="shared" si="290"/>
        <v/>
      </c>
      <c r="FL2577" s="18" t="str">
        <f t="shared" si="289"/>
        <v/>
      </c>
    </row>
    <row r="2578" spans="165:168">
      <c r="FI2578" s="16">
        <v>2575</v>
      </c>
      <c r="FJ2578" s="17" t="e">
        <f t="shared" si="288"/>
        <v>#VALUE!</v>
      </c>
      <c r="FK2578" s="17" t="str">
        <f t="shared" si="290"/>
        <v/>
      </c>
      <c r="FL2578" s="18" t="str">
        <f t="shared" si="289"/>
        <v/>
      </c>
    </row>
    <row r="2579" spans="165:168">
      <c r="FI2579" s="16">
        <v>2576</v>
      </c>
      <c r="FJ2579" s="17" t="e">
        <f t="shared" si="288"/>
        <v>#VALUE!</v>
      </c>
      <c r="FK2579" s="17" t="str">
        <f t="shared" si="290"/>
        <v/>
      </c>
      <c r="FL2579" s="18" t="str">
        <f t="shared" si="289"/>
        <v/>
      </c>
    </row>
    <row r="2580" spans="165:168">
      <c r="FI2580" s="16">
        <v>2577</v>
      </c>
      <c r="FJ2580" s="17" t="e">
        <f t="shared" si="288"/>
        <v>#VALUE!</v>
      </c>
      <c r="FK2580" s="17" t="str">
        <f t="shared" si="290"/>
        <v/>
      </c>
      <c r="FL2580" s="18" t="str">
        <f t="shared" si="289"/>
        <v/>
      </c>
    </row>
    <row r="2581" spans="165:168">
      <c r="FI2581" s="16">
        <v>2578</v>
      </c>
      <c r="FJ2581" s="17" t="e">
        <f t="shared" si="288"/>
        <v>#VALUE!</v>
      </c>
      <c r="FK2581" s="17" t="str">
        <f t="shared" si="290"/>
        <v/>
      </c>
      <c r="FL2581" s="18" t="str">
        <f t="shared" si="289"/>
        <v/>
      </c>
    </row>
    <row r="2582" spans="165:168">
      <c r="FI2582" s="16">
        <v>2579</v>
      </c>
      <c r="FJ2582" s="17" t="e">
        <f t="shared" ref="FJ2582:FJ2645" si="291">IF(FE2582&lt;=$FH$1,INDEX($DW$4:$EZ$84,FD2582,FE2582),"")</f>
        <v>#VALUE!</v>
      </c>
      <c r="FK2582" s="17" t="str">
        <f t="shared" si="290"/>
        <v/>
      </c>
      <c r="FL2582" s="18" t="str">
        <f t="shared" ref="FL2582:FL2645" si="292">IFERROR(TEXT(DEC2BIN(FK2582),"00000000"),"")</f>
        <v/>
      </c>
    </row>
    <row r="2583" spans="165:168">
      <c r="FI2583" s="16">
        <v>2580</v>
      </c>
      <c r="FJ2583" s="17" t="e">
        <f t="shared" si="291"/>
        <v>#VALUE!</v>
      </c>
      <c r="FK2583" s="17" t="str">
        <f t="shared" si="290"/>
        <v/>
      </c>
      <c r="FL2583" s="18" t="str">
        <f t="shared" si="292"/>
        <v/>
      </c>
    </row>
    <row r="2584" spans="165:168">
      <c r="FI2584" s="16">
        <v>2581</v>
      </c>
      <c r="FJ2584" s="17" t="e">
        <f t="shared" si="291"/>
        <v>#VALUE!</v>
      </c>
      <c r="FK2584" s="17" t="str">
        <f t="shared" si="290"/>
        <v/>
      </c>
      <c r="FL2584" s="18" t="str">
        <f t="shared" si="292"/>
        <v/>
      </c>
    </row>
    <row r="2585" spans="165:168">
      <c r="FI2585" s="16">
        <v>2582</v>
      </c>
      <c r="FJ2585" s="17" t="e">
        <f t="shared" si="291"/>
        <v>#VALUE!</v>
      </c>
      <c r="FK2585" s="17" t="str">
        <f t="shared" si="290"/>
        <v/>
      </c>
      <c r="FL2585" s="18" t="str">
        <f t="shared" si="292"/>
        <v/>
      </c>
    </row>
    <row r="2586" spans="165:168">
      <c r="FI2586" s="16">
        <v>2583</v>
      </c>
      <c r="FJ2586" s="17" t="e">
        <f t="shared" si="291"/>
        <v>#VALUE!</v>
      </c>
      <c r="FK2586" s="17" t="str">
        <f t="shared" si="290"/>
        <v/>
      </c>
      <c r="FL2586" s="18" t="str">
        <f t="shared" si="292"/>
        <v/>
      </c>
    </row>
    <row r="2587" spans="165:168">
      <c r="FI2587" s="16">
        <v>2584</v>
      </c>
      <c r="FJ2587" s="17" t="e">
        <f t="shared" si="291"/>
        <v>#VALUE!</v>
      </c>
      <c r="FK2587" s="17" t="str">
        <f t="shared" si="290"/>
        <v/>
      </c>
      <c r="FL2587" s="18" t="str">
        <f t="shared" si="292"/>
        <v/>
      </c>
    </row>
    <row r="2588" spans="165:168">
      <c r="FI2588" s="16">
        <v>2585</v>
      </c>
      <c r="FJ2588" s="17" t="e">
        <f t="shared" si="291"/>
        <v>#VALUE!</v>
      </c>
      <c r="FK2588" s="17" t="str">
        <f t="shared" si="290"/>
        <v/>
      </c>
      <c r="FL2588" s="18" t="str">
        <f t="shared" si="292"/>
        <v/>
      </c>
    </row>
    <row r="2589" spans="165:168">
      <c r="FI2589" s="16">
        <v>2586</v>
      </c>
      <c r="FJ2589" s="17" t="e">
        <f t="shared" si="291"/>
        <v>#VALUE!</v>
      </c>
      <c r="FK2589" s="17" t="str">
        <f t="shared" si="290"/>
        <v/>
      </c>
      <c r="FL2589" s="18" t="str">
        <f t="shared" si="292"/>
        <v/>
      </c>
    </row>
    <row r="2590" spans="165:168">
      <c r="FI2590" s="16">
        <v>2587</v>
      </c>
      <c r="FJ2590" s="17" t="e">
        <f t="shared" si="291"/>
        <v>#VALUE!</v>
      </c>
      <c r="FK2590" s="17" t="str">
        <f t="shared" si="290"/>
        <v/>
      </c>
      <c r="FL2590" s="18" t="str">
        <f t="shared" si="292"/>
        <v/>
      </c>
    </row>
    <row r="2591" spans="165:168">
      <c r="FI2591" s="16">
        <v>2588</v>
      </c>
      <c r="FJ2591" s="17" t="e">
        <f t="shared" si="291"/>
        <v>#VALUE!</v>
      </c>
      <c r="FK2591" s="17" t="str">
        <f t="shared" si="290"/>
        <v/>
      </c>
      <c r="FL2591" s="18" t="str">
        <f t="shared" si="292"/>
        <v/>
      </c>
    </row>
    <row r="2592" spans="165:168">
      <c r="FI2592" s="16">
        <v>2589</v>
      </c>
      <c r="FJ2592" s="17" t="e">
        <f t="shared" si="291"/>
        <v>#VALUE!</v>
      </c>
      <c r="FK2592" s="17" t="str">
        <f t="shared" si="290"/>
        <v/>
      </c>
      <c r="FL2592" s="18" t="str">
        <f t="shared" si="292"/>
        <v/>
      </c>
    </row>
    <row r="2593" spans="165:168">
      <c r="FI2593" s="16">
        <v>2590</v>
      </c>
      <c r="FJ2593" s="17" t="e">
        <f t="shared" si="291"/>
        <v>#VALUE!</v>
      </c>
      <c r="FK2593" s="17" t="str">
        <f t="shared" si="290"/>
        <v/>
      </c>
      <c r="FL2593" s="18" t="str">
        <f t="shared" si="292"/>
        <v/>
      </c>
    </row>
    <row r="2594" spans="165:168">
      <c r="FI2594" s="16">
        <v>2591</v>
      </c>
      <c r="FJ2594" s="17" t="e">
        <f t="shared" si="291"/>
        <v>#VALUE!</v>
      </c>
      <c r="FK2594" s="17" t="str">
        <f t="shared" si="290"/>
        <v/>
      </c>
      <c r="FL2594" s="18" t="str">
        <f t="shared" si="292"/>
        <v/>
      </c>
    </row>
    <row r="2595" spans="165:168">
      <c r="FI2595" s="16">
        <v>2592</v>
      </c>
      <c r="FJ2595" s="17" t="e">
        <f t="shared" si="291"/>
        <v>#VALUE!</v>
      </c>
      <c r="FK2595" s="17" t="str">
        <f t="shared" si="290"/>
        <v/>
      </c>
      <c r="FL2595" s="18" t="str">
        <f t="shared" si="292"/>
        <v/>
      </c>
    </row>
    <row r="2596" spans="165:168">
      <c r="FI2596" s="16">
        <v>2593</v>
      </c>
      <c r="FJ2596" s="17" t="e">
        <f t="shared" si="291"/>
        <v>#VALUE!</v>
      </c>
      <c r="FK2596" s="17" t="str">
        <f t="shared" si="290"/>
        <v/>
      </c>
      <c r="FL2596" s="18" t="str">
        <f t="shared" si="292"/>
        <v/>
      </c>
    </row>
    <row r="2597" spans="165:168">
      <c r="FI2597" s="16">
        <v>2594</v>
      </c>
      <c r="FJ2597" s="17" t="e">
        <f t="shared" si="291"/>
        <v>#VALUE!</v>
      </c>
      <c r="FK2597" s="17" t="str">
        <f t="shared" si="290"/>
        <v/>
      </c>
      <c r="FL2597" s="18" t="str">
        <f t="shared" si="292"/>
        <v/>
      </c>
    </row>
    <row r="2598" spans="165:168">
      <c r="FI2598" s="16">
        <v>2595</v>
      </c>
      <c r="FJ2598" s="17" t="e">
        <f t="shared" si="291"/>
        <v>#VALUE!</v>
      </c>
      <c r="FK2598" s="17" t="str">
        <f t="shared" si="290"/>
        <v/>
      </c>
      <c r="FL2598" s="18" t="str">
        <f t="shared" si="292"/>
        <v/>
      </c>
    </row>
    <row r="2599" spans="165:168">
      <c r="FI2599" s="16">
        <v>2596</v>
      </c>
      <c r="FJ2599" s="17" t="e">
        <f t="shared" si="291"/>
        <v>#VALUE!</v>
      </c>
      <c r="FK2599" s="17" t="str">
        <f t="shared" si="290"/>
        <v/>
      </c>
      <c r="FL2599" s="18" t="str">
        <f t="shared" si="292"/>
        <v/>
      </c>
    </row>
    <row r="2600" spans="165:168">
      <c r="FI2600" s="16">
        <v>2597</v>
      </c>
      <c r="FJ2600" s="17" t="e">
        <f t="shared" si="291"/>
        <v>#VALUE!</v>
      </c>
      <c r="FK2600" s="17" t="str">
        <f t="shared" si="290"/>
        <v/>
      </c>
      <c r="FL2600" s="18" t="str">
        <f t="shared" si="292"/>
        <v/>
      </c>
    </row>
    <row r="2601" spans="165:168">
      <c r="FI2601" s="16">
        <v>2598</v>
      </c>
      <c r="FJ2601" s="17" t="e">
        <f t="shared" si="291"/>
        <v>#VALUE!</v>
      </c>
      <c r="FK2601" s="17" t="str">
        <f t="shared" si="290"/>
        <v/>
      </c>
      <c r="FL2601" s="18" t="str">
        <f t="shared" si="292"/>
        <v/>
      </c>
    </row>
    <row r="2602" spans="165:168">
      <c r="FI2602" s="16">
        <v>2599</v>
      </c>
      <c r="FJ2602" s="17" t="e">
        <f t="shared" si="291"/>
        <v>#VALUE!</v>
      </c>
      <c r="FK2602" s="17" t="str">
        <f t="shared" si="290"/>
        <v/>
      </c>
      <c r="FL2602" s="18" t="str">
        <f t="shared" si="292"/>
        <v/>
      </c>
    </row>
    <row r="2603" spans="165:168">
      <c r="FI2603" s="16">
        <v>2600</v>
      </c>
      <c r="FJ2603" s="17" t="e">
        <f t="shared" si="291"/>
        <v>#VALUE!</v>
      </c>
      <c r="FK2603" s="17" t="str">
        <f t="shared" si="290"/>
        <v/>
      </c>
      <c r="FL2603" s="18" t="str">
        <f t="shared" si="292"/>
        <v/>
      </c>
    </row>
    <row r="2604" spans="165:168">
      <c r="FI2604" s="16">
        <v>2601</v>
      </c>
      <c r="FJ2604" s="17" t="e">
        <f t="shared" si="291"/>
        <v>#VALUE!</v>
      </c>
      <c r="FK2604" s="17" t="str">
        <f t="shared" si="290"/>
        <v/>
      </c>
      <c r="FL2604" s="18" t="str">
        <f t="shared" si="292"/>
        <v/>
      </c>
    </row>
    <row r="2605" spans="165:168">
      <c r="FI2605" s="16">
        <v>2602</v>
      </c>
      <c r="FJ2605" s="17" t="e">
        <f t="shared" si="291"/>
        <v>#VALUE!</v>
      </c>
      <c r="FK2605" s="17" t="str">
        <f t="shared" si="290"/>
        <v/>
      </c>
      <c r="FL2605" s="18" t="str">
        <f t="shared" si="292"/>
        <v/>
      </c>
    </row>
    <row r="2606" spans="165:168">
      <c r="FI2606" s="16">
        <v>2603</v>
      </c>
      <c r="FJ2606" s="17" t="e">
        <f t="shared" si="291"/>
        <v>#VALUE!</v>
      </c>
      <c r="FK2606" s="17" t="str">
        <f t="shared" si="290"/>
        <v/>
      </c>
      <c r="FL2606" s="18" t="str">
        <f t="shared" si="292"/>
        <v/>
      </c>
    </row>
    <row r="2607" spans="165:168">
      <c r="FI2607" s="16">
        <v>2604</v>
      </c>
      <c r="FJ2607" s="17" t="e">
        <f t="shared" si="291"/>
        <v>#VALUE!</v>
      </c>
      <c r="FK2607" s="17" t="str">
        <f t="shared" si="290"/>
        <v/>
      </c>
      <c r="FL2607" s="18" t="str">
        <f t="shared" si="292"/>
        <v/>
      </c>
    </row>
    <row r="2608" spans="165:168">
      <c r="FI2608" s="16">
        <v>2605</v>
      </c>
      <c r="FJ2608" s="17" t="e">
        <f t="shared" si="291"/>
        <v>#VALUE!</v>
      </c>
      <c r="FK2608" s="17" t="str">
        <f t="shared" si="290"/>
        <v/>
      </c>
      <c r="FL2608" s="18" t="str">
        <f t="shared" si="292"/>
        <v/>
      </c>
    </row>
    <row r="2609" spans="165:168">
      <c r="FI2609" s="16">
        <v>2606</v>
      </c>
      <c r="FJ2609" s="17" t="e">
        <f t="shared" si="291"/>
        <v>#VALUE!</v>
      </c>
      <c r="FK2609" s="17" t="str">
        <f t="shared" si="290"/>
        <v/>
      </c>
      <c r="FL2609" s="18" t="str">
        <f t="shared" si="292"/>
        <v/>
      </c>
    </row>
    <row r="2610" spans="165:168">
      <c r="FI2610" s="16">
        <v>2607</v>
      </c>
      <c r="FJ2610" s="17" t="e">
        <f t="shared" si="291"/>
        <v>#VALUE!</v>
      </c>
      <c r="FK2610" s="17" t="str">
        <f t="shared" si="290"/>
        <v/>
      </c>
      <c r="FL2610" s="18" t="str">
        <f t="shared" si="292"/>
        <v/>
      </c>
    </row>
    <row r="2611" spans="165:168">
      <c r="FI2611" s="16">
        <v>2608</v>
      </c>
      <c r="FJ2611" s="17" t="e">
        <f t="shared" si="291"/>
        <v>#VALUE!</v>
      </c>
      <c r="FK2611" s="17" t="str">
        <f t="shared" si="290"/>
        <v/>
      </c>
      <c r="FL2611" s="18" t="str">
        <f t="shared" si="292"/>
        <v/>
      </c>
    </row>
    <row r="2612" spans="165:168">
      <c r="FI2612" s="16">
        <v>2609</v>
      </c>
      <c r="FJ2612" s="17" t="e">
        <f t="shared" si="291"/>
        <v>#VALUE!</v>
      </c>
      <c r="FK2612" s="17" t="str">
        <f t="shared" si="290"/>
        <v/>
      </c>
      <c r="FL2612" s="18" t="str">
        <f t="shared" si="292"/>
        <v/>
      </c>
    </row>
    <row r="2613" spans="165:168">
      <c r="FI2613" s="16">
        <v>2610</v>
      </c>
      <c r="FJ2613" s="17" t="e">
        <f t="shared" si="291"/>
        <v>#VALUE!</v>
      </c>
      <c r="FK2613" s="17" t="str">
        <f t="shared" si="290"/>
        <v/>
      </c>
      <c r="FL2613" s="18" t="str">
        <f t="shared" si="292"/>
        <v/>
      </c>
    </row>
    <row r="2614" spans="165:168">
      <c r="FI2614" s="16">
        <v>2611</v>
      </c>
      <c r="FJ2614" s="17" t="e">
        <f t="shared" si="291"/>
        <v>#VALUE!</v>
      </c>
      <c r="FK2614" s="17" t="str">
        <f t="shared" si="290"/>
        <v/>
      </c>
      <c r="FL2614" s="18" t="str">
        <f t="shared" si="292"/>
        <v/>
      </c>
    </row>
    <row r="2615" spans="165:168">
      <c r="FI2615" s="16">
        <v>2612</v>
      </c>
      <c r="FJ2615" s="17" t="e">
        <f t="shared" si="291"/>
        <v>#VALUE!</v>
      </c>
      <c r="FK2615" s="17" t="str">
        <f t="shared" si="290"/>
        <v/>
      </c>
      <c r="FL2615" s="18" t="str">
        <f t="shared" si="292"/>
        <v/>
      </c>
    </row>
    <row r="2616" spans="165:168">
      <c r="FI2616" s="16">
        <v>2613</v>
      </c>
      <c r="FJ2616" s="17" t="e">
        <f t="shared" si="291"/>
        <v>#VALUE!</v>
      </c>
      <c r="FK2616" s="17" t="str">
        <f t="shared" si="290"/>
        <v/>
      </c>
      <c r="FL2616" s="18" t="str">
        <f t="shared" si="292"/>
        <v/>
      </c>
    </row>
    <row r="2617" spans="165:168">
      <c r="FI2617" s="16">
        <v>2614</v>
      </c>
      <c r="FJ2617" s="17" t="e">
        <f t="shared" si="291"/>
        <v>#VALUE!</v>
      </c>
      <c r="FK2617" s="17" t="str">
        <f t="shared" si="290"/>
        <v/>
      </c>
      <c r="FL2617" s="18" t="str">
        <f t="shared" si="292"/>
        <v/>
      </c>
    </row>
    <row r="2618" spans="165:168">
      <c r="FI2618" s="16">
        <v>2615</v>
      </c>
      <c r="FJ2618" s="17" t="e">
        <f t="shared" si="291"/>
        <v>#VALUE!</v>
      </c>
      <c r="FK2618" s="17" t="str">
        <f t="shared" si="290"/>
        <v/>
      </c>
      <c r="FL2618" s="18" t="str">
        <f t="shared" si="292"/>
        <v/>
      </c>
    </row>
    <row r="2619" spans="165:168">
      <c r="FI2619" s="16">
        <v>2616</v>
      </c>
      <c r="FJ2619" s="17" t="e">
        <f t="shared" si="291"/>
        <v>#VALUE!</v>
      </c>
      <c r="FK2619" s="17" t="str">
        <f t="shared" si="290"/>
        <v/>
      </c>
      <c r="FL2619" s="18" t="str">
        <f t="shared" si="292"/>
        <v/>
      </c>
    </row>
    <row r="2620" spans="165:168">
      <c r="FI2620" s="16">
        <v>2617</v>
      </c>
      <c r="FJ2620" s="17" t="e">
        <f t="shared" si="291"/>
        <v>#VALUE!</v>
      </c>
      <c r="FK2620" s="17" t="str">
        <f t="shared" si="290"/>
        <v/>
      </c>
      <c r="FL2620" s="18" t="str">
        <f t="shared" si="292"/>
        <v/>
      </c>
    </row>
    <row r="2621" spans="165:168">
      <c r="FI2621" s="16">
        <v>2618</v>
      </c>
      <c r="FJ2621" s="17" t="e">
        <f t="shared" si="291"/>
        <v>#VALUE!</v>
      </c>
      <c r="FK2621" s="17" t="str">
        <f t="shared" si="290"/>
        <v/>
      </c>
      <c r="FL2621" s="18" t="str">
        <f t="shared" si="292"/>
        <v/>
      </c>
    </row>
    <row r="2622" spans="165:168">
      <c r="FI2622" s="16">
        <v>2619</v>
      </c>
      <c r="FJ2622" s="17" t="e">
        <f t="shared" si="291"/>
        <v>#VALUE!</v>
      </c>
      <c r="FK2622" s="17" t="str">
        <f t="shared" si="290"/>
        <v/>
      </c>
      <c r="FL2622" s="18" t="str">
        <f t="shared" si="292"/>
        <v/>
      </c>
    </row>
    <row r="2623" spans="165:168">
      <c r="FI2623" s="16">
        <v>2620</v>
      </c>
      <c r="FJ2623" s="17" t="e">
        <f t="shared" si="291"/>
        <v>#VALUE!</v>
      </c>
      <c r="FK2623" s="17" t="str">
        <f t="shared" si="290"/>
        <v/>
      </c>
      <c r="FL2623" s="18" t="str">
        <f t="shared" si="292"/>
        <v/>
      </c>
    </row>
    <row r="2624" spans="165:168">
      <c r="FI2624" s="16">
        <v>2621</v>
      </c>
      <c r="FJ2624" s="17" t="e">
        <f t="shared" si="291"/>
        <v>#VALUE!</v>
      </c>
      <c r="FK2624" s="17" t="str">
        <f t="shared" si="290"/>
        <v/>
      </c>
      <c r="FL2624" s="18" t="str">
        <f t="shared" si="292"/>
        <v/>
      </c>
    </row>
    <row r="2625" spans="165:168">
      <c r="FI2625" s="16">
        <v>2622</v>
      </c>
      <c r="FJ2625" s="17" t="e">
        <f t="shared" si="291"/>
        <v>#VALUE!</v>
      </c>
      <c r="FK2625" s="17" t="str">
        <f t="shared" si="290"/>
        <v/>
      </c>
      <c r="FL2625" s="18" t="str">
        <f t="shared" si="292"/>
        <v/>
      </c>
    </row>
    <row r="2626" spans="165:168">
      <c r="FI2626" s="16">
        <v>2623</v>
      </c>
      <c r="FJ2626" s="17" t="e">
        <f t="shared" si="291"/>
        <v>#VALUE!</v>
      </c>
      <c r="FK2626" s="17" t="str">
        <f t="shared" si="290"/>
        <v/>
      </c>
      <c r="FL2626" s="18" t="str">
        <f t="shared" si="292"/>
        <v/>
      </c>
    </row>
    <row r="2627" spans="165:168">
      <c r="FI2627" s="16">
        <v>2624</v>
      </c>
      <c r="FJ2627" s="17" t="e">
        <f t="shared" si="291"/>
        <v>#VALUE!</v>
      </c>
      <c r="FK2627" s="17" t="str">
        <f t="shared" si="290"/>
        <v/>
      </c>
      <c r="FL2627" s="18" t="str">
        <f t="shared" si="292"/>
        <v/>
      </c>
    </row>
    <row r="2628" spans="165:168">
      <c r="FI2628" s="16">
        <v>2625</v>
      </c>
      <c r="FJ2628" s="17" t="e">
        <f t="shared" si="291"/>
        <v>#VALUE!</v>
      </c>
      <c r="FK2628" s="17" t="str">
        <f t="shared" si="290"/>
        <v/>
      </c>
      <c r="FL2628" s="18" t="str">
        <f t="shared" si="292"/>
        <v/>
      </c>
    </row>
    <row r="2629" spans="165:168">
      <c r="FI2629" s="16">
        <v>2626</v>
      </c>
      <c r="FJ2629" s="17" t="e">
        <f t="shared" si="291"/>
        <v>#VALUE!</v>
      </c>
      <c r="FK2629" s="17" t="str">
        <f t="shared" ref="FK2629:FK2692" si="293">IF(FI2629&lt;=$FH$2,FF2629,IF(FI2629&lt;=$FH$2+$FH$3,INDEX($FJ$4:$FJ$2494,FI2629-$FH$2),""))</f>
        <v/>
      </c>
      <c r="FL2629" s="18" t="str">
        <f t="shared" si="292"/>
        <v/>
      </c>
    </row>
    <row r="2630" spans="165:168">
      <c r="FI2630" s="16">
        <v>2627</v>
      </c>
      <c r="FJ2630" s="17" t="e">
        <f t="shared" si="291"/>
        <v>#VALUE!</v>
      </c>
      <c r="FK2630" s="17" t="str">
        <f t="shared" si="293"/>
        <v/>
      </c>
      <c r="FL2630" s="18" t="str">
        <f t="shared" si="292"/>
        <v/>
      </c>
    </row>
    <row r="2631" spans="165:168">
      <c r="FI2631" s="16">
        <v>2628</v>
      </c>
      <c r="FJ2631" s="17" t="e">
        <f t="shared" si="291"/>
        <v>#VALUE!</v>
      </c>
      <c r="FK2631" s="17" t="str">
        <f t="shared" si="293"/>
        <v/>
      </c>
      <c r="FL2631" s="18" t="str">
        <f t="shared" si="292"/>
        <v/>
      </c>
    </row>
    <row r="2632" spans="165:168">
      <c r="FI2632" s="16">
        <v>2629</v>
      </c>
      <c r="FJ2632" s="17" t="e">
        <f t="shared" si="291"/>
        <v>#VALUE!</v>
      </c>
      <c r="FK2632" s="17" t="str">
        <f t="shared" si="293"/>
        <v/>
      </c>
      <c r="FL2632" s="18" t="str">
        <f t="shared" si="292"/>
        <v/>
      </c>
    </row>
    <row r="2633" spans="165:168">
      <c r="FI2633" s="16">
        <v>2630</v>
      </c>
      <c r="FJ2633" s="17" t="e">
        <f t="shared" si="291"/>
        <v>#VALUE!</v>
      </c>
      <c r="FK2633" s="17" t="str">
        <f t="shared" si="293"/>
        <v/>
      </c>
      <c r="FL2633" s="18" t="str">
        <f t="shared" si="292"/>
        <v/>
      </c>
    </row>
    <row r="2634" spans="165:168">
      <c r="FI2634" s="16">
        <v>2631</v>
      </c>
      <c r="FJ2634" s="17" t="e">
        <f t="shared" si="291"/>
        <v>#VALUE!</v>
      </c>
      <c r="FK2634" s="17" t="str">
        <f t="shared" si="293"/>
        <v/>
      </c>
      <c r="FL2634" s="18" t="str">
        <f t="shared" si="292"/>
        <v/>
      </c>
    </row>
    <row r="2635" spans="165:168">
      <c r="FI2635" s="16">
        <v>2632</v>
      </c>
      <c r="FJ2635" s="17" t="e">
        <f t="shared" si="291"/>
        <v>#VALUE!</v>
      </c>
      <c r="FK2635" s="17" t="str">
        <f t="shared" si="293"/>
        <v/>
      </c>
      <c r="FL2635" s="18" t="str">
        <f t="shared" si="292"/>
        <v/>
      </c>
    </row>
    <row r="2636" spans="165:168">
      <c r="FI2636" s="16">
        <v>2633</v>
      </c>
      <c r="FJ2636" s="17" t="e">
        <f t="shared" si="291"/>
        <v>#VALUE!</v>
      </c>
      <c r="FK2636" s="17" t="str">
        <f t="shared" si="293"/>
        <v/>
      </c>
      <c r="FL2636" s="18" t="str">
        <f t="shared" si="292"/>
        <v/>
      </c>
    </row>
    <row r="2637" spans="165:168">
      <c r="FI2637" s="16">
        <v>2634</v>
      </c>
      <c r="FJ2637" s="17" t="e">
        <f t="shared" si="291"/>
        <v>#VALUE!</v>
      </c>
      <c r="FK2637" s="17" t="str">
        <f t="shared" si="293"/>
        <v/>
      </c>
      <c r="FL2637" s="18" t="str">
        <f t="shared" si="292"/>
        <v/>
      </c>
    </row>
    <row r="2638" spans="165:168">
      <c r="FI2638" s="16">
        <v>2635</v>
      </c>
      <c r="FJ2638" s="17" t="e">
        <f t="shared" si="291"/>
        <v>#VALUE!</v>
      </c>
      <c r="FK2638" s="17" t="str">
        <f t="shared" si="293"/>
        <v/>
      </c>
      <c r="FL2638" s="18" t="str">
        <f t="shared" si="292"/>
        <v/>
      </c>
    </row>
    <row r="2639" spans="165:168">
      <c r="FI2639" s="16">
        <v>2636</v>
      </c>
      <c r="FJ2639" s="17" t="e">
        <f t="shared" si="291"/>
        <v>#VALUE!</v>
      </c>
      <c r="FK2639" s="17" t="str">
        <f t="shared" si="293"/>
        <v/>
      </c>
      <c r="FL2639" s="18" t="str">
        <f t="shared" si="292"/>
        <v/>
      </c>
    </row>
    <row r="2640" spans="165:168">
      <c r="FI2640" s="16">
        <v>2637</v>
      </c>
      <c r="FJ2640" s="17" t="e">
        <f t="shared" si="291"/>
        <v>#VALUE!</v>
      </c>
      <c r="FK2640" s="17" t="str">
        <f t="shared" si="293"/>
        <v/>
      </c>
      <c r="FL2640" s="18" t="str">
        <f t="shared" si="292"/>
        <v/>
      </c>
    </row>
    <row r="2641" spans="165:168">
      <c r="FI2641" s="16">
        <v>2638</v>
      </c>
      <c r="FJ2641" s="17" t="e">
        <f t="shared" si="291"/>
        <v>#VALUE!</v>
      </c>
      <c r="FK2641" s="17" t="str">
        <f t="shared" si="293"/>
        <v/>
      </c>
      <c r="FL2641" s="18" t="str">
        <f t="shared" si="292"/>
        <v/>
      </c>
    </row>
    <row r="2642" spans="165:168">
      <c r="FI2642" s="16">
        <v>2639</v>
      </c>
      <c r="FJ2642" s="17" t="e">
        <f t="shared" si="291"/>
        <v>#VALUE!</v>
      </c>
      <c r="FK2642" s="17" t="str">
        <f t="shared" si="293"/>
        <v/>
      </c>
      <c r="FL2642" s="18" t="str">
        <f t="shared" si="292"/>
        <v/>
      </c>
    </row>
    <row r="2643" spans="165:168">
      <c r="FI2643" s="16">
        <v>2640</v>
      </c>
      <c r="FJ2643" s="17" t="e">
        <f t="shared" si="291"/>
        <v>#VALUE!</v>
      </c>
      <c r="FK2643" s="17" t="str">
        <f t="shared" si="293"/>
        <v/>
      </c>
      <c r="FL2643" s="18" t="str">
        <f t="shared" si="292"/>
        <v/>
      </c>
    </row>
    <row r="2644" spans="165:168">
      <c r="FI2644" s="16">
        <v>2641</v>
      </c>
      <c r="FJ2644" s="17" t="e">
        <f t="shared" si="291"/>
        <v>#VALUE!</v>
      </c>
      <c r="FK2644" s="17" t="str">
        <f t="shared" si="293"/>
        <v/>
      </c>
      <c r="FL2644" s="18" t="str">
        <f t="shared" si="292"/>
        <v/>
      </c>
    </row>
    <row r="2645" spans="165:168">
      <c r="FI2645" s="16">
        <v>2642</v>
      </c>
      <c r="FJ2645" s="17" t="e">
        <f t="shared" si="291"/>
        <v>#VALUE!</v>
      </c>
      <c r="FK2645" s="17" t="str">
        <f t="shared" si="293"/>
        <v/>
      </c>
      <c r="FL2645" s="18" t="str">
        <f t="shared" si="292"/>
        <v/>
      </c>
    </row>
    <row r="2646" spans="165:168">
      <c r="FI2646" s="16">
        <v>2643</v>
      </c>
      <c r="FJ2646" s="17" t="e">
        <f t="shared" ref="FJ2646:FJ2709" si="294">IF(FE2646&lt;=$FH$1,INDEX($DW$4:$EZ$84,FD2646,FE2646),"")</f>
        <v>#VALUE!</v>
      </c>
      <c r="FK2646" s="17" t="str">
        <f t="shared" si="293"/>
        <v/>
      </c>
      <c r="FL2646" s="18" t="str">
        <f t="shared" ref="FL2646:FL2709" si="295">IFERROR(TEXT(DEC2BIN(FK2646),"00000000"),"")</f>
        <v/>
      </c>
    </row>
    <row r="2647" spans="165:168">
      <c r="FI2647" s="16">
        <v>2644</v>
      </c>
      <c r="FJ2647" s="17" t="e">
        <f t="shared" si="294"/>
        <v>#VALUE!</v>
      </c>
      <c r="FK2647" s="17" t="str">
        <f t="shared" si="293"/>
        <v/>
      </c>
      <c r="FL2647" s="18" t="str">
        <f t="shared" si="295"/>
        <v/>
      </c>
    </row>
    <row r="2648" spans="165:168">
      <c r="FI2648" s="16">
        <v>2645</v>
      </c>
      <c r="FJ2648" s="17" t="e">
        <f t="shared" si="294"/>
        <v>#VALUE!</v>
      </c>
      <c r="FK2648" s="17" t="str">
        <f t="shared" si="293"/>
        <v/>
      </c>
      <c r="FL2648" s="18" t="str">
        <f t="shared" si="295"/>
        <v/>
      </c>
    </row>
    <row r="2649" spans="165:168">
      <c r="FI2649" s="16">
        <v>2646</v>
      </c>
      <c r="FJ2649" s="17" t="e">
        <f t="shared" si="294"/>
        <v>#VALUE!</v>
      </c>
      <c r="FK2649" s="17" t="str">
        <f t="shared" si="293"/>
        <v/>
      </c>
      <c r="FL2649" s="18" t="str">
        <f t="shared" si="295"/>
        <v/>
      </c>
    </row>
    <row r="2650" spans="165:168">
      <c r="FI2650" s="16">
        <v>2647</v>
      </c>
      <c r="FJ2650" s="17" t="e">
        <f t="shared" si="294"/>
        <v>#VALUE!</v>
      </c>
      <c r="FK2650" s="17" t="str">
        <f t="shared" si="293"/>
        <v/>
      </c>
      <c r="FL2650" s="18" t="str">
        <f t="shared" si="295"/>
        <v/>
      </c>
    </row>
    <row r="2651" spans="165:168">
      <c r="FI2651" s="16">
        <v>2648</v>
      </c>
      <c r="FJ2651" s="17" t="e">
        <f t="shared" si="294"/>
        <v>#VALUE!</v>
      </c>
      <c r="FK2651" s="17" t="str">
        <f t="shared" si="293"/>
        <v/>
      </c>
      <c r="FL2651" s="18" t="str">
        <f t="shared" si="295"/>
        <v/>
      </c>
    </row>
    <row r="2652" spans="165:168">
      <c r="FI2652" s="16">
        <v>2649</v>
      </c>
      <c r="FJ2652" s="17" t="e">
        <f t="shared" si="294"/>
        <v>#VALUE!</v>
      </c>
      <c r="FK2652" s="17" t="str">
        <f t="shared" si="293"/>
        <v/>
      </c>
      <c r="FL2652" s="18" t="str">
        <f t="shared" si="295"/>
        <v/>
      </c>
    </row>
    <row r="2653" spans="165:168">
      <c r="FI2653" s="16">
        <v>2650</v>
      </c>
      <c r="FJ2653" s="17" t="e">
        <f t="shared" si="294"/>
        <v>#VALUE!</v>
      </c>
      <c r="FK2653" s="17" t="str">
        <f t="shared" si="293"/>
        <v/>
      </c>
      <c r="FL2653" s="18" t="str">
        <f t="shared" si="295"/>
        <v/>
      </c>
    </row>
    <row r="2654" spans="165:168">
      <c r="FI2654" s="16">
        <v>2651</v>
      </c>
      <c r="FJ2654" s="17" t="e">
        <f t="shared" si="294"/>
        <v>#VALUE!</v>
      </c>
      <c r="FK2654" s="17" t="str">
        <f t="shared" si="293"/>
        <v/>
      </c>
      <c r="FL2654" s="18" t="str">
        <f t="shared" si="295"/>
        <v/>
      </c>
    </row>
    <row r="2655" spans="165:168">
      <c r="FI2655" s="16">
        <v>2652</v>
      </c>
      <c r="FJ2655" s="17" t="e">
        <f t="shared" si="294"/>
        <v>#VALUE!</v>
      </c>
      <c r="FK2655" s="17" t="str">
        <f t="shared" si="293"/>
        <v/>
      </c>
      <c r="FL2655" s="18" t="str">
        <f t="shared" si="295"/>
        <v/>
      </c>
    </row>
    <row r="2656" spans="165:168">
      <c r="FI2656" s="16">
        <v>2653</v>
      </c>
      <c r="FJ2656" s="17" t="e">
        <f t="shared" si="294"/>
        <v>#VALUE!</v>
      </c>
      <c r="FK2656" s="17" t="str">
        <f t="shared" si="293"/>
        <v/>
      </c>
      <c r="FL2656" s="18" t="str">
        <f t="shared" si="295"/>
        <v/>
      </c>
    </row>
    <row r="2657" spans="165:168">
      <c r="FI2657" s="16">
        <v>2654</v>
      </c>
      <c r="FJ2657" s="17" t="e">
        <f t="shared" si="294"/>
        <v>#VALUE!</v>
      </c>
      <c r="FK2657" s="17" t="str">
        <f t="shared" si="293"/>
        <v/>
      </c>
      <c r="FL2657" s="18" t="str">
        <f t="shared" si="295"/>
        <v/>
      </c>
    </row>
    <row r="2658" spans="165:168">
      <c r="FI2658" s="16">
        <v>2655</v>
      </c>
      <c r="FJ2658" s="17" t="e">
        <f t="shared" si="294"/>
        <v>#VALUE!</v>
      </c>
      <c r="FK2658" s="17" t="str">
        <f t="shared" si="293"/>
        <v/>
      </c>
      <c r="FL2658" s="18" t="str">
        <f t="shared" si="295"/>
        <v/>
      </c>
    </row>
    <row r="2659" spans="165:168">
      <c r="FI2659" s="16">
        <v>2656</v>
      </c>
      <c r="FJ2659" s="17" t="e">
        <f t="shared" si="294"/>
        <v>#VALUE!</v>
      </c>
      <c r="FK2659" s="17" t="str">
        <f t="shared" si="293"/>
        <v/>
      </c>
      <c r="FL2659" s="18" t="str">
        <f t="shared" si="295"/>
        <v/>
      </c>
    </row>
    <row r="2660" spans="165:168">
      <c r="FI2660" s="16">
        <v>2657</v>
      </c>
      <c r="FJ2660" s="17" t="e">
        <f t="shared" si="294"/>
        <v>#VALUE!</v>
      </c>
      <c r="FK2660" s="17" t="str">
        <f t="shared" si="293"/>
        <v/>
      </c>
      <c r="FL2660" s="18" t="str">
        <f t="shared" si="295"/>
        <v/>
      </c>
    </row>
    <row r="2661" spans="165:168">
      <c r="FI2661" s="16">
        <v>2658</v>
      </c>
      <c r="FJ2661" s="17" t="e">
        <f t="shared" si="294"/>
        <v>#VALUE!</v>
      </c>
      <c r="FK2661" s="17" t="str">
        <f t="shared" si="293"/>
        <v/>
      </c>
      <c r="FL2661" s="18" t="str">
        <f t="shared" si="295"/>
        <v/>
      </c>
    </row>
    <row r="2662" spans="165:168">
      <c r="FI2662" s="16">
        <v>2659</v>
      </c>
      <c r="FJ2662" s="17" t="e">
        <f t="shared" si="294"/>
        <v>#VALUE!</v>
      </c>
      <c r="FK2662" s="17" t="str">
        <f t="shared" si="293"/>
        <v/>
      </c>
      <c r="FL2662" s="18" t="str">
        <f t="shared" si="295"/>
        <v/>
      </c>
    </row>
    <row r="2663" spans="165:168">
      <c r="FI2663" s="16">
        <v>2660</v>
      </c>
      <c r="FJ2663" s="17" t="e">
        <f t="shared" si="294"/>
        <v>#VALUE!</v>
      </c>
      <c r="FK2663" s="17" t="str">
        <f t="shared" si="293"/>
        <v/>
      </c>
      <c r="FL2663" s="18" t="str">
        <f t="shared" si="295"/>
        <v/>
      </c>
    </row>
    <row r="2664" spans="165:168">
      <c r="FI2664" s="16">
        <v>2661</v>
      </c>
      <c r="FJ2664" s="17" t="e">
        <f t="shared" si="294"/>
        <v>#VALUE!</v>
      </c>
      <c r="FK2664" s="17" t="str">
        <f t="shared" si="293"/>
        <v/>
      </c>
      <c r="FL2664" s="18" t="str">
        <f t="shared" si="295"/>
        <v/>
      </c>
    </row>
    <row r="2665" spans="165:168">
      <c r="FI2665" s="16">
        <v>2662</v>
      </c>
      <c r="FJ2665" s="17" t="e">
        <f t="shared" si="294"/>
        <v>#VALUE!</v>
      </c>
      <c r="FK2665" s="17" t="str">
        <f t="shared" si="293"/>
        <v/>
      </c>
      <c r="FL2665" s="18" t="str">
        <f t="shared" si="295"/>
        <v/>
      </c>
    </row>
    <row r="2666" spans="165:168">
      <c r="FI2666" s="16">
        <v>2663</v>
      </c>
      <c r="FJ2666" s="17" t="e">
        <f t="shared" si="294"/>
        <v>#VALUE!</v>
      </c>
      <c r="FK2666" s="17" t="str">
        <f t="shared" si="293"/>
        <v/>
      </c>
      <c r="FL2666" s="18" t="str">
        <f t="shared" si="295"/>
        <v/>
      </c>
    </row>
    <row r="2667" spans="165:168">
      <c r="FI2667" s="16">
        <v>2664</v>
      </c>
      <c r="FJ2667" s="17" t="e">
        <f t="shared" si="294"/>
        <v>#VALUE!</v>
      </c>
      <c r="FK2667" s="17" t="str">
        <f t="shared" si="293"/>
        <v/>
      </c>
      <c r="FL2667" s="18" t="str">
        <f t="shared" si="295"/>
        <v/>
      </c>
    </row>
    <row r="2668" spans="165:168">
      <c r="FI2668" s="16">
        <v>2665</v>
      </c>
      <c r="FJ2668" s="17" t="e">
        <f t="shared" si="294"/>
        <v>#VALUE!</v>
      </c>
      <c r="FK2668" s="17" t="str">
        <f t="shared" si="293"/>
        <v/>
      </c>
      <c r="FL2668" s="18" t="str">
        <f t="shared" si="295"/>
        <v/>
      </c>
    </row>
    <row r="2669" spans="165:168">
      <c r="FI2669" s="16">
        <v>2666</v>
      </c>
      <c r="FJ2669" s="17" t="e">
        <f t="shared" si="294"/>
        <v>#VALUE!</v>
      </c>
      <c r="FK2669" s="17" t="str">
        <f t="shared" si="293"/>
        <v/>
      </c>
      <c r="FL2669" s="18" t="str">
        <f t="shared" si="295"/>
        <v/>
      </c>
    </row>
    <row r="2670" spans="165:168">
      <c r="FI2670" s="16">
        <v>2667</v>
      </c>
      <c r="FJ2670" s="17" t="e">
        <f t="shared" si="294"/>
        <v>#VALUE!</v>
      </c>
      <c r="FK2670" s="17" t="str">
        <f t="shared" si="293"/>
        <v/>
      </c>
      <c r="FL2670" s="18" t="str">
        <f t="shared" si="295"/>
        <v/>
      </c>
    </row>
    <row r="2671" spans="165:168">
      <c r="FI2671" s="16">
        <v>2668</v>
      </c>
      <c r="FJ2671" s="17" t="e">
        <f t="shared" si="294"/>
        <v>#VALUE!</v>
      </c>
      <c r="FK2671" s="17" t="str">
        <f t="shared" si="293"/>
        <v/>
      </c>
      <c r="FL2671" s="18" t="str">
        <f t="shared" si="295"/>
        <v/>
      </c>
    </row>
    <row r="2672" spans="165:168">
      <c r="FI2672" s="16">
        <v>2669</v>
      </c>
      <c r="FJ2672" s="17" t="e">
        <f t="shared" si="294"/>
        <v>#VALUE!</v>
      </c>
      <c r="FK2672" s="17" t="str">
        <f t="shared" si="293"/>
        <v/>
      </c>
      <c r="FL2672" s="18" t="str">
        <f t="shared" si="295"/>
        <v/>
      </c>
    </row>
    <row r="2673" spans="165:168">
      <c r="FI2673" s="16">
        <v>2670</v>
      </c>
      <c r="FJ2673" s="17" t="e">
        <f t="shared" si="294"/>
        <v>#VALUE!</v>
      </c>
      <c r="FK2673" s="17" t="str">
        <f t="shared" si="293"/>
        <v/>
      </c>
      <c r="FL2673" s="18" t="str">
        <f t="shared" si="295"/>
        <v/>
      </c>
    </row>
    <row r="2674" spans="165:168">
      <c r="FI2674" s="16">
        <v>2671</v>
      </c>
      <c r="FJ2674" s="17" t="e">
        <f t="shared" si="294"/>
        <v>#VALUE!</v>
      </c>
      <c r="FK2674" s="17" t="str">
        <f t="shared" si="293"/>
        <v/>
      </c>
      <c r="FL2674" s="18" t="str">
        <f t="shared" si="295"/>
        <v/>
      </c>
    </row>
    <row r="2675" spans="165:168">
      <c r="FI2675" s="16">
        <v>2672</v>
      </c>
      <c r="FJ2675" s="17" t="e">
        <f t="shared" si="294"/>
        <v>#VALUE!</v>
      </c>
      <c r="FK2675" s="17" t="str">
        <f t="shared" si="293"/>
        <v/>
      </c>
      <c r="FL2675" s="18" t="str">
        <f t="shared" si="295"/>
        <v/>
      </c>
    </row>
    <row r="2676" spans="165:168">
      <c r="FI2676" s="16">
        <v>2673</v>
      </c>
      <c r="FJ2676" s="17" t="e">
        <f t="shared" si="294"/>
        <v>#VALUE!</v>
      </c>
      <c r="FK2676" s="17" t="str">
        <f t="shared" si="293"/>
        <v/>
      </c>
      <c r="FL2676" s="18" t="str">
        <f t="shared" si="295"/>
        <v/>
      </c>
    </row>
    <row r="2677" spans="165:168">
      <c r="FI2677" s="16">
        <v>2674</v>
      </c>
      <c r="FJ2677" s="17" t="e">
        <f t="shared" si="294"/>
        <v>#VALUE!</v>
      </c>
      <c r="FK2677" s="17" t="str">
        <f t="shared" si="293"/>
        <v/>
      </c>
      <c r="FL2677" s="18" t="str">
        <f t="shared" si="295"/>
        <v/>
      </c>
    </row>
    <row r="2678" spans="165:168">
      <c r="FI2678" s="16">
        <v>2675</v>
      </c>
      <c r="FJ2678" s="17" t="e">
        <f t="shared" si="294"/>
        <v>#VALUE!</v>
      </c>
      <c r="FK2678" s="17" t="str">
        <f t="shared" si="293"/>
        <v/>
      </c>
      <c r="FL2678" s="18" t="str">
        <f t="shared" si="295"/>
        <v/>
      </c>
    </row>
    <row r="2679" spans="165:168">
      <c r="FI2679" s="16">
        <v>2676</v>
      </c>
      <c r="FJ2679" s="17" t="e">
        <f t="shared" si="294"/>
        <v>#VALUE!</v>
      </c>
      <c r="FK2679" s="17" t="str">
        <f t="shared" si="293"/>
        <v/>
      </c>
      <c r="FL2679" s="18" t="str">
        <f t="shared" si="295"/>
        <v/>
      </c>
    </row>
    <row r="2680" spans="165:168">
      <c r="FI2680" s="16">
        <v>2677</v>
      </c>
      <c r="FJ2680" s="17" t="e">
        <f t="shared" si="294"/>
        <v>#VALUE!</v>
      </c>
      <c r="FK2680" s="17" t="str">
        <f t="shared" si="293"/>
        <v/>
      </c>
      <c r="FL2680" s="18" t="str">
        <f t="shared" si="295"/>
        <v/>
      </c>
    </row>
    <row r="2681" spans="165:168">
      <c r="FI2681" s="16">
        <v>2678</v>
      </c>
      <c r="FJ2681" s="17" t="e">
        <f t="shared" si="294"/>
        <v>#VALUE!</v>
      </c>
      <c r="FK2681" s="17" t="str">
        <f t="shared" si="293"/>
        <v/>
      </c>
      <c r="FL2681" s="18" t="str">
        <f t="shared" si="295"/>
        <v/>
      </c>
    </row>
    <row r="2682" spans="165:168">
      <c r="FI2682" s="16">
        <v>2679</v>
      </c>
      <c r="FJ2682" s="17" t="e">
        <f t="shared" si="294"/>
        <v>#VALUE!</v>
      </c>
      <c r="FK2682" s="17" t="str">
        <f t="shared" si="293"/>
        <v/>
      </c>
      <c r="FL2682" s="18" t="str">
        <f t="shared" si="295"/>
        <v/>
      </c>
    </row>
    <row r="2683" spans="165:168">
      <c r="FI2683" s="16">
        <v>2680</v>
      </c>
      <c r="FJ2683" s="17" t="e">
        <f t="shared" si="294"/>
        <v>#VALUE!</v>
      </c>
      <c r="FK2683" s="17" t="str">
        <f t="shared" si="293"/>
        <v/>
      </c>
      <c r="FL2683" s="18" t="str">
        <f t="shared" si="295"/>
        <v/>
      </c>
    </row>
    <row r="2684" spans="165:168">
      <c r="FI2684" s="16">
        <v>2681</v>
      </c>
      <c r="FJ2684" s="17" t="e">
        <f t="shared" si="294"/>
        <v>#VALUE!</v>
      </c>
      <c r="FK2684" s="17" t="str">
        <f t="shared" si="293"/>
        <v/>
      </c>
      <c r="FL2684" s="18" t="str">
        <f t="shared" si="295"/>
        <v/>
      </c>
    </row>
    <row r="2685" spans="165:168">
      <c r="FI2685" s="16">
        <v>2682</v>
      </c>
      <c r="FJ2685" s="17" t="e">
        <f t="shared" si="294"/>
        <v>#VALUE!</v>
      </c>
      <c r="FK2685" s="17" t="str">
        <f t="shared" si="293"/>
        <v/>
      </c>
      <c r="FL2685" s="18" t="str">
        <f t="shared" si="295"/>
        <v/>
      </c>
    </row>
    <row r="2686" spans="165:168">
      <c r="FI2686" s="16">
        <v>2683</v>
      </c>
      <c r="FJ2686" s="17" t="e">
        <f t="shared" si="294"/>
        <v>#VALUE!</v>
      </c>
      <c r="FK2686" s="17" t="str">
        <f t="shared" si="293"/>
        <v/>
      </c>
      <c r="FL2686" s="18" t="str">
        <f t="shared" si="295"/>
        <v/>
      </c>
    </row>
    <row r="2687" spans="165:168">
      <c r="FI2687" s="16">
        <v>2684</v>
      </c>
      <c r="FJ2687" s="17" t="e">
        <f t="shared" si="294"/>
        <v>#VALUE!</v>
      </c>
      <c r="FK2687" s="17" t="str">
        <f t="shared" si="293"/>
        <v/>
      </c>
      <c r="FL2687" s="18" t="str">
        <f t="shared" si="295"/>
        <v/>
      </c>
    </row>
    <row r="2688" spans="165:168">
      <c r="FI2688" s="16">
        <v>2685</v>
      </c>
      <c r="FJ2688" s="17" t="e">
        <f t="shared" si="294"/>
        <v>#VALUE!</v>
      </c>
      <c r="FK2688" s="17" t="str">
        <f t="shared" si="293"/>
        <v/>
      </c>
      <c r="FL2688" s="18" t="str">
        <f t="shared" si="295"/>
        <v/>
      </c>
    </row>
    <row r="2689" spans="165:168">
      <c r="FI2689" s="16">
        <v>2686</v>
      </c>
      <c r="FJ2689" s="17" t="e">
        <f t="shared" si="294"/>
        <v>#VALUE!</v>
      </c>
      <c r="FK2689" s="17" t="str">
        <f t="shared" si="293"/>
        <v/>
      </c>
      <c r="FL2689" s="18" t="str">
        <f t="shared" si="295"/>
        <v/>
      </c>
    </row>
    <row r="2690" spans="165:168">
      <c r="FI2690" s="16">
        <v>2687</v>
      </c>
      <c r="FJ2690" s="17" t="e">
        <f t="shared" si="294"/>
        <v>#VALUE!</v>
      </c>
      <c r="FK2690" s="17" t="str">
        <f t="shared" si="293"/>
        <v/>
      </c>
      <c r="FL2690" s="18" t="str">
        <f t="shared" si="295"/>
        <v/>
      </c>
    </row>
    <row r="2691" spans="165:168">
      <c r="FI2691" s="16">
        <v>2688</v>
      </c>
      <c r="FJ2691" s="17" t="e">
        <f t="shared" si="294"/>
        <v>#VALUE!</v>
      </c>
      <c r="FK2691" s="17" t="str">
        <f t="shared" si="293"/>
        <v/>
      </c>
      <c r="FL2691" s="18" t="str">
        <f t="shared" si="295"/>
        <v/>
      </c>
    </row>
    <row r="2692" spans="165:168">
      <c r="FI2692" s="16">
        <v>2689</v>
      </c>
      <c r="FJ2692" s="17" t="e">
        <f t="shared" si="294"/>
        <v>#VALUE!</v>
      </c>
      <c r="FK2692" s="17" t="str">
        <f t="shared" si="293"/>
        <v/>
      </c>
      <c r="FL2692" s="18" t="str">
        <f t="shared" si="295"/>
        <v/>
      </c>
    </row>
    <row r="2693" spans="165:168">
      <c r="FI2693" s="16">
        <v>2690</v>
      </c>
      <c r="FJ2693" s="17" t="e">
        <f t="shared" si="294"/>
        <v>#VALUE!</v>
      </c>
      <c r="FK2693" s="17" t="str">
        <f t="shared" ref="FK2693:FK2756" si="296">IF(FI2693&lt;=$FH$2,FF2693,IF(FI2693&lt;=$FH$2+$FH$3,INDEX($FJ$4:$FJ$2494,FI2693-$FH$2),""))</f>
        <v/>
      </c>
      <c r="FL2693" s="18" t="str">
        <f t="shared" si="295"/>
        <v/>
      </c>
    </row>
    <row r="2694" spans="165:168">
      <c r="FI2694" s="16">
        <v>2691</v>
      </c>
      <c r="FJ2694" s="17" t="e">
        <f t="shared" si="294"/>
        <v>#VALUE!</v>
      </c>
      <c r="FK2694" s="17" t="str">
        <f t="shared" si="296"/>
        <v/>
      </c>
      <c r="FL2694" s="18" t="str">
        <f t="shared" si="295"/>
        <v/>
      </c>
    </row>
    <row r="2695" spans="165:168">
      <c r="FI2695" s="16">
        <v>2692</v>
      </c>
      <c r="FJ2695" s="17" t="e">
        <f t="shared" si="294"/>
        <v>#VALUE!</v>
      </c>
      <c r="FK2695" s="17" t="str">
        <f t="shared" si="296"/>
        <v/>
      </c>
      <c r="FL2695" s="18" t="str">
        <f t="shared" si="295"/>
        <v/>
      </c>
    </row>
    <row r="2696" spans="165:168">
      <c r="FI2696" s="16">
        <v>2693</v>
      </c>
      <c r="FJ2696" s="17" t="e">
        <f t="shared" si="294"/>
        <v>#VALUE!</v>
      </c>
      <c r="FK2696" s="17" t="str">
        <f t="shared" si="296"/>
        <v/>
      </c>
      <c r="FL2696" s="18" t="str">
        <f t="shared" si="295"/>
        <v/>
      </c>
    </row>
    <row r="2697" spans="165:168">
      <c r="FI2697" s="16">
        <v>2694</v>
      </c>
      <c r="FJ2697" s="17" t="e">
        <f t="shared" si="294"/>
        <v>#VALUE!</v>
      </c>
      <c r="FK2697" s="17" t="str">
        <f t="shared" si="296"/>
        <v/>
      </c>
      <c r="FL2697" s="18" t="str">
        <f t="shared" si="295"/>
        <v/>
      </c>
    </row>
    <row r="2698" spans="165:168">
      <c r="FI2698" s="16">
        <v>2695</v>
      </c>
      <c r="FJ2698" s="17" t="e">
        <f t="shared" si="294"/>
        <v>#VALUE!</v>
      </c>
      <c r="FK2698" s="17" t="str">
        <f t="shared" si="296"/>
        <v/>
      </c>
      <c r="FL2698" s="18" t="str">
        <f t="shared" si="295"/>
        <v/>
      </c>
    </row>
    <row r="2699" spans="165:168">
      <c r="FI2699" s="16">
        <v>2696</v>
      </c>
      <c r="FJ2699" s="17" t="e">
        <f t="shared" si="294"/>
        <v>#VALUE!</v>
      </c>
      <c r="FK2699" s="17" t="str">
        <f t="shared" si="296"/>
        <v/>
      </c>
      <c r="FL2699" s="18" t="str">
        <f t="shared" si="295"/>
        <v/>
      </c>
    </row>
    <row r="2700" spans="165:168">
      <c r="FI2700" s="16">
        <v>2697</v>
      </c>
      <c r="FJ2700" s="17" t="e">
        <f t="shared" si="294"/>
        <v>#VALUE!</v>
      </c>
      <c r="FK2700" s="17" t="str">
        <f t="shared" si="296"/>
        <v/>
      </c>
      <c r="FL2700" s="18" t="str">
        <f t="shared" si="295"/>
        <v/>
      </c>
    </row>
    <row r="2701" spans="165:168">
      <c r="FI2701" s="16">
        <v>2698</v>
      </c>
      <c r="FJ2701" s="17" t="e">
        <f t="shared" si="294"/>
        <v>#VALUE!</v>
      </c>
      <c r="FK2701" s="17" t="str">
        <f t="shared" si="296"/>
        <v/>
      </c>
      <c r="FL2701" s="18" t="str">
        <f t="shared" si="295"/>
        <v/>
      </c>
    </row>
    <row r="2702" spans="165:168">
      <c r="FI2702" s="16">
        <v>2699</v>
      </c>
      <c r="FJ2702" s="17" t="e">
        <f t="shared" si="294"/>
        <v>#VALUE!</v>
      </c>
      <c r="FK2702" s="17" t="str">
        <f t="shared" si="296"/>
        <v/>
      </c>
      <c r="FL2702" s="18" t="str">
        <f t="shared" si="295"/>
        <v/>
      </c>
    </row>
    <row r="2703" spans="165:168">
      <c r="FI2703" s="16">
        <v>2700</v>
      </c>
      <c r="FJ2703" s="17" t="e">
        <f t="shared" si="294"/>
        <v>#VALUE!</v>
      </c>
      <c r="FK2703" s="17" t="str">
        <f t="shared" si="296"/>
        <v/>
      </c>
      <c r="FL2703" s="18" t="str">
        <f t="shared" si="295"/>
        <v/>
      </c>
    </row>
    <row r="2704" spans="165:168">
      <c r="FI2704" s="16">
        <v>2701</v>
      </c>
      <c r="FJ2704" s="17" t="e">
        <f t="shared" si="294"/>
        <v>#VALUE!</v>
      </c>
      <c r="FK2704" s="17" t="str">
        <f t="shared" si="296"/>
        <v/>
      </c>
      <c r="FL2704" s="18" t="str">
        <f t="shared" si="295"/>
        <v/>
      </c>
    </row>
    <row r="2705" spans="165:168">
      <c r="FI2705" s="16">
        <v>2702</v>
      </c>
      <c r="FJ2705" s="17" t="e">
        <f t="shared" si="294"/>
        <v>#VALUE!</v>
      </c>
      <c r="FK2705" s="17" t="str">
        <f t="shared" si="296"/>
        <v/>
      </c>
      <c r="FL2705" s="18" t="str">
        <f t="shared" si="295"/>
        <v/>
      </c>
    </row>
    <row r="2706" spans="165:168">
      <c r="FI2706" s="16">
        <v>2703</v>
      </c>
      <c r="FJ2706" s="17" t="e">
        <f t="shared" si="294"/>
        <v>#VALUE!</v>
      </c>
      <c r="FK2706" s="17" t="str">
        <f t="shared" si="296"/>
        <v/>
      </c>
      <c r="FL2706" s="18" t="str">
        <f t="shared" si="295"/>
        <v/>
      </c>
    </row>
    <row r="2707" spans="165:168">
      <c r="FI2707" s="16">
        <v>2704</v>
      </c>
      <c r="FJ2707" s="17" t="e">
        <f t="shared" si="294"/>
        <v>#VALUE!</v>
      </c>
      <c r="FK2707" s="17" t="str">
        <f t="shared" si="296"/>
        <v/>
      </c>
      <c r="FL2707" s="18" t="str">
        <f t="shared" si="295"/>
        <v/>
      </c>
    </row>
    <row r="2708" spans="165:168">
      <c r="FI2708" s="16">
        <v>2705</v>
      </c>
      <c r="FJ2708" s="17" t="e">
        <f t="shared" si="294"/>
        <v>#VALUE!</v>
      </c>
      <c r="FK2708" s="17" t="str">
        <f t="shared" si="296"/>
        <v/>
      </c>
      <c r="FL2708" s="18" t="str">
        <f t="shared" si="295"/>
        <v/>
      </c>
    </row>
    <row r="2709" spans="165:168">
      <c r="FI2709" s="16">
        <v>2706</v>
      </c>
      <c r="FJ2709" s="17" t="e">
        <f t="shared" si="294"/>
        <v>#VALUE!</v>
      </c>
      <c r="FK2709" s="17" t="str">
        <f t="shared" si="296"/>
        <v/>
      </c>
      <c r="FL2709" s="18" t="str">
        <f t="shared" si="295"/>
        <v/>
      </c>
    </row>
    <row r="2710" spans="165:168">
      <c r="FI2710" s="16">
        <v>2707</v>
      </c>
      <c r="FJ2710" s="17" t="e">
        <f t="shared" ref="FJ2710:FJ2773" si="297">IF(FE2710&lt;=$FH$1,INDEX($DW$4:$EZ$84,FD2710,FE2710),"")</f>
        <v>#VALUE!</v>
      </c>
      <c r="FK2710" s="17" t="str">
        <f t="shared" si="296"/>
        <v/>
      </c>
      <c r="FL2710" s="18" t="str">
        <f t="shared" ref="FL2710:FL2773" si="298">IFERROR(TEXT(DEC2BIN(FK2710),"00000000"),"")</f>
        <v/>
      </c>
    </row>
    <row r="2711" spans="165:168">
      <c r="FI2711" s="16">
        <v>2708</v>
      </c>
      <c r="FJ2711" s="17" t="e">
        <f t="shared" si="297"/>
        <v>#VALUE!</v>
      </c>
      <c r="FK2711" s="17" t="str">
        <f t="shared" si="296"/>
        <v/>
      </c>
      <c r="FL2711" s="18" t="str">
        <f t="shared" si="298"/>
        <v/>
      </c>
    </row>
    <row r="2712" spans="165:168">
      <c r="FI2712" s="16">
        <v>2709</v>
      </c>
      <c r="FJ2712" s="17" t="e">
        <f t="shared" si="297"/>
        <v>#VALUE!</v>
      </c>
      <c r="FK2712" s="17" t="str">
        <f t="shared" si="296"/>
        <v/>
      </c>
      <c r="FL2712" s="18" t="str">
        <f t="shared" si="298"/>
        <v/>
      </c>
    </row>
    <row r="2713" spans="165:168">
      <c r="FI2713" s="16">
        <v>2710</v>
      </c>
      <c r="FJ2713" s="17" t="e">
        <f t="shared" si="297"/>
        <v>#VALUE!</v>
      </c>
      <c r="FK2713" s="17" t="str">
        <f t="shared" si="296"/>
        <v/>
      </c>
      <c r="FL2713" s="18" t="str">
        <f t="shared" si="298"/>
        <v/>
      </c>
    </row>
    <row r="2714" spans="165:168">
      <c r="FI2714" s="16">
        <v>2711</v>
      </c>
      <c r="FJ2714" s="17" t="e">
        <f t="shared" si="297"/>
        <v>#VALUE!</v>
      </c>
      <c r="FK2714" s="17" t="str">
        <f t="shared" si="296"/>
        <v/>
      </c>
      <c r="FL2714" s="18" t="str">
        <f t="shared" si="298"/>
        <v/>
      </c>
    </row>
    <row r="2715" spans="165:168">
      <c r="FI2715" s="16">
        <v>2712</v>
      </c>
      <c r="FJ2715" s="17" t="e">
        <f t="shared" si="297"/>
        <v>#VALUE!</v>
      </c>
      <c r="FK2715" s="17" t="str">
        <f t="shared" si="296"/>
        <v/>
      </c>
      <c r="FL2715" s="18" t="str">
        <f t="shared" si="298"/>
        <v/>
      </c>
    </row>
    <row r="2716" spans="165:168">
      <c r="FI2716" s="16">
        <v>2713</v>
      </c>
      <c r="FJ2716" s="17" t="e">
        <f t="shared" si="297"/>
        <v>#VALUE!</v>
      </c>
      <c r="FK2716" s="17" t="str">
        <f t="shared" si="296"/>
        <v/>
      </c>
      <c r="FL2716" s="18" t="str">
        <f t="shared" si="298"/>
        <v/>
      </c>
    </row>
    <row r="2717" spans="165:168">
      <c r="FI2717" s="16">
        <v>2714</v>
      </c>
      <c r="FJ2717" s="17" t="e">
        <f t="shared" si="297"/>
        <v>#VALUE!</v>
      </c>
      <c r="FK2717" s="17" t="str">
        <f t="shared" si="296"/>
        <v/>
      </c>
      <c r="FL2717" s="18" t="str">
        <f t="shared" si="298"/>
        <v/>
      </c>
    </row>
    <row r="2718" spans="165:168">
      <c r="FI2718" s="16">
        <v>2715</v>
      </c>
      <c r="FJ2718" s="17" t="e">
        <f t="shared" si="297"/>
        <v>#VALUE!</v>
      </c>
      <c r="FK2718" s="17" t="str">
        <f t="shared" si="296"/>
        <v/>
      </c>
      <c r="FL2718" s="18" t="str">
        <f t="shared" si="298"/>
        <v/>
      </c>
    </row>
    <row r="2719" spans="165:168">
      <c r="FI2719" s="16">
        <v>2716</v>
      </c>
      <c r="FJ2719" s="17" t="e">
        <f t="shared" si="297"/>
        <v>#VALUE!</v>
      </c>
      <c r="FK2719" s="17" t="str">
        <f t="shared" si="296"/>
        <v/>
      </c>
      <c r="FL2719" s="18" t="str">
        <f t="shared" si="298"/>
        <v/>
      </c>
    </row>
    <row r="2720" spans="165:168">
      <c r="FI2720" s="16">
        <v>2717</v>
      </c>
      <c r="FJ2720" s="17" t="e">
        <f t="shared" si="297"/>
        <v>#VALUE!</v>
      </c>
      <c r="FK2720" s="17" t="str">
        <f t="shared" si="296"/>
        <v/>
      </c>
      <c r="FL2720" s="18" t="str">
        <f t="shared" si="298"/>
        <v/>
      </c>
    </row>
    <row r="2721" spans="165:168">
      <c r="FI2721" s="16">
        <v>2718</v>
      </c>
      <c r="FJ2721" s="17" t="e">
        <f t="shared" si="297"/>
        <v>#VALUE!</v>
      </c>
      <c r="FK2721" s="17" t="str">
        <f t="shared" si="296"/>
        <v/>
      </c>
      <c r="FL2721" s="18" t="str">
        <f t="shared" si="298"/>
        <v/>
      </c>
    </row>
    <row r="2722" spans="165:168">
      <c r="FI2722" s="16">
        <v>2719</v>
      </c>
      <c r="FJ2722" s="17" t="e">
        <f t="shared" si="297"/>
        <v>#VALUE!</v>
      </c>
      <c r="FK2722" s="17" t="str">
        <f t="shared" si="296"/>
        <v/>
      </c>
      <c r="FL2722" s="18" t="str">
        <f t="shared" si="298"/>
        <v/>
      </c>
    </row>
    <row r="2723" spans="165:168">
      <c r="FI2723" s="16">
        <v>2720</v>
      </c>
      <c r="FJ2723" s="17" t="e">
        <f t="shared" si="297"/>
        <v>#VALUE!</v>
      </c>
      <c r="FK2723" s="17" t="str">
        <f t="shared" si="296"/>
        <v/>
      </c>
      <c r="FL2723" s="18" t="str">
        <f t="shared" si="298"/>
        <v/>
      </c>
    </row>
    <row r="2724" spans="165:168">
      <c r="FI2724" s="16">
        <v>2721</v>
      </c>
      <c r="FJ2724" s="17" t="e">
        <f t="shared" si="297"/>
        <v>#VALUE!</v>
      </c>
      <c r="FK2724" s="17" t="str">
        <f t="shared" si="296"/>
        <v/>
      </c>
      <c r="FL2724" s="18" t="str">
        <f t="shared" si="298"/>
        <v/>
      </c>
    </row>
    <row r="2725" spans="165:168">
      <c r="FI2725" s="16">
        <v>2722</v>
      </c>
      <c r="FJ2725" s="17" t="e">
        <f t="shared" si="297"/>
        <v>#VALUE!</v>
      </c>
      <c r="FK2725" s="17" t="str">
        <f t="shared" si="296"/>
        <v/>
      </c>
      <c r="FL2725" s="18" t="str">
        <f t="shared" si="298"/>
        <v/>
      </c>
    </row>
    <row r="2726" spans="165:168">
      <c r="FI2726" s="16">
        <v>2723</v>
      </c>
      <c r="FJ2726" s="17" t="e">
        <f t="shared" si="297"/>
        <v>#VALUE!</v>
      </c>
      <c r="FK2726" s="17" t="str">
        <f t="shared" si="296"/>
        <v/>
      </c>
      <c r="FL2726" s="18" t="str">
        <f t="shared" si="298"/>
        <v/>
      </c>
    </row>
    <row r="2727" spans="165:168">
      <c r="FI2727" s="16">
        <v>2724</v>
      </c>
      <c r="FJ2727" s="17" t="e">
        <f t="shared" si="297"/>
        <v>#VALUE!</v>
      </c>
      <c r="FK2727" s="17" t="str">
        <f t="shared" si="296"/>
        <v/>
      </c>
      <c r="FL2727" s="18" t="str">
        <f t="shared" si="298"/>
        <v/>
      </c>
    </row>
    <row r="2728" spans="165:168">
      <c r="FI2728" s="16">
        <v>2725</v>
      </c>
      <c r="FJ2728" s="17" t="e">
        <f t="shared" si="297"/>
        <v>#VALUE!</v>
      </c>
      <c r="FK2728" s="17" t="str">
        <f t="shared" si="296"/>
        <v/>
      </c>
      <c r="FL2728" s="18" t="str">
        <f t="shared" si="298"/>
        <v/>
      </c>
    </row>
    <row r="2729" spans="165:168">
      <c r="FI2729" s="16">
        <v>2726</v>
      </c>
      <c r="FJ2729" s="17" t="e">
        <f t="shared" si="297"/>
        <v>#VALUE!</v>
      </c>
      <c r="FK2729" s="17" t="str">
        <f t="shared" si="296"/>
        <v/>
      </c>
      <c r="FL2729" s="18" t="str">
        <f t="shared" si="298"/>
        <v/>
      </c>
    </row>
    <row r="2730" spans="165:168">
      <c r="FI2730" s="16">
        <v>2727</v>
      </c>
      <c r="FJ2730" s="17" t="e">
        <f t="shared" si="297"/>
        <v>#VALUE!</v>
      </c>
      <c r="FK2730" s="17" t="str">
        <f t="shared" si="296"/>
        <v/>
      </c>
      <c r="FL2730" s="18" t="str">
        <f t="shared" si="298"/>
        <v/>
      </c>
    </row>
    <row r="2731" spans="165:168">
      <c r="FI2731" s="16">
        <v>2728</v>
      </c>
      <c r="FJ2731" s="17" t="e">
        <f t="shared" si="297"/>
        <v>#VALUE!</v>
      </c>
      <c r="FK2731" s="17" t="str">
        <f t="shared" si="296"/>
        <v/>
      </c>
      <c r="FL2731" s="18" t="str">
        <f t="shared" si="298"/>
        <v/>
      </c>
    </row>
    <row r="2732" spans="165:168">
      <c r="FI2732" s="16">
        <v>2729</v>
      </c>
      <c r="FJ2732" s="17" t="e">
        <f t="shared" si="297"/>
        <v>#VALUE!</v>
      </c>
      <c r="FK2732" s="17" t="str">
        <f t="shared" si="296"/>
        <v/>
      </c>
      <c r="FL2732" s="18" t="str">
        <f t="shared" si="298"/>
        <v/>
      </c>
    </row>
    <row r="2733" spans="165:168">
      <c r="FI2733" s="16">
        <v>2730</v>
      </c>
      <c r="FJ2733" s="17" t="e">
        <f t="shared" si="297"/>
        <v>#VALUE!</v>
      </c>
      <c r="FK2733" s="17" t="str">
        <f t="shared" si="296"/>
        <v/>
      </c>
      <c r="FL2733" s="18" t="str">
        <f t="shared" si="298"/>
        <v/>
      </c>
    </row>
    <row r="2734" spans="165:168">
      <c r="FI2734" s="16">
        <v>2731</v>
      </c>
      <c r="FJ2734" s="17" t="e">
        <f t="shared" si="297"/>
        <v>#VALUE!</v>
      </c>
      <c r="FK2734" s="17" t="str">
        <f t="shared" si="296"/>
        <v/>
      </c>
      <c r="FL2734" s="18" t="str">
        <f t="shared" si="298"/>
        <v/>
      </c>
    </row>
    <row r="2735" spans="165:168">
      <c r="FI2735" s="16">
        <v>2732</v>
      </c>
      <c r="FJ2735" s="17" t="e">
        <f t="shared" si="297"/>
        <v>#VALUE!</v>
      </c>
      <c r="FK2735" s="17" t="str">
        <f t="shared" si="296"/>
        <v/>
      </c>
      <c r="FL2735" s="18" t="str">
        <f t="shared" si="298"/>
        <v/>
      </c>
    </row>
    <row r="2736" spans="165:168">
      <c r="FI2736" s="16">
        <v>2733</v>
      </c>
      <c r="FJ2736" s="17" t="e">
        <f t="shared" si="297"/>
        <v>#VALUE!</v>
      </c>
      <c r="FK2736" s="17" t="str">
        <f t="shared" si="296"/>
        <v/>
      </c>
      <c r="FL2736" s="18" t="str">
        <f t="shared" si="298"/>
        <v/>
      </c>
    </row>
    <row r="2737" spans="165:168">
      <c r="FI2737" s="16">
        <v>2734</v>
      </c>
      <c r="FJ2737" s="17" t="e">
        <f t="shared" si="297"/>
        <v>#VALUE!</v>
      </c>
      <c r="FK2737" s="17" t="str">
        <f t="shared" si="296"/>
        <v/>
      </c>
      <c r="FL2737" s="18" t="str">
        <f t="shared" si="298"/>
        <v/>
      </c>
    </row>
    <row r="2738" spans="165:168">
      <c r="FI2738" s="16">
        <v>2735</v>
      </c>
      <c r="FJ2738" s="17" t="e">
        <f t="shared" si="297"/>
        <v>#VALUE!</v>
      </c>
      <c r="FK2738" s="17" t="str">
        <f t="shared" si="296"/>
        <v/>
      </c>
      <c r="FL2738" s="18" t="str">
        <f t="shared" si="298"/>
        <v/>
      </c>
    </row>
    <row r="2739" spans="165:168">
      <c r="FI2739" s="16">
        <v>2736</v>
      </c>
      <c r="FJ2739" s="17" t="e">
        <f t="shared" si="297"/>
        <v>#VALUE!</v>
      </c>
      <c r="FK2739" s="17" t="str">
        <f t="shared" si="296"/>
        <v/>
      </c>
      <c r="FL2739" s="18" t="str">
        <f t="shared" si="298"/>
        <v/>
      </c>
    </row>
    <row r="2740" spans="165:168">
      <c r="FI2740" s="16">
        <v>2737</v>
      </c>
      <c r="FJ2740" s="17" t="e">
        <f t="shared" si="297"/>
        <v>#VALUE!</v>
      </c>
      <c r="FK2740" s="17" t="str">
        <f t="shared" si="296"/>
        <v/>
      </c>
      <c r="FL2740" s="18" t="str">
        <f t="shared" si="298"/>
        <v/>
      </c>
    </row>
    <row r="2741" spans="165:168">
      <c r="FI2741" s="16">
        <v>2738</v>
      </c>
      <c r="FJ2741" s="17" t="e">
        <f t="shared" si="297"/>
        <v>#VALUE!</v>
      </c>
      <c r="FK2741" s="17" t="str">
        <f t="shared" si="296"/>
        <v/>
      </c>
      <c r="FL2741" s="18" t="str">
        <f t="shared" si="298"/>
        <v/>
      </c>
    </row>
    <row r="2742" spans="165:168">
      <c r="FI2742" s="16">
        <v>2739</v>
      </c>
      <c r="FJ2742" s="17" t="e">
        <f t="shared" si="297"/>
        <v>#VALUE!</v>
      </c>
      <c r="FK2742" s="17" t="str">
        <f t="shared" si="296"/>
        <v/>
      </c>
      <c r="FL2742" s="18" t="str">
        <f t="shared" si="298"/>
        <v/>
      </c>
    </row>
    <row r="2743" spans="165:168">
      <c r="FI2743" s="16">
        <v>2740</v>
      </c>
      <c r="FJ2743" s="17" t="e">
        <f t="shared" si="297"/>
        <v>#VALUE!</v>
      </c>
      <c r="FK2743" s="17" t="str">
        <f t="shared" si="296"/>
        <v/>
      </c>
      <c r="FL2743" s="18" t="str">
        <f t="shared" si="298"/>
        <v/>
      </c>
    </row>
    <row r="2744" spans="165:168">
      <c r="FI2744" s="16">
        <v>2741</v>
      </c>
      <c r="FJ2744" s="17" t="e">
        <f t="shared" si="297"/>
        <v>#VALUE!</v>
      </c>
      <c r="FK2744" s="17" t="str">
        <f t="shared" si="296"/>
        <v/>
      </c>
      <c r="FL2744" s="18" t="str">
        <f t="shared" si="298"/>
        <v/>
      </c>
    </row>
    <row r="2745" spans="165:168">
      <c r="FI2745" s="16">
        <v>2742</v>
      </c>
      <c r="FJ2745" s="17" t="e">
        <f t="shared" si="297"/>
        <v>#VALUE!</v>
      </c>
      <c r="FK2745" s="17" t="str">
        <f t="shared" si="296"/>
        <v/>
      </c>
      <c r="FL2745" s="18" t="str">
        <f t="shared" si="298"/>
        <v/>
      </c>
    </row>
    <row r="2746" spans="165:168">
      <c r="FI2746" s="16">
        <v>2743</v>
      </c>
      <c r="FJ2746" s="17" t="e">
        <f t="shared" si="297"/>
        <v>#VALUE!</v>
      </c>
      <c r="FK2746" s="17" t="str">
        <f t="shared" si="296"/>
        <v/>
      </c>
      <c r="FL2746" s="18" t="str">
        <f t="shared" si="298"/>
        <v/>
      </c>
    </row>
    <row r="2747" spans="165:168">
      <c r="FI2747" s="16">
        <v>2744</v>
      </c>
      <c r="FJ2747" s="17" t="e">
        <f t="shared" si="297"/>
        <v>#VALUE!</v>
      </c>
      <c r="FK2747" s="17" t="str">
        <f t="shared" si="296"/>
        <v/>
      </c>
      <c r="FL2747" s="18" t="str">
        <f t="shared" si="298"/>
        <v/>
      </c>
    </row>
    <row r="2748" spans="165:168">
      <c r="FI2748" s="16">
        <v>2745</v>
      </c>
      <c r="FJ2748" s="17" t="e">
        <f t="shared" si="297"/>
        <v>#VALUE!</v>
      </c>
      <c r="FK2748" s="17" t="str">
        <f t="shared" si="296"/>
        <v/>
      </c>
      <c r="FL2748" s="18" t="str">
        <f t="shared" si="298"/>
        <v/>
      </c>
    </row>
    <row r="2749" spans="165:168">
      <c r="FI2749" s="16">
        <v>2746</v>
      </c>
      <c r="FJ2749" s="17" t="e">
        <f t="shared" si="297"/>
        <v>#VALUE!</v>
      </c>
      <c r="FK2749" s="17" t="str">
        <f t="shared" si="296"/>
        <v/>
      </c>
      <c r="FL2749" s="18" t="str">
        <f t="shared" si="298"/>
        <v/>
      </c>
    </row>
    <row r="2750" spans="165:168">
      <c r="FI2750" s="16">
        <v>2747</v>
      </c>
      <c r="FJ2750" s="17" t="e">
        <f t="shared" si="297"/>
        <v>#VALUE!</v>
      </c>
      <c r="FK2750" s="17" t="str">
        <f t="shared" si="296"/>
        <v/>
      </c>
      <c r="FL2750" s="18" t="str">
        <f t="shared" si="298"/>
        <v/>
      </c>
    </row>
    <row r="2751" spans="165:168">
      <c r="FI2751" s="16">
        <v>2748</v>
      </c>
      <c r="FJ2751" s="17" t="e">
        <f t="shared" si="297"/>
        <v>#VALUE!</v>
      </c>
      <c r="FK2751" s="17" t="str">
        <f t="shared" si="296"/>
        <v/>
      </c>
      <c r="FL2751" s="18" t="str">
        <f t="shared" si="298"/>
        <v/>
      </c>
    </row>
    <row r="2752" spans="165:168">
      <c r="FI2752" s="16">
        <v>2749</v>
      </c>
      <c r="FJ2752" s="17" t="e">
        <f t="shared" si="297"/>
        <v>#VALUE!</v>
      </c>
      <c r="FK2752" s="17" t="str">
        <f t="shared" si="296"/>
        <v/>
      </c>
      <c r="FL2752" s="18" t="str">
        <f t="shared" si="298"/>
        <v/>
      </c>
    </row>
    <row r="2753" spans="165:168">
      <c r="FI2753" s="16">
        <v>2750</v>
      </c>
      <c r="FJ2753" s="17" t="e">
        <f t="shared" si="297"/>
        <v>#VALUE!</v>
      </c>
      <c r="FK2753" s="17" t="str">
        <f t="shared" si="296"/>
        <v/>
      </c>
      <c r="FL2753" s="18" t="str">
        <f t="shared" si="298"/>
        <v/>
      </c>
    </row>
    <row r="2754" spans="165:168">
      <c r="FI2754" s="16">
        <v>2751</v>
      </c>
      <c r="FJ2754" s="17" t="e">
        <f t="shared" si="297"/>
        <v>#VALUE!</v>
      </c>
      <c r="FK2754" s="17" t="str">
        <f t="shared" si="296"/>
        <v/>
      </c>
      <c r="FL2754" s="18" t="str">
        <f t="shared" si="298"/>
        <v/>
      </c>
    </row>
    <row r="2755" spans="165:168">
      <c r="FI2755" s="16">
        <v>2752</v>
      </c>
      <c r="FJ2755" s="17" t="e">
        <f t="shared" si="297"/>
        <v>#VALUE!</v>
      </c>
      <c r="FK2755" s="17" t="str">
        <f t="shared" si="296"/>
        <v/>
      </c>
      <c r="FL2755" s="18" t="str">
        <f t="shared" si="298"/>
        <v/>
      </c>
    </row>
    <row r="2756" spans="165:168">
      <c r="FI2756" s="16">
        <v>2753</v>
      </c>
      <c r="FJ2756" s="17" t="e">
        <f t="shared" si="297"/>
        <v>#VALUE!</v>
      </c>
      <c r="FK2756" s="17" t="str">
        <f t="shared" si="296"/>
        <v/>
      </c>
      <c r="FL2756" s="18" t="str">
        <f t="shared" si="298"/>
        <v/>
      </c>
    </row>
    <row r="2757" spans="165:168">
      <c r="FI2757" s="16">
        <v>2754</v>
      </c>
      <c r="FJ2757" s="17" t="e">
        <f t="shared" si="297"/>
        <v>#VALUE!</v>
      </c>
      <c r="FK2757" s="17" t="str">
        <f t="shared" ref="FK2757:FK2820" si="299">IF(FI2757&lt;=$FH$2,FF2757,IF(FI2757&lt;=$FH$2+$FH$3,INDEX($FJ$4:$FJ$2494,FI2757-$FH$2),""))</f>
        <v/>
      </c>
      <c r="FL2757" s="18" t="str">
        <f t="shared" si="298"/>
        <v/>
      </c>
    </row>
    <row r="2758" spans="165:168">
      <c r="FI2758" s="16">
        <v>2755</v>
      </c>
      <c r="FJ2758" s="17" t="e">
        <f t="shared" si="297"/>
        <v>#VALUE!</v>
      </c>
      <c r="FK2758" s="17" t="str">
        <f t="shared" si="299"/>
        <v/>
      </c>
      <c r="FL2758" s="18" t="str">
        <f t="shared" si="298"/>
        <v/>
      </c>
    </row>
    <row r="2759" spans="165:168">
      <c r="FI2759" s="16">
        <v>2756</v>
      </c>
      <c r="FJ2759" s="17" t="e">
        <f t="shared" si="297"/>
        <v>#VALUE!</v>
      </c>
      <c r="FK2759" s="17" t="str">
        <f t="shared" si="299"/>
        <v/>
      </c>
      <c r="FL2759" s="18" t="str">
        <f t="shared" si="298"/>
        <v/>
      </c>
    </row>
    <row r="2760" spans="165:168">
      <c r="FI2760" s="16">
        <v>2757</v>
      </c>
      <c r="FJ2760" s="17" t="e">
        <f t="shared" si="297"/>
        <v>#VALUE!</v>
      </c>
      <c r="FK2760" s="17" t="str">
        <f t="shared" si="299"/>
        <v/>
      </c>
      <c r="FL2760" s="18" t="str">
        <f t="shared" si="298"/>
        <v/>
      </c>
    </row>
    <row r="2761" spans="165:168">
      <c r="FI2761" s="16">
        <v>2758</v>
      </c>
      <c r="FJ2761" s="17" t="e">
        <f t="shared" si="297"/>
        <v>#VALUE!</v>
      </c>
      <c r="FK2761" s="17" t="str">
        <f t="shared" si="299"/>
        <v/>
      </c>
      <c r="FL2761" s="18" t="str">
        <f t="shared" si="298"/>
        <v/>
      </c>
    </row>
    <row r="2762" spans="165:168">
      <c r="FI2762" s="16">
        <v>2759</v>
      </c>
      <c r="FJ2762" s="17" t="e">
        <f t="shared" si="297"/>
        <v>#VALUE!</v>
      </c>
      <c r="FK2762" s="17" t="str">
        <f t="shared" si="299"/>
        <v/>
      </c>
      <c r="FL2762" s="18" t="str">
        <f t="shared" si="298"/>
        <v/>
      </c>
    </row>
    <row r="2763" spans="165:168">
      <c r="FI2763" s="16">
        <v>2760</v>
      </c>
      <c r="FJ2763" s="17" t="e">
        <f t="shared" si="297"/>
        <v>#VALUE!</v>
      </c>
      <c r="FK2763" s="17" t="str">
        <f t="shared" si="299"/>
        <v/>
      </c>
      <c r="FL2763" s="18" t="str">
        <f t="shared" si="298"/>
        <v/>
      </c>
    </row>
    <row r="2764" spans="165:168">
      <c r="FI2764" s="16">
        <v>2761</v>
      </c>
      <c r="FJ2764" s="17" t="e">
        <f t="shared" si="297"/>
        <v>#VALUE!</v>
      </c>
      <c r="FK2764" s="17" t="str">
        <f t="shared" si="299"/>
        <v/>
      </c>
      <c r="FL2764" s="18" t="str">
        <f t="shared" si="298"/>
        <v/>
      </c>
    </row>
    <row r="2765" spans="165:168">
      <c r="FI2765" s="16">
        <v>2762</v>
      </c>
      <c r="FJ2765" s="17" t="e">
        <f t="shared" si="297"/>
        <v>#VALUE!</v>
      </c>
      <c r="FK2765" s="17" t="str">
        <f t="shared" si="299"/>
        <v/>
      </c>
      <c r="FL2765" s="18" t="str">
        <f t="shared" si="298"/>
        <v/>
      </c>
    </row>
    <row r="2766" spans="165:168">
      <c r="FI2766" s="16">
        <v>2763</v>
      </c>
      <c r="FJ2766" s="17" t="e">
        <f t="shared" si="297"/>
        <v>#VALUE!</v>
      </c>
      <c r="FK2766" s="17" t="str">
        <f t="shared" si="299"/>
        <v/>
      </c>
      <c r="FL2766" s="18" t="str">
        <f t="shared" si="298"/>
        <v/>
      </c>
    </row>
    <row r="2767" spans="165:168">
      <c r="FI2767" s="16">
        <v>2764</v>
      </c>
      <c r="FJ2767" s="17" t="e">
        <f t="shared" si="297"/>
        <v>#VALUE!</v>
      </c>
      <c r="FK2767" s="17" t="str">
        <f t="shared" si="299"/>
        <v/>
      </c>
      <c r="FL2767" s="18" t="str">
        <f t="shared" si="298"/>
        <v/>
      </c>
    </row>
    <row r="2768" spans="165:168">
      <c r="FI2768" s="16">
        <v>2765</v>
      </c>
      <c r="FJ2768" s="17" t="e">
        <f t="shared" si="297"/>
        <v>#VALUE!</v>
      </c>
      <c r="FK2768" s="17" t="str">
        <f t="shared" si="299"/>
        <v/>
      </c>
      <c r="FL2768" s="18" t="str">
        <f t="shared" si="298"/>
        <v/>
      </c>
    </row>
    <row r="2769" spans="165:168">
      <c r="FI2769" s="16">
        <v>2766</v>
      </c>
      <c r="FJ2769" s="17" t="e">
        <f t="shared" si="297"/>
        <v>#VALUE!</v>
      </c>
      <c r="FK2769" s="17" t="str">
        <f t="shared" si="299"/>
        <v/>
      </c>
      <c r="FL2769" s="18" t="str">
        <f t="shared" si="298"/>
        <v/>
      </c>
    </row>
    <row r="2770" spans="165:168">
      <c r="FI2770" s="16">
        <v>2767</v>
      </c>
      <c r="FJ2770" s="17" t="e">
        <f t="shared" si="297"/>
        <v>#VALUE!</v>
      </c>
      <c r="FK2770" s="17" t="str">
        <f t="shared" si="299"/>
        <v/>
      </c>
      <c r="FL2770" s="18" t="str">
        <f t="shared" si="298"/>
        <v/>
      </c>
    </row>
    <row r="2771" spans="165:168">
      <c r="FI2771" s="16">
        <v>2768</v>
      </c>
      <c r="FJ2771" s="17" t="e">
        <f t="shared" si="297"/>
        <v>#VALUE!</v>
      </c>
      <c r="FK2771" s="17" t="str">
        <f t="shared" si="299"/>
        <v/>
      </c>
      <c r="FL2771" s="18" t="str">
        <f t="shared" si="298"/>
        <v/>
      </c>
    </row>
    <row r="2772" spans="165:168">
      <c r="FI2772" s="16">
        <v>2769</v>
      </c>
      <c r="FJ2772" s="17" t="e">
        <f t="shared" si="297"/>
        <v>#VALUE!</v>
      </c>
      <c r="FK2772" s="17" t="str">
        <f t="shared" si="299"/>
        <v/>
      </c>
      <c r="FL2772" s="18" t="str">
        <f t="shared" si="298"/>
        <v/>
      </c>
    </row>
    <row r="2773" spans="165:168">
      <c r="FI2773" s="16">
        <v>2770</v>
      </c>
      <c r="FJ2773" s="17" t="e">
        <f t="shared" si="297"/>
        <v>#VALUE!</v>
      </c>
      <c r="FK2773" s="17" t="str">
        <f t="shared" si="299"/>
        <v/>
      </c>
      <c r="FL2773" s="18" t="str">
        <f t="shared" si="298"/>
        <v/>
      </c>
    </row>
    <row r="2774" spans="165:168">
      <c r="FI2774" s="16">
        <v>2771</v>
      </c>
      <c r="FJ2774" s="17" t="e">
        <f t="shared" ref="FJ2774:FJ2837" si="300">IF(FE2774&lt;=$FH$1,INDEX($DW$4:$EZ$84,FD2774,FE2774),"")</f>
        <v>#VALUE!</v>
      </c>
      <c r="FK2774" s="17" t="str">
        <f t="shared" si="299"/>
        <v/>
      </c>
      <c r="FL2774" s="18" t="str">
        <f t="shared" ref="FL2774:FL2837" si="301">IFERROR(TEXT(DEC2BIN(FK2774),"00000000"),"")</f>
        <v/>
      </c>
    </row>
    <row r="2775" spans="165:168">
      <c r="FI2775" s="16">
        <v>2772</v>
      </c>
      <c r="FJ2775" s="17" t="e">
        <f t="shared" si="300"/>
        <v>#VALUE!</v>
      </c>
      <c r="FK2775" s="17" t="str">
        <f t="shared" si="299"/>
        <v/>
      </c>
      <c r="FL2775" s="18" t="str">
        <f t="shared" si="301"/>
        <v/>
      </c>
    </row>
    <row r="2776" spans="165:168">
      <c r="FI2776" s="16">
        <v>2773</v>
      </c>
      <c r="FJ2776" s="17" t="e">
        <f t="shared" si="300"/>
        <v>#VALUE!</v>
      </c>
      <c r="FK2776" s="17" t="str">
        <f t="shared" si="299"/>
        <v/>
      </c>
      <c r="FL2776" s="18" t="str">
        <f t="shared" si="301"/>
        <v/>
      </c>
    </row>
    <row r="2777" spans="165:168">
      <c r="FI2777" s="16">
        <v>2774</v>
      </c>
      <c r="FJ2777" s="17" t="e">
        <f t="shared" si="300"/>
        <v>#VALUE!</v>
      </c>
      <c r="FK2777" s="17" t="str">
        <f t="shared" si="299"/>
        <v/>
      </c>
      <c r="FL2777" s="18" t="str">
        <f t="shared" si="301"/>
        <v/>
      </c>
    </row>
    <row r="2778" spans="165:168">
      <c r="FI2778" s="16">
        <v>2775</v>
      </c>
      <c r="FJ2778" s="17" t="e">
        <f t="shared" si="300"/>
        <v>#VALUE!</v>
      </c>
      <c r="FK2778" s="17" t="str">
        <f t="shared" si="299"/>
        <v/>
      </c>
      <c r="FL2778" s="18" t="str">
        <f t="shared" si="301"/>
        <v/>
      </c>
    </row>
    <row r="2779" spans="165:168">
      <c r="FI2779" s="16">
        <v>2776</v>
      </c>
      <c r="FJ2779" s="17" t="e">
        <f t="shared" si="300"/>
        <v>#VALUE!</v>
      </c>
      <c r="FK2779" s="17" t="str">
        <f t="shared" si="299"/>
        <v/>
      </c>
      <c r="FL2779" s="18" t="str">
        <f t="shared" si="301"/>
        <v/>
      </c>
    </row>
    <row r="2780" spans="165:168">
      <c r="FI2780" s="16">
        <v>2777</v>
      </c>
      <c r="FJ2780" s="17" t="e">
        <f t="shared" si="300"/>
        <v>#VALUE!</v>
      </c>
      <c r="FK2780" s="17" t="str">
        <f t="shared" si="299"/>
        <v/>
      </c>
      <c r="FL2780" s="18" t="str">
        <f t="shared" si="301"/>
        <v/>
      </c>
    </row>
    <row r="2781" spans="165:168">
      <c r="FI2781" s="16">
        <v>2778</v>
      </c>
      <c r="FJ2781" s="17" t="e">
        <f t="shared" si="300"/>
        <v>#VALUE!</v>
      </c>
      <c r="FK2781" s="17" t="str">
        <f t="shared" si="299"/>
        <v/>
      </c>
      <c r="FL2781" s="18" t="str">
        <f t="shared" si="301"/>
        <v/>
      </c>
    </row>
    <row r="2782" spans="165:168">
      <c r="FI2782" s="16">
        <v>2779</v>
      </c>
      <c r="FJ2782" s="17" t="e">
        <f t="shared" si="300"/>
        <v>#VALUE!</v>
      </c>
      <c r="FK2782" s="17" t="str">
        <f t="shared" si="299"/>
        <v/>
      </c>
      <c r="FL2782" s="18" t="str">
        <f t="shared" si="301"/>
        <v/>
      </c>
    </row>
    <row r="2783" spans="165:168">
      <c r="FI2783" s="16">
        <v>2780</v>
      </c>
      <c r="FJ2783" s="17" t="e">
        <f t="shared" si="300"/>
        <v>#VALUE!</v>
      </c>
      <c r="FK2783" s="17" t="str">
        <f t="shared" si="299"/>
        <v/>
      </c>
      <c r="FL2783" s="18" t="str">
        <f t="shared" si="301"/>
        <v/>
      </c>
    </row>
    <row r="2784" spans="165:168">
      <c r="FI2784" s="16">
        <v>2781</v>
      </c>
      <c r="FJ2784" s="17" t="e">
        <f t="shared" si="300"/>
        <v>#VALUE!</v>
      </c>
      <c r="FK2784" s="17" t="str">
        <f t="shared" si="299"/>
        <v/>
      </c>
      <c r="FL2784" s="18" t="str">
        <f t="shared" si="301"/>
        <v/>
      </c>
    </row>
    <row r="2785" spans="165:168">
      <c r="FI2785" s="16">
        <v>2782</v>
      </c>
      <c r="FJ2785" s="17" t="e">
        <f t="shared" si="300"/>
        <v>#VALUE!</v>
      </c>
      <c r="FK2785" s="17" t="str">
        <f t="shared" si="299"/>
        <v/>
      </c>
      <c r="FL2785" s="18" t="str">
        <f t="shared" si="301"/>
        <v/>
      </c>
    </row>
    <row r="2786" spans="165:168">
      <c r="FI2786" s="16">
        <v>2783</v>
      </c>
      <c r="FJ2786" s="17" t="e">
        <f t="shared" si="300"/>
        <v>#VALUE!</v>
      </c>
      <c r="FK2786" s="17" t="str">
        <f t="shared" si="299"/>
        <v/>
      </c>
      <c r="FL2786" s="18" t="str">
        <f t="shared" si="301"/>
        <v/>
      </c>
    </row>
    <row r="2787" spans="165:168">
      <c r="FI2787" s="16">
        <v>2784</v>
      </c>
      <c r="FJ2787" s="17" t="e">
        <f t="shared" si="300"/>
        <v>#VALUE!</v>
      </c>
      <c r="FK2787" s="17" t="str">
        <f t="shared" si="299"/>
        <v/>
      </c>
      <c r="FL2787" s="18" t="str">
        <f t="shared" si="301"/>
        <v/>
      </c>
    </row>
    <row r="2788" spans="165:168">
      <c r="FI2788" s="16">
        <v>2785</v>
      </c>
      <c r="FJ2788" s="17" t="e">
        <f t="shared" si="300"/>
        <v>#VALUE!</v>
      </c>
      <c r="FK2788" s="17" t="str">
        <f t="shared" si="299"/>
        <v/>
      </c>
      <c r="FL2788" s="18" t="str">
        <f t="shared" si="301"/>
        <v/>
      </c>
    </row>
    <row r="2789" spans="165:168">
      <c r="FI2789" s="16">
        <v>2786</v>
      </c>
      <c r="FJ2789" s="17" t="e">
        <f t="shared" si="300"/>
        <v>#VALUE!</v>
      </c>
      <c r="FK2789" s="17" t="str">
        <f t="shared" si="299"/>
        <v/>
      </c>
      <c r="FL2789" s="18" t="str">
        <f t="shared" si="301"/>
        <v/>
      </c>
    </row>
    <row r="2790" spans="165:168">
      <c r="FI2790" s="16">
        <v>2787</v>
      </c>
      <c r="FJ2790" s="17" t="e">
        <f t="shared" si="300"/>
        <v>#VALUE!</v>
      </c>
      <c r="FK2790" s="17" t="str">
        <f t="shared" si="299"/>
        <v/>
      </c>
      <c r="FL2790" s="18" t="str">
        <f t="shared" si="301"/>
        <v/>
      </c>
    </row>
    <row r="2791" spans="165:168">
      <c r="FI2791" s="16">
        <v>2788</v>
      </c>
      <c r="FJ2791" s="17" t="e">
        <f t="shared" si="300"/>
        <v>#VALUE!</v>
      </c>
      <c r="FK2791" s="17" t="str">
        <f t="shared" si="299"/>
        <v/>
      </c>
      <c r="FL2791" s="18" t="str">
        <f t="shared" si="301"/>
        <v/>
      </c>
    </row>
    <row r="2792" spans="165:168">
      <c r="FI2792" s="16">
        <v>2789</v>
      </c>
      <c r="FJ2792" s="17" t="e">
        <f t="shared" si="300"/>
        <v>#VALUE!</v>
      </c>
      <c r="FK2792" s="17" t="str">
        <f t="shared" si="299"/>
        <v/>
      </c>
      <c r="FL2792" s="18" t="str">
        <f t="shared" si="301"/>
        <v/>
      </c>
    </row>
    <row r="2793" spans="165:168">
      <c r="FI2793" s="16">
        <v>2790</v>
      </c>
      <c r="FJ2793" s="17" t="e">
        <f t="shared" si="300"/>
        <v>#VALUE!</v>
      </c>
      <c r="FK2793" s="17" t="str">
        <f t="shared" si="299"/>
        <v/>
      </c>
      <c r="FL2793" s="18" t="str">
        <f t="shared" si="301"/>
        <v/>
      </c>
    </row>
    <row r="2794" spans="165:168">
      <c r="FI2794" s="16">
        <v>2791</v>
      </c>
      <c r="FJ2794" s="17" t="e">
        <f t="shared" si="300"/>
        <v>#VALUE!</v>
      </c>
      <c r="FK2794" s="17" t="str">
        <f t="shared" si="299"/>
        <v/>
      </c>
      <c r="FL2794" s="18" t="str">
        <f t="shared" si="301"/>
        <v/>
      </c>
    </row>
    <row r="2795" spans="165:168">
      <c r="FI2795" s="16">
        <v>2792</v>
      </c>
      <c r="FJ2795" s="17" t="e">
        <f t="shared" si="300"/>
        <v>#VALUE!</v>
      </c>
      <c r="FK2795" s="17" t="str">
        <f t="shared" si="299"/>
        <v/>
      </c>
      <c r="FL2795" s="18" t="str">
        <f t="shared" si="301"/>
        <v/>
      </c>
    </row>
    <row r="2796" spans="165:168">
      <c r="FI2796" s="16">
        <v>2793</v>
      </c>
      <c r="FJ2796" s="17" t="e">
        <f t="shared" si="300"/>
        <v>#VALUE!</v>
      </c>
      <c r="FK2796" s="17" t="str">
        <f t="shared" si="299"/>
        <v/>
      </c>
      <c r="FL2796" s="18" t="str">
        <f t="shared" si="301"/>
        <v/>
      </c>
    </row>
    <row r="2797" spans="165:168">
      <c r="FI2797" s="16">
        <v>2794</v>
      </c>
      <c r="FJ2797" s="17" t="e">
        <f t="shared" si="300"/>
        <v>#VALUE!</v>
      </c>
      <c r="FK2797" s="17" t="str">
        <f t="shared" si="299"/>
        <v/>
      </c>
      <c r="FL2797" s="18" t="str">
        <f t="shared" si="301"/>
        <v/>
      </c>
    </row>
    <row r="2798" spans="165:168">
      <c r="FI2798" s="16">
        <v>2795</v>
      </c>
      <c r="FJ2798" s="17" t="e">
        <f t="shared" si="300"/>
        <v>#VALUE!</v>
      </c>
      <c r="FK2798" s="17" t="str">
        <f t="shared" si="299"/>
        <v/>
      </c>
      <c r="FL2798" s="18" t="str">
        <f t="shared" si="301"/>
        <v/>
      </c>
    </row>
    <row r="2799" spans="165:168">
      <c r="FI2799" s="16">
        <v>2796</v>
      </c>
      <c r="FJ2799" s="17" t="e">
        <f t="shared" si="300"/>
        <v>#VALUE!</v>
      </c>
      <c r="FK2799" s="17" t="str">
        <f t="shared" si="299"/>
        <v/>
      </c>
      <c r="FL2799" s="18" t="str">
        <f t="shared" si="301"/>
        <v/>
      </c>
    </row>
    <row r="2800" spans="165:168">
      <c r="FI2800" s="16">
        <v>2797</v>
      </c>
      <c r="FJ2800" s="17" t="e">
        <f t="shared" si="300"/>
        <v>#VALUE!</v>
      </c>
      <c r="FK2800" s="17" t="str">
        <f t="shared" si="299"/>
        <v/>
      </c>
      <c r="FL2800" s="18" t="str">
        <f t="shared" si="301"/>
        <v/>
      </c>
    </row>
    <row r="2801" spans="165:168">
      <c r="FI2801" s="16">
        <v>2798</v>
      </c>
      <c r="FJ2801" s="17" t="e">
        <f t="shared" si="300"/>
        <v>#VALUE!</v>
      </c>
      <c r="FK2801" s="17" t="str">
        <f t="shared" si="299"/>
        <v/>
      </c>
      <c r="FL2801" s="18" t="str">
        <f t="shared" si="301"/>
        <v/>
      </c>
    </row>
    <row r="2802" spans="165:168">
      <c r="FI2802" s="16">
        <v>2799</v>
      </c>
      <c r="FJ2802" s="17" t="e">
        <f t="shared" si="300"/>
        <v>#VALUE!</v>
      </c>
      <c r="FK2802" s="17" t="str">
        <f t="shared" si="299"/>
        <v/>
      </c>
      <c r="FL2802" s="18" t="str">
        <f t="shared" si="301"/>
        <v/>
      </c>
    </row>
    <row r="2803" spans="165:168">
      <c r="FI2803" s="16">
        <v>2800</v>
      </c>
      <c r="FJ2803" s="17" t="e">
        <f t="shared" si="300"/>
        <v>#VALUE!</v>
      </c>
      <c r="FK2803" s="17" t="str">
        <f t="shared" si="299"/>
        <v/>
      </c>
      <c r="FL2803" s="18" t="str">
        <f t="shared" si="301"/>
        <v/>
      </c>
    </row>
    <row r="2804" spans="165:168">
      <c r="FI2804" s="16">
        <v>2801</v>
      </c>
      <c r="FJ2804" s="17" t="e">
        <f t="shared" si="300"/>
        <v>#VALUE!</v>
      </c>
      <c r="FK2804" s="17" t="str">
        <f t="shared" si="299"/>
        <v/>
      </c>
      <c r="FL2804" s="18" t="str">
        <f t="shared" si="301"/>
        <v/>
      </c>
    </row>
    <row r="2805" spans="165:168">
      <c r="FI2805" s="16">
        <v>2802</v>
      </c>
      <c r="FJ2805" s="17" t="e">
        <f t="shared" si="300"/>
        <v>#VALUE!</v>
      </c>
      <c r="FK2805" s="17" t="str">
        <f t="shared" si="299"/>
        <v/>
      </c>
      <c r="FL2805" s="18" t="str">
        <f t="shared" si="301"/>
        <v/>
      </c>
    </row>
    <row r="2806" spans="165:168">
      <c r="FI2806" s="16">
        <v>2803</v>
      </c>
      <c r="FJ2806" s="17" t="e">
        <f t="shared" si="300"/>
        <v>#VALUE!</v>
      </c>
      <c r="FK2806" s="17" t="str">
        <f t="shared" si="299"/>
        <v/>
      </c>
      <c r="FL2806" s="18" t="str">
        <f t="shared" si="301"/>
        <v/>
      </c>
    </row>
    <row r="2807" spans="165:168">
      <c r="FI2807" s="16">
        <v>2804</v>
      </c>
      <c r="FJ2807" s="17" t="e">
        <f t="shared" si="300"/>
        <v>#VALUE!</v>
      </c>
      <c r="FK2807" s="17" t="str">
        <f t="shared" si="299"/>
        <v/>
      </c>
      <c r="FL2807" s="18" t="str">
        <f t="shared" si="301"/>
        <v/>
      </c>
    </row>
    <row r="2808" spans="165:168">
      <c r="FI2808" s="16">
        <v>2805</v>
      </c>
      <c r="FJ2808" s="17" t="e">
        <f t="shared" si="300"/>
        <v>#VALUE!</v>
      </c>
      <c r="FK2808" s="17" t="str">
        <f t="shared" si="299"/>
        <v/>
      </c>
      <c r="FL2808" s="18" t="str">
        <f t="shared" si="301"/>
        <v/>
      </c>
    </row>
    <row r="2809" spans="165:168">
      <c r="FI2809" s="16">
        <v>2806</v>
      </c>
      <c r="FJ2809" s="17" t="e">
        <f t="shared" si="300"/>
        <v>#VALUE!</v>
      </c>
      <c r="FK2809" s="17" t="str">
        <f t="shared" si="299"/>
        <v/>
      </c>
      <c r="FL2809" s="18" t="str">
        <f t="shared" si="301"/>
        <v/>
      </c>
    </row>
    <row r="2810" spans="165:168">
      <c r="FI2810" s="16">
        <v>2807</v>
      </c>
      <c r="FJ2810" s="17" t="e">
        <f t="shared" si="300"/>
        <v>#VALUE!</v>
      </c>
      <c r="FK2810" s="17" t="str">
        <f t="shared" si="299"/>
        <v/>
      </c>
      <c r="FL2810" s="18" t="str">
        <f t="shared" si="301"/>
        <v/>
      </c>
    </row>
    <row r="2811" spans="165:168">
      <c r="FI2811" s="16">
        <v>2808</v>
      </c>
      <c r="FJ2811" s="17" t="e">
        <f t="shared" si="300"/>
        <v>#VALUE!</v>
      </c>
      <c r="FK2811" s="17" t="str">
        <f t="shared" si="299"/>
        <v/>
      </c>
      <c r="FL2811" s="18" t="str">
        <f t="shared" si="301"/>
        <v/>
      </c>
    </row>
    <row r="2812" spans="165:168">
      <c r="FI2812" s="16">
        <v>2809</v>
      </c>
      <c r="FJ2812" s="17" t="e">
        <f t="shared" si="300"/>
        <v>#VALUE!</v>
      </c>
      <c r="FK2812" s="17" t="str">
        <f t="shared" si="299"/>
        <v/>
      </c>
      <c r="FL2812" s="18" t="str">
        <f t="shared" si="301"/>
        <v/>
      </c>
    </row>
    <row r="2813" spans="165:168">
      <c r="FI2813" s="16">
        <v>2810</v>
      </c>
      <c r="FJ2813" s="17" t="e">
        <f t="shared" si="300"/>
        <v>#VALUE!</v>
      </c>
      <c r="FK2813" s="17" t="str">
        <f t="shared" si="299"/>
        <v/>
      </c>
      <c r="FL2813" s="18" t="str">
        <f t="shared" si="301"/>
        <v/>
      </c>
    </row>
    <row r="2814" spans="165:168">
      <c r="FI2814" s="16">
        <v>2811</v>
      </c>
      <c r="FJ2814" s="17" t="e">
        <f t="shared" si="300"/>
        <v>#VALUE!</v>
      </c>
      <c r="FK2814" s="17" t="str">
        <f t="shared" si="299"/>
        <v/>
      </c>
      <c r="FL2814" s="18" t="str">
        <f t="shared" si="301"/>
        <v/>
      </c>
    </row>
    <row r="2815" spans="165:168">
      <c r="FI2815" s="16">
        <v>2812</v>
      </c>
      <c r="FJ2815" s="17" t="e">
        <f t="shared" si="300"/>
        <v>#VALUE!</v>
      </c>
      <c r="FK2815" s="17" t="str">
        <f t="shared" si="299"/>
        <v/>
      </c>
      <c r="FL2815" s="18" t="str">
        <f t="shared" si="301"/>
        <v/>
      </c>
    </row>
    <row r="2816" spans="165:168">
      <c r="FI2816" s="16">
        <v>2813</v>
      </c>
      <c r="FJ2816" s="17" t="e">
        <f t="shared" si="300"/>
        <v>#VALUE!</v>
      </c>
      <c r="FK2816" s="17" t="str">
        <f t="shared" si="299"/>
        <v/>
      </c>
      <c r="FL2816" s="18" t="str">
        <f t="shared" si="301"/>
        <v/>
      </c>
    </row>
    <row r="2817" spans="165:168">
      <c r="FI2817" s="16">
        <v>2814</v>
      </c>
      <c r="FJ2817" s="17" t="e">
        <f t="shared" si="300"/>
        <v>#VALUE!</v>
      </c>
      <c r="FK2817" s="17" t="str">
        <f t="shared" si="299"/>
        <v/>
      </c>
      <c r="FL2817" s="18" t="str">
        <f t="shared" si="301"/>
        <v/>
      </c>
    </row>
    <row r="2818" spans="165:168">
      <c r="FI2818" s="16">
        <v>2815</v>
      </c>
      <c r="FJ2818" s="17" t="e">
        <f t="shared" si="300"/>
        <v>#VALUE!</v>
      </c>
      <c r="FK2818" s="17" t="str">
        <f t="shared" si="299"/>
        <v/>
      </c>
      <c r="FL2818" s="18" t="str">
        <f t="shared" si="301"/>
        <v/>
      </c>
    </row>
    <row r="2819" spans="165:168">
      <c r="FI2819" s="16">
        <v>2816</v>
      </c>
      <c r="FJ2819" s="17" t="e">
        <f t="shared" si="300"/>
        <v>#VALUE!</v>
      </c>
      <c r="FK2819" s="17" t="str">
        <f t="shared" si="299"/>
        <v/>
      </c>
      <c r="FL2819" s="18" t="str">
        <f t="shared" si="301"/>
        <v/>
      </c>
    </row>
    <row r="2820" spans="165:168">
      <c r="FI2820" s="16">
        <v>2817</v>
      </c>
      <c r="FJ2820" s="17" t="e">
        <f t="shared" si="300"/>
        <v>#VALUE!</v>
      </c>
      <c r="FK2820" s="17" t="str">
        <f t="shared" si="299"/>
        <v/>
      </c>
      <c r="FL2820" s="18" t="str">
        <f t="shared" si="301"/>
        <v/>
      </c>
    </row>
    <row r="2821" spans="165:168">
      <c r="FI2821" s="16">
        <v>2818</v>
      </c>
      <c r="FJ2821" s="17" t="e">
        <f t="shared" si="300"/>
        <v>#VALUE!</v>
      </c>
      <c r="FK2821" s="17" t="str">
        <f t="shared" ref="FK2821:FK2884" si="302">IF(FI2821&lt;=$FH$2,FF2821,IF(FI2821&lt;=$FH$2+$FH$3,INDEX($FJ$4:$FJ$2494,FI2821-$FH$2),""))</f>
        <v/>
      </c>
      <c r="FL2821" s="18" t="str">
        <f t="shared" si="301"/>
        <v/>
      </c>
    </row>
    <row r="2822" spans="165:168">
      <c r="FI2822" s="16">
        <v>2819</v>
      </c>
      <c r="FJ2822" s="17" t="e">
        <f t="shared" si="300"/>
        <v>#VALUE!</v>
      </c>
      <c r="FK2822" s="17" t="str">
        <f t="shared" si="302"/>
        <v/>
      </c>
      <c r="FL2822" s="18" t="str">
        <f t="shared" si="301"/>
        <v/>
      </c>
    </row>
    <row r="2823" spans="165:168">
      <c r="FI2823" s="16">
        <v>2820</v>
      </c>
      <c r="FJ2823" s="17" t="e">
        <f t="shared" si="300"/>
        <v>#VALUE!</v>
      </c>
      <c r="FK2823" s="17" t="str">
        <f t="shared" si="302"/>
        <v/>
      </c>
      <c r="FL2823" s="18" t="str">
        <f t="shared" si="301"/>
        <v/>
      </c>
    </row>
    <row r="2824" spans="165:168">
      <c r="FI2824" s="16">
        <v>2821</v>
      </c>
      <c r="FJ2824" s="17" t="e">
        <f t="shared" si="300"/>
        <v>#VALUE!</v>
      </c>
      <c r="FK2824" s="17" t="str">
        <f t="shared" si="302"/>
        <v/>
      </c>
      <c r="FL2824" s="18" t="str">
        <f t="shared" si="301"/>
        <v/>
      </c>
    </row>
    <row r="2825" spans="165:168">
      <c r="FI2825" s="16">
        <v>2822</v>
      </c>
      <c r="FJ2825" s="17" t="e">
        <f t="shared" si="300"/>
        <v>#VALUE!</v>
      </c>
      <c r="FK2825" s="17" t="str">
        <f t="shared" si="302"/>
        <v/>
      </c>
      <c r="FL2825" s="18" t="str">
        <f t="shared" si="301"/>
        <v/>
      </c>
    </row>
    <row r="2826" spans="165:168">
      <c r="FI2826" s="16">
        <v>2823</v>
      </c>
      <c r="FJ2826" s="17" t="e">
        <f t="shared" si="300"/>
        <v>#VALUE!</v>
      </c>
      <c r="FK2826" s="17" t="str">
        <f t="shared" si="302"/>
        <v/>
      </c>
      <c r="FL2826" s="18" t="str">
        <f t="shared" si="301"/>
        <v/>
      </c>
    </row>
    <row r="2827" spans="165:168">
      <c r="FI2827" s="16">
        <v>2824</v>
      </c>
      <c r="FJ2827" s="17" t="e">
        <f t="shared" si="300"/>
        <v>#VALUE!</v>
      </c>
      <c r="FK2827" s="17" t="str">
        <f t="shared" si="302"/>
        <v/>
      </c>
      <c r="FL2827" s="18" t="str">
        <f t="shared" si="301"/>
        <v/>
      </c>
    </row>
    <row r="2828" spans="165:168">
      <c r="FI2828" s="16">
        <v>2825</v>
      </c>
      <c r="FJ2828" s="17" t="e">
        <f t="shared" si="300"/>
        <v>#VALUE!</v>
      </c>
      <c r="FK2828" s="17" t="str">
        <f t="shared" si="302"/>
        <v/>
      </c>
      <c r="FL2828" s="18" t="str">
        <f t="shared" si="301"/>
        <v/>
      </c>
    </row>
    <row r="2829" spans="165:168">
      <c r="FI2829" s="16">
        <v>2826</v>
      </c>
      <c r="FJ2829" s="17" t="e">
        <f t="shared" si="300"/>
        <v>#VALUE!</v>
      </c>
      <c r="FK2829" s="17" t="str">
        <f t="shared" si="302"/>
        <v/>
      </c>
      <c r="FL2829" s="18" t="str">
        <f t="shared" si="301"/>
        <v/>
      </c>
    </row>
    <row r="2830" spans="165:168">
      <c r="FI2830" s="16">
        <v>2827</v>
      </c>
      <c r="FJ2830" s="17" t="e">
        <f t="shared" si="300"/>
        <v>#VALUE!</v>
      </c>
      <c r="FK2830" s="17" t="str">
        <f t="shared" si="302"/>
        <v/>
      </c>
      <c r="FL2830" s="18" t="str">
        <f t="shared" si="301"/>
        <v/>
      </c>
    </row>
    <row r="2831" spans="165:168">
      <c r="FI2831" s="16">
        <v>2828</v>
      </c>
      <c r="FJ2831" s="17" t="e">
        <f t="shared" si="300"/>
        <v>#VALUE!</v>
      </c>
      <c r="FK2831" s="17" t="str">
        <f t="shared" si="302"/>
        <v/>
      </c>
      <c r="FL2831" s="18" t="str">
        <f t="shared" si="301"/>
        <v/>
      </c>
    </row>
    <row r="2832" spans="165:168">
      <c r="FI2832" s="16">
        <v>2829</v>
      </c>
      <c r="FJ2832" s="17" t="e">
        <f t="shared" si="300"/>
        <v>#VALUE!</v>
      </c>
      <c r="FK2832" s="17" t="str">
        <f t="shared" si="302"/>
        <v/>
      </c>
      <c r="FL2832" s="18" t="str">
        <f t="shared" si="301"/>
        <v/>
      </c>
    </row>
    <row r="2833" spans="165:168">
      <c r="FI2833" s="16">
        <v>2830</v>
      </c>
      <c r="FJ2833" s="17" t="e">
        <f t="shared" si="300"/>
        <v>#VALUE!</v>
      </c>
      <c r="FK2833" s="17" t="str">
        <f t="shared" si="302"/>
        <v/>
      </c>
      <c r="FL2833" s="18" t="str">
        <f t="shared" si="301"/>
        <v/>
      </c>
    </row>
    <row r="2834" spans="165:168">
      <c r="FI2834" s="16">
        <v>2831</v>
      </c>
      <c r="FJ2834" s="17" t="e">
        <f t="shared" si="300"/>
        <v>#VALUE!</v>
      </c>
      <c r="FK2834" s="17" t="str">
        <f t="shared" si="302"/>
        <v/>
      </c>
      <c r="FL2834" s="18" t="str">
        <f t="shared" si="301"/>
        <v/>
      </c>
    </row>
    <row r="2835" spans="165:168">
      <c r="FI2835" s="16">
        <v>2832</v>
      </c>
      <c r="FJ2835" s="17" t="e">
        <f t="shared" si="300"/>
        <v>#VALUE!</v>
      </c>
      <c r="FK2835" s="17" t="str">
        <f t="shared" si="302"/>
        <v/>
      </c>
      <c r="FL2835" s="18" t="str">
        <f t="shared" si="301"/>
        <v/>
      </c>
    </row>
    <row r="2836" spans="165:168">
      <c r="FI2836" s="16">
        <v>2833</v>
      </c>
      <c r="FJ2836" s="17" t="e">
        <f t="shared" si="300"/>
        <v>#VALUE!</v>
      </c>
      <c r="FK2836" s="17" t="str">
        <f t="shared" si="302"/>
        <v/>
      </c>
      <c r="FL2836" s="18" t="str">
        <f t="shared" si="301"/>
        <v/>
      </c>
    </row>
    <row r="2837" spans="165:168">
      <c r="FI2837" s="16">
        <v>2834</v>
      </c>
      <c r="FJ2837" s="17" t="e">
        <f t="shared" si="300"/>
        <v>#VALUE!</v>
      </c>
      <c r="FK2837" s="17" t="str">
        <f t="shared" si="302"/>
        <v/>
      </c>
      <c r="FL2837" s="18" t="str">
        <f t="shared" si="301"/>
        <v/>
      </c>
    </row>
    <row r="2838" spans="165:168">
      <c r="FI2838" s="16">
        <v>2835</v>
      </c>
      <c r="FJ2838" s="17" t="e">
        <f t="shared" ref="FJ2838:FJ2901" si="303">IF(FE2838&lt;=$FH$1,INDEX($DW$4:$EZ$84,FD2838,FE2838),"")</f>
        <v>#VALUE!</v>
      </c>
      <c r="FK2838" s="17" t="str">
        <f t="shared" si="302"/>
        <v/>
      </c>
      <c r="FL2838" s="18" t="str">
        <f t="shared" ref="FL2838:FL2901" si="304">IFERROR(TEXT(DEC2BIN(FK2838),"00000000"),"")</f>
        <v/>
      </c>
    </row>
    <row r="2839" spans="165:168">
      <c r="FI2839" s="16">
        <v>2836</v>
      </c>
      <c r="FJ2839" s="17" t="e">
        <f t="shared" si="303"/>
        <v>#VALUE!</v>
      </c>
      <c r="FK2839" s="17" t="str">
        <f t="shared" si="302"/>
        <v/>
      </c>
      <c r="FL2839" s="18" t="str">
        <f t="shared" si="304"/>
        <v/>
      </c>
    </row>
    <row r="2840" spans="165:168">
      <c r="FI2840" s="16">
        <v>2837</v>
      </c>
      <c r="FJ2840" s="17" t="e">
        <f t="shared" si="303"/>
        <v>#VALUE!</v>
      </c>
      <c r="FK2840" s="17" t="str">
        <f t="shared" si="302"/>
        <v/>
      </c>
      <c r="FL2840" s="18" t="str">
        <f t="shared" si="304"/>
        <v/>
      </c>
    </row>
    <row r="2841" spans="165:168">
      <c r="FI2841" s="16">
        <v>2838</v>
      </c>
      <c r="FJ2841" s="17" t="e">
        <f t="shared" si="303"/>
        <v>#VALUE!</v>
      </c>
      <c r="FK2841" s="17" t="str">
        <f t="shared" si="302"/>
        <v/>
      </c>
      <c r="FL2841" s="18" t="str">
        <f t="shared" si="304"/>
        <v/>
      </c>
    </row>
    <row r="2842" spans="165:168">
      <c r="FI2842" s="16">
        <v>2839</v>
      </c>
      <c r="FJ2842" s="17" t="e">
        <f t="shared" si="303"/>
        <v>#VALUE!</v>
      </c>
      <c r="FK2842" s="17" t="str">
        <f t="shared" si="302"/>
        <v/>
      </c>
      <c r="FL2842" s="18" t="str">
        <f t="shared" si="304"/>
        <v/>
      </c>
    </row>
    <row r="2843" spans="165:168">
      <c r="FI2843" s="16">
        <v>2840</v>
      </c>
      <c r="FJ2843" s="17" t="e">
        <f t="shared" si="303"/>
        <v>#VALUE!</v>
      </c>
      <c r="FK2843" s="17" t="str">
        <f t="shared" si="302"/>
        <v/>
      </c>
      <c r="FL2843" s="18" t="str">
        <f t="shared" si="304"/>
        <v/>
      </c>
    </row>
    <row r="2844" spans="165:168">
      <c r="FI2844" s="16">
        <v>2841</v>
      </c>
      <c r="FJ2844" s="17" t="e">
        <f t="shared" si="303"/>
        <v>#VALUE!</v>
      </c>
      <c r="FK2844" s="17" t="str">
        <f t="shared" si="302"/>
        <v/>
      </c>
      <c r="FL2844" s="18" t="str">
        <f t="shared" si="304"/>
        <v/>
      </c>
    </row>
    <row r="2845" spans="165:168">
      <c r="FI2845" s="16">
        <v>2842</v>
      </c>
      <c r="FJ2845" s="17" t="e">
        <f t="shared" si="303"/>
        <v>#VALUE!</v>
      </c>
      <c r="FK2845" s="17" t="str">
        <f t="shared" si="302"/>
        <v/>
      </c>
      <c r="FL2845" s="18" t="str">
        <f t="shared" si="304"/>
        <v/>
      </c>
    </row>
    <row r="2846" spans="165:168">
      <c r="FI2846" s="16">
        <v>2843</v>
      </c>
      <c r="FJ2846" s="17" t="e">
        <f t="shared" si="303"/>
        <v>#VALUE!</v>
      </c>
      <c r="FK2846" s="17" t="str">
        <f t="shared" si="302"/>
        <v/>
      </c>
      <c r="FL2846" s="18" t="str">
        <f t="shared" si="304"/>
        <v/>
      </c>
    </row>
    <row r="2847" spans="165:168">
      <c r="FI2847" s="16">
        <v>2844</v>
      </c>
      <c r="FJ2847" s="17" t="e">
        <f t="shared" si="303"/>
        <v>#VALUE!</v>
      </c>
      <c r="FK2847" s="17" t="str">
        <f t="shared" si="302"/>
        <v/>
      </c>
      <c r="FL2847" s="18" t="str">
        <f t="shared" si="304"/>
        <v/>
      </c>
    </row>
    <row r="2848" spans="165:168">
      <c r="FI2848" s="16">
        <v>2845</v>
      </c>
      <c r="FJ2848" s="17" t="e">
        <f t="shared" si="303"/>
        <v>#VALUE!</v>
      </c>
      <c r="FK2848" s="17" t="str">
        <f t="shared" si="302"/>
        <v/>
      </c>
      <c r="FL2848" s="18" t="str">
        <f t="shared" si="304"/>
        <v/>
      </c>
    </row>
    <row r="2849" spans="165:168">
      <c r="FI2849" s="16">
        <v>2846</v>
      </c>
      <c r="FJ2849" s="17" t="e">
        <f t="shared" si="303"/>
        <v>#VALUE!</v>
      </c>
      <c r="FK2849" s="17" t="str">
        <f t="shared" si="302"/>
        <v/>
      </c>
      <c r="FL2849" s="18" t="str">
        <f t="shared" si="304"/>
        <v/>
      </c>
    </row>
    <row r="2850" spans="165:168">
      <c r="FI2850" s="16">
        <v>2847</v>
      </c>
      <c r="FJ2850" s="17" t="e">
        <f t="shared" si="303"/>
        <v>#VALUE!</v>
      </c>
      <c r="FK2850" s="17" t="str">
        <f t="shared" si="302"/>
        <v/>
      </c>
      <c r="FL2850" s="18" t="str">
        <f t="shared" si="304"/>
        <v/>
      </c>
    </row>
    <row r="2851" spans="165:168">
      <c r="FI2851" s="16">
        <v>2848</v>
      </c>
      <c r="FJ2851" s="17" t="e">
        <f t="shared" si="303"/>
        <v>#VALUE!</v>
      </c>
      <c r="FK2851" s="17" t="str">
        <f t="shared" si="302"/>
        <v/>
      </c>
      <c r="FL2851" s="18" t="str">
        <f t="shared" si="304"/>
        <v/>
      </c>
    </row>
    <row r="2852" spans="165:168">
      <c r="FI2852" s="16">
        <v>2849</v>
      </c>
      <c r="FJ2852" s="17" t="e">
        <f t="shared" si="303"/>
        <v>#VALUE!</v>
      </c>
      <c r="FK2852" s="17" t="str">
        <f t="shared" si="302"/>
        <v/>
      </c>
      <c r="FL2852" s="18" t="str">
        <f t="shared" si="304"/>
        <v/>
      </c>
    </row>
    <row r="2853" spans="165:168">
      <c r="FI2853" s="16">
        <v>2850</v>
      </c>
      <c r="FJ2853" s="17" t="e">
        <f t="shared" si="303"/>
        <v>#VALUE!</v>
      </c>
      <c r="FK2853" s="17" t="str">
        <f t="shared" si="302"/>
        <v/>
      </c>
      <c r="FL2853" s="18" t="str">
        <f t="shared" si="304"/>
        <v/>
      </c>
    </row>
    <row r="2854" spans="165:168">
      <c r="FI2854" s="16">
        <v>2851</v>
      </c>
      <c r="FJ2854" s="17" t="e">
        <f t="shared" si="303"/>
        <v>#VALUE!</v>
      </c>
      <c r="FK2854" s="17" t="str">
        <f t="shared" si="302"/>
        <v/>
      </c>
      <c r="FL2854" s="18" t="str">
        <f t="shared" si="304"/>
        <v/>
      </c>
    </row>
    <row r="2855" spans="165:168">
      <c r="FI2855" s="16">
        <v>2852</v>
      </c>
      <c r="FJ2855" s="17" t="e">
        <f t="shared" si="303"/>
        <v>#VALUE!</v>
      </c>
      <c r="FK2855" s="17" t="str">
        <f t="shared" si="302"/>
        <v/>
      </c>
      <c r="FL2855" s="18" t="str">
        <f t="shared" si="304"/>
        <v/>
      </c>
    </row>
    <row r="2856" spans="165:168">
      <c r="FI2856" s="16">
        <v>2853</v>
      </c>
      <c r="FJ2856" s="17" t="e">
        <f t="shared" si="303"/>
        <v>#VALUE!</v>
      </c>
      <c r="FK2856" s="17" t="str">
        <f t="shared" si="302"/>
        <v/>
      </c>
      <c r="FL2856" s="18" t="str">
        <f t="shared" si="304"/>
        <v/>
      </c>
    </row>
    <row r="2857" spans="165:168">
      <c r="FI2857" s="16">
        <v>2854</v>
      </c>
      <c r="FJ2857" s="17" t="e">
        <f t="shared" si="303"/>
        <v>#VALUE!</v>
      </c>
      <c r="FK2857" s="17" t="str">
        <f t="shared" si="302"/>
        <v/>
      </c>
      <c r="FL2857" s="18" t="str">
        <f t="shared" si="304"/>
        <v/>
      </c>
    </row>
    <row r="2858" spans="165:168">
      <c r="FI2858" s="16">
        <v>2855</v>
      </c>
      <c r="FJ2858" s="17" t="e">
        <f t="shared" si="303"/>
        <v>#VALUE!</v>
      </c>
      <c r="FK2858" s="17" t="str">
        <f t="shared" si="302"/>
        <v/>
      </c>
      <c r="FL2858" s="18" t="str">
        <f t="shared" si="304"/>
        <v/>
      </c>
    </row>
    <row r="2859" spans="165:168">
      <c r="FI2859" s="16">
        <v>2856</v>
      </c>
      <c r="FJ2859" s="17" t="e">
        <f t="shared" si="303"/>
        <v>#VALUE!</v>
      </c>
      <c r="FK2859" s="17" t="str">
        <f t="shared" si="302"/>
        <v/>
      </c>
      <c r="FL2859" s="18" t="str">
        <f t="shared" si="304"/>
        <v/>
      </c>
    </row>
    <row r="2860" spans="165:168">
      <c r="FI2860" s="16">
        <v>2857</v>
      </c>
      <c r="FJ2860" s="17" t="e">
        <f t="shared" si="303"/>
        <v>#VALUE!</v>
      </c>
      <c r="FK2860" s="17" t="str">
        <f t="shared" si="302"/>
        <v/>
      </c>
      <c r="FL2860" s="18" t="str">
        <f t="shared" si="304"/>
        <v/>
      </c>
    </row>
    <row r="2861" spans="165:168">
      <c r="FI2861" s="16">
        <v>2858</v>
      </c>
      <c r="FJ2861" s="17" t="e">
        <f t="shared" si="303"/>
        <v>#VALUE!</v>
      </c>
      <c r="FK2861" s="17" t="str">
        <f t="shared" si="302"/>
        <v/>
      </c>
      <c r="FL2861" s="18" t="str">
        <f t="shared" si="304"/>
        <v/>
      </c>
    </row>
    <row r="2862" spans="165:168">
      <c r="FI2862" s="16">
        <v>2859</v>
      </c>
      <c r="FJ2862" s="17" t="e">
        <f t="shared" si="303"/>
        <v>#VALUE!</v>
      </c>
      <c r="FK2862" s="17" t="str">
        <f t="shared" si="302"/>
        <v/>
      </c>
      <c r="FL2862" s="18" t="str">
        <f t="shared" si="304"/>
        <v/>
      </c>
    </row>
    <row r="2863" spans="165:168">
      <c r="FI2863" s="16">
        <v>2860</v>
      </c>
      <c r="FJ2863" s="17" t="e">
        <f t="shared" si="303"/>
        <v>#VALUE!</v>
      </c>
      <c r="FK2863" s="17" t="str">
        <f t="shared" si="302"/>
        <v/>
      </c>
      <c r="FL2863" s="18" t="str">
        <f t="shared" si="304"/>
        <v/>
      </c>
    </row>
    <row r="2864" spans="165:168">
      <c r="FI2864" s="16">
        <v>2861</v>
      </c>
      <c r="FJ2864" s="17" t="e">
        <f t="shared" si="303"/>
        <v>#VALUE!</v>
      </c>
      <c r="FK2864" s="17" t="str">
        <f t="shared" si="302"/>
        <v/>
      </c>
      <c r="FL2864" s="18" t="str">
        <f t="shared" si="304"/>
        <v/>
      </c>
    </row>
    <row r="2865" spans="165:168">
      <c r="FI2865" s="16">
        <v>2862</v>
      </c>
      <c r="FJ2865" s="17" t="e">
        <f t="shared" si="303"/>
        <v>#VALUE!</v>
      </c>
      <c r="FK2865" s="17" t="str">
        <f t="shared" si="302"/>
        <v/>
      </c>
      <c r="FL2865" s="18" t="str">
        <f t="shared" si="304"/>
        <v/>
      </c>
    </row>
    <row r="2866" spans="165:168">
      <c r="FI2866" s="16">
        <v>2863</v>
      </c>
      <c r="FJ2866" s="17" t="e">
        <f t="shared" si="303"/>
        <v>#VALUE!</v>
      </c>
      <c r="FK2866" s="17" t="str">
        <f t="shared" si="302"/>
        <v/>
      </c>
      <c r="FL2866" s="18" t="str">
        <f t="shared" si="304"/>
        <v/>
      </c>
    </row>
    <row r="2867" spans="165:168">
      <c r="FI2867" s="16">
        <v>2864</v>
      </c>
      <c r="FJ2867" s="17" t="e">
        <f t="shared" si="303"/>
        <v>#VALUE!</v>
      </c>
      <c r="FK2867" s="17" t="str">
        <f t="shared" si="302"/>
        <v/>
      </c>
      <c r="FL2867" s="18" t="str">
        <f t="shared" si="304"/>
        <v/>
      </c>
    </row>
    <row r="2868" spans="165:168">
      <c r="FI2868" s="16">
        <v>2865</v>
      </c>
      <c r="FJ2868" s="17" t="e">
        <f t="shared" si="303"/>
        <v>#VALUE!</v>
      </c>
      <c r="FK2868" s="17" t="str">
        <f t="shared" si="302"/>
        <v/>
      </c>
      <c r="FL2868" s="18" t="str">
        <f t="shared" si="304"/>
        <v/>
      </c>
    </row>
    <row r="2869" spans="165:168">
      <c r="FI2869" s="16">
        <v>2866</v>
      </c>
      <c r="FJ2869" s="17" t="e">
        <f t="shared" si="303"/>
        <v>#VALUE!</v>
      </c>
      <c r="FK2869" s="17" t="str">
        <f t="shared" si="302"/>
        <v/>
      </c>
      <c r="FL2869" s="18" t="str">
        <f t="shared" si="304"/>
        <v/>
      </c>
    </row>
    <row r="2870" spans="165:168">
      <c r="FI2870" s="16">
        <v>2867</v>
      </c>
      <c r="FJ2870" s="17" t="e">
        <f t="shared" si="303"/>
        <v>#VALUE!</v>
      </c>
      <c r="FK2870" s="17" t="str">
        <f t="shared" si="302"/>
        <v/>
      </c>
      <c r="FL2870" s="18" t="str">
        <f t="shared" si="304"/>
        <v/>
      </c>
    </row>
    <row r="2871" spans="165:168">
      <c r="FI2871" s="16">
        <v>2868</v>
      </c>
      <c r="FJ2871" s="17" t="e">
        <f t="shared" si="303"/>
        <v>#VALUE!</v>
      </c>
      <c r="FK2871" s="17" t="str">
        <f t="shared" si="302"/>
        <v/>
      </c>
      <c r="FL2871" s="18" t="str">
        <f t="shared" si="304"/>
        <v/>
      </c>
    </row>
    <row r="2872" spans="165:168">
      <c r="FI2872" s="16">
        <v>2869</v>
      </c>
      <c r="FJ2872" s="17" t="e">
        <f t="shared" si="303"/>
        <v>#VALUE!</v>
      </c>
      <c r="FK2872" s="17" t="str">
        <f t="shared" si="302"/>
        <v/>
      </c>
      <c r="FL2872" s="18" t="str">
        <f t="shared" si="304"/>
        <v/>
      </c>
    </row>
    <row r="2873" spans="165:168">
      <c r="FI2873" s="16">
        <v>2870</v>
      </c>
      <c r="FJ2873" s="17" t="e">
        <f t="shared" si="303"/>
        <v>#VALUE!</v>
      </c>
      <c r="FK2873" s="17" t="str">
        <f t="shared" si="302"/>
        <v/>
      </c>
      <c r="FL2873" s="18" t="str">
        <f t="shared" si="304"/>
        <v/>
      </c>
    </row>
    <row r="2874" spans="165:168">
      <c r="FI2874" s="16">
        <v>2871</v>
      </c>
      <c r="FJ2874" s="17" t="e">
        <f t="shared" si="303"/>
        <v>#VALUE!</v>
      </c>
      <c r="FK2874" s="17" t="str">
        <f t="shared" si="302"/>
        <v/>
      </c>
      <c r="FL2874" s="18" t="str">
        <f t="shared" si="304"/>
        <v/>
      </c>
    </row>
    <row r="2875" spans="165:168">
      <c r="FI2875" s="16">
        <v>2872</v>
      </c>
      <c r="FJ2875" s="17" t="e">
        <f t="shared" si="303"/>
        <v>#VALUE!</v>
      </c>
      <c r="FK2875" s="17" t="str">
        <f t="shared" si="302"/>
        <v/>
      </c>
      <c r="FL2875" s="18" t="str">
        <f t="shared" si="304"/>
        <v/>
      </c>
    </row>
    <row r="2876" spans="165:168">
      <c r="FI2876" s="16">
        <v>2873</v>
      </c>
      <c r="FJ2876" s="17" t="e">
        <f t="shared" si="303"/>
        <v>#VALUE!</v>
      </c>
      <c r="FK2876" s="17" t="str">
        <f t="shared" si="302"/>
        <v/>
      </c>
      <c r="FL2876" s="18" t="str">
        <f t="shared" si="304"/>
        <v/>
      </c>
    </row>
    <row r="2877" spans="165:168">
      <c r="FI2877" s="16">
        <v>2874</v>
      </c>
      <c r="FJ2877" s="17" t="e">
        <f t="shared" si="303"/>
        <v>#VALUE!</v>
      </c>
      <c r="FK2877" s="17" t="str">
        <f t="shared" si="302"/>
        <v/>
      </c>
      <c r="FL2877" s="18" t="str">
        <f t="shared" si="304"/>
        <v/>
      </c>
    </row>
    <row r="2878" spans="165:168">
      <c r="FI2878" s="16">
        <v>2875</v>
      </c>
      <c r="FJ2878" s="17" t="e">
        <f t="shared" si="303"/>
        <v>#VALUE!</v>
      </c>
      <c r="FK2878" s="17" t="str">
        <f t="shared" si="302"/>
        <v/>
      </c>
      <c r="FL2878" s="18" t="str">
        <f t="shared" si="304"/>
        <v/>
      </c>
    </row>
    <row r="2879" spans="165:168">
      <c r="FI2879" s="16">
        <v>2876</v>
      </c>
      <c r="FJ2879" s="17" t="e">
        <f t="shared" si="303"/>
        <v>#VALUE!</v>
      </c>
      <c r="FK2879" s="17" t="str">
        <f t="shared" si="302"/>
        <v/>
      </c>
      <c r="FL2879" s="18" t="str">
        <f t="shared" si="304"/>
        <v/>
      </c>
    </row>
    <row r="2880" spans="165:168">
      <c r="FI2880" s="16">
        <v>2877</v>
      </c>
      <c r="FJ2880" s="17" t="e">
        <f t="shared" si="303"/>
        <v>#VALUE!</v>
      </c>
      <c r="FK2880" s="17" t="str">
        <f t="shared" si="302"/>
        <v/>
      </c>
      <c r="FL2880" s="18" t="str">
        <f t="shared" si="304"/>
        <v/>
      </c>
    </row>
    <row r="2881" spans="165:168">
      <c r="FI2881" s="16">
        <v>2878</v>
      </c>
      <c r="FJ2881" s="17" t="e">
        <f t="shared" si="303"/>
        <v>#VALUE!</v>
      </c>
      <c r="FK2881" s="17" t="str">
        <f t="shared" si="302"/>
        <v/>
      </c>
      <c r="FL2881" s="18" t="str">
        <f t="shared" si="304"/>
        <v/>
      </c>
    </row>
    <row r="2882" spans="165:168">
      <c r="FI2882" s="16">
        <v>2879</v>
      </c>
      <c r="FJ2882" s="17" t="e">
        <f t="shared" si="303"/>
        <v>#VALUE!</v>
      </c>
      <c r="FK2882" s="17" t="str">
        <f t="shared" si="302"/>
        <v/>
      </c>
      <c r="FL2882" s="18" t="str">
        <f t="shared" si="304"/>
        <v/>
      </c>
    </row>
    <row r="2883" spans="165:168">
      <c r="FI2883" s="16">
        <v>2880</v>
      </c>
      <c r="FJ2883" s="17" t="e">
        <f t="shared" si="303"/>
        <v>#VALUE!</v>
      </c>
      <c r="FK2883" s="17" t="str">
        <f t="shared" si="302"/>
        <v/>
      </c>
      <c r="FL2883" s="18" t="str">
        <f t="shared" si="304"/>
        <v/>
      </c>
    </row>
    <row r="2884" spans="165:168">
      <c r="FI2884" s="16">
        <v>2881</v>
      </c>
      <c r="FJ2884" s="17" t="e">
        <f t="shared" si="303"/>
        <v>#VALUE!</v>
      </c>
      <c r="FK2884" s="17" t="str">
        <f t="shared" si="302"/>
        <v/>
      </c>
      <c r="FL2884" s="18" t="str">
        <f t="shared" si="304"/>
        <v/>
      </c>
    </row>
    <row r="2885" spans="165:168">
      <c r="FI2885" s="16">
        <v>2882</v>
      </c>
      <c r="FJ2885" s="17" t="e">
        <f t="shared" si="303"/>
        <v>#VALUE!</v>
      </c>
      <c r="FK2885" s="17" t="str">
        <f t="shared" ref="FK2885:FK2948" si="305">IF(FI2885&lt;=$FH$2,FF2885,IF(FI2885&lt;=$FH$2+$FH$3,INDEX($FJ$4:$FJ$2494,FI2885-$FH$2),""))</f>
        <v/>
      </c>
      <c r="FL2885" s="18" t="str">
        <f t="shared" si="304"/>
        <v/>
      </c>
    </row>
    <row r="2886" spans="165:168">
      <c r="FI2886" s="16">
        <v>2883</v>
      </c>
      <c r="FJ2886" s="17" t="e">
        <f t="shared" si="303"/>
        <v>#VALUE!</v>
      </c>
      <c r="FK2886" s="17" t="str">
        <f t="shared" si="305"/>
        <v/>
      </c>
      <c r="FL2886" s="18" t="str">
        <f t="shared" si="304"/>
        <v/>
      </c>
    </row>
    <row r="2887" spans="165:168">
      <c r="FI2887" s="16">
        <v>2884</v>
      </c>
      <c r="FJ2887" s="17" t="e">
        <f t="shared" si="303"/>
        <v>#VALUE!</v>
      </c>
      <c r="FK2887" s="17" t="str">
        <f t="shared" si="305"/>
        <v/>
      </c>
      <c r="FL2887" s="18" t="str">
        <f t="shared" si="304"/>
        <v/>
      </c>
    </row>
    <row r="2888" spans="165:168">
      <c r="FI2888" s="16">
        <v>2885</v>
      </c>
      <c r="FJ2888" s="17" t="e">
        <f t="shared" si="303"/>
        <v>#VALUE!</v>
      </c>
      <c r="FK2888" s="17" t="str">
        <f t="shared" si="305"/>
        <v/>
      </c>
      <c r="FL2888" s="18" t="str">
        <f t="shared" si="304"/>
        <v/>
      </c>
    </row>
    <row r="2889" spans="165:168">
      <c r="FI2889" s="16">
        <v>2886</v>
      </c>
      <c r="FJ2889" s="17" t="e">
        <f t="shared" si="303"/>
        <v>#VALUE!</v>
      </c>
      <c r="FK2889" s="17" t="str">
        <f t="shared" si="305"/>
        <v/>
      </c>
      <c r="FL2889" s="18" t="str">
        <f t="shared" si="304"/>
        <v/>
      </c>
    </row>
    <row r="2890" spans="165:168">
      <c r="FI2890" s="16">
        <v>2887</v>
      </c>
      <c r="FJ2890" s="17" t="e">
        <f t="shared" si="303"/>
        <v>#VALUE!</v>
      </c>
      <c r="FK2890" s="17" t="str">
        <f t="shared" si="305"/>
        <v/>
      </c>
      <c r="FL2890" s="18" t="str">
        <f t="shared" si="304"/>
        <v/>
      </c>
    </row>
    <row r="2891" spans="165:168">
      <c r="FI2891" s="16">
        <v>2888</v>
      </c>
      <c r="FJ2891" s="17" t="e">
        <f t="shared" si="303"/>
        <v>#VALUE!</v>
      </c>
      <c r="FK2891" s="17" t="str">
        <f t="shared" si="305"/>
        <v/>
      </c>
      <c r="FL2891" s="18" t="str">
        <f t="shared" si="304"/>
        <v/>
      </c>
    </row>
    <row r="2892" spans="165:168">
      <c r="FI2892" s="16">
        <v>2889</v>
      </c>
      <c r="FJ2892" s="17" t="e">
        <f t="shared" si="303"/>
        <v>#VALUE!</v>
      </c>
      <c r="FK2892" s="17" t="str">
        <f t="shared" si="305"/>
        <v/>
      </c>
      <c r="FL2892" s="18" t="str">
        <f t="shared" si="304"/>
        <v/>
      </c>
    </row>
    <row r="2893" spans="165:168">
      <c r="FI2893" s="16">
        <v>2890</v>
      </c>
      <c r="FJ2893" s="17" t="e">
        <f t="shared" si="303"/>
        <v>#VALUE!</v>
      </c>
      <c r="FK2893" s="17" t="str">
        <f t="shared" si="305"/>
        <v/>
      </c>
      <c r="FL2893" s="18" t="str">
        <f t="shared" si="304"/>
        <v/>
      </c>
    </row>
    <row r="2894" spans="165:168">
      <c r="FI2894" s="16">
        <v>2891</v>
      </c>
      <c r="FJ2894" s="17" t="e">
        <f t="shared" si="303"/>
        <v>#VALUE!</v>
      </c>
      <c r="FK2894" s="17" t="str">
        <f t="shared" si="305"/>
        <v/>
      </c>
      <c r="FL2894" s="18" t="str">
        <f t="shared" si="304"/>
        <v/>
      </c>
    </row>
    <row r="2895" spans="165:168">
      <c r="FI2895" s="16">
        <v>2892</v>
      </c>
      <c r="FJ2895" s="17" t="e">
        <f t="shared" si="303"/>
        <v>#VALUE!</v>
      </c>
      <c r="FK2895" s="17" t="str">
        <f t="shared" si="305"/>
        <v/>
      </c>
      <c r="FL2895" s="18" t="str">
        <f t="shared" si="304"/>
        <v/>
      </c>
    </row>
    <row r="2896" spans="165:168">
      <c r="FI2896" s="16">
        <v>2893</v>
      </c>
      <c r="FJ2896" s="17" t="e">
        <f t="shared" si="303"/>
        <v>#VALUE!</v>
      </c>
      <c r="FK2896" s="17" t="str">
        <f t="shared" si="305"/>
        <v/>
      </c>
      <c r="FL2896" s="18" t="str">
        <f t="shared" si="304"/>
        <v/>
      </c>
    </row>
    <row r="2897" spans="165:168">
      <c r="FI2897" s="16">
        <v>2894</v>
      </c>
      <c r="FJ2897" s="17" t="e">
        <f t="shared" si="303"/>
        <v>#VALUE!</v>
      </c>
      <c r="FK2897" s="17" t="str">
        <f t="shared" si="305"/>
        <v/>
      </c>
      <c r="FL2897" s="18" t="str">
        <f t="shared" si="304"/>
        <v/>
      </c>
    </row>
    <row r="2898" spans="165:168">
      <c r="FI2898" s="16">
        <v>2895</v>
      </c>
      <c r="FJ2898" s="17" t="e">
        <f t="shared" si="303"/>
        <v>#VALUE!</v>
      </c>
      <c r="FK2898" s="17" t="str">
        <f t="shared" si="305"/>
        <v/>
      </c>
      <c r="FL2898" s="18" t="str">
        <f t="shared" si="304"/>
        <v/>
      </c>
    </row>
    <row r="2899" spans="165:168">
      <c r="FI2899" s="16">
        <v>2896</v>
      </c>
      <c r="FJ2899" s="17" t="e">
        <f t="shared" si="303"/>
        <v>#VALUE!</v>
      </c>
      <c r="FK2899" s="17" t="str">
        <f t="shared" si="305"/>
        <v/>
      </c>
      <c r="FL2899" s="18" t="str">
        <f t="shared" si="304"/>
        <v/>
      </c>
    </row>
    <row r="2900" spans="165:168">
      <c r="FI2900" s="16">
        <v>2897</v>
      </c>
      <c r="FJ2900" s="17" t="e">
        <f t="shared" si="303"/>
        <v>#VALUE!</v>
      </c>
      <c r="FK2900" s="17" t="str">
        <f t="shared" si="305"/>
        <v/>
      </c>
      <c r="FL2900" s="18" t="str">
        <f t="shared" si="304"/>
        <v/>
      </c>
    </row>
    <row r="2901" spans="165:168">
      <c r="FI2901" s="16">
        <v>2898</v>
      </c>
      <c r="FJ2901" s="17" t="e">
        <f t="shared" si="303"/>
        <v>#VALUE!</v>
      </c>
      <c r="FK2901" s="17" t="str">
        <f t="shared" si="305"/>
        <v/>
      </c>
      <c r="FL2901" s="18" t="str">
        <f t="shared" si="304"/>
        <v/>
      </c>
    </row>
    <row r="2902" spans="165:168">
      <c r="FI2902" s="16">
        <v>2899</v>
      </c>
      <c r="FJ2902" s="17" t="e">
        <f t="shared" ref="FJ2902:FJ2965" si="306">IF(FE2902&lt;=$FH$1,INDEX($DW$4:$EZ$84,FD2902,FE2902),"")</f>
        <v>#VALUE!</v>
      </c>
      <c r="FK2902" s="17" t="str">
        <f t="shared" si="305"/>
        <v/>
      </c>
      <c r="FL2902" s="18" t="str">
        <f t="shared" ref="FL2902:FL2965" si="307">IFERROR(TEXT(DEC2BIN(FK2902),"00000000"),"")</f>
        <v/>
      </c>
    </row>
    <row r="2903" spans="165:168">
      <c r="FI2903" s="16">
        <v>2900</v>
      </c>
      <c r="FJ2903" s="17" t="e">
        <f t="shared" si="306"/>
        <v>#VALUE!</v>
      </c>
      <c r="FK2903" s="17" t="str">
        <f t="shared" si="305"/>
        <v/>
      </c>
      <c r="FL2903" s="18" t="str">
        <f t="shared" si="307"/>
        <v/>
      </c>
    </row>
    <row r="2904" spans="165:168">
      <c r="FI2904" s="16">
        <v>2901</v>
      </c>
      <c r="FJ2904" s="17" t="e">
        <f t="shared" si="306"/>
        <v>#VALUE!</v>
      </c>
      <c r="FK2904" s="17" t="str">
        <f t="shared" si="305"/>
        <v/>
      </c>
      <c r="FL2904" s="18" t="str">
        <f t="shared" si="307"/>
        <v/>
      </c>
    </row>
    <row r="2905" spans="165:168">
      <c r="FI2905" s="16">
        <v>2902</v>
      </c>
      <c r="FJ2905" s="17" t="e">
        <f t="shared" si="306"/>
        <v>#VALUE!</v>
      </c>
      <c r="FK2905" s="17" t="str">
        <f t="shared" si="305"/>
        <v/>
      </c>
      <c r="FL2905" s="18" t="str">
        <f t="shared" si="307"/>
        <v/>
      </c>
    </row>
    <row r="2906" spans="165:168">
      <c r="FI2906" s="16">
        <v>2903</v>
      </c>
      <c r="FJ2906" s="17" t="e">
        <f t="shared" si="306"/>
        <v>#VALUE!</v>
      </c>
      <c r="FK2906" s="17" t="str">
        <f t="shared" si="305"/>
        <v/>
      </c>
      <c r="FL2906" s="18" t="str">
        <f t="shared" si="307"/>
        <v/>
      </c>
    </row>
    <row r="2907" spans="165:168">
      <c r="FI2907" s="16">
        <v>2904</v>
      </c>
      <c r="FJ2907" s="17" t="e">
        <f t="shared" si="306"/>
        <v>#VALUE!</v>
      </c>
      <c r="FK2907" s="17" t="str">
        <f t="shared" si="305"/>
        <v/>
      </c>
      <c r="FL2907" s="18" t="str">
        <f t="shared" si="307"/>
        <v/>
      </c>
    </row>
    <row r="2908" spans="165:168">
      <c r="FI2908" s="16">
        <v>2905</v>
      </c>
      <c r="FJ2908" s="17" t="e">
        <f t="shared" si="306"/>
        <v>#VALUE!</v>
      </c>
      <c r="FK2908" s="17" t="str">
        <f t="shared" si="305"/>
        <v/>
      </c>
      <c r="FL2908" s="18" t="str">
        <f t="shared" si="307"/>
        <v/>
      </c>
    </row>
    <row r="2909" spans="165:168">
      <c r="FI2909" s="16">
        <v>2906</v>
      </c>
      <c r="FJ2909" s="17" t="e">
        <f t="shared" si="306"/>
        <v>#VALUE!</v>
      </c>
      <c r="FK2909" s="17" t="str">
        <f t="shared" si="305"/>
        <v/>
      </c>
      <c r="FL2909" s="18" t="str">
        <f t="shared" si="307"/>
        <v/>
      </c>
    </row>
    <row r="2910" spans="165:168">
      <c r="FI2910" s="16">
        <v>2907</v>
      </c>
      <c r="FJ2910" s="17" t="e">
        <f t="shared" si="306"/>
        <v>#VALUE!</v>
      </c>
      <c r="FK2910" s="17" t="str">
        <f t="shared" si="305"/>
        <v/>
      </c>
      <c r="FL2910" s="18" t="str">
        <f t="shared" si="307"/>
        <v/>
      </c>
    </row>
    <row r="2911" spans="165:168">
      <c r="FI2911" s="16">
        <v>2908</v>
      </c>
      <c r="FJ2911" s="17" t="e">
        <f t="shared" si="306"/>
        <v>#VALUE!</v>
      </c>
      <c r="FK2911" s="17" t="str">
        <f t="shared" si="305"/>
        <v/>
      </c>
      <c r="FL2911" s="18" t="str">
        <f t="shared" si="307"/>
        <v/>
      </c>
    </row>
    <row r="2912" spans="165:168">
      <c r="FI2912" s="16">
        <v>2909</v>
      </c>
      <c r="FJ2912" s="17" t="e">
        <f t="shared" si="306"/>
        <v>#VALUE!</v>
      </c>
      <c r="FK2912" s="17" t="str">
        <f t="shared" si="305"/>
        <v/>
      </c>
      <c r="FL2912" s="18" t="str">
        <f t="shared" si="307"/>
        <v/>
      </c>
    </row>
    <row r="2913" spans="165:168">
      <c r="FI2913" s="16">
        <v>2910</v>
      </c>
      <c r="FJ2913" s="17" t="e">
        <f t="shared" si="306"/>
        <v>#VALUE!</v>
      </c>
      <c r="FK2913" s="17" t="str">
        <f t="shared" si="305"/>
        <v/>
      </c>
      <c r="FL2913" s="18" t="str">
        <f t="shared" si="307"/>
        <v/>
      </c>
    </row>
    <row r="2914" spans="165:168">
      <c r="FI2914" s="16">
        <v>2911</v>
      </c>
      <c r="FJ2914" s="17" t="e">
        <f t="shared" si="306"/>
        <v>#VALUE!</v>
      </c>
      <c r="FK2914" s="17" t="str">
        <f t="shared" si="305"/>
        <v/>
      </c>
      <c r="FL2914" s="18" t="str">
        <f t="shared" si="307"/>
        <v/>
      </c>
    </row>
    <row r="2915" spans="165:168">
      <c r="FI2915" s="16">
        <v>2912</v>
      </c>
      <c r="FJ2915" s="17" t="e">
        <f t="shared" si="306"/>
        <v>#VALUE!</v>
      </c>
      <c r="FK2915" s="17" t="str">
        <f t="shared" si="305"/>
        <v/>
      </c>
      <c r="FL2915" s="18" t="str">
        <f t="shared" si="307"/>
        <v/>
      </c>
    </row>
    <row r="2916" spans="165:168">
      <c r="FI2916" s="16">
        <v>2913</v>
      </c>
      <c r="FJ2916" s="17" t="e">
        <f t="shared" si="306"/>
        <v>#VALUE!</v>
      </c>
      <c r="FK2916" s="17" t="str">
        <f t="shared" si="305"/>
        <v/>
      </c>
      <c r="FL2916" s="18" t="str">
        <f t="shared" si="307"/>
        <v/>
      </c>
    </row>
    <row r="2917" spans="165:168">
      <c r="FI2917" s="16">
        <v>2914</v>
      </c>
      <c r="FJ2917" s="17" t="e">
        <f t="shared" si="306"/>
        <v>#VALUE!</v>
      </c>
      <c r="FK2917" s="17" t="str">
        <f t="shared" si="305"/>
        <v/>
      </c>
      <c r="FL2917" s="18" t="str">
        <f t="shared" si="307"/>
        <v/>
      </c>
    </row>
    <row r="2918" spans="165:168">
      <c r="FI2918" s="16">
        <v>2915</v>
      </c>
      <c r="FJ2918" s="17" t="e">
        <f t="shared" si="306"/>
        <v>#VALUE!</v>
      </c>
      <c r="FK2918" s="17" t="str">
        <f t="shared" si="305"/>
        <v/>
      </c>
      <c r="FL2918" s="18" t="str">
        <f t="shared" si="307"/>
        <v/>
      </c>
    </row>
    <row r="2919" spans="165:168">
      <c r="FI2919" s="16">
        <v>2916</v>
      </c>
      <c r="FJ2919" s="17" t="e">
        <f t="shared" si="306"/>
        <v>#VALUE!</v>
      </c>
      <c r="FK2919" s="17" t="str">
        <f t="shared" si="305"/>
        <v/>
      </c>
      <c r="FL2919" s="18" t="str">
        <f t="shared" si="307"/>
        <v/>
      </c>
    </row>
    <row r="2920" spans="165:168">
      <c r="FI2920" s="16">
        <v>2917</v>
      </c>
      <c r="FJ2920" s="17" t="e">
        <f t="shared" si="306"/>
        <v>#VALUE!</v>
      </c>
      <c r="FK2920" s="17" t="str">
        <f t="shared" si="305"/>
        <v/>
      </c>
      <c r="FL2920" s="18" t="str">
        <f t="shared" si="307"/>
        <v/>
      </c>
    </row>
    <row r="2921" spans="165:168">
      <c r="FI2921" s="16">
        <v>2918</v>
      </c>
      <c r="FJ2921" s="17" t="e">
        <f t="shared" si="306"/>
        <v>#VALUE!</v>
      </c>
      <c r="FK2921" s="17" t="str">
        <f t="shared" si="305"/>
        <v/>
      </c>
      <c r="FL2921" s="18" t="str">
        <f t="shared" si="307"/>
        <v/>
      </c>
    </row>
    <row r="2922" spans="165:168">
      <c r="FI2922" s="16">
        <v>2919</v>
      </c>
      <c r="FJ2922" s="17" t="e">
        <f t="shared" si="306"/>
        <v>#VALUE!</v>
      </c>
      <c r="FK2922" s="17" t="str">
        <f t="shared" si="305"/>
        <v/>
      </c>
      <c r="FL2922" s="18" t="str">
        <f t="shared" si="307"/>
        <v/>
      </c>
    </row>
    <row r="2923" spans="165:168">
      <c r="FI2923" s="16">
        <v>2920</v>
      </c>
      <c r="FJ2923" s="17" t="e">
        <f t="shared" si="306"/>
        <v>#VALUE!</v>
      </c>
      <c r="FK2923" s="17" t="str">
        <f t="shared" si="305"/>
        <v/>
      </c>
      <c r="FL2923" s="18" t="str">
        <f t="shared" si="307"/>
        <v/>
      </c>
    </row>
    <row r="2924" spans="165:168">
      <c r="FI2924" s="16">
        <v>2921</v>
      </c>
      <c r="FJ2924" s="17" t="e">
        <f t="shared" si="306"/>
        <v>#VALUE!</v>
      </c>
      <c r="FK2924" s="17" t="str">
        <f t="shared" si="305"/>
        <v/>
      </c>
      <c r="FL2924" s="18" t="str">
        <f t="shared" si="307"/>
        <v/>
      </c>
    </row>
    <row r="2925" spans="165:168">
      <c r="FI2925" s="16">
        <v>2922</v>
      </c>
      <c r="FJ2925" s="17" t="e">
        <f t="shared" si="306"/>
        <v>#VALUE!</v>
      </c>
      <c r="FK2925" s="17" t="str">
        <f t="shared" si="305"/>
        <v/>
      </c>
      <c r="FL2925" s="18" t="str">
        <f t="shared" si="307"/>
        <v/>
      </c>
    </row>
    <row r="2926" spans="165:168">
      <c r="FI2926" s="16">
        <v>2923</v>
      </c>
      <c r="FJ2926" s="17" t="e">
        <f t="shared" si="306"/>
        <v>#VALUE!</v>
      </c>
      <c r="FK2926" s="17" t="str">
        <f t="shared" si="305"/>
        <v/>
      </c>
      <c r="FL2926" s="18" t="str">
        <f t="shared" si="307"/>
        <v/>
      </c>
    </row>
    <row r="2927" spans="165:168">
      <c r="FI2927" s="16">
        <v>2924</v>
      </c>
      <c r="FJ2927" s="17" t="e">
        <f t="shared" si="306"/>
        <v>#VALUE!</v>
      </c>
      <c r="FK2927" s="17" t="str">
        <f t="shared" si="305"/>
        <v/>
      </c>
      <c r="FL2927" s="18" t="str">
        <f t="shared" si="307"/>
        <v/>
      </c>
    </row>
    <row r="2928" spans="165:168">
      <c r="FI2928" s="16">
        <v>2925</v>
      </c>
      <c r="FJ2928" s="17" t="e">
        <f t="shared" si="306"/>
        <v>#VALUE!</v>
      </c>
      <c r="FK2928" s="17" t="str">
        <f t="shared" si="305"/>
        <v/>
      </c>
      <c r="FL2928" s="18" t="str">
        <f t="shared" si="307"/>
        <v/>
      </c>
    </row>
    <row r="2929" spans="165:168">
      <c r="FI2929" s="16">
        <v>2926</v>
      </c>
      <c r="FJ2929" s="17" t="e">
        <f t="shared" si="306"/>
        <v>#VALUE!</v>
      </c>
      <c r="FK2929" s="17" t="str">
        <f t="shared" si="305"/>
        <v/>
      </c>
      <c r="FL2929" s="18" t="str">
        <f t="shared" si="307"/>
        <v/>
      </c>
    </row>
    <row r="2930" spans="165:168">
      <c r="FI2930" s="16">
        <v>2927</v>
      </c>
      <c r="FJ2930" s="17" t="e">
        <f t="shared" si="306"/>
        <v>#VALUE!</v>
      </c>
      <c r="FK2930" s="17" t="str">
        <f t="shared" si="305"/>
        <v/>
      </c>
      <c r="FL2930" s="18" t="str">
        <f t="shared" si="307"/>
        <v/>
      </c>
    </row>
    <row r="2931" spans="165:168">
      <c r="FI2931" s="16">
        <v>2928</v>
      </c>
      <c r="FJ2931" s="17" t="e">
        <f t="shared" si="306"/>
        <v>#VALUE!</v>
      </c>
      <c r="FK2931" s="17" t="str">
        <f t="shared" si="305"/>
        <v/>
      </c>
      <c r="FL2931" s="18" t="str">
        <f t="shared" si="307"/>
        <v/>
      </c>
    </row>
    <row r="2932" spans="165:168">
      <c r="FI2932" s="16">
        <v>2929</v>
      </c>
      <c r="FJ2932" s="17" t="e">
        <f t="shared" si="306"/>
        <v>#VALUE!</v>
      </c>
      <c r="FK2932" s="17" t="str">
        <f t="shared" si="305"/>
        <v/>
      </c>
      <c r="FL2932" s="18" t="str">
        <f t="shared" si="307"/>
        <v/>
      </c>
    </row>
    <row r="2933" spans="165:168">
      <c r="FI2933" s="16">
        <v>2930</v>
      </c>
      <c r="FJ2933" s="17" t="e">
        <f t="shared" si="306"/>
        <v>#VALUE!</v>
      </c>
      <c r="FK2933" s="17" t="str">
        <f t="shared" si="305"/>
        <v/>
      </c>
      <c r="FL2933" s="18" t="str">
        <f t="shared" si="307"/>
        <v/>
      </c>
    </row>
    <row r="2934" spans="165:168">
      <c r="FI2934" s="16">
        <v>2931</v>
      </c>
      <c r="FJ2934" s="17" t="e">
        <f t="shared" si="306"/>
        <v>#VALUE!</v>
      </c>
      <c r="FK2934" s="17" t="str">
        <f t="shared" si="305"/>
        <v/>
      </c>
      <c r="FL2934" s="18" t="str">
        <f t="shared" si="307"/>
        <v/>
      </c>
    </row>
    <row r="2935" spans="165:168">
      <c r="FI2935" s="16">
        <v>2932</v>
      </c>
      <c r="FJ2935" s="17" t="e">
        <f t="shared" si="306"/>
        <v>#VALUE!</v>
      </c>
      <c r="FK2935" s="17" t="str">
        <f t="shared" si="305"/>
        <v/>
      </c>
      <c r="FL2935" s="18" t="str">
        <f t="shared" si="307"/>
        <v/>
      </c>
    </row>
    <row r="2936" spans="165:168">
      <c r="FI2936" s="16">
        <v>2933</v>
      </c>
      <c r="FJ2936" s="17" t="e">
        <f t="shared" si="306"/>
        <v>#VALUE!</v>
      </c>
      <c r="FK2936" s="17" t="str">
        <f t="shared" si="305"/>
        <v/>
      </c>
      <c r="FL2936" s="18" t="str">
        <f t="shared" si="307"/>
        <v/>
      </c>
    </row>
    <row r="2937" spans="165:168">
      <c r="FI2937" s="16">
        <v>2934</v>
      </c>
      <c r="FJ2937" s="17" t="e">
        <f t="shared" si="306"/>
        <v>#VALUE!</v>
      </c>
      <c r="FK2937" s="17" t="str">
        <f t="shared" si="305"/>
        <v/>
      </c>
      <c r="FL2937" s="18" t="str">
        <f t="shared" si="307"/>
        <v/>
      </c>
    </row>
    <row r="2938" spans="165:168">
      <c r="FI2938" s="16">
        <v>2935</v>
      </c>
      <c r="FJ2938" s="17" t="e">
        <f t="shared" si="306"/>
        <v>#VALUE!</v>
      </c>
      <c r="FK2938" s="17" t="str">
        <f t="shared" si="305"/>
        <v/>
      </c>
      <c r="FL2938" s="18" t="str">
        <f t="shared" si="307"/>
        <v/>
      </c>
    </row>
    <row r="2939" spans="165:168">
      <c r="FI2939" s="16">
        <v>2936</v>
      </c>
      <c r="FJ2939" s="17" t="e">
        <f t="shared" si="306"/>
        <v>#VALUE!</v>
      </c>
      <c r="FK2939" s="17" t="str">
        <f t="shared" si="305"/>
        <v/>
      </c>
      <c r="FL2939" s="18" t="str">
        <f t="shared" si="307"/>
        <v/>
      </c>
    </row>
    <row r="2940" spans="165:168">
      <c r="FI2940" s="16">
        <v>2937</v>
      </c>
      <c r="FJ2940" s="17" t="e">
        <f t="shared" si="306"/>
        <v>#VALUE!</v>
      </c>
      <c r="FK2940" s="17" t="str">
        <f t="shared" si="305"/>
        <v/>
      </c>
      <c r="FL2940" s="18" t="str">
        <f t="shared" si="307"/>
        <v/>
      </c>
    </row>
    <row r="2941" spans="165:168">
      <c r="FI2941" s="16">
        <v>2938</v>
      </c>
      <c r="FJ2941" s="17" t="e">
        <f t="shared" si="306"/>
        <v>#VALUE!</v>
      </c>
      <c r="FK2941" s="17" t="str">
        <f t="shared" si="305"/>
        <v/>
      </c>
      <c r="FL2941" s="18" t="str">
        <f t="shared" si="307"/>
        <v/>
      </c>
    </row>
    <row r="2942" spans="165:168">
      <c r="FI2942" s="16">
        <v>2939</v>
      </c>
      <c r="FJ2942" s="17" t="e">
        <f t="shared" si="306"/>
        <v>#VALUE!</v>
      </c>
      <c r="FK2942" s="17" t="str">
        <f t="shared" si="305"/>
        <v/>
      </c>
      <c r="FL2942" s="18" t="str">
        <f t="shared" si="307"/>
        <v/>
      </c>
    </row>
    <row r="2943" spans="165:168">
      <c r="FI2943" s="16">
        <v>2940</v>
      </c>
      <c r="FJ2943" s="17" t="e">
        <f t="shared" si="306"/>
        <v>#VALUE!</v>
      </c>
      <c r="FK2943" s="17" t="str">
        <f t="shared" si="305"/>
        <v/>
      </c>
      <c r="FL2943" s="18" t="str">
        <f t="shared" si="307"/>
        <v/>
      </c>
    </row>
    <row r="2944" spans="165:168">
      <c r="FI2944" s="16">
        <v>2941</v>
      </c>
      <c r="FJ2944" s="17" t="e">
        <f t="shared" si="306"/>
        <v>#VALUE!</v>
      </c>
      <c r="FK2944" s="17" t="str">
        <f t="shared" si="305"/>
        <v/>
      </c>
      <c r="FL2944" s="18" t="str">
        <f t="shared" si="307"/>
        <v/>
      </c>
    </row>
    <row r="2945" spans="165:168">
      <c r="FI2945" s="16">
        <v>2942</v>
      </c>
      <c r="FJ2945" s="17" t="e">
        <f t="shared" si="306"/>
        <v>#VALUE!</v>
      </c>
      <c r="FK2945" s="17" t="str">
        <f t="shared" si="305"/>
        <v/>
      </c>
      <c r="FL2945" s="18" t="str">
        <f t="shared" si="307"/>
        <v/>
      </c>
    </row>
    <row r="2946" spans="165:168">
      <c r="FI2946" s="16">
        <v>2943</v>
      </c>
      <c r="FJ2946" s="17" t="e">
        <f t="shared" si="306"/>
        <v>#VALUE!</v>
      </c>
      <c r="FK2946" s="17" t="str">
        <f t="shared" si="305"/>
        <v/>
      </c>
      <c r="FL2946" s="18" t="str">
        <f t="shared" si="307"/>
        <v/>
      </c>
    </row>
    <row r="2947" spans="165:168">
      <c r="FI2947" s="16">
        <v>2944</v>
      </c>
      <c r="FJ2947" s="17" t="e">
        <f t="shared" si="306"/>
        <v>#VALUE!</v>
      </c>
      <c r="FK2947" s="17" t="str">
        <f t="shared" si="305"/>
        <v/>
      </c>
      <c r="FL2947" s="18" t="str">
        <f t="shared" si="307"/>
        <v/>
      </c>
    </row>
    <row r="2948" spans="165:168">
      <c r="FI2948" s="16">
        <v>2945</v>
      </c>
      <c r="FJ2948" s="17" t="e">
        <f t="shared" si="306"/>
        <v>#VALUE!</v>
      </c>
      <c r="FK2948" s="17" t="str">
        <f t="shared" si="305"/>
        <v/>
      </c>
      <c r="FL2948" s="18" t="str">
        <f t="shared" si="307"/>
        <v/>
      </c>
    </row>
    <row r="2949" spans="165:168">
      <c r="FI2949" s="16">
        <v>2946</v>
      </c>
      <c r="FJ2949" s="17" t="e">
        <f t="shared" si="306"/>
        <v>#VALUE!</v>
      </c>
      <c r="FK2949" s="17" t="str">
        <f t="shared" ref="FK2949:FK3012" si="308">IF(FI2949&lt;=$FH$2,FF2949,IF(FI2949&lt;=$FH$2+$FH$3,INDEX($FJ$4:$FJ$2494,FI2949-$FH$2),""))</f>
        <v/>
      </c>
      <c r="FL2949" s="18" t="str">
        <f t="shared" si="307"/>
        <v/>
      </c>
    </row>
    <row r="2950" spans="165:168">
      <c r="FI2950" s="16">
        <v>2947</v>
      </c>
      <c r="FJ2950" s="17" t="e">
        <f t="shared" si="306"/>
        <v>#VALUE!</v>
      </c>
      <c r="FK2950" s="17" t="str">
        <f t="shared" si="308"/>
        <v/>
      </c>
      <c r="FL2950" s="18" t="str">
        <f t="shared" si="307"/>
        <v/>
      </c>
    </row>
    <row r="2951" spans="165:168">
      <c r="FI2951" s="16">
        <v>2948</v>
      </c>
      <c r="FJ2951" s="17" t="e">
        <f t="shared" si="306"/>
        <v>#VALUE!</v>
      </c>
      <c r="FK2951" s="17" t="str">
        <f t="shared" si="308"/>
        <v/>
      </c>
      <c r="FL2951" s="18" t="str">
        <f t="shared" si="307"/>
        <v/>
      </c>
    </row>
    <row r="2952" spans="165:168">
      <c r="FI2952" s="16">
        <v>2949</v>
      </c>
      <c r="FJ2952" s="17" t="e">
        <f t="shared" si="306"/>
        <v>#VALUE!</v>
      </c>
      <c r="FK2952" s="17" t="str">
        <f t="shared" si="308"/>
        <v/>
      </c>
      <c r="FL2952" s="18" t="str">
        <f t="shared" si="307"/>
        <v/>
      </c>
    </row>
    <row r="2953" spans="165:168">
      <c r="FI2953" s="16">
        <v>2950</v>
      </c>
      <c r="FJ2953" s="17" t="e">
        <f t="shared" si="306"/>
        <v>#VALUE!</v>
      </c>
      <c r="FK2953" s="17" t="str">
        <f t="shared" si="308"/>
        <v/>
      </c>
      <c r="FL2953" s="18" t="str">
        <f t="shared" si="307"/>
        <v/>
      </c>
    </row>
    <row r="2954" spans="165:168">
      <c r="FI2954" s="16">
        <v>2951</v>
      </c>
      <c r="FJ2954" s="17" t="e">
        <f t="shared" si="306"/>
        <v>#VALUE!</v>
      </c>
      <c r="FK2954" s="17" t="str">
        <f t="shared" si="308"/>
        <v/>
      </c>
      <c r="FL2954" s="18" t="str">
        <f t="shared" si="307"/>
        <v/>
      </c>
    </row>
    <row r="2955" spans="165:168">
      <c r="FI2955" s="16">
        <v>2952</v>
      </c>
      <c r="FJ2955" s="17" t="e">
        <f t="shared" si="306"/>
        <v>#VALUE!</v>
      </c>
      <c r="FK2955" s="17" t="str">
        <f t="shared" si="308"/>
        <v/>
      </c>
      <c r="FL2955" s="18" t="str">
        <f t="shared" si="307"/>
        <v/>
      </c>
    </row>
    <row r="2956" spans="165:168">
      <c r="FI2956" s="16">
        <v>2953</v>
      </c>
      <c r="FJ2956" s="17" t="e">
        <f t="shared" si="306"/>
        <v>#VALUE!</v>
      </c>
      <c r="FK2956" s="17" t="str">
        <f t="shared" si="308"/>
        <v/>
      </c>
      <c r="FL2956" s="18" t="str">
        <f t="shared" si="307"/>
        <v/>
      </c>
    </row>
    <row r="2957" spans="165:168">
      <c r="FI2957" s="16">
        <v>2954</v>
      </c>
      <c r="FJ2957" s="17" t="e">
        <f t="shared" si="306"/>
        <v>#VALUE!</v>
      </c>
      <c r="FK2957" s="17" t="str">
        <f t="shared" si="308"/>
        <v/>
      </c>
      <c r="FL2957" s="18" t="str">
        <f t="shared" si="307"/>
        <v/>
      </c>
    </row>
    <row r="2958" spans="165:168">
      <c r="FI2958" s="16">
        <v>2955</v>
      </c>
      <c r="FJ2958" s="17" t="e">
        <f t="shared" si="306"/>
        <v>#VALUE!</v>
      </c>
      <c r="FK2958" s="17" t="str">
        <f t="shared" si="308"/>
        <v/>
      </c>
      <c r="FL2958" s="18" t="str">
        <f t="shared" si="307"/>
        <v/>
      </c>
    </row>
    <row r="2959" spans="165:168">
      <c r="FI2959" s="16">
        <v>2956</v>
      </c>
      <c r="FJ2959" s="17" t="e">
        <f t="shared" si="306"/>
        <v>#VALUE!</v>
      </c>
      <c r="FK2959" s="17" t="str">
        <f t="shared" si="308"/>
        <v/>
      </c>
      <c r="FL2959" s="18" t="str">
        <f t="shared" si="307"/>
        <v/>
      </c>
    </row>
    <row r="2960" spans="165:168">
      <c r="FI2960" s="16">
        <v>2957</v>
      </c>
      <c r="FJ2960" s="17" t="e">
        <f t="shared" si="306"/>
        <v>#VALUE!</v>
      </c>
      <c r="FK2960" s="17" t="str">
        <f t="shared" si="308"/>
        <v/>
      </c>
      <c r="FL2960" s="18" t="str">
        <f t="shared" si="307"/>
        <v/>
      </c>
    </row>
    <row r="2961" spans="165:168">
      <c r="FI2961" s="16">
        <v>2958</v>
      </c>
      <c r="FJ2961" s="17" t="e">
        <f t="shared" si="306"/>
        <v>#VALUE!</v>
      </c>
      <c r="FK2961" s="17" t="str">
        <f t="shared" si="308"/>
        <v/>
      </c>
      <c r="FL2961" s="18" t="str">
        <f t="shared" si="307"/>
        <v/>
      </c>
    </row>
    <row r="2962" spans="165:168">
      <c r="FI2962" s="16">
        <v>2959</v>
      </c>
      <c r="FJ2962" s="17" t="e">
        <f t="shared" si="306"/>
        <v>#VALUE!</v>
      </c>
      <c r="FK2962" s="17" t="str">
        <f t="shared" si="308"/>
        <v/>
      </c>
      <c r="FL2962" s="18" t="str">
        <f t="shared" si="307"/>
        <v/>
      </c>
    </row>
    <row r="2963" spans="165:168">
      <c r="FI2963" s="16">
        <v>2960</v>
      </c>
      <c r="FJ2963" s="17" t="e">
        <f t="shared" si="306"/>
        <v>#VALUE!</v>
      </c>
      <c r="FK2963" s="17" t="str">
        <f t="shared" si="308"/>
        <v/>
      </c>
      <c r="FL2963" s="18" t="str">
        <f t="shared" si="307"/>
        <v/>
      </c>
    </row>
    <row r="2964" spans="165:168">
      <c r="FI2964" s="16">
        <v>2961</v>
      </c>
      <c r="FJ2964" s="17" t="e">
        <f t="shared" si="306"/>
        <v>#VALUE!</v>
      </c>
      <c r="FK2964" s="17" t="str">
        <f t="shared" si="308"/>
        <v/>
      </c>
      <c r="FL2964" s="18" t="str">
        <f t="shared" si="307"/>
        <v/>
      </c>
    </row>
    <row r="2965" spans="165:168">
      <c r="FI2965" s="16">
        <v>2962</v>
      </c>
      <c r="FJ2965" s="17" t="e">
        <f t="shared" si="306"/>
        <v>#VALUE!</v>
      </c>
      <c r="FK2965" s="17" t="str">
        <f t="shared" si="308"/>
        <v/>
      </c>
      <c r="FL2965" s="18" t="str">
        <f t="shared" si="307"/>
        <v/>
      </c>
    </row>
    <row r="2966" spans="165:168">
      <c r="FI2966" s="16">
        <v>2963</v>
      </c>
      <c r="FJ2966" s="17" t="e">
        <f t="shared" ref="FJ2966:FJ3029" si="309">IF(FE2966&lt;=$FH$1,INDEX($DW$4:$EZ$84,FD2966,FE2966),"")</f>
        <v>#VALUE!</v>
      </c>
      <c r="FK2966" s="17" t="str">
        <f t="shared" si="308"/>
        <v/>
      </c>
      <c r="FL2966" s="18" t="str">
        <f t="shared" ref="FL2966:FL3029" si="310">IFERROR(TEXT(DEC2BIN(FK2966),"00000000"),"")</f>
        <v/>
      </c>
    </row>
    <row r="2967" spans="165:168">
      <c r="FI2967" s="16">
        <v>2964</v>
      </c>
      <c r="FJ2967" s="17" t="e">
        <f t="shared" si="309"/>
        <v>#VALUE!</v>
      </c>
      <c r="FK2967" s="17" t="str">
        <f t="shared" si="308"/>
        <v/>
      </c>
      <c r="FL2967" s="18" t="str">
        <f t="shared" si="310"/>
        <v/>
      </c>
    </row>
    <row r="2968" spans="165:168">
      <c r="FI2968" s="16">
        <v>2965</v>
      </c>
      <c r="FJ2968" s="17" t="e">
        <f t="shared" si="309"/>
        <v>#VALUE!</v>
      </c>
      <c r="FK2968" s="17" t="str">
        <f t="shared" si="308"/>
        <v/>
      </c>
      <c r="FL2968" s="18" t="str">
        <f t="shared" si="310"/>
        <v/>
      </c>
    </row>
    <row r="2969" spans="165:168">
      <c r="FI2969" s="16">
        <v>2966</v>
      </c>
      <c r="FJ2969" s="17" t="e">
        <f t="shared" si="309"/>
        <v>#VALUE!</v>
      </c>
      <c r="FK2969" s="17" t="str">
        <f t="shared" si="308"/>
        <v/>
      </c>
      <c r="FL2969" s="18" t="str">
        <f t="shared" si="310"/>
        <v/>
      </c>
    </row>
    <row r="2970" spans="165:168">
      <c r="FI2970" s="16">
        <v>2967</v>
      </c>
      <c r="FJ2970" s="17" t="e">
        <f t="shared" si="309"/>
        <v>#VALUE!</v>
      </c>
      <c r="FK2970" s="17" t="str">
        <f t="shared" si="308"/>
        <v/>
      </c>
      <c r="FL2970" s="18" t="str">
        <f t="shared" si="310"/>
        <v/>
      </c>
    </row>
    <row r="2971" spans="165:168">
      <c r="FI2971" s="16">
        <v>2968</v>
      </c>
      <c r="FJ2971" s="17" t="e">
        <f t="shared" si="309"/>
        <v>#VALUE!</v>
      </c>
      <c r="FK2971" s="17" t="str">
        <f t="shared" si="308"/>
        <v/>
      </c>
      <c r="FL2971" s="18" t="str">
        <f t="shared" si="310"/>
        <v/>
      </c>
    </row>
    <row r="2972" spans="165:168">
      <c r="FI2972" s="16">
        <v>2969</v>
      </c>
      <c r="FJ2972" s="17" t="e">
        <f t="shared" si="309"/>
        <v>#VALUE!</v>
      </c>
      <c r="FK2972" s="17" t="str">
        <f t="shared" si="308"/>
        <v/>
      </c>
      <c r="FL2972" s="18" t="str">
        <f t="shared" si="310"/>
        <v/>
      </c>
    </row>
    <row r="2973" spans="165:168">
      <c r="FI2973" s="16">
        <v>2970</v>
      </c>
      <c r="FJ2973" s="17" t="e">
        <f t="shared" si="309"/>
        <v>#VALUE!</v>
      </c>
      <c r="FK2973" s="17" t="str">
        <f t="shared" si="308"/>
        <v/>
      </c>
      <c r="FL2973" s="18" t="str">
        <f t="shared" si="310"/>
        <v/>
      </c>
    </row>
    <row r="2974" spans="165:168">
      <c r="FI2974" s="16">
        <v>2971</v>
      </c>
      <c r="FJ2974" s="17" t="e">
        <f t="shared" si="309"/>
        <v>#VALUE!</v>
      </c>
      <c r="FK2974" s="17" t="str">
        <f t="shared" si="308"/>
        <v/>
      </c>
      <c r="FL2974" s="18" t="str">
        <f t="shared" si="310"/>
        <v/>
      </c>
    </row>
    <row r="2975" spans="165:168">
      <c r="FI2975" s="16">
        <v>2972</v>
      </c>
      <c r="FJ2975" s="17" t="e">
        <f t="shared" si="309"/>
        <v>#VALUE!</v>
      </c>
      <c r="FK2975" s="17" t="str">
        <f t="shared" si="308"/>
        <v/>
      </c>
      <c r="FL2975" s="18" t="str">
        <f t="shared" si="310"/>
        <v/>
      </c>
    </row>
    <row r="2976" spans="165:168">
      <c r="FI2976" s="16">
        <v>2973</v>
      </c>
      <c r="FJ2976" s="17" t="e">
        <f t="shared" si="309"/>
        <v>#VALUE!</v>
      </c>
      <c r="FK2976" s="17" t="str">
        <f t="shared" si="308"/>
        <v/>
      </c>
      <c r="FL2976" s="18" t="str">
        <f t="shared" si="310"/>
        <v/>
      </c>
    </row>
    <row r="2977" spans="165:168">
      <c r="FI2977" s="16">
        <v>2974</v>
      </c>
      <c r="FJ2977" s="17" t="e">
        <f t="shared" si="309"/>
        <v>#VALUE!</v>
      </c>
      <c r="FK2977" s="17" t="str">
        <f t="shared" si="308"/>
        <v/>
      </c>
      <c r="FL2977" s="18" t="str">
        <f t="shared" si="310"/>
        <v/>
      </c>
    </row>
    <row r="2978" spans="165:168">
      <c r="FI2978" s="16">
        <v>2975</v>
      </c>
      <c r="FJ2978" s="17" t="e">
        <f t="shared" si="309"/>
        <v>#VALUE!</v>
      </c>
      <c r="FK2978" s="17" t="str">
        <f t="shared" si="308"/>
        <v/>
      </c>
      <c r="FL2978" s="18" t="str">
        <f t="shared" si="310"/>
        <v/>
      </c>
    </row>
    <row r="2979" spans="165:168">
      <c r="FI2979" s="16">
        <v>2976</v>
      </c>
      <c r="FJ2979" s="17" t="e">
        <f t="shared" si="309"/>
        <v>#VALUE!</v>
      </c>
      <c r="FK2979" s="17" t="str">
        <f t="shared" si="308"/>
        <v/>
      </c>
      <c r="FL2979" s="18" t="str">
        <f t="shared" si="310"/>
        <v/>
      </c>
    </row>
    <row r="2980" spans="165:168">
      <c r="FI2980" s="16">
        <v>2977</v>
      </c>
      <c r="FJ2980" s="17" t="e">
        <f t="shared" si="309"/>
        <v>#VALUE!</v>
      </c>
      <c r="FK2980" s="17" t="str">
        <f t="shared" si="308"/>
        <v/>
      </c>
      <c r="FL2980" s="18" t="str">
        <f t="shared" si="310"/>
        <v/>
      </c>
    </row>
    <row r="2981" spans="165:168">
      <c r="FI2981" s="16">
        <v>2978</v>
      </c>
      <c r="FJ2981" s="17" t="e">
        <f t="shared" si="309"/>
        <v>#VALUE!</v>
      </c>
      <c r="FK2981" s="17" t="str">
        <f t="shared" si="308"/>
        <v/>
      </c>
      <c r="FL2981" s="18" t="str">
        <f t="shared" si="310"/>
        <v/>
      </c>
    </row>
    <row r="2982" spans="165:168">
      <c r="FI2982" s="16">
        <v>2979</v>
      </c>
      <c r="FJ2982" s="17" t="e">
        <f t="shared" si="309"/>
        <v>#VALUE!</v>
      </c>
      <c r="FK2982" s="17" t="str">
        <f t="shared" si="308"/>
        <v/>
      </c>
      <c r="FL2982" s="18" t="str">
        <f t="shared" si="310"/>
        <v/>
      </c>
    </row>
    <row r="2983" spans="165:168">
      <c r="FI2983" s="16">
        <v>2980</v>
      </c>
      <c r="FJ2983" s="17" t="e">
        <f t="shared" si="309"/>
        <v>#VALUE!</v>
      </c>
      <c r="FK2983" s="17" t="str">
        <f t="shared" si="308"/>
        <v/>
      </c>
      <c r="FL2983" s="18" t="str">
        <f t="shared" si="310"/>
        <v/>
      </c>
    </row>
    <row r="2984" spans="165:168">
      <c r="FI2984" s="16">
        <v>2981</v>
      </c>
      <c r="FJ2984" s="17" t="e">
        <f t="shared" si="309"/>
        <v>#VALUE!</v>
      </c>
      <c r="FK2984" s="17" t="str">
        <f t="shared" si="308"/>
        <v/>
      </c>
      <c r="FL2984" s="18" t="str">
        <f t="shared" si="310"/>
        <v/>
      </c>
    </row>
    <row r="2985" spans="165:168">
      <c r="FI2985" s="16">
        <v>2982</v>
      </c>
      <c r="FJ2985" s="17" t="e">
        <f t="shared" si="309"/>
        <v>#VALUE!</v>
      </c>
      <c r="FK2985" s="17" t="str">
        <f t="shared" si="308"/>
        <v/>
      </c>
      <c r="FL2985" s="18" t="str">
        <f t="shared" si="310"/>
        <v/>
      </c>
    </row>
    <row r="2986" spans="165:168">
      <c r="FI2986" s="16">
        <v>2983</v>
      </c>
      <c r="FJ2986" s="17" t="e">
        <f t="shared" si="309"/>
        <v>#VALUE!</v>
      </c>
      <c r="FK2986" s="17" t="str">
        <f t="shared" si="308"/>
        <v/>
      </c>
      <c r="FL2986" s="18" t="str">
        <f t="shared" si="310"/>
        <v/>
      </c>
    </row>
    <row r="2987" spans="165:168">
      <c r="FI2987" s="16">
        <v>2984</v>
      </c>
      <c r="FJ2987" s="17" t="e">
        <f t="shared" si="309"/>
        <v>#VALUE!</v>
      </c>
      <c r="FK2987" s="17" t="str">
        <f t="shared" si="308"/>
        <v/>
      </c>
      <c r="FL2987" s="18" t="str">
        <f t="shared" si="310"/>
        <v/>
      </c>
    </row>
    <row r="2988" spans="165:168">
      <c r="FI2988" s="16">
        <v>2985</v>
      </c>
      <c r="FJ2988" s="17" t="e">
        <f t="shared" si="309"/>
        <v>#VALUE!</v>
      </c>
      <c r="FK2988" s="17" t="str">
        <f t="shared" si="308"/>
        <v/>
      </c>
      <c r="FL2988" s="18" t="str">
        <f t="shared" si="310"/>
        <v/>
      </c>
    </row>
    <row r="2989" spans="165:168">
      <c r="FI2989" s="16">
        <v>2986</v>
      </c>
      <c r="FJ2989" s="17" t="e">
        <f t="shared" si="309"/>
        <v>#VALUE!</v>
      </c>
      <c r="FK2989" s="17" t="str">
        <f t="shared" si="308"/>
        <v/>
      </c>
      <c r="FL2989" s="18" t="str">
        <f t="shared" si="310"/>
        <v/>
      </c>
    </row>
    <row r="2990" spans="165:168">
      <c r="FI2990" s="16">
        <v>2987</v>
      </c>
      <c r="FJ2990" s="17" t="e">
        <f t="shared" si="309"/>
        <v>#VALUE!</v>
      </c>
      <c r="FK2990" s="17" t="str">
        <f t="shared" si="308"/>
        <v/>
      </c>
      <c r="FL2990" s="18" t="str">
        <f t="shared" si="310"/>
        <v/>
      </c>
    </row>
    <row r="2991" spans="165:168">
      <c r="FI2991" s="16">
        <v>2988</v>
      </c>
      <c r="FJ2991" s="17" t="e">
        <f t="shared" si="309"/>
        <v>#VALUE!</v>
      </c>
      <c r="FK2991" s="17" t="str">
        <f t="shared" si="308"/>
        <v/>
      </c>
      <c r="FL2991" s="18" t="str">
        <f t="shared" si="310"/>
        <v/>
      </c>
    </row>
    <row r="2992" spans="165:168">
      <c r="FI2992" s="16">
        <v>2989</v>
      </c>
      <c r="FJ2992" s="17" t="e">
        <f t="shared" si="309"/>
        <v>#VALUE!</v>
      </c>
      <c r="FK2992" s="17" t="str">
        <f t="shared" si="308"/>
        <v/>
      </c>
      <c r="FL2992" s="18" t="str">
        <f t="shared" si="310"/>
        <v/>
      </c>
    </row>
    <row r="2993" spans="165:168">
      <c r="FI2993" s="16">
        <v>2990</v>
      </c>
      <c r="FJ2993" s="17" t="e">
        <f t="shared" si="309"/>
        <v>#VALUE!</v>
      </c>
      <c r="FK2993" s="17" t="str">
        <f t="shared" si="308"/>
        <v/>
      </c>
      <c r="FL2993" s="18" t="str">
        <f t="shared" si="310"/>
        <v/>
      </c>
    </row>
    <row r="2994" spans="165:168">
      <c r="FI2994" s="16">
        <v>2991</v>
      </c>
      <c r="FJ2994" s="17" t="e">
        <f t="shared" si="309"/>
        <v>#VALUE!</v>
      </c>
      <c r="FK2994" s="17" t="str">
        <f t="shared" si="308"/>
        <v/>
      </c>
      <c r="FL2994" s="18" t="str">
        <f t="shared" si="310"/>
        <v/>
      </c>
    </row>
    <row r="2995" spans="165:168">
      <c r="FI2995" s="16">
        <v>2992</v>
      </c>
      <c r="FJ2995" s="17" t="e">
        <f t="shared" si="309"/>
        <v>#VALUE!</v>
      </c>
      <c r="FK2995" s="17" t="str">
        <f t="shared" si="308"/>
        <v/>
      </c>
      <c r="FL2995" s="18" t="str">
        <f t="shared" si="310"/>
        <v/>
      </c>
    </row>
    <row r="2996" spans="165:168">
      <c r="FI2996" s="16">
        <v>2993</v>
      </c>
      <c r="FJ2996" s="17" t="e">
        <f t="shared" si="309"/>
        <v>#VALUE!</v>
      </c>
      <c r="FK2996" s="17" t="str">
        <f t="shared" si="308"/>
        <v/>
      </c>
      <c r="FL2996" s="18" t="str">
        <f t="shared" si="310"/>
        <v/>
      </c>
    </row>
    <row r="2997" spans="165:168">
      <c r="FI2997" s="16">
        <v>2994</v>
      </c>
      <c r="FJ2997" s="17" t="e">
        <f t="shared" si="309"/>
        <v>#VALUE!</v>
      </c>
      <c r="FK2997" s="17" t="str">
        <f t="shared" si="308"/>
        <v/>
      </c>
      <c r="FL2997" s="18" t="str">
        <f t="shared" si="310"/>
        <v/>
      </c>
    </row>
    <row r="2998" spans="165:168">
      <c r="FI2998" s="16">
        <v>2995</v>
      </c>
      <c r="FJ2998" s="17" t="e">
        <f t="shared" si="309"/>
        <v>#VALUE!</v>
      </c>
      <c r="FK2998" s="17" t="str">
        <f t="shared" si="308"/>
        <v/>
      </c>
      <c r="FL2998" s="18" t="str">
        <f t="shared" si="310"/>
        <v/>
      </c>
    </row>
    <row r="2999" spans="165:168">
      <c r="FI2999" s="16">
        <v>2996</v>
      </c>
      <c r="FJ2999" s="17" t="e">
        <f t="shared" si="309"/>
        <v>#VALUE!</v>
      </c>
      <c r="FK2999" s="17" t="str">
        <f t="shared" si="308"/>
        <v/>
      </c>
      <c r="FL2999" s="18" t="str">
        <f t="shared" si="310"/>
        <v/>
      </c>
    </row>
    <row r="3000" spans="165:168">
      <c r="FI3000" s="16">
        <v>2997</v>
      </c>
      <c r="FJ3000" s="17" t="e">
        <f t="shared" si="309"/>
        <v>#VALUE!</v>
      </c>
      <c r="FK3000" s="17" t="str">
        <f t="shared" si="308"/>
        <v/>
      </c>
      <c r="FL3000" s="18" t="str">
        <f t="shared" si="310"/>
        <v/>
      </c>
    </row>
    <row r="3001" spans="165:168">
      <c r="FI3001" s="16">
        <v>2998</v>
      </c>
      <c r="FJ3001" s="17" t="e">
        <f t="shared" si="309"/>
        <v>#VALUE!</v>
      </c>
      <c r="FK3001" s="17" t="str">
        <f t="shared" si="308"/>
        <v/>
      </c>
      <c r="FL3001" s="18" t="str">
        <f t="shared" si="310"/>
        <v/>
      </c>
    </row>
    <row r="3002" spans="165:168">
      <c r="FI3002" s="16">
        <v>2999</v>
      </c>
      <c r="FJ3002" s="17" t="e">
        <f t="shared" si="309"/>
        <v>#VALUE!</v>
      </c>
      <c r="FK3002" s="17" t="str">
        <f t="shared" si="308"/>
        <v/>
      </c>
      <c r="FL3002" s="18" t="str">
        <f t="shared" si="310"/>
        <v/>
      </c>
    </row>
    <row r="3003" spans="165:168">
      <c r="FI3003" s="16">
        <v>3000</v>
      </c>
      <c r="FJ3003" s="17" t="e">
        <f t="shared" si="309"/>
        <v>#VALUE!</v>
      </c>
      <c r="FK3003" s="17" t="str">
        <f t="shared" si="308"/>
        <v/>
      </c>
      <c r="FL3003" s="18" t="str">
        <f t="shared" si="310"/>
        <v/>
      </c>
    </row>
    <row r="3004" spans="165:168">
      <c r="FI3004" s="16">
        <v>3001</v>
      </c>
      <c r="FJ3004" s="17" t="e">
        <f t="shared" si="309"/>
        <v>#VALUE!</v>
      </c>
      <c r="FK3004" s="17" t="str">
        <f t="shared" si="308"/>
        <v/>
      </c>
      <c r="FL3004" s="18" t="str">
        <f t="shared" si="310"/>
        <v/>
      </c>
    </row>
    <row r="3005" spans="165:168">
      <c r="FI3005" s="16">
        <v>3002</v>
      </c>
      <c r="FJ3005" s="17" t="e">
        <f t="shared" si="309"/>
        <v>#VALUE!</v>
      </c>
      <c r="FK3005" s="17" t="str">
        <f t="shared" si="308"/>
        <v/>
      </c>
      <c r="FL3005" s="18" t="str">
        <f t="shared" si="310"/>
        <v/>
      </c>
    </row>
    <row r="3006" spans="165:168">
      <c r="FI3006" s="16">
        <v>3003</v>
      </c>
      <c r="FJ3006" s="17" t="e">
        <f t="shared" si="309"/>
        <v>#VALUE!</v>
      </c>
      <c r="FK3006" s="17" t="str">
        <f t="shared" si="308"/>
        <v/>
      </c>
      <c r="FL3006" s="18" t="str">
        <f t="shared" si="310"/>
        <v/>
      </c>
    </row>
    <row r="3007" spans="165:168">
      <c r="FI3007" s="16">
        <v>3004</v>
      </c>
      <c r="FJ3007" s="17" t="e">
        <f t="shared" si="309"/>
        <v>#VALUE!</v>
      </c>
      <c r="FK3007" s="17" t="str">
        <f t="shared" si="308"/>
        <v/>
      </c>
      <c r="FL3007" s="18" t="str">
        <f t="shared" si="310"/>
        <v/>
      </c>
    </row>
    <row r="3008" spans="165:168">
      <c r="FI3008" s="16">
        <v>3005</v>
      </c>
      <c r="FJ3008" s="17" t="e">
        <f t="shared" si="309"/>
        <v>#VALUE!</v>
      </c>
      <c r="FK3008" s="17" t="str">
        <f t="shared" si="308"/>
        <v/>
      </c>
      <c r="FL3008" s="18" t="str">
        <f t="shared" si="310"/>
        <v/>
      </c>
    </row>
    <row r="3009" spans="165:168">
      <c r="FI3009" s="16">
        <v>3006</v>
      </c>
      <c r="FJ3009" s="17" t="e">
        <f t="shared" si="309"/>
        <v>#VALUE!</v>
      </c>
      <c r="FK3009" s="17" t="str">
        <f t="shared" si="308"/>
        <v/>
      </c>
      <c r="FL3009" s="18" t="str">
        <f t="shared" si="310"/>
        <v/>
      </c>
    </row>
    <row r="3010" spans="165:168">
      <c r="FI3010" s="16">
        <v>3007</v>
      </c>
      <c r="FJ3010" s="17" t="e">
        <f t="shared" si="309"/>
        <v>#VALUE!</v>
      </c>
      <c r="FK3010" s="17" t="str">
        <f t="shared" si="308"/>
        <v/>
      </c>
      <c r="FL3010" s="18" t="str">
        <f t="shared" si="310"/>
        <v/>
      </c>
    </row>
    <row r="3011" spans="165:168">
      <c r="FI3011" s="16">
        <v>3008</v>
      </c>
      <c r="FJ3011" s="17" t="e">
        <f t="shared" si="309"/>
        <v>#VALUE!</v>
      </c>
      <c r="FK3011" s="17" t="str">
        <f t="shared" si="308"/>
        <v/>
      </c>
      <c r="FL3011" s="18" t="str">
        <f t="shared" si="310"/>
        <v/>
      </c>
    </row>
    <row r="3012" spans="165:168">
      <c r="FI3012" s="16">
        <v>3009</v>
      </c>
      <c r="FJ3012" s="17" t="e">
        <f t="shared" si="309"/>
        <v>#VALUE!</v>
      </c>
      <c r="FK3012" s="17" t="str">
        <f t="shared" si="308"/>
        <v/>
      </c>
      <c r="FL3012" s="18" t="str">
        <f t="shared" si="310"/>
        <v/>
      </c>
    </row>
    <row r="3013" spans="165:168">
      <c r="FI3013" s="16">
        <v>3010</v>
      </c>
      <c r="FJ3013" s="17" t="e">
        <f t="shared" si="309"/>
        <v>#VALUE!</v>
      </c>
      <c r="FK3013" s="17" t="str">
        <f t="shared" ref="FK3013:FK3076" si="311">IF(FI3013&lt;=$FH$2,FF3013,IF(FI3013&lt;=$FH$2+$FH$3,INDEX($FJ$4:$FJ$2494,FI3013-$FH$2),""))</f>
        <v/>
      </c>
      <c r="FL3013" s="18" t="str">
        <f t="shared" si="310"/>
        <v/>
      </c>
    </row>
    <row r="3014" spans="165:168">
      <c r="FI3014" s="16">
        <v>3011</v>
      </c>
      <c r="FJ3014" s="17" t="e">
        <f t="shared" si="309"/>
        <v>#VALUE!</v>
      </c>
      <c r="FK3014" s="17" t="str">
        <f t="shared" si="311"/>
        <v/>
      </c>
      <c r="FL3014" s="18" t="str">
        <f t="shared" si="310"/>
        <v/>
      </c>
    </row>
    <row r="3015" spans="165:168">
      <c r="FI3015" s="16">
        <v>3012</v>
      </c>
      <c r="FJ3015" s="17" t="e">
        <f t="shared" si="309"/>
        <v>#VALUE!</v>
      </c>
      <c r="FK3015" s="17" t="str">
        <f t="shared" si="311"/>
        <v/>
      </c>
      <c r="FL3015" s="18" t="str">
        <f t="shared" si="310"/>
        <v/>
      </c>
    </row>
    <row r="3016" spans="165:168">
      <c r="FI3016" s="16">
        <v>3013</v>
      </c>
      <c r="FJ3016" s="17" t="e">
        <f t="shared" si="309"/>
        <v>#VALUE!</v>
      </c>
      <c r="FK3016" s="17" t="str">
        <f t="shared" si="311"/>
        <v/>
      </c>
      <c r="FL3016" s="18" t="str">
        <f t="shared" si="310"/>
        <v/>
      </c>
    </row>
    <row r="3017" spans="165:168">
      <c r="FI3017" s="16">
        <v>3014</v>
      </c>
      <c r="FJ3017" s="17" t="e">
        <f t="shared" si="309"/>
        <v>#VALUE!</v>
      </c>
      <c r="FK3017" s="17" t="str">
        <f t="shared" si="311"/>
        <v/>
      </c>
      <c r="FL3017" s="18" t="str">
        <f t="shared" si="310"/>
        <v/>
      </c>
    </row>
    <row r="3018" spans="165:168">
      <c r="FI3018" s="16">
        <v>3015</v>
      </c>
      <c r="FJ3018" s="17" t="e">
        <f t="shared" si="309"/>
        <v>#VALUE!</v>
      </c>
      <c r="FK3018" s="17" t="str">
        <f t="shared" si="311"/>
        <v/>
      </c>
      <c r="FL3018" s="18" t="str">
        <f t="shared" si="310"/>
        <v/>
      </c>
    </row>
    <row r="3019" spans="165:168">
      <c r="FI3019" s="16">
        <v>3016</v>
      </c>
      <c r="FJ3019" s="17" t="e">
        <f t="shared" si="309"/>
        <v>#VALUE!</v>
      </c>
      <c r="FK3019" s="17" t="str">
        <f t="shared" si="311"/>
        <v/>
      </c>
      <c r="FL3019" s="18" t="str">
        <f t="shared" si="310"/>
        <v/>
      </c>
    </row>
    <row r="3020" spans="165:168">
      <c r="FI3020" s="16">
        <v>3017</v>
      </c>
      <c r="FJ3020" s="17" t="e">
        <f t="shared" si="309"/>
        <v>#VALUE!</v>
      </c>
      <c r="FK3020" s="17" t="str">
        <f t="shared" si="311"/>
        <v/>
      </c>
      <c r="FL3020" s="18" t="str">
        <f t="shared" si="310"/>
        <v/>
      </c>
    </row>
    <row r="3021" spans="165:168">
      <c r="FI3021" s="16">
        <v>3018</v>
      </c>
      <c r="FJ3021" s="17" t="e">
        <f t="shared" si="309"/>
        <v>#VALUE!</v>
      </c>
      <c r="FK3021" s="17" t="str">
        <f t="shared" si="311"/>
        <v/>
      </c>
      <c r="FL3021" s="18" t="str">
        <f t="shared" si="310"/>
        <v/>
      </c>
    </row>
    <row r="3022" spans="165:168">
      <c r="FI3022" s="16">
        <v>3019</v>
      </c>
      <c r="FJ3022" s="17" t="e">
        <f t="shared" si="309"/>
        <v>#VALUE!</v>
      </c>
      <c r="FK3022" s="17" t="str">
        <f t="shared" si="311"/>
        <v/>
      </c>
      <c r="FL3022" s="18" t="str">
        <f t="shared" si="310"/>
        <v/>
      </c>
    </row>
    <row r="3023" spans="165:168">
      <c r="FI3023" s="16">
        <v>3020</v>
      </c>
      <c r="FJ3023" s="17" t="e">
        <f t="shared" si="309"/>
        <v>#VALUE!</v>
      </c>
      <c r="FK3023" s="17" t="str">
        <f t="shared" si="311"/>
        <v/>
      </c>
      <c r="FL3023" s="18" t="str">
        <f t="shared" si="310"/>
        <v/>
      </c>
    </row>
    <row r="3024" spans="165:168">
      <c r="FI3024" s="16">
        <v>3021</v>
      </c>
      <c r="FJ3024" s="17" t="e">
        <f t="shared" si="309"/>
        <v>#VALUE!</v>
      </c>
      <c r="FK3024" s="17" t="str">
        <f t="shared" si="311"/>
        <v/>
      </c>
      <c r="FL3024" s="18" t="str">
        <f t="shared" si="310"/>
        <v/>
      </c>
    </row>
    <row r="3025" spans="165:168">
      <c r="FI3025" s="16">
        <v>3022</v>
      </c>
      <c r="FJ3025" s="17" t="e">
        <f t="shared" si="309"/>
        <v>#VALUE!</v>
      </c>
      <c r="FK3025" s="17" t="str">
        <f t="shared" si="311"/>
        <v/>
      </c>
      <c r="FL3025" s="18" t="str">
        <f t="shared" si="310"/>
        <v/>
      </c>
    </row>
    <row r="3026" spans="165:168">
      <c r="FI3026" s="16">
        <v>3023</v>
      </c>
      <c r="FJ3026" s="17" t="e">
        <f t="shared" si="309"/>
        <v>#VALUE!</v>
      </c>
      <c r="FK3026" s="17" t="str">
        <f t="shared" si="311"/>
        <v/>
      </c>
      <c r="FL3026" s="18" t="str">
        <f t="shared" si="310"/>
        <v/>
      </c>
    </row>
    <row r="3027" spans="165:168">
      <c r="FI3027" s="16">
        <v>3024</v>
      </c>
      <c r="FJ3027" s="17" t="e">
        <f t="shared" si="309"/>
        <v>#VALUE!</v>
      </c>
      <c r="FK3027" s="17" t="str">
        <f t="shared" si="311"/>
        <v/>
      </c>
      <c r="FL3027" s="18" t="str">
        <f t="shared" si="310"/>
        <v/>
      </c>
    </row>
    <row r="3028" spans="165:168">
      <c r="FI3028" s="16">
        <v>3025</v>
      </c>
      <c r="FJ3028" s="17" t="e">
        <f t="shared" si="309"/>
        <v>#VALUE!</v>
      </c>
      <c r="FK3028" s="17" t="str">
        <f t="shared" si="311"/>
        <v/>
      </c>
      <c r="FL3028" s="18" t="str">
        <f t="shared" si="310"/>
        <v/>
      </c>
    </row>
    <row r="3029" spans="165:168">
      <c r="FI3029" s="16">
        <v>3026</v>
      </c>
      <c r="FJ3029" s="17" t="e">
        <f t="shared" si="309"/>
        <v>#VALUE!</v>
      </c>
      <c r="FK3029" s="17" t="str">
        <f t="shared" si="311"/>
        <v/>
      </c>
      <c r="FL3029" s="18" t="str">
        <f t="shared" si="310"/>
        <v/>
      </c>
    </row>
    <row r="3030" spans="165:168">
      <c r="FI3030" s="16">
        <v>3027</v>
      </c>
      <c r="FJ3030" s="17" t="e">
        <f t="shared" ref="FJ3030:FJ3093" si="312">IF(FE3030&lt;=$FH$1,INDEX($DW$4:$EZ$84,FD3030,FE3030),"")</f>
        <v>#VALUE!</v>
      </c>
      <c r="FK3030" s="17" t="str">
        <f t="shared" si="311"/>
        <v/>
      </c>
      <c r="FL3030" s="18" t="str">
        <f t="shared" ref="FL3030:FL3093" si="313">IFERROR(TEXT(DEC2BIN(FK3030),"00000000"),"")</f>
        <v/>
      </c>
    </row>
    <row r="3031" spans="165:168">
      <c r="FI3031" s="16">
        <v>3028</v>
      </c>
      <c r="FJ3031" s="17" t="e">
        <f t="shared" si="312"/>
        <v>#VALUE!</v>
      </c>
      <c r="FK3031" s="17" t="str">
        <f t="shared" si="311"/>
        <v/>
      </c>
      <c r="FL3031" s="18" t="str">
        <f t="shared" si="313"/>
        <v/>
      </c>
    </row>
    <row r="3032" spans="165:168">
      <c r="FI3032" s="16">
        <v>3029</v>
      </c>
      <c r="FJ3032" s="17" t="e">
        <f t="shared" si="312"/>
        <v>#VALUE!</v>
      </c>
      <c r="FK3032" s="17" t="str">
        <f t="shared" si="311"/>
        <v/>
      </c>
      <c r="FL3032" s="18" t="str">
        <f t="shared" si="313"/>
        <v/>
      </c>
    </row>
    <row r="3033" spans="165:168">
      <c r="FI3033" s="16">
        <v>3030</v>
      </c>
      <c r="FJ3033" s="17" t="e">
        <f t="shared" si="312"/>
        <v>#VALUE!</v>
      </c>
      <c r="FK3033" s="17" t="str">
        <f t="shared" si="311"/>
        <v/>
      </c>
      <c r="FL3033" s="18" t="str">
        <f t="shared" si="313"/>
        <v/>
      </c>
    </row>
    <row r="3034" spans="165:168">
      <c r="FI3034" s="16">
        <v>3031</v>
      </c>
      <c r="FJ3034" s="17" t="e">
        <f t="shared" si="312"/>
        <v>#VALUE!</v>
      </c>
      <c r="FK3034" s="17" t="str">
        <f t="shared" si="311"/>
        <v/>
      </c>
      <c r="FL3034" s="18" t="str">
        <f t="shared" si="313"/>
        <v/>
      </c>
    </row>
    <row r="3035" spans="165:168">
      <c r="FI3035" s="16">
        <v>3032</v>
      </c>
      <c r="FJ3035" s="17" t="e">
        <f t="shared" si="312"/>
        <v>#VALUE!</v>
      </c>
      <c r="FK3035" s="17" t="str">
        <f t="shared" si="311"/>
        <v/>
      </c>
      <c r="FL3035" s="18" t="str">
        <f t="shared" si="313"/>
        <v/>
      </c>
    </row>
    <row r="3036" spans="165:168">
      <c r="FI3036" s="16">
        <v>3033</v>
      </c>
      <c r="FJ3036" s="17" t="e">
        <f t="shared" si="312"/>
        <v>#VALUE!</v>
      </c>
      <c r="FK3036" s="17" t="str">
        <f t="shared" si="311"/>
        <v/>
      </c>
      <c r="FL3036" s="18" t="str">
        <f t="shared" si="313"/>
        <v/>
      </c>
    </row>
    <row r="3037" spans="165:168">
      <c r="FI3037" s="16">
        <v>3034</v>
      </c>
      <c r="FJ3037" s="17" t="e">
        <f t="shared" si="312"/>
        <v>#VALUE!</v>
      </c>
      <c r="FK3037" s="17" t="str">
        <f t="shared" si="311"/>
        <v/>
      </c>
      <c r="FL3037" s="18" t="str">
        <f t="shared" si="313"/>
        <v/>
      </c>
    </row>
    <row r="3038" spans="165:168">
      <c r="FI3038" s="16">
        <v>3035</v>
      </c>
      <c r="FJ3038" s="17" t="e">
        <f t="shared" si="312"/>
        <v>#VALUE!</v>
      </c>
      <c r="FK3038" s="17" t="str">
        <f t="shared" si="311"/>
        <v/>
      </c>
      <c r="FL3038" s="18" t="str">
        <f t="shared" si="313"/>
        <v/>
      </c>
    </row>
    <row r="3039" spans="165:168">
      <c r="FI3039" s="16">
        <v>3036</v>
      </c>
      <c r="FJ3039" s="17" t="e">
        <f t="shared" si="312"/>
        <v>#VALUE!</v>
      </c>
      <c r="FK3039" s="17" t="str">
        <f t="shared" si="311"/>
        <v/>
      </c>
      <c r="FL3039" s="18" t="str">
        <f t="shared" si="313"/>
        <v/>
      </c>
    </row>
    <row r="3040" spans="165:168">
      <c r="FI3040" s="16">
        <v>3037</v>
      </c>
      <c r="FJ3040" s="17" t="e">
        <f t="shared" si="312"/>
        <v>#VALUE!</v>
      </c>
      <c r="FK3040" s="17" t="str">
        <f t="shared" si="311"/>
        <v/>
      </c>
      <c r="FL3040" s="18" t="str">
        <f t="shared" si="313"/>
        <v/>
      </c>
    </row>
    <row r="3041" spans="165:168">
      <c r="FI3041" s="16">
        <v>3038</v>
      </c>
      <c r="FJ3041" s="17" t="e">
        <f t="shared" si="312"/>
        <v>#VALUE!</v>
      </c>
      <c r="FK3041" s="17" t="str">
        <f t="shared" si="311"/>
        <v/>
      </c>
      <c r="FL3041" s="18" t="str">
        <f t="shared" si="313"/>
        <v/>
      </c>
    </row>
    <row r="3042" spans="165:168">
      <c r="FI3042" s="16">
        <v>3039</v>
      </c>
      <c r="FJ3042" s="17" t="e">
        <f t="shared" si="312"/>
        <v>#VALUE!</v>
      </c>
      <c r="FK3042" s="17" t="str">
        <f t="shared" si="311"/>
        <v/>
      </c>
      <c r="FL3042" s="18" t="str">
        <f t="shared" si="313"/>
        <v/>
      </c>
    </row>
    <row r="3043" spans="165:168">
      <c r="FI3043" s="16">
        <v>3040</v>
      </c>
      <c r="FJ3043" s="17" t="e">
        <f t="shared" si="312"/>
        <v>#VALUE!</v>
      </c>
      <c r="FK3043" s="17" t="str">
        <f t="shared" si="311"/>
        <v/>
      </c>
      <c r="FL3043" s="18" t="str">
        <f t="shared" si="313"/>
        <v/>
      </c>
    </row>
    <row r="3044" spans="165:168">
      <c r="FI3044" s="16">
        <v>3041</v>
      </c>
      <c r="FJ3044" s="17" t="e">
        <f t="shared" si="312"/>
        <v>#VALUE!</v>
      </c>
      <c r="FK3044" s="17" t="str">
        <f t="shared" si="311"/>
        <v/>
      </c>
      <c r="FL3044" s="18" t="str">
        <f t="shared" si="313"/>
        <v/>
      </c>
    </row>
    <row r="3045" spans="165:168">
      <c r="FI3045" s="16">
        <v>3042</v>
      </c>
      <c r="FJ3045" s="17" t="e">
        <f t="shared" si="312"/>
        <v>#VALUE!</v>
      </c>
      <c r="FK3045" s="17" t="str">
        <f t="shared" si="311"/>
        <v/>
      </c>
      <c r="FL3045" s="18" t="str">
        <f t="shared" si="313"/>
        <v/>
      </c>
    </row>
    <row r="3046" spans="165:168">
      <c r="FI3046" s="16">
        <v>3043</v>
      </c>
      <c r="FJ3046" s="17" t="e">
        <f t="shared" si="312"/>
        <v>#VALUE!</v>
      </c>
      <c r="FK3046" s="17" t="str">
        <f t="shared" si="311"/>
        <v/>
      </c>
      <c r="FL3046" s="18" t="str">
        <f t="shared" si="313"/>
        <v/>
      </c>
    </row>
    <row r="3047" spans="165:168">
      <c r="FI3047" s="16">
        <v>3044</v>
      </c>
      <c r="FJ3047" s="17" t="e">
        <f t="shared" si="312"/>
        <v>#VALUE!</v>
      </c>
      <c r="FK3047" s="17" t="str">
        <f t="shared" si="311"/>
        <v/>
      </c>
      <c r="FL3047" s="18" t="str">
        <f t="shared" si="313"/>
        <v/>
      </c>
    </row>
    <row r="3048" spans="165:168">
      <c r="FI3048" s="16">
        <v>3045</v>
      </c>
      <c r="FJ3048" s="17" t="e">
        <f t="shared" si="312"/>
        <v>#VALUE!</v>
      </c>
      <c r="FK3048" s="17" t="str">
        <f t="shared" si="311"/>
        <v/>
      </c>
      <c r="FL3048" s="18" t="str">
        <f t="shared" si="313"/>
        <v/>
      </c>
    </row>
    <row r="3049" spans="165:168">
      <c r="FI3049" s="16">
        <v>3046</v>
      </c>
      <c r="FJ3049" s="17" t="e">
        <f t="shared" si="312"/>
        <v>#VALUE!</v>
      </c>
      <c r="FK3049" s="17" t="str">
        <f t="shared" si="311"/>
        <v/>
      </c>
      <c r="FL3049" s="18" t="str">
        <f t="shared" si="313"/>
        <v/>
      </c>
    </row>
    <row r="3050" spans="165:168">
      <c r="FI3050" s="16">
        <v>3047</v>
      </c>
      <c r="FJ3050" s="17" t="e">
        <f t="shared" si="312"/>
        <v>#VALUE!</v>
      </c>
      <c r="FK3050" s="17" t="str">
        <f t="shared" si="311"/>
        <v/>
      </c>
      <c r="FL3050" s="18" t="str">
        <f t="shared" si="313"/>
        <v/>
      </c>
    </row>
    <row r="3051" spans="165:168">
      <c r="FI3051" s="16">
        <v>3048</v>
      </c>
      <c r="FJ3051" s="17" t="e">
        <f t="shared" si="312"/>
        <v>#VALUE!</v>
      </c>
      <c r="FK3051" s="17" t="str">
        <f t="shared" si="311"/>
        <v/>
      </c>
      <c r="FL3051" s="18" t="str">
        <f t="shared" si="313"/>
        <v/>
      </c>
    </row>
    <row r="3052" spans="165:168">
      <c r="FI3052" s="16">
        <v>3049</v>
      </c>
      <c r="FJ3052" s="17" t="e">
        <f t="shared" si="312"/>
        <v>#VALUE!</v>
      </c>
      <c r="FK3052" s="17" t="str">
        <f t="shared" si="311"/>
        <v/>
      </c>
      <c r="FL3052" s="18" t="str">
        <f t="shared" si="313"/>
        <v/>
      </c>
    </row>
    <row r="3053" spans="165:168">
      <c r="FI3053" s="16">
        <v>3050</v>
      </c>
      <c r="FJ3053" s="17" t="e">
        <f t="shared" si="312"/>
        <v>#VALUE!</v>
      </c>
      <c r="FK3053" s="17" t="str">
        <f t="shared" si="311"/>
        <v/>
      </c>
      <c r="FL3053" s="18" t="str">
        <f t="shared" si="313"/>
        <v/>
      </c>
    </row>
    <row r="3054" spans="165:168">
      <c r="FI3054" s="16">
        <v>3051</v>
      </c>
      <c r="FJ3054" s="17" t="e">
        <f t="shared" si="312"/>
        <v>#VALUE!</v>
      </c>
      <c r="FK3054" s="17" t="str">
        <f t="shared" si="311"/>
        <v/>
      </c>
      <c r="FL3054" s="18" t="str">
        <f t="shared" si="313"/>
        <v/>
      </c>
    </row>
    <row r="3055" spans="165:168">
      <c r="FI3055" s="16">
        <v>3052</v>
      </c>
      <c r="FJ3055" s="17" t="e">
        <f t="shared" si="312"/>
        <v>#VALUE!</v>
      </c>
      <c r="FK3055" s="17" t="str">
        <f t="shared" si="311"/>
        <v/>
      </c>
      <c r="FL3055" s="18" t="str">
        <f t="shared" si="313"/>
        <v/>
      </c>
    </row>
    <row r="3056" spans="165:168">
      <c r="FI3056" s="16">
        <v>3053</v>
      </c>
      <c r="FJ3056" s="17" t="e">
        <f t="shared" si="312"/>
        <v>#VALUE!</v>
      </c>
      <c r="FK3056" s="17" t="str">
        <f t="shared" si="311"/>
        <v/>
      </c>
      <c r="FL3056" s="18" t="str">
        <f t="shared" si="313"/>
        <v/>
      </c>
    </row>
    <row r="3057" spans="165:168">
      <c r="FI3057" s="16">
        <v>3054</v>
      </c>
      <c r="FJ3057" s="17" t="e">
        <f t="shared" si="312"/>
        <v>#VALUE!</v>
      </c>
      <c r="FK3057" s="17" t="str">
        <f t="shared" si="311"/>
        <v/>
      </c>
      <c r="FL3057" s="18" t="str">
        <f t="shared" si="313"/>
        <v/>
      </c>
    </row>
    <row r="3058" spans="165:168">
      <c r="FI3058" s="16">
        <v>3055</v>
      </c>
      <c r="FJ3058" s="17" t="e">
        <f t="shared" si="312"/>
        <v>#VALUE!</v>
      </c>
      <c r="FK3058" s="17" t="str">
        <f t="shared" si="311"/>
        <v/>
      </c>
      <c r="FL3058" s="18" t="str">
        <f t="shared" si="313"/>
        <v/>
      </c>
    </row>
    <row r="3059" spans="165:168">
      <c r="FI3059" s="16">
        <v>3056</v>
      </c>
      <c r="FJ3059" s="17" t="e">
        <f t="shared" si="312"/>
        <v>#VALUE!</v>
      </c>
      <c r="FK3059" s="17" t="str">
        <f t="shared" si="311"/>
        <v/>
      </c>
      <c r="FL3059" s="18" t="str">
        <f t="shared" si="313"/>
        <v/>
      </c>
    </row>
    <row r="3060" spans="165:168">
      <c r="FI3060" s="16">
        <v>3057</v>
      </c>
      <c r="FJ3060" s="17" t="e">
        <f t="shared" si="312"/>
        <v>#VALUE!</v>
      </c>
      <c r="FK3060" s="17" t="str">
        <f t="shared" si="311"/>
        <v/>
      </c>
      <c r="FL3060" s="18" t="str">
        <f t="shared" si="313"/>
        <v/>
      </c>
    </row>
    <row r="3061" spans="165:168">
      <c r="FI3061" s="16">
        <v>3058</v>
      </c>
      <c r="FJ3061" s="17" t="e">
        <f t="shared" si="312"/>
        <v>#VALUE!</v>
      </c>
      <c r="FK3061" s="17" t="str">
        <f t="shared" si="311"/>
        <v/>
      </c>
      <c r="FL3061" s="18" t="str">
        <f t="shared" si="313"/>
        <v/>
      </c>
    </row>
    <row r="3062" spans="165:168">
      <c r="FI3062" s="16">
        <v>3059</v>
      </c>
      <c r="FJ3062" s="17" t="e">
        <f t="shared" si="312"/>
        <v>#VALUE!</v>
      </c>
      <c r="FK3062" s="17" t="str">
        <f t="shared" si="311"/>
        <v/>
      </c>
      <c r="FL3062" s="18" t="str">
        <f t="shared" si="313"/>
        <v/>
      </c>
    </row>
    <row r="3063" spans="165:168">
      <c r="FI3063" s="16">
        <v>3060</v>
      </c>
      <c r="FJ3063" s="17" t="e">
        <f t="shared" si="312"/>
        <v>#VALUE!</v>
      </c>
      <c r="FK3063" s="17" t="str">
        <f t="shared" si="311"/>
        <v/>
      </c>
      <c r="FL3063" s="18" t="str">
        <f t="shared" si="313"/>
        <v/>
      </c>
    </row>
    <row r="3064" spans="165:168">
      <c r="FI3064" s="16">
        <v>3061</v>
      </c>
      <c r="FJ3064" s="17" t="e">
        <f t="shared" si="312"/>
        <v>#VALUE!</v>
      </c>
      <c r="FK3064" s="17" t="str">
        <f t="shared" si="311"/>
        <v/>
      </c>
      <c r="FL3064" s="18" t="str">
        <f t="shared" si="313"/>
        <v/>
      </c>
    </row>
    <row r="3065" spans="165:168">
      <c r="FI3065" s="16">
        <v>3062</v>
      </c>
      <c r="FJ3065" s="17" t="e">
        <f t="shared" si="312"/>
        <v>#VALUE!</v>
      </c>
      <c r="FK3065" s="17" t="str">
        <f t="shared" si="311"/>
        <v/>
      </c>
      <c r="FL3065" s="18" t="str">
        <f t="shared" si="313"/>
        <v/>
      </c>
    </row>
    <row r="3066" spans="165:168">
      <c r="FI3066" s="16">
        <v>3063</v>
      </c>
      <c r="FJ3066" s="17" t="e">
        <f t="shared" si="312"/>
        <v>#VALUE!</v>
      </c>
      <c r="FK3066" s="17" t="str">
        <f t="shared" si="311"/>
        <v/>
      </c>
      <c r="FL3066" s="18" t="str">
        <f t="shared" si="313"/>
        <v/>
      </c>
    </row>
    <row r="3067" spans="165:168">
      <c r="FI3067" s="16">
        <v>3064</v>
      </c>
      <c r="FJ3067" s="17" t="e">
        <f t="shared" si="312"/>
        <v>#VALUE!</v>
      </c>
      <c r="FK3067" s="17" t="str">
        <f t="shared" si="311"/>
        <v/>
      </c>
      <c r="FL3067" s="18" t="str">
        <f t="shared" si="313"/>
        <v/>
      </c>
    </row>
    <row r="3068" spans="165:168">
      <c r="FI3068" s="16">
        <v>3065</v>
      </c>
      <c r="FJ3068" s="17" t="e">
        <f t="shared" si="312"/>
        <v>#VALUE!</v>
      </c>
      <c r="FK3068" s="17" t="str">
        <f t="shared" si="311"/>
        <v/>
      </c>
      <c r="FL3068" s="18" t="str">
        <f t="shared" si="313"/>
        <v/>
      </c>
    </row>
    <row r="3069" spans="165:168">
      <c r="FI3069" s="16">
        <v>3066</v>
      </c>
      <c r="FJ3069" s="17" t="e">
        <f t="shared" si="312"/>
        <v>#VALUE!</v>
      </c>
      <c r="FK3069" s="17" t="str">
        <f t="shared" si="311"/>
        <v/>
      </c>
      <c r="FL3069" s="18" t="str">
        <f t="shared" si="313"/>
        <v/>
      </c>
    </row>
    <row r="3070" spans="165:168">
      <c r="FI3070" s="16">
        <v>3067</v>
      </c>
      <c r="FJ3070" s="17" t="e">
        <f t="shared" si="312"/>
        <v>#VALUE!</v>
      </c>
      <c r="FK3070" s="17" t="str">
        <f t="shared" si="311"/>
        <v/>
      </c>
      <c r="FL3070" s="18" t="str">
        <f t="shared" si="313"/>
        <v/>
      </c>
    </row>
    <row r="3071" spans="165:168">
      <c r="FI3071" s="16">
        <v>3068</v>
      </c>
      <c r="FJ3071" s="17" t="e">
        <f t="shared" si="312"/>
        <v>#VALUE!</v>
      </c>
      <c r="FK3071" s="17" t="str">
        <f t="shared" si="311"/>
        <v/>
      </c>
      <c r="FL3071" s="18" t="str">
        <f t="shared" si="313"/>
        <v/>
      </c>
    </row>
    <row r="3072" spans="165:168">
      <c r="FI3072" s="16">
        <v>3069</v>
      </c>
      <c r="FJ3072" s="17" t="e">
        <f t="shared" si="312"/>
        <v>#VALUE!</v>
      </c>
      <c r="FK3072" s="17" t="str">
        <f t="shared" si="311"/>
        <v/>
      </c>
      <c r="FL3072" s="18" t="str">
        <f t="shared" si="313"/>
        <v/>
      </c>
    </row>
    <row r="3073" spans="165:168">
      <c r="FI3073" s="16">
        <v>3070</v>
      </c>
      <c r="FJ3073" s="17" t="e">
        <f t="shared" si="312"/>
        <v>#VALUE!</v>
      </c>
      <c r="FK3073" s="17" t="str">
        <f t="shared" si="311"/>
        <v/>
      </c>
      <c r="FL3073" s="18" t="str">
        <f t="shared" si="313"/>
        <v/>
      </c>
    </row>
    <row r="3074" spans="165:168">
      <c r="FI3074" s="16">
        <v>3071</v>
      </c>
      <c r="FJ3074" s="17" t="e">
        <f t="shared" si="312"/>
        <v>#VALUE!</v>
      </c>
      <c r="FK3074" s="17" t="str">
        <f t="shared" si="311"/>
        <v/>
      </c>
      <c r="FL3074" s="18" t="str">
        <f t="shared" si="313"/>
        <v/>
      </c>
    </row>
    <row r="3075" spans="165:168">
      <c r="FI3075" s="16">
        <v>3072</v>
      </c>
      <c r="FJ3075" s="17" t="e">
        <f t="shared" si="312"/>
        <v>#VALUE!</v>
      </c>
      <c r="FK3075" s="17" t="str">
        <f t="shared" si="311"/>
        <v/>
      </c>
      <c r="FL3075" s="18" t="str">
        <f t="shared" si="313"/>
        <v/>
      </c>
    </row>
    <row r="3076" spans="165:168">
      <c r="FI3076" s="16">
        <v>3073</v>
      </c>
      <c r="FJ3076" s="17" t="e">
        <f t="shared" si="312"/>
        <v>#VALUE!</v>
      </c>
      <c r="FK3076" s="17" t="str">
        <f t="shared" si="311"/>
        <v/>
      </c>
      <c r="FL3076" s="18" t="str">
        <f t="shared" si="313"/>
        <v/>
      </c>
    </row>
    <row r="3077" spans="165:168">
      <c r="FI3077" s="16">
        <v>3074</v>
      </c>
      <c r="FJ3077" s="17" t="e">
        <f t="shared" si="312"/>
        <v>#VALUE!</v>
      </c>
      <c r="FK3077" s="17" t="str">
        <f t="shared" ref="FK3077:FK3140" si="314">IF(FI3077&lt;=$FH$2,FF3077,IF(FI3077&lt;=$FH$2+$FH$3,INDEX($FJ$4:$FJ$2494,FI3077-$FH$2),""))</f>
        <v/>
      </c>
      <c r="FL3077" s="18" t="str">
        <f t="shared" si="313"/>
        <v/>
      </c>
    </row>
    <row r="3078" spans="165:168">
      <c r="FI3078" s="16">
        <v>3075</v>
      </c>
      <c r="FJ3078" s="17" t="e">
        <f t="shared" si="312"/>
        <v>#VALUE!</v>
      </c>
      <c r="FK3078" s="17" t="str">
        <f t="shared" si="314"/>
        <v/>
      </c>
      <c r="FL3078" s="18" t="str">
        <f t="shared" si="313"/>
        <v/>
      </c>
    </row>
    <row r="3079" spans="165:168">
      <c r="FI3079" s="16">
        <v>3076</v>
      </c>
      <c r="FJ3079" s="17" t="e">
        <f t="shared" si="312"/>
        <v>#VALUE!</v>
      </c>
      <c r="FK3079" s="17" t="str">
        <f t="shared" si="314"/>
        <v/>
      </c>
      <c r="FL3079" s="18" t="str">
        <f t="shared" si="313"/>
        <v/>
      </c>
    </row>
    <row r="3080" spans="165:168">
      <c r="FI3080" s="16">
        <v>3077</v>
      </c>
      <c r="FJ3080" s="17" t="e">
        <f t="shared" si="312"/>
        <v>#VALUE!</v>
      </c>
      <c r="FK3080" s="17" t="str">
        <f t="shared" si="314"/>
        <v/>
      </c>
      <c r="FL3080" s="18" t="str">
        <f t="shared" si="313"/>
        <v/>
      </c>
    </row>
    <row r="3081" spans="165:168">
      <c r="FI3081" s="16">
        <v>3078</v>
      </c>
      <c r="FJ3081" s="17" t="e">
        <f t="shared" si="312"/>
        <v>#VALUE!</v>
      </c>
      <c r="FK3081" s="17" t="str">
        <f t="shared" si="314"/>
        <v/>
      </c>
      <c r="FL3081" s="18" t="str">
        <f t="shared" si="313"/>
        <v/>
      </c>
    </row>
    <row r="3082" spans="165:168">
      <c r="FI3082" s="16">
        <v>3079</v>
      </c>
      <c r="FJ3082" s="17" t="e">
        <f t="shared" si="312"/>
        <v>#VALUE!</v>
      </c>
      <c r="FK3082" s="17" t="str">
        <f t="shared" si="314"/>
        <v/>
      </c>
      <c r="FL3082" s="18" t="str">
        <f t="shared" si="313"/>
        <v/>
      </c>
    </row>
    <row r="3083" spans="165:168">
      <c r="FI3083" s="16">
        <v>3080</v>
      </c>
      <c r="FJ3083" s="17" t="e">
        <f t="shared" si="312"/>
        <v>#VALUE!</v>
      </c>
      <c r="FK3083" s="17" t="str">
        <f t="shared" si="314"/>
        <v/>
      </c>
      <c r="FL3083" s="18" t="str">
        <f t="shared" si="313"/>
        <v/>
      </c>
    </row>
    <row r="3084" spans="165:168">
      <c r="FI3084" s="16">
        <v>3081</v>
      </c>
      <c r="FJ3084" s="17" t="e">
        <f t="shared" si="312"/>
        <v>#VALUE!</v>
      </c>
      <c r="FK3084" s="17" t="str">
        <f t="shared" si="314"/>
        <v/>
      </c>
      <c r="FL3084" s="18" t="str">
        <f t="shared" si="313"/>
        <v/>
      </c>
    </row>
    <row r="3085" spans="165:168">
      <c r="FI3085" s="16">
        <v>3082</v>
      </c>
      <c r="FJ3085" s="17" t="e">
        <f t="shared" si="312"/>
        <v>#VALUE!</v>
      </c>
      <c r="FK3085" s="17" t="str">
        <f t="shared" si="314"/>
        <v/>
      </c>
      <c r="FL3085" s="18" t="str">
        <f t="shared" si="313"/>
        <v/>
      </c>
    </row>
    <row r="3086" spans="165:168">
      <c r="FI3086" s="16">
        <v>3083</v>
      </c>
      <c r="FJ3086" s="17" t="e">
        <f t="shared" si="312"/>
        <v>#VALUE!</v>
      </c>
      <c r="FK3086" s="17" t="str">
        <f t="shared" si="314"/>
        <v/>
      </c>
      <c r="FL3086" s="18" t="str">
        <f t="shared" si="313"/>
        <v/>
      </c>
    </row>
    <row r="3087" spans="165:168">
      <c r="FI3087" s="16">
        <v>3084</v>
      </c>
      <c r="FJ3087" s="17" t="e">
        <f t="shared" si="312"/>
        <v>#VALUE!</v>
      </c>
      <c r="FK3087" s="17" t="str">
        <f t="shared" si="314"/>
        <v/>
      </c>
      <c r="FL3087" s="18" t="str">
        <f t="shared" si="313"/>
        <v/>
      </c>
    </row>
    <row r="3088" spans="165:168">
      <c r="FI3088" s="16">
        <v>3085</v>
      </c>
      <c r="FJ3088" s="17" t="e">
        <f t="shared" si="312"/>
        <v>#VALUE!</v>
      </c>
      <c r="FK3088" s="17" t="str">
        <f t="shared" si="314"/>
        <v/>
      </c>
      <c r="FL3088" s="18" t="str">
        <f t="shared" si="313"/>
        <v/>
      </c>
    </row>
    <row r="3089" spans="165:168">
      <c r="FI3089" s="16">
        <v>3086</v>
      </c>
      <c r="FJ3089" s="17" t="e">
        <f t="shared" si="312"/>
        <v>#VALUE!</v>
      </c>
      <c r="FK3089" s="17" t="str">
        <f t="shared" si="314"/>
        <v/>
      </c>
      <c r="FL3089" s="18" t="str">
        <f t="shared" si="313"/>
        <v/>
      </c>
    </row>
    <row r="3090" spans="165:168">
      <c r="FI3090" s="16">
        <v>3087</v>
      </c>
      <c r="FJ3090" s="17" t="e">
        <f t="shared" si="312"/>
        <v>#VALUE!</v>
      </c>
      <c r="FK3090" s="17" t="str">
        <f t="shared" si="314"/>
        <v/>
      </c>
      <c r="FL3090" s="18" t="str">
        <f t="shared" si="313"/>
        <v/>
      </c>
    </row>
    <row r="3091" spans="165:168">
      <c r="FI3091" s="16">
        <v>3088</v>
      </c>
      <c r="FJ3091" s="17" t="e">
        <f t="shared" si="312"/>
        <v>#VALUE!</v>
      </c>
      <c r="FK3091" s="17" t="str">
        <f t="shared" si="314"/>
        <v/>
      </c>
      <c r="FL3091" s="18" t="str">
        <f t="shared" si="313"/>
        <v/>
      </c>
    </row>
    <row r="3092" spans="165:168">
      <c r="FI3092" s="16">
        <v>3089</v>
      </c>
      <c r="FJ3092" s="17" t="e">
        <f t="shared" si="312"/>
        <v>#VALUE!</v>
      </c>
      <c r="FK3092" s="17" t="str">
        <f t="shared" si="314"/>
        <v/>
      </c>
      <c r="FL3092" s="18" t="str">
        <f t="shared" si="313"/>
        <v/>
      </c>
    </row>
    <row r="3093" spans="165:168">
      <c r="FI3093" s="16">
        <v>3090</v>
      </c>
      <c r="FJ3093" s="17" t="e">
        <f t="shared" si="312"/>
        <v>#VALUE!</v>
      </c>
      <c r="FK3093" s="17" t="str">
        <f t="shared" si="314"/>
        <v/>
      </c>
      <c r="FL3093" s="18" t="str">
        <f t="shared" si="313"/>
        <v/>
      </c>
    </row>
    <row r="3094" spans="165:168">
      <c r="FI3094" s="16">
        <v>3091</v>
      </c>
      <c r="FJ3094" s="17" t="e">
        <f t="shared" ref="FJ3094:FJ3157" si="315">IF(FE3094&lt;=$FH$1,INDEX($DW$4:$EZ$84,FD3094,FE3094),"")</f>
        <v>#VALUE!</v>
      </c>
      <c r="FK3094" s="17" t="str">
        <f t="shared" si="314"/>
        <v/>
      </c>
      <c r="FL3094" s="18" t="str">
        <f t="shared" ref="FL3094:FL3157" si="316">IFERROR(TEXT(DEC2BIN(FK3094),"00000000"),"")</f>
        <v/>
      </c>
    </row>
    <row r="3095" spans="165:168">
      <c r="FI3095" s="16">
        <v>3092</v>
      </c>
      <c r="FJ3095" s="17" t="e">
        <f t="shared" si="315"/>
        <v>#VALUE!</v>
      </c>
      <c r="FK3095" s="17" t="str">
        <f t="shared" si="314"/>
        <v/>
      </c>
      <c r="FL3095" s="18" t="str">
        <f t="shared" si="316"/>
        <v/>
      </c>
    </row>
    <row r="3096" spans="165:168">
      <c r="FI3096" s="16">
        <v>3093</v>
      </c>
      <c r="FJ3096" s="17" t="e">
        <f t="shared" si="315"/>
        <v>#VALUE!</v>
      </c>
      <c r="FK3096" s="17" t="str">
        <f t="shared" si="314"/>
        <v/>
      </c>
      <c r="FL3096" s="18" t="str">
        <f t="shared" si="316"/>
        <v/>
      </c>
    </row>
    <row r="3097" spans="165:168">
      <c r="FI3097" s="16">
        <v>3094</v>
      </c>
      <c r="FJ3097" s="17" t="e">
        <f t="shared" si="315"/>
        <v>#VALUE!</v>
      </c>
      <c r="FK3097" s="17" t="str">
        <f t="shared" si="314"/>
        <v/>
      </c>
      <c r="FL3097" s="18" t="str">
        <f t="shared" si="316"/>
        <v/>
      </c>
    </row>
    <row r="3098" spans="165:168">
      <c r="FI3098" s="16">
        <v>3095</v>
      </c>
      <c r="FJ3098" s="17" t="e">
        <f t="shared" si="315"/>
        <v>#VALUE!</v>
      </c>
      <c r="FK3098" s="17" t="str">
        <f t="shared" si="314"/>
        <v/>
      </c>
      <c r="FL3098" s="18" t="str">
        <f t="shared" si="316"/>
        <v/>
      </c>
    </row>
    <row r="3099" spans="165:168">
      <c r="FI3099" s="16">
        <v>3096</v>
      </c>
      <c r="FJ3099" s="17" t="e">
        <f t="shared" si="315"/>
        <v>#VALUE!</v>
      </c>
      <c r="FK3099" s="17" t="str">
        <f t="shared" si="314"/>
        <v/>
      </c>
      <c r="FL3099" s="18" t="str">
        <f t="shared" si="316"/>
        <v/>
      </c>
    </row>
    <row r="3100" spans="165:168">
      <c r="FI3100" s="16">
        <v>3097</v>
      </c>
      <c r="FJ3100" s="17" t="e">
        <f t="shared" si="315"/>
        <v>#VALUE!</v>
      </c>
      <c r="FK3100" s="17" t="str">
        <f t="shared" si="314"/>
        <v/>
      </c>
      <c r="FL3100" s="18" t="str">
        <f t="shared" si="316"/>
        <v/>
      </c>
    </row>
    <row r="3101" spans="165:168">
      <c r="FI3101" s="16">
        <v>3098</v>
      </c>
      <c r="FJ3101" s="17" t="e">
        <f t="shared" si="315"/>
        <v>#VALUE!</v>
      </c>
      <c r="FK3101" s="17" t="str">
        <f t="shared" si="314"/>
        <v/>
      </c>
      <c r="FL3101" s="18" t="str">
        <f t="shared" si="316"/>
        <v/>
      </c>
    </row>
    <row r="3102" spans="165:168">
      <c r="FI3102" s="16">
        <v>3099</v>
      </c>
      <c r="FJ3102" s="17" t="e">
        <f t="shared" si="315"/>
        <v>#VALUE!</v>
      </c>
      <c r="FK3102" s="17" t="str">
        <f t="shared" si="314"/>
        <v/>
      </c>
      <c r="FL3102" s="18" t="str">
        <f t="shared" si="316"/>
        <v/>
      </c>
    </row>
    <row r="3103" spans="165:168">
      <c r="FI3103" s="16">
        <v>3100</v>
      </c>
      <c r="FJ3103" s="17" t="e">
        <f t="shared" si="315"/>
        <v>#VALUE!</v>
      </c>
      <c r="FK3103" s="17" t="str">
        <f t="shared" si="314"/>
        <v/>
      </c>
      <c r="FL3103" s="18" t="str">
        <f t="shared" si="316"/>
        <v/>
      </c>
    </row>
    <row r="3104" spans="165:168">
      <c r="FI3104" s="16">
        <v>3101</v>
      </c>
      <c r="FJ3104" s="17" t="e">
        <f t="shared" si="315"/>
        <v>#VALUE!</v>
      </c>
      <c r="FK3104" s="17" t="str">
        <f t="shared" si="314"/>
        <v/>
      </c>
      <c r="FL3104" s="18" t="str">
        <f t="shared" si="316"/>
        <v/>
      </c>
    </row>
    <row r="3105" spans="165:168">
      <c r="FI3105" s="16">
        <v>3102</v>
      </c>
      <c r="FJ3105" s="17" t="e">
        <f t="shared" si="315"/>
        <v>#VALUE!</v>
      </c>
      <c r="FK3105" s="17" t="str">
        <f t="shared" si="314"/>
        <v/>
      </c>
      <c r="FL3105" s="18" t="str">
        <f t="shared" si="316"/>
        <v/>
      </c>
    </row>
    <row r="3106" spans="165:168">
      <c r="FI3106" s="16">
        <v>3103</v>
      </c>
      <c r="FJ3106" s="17" t="e">
        <f t="shared" si="315"/>
        <v>#VALUE!</v>
      </c>
      <c r="FK3106" s="17" t="str">
        <f t="shared" si="314"/>
        <v/>
      </c>
      <c r="FL3106" s="18" t="str">
        <f t="shared" si="316"/>
        <v/>
      </c>
    </row>
    <row r="3107" spans="165:168">
      <c r="FI3107" s="16">
        <v>3104</v>
      </c>
      <c r="FJ3107" s="17" t="e">
        <f t="shared" si="315"/>
        <v>#VALUE!</v>
      </c>
      <c r="FK3107" s="17" t="str">
        <f t="shared" si="314"/>
        <v/>
      </c>
      <c r="FL3107" s="18" t="str">
        <f t="shared" si="316"/>
        <v/>
      </c>
    </row>
    <row r="3108" spans="165:168">
      <c r="FI3108" s="16">
        <v>3105</v>
      </c>
      <c r="FJ3108" s="17" t="e">
        <f t="shared" si="315"/>
        <v>#VALUE!</v>
      </c>
      <c r="FK3108" s="17" t="str">
        <f t="shared" si="314"/>
        <v/>
      </c>
      <c r="FL3108" s="18" t="str">
        <f t="shared" si="316"/>
        <v/>
      </c>
    </row>
    <row r="3109" spans="165:168">
      <c r="FI3109" s="16">
        <v>3106</v>
      </c>
      <c r="FJ3109" s="17" t="e">
        <f t="shared" si="315"/>
        <v>#VALUE!</v>
      </c>
      <c r="FK3109" s="17" t="str">
        <f t="shared" si="314"/>
        <v/>
      </c>
      <c r="FL3109" s="18" t="str">
        <f t="shared" si="316"/>
        <v/>
      </c>
    </row>
    <row r="3110" spans="165:168">
      <c r="FI3110" s="16">
        <v>3107</v>
      </c>
      <c r="FJ3110" s="17" t="e">
        <f t="shared" si="315"/>
        <v>#VALUE!</v>
      </c>
      <c r="FK3110" s="17" t="str">
        <f t="shared" si="314"/>
        <v/>
      </c>
      <c r="FL3110" s="18" t="str">
        <f t="shared" si="316"/>
        <v/>
      </c>
    </row>
    <row r="3111" spans="165:168">
      <c r="FI3111" s="16">
        <v>3108</v>
      </c>
      <c r="FJ3111" s="17" t="e">
        <f t="shared" si="315"/>
        <v>#VALUE!</v>
      </c>
      <c r="FK3111" s="17" t="str">
        <f t="shared" si="314"/>
        <v/>
      </c>
      <c r="FL3111" s="18" t="str">
        <f t="shared" si="316"/>
        <v/>
      </c>
    </row>
    <row r="3112" spans="165:168">
      <c r="FI3112" s="16">
        <v>3109</v>
      </c>
      <c r="FJ3112" s="17" t="e">
        <f t="shared" si="315"/>
        <v>#VALUE!</v>
      </c>
      <c r="FK3112" s="17" t="str">
        <f t="shared" si="314"/>
        <v/>
      </c>
      <c r="FL3112" s="18" t="str">
        <f t="shared" si="316"/>
        <v/>
      </c>
    </row>
    <row r="3113" spans="165:168">
      <c r="FI3113" s="16">
        <v>3110</v>
      </c>
      <c r="FJ3113" s="17" t="e">
        <f t="shared" si="315"/>
        <v>#VALUE!</v>
      </c>
      <c r="FK3113" s="17" t="str">
        <f t="shared" si="314"/>
        <v/>
      </c>
      <c r="FL3113" s="18" t="str">
        <f t="shared" si="316"/>
        <v/>
      </c>
    </row>
    <row r="3114" spans="165:168">
      <c r="FI3114" s="16">
        <v>3111</v>
      </c>
      <c r="FJ3114" s="17" t="e">
        <f t="shared" si="315"/>
        <v>#VALUE!</v>
      </c>
      <c r="FK3114" s="17" t="str">
        <f t="shared" si="314"/>
        <v/>
      </c>
      <c r="FL3114" s="18" t="str">
        <f t="shared" si="316"/>
        <v/>
      </c>
    </row>
    <row r="3115" spans="165:168">
      <c r="FI3115" s="16">
        <v>3112</v>
      </c>
      <c r="FJ3115" s="17" t="e">
        <f t="shared" si="315"/>
        <v>#VALUE!</v>
      </c>
      <c r="FK3115" s="17" t="str">
        <f t="shared" si="314"/>
        <v/>
      </c>
      <c r="FL3115" s="18" t="str">
        <f t="shared" si="316"/>
        <v/>
      </c>
    </row>
    <row r="3116" spans="165:168">
      <c r="FI3116" s="16">
        <v>3113</v>
      </c>
      <c r="FJ3116" s="17" t="e">
        <f t="shared" si="315"/>
        <v>#VALUE!</v>
      </c>
      <c r="FK3116" s="17" t="str">
        <f t="shared" si="314"/>
        <v/>
      </c>
      <c r="FL3116" s="18" t="str">
        <f t="shared" si="316"/>
        <v/>
      </c>
    </row>
    <row r="3117" spans="165:168">
      <c r="FI3117" s="16">
        <v>3114</v>
      </c>
      <c r="FJ3117" s="17" t="e">
        <f t="shared" si="315"/>
        <v>#VALUE!</v>
      </c>
      <c r="FK3117" s="17" t="str">
        <f t="shared" si="314"/>
        <v/>
      </c>
      <c r="FL3117" s="18" t="str">
        <f t="shared" si="316"/>
        <v/>
      </c>
    </row>
    <row r="3118" spans="165:168">
      <c r="FI3118" s="16">
        <v>3115</v>
      </c>
      <c r="FJ3118" s="17" t="e">
        <f t="shared" si="315"/>
        <v>#VALUE!</v>
      </c>
      <c r="FK3118" s="17" t="str">
        <f t="shared" si="314"/>
        <v/>
      </c>
      <c r="FL3118" s="18" t="str">
        <f t="shared" si="316"/>
        <v/>
      </c>
    </row>
    <row r="3119" spans="165:168">
      <c r="FI3119" s="16">
        <v>3116</v>
      </c>
      <c r="FJ3119" s="17" t="e">
        <f t="shared" si="315"/>
        <v>#VALUE!</v>
      </c>
      <c r="FK3119" s="17" t="str">
        <f t="shared" si="314"/>
        <v/>
      </c>
      <c r="FL3119" s="18" t="str">
        <f t="shared" si="316"/>
        <v/>
      </c>
    </row>
    <row r="3120" spans="165:168">
      <c r="FI3120" s="16">
        <v>3117</v>
      </c>
      <c r="FJ3120" s="17" t="e">
        <f t="shared" si="315"/>
        <v>#VALUE!</v>
      </c>
      <c r="FK3120" s="17" t="str">
        <f t="shared" si="314"/>
        <v/>
      </c>
      <c r="FL3120" s="18" t="str">
        <f t="shared" si="316"/>
        <v/>
      </c>
    </row>
    <row r="3121" spans="165:168">
      <c r="FI3121" s="16">
        <v>3118</v>
      </c>
      <c r="FJ3121" s="17" t="e">
        <f t="shared" si="315"/>
        <v>#VALUE!</v>
      </c>
      <c r="FK3121" s="17" t="str">
        <f t="shared" si="314"/>
        <v/>
      </c>
      <c r="FL3121" s="18" t="str">
        <f t="shared" si="316"/>
        <v/>
      </c>
    </row>
    <row r="3122" spans="165:168">
      <c r="FI3122" s="16">
        <v>3119</v>
      </c>
      <c r="FJ3122" s="17" t="e">
        <f t="shared" si="315"/>
        <v>#VALUE!</v>
      </c>
      <c r="FK3122" s="17" t="str">
        <f t="shared" si="314"/>
        <v/>
      </c>
      <c r="FL3122" s="18" t="str">
        <f t="shared" si="316"/>
        <v/>
      </c>
    </row>
    <row r="3123" spans="165:168">
      <c r="FI3123" s="16">
        <v>3120</v>
      </c>
      <c r="FJ3123" s="17" t="e">
        <f t="shared" si="315"/>
        <v>#VALUE!</v>
      </c>
      <c r="FK3123" s="17" t="str">
        <f t="shared" si="314"/>
        <v/>
      </c>
      <c r="FL3123" s="18" t="str">
        <f t="shared" si="316"/>
        <v/>
      </c>
    </row>
    <row r="3124" spans="165:168">
      <c r="FI3124" s="16">
        <v>3121</v>
      </c>
      <c r="FJ3124" s="17" t="e">
        <f t="shared" si="315"/>
        <v>#VALUE!</v>
      </c>
      <c r="FK3124" s="17" t="str">
        <f t="shared" si="314"/>
        <v/>
      </c>
      <c r="FL3124" s="18" t="str">
        <f t="shared" si="316"/>
        <v/>
      </c>
    </row>
    <row r="3125" spans="165:168">
      <c r="FI3125" s="16">
        <v>3122</v>
      </c>
      <c r="FJ3125" s="17" t="e">
        <f t="shared" si="315"/>
        <v>#VALUE!</v>
      </c>
      <c r="FK3125" s="17" t="str">
        <f t="shared" si="314"/>
        <v/>
      </c>
      <c r="FL3125" s="18" t="str">
        <f t="shared" si="316"/>
        <v/>
      </c>
    </row>
    <row r="3126" spans="165:168">
      <c r="FI3126" s="16">
        <v>3123</v>
      </c>
      <c r="FJ3126" s="17" t="e">
        <f t="shared" si="315"/>
        <v>#VALUE!</v>
      </c>
      <c r="FK3126" s="17" t="str">
        <f t="shared" si="314"/>
        <v/>
      </c>
      <c r="FL3126" s="18" t="str">
        <f t="shared" si="316"/>
        <v/>
      </c>
    </row>
    <row r="3127" spans="165:168">
      <c r="FI3127" s="16">
        <v>3124</v>
      </c>
      <c r="FJ3127" s="17" t="e">
        <f t="shared" si="315"/>
        <v>#VALUE!</v>
      </c>
      <c r="FK3127" s="17" t="str">
        <f t="shared" si="314"/>
        <v/>
      </c>
      <c r="FL3127" s="18" t="str">
        <f t="shared" si="316"/>
        <v/>
      </c>
    </row>
    <row r="3128" spans="165:168">
      <c r="FI3128" s="16">
        <v>3125</v>
      </c>
      <c r="FJ3128" s="17" t="e">
        <f t="shared" si="315"/>
        <v>#VALUE!</v>
      </c>
      <c r="FK3128" s="17" t="str">
        <f t="shared" si="314"/>
        <v/>
      </c>
      <c r="FL3128" s="18" t="str">
        <f t="shared" si="316"/>
        <v/>
      </c>
    </row>
    <row r="3129" spans="165:168">
      <c r="FI3129" s="16">
        <v>3126</v>
      </c>
      <c r="FJ3129" s="17" t="e">
        <f t="shared" si="315"/>
        <v>#VALUE!</v>
      </c>
      <c r="FK3129" s="17" t="str">
        <f t="shared" si="314"/>
        <v/>
      </c>
      <c r="FL3129" s="18" t="str">
        <f t="shared" si="316"/>
        <v/>
      </c>
    </row>
    <row r="3130" spans="165:168">
      <c r="FI3130" s="16">
        <v>3127</v>
      </c>
      <c r="FJ3130" s="17" t="e">
        <f t="shared" si="315"/>
        <v>#VALUE!</v>
      </c>
      <c r="FK3130" s="17" t="str">
        <f t="shared" si="314"/>
        <v/>
      </c>
      <c r="FL3130" s="18" t="str">
        <f t="shared" si="316"/>
        <v/>
      </c>
    </row>
    <row r="3131" spans="165:168">
      <c r="FI3131" s="16">
        <v>3128</v>
      </c>
      <c r="FJ3131" s="17" t="e">
        <f t="shared" si="315"/>
        <v>#VALUE!</v>
      </c>
      <c r="FK3131" s="17" t="str">
        <f t="shared" si="314"/>
        <v/>
      </c>
      <c r="FL3131" s="18" t="str">
        <f t="shared" si="316"/>
        <v/>
      </c>
    </row>
    <row r="3132" spans="165:168">
      <c r="FI3132" s="16">
        <v>3129</v>
      </c>
      <c r="FJ3132" s="17" t="e">
        <f t="shared" si="315"/>
        <v>#VALUE!</v>
      </c>
      <c r="FK3132" s="17" t="str">
        <f t="shared" si="314"/>
        <v/>
      </c>
      <c r="FL3132" s="18" t="str">
        <f t="shared" si="316"/>
        <v/>
      </c>
    </row>
    <row r="3133" spans="165:168">
      <c r="FI3133" s="16">
        <v>3130</v>
      </c>
      <c r="FJ3133" s="17" t="e">
        <f t="shared" si="315"/>
        <v>#VALUE!</v>
      </c>
      <c r="FK3133" s="17" t="str">
        <f t="shared" si="314"/>
        <v/>
      </c>
      <c r="FL3133" s="18" t="str">
        <f t="shared" si="316"/>
        <v/>
      </c>
    </row>
    <row r="3134" spans="165:168">
      <c r="FI3134" s="16">
        <v>3131</v>
      </c>
      <c r="FJ3134" s="17" t="e">
        <f t="shared" si="315"/>
        <v>#VALUE!</v>
      </c>
      <c r="FK3134" s="17" t="str">
        <f t="shared" si="314"/>
        <v/>
      </c>
      <c r="FL3134" s="18" t="str">
        <f t="shared" si="316"/>
        <v/>
      </c>
    </row>
    <row r="3135" spans="165:168">
      <c r="FI3135" s="16">
        <v>3132</v>
      </c>
      <c r="FJ3135" s="17" t="e">
        <f t="shared" si="315"/>
        <v>#VALUE!</v>
      </c>
      <c r="FK3135" s="17" t="str">
        <f t="shared" si="314"/>
        <v/>
      </c>
      <c r="FL3135" s="18" t="str">
        <f t="shared" si="316"/>
        <v/>
      </c>
    </row>
    <row r="3136" spans="165:168">
      <c r="FI3136" s="16">
        <v>3133</v>
      </c>
      <c r="FJ3136" s="17" t="e">
        <f t="shared" si="315"/>
        <v>#VALUE!</v>
      </c>
      <c r="FK3136" s="17" t="str">
        <f t="shared" si="314"/>
        <v/>
      </c>
      <c r="FL3136" s="18" t="str">
        <f t="shared" si="316"/>
        <v/>
      </c>
    </row>
    <row r="3137" spans="165:168">
      <c r="FI3137" s="16">
        <v>3134</v>
      </c>
      <c r="FJ3137" s="17" t="e">
        <f t="shared" si="315"/>
        <v>#VALUE!</v>
      </c>
      <c r="FK3137" s="17" t="str">
        <f t="shared" si="314"/>
        <v/>
      </c>
      <c r="FL3137" s="18" t="str">
        <f t="shared" si="316"/>
        <v/>
      </c>
    </row>
    <row r="3138" spans="165:168">
      <c r="FI3138" s="16">
        <v>3135</v>
      </c>
      <c r="FJ3138" s="17" t="e">
        <f t="shared" si="315"/>
        <v>#VALUE!</v>
      </c>
      <c r="FK3138" s="17" t="str">
        <f t="shared" si="314"/>
        <v/>
      </c>
      <c r="FL3138" s="18" t="str">
        <f t="shared" si="316"/>
        <v/>
      </c>
    </row>
    <row r="3139" spans="165:168">
      <c r="FI3139" s="16">
        <v>3136</v>
      </c>
      <c r="FJ3139" s="17" t="e">
        <f t="shared" si="315"/>
        <v>#VALUE!</v>
      </c>
      <c r="FK3139" s="17" t="str">
        <f t="shared" si="314"/>
        <v/>
      </c>
      <c r="FL3139" s="18" t="str">
        <f t="shared" si="316"/>
        <v/>
      </c>
    </row>
    <row r="3140" spans="165:168">
      <c r="FI3140" s="16">
        <v>3137</v>
      </c>
      <c r="FJ3140" s="17" t="e">
        <f t="shared" si="315"/>
        <v>#VALUE!</v>
      </c>
      <c r="FK3140" s="17" t="str">
        <f t="shared" si="314"/>
        <v/>
      </c>
      <c r="FL3140" s="18" t="str">
        <f t="shared" si="316"/>
        <v/>
      </c>
    </row>
    <row r="3141" spans="165:168">
      <c r="FI3141" s="16">
        <v>3138</v>
      </c>
      <c r="FJ3141" s="17" t="e">
        <f t="shared" si="315"/>
        <v>#VALUE!</v>
      </c>
      <c r="FK3141" s="17" t="str">
        <f t="shared" ref="FK3141:FK3204" si="317">IF(FI3141&lt;=$FH$2,FF3141,IF(FI3141&lt;=$FH$2+$FH$3,INDEX($FJ$4:$FJ$2494,FI3141-$FH$2),""))</f>
        <v/>
      </c>
      <c r="FL3141" s="18" t="str">
        <f t="shared" si="316"/>
        <v/>
      </c>
    </row>
    <row r="3142" spans="165:168">
      <c r="FI3142" s="16">
        <v>3139</v>
      </c>
      <c r="FJ3142" s="17" t="e">
        <f t="shared" si="315"/>
        <v>#VALUE!</v>
      </c>
      <c r="FK3142" s="17" t="str">
        <f t="shared" si="317"/>
        <v/>
      </c>
      <c r="FL3142" s="18" t="str">
        <f t="shared" si="316"/>
        <v/>
      </c>
    </row>
    <row r="3143" spans="165:168">
      <c r="FI3143" s="16">
        <v>3140</v>
      </c>
      <c r="FJ3143" s="17" t="e">
        <f t="shared" si="315"/>
        <v>#VALUE!</v>
      </c>
      <c r="FK3143" s="17" t="str">
        <f t="shared" si="317"/>
        <v/>
      </c>
      <c r="FL3143" s="18" t="str">
        <f t="shared" si="316"/>
        <v/>
      </c>
    </row>
    <row r="3144" spans="165:168">
      <c r="FI3144" s="16">
        <v>3141</v>
      </c>
      <c r="FJ3144" s="17" t="e">
        <f t="shared" si="315"/>
        <v>#VALUE!</v>
      </c>
      <c r="FK3144" s="17" t="str">
        <f t="shared" si="317"/>
        <v/>
      </c>
      <c r="FL3144" s="18" t="str">
        <f t="shared" si="316"/>
        <v/>
      </c>
    </row>
    <row r="3145" spans="165:168">
      <c r="FI3145" s="16">
        <v>3142</v>
      </c>
      <c r="FJ3145" s="17" t="e">
        <f t="shared" si="315"/>
        <v>#VALUE!</v>
      </c>
      <c r="FK3145" s="17" t="str">
        <f t="shared" si="317"/>
        <v/>
      </c>
      <c r="FL3145" s="18" t="str">
        <f t="shared" si="316"/>
        <v/>
      </c>
    </row>
    <row r="3146" spans="165:168">
      <c r="FI3146" s="16">
        <v>3143</v>
      </c>
      <c r="FJ3146" s="17" t="e">
        <f t="shared" si="315"/>
        <v>#VALUE!</v>
      </c>
      <c r="FK3146" s="17" t="str">
        <f t="shared" si="317"/>
        <v/>
      </c>
      <c r="FL3146" s="18" t="str">
        <f t="shared" si="316"/>
        <v/>
      </c>
    </row>
    <row r="3147" spans="165:168">
      <c r="FI3147" s="16">
        <v>3144</v>
      </c>
      <c r="FJ3147" s="17" t="e">
        <f t="shared" si="315"/>
        <v>#VALUE!</v>
      </c>
      <c r="FK3147" s="17" t="str">
        <f t="shared" si="317"/>
        <v/>
      </c>
      <c r="FL3147" s="18" t="str">
        <f t="shared" si="316"/>
        <v/>
      </c>
    </row>
    <row r="3148" spans="165:168">
      <c r="FI3148" s="16">
        <v>3145</v>
      </c>
      <c r="FJ3148" s="17" t="e">
        <f t="shared" si="315"/>
        <v>#VALUE!</v>
      </c>
      <c r="FK3148" s="17" t="str">
        <f t="shared" si="317"/>
        <v/>
      </c>
      <c r="FL3148" s="18" t="str">
        <f t="shared" si="316"/>
        <v/>
      </c>
    </row>
    <row r="3149" spans="165:168">
      <c r="FI3149" s="16">
        <v>3146</v>
      </c>
      <c r="FJ3149" s="17" t="e">
        <f t="shared" si="315"/>
        <v>#VALUE!</v>
      </c>
      <c r="FK3149" s="17" t="str">
        <f t="shared" si="317"/>
        <v/>
      </c>
      <c r="FL3149" s="18" t="str">
        <f t="shared" si="316"/>
        <v/>
      </c>
    </row>
    <row r="3150" spans="165:168">
      <c r="FI3150" s="16">
        <v>3147</v>
      </c>
      <c r="FJ3150" s="17" t="e">
        <f t="shared" si="315"/>
        <v>#VALUE!</v>
      </c>
      <c r="FK3150" s="17" t="str">
        <f t="shared" si="317"/>
        <v/>
      </c>
      <c r="FL3150" s="18" t="str">
        <f t="shared" si="316"/>
        <v/>
      </c>
    </row>
    <row r="3151" spans="165:168">
      <c r="FI3151" s="16">
        <v>3148</v>
      </c>
      <c r="FJ3151" s="17" t="e">
        <f t="shared" si="315"/>
        <v>#VALUE!</v>
      </c>
      <c r="FK3151" s="17" t="str">
        <f t="shared" si="317"/>
        <v/>
      </c>
      <c r="FL3151" s="18" t="str">
        <f t="shared" si="316"/>
        <v/>
      </c>
    </row>
    <row r="3152" spans="165:168">
      <c r="FI3152" s="16">
        <v>3149</v>
      </c>
      <c r="FJ3152" s="17" t="e">
        <f t="shared" si="315"/>
        <v>#VALUE!</v>
      </c>
      <c r="FK3152" s="17" t="str">
        <f t="shared" si="317"/>
        <v/>
      </c>
      <c r="FL3152" s="18" t="str">
        <f t="shared" si="316"/>
        <v/>
      </c>
    </row>
    <row r="3153" spans="165:168">
      <c r="FI3153" s="16">
        <v>3150</v>
      </c>
      <c r="FJ3153" s="17" t="e">
        <f t="shared" si="315"/>
        <v>#VALUE!</v>
      </c>
      <c r="FK3153" s="17" t="str">
        <f t="shared" si="317"/>
        <v/>
      </c>
      <c r="FL3153" s="18" t="str">
        <f t="shared" si="316"/>
        <v/>
      </c>
    </row>
    <row r="3154" spans="165:168">
      <c r="FI3154" s="16">
        <v>3151</v>
      </c>
      <c r="FJ3154" s="17" t="e">
        <f t="shared" si="315"/>
        <v>#VALUE!</v>
      </c>
      <c r="FK3154" s="17" t="str">
        <f t="shared" si="317"/>
        <v/>
      </c>
      <c r="FL3154" s="18" t="str">
        <f t="shared" si="316"/>
        <v/>
      </c>
    </row>
    <row r="3155" spans="165:168">
      <c r="FI3155" s="16">
        <v>3152</v>
      </c>
      <c r="FJ3155" s="17" t="e">
        <f t="shared" si="315"/>
        <v>#VALUE!</v>
      </c>
      <c r="FK3155" s="17" t="str">
        <f t="shared" si="317"/>
        <v/>
      </c>
      <c r="FL3155" s="18" t="str">
        <f t="shared" si="316"/>
        <v/>
      </c>
    </row>
    <row r="3156" spans="165:168">
      <c r="FI3156" s="16">
        <v>3153</v>
      </c>
      <c r="FJ3156" s="17" t="e">
        <f t="shared" si="315"/>
        <v>#VALUE!</v>
      </c>
      <c r="FK3156" s="17" t="str">
        <f t="shared" si="317"/>
        <v/>
      </c>
      <c r="FL3156" s="18" t="str">
        <f t="shared" si="316"/>
        <v/>
      </c>
    </row>
    <row r="3157" spans="165:168">
      <c r="FI3157" s="16">
        <v>3154</v>
      </c>
      <c r="FJ3157" s="17" t="e">
        <f t="shared" si="315"/>
        <v>#VALUE!</v>
      </c>
      <c r="FK3157" s="17" t="str">
        <f t="shared" si="317"/>
        <v/>
      </c>
      <c r="FL3157" s="18" t="str">
        <f t="shared" si="316"/>
        <v/>
      </c>
    </row>
    <row r="3158" spans="165:168">
      <c r="FI3158" s="16">
        <v>3155</v>
      </c>
      <c r="FJ3158" s="17" t="e">
        <f t="shared" ref="FJ3158:FJ3221" si="318">IF(FE3158&lt;=$FH$1,INDEX($DW$4:$EZ$84,FD3158,FE3158),"")</f>
        <v>#VALUE!</v>
      </c>
      <c r="FK3158" s="17" t="str">
        <f t="shared" si="317"/>
        <v/>
      </c>
      <c r="FL3158" s="18" t="str">
        <f t="shared" ref="FL3158:FL3221" si="319">IFERROR(TEXT(DEC2BIN(FK3158),"00000000"),"")</f>
        <v/>
      </c>
    </row>
    <row r="3159" spans="165:168">
      <c r="FI3159" s="16">
        <v>3156</v>
      </c>
      <c r="FJ3159" s="17" t="e">
        <f t="shared" si="318"/>
        <v>#VALUE!</v>
      </c>
      <c r="FK3159" s="17" t="str">
        <f t="shared" si="317"/>
        <v/>
      </c>
      <c r="FL3159" s="18" t="str">
        <f t="shared" si="319"/>
        <v/>
      </c>
    </row>
    <row r="3160" spans="165:168">
      <c r="FI3160" s="16">
        <v>3157</v>
      </c>
      <c r="FJ3160" s="17" t="e">
        <f t="shared" si="318"/>
        <v>#VALUE!</v>
      </c>
      <c r="FK3160" s="17" t="str">
        <f t="shared" si="317"/>
        <v/>
      </c>
      <c r="FL3160" s="18" t="str">
        <f t="shared" si="319"/>
        <v/>
      </c>
    </row>
    <row r="3161" spans="165:168">
      <c r="FI3161" s="16">
        <v>3158</v>
      </c>
      <c r="FJ3161" s="17" t="e">
        <f t="shared" si="318"/>
        <v>#VALUE!</v>
      </c>
      <c r="FK3161" s="17" t="str">
        <f t="shared" si="317"/>
        <v/>
      </c>
      <c r="FL3161" s="18" t="str">
        <f t="shared" si="319"/>
        <v/>
      </c>
    </row>
    <row r="3162" spans="165:168">
      <c r="FI3162" s="16">
        <v>3159</v>
      </c>
      <c r="FJ3162" s="17" t="e">
        <f t="shared" si="318"/>
        <v>#VALUE!</v>
      </c>
      <c r="FK3162" s="17" t="str">
        <f t="shared" si="317"/>
        <v/>
      </c>
      <c r="FL3162" s="18" t="str">
        <f t="shared" si="319"/>
        <v/>
      </c>
    </row>
    <row r="3163" spans="165:168">
      <c r="FI3163" s="16">
        <v>3160</v>
      </c>
      <c r="FJ3163" s="17" t="e">
        <f t="shared" si="318"/>
        <v>#VALUE!</v>
      </c>
      <c r="FK3163" s="17" t="str">
        <f t="shared" si="317"/>
        <v/>
      </c>
      <c r="FL3163" s="18" t="str">
        <f t="shared" si="319"/>
        <v/>
      </c>
    </row>
    <row r="3164" spans="165:168">
      <c r="FI3164" s="16">
        <v>3161</v>
      </c>
      <c r="FJ3164" s="17" t="e">
        <f t="shared" si="318"/>
        <v>#VALUE!</v>
      </c>
      <c r="FK3164" s="17" t="str">
        <f t="shared" si="317"/>
        <v/>
      </c>
      <c r="FL3164" s="18" t="str">
        <f t="shared" si="319"/>
        <v/>
      </c>
    </row>
    <row r="3165" spans="165:168">
      <c r="FI3165" s="16">
        <v>3162</v>
      </c>
      <c r="FJ3165" s="17" t="e">
        <f t="shared" si="318"/>
        <v>#VALUE!</v>
      </c>
      <c r="FK3165" s="17" t="str">
        <f t="shared" si="317"/>
        <v/>
      </c>
      <c r="FL3165" s="18" t="str">
        <f t="shared" si="319"/>
        <v/>
      </c>
    </row>
    <row r="3166" spans="165:168">
      <c r="FI3166" s="16">
        <v>3163</v>
      </c>
      <c r="FJ3166" s="17" t="e">
        <f t="shared" si="318"/>
        <v>#VALUE!</v>
      </c>
      <c r="FK3166" s="17" t="str">
        <f t="shared" si="317"/>
        <v/>
      </c>
      <c r="FL3166" s="18" t="str">
        <f t="shared" si="319"/>
        <v/>
      </c>
    </row>
    <row r="3167" spans="165:168">
      <c r="FI3167" s="16">
        <v>3164</v>
      </c>
      <c r="FJ3167" s="17" t="e">
        <f t="shared" si="318"/>
        <v>#VALUE!</v>
      </c>
      <c r="FK3167" s="17" t="str">
        <f t="shared" si="317"/>
        <v/>
      </c>
      <c r="FL3167" s="18" t="str">
        <f t="shared" si="319"/>
        <v/>
      </c>
    </row>
    <row r="3168" spans="165:168">
      <c r="FI3168" s="16">
        <v>3165</v>
      </c>
      <c r="FJ3168" s="17" t="e">
        <f t="shared" si="318"/>
        <v>#VALUE!</v>
      </c>
      <c r="FK3168" s="17" t="str">
        <f t="shared" si="317"/>
        <v/>
      </c>
      <c r="FL3168" s="18" t="str">
        <f t="shared" si="319"/>
        <v/>
      </c>
    </row>
    <row r="3169" spans="165:168">
      <c r="FI3169" s="16">
        <v>3166</v>
      </c>
      <c r="FJ3169" s="17" t="e">
        <f t="shared" si="318"/>
        <v>#VALUE!</v>
      </c>
      <c r="FK3169" s="17" t="str">
        <f t="shared" si="317"/>
        <v/>
      </c>
      <c r="FL3169" s="18" t="str">
        <f t="shared" si="319"/>
        <v/>
      </c>
    </row>
    <row r="3170" spans="165:168">
      <c r="FI3170" s="16">
        <v>3167</v>
      </c>
      <c r="FJ3170" s="17" t="e">
        <f t="shared" si="318"/>
        <v>#VALUE!</v>
      </c>
      <c r="FK3170" s="17" t="str">
        <f t="shared" si="317"/>
        <v/>
      </c>
      <c r="FL3170" s="18" t="str">
        <f t="shared" si="319"/>
        <v/>
      </c>
    </row>
    <row r="3171" spans="165:168">
      <c r="FI3171" s="16">
        <v>3168</v>
      </c>
      <c r="FJ3171" s="17" t="e">
        <f t="shared" si="318"/>
        <v>#VALUE!</v>
      </c>
      <c r="FK3171" s="17" t="str">
        <f t="shared" si="317"/>
        <v/>
      </c>
      <c r="FL3171" s="18" t="str">
        <f t="shared" si="319"/>
        <v/>
      </c>
    </row>
    <row r="3172" spans="165:168">
      <c r="FI3172" s="16">
        <v>3169</v>
      </c>
      <c r="FJ3172" s="17" t="e">
        <f t="shared" si="318"/>
        <v>#VALUE!</v>
      </c>
      <c r="FK3172" s="17" t="str">
        <f t="shared" si="317"/>
        <v/>
      </c>
      <c r="FL3172" s="18" t="str">
        <f t="shared" si="319"/>
        <v/>
      </c>
    </row>
    <row r="3173" spans="165:168">
      <c r="FI3173" s="16">
        <v>3170</v>
      </c>
      <c r="FJ3173" s="17" t="e">
        <f t="shared" si="318"/>
        <v>#VALUE!</v>
      </c>
      <c r="FK3173" s="17" t="str">
        <f t="shared" si="317"/>
        <v/>
      </c>
      <c r="FL3173" s="18" t="str">
        <f t="shared" si="319"/>
        <v/>
      </c>
    </row>
    <row r="3174" spans="165:168">
      <c r="FI3174" s="16">
        <v>3171</v>
      </c>
      <c r="FJ3174" s="17" t="e">
        <f t="shared" si="318"/>
        <v>#VALUE!</v>
      </c>
      <c r="FK3174" s="17" t="str">
        <f t="shared" si="317"/>
        <v/>
      </c>
      <c r="FL3174" s="18" t="str">
        <f t="shared" si="319"/>
        <v/>
      </c>
    </row>
    <row r="3175" spans="165:168">
      <c r="FI3175" s="16">
        <v>3172</v>
      </c>
      <c r="FJ3175" s="17" t="e">
        <f t="shared" si="318"/>
        <v>#VALUE!</v>
      </c>
      <c r="FK3175" s="17" t="str">
        <f t="shared" si="317"/>
        <v/>
      </c>
      <c r="FL3175" s="18" t="str">
        <f t="shared" si="319"/>
        <v/>
      </c>
    </row>
    <row r="3176" spans="165:168">
      <c r="FI3176" s="16">
        <v>3173</v>
      </c>
      <c r="FJ3176" s="17" t="e">
        <f t="shared" si="318"/>
        <v>#VALUE!</v>
      </c>
      <c r="FK3176" s="17" t="str">
        <f t="shared" si="317"/>
        <v/>
      </c>
      <c r="FL3176" s="18" t="str">
        <f t="shared" si="319"/>
        <v/>
      </c>
    </row>
    <row r="3177" spans="165:168">
      <c r="FI3177" s="16">
        <v>3174</v>
      </c>
      <c r="FJ3177" s="17" t="e">
        <f t="shared" si="318"/>
        <v>#VALUE!</v>
      </c>
      <c r="FK3177" s="17" t="str">
        <f t="shared" si="317"/>
        <v/>
      </c>
      <c r="FL3177" s="18" t="str">
        <f t="shared" si="319"/>
        <v/>
      </c>
    </row>
    <row r="3178" spans="165:168">
      <c r="FI3178" s="16">
        <v>3175</v>
      </c>
      <c r="FJ3178" s="17" t="e">
        <f t="shared" si="318"/>
        <v>#VALUE!</v>
      </c>
      <c r="FK3178" s="17" t="str">
        <f t="shared" si="317"/>
        <v/>
      </c>
      <c r="FL3178" s="18" t="str">
        <f t="shared" si="319"/>
        <v/>
      </c>
    </row>
    <row r="3179" spans="165:168">
      <c r="FI3179" s="16">
        <v>3176</v>
      </c>
      <c r="FJ3179" s="17" t="e">
        <f t="shared" si="318"/>
        <v>#VALUE!</v>
      </c>
      <c r="FK3179" s="17" t="str">
        <f t="shared" si="317"/>
        <v/>
      </c>
      <c r="FL3179" s="18" t="str">
        <f t="shared" si="319"/>
        <v/>
      </c>
    </row>
    <row r="3180" spans="165:168">
      <c r="FI3180" s="16">
        <v>3177</v>
      </c>
      <c r="FJ3180" s="17" t="e">
        <f t="shared" si="318"/>
        <v>#VALUE!</v>
      </c>
      <c r="FK3180" s="17" t="str">
        <f t="shared" si="317"/>
        <v/>
      </c>
      <c r="FL3180" s="18" t="str">
        <f t="shared" si="319"/>
        <v/>
      </c>
    </row>
    <row r="3181" spans="165:168">
      <c r="FI3181" s="16">
        <v>3178</v>
      </c>
      <c r="FJ3181" s="17" t="e">
        <f t="shared" si="318"/>
        <v>#VALUE!</v>
      </c>
      <c r="FK3181" s="17" t="str">
        <f t="shared" si="317"/>
        <v/>
      </c>
      <c r="FL3181" s="18" t="str">
        <f t="shared" si="319"/>
        <v/>
      </c>
    </row>
    <row r="3182" spans="165:168">
      <c r="FI3182" s="16">
        <v>3179</v>
      </c>
      <c r="FJ3182" s="17" t="e">
        <f t="shared" si="318"/>
        <v>#VALUE!</v>
      </c>
      <c r="FK3182" s="17" t="str">
        <f t="shared" si="317"/>
        <v/>
      </c>
      <c r="FL3182" s="18" t="str">
        <f t="shared" si="319"/>
        <v/>
      </c>
    </row>
    <row r="3183" spans="165:168">
      <c r="FI3183" s="16">
        <v>3180</v>
      </c>
      <c r="FJ3183" s="17" t="e">
        <f t="shared" si="318"/>
        <v>#VALUE!</v>
      </c>
      <c r="FK3183" s="17" t="str">
        <f t="shared" si="317"/>
        <v/>
      </c>
      <c r="FL3183" s="18" t="str">
        <f t="shared" si="319"/>
        <v/>
      </c>
    </row>
    <row r="3184" spans="165:168">
      <c r="FI3184" s="16">
        <v>3181</v>
      </c>
      <c r="FJ3184" s="17" t="e">
        <f t="shared" si="318"/>
        <v>#VALUE!</v>
      </c>
      <c r="FK3184" s="17" t="str">
        <f t="shared" si="317"/>
        <v/>
      </c>
      <c r="FL3184" s="18" t="str">
        <f t="shared" si="319"/>
        <v/>
      </c>
    </row>
    <row r="3185" spans="165:168">
      <c r="FI3185" s="16">
        <v>3182</v>
      </c>
      <c r="FJ3185" s="17" t="e">
        <f t="shared" si="318"/>
        <v>#VALUE!</v>
      </c>
      <c r="FK3185" s="17" t="str">
        <f t="shared" si="317"/>
        <v/>
      </c>
      <c r="FL3185" s="18" t="str">
        <f t="shared" si="319"/>
        <v/>
      </c>
    </row>
    <row r="3186" spans="165:168">
      <c r="FI3186" s="16">
        <v>3183</v>
      </c>
      <c r="FJ3186" s="17" t="e">
        <f t="shared" si="318"/>
        <v>#VALUE!</v>
      </c>
      <c r="FK3186" s="17" t="str">
        <f t="shared" si="317"/>
        <v/>
      </c>
      <c r="FL3186" s="18" t="str">
        <f t="shared" si="319"/>
        <v/>
      </c>
    </row>
    <row r="3187" spans="165:168">
      <c r="FI3187" s="16">
        <v>3184</v>
      </c>
      <c r="FJ3187" s="17" t="e">
        <f t="shared" si="318"/>
        <v>#VALUE!</v>
      </c>
      <c r="FK3187" s="17" t="str">
        <f t="shared" si="317"/>
        <v/>
      </c>
      <c r="FL3187" s="18" t="str">
        <f t="shared" si="319"/>
        <v/>
      </c>
    </row>
    <row r="3188" spans="165:168">
      <c r="FI3188" s="16">
        <v>3185</v>
      </c>
      <c r="FJ3188" s="17" t="e">
        <f t="shared" si="318"/>
        <v>#VALUE!</v>
      </c>
      <c r="FK3188" s="17" t="str">
        <f t="shared" si="317"/>
        <v/>
      </c>
      <c r="FL3188" s="18" t="str">
        <f t="shared" si="319"/>
        <v/>
      </c>
    </row>
    <row r="3189" spans="165:168">
      <c r="FI3189" s="16">
        <v>3186</v>
      </c>
      <c r="FJ3189" s="17" t="e">
        <f t="shared" si="318"/>
        <v>#VALUE!</v>
      </c>
      <c r="FK3189" s="17" t="str">
        <f t="shared" si="317"/>
        <v/>
      </c>
      <c r="FL3189" s="18" t="str">
        <f t="shared" si="319"/>
        <v/>
      </c>
    </row>
    <row r="3190" spans="165:168">
      <c r="FI3190" s="16">
        <v>3187</v>
      </c>
      <c r="FJ3190" s="17" t="e">
        <f t="shared" si="318"/>
        <v>#VALUE!</v>
      </c>
      <c r="FK3190" s="17" t="str">
        <f t="shared" si="317"/>
        <v/>
      </c>
      <c r="FL3190" s="18" t="str">
        <f t="shared" si="319"/>
        <v/>
      </c>
    </row>
    <row r="3191" spans="165:168">
      <c r="FI3191" s="16">
        <v>3188</v>
      </c>
      <c r="FJ3191" s="17" t="e">
        <f t="shared" si="318"/>
        <v>#VALUE!</v>
      </c>
      <c r="FK3191" s="17" t="str">
        <f t="shared" si="317"/>
        <v/>
      </c>
      <c r="FL3191" s="18" t="str">
        <f t="shared" si="319"/>
        <v/>
      </c>
    </row>
    <row r="3192" spans="165:168">
      <c r="FI3192" s="16">
        <v>3189</v>
      </c>
      <c r="FJ3192" s="17" t="e">
        <f t="shared" si="318"/>
        <v>#VALUE!</v>
      </c>
      <c r="FK3192" s="17" t="str">
        <f t="shared" si="317"/>
        <v/>
      </c>
      <c r="FL3192" s="18" t="str">
        <f t="shared" si="319"/>
        <v/>
      </c>
    </row>
    <row r="3193" spans="165:168">
      <c r="FI3193" s="16">
        <v>3190</v>
      </c>
      <c r="FJ3193" s="17" t="e">
        <f t="shared" si="318"/>
        <v>#VALUE!</v>
      </c>
      <c r="FK3193" s="17" t="str">
        <f t="shared" si="317"/>
        <v/>
      </c>
      <c r="FL3193" s="18" t="str">
        <f t="shared" si="319"/>
        <v/>
      </c>
    </row>
    <row r="3194" spans="165:168">
      <c r="FI3194" s="16">
        <v>3191</v>
      </c>
      <c r="FJ3194" s="17" t="e">
        <f t="shared" si="318"/>
        <v>#VALUE!</v>
      </c>
      <c r="FK3194" s="17" t="str">
        <f t="shared" si="317"/>
        <v/>
      </c>
      <c r="FL3194" s="18" t="str">
        <f t="shared" si="319"/>
        <v/>
      </c>
    </row>
    <row r="3195" spans="165:168">
      <c r="FI3195" s="16">
        <v>3192</v>
      </c>
      <c r="FJ3195" s="17" t="e">
        <f t="shared" si="318"/>
        <v>#VALUE!</v>
      </c>
      <c r="FK3195" s="17" t="str">
        <f t="shared" si="317"/>
        <v/>
      </c>
      <c r="FL3195" s="18" t="str">
        <f t="shared" si="319"/>
        <v/>
      </c>
    </row>
    <row r="3196" spans="165:168">
      <c r="FI3196" s="16">
        <v>3193</v>
      </c>
      <c r="FJ3196" s="17" t="e">
        <f t="shared" si="318"/>
        <v>#VALUE!</v>
      </c>
      <c r="FK3196" s="17" t="str">
        <f t="shared" si="317"/>
        <v/>
      </c>
      <c r="FL3196" s="18" t="str">
        <f t="shared" si="319"/>
        <v/>
      </c>
    </row>
    <row r="3197" spans="165:168">
      <c r="FI3197" s="16">
        <v>3194</v>
      </c>
      <c r="FJ3197" s="17" t="e">
        <f t="shared" si="318"/>
        <v>#VALUE!</v>
      </c>
      <c r="FK3197" s="17" t="str">
        <f t="shared" si="317"/>
        <v/>
      </c>
      <c r="FL3197" s="18" t="str">
        <f t="shared" si="319"/>
        <v/>
      </c>
    </row>
    <row r="3198" spans="165:168">
      <c r="FI3198" s="16">
        <v>3195</v>
      </c>
      <c r="FJ3198" s="17" t="e">
        <f t="shared" si="318"/>
        <v>#VALUE!</v>
      </c>
      <c r="FK3198" s="17" t="str">
        <f t="shared" si="317"/>
        <v/>
      </c>
      <c r="FL3198" s="18" t="str">
        <f t="shared" si="319"/>
        <v/>
      </c>
    </row>
    <row r="3199" spans="165:168">
      <c r="FI3199" s="16">
        <v>3196</v>
      </c>
      <c r="FJ3199" s="17" t="e">
        <f t="shared" si="318"/>
        <v>#VALUE!</v>
      </c>
      <c r="FK3199" s="17" t="str">
        <f t="shared" si="317"/>
        <v/>
      </c>
      <c r="FL3199" s="18" t="str">
        <f t="shared" si="319"/>
        <v/>
      </c>
    </row>
    <row r="3200" spans="165:168">
      <c r="FI3200" s="16">
        <v>3197</v>
      </c>
      <c r="FJ3200" s="17" t="e">
        <f t="shared" si="318"/>
        <v>#VALUE!</v>
      </c>
      <c r="FK3200" s="17" t="str">
        <f t="shared" si="317"/>
        <v/>
      </c>
      <c r="FL3200" s="18" t="str">
        <f t="shared" si="319"/>
        <v/>
      </c>
    </row>
    <row r="3201" spans="165:168">
      <c r="FI3201" s="16">
        <v>3198</v>
      </c>
      <c r="FJ3201" s="17" t="e">
        <f t="shared" si="318"/>
        <v>#VALUE!</v>
      </c>
      <c r="FK3201" s="17" t="str">
        <f t="shared" si="317"/>
        <v/>
      </c>
      <c r="FL3201" s="18" t="str">
        <f t="shared" si="319"/>
        <v/>
      </c>
    </row>
    <row r="3202" spans="165:168">
      <c r="FI3202" s="16">
        <v>3199</v>
      </c>
      <c r="FJ3202" s="17" t="e">
        <f t="shared" si="318"/>
        <v>#VALUE!</v>
      </c>
      <c r="FK3202" s="17" t="str">
        <f t="shared" si="317"/>
        <v/>
      </c>
      <c r="FL3202" s="18" t="str">
        <f t="shared" si="319"/>
        <v/>
      </c>
    </row>
    <row r="3203" spans="165:168">
      <c r="FI3203" s="16">
        <v>3200</v>
      </c>
      <c r="FJ3203" s="17" t="e">
        <f t="shared" si="318"/>
        <v>#VALUE!</v>
      </c>
      <c r="FK3203" s="17" t="str">
        <f t="shared" si="317"/>
        <v/>
      </c>
      <c r="FL3203" s="18" t="str">
        <f t="shared" si="319"/>
        <v/>
      </c>
    </row>
    <row r="3204" spans="165:168">
      <c r="FI3204" s="16">
        <v>3201</v>
      </c>
      <c r="FJ3204" s="17" t="e">
        <f t="shared" si="318"/>
        <v>#VALUE!</v>
      </c>
      <c r="FK3204" s="17" t="str">
        <f t="shared" si="317"/>
        <v/>
      </c>
      <c r="FL3204" s="18" t="str">
        <f t="shared" si="319"/>
        <v/>
      </c>
    </row>
    <row r="3205" spans="165:168">
      <c r="FI3205" s="16">
        <v>3202</v>
      </c>
      <c r="FJ3205" s="17" t="e">
        <f t="shared" si="318"/>
        <v>#VALUE!</v>
      </c>
      <c r="FK3205" s="17" t="str">
        <f t="shared" ref="FK3205:FK3268" si="320">IF(FI3205&lt;=$FH$2,FF3205,IF(FI3205&lt;=$FH$2+$FH$3,INDEX($FJ$4:$FJ$2494,FI3205-$FH$2),""))</f>
        <v/>
      </c>
      <c r="FL3205" s="18" t="str">
        <f t="shared" si="319"/>
        <v/>
      </c>
    </row>
    <row r="3206" spans="165:168">
      <c r="FI3206" s="16">
        <v>3203</v>
      </c>
      <c r="FJ3206" s="17" t="e">
        <f t="shared" si="318"/>
        <v>#VALUE!</v>
      </c>
      <c r="FK3206" s="17" t="str">
        <f t="shared" si="320"/>
        <v/>
      </c>
      <c r="FL3206" s="18" t="str">
        <f t="shared" si="319"/>
        <v/>
      </c>
    </row>
    <row r="3207" spans="165:168">
      <c r="FI3207" s="16">
        <v>3204</v>
      </c>
      <c r="FJ3207" s="17" t="e">
        <f t="shared" si="318"/>
        <v>#VALUE!</v>
      </c>
      <c r="FK3207" s="17" t="str">
        <f t="shared" si="320"/>
        <v/>
      </c>
      <c r="FL3207" s="18" t="str">
        <f t="shared" si="319"/>
        <v/>
      </c>
    </row>
    <row r="3208" spans="165:168">
      <c r="FI3208" s="16">
        <v>3205</v>
      </c>
      <c r="FJ3208" s="17" t="e">
        <f t="shared" si="318"/>
        <v>#VALUE!</v>
      </c>
      <c r="FK3208" s="17" t="str">
        <f t="shared" si="320"/>
        <v/>
      </c>
      <c r="FL3208" s="18" t="str">
        <f t="shared" si="319"/>
        <v/>
      </c>
    </row>
    <row r="3209" spans="165:168">
      <c r="FI3209" s="16">
        <v>3206</v>
      </c>
      <c r="FJ3209" s="17" t="e">
        <f t="shared" si="318"/>
        <v>#VALUE!</v>
      </c>
      <c r="FK3209" s="17" t="str">
        <f t="shared" si="320"/>
        <v/>
      </c>
      <c r="FL3209" s="18" t="str">
        <f t="shared" si="319"/>
        <v/>
      </c>
    </row>
    <row r="3210" spans="165:168">
      <c r="FI3210" s="16">
        <v>3207</v>
      </c>
      <c r="FJ3210" s="17" t="e">
        <f t="shared" si="318"/>
        <v>#VALUE!</v>
      </c>
      <c r="FK3210" s="17" t="str">
        <f t="shared" si="320"/>
        <v/>
      </c>
      <c r="FL3210" s="18" t="str">
        <f t="shared" si="319"/>
        <v/>
      </c>
    </row>
    <row r="3211" spans="165:168">
      <c r="FI3211" s="16">
        <v>3208</v>
      </c>
      <c r="FJ3211" s="17" t="e">
        <f t="shared" si="318"/>
        <v>#VALUE!</v>
      </c>
      <c r="FK3211" s="17" t="str">
        <f t="shared" si="320"/>
        <v/>
      </c>
      <c r="FL3211" s="18" t="str">
        <f t="shared" si="319"/>
        <v/>
      </c>
    </row>
    <row r="3212" spans="165:168">
      <c r="FI3212" s="16">
        <v>3209</v>
      </c>
      <c r="FJ3212" s="17" t="e">
        <f t="shared" si="318"/>
        <v>#VALUE!</v>
      </c>
      <c r="FK3212" s="17" t="str">
        <f t="shared" si="320"/>
        <v/>
      </c>
      <c r="FL3212" s="18" t="str">
        <f t="shared" si="319"/>
        <v/>
      </c>
    </row>
    <row r="3213" spans="165:168">
      <c r="FI3213" s="16">
        <v>3210</v>
      </c>
      <c r="FJ3213" s="17" t="e">
        <f t="shared" si="318"/>
        <v>#VALUE!</v>
      </c>
      <c r="FK3213" s="17" t="str">
        <f t="shared" si="320"/>
        <v/>
      </c>
      <c r="FL3213" s="18" t="str">
        <f t="shared" si="319"/>
        <v/>
      </c>
    </row>
    <row r="3214" spans="165:168">
      <c r="FI3214" s="16">
        <v>3211</v>
      </c>
      <c r="FJ3214" s="17" t="e">
        <f t="shared" si="318"/>
        <v>#VALUE!</v>
      </c>
      <c r="FK3214" s="17" t="str">
        <f t="shared" si="320"/>
        <v/>
      </c>
      <c r="FL3214" s="18" t="str">
        <f t="shared" si="319"/>
        <v/>
      </c>
    </row>
    <row r="3215" spans="165:168">
      <c r="FI3215" s="16">
        <v>3212</v>
      </c>
      <c r="FJ3215" s="17" t="e">
        <f t="shared" si="318"/>
        <v>#VALUE!</v>
      </c>
      <c r="FK3215" s="17" t="str">
        <f t="shared" si="320"/>
        <v/>
      </c>
      <c r="FL3215" s="18" t="str">
        <f t="shared" si="319"/>
        <v/>
      </c>
    </row>
    <row r="3216" spans="165:168">
      <c r="FI3216" s="16">
        <v>3213</v>
      </c>
      <c r="FJ3216" s="17" t="e">
        <f t="shared" si="318"/>
        <v>#VALUE!</v>
      </c>
      <c r="FK3216" s="17" t="str">
        <f t="shared" si="320"/>
        <v/>
      </c>
      <c r="FL3216" s="18" t="str">
        <f t="shared" si="319"/>
        <v/>
      </c>
    </row>
    <row r="3217" spans="165:168">
      <c r="FI3217" s="16">
        <v>3214</v>
      </c>
      <c r="FJ3217" s="17" t="e">
        <f t="shared" si="318"/>
        <v>#VALUE!</v>
      </c>
      <c r="FK3217" s="17" t="str">
        <f t="shared" si="320"/>
        <v/>
      </c>
      <c r="FL3217" s="18" t="str">
        <f t="shared" si="319"/>
        <v/>
      </c>
    </row>
    <row r="3218" spans="165:168">
      <c r="FI3218" s="16">
        <v>3215</v>
      </c>
      <c r="FJ3218" s="17" t="e">
        <f t="shared" si="318"/>
        <v>#VALUE!</v>
      </c>
      <c r="FK3218" s="17" t="str">
        <f t="shared" si="320"/>
        <v/>
      </c>
      <c r="FL3218" s="18" t="str">
        <f t="shared" si="319"/>
        <v/>
      </c>
    </row>
    <row r="3219" spans="165:168">
      <c r="FI3219" s="16">
        <v>3216</v>
      </c>
      <c r="FJ3219" s="17" t="e">
        <f t="shared" si="318"/>
        <v>#VALUE!</v>
      </c>
      <c r="FK3219" s="17" t="str">
        <f t="shared" si="320"/>
        <v/>
      </c>
      <c r="FL3219" s="18" t="str">
        <f t="shared" si="319"/>
        <v/>
      </c>
    </row>
    <row r="3220" spans="165:168">
      <c r="FI3220" s="16">
        <v>3217</v>
      </c>
      <c r="FJ3220" s="17" t="e">
        <f t="shared" si="318"/>
        <v>#VALUE!</v>
      </c>
      <c r="FK3220" s="17" t="str">
        <f t="shared" si="320"/>
        <v/>
      </c>
      <c r="FL3220" s="18" t="str">
        <f t="shared" si="319"/>
        <v/>
      </c>
    </row>
    <row r="3221" spans="165:168">
      <c r="FI3221" s="16">
        <v>3218</v>
      </c>
      <c r="FJ3221" s="17" t="e">
        <f t="shared" si="318"/>
        <v>#VALUE!</v>
      </c>
      <c r="FK3221" s="17" t="str">
        <f t="shared" si="320"/>
        <v/>
      </c>
      <c r="FL3221" s="18" t="str">
        <f t="shared" si="319"/>
        <v/>
      </c>
    </row>
    <row r="3222" spans="165:168">
      <c r="FI3222" s="16">
        <v>3219</v>
      </c>
      <c r="FJ3222" s="17" t="e">
        <f t="shared" ref="FJ3222:FJ3285" si="321">IF(FE3222&lt;=$FH$1,INDEX($DW$4:$EZ$84,FD3222,FE3222),"")</f>
        <v>#VALUE!</v>
      </c>
      <c r="FK3222" s="17" t="str">
        <f t="shared" si="320"/>
        <v/>
      </c>
      <c r="FL3222" s="18" t="str">
        <f t="shared" ref="FL3222:FL3285" si="322">IFERROR(TEXT(DEC2BIN(FK3222),"00000000"),"")</f>
        <v/>
      </c>
    </row>
    <row r="3223" spans="165:168">
      <c r="FI3223" s="16">
        <v>3220</v>
      </c>
      <c r="FJ3223" s="17" t="e">
        <f t="shared" si="321"/>
        <v>#VALUE!</v>
      </c>
      <c r="FK3223" s="17" t="str">
        <f t="shared" si="320"/>
        <v/>
      </c>
      <c r="FL3223" s="18" t="str">
        <f t="shared" si="322"/>
        <v/>
      </c>
    </row>
    <row r="3224" spans="165:168">
      <c r="FI3224" s="16">
        <v>3221</v>
      </c>
      <c r="FJ3224" s="17" t="e">
        <f t="shared" si="321"/>
        <v>#VALUE!</v>
      </c>
      <c r="FK3224" s="17" t="str">
        <f t="shared" si="320"/>
        <v/>
      </c>
      <c r="FL3224" s="18" t="str">
        <f t="shared" si="322"/>
        <v/>
      </c>
    </row>
    <row r="3225" spans="165:168">
      <c r="FI3225" s="16">
        <v>3222</v>
      </c>
      <c r="FJ3225" s="17" t="e">
        <f t="shared" si="321"/>
        <v>#VALUE!</v>
      </c>
      <c r="FK3225" s="17" t="str">
        <f t="shared" si="320"/>
        <v/>
      </c>
      <c r="FL3225" s="18" t="str">
        <f t="shared" si="322"/>
        <v/>
      </c>
    </row>
    <row r="3226" spans="165:168">
      <c r="FI3226" s="16">
        <v>3223</v>
      </c>
      <c r="FJ3226" s="17" t="e">
        <f t="shared" si="321"/>
        <v>#VALUE!</v>
      </c>
      <c r="FK3226" s="17" t="str">
        <f t="shared" si="320"/>
        <v/>
      </c>
      <c r="FL3226" s="18" t="str">
        <f t="shared" si="322"/>
        <v/>
      </c>
    </row>
    <row r="3227" spans="165:168">
      <c r="FI3227" s="16">
        <v>3224</v>
      </c>
      <c r="FJ3227" s="17" t="e">
        <f t="shared" si="321"/>
        <v>#VALUE!</v>
      </c>
      <c r="FK3227" s="17" t="str">
        <f t="shared" si="320"/>
        <v/>
      </c>
      <c r="FL3227" s="18" t="str">
        <f t="shared" si="322"/>
        <v/>
      </c>
    </row>
    <row r="3228" spans="165:168">
      <c r="FI3228" s="16">
        <v>3225</v>
      </c>
      <c r="FJ3228" s="17" t="e">
        <f t="shared" si="321"/>
        <v>#VALUE!</v>
      </c>
      <c r="FK3228" s="17" t="str">
        <f t="shared" si="320"/>
        <v/>
      </c>
      <c r="FL3228" s="18" t="str">
        <f t="shared" si="322"/>
        <v/>
      </c>
    </row>
    <row r="3229" spans="165:168">
      <c r="FI3229" s="16">
        <v>3226</v>
      </c>
      <c r="FJ3229" s="17" t="e">
        <f t="shared" si="321"/>
        <v>#VALUE!</v>
      </c>
      <c r="FK3229" s="17" t="str">
        <f t="shared" si="320"/>
        <v/>
      </c>
      <c r="FL3229" s="18" t="str">
        <f t="shared" si="322"/>
        <v/>
      </c>
    </row>
    <row r="3230" spans="165:168">
      <c r="FI3230" s="16">
        <v>3227</v>
      </c>
      <c r="FJ3230" s="17" t="e">
        <f t="shared" si="321"/>
        <v>#VALUE!</v>
      </c>
      <c r="FK3230" s="17" t="str">
        <f t="shared" si="320"/>
        <v/>
      </c>
      <c r="FL3230" s="18" t="str">
        <f t="shared" si="322"/>
        <v/>
      </c>
    </row>
    <row r="3231" spans="165:168">
      <c r="FI3231" s="16">
        <v>3228</v>
      </c>
      <c r="FJ3231" s="17" t="e">
        <f t="shared" si="321"/>
        <v>#VALUE!</v>
      </c>
      <c r="FK3231" s="17" t="str">
        <f t="shared" si="320"/>
        <v/>
      </c>
      <c r="FL3231" s="18" t="str">
        <f t="shared" si="322"/>
        <v/>
      </c>
    </row>
    <row r="3232" spans="165:168">
      <c r="FI3232" s="16">
        <v>3229</v>
      </c>
      <c r="FJ3232" s="17" t="e">
        <f t="shared" si="321"/>
        <v>#VALUE!</v>
      </c>
      <c r="FK3232" s="17" t="str">
        <f t="shared" si="320"/>
        <v/>
      </c>
      <c r="FL3232" s="18" t="str">
        <f t="shared" si="322"/>
        <v/>
      </c>
    </row>
    <row r="3233" spans="165:168">
      <c r="FI3233" s="16">
        <v>3230</v>
      </c>
      <c r="FJ3233" s="17" t="e">
        <f t="shared" si="321"/>
        <v>#VALUE!</v>
      </c>
      <c r="FK3233" s="17" t="str">
        <f t="shared" si="320"/>
        <v/>
      </c>
      <c r="FL3233" s="18" t="str">
        <f t="shared" si="322"/>
        <v/>
      </c>
    </row>
    <row r="3234" spans="165:168">
      <c r="FI3234" s="16">
        <v>3231</v>
      </c>
      <c r="FJ3234" s="17" t="e">
        <f t="shared" si="321"/>
        <v>#VALUE!</v>
      </c>
      <c r="FK3234" s="17" t="str">
        <f t="shared" si="320"/>
        <v/>
      </c>
      <c r="FL3234" s="18" t="str">
        <f t="shared" si="322"/>
        <v/>
      </c>
    </row>
    <row r="3235" spans="165:168">
      <c r="FI3235" s="16">
        <v>3232</v>
      </c>
      <c r="FJ3235" s="17" t="e">
        <f t="shared" si="321"/>
        <v>#VALUE!</v>
      </c>
      <c r="FK3235" s="17" t="str">
        <f t="shared" si="320"/>
        <v/>
      </c>
      <c r="FL3235" s="18" t="str">
        <f t="shared" si="322"/>
        <v/>
      </c>
    </row>
    <row r="3236" spans="165:168">
      <c r="FI3236" s="16">
        <v>3233</v>
      </c>
      <c r="FJ3236" s="17" t="e">
        <f t="shared" si="321"/>
        <v>#VALUE!</v>
      </c>
      <c r="FK3236" s="17" t="str">
        <f t="shared" si="320"/>
        <v/>
      </c>
      <c r="FL3236" s="18" t="str">
        <f t="shared" si="322"/>
        <v/>
      </c>
    </row>
    <row r="3237" spans="165:168">
      <c r="FI3237" s="16">
        <v>3234</v>
      </c>
      <c r="FJ3237" s="17" t="e">
        <f t="shared" si="321"/>
        <v>#VALUE!</v>
      </c>
      <c r="FK3237" s="17" t="str">
        <f t="shared" si="320"/>
        <v/>
      </c>
      <c r="FL3237" s="18" t="str">
        <f t="shared" si="322"/>
        <v/>
      </c>
    </row>
    <row r="3238" spans="165:168">
      <c r="FI3238" s="16">
        <v>3235</v>
      </c>
      <c r="FJ3238" s="17" t="e">
        <f t="shared" si="321"/>
        <v>#VALUE!</v>
      </c>
      <c r="FK3238" s="17" t="str">
        <f t="shared" si="320"/>
        <v/>
      </c>
      <c r="FL3238" s="18" t="str">
        <f t="shared" si="322"/>
        <v/>
      </c>
    </row>
    <row r="3239" spans="165:168">
      <c r="FI3239" s="16">
        <v>3236</v>
      </c>
      <c r="FJ3239" s="17" t="e">
        <f t="shared" si="321"/>
        <v>#VALUE!</v>
      </c>
      <c r="FK3239" s="17" t="str">
        <f t="shared" si="320"/>
        <v/>
      </c>
      <c r="FL3239" s="18" t="str">
        <f t="shared" si="322"/>
        <v/>
      </c>
    </row>
    <row r="3240" spans="165:168">
      <c r="FI3240" s="16">
        <v>3237</v>
      </c>
      <c r="FJ3240" s="17" t="e">
        <f t="shared" si="321"/>
        <v>#VALUE!</v>
      </c>
      <c r="FK3240" s="17" t="str">
        <f t="shared" si="320"/>
        <v/>
      </c>
      <c r="FL3240" s="18" t="str">
        <f t="shared" si="322"/>
        <v/>
      </c>
    </row>
    <row r="3241" spans="165:168">
      <c r="FI3241" s="16">
        <v>3238</v>
      </c>
      <c r="FJ3241" s="17" t="e">
        <f t="shared" si="321"/>
        <v>#VALUE!</v>
      </c>
      <c r="FK3241" s="17" t="str">
        <f t="shared" si="320"/>
        <v/>
      </c>
      <c r="FL3241" s="18" t="str">
        <f t="shared" si="322"/>
        <v/>
      </c>
    </row>
    <row r="3242" spans="165:168">
      <c r="FI3242" s="16">
        <v>3239</v>
      </c>
      <c r="FJ3242" s="17" t="e">
        <f t="shared" si="321"/>
        <v>#VALUE!</v>
      </c>
      <c r="FK3242" s="17" t="str">
        <f t="shared" si="320"/>
        <v/>
      </c>
      <c r="FL3242" s="18" t="str">
        <f t="shared" si="322"/>
        <v/>
      </c>
    </row>
    <row r="3243" spans="165:168">
      <c r="FI3243" s="16">
        <v>3240</v>
      </c>
      <c r="FJ3243" s="17" t="e">
        <f t="shared" si="321"/>
        <v>#VALUE!</v>
      </c>
      <c r="FK3243" s="17" t="str">
        <f t="shared" si="320"/>
        <v/>
      </c>
      <c r="FL3243" s="18" t="str">
        <f t="shared" si="322"/>
        <v/>
      </c>
    </row>
    <row r="3244" spans="165:168">
      <c r="FI3244" s="16">
        <v>3241</v>
      </c>
      <c r="FJ3244" s="17" t="e">
        <f t="shared" si="321"/>
        <v>#VALUE!</v>
      </c>
      <c r="FK3244" s="17" t="str">
        <f t="shared" si="320"/>
        <v/>
      </c>
      <c r="FL3244" s="18" t="str">
        <f t="shared" si="322"/>
        <v/>
      </c>
    </row>
    <row r="3245" spans="165:168">
      <c r="FI3245" s="16">
        <v>3242</v>
      </c>
      <c r="FJ3245" s="17" t="e">
        <f t="shared" si="321"/>
        <v>#VALUE!</v>
      </c>
      <c r="FK3245" s="17" t="str">
        <f t="shared" si="320"/>
        <v/>
      </c>
      <c r="FL3245" s="18" t="str">
        <f t="shared" si="322"/>
        <v/>
      </c>
    </row>
    <row r="3246" spans="165:168">
      <c r="FI3246" s="16">
        <v>3243</v>
      </c>
      <c r="FJ3246" s="17" t="e">
        <f t="shared" si="321"/>
        <v>#VALUE!</v>
      </c>
      <c r="FK3246" s="17" t="str">
        <f t="shared" si="320"/>
        <v/>
      </c>
      <c r="FL3246" s="18" t="str">
        <f t="shared" si="322"/>
        <v/>
      </c>
    </row>
    <row r="3247" spans="165:168">
      <c r="FI3247" s="16">
        <v>3244</v>
      </c>
      <c r="FJ3247" s="17" t="e">
        <f t="shared" si="321"/>
        <v>#VALUE!</v>
      </c>
      <c r="FK3247" s="17" t="str">
        <f t="shared" si="320"/>
        <v/>
      </c>
      <c r="FL3247" s="18" t="str">
        <f t="shared" si="322"/>
        <v/>
      </c>
    </row>
    <row r="3248" spans="165:168">
      <c r="FI3248" s="16">
        <v>3245</v>
      </c>
      <c r="FJ3248" s="17" t="e">
        <f t="shared" si="321"/>
        <v>#VALUE!</v>
      </c>
      <c r="FK3248" s="17" t="str">
        <f t="shared" si="320"/>
        <v/>
      </c>
      <c r="FL3248" s="18" t="str">
        <f t="shared" si="322"/>
        <v/>
      </c>
    </row>
    <row r="3249" spans="165:168">
      <c r="FI3249" s="16">
        <v>3246</v>
      </c>
      <c r="FJ3249" s="17" t="e">
        <f t="shared" si="321"/>
        <v>#VALUE!</v>
      </c>
      <c r="FK3249" s="17" t="str">
        <f t="shared" si="320"/>
        <v/>
      </c>
      <c r="FL3249" s="18" t="str">
        <f t="shared" si="322"/>
        <v/>
      </c>
    </row>
    <row r="3250" spans="165:168">
      <c r="FI3250" s="16">
        <v>3247</v>
      </c>
      <c r="FJ3250" s="17" t="e">
        <f t="shared" si="321"/>
        <v>#VALUE!</v>
      </c>
      <c r="FK3250" s="17" t="str">
        <f t="shared" si="320"/>
        <v/>
      </c>
      <c r="FL3250" s="18" t="str">
        <f t="shared" si="322"/>
        <v/>
      </c>
    </row>
    <row r="3251" spans="165:168">
      <c r="FI3251" s="16">
        <v>3248</v>
      </c>
      <c r="FJ3251" s="17" t="e">
        <f t="shared" si="321"/>
        <v>#VALUE!</v>
      </c>
      <c r="FK3251" s="17" t="str">
        <f t="shared" si="320"/>
        <v/>
      </c>
      <c r="FL3251" s="18" t="str">
        <f t="shared" si="322"/>
        <v/>
      </c>
    </row>
    <row r="3252" spans="165:168">
      <c r="FI3252" s="16">
        <v>3249</v>
      </c>
      <c r="FJ3252" s="17" t="e">
        <f t="shared" si="321"/>
        <v>#VALUE!</v>
      </c>
      <c r="FK3252" s="17" t="str">
        <f t="shared" si="320"/>
        <v/>
      </c>
      <c r="FL3252" s="18" t="str">
        <f t="shared" si="322"/>
        <v/>
      </c>
    </row>
    <row r="3253" spans="165:168">
      <c r="FI3253" s="16">
        <v>3250</v>
      </c>
      <c r="FJ3253" s="17" t="e">
        <f t="shared" si="321"/>
        <v>#VALUE!</v>
      </c>
      <c r="FK3253" s="17" t="str">
        <f t="shared" si="320"/>
        <v/>
      </c>
      <c r="FL3253" s="18" t="str">
        <f t="shared" si="322"/>
        <v/>
      </c>
    </row>
    <row r="3254" spans="165:168">
      <c r="FI3254" s="16">
        <v>3251</v>
      </c>
      <c r="FJ3254" s="17" t="e">
        <f t="shared" si="321"/>
        <v>#VALUE!</v>
      </c>
      <c r="FK3254" s="17" t="str">
        <f t="shared" si="320"/>
        <v/>
      </c>
      <c r="FL3254" s="18" t="str">
        <f t="shared" si="322"/>
        <v/>
      </c>
    </row>
    <row r="3255" spans="165:168">
      <c r="FI3255" s="16">
        <v>3252</v>
      </c>
      <c r="FJ3255" s="17" t="e">
        <f t="shared" si="321"/>
        <v>#VALUE!</v>
      </c>
      <c r="FK3255" s="17" t="str">
        <f t="shared" si="320"/>
        <v/>
      </c>
      <c r="FL3255" s="18" t="str">
        <f t="shared" si="322"/>
        <v/>
      </c>
    </row>
    <row r="3256" spans="165:168">
      <c r="FI3256" s="16">
        <v>3253</v>
      </c>
      <c r="FJ3256" s="17" t="e">
        <f t="shared" si="321"/>
        <v>#VALUE!</v>
      </c>
      <c r="FK3256" s="17" t="str">
        <f t="shared" si="320"/>
        <v/>
      </c>
      <c r="FL3256" s="18" t="str">
        <f t="shared" si="322"/>
        <v/>
      </c>
    </row>
    <row r="3257" spans="165:168">
      <c r="FI3257" s="16">
        <v>3254</v>
      </c>
      <c r="FJ3257" s="17" t="e">
        <f t="shared" si="321"/>
        <v>#VALUE!</v>
      </c>
      <c r="FK3257" s="17" t="str">
        <f t="shared" si="320"/>
        <v/>
      </c>
      <c r="FL3257" s="18" t="str">
        <f t="shared" si="322"/>
        <v/>
      </c>
    </row>
    <row r="3258" spans="165:168">
      <c r="FI3258" s="16">
        <v>3255</v>
      </c>
      <c r="FJ3258" s="17" t="e">
        <f t="shared" si="321"/>
        <v>#VALUE!</v>
      </c>
      <c r="FK3258" s="17" t="str">
        <f t="shared" si="320"/>
        <v/>
      </c>
      <c r="FL3258" s="18" t="str">
        <f t="shared" si="322"/>
        <v/>
      </c>
    </row>
    <row r="3259" spans="165:168">
      <c r="FI3259" s="16">
        <v>3256</v>
      </c>
      <c r="FJ3259" s="17" t="e">
        <f t="shared" si="321"/>
        <v>#VALUE!</v>
      </c>
      <c r="FK3259" s="17" t="str">
        <f t="shared" si="320"/>
        <v/>
      </c>
      <c r="FL3259" s="18" t="str">
        <f t="shared" si="322"/>
        <v/>
      </c>
    </row>
    <row r="3260" spans="165:168">
      <c r="FI3260" s="16">
        <v>3257</v>
      </c>
      <c r="FJ3260" s="17" t="e">
        <f t="shared" si="321"/>
        <v>#VALUE!</v>
      </c>
      <c r="FK3260" s="17" t="str">
        <f t="shared" si="320"/>
        <v/>
      </c>
      <c r="FL3260" s="18" t="str">
        <f t="shared" si="322"/>
        <v/>
      </c>
    </row>
    <row r="3261" spans="165:168">
      <c r="FI3261" s="16">
        <v>3258</v>
      </c>
      <c r="FJ3261" s="17" t="e">
        <f t="shared" si="321"/>
        <v>#VALUE!</v>
      </c>
      <c r="FK3261" s="17" t="str">
        <f t="shared" si="320"/>
        <v/>
      </c>
      <c r="FL3261" s="18" t="str">
        <f t="shared" si="322"/>
        <v/>
      </c>
    </row>
    <row r="3262" spans="165:168">
      <c r="FI3262" s="16">
        <v>3259</v>
      </c>
      <c r="FJ3262" s="17" t="e">
        <f t="shared" si="321"/>
        <v>#VALUE!</v>
      </c>
      <c r="FK3262" s="17" t="str">
        <f t="shared" si="320"/>
        <v/>
      </c>
      <c r="FL3262" s="18" t="str">
        <f t="shared" si="322"/>
        <v/>
      </c>
    </row>
    <row r="3263" spans="165:168">
      <c r="FI3263" s="16">
        <v>3260</v>
      </c>
      <c r="FJ3263" s="17" t="e">
        <f t="shared" si="321"/>
        <v>#VALUE!</v>
      </c>
      <c r="FK3263" s="17" t="str">
        <f t="shared" si="320"/>
        <v/>
      </c>
      <c r="FL3263" s="18" t="str">
        <f t="shared" si="322"/>
        <v/>
      </c>
    </row>
    <row r="3264" spans="165:168">
      <c r="FI3264" s="16">
        <v>3261</v>
      </c>
      <c r="FJ3264" s="17" t="e">
        <f t="shared" si="321"/>
        <v>#VALUE!</v>
      </c>
      <c r="FK3264" s="17" t="str">
        <f t="shared" si="320"/>
        <v/>
      </c>
      <c r="FL3264" s="18" t="str">
        <f t="shared" si="322"/>
        <v/>
      </c>
    </row>
    <row r="3265" spans="165:168">
      <c r="FI3265" s="16">
        <v>3262</v>
      </c>
      <c r="FJ3265" s="17" t="e">
        <f t="shared" si="321"/>
        <v>#VALUE!</v>
      </c>
      <c r="FK3265" s="17" t="str">
        <f t="shared" si="320"/>
        <v/>
      </c>
      <c r="FL3265" s="18" t="str">
        <f t="shared" si="322"/>
        <v/>
      </c>
    </row>
    <row r="3266" spans="165:168">
      <c r="FI3266" s="16">
        <v>3263</v>
      </c>
      <c r="FJ3266" s="17" t="e">
        <f t="shared" si="321"/>
        <v>#VALUE!</v>
      </c>
      <c r="FK3266" s="17" t="str">
        <f t="shared" si="320"/>
        <v/>
      </c>
      <c r="FL3266" s="18" t="str">
        <f t="shared" si="322"/>
        <v/>
      </c>
    </row>
    <row r="3267" spans="165:168">
      <c r="FI3267" s="16">
        <v>3264</v>
      </c>
      <c r="FJ3267" s="17" t="e">
        <f t="shared" si="321"/>
        <v>#VALUE!</v>
      </c>
      <c r="FK3267" s="17" t="str">
        <f t="shared" si="320"/>
        <v/>
      </c>
      <c r="FL3267" s="18" t="str">
        <f t="shared" si="322"/>
        <v/>
      </c>
    </row>
    <row r="3268" spans="165:168">
      <c r="FI3268" s="16">
        <v>3265</v>
      </c>
      <c r="FJ3268" s="17" t="e">
        <f t="shared" si="321"/>
        <v>#VALUE!</v>
      </c>
      <c r="FK3268" s="17" t="str">
        <f t="shared" si="320"/>
        <v/>
      </c>
      <c r="FL3268" s="18" t="str">
        <f t="shared" si="322"/>
        <v/>
      </c>
    </row>
    <row r="3269" spans="165:168">
      <c r="FI3269" s="16">
        <v>3266</v>
      </c>
      <c r="FJ3269" s="17" t="e">
        <f t="shared" si="321"/>
        <v>#VALUE!</v>
      </c>
      <c r="FK3269" s="17" t="str">
        <f t="shared" ref="FK3269:FK3332" si="323">IF(FI3269&lt;=$FH$2,FF3269,IF(FI3269&lt;=$FH$2+$FH$3,INDEX($FJ$4:$FJ$2494,FI3269-$FH$2),""))</f>
        <v/>
      </c>
      <c r="FL3269" s="18" t="str">
        <f t="shared" si="322"/>
        <v/>
      </c>
    </row>
    <row r="3270" spans="165:168">
      <c r="FI3270" s="16">
        <v>3267</v>
      </c>
      <c r="FJ3270" s="17" t="e">
        <f t="shared" si="321"/>
        <v>#VALUE!</v>
      </c>
      <c r="FK3270" s="17" t="str">
        <f t="shared" si="323"/>
        <v/>
      </c>
      <c r="FL3270" s="18" t="str">
        <f t="shared" si="322"/>
        <v/>
      </c>
    </row>
    <row r="3271" spans="165:168">
      <c r="FI3271" s="16">
        <v>3268</v>
      </c>
      <c r="FJ3271" s="17" t="e">
        <f t="shared" si="321"/>
        <v>#VALUE!</v>
      </c>
      <c r="FK3271" s="17" t="str">
        <f t="shared" si="323"/>
        <v/>
      </c>
      <c r="FL3271" s="18" t="str">
        <f t="shared" si="322"/>
        <v/>
      </c>
    </row>
    <row r="3272" spans="165:168">
      <c r="FI3272" s="16">
        <v>3269</v>
      </c>
      <c r="FJ3272" s="17" t="e">
        <f t="shared" si="321"/>
        <v>#VALUE!</v>
      </c>
      <c r="FK3272" s="17" t="str">
        <f t="shared" si="323"/>
        <v/>
      </c>
      <c r="FL3272" s="18" t="str">
        <f t="shared" si="322"/>
        <v/>
      </c>
    </row>
    <row r="3273" spans="165:168">
      <c r="FI3273" s="16">
        <v>3270</v>
      </c>
      <c r="FJ3273" s="17" t="e">
        <f t="shared" si="321"/>
        <v>#VALUE!</v>
      </c>
      <c r="FK3273" s="17" t="str">
        <f t="shared" si="323"/>
        <v/>
      </c>
      <c r="FL3273" s="18" t="str">
        <f t="shared" si="322"/>
        <v/>
      </c>
    </row>
    <row r="3274" spans="165:168">
      <c r="FI3274" s="16">
        <v>3271</v>
      </c>
      <c r="FJ3274" s="17" t="e">
        <f t="shared" si="321"/>
        <v>#VALUE!</v>
      </c>
      <c r="FK3274" s="17" t="str">
        <f t="shared" si="323"/>
        <v/>
      </c>
      <c r="FL3274" s="18" t="str">
        <f t="shared" si="322"/>
        <v/>
      </c>
    </row>
    <row r="3275" spans="165:168">
      <c r="FI3275" s="16">
        <v>3272</v>
      </c>
      <c r="FJ3275" s="17" t="e">
        <f t="shared" si="321"/>
        <v>#VALUE!</v>
      </c>
      <c r="FK3275" s="17" t="str">
        <f t="shared" si="323"/>
        <v/>
      </c>
      <c r="FL3275" s="18" t="str">
        <f t="shared" si="322"/>
        <v/>
      </c>
    </row>
    <row r="3276" spans="165:168">
      <c r="FI3276" s="16">
        <v>3273</v>
      </c>
      <c r="FJ3276" s="17" t="e">
        <f t="shared" si="321"/>
        <v>#VALUE!</v>
      </c>
      <c r="FK3276" s="17" t="str">
        <f t="shared" si="323"/>
        <v/>
      </c>
      <c r="FL3276" s="18" t="str">
        <f t="shared" si="322"/>
        <v/>
      </c>
    </row>
    <row r="3277" spans="165:168">
      <c r="FI3277" s="16">
        <v>3274</v>
      </c>
      <c r="FJ3277" s="17" t="e">
        <f t="shared" si="321"/>
        <v>#VALUE!</v>
      </c>
      <c r="FK3277" s="17" t="str">
        <f t="shared" si="323"/>
        <v/>
      </c>
      <c r="FL3277" s="18" t="str">
        <f t="shared" si="322"/>
        <v/>
      </c>
    </row>
    <row r="3278" spans="165:168">
      <c r="FI3278" s="16">
        <v>3275</v>
      </c>
      <c r="FJ3278" s="17" t="e">
        <f t="shared" si="321"/>
        <v>#VALUE!</v>
      </c>
      <c r="FK3278" s="17" t="str">
        <f t="shared" si="323"/>
        <v/>
      </c>
      <c r="FL3278" s="18" t="str">
        <f t="shared" si="322"/>
        <v/>
      </c>
    </row>
    <row r="3279" spans="165:168">
      <c r="FI3279" s="16">
        <v>3276</v>
      </c>
      <c r="FJ3279" s="17" t="e">
        <f t="shared" si="321"/>
        <v>#VALUE!</v>
      </c>
      <c r="FK3279" s="17" t="str">
        <f t="shared" si="323"/>
        <v/>
      </c>
      <c r="FL3279" s="18" t="str">
        <f t="shared" si="322"/>
        <v/>
      </c>
    </row>
    <row r="3280" spans="165:168">
      <c r="FI3280" s="16">
        <v>3277</v>
      </c>
      <c r="FJ3280" s="17" t="e">
        <f t="shared" si="321"/>
        <v>#VALUE!</v>
      </c>
      <c r="FK3280" s="17" t="str">
        <f t="shared" si="323"/>
        <v/>
      </c>
      <c r="FL3280" s="18" t="str">
        <f t="shared" si="322"/>
        <v/>
      </c>
    </row>
    <row r="3281" spans="165:168">
      <c r="FI3281" s="16">
        <v>3278</v>
      </c>
      <c r="FJ3281" s="17" t="e">
        <f t="shared" si="321"/>
        <v>#VALUE!</v>
      </c>
      <c r="FK3281" s="17" t="str">
        <f t="shared" si="323"/>
        <v/>
      </c>
      <c r="FL3281" s="18" t="str">
        <f t="shared" si="322"/>
        <v/>
      </c>
    </row>
    <row r="3282" spans="165:168">
      <c r="FI3282" s="16">
        <v>3279</v>
      </c>
      <c r="FJ3282" s="17" t="e">
        <f t="shared" si="321"/>
        <v>#VALUE!</v>
      </c>
      <c r="FK3282" s="17" t="str">
        <f t="shared" si="323"/>
        <v/>
      </c>
      <c r="FL3282" s="18" t="str">
        <f t="shared" si="322"/>
        <v/>
      </c>
    </row>
    <row r="3283" spans="165:168">
      <c r="FI3283" s="16">
        <v>3280</v>
      </c>
      <c r="FJ3283" s="17" t="e">
        <f t="shared" si="321"/>
        <v>#VALUE!</v>
      </c>
      <c r="FK3283" s="17" t="str">
        <f t="shared" si="323"/>
        <v/>
      </c>
      <c r="FL3283" s="18" t="str">
        <f t="shared" si="322"/>
        <v/>
      </c>
    </row>
    <row r="3284" spans="165:168">
      <c r="FI3284" s="16">
        <v>3281</v>
      </c>
      <c r="FJ3284" s="17" t="e">
        <f t="shared" si="321"/>
        <v>#VALUE!</v>
      </c>
      <c r="FK3284" s="17" t="str">
        <f t="shared" si="323"/>
        <v/>
      </c>
      <c r="FL3284" s="18" t="str">
        <f t="shared" si="322"/>
        <v/>
      </c>
    </row>
    <row r="3285" spans="165:168">
      <c r="FI3285" s="16">
        <v>3282</v>
      </c>
      <c r="FJ3285" s="17" t="e">
        <f t="shared" si="321"/>
        <v>#VALUE!</v>
      </c>
      <c r="FK3285" s="17" t="str">
        <f t="shared" si="323"/>
        <v/>
      </c>
      <c r="FL3285" s="18" t="str">
        <f t="shared" si="322"/>
        <v/>
      </c>
    </row>
    <row r="3286" spans="165:168">
      <c r="FI3286" s="16">
        <v>3283</v>
      </c>
      <c r="FJ3286" s="17" t="e">
        <f t="shared" ref="FJ3286:FJ3349" si="324">IF(FE3286&lt;=$FH$1,INDEX($DW$4:$EZ$84,FD3286,FE3286),"")</f>
        <v>#VALUE!</v>
      </c>
      <c r="FK3286" s="17" t="str">
        <f t="shared" si="323"/>
        <v/>
      </c>
      <c r="FL3286" s="18" t="str">
        <f t="shared" ref="FL3286:FL3349" si="325">IFERROR(TEXT(DEC2BIN(FK3286),"00000000"),"")</f>
        <v/>
      </c>
    </row>
    <row r="3287" spans="165:168">
      <c r="FI3287" s="16">
        <v>3284</v>
      </c>
      <c r="FJ3287" s="17" t="e">
        <f t="shared" si="324"/>
        <v>#VALUE!</v>
      </c>
      <c r="FK3287" s="17" t="str">
        <f t="shared" si="323"/>
        <v/>
      </c>
      <c r="FL3287" s="18" t="str">
        <f t="shared" si="325"/>
        <v/>
      </c>
    </row>
    <row r="3288" spans="165:168">
      <c r="FI3288" s="16">
        <v>3285</v>
      </c>
      <c r="FJ3288" s="17" t="e">
        <f t="shared" si="324"/>
        <v>#VALUE!</v>
      </c>
      <c r="FK3288" s="17" t="str">
        <f t="shared" si="323"/>
        <v/>
      </c>
      <c r="FL3288" s="18" t="str">
        <f t="shared" si="325"/>
        <v/>
      </c>
    </row>
    <row r="3289" spans="165:168">
      <c r="FI3289" s="16">
        <v>3286</v>
      </c>
      <c r="FJ3289" s="17" t="e">
        <f t="shared" si="324"/>
        <v>#VALUE!</v>
      </c>
      <c r="FK3289" s="17" t="str">
        <f t="shared" si="323"/>
        <v/>
      </c>
      <c r="FL3289" s="18" t="str">
        <f t="shared" si="325"/>
        <v/>
      </c>
    </row>
    <row r="3290" spans="165:168">
      <c r="FI3290" s="16">
        <v>3287</v>
      </c>
      <c r="FJ3290" s="17" t="e">
        <f t="shared" si="324"/>
        <v>#VALUE!</v>
      </c>
      <c r="FK3290" s="17" t="str">
        <f t="shared" si="323"/>
        <v/>
      </c>
      <c r="FL3290" s="18" t="str">
        <f t="shared" si="325"/>
        <v/>
      </c>
    </row>
    <row r="3291" spans="165:168">
      <c r="FI3291" s="16">
        <v>3288</v>
      </c>
      <c r="FJ3291" s="17" t="e">
        <f t="shared" si="324"/>
        <v>#VALUE!</v>
      </c>
      <c r="FK3291" s="17" t="str">
        <f t="shared" si="323"/>
        <v/>
      </c>
      <c r="FL3291" s="18" t="str">
        <f t="shared" si="325"/>
        <v/>
      </c>
    </row>
    <row r="3292" spans="165:168">
      <c r="FI3292" s="16">
        <v>3289</v>
      </c>
      <c r="FJ3292" s="17" t="e">
        <f t="shared" si="324"/>
        <v>#VALUE!</v>
      </c>
      <c r="FK3292" s="17" t="str">
        <f t="shared" si="323"/>
        <v/>
      </c>
      <c r="FL3292" s="18" t="str">
        <f t="shared" si="325"/>
        <v/>
      </c>
    </row>
    <row r="3293" spans="165:168">
      <c r="FI3293" s="16">
        <v>3290</v>
      </c>
      <c r="FJ3293" s="17" t="e">
        <f t="shared" si="324"/>
        <v>#VALUE!</v>
      </c>
      <c r="FK3293" s="17" t="str">
        <f t="shared" si="323"/>
        <v/>
      </c>
      <c r="FL3293" s="18" t="str">
        <f t="shared" si="325"/>
        <v/>
      </c>
    </row>
    <row r="3294" spans="165:168">
      <c r="FI3294" s="16">
        <v>3291</v>
      </c>
      <c r="FJ3294" s="17" t="e">
        <f t="shared" si="324"/>
        <v>#VALUE!</v>
      </c>
      <c r="FK3294" s="17" t="str">
        <f t="shared" si="323"/>
        <v/>
      </c>
      <c r="FL3294" s="18" t="str">
        <f t="shared" si="325"/>
        <v/>
      </c>
    </row>
    <row r="3295" spans="165:168">
      <c r="FI3295" s="16">
        <v>3292</v>
      </c>
      <c r="FJ3295" s="17" t="e">
        <f t="shared" si="324"/>
        <v>#VALUE!</v>
      </c>
      <c r="FK3295" s="17" t="str">
        <f t="shared" si="323"/>
        <v/>
      </c>
      <c r="FL3295" s="18" t="str">
        <f t="shared" si="325"/>
        <v/>
      </c>
    </row>
    <row r="3296" spans="165:168">
      <c r="FI3296" s="16">
        <v>3293</v>
      </c>
      <c r="FJ3296" s="17" t="e">
        <f t="shared" si="324"/>
        <v>#VALUE!</v>
      </c>
      <c r="FK3296" s="17" t="str">
        <f t="shared" si="323"/>
        <v/>
      </c>
      <c r="FL3296" s="18" t="str">
        <f t="shared" si="325"/>
        <v/>
      </c>
    </row>
    <row r="3297" spans="165:168">
      <c r="FI3297" s="16">
        <v>3294</v>
      </c>
      <c r="FJ3297" s="17" t="e">
        <f t="shared" si="324"/>
        <v>#VALUE!</v>
      </c>
      <c r="FK3297" s="17" t="str">
        <f t="shared" si="323"/>
        <v/>
      </c>
      <c r="FL3297" s="18" t="str">
        <f t="shared" si="325"/>
        <v/>
      </c>
    </row>
    <row r="3298" spans="165:168">
      <c r="FI3298" s="16">
        <v>3295</v>
      </c>
      <c r="FJ3298" s="17" t="e">
        <f t="shared" si="324"/>
        <v>#VALUE!</v>
      </c>
      <c r="FK3298" s="17" t="str">
        <f t="shared" si="323"/>
        <v/>
      </c>
      <c r="FL3298" s="18" t="str">
        <f t="shared" si="325"/>
        <v/>
      </c>
    </row>
    <row r="3299" spans="165:168">
      <c r="FI3299" s="16">
        <v>3296</v>
      </c>
      <c r="FJ3299" s="17" t="e">
        <f t="shared" si="324"/>
        <v>#VALUE!</v>
      </c>
      <c r="FK3299" s="17" t="str">
        <f t="shared" si="323"/>
        <v/>
      </c>
      <c r="FL3299" s="18" t="str">
        <f t="shared" si="325"/>
        <v/>
      </c>
    </row>
    <row r="3300" spans="165:168">
      <c r="FI3300" s="16">
        <v>3297</v>
      </c>
      <c r="FJ3300" s="17" t="e">
        <f t="shared" si="324"/>
        <v>#VALUE!</v>
      </c>
      <c r="FK3300" s="17" t="str">
        <f t="shared" si="323"/>
        <v/>
      </c>
      <c r="FL3300" s="18" t="str">
        <f t="shared" si="325"/>
        <v/>
      </c>
    </row>
    <row r="3301" spans="165:168">
      <c r="FI3301" s="16">
        <v>3298</v>
      </c>
      <c r="FJ3301" s="17" t="e">
        <f t="shared" si="324"/>
        <v>#VALUE!</v>
      </c>
      <c r="FK3301" s="17" t="str">
        <f t="shared" si="323"/>
        <v/>
      </c>
      <c r="FL3301" s="18" t="str">
        <f t="shared" si="325"/>
        <v/>
      </c>
    </row>
    <row r="3302" spans="165:168">
      <c r="FI3302" s="16">
        <v>3299</v>
      </c>
      <c r="FJ3302" s="17" t="e">
        <f t="shared" si="324"/>
        <v>#VALUE!</v>
      </c>
      <c r="FK3302" s="17" t="str">
        <f t="shared" si="323"/>
        <v/>
      </c>
      <c r="FL3302" s="18" t="str">
        <f t="shared" si="325"/>
        <v/>
      </c>
    </row>
    <row r="3303" spans="165:168">
      <c r="FI3303" s="16">
        <v>3300</v>
      </c>
      <c r="FJ3303" s="17" t="e">
        <f t="shared" si="324"/>
        <v>#VALUE!</v>
      </c>
      <c r="FK3303" s="17" t="str">
        <f t="shared" si="323"/>
        <v/>
      </c>
      <c r="FL3303" s="18" t="str">
        <f t="shared" si="325"/>
        <v/>
      </c>
    </row>
    <row r="3304" spans="165:168">
      <c r="FI3304" s="16">
        <v>3301</v>
      </c>
      <c r="FJ3304" s="17" t="e">
        <f t="shared" si="324"/>
        <v>#VALUE!</v>
      </c>
      <c r="FK3304" s="17" t="str">
        <f t="shared" si="323"/>
        <v/>
      </c>
      <c r="FL3304" s="18" t="str">
        <f t="shared" si="325"/>
        <v/>
      </c>
    </row>
    <row r="3305" spans="165:168">
      <c r="FI3305" s="16">
        <v>3302</v>
      </c>
      <c r="FJ3305" s="17" t="e">
        <f t="shared" si="324"/>
        <v>#VALUE!</v>
      </c>
      <c r="FK3305" s="17" t="str">
        <f t="shared" si="323"/>
        <v/>
      </c>
      <c r="FL3305" s="18" t="str">
        <f t="shared" si="325"/>
        <v/>
      </c>
    </row>
    <row r="3306" spans="165:168">
      <c r="FI3306" s="16">
        <v>3303</v>
      </c>
      <c r="FJ3306" s="17" t="e">
        <f t="shared" si="324"/>
        <v>#VALUE!</v>
      </c>
      <c r="FK3306" s="17" t="str">
        <f t="shared" si="323"/>
        <v/>
      </c>
      <c r="FL3306" s="18" t="str">
        <f t="shared" si="325"/>
        <v/>
      </c>
    </row>
    <row r="3307" spans="165:168">
      <c r="FI3307" s="16">
        <v>3304</v>
      </c>
      <c r="FJ3307" s="17" t="e">
        <f t="shared" si="324"/>
        <v>#VALUE!</v>
      </c>
      <c r="FK3307" s="17" t="str">
        <f t="shared" si="323"/>
        <v/>
      </c>
      <c r="FL3307" s="18" t="str">
        <f t="shared" si="325"/>
        <v/>
      </c>
    </row>
    <row r="3308" spans="165:168">
      <c r="FI3308" s="16">
        <v>3305</v>
      </c>
      <c r="FJ3308" s="17" t="e">
        <f t="shared" si="324"/>
        <v>#VALUE!</v>
      </c>
      <c r="FK3308" s="17" t="str">
        <f t="shared" si="323"/>
        <v/>
      </c>
      <c r="FL3308" s="18" t="str">
        <f t="shared" si="325"/>
        <v/>
      </c>
    </row>
    <row r="3309" spans="165:168">
      <c r="FI3309" s="16">
        <v>3306</v>
      </c>
      <c r="FJ3309" s="17" t="e">
        <f t="shared" si="324"/>
        <v>#VALUE!</v>
      </c>
      <c r="FK3309" s="17" t="str">
        <f t="shared" si="323"/>
        <v/>
      </c>
      <c r="FL3309" s="18" t="str">
        <f t="shared" si="325"/>
        <v/>
      </c>
    </row>
    <row r="3310" spans="165:168">
      <c r="FI3310" s="16">
        <v>3307</v>
      </c>
      <c r="FJ3310" s="17" t="e">
        <f t="shared" si="324"/>
        <v>#VALUE!</v>
      </c>
      <c r="FK3310" s="17" t="str">
        <f t="shared" si="323"/>
        <v/>
      </c>
      <c r="FL3310" s="18" t="str">
        <f t="shared" si="325"/>
        <v/>
      </c>
    </row>
    <row r="3311" spans="165:168">
      <c r="FI3311" s="16">
        <v>3308</v>
      </c>
      <c r="FJ3311" s="17" t="e">
        <f t="shared" si="324"/>
        <v>#VALUE!</v>
      </c>
      <c r="FK3311" s="17" t="str">
        <f t="shared" si="323"/>
        <v/>
      </c>
      <c r="FL3311" s="18" t="str">
        <f t="shared" si="325"/>
        <v/>
      </c>
    </row>
    <row r="3312" spans="165:168">
      <c r="FI3312" s="16">
        <v>3309</v>
      </c>
      <c r="FJ3312" s="17" t="e">
        <f t="shared" si="324"/>
        <v>#VALUE!</v>
      </c>
      <c r="FK3312" s="17" t="str">
        <f t="shared" si="323"/>
        <v/>
      </c>
      <c r="FL3312" s="18" t="str">
        <f t="shared" si="325"/>
        <v/>
      </c>
    </row>
    <row r="3313" spans="165:168">
      <c r="FI3313" s="16">
        <v>3310</v>
      </c>
      <c r="FJ3313" s="17" t="e">
        <f t="shared" si="324"/>
        <v>#VALUE!</v>
      </c>
      <c r="FK3313" s="17" t="str">
        <f t="shared" si="323"/>
        <v/>
      </c>
      <c r="FL3313" s="18" t="str">
        <f t="shared" si="325"/>
        <v/>
      </c>
    </row>
    <row r="3314" spans="165:168">
      <c r="FI3314" s="16">
        <v>3311</v>
      </c>
      <c r="FJ3314" s="17" t="e">
        <f t="shared" si="324"/>
        <v>#VALUE!</v>
      </c>
      <c r="FK3314" s="17" t="str">
        <f t="shared" si="323"/>
        <v/>
      </c>
      <c r="FL3314" s="18" t="str">
        <f t="shared" si="325"/>
        <v/>
      </c>
    </row>
    <row r="3315" spans="165:168">
      <c r="FI3315" s="16">
        <v>3312</v>
      </c>
      <c r="FJ3315" s="17" t="e">
        <f t="shared" si="324"/>
        <v>#VALUE!</v>
      </c>
      <c r="FK3315" s="17" t="str">
        <f t="shared" si="323"/>
        <v/>
      </c>
      <c r="FL3315" s="18" t="str">
        <f t="shared" si="325"/>
        <v/>
      </c>
    </row>
    <row r="3316" spans="165:168">
      <c r="FI3316" s="16">
        <v>3313</v>
      </c>
      <c r="FJ3316" s="17" t="e">
        <f t="shared" si="324"/>
        <v>#VALUE!</v>
      </c>
      <c r="FK3316" s="17" t="str">
        <f t="shared" si="323"/>
        <v/>
      </c>
      <c r="FL3316" s="18" t="str">
        <f t="shared" si="325"/>
        <v/>
      </c>
    </row>
    <row r="3317" spans="165:168">
      <c r="FI3317" s="16">
        <v>3314</v>
      </c>
      <c r="FJ3317" s="17" t="e">
        <f t="shared" si="324"/>
        <v>#VALUE!</v>
      </c>
      <c r="FK3317" s="17" t="str">
        <f t="shared" si="323"/>
        <v/>
      </c>
      <c r="FL3317" s="18" t="str">
        <f t="shared" si="325"/>
        <v/>
      </c>
    </row>
    <row r="3318" spans="165:168">
      <c r="FI3318" s="16">
        <v>3315</v>
      </c>
      <c r="FJ3318" s="17" t="e">
        <f t="shared" si="324"/>
        <v>#VALUE!</v>
      </c>
      <c r="FK3318" s="17" t="str">
        <f t="shared" si="323"/>
        <v/>
      </c>
      <c r="FL3318" s="18" t="str">
        <f t="shared" si="325"/>
        <v/>
      </c>
    </row>
    <row r="3319" spans="165:168">
      <c r="FI3319" s="16">
        <v>3316</v>
      </c>
      <c r="FJ3319" s="17" t="e">
        <f t="shared" si="324"/>
        <v>#VALUE!</v>
      </c>
      <c r="FK3319" s="17" t="str">
        <f t="shared" si="323"/>
        <v/>
      </c>
      <c r="FL3319" s="18" t="str">
        <f t="shared" si="325"/>
        <v/>
      </c>
    </row>
    <row r="3320" spans="165:168">
      <c r="FI3320" s="16">
        <v>3317</v>
      </c>
      <c r="FJ3320" s="17" t="e">
        <f t="shared" si="324"/>
        <v>#VALUE!</v>
      </c>
      <c r="FK3320" s="17" t="str">
        <f t="shared" si="323"/>
        <v/>
      </c>
      <c r="FL3320" s="18" t="str">
        <f t="shared" si="325"/>
        <v/>
      </c>
    </row>
    <row r="3321" spans="165:168">
      <c r="FI3321" s="16">
        <v>3318</v>
      </c>
      <c r="FJ3321" s="17" t="e">
        <f t="shared" si="324"/>
        <v>#VALUE!</v>
      </c>
      <c r="FK3321" s="17" t="str">
        <f t="shared" si="323"/>
        <v/>
      </c>
      <c r="FL3321" s="18" t="str">
        <f t="shared" si="325"/>
        <v/>
      </c>
    </row>
    <row r="3322" spans="165:168">
      <c r="FI3322" s="16">
        <v>3319</v>
      </c>
      <c r="FJ3322" s="17" t="e">
        <f t="shared" si="324"/>
        <v>#VALUE!</v>
      </c>
      <c r="FK3322" s="17" t="str">
        <f t="shared" si="323"/>
        <v/>
      </c>
      <c r="FL3322" s="18" t="str">
        <f t="shared" si="325"/>
        <v/>
      </c>
    </row>
    <row r="3323" spans="165:168">
      <c r="FI3323" s="16">
        <v>3320</v>
      </c>
      <c r="FJ3323" s="17" t="e">
        <f t="shared" si="324"/>
        <v>#VALUE!</v>
      </c>
      <c r="FK3323" s="17" t="str">
        <f t="shared" si="323"/>
        <v/>
      </c>
      <c r="FL3323" s="18" t="str">
        <f t="shared" si="325"/>
        <v/>
      </c>
    </row>
    <row r="3324" spans="165:168">
      <c r="FI3324" s="16">
        <v>3321</v>
      </c>
      <c r="FJ3324" s="17" t="e">
        <f t="shared" si="324"/>
        <v>#VALUE!</v>
      </c>
      <c r="FK3324" s="17" t="str">
        <f t="shared" si="323"/>
        <v/>
      </c>
      <c r="FL3324" s="18" t="str">
        <f t="shared" si="325"/>
        <v/>
      </c>
    </row>
    <row r="3325" spans="165:168">
      <c r="FI3325" s="16">
        <v>3322</v>
      </c>
      <c r="FJ3325" s="17" t="e">
        <f t="shared" si="324"/>
        <v>#VALUE!</v>
      </c>
      <c r="FK3325" s="17" t="str">
        <f t="shared" si="323"/>
        <v/>
      </c>
      <c r="FL3325" s="18" t="str">
        <f t="shared" si="325"/>
        <v/>
      </c>
    </row>
    <row r="3326" spans="165:168">
      <c r="FI3326" s="16">
        <v>3323</v>
      </c>
      <c r="FJ3326" s="17" t="e">
        <f t="shared" si="324"/>
        <v>#VALUE!</v>
      </c>
      <c r="FK3326" s="17" t="str">
        <f t="shared" si="323"/>
        <v/>
      </c>
      <c r="FL3326" s="18" t="str">
        <f t="shared" si="325"/>
        <v/>
      </c>
    </row>
    <row r="3327" spans="165:168">
      <c r="FI3327" s="16">
        <v>3324</v>
      </c>
      <c r="FJ3327" s="17" t="e">
        <f t="shared" si="324"/>
        <v>#VALUE!</v>
      </c>
      <c r="FK3327" s="17" t="str">
        <f t="shared" si="323"/>
        <v/>
      </c>
      <c r="FL3327" s="18" t="str">
        <f t="shared" si="325"/>
        <v/>
      </c>
    </row>
    <row r="3328" spans="165:168">
      <c r="FI3328" s="16">
        <v>3325</v>
      </c>
      <c r="FJ3328" s="17" t="e">
        <f t="shared" si="324"/>
        <v>#VALUE!</v>
      </c>
      <c r="FK3328" s="17" t="str">
        <f t="shared" si="323"/>
        <v/>
      </c>
      <c r="FL3328" s="18" t="str">
        <f t="shared" si="325"/>
        <v/>
      </c>
    </row>
    <row r="3329" spans="165:168">
      <c r="FI3329" s="16">
        <v>3326</v>
      </c>
      <c r="FJ3329" s="17" t="e">
        <f t="shared" si="324"/>
        <v>#VALUE!</v>
      </c>
      <c r="FK3329" s="17" t="str">
        <f t="shared" si="323"/>
        <v/>
      </c>
      <c r="FL3329" s="18" t="str">
        <f t="shared" si="325"/>
        <v/>
      </c>
    </row>
    <row r="3330" spans="165:168">
      <c r="FI3330" s="16">
        <v>3327</v>
      </c>
      <c r="FJ3330" s="17" t="e">
        <f t="shared" si="324"/>
        <v>#VALUE!</v>
      </c>
      <c r="FK3330" s="17" t="str">
        <f t="shared" si="323"/>
        <v/>
      </c>
      <c r="FL3330" s="18" t="str">
        <f t="shared" si="325"/>
        <v/>
      </c>
    </row>
    <row r="3331" spans="165:168">
      <c r="FI3331" s="16">
        <v>3328</v>
      </c>
      <c r="FJ3331" s="17" t="e">
        <f t="shared" si="324"/>
        <v>#VALUE!</v>
      </c>
      <c r="FK3331" s="17" t="str">
        <f t="shared" si="323"/>
        <v/>
      </c>
      <c r="FL3331" s="18" t="str">
        <f t="shared" si="325"/>
        <v/>
      </c>
    </row>
    <row r="3332" spans="165:168">
      <c r="FI3332" s="16">
        <v>3329</v>
      </c>
      <c r="FJ3332" s="17" t="e">
        <f t="shared" si="324"/>
        <v>#VALUE!</v>
      </c>
      <c r="FK3332" s="17" t="str">
        <f t="shared" si="323"/>
        <v/>
      </c>
      <c r="FL3332" s="18" t="str">
        <f t="shared" si="325"/>
        <v/>
      </c>
    </row>
    <row r="3333" spans="165:168">
      <c r="FI3333" s="16">
        <v>3330</v>
      </c>
      <c r="FJ3333" s="17" t="e">
        <f t="shared" si="324"/>
        <v>#VALUE!</v>
      </c>
      <c r="FK3333" s="17" t="str">
        <f t="shared" ref="FK3333:FK3396" si="326">IF(FI3333&lt;=$FH$2,FF3333,IF(FI3333&lt;=$FH$2+$FH$3,INDEX($FJ$4:$FJ$2494,FI3333-$FH$2),""))</f>
        <v/>
      </c>
      <c r="FL3333" s="18" t="str">
        <f t="shared" si="325"/>
        <v/>
      </c>
    </row>
    <row r="3334" spans="165:168">
      <c r="FI3334" s="16">
        <v>3331</v>
      </c>
      <c r="FJ3334" s="17" t="e">
        <f t="shared" si="324"/>
        <v>#VALUE!</v>
      </c>
      <c r="FK3334" s="17" t="str">
        <f t="shared" si="326"/>
        <v/>
      </c>
      <c r="FL3334" s="18" t="str">
        <f t="shared" si="325"/>
        <v/>
      </c>
    </row>
    <row r="3335" spans="165:168">
      <c r="FI3335" s="16">
        <v>3332</v>
      </c>
      <c r="FJ3335" s="17" t="e">
        <f t="shared" si="324"/>
        <v>#VALUE!</v>
      </c>
      <c r="FK3335" s="17" t="str">
        <f t="shared" si="326"/>
        <v/>
      </c>
      <c r="FL3335" s="18" t="str">
        <f t="shared" si="325"/>
        <v/>
      </c>
    </row>
    <row r="3336" spans="165:168">
      <c r="FI3336" s="16">
        <v>3333</v>
      </c>
      <c r="FJ3336" s="17" t="e">
        <f t="shared" si="324"/>
        <v>#VALUE!</v>
      </c>
      <c r="FK3336" s="17" t="str">
        <f t="shared" si="326"/>
        <v/>
      </c>
      <c r="FL3336" s="18" t="str">
        <f t="shared" si="325"/>
        <v/>
      </c>
    </row>
    <row r="3337" spans="165:168">
      <c r="FI3337" s="16">
        <v>3334</v>
      </c>
      <c r="FJ3337" s="17" t="e">
        <f t="shared" si="324"/>
        <v>#VALUE!</v>
      </c>
      <c r="FK3337" s="17" t="str">
        <f t="shared" si="326"/>
        <v/>
      </c>
      <c r="FL3337" s="18" t="str">
        <f t="shared" si="325"/>
        <v/>
      </c>
    </row>
    <row r="3338" spans="165:168">
      <c r="FI3338" s="16">
        <v>3335</v>
      </c>
      <c r="FJ3338" s="17" t="e">
        <f t="shared" si="324"/>
        <v>#VALUE!</v>
      </c>
      <c r="FK3338" s="17" t="str">
        <f t="shared" si="326"/>
        <v/>
      </c>
      <c r="FL3338" s="18" t="str">
        <f t="shared" si="325"/>
        <v/>
      </c>
    </row>
    <row r="3339" spans="165:168">
      <c r="FI3339" s="16">
        <v>3336</v>
      </c>
      <c r="FJ3339" s="17" t="e">
        <f t="shared" si="324"/>
        <v>#VALUE!</v>
      </c>
      <c r="FK3339" s="17" t="str">
        <f t="shared" si="326"/>
        <v/>
      </c>
      <c r="FL3339" s="18" t="str">
        <f t="shared" si="325"/>
        <v/>
      </c>
    </row>
    <row r="3340" spans="165:168">
      <c r="FI3340" s="16">
        <v>3337</v>
      </c>
      <c r="FJ3340" s="17" t="e">
        <f t="shared" si="324"/>
        <v>#VALUE!</v>
      </c>
      <c r="FK3340" s="17" t="str">
        <f t="shared" si="326"/>
        <v/>
      </c>
      <c r="FL3340" s="18" t="str">
        <f t="shared" si="325"/>
        <v/>
      </c>
    </row>
    <row r="3341" spans="165:168">
      <c r="FI3341" s="16">
        <v>3338</v>
      </c>
      <c r="FJ3341" s="17" t="e">
        <f t="shared" si="324"/>
        <v>#VALUE!</v>
      </c>
      <c r="FK3341" s="17" t="str">
        <f t="shared" si="326"/>
        <v/>
      </c>
      <c r="FL3341" s="18" t="str">
        <f t="shared" si="325"/>
        <v/>
      </c>
    </row>
    <row r="3342" spans="165:168">
      <c r="FI3342" s="16">
        <v>3339</v>
      </c>
      <c r="FJ3342" s="17" t="e">
        <f t="shared" si="324"/>
        <v>#VALUE!</v>
      </c>
      <c r="FK3342" s="17" t="str">
        <f t="shared" si="326"/>
        <v/>
      </c>
      <c r="FL3342" s="18" t="str">
        <f t="shared" si="325"/>
        <v/>
      </c>
    </row>
    <row r="3343" spans="165:168">
      <c r="FI3343" s="16">
        <v>3340</v>
      </c>
      <c r="FJ3343" s="17" t="e">
        <f t="shared" si="324"/>
        <v>#VALUE!</v>
      </c>
      <c r="FK3343" s="17" t="str">
        <f t="shared" si="326"/>
        <v/>
      </c>
      <c r="FL3343" s="18" t="str">
        <f t="shared" si="325"/>
        <v/>
      </c>
    </row>
    <row r="3344" spans="165:168">
      <c r="FI3344" s="16">
        <v>3341</v>
      </c>
      <c r="FJ3344" s="17" t="e">
        <f t="shared" si="324"/>
        <v>#VALUE!</v>
      </c>
      <c r="FK3344" s="17" t="str">
        <f t="shared" si="326"/>
        <v/>
      </c>
      <c r="FL3344" s="18" t="str">
        <f t="shared" si="325"/>
        <v/>
      </c>
    </row>
    <row r="3345" spans="165:168">
      <c r="FI3345" s="16">
        <v>3342</v>
      </c>
      <c r="FJ3345" s="17" t="e">
        <f t="shared" si="324"/>
        <v>#VALUE!</v>
      </c>
      <c r="FK3345" s="17" t="str">
        <f t="shared" si="326"/>
        <v/>
      </c>
      <c r="FL3345" s="18" t="str">
        <f t="shared" si="325"/>
        <v/>
      </c>
    </row>
    <row r="3346" spans="165:168">
      <c r="FI3346" s="16">
        <v>3343</v>
      </c>
      <c r="FJ3346" s="17" t="e">
        <f t="shared" si="324"/>
        <v>#VALUE!</v>
      </c>
      <c r="FK3346" s="17" t="str">
        <f t="shared" si="326"/>
        <v/>
      </c>
      <c r="FL3346" s="18" t="str">
        <f t="shared" si="325"/>
        <v/>
      </c>
    </row>
    <row r="3347" spans="165:168">
      <c r="FI3347" s="16">
        <v>3344</v>
      </c>
      <c r="FJ3347" s="17" t="e">
        <f t="shared" si="324"/>
        <v>#VALUE!</v>
      </c>
      <c r="FK3347" s="17" t="str">
        <f t="shared" si="326"/>
        <v/>
      </c>
      <c r="FL3347" s="18" t="str">
        <f t="shared" si="325"/>
        <v/>
      </c>
    </row>
    <row r="3348" spans="165:168">
      <c r="FI3348" s="16">
        <v>3345</v>
      </c>
      <c r="FJ3348" s="17" t="e">
        <f t="shared" si="324"/>
        <v>#VALUE!</v>
      </c>
      <c r="FK3348" s="17" t="str">
        <f t="shared" si="326"/>
        <v/>
      </c>
      <c r="FL3348" s="18" t="str">
        <f t="shared" si="325"/>
        <v/>
      </c>
    </row>
    <row r="3349" spans="165:168">
      <c r="FI3349" s="16">
        <v>3346</v>
      </c>
      <c r="FJ3349" s="17" t="e">
        <f t="shared" si="324"/>
        <v>#VALUE!</v>
      </c>
      <c r="FK3349" s="17" t="str">
        <f t="shared" si="326"/>
        <v/>
      </c>
      <c r="FL3349" s="18" t="str">
        <f t="shared" si="325"/>
        <v/>
      </c>
    </row>
    <row r="3350" spans="165:168">
      <c r="FI3350" s="16">
        <v>3347</v>
      </c>
      <c r="FJ3350" s="17" t="e">
        <f t="shared" ref="FJ3350:FJ3413" si="327">IF(FE3350&lt;=$FH$1,INDEX($DW$4:$EZ$84,FD3350,FE3350),"")</f>
        <v>#VALUE!</v>
      </c>
      <c r="FK3350" s="17" t="str">
        <f t="shared" si="326"/>
        <v/>
      </c>
      <c r="FL3350" s="18" t="str">
        <f t="shared" ref="FL3350:FL3413" si="328">IFERROR(TEXT(DEC2BIN(FK3350),"00000000"),"")</f>
        <v/>
      </c>
    </row>
    <row r="3351" spans="165:168">
      <c r="FI3351" s="16">
        <v>3348</v>
      </c>
      <c r="FJ3351" s="17" t="e">
        <f t="shared" si="327"/>
        <v>#VALUE!</v>
      </c>
      <c r="FK3351" s="17" t="str">
        <f t="shared" si="326"/>
        <v/>
      </c>
      <c r="FL3351" s="18" t="str">
        <f t="shared" si="328"/>
        <v/>
      </c>
    </row>
    <row r="3352" spans="165:168">
      <c r="FI3352" s="16">
        <v>3349</v>
      </c>
      <c r="FJ3352" s="17" t="e">
        <f t="shared" si="327"/>
        <v>#VALUE!</v>
      </c>
      <c r="FK3352" s="17" t="str">
        <f t="shared" si="326"/>
        <v/>
      </c>
      <c r="FL3352" s="18" t="str">
        <f t="shared" si="328"/>
        <v/>
      </c>
    </row>
    <row r="3353" spans="165:168">
      <c r="FI3353" s="16">
        <v>3350</v>
      </c>
      <c r="FJ3353" s="17" t="e">
        <f t="shared" si="327"/>
        <v>#VALUE!</v>
      </c>
      <c r="FK3353" s="17" t="str">
        <f t="shared" si="326"/>
        <v/>
      </c>
      <c r="FL3353" s="18" t="str">
        <f t="shared" si="328"/>
        <v/>
      </c>
    </row>
    <row r="3354" spans="165:168">
      <c r="FI3354" s="16">
        <v>3351</v>
      </c>
      <c r="FJ3354" s="17" t="e">
        <f t="shared" si="327"/>
        <v>#VALUE!</v>
      </c>
      <c r="FK3354" s="17" t="str">
        <f t="shared" si="326"/>
        <v/>
      </c>
      <c r="FL3354" s="18" t="str">
        <f t="shared" si="328"/>
        <v/>
      </c>
    </row>
    <row r="3355" spans="165:168">
      <c r="FI3355" s="16">
        <v>3352</v>
      </c>
      <c r="FJ3355" s="17" t="e">
        <f t="shared" si="327"/>
        <v>#VALUE!</v>
      </c>
      <c r="FK3355" s="17" t="str">
        <f t="shared" si="326"/>
        <v/>
      </c>
      <c r="FL3355" s="18" t="str">
        <f t="shared" si="328"/>
        <v/>
      </c>
    </row>
    <row r="3356" spans="165:168">
      <c r="FI3356" s="16">
        <v>3353</v>
      </c>
      <c r="FJ3356" s="17" t="e">
        <f t="shared" si="327"/>
        <v>#VALUE!</v>
      </c>
      <c r="FK3356" s="17" t="str">
        <f t="shared" si="326"/>
        <v/>
      </c>
      <c r="FL3356" s="18" t="str">
        <f t="shared" si="328"/>
        <v/>
      </c>
    </row>
    <row r="3357" spans="165:168">
      <c r="FI3357" s="16">
        <v>3354</v>
      </c>
      <c r="FJ3357" s="17" t="e">
        <f t="shared" si="327"/>
        <v>#VALUE!</v>
      </c>
      <c r="FK3357" s="17" t="str">
        <f t="shared" si="326"/>
        <v/>
      </c>
      <c r="FL3357" s="18" t="str">
        <f t="shared" si="328"/>
        <v/>
      </c>
    </row>
    <row r="3358" spans="165:168">
      <c r="FI3358" s="16">
        <v>3355</v>
      </c>
      <c r="FJ3358" s="17" t="e">
        <f t="shared" si="327"/>
        <v>#VALUE!</v>
      </c>
      <c r="FK3358" s="17" t="str">
        <f t="shared" si="326"/>
        <v/>
      </c>
      <c r="FL3358" s="18" t="str">
        <f t="shared" si="328"/>
        <v/>
      </c>
    </row>
    <row r="3359" spans="165:168">
      <c r="FI3359" s="16">
        <v>3356</v>
      </c>
      <c r="FJ3359" s="17" t="e">
        <f t="shared" si="327"/>
        <v>#VALUE!</v>
      </c>
      <c r="FK3359" s="17" t="str">
        <f t="shared" si="326"/>
        <v/>
      </c>
      <c r="FL3359" s="18" t="str">
        <f t="shared" si="328"/>
        <v/>
      </c>
    </row>
    <row r="3360" spans="165:168">
      <c r="FI3360" s="16">
        <v>3357</v>
      </c>
      <c r="FJ3360" s="17" t="e">
        <f t="shared" si="327"/>
        <v>#VALUE!</v>
      </c>
      <c r="FK3360" s="17" t="str">
        <f t="shared" si="326"/>
        <v/>
      </c>
      <c r="FL3360" s="18" t="str">
        <f t="shared" si="328"/>
        <v/>
      </c>
    </row>
    <row r="3361" spans="165:168">
      <c r="FI3361" s="16">
        <v>3358</v>
      </c>
      <c r="FJ3361" s="17" t="e">
        <f t="shared" si="327"/>
        <v>#VALUE!</v>
      </c>
      <c r="FK3361" s="17" t="str">
        <f t="shared" si="326"/>
        <v/>
      </c>
      <c r="FL3361" s="18" t="str">
        <f t="shared" si="328"/>
        <v/>
      </c>
    </row>
    <row r="3362" spans="165:168">
      <c r="FI3362" s="16">
        <v>3359</v>
      </c>
      <c r="FJ3362" s="17" t="e">
        <f t="shared" si="327"/>
        <v>#VALUE!</v>
      </c>
      <c r="FK3362" s="17" t="str">
        <f t="shared" si="326"/>
        <v/>
      </c>
      <c r="FL3362" s="18" t="str">
        <f t="shared" si="328"/>
        <v/>
      </c>
    </row>
    <row r="3363" spans="165:168">
      <c r="FI3363" s="16">
        <v>3360</v>
      </c>
      <c r="FJ3363" s="17" t="e">
        <f t="shared" si="327"/>
        <v>#VALUE!</v>
      </c>
      <c r="FK3363" s="17" t="str">
        <f t="shared" si="326"/>
        <v/>
      </c>
      <c r="FL3363" s="18" t="str">
        <f t="shared" si="328"/>
        <v/>
      </c>
    </row>
    <row r="3364" spans="165:168">
      <c r="FI3364" s="16">
        <v>3361</v>
      </c>
      <c r="FJ3364" s="17" t="e">
        <f t="shared" si="327"/>
        <v>#VALUE!</v>
      </c>
      <c r="FK3364" s="17" t="str">
        <f t="shared" si="326"/>
        <v/>
      </c>
      <c r="FL3364" s="18" t="str">
        <f t="shared" si="328"/>
        <v/>
      </c>
    </row>
    <row r="3365" spans="165:168">
      <c r="FI3365" s="16">
        <v>3362</v>
      </c>
      <c r="FJ3365" s="17" t="e">
        <f t="shared" si="327"/>
        <v>#VALUE!</v>
      </c>
      <c r="FK3365" s="17" t="str">
        <f t="shared" si="326"/>
        <v/>
      </c>
      <c r="FL3365" s="18" t="str">
        <f t="shared" si="328"/>
        <v/>
      </c>
    </row>
    <row r="3366" spans="165:168">
      <c r="FI3366" s="16">
        <v>3363</v>
      </c>
      <c r="FJ3366" s="17" t="e">
        <f t="shared" si="327"/>
        <v>#VALUE!</v>
      </c>
      <c r="FK3366" s="17" t="str">
        <f t="shared" si="326"/>
        <v/>
      </c>
      <c r="FL3366" s="18" t="str">
        <f t="shared" si="328"/>
        <v/>
      </c>
    </row>
    <row r="3367" spans="165:168">
      <c r="FI3367" s="16">
        <v>3364</v>
      </c>
      <c r="FJ3367" s="17" t="e">
        <f t="shared" si="327"/>
        <v>#VALUE!</v>
      </c>
      <c r="FK3367" s="17" t="str">
        <f t="shared" si="326"/>
        <v/>
      </c>
      <c r="FL3367" s="18" t="str">
        <f t="shared" si="328"/>
        <v/>
      </c>
    </row>
    <row r="3368" spans="165:168">
      <c r="FI3368" s="16">
        <v>3365</v>
      </c>
      <c r="FJ3368" s="17" t="e">
        <f t="shared" si="327"/>
        <v>#VALUE!</v>
      </c>
      <c r="FK3368" s="17" t="str">
        <f t="shared" si="326"/>
        <v/>
      </c>
      <c r="FL3368" s="18" t="str">
        <f t="shared" si="328"/>
        <v/>
      </c>
    </row>
    <row r="3369" spans="165:168">
      <c r="FI3369" s="16">
        <v>3366</v>
      </c>
      <c r="FJ3369" s="17" t="e">
        <f t="shared" si="327"/>
        <v>#VALUE!</v>
      </c>
      <c r="FK3369" s="17" t="str">
        <f t="shared" si="326"/>
        <v/>
      </c>
      <c r="FL3369" s="18" t="str">
        <f t="shared" si="328"/>
        <v/>
      </c>
    </row>
    <row r="3370" spans="165:168">
      <c r="FI3370" s="16">
        <v>3367</v>
      </c>
      <c r="FJ3370" s="17" t="e">
        <f t="shared" si="327"/>
        <v>#VALUE!</v>
      </c>
      <c r="FK3370" s="17" t="str">
        <f t="shared" si="326"/>
        <v/>
      </c>
      <c r="FL3370" s="18" t="str">
        <f t="shared" si="328"/>
        <v/>
      </c>
    </row>
    <row r="3371" spans="165:168">
      <c r="FI3371" s="16">
        <v>3368</v>
      </c>
      <c r="FJ3371" s="17" t="e">
        <f t="shared" si="327"/>
        <v>#VALUE!</v>
      </c>
      <c r="FK3371" s="17" t="str">
        <f t="shared" si="326"/>
        <v/>
      </c>
      <c r="FL3371" s="18" t="str">
        <f t="shared" si="328"/>
        <v/>
      </c>
    </row>
    <row r="3372" spans="165:168">
      <c r="FI3372" s="16">
        <v>3369</v>
      </c>
      <c r="FJ3372" s="17" t="e">
        <f t="shared" si="327"/>
        <v>#VALUE!</v>
      </c>
      <c r="FK3372" s="17" t="str">
        <f t="shared" si="326"/>
        <v/>
      </c>
      <c r="FL3372" s="18" t="str">
        <f t="shared" si="328"/>
        <v/>
      </c>
    </row>
    <row r="3373" spans="165:168">
      <c r="FI3373" s="16">
        <v>3370</v>
      </c>
      <c r="FJ3373" s="17" t="e">
        <f t="shared" si="327"/>
        <v>#VALUE!</v>
      </c>
      <c r="FK3373" s="17" t="str">
        <f t="shared" si="326"/>
        <v/>
      </c>
      <c r="FL3373" s="18" t="str">
        <f t="shared" si="328"/>
        <v/>
      </c>
    </row>
    <row r="3374" spans="165:168">
      <c r="FI3374" s="16">
        <v>3371</v>
      </c>
      <c r="FJ3374" s="17" t="e">
        <f t="shared" si="327"/>
        <v>#VALUE!</v>
      </c>
      <c r="FK3374" s="17" t="str">
        <f t="shared" si="326"/>
        <v/>
      </c>
      <c r="FL3374" s="18" t="str">
        <f t="shared" si="328"/>
        <v/>
      </c>
    </row>
    <row r="3375" spans="165:168">
      <c r="FI3375" s="16">
        <v>3372</v>
      </c>
      <c r="FJ3375" s="17" t="e">
        <f t="shared" si="327"/>
        <v>#VALUE!</v>
      </c>
      <c r="FK3375" s="17" t="str">
        <f t="shared" si="326"/>
        <v/>
      </c>
      <c r="FL3375" s="18" t="str">
        <f t="shared" si="328"/>
        <v/>
      </c>
    </row>
    <row r="3376" spans="165:168">
      <c r="FI3376" s="16">
        <v>3373</v>
      </c>
      <c r="FJ3376" s="17" t="e">
        <f t="shared" si="327"/>
        <v>#VALUE!</v>
      </c>
      <c r="FK3376" s="17" t="str">
        <f t="shared" si="326"/>
        <v/>
      </c>
      <c r="FL3376" s="18" t="str">
        <f t="shared" si="328"/>
        <v/>
      </c>
    </row>
    <row r="3377" spans="165:168">
      <c r="FI3377" s="16">
        <v>3374</v>
      </c>
      <c r="FJ3377" s="17" t="e">
        <f t="shared" si="327"/>
        <v>#VALUE!</v>
      </c>
      <c r="FK3377" s="17" t="str">
        <f t="shared" si="326"/>
        <v/>
      </c>
      <c r="FL3377" s="18" t="str">
        <f t="shared" si="328"/>
        <v/>
      </c>
    </row>
    <row r="3378" spans="165:168">
      <c r="FI3378" s="16">
        <v>3375</v>
      </c>
      <c r="FJ3378" s="17" t="e">
        <f t="shared" si="327"/>
        <v>#VALUE!</v>
      </c>
      <c r="FK3378" s="17" t="str">
        <f t="shared" si="326"/>
        <v/>
      </c>
      <c r="FL3378" s="18" t="str">
        <f t="shared" si="328"/>
        <v/>
      </c>
    </row>
    <row r="3379" spans="165:168">
      <c r="FI3379" s="16">
        <v>3376</v>
      </c>
      <c r="FJ3379" s="17" t="e">
        <f t="shared" si="327"/>
        <v>#VALUE!</v>
      </c>
      <c r="FK3379" s="17" t="str">
        <f t="shared" si="326"/>
        <v/>
      </c>
      <c r="FL3379" s="18" t="str">
        <f t="shared" si="328"/>
        <v/>
      </c>
    </row>
    <row r="3380" spans="165:168">
      <c r="FI3380" s="16">
        <v>3377</v>
      </c>
      <c r="FJ3380" s="17" t="e">
        <f t="shared" si="327"/>
        <v>#VALUE!</v>
      </c>
      <c r="FK3380" s="17" t="str">
        <f t="shared" si="326"/>
        <v/>
      </c>
      <c r="FL3380" s="18" t="str">
        <f t="shared" si="328"/>
        <v/>
      </c>
    </row>
    <row r="3381" spans="165:168">
      <c r="FI3381" s="16">
        <v>3378</v>
      </c>
      <c r="FJ3381" s="17" t="e">
        <f t="shared" si="327"/>
        <v>#VALUE!</v>
      </c>
      <c r="FK3381" s="17" t="str">
        <f t="shared" si="326"/>
        <v/>
      </c>
      <c r="FL3381" s="18" t="str">
        <f t="shared" si="328"/>
        <v/>
      </c>
    </row>
    <row r="3382" spans="165:168">
      <c r="FI3382" s="16">
        <v>3379</v>
      </c>
      <c r="FJ3382" s="17" t="e">
        <f t="shared" si="327"/>
        <v>#VALUE!</v>
      </c>
      <c r="FK3382" s="17" t="str">
        <f t="shared" si="326"/>
        <v/>
      </c>
      <c r="FL3382" s="18" t="str">
        <f t="shared" si="328"/>
        <v/>
      </c>
    </row>
    <row r="3383" spans="165:168">
      <c r="FI3383" s="16">
        <v>3380</v>
      </c>
      <c r="FJ3383" s="17" t="e">
        <f t="shared" si="327"/>
        <v>#VALUE!</v>
      </c>
      <c r="FK3383" s="17" t="str">
        <f t="shared" si="326"/>
        <v/>
      </c>
      <c r="FL3383" s="18" t="str">
        <f t="shared" si="328"/>
        <v/>
      </c>
    </row>
    <row r="3384" spans="165:168">
      <c r="FI3384" s="16">
        <v>3381</v>
      </c>
      <c r="FJ3384" s="17" t="e">
        <f t="shared" si="327"/>
        <v>#VALUE!</v>
      </c>
      <c r="FK3384" s="17" t="str">
        <f t="shared" si="326"/>
        <v/>
      </c>
      <c r="FL3384" s="18" t="str">
        <f t="shared" si="328"/>
        <v/>
      </c>
    </row>
    <row r="3385" spans="165:168">
      <c r="FI3385" s="16">
        <v>3382</v>
      </c>
      <c r="FJ3385" s="17" t="e">
        <f t="shared" si="327"/>
        <v>#VALUE!</v>
      </c>
      <c r="FK3385" s="17" t="str">
        <f t="shared" si="326"/>
        <v/>
      </c>
      <c r="FL3385" s="18" t="str">
        <f t="shared" si="328"/>
        <v/>
      </c>
    </row>
    <row r="3386" spans="165:168">
      <c r="FI3386" s="16">
        <v>3383</v>
      </c>
      <c r="FJ3386" s="17" t="e">
        <f t="shared" si="327"/>
        <v>#VALUE!</v>
      </c>
      <c r="FK3386" s="17" t="str">
        <f t="shared" si="326"/>
        <v/>
      </c>
      <c r="FL3386" s="18" t="str">
        <f t="shared" si="328"/>
        <v/>
      </c>
    </row>
    <row r="3387" spans="165:168">
      <c r="FI3387" s="16">
        <v>3384</v>
      </c>
      <c r="FJ3387" s="17" t="e">
        <f t="shared" si="327"/>
        <v>#VALUE!</v>
      </c>
      <c r="FK3387" s="17" t="str">
        <f t="shared" si="326"/>
        <v/>
      </c>
      <c r="FL3387" s="18" t="str">
        <f t="shared" si="328"/>
        <v/>
      </c>
    </row>
    <row r="3388" spans="165:168">
      <c r="FI3388" s="16">
        <v>3385</v>
      </c>
      <c r="FJ3388" s="17" t="e">
        <f t="shared" si="327"/>
        <v>#VALUE!</v>
      </c>
      <c r="FK3388" s="17" t="str">
        <f t="shared" si="326"/>
        <v/>
      </c>
      <c r="FL3388" s="18" t="str">
        <f t="shared" si="328"/>
        <v/>
      </c>
    </row>
    <row r="3389" spans="165:168">
      <c r="FI3389" s="16">
        <v>3386</v>
      </c>
      <c r="FJ3389" s="17" t="e">
        <f t="shared" si="327"/>
        <v>#VALUE!</v>
      </c>
      <c r="FK3389" s="17" t="str">
        <f t="shared" si="326"/>
        <v/>
      </c>
      <c r="FL3389" s="18" t="str">
        <f t="shared" si="328"/>
        <v/>
      </c>
    </row>
    <row r="3390" spans="165:168">
      <c r="FI3390" s="16">
        <v>3387</v>
      </c>
      <c r="FJ3390" s="17" t="e">
        <f t="shared" si="327"/>
        <v>#VALUE!</v>
      </c>
      <c r="FK3390" s="17" t="str">
        <f t="shared" si="326"/>
        <v/>
      </c>
      <c r="FL3390" s="18" t="str">
        <f t="shared" si="328"/>
        <v/>
      </c>
    </row>
    <row r="3391" spans="165:168">
      <c r="FI3391" s="16">
        <v>3388</v>
      </c>
      <c r="FJ3391" s="17" t="e">
        <f t="shared" si="327"/>
        <v>#VALUE!</v>
      </c>
      <c r="FK3391" s="17" t="str">
        <f t="shared" si="326"/>
        <v/>
      </c>
      <c r="FL3391" s="18" t="str">
        <f t="shared" si="328"/>
        <v/>
      </c>
    </row>
    <row r="3392" spans="165:168">
      <c r="FI3392" s="16">
        <v>3389</v>
      </c>
      <c r="FJ3392" s="17" t="e">
        <f t="shared" si="327"/>
        <v>#VALUE!</v>
      </c>
      <c r="FK3392" s="17" t="str">
        <f t="shared" si="326"/>
        <v/>
      </c>
      <c r="FL3392" s="18" t="str">
        <f t="shared" si="328"/>
        <v/>
      </c>
    </row>
    <row r="3393" spans="165:168">
      <c r="FI3393" s="16">
        <v>3390</v>
      </c>
      <c r="FJ3393" s="17" t="e">
        <f t="shared" si="327"/>
        <v>#VALUE!</v>
      </c>
      <c r="FK3393" s="17" t="str">
        <f t="shared" si="326"/>
        <v/>
      </c>
      <c r="FL3393" s="18" t="str">
        <f t="shared" si="328"/>
        <v/>
      </c>
    </row>
    <row r="3394" spans="165:168">
      <c r="FI3394" s="16">
        <v>3391</v>
      </c>
      <c r="FJ3394" s="17" t="e">
        <f t="shared" si="327"/>
        <v>#VALUE!</v>
      </c>
      <c r="FK3394" s="17" t="str">
        <f t="shared" si="326"/>
        <v/>
      </c>
      <c r="FL3394" s="18" t="str">
        <f t="shared" si="328"/>
        <v/>
      </c>
    </row>
    <row r="3395" spans="165:168">
      <c r="FI3395" s="16">
        <v>3392</v>
      </c>
      <c r="FJ3395" s="17" t="e">
        <f t="shared" si="327"/>
        <v>#VALUE!</v>
      </c>
      <c r="FK3395" s="17" t="str">
        <f t="shared" si="326"/>
        <v/>
      </c>
      <c r="FL3395" s="18" t="str">
        <f t="shared" si="328"/>
        <v/>
      </c>
    </row>
    <row r="3396" spans="165:168">
      <c r="FI3396" s="16">
        <v>3393</v>
      </c>
      <c r="FJ3396" s="17" t="e">
        <f t="shared" si="327"/>
        <v>#VALUE!</v>
      </c>
      <c r="FK3396" s="17" t="str">
        <f t="shared" si="326"/>
        <v/>
      </c>
      <c r="FL3396" s="18" t="str">
        <f t="shared" si="328"/>
        <v/>
      </c>
    </row>
    <row r="3397" spans="165:168">
      <c r="FI3397" s="16">
        <v>3394</v>
      </c>
      <c r="FJ3397" s="17" t="e">
        <f t="shared" si="327"/>
        <v>#VALUE!</v>
      </c>
      <c r="FK3397" s="17" t="str">
        <f t="shared" ref="FK3397:FK3460" si="329">IF(FI3397&lt;=$FH$2,FF3397,IF(FI3397&lt;=$FH$2+$FH$3,INDEX($FJ$4:$FJ$2494,FI3397-$FH$2),""))</f>
        <v/>
      </c>
      <c r="FL3397" s="18" t="str">
        <f t="shared" si="328"/>
        <v/>
      </c>
    </row>
    <row r="3398" spans="165:168">
      <c r="FI3398" s="16">
        <v>3395</v>
      </c>
      <c r="FJ3398" s="17" t="e">
        <f t="shared" si="327"/>
        <v>#VALUE!</v>
      </c>
      <c r="FK3398" s="17" t="str">
        <f t="shared" si="329"/>
        <v/>
      </c>
      <c r="FL3398" s="18" t="str">
        <f t="shared" si="328"/>
        <v/>
      </c>
    </row>
    <row r="3399" spans="165:168">
      <c r="FI3399" s="16">
        <v>3396</v>
      </c>
      <c r="FJ3399" s="17" t="e">
        <f t="shared" si="327"/>
        <v>#VALUE!</v>
      </c>
      <c r="FK3399" s="17" t="str">
        <f t="shared" si="329"/>
        <v/>
      </c>
      <c r="FL3399" s="18" t="str">
        <f t="shared" si="328"/>
        <v/>
      </c>
    </row>
    <row r="3400" spans="165:168">
      <c r="FI3400" s="16">
        <v>3397</v>
      </c>
      <c r="FJ3400" s="17" t="e">
        <f t="shared" si="327"/>
        <v>#VALUE!</v>
      </c>
      <c r="FK3400" s="17" t="str">
        <f t="shared" si="329"/>
        <v/>
      </c>
      <c r="FL3400" s="18" t="str">
        <f t="shared" si="328"/>
        <v/>
      </c>
    </row>
    <row r="3401" spans="165:168">
      <c r="FI3401" s="16">
        <v>3398</v>
      </c>
      <c r="FJ3401" s="17" t="e">
        <f t="shared" si="327"/>
        <v>#VALUE!</v>
      </c>
      <c r="FK3401" s="17" t="str">
        <f t="shared" si="329"/>
        <v/>
      </c>
      <c r="FL3401" s="18" t="str">
        <f t="shared" si="328"/>
        <v/>
      </c>
    </row>
    <row r="3402" spans="165:168">
      <c r="FI3402" s="16">
        <v>3399</v>
      </c>
      <c r="FJ3402" s="17" t="e">
        <f t="shared" si="327"/>
        <v>#VALUE!</v>
      </c>
      <c r="FK3402" s="17" t="str">
        <f t="shared" si="329"/>
        <v/>
      </c>
      <c r="FL3402" s="18" t="str">
        <f t="shared" si="328"/>
        <v/>
      </c>
    </row>
    <row r="3403" spans="165:168">
      <c r="FI3403" s="16">
        <v>3400</v>
      </c>
      <c r="FJ3403" s="17" t="e">
        <f t="shared" si="327"/>
        <v>#VALUE!</v>
      </c>
      <c r="FK3403" s="17" t="str">
        <f t="shared" si="329"/>
        <v/>
      </c>
      <c r="FL3403" s="18" t="str">
        <f t="shared" si="328"/>
        <v/>
      </c>
    </row>
    <row r="3404" spans="165:168">
      <c r="FI3404" s="16">
        <v>3401</v>
      </c>
      <c r="FJ3404" s="17" t="e">
        <f t="shared" si="327"/>
        <v>#VALUE!</v>
      </c>
      <c r="FK3404" s="17" t="str">
        <f t="shared" si="329"/>
        <v/>
      </c>
      <c r="FL3404" s="18" t="str">
        <f t="shared" si="328"/>
        <v/>
      </c>
    </row>
    <row r="3405" spans="165:168">
      <c r="FI3405" s="16">
        <v>3402</v>
      </c>
      <c r="FJ3405" s="17" t="e">
        <f t="shared" si="327"/>
        <v>#VALUE!</v>
      </c>
      <c r="FK3405" s="17" t="str">
        <f t="shared" si="329"/>
        <v/>
      </c>
      <c r="FL3405" s="18" t="str">
        <f t="shared" si="328"/>
        <v/>
      </c>
    </row>
    <row r="3406" spans="165:168">
      <c r="FI3406" s="16">
        <v>3403</v>
      </c>
      <c r="FJ3406" s="17" t="e">
        <f t="shared" si="327"/>
        <v>#VALUE!</v>
      </c>
      <c r="FK3406" s="17" t="str">
        <f t="shared" si="329"/>
        <v/>
      </c>
      <c r="FL3406" s="18" t="str">
        <f t="shared" si="328"/>
        <v/>
      </c>
    </row>
    <row r="3407" spans="165:168">
      <c r="FI3407" s="16">
        <v>3404</v>
      </c>
      <c r="FJ3407" s="17" t="e">
        <f t="shared" si="327"/>
        <v>#VALUE!</v>
      </c>
      <c r="FK3407" s="17" t="str">
        <f t="shared" si="329"/>
        <v/>
      </c>
      <c r="FL3407" s="18" t="str">
        <f t="shared" si="328"/>
        <v/>
      </c>
    </row>
    <row r="3408" spans="165:168">
      <c r="FI3408" s="16">
        <v>3405</v>
      </c>
      <c r="FJ3408" s="17" t="e">
        <f t="shared" si="327"/>
        <v>#VALUE!</v>
      </c>
      <c r="FK3408" s="17" t="str">
        <f t="shared" si="329"/>
        <v/>
      </c>
      <c r="FL3408" s="18" t="str">
        <f t="shared" si="328"/>
        <v/>
      </c>
    </row>
    <row r="3409" spans="165:168">
      <c r="FI3409" s="16">
        <v>3406</v>
      </c>
      <c r="FJ3409" s="17" t="e">
        <f t="shared" si="327"/>
        <v>#VALUE!</v>
      </c>
      <c r="FK3409" s="17" t="str">
        <f t="shared" si="329"/>
        <v/>
      </c>
      <c r="FL3409" s="18" t="str">
        <f t="shared" si="328"/>
        <v/>
      </c>
    </row>
    <row r="3410" spans="165:168">
      <c r="FI3410" s="16">
        <v>3407</v>
      </c>
      <c r="FJ3410" s="17" t="e">
        <f t="shared" si="327"/>
        <v>#VALUE!</v>
      </c>
      <c r="FK3410" s="17" t="str">
        <f t="shared" si="329"/>
        <v/>
      </c>
      <c r="FL3410" s="18" t="str">
        <f t="shared" si="328"/>
        <v/>
      </c>
    </row>
    <row r="3411" spans="165:168">
      <c r="FI3411" s="16">
        <v>3408</v>
      </c>
      <c r="FJ3411" s="17" t="e">
        <f t="shared" si="327"/>
        <v>#VALUE!</v>
      </c>
      <c r="FK3411" s="17" t="str">
        <f t="shared" si="329"/>
        <v/>
      </c>
      <c r="FL3411" s="18" t="str">
        <f t="shared" si="328"/>
        <v/>
      </c>
    </row>
    <row r="3412" spans="165:168">
      <c r="FI3412" s="16">
        <v>3409</v>
      </c>
      <c r="FJ3412" s="17" t="e">
        <f t="shared" si="327"/>
        <v>#VALUE!</v>
      </c>
      <c r="FK3412" s="17" t="str">
        <f t="shared" si="329"/>
        <v/>
      </c>
      <c r="FL3412" s="18" t="str">
        <f t="shared" si="328"/>
        <v/>
      </c>
    </row>
    <row r="3413" spans="165:168">
      <c r="FI3413" s="16">
        <v>3410</v>
      </c>
      <c r="FJ3413" s="17" t="e">
        <f t="shared" si="327"/>
        <v>#VALUE!</v>
      </c>
      <c r="FK3413" s="17" t="str">
        <f t="shared" si="329"/>
        <v/>
      </c>
      <c r="FL3413" s="18" t="str">
        <f t="shared" si="328"/>
        <v/>
      </c>
    </row>
    <row r="3414" spans="165:168">
      <c r="FI3414" s="16">
        <v>3411</v>
      </c>
      <c r="FJ3414" s="17" t="e">
        <f t="shared" ref="FJ3414:FJ3473" si="330">IF(FE3414&lt;=$FH$1,INDEX($DW$4:$EZ$84,FD3414,FE3414),"")</f>
        <v>#VALUE!</v>
      </c>
      <c r="FK3414" s="17" t="str">
        <f t="shared" si="329"/>
        <v/>
      </c>
      <c r="FL3414" s="18" t="str">
        <f t="shared" ref="FL3414:FL3473" si="331">IFERROR(TEXT(DEC2BIN(FK3414),"00000000"),"")</f>
        <v/>
      </c>
    </row>
    <row r="3415" spans="165:168">
      <c r="FI3415" s="16">
        <v>3412</v>
      </c>
      <c r="FJ3415" s="17" t="e">
        <f t="shared" si="330"/>
        <v>#VALUE!</v>
      </c>
      <c r="FK3415" s="17" t="str">
        <f t="shared" si="329"/>
        <v/>
      </c>
      <c r="FL3415" s="18" t="str">
        <f t="shared" si="331"/>
        <v/>
      </c>
    </row>
    <row r="3416" spans="165:168">
      <c r="FI3416" s="16">
        <v>3413</v>
      </c>
      <c r="FJ3416" s="17" t="e">
        <f t="shared" si="330"/>
        <v>#VALUE!</v>
      </c>
      <c r="FK3416" s="17" t="str">
        <f t="shared" si="329"/>
        <v/>
      </c>
      <c r="FL3416" s="18" t="str">
        <f t="shared" si="331"/>
        <v/>
      </c>
    </row>
    <row r="3417" spans="165:168">
      <c r="FI3417" s="16">
        <v>3414</v>
      </c>
      <c r="FJ3417" s="17" t="e">
        <f t="shared" si="330"/>
        <v>#VALUE!</v>
      </c>
      <c r="FK3417" s="17" t="str">
        <f t="shared" si="329"/>
        <v/>
      </c>
      <c r="FL3417" s="18" t="str">
        <f t="shared" si="331"/>
        <v/>
      </c>
    </row>
    <row r="3418" spans="165:168">
      <c r="FI3418" s="16">
        <v>3415</v>
      </c>
      <c r="FJ3418" s="17" t="e">
        <f t="shared" si="330"/>
        <v>#VALUE!</v>
      </c>
      <c r="FK3418" s="17" t="str">
        <f t="shared" si="329"/>
        <v/>
      </c>
      <c r="FL3418" s="18" t="str">
        <f t="shared" si="331"/>
        <v/>
      </c>
    </row>
    <row r="3419" spans="165:168">
      <c r="FI3419" s="16">
        <v>3416</v>
      </c>
      <c r="FJ3419" s="17" t="e">
        <f t="shared" si="330"/>
        <v>#VALUE!</v>
      </c>
      <c r="FK3419" s="17" t="str">
        <f t="shared" si="329"/>
        <v/>
      </c>
      <c r="FL3419" s="18" t="str">
        <f t="shared" si="331"/>
        <v/>
      </c>
    </row>
    <row r="3420" spans="165:168">
      <c r="FI3420" s="16">
        <v>3417</v>
      </c>
      <c r="FJ3420" s="17" t="e">
        <f t="shared" si="330"/>
        <v>#VALUE!</v>
      </c>
      <c r="FK3420" s="17" t="str">
        <f t="shared" si="329"/>
        <v/>
      </c>
      <c r="FL3420" s="18" t="str">
        <f t="shared" si="331"/>
        <v/>
      </c>
    </row>
    <row r="3421" spans="165:168">
      <c r="FI3421" s="16">
        <v>3418</v>
      </c>
      <c r="FJ3421" s="17" t="e">
        <f t="shared" si="330"/>
        <v>#VALUE!</v>
      </c>
      <c r="FK3421" s="17" t="str">
        <f t="shared" si="329"/>
        <v/>
      </c>
      <c r="FL3421" s="18" t="str">
        <f t="shared" si="331"/>
        <v/>
      </c>
    </row>
    <row r="3422" spans="165:168">
      <c r="FI3422" s="16">
        <v>3419</v>
      </c>
      <c r="FJ3422" s="17" t="e">
        <f t="shared" si="330"/>
        <v>#VALUE!</v>
      </c>
      <c r="FK3422" s="17" t="str">
        <f t="shared" si="329"/>
        <v/>
      </c>
      <c r="FL3422" s="18" t="str">
        <f t="shared" si="331"/>
        <v/>
      </c>
    </row>
    <row r="3423" spans="165:168">
      <c r="FI3423" s="16">
        <v>3420</v>
      </c>
      <c r="FJ3423" s="17" t="e">
        <f t="shared" si="330"/>
        <v>#VALUE!</v>
      </c>
      <c r="FK3423" s="17" t="str">
        <f t="shared" si="329"/>
        <v/>
      </c>
      <c r="FL3423" s="18" t="str">
        <f t="shared" si="331"/>
        <v/>
      </c>
    </row>
    <row r="3424" spans="165:168">
      <c r="FI3424" s="16">
        <v>3421</v>
      </c>
      <c r="FJ3424" s="17" t="e">
        <f t="shared" si="330"/>
        <v>#VALUE!</v>
      </c>
      <c r="FK3424" s="17" t="str">
        <f t="shared" si="329"/>
        <v/>
      </c>
      <c r="FL3424" s="18" t="str">
        <f t="shared" si="331"/>
        <v/>
      </c>
    </row>
    <row r="3425" spans="165:168">
      <c r="FI3425" s="16">
        <v>3422</v>
      </c>
      <c r="FJ3425" s="17" t="e">
        <f t="shared" si="330"/>
        <v>#VALUE!</v>
      </c>
      <c r="FK3425" s="17" t="str">
        <f t="shared" si="329"/>
        <v/>
      </c>
      <c r="FL3425" s="18" t="str">
        <f t="shared" si="331"/>
        <v/>
      </c>
    </row>
    <row r="3426" spans="165:168">
      <c r="FI3426" s="16">
        <v>3423</v>
      </c>
      <c r="FJ3426" s="17" t="e">
        <f t="shared" si="330"/>
        <v>#VALUE!</v>
      </c>
      <c r="FK3426" s="17" t="str">
        <f t="shared" si="329"/>
        <v/>
      </c>
      <c r="FL3426" s="18" t="str">
        <f t="shared" si="331"/>
        <v/>
      </c>
    </row>
    <row r="3427" spans="165:168">
      <c r="FI3427" s="16">
        <v>3424</v>
      </c>
      <c r="FJ3427" s="17" t="e">
        <f t="shared" si="330"/>
        <v>#VALUE!</v>
      </c>
      <c r="FK3427" s="17" t="str">
        <f t="shared" si="329"/>
        <v/>
      </c>
      <c r="FL3427" s="18" t="str">
        <f t="shared" si="331"/>
        <v/>
      </c>
    </row>
    <row r="3428" spans="165:168">
      <c r="FI3428" s="16">
        <v>3425</v>
      </c>
      <c r="FJ3428" s="17" t="e">
        <f t="shared" si="330"/>
        <v>#VALUE!</v>
      </c>
      <c r="FK3428" s="17" t="str">
        <f t="shared" si="329"/>
        <v/>
      </c>
      <c r="FL3428" s="18" t="str">
        <f t="shared" si="331"/>
        <v/>
      </c>
    </row>
    <row r="3429" spans="165:168">
      <c r="FI3429" s="16">
        <v>3426</v>
      </c>
      <c r="FJ3429" s="17" t="e">
        <f t="shared" si="330"/>
        <v>#VALUE!</v>
      </c>
      <c r="FK3429" s="17" t="str">
        <f t="shared" si="329"/>
        <v/>
      </c>
      <c r="FL3429" s="18" t="str">
        <f t="shared" si="331"/>
        <v/>
      </c>
    </row>
    <row r="3430" spans="165:168">
      <c r="FI3430" s="16">
        <v>3427</v>
      </c>
      <c r="FJ3430" s="17" t="e">
        <f t="shared" si="330"/>
        <v>#VALUE!</v>
      </c>
      <c r="FK3430" s="17" t="str">
        <f t="shared" si="329"/>
        <v/>
      </c>
      <c r="FL3430" s="18" t="str">
        <f t="shared" si="331"/>
        <v/>
      </c>
    </row>
    <row r="3431" spans="165:168">
      <c r="FI3431" s="16">
        <v>3428</v>
      </c>
      <c r="FJ3431" s="17" t="e">
        <f t="shared" si="330"/>
        <v>#VALUE!</v>
      </c>
      <c r="FK3431" s="17" t="str">
        <f t="shared" si="329"/>
        <v/>
      </c>
      <c r="FL3431" s="18" t="str">
        <f t="shared" si="331"/>
        <v/>
      </c>
    </row>
    <row r="3432" spans="165:168">
      <c r="FI3432" s="16">
        <v>3429</v>
      </c>
      <c r="FJ3432" s="17" t="e">
        <f t="shared" si="330"/>
        <v>#VALUE!</v>
      </c>
      <c r="FK3432" s="17" t="str">
        <f t="shared" si="329"/>
        <v/>
      </c>
      <c r="FL3432" s="18" t="str">
        <f t="shared" si="331"/>
        <v/>
      </c>
    </row>
    <row r="3433" spans="165:168">
      <c r="FI3433" s="16">
        <v>3430</v>
      </c>
      <c r="FJ3433" s="17" t="e">
        <f t="shared" si="330"/>
        <v>#VALUE!</v>
      </c>
      <c r="FK3433" s="17" t="str">
        <f t="shared" si="329"/>
        <v/>
      </c>
      <c r="FL3433" s="18" t="str">
        <f t="shared" si="331"/>
        <v/>
      </c>
    </row>
    <row r="3434" spans="165:168">
      <c r="FI3434" s="16">
        <v>3431</v>
      </c>
      <c r="FJ3434" s="17" t="e">
        <f t="shared" si="330"/>
        <v>#VALUE!</v>
      </c>
      <c r="FK3434" s="17" t="str">
        <f t="shared" si="329"/>
        <v/>
      </c>
      <c r="FL3434" s="18" t="str">
        <f t="shared" si="331"/>
        <v/>
      </c>
    </row>
    <row r="3435" spans="165:168">
      <c r="FI3435" s="16">
        <v>3432</v>
      </c>
      <c r="FJ3435" s="17" t="e">
        <f t="shared" si="330"/>
        <v>#VALUE!</v>
      </c>
      <c r="FK3435" s="17" t="str">
        <f t="shared" si="329"/>
        <v/>
      </c>
      <c r="FL3435" s="18" t="str">
        <f t="shared" si="331"/>
        <v/>
      </c>
    </row>
    <row r="3436" spans="165:168">
      <c r="FI3436" s="16">
        <v>3433</v>
      </c>
      <c r="FJ3436" s="17" t="e">
        <f t="shared" si="330"/>
        <v>#VALUE!</v>
      </c>
      <c r="FK3436" s="17" t="str">
        <f t="shared" si="329"/>
        <v/>
      </c>
      <c r="FL3436" s="18" t="str">
        <f t="shared" si="331"/>
        <v/>
      </c>
    </row>
    <row r="3437" spans="165:168">
      <c r="FI3437" s="16">
        <v>3434</v>
      </c>
      <c r="FJ3437" s="17" t="e">
        <f t="shared" si="330"/>
        <v>#VALUE!</v>
      </c>
      <c r="FK3437" s="17" t="str">
        <f t="shared" si="329"/>
        <v/>
      </c>
      <c r="FL3437" s="18" t="str">
        <f t="shared" si="331"/>
        <v/>
      </c>
    </row>
    <row r="3438" spans="165:168">
      <c r="FI3438" s="16">
        <v>3435</v>
      </c>
      <c r="FJ3438" s="17" t="e">
        <f t="shared" si="330"/>
        <v>#VALUE!</v>
      </c>
      <c r="FK3438" s="17" t="str">
        <f t="shared" si="329"/>
        <v/>
      </c>
      <c r="FL3438" s="18" t="str">
        <f t="shared" si="331"/>
        <v/>
      </c>
    </row>
    <row r="3439" spans="165:168">
      <c r="FI3439" s="16">
        <v>3436</v>
      </c>
      <c r="FJ3439" s="17" t="e">
        <f t="shared" si="330"/>
        <v>#VALUE!</v>
      </c>
      <c r="FK3439" s="17" t="str">
        <f t="shared" si="329"/>
        <v/>
      </c>
      <c r="FL3439" s="18" t="str">
        <f t="shared" si="331"/>
        <v/>
      </c>
    </row>
    <row r="3440" spans="165:168">
      <c r="FI3440" s="16">
        <v>3437</v>
      </c>
      <c r="FJ3440" s="17" t="e">
        <f t="shared" si="330"/>
        <v>#VALUE!</v>
      </c>
      <c r="FK3440" s="17" t="str">
        <f t="shared" si="329"/>
        <v/>
      </c>
      <c r="FL3440" s="18" t="str">
        <f t="shared" si="331"/>
        <v/>
      </c>
    </row>
    <row r="3441" spans="165:168">
      <c r="FI3441" s="16">
        <v>3438</v>
      </c>
      <c r="FJ3441" s="17" t="e">
        <f t="shared" si="330"/>
        <v>#VALUE!</v>
      </c>
      <c r="FK3441" s="17" t="str">
        <f t="shared" si="329"/>
        <v/>
      </c>
      <c r="FL3441" s="18" t="str">
        <f t="shared" si="331"/>
        <v/>
      </c>
    </row>
    <row r="3442" spans="165:168">
      <c r="FI3442" s="16">
        <v>3439</v>
      </c>
      <c r="FJ3442" s="17" t="e">
        <f t="shared" si="330"/>
        <v>#VALUE!</v>
      </c>
      <c r="FK3442" s="17" t="str">
        <f t="shared" si="329"/>
        <v/>
      </c>
      <c r="FL3442" s="18" t="str">
        <f t="shared" si="331"/>
        <v/>
      </c>
    </row>
    <row r="3443" spans="165:168">
      <c r="FI3443" s="16">
        <v>3440</v>
      </c>
      <c r="FJ3443" s="17" t="e">
        <f t="shared" si="330"/>
        <v>#VALUE!</v>
      </c>
      <c r="FK3443" s="17" t="str">
        <f t="shared" si="329"/>
        <v/>
      </c>
      <c r="FL3443" s="18" t="str">
        <f t="shared" si="331"/>
        <v/>
      </c>
    </row>
    <row r="3444" spans="165:168">
      <c r="FI3444" s="16">
        <v>3441</v>
      </c>
      <c r="FJ3444" s="17" t="e">
        <f t="shared" si="330"/>
        <v>#VALUE!</v>
      </c>
      <c r="FK3444" s="17" t="str">
        <f t="shared" si="329"/>
        <v/>
      </c>
      <c r="FL3444" s="18" t="str">
        <f t="shared" si="331"/>
        <v/>
      </c>
    </row>
    <row r="3445" spans="165:168">
      <c r="FI3445" s="16">
        <v>3442</v>
      </c>
      <c r="FJ3445" s="17" t="e">
        <f t="shared" si="330"/>
        <v>#VALUE!</v>
      </c>
      <c r="FK3445" s="17" t="str">
        <f t="shared" si="329"/>
        <v/>
      </c>
      <c r="FL3445" s="18" t="str">
        <f t="shared" si="331"/>
        <v/>
      </c>
    </row>
    <row r="3446" spans="165:168">
      <c r="FI3446" s="16">
        <v>3443</v>
      </c>
      <c r="FJ3446" s="17" t="e">
        <f t="shared" si="330"/>
        <v>#VALUE!</v>
      </c>
      <c r="FK3446" s="17" t="str">
        <f t="shared" si="329"/>
        <v/>
      </c>
      <c r="FL3446" s="18" t="str">
        <f t="shared" si="331"/>
        <v/>
      </c>
    </row>
    <row r="3447" spans="165:168">
      <c r="FI3447" s="16">
        <v>3444</v>
      </c>
      <c r="FJ3447" s="17" t="e">
        <f t="shared" si="330"/>
        <v>#VALUE!</v>
      </c>
      <c r="FK3447" s="17" t="str">
        <f t="shared" si="329"/>
        <v/>
      </c>
      <c r="FL3447" s="18" t="str">
        <f t="shared" si="331"/>
        <v/>
      </c>
    </row>
    <row r="3448" spans="165:168">
      <c r="FI3448" s="16">
        <v>3445</v>
      </c>
      <c r="FJ3448" s="17" t="e">
        <f t="shared" si="330"/>
        <v>#VALUE!</v>
      </c>
      <c r="FK3448" s="17" t="str">
        <f t="shared" si="329"/>
        <v/>
      </c>
      <c r="FL3448" s="18" t="str">
        <f t="shared" si="331"/>
        <v/>
      </c>
    </row>
    <row r="3449" spans="165:168">
      <c r="FI3449" s="16">
        <v>3446</v>
      </c>
      <c r="FJ3449" s="17" t="e">
        <f t="shared" si="330"/>
        <v>#VALUE!</v>
      </c>
      <c r="FK3449" s="17" t="str">
        <f t="shared" si="329"/>
        <v/>
      </c>
      <c r="FL3449" s="18" t="str">
        <f t="shared" si="331"/>
        <v/>
      </c>
    </row>
    <row r="3450" spans="165:168">
      <c r="FI3450" s="16">
        <v>3447</v>
      </c>
      <c r="FJ3450" s="17" t="e">
        <f t="shared" si="330"/>
        <v>#VALUE!</v>
      </c>
      <c r="FK3450" s="17" t="str">
        <f t="shared" si="329"/>
        <v/>
      </c>
      <c r="FL3450" s="18" t="str">
        <f t="shared" si="331"/>
        <v/>
      </c>
    </row>
    <row r="3451" spans="165:168">
      <c r="FI3451" s="16">
        <v>3448</v>
      </c>
      <c r="FJ3451" s="17" t="e">
        <f t="shared" si="330"/>
        <v>#VALUE!</v>
      </c>
      <c r="FK3451" s="17" t="str">
        <f t="shared" si="329"/>
        <v/>
      </c>
      <c r="FL3451" s="18" t="str">
        <f t="shared" si="331"/>
        <v/>
      </c>
    </row>
    <row r="3452" spans="165:168">
      <c r="FI3452" s="16">
        <v>3449</v>
      </c>
      <c r="FJ3452" s="17" t="e">
        <f t="shared" si="330"/>
        <v>#VALUE!</v>
      </c>
      <c r="FK3452" s="17" t="str">
        <f t="shared" si="329"/>
        <v/>
      </c>
      <c r="FL3452" s="18" t="str">
        <f t="shared" si="331"/>
        <v/>
      </c>
    </row>
    <row r="3453" spans="165:168">
      <c r="FI3453" s="16">
        <v>3450</v>
      </c>
      <c r="FJ3453" s="17" t="e">
        <f t="shared" si="330"/>
        <v>#VALUE!</v>
      </c>
      <c r="FK3453" s="17" t="str">
        <f t="shared" si="329"/>
        <v/>
      </c>
      <c r="FL3453" s="18" t="str">
        <f t="shared" si="331"/>
        <v/>
      </c>
    </row>
    <row r="3454" spans="165:168">
      <c r="FI3454" s="16">
        <v>3451</v>
      </c>
      <c r="FJ3454" s="17" t="e">
        <f t="shared" si="330"/>
        <v>#VALUE!</v>
      </c>
      <c r="FK3454" s="17" t="str">
        <f t="shared" si="329"/>
        <v/>
      </c>
      <c r="FL3454" s="18" t="str">
        <f t="shared" si="331"/>
        <v/>
      </c>
    </row>
    <row r="3455" spans="165:168">
      <c r="FI3455" s="16">
        <v>3452</v>
      </c>
      <c r="FJ3455" s="17" t="e">
        <f t="shared" si="330"/>
        <v>#VALUE!</v>
      </c>
      <c r="FK3455" s="17" t="str">
        <f t="shared" si="329"/>
        <v/>
      </c>
      <c r="FL3455" s="18" t="str">
        <f t="shared" si="331"/>
        <v/>
      </c>
    </row>
    <row r="3456" spans="165:168">
      <c r="FI3456" s="16">
        <v>3453</v>
      </c>
      <c r="FJ3456" s="17" t="e">
        <f t="shared" si="330"/>
        <v>#VALUE!</v>
      </c>
      <c r="FK3456" s="17" t="str">
        <f t="shared" si="329"/>
        <v/>
      </c>
      <c r="FL3456" s="18" t="str">
        <f t="shared" si="331"/>
        <v/>
      </c>
    </row>
    <row r="3457" spans="165:168">
      <c r="FI3457" s="16">
        <v>3454</v>
      </c>
      <c r="FJ3457" s="17" t="e">
        <f t="shared" si="330"/>
        <v>#VALUE!</v>
      </c>
      <c r="FK3457" s="17" t="str">
        <f t="shared" si="329"/>
        <v/>
      </c>
      <c r="FL3457" s="18" t="str">
        <f t="shared" si="331"/>
        <v/>
      </c>
    </row>
    <row r="3458" spans="165:168">
      <c r="FI3458" s="16">
        <v>3455</v>
      </c>
      <c r="FJ3458" s="17" t="e">
        <f t="shared" si="330"/>
        <v>#VALUE!</v>
      </c>
      <c r="FK3458" s="17" t="str">
        <f t="shared" si="329"/>
        <v/>
      </c>
      <c r="FL3458" s="18" t="str">
        <f t="shared" si="331"/>
        <v/>
      </c>
    </row>
    <row r="3459" spans="165:168">
      <c r="FI3459" s="16">
        <v>3456</v>
      </c>
      <c r="FJ3459" s="17" t="e">
        <f t="shared" si="330"/>
        <v>#VALUE!</v>
      </c>
      <c r="FK3459" s="17" t="str">
        <f t="shared" si="329"/>
        <v/>
      </c>
      <c r="FL3459" s="18" t="str">
        <f t="shared" si="331"/>
        <v/>
      </c>
    </row>
    <row r="3460" spans="165:168">
      <c r="FI3460" s="16">
        <v>3457</v>
      </c>
      <c r="FJ3460" s="17" t="e">
        <f t="shared" si="330"/>
        <v>#VALUE!</v>
      </c>
      <c r="FK3460" s="17" t="str">
        <f t="shared" si="329"/>
        <v/>
      </c>
      <c r="FL3460" s="18" t="str">
        <f t="shared" si="331"/>
        <v/>
      </c>
    </row>
    <row r="3461" spans="165:168">
      <c r="FI3461" s="16">
        <v>3458</v>
      </c>
      <c r="FJ3461" s="17" t="e">
        <f t="shared" si="330"/>
        <v>#VALUE!</v>
      </c>
      <c r="FK3461" s="17" t="str">
        <f t="shared" ref="FK3461:FK3473" si="332">IF(FI3461&lt;=$FH$2,FF3461,IF(FI3461&lt;=$FH$2+$FH$3,INDEX($FJ$4:$FJ$2494,FI3461-$FH$2),""))</f>
        <v/>
      </c>
      <c r="FL3461" s="18" t="str">
        <f t="shared" si="331"/>
        <v/>
      </c>
    </row>
    <row r="3462" spans="165:168">
      <c r="FI3462" s="16">
        <v>3459</v>
      </c>
      <c r="FJ3462" s="17" t="e">
        <f t="shared" si="330"/>
        <v>#VALUE!</v>
      </c>
      <c r="FK3462" s="17" t="str">
        <f t="shared" si="332"/>
        <v/>
      </c>
      <c r="FL3462" s="18" t="str">
        <f t="shared" si="331"/>
        <v/>
      </c>
    </row>
    <row r="3463" spans="165:168">
      <c r="FI3463" s="16">
        <v>3460</v>
      </c>
      <c r="FJ3463" s="17" t="e">
        <f t="shared" si="330"/>
        <v>#VALUE!</v>
      </c>
      <c r="FK3463" s="17" t="str">
        <f t="shared" si="332"/>
        <v/>
      </c>
      <c r="FL3463" s="18" t="str">
        <f t="shared" si="331"/>
        <v/>
      </c>
    </row>
    <row r="3464" spans="165:168">
      <c r="FI3464" s="16">
        <v>3461</v>
      </c>
      <c r="FJ3464" s="17" t="e">
        <f t="shared" si="330"/>
        <v>#VALUE!</v>
      </c>
      <c r="FK3464" s="17" t="str">
        <f t="shared" si="332"/>
        <v/>
      </c>
      <c r="FL3464" s="18" t="str">
        <f t="shared" si="331"/>
        <v/>
      </c>
    </row>
    <row r="3465" spans="165:168">
      <c r="FI3465" s="16">
        <v>3462</v>
      </c>
      <c r="FJ3465" s="17" t="e">
        <f t="shared" si="330"/>
        <v>#VALUE!</v>
      </c>
      <c r="FK3465" s="17" t="str">
        <f t="shared" si="332"/>
        <v/>
      </c>
      <c r="FL3465" s="18" t="str">
        <f t="shared" si="331"/>
        <v/>
      </c>
    </row>
    <row r="3466" spans="165:168">
      <c r="FI3466" s="16">
        <v>3463</v>
      </c>
      <c r="FJ3466" s="17" t="e">
        <f t="shared" si="330"/>
        <v>#VALUE!</v>
      </c>
      <c r="FK3466" s="17" t="str">
        <f t="shared" si="332"/>
        <v/>
      </c>
      <c r="FL3466" s="18" t="str">
        <f t="shared" si="331"/>
        <v/>
      </c>
    </row>
    <row r="3467" spans="165:168">
      <c r="FI3467" s="16">
        <v>3464</v>
      </c>
      <c r="FJ3467" s="17" t="e">
        <f t="shared" si="330"/>
        <v>#VALUE!</v>
      </c>
      <c r="FK3467" s="17" t="str">
        <f t="shared" si="332"/>
        <v/>
      </c>
      <c r="FL3467" s="18" t="str">
        <f t="shared" si="331"/>
        <v/>
      </c>
    </row>
    <row r="3468" spans="165:168">
      <c r="FI3468" s="16">
        <v>3465</v>
      </c>
      <c r="FJ3468" s="17" t="e">
        <f t="shared" si="330"/>
        <v>#VALUE!</v>
      </c>
      <c r="FK3468" s="17" t="str">
        <f t="shared" si="332"/>
        <v/>
      </c>
      <c r="FL3468" s="18" t="str">
        <f t="shared" si="331"/>
        <v/>
      </c>
    </row>
    <row r="3469" spans="165:168">
      <c r="FI3469" s="16">
        <v>3466</v>
      </c>
      <c r="FJ3469" s="17" t="e">
        <f t="shared" si="330"/>
        <v>#VALUE!</v>
      </c>
      <c r="FK3469" s="17" t="str">
        <f t="shared" si="332"/>
        <v/>
      </c>
      <c r="FL3469" s="18" t="str">
        <f t="shared" si="331"/>
        <v/>
      </c>
    </row>
    <row r="3470" spans="165:168">
      <c r="FI3470" s="16">
        <v>3467</v>
      </c>
      <c r="FJ3470" s="17" t="e">
        <f t="shared" si="330"/>
        <v>#VALUE!</v>
      </c>
      <c r="FK3470" s="17" t="str">
        <f t="shared" si="332"/>
        <v/>
      </c>
      <c r="FL3470" s="18" t="str">
        <f t="shared" si="331"/>
        <v/>
      </c>
    </row>
    <row r="3471" spans="165:168">
      <c r="FI3471" s="16">
        <v>3468</v>
      </c>
      <c r="FJ3471" s="17" t="e">
        <f t="shared" si="330"/>
        <v>#VALUE!</v>
      </c>
      <c r="FK3471" s="17" t="str">
        <f t="shared" si="332"/>
        <v/>
      </c>
      <c r="FL3471" s="18" t="str">
        <f t="shared" si="331"/>
        <v/>
      </c>
    </row>
    <row r="3472" spans="165:168">
      <c r="FI3472" s="16">
        <v>3469</v>
      </c>
      <c r="FJ3472" s="17" t="e">
        <f t="shared" si="330"/>
        <v>#VALUE!</v>
      </c>
      <c r="FK3472" s="17" t="str">
        <f t="shared" si="332"/>
        <v/>
      </c>
      <c r="FL3472" s="18" t="str">
        <f t="shared" si="331"/>
        <v/>
      </c>
    </row>
    <row r="3473" spans="165:168">
      <c r="FI3473" s="16">
        <v>3470</v>
      </c>
      <c r="FJ3473" s="17" t="e">
        <f t="shared" si="330"/>
        <v>#VALUE!</v>
      </c>
      <c r="FK3473" s="17" t="str">
        <f t="shared" si="332"/>
        <v/>
      </c>
      <c r="FL3473" s="18" t="str">
        <f t="shared" si="331"/>
        <v/>
      </c>
    </row>
  </sheetData>
  <mergeCells count="5">
    <mergeCell ref="D1:I1"/>
    <mergeCell ref="FI2:FJ2"/>
    <mergeCell ref="A2:C2"/>
    <mergeCell ref="FC2:FF2"/>
    <mergeCell ref="FN21:FO2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IZ262"/>
  <sheetViews>
    <sheetView zoomScale="110" zoomScaleNormal="110" workbookViewId="0">
      <pane xSplit="5" ySplit="3" topLeftCell="F13" activePane="bottomRight" state="frozen"/>
      <selection activeCell="H4" sqref="H4:H5"/>
      <selection pane="topRight" activeCell="H4" sqref="H4:H5"/>
      <selection pane="bottomLeft" activeCell="H4" sqref="H4:H5"/>
      <selection pane="bottomRight" activeCell="P27" sqref="P27"/>
    </sheetView>
  </sheetViews>
  <sheetFormatPr defaultColWidth="8.85546875" defaultRowHeight="12.75"/>
  <cols>
    <col min="1" max="5" width="8.85546875" style="53"/>
    <col min="6" max="261" width="4.140625" style="53" customWidth="1"/>
    <col min="262" max="16384" width="8.85546875" style="53"/>
  </cols>
  <sheetData>
    <row r="1" spans="1:260">
      <c r="A1" s="53" t="s">
        <v>119</v>
      </c>
    </row>
    <row r="2" spans="1:260">
      <c r="A2" s="53" t="s">
        <v>120</v>
      </c>
      <c r="B2" s="53" t="s">
        <v>121</v>
      </c>
    </row>
    <row r="3" spans="1:260">
      <c r="A3" s="53" t="s">
        <v>122</v>
      </c>
    </row>
    <row r="4" spans="1:260">
      <c r="A4" s="53" t="s">
        <v>123</v>
      </c>
    </row>
    <row r="5" spans="1:260">
      <c r="A5" s="182" t="s">
        <v>124</v>
      </c>
      <c r="B5" s="182"/>
      <c r="C5" s="182"/>
    </row>
    <row r="6" spans="1:260">
      <c r="A6" s="53" t="s">
        <v>125</v>
      </c>
      <c r="B6" s="53" t="s">
        <v>126</v>
      </c>
      <c r="C6" s="53" t="s">
        <v>137</v>
      </c>
      <c r="F6" s="53">
        <v>1</v>
      </c>
      <c r="G6" s="53">
        <v>2</v>
      </c>
      <c r="H6" s="53">
        <v>3</v>
      </c>
      <c r="I6" s="53">
        <v>4</v>
      </c>
      <c r="J6" s="53">
        <v>5</v>
      </c>
      <c r="K6" s="53">
        <v>6</v>
      </c>
      <c r="L6" s="53">
        <v>7</v>
      </c>
      <c r="M6" s="53">
        <v>8</v>
      </c>
      <c r="N6" s="53">
        <v>9</v>
      </c>
      <c r="O6" s="53">
        <v>10</v>
      </c>
      <c r="P6" s="53">
        <v>11</v>
      </c>
      <c r="Q6" s="53">
        <v>12</v>
      </c>
      <c r="R6" s="53">
        <v>13</v>
      </c>
      <c r="S6" s="53">
        <v>14</v>
      </c>
      <c r="T6" s="53">
        <v>15</v>
      </c>
      <c r="U6" s="53">
        <v>16</v>
      </c>
      <c r="V6" s="53">
        <v>17</v>
      </c>
      <c r="W6" s="53">
        <v>18</v>
      </c>
      <c r="X6" s="53">
        <v>19</v>
      </c>
      <c r="Y6" s="53">
        <v>20</v>
      </c>
      <c r="Z6" s="53">
        <v>21</v>
      </c>
      <c r="AA6" s="53">
        <v>22</v>
      </c>
      <c r="AB6" s="53">
        <v>23</v>
      </c>
      <c r="AC6" s="53">
        <v>24</v>
      </c>
      <c r="AD6" s="53">
        <v>25</v>
      </c>
      <c r="AE6" s="53">
        <v>26</v>
      </c>
      <c r="AF6" s="53">
        <v>27</v>
      </c>
      <c r="AG6" s="53">
        <v>28</v>
      </c>
      <c r="AH6" s="53">
        <v>29</v>
      </c>
      <c r="AI6" s="53">
        <v>30</v>
      </c>
      <c r="AJ6" s="53">
        <v>31</v>
      </c>
      <c r="AK6" s="53">
        <v>32</v>
      </c>
      <c r="AL6" s="53">
        <v>33</v>
      </c>
      <c r="AM6" s="53">
        <v>34</v>
      </c>
      <c r="AN6" s="53">
        <v>35</v>
      </c>
      <c r="AO6" s="53">
        <v>36</v>
      </c>
      <c r="AP6" s="53">
        <v>37</v>
      </c>
      <c r="AQ6" s="53">
        <v>38</v>
      </c>
      <c r="AR6" s="53">
        <v>39</v>
      </c>
      <c r="AS6" s="53">
        <v>40</v>
      </c>
      <c r="AT6" s="53">
        <v>41</v>
      </c>
      <c r="AU6" s="53">
        <v>42</v>
      </c>
      <c r="AV6" s="53">
        <v>43</v>
      </c>
      <c r="AW6" s="53">
        <v>44</v>
      </c>
      <c r="AX6" s="53">
        <v>45</v>
      </c>
      <c r="AY6" s="53">
        <v>46</v>
      </c>
      <c r="AZ6" s="53">
        <v>47</v>
      </c>
      <c r="BA6" s="53">
        <v>48</v>
      </c>
      <c r="BB6" s="53">
        <v>49</v>
      </c>
      <c r="BC6" s="53">
        <v>50</v>
      </c>
      <c r="BD6" s="53">
        <v>51</v>
      </c>
      <c r="BE6" s="53">
        <v>52</v>
      </c>
      <c r="BF6" s="53">
        <v>53</v>
      </c>
      <c r="BG6" s="53">
        <v>54</v>
      </c>
      <c r="BH6" s="53">
        <v>55</v>
      </c>
      <c r="BI6" s="53">
        <v>56</v>
      </c>
      <c r="BJ6" s="53">
        <v>57</v>
      </c>
      <c r="BK6" s="53">
        <v>58</v>
      </c>
      <c r="BL6" s="53">
        <v>59</v>
      </c>
      <c r="BM6" s="53">
        <v>60</v>
      </c>
      <c r="BN6" s="53">
        <v>61</v>
      </c>
      <c r="BO6" s="53">
        <v>62</v>
      </c>
      <c r="BP6" s="53">
        <v>63</v>
      </c>
      <c r="BQ6" s="53">
        <v>64</v>
      </c>
      <c r="BR6" s="53">
        <v>65</v>
      </c>
      <c r="BS6" s="53">
        <v>66</v>
      </c>
      <c r="BT6" s="53">
        <v>67</v>
      </c>
      <c r="BU6" s="53">
        <v>68</v>
      </c>
      <c r="BV6" s="53">
        <v>69</v>
      </c>
      <c r="BW6" s="53">
        <v>70</v>
      </c>
      <c r="BX6" s="53">
        <v>71</v>
      </c>
      <c r="BY6" s="53">
        <v>72</v>
      </c>
      <c r="BZ6" s="53">
        <v>73</v>
      </c>
      <c r="CA6" s="53">
        <v>74</v>
      </c>
      <c r="CB6" s="53">
        <v>75</v>
      </c>
      <c r="CC6" s="53">
        <v>76</v>
      </c>
      <c r="CD6" s="53">
        <v>77</v>
      </c>
      <c r="CE6" s="53">
        <v>78</v>
      </c>
      <c r="CF6" s="53">
        <v>79</v>
      </c>
      <c r="CG6" s="53">
        <v>80</v>
      </c>
      <c r="CH6" s="53">
        <v>81</v>
      </c>
      <c r="CI6" s="53">
        <v>82</v>
      </c>
      <c r="CJ6" s="53">
        <v>83</v>
      </c>
      <c r="CK6" s="53">
        <v>84</v>
      </c>
      <c r="CL6" s="53">
        <v>85</v>
      </c>
      <c r="CM6" s="53">
        <v>86</v>
      </c>
      <c r="CN6" s="53">
        <v>87</v>
      </c>
      <c r="CO6" s="53">
        <v>88</v>
      </c>
      <c r="CP6" s="53">
        <v>89</v>
      </c>
      <c r="CQ6" s="53">
        <v>90</v>
      </c>
      <c r="CR6" s="53">
        <v>91</v>
      </c>
      <c r="CS6" s="53">
        <v>92</v>
      </c>
      <c r="CT6" s="53">
        <v>93</v>
      </c>
      <c r="CU6" s="53">
        <v>94</v>
      </c>
      <c r="CV6" s="53">
        <v>95</v>
      </c>
      <c r="CW6" s="53">
        <v>96</v>
      </c>
      <c r="CX6" s="53">
        <v>97</v>
      </c>
      <c r="CY6" s="53">
        <v>98</v>
      </c>
      <c r="CZ6" s="53">
        <v>99</v>
      </c>
      <c r="DA6" s="53">
        <v>100</v>
      </c>
      <c r="DB6" s="53">
        <v>101</v>
      </c>
      <c r="DC6" s="53">
        <v>102</v>
      </c>
      <c r="DD6" s="53">
        <v>103</v>
      </c>
      <c r="DE6" s="53">
        <v>104</v>
      </c>
      <c r="DF6" s="53">
        <v>105</v>
      </c>
      <c r="DG6" s="53">
        <v>106</v>
      </c>
      <c r="DH6" s="53">
        <v>107</v>
      </c>
      <c r="DI6" s="53">
        <v>108</v>
      </c>
      <c r="DJ6" s="53">
        <v>109</v>
      </c>
      <c r="DK6" s="53">
        <v>110</v>
      </c>
      <c r="DL6" s="53">
        <v>111</v>
      </c>
      <c r="DM6" s="53">
        <v>112</v>
      </c>
      <c r="DN6" s="53">
        <v>113</v>
      </c>
      <c r="DO6" s="53">
        <v>114</v>
      </c>
      <c r="DP6" s="53">
        <v>115</v>
      </c>
      <c r="DQ6" s="53">
        <v>116</v>
      </c>
      <c r="DR6" s="53">
        <v>117</v>
      </c>
      <c r="DS6" s="53">
        <v>118</v>
      </c>
      <c r="DT6" s="53">
        <v>119</v>
      </c>
      <c r="DU6" s="53">
        <v>120</v>
      </c>
      <c r="DV6" s="53">
        <v>121</v>
      </c>
      <c r="DW6" s="53">
        <v>122</v>
      </c>
      <c r="DX6" s="53">
        <v>123</v>
      </c>
      <c r="DY6" s="53">
        <v>124</v>
      </c>
      <c r="DZ6" s="53">
        <v>125</v>
      </c>
      <c r="EA6" s="53">
        <v>126</v>
      </c>
      <c r="EB6" s="53">
        <v>127</v>
      </c>
      <c r="EC6" s="53">
        <v>128</v>
      </c>
      <c r="ED6" s="53">
        <v>129</v>
      </c>
      <c r="EE6" s="53">
        <v>130</v>
      </c>
      <c r="EF6" s="53">
        <v>131</v>
      </c>
      <c r="EG6" s="53">
        <v>132</v>
      </c>
      <c r="EH6" s="53">
        <v>133</v>
      </c>
      <c r="EI6" s="53">
        <v>134</v>
      </c>
      <c r="EJ6" s="53">
        <v>135</v>
      </c>
      <c r="EK6" s="53">
        <v>136</v>
      </c>
      <c r="EL6" s="53">
        <v>137</v>
      </c>
      <c r="EM6" s="53">
        <v>138</v>
      </c>
      <c r="EN6" s="53">
        <v>139</v>
      </c>
      <c r="EO6" s="53">
        <v>140</v>
      </c>
      <c r="EP6" s="53">
        <v>141</v>
      </c>
      <c r="EQ6" s="53">
        <v>142</v>
      </c>
      <c r="ER6" s="53">
        <v>143</v>
      </c>
      <c r="ES6" s="53">
        <v>144</v>
      </c>
      <c r="ET6" s="53">
        <v>145</v>
      </c>
      <c r="EU6" s="53">
        <v>146</v>
      </c>
      <c r="EV6" s="53">
        <v>147</v>
      </c>
      <c r="EW6" s="53">
        <v>148</v>
      </c>
      <c r="EX6" s="53">
        <v>149</v>
      </c>
      <c r="EY6" s="53">
        <v>150</v>
      </c>
      <c r="EZ6" s="53">
        <v>151</v>
      </c>
      <c r="FA6" s="53">
        <v>152</v>
      </c>
      <c r="FB6" s="53">
        <v>153</v>
      </c>
      <c r="FC6" s="53">
        <v>154</v>
      </c>
      <c r="FD6" s="53">
        <v>155</v>
      </c>
      <c r="FE6" s="53">
        <v>156</v>
      </c>
      <c r="FF6" s="53">
        <v>157</v>
      </c>
      <c r="FG6" s="53">
        <v>158</v>
      </c>
      <c r="FH6" s="53">
        <v>159</v>
      </c>
      <c r="FI6" s="53">
        <v>160</v>
      </c>
      <c r="FJ6" s="53">
        <v>161</v>
      </c>
      <c r="FK6" s="53">
        <v>162</v>
      </c>
      <c r="FL6" s="53">
        <v>163</v>
      </c>
      <c r="FM6" s="53">
        <v>164</v>
      </c>
      <c r="FN6" s="53">
        <v>165</v>
      </c>
      <c r="FO6" s="53">
        <v>166</v>
      </c>
      <c r="FP6" s="53">
        <v>167</v>
      </c>
      <c r="FQ6" s="53">
        <v>168</v>
      </c>
      <c r="FR6" s="53">
        <v>169</v>
      </c>
      <c r="FS6" s="53">
        <v>170</v>
      </c>
      <c r="FT6" s="53">
        <v>171</v>
      </c>
      <c r="FU6" s="53">
        <v>172</v>
      </c>
      <c r="FV6" s="53">
        <v>173</v>
      </c>
      <c r="FW6" s="53">
        <v>174</v>
      </c>
      <c r="FX6" s="53">
        <v>175</v>
      </c>
      <c r="FY6" s="53">
        <v>176</v>
      </c>
      <c r="FZ6" s="53">
        <v>177</v>
      </c>
      <c r="GA6" s="53">
        <v>178</v>
      </c>
      <c r="GB6" s="53">
        <v>179</v>
      </c>
      <c r="GC6" s="53">
        <v>180</v>
      </c>
      <c r="GD6" s="53">
        <v>181</v>
      </c>
      <c r="GE6" s="53">
        <v>182</v>
      </c>
      <c r="GF6" s="53">
        <v>183</v>
      </c>
      <c r="GG6" s="53">
        <v>184</v>
      </c>
      <c r="GH6" s="53">
        <v>185</v>
      </c>
      <c r="GI6" s="53">
        <v>186</v>
      </c>
      <c r="GJ6" s="53">
        <v>187</v>
      </c>
      <c r="GK6" s="53">
        <v>188</v>
      </c>
      <c r="GL6" s="53">
        <v>189</v>
      </c>
      <c r="GM6" s="53">
        <v>190</v>
      </c>
      <c r="GN6" s="53">
        <v>191</v>
      </c>
      <c r="GO6" s="53">
        <v>192</v>
      </c>
      <c r="GP6" s="53">
        <v>193</v>
      </c>
      <c r="GQ6" s="53">
        <v>194</v>
      </c>
      <c r="GR6" s="53">
        <v>195</v>
      </c>
      <c r="GS6" s="53">
        <v>196</v>
      </c>
      <c r="GT6" s="53">
        <v>197</v>
      </c>
      <c r="GU6" s="53">
        <v>198</v>
      </c>
      <c r="GV6" s="53">
        <v>199</v>
      </c>
      <c r="GW6" s="53">
        <v>200</v>
      </c>
      <c r="GX6" s="53">
        <v>201</v>
      </c>
      <c r="GY6" s="53">
        <v>202</v>
      </c>
      <c r="GZ6" s="53">
        <v>203</v>
      </c>
      <c r="HA6" s="53">
        <v>204</v>
      </c>
      <c r="HB6" s="53">
        <v>205</v>
      </c>
      <c r="HC6" s="53">
        <v>206</v>
      </c>
      <c r="HD6" s="53">
        <v>207</v>
      </c>
      <c r="HE6" s="53">
        <v>208</v>
      </c>
      <c r="HF6" s="53">
        <v>209</v>
      </c>
      <c r="HG6" s="53">
        <v>210</v>
      </c>
      <c r="HH6" s="53">
        <v>211</v>
      </c>
      <c r="HI6" s="53">
        <v>212</v>
      </c>
      <c r="HJ6" s="53">
        <v>213</v>
      </c>
      <c r="HK6" s="53">
        <v>214</v>
      </c>
      <c r="HL6" s="53">
        <v>215</v>
      </c>
      <c r="HM6" s="53">
        <v>216</v>
      </c>
      <c r="HN6" s="53">
        <v>217</v>
      </c>
      <c r="HO6" s="53">
        <v>218</v>
      </c>
      <c r="HP6" s="53">
        <v>219</v>
      </c>
      <c r="HQ6" s="53">
        <v>220</v>
      </c>
      <c r="HR6" s="53">
        <v>221</v>
      </c>
      <c r="HS6" s="53">
        <v>222</v>
      </c>
      <c r="HT6" s="53">
        <v>223</v>
      </c>
      <c r="HU6" s="53">
        <v>224</v>
      </c>
      <c r="HV6" s="53">
        <v>225</v>
      </c>
      <c r="HW6" s="53">
        <v>226</v>
      </c>
      <c r="HX6" s="53">
        <v>227</v>
      </c>
      <c r="HY6" s="53">
        <v>228</v>
      </c>
      <c r="HZ6" s="53">
        <v>229</v>
      </c>
      <c r="IA6" s="53">
        <v>230</v>
      </c>
      <c r="IB6" s="53">
        <v>231</v>
      </c>
      <c r="IC6" s="53">
        <v>232</v>
      </c>
      <c r="ID6" s="53">
        <v>233</v>
      </c>
      <c r="IE6" s="53">
        <v>234</v>
      </c>
      <c r="IF6" s="53">
        <v>235</v>
      </c>
      <c r="IG6" s="53">
        <v>236</v>
      </c>
      <c r="IH6" s="53">
        <v>237</v>
      </c>
      <c r="II6" s="53">
        <v>238</v>
      </c>
      <c r="IJ6" s="53">
        <v>239</v>
      </c>
      <c r="IK6" s="53">
        <v>240</v>
      </c>
      <c r="IL6" s="53">
        <v>241</v>
      </c>
      <c r="IM6" s="53">
        <v>242</v>
      </c>
      <c r="IN6" s="53">
        <v>243</v>
      </c>
      <c r="IO6" s="53">
        <v>244</v>
      </c>
      <c r="IP6" s="53">
        <v>245</v>
      </c>
      <c r="IQ6" s="53">
        <v>246</v>
      </c>
      <c r="IR6" s="53">
        <v>247</v>
      </c>
      <c r="IS6" s="53">
        <v>248</v>
      </c>
      <c r="IT6" s="53">
        <v>249</v>
      </c>
      <c r="IU6" s="53">
        <v>250</v>
      </c>
      <c r="IV6" s="53">
        <v>251</v>
      </c>
      <c r="IW6" s="53">
        <v>252</v>
      </c>
      <c r="IX6" s="53">
        <v>253</v>
      </c>
      <c r="IY6" s="53">
        <v>254</v>
      </c>
      <c r="IZ6" s="53">
        <v>255</v>
      </c>
    </row>
    <row r="7" spans="1:260">
      <c r="A7" s="53">
        <v>1</v>
      </c>
      <c r="B7" s="53">
        <v>0</v>
      </c>
      <c r="C7" s="53">
        <v>1</v>
      </c>
      <c r="D7" s="53">
        <v>0</v>
      </c>
      <c r="E7" s="53">
        <v>1</v>
      </c>
      <c r="F7" s="53">
        <v>1</v>
      </c>
      <c r="G7" s="53">
        <v>2</v>
      </c>
      <c r="H7" s="53">
        <v>4</v>
      </c>
      <c r="I7" s="53">
        <v>8</v>
      </c>
      <c r="J7" s="53">
        <v>16</v>
      </c>
      <c r="K7" s="53">
        <v>32</v>
      </c>
      <c r="L7" s="53">
        <v>64</v>
      </c>
      <c r="M7" s="53">
        <v>128</v>
      </c>
      <c r="N7" s="53">
        <v>29</v>
      </c>
      <c r="O7" s="53">
        <v>58</v>
      </c>
      <c r="P7" s="53">
        <v>116</v>
      </c>
      <c r="Q7" s="53">
        <v>232</v>
      </c>
      <c r="R7" s="53">
        <v>205</v>
      </c>
      <c r="S7" s="53">
        <v>135</v>
      </c>
      <c r="T7" s="53">
        <v>19</v>
      </c>
      <c r="U7" s="53">
        <v>38</v>
      </c>
      <c r="V7" s="53">
        <v>76</v>
      </c>
      <c r="W7" s="53">
        <v>152</v>
      </c>
      <c r="X7" s="53">
        <v>45</v>
      </c>
      <c r="Y7" s="53">
        <v>90</v>
      </c>
      <c r="Z7" s="53">
        <v>180</v>
      </c>
      <c r="AA7" s="53">
        <v>117</v>
      </c>
      <c r="AB7" s="53">
        <v>234</v>
      </c>
      <c r="AC7" s="53">
        <v>201</v>
      </c>
      <c r="AD7" s="53">
        <v>143</v>
      </c>
      <c r="AE7" s="53">
        <v>3</v>
      </c>
      <c r="AF7" s="53">
        <v>6</v>
      </c>
      <c r="AG7" s="53">
        <v>12</v>
      </c>
      <c r="AH7" s="53">
        <v>24</v>
      </c>
      <c r="AI7" s="53">
        <v>48</v>
      </c>
      <c r="AJ7" s="53">
        <v>96</v>
      </c>
      <c r="AK7" s="53">
        <v>192</v>
      </c>
      <c r="AL7" s="53">
        <v>157</v>
      </c>
      <c r="AM7" s="53">
        <v>39</v>
      </c>
      <c r="AN7" s="53">
        <v>78</v>
      </c>
      <c r="AO7" s="53">
        <v>156</v>
      </c>
      <c r="AP7" s="53">
        <v>37</v>
      </c>
      <c r="AQ7" s="53">
        <v>74</v>
      </c>
      <c r="AR7" s="53">
        <v>148</v>
      </c>
      <c r="AS7" s="53">
        <v>53</v>
      </c>
      <c r="AT7" s="53">
        <v>106</v>
      </c>
      <c r="AU7" s="53">
        <v>212</v>
      </c>
      <c r="AV7" s="53">
        <v>181</v>
      </c>
      <c r="AW7" s="53">
        <v>119</v>
      </c>
      <c r="AX7" s="53">
        <v>238</v>
      </c>
      <c r="AY7" s="53">
        <v>193</v>
      </c>
      <c r="AZ7" s="53">
        <v>159</v>
      </c>
      <c r="BA7" s="53">
        <v>35</v>
      </c>
      <c r="BB7" s="53">
        <v>70</v>
      </c>
      <c r="BC7" s="53">
        <v>140</v>
      </c>
      <c r="BD7" s="53">
        <v>5</v>
      </c>
      <c r="BE7" s="53">
        <v>10</v>
      </c>
      <c r="BF7" s="53">
        <v>20</v>
      </c>
      <c r="BG7" s="53">
        <v>40</v>
      </c>
      <c r="BH7" s="53">
        <v>80</v>
      </c>
      <c r="BI7" s="53">
        <v>160</v>
      </c>
      <c r="BJ7" s="53">
        <v>93</v>
      </c>
      <c r="BK7" s="53">
        <v>186</v>
      </c>
      <c r="BL7" s="53">
        <v>105</v>
      </c>
      <c r="BM7" s="53">
        <v>210</v>
      </c>
      <c r="BN7" s="53">
        <v>185</v>
      </c>
      <c r="BO7" s="53">
        <v>111</v>
      </c>
      <c r="BP7" s="53">
        <v>222</v>
      </c>
      <c r="BQ7" s="53">
        <v>161</v>
      </c>
      <c r="BR7" s="53">
        <v>95</v>
      </c>
      <c r="BS7" s="53">
        <v>190</v>
      </c>
      <c r="BT7" s="53">
        <v>97</v>
      </c>
      <c r="BU7" s="53">
        <v>194</v>
      </c>
      <c r="BV7" s="53">
        <v>153</v>
      </c>
      <c r="BW7" s="53">
        <v>47</v>
      </c>
      <c r="BX7" s="53">
        <v>94</v>
      </c>
      <c r="BY7" s="53">
        <v>188</v>
      </c>
      <c r="BZ7" s="53">
        <v>101</v>
      </c>
      <c r="CA7" s="53">
        <v>202</v>
      </c>
      <c r="CB7" s="53">
        <v>137</v>
      </c>
      <c r="CC7" s="53">
        <v>15</v>
      </c>
      <c r="CD7" s="53">
        <v>30</v>
      </c>
      <c r="CE7" s="53">
        <v>60</v>
      </c>
      <c r="CF7" s="53">
        <v>120</v>
      </c>
      <c r="CG7" s="53">
        <v>240</v>
      </c>
      <c r="CH7" s="53">
        <v>253</v>
      </c>
      <c r="CI7" s="53">
        <v>231</v>
      </c>
      <c r="CJ7" s="53">
        <v>211</v>
      </c>
      <c r="CK7" s="53">
        <v>187</v>
      </c>
      <c r="CL7" s="53">
        <v>107</v>
      </c>
      <c r="CM7" s="53">
        <v>214</v>
      </c>
      <c r="CN7" s="53">
        <v>177</v>
      </c>
      <c r="CO7" s="53">
        <v>127</v>
      </c>
      <c r="CP7" s="53">
        <v>254</v>
      </c>
      <c r="CQ7" s="53">
        <v>225</v>
      </c>
      <c r="CR7" s="53">
        <v>223</v>
      </c>
      <c r="CS7" s="53">
        <v>163</v>
      </c>
      <c r="CT7" s="53">
        <v>91</v>
      </c>
      <c r="CU7" s="53">
        <v>182</v>
      </c>
      <c r="CV7" s="53">
        <v>113</v>
      </c>
      <c r="CW7" s="53">
        <v>226</v>
      </c>
      <c r="CX7" s="53">
        <v>217</v>
      </c>
      <c r="CY7" s="53">
        <v>175</v>
      </c>
      <c r="CZ7" s="53">
        <v>67</v>
      </c>
      <c r="DA7" s="53">
        <v>134</v>
      </c>
      <c r="DB7" s="53">
        <v>17</v>
      </c>
      <c r="DC7" s="53">
        <v>34</v>
      </c>
      <c r="DD7" s="53">
        <v>68</v>
      </c>
      <c r="DE7" s="53">
        <v>136</v>
      </c>
      <c r="DF7" s="53">
        <v>13</v>
      </c>
      <c r="DG7" s="53">
        <v>26</v>
      </c>
      <c r="DH7" s="53">
        <v>52</v>
      </c>
      <c r="DI7" s="53">
        <v>104</v>
      </c>
      <c r="DJ7" s="53">
        <v>208</v>
      </c>
      <c r="DK7" s="53">
        <v>189</v>
      </c>
      <c r="DL7" s="53">
        <v>103</v>
      </c>
      <c r="DM7" s="53">
        <v>206</v>
      </c>
      <c r="DN7" s="53">
        <v>129</v>
      </c>
      <c r="DO7" s="53">
        <v>31</v>
      </c>
      <c r="DP7" s="53">
        <v>62</v>
      </c>
      <c r="DQ7" s="53">
        <v>124</v>
      </c>
      <c r="DR7" s="53">
        <v>248</v>
      </c>
      <c r="DS7" s="53">
        <v>237</v>
      </c>
      <c r="DT7" s="53">
        <v>199</v>
      </c>
      <c r="DU7" s="53">
        <v>147</v>
      </c>
      <c r="DV7" s="53">
        <v>59</v>
      </c>
      <c r="DW7" s="53">
        <v>118</v>
      </c>
      <c r="DX7" s="53">
        <v>236</v>
      </c>
      <c r="DY7" s="53">
        <v>197</v>
      </c>
      <c r="DZ7" s="53">
        <v>151</v>
      </c>
      <c r="EA7" s="53">
        <v>51</v>
      </c>
      <c r="EB7" s="53">
        <v>102</v>
      </c>
      <c r="EC7" s="53">
        <v>204</v>
      </c>
      <c r="ED7" s="53">
        <v>133</v>
      </c>
      <c r="EE7" s="53">
        <v>23</v>
      </c>
      <c r="EF7" s="53">
        <v>46</v>
      </c>
      <c r="EG7" s="53">
        <v>92</v>
      </c>
      <c r="EH7" s="53">
        <v>184</v>
      </c>
      <c r="EI7" s="53">
        <v>109</v>
      </c>
      <c r="EJ7" s="53">
        <v>218</v>
      </c>
      <c r="EK7" s="53">
        <v>169</v>
      </c>
      <c r="EL7" s="53">
        <v>79</v>
      </c>
      <c r="EM7" s="53">
        <v>158</v>
      </c>
      <c r="EN7" s="53">
        <v>33</v>
      </c>
      <c r="EO7" s="53">
        <v>66</v>
      </c>
      <c r="EP7" s="53">
        <v>132</v>
      </c>
      <c r="EQ7" s="53">
        <v>21</v>
      </c>
      <c r="ER7" s="53">
        <v>42</v>
      </c>
      <c r="ES7" s="53">
        <v>84</v>
      </c>
      <c r="ET7" s="53">
        <v>168</v>
      </c>
      <c r="EU7" s="53">
        <v>77</v>
      </c>
      <c r="EV7" s="53">
        <v>154</v>
      </c>
      <c r="EW7" s="53">
        <v>41</v>
      </c>
      <c r="EX7" s="53">
        <v>82</v>
      </c>
      <c r="EY7" s="53">
        <v>164</v>
      </c>
      <c r="EZ7" s="53">
        <v>85</v>
      </c>
      <c r="FA7" s="53">
        <v>170</v>
      </c>
      <c r="FB7" s="53">
        <v>73</v>
      </c>
      <c r="FC7" s="53">
        <v>146</v>
      </c>
      <c r="FD7" s="53">
        <v>57</v>
      </c>
      <c r="FE7" s="53">
        <v>114</v>
      </c>
      <c r="FF7" s="53">
        <v>228</v>
      </c>
      <c r="FG7" s="53">
        <v>213</v>
      </c>
      <c r="FH7" s="53">
        <v>183</v>
      </c>
      <c r="FI7" s="53">
        <v>115</v>
      </c>
      <c r="FJ7" s="53">
        <v>230</v>
      </c>
      <c r="FK7" s="53">
        <v>209</v>
      </c>
      <c r="FL7" s="53">
        <v>191</v>
      </c>
      <c r="FM7" s="53">
        <v>99</v>
      </c>
      <c r="FN7" s="53">
        <v>198</v>
      </c>
      <c r="FO7" s="53">
        <v>145</v>
      </c>
      <c r="FP7" s="53">
        <v>63</v>
      </c>
      <c r="FQ7" s="53">
        <v>126</v>
      </c>
      <c r="FR7" s="53">
        <v>252</v>
      </c>
      <c r="FS7" s="53">
        <v>229</v>
      </c>
      <c r="FT7" s="53">
        <v>215</v>
      </c>
      <c r="FU7" s="53">
        <v>179</v>
      </c>
      <c r="FV7" s="53">
        <v>123</v>
      </c>
      <c r="FW7" s="53">
        <v>246</v>
      </c>
      <c r="FX7" s="53">
        <v>241</v>
      </c>
      <c r="FY7" s="53">
        <v>255</v>
      </c>
      <c r="FZ7" s="53">
        <v>227</v>
      </c>
      <c r="GA7" s="53">
        <v>219</v>
      </c>
      <c r="GB7" s="53">
        <v>171</v>
      </c>
      <c r="GC7" s="53">
        <v>75</v>
      </c>
      <c r="GD7" s="53">
        <v>150</v>
      </c>
      <c r="GE7" s="53">
        <v>49</v>
      </c>
      <c r="GF7" s="53">
        <v>98</v>
      </c>
      <c r="GG7" s="53">
        <v>196</v>
      </c>
      <c r="GH7" s="53">
        <v>149</v>
      </c>
      <c r="GI7" s="53">
        <v>55</v>
      </c>
      <c r="GJ7" s="53">
        <v>110</v>
      </c>
      <c r="GK7" s="53">
        <v>220</v>
      </c>
      <c r="GL7" s="53">
        <v>165</v>
      </c>
      <c r="GM7" s="53">
        <v>87</v>
      </c>
      <c r="GN7" s="53">
        <v>174</v>
      </c>
      <c r="GO7" s="53">
        <v>65</v>
      </c>
      <c r="GP7" s="53">
        <v>130</v>
      </c>
      <c r="GQ7" s="53">
        <v>25</v>
      </c>
      <c r="GR7" s="53">
        <v>50</v>
      </c>
      <c r="GS7" s="53">
        <v>100</v>
      </c>
      <c r="GT7" s="53">
        <v>200</v>
      </c>
      <c r="GU7" s="53">
        <v>141</v>
      </c>
      <c r="GV7" s="53">
        <v>7</v>
      </c>
      <c r="GW7" s="53">
        <v>14</v>
      </c>
      <c r="GX7" s="53">
        <v>28</v>
      </c>
      <c r="GY7" s="53">
        <v>56</v>
      </c>
      <c r="GZ7" s="53">
        <v>112</v>
      </c>
      <c r="HA7" s="53">
        <v>224</v>
      </c>
      <c r="HB7" s="53">
        <v>221</v>
      </c>
      <c r="HC7" s="53">
        <v>167</v>
      </c>
      <c r="HD7" s="53">
        <v>83</v>
      </c>
      <c r="HE7" s="53">
        <v>166</v>
      </c>
      <c r="HF7" s="53">
        <v>81</v>
      </c>
      <c r="HG7" s="53">
        <v>162</v>
      </c>
      <c r="HH7" s="53">
        <v>89</v>
      </c>
      <c r="HI7" s="53">
        <v>178</v>
      </c>
      <c r="HJ7" s="53">
        <v>121</v>
      </c>
      <c r="HK7" s="53">
        <v>242</v>
      </c>
      <c r="HL7" s="53">
        <v>249</v>
      </c>
      <c r="HM7" s="53">
        <v>239</v>
      </c>
      <c r="HN7" s="53">
        <v>195</v>
      </c>
      <c r="HO7" s="53">
        <v>155</v>
      </c>
      <c r="HP7" s="53">
        <v>43</v>
      </c>
      <c r="HQ7" s="53">
        <v>86</v>
      </c>
      <c r="HR7" s="53">
        <v>172</v>
      </c>
      <c r="HS7" s="53">
        <v>69</v>
      </c>
      <c r="HT7" s="53">
        <v>138</v>
      </c>
      <c r="HU7" s="53">
        <v>9</v>
      </c>
      <c r="HV7" s="53">
        <v>18</v>
      </c>
      <c r="HW7" s="53">
        <v>36</v>
      </c>
      <c r="HX7" s="53">
        <v>72</v>
      </c>
      <c r="HY7" s="53">
        <v>144</v>
      </c>
      <c r="HZ7" s="53">
        <v>61</v>
      </c>
      <c r="IA7" s="53">
        <v>122</v>
      </c>
      <c r="IB7" s="53">
        <v>244</v>
      </c>
      <c r="IC7" s="53">
        <v>245</v>
      </c>
      <c r="ID7" s="53">
        <v>247</v>
      </c>
      <c r="IE7" s="53">
        <v>243</v>
      </c>
      <c r="IF7" s="53">
        <v>251</v>
      </c>
      <c r="IG7" s="53">
        <v>235</v>
      </c>
      <c r="IH7" s="53">
        <v>203</v>
      </c>
      <c r="II7" s="53">
        <v>139</v>
      </c>
      <c r="IJ7" s="53">
        <v>11</v>
      </c>
      <c r="IK7" s="53">
        <v>22</v>
      </c>
      <c r="IL7" s="53">
        <v>44</v>
      </c>
      <c r="IM7" s="53">
        <v>88</v>
      </c>
      <c r="IN7" s="53">
        <v>176</v>
      </c>
      <c r="IO7" s="53">
        <v>125</v>
      </c>
      <c r="IP7" s="53">
        <v>250</v>
      </c>
      <c r="IQ7" s="53">
        <v>233</v>
      </c>
      <c r="IR7" s="53">
        <v>207</v>
      </c>
      <c r="IS7" s="53">
        <v>131</v>
      </c>
      <c r="IT7" s="53">
        <v>27</v>
      </c>
      <c r="IU7" s="53">
        <v>54</v>
      </c>
      <c r="IV7" s="53">
        <v>108</v>
      </c>
      <c r="IW7" s="53">
        <v>216</v>
      </c>
      <c r="IX7" s="53">
        <v>173</v>
      </c>
      <c r="IY7" s="53">
        <v>71</v>
      </c>
      <c r="IZ7" s="53">
        <v>142</v>
      </c>
    </row>
    <row r="8" spans="1:260">
      <c r="A8" s="53">
        <v>2</v>
      </c>
      <c r="B8" s="53">
        <v>1</v>
      </c>
      <c r="C8" s="53">
        <v>2</v>
      </c>
      <c r="D8" s="53">
        <v>1</v>
      </c>
      <c r="E8" s="53">
        <v>2</v>
      </c>
      <c r="F8" s="53">
        <v>0</v>
      </c>
      <c r="G8" s="53">
        <v>1</v>
      </c>
      <c r="H8" s="53">
        <v>25</v>
      </c>
      <c r="I8" s="53">
        <v>2</v>
      </c>
      <c r="J8" s="53">
        <v>50</v>
      </c>
      <c r="K8" s="53">
        <v>26</v>
      </c>
      <c r="L8" s="53">
        <v>198</v>
      </c>
      <c r="M8" s="53">
        <v>3</v>
      </c>
      <c r="N8" s="53">
        <v>223</v>
      </c>
      <c r="O8" s="53">
        <v>51</v>
      </c>
      <c r="P8" s="53">
        <v>238</v>
      </c>
      <c r="Q8" s="53">
        <v>27</v>
      </c>
      <c r="R8" s="53">
        <v>104</v>
      </c>
      <c r="S8" s="53">
        <v>199</v>
      </c>
      <c r="T8" s="53">
        <v>75</v>
      </c>
      <c r="U8" s="53">
        <v>4</v>
      </c>
      <c r="V8" s="53">
        <v>100</v>
      </c>
      <c r="W8" s="53">
        <v>224</v>
      </c>
      <c r="X8" s="53">
        <v>14</v>
      </c>
      <c r="Y8" s="53">
        <v>52</v>
      </c>
      <c r="Z8" s="53">
        <v>141</v>
      </c>
      <c r="AA8" s="53">
        <v>239</v>
      </c>
      <c r="AB8" s="53">
        <v>129</v>
      </c>
      <c r="AC8" s="53">
        <v>28</v>
      </c>
      <c r="AD8" s="53">
        <v>193</v>
      </c>
      <c r="AE8" s="53">
        <v>105</v>
      </c>
      <c r="AF8" s="53">
        <v>248</v>
      </c>
      <c r="AG8" s="53">
        <v>200</v>
      </c>
      <c r="AH8" s="53">
        <v>8</v>
      </c>
      <c r="AI8" s="53">
        <v>76</v>
      </c>
      <c r="AJ8" s="53">
        <v>113</v>
      </c>
      <c r="AK8" s="53">
        <v>5</v>
      </c>
      <c r="AL8" s="53">
        <v>138</v>
      </c>
      <c r="AM8" s="53">
        <v>101</v>
      </c>
      <c r="AN8" s="53">
        <v>47</v>
      </c>
      <c r="AO8" s="53">
        <v>225</v>
      </c>
      <c r="AP8" s="53">
        <v>36</v>
      </c>
      <c r="AQ8" s="53">
        <v>15</v>
      </c>
      <c r="AR8" s="53">
        <v>33</v>
      </c>
      <c r="AS8" s="53">
        <v>53</v>
      </c>
      <c r="AT8" s="53">
        <v>147</v>
      </c>
      <c r="AU8" s="53">
        <v>142</v>
      </c>
      <c r="AV8" s="53">
        <v>218</v>
      </c>
      <c r="AW8" s="53">
        <v>240</v>
      </c>
      <c r="AX8" s="53">
        <v>18</v>
      </c>
      <c r="AY8" s="53">
        <v>130</v>
      </c>
      <c r="AZ8" s="53">
        <v>69</v>
      </c>
      <c r="BA8" s="53">
        <v>29</v>
      </c>
      <c r="BB8" s="53">
        <v>181</v>
      </c>
      <c r="BC8" s="53">
        <v>194</v>
      </c>
      <c r="BD8" s="53">
        <v>125</v>
      </c>
      <c r="BE8" s="53">
        <v>106</v>
      </c>
      <c r="BF8" s="53">
        <v>39</v>
      </c>
      <c r="BG8" s="53">
        <v>249</v>
      </c>
      <c r="BH8" s="53">
        <v>185</v>
      </c>
      <c r="BI8" s="53">
        <v>201</v>
      </c>
      <c r="BJ8" s="53">
        <v>154</v>
      </c>
      <c r="BK8" s="53">
        <v>9</v>
      </c>
      <c r="BL8" s="53">
        <v>120</v>
      </c>
      <c r="BM8" s="53">
        <v>77</v>
      </c>
      <c r="BN8" s="53">
        <v>228</v>
      </c>
      <c r="BO8" s="53">
        <v>114</v>
      </c>
      <c r="BP8" s="53">
        <v>166</v>
      </c>
      <c r="BQ8" s="53">
        <v>6</v>
      </c>
      <c r="BR8" s="53">
        <v>191</v>
      </c>
      <c r="BS8" s="53">
        <v>139</v>
      </c>
      <c r="BT8" s="53">
        <v>98</v>
      </c>
      <c r="BU8" s="53">
        <v>102</v>
      </c>
      <c r="BV8" s="53">
        <v>221</v>
      </c>
      <c r="BW8" s="53">
        <v>48</v>
      </c>
      <c r="BX8" s="53">
        <v>253</v>
      </c>
      <c r="BY8" s="53">
        <v>226</v>
      </c>
      <c r="BZ8" s="53">
        <v>152</v>
      </c>
      <c r="CA8" s="53">
        <v>37</v>
      </c>
      <c r="CB8" s="53">
        <v>179</v>
      </c>
      <c r="CC8" s="53">
        <v>16</v>
      </c>
      <c r="CD8" s="53">
        <v>145</v>
      </c>
      <c r="CE8" s="53">
        <v>34</v>
      </c>
      <c r="CF8" s="53">
        <v>136</v>
      </c>
      <c r="CG8" s="53">
        <v>54</v>
      </c>
      <c r="CH8" s="53">
        <v>208</v>
      </c>
      <c r="CI8" s="53">
        <v>148</v>
      </c>
      <c r="CJ8" s="53">
        <v>206</v>
      </c>
      <c r="CK8" s="53">
        <v>143</v>
      </c>
      <c r="CL8" s="53">
        <v>150</v>
      </c>
      <c r="CM8" s="53">
        <v>219</v>
      </c>
      <c r="CN8" s="53">
        <v>189</v>
      </c>
      <c r="CO8" s="53">
        <v>241</v>
      </c>
      <c r="CP8" s="53">
        <v>210</v>
      </c>
      <c r="CQ8" s="53">
        <v>19</v>
      </c>
      <c r="CR8" s="53">
        <v>92</v>
      </c>
      <c r="CS8" s="53">
        <v>131</v>
      </c>
      <c r="CT8" s="53">
        <v>56</v>
      </c>
      <c r="CU8" s="53">
        <v>70</v>
      </c>
      <c r="CV8" s="53">
        <v>64</v>
      </c>
      <c r="CW8" s="53">
        <v>30</v>
      </c>
      <c r="CX8" s="53">
        <v>66</v>
      </c>
      <c r="CY8" s="53">
        <v>182</v>
      </c>
      <c r="CZ8" s="53">
        <v>163</v>
      </c>
      <c r="DA8" s="53">
        <v>195</v>
      </c>
      <c r="DB8" s="53">
        <v>72</v>
      </c>
      <c r="DC8" s="53">
        <v>126</v>
      </c>
      <c r="DD8" s="53">
        <v>110</v>
      </c>
      <c r="DE8" s="53">
        <v>107</v>
      </c>
      <c r="DF8" s="53">
        <v>58</v>
      </c>
      <c r="DG8" s="53">
        <v>40</v>
      </c>
      <c r="DH8" s="53">
        <v>84</v>
      </c>
      <c r="DI8" s="53">
        <v>250</v>
      </c>
      <c r="DJ8" s="53">
        <v>133</v>
      </c>
      <c r="DK8" s="53">
        <v>186</v>
      </c>
      <c r="DL8" s="53">
        <v>61</v>
      </c>
      <c r="DM8" s="53">
        <v>202</v>
      </c>
      <c r="DN8" s="53">
        <v>94</v>
      </c>
      <c r="DO8" s="53">
        <v>155</v>
      </c>
      <c r="DP8" s="53">
        <v>159</v>
      </c>
      <c r="DQ8" s="53">
        <v>10</v>
      </c>
      <c r="DR8" s="53">
        <v>21</v>
      </c>
      <c r="DS8" s="53">
        <v>121</v>
      </c>
      <c r="DT8" s="53">
        <v>43</v>
      </c>
      <c r="DU8" s="53">
        <v>78</v>
      </c>
      <c r="DV8" s="53">
        <v>212</v>
      </c>
      <c r="DW8" s="53">
        <v>229</v>
      </c>
      <c r="DX8" s="53">
        <v>172</v>
      </c>
      <c r="DY8" s="53">
        <v>115</v>
      </c>
      <c r="DZ8" s="53">
        <v>243</v>
      </c>
      <c r="EA8" s="53">
        <v>167</v>
      </c>
      <c r="EB8" s="53">
        <v>87</v>
      </c>
      <c r="EC8" s="53">
        <v>7</v>
      </c>
      <c r="ED8" s="53">
        <v>112</v>
      </c>
      <c r="EE8" s="53">
        <v>192</v>
      </c>
      <c r="EF8" s="53">
        <v>247</v>
      </c>
      <c r="EG8" s="53">
        <v>140</v>
      </c>
      <c r="EH8" s="53">
        <v>128</v>
      </c>
      <c r="EI8" s="53">
        <v>99</v>
      </c>
      <c r="EJ8" s="53">
        <v>13</v>
      </c>
      <c r="EK8" s="53">
        <v>103</v>
      </c>
      <c r="EL8" s="53">
        <v>74</v>
      </c>
      <c r="EM8" s="53">
        <v>222</v>
      </c>
      <c r="EN8" s="53">
        <v>237</v>
      </c>
      <c r="EO8" s="53">
        <v>49</v>
      </c>
      <c r="EP8" s="53">
        <v>197</v>
      </c>
      <c r="EQ8" s="53">
        <v>254</v>
      </c>
      <c r="ER8" s="53">
        <v>24</v>
      </c>
      <c r="ES8" s="53">
        <v>227</v>
      </c>
      <c r="ET8" s="53">
        <v>165</v>
      </c>
      <c r="EU8" s="53">
        <v>153</v>
      </c>
      <c r="EV8" s="53">
        <v>119</v>
      </c>
      <c r="EW8" s="53">
        <v>38</v>
      </c>
      <c r="EX8" s="53">
        <v>184</v>
      </c>
      <c r="EY8" s="53">
        <v>180</v>
      </c>
      <c r="EZ8" s="53">
        <v>124</v>
      </c>
      <c r="FA8" s="53">
        <v>17</v>
      </c>
      <c r="FB8" s="53">
        <v>68</v>
      </c>
      <c r="FC8" s="53">
        <v>146</v>
      </c>
      <c r="FD8" s="53">
        <v>217</v>
      </c>
      <c r="FE8" s="53">
        <v>35</v>
      </c>
      <c r="FF8" s="53">
        <v>32</v>
      </c>
      <c r="FG8" s="53">
        <v>137</v>
      </c>
      <c r="FH8" s="53">
        <v>46</v>
      </c>
      <c r="FI8" s="53">
        <v>55</v>
      </c>
      <c r="FJ8" s="53">
        <v>63</v>
      </c>
      <c r="FK8" s="53">
        <v>209</v>
      </c>
      <c r="FL8" s="53">
        <v>91</v>
      </c>
      <c r="FM8" s="53">
        <v>149</v>
      </c>
      <c r="FN8" s="53">
        <v>188</v>
      </c>
      <c r="FO8" s="53">
        <v>207</v>
      </c>
      <c r="FP8" s="53">
        <v>205</v>
      </c>
      <c r="FQ8" s="53">
        <v>144</v>
      </c>
      <c r="FR8" s="53">
        <v>135</v>
      </c>
      <c r="FS8" s="53">
        <v>151</v>
      </c>
      <c r="FT8" s="53">
        <v>178</v>
      </c>
      <c r="FU8" s="53">
        <v>220</v>
      </c>
      <c r="FV8" s="53">
        <v>252</v>
      </c>
      <c r="FW8" s="53">
        <v>190</v>
      </c>
      <c r="FX8" s="53">
        <v>97</v>
      </c>
      <c r="FY8" s="53">
        <v>242</v>
      </c>
      <c r="FZ8" s="53">
        <v>86</v>
      </c>
      <c r="GA8" s="53">
        <v>211</v>
      </c>
      <c r="GB8" s="53">
        <v>171</v>
      </c>
      <c r="GC8" s="53">
        <v>20</v>
      </c>
      <c r="GD8" s="53">
        <v>42</v>
      </c>
      <c r="GE8" s="53">
        <v>93</v>
      </c>
      <c r="GF8" s="53">
        <v>158</v>
      </c>
      <c r="GG8" s="53">
        <v>132</v>
      </c>
      <c r="GH8" s="53">
        <v>60</v>
      </c>
      <c r="GI8" s="53">
        <v>57</v>
      </c>
      <c r="GJ8" s="53">
        <v>83</v>
      </c>
      <c r="GK8" s="53">
        <v>71</v>
      </c>
      <c r="GL8" s="53">
        <v>109</v>
      </c>
      <c r="GM8" s="53">
        <v>65</v>
      </c>
      <c r="GN8" s="53">
        <v>162</v>
      </c>
      <c r="GO8" s="53">
        <v>31</v>
      </c>
      <c r="GP8" s="53">
        <v>45</v>
      </c>
      <c r="GQ8" s="53">
        <v>67</v>
      </c>
      <c r="GR8" s="53">
        <v>216</v>
      </c>
      <c r="GS8" s="53">
        <v>183</v>
      </c>
      <c r="GT8" s="53">
        <v>123</v>
      </c>
      <c r="GU8" s="53">
        <v>164</v>
      </c>
      <c r="GV8" s="53">
        <v>118</v>
      </c>
      <c r="GW8" s="53">
        <v>196</v>
      </c>
      <c r="GX8" s="53">
        <v>23</v>
      </c>
      <c r="GY8" s="53">
        <v>73</v>
      </c>
      <c r="GZ8" s="53">
        <v>236</v>
      </c>
      <c r="HA8" s="53">
        <v>127</v>
      </c>
      <c r="HB8" s="53">
        <v>12</v>
      </c>
      <c r="HC8" s="53">
        <v>111</v>
      </c>
      <c r="HD8" s="53">
        <v>246</v>
      </c>
      <c r="HE8" s="53">
        <v>108</v>
      </c>
      <c r="HF8" s="53">
        <v>161</v>
      </c>
      <c r="HG8" s="53">
        <v>59</v>
      </c>
      <c r="HH8" s="53">
        <v>82</v>
      </c>
      <c r="HI8" s="53">
        <v>41</v>
      </c>
      <c r="HJ8" s="53">
        <v>157</v>
      </c>
      <c r="HK8" s="53">
        <v>85</v>
      </c>
      <c r="HL8" s="53">
        <v>170</v>
      </c>
      <c r="HM8" s="53">
        <v>251</v>
      </c>
      <c r="HN8" s="53">
        <v>96</v>
      </c>
      <c r="HO8" s="53">
        <v>134</v>
      </c>
      <c r="HP8" s="53">
        <v>177</v>
      </c>
      <c r="HQ8" s="53">
        <v>187</v>
      </c>
      <c r="HR8" s="53">
        <v>204</v>
      </c>
      <c r="HS8" s="53">
        <v>62</v>
      </c>
      <c r="HT8" s="53">
        <v>90</v>
      </c>
      <c r="HU8" s="53">
        <v>203</v>
      </c>
      <c r="HV8" s="53">
        <v>89</v>
      </c>
      <c r="HW8" s="53">
        <v>95</v>
      </c>
      <c r="HX8" s="53">
        <v>176</v>
      </c>
      <c r="HY8" s="53">
        <v>156</v>
      </c>
      <c r="HZ8" s="53">
        <v>169</v>
      </c>
      <c r="IA8" s="53">
        <v>160</v>
      </c>
      <c r="IB8" s="53">
        <v>81</v>
      </c>
      <c r="IC8" s="53">
        <v>11</v>
      </c>
      <c r="ID8" s="53">
        <v>245</v>
      </c>
      <c r="IE8" s="53">
        <v>22</v>
      </c>
      <c r="IF8" s="53">
        <v>235</v>
      </c>
      <c r="IG8" s="53">
        <v>122</v>
      </c>
      <c r="IH8" s="53">
        <v>117</v>
      </c>
      <c r="II8" s="53">
        <v>44</v>
      </c>
      <c r="IJ8" s="53">
        <v>215</v>
      </c>
      <c r="IK8" s="53">
        <v>79</v>
      </c>
      <c r="IL8" s="53">
        <v>174</v>
      </c>
      <c r="IM8" s="53">
        <v>213</v>
      </c>
      <c r="IN8" s="53">
        <v>233</v>
      </c>
      <c r="IO8" s="53">
        <v>230</v>
      </c>
      <c r="IP8" s="53">
        <v>231</v>
      </c>
      <c r="IQ8" s="53">
        <v>173</v>
      </c>
      <c r="IR8" s="53">
        <v>232</v>
      </c>
      <c r="IS8" s="53">
        <v>116</v>
      </c>
      <c r="IT8" s="53">
        <v>214</v>
      </c>
      <c r="IU8" s="53">
        <v>244</v>
      </c>
      <c r="IV8" s="53">
        <v>234</v>
      </c>
      <c r="IW8" s="53">
        <v>168</v>
      </c>
      <c r="IX8" s="53">
        <v>80</v>
      </c>
      <c r="IY8" s="53">
        <v>88</v>
      </c>
      <c r="IZ8" s="53">
        <v>175</v>
      </c>
    </row>
    <row r="9" spans="1:260">
      <c r="A9" s="53">
        <v>4</v>
      </c>
      <c r="B9" s="53">
        <v>2</v>
      </c>
      <c r="C9" s="53">
        <v>4</v>
      </c>
      <c r="D9" s="53">
        <v>25</v>
      </c>
      <c r="E9" s="53">
        <v>4</v>
      </c>
    </row>
    <row r="10" spans="1:260">
      <c r="A10" s="53">
        <v>8</v>
      </c>
      <c r="B10" s="53">
        <v>3</v>
      </c>
      <c r="C10" s="53">
        <v>8</v>
      </c>
      <c r="D10" s="53">
        <v>2</v>
      </c>
      <c r="E10" s="53">
        <v>8</v>
      </c>
    </row>
    <row r="11" spans="1:260">
      <c r="A11" s="53">
        <v>16</v>
      </c>
      <c r="B11" s="53">
        <v>4</v>
      </c>
      <c r="C11" s="53">
        <v>16</v>
      </c>
      <c r="D11" s="53">
        <v>50</v>
      </c>
      <c r="E11" s="53">
        <v>16</v>
      </c>
    </row>
    <row r="12" spans="1:260">
      <c r="A12" s="53">
        <v>32</v>
      </c>
      <c r="B12" s="53">
        <v>5</v>
      </c>
      <c r="C12" s="53">
        <v>32</v>
      </c>
      <c r="D12" s="53">
        <v>26</v>
      </c>
      <c r="E12" s="53">
        <v>32</v>
      </c>
    </row>
    <row r="13" spans="1:260" ht="13.5" thickBot="1">
      <c r="A13" s="53">
        <v>64</v>
      </c>
      <c r="B13" s="53">
        <v>6</v>
      </c>
      <c r="C13" s="53">
        <v>64</v>
      </c>
      <c r="D13" s="53">
        <v>198</v>
      </c>
      <c r="E13" s="53">
        <v>64</v>
      </c>
      <c r="H13" s="53" t="s">
        <v>157</v>
      </c>
    </row>
    <row r="14" spans="1:260" ht="12.75" customHeight="1">
      <c r="A14" s="53">
        <v>128</v>
      </c>
      <c r="B14" s="53">
        <v>7</v>
      </c>
      <c r="C14" s="53">
        <v>128</v>
      </c>
      <c r="D14" s="53">
        <v>3</v>
      </c>
      <c r="E14" s="53">
        <v>128</v>
      </c>
      <c r="H14" s="13" t="s">
        <v>165</v>
      </c>
      <c r="I14" s="14"/>
      <c r="J14" s="14">
        <v>10</v>
      </c>
      <c r="K14" s="14">
        <v>9</v>
      </c>
      <c r="L14" s="14">
        <v>8</v>
      </c>
      <c r="M14" s="14">
        <v>7</v>
      </c>
      <c r="N14" s="14">
        <v>6</v>
      </c>
      <c r="O14" s="14">
        <v>5</v>
      </c>
      <c r="P14" s="14">
        <v>4</v>
      </c>
      <c r="Q14" s="14">
        <v>3</v>
      </c>
      <c r="R14" s="14">
        <v>2</v>
      </c>
      <c r="S14" s="14">
        <v>1</v>
      </c>
      <c r="T14" s="14">
        <v>0</v>
      </c>
      <c r="U14" s="14"/>
      <c r="V14" s="14"/>
      <c r="W14" s="14"/>
      <c r="X14" s="14"/>
      <c r="Y14" s="15"/>
      <c r="Z14" s="54"/>
      <c r="AA14" s="54"/>
      <c r="AB14" s="54"/>
      <c r="AC14" s="54"/>
      <c r="AD14" s="54"/>
      <c r="AE14" s="54"/>
      <c r="AF14" s="54"/>
      <c r="AG14" s="54"/>
    </row>
    <row r="15" spans="1:260" ht="12.75" customHeight="1">
      <c r="A15" s="53">
        <v>29</v>
      </c>
      <c r="B15" s="53">
        <v>8</v>
      </c>
      <c r="C15" s="53">
        <v>29</v>
      </c>
      <c r="D15" s="53">
        <v>223</v>
      </c>
      <c r="E15" s="53">
        <v>29</v>
      </c>
      <c r="H15" s="16" t="s">
        <v>166</v>
      </c>
      <c r="I15" s="17"/>
      <c r="J15" s="17">
        <v>1</v>
      </c>
      <c r="K15" s="17">
        <v>0</v>
      </c>
      <c r="L15" s="17">
        <v>1</v>
      </c>
      <c r="M15" s="17">
        <v>0</v>
      </c>
      <c r="N15" s="17">
        <v>0</v>
      </c>
      <c r="O15" s="17">
        <v>1</v>
      </c>
      <c r="P15" s="17">
        <v>1</v>
      </c>
      <c r="Q15" s="17">
        <v>0</v>
      </c>
      <c r="R15" s="17">
        <v>1</v>
      </c>
      <c r="S15" s="17">
        <v>1</v>
      </c>
      <c r="T15" s="17">
        <v>1</v>
      </c>
      <c r="U15" s="17"/>
      <c r="V15" s="17"/>
      <c r="W15" s="17"/>
      <c r="X15" s="17"/>
      <c r="Y15" s="18"/>
      <c r="Z15" s="68"/>
      <c r="AA15" s="68"/>
      <c r="AB15" s="68"/>
      <c r="AC15" s="68"/>
      <c r="AD15" s="68"/>
      <c r="AE15" s="54"/>
      <c r="AF15" s="54"/>
      <c r="AG15" s="54"/>
    </row>
    <row r="16" spans="1:260" ht="12.75" customHeight="1">
      <c r="A16" s="53">
        <v>58</v>
      </c>
      <c r="B16" s="53">
        <v>9</v>
      </c>
      <c r="C16" s="53">
        <v>58</v>
      </c>
      <c r="D16" s="53">
        <v>51</v>
      </c>
      <c r="E16" s="53">
        <v>58</v>
      </c>
      <c r="H16" s="16"/>
      <c r="I16" s="17"/>
      <c r="J16" s="17">
        <v>2</v>
      </c>
      <c r="K16" s="17"/>
      <c r="L16" s="17"/>
      <c r="M16" s="17">
        <v>4</v>
      </c>
      <c r="N16" s="17"/>
      <c r="O16" s="17"/>
      <c r="P16" s="17">
        <v>6</v>
      </c>
      <c r="Q16" s="17"/>
      <c r="R16" s="17"/>
      <c r="S16" s="17">
        <v>7</v>
      </c>
      <c r="T16" s="17"/>
      <c r="U16" s="17"/>
      <c r="V16" s="17"/>
      <c r="W16" s="17"/>
      <c r="X16" s="17"/>
      <c r="Y16" s="18"/>
      <c r="Z16" s="2"/>
      <c r="AA16" s="2"/>
      <c r="AB16" s="2"/>
      <c r="AC16" s="2"/>
      <c r="AD16" s="2"/>
      <c r="AE16" s="54"/>
      <c r="AF16" s="54"/>
      <c r="AG16" s="54"/>
    </row>
    <row r="17" spans="1:33" ht="12.75" customHeight="1">
      <c r="A17" s="53">
        <v>116</v>
      </c>
      <c r="B17" s="53">
        <v>10</v>
      </c>
      <c r="C17" s="53">
        <v>116</v>
      </c>
      <c r="D17" s="53">
        <v>238</v>
      </c>
      <c r="E17" s="53">
        <v>116</v>
      </c>
      <c r="H17" s="16" t="s">
        <v>167</v>
      </c>
      <c r="I17" s="17"/>
      <c r="J17" s="17">
        <v>1</v>
      </c>
      <c r="K17" s="17">
        <v>2</v>
      </c>
      <c r="L17" s="17">
        <v>3</v>
      </c>
      <c r="M17" s="17">
        <v>4</v>
      </c>
      <c r="N17" s="17">
        <v>5</v>
      </c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8"/>
      <c r="Z17" s="68"/>
      <c r="AA17" s="68"/>
      <c r="AB17" s="68"/>
      <c r="AC17" s="68"/>
      <c r="AD17" s="68"/>
      <c r="AE17" s="54"/>
      <c r="AF17" s="54"/>
      <c r="AG17" s="54"/>
    </row>
    <row r="18" spans="1:33" ht="12.75" customHeight="1">
      <c r="A18" s="53">
        <v>232</v>
      </c>
      <c r="B18" s="53">
        <v>11</v>
      </c>
      <c r="C18" s="53">
        <v>232</v>
      </c>
      <c r="D18" s="53">
        <v>27</v>
      </c>
      <c r="E18" s="53">
        <v>232</v>
      </c>
      <c r="H18" s="16"/>
      <c r="I18" s="17" t="s">
        <v>168</v>
      </c>
      <c r="J18" s="104" t="str">
        <f>MID(Input!$X$26,J17,1)</f>
        <v>1</v>
      </c>
      <c r="K18" s="104" t="str">
        <f>MID(Input!$X$26,K17,1)</f>
        <v>0</v>
      </c>
      <c r="L18" s="104" t="str">
        <f>MID(Input!$X$26,L17,1)</f>
        <v>1</v>
      </c>
      <c r="M18" s="104" t="str">
        <f>MID(Input!$X$26,M17,1)</f>
        <v>1</v>
      </c>
      <c r="N18" s="104" t="str">
        <f>MID(Input!$X$26,N17,1)</f>
        <v>1</v>
      </c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8"/>
      <c r="Z18" s="68"/>
      <c r="AA18" s="68"/>
      <c r="AB18" s="68"/>
      <c r="AC18" s="68"/>
      <c r="AD18" s="68"/>
      <c r="AE18" s="54"/>
      <c r="AF18" s="54"/>
      <c r="AG18" s="54"/>
    </row>
    <row r="19" spans="1:33" ht="12.75" customHeight="1">
      <c r="A19" s="53">
        <v>205</v>
      </c>
      <c r="B19" s="53">
        <v>12</v>
      </c>
      <c r="C19" s="53">
        <v>205</v>
      </c>
      <c r="D19" s="53">
        <v>104</v>
      </c>
      <c r="E19" s="53">
        <v>205</v>
      </c>
      <c r="H19" s="16"/>
      <c r="I19" s="17" t="s">
        <v>195</v>
      </c>
      <c r="J19" s="17"/>
      <c r="K19" s="183" t="str">
        <f>connecttext(J36:X36)</f>
        <v>000100000111011</v>
      </c>
      <c r="L19" s="183"/>
      <c r="M19" s="183"/>
      <c r="N19" s="183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8"/>
      <c r="Z19" s="68"/>
      <c r="AA19" s="68"/>
      <c r="AB19" s="68"/>
      <c r="AC19" s="68"/>
      <c r="AD19" s="68"/>
      <c r="AE19" s="54"/>
      <c r="AF19" s="54"/>
      <c r="AG19" s="54"/>
    </row>
    <row r="20" spans="1:33" ht="12.75" customHeight="1">
      <c r="A20" s="53">
        <v>135</v>
      </c>
      <c r="B20" s="53">
        <v>13</v>
      </c>
      <c r="C20" s="53">
        <v>135</v>
      </c>
      <c r="D20" s="53">
        <v>199</v>
      </c>
      <c r="E20" s="53">
        <v>135</v>
      </c>
      <c r="H20" s="16"/>
      <c r="I20" s="17" t="s">
        <v>169</v>
      </c>
      <c r="J20" s="17">
        <v>1</v>
      </c>
      <c r="K20" s="17">
        <v>0</v>
      </c>
      <c r="L20" s="17">
        <v>1</v>
      </c>
      <c r="M20" s="17">
        <v>0</v>
      </c>
      <c r="N20" s="17">
        <v>0</v>
      </c>
      <c r="O20" s="17">
        <v>1</v>
      </c>
      <c r="P20" s="17">
        <v>1</v>
      </c>
      <c r="Q20" s="17">
        <v>0</v>
      </c>
      <c r="R20" s="17">
        <v>1</v>
      </c>
      <c r="S20" s="17">
        <v>1</v>
      </c>
      <c r="T20" s="17">
        <v>1</v>
      </c>
      <c r="U20" s="17"/>
      <c r="V20" s="17"/>
      <c r="W20" s="17"/>
      <c r="X20" s="17"/>
      <c r="Y20" s="18"/>
      <c r="Z20" s="68"/>
      <c r="AA20" s="68"/>
      <c r="AB20" s="68"/>
      <c r="AC20" s="68"/>
      <c r="AD20" s="68"/>
      <c r="AE20" s="54"/>
      <c r="AF20" s="54"/>
      <c r="AG20" s="54"/>
    </row>
    <row r="21" spans="1:33" ht="12.75" customHeight="1">
      <c r="A21" s="53">
        <v>19</v>
      </c>
      <c r="B21" s="53">
        <v>14</v>
      </c>
      <c r="C21" s="53">
        <v>19</v>
      </c>
      <c r="D21" s="53">
        <v>75</v>
      </c>
      <c r="E21" s="53">
        <v>19</v>
      </c>
      <c r="H21" s="16"/>
      <c r="I21" s="17"/>
      <c r="J21" s="102">
        <v>15</v>
      </c>
      <c r="K21" s="102">
        <v>14</v>
      </c>
      <c r="L21" s="102">
        <v>13</v>
      </c>
      <c r="M21" s="102">
        <v>12</v>
      </c>
      <c r="N21" s="102">
        <v>11</v>
      </c>
      <c r="O21" s="102">
        <v>10</v>
      </c>
      <c r="P21" s="102">
        <v>9</v>
      </c>
      <c r="Q21" s="102">
        <v>8</v>
      </c>
      <c r="R21" s="102">
        <v>7</v>
      </c>
      <c r="S21" s="102">
        <v>6</v>
      </c>
      <c r="T21" s="102">
        <v>5</v>
      </c>
      <c r="U21" s="102">
        <v>4</v>
      </c>
      <c r="V21" s="102">
        <v>3</v>
      </c>
      <c r="W21" s="102">
        <v>2</v>
      </c>
      <c r="X21" s="102">
        <v>1</v>
      </c>
      <c r="Y21" s="101"/>
      <c r="Z21" s="68"/>
      <c r="AA21" s="68"/>
      <c r="AB21" s="68"/>
      <c r="AC21" s="68"/>
      <c r="AD21" s="68"/>
      <c r="AE21" s="54"/>
      <c r="AF21" s="54"/>
      <c r="AG21" s="54"/>
    </row>
    <row r="22" spans="1:33" ht="12.75" customHeight="1">
      <c r="A22" s="53">
        <v>38</v>
      </c>
      <c r="B22" s="53">
        <v>15</v>
      </c>
      <c r="C22" s="53">
        <v>38</v>
      </c>
      <c r="D22" s="53">
        <v>4</v>
      </c>
      <c r="E22" s="53">
        <v>38</v>
      </c>
      <c r="H22" s="16"/>
      <c r="I22" s="17" t="s">
        <v>170</v>
      </c>
      <c r="J22" s="82">
        <f>VALUE(J18)</f>
        <v>1</v>
      </c>
      <c r="K22" s="82">
        <f>VALUE(K18)</f>
        <v>0</v>
      </c>
      <c r="L22" s="82">
        <f>VALUE(L18)</f>
        <v>1</v>
      </c>
      <c r="M22" s="82">
        <f>VALUE(M18)</f>
        <v>1</v>
      </c>
      <c r="N22" s="82">
        <f>VALUE(N18)</f>
        <v>1</v>
      </c>
      <c r="O22" s="17">
        <v>0</v>
      </c>
      <c r="P22" s="17">
        <v>0</v>
      </c>
      <c r="Q22" s="17">
        <v>0</v>
      </c>
      <c r="R22" s="17">
        <v>0</v>
      </c>
      <c r="S22" s="17">
        <v>0</v>
      </c>
      <c r="T22" s="17">
        <v>0</v>
      </c>
      <c r="U22" s="17">
        <v>0</v>
      </c>
      <c r="V22" s="17">
        <v>0</v>
      </c>
      <c r="W22" s="17">
        <v>0</v>
      </c>
      <c r="X22" s="17">
        <v>0</v>
      </c>
      <c r="Y22" s="101"/>
      <c r="Z22" s="68"/>
      <c r="AA22" s="68"/>
      <c r="AB22" s="68"/>
      <c r="AC22" s="68"/>
      <c r="AD22" s="68"/>
      <c r="AE22" s="54"/>
      <c r="AF22" s="54"/>
      <c r="AG22" s="54"/>
    </row>
    <row r="23" spans="1:33" ht="12.75" customHeight="1">
      <c r="A23" s="53">
        <v>76</v>
      </c>
      <c r="B23" s="53">
        <v>16</v>
      </c>
      <c r="C23" s="53">
        <v>76</v>
      </c>
      <c r="D23" s="53">
        <v>100</v>
      </c>
      <c r="E23" s="53">
        <v>76</v>
      </c>
      <c r="H23" s="16"/>
      <c r="I23" s="82">
        <f>J22</f>
        <v>1</v>
      </c>
      <c r="J23" s="17">
        <f>$I23*J$20</f>
        <v>1</v>
      </c>
      <c r="K23" s="17">
        <f t="shared" ref="K23:T23" si="0">$I23*K$20</f>
        <v>0</v>
      </c>
      <c r="L23" s="17">
        <f t="shared" si="0"/>
        <v>1</v>
      </c>
      <c r="M23" s="17">
        <f t="shared" si="0"/>
        <v>0</v>
      </c>
      <c r="N23" s="17">
        <f t="shared" si="0"/>
        <v>0</v>
      </c>
      <c r="O23" s="17">
        <f t="shared" si="0"/>
        <v>1</v>
      </c>
      <c r="P23" s="17">
        <f t="shared" si="0"/>
        <v>1</v>
      </c>
      <c r="Q23" s="17">
        <f t="shared" si="0"/>
        <v>0</v>
      </c>
      <c r="R23" s="17">
        <f t="shared" si="0"/>
        <v>1</v>
      </c>
      <c r="S23" s="17">
        <f t="shared" si="0"/>
        <v>1</v>
      </c>
      <c r="T23" s="17">
        <f t="shared" si="0"/>
        <v>1</v>
      </c>
      <c r="U23" s="17"/>
      <c r="V23" s="17"/>
      <c r="W23" s="17"/>
      <c r="X23" s="17"/>
      <c r="Y23" s="101"/>
      <c r="Z23" s="68"/>
      <c r="AA23" s="68"/>
      <c r="AB23" s="68"/>
      <c r="AC23" s="68"/>
      <c r="AD23" s="68"/>
      <c r="AE23" s="54"/>
      <c r="AF23" s="54"/>
      <c r="AG23" s="54"/>
    </row>
    <row r="24" spans="1:33" ht="12.75" customHeight="1">
      <c r="A24" s="53">
        <v>152</v>
      </c>
      <c r="B24" s="53">
        <v>17</v>
      </c>
      <c r="C24" s="53">
        <v>152</v>
      </c>
      <c r="D24" s="53">
        <v>224</v>
      </c>
      <c r="E24" s="53">
        <v>152</v>
      </c>
      <c r="H24" s="16"/>
      <c r="I24" s="17"/>
      <c r="J24" s="17">
        <f>IF(J22&lt;&gt;J23,1,0)</f>
        <v>0</v>
      </c>
      <c r="K24" s="17">
        <f t="shared" ref="K24:X24" si="1">IF(K22&lt;&gt;K23,1,0)</f>
        <v>0</v>
      </c>
      <c r="L24" s="17">
        <f t="shared" si="1"/>
        <v>0</v>
      </c>
      <c r="M24" s="17">
        <f t="shared" si="1"/>
        <v>1</v>
      </c>
      <c r="N24" s="17">
        <f t="shared" si="1"/>
        <v>1</v>
      </c>
      <c r="O24" s="17">
        <f t="shared" si="1"/>
        <v>1</v>
      </c>
      <c r="P24" s="17">
        <f t="shared" si="1"/>
        <v>1</v>
      </c>
      <c r="Q24" s="17">
        <f t="shared" si="1"/>
        <v>0</v>
      </c>
      <c r="R24" s="17">
        <f t="shared" si="1"/>
        <v>1</v>
      </c>
      <c r="S24" s="17">
        <f t="shared" si="1"/>
        <v>1</v>
      </c>
      <c r="T24" s="17">
        <f t="shared" si="1"/>
        <v>1</v>
      </c>
      <c r="U24" s="17">
        <f t="shared" si="1"/>
        <v>0</v>
      </c>
      <c r="V24" s="17">
        <f t="shared" si="1"/>
        <v>0</v>
      </c>
      <c r="W24" s="17">
        <f t="shared" si="1"/>
        <v>0</v>
      </c>
      <c r="X24" s="17">
        <f t="shared" si="1"/>
        <v>0</v>
      </c>
      <c r="Y24" s="101"/>
      <c r="Z24" s="68"/>
      <c r="AA24" s="68"/>
      <c r="AB24" s="68"/>
      <c r="AC24" s="68"/>
      <c r="AD24" s="68"/>
    </row>
    <row r="25" spans="1:33" ht="12.75" customHeight="1">
      <c r="A25" s="53">
        <v>45</v>
      </c>
      <c r="B25" s="53">
        <v>18</v>
      </c>
      <c r="C25" s="53">
        <v>45</v>
      </c>
      <c r="D25" s="53">
        <v>14</v>
      </c>
      <c r="E25" s="53">
        <v>45</v>
      </c>
      <c r="H25" s="16"/>
      <c r="I25" s="17"/>
      <c r="J25" s="82">
        <f>K24</f>
        <v>0</v>
      </c>
      <c r="K25" s="17">
        <f>$J25*J$20</f>
        <v>0</v>
      </c>
      <c r="L25" s="17">
        <f t="shared" ref="L25:U25" si="2">$J25*K$20</f>
        <v>0</v>
      </c>
      <c r="M25" s="17">
        <f t="shared" si="2"/>
        <v>0</v>
      </c>
      <c r="N25" s="17">
        <f t="shared" si="2"/>
        <v>0</v>
      </c>
      <c r="O25" s="17">
        <f t="shared" si="2"/>
        <v>0</v>
      </c>
      <c r="P25" s="17">
        <f t="shared" si="2"/>
        <v>0</v>
      </c>
      <c r="Q25" s="17">
        <f t="shared" si="2"/>
        <v>0</v>
      </c>
      <c r="R25" s="17">
        <f t="shared" si="2"/>
        <v>0</v>
      </c>
      <c r="S25" s="17">
        <f t="shared" si="2"/>
        <v>0</v>
      </c>
      <c r="T25" s="17">
        <f t="shared" si="2"/>
        <v>0</v>
      </c>
      <c r="U25" s="17">
        <f t="shared" si="2"/>
        <v>0</v>
      </c>
      <c r="V25" s="17"/>
      <c r="W25" s="17"/>
      <c r="X25" s="17"/>
      <c r="Y25" s="101"/>
      <c r="Z25" s="68"/>
      <c r="AA25" s="68"/>
      <c r="AB25" s="68"/>
      <c r="AC25" s="68"/>
      <c r="AD25" s="68"/>
    </row>
    <row r="26" spans="1:33" ht="12.75" customHeight="1">
      <c r="A26" s="53">
        <v>90</v>
      </c>
      <c r="B26" s="53">
        <v>19</v>
      </c>
      <c r="C26" s="53">
        <v>90</v>
      </c>
      <c r="D26" s="53">
        <v>52</v>
      </c>
      <c r="E26" s="53">
        <v>90</v>
      </c>
      <c r="H26" s="16"/>
      <c r="I26" s="17"/>
      <c r="J26" s="17"/>
      <c r="K26" s="17">
        <f>IF(K24&lt;&gt;K25,1,0)</f>
        <v>0</v>
      </c>
      <c r="L26" s="17">
        <f t="shared" ref="L26:X26" si="3">IF(L24&lt;&gt;L25,1,0)</f>
        <v>0</v>
      </c>
      <c r="M26" s="17">
        <f t="shared" si="3"/>
        <v>1</v>
      </c>
      <c r="N26" s="17">
        <f t="shared" si="3"/>
        <v>1</v>
      </c>
      <c r="O26" s="17">
        <f t="shared" si="3"/>
        <v>1</v>
      </c>
      <c r="P26" s="17">
        <f t="shared" si="3"/>
        <v>1</v>
      </c>
      <c r="Q26" s="17">
        <f t="shared" si="3"/>
        <v>0</v>
      </c>
      <c r="R26" s="17">
        <f t="shared" si="3"/>
        <v>1</v>
      </c>
      <c r="S26" s="17">
        <f t="shared" si="3"/>
        <v>1</v>
      </c>
      <c r="T26" s="17">
        <f t="shared" si="3"/>
        <v>1</v>
      </c>
      <c r="U26" s="17">
        <f t="shared" si="3"/>
        <v>0</v>
      </c>
      <c r="V26" s="17">
        <f t="shared" si="3"/>
        <v>0</v>
      </c>
      <c r="W26" s="17">
        <f t="shared" si="3"/>
        <v>0</v>
      </c>
      <c r="X26" s="17">
        <f t="shared" si="3"/>
        <v>0</v>
      </c>
      <c r="Y26" s="101"/>
      <c r="Z26" s="68"/>
      <c r="AA26" s="68"/>
      <c r="AB26" s="68"/>
      <c r="AC26" s="68"/>
      <c r="AD26" s="68"/>
    </row>
    <row r="27" spans="1:33" ht="12.75" customHeight="1">
      <c r="A27" s="53">
        <v>180</v>
      </c>
      <c r="B27" s="53">
        <v>20</v>
      </c>
      <c r="C27" s="53">
        <v>180</v>
      </c>
      <c r="D27" s="53">
        <v>141</v>
      </c>
      <c r="E27" s="53">
        <v>180</v>
      </c>
      <c r="H27" s="16"/>
      <c r="I27" s="17"/>
      <c r="J27" s="17"/>
      <c r="K27" s="82">
        <f>L26</f>
        <v>0</v>
      </c>
      <c r="L27" s="17">
        <f>$K27*J$20</f>
        <v>0</v>
      </c>
      <c r="M27" s="17">
        <f t="shared" ref="M27:V27" si="4">$K27*K$20</f>
        <v>0</v>
      </c>
      <c r="N27" s="17">
        <f t="shared" si="4"/>
        <v>0</v>
      </c>
      <c r="O27" s="17">
        <f t="shared" si="4"/>
        <v>0</v>
      </c>
      <c r="P27" s="17">
        <f t="shared" si="4"/>
        <v>0</v>
      </c>
      <c r="Q27" s="17">
        <f t="shared" si="4"/>
        <v>0</v>
      </c>
      <c r="R27" s="17">
        <f t="shared" si="4"/>
        <v>0</v>
      </c>
      <c r="S27" s="17">
        <f t="shared" si="4"/>
        <v>0</v>
      </c>
      <c r="T27" s="17">
        <f t="shared" si="4"/>
        <v>0</v>
      </c>
      <c r="U27" s="17">
        <f t="shared" si="4"/>
        <v>0</v>
      </c>
      <c r="V27" s="17">
        <f t="shared" si="4"/>
        <v>0</v>
      </c>
      <c r="W27" s="17"/>
      <c r="X27" s="17"/>
      <c r="Y27" s="101"/>
      <c r="Z27" s="68"/>
      <c r="AA27" s="68"/>
      <c r="AB27" s="68"/>
      <c r="AC27" s="68"/>
      <c r="AD27" s="68"/>
    </row>
    <row r="28" spans="1:33" ht="12.75" customHeight="1">
      <c r="A28" s="53">
        <v>117</v>
      </c>
      <c r="B28" s="53">
        <v>21</v>
      </c>
      <c r="C28" s="53">
        <v>117</v>
      </c>
      <c r="D28" s="53">
        <v>239</v>
      </c>
      <c r="E28" s="53">
        <v>117</v>
      </c>
      <c r="H28" s="16"/>
      <c r="I28" s="17"/>
      <c r="J28" s="17"/>
      <c r="K28" s="17"/>
      <c r="L28" s="17">
        <f>IF(L26&lt;&gt;L27,1,0)</f>
        <v>0</v>
      </c>
      <c r="M28" s="17">
        <f t="shared" ref="M28:X28" si="5">IF(M26&lt;&gt;M27,1,0)</f>
        <v>1</v>
      </c>
      <c r="N28" s="17">
        <f t="shared" si="5"/>
        <v>1</v>
      </c>
      <c r="O28" s="17">
        <f t="shared" si="5"/>
        <v>1</v>
      </c>
      <c r="P28" s="17">
        <f t="shared" si="5"/>
        <v>1</v>
      </c>
      <c r="Q28" s="17">
        <f t="shared" si="5"/>
        <v>0</v>
      </c>
      <c r="R28" s="17">
        <f t="shared" si="5"/>
        <v>1</v>
      </c>
      <c r="S28" s="17">
        <f t="shared" si="5"/>
        <v>1</v>
      </c>
      <c r="T28" s="17">
        <f t="shared" si="5"/>
        <v>1</v>
      </c>
      <c r="U28" s="17">
        <f t="shared" si="5"/>
        <v>0</v>
      </c>
      <c r="V28" s="17">
        <f t="shared" si="5"/>
        <v>0</v>
      </c>
      <c r="W28" s="17">
        <f t="shared" si="5"/>
        <v>0</v>
      </c>
      <c r="X28" s="17">
        <f t="shared" si="5"/>
        <v>0</v>
      </c>
      <c r="Y28" s="101"/>
      <c r="Z28" s="68"/>
      <c r="AA28" s="68"/>
      <c r="AB28" s="68"/>
      <c r="AC28" s="68"/>
      <c r="AD28" s="68"/>
    </row>
    <row r="29" spans="1:33" ht="12.75" customHeight="1">
      <c r="A29" s="53">
        <v>234</v>
      </c>
      <c r="B29" s="53">
        <v>22</v>
      </c>
      <c r="C29" s="53">
        <v>234</v>
      </c>
      <c r="D29" s="53">
        <v>129</v>
      </c>
      <c r="E29" s="53">
        <v>234</v>
      </c>
      <c r="H29" s="16"/>
      <c r="I29" s="17"/>
      <c r="J29" s="17"/>
      <c r="K29" s="17"/>
      <c r="L29" s="82">
        <f>M28</f>
        <v>1</v>
      </c>
      <c r="M29" s="17">
        <f>$L29*J$20</f>
        <v>1</v>
      </c>
      <c r="N29" s="17">
        <f t="shared" ref="N29:W29" si="6">$L29*K$20</f>
        <v>0</v>
      </c>
      <c r="O29" s="17">
        <f t="shared" si="6"/>
        <v>1</v>
      </c>
      <c r="P29" s="17">
        <f t="shared" si="6"/>
        <v>0</v>
      </c>
      <c r="Q29" s="17">
        <f t="shared" si="6"/>
        <v>0</v>
      </c>
      <c r="R29" s="17">
        <f t="shared" si="6"/>
        <v>1</v>
      </c>
      <c r="S29" s="17">
        <f t="shared" si="6"/>
        <v>1</v>
      </c>
      <c r="T29" s="17">
        <f t="shared" si="6"/>
        <v>0</v>
      </c>
      <c r="U29" s="17">
        <f t="shared" si="6"/>
        <v>1</v>
      </c>
      <c r="V29" s="17">
        <f t="shared" si="6"/>
        <v>1</v>
      </c>
      <c r="W29" s="17">
        <f t="shared" si="6"/>
        <v>1</v>
      </c>
      <c r="X29" s="17"/>
      <c r="Y29" s="101"/>
      <c r="Z29" s="68"/>
      <c r="AA29" s="68"/>
      <c r="AB29" s="68"/>
      <c r="AC29" s="68"/>
      <c r="AD29" s="68"/>
    </row>
    <row r="30" spans="1:33" ht="12.75" customHeight="1">
      <c r="A30" s="53">
        <v>201</v>
      </c>
      <c r="B30" s="53">
        <v>23</v>
      </c>
      <c r="C30" s="53">
        <v>201</v>
      </c>
      <c r="D30" s="53">
        <v>28</v>
      </c>
      <c r="E30" s="53">
        <v>201</v>
      </c>
      <c r="H30" s="16"/>
      <c r="I30" s="17"/>
      <c r="J30" s="17"/>
      <c r="K30" s="17"/>
      <c r="L30" s="17"/>
      <c r="M30" s="17">
        <f>IF(M28&lt;&gt;M29,1,0)</f>
        <v>0</v>
      </c>
      <c r="N30" s="17">
        <f t="shared" ref="N30:X30" si="7">IF(N28&lt;&gt;N29,1,0)</f>
        <v>1</v>
      </c>
      <c r="O30" s="17">
        <f t="shared" si="7"/>
        <v>0</v>
      </c>
      <c r="P30" s="17">
        <f t="shared" si="7"/>
        <v>1</v>
      </c>
      <c r="Q30" s="17">
        <f t="shared" si="7"/>
        <v>0</v>
      </c>
      <c r="R30" s="17">
        <f t="shared" si="7"/>
        <v>0</v>
      </c>
      <c r="S30" s="17">
        <f t="shared" si="7"/>
        <v>0</v>
      </c>
      <c r="T30" s="17">
        <f t="shared" si="7"/>
        <v>1</v>
      </c>
      <c r="U30" s="17">
        <f t="shared" si="7"/>
        <v>1</v>
      </c>
      <c r="V30" s="17">
        <f t="shared" si="7"/>
        <v>1</v>
      </c>
      <c r="W30" s="17">
        <f t="shared" si="7"/>
        <v>1</v>
      </c>
      <c r="X30" s="17">
        <f t="shared" si="7"/>
        <v>0</v>
      </c>
      <c r="Y30" s="101"/>
      <c r="Z30" s="68"/>
      <c r="AA30" s="68"/>
      <c r="AB30" s="68"/>
      <c r="AC30" s="68"/>
      <c r="AD30" s="68"/>
    </row>
    <row r="31" spans="1:33" ht="12.75" customHeight="1">
      <c r="A31" s="53">
        <v>143</v>
      </c>
      <c r="B31" s="53">
        <v>24</v>
      </c>
      <c r="C31" s="53">
        <v>143</v>
      </c>
      <c r="D31" s="53">
        <v>193</v>
      </c>
      <c r="E31" s="53">
        <v>143</v>
      </c>
      <c r="H31" s="16"/>
      <c r="I31" s="17"/>
      <c r="J31" s="17"/>
      <c r="K31" s="17"/>
      <c r="L31" s="17"/>
      <c r="M31" s="82">
        <f>N30</f>
        <v>1</v>
      </c>
      <c r="N31" s="17">
        <f>$M31*J$20</f>
        <v>1</v>
      </c>
      <c r="O31" s="17">
        <f t="shared" ref="O31:X31" si="8">$M31*K$20</f>
        <v>0</v>
      </c>
      <c r="P31" s="17">
        <f t="shared" si="8"/>
        <v>1</v>
      </c>
      <c r="Q31" s="17">
        <f t="shared" si="8"/>
        <v>0</v>
      </c>
      <c r="R31" s="17">
        <f t="shared" si="8"/>
        <v>0</v>
      </c>
      <c r="S31" s="17">
        <f t="shared" si="8"/>
        <v>1</v>
      </c>
      <c r="T31" s="17">
        <f t="shared" si="8"/>
        <v>1</v>
      </c>
      <c r="U31" s="17">
        <f t="shared" si="8"/>
        <v>0</v>
      </c>
      <c r="V31" s="17">
        <f t="shared" si="8"/>
        <v>1</v>
      </c>
      <c r="W31" s="17">
        <f t="shared" si="8"/>
        <v>1</v>
      </c>
      <c r="X31" s="17">
        <f t="shared" si="8"/>
        <v>1</v>
      </c>
      <c r="Y31" s="101"/>
      <c r="Z31" s="68"/>
      <c r="AA31" s="68"/>
      <c r="AB31" s="68"/>
      <c r="AC31" s="68"/>
      <c r="AD31" s="68"/>
    </row>
    <row r="32" spans="1:33" ht="12.75" customHeight="1">
      <c r="A32" s="53">
        <v>3</v>
      </c>
      <c r="B32" s="53">
        <v>25</v>
      </c>
      <c r="C32" s="53">
        <v>3</v>
      </c>
      <c r="D32" s="53">
        <v>105</v>
      </c>
      <c r="E32" s="53">
        <v>3</v>
      </c>
      <c r="H32" s="16"/>
      <c r="I32" s="17"/>
      <c r="J32" s="17"/>
      <c r="K32" s="17"/>
      <c r="L32" s="17"/>
      <c r="M32" s="17"/>
      <c r="N32" s="17">
        <f>IF(N30&lt;&gt;N31,1,0)</f>
        <v>0</v>
      </c>
      <c r="O32" s="82">
        <f>IF(O30&lt;&gt;O31,1,0)</f>
        <v>0</v>
      </c>
      <c r="P32" s="82">
        <f t="shared" ref="P32:X32" si="9">IF(P30&lt;&gt;P31,1,0)</f>
        <v>0</v>
      </c>
      <c r="Q32" s="82">
        <f t="shared" si="9"/>
        <v>0</v>
      </c>
      <c r="R32" s="82">
        <f t="shared" si="9"/>
        <v>0</v>
      </c>
      <c r="S32" s="82">
        <f t="shared" si="9"/>
        <v>1</v>
      </c>
      <c r="T32" s="82">
        <f t="shared" si="9"/>
        <v>0</v>
      </c>
      <c r="U32" s="82">
        <f t="shared" si="9"/>
        <v>1</v>
      </c>
      <c r="V32" s="82">
        <f t="shared" si="9"/>
        <v>0</v>
      </c>
      <c r="W32" s="82">
        <f t="shared" si="9"/>
        <v>0</v>
      </c>
      <c r="X32" s="82">
        <f t="shared" si="9"/>
        <v>1</v>
      </c>
      <c r="Y32" s="101"/>
    </row>
    <row r="33" spans="1:25" ht="12.75" customHeight="1">
      <c r="A33" s="53">
        <v>6</v>
      </c>
      <c r="B33" s="53">
        <v>26</v>
      </c>
      <c r="C33" s="53">
        <v>6</v>
      </c>
      <c r="D33" s="53">
        <v>248</v>
      </c>
      <c r="E33" s="53">
        <v>6</v>
      </c>
      <c r="H33" s="16"/>
      <c r="I33" s="17" t="s">
        <v>171</v>
      </c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01"/>
    </row>
    <row r="34" spans="1:25" ht="12.75" customHeight="1">
      <c r="A34" s="53">
        <v>12</v>
      </c>
      <c r="B34" s="53">
        <v>27</v>
      </c>
      <c r="C34" s="53">
        <v>12</v>
      </c>
      <c r="D34" s="53">
        <v>200</v>
      </c>
      <c r="E34" s="53">
        <v>12</v>
      </c>
      <c r="H34" s="16"/>
      <c r="I34" s="17"/>
      <c r="J34" s="105">
        <f t="array" ref="J34:N34">J22:N22</f>
        <v>1</v>
      </c>
      <c r="K34" s="105">
        <v>0</v>
      </c>
      <c r="L34" s="105">
        <v>1</v>
      </c>
      <c r="M34" s="105">
        <v>1</v>
      </c>
      <c r="N34" s="105">
        <v>1</v>
      </c>
      <c r="O34" s="106">
        <f t="array" ref="O34:X34">O32:X32</f>
        <v>0</v>
      </c>
      <c r="P34" s="106">
        <v>0</v>
      </c>
      <c r="Q34" s="106">
        <v>0</v>
      </c>
      <c r="R34" s="106">
        <v>0</v>
      </c>
      <c r="S34" s="106">
        <v>1</v>
      </c>
      <c r="T34" s="106">
        <v>0</v>
      </c>
      <c r="U34" s="106">
        <v>1</v>
      </c>
      <c r="V34" s="106">
        <v>0</v>
      </c>
      <c r="W34" s="106">
        <v>0</v>
      </c>
      <c r="X34" s="106">
        <v>1</v>
      </c>
      <c r="Y34" s="101"/>
    </row>
    <row r="35" spans="1:25">
      <c r="A35" s="53">
        <v>24</v>
      </c>
      <c r="B35" s="53">
        <v>28</v>
      </c>
      <c r="C35" s="53">
        <v>24</v>
      </c>
      <c r="D35" s="53">
        <v>8</v>
      </c>
      <c r="E35" s="53">
        <v>24</v>
      </c>
      <c r="H35" s="85" t="s">
        <v>194</v>
      </c>
      <c r="I35" s="54"/>
      <c r="J35" s="54">
        <v>1</v>
      </c>
      <c r="K35" s="54">
        <v>0</v>
      </c>
      <c r="L35" s="54">
        <v>1</v>
      </c>
      <c r="M35" s="54">
        <v>0</v>
      </c>
      <c r="N35" s="54">
        <v>1</v>
      </c>
      <c r="O35" s="54">
        <v>0</v>
      </c>
      <c r="P35" s="54">
        <v>0</v>
      </c>
      <c r="Q35" s="54">
        <v>0</v>
      </c>
      <c r="R35" s="54">
        <v>0</v>
      </c>
      <c r="S35" s="54">
        <v>0</v>
      </c>
      <c r="T35" s="54">
        <v>1</v>
      </c>
      <c r="U35" s="54">
        <v>0</v>
      </c>
      <c r="V35" s="54">
        <v>0</v>
      </c>
      <c r="W35" s="54">
        <v>1</v>
      </c>
      <c r="X35" s="54">
        <v>0</v>
      </c>
      <c r="Y35" s="100"/>
    </row>
    <row r="36" spans="1:25" ht="15.75" thickBot="1">
      <c r="A36" s="53">
        <v>48</v>
      </c>
      <c r="B36" s="53">
        <v>29</v>
      </c>
      <c r="C36" s="53">
        <v>48</v>
      </c>
      <c r="D36" s="53">
        <v>76</v>
      </c>
      <c r="E36" s="53">
        <v>48</v>
      </c>
      <c r="H36" s="86" t="s">
        <v>154</v>
      </c>
      <c r="I36" s="87"/>
      <c r="J36" s="107">
        <f>IF(J34&lt;&gt;J35,1,0)</f>
        <v>0</v>
      </c>
      <c r="K36" s="107">
        <f t="shared" ref="K36:X36" si="10">IF(K34&lt;&gt;K35,1,0)</f>
        <v>0</v>
      </c>
      <c r="L36" s="107">
        <f t="shared" si="10"/>
        <v>0</v>
      </c>
      <c r="M36" s="107">
        <f t="shared" si="10"/>
        <v>1</v>
      </c>
      <c r="N36" s="107">
        <f t="shared" si="10"/>
        <v>0</v>
      </c>
      <c r="O36" s="107">
        <f t="shared" si="10"/>
        <v>0</v>
      </c>
      <c r="P36" s="107">
        <f t="shared" si="10"/>
        <v>0</v>
      </c>
      <c r="Q36" s="107">
        <f t="shared" si="10"/>
        <v>0</v>
      </c>
      <c r="R36" s="107">
        <f t="shared" si="10"/>
        <v>0</v>
      </c>
      <c r="S36" s="107">
        <f t="shared" si="10"/>
        <v>1</v>
      </c>
      <c r="T36" s="107">
        <f t="shared" si="10"/>
        <v>1</v>
      </c>
      <c r="U36" s="107">
        <f t="shared" si="10"/>
        <v>1</v>
      </c>
      <c r="V36" s="107">
        <f t="shared" si="10"/>
        <v>0</v>
      </c>
      <c r="W36" s="107">
        <f t="shared" si="10"/>
        <v>1</v>
      </c>
      <c r="X36" s="107">
        <f t="shared" si="10"/>
        <v>1</v>
      </c>
      <c r="Y36" s="88"/>
    </row>
    <row r="37" spans="1:25">
      <c r="A37" s="53">
        <v>96</v>
      </c>
      <c r="B37" s="53">
        <v>30</v>
      </c>
      <c r="C37" s="53">
        <v>96</v>
      </c>
      <c r="D37" s="53">
        <v>113</v>
      </c>
      <c r="E37" s="53">
        <v>96</v>
      </c>
    </row>
    <row r="38" spans="1:25">
      <c r="A38" s="53">
        <v>192</v>
      </c>
      <c r="B38" s="53">
        <v>31</v>
      </c>
      <c r="C38" s="53">
        <v>192</v>
      </c>
      <c r="D38" s="53">
        <v>5</v>
      </c>
      <c r="E38" s="53">
        <v>192</v>
      </c>
    </row>
    <row r="39" spans="1:25">
      <c r="A39" s="53">
        <v>157</v>
      </c>
      <c r="B39" s="53">
        <v>32</v>
      </c>
      <c r="C39" s="53">
        <v>157</v>
      </c>
      <c r="D39" s="53">
        <v>138</v>
      </c>
      <c r="E39" s="53">
        <v>157</v>
      </c>
    </row>
    <row r="40" spans="1:25">
      <c r="A40" s="53">
        <v>39</v>
      </c>
      <c r="B40" s="53">
        <v>33</v>
      </c>
      <c r="C40" s="53">
        <v>39</v>
      </c>
      <c r="D40" s="53">
        <v>101</v>
      </c>
      <c r="E40" s="53">
        <v>39</v>
      </c>
    </row>
    <row r="41" spans="1:25">
      <c r="A41" s="53">
        <v>78</v>
      </c>
      <c r="B41" s="53">
        <v>34</v>
      </c>
      <c r="C41" s="53">
        <v>78</v>
      </c>
      <c r="D41" s="53">
        <v>47</v>
      </c>
      <c r="E41" s="53">
        <v>78</v>
      </c>
    </row>
    <row r="42" spans="1:25">
      <c r="A42" s="53">
        <v>156</v>
      </c>
      <c r="B42" s="53">
        <v>35</v>
      </c>
      <c r="C42" s="53">
        <v>156</v>
      </c>
      <c r="D42" s="53">
        <v>225</v>
      </c>
      <c r="E42" s="53">
        <v>156</v>
      </c>
    </row>
    <row r="43" spans="1:25">
      <c r="A43" s="53">
        <v>37</v>
      </c>
      <c r="B43" s="53">
        <v>36</v>
      </c>
      <c r="C43" s="53">
        <v>37</v>
      </c>
      <c r="D43" s="53">
        <v>36</v>
      </c>
      <c r="E43" s="53">
        <v>37</v>
      </c>
    </row>
    <row r="44" spans="1:25">
      <c r="A44" s="53">
        <v>74</v>
      </c>
      <c r="B44" s="53">
        <v>37</v>
      </c>
      <c r="C44" s="53">
        <v>74</v>
      </c>
      <c r="D44" s="53">
        <v>15</v>
      </c>
      <c r="E44" s="53">
        <v>74</v>
      </c>
    </row>
    <row r="45" spans="1:25">
      <c r="A45" s="53">
        <v>148</v>
      </c>
      <c r="B45" s="53">
        <v>38</v>
      </c>
      <c r="C45" s="53">
        <v>148</v>
      </c>
      <c r="D45" s="53">
        <v>33</v>
      </c>
      <c r="E45" s="53">
        <v>148</v>
      </c>
    </row>
    <row r="46" spans="1:25">
      <c r="A46" s="53">
        <v>53</v>
      </c>
      <c r="B46" s="53">
        <v>39</v>
      </c>
      <c r="C46" s="53">
        <v>53</v>
      </c>
      <c r="D46" s="53">
        <v>53</v>
      </c>
      <c r="E46" s="53">
        <v>53</v>
      </c>
    </row>
    <row r="47" spans="1:25">
      <c r="A47" s="53">
        <v>106</v>
      </c>
      <c r="B47" s="53">
        <v>40</v>
      </c>
      <c r="C47" s="53">
        <v>106</v>
      </c>
      <c r="D47" s="53">
        <v>147</v>
      </c>
      <c r="E47" s="53">
        <v>106</v>
      </c>
    </row>
    <row r="48" spans="1:25">
      <c r="A48" s="53">
        <v>212</v>
      </c>
      <c r="B48" s="53">
        <v>41</v>
      </c>
      <c r="C48" s="53">
        <v>212</v>
      </c>
      <c r="D48" s="53">
        <v>142</v>
      </c>
      <c r="E48" s="53">
        <v>212</v>
      </c>
    </row>
    <row r="49" spans="1:5">
      <c r="A49" s="53">
        <v>181</v>
      </c>
      <c r="B49" s="53">
        <v>42</v>
      </c>
      <c r="C49" s="53">
        <v>181</v>
      </c>
      <c r="D49" s="53">
        <v>218</v>
      </c>
      <c r="E49" s="53">
        <v>181</v>
      </c>
    </row>
    <row r="50" spans="1:5">
      <c r="A50" s="53">
        <v>119</v>
      </c>
      <c r="B50" s="53">
        <v>43</v>
      </c>
      <c r="C50" s="53">
        <v>119</v>
      </c>
      <c r="D50" s="53">
        <v>240</v>
      </c>
      <c r="E50" s="53">
        <v>119</v>
      </c>
    </row>
    <row r="51" spans="1:5">
      <c r="A51" s="53">
        <v>238</v>
      </c>
      <c r="B51" s="53">
        <v>44</v>
      </c>
      <c r="C51" s="53">
        <v>238</v>
      </c>
      <c r="D51" s="53">
        <v>18</v>
      </c>
      <c r="E51" s="53">
        <v>238</v>
      </c>
    </row>
    <row r="52" spans="1:5">
      <c r="A52" s="53">
        <v>193</v>
      </c>
      <c r="B52" s="53">
        <v>45</v>
      </c>
      <c r="C52" s="53">
        <v>193</v>
      </c>
      <c r="D52" s="53">
        <v>130</v>
      </c>
      <c r="E52" s="53">
        <v>193</v>
      </c>
    </row>
    <row r="53" spans="1:5">
      <c r="A53" s="53">
        <v>159</v>
      </c>
      <c r="B53" s="53">
        <v>46</v>
      </c>
      <c r="C53" s="53">
        <v>159</v>
      </c>
      <c r="D53" s="53">
        <v>69</v>
      </c>
      <c r="E53" s="53">
        <v>159</v>
      </c>
    </row>
    <row r="54" spans="1:5">
      <c r="A54" s="53">
        <v>35</v>
      </c>
      <c r="B54" s="53">
        <v>47</v>
      </c>
      <c r="C54" s="53">
        <v>35</v>
      </c>
      <c r="D54" s="53">
        <v>29</v>
      </c>
      <c r="E54" s="53">
        <v>35</v>
      </c>
    </row>
    <row r="55" spans="1:5">
      <c r="A55" s="53">
        <v>70</v>
      </c>
      <c r="B55" s="53">
        <v>48</v>
      </c>
      <c r="C55" s="53">
        <v>70</v>
      </c>
      <c r="D55" s="53">
        <v>181</v>
      </c>
      <c r="E55" s="53">
        <v>70</v>
      </c>
    </row>
    <row r="56" spans="1:5">
      <c r="A56" s="53">
        <v>140</v>
      </c>
      <c r="B56" s="53">
        <v>49</v>
      </c>
      <c r="C56" s="53">
        <v>140</v>
      </c>
      <c r="D56" s="53">
        <v>194</v>
      </c>
      <c r="E56" s="53">
        <v>140</v>
      </c>
    </row>
    <row r="57" spans="1:5">
      <c r="A57" s="53">
        <v>5</v>
      </c>
      <c r="B57" s="53">
        <v>50</v>
      </c>
      <c r="C57" s="53">
        <v>5</v>
      </c>
      <c r="D57" s="53">
        <v>125</v>
      </c>
      <c r="E57" s="53">
        <v>5</v>
      </c>
    </row>
    <row r="58" spans="1:5">
      <c r="A58" s="53">
        <v>10</v>
      </c>
      <c r="B58" s="53">
        <v>51</v>
      </c>
      <c r="C58" s="53">
        <v>10</v>
      </c>
      <c r="D58" s="53">
        <v>106</v>
      </c>
      <c r="E58" s="53">
        <v>10</v>
      </c>
    </row>
    <row r="59" spans="1:5">
      <c r="A59" s="53">
        <v>20</v>
      </c>
      <c r="B59" s="53">
        <v>52</v>
      </c>
      <c r="C59" s="53">
        <v>20</v>
      </c>
      <c r="D59" s="53">
        <v>39</v>
      </c>
      <c r="E59" s="53">
        <v>20</v>
      </c>
    </row>
    <row r="60" spans="1:5">
      <c r="A60" s="53">
        <v>40</v>
      </c>
      <c r="B60" s="53">
        <v>53</v>
      </c>
      <c r="C60" s="53">
        <v>40</v>
      </c>
      <c r="D60" s="53">
        <v>249</v>
      </c>
      <c r="E60" s="53">
        <v>40</v>
      </c>
    </row>
    <row r="61" spans="1:5">
      <c r="A61" s="53">
        <v>80</v>
      </c>
      <c r="B61" s="53">
        <v>54</v>
      </c>
      <c r="C61" s="53">
        <v>80</v>
      </c>
      <c r="D61" s="53">
        <v>185</v>
      </c>
      <c r="E61" s="53">
        <v>80</v>
      </c>
    </row>
    <row r="62" spans="1:5">
      <c r="A62" s="53">
        <v>160</v>
      </c>
      <c r="B62" s="53">
        <v>55</v>
      </c>
      <c r="C62" s="53">
        <v>160</v>
      </c>
      <c r="D62" s="53">
        <v>201</v>
      </c>
      <c r="E62" s="53">
        <v>160</v>
      </c>
    </row>
    <row r="63" spans="1:5">
      <c r="A63" s="53">
        <v>93</v>
      </c>
      <c r="B63" s="53">
        <v>56</v>
      </c>
      <c r="C63" s="53">
        <v>93</v>
      </c>
      <c r="D63" s="53">
        <v>154</v>
      </c>
      <c r="E63" s="53">
        <v>93</v>
      </c>
    </row>
    <row r="64" spans="1:5">
      <c r="A64" s="53">
        <v>186</v>
      </c>
      <c r="B64" s="53">
        <v>57</v>
      </c>
      <c r="C64" s="53">
        <v>186</v>
      </c>
      <c r="D64" s="53">
        <v>9</v>
      </c>
      <c r="E64" s="53">
        <v>186</v>
      </c>
    </row>
    <row r="65" spans="1:5">
      <c r="A65" s="53">
        <v>105</v>
      </c>
      <c r="B65" s="53">
        <v>58</v>
      </c>
      <c r="C65" s="53">
        <v>105</v>
      </c>
      <c r="D65" s="53">
        <v>120</v>
      </c>
      <c r="E65" s="53">
        <v>105</v>
      </c>
    </row>
    <row r="66" spans="1:5">
      <c r="A66" s="53">
        <v>210</v>
      </c>
      <c r="B66" s="53">
        <v>59</v>
      </c>
      <c r="C66" s="53">
        <v>210</v>
      </c>
      <c r="D66" s="53">
        <v>77</v>
      </c>
      <c r="E66" s="53">
        <v>210</v>
      </c>
    </row>
    <row r="67" spans="1:5">
      <c r="A67" s="53">
        <v>185</v>
      </c>
      <c r="B67" s="53">
        <v>60</v>
      </c>
      <c r="C67" s="53">
        <v>185</v>
      </c>
      <c r="D67" s="53">
        <v>228</v>
      </c>
      <c r="E67" s="53">
        <v>185</v>
      </c>
    </row>
    <row r="68" spans="1:5">
      <c r="A68" s="53">
        <v>111</v>
      </c>
      <c r="B68" s="53">
        <v>61</v>
      </c>
      <c r="C68" s="53">
        <v>111</v>
      </c>
      <c r="D68" s="53">
        <v>114</v>
      </c>
      <c r="E68" s="53">
        <v>111</v>
      </c>
    </row>
    <row r="69" spans="1:5">
      <c r="A69" s="53">
        <v>222</v>
      </c>
      <c r="B69" s="53">
        <v>62</v>
      </c>
      <c r="C69" s="53">
        <v>222</v>
      </c>
      <c r="D69" s="53">
        <v>166</v>
      </c>
      <c r="E69" s="53">
        <v>222</v>
      </c>
    </row>
    <row r="70" spans="1:5">
      <c r="A70" s="53">
        <v>161</v>
      </c>
      <c r="B70" s="53">
        <v>63</v>
      </c>
      <c r="C70" s="53">
        <v>161</v>
      </c>
      <c r="D70" s="53">
        <v>6</v>
      </c>
      <c r="E70" s="53">
        <v>161</v>
      </c>
    </row>
    <row r="71" spans="1:5">
      <c r="A71" s="53">
        <v>95</v>
      </c>
      <c r="B71" s="53">
        <v>64</v>
      </c>
      <c r="C71" s="53">
        <v>95</v>
      </c>
      <c r="D71" s="53">
        <v>191</v>
      </c>
      <c r="E71" s="53">
        <v>95</v>
      </c>
    </row>
    <row r="72" spans="1:5">
      <c r="A72" s="53">
        <v>190</v>
      </c>
      <c r="B72" s="53">
        <v>65</v>
      </c>
      <c r="C72" s="53">
        <v>190</v>
      </c>
      <c r="D72" s="53">
        <v>139</v>
      </c>
      <c r="E72" s="53">
        <v>190</v>
      </c>
    </row>
    <row r="73" spans="1:5">
      <c r="A73" s="53">
        <v>97</v>
      </c>
      <c r="B73" s="53">
        <v>66</v>
      </c>
      <c r="C73" s="53">
        <v>97</v>
      </c>
      <c r="D73" s="53">
        <v>98</v>
      </c>
      <c r="E73" s="53">
        <v>97</v>
      </c>
    </row>
    <row r="74" spans="1:5">
      <c r="A74" s="53">
        <v>194</v>
      </c>
      <c r="B74" s="53">
        <v>67</v>
      </c>
      <c r="C74" s="53">
        <v>194</v>
      </c>
      <c r="D74" s="53">
        <v>102</v>
      </c>
      <c r="E74" s="53">
        <v>194</v>
      </c>
    </row>
    <row r="75" spans="1:5">
      <c r="A75" s="53">
        <v>153</v>
      </c>
      <c r="B75" s="53">
        <v>68</v>
      </c>
      <c r="C75" s="53">
        <v>153</v>
      </c>
      <c r="D75" s="53">
        <v>221</v>
      </c>
      <c r="E75" s="53">
        <v>153</v>
      </c>
    </row>
    <row r="76" spans="1:5">
      <c r="A76" s="53">
        <v>47</v>
      </c>
      <c r="B76" s="53">
        <v>69</v>
      </c>
      <c r="C76" s="53">
        <v>47</v>
      </c>
      <c r="D76" s="53">
        <v>48</v>
      </c>
      <c r="E76" s="53">
        <v>47</v>
      </c>
    </row>
    <row r="77" spans="1:5">
      <c r="A77" s="53">
        <v>94</v>
      </c>
      <c r="B77" s="53">
        <v>70</v>
      </c>
      <c r="C77" s="53">
        <v>94</v>
      </c>
      <c r="D77" s="53">
        <v>253</v>
      </c>
      <c r="E77" s="53">
        <v>94</v>
      </c>
    </row>
    <row r="78" spans="1:5">
      <c r="A78" s="53">
        <v>188</v>
      </c>
      <c r="B78" s="53">
        <v>71</v>
      </c>
      <c r="C78" s="53">
        <v>188</v>
      </c>
      <c r="D78" s="53">
        <v>226</v>
      </c>
      <c r="E78" s="53">
        <v>188</v>
      </c>
    </row>
    <row r="79" spans="1:5">
      <c r="A79" s="53">
        <v>101</v>
      </c>
      <c r="B79" s="53">
        <v>72</v>
      </c>
      <c r="C79" s="53">
        <v>101</v>
      </c>
      <c r="D79" s="53">
        <v>152</v>
      </c>
      <c r="E79" s="53">
        <v>101</v>
      </c>
    </row>
    <row r="80" spans="1:5">
      <c r="A80" s="53">
        <v>202</v>
      </c>
      <c r="B80" s="53">
        <v>73</v>
      </c>
      <c r="C80" s="53">
        <v>202</v>
      </c>
      <c r="D80" s="53">
        <v>37</v>
      </c>
      <c r="E80" s="53">
        <v>202</v>
      </c>
    </row>
    <row r="81" spans="1:5">
      <c r="A81" s="53">
        <v>137</v>
      </c>
      <c r="B81" s="53">
        <v>74</v>
      </c>
      <c r="C81" s="53">
        <v>137</v>
      </c>
      <c r="D81" s="53">
        <v>179</v>
      </c>
      <c r="E81" s="53">
        <v>137</v>
      </c>
    </row>
    <row r="82" spans="1:5">
      <c r="A82" s="53">
        <v>15</v>
      </c>
      <c r="B82" s="53">
        <v>75</v>
      </c>
      <c r="C82" s="53">
        <v>15</v>
      </c>
      <c r="D82" s="53">
        <v>16</v>
      </c>
      <c r="E82" s="53">
        <v>15</v>
      </c>
    </row>
    <row r="83" spans="1:5">
      <c r="A83" s="53">
        <v>30</v>
      </c>
      <c r="B83" s="53">
        <v>76</v>
      </c>
      <c r="C83" s="53">
        <v>30</v>
      </c>
      <c r="D83" s="53">
        <v>145</v>
      </c>
      <c r="E83" s="53">
        <v>30</v>
      </c>
    </row>
    <row r="84" spans="1:5">
      <c r="A84" s="53">
        <v>60</v>
      </c>
      <c r="B84" s="53">
        <v>77</v>
      </c>
      <c r="C84" s="53">
        <v>60</v>
      </c>
      <c r="D84" s="53">
        <v>34</v>
      </c>
      <c r="E84" s="53">
        <v>60</v>
      </c>
    </row>
    <row r="85" spans="1:5">
      <c r="A85" s="53">
        <v>120</v>
      </c>
      <c r="B85" s="53">
        <v>78</v>
      </c>
      <c r="C85" s="53">
        <v>120</v>
      </c>
      <c r="D85" s="53">
        <v>136</v>
      </c>
      <c r="E85" s="53">
        <v>120</v>
      </c>
    </row>
    <row r="86" spans="1:5">
      <c r="A86" s="53">
        <v>240</v>
      </c>
      <c r="B86" s="53">
        <v>79</v>
      </c>
      <c r="C86" s="53">
        <v>240</v>
      </c>
      <c r="D86" s="53">
        <v>54</v>
      </c>
      <c r="E86" s="53">
        <v>240</v>
      </c>
    </row>
    <row r="87" spans="1:5">
      <c r="A87" s="53">
        <v>253</v>
      </c>
      <c r="B87" s="53">
        <v>80</v>
      </c>
      <c r="C87" s="53">
        <v>253</v>
      </c>
      <c r="D87" s="53">
        <v>208</v>
      </c>
      <c r="E87" s="53">
        <v>253</v>
      </c>
    </row>
    <row r="88" spans="1:5">
      <c r="A88" s="53">
        <v>231</v>
      </c>
      <c r="B88" s="53">
        <v>81</v>
      </c>
      <c r="C88" s="53">
        <v>231</v>
      </c>
      <c r="D88" s="53">
        <v>148</v>
      </c>
      <c r="E88" s="53">
        <v>231</v>
      </c>
    </row>
    <row r="89" spans="1:5">
      <c r="A89" s="53">
        <v>211</v>
      </c>
      <c r="B89" s="53">
        <v>82</v>
      </c>
      <c r="C89" s="53">
        <v>211</v>
      </c>
      <c r="D89" s="53">
        <v>206</v>
      </c>
      <c r="E89" s="53">
        <v>211</v>
      </c>
    </row>
    <row r="90" spans="1:5">
      <c r="A90" s="53">
        <v>187</v>
      </c>
      <c r="B90" s="53">
        <v>83</v>
      </c>
      <c r="C90" s="53">
        <v>187</v>
      </c>
      <c r="D90" s="53">
        <v>143</v>
      </c>
      <c r="E90" s="53">
        <v>187</v>
      </c>
    </row>
    <row r="91" spans="1:5">
      <c r="A91" s="53">
        <v>107</v>
      </c>
      <c r="B91" s="53">
        <v>84</v>
      </c>
      <c r="C91" s="53">
        <v>107</v>
      </c>
      <c r="D91" s="53">
        <v>150</v>
      </c>
      <c r="E91" s="53">
        <v>107</v>
      </c>
    </row>
    <row r="92" spans="1:5">
      <c r="A92" s="53">
        <v>214</v>
      </c>
      <c r="B92" s="53">
        <v>85</v>
      </c>
      <c r="C92" s="53">
        <v>214</v>
      </c>
      <c r="D92" s="53">
        <v>219</v>
      </c>
      <c r="E92" s="53">
        <v>214</v>
      </c>
    </row>
    <row r="93" spans="1:5">
      <c r="A93" s="53">
        <v>177</v>
      </c>
      <c r="B93" s="53">
        <v>86</v>
      </c>
      <c r="C93" s="53">
        <v>177</v>
      </c>
      <c r="D93" s="53">
        <v>189</v>
      </c>
      <c r="E93" s="53">
        <v>177</v>
      </c>
    </row>
    <row r="94" spans="1:5">
      <c r="A94" s="53">
        <v>127</v>
      </c>
      <c r="B94" s="53">
        <v>87</v>
      </c>
      <c r="C94" s="53">
        <v>127</v>
      </c>
      <c r="D94" s="53">
        <v>241</v>
      </c>
      <c r="E94" s="53">
        <v>127</v>
      </c>
    </row>
    <row r="95" spans="1:5">
      <c r="A95" s="53">
        <v>254</v>
      </c>
      <c r="B95" s="53">
        <v>88</v>
      </c>
      <c r="C95" s="53">
        <v>254</v>
      </c>
      <c r="D95" s="53">
        <v>210</v>
      </c>
      <c r="E95" s="53">
        <v>254</v>
      </c>
    </row>
    <row r="96" spans="1:5">
      <c r="A96" s="53">
        <v>225</v>
      </c>
      <c r="B96" s="53">
        <v>89</v>
      </c>
      <c r="C96" s="53">
        <v>225</v>
      </c>
      <c r="D96" s="53">
        <v>19</v>
      </c>
      <c r="E96" s="53">
        <v>225</v>
      </c>
    </row>
    <row r="97" spans="1:5">
      <c r="A97" s="53">
        <v>223</v>
      </c>
      <c r="B97" s="53">
        <v>90</v>
      </c>
      <c r="C97" s="53">
        <v>223</v>
      </c>
      <c r="D97" s="53">
        <v>92</v>
      </c>
      <c r="E97" s="53">
        <v>223</v>
      </c>
    </row>
    <row r="98" spans="1:5">
      <c r="A98" s="53">
        <v>163</v>
      </c>
      <c r="B98" s="53">
        <v>91</v>
      </c>
      <c r="C98" s="53">
        <v>163</v>
      </c>
      <c r="D98" s="53">
        <v>131</v>
      </c>
      <c r="E98" s="53">
        <v>163</v>
      </c>
    </row>
    <row r="99" spans="1:5">
      <c r="A99" s="53">
        <v>91</v>
      </c>
      <c r="B99" s="53">
        <v>92</v>
      </c>
      <c r="C99" s="53">
        <v>91</v>
      </c>
      <c r="D99" s="53">
        <v>56</v>
      </c>
      <c r="E99" s="53">
        <v>91</v>
      </c>
    </row>
    <row r="100" spans="1:5">
      <c r="A100" s="53">
        <v>182</v>
      </c>
      <c r="B100" s="53">
        <v>93</v>
      </c>
      <c r="C100" s="53">
        <v>182</v>
      </c>
      <c r="D100" s="53">
        <v>70</v>
      </c>
      <c r="E100" s="53">
        <v>182</v>
      </c>
    </row>
    <row r="101" spans="1:5">
      <c r="A101" s="53">
        <v>113</v>
      </c>
      <c r="B101" s="53">
        <v>94</v>
      </c>
      <c r="C101" s="53">
        <v>113</v>
      </c>
      <c r="D101" s="53">
        <v>64</v>
      </c>
      <c r="E101" s="53">
        <v>113</v>
      </c>
    </row>
    <row r="102" spans="1:5">
      <c r="A102" s="53">
        <v>226</v>
      </c>
      <c r="B102" s="53">
        <v>95</v>
      </c>
      <c r="C102" s="53">
        <v>226</v>
      </c>
      <c r="D102" s="53">
        <v>30</v>
      </c>
      <c r="E102" s="53">
        <v>226</v>
      </c>
    </row>
    <row r="103" spans="1:5">
      <c r="A103" s="53">
        <v>217</v>
      </c>
      <c r="B103" s="53">
        <v>96</v>
      </c>
      <c r="C103" s="53">
        <v>217</v>
      </c>
      <c r="D103" s="53">
        <v>66</v>
      </c>
      <c r="E103" s="53">
        <v>217</v>
      </c>
    </row>
    <row r="104" spans="1:5">
      <c r="A104" s="53">
        <v>175</v>
      </c>
      <c r="B104" s="53">
        <v>97</v>
      </c>
      <c r="C104" s="53">
        <v>175</v>
      </c>
      <c r="D104" s="53">
        <v>182</v>
      </c>
      <c r="E104" s="53">
        <v>175</v>
      </c>
    </row>
    <row r="105" spans="1:5">
      <c r="A105" s="53">
        <v>67</v>
      </c>
      <c r="B105" s="53">
        <v>98</v>
      </c>
      <c r="C105" s="53">
        <v>67</v>
      </c>
      <c r="D105" s="53">
        <v>163</v>
      </c>
      <c r="E105" s="53">
        <v>67</v>
      </c>
    </row>
    <row r="106" spans="1:5">
      <c r="A106" s="53">
        <v>134</v>
      </c>
      <c r="B106" s="53">
        <v>99</v>
      </c>
      <c r="C106" s="53">
        <v>134</v>
      </c>
      <c r="D106" s="53">
        <v>195</v>
      </c>
      <c r="E106" s="53">
        <v>134</v>
      </c>
    </row>
    <row r="107" spans="1:5">
      <c r="A107" s="53">
        <v>17</v>
      </c>
      <c r="B107" s="53">
        <v>100</v>
      </c>
      <c r="C107" s="53">
        <v>17</v>
      </c>
      <c r="D107" s="53">
        <v>72</v>
      </c>
      <c r="E107" s="53">
        <v>17</v>
      </c>
    </row>
    <row r="108" spans="1:5">
      <c r="A108" s="53">
        <v>34</v>
      </c>
      <c r="B108" s="53">
        <v>101</v>
      </c>
      <c r="C108" s="53">
        <v>34</v>
      </c>
      <c r="D108" s="53">
        <v>126</v>
      </c>
      <c r="E108" s="53">
        <v>34</v>
      </c>
    </row>
    <row r="109" spans="1:5">
      <c r="A109" s="53">
        <v>68</v>
      </c>
      <c r="B109" s="53">
        <v>102</v>
      </c>
      <c r="C109" s="53">
        <v>68</v>
      </c>
      <c r="D109" s="53">
        <v>110</v>
      </c>
      <c r="E109" s="53">
        <v>68</v>
      </c>
    </row>
    <row r="110" spans="1:5">
      <c r="A110" s="53">
        <v>136</v>
      </c>
      <c r="B110" s="53">
        <v>103</v>
      </c>
      <c r="C110" s="53">
        <v>136</v>
      </c>
      <c r="D110" s="53">
        <v>107</v>
      </c>
      <c r="E110" s="53">
        <v>136</v>
      </c>
    </row>
    <row r="111" spans="1:5">
      <c r="A111" s="53">
        <v>13</v>
      </c>
      <c r="B111" s="53">
        <v>104</v>
      </c>
      <c r="C111" s="53">
        <v>13</v>
      </c>
      <c r="D111" s="53">
        <v>58</v>
      </c>
      <c r="E111" s="53">
        <v>13</v>
      </c>
    </row>
    <row r="112" spans="1:5">
      <c r="A112" s="53">
        <v>26</v>
      </c>
      <c r="B112" s="53">
        <v>105</v>
      </c>
      <c r="C112" s="53">
        <v>26</v>
      </c>
      <c r="D112" s="53">
        <v>40</v>
      </c>
      <c r="E112" s="53">
        <v>26</v>
      </c>
    </row>
    <row r="113" spans="1:5">
      <c r="A113" s="53">
        <v>52</v>
      </c>
      <c r="B113" s="53">
        <v>106</v>
      </c>
      <c r="C113" s="53">
        <v>52</v>
      </c>
      <c r="D113" s="53">
        <v>84</v>
      </c>
      <c r="E113" s="53">
        <v>52</v>
      </c>
    </row>
    <row r="114" spans="1:5">
      <c r="A114" s="53">
        <v>104</v>
      </c>
      <c r="B114" s="53">
        <v>107</v>
      </c>
      <c r="C114" s="53">
        <v>104</v>
      </c>
      <c r="D114" s="53">
        <v>250</v>
      </c>
      <c r="E114" s="53">
        <v>104</v>
      </c>
    </row>
    <row r="115" spans="1:5">
      <c r="A115" s="53">
        <v>208</v>
      </c>
      <c r="B115" s="53">
        <v>108</v>
      </c>
      <c r="C115" s="53">
        <v>208</v>
      </c>
      <c r="D115" s="53">
        <v>133</v>
      </c>
      <c r="E115" s="53">
        <v>208</v>
      </c>
    </row>
    <row r="116" spans="1:5">
      <c r="A116" s="53">
        <v>189</v>
      </c>
      <c r="B116" s="53">
        <v>109</v>
      </c>
      <c r="C116" s="53">
        <v>189</v>
      </c>
      <c r="D116" s="53">
        <v>186</v>
      </c>
      <c r="E116" s="53">
        <v>189</v>
      </c>
    </row>
    <row r="117" spans="1:5">
      <c r="A117" s="53">
        <v>103</v>
      </c>
      <c r="B117" s="53">
        <v>110</v>
      </c>
      <c r="C117" s="53">
        <v>103</v>
      </c>
      <c r="D117" s="53">
        <v>61</v>
      </c>
      <c r="E117" s="53">
        <v>103</v>
      </c>
    </row>
    <row r="118" spans="1:5">
      <c r="A118" s="53">
        <v>206</v>
      </c>
      <c r="B118" s="53">
        <v>111</v>
      </c>
      <c r="C118" s="53">
        <v>206</v>
      </c>
      <c r="D118" s="53">
        <v>202</v>
      </c>
      <c r="E118" s="53">
        <v>206</v>
      </c>
    </row>
    <row r="119" spans="1:5">
      <c r="A119" s="53">
        <v>129</v>
      </c>
      <c r="B119" s="53">
        <v>112</v>
      </c>
      <c r="C119" s="53">
        <v>129</v>
      </c>
      <c r="D119" s="53">
        <v>94</v>
      </c>
      <c r="E119" s="53">
        <v>129</v>
      </c>
    </row>
    <row r="120" spans="1:5">
      <c r="A120" s="53">
        <v>31</v>
      </c>
      <c r="B120" s="53">
        <v>113</v>
      </c>
      <c r="C120" s="53">
        <v>31</v>
      </c>
      <c r="D120" s="53">
        <v>155</v>
      </c>
      <c r="E120" s="53">
        <v>31</v>
      </c>
    </row>
    <row r="121" spans="1:5">
      <c r="A121" s="53">
        <v>62</v>
      </c>
      <c r="B121" s="53">
        <v>114</v>
      </c>
      <c r="C121" s="53">
        <v>62</v>
      </c>
      <c r="D121" s="53">
        <v>159</v>
      </c>
      <c r="E121" s="53">
        <v>62</v>
      </c>
    </row>
    <row r="122" spans="1:5">
      <c r="A122" s="53">
        <v>124</v>
      </c>
      <c r="B122" s="53">
        <v>115</v>
      </c>
      <c r="C122" s="53">
        <v>124</v>
      </c>
      <c r="D122" s="53">
        <v>10</v>
      </c>
      <c r="E122" s="53">
        <v>124</v>
      </c>
    </row>
    <row r="123" spans="1:5">
      <c r="A123" s="53">
        <v>248</v>
      </c>
      <c r="B123" s="53">
        <v>116</v>
      </c>
      <c r="C123" s="53">
        <v>248</v>
      </c>
      <c r="D123" s="53">
        <v>21</v>
      </c>
      <c r="E123" s="53">
        <v>248</v>
      </c>
    </row>
    <row r="124" spans="1:5">
      <c r="A124" s="53">
        <v>237</v>
      </c>
      <c r="B124" s="53">
        <v>117</v>
      </c>
      <c r="C124" s="53">
        <v>237</v>
      </c>
      <c r="D124" s="53">
        <v>121</v>
      </c>
      <c r="E124" s="53">
        <v>237</v>
      </c>
    </row>
    <row r="125" spans="1:5">
      <c r="A125" s="53">
        <v>199</v>
      </c>
      <c r="B125" s="53">
        <v>118</v>
      </c>
      <c r="C125" s="53">
        <v>199</v>
      </c>
      <c r="D125" s="53">
        <v>43</v>
      </c>
      <c r="E125" s="53">
        <v>199</v>
      </c>
    </row>
    <row r="126" spans="1:5">
      <c r="A126" s="53">
        <v>147</v>
      </c>
      <c r="B126" s="53">
        <v>119</v>
      </c>
      <c r="C126" s="53">
        <v>147</v>
      </c>
      <c r="D126" s="53">
        <v>78</v>
      </c>
      <c r="E126" s="53">
        <v>147</v>
      </c>
    </row>
    <row r="127" spans="1:5">
      <c r="A127" s="53">
        <v>59</v>
      </c>
      <c r="B127" s="53">
        <v>120</v>
      </c>
      <c r="C127" s="53">
        <v>59</v>
      </c>
      <c r="D127" s="53">
        <v>212</v>
      </c>
      <c r="E127" s="53">
        <v>59</v>
      </c>
    </row>
    <row r="128" spans="1:5">
      <c r="A128" s="53">
        <v>118</v>
      </c>
      <c r="B128" s="53">
        <v>121</v>
      </c>
      <c r="C128" s="53">
        <v>118</v>
      </c>
      <c r="D128" s="53">
        <v>229</v>
      </c>
      <c r="E128" s="53">
        <v>118</v>
      </c>
    </row>
    <row r="129" spans="1:5">
      <c r="A129" s="53">
        <v>236</v>
      </c>
      <c r="B129" s="53">
        <v>122</v>
      </c>
      <c r="C129" s="53">
        <v>236</v>
      </c>
      <c r="D129" s="53">
        <v>172</v>
      </c>
      <c r="E129" s="53">
        <v>236</v>
      </c>
    </row>
    <row r="130" spans="1:5">
      <c r="A130" s="53">
        <v>197</v>
      </c>
      <c r="B130" s="53">
        <v>123</v>
      </c>
      <c r="C130" s="53">
        <v>197</v>
      </c>
      <c r="D130" s="53">
        <v>115</v>
      </c>
      <c r="E130" s="53">
        <v>197</v>
      </c>
    </row>
    <row r="131" spans="1:5">
      <c r="A131" s="53">
        <v>151</v>
      </c>
      <c r="B131" s="53">
        <v>124</v>
      </c>
      <c r="C131" s="53">
        <v>151</v>
      </c>
      <c r="D131" s="53">
        <v>243</v>
      </c>
      <c r="E131" s="53">
        <v>151</v>
      </c>
    </row>
    <row r="132" spans="1:5">
      <c r="A132" s="53">
        <v>51</v>
      </c>
      <c r="B132" s="53">
        <v>125</v>
      </c>
      <c r="C132" s="53">
        <v>51</v>
      </c>
      <c r="D132" s="53">
        <v>167</v>
      </c>
      <c r="E132" s="53">
        <v>51</v>
      </c>
    </row>
    <row r="133" spans="1:5">
      <c r="A133" s="53">
        <v>102</v>
      </c>
      <c r="B133" s="53">
        <v>126</v>
      </c>
      <c r="C133" s="53">
        <v>102</v>
      </c>
      <c r="D133" s="53">
        <v>87</v>
      </c>
      <c r="E133" s="53">
        <v>102</v>
      </c>
    </row>
    <row r="134" spans="1:5">
      <c r="A134" s="53">
        <v>204</v>
      </c>
      <c r="B134" s="53">
        <v>127</v>
      </c>
      <c r="C134" s="53">
        <v>204</v>
      </c>
      <c r="D134" s="53">
        <v>7</v>
      </c>
      <c r="E134" s="53">
        <v>204</v>
      </c>
    </row>
    <row r="135" spans="1:5">
      <c r="A135" s="53">
        <v>133</v>
      </c>
      <c r="B135" s="53">
        <v>128</v>
      </c>
      <c r="C135" s="53">
        <v>133</v>
      </c>
      <c r="D135" s="53">
        <v>112</v>
      </c>
      <c r="E135" s="53">
        <v>133</v>
      </c>
    </row>
    <row r="136" spans="1:5">
      <c r="A136" s="53">
        <v>23</v>
      </c>
      <c r="B136" s="53">
        <v>129</v>
      </c>
      <c r="C136" s="53">
        <v>23</v>
      </c>
      <c r="D136" s="53">
        <v>192</v>
      </c>
      <c r="E136" s="53">
        <v>23</v>
      </c>
    </row>
    <row r="137" spans="1:5">
      <c r="A137" s="53">
        <v>46</v>
      </c>
      <c r="B137" s="53">
        <v>130</v>
      </c>
      <c r="C137" s="53">
        <v>46</v>
      </c>
      <c r="D137" s="53">
        <v>247</v>
      </c>
      <c r="E137" s="53">
        <v>46</v>
      </c>
    </row>
    <row r="138" spans="1:5">
      <c r="A138" s="53">
        <v>92</v>
      </c>
      <c r="B138" s="53">
        <v>131</v>
      </c>
      <c r="C138" s="53">
        <v>92</v>
      </c>
      <c r="D138" s="53">
        <v>140</v>
      </c>
      <c r="E138" s="53">
        <v>92</v>
      </c>
    </row>
    <row r="139" spans="1:5">
      <c r="A139" s="53">
        <v>184</v>
      </c>
      <c r="B139" s="53">
        <v>132</v>
      </c>
      <c r="C139" s="53">
        <v>184</v>
      </c>
      <c r="D139" s="53">
        <v>128</v>
      </c>
      <c r="E139" s="53">
        <v>184</v>
      </c>
    </row>
    <row r="140" spans="1:5">
      <c r="A140" s="53">
        <v>109</v>
      </c>
      <c r="B140" s="53">
        <v>133</v>
      </c>
      <c r="C140" s="53">
        <v>109</v>
      </c>
      <c r="D140" s="53">
        <v>99</v>
      </c>
      <c r="E140" s="53">
        <v>109</v>
      </c>
    </row>
    <row r="141" spans="1:5">
      <c r="A141" s="53">
        <v>218</v>
      </c>
      <c r="B141" s="53">
        <v>134</v>
      </c>
      <c r="C141" s="53">
        <v>218</v>
      </c>
      <c r="D141" s="53">
        <v>13</v>
      </c>
      <c r="E141" s="53">
        <v>218</v>
      </c>
    </row>
    <row r="142" spans="1:5">
      <c r="A142" s="53">
        <v>169</v>
      </c>
      <c r="B142" s="53">
        <v>135</v>
      </c>
      <c r="C142" s="53">
        <v>169</v>
      </c>
      <c r="D142" s="53">
        <v>103</v>
      </c>
      <c r="E142" s="53">
        <v>169</v>
      </c>
    </row>
    <row r="143" spans="1:5">
      <c r="A143" s="53">
        <v>79</v>
      </c>
      <c r="B143" s="53">
        <v>136</v>
      </c>
      <c r="C143" s="53">
        <v>79</v>
      </c>
      <c r="D143" s="53">
        <v>74</v>
      </c>
      <c r="E143" s="53">
        <v>79</v>
      </c>
    </row>
    <row r="144" spans="1:5">
      <c r="A144" s="53">
        <v>158</v>
      </c>
      <c r="B144" s="53">
        <v>137</v>
      </c>
      <c r="C144" s="53">
        <v>158</v>
      </c>
      <c r="D144" s="53">
        <v>222</v>
      </c>
      <c r="E144" s="53">
        <v>158</v>
      </c>
    </row>
    <row r="145" spans="1:5">
      <c r="A145" s="53">
        <v>33</v>
      </c>
      <c r="B145" s="53">
        <v>138</v>
      </c>
      <c r="C145" s="53">
        <v>33</v>
      </c>
      <c r="D145" s="53">
        <v>237</v>
      </c>
      <c r="E145" s="53">
        <v>33</v>
      </c>
    </row>
    <row r="146" spans="1:5">
      <c r="A146" s="53">
        <v>66</v>
      </c>
      <c r="B146" s="53">
        <v>139</v>
      </c>
      <c r="C146" s="53">
        <v>66</v>
      </c>
      <c r="D146" s="53">
        <v>49</v>
      </c>
      <c r="E146" s="53">
        <v>66</v>
      </c>
    </row>
    <row r="147" spans="1:5">
      <c r="A147" s="53">
        <v>132</v>
      </c>
      <c r="B147" s="53">
        <v>140</v>
      </c>
      <c r="C147" s="53">
        <v>132</v>
      </c>
      <c r="D147" s="53">
        <v>197</v>
      </c>
      <c r="E147" s="53">
        <v>132</v>
      </c>
    </row>
    <row r="148" spans="1:5">
      <c r="A148" s="53">
        <v>21</v>
      </c>
      <c r="B148" s="53">
        <v>141</v>
      </c>
      <c r="C148" s="53">
        <v>21</v>
      </c>
      <c r="D148" s="53">
        <v>254</v>
      </c>
      <c r="E148" s="53">
        <v>21</v>
      </c>
    </row>
    <row r="149" spans="1:5">
      <c r="A149" s="53">
        <v>42</v>
      </c>
      <c r="B149" s="53">
        <v>142</v>
      </c>
      <c r="C149" s="53">
        <v>42</v>
      </c>
      <c r="D149" s="53">
        <v>24</v>
      </c>
      <c r="E149" s="53">
        <v>42</v>
      </c>
    </row>
    <row r="150" spans="1:5">
      <c r="A150" s="53">
        <v>84</v>
      </c>
      <c r="B150" s="53">
        <v>143</v>
      </c>
      <c r="C150" s="53">
        <v>84</v>
      </c>
      <c r="D150" s="53">
        <v>227</v>
      </c>
      <c r="E150" s="53">
        <v>84</v>
      </c>
    </row>
    <row r="151" spans="1:5">
      <c r="A151" s="53">
        <v>168</v>
      </c>
      <c r="B151" s="53">
        <v>144</v>
      </c>
      <c r="C151" s="53">
        <v>168</v>
      </c>
      <c r="D151" s="53">
        <v>165</v>
      </c>
      <c r="E151" s="53">
        <v>168</v>
      </c>
    </row>
    <row r="152" spans="1:5">
      <c r="A152" s="53">
        <v>77</v>
      </c>
      <c r="B152" s="53">
        <v>145</v>
      </c>
      <c r="C152" s="53">
        <v>77</v>
      </c>
      <c r="D152" s="53">
        <v>153</v>
      </c>
      <c r="E152" s="53">
        <v>77</v>
      </c>
    </row>
    <row r="153" spans="1:5">
      <c r="A153" s="53">
        <v>154</v>
      </c>
      <c r="B153" s="53">
        <v>146</v>
      </c>
      <c r="C153" s="53">
        <v>154</v>
      </c>
      <c r="D153" s="53">
        <v>119</v>
      </c>
      <c r="E153" s="53">
        <v>154</v>
      </c>
    </row>
    <row r="154" spans="1:5">
      <c r="A154" s="53">
        <v>41</v>
      </c>
      <c r="B154" s="53">
        <v>147</v>
      </c>
      <c r="C154" s="53">
        <v>41</v>
      </c>
      <c r="D154" s="53">
        <v>38</v>
      </c>
      <c r="E154" s="53">
        <v>41</v>
      </c>
    </row>
    <row r="155" spans="1:5">
      <c r="A155" s="53">
        <v>82</v>
      </c>
      <c r="B155" s="53">
        <v>148</v>
      </c>
      <c r="C155" s="53">
        <v>82</v>
      </c>
      <c r="D155" s="53">
        <v>184</v>
      </c>
      <c r="E155" s="53">
        <v>82</v>
      </c>
    </row>
    <row r="156" spans="1:5">
      <c r="A156" s="53">
        <v>164</v>
      </c>
      <c r="B156" s="53">
        <v>149</v>
      </c>
      <c r="C156" s="53">
        <v>164</v>
      </c>
      <c r="D156" s="53">
        <v>180</v>
      </c>
      <c r="E156" s="53">
        <v>164</v>
      </c>
    </row>
    <row r="157" spans="1:5">
      <c r="A157" s="53">
        <v>85</v>
      </c>
      <c r="B157" s="53">
        <v>150</v>
      </c>
      <c r="C157" s="53">
        <v>85</v>
      </c>
      <c r="D157" s="53">
        <v>124</v>
      </c>
      <c r="E157" s="53">
        <v>85</v>
      </c>
    </row>
    <row r="158" spans="1:5">
      <c r="A158" s="53">
        <v>170</v>
      </c>
      <c r="B158" s="53">
        <v>151</v>
      </c>
      <c r="C158" s="53">
        <v>170</v>
      </c>
      <c r="D158" s="53">
        <v>17</v>
      </c>
      <c r="E158" s="53">
        <v>170</v>
      </c>
    </row>
    <row r="159" spans="1:5">
      <c r="A159" s="53">
        <v>73</v>
      </c>
      <c r="B159" s="53">
        <v>152</v>
      </c>
      <c r="C159" s="53">
        <v>73</v>
      </c>
      <c r="D159" s="53">
        <v>68</v>
      </c>
      <c r="E159" s="53">
        <v>73</v>
      </c>
    </row>
    <row r="160" spans="1:5">
      <c r="A160" s="53">
        <v>146</v>
      </c>
      <c r="B160" s="53">
        <v>153</v>
      </c>
      <c r="C160" s="53">
        <v>146</v>
      </c>
      <c r="D160" s="53">
        <v>146</v>
      </c>
      <c r="E160" s="53">
        <v>146</v>
      </c>
    </row>
    <row r="161" spans="1:10">
      <c r="A161" s="53">
        <v>57</v>
      </c>
      <c r="B161" s="53">
        <v>154</v>
      </c>
      <c r="C161" s="53">
        <v>57</v>
      </c>
      <c r="D161" s="53">
        <v>217</v>
      </c>
      <c r="E161" s="53">
        <v>57</v>
      </c>
    </row>
    <row r="162" spans="1:10">
      <c r="A162" s="53">
        <v>114</v>
      </c>
      <c r="B162" s="53">
        <v>155</v>
      </c>
      <c r="C162" s="53">
        <v>114</v>
      </c>
      <c r="D162" s="53">
        <v>35</v>
      </c>
      <c r="E162" s="53">
        <v>114</v>
      </c>
    </row>
    <row r="163" spans="1:10">
      <c r="A163" s="53">
        <v>228</v>
      </c>
      <c r="B163" s="53">
        <v>156</v>
      </c>
      <c r="C163" s="53">
        <v>228</v>
      </c>
      <c r="D163" s="53">
        <v>32</v>
      </c>
      <c r="E163" s="53">
        <v>228</v>
      </c>
    </row>
    <row r="164" spans="1:10">
      <c r="A164" s="53">
        <v>213</v>
      </c>
      <c r="B164" s="53">
        <v>157</v>
      </c>
      <c r="C164" s="53">
        <v>213</v>
      </c>
      <c r="D164" s="53">
        <v>137</v>
      </c>
      <c r="E164" s="53">
        <v>213</v>
      </c>
    </row>
    <row r="165" spans="1:10">
      <c r="A165" s="53">
        <v>183</v>
      </c>
      <c r="B165" s="53">
        <v>158</v>
      </c>
      <c r="C165" s="53">
        <v>183</v>
      </c>
      <c r="D165" s="53">
        <v>46</v>
      </c>
      <c r="E165" s="53">
        <v>183</v>
      </c>
    </row>
    <row r="166" spans="1:10">
      <c r="A166" s="53">
        <v>115</v>
      </c>
      <c r="B166" s="53">
        <v>159</v>
      </c>
      <c r="C166" s="53">
        <v>115</v>
      </c>
      <c r="D166" s="53">
        <v>55</v>
      </c>
      <c r="E166" s="53">
        <v>115</v>
      </c>
    </row>
    <row r="167" spans="1:10">
      <c r="A167" s="53">
        <v>230</v>
      </c>
      <c r="B167" s="53">
        <v>160</v>
      </c>
      <c r="C167" s="53">
        <v>230</v>
      </c>
      <c r="D167" s="53">
        <v>63</v>
      </c>
      <c r="E167" s="53">
        <v>230</v>
      </c>
    </row>
    <row r="168" spans="1:10">
      <c r="A168" s="53">
        <v>209</v>
      </c>
      <c r="B168" s="53">
        <v>161</v>
      </c>
      <c r="C168" s="53">
        <v>209</v>
      </c>
      <c r="D168" s="53">
        <v>209</v>
      </c>
      <c r="E168" s="53">
        <v>209</v>
      </c>
      <c r="F168" s="54"/>
    </row>
    <row r="169" spans="1:10">
      <c r="A169" s="53">
        <v>191</v>
      </c>
      <c r="B169" s="53">
        <v>162</v>
      </c>
      <c r="C169" s="53">
        <v>191</v>
      </c>
      <c r="D169" s="53">
        <v>91</v>
      </c>
      <c r="E169" s="53">
        <v>191</v>
      </c>
      <c r="F169" s="54"/>
    </row>
    <row r="170" spans="1:10">
      <c r="A170" s="53">
        <v>99</v>
      </c>
      <c r="B170" s="53">
        <v>163</v>
      </c>
      <c r="C170" s="53">
        <v>99</v>
      </c>
      <c r="D170" s="53">
        <v>149</v>
      </c>
      <c r="E170" s="53">
        <v>99</v>
      </c>
      <c r="F170" s="54"/>
      <c r="G170" s="54"/>
    </row>
    <row r="171" spans="1:10">
      <c r="A171" s="53">
        <v>198</v>
      </c>
      <c r="B171" s="53">
        <v>164</v>
      </c>
      <c r="C171" s="53">
        <v>198</v>
      </c>
      <c r="D171" s="53">
        <v>188</v>
      </c>
      <c r="E171" s="53">
        <v>198</v>
      </c>
      <c r="F171" s="54"/>
      <c r="G171" s="54"/>
    </row>
    <row r="172" spans="1:10">
      <c r="A172" s="53">
        <v>145</v>
      </c>
      <c r="B172" s="53">
        <v>165</v>
      </c>
      <c r="C172" s="53">
        <v>145</v>
      </c>
      <c r="D172" s="53">
        <v>207</v>
      </c>
      <c r="E172" s="53">
        <v>145</v>
      </c>
      <c r="F172" s="54"/>
      <c r="G172" s="54"/>
      <c r="H172" s="54"/>
    </row>
    <row r="173" spans="1:10">
      <c r="A173" s="53">
        <v>63</v>
      </c>
      <c r="B173" s="53">
        <v>166</v>
      </c>
      <c r="C173" s="53">
        <v>63</v>
      </c>
      <c r="D173" s="53">
        <v>205</v>
      </c>
      <c r="E173" s="53">
        <v>63</v>
      </c>
      <c r="F173" s="54"/>
      <c r="G173" s="54"/>
      <c r="H173" s="54"/>
    </row>
    <row r="174" spans="1:10">
      <c r="A174" s="53">
        <v>126</v>
      </c>
      <c r="B174" s="53">
        <v>167</v>
      </c>
      <c r="C174" s="53">
        <v>126</v>
      </c>
      <c r="D174" s="53">
        <v>144</v>
      </c>
      <c r="E174" s="53">
        <v>126</v>
      </c>
      <c r="F174" s="54"/>
      <c r="G174" s="54"/>
      <c r="H174" s="54"/>
      <c r="I174" s="54"/>
    </row>
    <row r="175" spans="1:10">
      <c r="A175" s="53">
        <v>252</v>
      </c>
      <c r="B175" s="53">
        <v>168</v>
      </c>
      <c r="C175" s="53">
        <v>252</v>
      </c>
      <c r="D175" s="53">
        <v>135</v>
      </c>
      <c r="E175" s="53">
        <v>252</v>
      </c>
      <c r="F175" s="54"/>
      <c r="G175" s="54"/>
      <c r="H175" s="54"/>
      <c r="I175" s="54"/>
    </row>
    <row r="176" spans="1:10">
      <c r="A176" s="53">
        <v>229</v>
      </c>
      <c r="B176" s="53">
        <v>169</v>
      </c>
      <c r="C176" s="53">
        <v>229</v>
      </c>
      <c r="D176" s="53">
        <v>151</v>
      </c>
      <c r="E176" s="53">
        <v>229</v>
      </c>
      <c r="F176" s="54"/>
      <c r="G176" s="54"/>
      <c r="H176" s="54"/>
      <c r="I176" s="54"/>
      <c r="J176" s="54"/>
    </row>
    <row r="177" spans="1:18">
      <c r="A177" s="53">
        <v>215</v>
      </c>
      <c r="B177" s="53">
        <v>170</v>
      </c>
      <c r="C177" s="53">
        <v>215</v>
      </c>
      <c r="D177" s="53">
        <v>178</v>
      </c>
      <c r="E177" s="53">
        <v>215</v>
      </c>
      <c r="F177" s="54"/>
      <c r="G177" s="54"/>
      <c r="H177" s="54"/>
      <c r="I177" s="54"/>
      <c r="J177" s="54"/>
    </row>
    <row r="178" spans="1:18">
      <c r="A178" s="53">
        <v>179</v>
      </c>
      <c r="B178" s="53">
        <v>171</v>
      </c>
      <c r="C178" s="53">
        <v>179</v>
      </c>
      <c r="D178" s="53">
        <v>220</v>
      </c>
      <c r="E178" s="53">
        <v>179</v>
      </c>
      <c r="F178" s="54"/>
      <c r="G178" s="54"/>
      <c r="H178" s="54"/>
      <c r="I178" s="54"/>
      <c r="J178" s="54"/>
      <c r="K178" s="54"/>
    </row>
    <row r="179" spans="1:18">
      <c r="A179" s="53">
        <v>123</v>
      </c>
      <c r="B179" s="53">
        <v>172</v>
      </c>
      <c r="C179" s="53">
        <v>123</v>
      </c>
      <c r="D179" s="53">
        <v>252</v>
      </c>
      <c r="E179" s="53">
        <v>123</v>
      </c>
      <c r="F179" s="54"/>
      <c r="G179" s="54"/>
      <c r="H179" s="54"/>
      <c r="I179" s="54"/>
      <c r="J179" s="54"/>
      <c r="K179" s="54"/>
    </row>
    <row r="180" spans="1:18">
      <c r="A180" s="53">
        <v>246</v>
      </c>
      <c r="B180" s="53">
        <v>173</v>
      </c>
      <c r="C180" s="53">
        <v>246</v>
      </c>
      <c r="D180" s="53">
        <v>190</v>
      </c>
      <c r="E180" s="53">
        <v>246</v>
      </c>
      <c r="F180" s="54"/>
      <c r="G180" s="54"/>
      <c r="H180" s="54"/>
      <c r="I180" s="54"/>
      <c r="J180" s="54"/>
      <c r="K180" s="54"/>
      <c r="L180" s="54"/>
    </row>
    <row r="181" spans="1:18">
      <c r="A181" s="53">
        <v>241</v>
      </c>
      <c r="B181" s="53">
        <v>174</v>
      </c>
      <c r="C181" s="53">
        <v>241</v>
      </c>
      <c r="D181" s="53">
        <v>97</v>
      </c>
      <c r="E181" s="53">
        <v>241</v>
      </c>
      <c r="F181" s="54"/>
      <c r="G181" s="54"/>
      <c r="H181" s="54"/>
      <c r="I181" s="54"/>
      <c r="J181" s="54"/>
      <c r="K181" s="54"/>
      <c r="L181" s="54"/>
    </row>
    <row r="182" spans="1:18">
      <c r="A182" s="53">
        <v>255</v>
      </c>
      <c r="B182" s="53">
        <v>175</v>
      </c>
      <c r="C182" s="53">
        <v>255</v>
      </c>
      <c r="D182" s="53">
        <v>242</v>
      </c>
      <c r="E182" s="53">
        <v>255</v>
      </c>
      <c r="F182" s="54"/>
      <c r="G182" s="54"/>
      <c r="H182" s="54"/>
      <c r="I182" s="54"/>
      <c r="J182" s="54"/>
      <c r="K182" s="54"/>
      <c r="L182" s="54"/>
      <c r="M182" s="54"/>
    </row>
    <row r="183" spans="1:18">
      <c r="A183" s="53">
        <v>227</v>
      </c>
      <c r="B183" s="53">
        <v>176</v>
      </c>
      <c r="C183" s="53">
        <v>227</v>
      </c>
      <c r="D183" s="53">
        <v>86</v>
      </c>
      <c r="E183" s="53">
        <v>227</v>
      </c>
      <c r="F183" s="54"/>
      <c r="G183" s="54"/>
      <c r="H183" s="54"/>
      <c r="I183" s="54"/>
      <c r="J183" s="54"/>
      <c r="K183" s="54"/>
      <c r="L183" s="54"/>
      <c r="M183" s="54"/>
    </row>
    <row r="184" spans="1:18">
      <c r="A184" s="53">
        <v>219</v>
      </c>
      <c r="B184" s="53">
        <v>177</v>
      </c>
      <c r="C184" s="53">
        <v>219</v>
      </c>
      <c r="D184" s="53">
        <v>211</v>
      </c>
      <c r="E184" s="53">
        <v>219</v>
      </c>
      <c r="F184" s="54"/>
      <c r="G184" s="54"/>
      <c r="H184" s="54"/>
      <c r="I184" s="54"/>
      <c r="J184" s="54"/>
      <c r="K184" s="54"/>
      <c r="L184" s="54"/>
      <c r="M184" s="54"/>
      <c r="N184" s="54"/>
    </row>
    <row r="185" spans="1:18">
      <c r="A185" s="53">
        <v>171</v>
      </c>
      <c r="B185" s="53">
        <v>178</v>
      </c>
      <c r="C185" s="53">
        <v>171</v>
      </c>
      <c r="D185" s="53">
        <v>171</v>
      </c>
      <c r="E185" s="53">
        <v>171</v>
      </c>
      <c r="F185" s="54"/>
      <c r="G185" s="54"/>
      <c r="H185" s="54"/>
      <c r="I185" s="54"/>
      <c r="J185" s="54"/>
      <c r="K185" s="54"/>
      <c r="L185" s="54"/>
      <c r="M185" s="54"/>
      <c r="N185" s="54"/>
    </row>
    <row r="186" spans="1:18">
      <c r="A186" s="53">
        <v>75</v>
      </c>
      <c r="B186" s="53">
        <v>179</v>
      </c>
      <c r="C186" s="53">
        <v>75</v>
      </c>
      <c r="D186" s="53">
        <v>20</v>
      </c>
      <c r="E186" s="53">
        <v>75</v>
      </c>
      <c r="F186" s="54"/>
      <c r="G186" s="54"/>
      <c r="H186" s="54"/>
      <c r="I186" s="54"/>
      <c r="J186" s="54"/>
      <c r="K186" s="54"/>
      <c r="L186" s="54"/>
      <c r="M186" s="54"/>
      <c r="N186" s="54"/>
      <c r="O186" s="54"/>
    </row>
    <row r="187" spans="1:18">
      <c r="A187" s="53">
        <v>150</v>
      </c>
      <c r="B187" s="53">
        <v>180</v>
      </c>
      <c r="C187" s="53">
        <v>150</v>
      </c>
      <c r="D187" s="53">
        <v>42</v>
      </c>
      <c r="E187" s="53">
        <v>150</v>
      </c>
      <c r="F187" s="54"/>
      <c r="G187" s="54"/>
      <c r="H187" s="54"/>
      <c r="I187" s="54"/>
      <c r="J187" s="54"/>
      <c r="K187" s="54"/>
      <c r="L187" s="54"/>
      <c r="M187" s="54"/>
      <c r="N187" s="54"/>
      <c r="O187" s="54"/>
    </row>
    <row r="188" spans="1:18">
      <c r="A188" s="53">
        <v>49</v>
      </c>
      <c r="B188" s="53">
        <v>181</v>
      </c>
      <c r="C188" s="53">
        <v>49</v>
      </c>
      <c r="D188" s="53">
        <v>93</v>
      </c>
      <c r="E188" s="53">
        <v>49</v>
      </c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</row>
    <row r="189" spans="1:18">
      <c r="A189" s="53">
        <v>98</v>
      </c>
      <c r="B189" s="53">
        <v>182</v>
      </c>
      <c r="C189" s="53">
        <v>98</v>
      </c>
      <c r="D189" s="53">
        <v>158</v>
      </c>
      <c r="E189" s="53">
        <v>98</v>
      </c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</row>
    <row r="190" spans="1:18">
      <c r="A190" s="53">
        <v>196</v>
      </c>
      <c r="B190" s="53">
        <v>183</v>
      </c>
      <c r="C190" s="53">
        <v>196</v>
      </c>
      <c r="D190" s="53">
        <v>132</v>
      </c>
      <c r="E190" s="53">
        <v>196</v>
      </c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</row>
    <row r="191" spans="1:18">
      <c r="A191" s="53">
        <v>149</v>
      </c>
      <c r="B191" s="53">
        <v>184</v>
      </c>
      <c r="C191" s="53">
        <v>149</v>
      </c>
      <c r="D191" s="53">
        <v>60</v>
      </c>
      <c r="E191" s="53">
        <v>149</v>
      </c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</row>
    <row r="192" spans="1:18">
      <c r="A192" s="53">
        <v>55</v>
      </c>
      <c r="B192" s="53">
        <v>185</v>
      </c>
      <c r="C192" s="53">
        <v>55</v>
      </c>
      <c r="D192" s="53">
        <v>57</v>
      </c>
      <c r="E192" s="53">
        <v>55</v>
      </c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</row>
    <row r="193" spans="1:26">
      <c r="A193" s="53">
        <v>110</v>
      </c>
      <c r="B193" s="53">
        <v>186</v>
      </c>
      <c r="C193" s="53">
        <v>110</v>
      </c>
      <c r="D193" s="53">
        <v>83</v>
      </c>
      <c r="E193" s="53">
        <v>110</v>
      </c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</row>
    <row r="194" spans="1:26">
      <c r="A194" s="53">
        <v>220</v>
      </c>
      <c r="B194" s="53">
        <v>187</v>
      </c>
      <c r="C194" s="53">
        <v>220</v>
      </c>
      <c r="D194" s="53">
        <v>71</v>
      </c>
      <c r="E194" s="53">
        <v>220</v>
      </c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</row>
    <row r="195" spans="1:26">
      <c r="A195" s="53">
        <v>165</v>
      </c>
      <c r="B195" s="53">
        <v>188</v>
      </c>
      <c r="C195" s="53">
        <v>165</v>
      </c>
      <c r="D195" s="53">
        <v>109</v>
      </c>
      <c r="E195" s="53">
        <v>165</v>
      </c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</row>
    <row r="196" spans="1:26">
      <c r="A196" s="53">
        <v>87</v>
      </c>
      <c r="B196" s="53">
        <v>189</v>
      </c>
      <c r="C196" s="53">
        <v>87</v>
      </c>
      <c r="D196" s="53">
        <v>65</v>
      </c>
      <c r="E196" s="53">
        <v>87</v>
      </c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</row>
    <row r="197" spans="1:26">
      <c r="A197" s="53">
        <v>174</v>
      </c>
      <c r="B197" s="53">
        <v>190</v>
      </c>
      <c r="C197" s="53">
        <v>174</v>
      </c>
      <c r="D197" s="53">
        <v>162</v>
      </c>
      <c r="E197" s="53">
        <v>174</v>
      </c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</row>
    <row r="198" spans="1:26">
      <c r="A198" s="53">
        <v>65</v>
      </c>
      <c r="B198" s="53">
        <v>191</v>
      </c>
      <c r="C198" s="53">
        <v>65</v>
      </c>
      <c r="D198" s="53">
        <v>31</v>
      </c>
      <c r="E198" s="53">
        <v>65</v>
      </c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</row>
    <row r="199" spans="1:26">
      <c r="A199" s="53">
        <v>130</v>
      </c>
      <c r="B199" s="53">
        <v>192</v>
      </c>
      <c r="C199" s="53">
        <v>130</v>
      </c>
      <c r="D199" s="53">
        <v>45</v>
      </c>
      <c r="E199" s="53">
        <v>130</v>
      </c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</row>
    <row r="200" spans="1:26">
      <c r="A200" s="53">
        <v>25</v>
      </c>
      <c r="B200" s="53">
        <v>193</v>
      </c>
      <c r="C200" s="53">
        <v>25</v>
      </c>
      <c r="D200" s="53">
        <v>67</v>
      </c>
      <c r="E200" s="53">
        <v>25</v>
      </c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</row>
    <row r="201" spans="1:26">
      <c r="A201" s="53">
        <v>50</v>
      </c>
      <c r="B201" s="53">
        <v>194</v>
      </c>
      <c r="C201" s="53">
        <v>50</v>
      </c>
      <c r="D201" s="53">
        <v>216</v>
      </c>
      <c r="E201" s="53">
        <v>50</v>
      </c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</row>
    <row r="202" spans="1:26">
      <c r="A202" s="53">
        <v>100</v>
      </c>
      <c r="B202" s="53">
        <v>195</v>
      </c>
      <c r="C202" s="53">
        <v>100</v>
      </c>
      <c r="D202" s="53">
        <v>183</v>
      </c>
      <c r="E202" s="53">
        <v>100</v>
      </c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</row>
    <row r="203" spans="1:26">
      <c r="A203" s="53">
        <v>200</v>
      </c>
      <c r="B203" s="53">
        <v>196</v>
      </c>
      <c r="C203" s="53">
        <v>200</v>
      </c>
      <c r="D203" s="53">
        <v>123</v>
      </c>
      <c r="E203" s="53">
        <v>200</v>
      </c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</row>
    <row r="204" spans="1:26">
      <c r="A204" s="53">
        <v>141</v>
      </c>
      <c r="B204" s="53">
        <v>197</v>
      </c>
      <c r="C204" s="53">
        <v>141</v>
      </c>
      <c r="D204" s="53">
        <v>164</v>
      </c>
      <c r="E204" s="53">
        <v>141</v>
      </c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</row>
    <row r="205" spans="1:26">
      <c r="A205" s="53">
        <v>7</v>
      </c>
      <c r="B205" s="53">
        <v>198</v>
      </c>
      <c r="C205" s="53">
        <v>7</v>
      </c>
      <c r="D205" s="53">
        <v>118</v>
      </c>
      <c r="E205" s="53">
        <v>7</v>
      </c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</row>
    <row r="206" spans="1:26">
      <c r="A206" s="53">
        <v>14</v>
      </c>
      <c r="B206" s="53">
        <v>199</v>
      </c>
      <c r="C206" s="53">
        <v>14</v>
      </c>
      <c r="D206" s="53">
        <v>196</v>
      </c>
      <c r="E206" s="53">
        <v>14</v>
      </c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</row>
    <row r="207" spans="1:26">
      <c r="A207" s="53">
        <v>28</v>
      </c>
      <c r="B207" s="53">
        <v>200</v>
      </c>
      <c r="C207" s="53">
        <v>28</v>
      </c>
      <c r="D207" s="53">
        <v>23</v>
      </c>
      <c r="E207" s="53">
        <v>28</v>
      </c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</row>
    <row r="208" spans="1:26">
      <c r="A208" s="53">
        <v>56</v>
      </c>
      <c r="B208" s="53">
        <v>201</v>
      </c>
      <c r="C208" s="53">
        <v>56</v>
      </c>
      <c r="D208" s="53">
        <v>73</v>
      </c>
      <c r="E208" s="53">
        <v>56</v>
      </c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>
      <c r="A209" s="53">
        <v>112</v>
      </c>
      <c r="B209" s="53">
        <v>202</v>
      </c>
      <c r="C209" s="53">
        <v>112</v>
      </c>
      <c r="D209" s="53">
        <v>236</v>
      </c>
      <c r="E209" s="53">
        <v>112</v>
      </c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>
      <c r="A210" s="53">
        <v>224</v>
      </c>
      <c r="B210" s="53">
        <v>203</v>
      </c>
      <c r="C210" s="53">
        <v>224</v>
      </c>
      <c r="D210" s="53">
        <v>127</v>
      </c>
      <c r="E210" s="53">
        <v>224</v>
      </c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</row>
    <row r="211" spans="1:26">
      <c r="A211" s="53">
        <v>221</v>
      </c>
      <c r="B211" s="53">
        <v>204</v>
      </c>
      <c r="C211" s="53">
        <v>221</v>
      </c>
      <c r="D211" s="53">
        <v>12</v>
      </c>
      <c r="E211" s="53">
        <v>221</v>
      </c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</row>
    <row r="212" spans="1:26">
      <c r="A212" s="53">
        <v>167</v>
      </c>
      <c r="B212" s="53">
        <v>205</v>
      </c>
      <c r="C212" s="53">
        <v>167</v>
      </c>
      <c r="D212" s="53">
        <v>111</v>
      </c>
      <c r="E212" s="53">
        <v>167</v>
      </c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</row>
    <row r="213" spans="1:26">
      <c r="A213" s="53">
        <v>83</v>
      </c>
      <c r="B213" s="53">
        <v>206</v>
      </c>
      <c r="C213" s="53">
        <v>83</v>
      </c>
      <c r="D213" s="53">
        <v>246</v>
      </c>
      <c r="E213" s="53">
        <v>83</v>
      </c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</row>
    <row r="214" spans="1:26">
      <c r="A214" s="53">
        <v>166</v>
      </c>
      <c r="B214" s="53">
        <v>207</v>
      </c>
      <c r="C214" s="53">
        <v>166</v>
      </c>
      <c r="D214" s="53">
        <v>108</v>
      </c>
      <c r="E214" s="53">
        <v>166</v>
      </c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</row>
    <row r="215" spans="1:26">
      <c r="A215" s="53">
        <v>81</v>
      </c>
      <c r="B215" s="53">
        <v>208</v>
      </c>
      <c r="C215" s="53">
        <v>81</v>
      </c>
      <c r="D215" s="53">
        <v>161</v>
      </c>
      <c r="E215" s="53">
        <v>81</v>
      </c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</row>
    <row r="216" spans="1:26">
      <c r="A216" s="53">
        <v>162</v>
      </c>
      <c r="B216" s="53">
        <v>209</v>
      </c>
      <c r="C216" s="53">
        <v>162</v>
      </c>
      <c r="D216" s="53">
        <v>59</v>
      </c>
      <c r="E216" s="53">
        <v>162</v>
      </c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</row>
    <row r="217" spans="1:26">
      <c r="A217" s="53">
        <v>89</v>
      </c>
      <c r="B217" s="53">
        <v>210</v>
      </c>
      <c r="C217" s="53">
        <v>89</v>
      </c>
      <c r="D217" s="53">
        <v>82</v>
      </c>
      <c r="E217" s="53">
        <v>89</v>
      </c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</row>
    <row r="218" spans="1:26">
      <c r="A218" s="53">
        <v>178</v>
      </c>
      <c r="B218" s="53">
        <v>211</v>
      </c>
      <c r="C218" s="53">
        <v>178</v>
      </c>
      <c r="D218" s="53">
        <v>41</v>
      </c>
      <c r="E218" s="53">
        <v>178</v>
      </c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</row>
    <row r="219" spans="1:26">
      <c r="A219" s="53">
        <v>121</v>
      </c>
      <c r="B219" s="53">
        <v>212</v>
      </c>
      <c r="C219" s="53">
        <v>121</v>
      </c>
      <c r="D219" s="53">
        <v>157</v>
      </c>
      <c r="E219" s="53">
        <v>121</v>
      </c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</row>
    <row r="220" spans="1:26">
      <c r="A220" s="53">
        <v>242</v>
      </c>
      <c r="B220" s="53">
        <v>213</v>
      </c>
      <c r="C220" s="53">
        <v>242</v>
      </c>
      <c r="D220" s="53">
        <v>85</v>
      </c>
      <c r="E220" s="53">
        <v>242</v>
      </c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</row>
    <row r="221" spans="1:26">
      <c r="A221" s="53">
        <v>249</v>
      </c>
      <c r="B221" s="53">
        <v>214</v>
      </c>
      <c r="C221" s="53">
        <v>249</v>
      </c>
      <c r="D221" s="53">
        <v>170</v>
      </c>
      <c r="E221" s="53">
        <v>249</v>
      </c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</row>
    <row r="222" spans="1:26">
      <c r="A222" s="53">
        <v>239</v>
      </c>
      <c r="B222" s="53">
        <v>215</v>
      </c>
      <c r="C222" s="53">
        <v>239</v>
      </c>
      <c r="D222" s="53">
        <v>251</v>
      </c>
      <c r="E222" s="53">
        <v>239</v>
      </c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</row>
    <row r="223" spans="1:26">
      <c r="A223" s="53">
        <v>195</v>
      </c>
      <c r="B223" s="53">
        <v>216</v>
      </c>
      <c r="C223" s="53">
        <v>195</v>
      </c>
      <c r="D223" s="53">
        <v>96</v>
      </c>
      <c r="E223" s="53">
        <v>195</v>
      </c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</row>
    <row r="224" spans="1:26">
      <c r="A224" s="53">
        <v>155</v>
      </c>
      <c r="B224" s="53">
        <v>217</v>
      </c>
      <c r="C224" s="53">
        <v>155</v>
      </c>
      <c r="D224" s="53">
        <v>134</v>
      </c>
      <c r="E224" s="53">
        <v>155</v>
      </c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34">
      <c r="A225" s="53">
        <v>43</v>
      </c>
      <c r="B225" s="53">
        <v>218</v>
      </c>
      <c r="C225" s="53">
        <v>43</v>
      </c>
      <c r="D225" s="53">
        <v>177</v>
      </c>
      <c r="E225" s="53">
        <v>43</v>
      </c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34">
      <c r="A226" s="53">
        <v>86</v>
      </c>
      <c r="B226" s="53">
        <v>219</v>
      </c>
      <c r="C226" s="53">
        <v>86</v>
      </c>
      <c r="D226" s="53">
        <v>187</v>
      </c>
      <c r="E226" s="53">
        <v>86</v>
      </c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</row>
    <row r="227" spans="1:34">
      <c r="A227" s="53">
        <v>172</v>
      </c>
      <c r="B227" s="53">
        <v>220</v>
      </c>
      <c r="C227" s="53">
        <v>172</v>
      </c>
      <c r="D227" s="53">
        <v>204</v>
      </c>
      <c r="E227" s="53">
        <v>172</v>
      </c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</row>
    <row r="228" spans="1:34">
      <c r="A228" s="53">
        <v>69</v>
      </c>
      <c r="B228" s="53">
        <v>221</v>
      </c>
      <c r="C228" s="53">
        <v>69</v>
      </c>
      <c r="D228" s="53">
        <v>62</v>
      </c>
      <c r="E228" s="53">
        <v>69</v>
      </c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</row>
    <row r="229" spans="1:34">
      <c r="A229" s="53">
        <v>138</v>
      </c>
      <c r="B229" s="53">
        <v>222</v>
      </c>
      <c r="C229" s="53">
        <v>138</v>
      </c>
      <c r="D229" s="53">
        <v>90</v>
      </c>
      <c r="E229" s="53">
        <v>138</v>
      </c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</row>
    <row r="230" spans="1:34">
      <c r="A230" s="53">
        <v>9</v>
      </c>
      <c r="B230" s="53">
        <v>223</v>
      </c>
      <c r="C230" s="53">
        <v>9</v>
      </c>
      <c r="D230" s="53">
        <v>203</v>
      </c>
      <c r="E230" s="53">
        <v>9</v>
      </c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</row>
    <row r="231" spans="1:34">
      <c r="A231" s="53">
        <v>18</v>
      </c>
      <c r="B231" s="53">
        <v>224</v>
      </c>
      <c r="C231" s="53">
        <v>18</v>
      </c>
      <c r="D231" s="53">
        <v>89</v>
      </c>
      <c r="E231" s="53">
        <v>18</v>
      </c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</row>
    <row r="232" spans="1:34">
      <c r="A232" s="53">
        <v>36</v>
      </c>
      <c r="B232" s="53">
        <v>225</v>
      </c>
      <c r="C232" s="53">
        <v>36</v>
      </c>
      <c r="D232" s="53">
        <v>95</v>
      </c>
      <c r="E232" s="53">
        <v>36</v>
      </c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</row>
    <row r="233" spans="1:34">
      <c r="A233" s="53">
        <v>72</v>
      </c>
      <c r="B233" s="53">
        <v>226</v>
      </c>
      <c r="C233" s="53">
        <v>72</v>
      </c>
      <c r="D233" s="53">
        <v>176</v>
      </c>
      <c r="E233" s="53">
        <v>72</v>
      </c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</row>
    <row r="234" spans="1:34">
      <c r="A234" s="53">
        <v>144</v>
      </c>
      <c r="B234" s="53">
        <v>227</v>
      </c>
      <c r="C234" s="53">
        <v>144</v>
      </c>
      <c r="D234" s="53">
        <v>156</v>
      </c>
      <c r="E234" s="53">
        <v>144</v>
      </c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</row>
    <row r="235" spans="1:34">
      <c r="A235" s="53">
        <v>61</v>
      </c>
      <c r="B235" s="53">
        <v>228</v>
      </c>
      <c r="C235" s="53">
        <v>61</v>
      </c>
      <c r="D235" s="53">
        <v>169</v>
      </c>
      <c r="E235" s="53">
        <v>61</v>
      </c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</row>
    <row r="236" spans="1:34">
      <c r="A236" s="53">
        <v>122</v>
      </c>
      <c r="B236" s="53">
        <v>229</v>
      </c>
      <c r="C236" s="53">
        <v>122</v>
      </c>
      <c r="D236" s="53">
        <v>160</v>
      </c>
      <c r="E236" s="53">
        <v>122</v>
      </c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</row>
    <row r="237" spans="1:34">
      <c r="A237" s="53">
        <v>244</v>
      </c>
      <c r="B237" s="53">
        <v>230</v>
      </c>
      <c r="C237" s="53">
        <v>244</v>
      </c>
      <c r="D237" s="53">
        <v>81</v>
      </c>
      <c r="E237" s="53">
        <v>244</v>
      </c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</row>
    <row r="238" spans="1:34">
      <c r="A238" s="53">
        <v>245</v>
      </c>
      <c r="B238" s="53">
        <v>231</v>
      </c>
      <c r="C238" s="53">
        <v>245</v>
      </c>
      <c r="D238" s="53">
        <v>11</v>
      </c>
      <c r="E238" s="53">
        <v>245</v>
      </c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</row>
    <row r="239" spans="1:34">
      <c r="A239" s="53">
        <v>247</v>
      </c>
      <c r="B239" s="53">
        <v>232</v>
      </c>
      <c r="C239" s="53">
        <v>247</v>
      </c>
      <c r="D239" s="53">
        <v>245</v>
      </c>
      <c r="E239" s="53">
        <v>247</v>
      </c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</row>
    <row r="240" spans="1:34">
      <c r="A240" s="53">
        <v>243</v>
      </c>
      <c r="B240" s="53">
        <v>233</v>
      </c>
      <c r="C240" s="53">
        <v>243</v>
      </c>
      <c r="D240" s="53">
        <v>22</v>
      </c>
      <c r="E240" s="53">
        <v>243</v>
      </c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</row>
    <row r="241" spans="1:41">
      <c r="A241" s="53">
        <v>251</v>
      </c>
      <c r="B241" s="53">
        <v>234</v>
      </c>
      <c r="C241" s="53">
        <v>251</v>
      </c>
      <c r="D241" s="53">
        <v>235</v>
      </c>
      <c r="E241" s="53">
        <v>251</v>
      </c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</row>
    <row r="242" spans="1:41">
      <c r="A242" s="53">
        <v>235</v>
      </c>
      <c r="B242" s="53">
        <v>235</v>
      </c>
      <c r="C242" s="53">
        <v>235</v>
      </c>
      <c r="D242" s="53">
        <v>122</v>
      </c>
      <c r="E242" s="53">
        <v>235</v>
      </c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</row>
    <row r="243" spans="1:41">
      <c r="A243" s="53">
        <v>203</v>
      </c>
      <c r="B243" s="53">
        <v>236</v>
      </c>
      <c r="C243" s="53">
        <v>203</v>
      </c>
      <c r="D243" s="53">
        <v>117</v>
      </c>
      <c r="E243" s="53">
        <v>203</v>
      </c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</row>
    <row r="244" spans="1:41">
      <c r="A244" s="53">
        <v>139</v>
      </c>
      <c r="B244" s="53">
        <v>237</v>
      </c>
      <c r="C244" s="53">
        <v>139</v>
      </c>
      <c r="D244" s="53">
        <v>44</v>
      </c>
      <c r="E244" s="53">
        <v>139</v>
      </c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</row>
    <row r="245" spans="1:41">
      <c r="A245" s="53">
        <v>11</v>
      </c>
      <c r="B245" s="53">
        <v>238</v>
      </c>
      <c r="C245" s="53">
        <v>11</v>
      </c>
      <c r="D245" s="53">
        <v>215</v>
      </c>
      <c r="E245" s="53">
        <v>11</v>
      </c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</row>
    <row r="246" spans="1:41">
      <c r="A246" s="53">
        <v>22</v>
      </c>
      <c r="B246" s="53">
        <v>239</v>
      </c>
      <c r="C246" s="53">
        <v>22</v>
      </c>
      <c r="D246" s="53">
        <v>79</v>
      </c>
      <c r="E246" s="53">
        <v>22</v>
      </c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</row>
    <row r="247" spans="1:41">
      <c r="A247" s="53">
        <v>44</v>
      </c>
      <c r="B247" s="53">
        <v>240</v>
      </c>
      <c r="C247" s="53">
        <v>44</v>
      </c>
      <c r="D247" s="53">
        <v>174</v>
      </c>
      <c r="E247" s="53">
        <v>44</v>
      </c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</row>
    <row r="248" spans="1:41">
      <c r="A248" s="53">
        <v>88</v>
      </c>
      <c r="B248" s="53">
        <v>241</v>
      </c>
      <c r="C248" s="53">
        <v>88</v>
      </c>
      <c r="D248" s="53">
        <v>213</v>
      </c>
      <c r="E248" s="53">
        <v>88</v>
      </c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</row>
    <row r="249" spans="1:41">
      <c r="A249" s="53">
        <v>176</v>
      </c>
      <c r="B249" s="53">
        <v>242</v>
      </c>
      <c r="C249" s="53">
        <v>176</v>
      </c>
      <c r="D249" s="53">
        <v>233</v>
      </c>
      <c r="E249" s="53">
        <v>176</v>
      </c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</row>
    <row r="250" spans="1:41">
      <c r="A250" s="53">
        <v>125</v>
      </c>
      <c r="B250" s="53">
        <v>243</v>
      </c>
      <c r="C250" s="53">
        <v>125</v>
      </c>
      <c r="D250" s="53">
        <v>230</v>
      </c>
      <c r="E250" s="53">
        <v>125</v>
      </c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</row>
    <row r="251" spans="1:41">
      <c r="A251" s="53">
        <v>250</v>
      </c>
      <c r="B251" s="53">
        <v>244</v>
      </c>
      <c r="C251" s="53">
        <v>250</v>
      </c>
      <c r="D251" s="53">
        <v>231</v>
      </c>
      <c r="E251" s="53">
        <v>250</v>
      </c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</row>
    <row r="252" spans="1:41">
      <c r="A252" s="53">
        <v>233</v>
      </c>
      <c r="B252" s="53">
        <v>245</v>
      </c>
      <c r="C252" s="53">
        <v>233</v>
      </c>
      <c r="D252" s="53">
        <v>173</v>
      </c>
      <c r="E252" s="53">
        <v>233</v>
      </c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</row>
    <row r="253" spans="1:41">
      <c r="A253" s="53">
        <v>207</v>
      </c>
      <c r="B253" s="53">
        <v>246</v>
      </c>
      <c r="C253" s="53">
        <v>207</v>
      </c>
      <c r="D253" s="53">
        <v>232</v>
      </c>
      <c r="E253" s="53">
        <v>207</v>
      </c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</row>
    <row r="254" spans="1:41">
      <c r="A254" s="53">
        <v>131</v>
      </c>
      <c r="B254" s="53">
        <v>247</v>
      </c>
      <c r="C254" s="53">
        <v>131</v>
      </c>
      <c r="D254" s="53">
        <v>116</v>
      </c>
      <c r="E254" s="53">
        <v>131</v>
      </c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</row>
    <row r="255" spans="1:41">
      <c r="A255" s="53">
        <v>27</v>
      </c>
      <c r="B255" s="53">
        <v>248</v>
      </c>
      <c r="C255" s="53">
        <v>27</v>
      </c>
      <c r="D255" s="53">
        <v>214</v>
      </c>
      <c r="E255" s="53">
        <v>27</v>
      </c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</row>
    <row r="256" spans="1:41">
      <c r="A256" s="53">
        <v>54</v>
      </c>
      <c r="B256" s="53">
        <v>249</v>
      </c>
      <c r="C256" s="53">
        <v>54</v>
      </c>
      <c r="D256" s="53">
        <v>244</v>
      </c>
      <c r="E256" s="53">
        <v>54</v>
      </c>
    </row>
    <row r="257" spans="1:5">
      <c r="A257" s="53">
        <v>108</v>
      </c>
      <c r="B257" s="53">
        <v>250</v>
      </c>
      <c r="C257" s="53">
        <v>108</v>
      </c>
      <c r="D257" s="53">
        <v>234</v>
      </c>
      <c r="E257" s="53">
        <v>108</v>
      </c>
    </row>
    <row r="258" spans="1:5">
      <c r="A258" s="53">
        <v>216</v>
      </c>
      <c r="B258" s="53">
        <v>251</v>
      </c>
      <c r="C258" s="53">
        <v>216</v>
      </c>
      <c r="D258" s="53">
        <v>168</v>
      </c>
      <c r="E258" s="53">
        <v>216</v>
      </c>
    </row>
    <row r="259" spans="1:5">
      <c r="A259" s="53">
        <v>173</v>
      </c>
      <c r="B259" s="53">
        <v>252</v>
      </c>
      <c r="C259" s="53">
        <v>173</v>
      </c>
      <c r="D259" s="53">
        <v>80</v>
      </c>
      <c r="E259" s="53">
        <v>173</v>
      </c>
    </row>
    <row r="260" spans="1:5">
      <c r="A260" s="53">
        <v>71</v>
      </c>
      <c r="B260" s="53">
        <v>253</v>
      </c>
      <c r="C260" s="53">
        <v>71</v>
      </c>
      <c r="D260" s="53">
        <v>88</v>
      </c>
      <c r="E260" s="53">
        <v>71</v>
      </c>
    </row>
    <row r="261" spans="1:5">
      <c r="A261" s="53">
        <v>142</v>
      </c>
      <c r="B261" s="53">
        <v>254</v>
      </c>
      <c r="C261" s="53">
        <v>142</v>
      </c>
      <c r="D261" s="53">
        <v>175</v>
      </c>
      <c r="E261" s="53">
        <v>142</v>
      </c>
    </row>
    <row r="262" spans="1:5">
      <c r="A262" s="53">
        <v>1</v>
      </c>
      <c r="B262" s="53">
        <v>255</v>
      </c>
      <c r="C262" s="53">
        <v>1</v>
      </c>
    </row>
  </sheetData>
  <mergeCells count="2">
    <mergeCell ref="A5:C5"/>
    <mergeCell ref="K19:N19"/>
  </mergeCells>
  <conditionalFormatting sqref="J36:X36">
    <cfRule type="cellIs" dxfId="8" priority="1" operator="equal">
      <formula>1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2" enableFormatConditionsCalculation="0"/>
  <dimension ref="A1:AR67"/>
  <sheetViews>
    <sheetView topLeftCell="A14" zoomScaleNormal="100" workbookViewId="0">
      <selection activeCell="B34" sqref="B34"/>
    </sheetView>
  </sheetViews>
  <sheetFormatPr defaultColWidth="11.42578125" defaultRowHeight="15"/>
  <cols>
    <col min="1" max="1" width="4.28515625" customWidth="1"/>
    <col min="2" max="2" width="18.28515625" customWidth="1"/>
    <col min="3" max="3" width="5" style="51" customWidth="1"/>
    <col min="4" max="44" width="4.140625" style="51" customWidth="1"/>
  </cols>
  <sheetData>
    <row r="1" spans="1:44">
      <c r="B1" s="176" t="s">
        <v>127</v>
      </c>
      <c r="C1" s="176"/>
      <c r="D1" s="176"/>
      <c r="E1" s="176"/>
      <c r="F1" s="176"/>
    </row>
    <row r="2" spans="1:44">
      <c r="C2" s="184" t="s">
        <v>129</v>
      </c>
      <c r="D2" s="184"/>
      <c r="E2" s="184"/>
      <c r="F2" s="184"/>
      <c r="G2" s="184"/>
      <c r="H2" s="184"/>
      <c r="I2" s="184"/>
      <c r="J2" s="184"/>
      <c r="K2" s="184"/>
    </row>
    <row r="3" spans="1:44">
      <c r="A3" t="s">
        <v>130</v>
      </c>
      <c r="B3" s="39" t="s">
        <v>128</v>
      </c>
      <c r="C3" s="51">
        <v>1</v>
      </c>
      <c r="D3" s="51">
        <v>2</v>
      </c>
      <c r="E3" s="51">
        <v>3</v>
      </c>
      <c r="F3" s="51">
        <v>4</v>
      </c>
      <c r="G3" s="51">
        <v>5</v>
      </c>
      <c r="H3" s="51">
        <v>6</v>
      </c>
      <c r="I3" s="51">
        <v>7</v>
      </c>
      <c r="J3" s="51">
        <v>8</v>
      </c>
      <c r="K3" s="51">
        <v>9</v>
      </c>
      <c r="L3" s="51">
        <v>10</v>
      </c>
      <c r="M3" s="51">
        <v>11</v>
      </c>
      <c r="N3" s="51">
        <v>12</v>
      </c>
      <c r="O3" s="51">
        <v>13</v>
      </c>
      <c r="P3" s="51">
        <v>14</v>
      </c>
      <c r="Q3" s="51">
        <v>15</v>
      </c>
      <c r="R3" s="51">
        <v>16</v>
      </c>
      <c r="S3" s="51">
        <v>17</v>
      </c>
      <c r="T3" s="51">
        <v>18</v>
      </c>
      <c r="U3" s="51">
        <v>19</v>
      </c>
      <c r="V3" s="51">
        <v>20</v>
      </c>
      <c r="W3" s="51">
        <v>21</v>
      </c>
      <c r="X3" s="51">
        <v>22</v>
      </c>
      <c r="Y3" s="51">
        <v>23</v>
      </c>
      <c r="Z3" s="51">
        <v>24</v>
      </c>
      <c r="AA3" s="51">
        <v>25</v>
      </c>
      <c r="AB3" s="51">
        <v>26</v>
      </c>
      <c r="AC3" s="51">
        <v>27</v>
      </c>
      <c r="AD3" s="51">
        <v>28</v>
      </c>
      <c r="AE3" s="51">
        <v>29</v>
      </c>
      <c r="AF3" s="51">
        <v>30</v>
      </c>
      <c r="AG3" s="51">
        <v>31</v>
      </c>
    </row>
    <row r="4" spans="1:44">
      <c r="A4">
        <v>1</v>
      </c>
      <c r="B4">
        <v>2</v>
      </c>
      <c r="C4" s="52">
        <v>1</v>
      </c>
      <c r="D4" s="52">
        <v>3</v>
      </c>
      <c r="E4" s="52">
        <v>2</v>
      </c>
      <c r="F4" s="52" t="s">
        <v>139</v>
      </c>
      <c r="G4" s="52" t="s">
        <v>139</v>
      </c>
      <c r="H4" s="52" t="s">
        <v>139</v>
      </c>
      <c r="I4" s="52" t="s">
        <v>139</v>
      </c>
      <c r="J4" s="52" t="s">
        <v>139</v>
      </c>
      <c r="K4" s="52" t="s">
        <v>139</v>
      </c>
      <c r="L4" s="52" t="s">
        <v>139</v>
      </c>
      <c r="M4" s="52" t="s">
        <v>139</v>
      </c>
      <c r="N4" s="52" t="s">
        <v>139</v>
      </c>
      <c r="O4" s="52" t="s">
        <v>139</v>
      </c>
      <c r="P4" s="52" t="s">
        <v>139</v>
      </c>
      <c r="Q4" s="52" t="s">
        <v>139</v>
      </c>
      <c r="R4" s="52" t="s">
        <v>139</v>
      </c>
      <c r="S4" s="52" t="s">
        <v>139</v>
      </c>
      <c r="T4" s="52" t="s">
        <v>139</v>
      </c>
      <c r="U4" s="52" t="s">
        <v>139</v>
      </c>
      <c r="V4" s="52" t="s">
        <v>139</v>
      </c>
      <c r="W4" s="52" t="s">
        <v>139</v>
      </c>
      <c r="X4" s="52" t="s">
        <v>139</v>
      </c>
      <c r="Y4" s="52" t="s">
        <v>139</v>
      </c>
      <c r="Z4" s="52" t="s">
        <v>139</v>
      </c>
      <c r="AA4" s="52" t="s">
        <v>139</v>
      </c>
      <c r="AB4" s="52" t="s">
        <v>139</v>
      </c>
      <c r="AC4" s="52" t="s">
        <v>139</v>
      </c>
      <c r="AD4" s="52" t="s">
        <v>139</v>
      </c>
      <c r="AE4" s="52" t="s">
        <v>139</v>
      </c>
      <c r="AF4" s="52" t="s">
        <v>139</v>
      </c>
      <c r="AG4" s="52" t="s">
        <v>139</v>
      </c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</row>
    <row r="5" spans="1:44">
      <c r="A5">
        <v>2</v>
      </c>
      <c r="B5">
        <v>5</v>
      </c>
      <c r="C5" s="52">
        <v>1</v>
      </c>
      <c r="D5" s="52">
        <v>31</v>
      </c>
      <c r="E5" s="52">
        <v>198</v>
      </c>
      <c r="F5" s="52">
        <v>63</v>
      </c>
      <c r="G5" s="52">
        <v>147</v>
      </c>
      <c r="H5" s="52">
        <v>116</v>
      </c>
      <c r="I5" s="52" t="s">
        <v>139</v>
      </c>
      <c r="J5" s="52" t="s">
        <v>139</v>
      </c>
      <c r="K5" s="52" t="s">
        <v>139</v>
      </c>
      <c r="L5" s="52" t="s">
        <v>139</v>
      </c>
      <c r="M5" s="52" t="s">
        <v>139</v>
      </c>
      <c r="N5" s="52" t="s">
        <v>139</v>
      </c>
      <c r="O5" s="52" t="s">
        <v>139</v>
      </c>
      <c r="P5" s="52" t="s">
        <v>139</v>
      </c>
      <c r="Q5" s="52" t="s">
        <v>139</v>
      </c>
      <c r="R5" s="52" t="s">
        <v>139</v>
      </c>
      <c r="S5" s="52" t="s">
        <v>139</v>
      </c>
      <c r="T5" s="52" t="s">
        <v>139</v>
      </c>
      <c r="U5" s="52" t="s">
        <v>139</v>
      </c>
      <c r="V5" s="52" t="s">
        <v>139</v>
      </c>
      <c r="W5" s="52" t="s">
        <v>139</v>
      </c>
      <c r="X5" s="52" t="s">
        <v>139</v>
      </c>
      <c r="Y5" s="52" t="s">
        <v>139</v>
      </c>
      <c r="Z5" s="52" t="s">
        <v>139</v>
      </c>
      <c r="AA5" s="52" t="s">
        <v>139</v>
      </c>
      <c r="AB5" s="52" t="s">
        <v>139</v>
      </c>
      <c r="AC5" s="52" t="s">
        <v>139</v>
      </c>
      <c r="AD5" s="52" t="s">
        <v>139</v>
      </c>
      <c r="AE5" s="52" t="s">
        <v>139</v>
      </c>
      <c r="AF5" s="52" t="s">
        <v>139</v>
      </c>
      <c r="AG5" s="52" t="s">
        <v>139</v>
      </c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</row>
    <row r="6" spans="1:44">
      <c r="A6">
        <v>3</v>
      </c>
      <c r="B6">
        <v>6</v>
      </c>
      <c r="C6" s="52">
        <v>1</v>
      </c>
      <c r="D6" s="52">
        <v>248</v>
      </c>
      <c r="E6" s="52">
        <v>1</v>
      </c>
      <c r="F6" s="52">
        <v>218</v>
      </c>
      <c r="G6" s="52">
        <v>32</v>
      </c>
      <c r="H6" s="52">
        <v>227</v>
      </c>
      <c r="I6" s="52">
        <v>38</v>
      </c>
      <c r="J6" s="52" t="s">
        <v>139</v>
      </c>
      <c r="K6" s="52" t="s">
        <v>139</v>
      </c>
      <c r="L6" s="52" t="s">
        <v>139</v>
      </c>
      <c r="M6" s="52" t="s">
        <v>139</v>
      </c>
      <c r="N6" s="52" t="s">
        <v>139</v>
      </c>
      <c r="O6" s="52" t="s">
        <v>139</v>
      </c>
      <c r="P6" s="52" t="s">
        <v>139</v>
      </c>
      <c r="Q6" s="52" t="s">
        <v>139</v>
      </c>
      <c r="R6" s="52" t="s">
        <v>139</v>
      </c>
      <c r="S6" s="52" t="s">
        <v>139</v>
      </c>
      <c r="T6" s="52" t="s">
        <v>139</v>
      </c>
      <c r="U6" s="52" t="s">
        <v>139</v>
      </c>
      <c r="V6" s="52" t="s">
        <v>139</v>
      </c>
      <c r="W6" s="52" t="s">
        <v>139</v>
      </c>
      <c r="X6" s="52" t="s">
        <v>139</v>
      </c>
      <c r="Y6" s="52" t="s">
        <v>139</v>
      </c>
      <c r="Z6" s="52" t="s">
        <v>139</v>
      </c>
      <c r="AA6" s="52" t="s">
        <v>139</v>
      </c>
      <c r="AB6" s="52" t="s">
        <v>139</v>
      </c>
      <c r="AC6" s="52" t="s">
        <v>139</v>
      </c>
      <c r="AD6" s="52" t="s">
        <v>139</v>
      </c>
      <c r="AE6" s="52" t="s">
        <v>139</v>
      </c>
      <c r="AF6" s="52" t="s">
        <v>139</v>
      </c>
      <c r="AG6" s="52" t="s">
        <v>139</v>
      </c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</row>
    <row r="7" spans="1:44">
      <c r="A7">
        <v>4</v>
      </c>
      <c r="B7">
        <v>7</v>
      </c>
      <c r="C7" s="52">
        <v>1</v>
      </c>
      <c r="D7" s="52">
        <v>127</v>
      </c>
      <c r="E7" s="52">
        <v>122</v>
      </c>
      <c r="F7" s="52">
        <v>154</v>
      </c>
      <c r="G7" s="52">
        <v>164</v>
      </c>
      <c r="H7" s="52">
        <v>11</v>
      </c>
      <c r="I7" s="52">
        <v>68</v>
      </c>
      <c r="J7" s="52">
        <v>117</v>
      </c>
      <c r="K7" s="52" t="s">
        <v>139</v>
      </c>
      <c r="L7" s="52" t="s">
        <v>139</v>
      </c>
      <c r="M7" s="52" t="s">
        <v>139</v>
      </c>
      <c r="N7" s="52" t="s">
        <v>139</v>
      </c>
      <c r="O7" s="52" t="s">
        <v>139</v>
      </c>
      <c r="P7" s="52" t="s">
        <v>139</v>
      </c>
      <c r="Q7" s="52" t="s">
        <v>139</v>
      </c>
      <c r="R7" s="52" t="s">
        <v>139</v>
      </c>
      <c r="S7" s="52" t="s">
        <v>139</v>
      </c>
      <c r="T7" s="52" t="s">
        <v>139</v>
      </c>
      <c r="U7" s="52" t="s">
        <v>139</v>
      </c>
      <c r="V7" s="52" t="s">
        <v>139</v>
      </c>
      <c r="W7" s="52" t="s">
        <v>139</v>
      </c>
      <c r="X7" s="52" t="s">
        <v>139</v>
      </c>
      <c r="Y7" s="52" t="s">
        <v>139</v>
      </c>
      <c r="Z7" s="52" t="s">
        <v>139</v>
      </c>
      <c r="AA7" s="52" t="s">
        <v>139</v>
      </c>
      <c r="AB7" s="52" t="s">
        <v>139</v>
      </c>
      <c r="AC7" s="52" t="s">
        <v>139</v>
      </c>
      <c r="AD7" s="52" t="s">
        <v>139</v>
      </c>
      <c r="AE7" s="52" t="s">
        <v>139</v>
      </c>
      <c r="AF7" s="52" t="s">
        <v>139</v>
      </c>
      <c r="AG7" s="52" t="s">
        <v>139</v>
      </c>
      <c r="AH7" s="52"/>
      <c r="AI7" s="52"/>
      <c r="AJ7" s="52"/>
      <c r="AK7" s="52"/>
      <c r="AL7" s="52"/>
      <c r="AM7" s="52"/>
      <c r="AN7" s="52"/>
      <c r="AO7" s="52"/>
      <c r="AP7" s="52"/>
      <c r="AQ7" s="52"/>
      <c r="AR7" s="52"/>
    </row>
    <row r="8" spans="1:44">
      <c r="A8">
        <v>5</v>
      </c>
      <c r="B8">
        <v>8</v>
      </c>
      <c r="C8" s="52">
        <v>1</v>
      </c>
      <c r="D8" s="52">
        <v>255</v>
      </c>
      <c r="E8" s="52">
        <v>11</v>
      </c>
      <c r="F8" s="52">
        <v>81</v>
      </c>
      <c r="G8" s="52">
        <v>54</v>
      </c>
      <c r="H8" s="52">
        <v>239</v>
      </c>
      <c r="I8" s="52">
        <v>173</v>
      </c>
      <c r="J8" s="52">
        <v>200</v>
      </c>
      <c r="K8" s="52">
        <v>24</v>
      </c>
      <c r="L8" s="52" t="s">
        <v>139</v>
      </c>
      <c r="M8" s="52" t="s">
        <v>139</v>
      </c>
      <c r="N8" s="52" t="s">
        <v>139</v>
      </c>
      <c r="O8" s="52" t="s">
        <v>139</v>
      </c>
      <c r="P8" s="52" t="s">
        <v>139</v>
      </c>
      <c r="Q8" s="52" t="s">
        <v>139</v>
      </c>
      <c r="R8" s="52" t="s">
        <v>139</v>
      </c>
      <c r="S8" s="52" t="s">
        <v>139</v>
      </c>
      <c r="T8" s="52" t="s">
        <v>139</v>
      </c>
      <c r="U8" s="52" t="s">
        <v>139</v>
      </c>
      <c r="V8" s="52" t="s">
        <v>139</v>
      </c>
      <c r="W8" s="52" t="s">
        <v>139</v>
      </c>
      <c r="X8" s="52" t="s">
        <v>139</v>
      </c>
      <c r="Y8" s="52" t="s">
        <v>139</v>
      </c>
      <c r="Z8" s="52" t="s">
        <v>139</v>
      </c>
      <c r="AA8" s="52" t="s">
        <v>139</v>
      </c>
      <c r="AB8" s="52" t="s">
        <v>139</v>
      </c>
      <c r="AC8" s="52" t="s">
        <v>139</v>
      </c>
      <c r="AD8" s="52" t="s">
        <v>139</v>
      </c>
      <c r="AE8" s="52" t="s">
        <v>139</v>
      </c>
      <c r="AF8" s="52" t="s">
        <v>139</v>
      </c>
      <c r="AG8" s="52" t="s">
        <v>139</v>
      </c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</row>
    <row r="9" spans="1:44">
      <c r="A9">
        <v>6</v>
      </c>
      <c r="B9">
        <v>10</v>
      </c>
      <c r="C9" s="51">
        <v>1</v>
      </c>
      <c r="D9" s="51">
        <v>216</v>
      </c>
      <c r="E9" s="51">
        <v>194</v>
      </c>
      <c r="F9" s="51">
        <v>159</v>
      </c>
      <c r="G9" s="51">
        <v>111</v>
      </c>
      <c r="H9" s="51">
        <v>199</v>
      </c>
      <c r="I9" s="51">
        <v>94</v>
      </c>
      <c r="J9" s="51">
        <v>95</v>
      </c>
      <c r="K9" s="51">
        <v>113</v>
      </c>
      <c r="L9" s="51">
        <v>157</v>
      </c>
      <c r="M9" s="51">
        <v>193</v>
      </c>
      <c r="N9" s="51" t="s">
        <v>139</v>
      </c>
      <c r="O9" s="51" t="s">
        <v>139</v>
      </c>
      <c r="P9" s="51" t="s">
        <v>139</v>
      </c>
      <c r="Q9" s="51" t="s">
        <v>139</v>
      </c>
      <c r="R9" s="51" t="s">
        <v>139</v>
      </c>
      <c r="S9" s="51" t="s">
        <v>139</v>
      </c>
      <c r="T9" s="51" t="s">
        <v>139</v>
      </c>
      <c r="U9" s="51" t="s">
        <v>139</v>
      </c>
      <c r="V9" s="51" t="s">
        <v>139</v>
      </c>
      <c r="W9" s="51" t="s">
        <v>139</v>
      </c>
      <c r="X9" s="51" t="s">
        <v>139</v>
      </c>
      <c r="Y9" s="51" t="s">
        <v>139</v>
      </c>
      <c r="Z9" s="51" t="s">
        <v>139</v>
      </c>
      <c r="AA9" s="51" t="s">
        <v>139</v>
      </c>
      <c r="AB9" s="51" t="s">
        <v>139</v>
      </c>
      <c r="AC9" s="51" t="s">
        <v>139</v>
      </c>
      <c r="AD9" s="51" t="s">
        <v>139</v>
      </c>
      <c r="AE9" s="51" t="s">
        <v>139</v>
      </c>
      <c r="AF9" s="51" t="s">
        <v>139</v>
      </c>
      <c r="AG9" s="51" t="s">
        <v>139</v>
      </c>
    </row>
    <row r="10" spans="1:44">
      <c r="A10">
        <v>7</v>
      </c>
      <c r="B10">
        <v>13</v>
      </c>
      <c r="C10" s="51">
        <v>1</v>
      </c>
      <c r="D10" s="51">
        <v>137</v>
      </c>
      <c r="E10" s="51">
        <v>73</v>
      </c>
      <c r="F10" s="51">
        <v>227</v>
      </c>
      <c r="G10" s="51">
        <v>17</v>
      </c>
      <c r="H10" s="51">
        <v>177</v>
      </c>
      <c r="I10" s="51">
        <v>17</v>
      </c>
      <c r="J10" s="51">
        <v>52</v>
      </c>
      <c r="K10" s="51">
        <v>13</v>
      </c>
      <c r="L10" s="51">
        <v>46</v>
      </c>
      <c r="M10" s="51">
        <v>43</v>
      </c>
      <c r="N10" s="51">
        <v>83</v>
      </c>
      <c r="O10" s="51">
        <v>132</v>
      </c>
      <c r="P10" s="51">
        <v>120</v>
      </c>
      <c r="Q10" s="51" t="s">
        <v>139</v>
      </c>
      <c r="R10" s="51" t="s">
        <v>139</v>
      </c>
      <c r="S10" s="51" t="s">
        <v>139</v>
      </c>
      <c r="T10" s="51" t="s">
        <v>139</v>
      </c>
      <c r="U10" s="51" t="s">
        <v>139</v>
      </c>
      <c r="V10" s="51" t="s">
        <v>139</v>
      </c>
      <c r="W10" s="51" t="s">
        <v>139</v>
      </c>
      <c r="X10" s="51" t="s">
        <v>139</v>
      </c>
      <c r="Y10" s="51" t="s">
        <v>139</v>
      </c>
      <c r="Z10" s="51" t="s">
        <v>139</v>
      </c>
      <c r="AA10" s="51" t="s">
        <v>139</v>
      </c>
      <c r="AB10" s="51" t="s">
        <v>139</v>
      </c>
      <c r="AC10" s="51" t="s">
        <v>139</v>
      </c>
      <c r="AD10" s="51" t="s">
        <v>139</v>
      </c>
      <c r="AE10" s="51" t="s">
        <v>139</v>
      </c>
      <c r="AF10" s="51" t="s">
        <v>139</v>
      </c>
      <c r="AG10" s="51" t="s">
        <v>139</v>
      </c>
    </row>
    <row r="11" spans="1:44">
      <c r="A11">
        <v>8</v>
      </c>
      <c r="B11">
        <v>14</v>
      </c>
      <c r="C11" s="51">
        <v>1</v>
      </c>
      <c r="D11" s="51">
        <v>14</v>
      </c>
      <c r="E11" s="51">
        <v>54</v>
      </c>
      <c r="F11" s="51">
        <v>114</v>
      </c>
      <c r="G11" s="51">
        <v>70</v>
      </c>
      <c r="H11" s="51">
        <v>174</v>
      </c>
      <c r="I11" s="51">
        <v>151</v>
      </c>
      <c r="J11" s="51">
        <v>43</v>
      </c>
      <c r="K11" s="51">
        <v>158</v>
      </c>
      <c r="L11" s="51">
        <v>195</v>
      </c>
      <c r="M11" s="51">
        <v>127</v>
      </c>
      <c r="N11" s="51">
        <v>166</v>
      </c>
      <c r="O11" s="51">
        <v>210</v>
      </c>
      <c r="P11" s="51">
        <v>234</v>
      </c>
      <c r="Q11" s="51">
        <v>163</v>
      </c>
      <c r="R11" s="51" t="s">
        <v>139</v>
      </c>
      <c r="S11" s="51" t="s">
        <v>139</v>
      </c>
      <c r="T11" s="51" t="s">
        <v>139</v>
      </c>
      <c r="U11" s="51" t="s">
        <v>139</v>
      </c>
      <c r="V11" s="51" t="s">
        <v>139</v>
      </c>
      <c r="W11" s="51" t="s">
        <v>139</v>
      </c>
      <c r="X11" s="51" t="s">
        <v>139</v>
      </c>
      <c r="Y11" s="51" t="s">
        <v>139</v>
      </c>
      <c r="Z11" s="51" t="s">
        <v>139</v>
      </c>
      <c r="AA11" s="51" t="s">
        <v>139</v>
      </c>
      <c r="AB11" s="51" t="s">
        <v>139</v>
      </c>
      <c r="AC11" s="51" t="s">
        <v>139</v>
      </c>
      <c r="AD11" s="51" t="s">
        <v>139</v>
      </c>
      <c r="AE11" s="51" t="s">
        <v>139</v>
      </c>
      <c r="AF11" s="51" t="s">
        <v>139</v>
      </c>
      <c r="AG11" s="51" t="s">
        <v>139</v>
      </c>
    </row>
    <row r="12" spans="1:44">
      <c r="A12">
        <v>9</v>
      </c>
      <c r="B12">
        <v>15</v>
      </c>
      <c r="C12" s="51">
        <v>1</v>
      </c>
      <c r="D12" s="51">
        <v>29</v>
      </c>
      <c r="E12" s="51">
        <v>196</v>
      </c>
      <c r="F12" s="51">
        <v>111</v>
      </c>
      <c r="G12" s="51">
        <v>163</v>
      </c>
      <c r="H12" s="51">
        <v>112</v>
      </c>
      <c r="I12" s="51">
        <v>74</v>
      </c>
      <c r="J12" s="51">
        <v>10</v>
      </c>
      <c r="K12" s="51">
        <v>105</v>
      </c>
      <c r="L12" s="51">
        <v>105</v>
      </c>
      <c r="M12" s="51">
        <v>139</v>
      </c>
      <c r="N12" s="51">
        <v>132</v>
      </c>
      <c r="O12" s="51">
        <v>151</v>
      </c>
      <c r="P12" s="51">
        <v>32</v>
      </c>
      <c r="Q12" s="51">
        <v>134</v>
      </c>
      <c r="R12" s="51">
        <v>26</v>
      </c>
      <c r="S12" s="51" t="s">
        <v>139</v>
      </c>
      <c r="T12" s="51" t="s">
        <v>139</v>
      </c>
      <c r="U12" s="51" t="s">
        <v>139</v>
      </c>
      <c r="V12" s="51" t="s">
        <v>139</v>
      </c>
      <c r="W12" s="51" t="s">
        <v>139</v>
      </c>
      <c r="X12" s="51" t="s">
        <v>139</v>
      </c>
      <c r="Y12" s="51" t="s">
        <v>139</v>
      </c>
      <c r="Z12" s="51" t="s">
        <v>139</v>
      </c>
      <c r="AA12" s="51" t="s">
        <v>139</v>
      </c>
      <c r="AB12" s="51" t="s">
        <v>139</v>
      </c>
      <c r="AC12" s="51" t="s">
        <v>139</v>
      </c>
      <c r="AD12" s="51" t="s">
        <v>139</v>
      </c>
      <c r="AE12" s="51" t="s">
        <v>139</v>
      </c>
      <c r="AF12" s="51" t="s">
        <v>139</v>
      </c>
      <c r="AG12" s="51" t="s">
        <v>139</v>
      </c>
    </row>
    <row r="13" spans="1:44">
      <c r="A13">
        <v>10</v>
      </c>
      <c r="B13">
        <v>16</v>
      </c>
      <c r="C13" s="51">
        <v>1</v>
      </c>
      <c r="D13" s="51">
        <v>59</v>
      </c>
      <c r="E13" s="51">
        <v>13</v>
      </c>
      <c r="F13" s="51">
        <v>104</v>
      </c>
      <c r="G13" s="51">
        <v>189</v>
      </c>
      <c r="H13" s="51">
        <v>68</v>
      </c>
      <c r="I13" s="51">
        <v>209</v>
      </c>
      <c r="J13" s="51">
        <v>30</v>
      </c>
      <c r="K13" s="51">
        <v>8</v>
      </c>
      <c r="L13" s="51">
        <v>163</v>
      </c>
      <c r="M13" s="51">
        <v>65</v>
      </c>
      <c r="N13" s="51">
        <v>41</v>
      </c>
      <c r="O13" s="51">
        <v>229</v>
      </c>
      <c r="P13" s="51">
        <v>98</v>
      </c>
      <c r="Q13" s="51">
        <v>50</v>
      </c>
      <c r="R13" s="51">
        <v>36</v>
      </c>
      <c r="S13" s="51">
        <v>59</v>
      </c>
      <c r="T13" s="51" t="s">
        <v>139</v>
      </c>
      <c r="U13" s="51" t="s">
        <v>139</v>
      </c>
      <c r="V13" s="51" t="s">
        <v>139</v>
      </c>
      <c r="W13" s="51" t="s">
        <v>139</v>
      </c>
      <c r="X13" s="51" t="s">
        <v>139</v>
      </c>
      <c r="Y13" s="51" t="s">
        <v>139</v>
      </c>
      <c r="Z13" s="51" t="s">
        <v>139</v>
      </c>
      <c r="AA13" s="51" t="s">
        <v>139</v>
      </c>
      <c r="AB13" s="51" t="s">
        <v>139</v>
      </c>
      <c r="AC13" s="51" t="s">
        <v>139</v>
      </c>
      <c r="AD13" s="51" t="s">
        <v>139</v>
      </c>
      <c r="AE13" s="51" t="s">
        <v>139</v>
      </c>
      <c r="AF13" s="51" t="s">
        <v>139</v>
      </c>
      <c r="AG13" s="51" t="s">
        <v>139</v>
      </c>
    </row>
    <row r="14" spans="1:44">
      <c r="A14">
        <v>11</v>
      </c>
      <c r="B14">
        <v>17</v>
      </c>
      <c r="C14" s="51">
        <v>1</v>
      </c>
      <c r="D14" s="51">
        <v>119</v>
      </c>
      <c r="E14" s="51">
        <v>66</v>
      </c>
      <c r="F14" s="51">
        <v>83</v>
      </c>
      <c r="G14" s="51">
        <v>120</v>
      </c>
      <c r="H14" s="51">
        <v>119</v>
      </c>
      <c r="I14" s="51">
        <v>22</v>
      </c>
      <c r="J14" s="51">
        <v>197</v>
      </c>
      <c r="K14" s="51">
        <v>83</v>
      </c>
      <c r="L14" s="51">
        <v>249</v>
      </c>
      <c r="M14" s="51">
        <v>41</v>
      </c>
      <c r="N14" s="51">
        <v>143</v>
      </c>
      <c r="O14" s="51">
        <v>134</v>
      </c>
      <c r="P14" s="51">
        <v>85</v>
      </c>
      <c r="Q14" s="51">
        <v>53</v>
      </c>
      <c r="R14" s="51">
        <v>125</v>
      </c>
      <c r="S14" s="51">
        <v>99</v>
      </c>
      <c r="T14" s="51">
        <v>79</v>
      </c>
      <c r="U14" s="51" t="s">
        <v>139</v>
      </c>
      <c r="V14" s="51" t="s">
        <v>139</v>
      </c>
      <c r="W14" s="51" t="s">
        <v>139</v>
      </c>
      <c r="X14" s="51" t="s">
        <v>139</v>
      </c>
      <c r="Y14" s="51" t="s">
        <v>139</v>
      </c>
      <c r="Z14" s="51" t="s">
        <v>139</v>
      </c>
      <c r="AA14" s="51" t="s">
        <v>139</v>
      </c>
      <c r="AB14" s="51" t="s">
        <v>139</v>
      </c>
      <c r="AC14" s="51" t="s">
        <v>139</v>
      </c>
      <c r="AD14" s="51" t="s">
        <v>139</v>
      </c>
      <c r="AE14" s="51" t="s">
        <v>139</v>
      </c>
      <c r="AF14" s="51" t="s">
        <v>139</v>
      </c>
      <c r="AG14" s="51" t="s">
        <v>139</v>
      </c>
    </row>
    <row r="15" spans="1:44">
      <c r="A15">
        <v>12</v>
      </c>
      <c r="B15">
        <v>18</v>
      </c>
      <c r="C15" s="51">
        <v>1</v>
      </c>
      <c r="D15" s="51">
        <v>239</v>
      </c>
      <c r="E15" s="51">
        <v>251</v>
      </c>
      <c r="F15" s="51">
        <v>183</v>
      </c>
      <c r="G15" s="51">
        <v>113</v>
      </c>
      <c r="H15" s="51">
        <v>149</v>
      </c>
      <c r="I15" s="51">
        <v>175</v>
      </c>
      <c r="J15" s="51">
        <v>199</v>
      </c>
      <c r="K15" s="51">
        <v>215</v>
      </c>
      <c r="L15" s="51">
        <v>240</v>
      </c>
      <c r="M15" s="51">
        <v>220</v>
      </c>
      <c r="N15" s="51">
        <v>73</v>
      </c>
      <c r="O15" s="51">
        <v>82</v>
      </c>
      <c r="P15" s="51">
        <v>173</v>
      </c>
      <c r="Q15" s="51">
        <v>75</v>
      </c>
      <c r="R15" s="51">
        <v>32</v>
      </c>
      <c r="S15" s="51">
        <v>67</v>
      </c>
      <c r="T15" s="51">
        <v>217</v>
      </c>
      <c r="U15" s="51">
        <v>146</v>
      </c>
      <c r="V15" s="51" t="s">
        <v>139</v>
      </c>
      <c r="W15" s="51" t="s">
        <v>139</v>
      </c>
      <c r="X15" s="51" t="s">
        <v>139</v>
      </c>
      <c r="Y15" s="51" t="s">
        <v>139</v>
      </c>
      <c r="Z15" s="51" t="s">
        <v>139</v>
      </c>
      <c r="AA15" s="51" t="s">
        <v>139</v>
      </c>
      <c r="AB15" s="51" t="s">
        <v>139</v>
      </c>
      <c r="AC15" s="51" t="s">
        <v>139</v>
      </c>
      <c r="AD15" s="51" t="s">
        <v>139</v>
      </c>
      <c r="AE15" s="51" t="s">
        <v>139</v>
      </c>
      <c r="AF15" s="51" t="s">
        <v>139</v>
      </c>
      <c r="AG15" s="51" t="s">
        <v>139</v>
      </c>
    </row>
    <row r="16" spans="1:44">
      <c r="A16">
        <v>13</v>
      </c>
      <c r="B16">
        <v>20</v>
      </c>
      <c r="C16" s="51">
        <v>1</v>
      </c>
      <c r="D16" s="51">
        <v>152</v>
      </c>
      <c r="E16" s="51">
        <v>185</v>
      </c>
      <c r="F16" s="51">
        <v>240</v>
      </c>
      <c r="G16" s="51">
        <v>5</v>
      </c>
      <c r="H16" s="51">
        <v>111</v>
      </c>
      <c r="I16" s="51">
        <v>99</v>
      </c>
      <c r="J16" s="51">
        <v>6</v>
      </c>
      <c r="K16" s="51">
        <v>220</v>
      </c>
      <c r="L16" s="51">
        <v>112</v>
      </c>
      <c r="M16" s="51">
        <v>150</v>
      </c>
      <c r="N16" s="51">
        <v>69</v>
      </c>
      <c r="O16" s="51">
        <v>36</v>
      </c>
      <c r="P16" s="51">
        <v>187</v>
      </c>
      <c r="Q16" s="51">
        <v>22</v>
      </c>
      <c r="R16" s="51">
        <v>228</v>
      </c>
      <c r="S16" s="51">
        <v>198</v>
      </c>
      <c r="T16" s="51">
        <v>121</v>
      </c>
      <c r="U16" s="51">
        <v>121</v>
      </c>
      <c r="V16" s="51">
        <v>165</v>
      </c>
      <c r="W16" s="51">
        <v>174</v>
      </c>
      <c r="X16" s="51" t="s">
        <v>139</v>
      </c>
      <c r="Y16" s="51" t="s">
        <v>139</v>
      </c>
      <c r="Z16" s="51" t="s">
        <v>139</v>
      </c>
      <c r="AA16" s="51" t="s">
        <v>139</v>
      </c>
      <c r="AB16" s="51" t="s">
        <v>139</v>
      </c>
      <c r="AC16" s="51" t="s">
        <v>139</v>
      </c>
      <c r="AD16" s="51" t="s">
        <v>139</v>
      </c>
      <c r="AE16" s="51" t="s">
        <v>139</v>
      </c>
      <c r="AF16" s="51" t="s">
        <v>139</v>
      </c>
      <c r="AG16" s="51" t="s">
        <v>139</v>
      </c>
    </row>
    <row r="17" spans="1:33">
      <c r="A17">
        <v>14</v>
      </c>
      <c r="B17">
        <v>22</v>
      </c>
      <c r="C17" s="51">
        <v>1</v>
      </c>
      <c r="D17" s="51">
        <v>89</v>
      </c>
      <c r="E17" s="51">
        <v>179</v>
      </c>
      <c r="F17" s="51">
        <v>131</v>
      </c>
      <c r="G17" s="51">
        <v>176</v>
      </c>
      <c r="H17" s="51">
        <v>182</v>
      </c>
      <c r="I17" s="51">
        <v>244</v>
      </c>
      <c r="J17" s="51">
        <v>19</v>
      </c>
      <c r="K17" s="51">
        <v>189</v>
      </c>
      <c r="L17" s="51">
        <v>69</v>
      </c>
      <c r="M17" s="51">
        <v>40</v>
      </c>
      <c r="N17" s="51">
        <v>28</v>
      </c>
      <c r="O17" s="51">
        <v>137</v>
      </c>
      <c r="P17" s="51">
        <v>29</v>
      </c>
      <c r="Q17" s="51">
        <v>123</v>
      </c>
      <c r="R17" s="51">
        <v>67</v>
      </c>
      <c r="S17" s="51">
        <v>253</v>
      </c>
      <c r="T17" s="51">
        <v>86</v>
      </c>
      <c r="U17" s="51">
        <v>218</v>
      </c>
      <c r="V17" s="51">
        <v>230</v>
      </c>
      <c r="W17" s="51">
        <v>26</v>
      </c>
      <c r="X17" s="51">
        <v>145</v>
      </c>
      <c r="Y17" s="51">
        <v>245</v>
      </c>
      <c r="Z17" s="51" t="s">
        <v>139</v>
      </c>
      <c r="AA17" s="51" t="s">
        <v>139</v>
      </c>
      <c r="AB17" s="51" t="s">
        <v>139</v>
      </c>
      <c r="AC17" s="51" t="s">
        <v>139</v>
      </c>
      <c r="AD17" s="51" t="s">
        <v>139</v>
      </c>
      <c r="AE17" s="51" t="s">
        <v>139</v>
      </c>
      <c r="AF17" s="51" t="s">
        <v>139</v>
      </c>
      <c r="AG17" s="51" t="s">
        <v>139</v>
      </c>
    </row>
    <row r="18" spans="1:33">
      <c r="A18">
        <v>15</v>
      </c>
      <c r="B18">
        <v>24</v>
      </c>
      <c r="C18" s="51">
        <v>1</v>
      </c>
      <c r="D18" s="51">
        <v>122</v>
      </c>
      <c r="E18" s="51">
        <v>118</v>
      </c>
      <c r="F18" s="51">
        <v>169</v>
      </c>
      <c r="G18" s="51">
        <v>70</v>
      </c>
      <c r="H18" s="51">
        <v>178</v>
      </c>
      <c r="I18" s="51">
        <v>237</v>
      </c>
      <c r="J18" s="51">
        <v>216</v>
      </c>
      <c r="K18" s="51">
        <v>102</v>
      </c>
      <c r="L18" s="51">
        <v>115</v>
      </c>
      <c r="M18" s="51">
        <v>150</v>
      </c>
      <c r="N18" s="51">
        <v>229</v>
      </c>
      <c r="O18" s="51">
        <v>73</v>
      </c>
      <c r="P18" s="51">
        <v>130</v>
      </c>
      <c r="Q18" s="51">
        <v>72</v>
      </c>
      <c r="R18" s="51">
        <v>61</v>
      </c>
      <c r="S18" s="51">
        <v>43</v>
      </c>
      <c r="T18" s="51">
        <v>206</v>
      </c>
      <c r="U18" s="51">
        <v>1</v>
      </c>
      <c r="V18" s="51">
        <v>237</v>
      </c>
      <c r="W18" s="51">
        <v>247</v>
      </c>
      <c r="X18" s="51">
        <v>127</v>
      </c>
      <c r="Y18" s="51">
        <v>217</v>
      </c>
      <c r="Z18" s="51">
        <v>144</v>
      </c>
      <c r="AA18" s="51">
        <v>117</v>
      </c>
      <c r="AB18" s="51" t="s">
        <v>139</v>
      </c>
      <c r="AC18" s="51" t="s">
        <v>139</v>
      </c>
      <c r="AD18" s="51" t="s">
        <v>139</v>
      </c>
      <c r="AE18" s="51" t="s">
        <v>139</v>
      </c>
      <c r="AF18" s="51" t="s">
        <v>139</v>
      </c>
      <c r="AG18" s="51" t="s">
        <v>139</v>
      </c>
    </row>
    <row r="19" spans="1:33">
      <c r="A19">
        <v>16</v>
      </c>
      <c r="B19">
        <v>26</v>
      </c>
      <c r="C19" s="51">
        <v>1</v>
      </c>
      <c r="D19" s="51">
        <v>246</v>
      </c>
      <c r="E19" s="51">
        <v>51</v>
      </c>
      <c r="F19" s="51">
        <v>183</v>
      </c>
      <c r="G19" s="51">
        <v>4</v>
      </c>
      <c r="H19" s="51">
        <v>136</v>
      </c>
      <c r="I19" s="51">
        <v>98</v>
      </c>
      <c r="J19" s="51">
        <v>199</v>
      </c>
      <c r="K19" s="51">
        <v>152</v>
      </c>
      <c r="L19" s="51">
        <v>77</v>
      </c>
      <c r="M19" s="51">
        <v>56</v>
      </c>
      <c r="N19" s="51">
        <v>206</v>
      </c>
      <c r="O19" s="51">
        <v>24</v>
      </c>
      <c r="P19" s="51">
        <v>145</v>
      </c>
      <c r="Q19" s="51">
        <v>40</v>
      </c>
      <c r="R19" s="51">
        <v>209</v>
      </c>
      <c r="S19" s="51">
        <v>117</v>
      </c>
      <c r="T19" s="51">
        <v>233</v>
      </c>
      <c r="U19" s="51">
        <v>42</v>
      </c>
      <c r="V19" s="51">
        <v>135</v>
      </c>
      <c r="W19" s="51">
        <v>68</v>
      </c>
      <c r="X19" s="51">
        <v>70</v>
      </c>
      <c r="Y19" s="51">
        <v>144</v>
      </c>
      <c r="Z19" s="51">
        <v>146</v>
      </c>
      <c r="AA19" s="51">
        <v>77</v>
      </c>
      <c r="AB19" s="51">
        <v>43</v>
      </c>
      <c r="AC19" s="51">
        <v>94</v>
      </c>
      <c r="AD19" s="51" t="s">
        <v>139</v>
      </c>
      <c r="AE19" s="51" t="s">
        <v>139</v>
      </c>
      <c r="AF19" s="51" t="s">
        <v>139</v>
      </c>
      <c r="AG19" s="51" t="s">
        <v>139</v>
      </c>
    </row>
    <row r="20" spans="1:33">
      <c r="A20">
        <v>17</v>
      </c>
      <c r="B20">
        <v>28</v>
      </c>
      <c r="C20" s="51">
        <v>1</v>
      </c>
      <c r="D20" s="51">
        <v>252</v>
      </c>
      <c r="E20" s="51">
        <v>9</v>
      </c>
      <c r="F20" s="51">
        <v>28</v>
      </c>
      <c r="G20" s="51">
        <v>13</v>
      </c>
      <c r="H20" s="51">
        <v>18</v>
      </c>
      <c r="I20" s="51">
        <v>251</v>
      </c>
      <c r="J20" s="51">
        <v>208</v>
      </c>
      <c r="K20" s="51">
        <v>150</v>
      </c>
      <c r="L20" s="51">
        <v>103</v>
      </c>
      <c r="M20" s="51">
        <v>174</v>
      </c>
      <c r="N20" s="51">
        <v>100</v>
      </c>
      <c r="O20" s="51">
        <v>41</v>
      </c>
      <c r="P20" s="51">
        <v>167</v>
      </c>
      <c r="Q20" s="51">
        <v>12</v>
      </c>
      <c r="R20" s="51">
        <v>247</v>
      </c>
      <c r="S20" s="51">
        <v>56</v>
      </c>
      <c r="T20" s="51">
        <v>117</v>
      </c>
      <c r="U20" s="51">
        <v>119</v>
      </c>
      <c r="V20" s="51">
        <v>233</v>
      </c>
      <c r="W20" s="51">
        <v>127</v>
      </c>
      <c r="X20" s="51">
        <v>181</v>
      </c>
      <c r="Y20" s="51">
        <v>100</v>
      </c>
      <c r="Z20" s="51">
        <v>121</v>
      </c>
      <c r="AA20" s="51">
        <v>147</v>
      </c>
      <c r="AB20" s="51">
        <v>176</v>
      </c>
      <c r="AC20" s="51">
        <v>74</v>
      </c>
      <c r="AD20" s="51">
        <v>58</v>
      </c>
      <c r="AE20" s="51">
        <v>197</v>
      </c>
      <c r="AF20" s="51" t="s">
        <v>139</v>
      </c>
      <c r="AG20" s="51" t="s">
        <v>139</v>
      </c>
    </row>
    <row r="21" spans="1:33">
      <c r="A21">
        <v>18</v>
      </c>
      <c r="B21">
        <v>30</v>
      </c>
      <c r="C21" s="51">
        <v>1</v>
      </c>
      <c r="D21" s="51">
        <v>212</v>
      </c>
      <c r="E21" s="51">
        <v>246</v>
      </c>
      <c r="F21" s="51">
        <v>77</v>
      </c>
      <c r="G21" s="51">
        <v>73</v>
      </c>
      <c r="H21" s="51">
        <v>195</v>
      </c>
      <c r="I21" s="51">
        <v>192</v>
      </c>
      <c r="J21" s="51">
        <v>75</v>
      </c>
      <c r="K21" s="51">
        <v>98</v>
      </c>
      <c r="L21" s="51">
        <v>5</v>
      </c>
      <c r="M21" s="51">
        <v>70</v>
      </c>
      <c r="N21" s="51">
        <v>103</v>
      </c>
      <c r="O21" s="51">
        <v>177</v>
      </c>
      <c r="P21" s="51">
        <v>22</v>
      </c>
      <c r="Q21" s="51">
        <v>217</v>
      </c>
      <c r="R21" s="51">
        <v>138</v>
      </c>
      <c r="S21" s="51">
        <v>51</v>
      </c>
      <c r="T21" s="51">
        <v>181</v>
      </c>
      <c r="U21" s="51">
        <v>246</v>
      </c>
      <c r="V21" s="51">
        <v>72</v>
      </c>
      <c r="W21" s="51">
        <v>25</v>
      </c>
      <c r="X21" s="51">
        <v>18</v>
      </c>
      <c r="Y21" s="51">
        <v>46</v>
      </c>
      <c r="Z21" s="51">
        <v>228</v>
      </c>
      <c r="AA21" s="51">
        <v>74</v>
      </c>
      <c r="AB21" s="51">
        <v>216</v>
      </c>
      <c r="AC21" s="51">
        <v>195</v>
      </c>
      <c r="AD21" s="51">
        <v>11</v>
      </c>
      <c r="AE21" s="51">
        <v>106</v>
      </c>
      <c r="AF21" s="51">
        <v>130</v>
      </c>
      <c r="AG21" s="51">
        <v>150</v>
      </c>
    </row>
    <row r="22" spans="1:33"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</row>
    <row r="23" spans="1:33"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</row>
    <row r="24" spans="1:33"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</row>
    <row r="25" spans="1:33">
      <c r="B25">
        <f>LEN(B28)</f>
        <v>0</v>
      </c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</row>
    <row r="26" spans="1:33" ht="15.75" thickBot="1">
      <c r="A26" s="185" t="s">
        <v>159</v>
      </c>
      <c r="B26" s="185"/>
      <c r="C26" s="185"/>
      <c r="D26" s="185"/>
      <c r="E26" s="185"/>
      <c r="F26" s="185"/>
      <c r="G26" s="185"/>
      <c r="H26" s="185"/>
      <c r="I26" s="185"/>
      <c r="J26" s="185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</row>
    <row r="27" spans="1:33">
      <c r="A27" s="13" t="s">
        <v>160</v>
      </c>
      <c r="B27" s="14" t="s">
        <v>161</v>
      </c>
      <c r="C27" s="89" t="s">
        <v>335</v>
      </c>
      <c r="D27" s="89">
        <v>1</v>
      </c>
      <c r="E27" s="89">
        <v>2</v>
      </c>
      <c r="F27" s="89">
        <v>3</v>
      </c>
      <c r="G27" s="89">
        <v>4</v>
      </c>
      <c r="H27" s="89">
        <v>5</v>
      </c>
      <c r="I27" s="89">
        <v>6</v>
      </c>
      <c r="J27" s="90">
        <v>7</v>
      </c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</row>
    <row r="28" spans="1:33">
      <c r="A28" s="16">
        <v>1</v>
      </c>
      <c r="B28" s="17" t="str">
        <f>""</f>
        <v/>
      </c>
      <c r="C28" s="91">
        <v>0</v>
      </c>
      <c r="D28" s="91" t="e">
        <v>#VALUE!</v>
      </c>
      <c r="E28" s="91" t="e">
        <v>#VALUE!</v>
      </c>
      <c r="F28" s="91" t="e">
        <v>#VALUE!</v>
      </c>
      <c r="G28" s="91" t="e">
        <v>#VALUE!</v>
      </c>
      <c r="H28" s="91" t="e">
        <v>#VALUE!</v>
      </c>
      <c r="I28" s="91" t="e">
        <v>#VALUE!</v>
      </c>
      <c r="J28" s="92" t="e">
        <v>#VALUE!</v>
      </c>
      <c r="K28" s="64"/>
      <c r="L28" s="64"/>
      <c r="M28" s="84"/>
      <c r="N28" s="84"/>
      <c r="O28" s="84"/>
      <c r="P28" s="84"/>
      <c r="Q28" s="84"/>
      <c r="R28" s="117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</row>
    <row r="29" spans="1:33">
      <c r="A29" s="16">
        <v>2</v>
      </c>
      <c r="B29" s="17" t="str">
        <f>""</f>
        <v/>
      </c>
      <c r="C29" s="91">
        <v>7</v>
      </c>
      <c r="D29" s="91">
        <v>7</v>
      </c>
      <c r="E29" s="91">
        <v>19</v>
      </c>
      <c r="F29" s="91" t="e">
        <v>#VALUE!</v>
      </c>
      <c r="G29" s="91" t="e">
        <v>#VALUE!</v>
      </c>
      <c r="H29" s="91" t="e">
        <v>#VALUE!</v>
      </c>
      <c r="I29" s="91" t="e">
        <v>#VALUE!</v>
      </c>
      <c r="J29" s="92" t="e">
        <v>#VALUE!</v>
      </c>
      <c r="K29" s="64"/>
      <c r="L29" s="84"/>
      <c r="M29" s="84"/>
      <c r="N29" s="84"/>
      <c r="O29" s="84"/>
      <c r="P29" s="84"/>
      <c r="Q29" s="84"/>
      <c r="R29" s="117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</row>
    <row r="30" spans="1:33">
      <c r="A30" s="16">
        <v>3</v>
      </c>
      <c r="B30" s="17" t="str">
        <f>""</f>
        <v/>
      </c>
      <c r="C30" s="91">
        <v>7</v>
      </c>
      <c r="D30" s="91">
        <v>7</v>
      </c>
      <c r="E30" s="91">
        <v>23</v>
      </c>
      <c r="F30" s="91" t="e">
        <v>#VALUE!</v>
      </c>
      <c r="G30" s="91" t="e">
        <v>#VALUE!</v>
      </c>
      <c r="H30" s="91" t="e">
        <v>#VALUE!</v>
      </c>
      <c r="I30" s="91" t="e">
        <v>#VALUE!</v>
      </c>
      <c r="J30" s="92" t="e">
        <v>#VALUE!</v>
      </c>
      <c r="K30" s="64"/>
      <c r="L30" s="84"/>
      <c r="M30" s="84"/>
      <c r="N30" s="84"/>
      <c r="O30" s="84"/>
      <c r="P30" s="84"/>
      <c r="Q30" s="84"/>
      <c r="R30" s="117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</row>
    <row r="31" spans="1:33">
      <c r="A31" s="16">
        <v>4</v>
      </c>
      <c r="B31" s="17" t="str">
        <f>""</f>
        <v/>
      </c>
      <c r="C31" s="91">
        <v>7</v>
      </c>
      <c r="D31" s="91">
        <v>7</v>
      </c>
      <c r="E31" s="91">
        <v>27</v>
      </c>
      <c r="F31" s="91" t="e">
        <v>#VALUE!</v>
      </c>
      <c r="G31" s="91" t="e">
        <v>#VALUE!</v>
      </c>
      <c r="H31" s="91" t="e">
        <v>#VALUE!</v>
      </c>
      <c r="I31" s="91" t="e">
        <v>#VALUE!</v>
      </c>
      <c r="J31" s="92" t="e">
        <v>#VALUE!</v>
      </c>
      <c r="K31" s="64"/>
      <c r="L31" s="84"/>
      <c r="M31" s="84"/>
      <c r="N31" s="84"/>
      <c r="O31" s="84"/>
      <c r="P31" s="84"/>
      <c r="Q31" s="84"/>
      <c r="R31" s="117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</row>
    <row r="32" spans="1:33">
      <c r="A32" s="16">
        <v>5</v>
      </c>
      <c r="B32" s="17" t="str">
        <f>""</f>
        <v/>
      </c>
      <c r="C32" s="91">
        <v>7</v>
      </c>
      <c r="D32" s="91">
        <v>7</v>
      </c>
      <c r="E32" s="91">
        <v>31</v>
      </c>
      <c r="F32" s="91" t="e">
        <v>#VALUE!</v>
      </c>
      <c r="G32" s="91" t="e">
        <v>#VALUE!</v>
      </c>
      <c r="H32" s="91" t="e">
        <v>#VALUE!</v>
      </c>
      <c r="I32" s="91" t="e">
        <v>#VALUE!</v>
      </c>
      <c r="J32" s="92" t="e">
        <v>#VALUE!</v>
      </c>
      <c r="K32" s="64"/>
      <c r="L32" s="84"/>
      <c r="M32" s="84"/>
      <c r="N32" s="84"/>
      <c r="O32" s="84"/>
      <c r="P32" s="84"/>
      <c r="Q32" s="84"/>
      <c r="R32" s="117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</row>
    <row r="33" spans="1:33">
      <c r="A33" s="16">
        <v>6</v>
      </c>
      <c r="B33" s="17" t="str">
        <f>""</f>
        <v/>
      </c>
      <c r="C33" s="91">
        <v>7</v>
      </c>
      <c r="D33" s="91">
        <v>7</v>
      </c>
      <c r="E33" s="91">
        <v>35</v>
      </c>
      <c r="F33" s="91" t="e">
        <v>#VALUE!</v>
      </c>
      <c r="G33" s="91" t="e">
        <v>#VALUE!</v>
      </c>
      <c r="H33" s="91" t="e">
        <v>#VALUE!</v>
      </c>
      <c r="I33" s="91" t="e">
        <v>#VALUE!</v>
      </c>
      <c r="J33" s="92" t="e">
        <v>#VALUE!</v>
      </c>
      <c r="K33" s="64"/>
      <c r="L33" s="84"/>
      <c r="M33" s="84"/>
      <c r="N33" s="84"/>
      <c r="O33" s="84"/>
      <c r="P33" s="84"/>
      <c r="Q33" s="84"/>
      <c r="R33" s="117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</row>
    <row r="34" spans="1:33">
      <c r="A34" s="16">
        <v>7</v>
      </c>
      <c r="B34" s="110" t="s">
        <v>301</v>
      </c>
      <c r="C34" s="91">
        <v>0</v>
      </c>
      <c r="D34" s="91">
        <v>7</v>
      </c>
      <c r="E34" s="91">
        <v>23</v>
      </c>
      <c r="F34" s="91">
        <v>39</v>
      </c>
      <c r="G34" s="91" t="e">
        <v>#VALUE!</v>
      </c>
      <c r="H34" s="91" t="e">
        <v>#VALUE!</v>
      </c>
      <c r="I34" s="91" t="e">
        <v>#VALUE!</v>
      </c>
      <c r="J34" s="92" t="e">
        <v>#VALUE!</v>
      </c>
      <c r="K34" s="64"/>
      <c r="L34" s="84"/>
      <c r="M34" s="84"/>
      <c r="N34" s="84"/>
      <c r="O34" s="84"/>
      <c r="P34" s="84"/>
      <c r="Q34" s="84"/>
      <c r="R34" s="117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</row>
    <row r="35" spans="1:33">
      <c r="A35" s="16">
        <v>8</v>
      </c>
      <c r="B35" s="111" t="s">
        <v>302</v>
      </c>
      <c r="C35" s="91">
        <v>0</v>
      </c>
      <c r="D35" s="91">
        <v>7</v>
      </c>
      <c r="E35" s="91">
        <v>25</v>
      </c>
      <c r="F35" s="91">
        <v>43</v>
      </c>
      <c r="G35" s="91" t="e">
        <v>#VALUE!</v>
      </c>
      <c r="H35" s="91" t="e">
        <v>#VALUE!</v>
      </c>
      <c r="I35" s="91" t="e">
        <v>#VALUE!</v>
      </c>
      <c r="J35" s="92" t="e">
        <v>#VALUE!</v>
      </c>
      <c r="K35" s="64"/>
      <c r="L35" s="84"/>
      <c r="M35" s="84"/>
      <c r="N35" s="84"/>
      <c r="O35" s="84"/>
      <c r="P35" s="84"/>
      <c r="Q35" s="84"/>
      <c r="R35" s="117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</row>
    <row r="36" spans="1:33">
      <c r="A36" s="16">
        <v>9</v>
      </c>
      <c r="B36" s="111" t="s">
        <v>303</v>
      </c>
      <c r="C36" s="91">
        <v>0</v>
      </c>
      <c r="D36" s="91">
        <v>7</v>
      </c>
      <c r="E36" s="91">
        <v>27</v>
      </c>
      <c r="F36" s="91">
        <v>47</v>
      </c>
      <c r="G36" s="91" t="e">
        <v>#VALUE!</v>
      </c>
      <c r="H36" s="91" t="e">
        <v>#VALUE!</v>
      </c>
      <c r="I36" s="91" t="e">
        <v>#VALUE!</v>
      </c>
      <c r="J36" s="92" t="e">
        <v>#VALUE!</v>
      </c>
      <c r="K36" s="64"/>
      <c r="L36" s="84"/>
      <c r="M36" s="84"/>
      <c r="N36" s="84"/>
      <c r="O36" s="84"/>
      <c r="P36" s="84"/>
      <c r="Q36" s="84"/>
      <c r="R36" s="117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</row>
    <row r="37" spans="1:33">
      <c r="A37" s="16">
        <v>10</v>
      </c>
      <c r="B37" s="111" t="s">
        <v>304</v>
      </c>
      <c r="C37" s="91">
        <v>0</v>
      </c>
      <c r="D37" s="91">
        <v>7</v>
      </c>
      <c r="E37" s="91">
        <v>29</v>
      </c>
      <c r="F37" s="91">
        <v>51</v>
      </c>
      <c r="G37" s="91" t="e">
        <v>#VALUE!</v>
      </c>
      <c r="H37" s="91" t="e">
        <v>#VALUE!</v>
      </c>
      <c r="I37" s="91" t="e">
        <v>#VALUE!</v>
      </c>
      <c r="J37" s="92" t="e">
        <v>#VALUE!</v>
      </c>
      <c r="K37" s="64"/>
      <c r="L37" s="84"/>
      <c r="M37" s="84"/>
      <c r="N37" s="84"/>
      <c r="O37" s="84"/>
      <c r="P37" s="84"/>
      <c r="Q37" s="84"/>
      <c r="R37" s="117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</row>
    <row r="38" spans="1:33">
      <c r="A38" s="16">
        <v>11</v>
      </c>
      <c r="B38" s="111" t="s">
        <v>305</v>
      </c>
      <c r="C38" s="91">
        <v>0</v>
      </c>
      <c r="D38" s="91">
        <v>7</v>
      </c>
      <c r="E38" s="91">
        <v>31</v>
      </c>
      <c r="F38" s="91">
        <v>55</v>
      </c>
      <c r="G38" s="91" t="e">
        <v>#VALUE!</v>
      </c>
      <c r="H38" s="91" t="e">
        <v>#VALUE!</v>
      </c>
      <c r="I38" s="91" t="e">
        <v>#VALUE!</v>
      </c>
      <c r="J38" s="92" t="e">
        <v>#VALUE!</v>
      </c>
      <c r="K38" s="64"/>
      <c r="L38" s="84"/>
      <c r="M38" s="84"/>
      <c r="N38" s="84"/>
      <c r="O38" s="84"/>
      <c r="P38" s="84"/>
      <c r="Q38" s="84"/>
      <c r="R38" s="117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</row>
    <row r="39" spans="1:33">
      <c r="A39" s="16">
        <v>12</v>
      </c>
      <c r="B39" s="111" t="s">
        <v>306</v>
      </c>
      <c r="C39" s="91">
        <v>0</v>
      </c>
      <c r="D39" s="91">
        <v>7</v>
      </c>
      <c r="E39" s="91">
        <v>33</v>
      </c>
      <c r="F39" s="91">
        <v>59</v>
      </c>
      <c r="G39" s="91" t="e">
        <v>#VALUE!</v>
      </c>
      <c r="H39" s="91" t="e">
        <v>#VALUE!</v>
      </c>
      <c r="I39" s="91" t="e">
        <v>#VALUE!</v>
      </c>
      <c r="J39" s="92" t="e">
        <v>#VALUE!</v>
      </c>
      <c r="K39" s="64"/>
      <c r="L39" s="84"/>
      <c r="M39" s="84"/>
      <c r="N39" s="84"/>
      <c r="O39" s="84"/>
      <c r="P39" s="84"/>
      <c r="Q39" s="84"/>
      <c r="R39" s="117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</row>
    <row r="40" spans="1:33">
      <c r="A40" s="16">
        <v>13</v>
      </c>
      <c r="B40" s="111" t="s">
        <v>307</v>
      </c>
      <c r="C40" s="91">
        <v>0</v>
      </c>
      <c r="D40" s="91">
        <v>7</v>
      </c>
      <c r="E40" s="91">
        <v>35</v>
      </c>
      <c r="F40" s="91">
        <v>63</v>
      </c>
      <c r="G40" s="91" t="e">
        <v>#VALUE!</v>
      </c>
      <c r="H40" s="91" t="e">
        <v>#VALUE!</v>
      </c>
      <c r="I40" s="91" t="e">
        <v>#VALUE!</v>
      </c>
      <c r="J40" s="92" t="e">
        <v>#VALUE!</v>
      </c>
      <c r="K40" s="64"/>
      <c r="L40" s="84"/>
      <c r="M40" s="84"/>
      <c r="N40" s="84"/>
      <c r="O40" s="84"/>
      <c r="P40" s="84"/>
      <c r="Q40" s="84"/>
      <c r="R40" s="117"/>
      <c r="S40" s="64" t="str">
        <f>IF(S22&lt;&gt;"",VLOOKUP(S22,Table1[[A^N]:[Dec2]],2,0),"")</f>
        <v/>
      </c>
      <c r="T40" s="64" t="str">
        <f>IF(T22&lt;&gt;"",VLOOKUP(T22,Table1[[A^N]:[Dec2]],2,0),"")</f>
        <v/>
      </c>
      <c r="U40" s="64" t="str">
        <f>IF(U22&lt;&gt;"",VLOOKUP(U22,Table1[[A^N]:[Dec2]],2,0),"")</f>
        <v/>
      </c>
      <c r="V40" s="64" t="str">
        <f>IF(V22&lt;&gt;"",VLOOKUP(V22,Table1[[A^N]:[Dec2]],2,0),"")</f>
        <v/>
      </c>
      <c r="W40" s="64" t="str">
        <f>IF(W22&lt;&gt;"",VLOOKUP(W22,Table1[[A^N]:[Dec2]],2,0),"")</f>
        <v/>
      </c>
      <c r="X40" s="64" t="str">
        <f>IF(X22&lt;&gt;"",VLOOKUP(X22,Table1[[A^N]:[Dec2]],2,0),"")</f>
        <v/>
      </c>
      <c r="Y40" s="64" t="str">
        <f>IF(Y22&lt;&gt;"",VLOOKUP(Y22,Table1[[A^N]:[Dec2]],2,0),"")</f>
        <v/>
      </c>
      <c r="Z40" s="64" t="str">
        <f>IF(Z22&lt;&gt;"",VLOOKUP(Z22,Table1[[A^N]:[Dec2]],2,0),"")</f>
        <v/>
      </c>
      <c r="AA40" s="64" t="str">
        <f>IF(AA22&lt;&gt;"",VLOOKUP(AA22,Table1[[A^N]:[Dec2]],2,0),"")</f>
        <v/>
      </c>
      <c r="AB40" s="64" t="str">
        <f>IF(AB22&lt;&gt;"",VLOOKUP(AB22,Table1[[A^N]:[Dec2]],2,0),"")</f>
        <v/>
      </c>
      <c r="AC40" s="64" t="str">
        <f>IF(AC22&lt;&gt;"",VLOOKUP(AC22,Table1[[A^N]:[Dec2]],2,0),"")</f>
        <v/>
      </c>
      <c r="AD40" s="64" t="str">
        <f>IF(AD22&lt;&gt;"",VLOOKUP(AD22,Table1[[A^N]:[Dec2]],2,0),"")</f>
        <v/>
      </c>
      <c r="AE40" s="64" t="str">
        <f>IF(AE22&lt;&gt;"",VLOOKUP(AE22,Table1[[A^N]:[Dec2]],2,0),"")</f>
        <v/>
      </c>
      <c r="AF40" s="64" t="str">
        <f>IF(AF22&lt;&gt;"",VLOOKUP(AF22,Table1[[A^N]:[Dec2]],2,0),"")</f>
        <v/>
      </c>
      <c r="AG40" s="64" t="str">
        <f>IF(AG22&lt;&gt;"",VLOOKUP(AG22,Table1[[A^N]:[Dec2]],2,0),"")</f>
        <v/>
      </c>
    </row>
    <row r="41" spans="1:33">
      <c r="A41" s="16">
        <v>14</v>
      </c>
      <c r="B41" s="111" t="s">
        <v>308</v>
      </c>
      <c r="C41" s="91">
        <v>3</v>
      </c>
      <c r="D41" s="91">
        <v>7</v>
      </c>
      <c r="E41" s="91">
        <v>27</v>
      </c>
      <c r="F41" s="91">
        <v>47</v>
      </c>
      <c r="G41" s="91">
        <v>67</v>
      </c>
      <c r="H41" s="91" t="e">
        <v>#VALUE!</v>
      </c>
      <c r="I41" s="91" t="e">
        <v>#VALUE!</v>
      </c>
      <c r="J41" s="92" t="e">
        <v>#VALUE!</v>
      </c>
      <c r="K41" s="64"/>
      <c r="L41" s="84"/>
      <c r="M41" s="84"/>
      <c r="N41" s="84"/>
      <c r="O41" s="84"/>
      <c r="P41" s="84"/>
      <c r="Q41" s="84"/>
      <c r="R41" s="117"/>
      <c r="S41" s="64" t="str">
        <f>IF(S23&lt;&gt;"",VLOOKUP(S23,Table1[[A^N]:[Dec2]],2,0),"")</f>
        <v/>
      </c>
      <c r="T41" s="64" t="str">
        <f>IF(T23&lt;&gt;"",VLOOKUP(T23,Table1[[A^N]:[Dec2]],2,0),"")</f>
        <v/>
      </c>
      <c r="U41" s="64" t="str">
        <f>IF(U23&lt;&gt;"",VLOOKUP(U23,Table1[[A^N]:[Dec2]],2,0),"")</f>
        <v/>
      </c>
      <c r="V41" s="64" t="str">
        <f>IF(V23&lt;&gt;"",VLOOKUP(V23,Table1[[A^N]:[Dec2]],2,0),"")</f>
        <v/>
      </c>
      <c r="W41" s="64" t="str">
        <f>IF(W23&lt;&gt;"",VLOOKUP(W23,Table1[[A^N]:[Dec2]],2,0),"")</f>
        <v/>
      </c>
      <c r="X41" s="64" t="str">
        <f>IF(X23&lt;&gt;"",VLOOKUP(X23,Table1[[A^N]:[Dec2]],2,0),"")</f>
        <v/>
      </c>
      <c r="Y41" s="64" t="str">
        <f>IF(Y23&lt;&gt;"",VLOOKUP(Y23,Table1[[A^N]:[Dec2]],2,0),"")</f>
        <v/>
      </c>
      <c r="Z41" s="64" t="str">
        <f>IF(Z23&lt;&gt;"",VLOOKUP(Z23,Table1[[A^N]:[Dec2]],2,0),"")</f>
        <v/>
      </c>
      <c r="AA41" s="64" t="str">
        <f>IF(AA23&lt;&gt;"",VLOOKUP(AA23,Table1[[A^N]:[Dec2]],2,0),"")</f>
        <v/>
      </c>
      <c r="AB41" s="64" t="str">
        <f>IF(AB23&lt;&gt;"",VLOOKUP(AB23,Table1[[A^N]:[Dec2]],2,0),"")</f>
        <v/>
      </c>
      <c r="AC41" s="64" t="str">
        <f>IF(AC23&lt;&gt;"",VLOOKUP(AC23,Table1[[A^N]:[Dec2]],2,0),"")</f>
        <v/>
      </c>
      <c r="AD41" s="64" t="str">
        <f>IF(AD23&lt;&gt;"",VLOOKUP(AD23,Table1[[A^N]:[Dec2]],2,0),"")</f>
        <v/>
      </c>
      <c r="AE41" s="64" t="str">
        <f>IF(AE23&lt;&gt;"",VLOOKUP(AE23,Table1[[A^N]:[Dec2]],2,0),"")</f>
        <v/>
      </c>
      <c r="AF41" s="64" t="str">
        <f>IF(AF23&lt;&gt;"",VLOOKUP(AF23,Table1[[A^N]:[Dec2]],2,0),"")</f>
        <v/>
      </c>
      <c r="AG41" s="64" t="str">
        <f>IF(AG23&lt;&gt;"",VLOOKUP(AG23,Table1[[A^N]:[Dec2]],2,0),"")</f>
        <v/>
      </c>
    </row>
    <row r="42" spans="1:33">
      <c r="A42" s="16">
        <v>15</v>
      </c>
      <c r="B42" s="111" t="s">
        <v>309</v>
      </c>
      <c r="C42" s="91">
        <v>3</v>
      </c>
      <c r="D42" s="91">
        <v>7</v>
      </c>
      <c r="E42" s="91">
        <v>27</v>
      </c>
      <c r="F42" s="91">
        <v>49</v>
      </c>
      <c r="G42" s="91">
        <v>71</v>
      </c>
      <c r="H42" s="91" t="e">
        <v>#VALUE!</v>
      </c>
      <c r="I42" s="91" t="e">
        <v>#VALUE!</v>
      </c>
      <c r="J42" s="92" t="e">
        <v>#VALUE!</v>
      </c>
      <c r="K42" s="64"/>
      <c r="L42" s="84"/>
      <c r="M42" s="84"/>
      <c r="N42" s="84"/>
      <c r="O42" s="84"/>
      <c r="P42" s="84"/>
      <c r="Q42" s="84"/>
      <c r="R42" s="117"/>
      <c r="S42" s="64" t="str">
        <f>IF(S24&lt;&gt;"",VLOOKUP(S24,Table1[[A^N]:[Dec2]],2,0),"")</f>
        <v/>
      </c>
      <c r="T42" s="64" t="str">
        <f>IF(T24&lt;&gt;"",VLOOKUP(T24,Table1[[A^N]:[Dec2]],2,0),"")</f>
        <v/>
      </c>
      <c r="U42" s="64" t="str">
        <f>IF(U24&lt;&gt;"",VLOOKUP(U24,Table1[[A^N]:[Dec2]],2,0),"")</f>
        <v/>
      </c>
      <c r="V42" s="64" t="str">
        <f>IF(V24&lt;&gt;"",VLOOKUP(V24,Table1[[A^N]:[Dec2]],2,0),"")</f>
        <v/>
      </c>
      <c r="W42" s="64" t="str">
        <f>IF(W24&lt;&gt;"",VLOOKUP(W24,Table1[[A^N]:[Dec2]],2,0),"")</f>
        <v/>
      </c>
      <c r="X42" s="64" t="str">
        <f>IF(X24&lt;&gt;"",VLOOKUP(X24,Table1[[A^N]:[Dec2]],2,0),"")</f>
        <v/>
      </c>
      <c r="Y42" s="64" t="str">
        <f>IF(Y24&lt;&gt;"",VLOOKUP(Y24,Table1[[A^N]:[Dec2]],2,0),"")</f>
        <v/>
      </c>
      <c r="Z42" s="64" t="str">
        <f>IF(Z24&lt;&gt;"",VLOOKUP(Z24,Table1[[A^N]:[Dec2]],2,0),"")</f>
        <v/>
      </c>
      <c r="AA42" s="64" t="str">
        <f>IF(AA24&lt;&gt;"",VLOOKUP(AA24,Table1[[A^N]:[Dec2]],2,0),"")</f>
        <v/>
      </c>
      <c r="AB42" s="64" t="str">
        <f>IF(AB24&lt;&gt;"",VLOOKUP(AB24,Table1[[A^N]:[Dec2]],2,0),"")</f>
        <v/>
      </c>
      <c r="AC42" s="64" t="str">
        <f>IF(AC24&lt;&gt;"",VLOOKUP(AC24,Table1[[A^N]:[Dec2]],2,0),"")</f>
        <v/>
      </c>
      <c r="AD42" s="64" t="str">
        <f>IF(AD24&lt;&gt;"",VLOOKUP(AD24,Table1[[A^N]:[Dec2]],2,0),"")</f>
        <v/>
      </c>
      <c r="AE42" s="64" t="str">
        <f>IF(AE24&lt;&gt;"",VLOOKUP(AE24,Table1[[A^N]:[Dec2]],2,0),"")</f>
        <v/>
      </c>
      <c r="AF42" s="64" t="str">
        <f>IF(AF24&lt;&gt;"",VLOOKUP(AF24,Table1[[A^N]:[Dec2]],2,0),"")</f>
        <v/>
      </c>
      <c r="AG42" s="64" t="str">
        <f>IF(AG24&lt;&gt;"",VLOOKUP(AG24,Table1[[A^N]:[Dec2]],2,0),"")</f>
        <v/>
      </c>
    </row>
    <row r="43" spans="1:33">
      <c r="A43" s="16">
        <v>16</v>
      </c>
      <c r="B43" s="111" t="s">
        <v>310</v>
      </c>
      <c r="C43" s="91">
        <v>3</v>
      </c>
      <c r="D43" s="91">
        <v>7</v>
      </c>
      <c r="E43" s="91">
        <v>27</v>
      </c>
      <c r="F43" s="91">
        <v>51</v>
      </c>
      <c r="G43" s="91">
        <v>75</v>
      </c>
      <c r="H43" s="91" t="e">
        <v>#VALUE!</v>
      </c>
      <c r="I43" s="91" t="e">
        <v>#VALUE!</v>
      </c>
      <c r="J43" s="92" t="e">
        <v>#VALUE!</v>
      </c>
      <c r="K43" s="64"/>
      <c r="L43" s="84"/>
      <c r="M43" s="84"/>
      <c r="N43" s="84"/>
      <c r="O43" s="84"/>
      <c r="P43" s="84"/>
      <c r="Q43" s="84"/>
      <c r="R43" s="117"/>
      <c r="S43" s="64" t="str">
        <f>IF(S25&lt;&gt;"",VLOOKUP(S25,Table1[[A^N]:[Dec2]],2,0),"")</f>
        <v/>
      </c>
      <c r="T43" s="64" t="str">
        <f>IF(T25&lt;&gt;"",VLOOKUP(T25,Table1[[A^N]:[Dec2]],2,0),"")</f>
        <v/>
      </c>
      <c r="U43" s="64" t="str">
        <f>IF(U25&lt;&gt;"",VLOOKUP(U25,Table1[[A^N]:[Dec2]],2,0),"")</f>
        <v/>
      </c>
      <c r="V43" s="64" t="str">
        <f>IF(V25&lt;&gt;"",VLOOKUP(V25,Table1[[A^N]:[Dec2]],2,0),"")</f>
        <v/>
      </c>
      <c r="W43" s="64" t="str">
        <f>IF(W25&lt;&gt;"",VLOOKUP(W25,Table1[[A^N]:[Dec2]],2,0),"")</f>
        <v/>
      </c>
      <c r="X43" s="64" t="str">
        <f>IF(X25&lt;&gt;"",VLOOKUP(X25,Table1[[A^N]:[Dec2]],2,0),"")</f>
        <v/>
      </c>
      <c r="Y43" s="64" t="str">
        <f>IF(Y25&lt;&gt;"",VLOOKUP(Y25,Table1[[A^N]:[Dec2]],2,0),"")</f>
        <v/>
      </c>
      <c r="Z43" s="64" t="str">
        <f>IF(Z25&lt;&gt;"",VLOOKUP(Z25,Table1[[A^N]:[Dec2]],2,0),"")</f>
        <v/>
      </c>
      <c r="AA43" s="64" t="str">
        <f>IF(AA25&lt;&gt;"",VLOOKUP(AA25,Table1[[A^N]:[Dec2]],2,0),"")</f>
        <v/>
      </c>
      <c r="AB43" s="64" t="str">
        <f>IF(AB25&lt;&gt;"",VLOOKUP(AB25,Table1[[A^N]:[Dec2]],2,0),"")</f>
        <v/>
      </c>
      <c r="AC43" s="64" t="str">
        <f>IF(AC25&lt;&gt;"",VLOOKUP(AC25,Table1[[A^N]:[Dec2]],2,0),"")</f>
        <v/>
      </c>
      <c r="AD43" s="64" t="str">
        <f>IF(AD25&lt;&gt;"",VLOOKUP(AD25,Table1[[A^N]:[Dec2]],2,0),"")</f>
        <v/>
      </c>
      <c r="AE43" s="64" t="str">
        <f>IF(AE25&lt;&gt;"",VLOOKUP(AE25,Table1[[A^N]:[Dec2]],2,0),"")</f>
        <v/>
      </c>
      <c r="AF43" s="64" t="str">
        <f>IF(AF25&lt;&gt;"",VLOOKUP(AF25,Table1[[A^N]:[Dec2]],2,0),"")</f>
        <v/>
      </c>
      <c r="AG43" s="64" t="str">
        <f>IF(AG25&lt;&gt;"",VLOOKUP(AG25,Table1[[A^N]:[Dec2]],2,0),"")</f>
        <v/>
      </c>
    </row>
    <row r="44" spans="1:33">
      <c r="A44" s="16">
        <v>17</v>
      </c>
      <c r="B44" s="111" t="s">
        <v>311</v>
      </c>
      <c r="C44" s="91">
        <v>3</v>
      </c>
      <c r="D44" s="91">
        <v>7</v>
      </c>
      <c r="E44" s="91">
        <v>31</v>
      </c>
      <c r="F44" s="91">
        <v>55</v>
      </c>
      <c r="G44" s="91">
        <v>79</v>
      </c>
      <c r="H44" s="91" t="e">
        <v>#VALUE!</v>
      </c>
      <c r="I44" s="91" t="e">
        <v>#VALUE!</v>
      </c>
      <c r="J44" s="92" t="e">
        <v>#VALUE!</v>
      </c>
      <c r="K44" s="64"/>
      <c r="L44" s="84"/>
      <c r="M44" s="84"/>
      <c r="N44" s="84"/>
      <c r="O44" s="84"/>
      <c r="P44" s="84"/>
      <c r="Q44" s="84"/>
      <c r="R44" s="117"/>
      <c r="S44" s="64" t="str">
        <f>IF(S26&lt;&gt;"",VLOOKUP(S26,Table1[[A^N]:[Dec2]],2,0),"")</f>
        <v/>
      </c>
      <c r="T44" s="64" t="str">
        <f>IF(T26&lt;&gt;"",VLOOKUP(T26,Table1[[A^N]:[Dec2]],2,0),"")</f>
        <v/>
      </c>
      <c r="U44" s="64" t="str">
        <f>IF(U26&lt;&gt;"",VLOOKUP(U26,Table1[[A^N]:[Dec2]],2,0),"")</f>
        <v/>
      </c>
      <c r="V44" s="64" t="str">
        <f>IF(V26&lt;&gt;"",VLOOKUP(V26,Table1[[A^N]:[Dec2]],2,0),"")</f>
        <v/>
      </c>
      <c r="W44" s="64" t="str">
        <f>IF(W26&lt;&gt;"",VLOOKUP(W26,Table1[[A^N]:[Dec2]],2,0),"")</f>
        <v/>
      </c>
      <c r="X44" s="64" t="str">
        <f>IF(X26&lt;&gt;"",VLOOKUP(X26,Table1[[A^N]:[Dec2]],2,0),"")</f>
        <v/>
      </c>
      <c r="Y44" s="64" t="str">
        <f>IF(Y26&lt;&gt;"",VLOOKUP(Y26,Table1[[A^N]:[Dec2]],2,0),"")</f>
        <v/>
      </c>
      <c r="Z44" s="64" t="str">
        <f>IF(Z26&lt;&gt;"",VLOOKUP(Z26,Table1[[A^N]:[Dec2]],2,0),"")</f>
        <v/>
      </c>
      <c r="AA44" s="64" t="str">
        <f>IF(AA26&lt;&gt;"",VLOOKUP(AA26,Table1[[A^N]:[Dec2]],2,0),"")</f>
        <v/>
      </c>
      <c r="AB44" s="64" t="str">
        <f>IF(AB26&lt;&gt;"",VLOOKUP(AB26,Table1[[A^N]:[Dec2]],2,0),"")</f>
        <v/>
      </c>
      <c r="AC44" s="64" t="str">
        <f>IF(AC26&lt;&gt;"",VLOOKUP(AC26,Table1[[A^N]:[Dec2]],2,0),"")</f>
        <v/>
      </c>
      <c r="AD44" s="64" t="str">
        <f>IF(AD26&lt;&gt;"",VLOOKUP(AD26,Table1[[A^N]:[Dec2]],2,0),"")</f>
        <v/>
      </c>
      <c r="AE44" s="64" t="str">
        <f>IF(AE26&lt;&gt;"",VLOOKUP(AE26,Table1[[A^N]:[Dec2]],2,0),"")</f>
        <v/>
      </c>
      <c r="AF44" s="64" t="str">
        <f>IF(AF26&lt;&gt;"",VLOOKUP(AF26,Table1[[A^N]:[Dec2]],2,0),"")</f>
        <v/>
      </c>
      <c r="AG44" s="64" t="str">
        <f>IF(AG26&lt;&gt;"",VLOOKUP(AG26,Table1[[A^N]:[Dec2]],2,0),"")</f>
        <v/>
      </c>
    </row>
    <row r="45" spans="1:33">
      <c r="A45" s="16">
        <v>18</v>
      </c>
      <c r="B45" s="111" t="s">
        <v>312</v>
      </c>
      <c r="C45" s="91">
        <v>3</v>
      </c>
      <c r="D45" s="91">
        <v>7</v>
      </c>
      <c r="E45" s="91">
        <v>31</v>
      </c>
      <c r="F45" s="91">
        <v>57</v>
      </c>
      <c r="G45" s="91">
        <v>83</v>
      </c>
      <c r="H45" s="91" t="e">
        <v>#VALUE!</v>
      </c>
      <c r="I45" s="91" t="e">
        <v>#VALUE!</v>
      </c>
      <c r="J45" s="92" t="e">
        <v>#VALUE!</v>
      </c>
      <c r="L45" s="84"/>
      <c r="M45" s="84"/>
      <c r="N45" s="84"/>
      <c r="O45" s="84"/>
      <c r="P45" s="84"/>
      <c r="Q45" s="84"/>
      <c r="R45" s="117"/>
    </row>
    <row r="46" spans="1:33">
      <c r="A46" s="16">
        <v>19</v>
      </c>
      <c r="B46" s="111" t="s">
        <v>313</v>
      </c>
      <c r="C46" s="91">
        <v>3</v>
      </c>
      <c r="D46" s="91">
        <v>7</v>
      </c>
      <c r="E46" s="91">
        <v>31</v>
      </c>
      <c r="F46" s="91">
        <v>59</v>
      </c>
      <c r="G46" s="91">
        <v>87</v>
      </c>
      <c r="H46" s="91" t="e">
        <v>#VALUE!</v>
      </c>
      <c r="I46" s="91" t="e">
        <v>#VALUE!</v>
      </c>
      <c r="J46" s="92" t="e">
        <v>#VALUE!</v>
      </c>
      <c r="L46" s="84"/>
      <c r="M46" s="84"/>
      <c r="N46" s="84"/>
      <c r="O46" s="84"/>
      <c r="P46" s="84"/>
      <c r="Q46" s="84"/>
      <c r="R46" s="117"/>
    </row>
    <row r="47" spans="1:33">
      <c r="A47" s="16">
        <v>20</v>
      </c>
      <c r="B47" s="111" t="s">
        <v>314</v>
      </c>
      <c r="C47" s="91">
        <v>3</v>
      </c>
      <c r="D47" s="91">
        <v>7</v>
      </c>
      <c r="E47" s="91">
        <v>35</v>
      </c>
      <c r="F47" s="91">
        <v>63</v>
      </c>
      <c r="G47" s="91">
        <v>91</v>
      </c>
      <c r="H47" s="91" t="e">
        <v>#VALUE!</v>
      </c>
      <c r="I47" s="91" t="e">
        <v>#VALUE!</v>
      </c>
      <c r="J47" s="92" t="e">
        <v>#VALUE!</v>
      </c>
      <c r="L47" s="84"/>
      <c r="M47" s="84"/>
      <c r="N47" s="84"/>
      <c r="O47" s="84"/>
      <c r="P47" s="84"/>
      <c r="Q47" s="84"/>
      <c r="R47" s="117"/>
    </row>
    <row r="48" spans="1:33">
      <c r="A48" s="16">
        <v>21</v>
      </c>
      <c r="B48" s="111" t="s">
        <v>315</v>
      </c>
      <c r="C48" s="91">
        <v>4</v>
      </c>
      <c r="D48" s="91">
        <v>7</v>
      </c>
      <c r="E48" s="91">
        <v>29</v>
      </c>
      <c r="F48" s="91">
        <v>51</v>
      </c>
      <c r="G48" s="91">
        <v>73</v>
      </c>
      <c r="H48" s="91">
        <v>95</v>
      </c>
      <c r="I48" s="91" t="e">
        <v>#VALUE!</v>
      </c>
      <c r="J48" s="92" t="e">
        <v>#VALUE!</v>
      </c>
      <c r="L48" s="84"/>
      <c r="M48" s="84"/>
      <c r="N48" s="84"/>
      <c r="O48" s="84"/>
      <c r="P48" s="84"/>
      <c r="Q48" s="84"/>
      <c r="R48" s="117"/>
    </row>
    <row r="49" spans="1:18">
      <c r="A49" s="16">
        <v>22</v>
      </c>
      <c r="B49" s="111" t="s">
        <v>316</v>
      </c>
      <c r="C49" s="91">
        <v>4</v>
      </c>
      <c r="D49" s="91">
        <v>7</v>
      </c>
      <c r="E49" s="91">
        <v>27</v>
      </c>
      <c r="F49" s="91">
        <v>51</v>
      </c>
      <c r="G49" s="91">
        <v>75</v>
      </c>
      <c r="H49" s="91">
        <v>99</v>
      </c>
      <c r="I49" s="91" t="e">
        <v>#VALUE!</v>
      </c>
      <c r="J49" s="92" t="e">
        <v>#VALUE!</v>
      </c>
      <c r="L49" s="84"/>
      <c r="M49" s="84"/>
      <c r="N49" s="84"/>
      <c r="O49" s="84"/>
      <c r="P49" s="84"/>
      <c r="Q49" s="84"/>
      <c r="R49" s="117"/>
    </row>
    <row r="50" spans="1:18">
      <c r="A50" s="16">
        <v>23</v>
      </c>
      <c r="B50" s="111" t="s">
        <v>317</v>
      </c>
      <c r="C50" s="91">
        <v>4</v>
      </c>
      <c r="D50" s="91">
        <v>7</v>
      </c>
      <c r="E50" s="91">
        <v>31</v>
      </c>
      <c r="F50" s="91">
        <v>55</v>
      </c>
      <c r="G50" s="91">
        <v>79</v>
      </c>
      <c r="H50" s="91">
        <v>103</v>
      </c>
      <c r="I50" s="91" t="e">
        <v>#VALUE!</v>
      </c>
      <c r="J50" s="92" t="e">
        <v>#VALUE!</v>
      </c>
      <c r="L50" s="84"/>
      <c r="M50" s="84"/>
      <c r="N50" s="84"/>
      <c r="O50" s="84"/>
      <c r="P50" s="84"/>
      <c r="Q50" s="84"/>
      <c r="R50" s="117"/>
    </row>
    <row r="51" spans="1:18">
      <c r="A51" s="16">
        <v>24</v>
      </c>
      <c r="B51" s="111" t="s">
        <v>318</v>
      </c>
      <c r="C51" s="91">
        <v>4</v>
      </c>
      <c r="D51" s="91">
        <v>7</v>
      </c>
      <c r="E51" s="91">
        <v>39</v>
      </c>
      <c r="F51" s="91">
        <v>55</v>
      </c>
      <c r="G51" s="91">
        <v>81</v>
      </c>
      <c r="H51" s="91">
        <v>107</v>
      </c>
      <c r="I51" s="91" t="e">
        <v>#VALUE!</v>
      </c>
      <c r="J51" s="92" t="e">
        <v>#VALUE!</v>
      </c>
      <c r="L51" s="84"/>
      <c r="M51" s="84"/>
      <c r="N51" s="84"/>
      <c r="O51" s="84"/>
      <c r="P51" s="84"/>
      <c r="Q51" s="84"/>
      <c r="R51" s="117"/>
    </row>
    <row r="52" spans="1:18">
      <c r="A52" s="16">
        <v>25</v>
      </c>
      <c r="B52" s="111" t="s">
        <v>319</v>
      </c>
      <c r="C52" s="91">
        <v>4</v>
      </c>
      <c r="D52" s="91">
        <v>7</v>
      </c>
      <c r="E52" s="91">
        <v>33</v>
      </c>
      <c r="F52" s="91">
        <v>59</v>
      </c>
      <c r="G52" s="91">
        <v>85</v>
      </c>
      <c r="H52" s="91">
        <v>111</v>
      </c>
      <c r="I52" s="91" t="e">
        <v>#VALUE!</v>
      </c>
      <c r="J52" s="92" t="e">
        <v>#VALUE!</v>
      </c>
      <c r="L52" s="84"/>
      <c r="M52" s="84"/>
      <c r="N52" s="84"/>
      <c r="O52" s="84"/>
      <c r="P52" s="84"/>
      <c r="Q52" s="84"/>
      <c r="R52" s="117"/>
    </row>
    <row r="53" spans="1:18">
      <c r="A53" s="16">
        <v>26</v>
      </c>
      <c r="B53" s="111" t="s">
        <v>320</v>
      </c>
      <c r="C53" s="91">
        <v>4</v>
      </c>
      <c r="D53" s="91">
        <v>7</v>
      </c>
      <c r="E53" s="91">
        <v>31</v>
      </c>
      <c r="F53" s="91">
        <v>59</v>
      </c>
      <c r="G53" s="91">
        <v>87</v>
      </c>
      <c r="H53" s="91">
        <v>115</v>
      </c>
      <c r="I53" s="91" t="e">
        <v>#VALUE!</v>
      </c>
      <c r="J53" s="92" t="e">
        <v>#VALUE!</v>
      </c>
      <c r="L53" s="84"/>
      <c r="M53" s="84"/>
      <c r="N53" s="84"/>
      <c r="O53" s="84"/>
      <c r="P53" s="84"/>
      <c r="Q53" s="84"/>
      <c r="R53" s="117"/>
    </row>
    <row r="54" spans="1:18">
      <c r="A54" s="16">
        <v>27</v>
      </c>
      <c r="B54" s="111" t="s">
        <v>321</v>
      </c>
      <c r="C54" s="91">
        <v>4</v>
      </c>
      <c r="D54" s="91">
        <v>7</v>
      </c>
      <c r="E54" s="91">
        <v>35</v>
      </c>
      <c r="F54" s="91">
        <v>63</v>
      </c>
      <c r="G54" s="91">
        <v>91</v>
      </c>
      <c r="H54" s="91">
        <v>119</v>
      </c>
      <c r="I54" s="91" t="e">
        <v>#VALUE!</v>
      </c>
      <c r="J54" s="92" t="e">
        <v>#VALUE!</v>
      </c>
      <c r="L54" s="84"/>
      <c r="M54" s="84"/>
      <c r="N54" s="84"/>
      <c r="O54" s="84"/>
      <c r="P54" s="84"/>
      <c r="Q54" s="84"/>
      <c r="R54" s="117"/>
    </row>
    <row r="55" spans="1:18">
      <c r="A55" s="16">
        <v>28</v>
      </c>
      <c r="B55" s="111" t="s">
        <v>322</v>
      </c>
      <c r="C55" s="91">
        <v>3</v>
      </c>
      <c r="D55" s="91">
        <v>7</v>
      </c>
      <c r="E55" s="91">
        <v>27</v>
      </c>
      <c r="F55" s="91">
        <v>51</v>
      </c>
      <c r="G55" s="91">
        <v>75</v>
      </c>
      <c r="H55" s="91">
        <v>99</v>
      </c>
      <c r="I55" s="91">
        <v>123</v>
      </c>
      <c r="J55" s="92" t="e">
        <v>#VALUE!</v>
      </c>
      <c r="L55" s="84"/>
      <c r="M55" s="84"/>
      <c r="N55" s="84"/>
      <c r="O55" s="84"/>
      <c r="P55" s="84"/>
      <c r="Q55" s="84"/>
      <c r="R55" s="117"/>
    </row>
    <row r="56" spans="1:18">
      <c r="A56" s="16">
        <v>29</v>
      </c>
      <c r="B56" s="111" t="s">
        <v>323</v>
      </c>
      <c r="C56" s="91">
        <v>3</v>
      </c>
      <c r="D56" s="91">
        <v>7</v>
      </c>
      <c r="E56" s="91">
        <v>31</v>
      </c>
      <c r="F56" s="91">
        <v>55</v>
      </c>
      <c r="G56" s="91">
        <v>79</v>
      </c>
      <c r="H56" s="91">
        <v>103</v>
      </c>
      <c r="I56" s="91">
        <v>127</v>
      </c>
      <c r="J56" s="92" t="e">
        <v>#VALUE!</v>
      </c>
      <c r="L56" s="84"/>
      <c r="M56" s="84"/>
      <c r="N56" s="84"/>
      <c r="O56" s="84"/>
      <c r="P56" s="84"/>
      <c r="Q56" s="84"/>
      <c r="R56" s="117"/>
    </row>
    <row r="57" spans="1:18">
      <c r="A57" s="16">
        <v>30</v>
      </c>
      <c r="B57" s="111" t="s">
        <v>324</v>
      </c>
      <c r="C57" s="91">
        <v>3</v>
      </c>
      <c r="D57" s="91">
        <v>7</v>
      </c>
      <c r="E57" s="91">
        <v>27</v>
      </c>
      <c r="F57" s="91">
        <v>53</v>
      </c>
      <c r="G57" s="91">
        <v>79</v>
      </c>
      <c r="H57" s="91">
        <v>105</v>
      </c>
      <c r="I57" s="91">
        <v>131</v>
      </c>
      <c r="J57" s="92" t="e">
        <v>#VALUE!</v>
      </c>
      <c r="L57" s="84"/>
      <c r="M57" s="84"/>
      <c r="N57" s="84"/>
      <c r="O57" s="84"/>
      <c r="P57" s="84"/>
      <c r="Q57" s="84"/>
      <c r="R57" s="117"/>
    </row>
    <row r="58" spans="1:18">
      <c r="A58" s="16">
        <v>31</v>
      </c>
      <c r="B58" s="111" t="s">
        <v>325</v>
      </c>
      <c r="C58" s="91">
        <v>3</v>
      </c>
      <c r="D58" s="91">
        <v>7</v>
      </c>
      <c r="E58" s="91">
        <v>31</v>
      </c>
      <c r="F58" s="91">
        <v>57</v>
      </c>
      <c r="G58" s="91">
        <v>83</v>
      </c>
      <c r="H58" s="91">
        <v>109</v>
      </c>
      <c r="I58" s="91">
        <v>135</v>
      </c>
      <c r="J58" s="92" t="e">
        <v>#VALUE!</v>
      </c>
      <c r="L58" s="84"/>
      <c r="M58" s="84"/>
      <c r="N58" s="84"/>
      <c r="O58" s="84"/>
      <c r="P58" s="84"/>
      <c r="Q58" s="84"/>
      <c r="R58" s="117"/>
    </row>
    <row r="59" spans="1:18">
      <c r="A59" s="16">
        <v>32</v>
      </c>
      <c r="B59" s="111" t="s">
        <v>326</v>
      </c>
      <c r="C59" s="91">
        <v>3</v>
      </c>
      <c r="D59" s="91">
        <v>7</v>
      </c>
      <c r="E59" s="91">
        <v>35</v>
      </c>
      <c r="F59" s="91">
        <v>61</v>
      </c>
      <c r="G59" s="91">
        <v>87</v>
      </c>
      <c r="H59" s="91">
        <v>113</v>
      </c>
      <c r="I59" s="91">
        <v>139</v>
      </c>
      <c r="J59" s="92" t="e">
        <v>#VALUE!</v>
      </c>
      <c r="L59" s="84"/>
      <c r="M59" s="84"/>
      <c r="N59" s="84"/>
      <c r="O59" s="84"/>
      <c r="P59" s="84"/>
      <c r="Q59" s="84"/>
      <c r="R59" s="117"/>
    </row>
    <row r="60" spans="1:18">
      <c r="A60" s="16">
        <v>33</v>
      </c>
      <c r="B60" s="111" t="s">
        <v>327</v>
      </c>
      <c r="C60" s="91">
        <v>3</v>
      </c>
      <c r="D60" s="91">
        <v>7</v>
      </c>
      <c r="E60" s="91">
        <v>31</v>
      </c>
      <c r="F60" s="91">
        <v>59</v>
      </c>
      <c r="G60" s="91">
        <v>87</v>
      </c>
      <c r="H60" s="91">
        <v>115</v>
      </c>
      <c r="I60" s="91">
        <v>143</v>
      </c>
      <c r="J60" s="92" t="e">
        <v>#VALUE!</v>
      </c>
      <c r="L60" s="84"/>
      <c r="M60" s="84"/>
      <c r="N60" s="84"/>
      <c r="O60" s="84"/>
      <c r="P60" s="84"/>
      <c r="Q60" s="84"/>
      <c r="R60" s="117"/>
    </row>
    <row r="61" spans="1:18">
      <c r="A61" s="16">
        <v>34</v>
      </c>
      <c r="B61" s="111" t="s">
        <v>328</v>
      </c>
      <c r="C61" s="91">
        <v>3</v>
      </c>
      <c r="D61" s="91">
        <v>7</v>
      </c>
      <c r="E61" s="91">
        <v>35</v>
      </c>
      <c r="F61" s="91">
        <v>63</v>
      </c>
      <c r="G61" s="91">
        <v>91</v>
      </c>
      <c r="H61" s="91">
        <v>119</v>
      </c>
      <c r="I61" s="91">
        <v>147</v>
      </c>
      <c r="J61" s="92" t="e">
        <v>#VALUE!</v>
      </c>
      <c r="L61" s="84"/>
      <c r="M61" s="84"/>
      <c r="N61" s="84"/>
      <c r="O61" s="84"/>
      <c r="P61" s="84"/>
      <c r="Q61" s="84"/>
      <c r="R61" s="117"/>
    </row>
    <row r="62" spans="1:18">
      <c r="A62" s="16">
        <v>35</v>
      </c>
      <c r="B62" s="111" t="s">
        <v>329</v>
      </c>
      <c r="C62" s="91">
        <v>0</v>
      </c>
      <c r="D62" s="91">
        <v>7</v>
      </c>
      <c r="E62" s="91">
        <v>31</v>
      </c>
      <c r="F62" s="91">
        <v>55</v>
      </c>
      <c r="G62" s="91">
        <v>79</v>
      </c>
      <c r="H62" s="91">
        <v>103</v>
      </c>
      <c r="I62" s="91">
        <v>127</v>
      </c>
      <c r="J62" s="92">
        <v>151</v>
      </c>
      <c r="L62" s="84"/>
      <c r="M62" s="84"/>
      <c r="N62" s="84"/>
      <c r="O62" s="84"/>
      <c r="P62" s="84"/>
      <c r="Q62" s="84"/>
      <c r="R62" s="117"/>
    </row>
    <row r="63" spans="1:18">
      <c r="A63" s="16">
        <v>36</v>
      </c>
      <c r="B63" s="111" t="s">
        <v>330</v>
      </c>
      <c r="C63" s="91">
        <v>0</v>
      </c>
      <c r="D63" s="91">
        <v>7</v>
      </c>
      <c r="E63" s="91">
        <v>25</v>
      </c>
      <c r="F63" s="91">
        <v>51</v>
      </c>
      <c r="G63" s="91">
        <v>77</v>
      </c>
      <c r="H63" s="91">
        <v>103</v>
      </c>
      <c r="I63" s="91">
        <v>129</v>
      </c>
      <c r="J63" s="92">
        <v>155</v>
      </c>
      <c r="L63" s="84"/>
      <c r="M63" s="84"/>
      <c r="N63" s="84"/>
      <c r="O63" s="84"/>
      <c r="P63" s="84"/>
      <c r="Q63" s="84"/>
      <c r="R63" s="117"/>
    </row>
    <row r="64" spans="1:18">
      <c r="A64" s="16">
        <v>37</v>
      </c>
      <c r="B64" s="111" t="s">
        <v>331</v>
      </c>
      <c r="C64" s="91">
        <v>0</v>
      </c>
      <c r="D64" s="91">
        <v>7</v>
      </c>
      <c r="E64" s="91">
        <v>29</v>
      </c>
      <c r="F64" s="91">
        <v>55</v>
      </c>
      <c r="G64" s="91">
        <v>81</v>
      </c>
      <c r="H64" s="91">
        <v>107</v>
      </c>
      <c r="I64" s="91">
        <v>133</v>
      </c>
      <c r="J64" s="92">
        <v>159</v>
      </c>
      <c r="L64" s="84"/>
      <c r="M64" s="84"/>
      <c r="N64" s="84"/>
      <c r="O64" s="84"/>
      <c r="P64" s="84"/>
      <c r="Q64" s="84"/>
      <c r="R64" s="117"/>
    </row>
    <row r="65" spans="1:18">
      <c r="A65" s="16">
        <v>38</v>
      </c>
      <c r="B65" s="111" t="s">
        <v>332</v>
      </c>
      <c r="C65" s="91">
        <v>0</v>
      </c>
      <c r="D65" s="91">
        <v>7</v>
      </c>
      <c r="E65" s="91">
        <v>33</v>
      </c>
      <c r="F65" s="91">
        <v>59</v>
      </c>
      <c r="G65" s="91">
        <v>85</v>
      </c>
      <c r="H65" s="91">
        <v>111</v>
      </c>
      <c r="I65" s="91">
        <v>137</v>
      </c>
      <c r="J65" s="92">
        <v>163</v>
      </c>
      <c r="L65" s="84"/>
      <c r="M65" s="84"/>
      <c r="N65" s="84"/>
      <c r="O65" s="84"/>
      <c r="P65" s="84"/>
      <c r="Q65" s="84"/>
      <c r="R65" s="117"/>
    </row>
    <row r="66" spans="1:18">
      <c r="A66" s="16">
        <v>39</v>
      </c>
      <c r="B66" s="111" t="s">
        <v>333</v>
      </c>
      <c r="C66" s="91">
        <v>0</v>
      </c>
      <c r="D66" s="91">
        <v>7</v>
      </c>
      <c r="E66" s="91">
        <v>27</v>
      </c>
      <c r="F66" s="91">
        <v>55</v>
      </c>
      <c r="G66" s="91">
        <v>83</v>
      </c>
      <c r="H66" s="91">
        <v>111</v>
      </c>
      <c r="I66" s="91">
        <v>139</v>
      </c>
      <c r="J66" s="92">
        <v>167</v>
      </c>
      <c r="L66" s="84"/>
      <c r="M66" s="84"/>
      <c r="N66" s="84"/>
      <c r="O66" s="84"/>
      <c r="P66" s="84"/>
      <c r="Q66" s="84"/>
      <c r="R66" s="117"/>
    </row>
    <row r="67" spans="1:18" ht="15.75" thickBot="1">
      <c r="A67" s="19">
        <v>40</v>
      </c>
      <c r="B67" s="112" t="s">
        <v>334</v>
      </c>
      <c r="C67" s="93">
        <v>0</v>
      </c>
      <c r="D67" s="93">
        <v>7</v>
      </c>
      <c r="E67" s="93">
        <v>31</v>
      </c>
      <c r="F67" s="93">
        <v>59</v>
      </c>
      <c r="G67" s="93">
        <v>87</v>
      </c>
      <c r="H67" s="93">
        <v>115</v>
      </c>
      <c r="I67" s="93">
        <v>143</v>
      </c>
      <c r="J67" s="94">
        <v>171</v>
      </c>
      <c r="L67" s="84"/>
      <c r="M67" s="84"/>
      <c r="N67" s="84"/>
      <c r="O67" s="84"/>
      <c r="P67" s="84"/>
      <c r="Q67" s="84"/>
      <c r="R67" s="117"/>
    </row>
  </sheetData>
  <mergeCells count="3">
    <mergeCell ref="B1:F1"/>
    <mergeCell ref="C2:K2"/>
    <mergeCell ref="A26:J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1" enableFormatConditionsCalculation="0"/>
  <dimension ref="A1:FV178"/>
  <sheetViews>
    <sheetView showGridLines="0" zoomScale="25" zoomScaleNormal="25" zoomScaleSheetLayoutView="25" zoomScalePageLayoutView="70" workbookViewId="0">
      <selection activeCell="CO78" sqref="CO78"/>
    </sheetView>
  </sheetViews>
  <sheetFormatPr defaultColWidth="8.85546875" defaultRowHeight="15"/>
  <cols>
    <col min="1" max="1" width="6.5703125" style="118" customWidth="1"/>
    <col min="2" max="178" width="2.140625" customWidth="1"/>
  </cols>
  <sheetData>
    <row r="1" spans="2:178" s="118" customFormat="1" ht="34.5" customHeight="1"/>
    <row r="2" spans="2:178" ht="11.25" customHeight="1">
      <c r="B2" s="17">
        <f t="array" ref="B2:FV178">fillqr('Code Structure'!FN21,'Code Structure'!FN23,'Code Structure'!FO23,'Code Structure'!FP23,'Code Structure'!FN25:FT25,'Code Structure'!FQ23,'Code Structure'!FN27)</f>
        <v>1</v>
      </c>
      <c r="C2" s="17">
        <v>1</v>
      </c>
      <c r="D2" s="17">
        <v>1</v>
      </c>
      <c r="E2" s="17">
        <v>1</v>
      </c>
      <c r="F2" s="17">
        <v>1</v>
      </c>
      <c r="G2" s="17">
        <v>1</v>
      </c>
      <c r="H2" s="17">
        <v>1</v>
      </c>
      <c r="I2" s="17">
        <v>0</v>
      </c>
      <c r="J2" s="17">
        <v>1</v>
      </c>
      <c r="K2" s="17">
        <v>0</v>
      </c>
      <c r="L2" s="17">
        <v>1</v>
      </c>
      <c r="M2" s="17">
        <v>0</v>
      </c>
      <c r="N2" s="17">
        <v>1</v>
      </c>
      <c r="O2" s="17">
        <v>1</v>
      </c>
      <c r="P2" s="17">
        <v>0</v>
      </c>
      <c r="Q2" s="17">
        <v>1</v>
      </c>
      <c r="R2" s="17">
        <v>1</v>
      </c>
      <c r="S2" s="17">
        <v>1</v>
      </c>
      <c r="T2" s="17">
        <v>0</v>
      </c>
      <c r="U2" s="17">
        <v>1</v>
      </c>
      <c r="V2" s="17">
        <v>1</v>
      </c>
      <c r="W2" s="17">
        <v>1</v>
      </c>
      <c r="X2" s="17">
        <v>0</v>
      </c>
      <c r="Y2" s="17">
        <v>1</v>
      </c>
      <c r="Z2" s="17">
        <v>1</v>
      </c>
      <c r="AA2" s="17">
        <v>1</v>
      </c>
      <c r="AB2" s="17">
        <v>1</v>
      </c>
      <c r="AC2" s="17">
        <v>1</v>
      </c>
      <c r="AD2" s="17">
        <v>1</v>
      </c>
      <c r="AE2" s="17">
        <v>0</v>
      </c>
      <c r="AF2" s="17">
        <v>1</v>
      </c>
      <c r="AG2" s="17">
        <v>1</v>
      </c>
      <c r="AH2" s="17">
        <v>0</v>
      </c>
      <c r="AI2" s="17">
        <v>0</v>
      </c>
      <c r="AJ2" s="17">
        <v>1</v>
      </c>
      <c r="AK2" s="17">
        <v>0</v>
      </c>
      <c r="AL2" s="17">
        <v>1</v>
      </c>
      <c r="AM2" s="17">
        <v>0</v>
      </c>
      <c r="AN2" s="17">
        <v>0</v>
      </c>
      <c r="AO2" s="17">
        <v>1</v>
      </c>
      <c r="AP2" s="17">
        <v>0</v>
      </c>
      <c r="AQ2" s="17">
        <v>1</v>
      </c>
      <c r="AR2" s="17">
        <v>0</v>
      </c>
      <c r="AS2" s="17">
        <v>1</v>
      </c>
      <c r="AT2" s="17">
        <v>1</v>
      </c>
      <c r="AU2" s="17">
        <v>0</v>
      </c>
      <c r="AV2" s="17">
        <v>0</v>
      </c>
      <c r="AW2" s="17">
        <v>1</v>
      </c>
      <c r="AX2" s="17">
        <v>1</v>
      </c>
      <c r="AY2" s="17">
        <v>0</v>
      </c>
      <c r="AZ2" s="17">
        <v>1</v>
      </c>
      <c r="BA2" s="17">
        <v>1</v>
      </c>
      <c r="BB2" s="17">
        <v>0</v>
      </c>
      <c r="BC2" s="17">
        <v>0</v>
      </c>
      <c r="BD2" s="17">
        <v>1</v>
      </c>
      <c r="BE2" s="17">
        <v>0</v>
      </c>
      <c r="BF2" s="17">
        <v>0</v>
      </c>
      <c r="BG2" s="17">
        <v>1</v>
      </c>
      <c r="BH2" s="17">
        <v>1</v>
      </c>
      <c r="BI2" s="17">
        <v>1</v>
      </c>
      <c r="BJ2" s="17">
        <v>1</v>
      </c>
      <c r="BK2" s="17">
        <v>0</v>
      </c>
      <c r="BL2" s="17">
        <v>1</v>
      </c>
      <c r="BM2" s="17">
        <v>1</v>
      </c>
      <c r="BN2" s="17">
        <v>1</v>
      </c>
      <c r="BO2" s="17">
        <v>1</v>
      </c>
      <c r="BP2" s="17">
        <v>1</v>
      </c>
      <c r="BQ2" s="17">
        <v>1</v>
      </c>
      <c r="BR2" s="17">
        <v>1</v>
      </c>
      <c r="BS2" s="17" t="e">
        <v>#N/A</v>
      </c>
      <c r="BT2" s="17" t="e">
        <v>#N/A</v>
      </c>
      <c r="BU2" s="17" t="e">
        <v>#N/A</v>
      </c>
      <c r="BV2" s="17" t="e">
        <v>#N/A</v>
      </c>
      <c r="BW2" s="17" t="e">
        <v>#N/A</v>
      </c>
      <c r="BX2" s="17" t="e">
        <v>#N/A</v>
      </c>
      <c r="BY2" s="17" t="e">
        <v>#N/A</v>
      </c>
      <c r="BZ2" s="17" t="e">
        <v>#N/A</v>
      </c>
      <c r="CA2" s="17" t="e">
        <v>#N/A</v>
      </c>
      <c r="CB2" s="17" t="e">
        <v>#N/A</v>
      </c>
      <c r="CC2" s="17" t="e">
        <v>#N/A</v>
      </c>
      <c r="CD2" s="17" t="e">
        <v>#N/A</v>
      </c>
      <c r="CE2" s="17" t="e">
        <v>#N/A</v>
      </c>
      <c r="CF2" s="17" t="e">
        <v>#N/A</v>
      </c>
      <c r="CG2" s="17" t="e">
        <v>#N/A</v>
      </c>
      <c r="CH2" s="17" t="e">
        <v>#N/A</v>
      </c>
      <c r="CI2" s="17" t="e">
        <v>#N/A</v>
      </c>
      <c r="CJ2" s="17" t="e">
        <v>#N/A</v>
      </c>
      <c r="CK2" s="17" t="e">
        <v>#N/A</v>
      </c>
      <c r="CL2" s="17" t="e">
        <v>#N/A</v>
      </c>
      <c r="CM2" s="17" t="e">
        <v>#N/A</v>
      </c>
      <c r="CN2" s="17" t="e">
        <v>#N/A</v>
      </c>
      <c r="CO2" s="17" t="e">
        <v>#N/A</v>
      </c>
      <c r="CP2" s="17" t="e">
        <v>#N/A</v>
      </c>
      <c r="CQ2" s="17" t="e">
        <v>#N/A</v>
      </c>
      <c r="CR2" s="17" t="e">
        <v>#N/A</v>
      </c>
      <c r="CS2" s="17" t="e">
        <v>#N/A</v>
      </c>
      <c r="CT2" s="17" t="e">
        <v>#N/A</v>
      </c>
      <c r="CU2" s="17" t="e">
        <v>#N/A</v>
      </c>
      <c r="CV2" s="17" t="e">
        <v>#N/A</v>
      </c>
      <c r="CW2" s="17" t="e">
        <v>#N/A</v>
      </c>
      <c r="CX2" s="17" t="e">
        <v>#N/A</v>
      </c>
      <c r="CY2" s="17" t="e">
        <v>#N/A</v>
      </c>
      <c r="CZ2" s="17" t="e">
        <v>#N/A</v>
      </c>
      <c r="DA2" s="17" t="e">
        <v>#N/A</v>
      </c>
      <c r="DB2" s="17" t="e">
        <v>#N/A</v>
      </c>
      <c r="DC2" s="17" t="e">
        <v>#N/A</v>
      </c>
      <c r="DD2" s="17" t="e">
        <v>#N/A</v>
      </c>
      <c r="DE2" s="17" t="e">
        <v>#N/A</v>
      </c>
      <c r="DF2" s="17" t="e">
        <v>#N/A</v>
      </c>
      <c r="DG2" s="17" t="e">
        <v>#N/A</v>
      </c>
      <c r="DH2" s="17" t="e">
        <v>#N/A</v>
      </c>
      <c r="DI2" s="17" t="e">
        <v>#N/A</v>
      </c>
      <c r="DJ2" s="17" t="e">
        <v>#N/A</v>
      </c>
      <c r="DK2" s="17" t="e">
        <v>#N/A</v>
      </c>
      <c r="DL2" s="17" t="e">
        <v>#N/A</v>
      </c>
      <c r="DM2" s="17" t="e">
        <v>#N/A</v>
      </c>
      <c r="DN2" s="17" t="e">
        <v>#N/A</v>
      </c>
      <c r="DO2" s="17" t="e">
        <v>#N/A</v>
      </c>
      <c r="DP2" s="17" t="e">
        <v>#N/A</v>
      </c>
      <c r="DQ2" s="17" t="e">
        <v>#N/A</v>
      </c>
      <c r="DR2" s="17" t="e">
        <v>#N/A</v>
      </c>
      <c r="DS2" s="17" t="e">
        <v>#N/A</v>
      </c>
      <c r="DT2" s="17" t="e">
        <v>#N/A</v>
      </c>
      <c r="DU2" s="17" t="e">
        <v>#N/A</v>
      </c>
      <c r="DV2" s="17" t="e">
        <v>#N/A</v>
      </c>
      <c r="DW2" s="17" t="e">
        <v>#N/A</v>
      </c>
      <c r="DX2" s="17" t="e">
        <v>#N/A</v>
      </c>
      <c r="DY2" s="17" t="e">
        <v>#N/A</v>
      </c>
      <c r="DZ2" s="17" t="e">
        <v>#N/A</v>
      </c>
      <c r="EA2" s="17" t="e">
        <v>#N/A</v>
      </c>
      <c r="EB2" s="17" t="e">
        <v>#N/A</v>
      </c>
      <c r="EC2" s="17" t="e">
        <v>#N/A</v>
      </c>
      <c r="ED2" s="17" t="e">
        <v>#N/A</v>
      </c>
      <c r="EE2" s="17" t="e">
        <v>#N/A</v>
      </c>
      <c r="EF2" s="17" t="e">
        <v>#N/A</v>
      </c>
      <c r="EG2" s="17" t="e">
        <v>#N/A</v>
      </c>
      <c r="EH2" s="17" t="e">
        <v>#N/A</v>
      </c>
      <c r="EI2" s="17" t="e">
        <v>#N/A</v>
      </c>
      <c r="EJ2" s="17" t="e">
        <v>#N/A</v>
      </c>
      <c r="EK2" s="17" t="e">
        <v>#N/A</v>
      </c>
      <c r="EL2" s="17" t="e">
        <v>#N/A</v>
      </c>
      <c r="EM2" s="17" t="e">
        <v>#N/A</v>
      </c>
      <c r="EN2" s="17" t="e">
        <v>#N/A</v>
      </c>
      <c r="EO2" s="17" t="e">
        <v>#N/A</v>
      </c>
      <c r="EP2" s="17" t="e">
        <v>#N/A</v>
      </c>
      <c r="EQ2" s="17" t="e">
        <v>#N/A</v>
      </c>
      <c r="ER2" s="17" t="e">
        <v>#N/A</v>
      </c>
      <c r="ES2" s="17" t="e">
        <v>#N/A</v>
      </c>
      <c r="ET2" s="17" t="e">
        <v>#N/A</v>
      </c>
      <c r="EU2" s="17" t="e">
        <v>#N/A</v>
      </c>
      <c r="EV2" s="17" t="e">
        <v>#N/A</v>
      </c>
      <c r="EW2" s="17" t="e">
        <v>#N/A</v>
      </c>
      <c r="EX2" s="17" t="e">
        <v>#N/A</v>
      </c>
      <c r="EY2" s="17" t="e">
        <v>#N/A</v>
      </c>
      <c r="EZ2" s="17" t="e">
        <v>#N/A</v>
      </c>
      <c r="FA2" s="17" t="e">
        <v>#N/A</v>
      </c>
      <c r="FB2" s="17" t="e">
        <v>#N/A</v>
      </c>
      <c r="FC2" s="17" t="e">
        <v>#N/A</v>
      </c>
      <c r="FD2" s="17" t="e">
        <v>#N/A</v>
      </c>
      <c r="FE2" s="17" t="e">
        <v>#N/A</v>
      </c>
      <c r="FF2" s="17" t="e">
        <v>#N/A</v>
      </c>
      <c r="FG2" s="17" t="e">
        <v>#N/A</v>
      </c>
      <c r="FH2" s="17" t="e">
        <v>#N/A</v>
      </c>
      <c r="FI2" s="17" t="e">
        <v>#N/A</v>
      </c>
      <c r="FJ2" s="17" t="e">
        <v>#N/A</v>
      </c>
      <c r="FK2" s="17" t="e">
        <v>#N/A</v>
      </c>
      <c r="FL2" s="17" t="e">
        <v>#N/A</v>
      </c>
      <c r="FM2" s="17" t="e">
        <v>#N/A</v>
      </c>
      <c r="FN2" s="17" t="e">
        <v>#N/A</v>
      </c>
      <c r="FO2" s="17" t="e">
        <v>#N/A</v>
      </c>
      <c r="FP2" s="17" t="e">
        <v>#N/A</v>
      </c>
      <c r="FQ2" s="17" t="e">
        <v>#N/A</v>
      </c>
      <c r="FR2" s="17" t="e">
        <v>#N/A</v>
      </c>
      <c r="FS2" s="17" t="e">
        <v>#N/A</v>
      </c>
      <c r="FT2" s="17" t="e">
        <v>#N/A</v>
      </c>
      <c r="FU2" s="17" t="e">
        <v>#N/A</v>
      </c>
      <c r="FV2" s="17" t="e">
        <v>#N/A</v>
      </c>
    </row>
    <row r="3" spans="2:178" ht="11.25" customHeight="1">
      <c r="B3" s="17">
        <v>1</v>
      </c>
      <c r="C3" s="17">
        <v>0</v>
      </c>
      <c r="D3" s="17">
        <v>0</v>
      </c>
      <c r="E3" s="17">
        <v>0</v>
      </c>
      <c r="F3" s="17">
        <v>0</v>
      </c>
      <c r="G3" s="17">
        <v>0</v>
      </c>
      <c r="H3" s="17">
        <v>1</v>
      </c>
      <c r="I3" s="17">
        <v>0</v>
      </c>
      <c r="J3" s="17">
        <v>1</v>
      </c>
      <c r="K3" s="17">
        <v>0</v>
      </c>
      <c r="L3" s="17">
        <v>1</v>
      </c>
      <c r="M3" s="17">
        <v>1</v>
      </c>
      <c r="N3" s="17">
        <v>0</v>
      </c>
      <c r="O3" s="17">
        <v>0</v>
      </c>
      <c r="P3" s="17">
        <v>1</v>
      </c>
      <c r="Q3" s="17">
        <v>0</v>
      </c>
      <c r="R3" s="17">
        <v>0</v>
      </c>
      <c r="S3" s="17">
        <v>0</v>
      </c>
      <c r="T3" s="17">
        <v>1</v>
      </c>
      <c r="U3" s="17">
        <v>0</v>
      </c>
      <c r="V3" s="17">
        <v>1</v>
      </c>
      <c r="W3" s="17">
        <v>0</v>
      </c>
      <c r="X3" s="17">
        <v>0</v>
      </c>
      <c r="Y3" s="17">
        <v>0</v>
      </c>
      <c r="Z3" s="17">
        <v>0</v>
      </c>
      <c r="AA3" s="17">
        <v>0</v>
      </c>
      <c r="AB3" s="17">
        <v>0</v>
      </c>
      <c r="AC3" s="17">
        <v>1</v>
      </c>
      <c r="AD3" s="17">
        <v>0</v>
      </c>
      <c r="AE3" s="17">
        <v>0</v>
      </c>
      <c r="AF3" s="17">
        <v>1</v>
      </c>
      <c r="AG3" s="17">
        <v>0</v>
      </c>
      <c r="AH3" s="17">
        <v>0</v>
      </c>
      <c r="AI3" s="17">
        <v>0</v>
      </c>
      <c r="AJ3" s="17">
        <v>0</v>
      </c>
      <c r="AK3" s="17">
        <v>1</v>
      </c>
      <c r="AL3" s="17">
        <v>1</v>
      </c>
      <c r="AM3" s="17">
        <v>0</v>
      </c>
      <c r="AN3" s="17">
        <v>1</v>
      </c>
      <c r="AO3" s="17">
        <v>1</v>
      </c>
      <c r="AP3" s="17">
        <v>0</v>
      </c>
      <c r="AQ3" s="17">
        <v>1</v>
      </c>
      <c r="AR3" s="17">
        <v>0</v>
      </c>
      <c r="AS3" s="17">
        <v>0</v>
      </c>
      <c r="AT3" s="17">
        <v>1</v>
      </c>
      <c r="AU3" s="17">
        <v>0</v>
      </c>
      <c r="AV3" s="17">
        <v>1</v>
      </c>
      <c r="AW3" s="17">
        <v>1</v>
      </c>
      <c r="AX3" s="17">
        <v>0</v>
      </c>
      <c r="AY3" s="17">
        <v>0</v>
      </c>
      <c r="AZ3" s="17">
        <v>1</v>
      </c>
      <c r="BA3" s="17">
        <v>0</v>
      </c>
      <c r="BB3" s="17">
        <v>1</v>
      </c>
      <c r="BC3" s="17">
        <v>0</v>
      </c>
      <c r="BD3" s="17">
        <v>0</v>
      </c>
      <c r="BE3" s="17">
        <v>0</v>
      </c>
      <c r="BF3" s="17">
        <v>1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1</v>
      </c>
      <c r="BM3" s="17">
        <v>0</v>
      </c>
      <c r="BN3" s="17">
        <v>0</v>
      </c>
      <c r="BO3" s="17">
        <v>0</v>
      </c>
      <c r="BP3" s="17">
        <v>0</v>
      </c>
      <c r="BQ3" s="17">
        <v>0</v>
      </c>
      <c r="BR3" s="17">
        <v>1</v>
      </c>
      <c r="BS3" s="17" t="e">
        <v>#N/A</v>
      </c>
      <c r="BT3" s="17" t="e">
        <v>#N/A</v>
      </c>
      <c r="BU3" s="17" t="e">
        <v>#N/A</v>
      </c>
      <c r="BV3" s="17" t="e">
        <v>#N/A</v>
      </c>
      <c r="BW3" s="17" t="e">
        <v>#N/A</v>
      </c>
      <c r="BX3" s="17" t="e">
        <v>#N/A</v>
      </c>
      <c r="BY3" s="17" t="e">
        <v>#N/A</v>
      </c>
      <c r="BZ3" s="17" t="e">
        <v>#N/A</v>
      </c>
      <c r="CA3" s="17" t="e">
        <v>#N/A</v>
      </c>
      <c r="CB3" s="17" t="e">
        <v>#N/A</v>
      </c>
      <c r="CC3" s="17" t="e">
        <v>#N/A</v>
      </c>
      <c r="CD3" s="17" t="e">
        <v>#N/A</v>
      </c>
      <c r="CE3" s="17" t="e">
        <v>#N/A</v>
      </c>
      <c r="CF3" s="17" t="e">
        <v>#N/A</v>
      </c>
      <c r="CG3" s="17" t="e">
        <v>#N/A</v>
      </c>
      <c r="CH3" s="17" t="e">
        <v>#N/A</v>
      </c>
      <c r="CI3" s="17" t="e">
        <v>#N/A</v>
      </c>
      <c r="CJ3" s="17" t="e">
        <v>#N/A</v>
      </c>
      <c r="CK3" s="17" t="e">
        <v>#N/A</v>
      </c>
      <c r="CL3" s="17" t="e">
        <v>#N/A</v>
      </c>
      <c r="CM3" s="17" t="e">
        <v>#N/A</v>
      </c>
      <c r="CN3" s="17" t="e">
        <v>#N/A</v>
      </c>
      <c r="CO3" s="17" t="e">
        <v>#N/A</v>
      </c>
      <c r="CP3" s="17" t="e">
        <v>#N/A</v>
      </c>
      <c r="CQ3" s="17" t="e">
        <v>#N/A</v>
      </c>
      <c r="CR3" s="17" t="e">
        <v>#N/A</v>
      </c>
      <c r="CS3" s="17" t="e">
        <v>#N/A</v>
      </c>
      <c r="CT3" s="17" t="e">
        <v>#N/A</v>
      </c>
      <c r="CU3" s="17" t="e">
        <v>#N/A</v>
      </c>
      <c r="CV3" s="17" t="e">
        <v>#N/A</v>
      </c>
      <c r="CW3" s="17" t="e">
        <v>#N/A</v>
      </c>
      <c r="CX3" s="17" t="e">
        <v>#N/A</v>
      </c>
      <c r="CY3" s="17" t="e">
        <v>#N/A</v>
      </c>
      <c r="CZ3" s="17" t="e">
        <v>#N/A</v>
      </c>
      <c r="DA3" s="17" t="e">
        <v>#N/A</v>
      </c>
      <c r="DB3" s="17" t="e">
        <v>#N/A</v>
      </c>
      <c r="DC3" s="17" t="e">
        <v>#N/A</v>
      </c>
      <c r="DD3" s="17" t="e">
        <v>#N/A</v>
      </c>
      <c r="DE3" s="17" t="e">
        <v>#N/A</v>
      </c>
      <c r="DF3" s="17" t="e">
        <v>#N/A</v>
      </c>
      <c r="DG3" s="17" t="e">
        <v>#N/A</v>
      </c>
      <c r="DH3" s="17" t="e">
        <v>#N/A</v>
      </c>
      <c r="DI3" s="17" t="e">
        <v>#N/A</v>
      </c>
      <c r="DJ3" s="17" t="e">
        <v>#N/A</v>
      </c>
      <c r="DK3" s="17" t="e">
        <v>#N/A</v>
      </c>
      <c r="DL3" s="17" t="e">
        <v>#N/A</v>
      </c>
      <c r="DM3" s="17" t="e">
        <v>#N/A</v>
      </c>
      <c r="DN3" s="17" t="e">
        <v>#N/A</v>
      </c>
      <c r="DO3" s="17" t="e">
        <v>#N/A</v>
      </c>
      <c r="DP3" s="17" t="e">
        <v>#N/A</v>
      </c>
      <c r="DQ3" s="17" t="e">
        <v>#N/A</v>
      </c>
      <c r="DR3" s="17" t="e">
        <v>#N/A</v>
      </c>
      <c r="DS3" s="17" t="e">
        <v>#N/A</v>
      </c>
      <c r="DT3" s="17" t="e">
        <v>#N/A</v>
      </c>
      <c r="DU3" s="17" t="e">
        <v>#N/A</v>
      </c>
      <c r="DV3" s="17" t="e">
        <v>#N/A</v>
      </c>
      <c r="DW3" s="17" t="e">
        <v>#N/A</v>
      </c>
      <c r="DX3" s="17" t="e">
        <v>#N/A</v>
      </c>
      <c r="DY3" s="17" t="e">
        <v>#N/A</v>
      </c>
      <c r="DZ3" s="17" t="e">
        <v>#N/A</v>
      </c>
      <c r="EA3" s="17" t="e">
        <v>#N/A</v>
      </c>
      <c r="EB3" s="17" t="e">
        <v>#N/A</v>
      </c>
      <c r="EC3" s="17" t="e">
        <v>#N/A</v>
      </c>
      <c r="ED3" s="17" t="e">
        <v>#N/A</v>
      </c>
      <c r="EE3" s="17" t="e">
        <v>#N/A</v>
      </c>
      <c r="EF3" s="17" t="e">
        <v>#N/A</v>
      </c>
      <c r="EG3" s="17" t="e">
        <v>#N/A</v>
      </c>
      <c r="EH3" s="17" t="e">
        <v>#N/A</v>
      </c>
      <c r="EI3" s="17" t="e">
        <v>#N/A</v>
      </c>
      <c r="EJ3" s="17" t="e">
        <v>#N/A</v>
      </c>
      <c r="EK3" s="17" t="e">
        <v>#N/A</v>
      </c>
      <c r="EL3" s="17" t="e">
        <v>#N/A</v>
      </c>
      <c r="EM3" s="17" t="e">
        <v>#N/A</v>
      </c>
      <c r="EN3" s="17" t="e">
        <v>#N/A</v>
      </c>
      <c r="EO3" s="17" t="e">
        <v>#N/A</v>
      </c>
      <c r="EP3" s="17" t="e">
        <v>#N/A</v>
      </c>
      <c r="EQ3" s="17" t="e">
        <v>#N/A</v>
      </c>
      <c r="ER3" s="17" t="e">
        <v>#N/A</v>
      </c>
      <c r="ES3" s="17" t="e">
        <v>#N/A</v>
      </c>
      <c r="ET3" s="17" t="e">
        <v>#N/A</v>
      </c>
      <c r="EU3" s="17" t="e">
        <v>#N/A</v>
      </c>
      <c r="EV3" s="17" t="e">
        <v>#N/A</v>
      </c>
      <c r="EW3" s="17" t="e">
        <v>#N/A</v>
      </c>
      <c r="EX3" s="17" t="e">
        <v>#N/A</v>
      </c>
      <c r="EY3" s="17" t="e">
        <v>#N/A</v>
      </c>
      <c r="EZ3" s="17" t="e">
        <v>#N/A</v>
      </c>
      <c r="FA3" s="17" t="e">
        <v>#N/A</v>
      </c>
      <c r="FB3" s="17" t="e">
        <v>#N/A</v>
      </c>
      <c r="FC3" s="17" t="e">
        <v>#N/A</v>
      </c>
      <c r="FD3" s="17" t="e">
        <v>#N/A</v>
      </c>
      <c r="FE3" s="17" t="e">
        <v>#N/A</v>
      </c>
      <c r="FF3" s="17" t="e">
        <v>#N/A</v>
      </c>
      <c r="FG3" s="17" t="e">
        <v>#N/A</v>
      </c>
      <c r="FH3" s="17" t="e">
        <v>#N/A</v>
      </c>
      <c r="FI3" s="17" t="e">
        <v>#N/A</v>
      </c>
      <c r="FJ3" s="17" t="e">
        <v>#N/A</v>
      </c>
      <c r="FK3" s="17" t="e">
        <v>#N/A</v>
      </c>
      <c r="FL3" s="17" t="e">
        <v>#N/A</v>
      </c>
      <c r="FM3" s="17" t="e">
        <v>#N/A</v>
      </c>
      <c r="FN3" s="17" t="e">
        <v>#N/A</v>
      </c>
      <c r="FO3" s="17" t="e">
        <v>#N/A</v>
      </c>
      <c r="FP3" s="17" t="e">
        <v>#N/A</v>
      </c>
      <c r="FQ3" s="17" t="e">
        <v>#N/A</v>
      </c>
      <c r="FR3" s="17" t="e">
        <v>#N/A</v>
      </c>
      <c r="FS3" s="17" t="e">
        <v>#N/A</v>
      </c>
      <c r="FT3" s="17" t="e">
        <v>#N/A</v>
      </c>
      <c r="FU3" s="17" t="e">
        <v>#N/A</v>
      </c>
      <c r="FV3" s="17" t="e">
        <v>#N/A</v>
      </c>
    </row>
    <row r="4" spans="2:178" ht="11.25" customHeight="1">
      <c r="B4" s="17">
        <v>1</v>
      </c>
      <c r="C4" s="17">
        <v>0</v>
      </c>
      <c r="D4" s="17">
        <v>1</v>
      </c>
      <c r="E4" s="17">
        <v>1</v>
      </c>
      <c r="F4" s="17">
        <v>1</v>
      </c>
      <c r="G4" s="17">
        <v>0</v>
      </c>
      <c r="H4" s="17">
        <v>1</v>
      </c>
      <c r="I4" s="17">
        <v>0</v>
      </c>
      <c r="J4" s="17">
        <v>0</v>
      </c>
      <c r="K4" s="17">
        <v>1</v>
      </c>
      <c r="L4" s="17">
        <v>1</v>
      </c>
      <c r="M4" s="17">
        <v>1</v>
      </c>
      <c r="N4" s="17">
        <v>1</v>
      </c>
      <c r="O4" s="17">
        <v>0</v>
      </c>
      <c r="P4" s="17">
        <v>0</v>
      </c>
      <c r="Q4" s="17">
        <v>0</v>
      </c>
      <c r="R4" s="17">
        <v>1</v>
      </c>
      <c r="S4" s="17">
        <v>0</v>
      </c>
      <c r="T4" s="17">
        <v>1</v>
      </c>
      <c r="U4" s="17">
        <v>0</v>
      </c>
      <c r="V4" s="17">
        <v>1</v>
      </c>
      <c r="W4" s="17">
        <v>1</v>
      </c>
      <c r="X4" s="17">
        <v>0</v>
      </c>
      <c r="Y4" s="17">
        <v>1</v>
      </c>
      <c r="Z4" s="17">
        <v>0</v>
      </c>
      <c r="AA4" s="17">
        <v>0</v>
      </c>
      <c r="AB4" s="17">
        <v>1</v>
      </c>
      <c r="AC4" s="17">
        <v>0</v>
      </c>
      <c r="AD4" s="17">
        <v>1</v>
      </c>
      <c r="AE4" s="17">
        <v>0</v>
      </c>
      <c r="AF4" s="17">
        <v>0</v>
      </c>
      <c r="AG4" s="17">
        <v>1</v>
      </c>
      <c r="AH4" s="17">
        <v>1</v>
      </c>
      <c r="AI4" s="17">
        <v>1</v>
      </c>
      <c r="AJ4" s="17">
        <v>1</v>
      </c>
      <c r="AK4" s="17">
        <v>0</v>
      </c>
      <c r="AL4" s="17">
        <v>1</v>
      </c>
      <c r="AM4" s="17">
        <v>0</v>
      </c>
      <c r="AN4" s="17">
        <v>0</v>
      </c>
      <c r="AO4" s="17">
        <v>1</v>
      </c>
      <c r="AP4" s="17">
        <v>1</v>
      </c>
      <c r="AQ4" s="17">
        <v>0</v>
      </c>
      <c r="AR4" s="17">
        <v>0</v>
      </c>
      <c r="AS4" s="17">
        <v>0</v>
      </c>
      <c r="AT4" s="17">
        <v>0</v>
      </c>
      <c r="AU4" s="17">
        <v>0</v>
      </c>
      <c r="AV4" s="17">
        <v>0</v>
      </c>
      <c r="AW4" s="17">
        <v>1</v>
      </c>
      <c r="AX4" s="17">
        <v>1</v>
      </c>
      <c r="AY4" s="17">
        <v>1</v>
      </c>
      <c r="AZ4" s="17">
        <v>0</v>
      </c>
      <c r="BA4" s="17">
        <v>0</v>
      </c>
      <c r="BB4" s="17">
        <v>0</v>
      </c>
      <c r="BC4" s="17">
        <v>1</v>
      </c>
      <c r="BD4" s="17">
        <v>0</v>
      </c>
      <c r="BE4" s="17">
        <v>0</v>
      </c>
      <c r="BF4" s="17">
        <v>1</v>
      </c>
      <c r="BG4" s="17">
        <v>0</v>
      </c>
      <c r="BH4" s="17">
        <v>1</v>
      </c>
      <c r="BI4" s="17">
        <v>0</v>
      </c>
      <c r="BJ4" s="17">
        <v>0</v>
      </c>
      <c r="BK4" s="17">
        <v>0</v>
      </c>
      <c r="BL4" s="17">
        <v>1</v>
      </c>
      <c r="BM4" s="17">
        <v>0</v>
      </c>
      <c r="BN4" s="17">
        <v>1</v>
      </c>
      <c r="BO4" s="17">
        <v>1</v>
      </c>
      <c r="BP4" s="17">
        <v>1</v>
      </c>
      <c r="BQ4" s="17">
        <v>0</v>
      </c>
      <c r="BR4" s="17">
        <v>1</v>
      </c>
      <c r="BS4" s="17" t="e">
        <v>#N/A</v>
      </c>
      <c r="BT4" s="17" t="e">
        <v>#N/A</v>
      </c>
      <c r="BU4" s="17" t="e">
        <v>#N/A</v>
      </c>
      <c r="BV4" s="17" t="e">
        <v>#N/A</v>
      </c>
      <c r="BW4" s="17" t="e">
        <v>#N/A</v>
      </c>
      <c r="BX4" s="17" t="e">
        <v>#N/A</v>
      </c>
      <c r="BY4" s="17" t="e">
        <v>#N/A</v>
      </c>
      <c r="BZ4" s="17" t="e">
        <v>#N/A</v>
      </c>
      <c r="CA4" s="17" t="e">
        <v>#N/A</v>
      </c>
      <c r="CB4" s="17" t="e">
        <v>#N/A</v>
      </c>
      <c r="CC4" s="17" t="e">
        <v>#N/A</v>
      </c>
      <c r="CD4" s="17" t="e">
        <v>#N/A</v>
      </c>
      <c r="CE4" s="17" t="e">
        <v>#N/A</v>
      </c>
      <c r="CF4" s="17" t="e">
        <v>#N/A</v>
      </c>
      <c r="CG4" s="17" t="e">
        <v>#N/A</v>
      </c>
      <c r="CH4" s="17" t="e">
        <v>#N/A</v>
      </c>
      <c r="CI4" s="17" t="e">
        <v>#N/A</v>
      </c>
      <c r="CJ4" s="17" t="e">
        <v>#N/A</v>
      </c>
      <c r="CK4" s="17" t="e">
        <v>#N/A</v>
      </c>
      <c r="CL4" s="17" t="e">
        <v>#N/A</v>
      </c>
      <c r="CM4" s="17" t="e">
        <v>#N/A</v>
      </c>
      <c r="CN4" s="17" t="e">
        <v>#N/A</v>
      </c>
      <c r="CO4" s="17" t="e">
        <v>#N/A</v>
      </c>
      <c r="CP4" s="17" t="e">
        <v>#N/A</v>
      </c>
      <c r="CQ4" s="17" t="e">
        <v>#N/A</v>
      </c>
      <c r="CR4" s="17" t="e">
        <v>#N/A</v>
      </c>
      <c r="CS4" s="17" t="e">
        <v>#N/A</v>
      </c>
      <c r="CT4" s="17" t="e">
        <v>#N/A</v>
      </c>
      <c r="CU4" s="17" t="e">
        <v>#N/A</v>
      </c>
      <c r="CV4" s="17" t="e">
        <v>#N/A</v>
      </c>
      <c r="CW4" s="17" t="e">
        <v>#N/A</v>
      </c>
      <c r="CX4" s="17" t="e">
        <v>#N/A</v>
      </c>
      <c r="CY4" s="17" t="e">
        <v>#N/A</v>
      </c>
      <c r="CZ4" s="17" t="e">
        <v>#N/A</v>
      </c>
      <c r="DA4" s="17" t="e">
        <v>#N/A</v>
      </c>
      <c r="DB4" s="17" t="e">
        <v>#N/A</v>
      </c>
      <c r="DC4" s="17" t="e">
        <v>#N/A</v>
      </c>
      <c r="DD4" s="17" t="e">
        <v>#N/A</v>
      </c>
      <c r="DE4" s="17" t="e">
        <v>#N/A</v>
      </c>
      <c r="DF4" s="17" t="e">
        <v>#N/A</v>
      </c>
      <c r="DG4" s="17" t="e">
        <v>#N/A</v>
      </c>
      <c r="DH4" s="17" t="e">
        <v>#N/A</v>
      </c>
      <c r="DI4" s="17" t="e">
        <v>#N/A</v>
      </c>
      <c r="DJ4" s="17" t="e">
        <v>#N/A</v>
      </c>
      <c r="DK4" s="17" t="e">
        <v>#N/A</v>
      </c>
      <c r="DL4" s="17" t="e">
        <v>#N/A</v>
      </c>
      <c r="DM4" s="17" t="e">
        <v>#N/A</v>
      </c>
      <c r="DN4" s="17" t="e">
        <v>#N/A</v>
      </c>
      <c r="DO4" s="17" t="e">
        <v>#N/A</v>
      </c>
      <c r="DP4" s="17" t="e">
        <v>#N/A</v>
      </c>
      <c r="DQ4" s="17" t="e">
        <v>#N/A</v>
      </c>
      <c r="DR4" s="17" t="e">
        <v>#N/A</v>
      </c>
      <c r="DS4" s="17" t="e">
        <v>#N/A</v>
      </c>
      <c r="DT4" s="17" t="e">
        <v>#N/A</v>
      </c>
      <c r="DU4" s="17" t="e">
        <v>#N/A</v>
      </c>
      <c r="DV4" s="17" t="e">
        <v>#N/A</v>
      </c>
      <c r="DW4" s="17" t="e">
        <v>#N/A</v>
      </c>
      <c r="DX4" s="17" t="e">
        <v>#N/A</v>
      </c>
      <c r="DY4" s="17" t="e">
        <v>#N/A</v>
      </c>
      <c r="DZ4" s="17" t="e">
        <v>#N/A</v>
      </c>
      <c r="EA4" s="17" t="e">
        <v>#N/A</v>
      </c>
      <c r="EB4" s="17" t="e">
        <v>#N/A</v>
      </c>
      <c r="EC4" s="17" t="e">
        <v>#N/A</v>
      </c>
      <c r="ED4" s="17" t="e">
        <v>#N/A</v>
      </c>
      <c r="EE4" s="17" t="e">
        <v>#N/A</v>
      </c>
      <c r="EF4" s="17" t="e">
        <v>#N/A</v>
      </c>
      <c r="EG4" s="17" t="e">
        <v>#N/A</v>
      </c>
      <c r="EH4" s="17" t="e">
        <v>#N/A</v>
      </c>
      <c r="EI4" s="17" t="e">
        <v>#N/A</v>
      </c>
      <c r="EJ4" s="17" t="e">
        <v>#N/A</v>
      </c>
      <c r="EK4" s="17" t="e">
        <v>#N/A</v>
      </c>
      <c r="EL4" s="17" t="e">
        <v>#N/A</v>
      </c>
      <c r="EM4" s="17" t="e">
        <v>#N/A</v>
      </c>
      <c r="EN4" s="17" t="e">
        <v>#N/A</v>
      </c>
      <c r="EO4" s="17" t="e">
        <v>#N/A</v>
      </c>
      <c r="EP4" s="17" t="e">
        <v>#N/A</v>
      </c>
      <c r="EQ4" s="17" t="e">
        <v>#N/A</v>
      </c>
      <c r="ER4" s="17" t="e">
        <v>#N/A</v>
      </c>
      <c r="ES4" s="17" t="e">
        <v>#N/A</v>
      </c>
      <c r="ET4" s="17" t="e">
        <v>#N/A</v>
      </c>
      <c r="EU4" s="17" t="e">
        <v>#N/A</v>
      </c>
      <c r="EV4" s="17" t="e">
        <v>#N/A</v>
      </c>
      <c r="EW4" s="17" t="e">
        <v>#N/A</v>
      </c>
      <c r="EX4" s="17" t="e">
        <v>#N/A</v>
      </c>
      <c r="EY4" s="17" t="e">
        <v>#N/A</v>
      </c>
      <c r="EZ4" s="17" t="e">
        <v>#N/A</v>
      </c>
      <c r="FA4" s="17" t="e">
        <v>#N/A</v>
      </c>
      <c r="FB4" s="17" t="e">
        <v>#N/A</v>
      </c>
      <c r="FC4" s="17" t="e">
        <v>#N/A</v>
      </c>
      <c r="FD4" s="17" t="e">
        <v>#N/A</v>
      </c>
      <c r="FE4" s="17" t="e">
        <v>#N/A</v>
      </c>
      <c r="FF4" s="17" t="e">
        <v>#N/A</v>
      </c>
      <c r="FG4" s="17" t="e">
        <v>#N/A</v>
      </c>
      <c r="FH4" s="17" t="e">
        <v>#N/A</v>
      </c>
      <c r="FI4" s="17" t="e">
        <v>#N/A</v>
      </c>
      <c r="FJ4" s="17" t="e">
        <v>#N/A</v>
      </c>
      <c r="FK4" s="17" t="e">
        <v>#N/A</v>
      </c>
      <c r="FL4" s="17" t="e">
        <v>#N/A</v>
      </c>
      <c r="FM4" s="17" t="e">
        <v>#N/A</v>
      </c>
      <c r="FN4" s="17" t="e">
        <v>#N/A</v>
      </c>
      <c r="FO4" s="17" t="e">
        <v>#N/A</v>
      </c>
      <c r="FP4" s="17" t="e">
        <v>#N/A</v>
      </c>
      <c r="FQ4" s="17" t="e">
        <v>#N/A</v>
      </c>
      <c r="FR4" s="17" t="e">
        <v>#N/A</v>
      </c>
      <c r="FS4" s="17" t="e">
        <v>#N/A</v>
      </c>
      <c r="FT4" s="17" t="e">
        <v>#N/A</v>
      </c>
      <c r="FU4" s="17" t="e">
        <v>#N/A</v>
      </c>
      <c r="FV4" s="17" t="e">
        <v>#N/A</v>
      </c>
    </row>
    <row r="5" spans="2:178" ht="11.25" customHeight="1">
      <c r="B5" s="17">
        <v>1</v>
      </c>
      <c r="C5" s="17">
        <v>0</v>
      </c>
      <c r="D5" s="17">
        <v>1</v>
      </c>
      <c r="E5" s="17">
        <v>1</v>
      </c>
      <c r="F5" s="17">
        <v>1</v>
      </c>
      <c r="G5" s="17">
        <v>0</v>
      </c>
      <c r="H5" s="17">
        <v>1</v>
      </c>
      <c r="I5" s="17">
        <v>0</v>
      </c>
      <c r="J5" s="17">
        <v>1</v>
      </c>
      <c r="K5" s="17">
        <v>1</v>
      </c>
      <c r="L5" s="17">
        <v>0</v>
      </c>
      <c r="M5" s="17">
        <v>1</v>
      </c>
      <c r="N5" s="17">
        <v>1</v>
      </c>
      <c r="O5" s="17">
        <v>0</v>
      </c>
      <c r="P5" s="17">
        <v>0</v>
      </c>
      <c r="Q5" s="17">
        <v>1</v>
      </c>
      <c r="R5" s="17">
        <v>0</v>
      </c>
      <c r="S5" s="17">
        <v>1</v>
      </c>
      <c r="T5" s="17">
        <v>0</v>
      </c>
      <c r="U5" s="17">
        <v>0</v>
      </c>
      <c r="V5" s="17">
        <v>1</v>
      </c>
      <c r="W5" s="17">
        <v>1</v>
      </c>
      <c r="X5" s="17">
        <v>1</v>
      </c>
      <c r="Y5" s="17">
        <v>1</v>
      </c>
      <c r="Z5" s="17">
        <v>1</v>
      </c>
      <c r="AA5" s="17">
        <v>0</v>
      </c>
      <c r="AB5" s="17">
        <v>1</v>
      </c>
      <c r="AC5" s="17">
        <v>1</v>
      </c>
      <c r="AD5" s="17">
        <v>1</v>
      </c>
      <c r="AE5" s="17">
        <v>0</v>
      </c>
      <c r="AF5" s="17">
        <v>1</v>
      </c>
      <c r="AG5" s="17">
        <v>1</v>
      </c>
      <c r="AH5" s="17">
        <v>0</v>
      </c>
      <c r="AI5" s="17">
        <v>0</v>
      </c>
      <c r="AJ5" s="17">
        <v>0</v>
      </c>
      <c r="AK5" s="17">
        <v>1</v>
      </c>
      <c r="AL5" s="17">
        <v>1</v>
      </c>
      <c r="AM5" s="17">
        <v>1</v>
      </c>
      <c r="AN5" s="17">
        <v>0</v>
      </c>
      <c r="AO5" s="17">
        <v>0</v>
      </c>
      <c r="AP5" s="17">
        <v>1</v>
      </c>
      <c r="AQ5" s="17">
        <v>0</v>
      </c>
      <c r="AR5" s="17">
        <v>0</v>
      </c>
      <c r="AS5" s="17">
        <v>1</v>
      </c>
      <c r="AT5" s="17">
        <v>1</v>
      </c>
      <c r="AU5" s="17">
        <v>1</v>
      </c>
      <c r="AV5" s="17">
        <v>0</v>
      </c>
      <c r="AW5" s="17">
        <v>0</v>
      </c>
      <c r="AX5" s="17">
        <v>1</v>
      </c>
      <c r="AY5" s="17">
        <v>0</v>
      </c>
      <c r="AZ5" s="17">
        <v>0</v>
      </c>
      <c r="BA5" s="17">
        <v>0</v>
      </c>
      <c r="BB5" s="17">
        <v>1</v>
      </c>
      <c r="BC5" s="17">
        <v>0</v>
      </c>
      <c r="BD5" s="17">
        <v>0</v>
      </c>
      <c r="BE5" s="17">
        <v>0</v>
      </c>
      <c r="BF5" s="17">
        <v>1</v>
      </c>
      <c r="BG5" s="17">
        <v>0</v>
      </c>
      <c r="BH5" s="17">
        <v>0</v>
      </c>
      <c r="BI5" s="17">
        <v>0</v>
      </c>
      <c r="BJ5" s="17">
        <v>1</v>
      </c>
      <c r="BK5" s="17">
        <v>0</v>
      </c>
      <c r="BL5" s="17">
        <v>1</v>
      </c>
      <c r="BM5" s="17">
        <v>0</v>
      </c>
      <c r="BN5" s="17">
        <v>1</v>
      </c>
      <c r="BO5" s="17">
        <v>1</v>
      </c>
      <c r="BP5" s="17">
        <v>1</v>
      </c>
      <c r="BQ5" s="17">
        <v>0</v>
      </c>
      <c r="BR5" s="17">
        <v>1</v>
      </c>
      <c r="BS5" s="17" t="e">
        <v>#N/A</v>
      </c>
      <c r="BT5" s="17" t="e">
        <v>#N/A</v>
      </c>
      <c r="BU5" s="17" t="e">
        <v>#N/A</v>
      </c>
      <c r="BV5" s="17" t="e">
        <v>#N/A</v>
      </c>
      <c r="BW5" s="17" t="e">
        <v>#N/A</v>
      </c>
      <c r="BX5" s="17" t="e">
        <v>#N/A</v>
      </c>
      <c r="BY5" s="17" t="e">
        <v>#N/A</v>
      </c>
      <c r="BZ5" s="17" t="e">
        <v>#N/A</v>
      </c>
      <c r="CA5" s="17" t="e">
        <v>#N/A</v>
      </c>
      <c r="CB5" s="17" t="e">
        <v>#N/A</v>
      </c>
      <c r="CC5" s="17" t="e">
        <v>#N/A</v>
      </c>
      <c r="CD5" s="17" t="e">
        <v>#N/A</v>
      </c>
      <c r="CE5" s="17" t="e">
        <v>#N/A</v>
      </c>
      <c r="CF5" s="17" t="e">
        <v>#N/A</v>
      </c>
      <c r="CG5" s="17" t="e">
        <v>#N/A</v>
      </c>
      <c r="CH5" s="17" t="e">
        <v>#N/A</v>
      </c>
      <c r="CI5" s="17" t="e">
        <v>#N/A</v>
      </c>
      <c r="CJ5" s="17" t="e">
        <v>#N/A</v>
      </c>
      <c r="CK5" s="17" t="e">
        <v>#N/A</v>
      </c>
      <c r="CL5" s="17" t="e">
        <v>#N/A</v>
      </c>
      <c r="CM5" s="17" t="e">
        <v>#N/A</v>
      </c>
      <c r="CN5" s="17" t="e">
        <v>#N/A</v>
      </c>
      <c r="CO5" s="17" t="e">
        <v>#N/A</v>
      </c>
      <c r="CP5" s="17" t="e">
        <v>#N/A</v>
      </c>
      <c r="CQ5" s="17" t="e">
        <v>#N/A</v>
      </c>
      <c r="CR5" s="17" t="e">
        <v>#N/A</v>
      </c>
      <c r="CS5" s="17" t="e">
        <v>#N/A</v>
      </c>
      <c r="CT5" s="17" t="e">
        <v>#N/A</v>
      </c>
      <c r="CU5" s="17" t="e">
        <v>#N/A</v>
      </c>
      <c r="CV5" s="17" t="e">
        <v>#N/A</v>
      </c>
      <c r="CW5" s="17" t="e">
        <v>#N/A</v>
      </c>
      <c r="CX5" s="17" t="e">
        <v>#N/A</v>
      </c>
      <c r="CY5" s="17" t="e">
        <v>#N/A</v>
      </c>
      <c r="CZ5" s="17" t="e">
        <v>#N/A</v>
      </c>
      <c r="DA5" s="17" t="e">
        <v>#N/A</v>
      </c>
      <c r="DB5" s="17" t="e">
        <v>#N/A</v>
      </c>
      <c r="DC5" s="17" t="e">
        <v>#N/A</v>
      </c>
      <c r="DD5" s="17" t="e">
        <v>#N/A</v>
      </c>
      <c r="DE5" s="17" t="e">
        <v>#N/A</v>
      </c>
      <c r="DF5" s="17" t="e">
        <v>#N/A</v>
      </c>
      <c r="DG5" s="17" t="e">
        <v>#N/A</v>
      </c>
      <c r="DH5" s="17" t="e">
        <v>#N/A</v>
      </c>
      <c r="DI5" s="17" t="e">
        <v>#N/A</v>
      </c>
      <c r="DJ5" s="17" t="e">
        <v>#N/A</v>
      </c>
      <c r="DK5" s="17" t="e">
        <v>#N/A</v>
      </c>
      <c r="DL5" s="17" t="e">
        <v>#N/A</v>
      </c>
      <c r="DM5" s="17" t="e">
        <v>#N/A</v>
      </c>
      <c r="DN5" s="17" t="e">
        <v>#N/A</v>
      </c>
      <c r="DO5" s="17" t="e">
        <v>#N/A</v>
      </c>
      <c r="DP5" s="17" t="e">
        <v>#N/A</v>
      </c>
      <c r="DQ5" s="17" t="e">
        <v>#N/A</v>
      </c>
      <c r="DR5" s="17" t="e">
        <v>#N/A</v>
      </c>
      <c r="DS5" s="17" t="e">
        <v>#N/A</v>
      </c>
      <c r="DT5" s="17" t="e">
        <v>#N/A</v>
      </c>
      <c r="DU5" s="17" t="e">
        <v>#N/A</v>
      </c>
      <c r="DV5" s="17" t="e">
        <v>#N/A</v>
      </c>
      <c r="DW5" s="17" t="e">
        <v>#N/A</v>
      </c>
      <c r="DX5" s="17" t="e">
        <v>#N/A</v>
      </c>
      <c r="DY5" s="17" t="e">
        <v>#N/A</v>
      </c>
      <c r="DZ5" s="17" t="e">
        <v>#N/A</v>
      </c>
      <c r="EA5" s="17" t="e">
        <v>#N/A</v>
      </c>
      <c r="EB5" s="17" t="e">
        <v>#N/A</v>
      </c>
      <c r="EC5" s="17" t="e">
        <v>#N/A</v>
      </c>
      <c r="ED5" s="17" t="e">
        <v>#N/A</v>
      </c>
      <c r="EE5" s="17" t="e">
        <v>#N/A</v>
      </c>
      <c r="EF5" s="17" t="e">
        <v>#N/A</v>
      </c>
      <c r="EG5" s="17" t="e">
        <v>#N/A</v>
      </c>
      <c r="EH5" s="17" t="e">
        <v>#N/A</v>
      </c>
      <c r="EI5" s="17" t="e">
        <v>#N/A</v>
      </c>
      <c r="EJ5" s="17" t="e">
        <v>#N/A</v>
      </c>
      <c r="EK5" s="17" t="e">
        <v>#N/A</v>
      </c>
      <c r="EL5" s="17" t="e">
        <v>#N/A</v>
      </c>
      <c r="EM5" s="17" t="e">
        <v>#N/A</v>
      </c>
      <c r="EN5" s="17" t="e">
        <v>#N/A</v>
      </c>
      <c r="EO5" s="17" t="e">
        <v>#N/A</v>
      </c>
      <c r="EP5" s="17" t="e">
        <v>#N/A</v>
      </c>
      <c r="EQ5" s="17" t="e">
        <v>#N/A</v>
      </c>
      <c r="ER5" s="17" t="e">
        <v>#N/A</v>
      </c>
      <c r="ES5" s="17" t="e">
        <v>#N/A</v>
      </c>
      <c r="ET5" s="17" t="e">
        <v>#N/A</v>
      </c>
      <c r="EU5" s="17" t="e">
        <v>#N/A</v>
      </c>
      <c r="EV5" s="17" t="e">
        <v>#N/A</v>
      </c>
      <c r="EW5" s="17" t="e">
        <v>#N/A</v>
      </c>
      <c r="EX5" s="17" t="e">
        <v>#N/A</v>
      </c>
      <c r="EY5" s="17" t="e">
        <v>#N/A</v>
      </c>
      <c r="EZ5" s="17" t="e">
        <v>#N/A</v>
      </c>
      <c r="FA5" s="17" t="e">
        <v>#N/A</v>
      </c>
      <c r="FB5" s="17" t="e">
        <v>#N/A</v>
      </c>
      <c r="FC5" s="17" t="e">
        <v>#N/A</v>
      </c>
      <c r="FD5" s="17" t="e">
        <v>#N/A</v>
      </c>
      <c r="FE5" s="17" t="e">
        <v>#N/A</v>
      </c>
      <c r="FF5" s="17" t="e">
        <v>#N/A</v>
      </c>
      <c r="FG5" s="17" t="e">
        <v>#N/A</v>
      </c>
      <c r="FH5" s="17" t="e">
        <v>#N/A</v>
      </c>
      <c r="FI5" s="17" t="e">
        <v>#N/A</v>
      </c>
      <c r="FJ5" s="17" t="e">
        <v>#N/A</v>
      </c>
      <c r="FK5" s="17" t="e">
        <v>#N/A</v>
      </c>
      <c r="FL5" s="17" t="e">
        <v>#N/A</v>
      </c>
      <c r="FM5" s="17" t="e">
        <v>#N/A</v>
      </c>
      <c r="FN5" s="17" t="e">
        <v>#N/A</v>
      </c>
      <c r="FO5" s="17" t="e">
        <v>#N/A</v>
      </c>
      <c r="FP5" s="17" t="e">
        <v>#N/A</v>
      </c>
      <c r="FQ5" s="17" t="e">
        <v>#N/A</v>
      </c>
      <c r="FR5" s="17" t="e">
        <v>#N/A</v>
      </c>
      <c r="FS5" s="17" t="e">
        <v>#N/A</v>
      </c>
      <c r="FT5" s="17" t="e">
        <v>#N/A</v>
      </c>
      <c r="FU5" s="17" t="e">
        <v>#N/A</v>
      </c>
      <c r="FV5" s="17" t="e">
        <v>#N/A</v>
      </c>
    </row>
    <row r="6" spans="2:178" ht="11.25" customHeight="1">
      <c r="B6" s="17">
        <v>1</v>
      </c>
      <c r="C6" s="17">
        <v>0</v>
      </c>
      <c r="D6" s="17">
        <v>1</v>
      </c>
      <c r="E6" s="17">
        <v>1</v>
      </c>
      <c r="F6" s="17">
        <v>1</v>
      </c>
      <c r="G6" s="17">
        <v>0</v>
      </c>
      <c r="H6" s="17">
        <v>1</v>
      </c>
      <c r="I6" s="17">
        <v>0</v>
      </c>
      <c r="J6" s="17">
        <v>1</v>
      </c>
      <c r="K6" s="17">
        <v>1</v>
      </c>
      <c r="L6" s="17">
        <v>0</v>
      </c>
      <c r="M6" s="17">
        <v>1</v>
      </c>
      <c r="N6" s="17">
        <v>1</v>
      </c>
      <c r="O6" s="17">
        <v>1</v>
      </c>
      <c r="P6" s="17">
        <v>1</v>
      </c>
      <c r="Q6" s="17">
        <v>1</v>
      </c>
      <c r="R6" s="17">
        <v>1</v>
      </c>
      <c r="S6" s="17">
        <v>1</v>
      </c>
      <c r="T6" s="17">
        <v>1</v>
      </c>
      <c r="U6" s="17">
        <v>0</v>
      </c>
      <c r="V6" s="17">
        <v>1</v>
      </c>
      <c r="W6" s="17">
        <v>1</v>
      </c>
      <c r="X6" s="17">
        <v>1</v>
      </c>
      <c r="Y6" s="17">
        <v>1</v>
      </c>
      <c r="Z6" s="17">
        <v>1</v>
      </c>
      <c r="AA6" s="17">
        <v>0</v>
      </c>
      <c r="AB6" s="17">
        <v>1</v>
      </c>
      <c r="AC6" s="17">
        <v>1</v>
      </c>
      <c r="AD6" s="17">
        <v>1</v>
      </c>
      <c r="AE6" s="17">
        <v>1</v>
      </c>
      <c r="AF6" s="17">
        <v>1</v>
      </c>
      <c r="AG6" s="17">
        <v>1</v>
      </c>
      <c r="AH6" s="17">
        <v>1</v>
      </c>
      <c r="AI6" s="17">
        <v>1</v>
      </c>
      <c r="AJ6" s="17">
        <v>1</v>
      </c>
      <c r="AK6" s="17">
        <v>1</v>
      </c>
      <c r="AL6" s="17">
        <v>1</v>
      </c>
      <c r="AM6" s="17">
        <v>1</v>
      </c>
      <c r="AN6" s="17">
        <v>0</v>
      </c>
      <c r="AO6" s="17">
        <v>1</v>
      </c>
      <c r="AP6" s="17">
        <v>1</v>
      </c>
      <c r="AQ6" s="17">
        <v>0</v>
      </c>
      <c r="AR6" s="17">
        <v>1</v>
      </c>
      <c r="AS6" s="17">
        <v>1</v>
      </c>
      <c r="AT6" s="17">
        <v>1</v>
      </c>
      <c r="AU6" s="17">
        <v>0</v>
      </c>
      <c r="AV6" s="17">
        <v>1</v>
      </c>
      <c r="AW6" s="17">
        <v>0</v>
      </c>
      <c r="AX6" s="17">
        <v>0</v>
      </c>
      <c r="AY6" s="17">
        <v>1</v>
      </c>
      <c r="AZ6" s="17">
        <v>1</v>
      </c>
      <c r="BA6" s="17">
        <v>0</v>
      </c>
      <c r="BB6" s="17">
        <v>0</v>
      </c>
      <c r="BC6" s="17">
        <v>1</v>
      </c>
      <c r="BD6" s="17">
        <v>0</v>
      </c>
      <c r="BE6" s="17">
        <v>0</v>
      </c>
      <c r="BF6" s="17">
        <v>1</v>
      </c>
      <c r="BG6" s="17">
        <v>0</v>
      </c>
      <c r="BH6" s="17">
        <v>1</v>
      </c>
      <c r="BI6" s="17">
        <v>0</v>
      </c>
      <c r="BJ6" s="17">
        <v>1</v>
      </c>
      <c r="BK6" s="17">
        <v>0</v>
      </c>
      <c r="BL6" s="17">
        <v>1</v>
      </c>
      <c r="BM6" s="17">
        <v>0</v>
      </c>
      <c r="BN6" s="17">
        <v>1</v>
      </c>
      <c r="BO6" s="17">
        <v>1</v>
      </c>
      <c r="BP6" s="17">
        <v>1</v>
      </c>
      <c r="BQ6" s="17">
        <v>0</v>
      </c>
      <c r="BR6" s="17">
        <v>1</v>
      </c>
      <c r="BS6" s="17" t="e">
        <v>#N/A</v>
      </c>
      <c r="BT6" s="17" t="e">
        <v>#N/A</v>
      </c>
      <c r="BU6" s="17" t="e">
        <v>#N/A</v>
      </c>
      <c r="BV6" s="17" t="e">
        <v>#N/A</v>
      </c>
      <c r="BW6" s="17" t="e">
        <v>#N/A</v>
      </c>
      <c r="BX6" s="17" t="e">
        <v>#N/A</v>
      </c>
      <c r="BY6" s="17" t="e">
        <v>#N/A</v>
      </c>
      <c r="BZ6" s="17" t="e">
        <v>#N/A</v>
      </c>
      <c r="CA6" s="17" t="e">
        <v>#N/A</v>
      </c>
      <c r="CB6" s="17" t="e">
        <v>#N/A</v>
      </c>
      <c r="CC6" s="17" t="e">
        <v>#N/A</v>
      </c>
      <c r="CD6" s="17" t="e">
        <v>#N/A</v>
      </c>
      <c r="CE6" s="17" t="e">
        <v>#N/A</v>
      </c>
      <c r="CF6" s="17" t="e">
        <v>#N/A</v>
      </c>
      <c r="CG6" s="17" t="e">
        <v>#N/A</v>
      </c>
      <c r="CH6" s="17" t="e">
        <v>#N/A</v>
      </c>
      <c r="CI6" s="17" t="e">
        <v>#N/A</v>
      </c>
      <c r="CJ6" s="17" t="e">
        <v>#N/A</v>
      </c>
      <c r="CK6" s="17" t="e">
        <v>#N/A</v>
      </c>
      <c r="CL6" s="17" t="e">
        <v>#N/A</v>
      </c>
      <c r="CM6" s="17" t="e">
        <v>#N/A</v>
      </c>
      <c r="CN6" s="17" t="e">
        <v>#N/A</v>
      </c>
      <c r="CO6" s="17" t="e">
        <v>#N/A</v>
      </c>
      <c r="CP6" s="17" t="e">
        <v>#N/A</v>
      </c>
      <c r="CQ6" s="17" t="e">
        <v>#N/A</v>
      </c>
      <c r="CR6" s="17" t="e">
        <v>#N/A</v>
      </c>
      <c r="CS6" s="17" t="e">
        <v>#N/A</v>
      </c>
      <c r="CT6" s="17" t="e">
        <v>#N/A</v>
      </c>
      <c r="CU6" s="17" t="e">
        <v>#N/A</v>
      </c>
      <c r="CV6" s="17" t="e">
        <v>#N/A</v>
      </c>
      <c r="CW6" s="17" t="e">
        <v>#N/A</v>
      </c>
      <c r="CX6" s="17" t="e">
        <v>#N/A</v>
      </c>
      <c r="CY6" s="17" t="e">
        <v>#N/A</v>
      </c>
      <c r="CZ6" s="17" t="e">
        <v>#N/A</v>
      </c>
      <c r="DA6" s="17" t="e">
        <v>#N/A</v>
      </c>
      <c r="DB6" s="17" t="e">
        <v>#N/A</v>
      </c>
      <c r="DC6" s="17" t="e">
        <v>#N/A</v>
      </c>
      <c r="DD6" s="17" t="e">
        <v>#N/A</v>
      </c>
      <c r="DE6" s="17" t="e">
        <v>#N/A</v>
      </c>
      <c r="DF6" s="17" t="e">
        <v>#N/A</v>
      </c>
      <c r="DG6" s="17" t="e">
        <v>#N/A</v>
      </c>
      <c r="DH6" s="17" t="e">
        <v>#N/A</v>
      </c>
      <c r="DI6" s="17" t="e">
        <v>#N/A</v>
      </c>
      <c r="DJ6" s="17" t="e">
        <v>#N/A</v>
      </c>
      <c r="DK6" s="17" t="e">
        <v>#N/A</v>
      </c>
      <c r="DL6" s="17" t="e">
        <v>#N/A</v>
      </c>
      <c r="DM6" s="17" t="e">
        <v>#N/A</v>
      </c>
      <c r="DN6" s="17" t="e">
        <v>#N/A</v>
      </c>
      <c r="DO6" s="17" t="e">
        <v>#N/A</v>
      </c>
      <c r="DP6" s="17" t="e">
        <v>#N/A</v>
      </c>
      <c r="DQ6" s="17" t="e">
        <v>#N/A</v>
      </c>
      <c r="DR6" s="17" t="e">
        <v>#N/A</v>
      </c>
      <c r="DS6" s="17" t="e">
        <v>#N/A</v>
      </c>
      <c r="DT6" s="17" t="e">
        <v>#N/A</v>
      </c>
      <c r="DU6" s="17" t="e">
        <v>#N/A</v>
      </c>
      <c r="DV6" s="17" t="e">
        <v>#N/A</v>
      </c>
      <c r="DW6" s="17" t="e">
        <v>#N/A</v>
      </c>
      <c r="DX6" s="17" t="e">
        <v>#N/A</v>
      </c>
      <c r="DY6" s="17" t="e">
        <v>#N/A</v>
      </c>
      <c r="DZ6" s="17" t="e">
        <v>#N/A</v>
      </c>
      <c r="EA6" s="17" t="e">
        <v>#N/A</v>
      </c>
      <c r="EB6" s="17" t="e">
        <v>#N/A</v>
      </c>
      <c r="EC6" s="17" t="e">
        <v>#N/A</v>
      </c>
      <c r="ED6" s="17" t="e">
        <v>#N/A</v>
      </c>
      <c r="EE6" s="17" t="e">
        <v>#N/A</v>
      </c>
      <c r="EF6" s="17" t="e">
        <v>#N/A</v>
      </c>
      <c r="EG6" s="17" t="e">
        <v>#N/A</v>
      </c>
      <c r="EH6" s="17" t="e">
        <v>#N/A</v>
      </c>
      <c r="EI6" s="17" t="e">
        <v>#N/A</v>
      </c>
      <c r="EJ6" s="17" t="e">
        <v>#N/A</v>
      </c>
      <c r="EK6" s="17" t="e">
        <v>#N/A</v>
      </c>
      <c r="EL6" s="17" t="e">
        <v>#N/A</v>
      </c>
      <c r="EM6" s="17" t="e">
        <v>#N/A</v>
      </c>
      <c r="EN6" s="17" t="e">
        <v>#N/A</v>
      </c>
      <c r="EO6" s="17" t="e">
        <v>#N/A</v>
      </c>
      <c r="EP6" s="17" t="e">
        <v>#N/A</v>
      </c>
      <c r="EQ6" s="17" t="e">
        <v>#N/A</v>
      </c>
      <c r="ER6" s="17" t="e">
        <v>#N/A</v>
      </c>
      <c r="ES6" s="17" t="e">
        <v>#N/A</v>
      </c>
      <c r="ET6" s="17" t="e">
        <v>#N/A</v>
      </c>
      <c r="EU6" s="17" t="e">
        <v>#N/A</v>
      </c>
      <c r="EV6" s="17" t="e">
        <v>#N/A</v>
      </c>
      <c r="EW6" s="17" t="e">
        <v>#N/A</v>
      </c>
      <c r="EX6" s="17" t="e">
        <v>#N/A</v>
      </c>
      <c r="EY6" s="17" t="e">
        <v>#N/A</v>
      </c>
      <c r="EZ6" s="17" t="e">
        <v>#N/A</v>
      </c>
      <c r="FA6" s="17" t="e">
        <v>#N/A</v>
      </c>
      <c r="FB6" s="17" t="e">
        <v>#N/A</v>
      </c>
      <c r="FC6" s="17" t="e">
        <v>#N/A</v>
      </c>
      <c r="FD6" s="17" t="e">
        <v>#N/A</v>
      </c>
      <c r="FE6" s="17" t="e">
        <v>#N/A</v>
      </c>
      <c r="FF6" s="17" t="e">
        <v>#N/A</v>
      </c>
      <c r="FG6" s="17" t="e">
        <v>#N/A</v>
      </c>
      <c r="FH6" s="17" t="e">
        <v>#N/A</v>
      </c>
      <c r="FI6" s="17" t="e">
        <v>#N/A</v>
      </c>
      <c r="FJ6" s="17" t="e">
        <v>#N/A</v>
      </c>
      <c r="FK6" s="17" t="e">
        <v>#N/A</v>
      </c>
      <c r="FL6" s="17" t="e">
        <v>#N/A</v>
      </c>
      <c r="FM6" s="17" t="e">
        <v>#N/A</v>
      </c>
      <c r="FN6" s="17" t="e">
        <v>#N/A</v>
      </c>
      <c r="FO6" s="17" t="e">
        <v>#N/A</v>
      </c>
      <c r="FP6" s="17" t="e">
        <v>#N/A</v>
      </c>
      <c r="FQ6" s="17" t="e">
        <v>#N/A</v>
      </c>
      <c r="FR6" s="17" t="e">
        <v>#N/A</v>
      </c>
      <c r="FS6" s="17" t="e">
        <v>#N/A</v>
      </c>
      <c r="FT6" s="17" t="e">
        <v>#N/A</v>
      </c>
      <c r="FU6" s="17" t="e">
        <v>#N/A</v>
      </c>
      <c r="FV6" s="17" t="e">
        <v>#N/A</v>
      </c>
    </row>
    <row r="7" spans="2:178" ht="11.25" customHeight="1">
      <c r="B7" s="17">
        <v>1</v>
      </c>
      <c r="C7" s="17">
        <v>0</v>
      </c>
      <c r="D7" s="17">
        <v>0</v>
      </c>
      <c r="E7" s="17">
        <v>0</v>
      </c>
      <c r="F7" s="17">
        <v>0</v>
      </c>
      <c r="G7" s="17">
        <v>0</v>
      </c>
      <c r="H7" s="17">
        <v>1</v>
      </c>
      <c r="I7" s="17">
        <v>0</v>
      </c>
      <c r="J7" s="17">
        <v>1</v>
      </c>
      <c r="K7" s="17">
        <v>1</v>
      </c>
      <c r="L7" s="17">
        <v>1</v>
      </c>
      <c r="M7" s="17">
        <v>0</v>
      </c>
      <c r="N7" s="17">
        <v>1</v>
      </c>
      <c r="O7" s="17">
        <v>1</v>
      </c>
      <c r="P7" s="17">
        <v>1</v>
      </c>
      <c r="Q7" s="17">
        <v>0</v>
      </c>
      <c r="R7" s="17">
        <v>0</v>
      </c>
      <c r="S7" s="17">
        <v>0</v>
      </c>
      <c r="T7" s="17">
        <v>0</v>
      </c>
      <c r="U7" s="17">
        <v>1</v>
      </c>
      <c r="V7" s="17">
        <v>0</v>
      </c>
      <c r="W7" s="17">
        <v>0</v>
      </c>
      <c r="X7" s="17">
        <v>1</v>
      </c>
      <c r="Y7" s="17">
        <v>1</v>
      </c>
      <c r="Z7" s="17">
        <v>0</v>
      </c>
      <c r="AA7" s="17">
        <v>0</v>
      </c>
      <c r="AB7" s="17">
        <v>1</v>
      </c>
      <c r="AC7" s="17">
        <v>0</v>
      </c>
      <c r="AD7" s="17">
        <v>0</v>
      </c>
      <c r="AE7" s="17">
        <v>0</v>
      </c>
      <c r="AF7" s="17">
        <v>1</v>
      </c>
      <c r="AG7" s="17">
        <v>1</v>
      </c>
      <c r="AH7" s="17">
        <v>1</v>
      </c>
      <c r="AI7" s="17">
        <v>0</v>
      </c>
      <c r="AJ7" s="17">
        <v>0</v>
      </c>
      <c r="AK7" s="17">
        <v>0</v>
      </c>
      <c r="AL7" s="17">
        <v>1</v>
      </c>
      <c r="AM7" s="17">
        <v>0</v>
      </c>
      <c r="AN7" s="17">
        <v>1</v>
      </c>
      <c r="AO7" s="17">
        <v>0</v>
      </c>
      <c r="AP7" s="17">
        <v>1</v>
      </c>
      <c r="AQ7" s="17">
        <v>0</v>
      </c>
      <c r="AR7" s="17">
        <v>1</v>
      </c>
      <c r="AS7" s="17">
        <v>0</v>
      </c>
      <c r="AT7" s="17">
        <v>0</v>
      </c>
      <c r="AU7" s="17">
        <v>1</v>
      </c>
      <c r="AV7" s="17">
        <v>0</v>
      </c>
      <c r="AW7" s="17">
        <v>1</v>
      </c>
      <c r="AX7" s="17">
        <v>0</v>
      </c>
      <c r="AY7" s="17">
        <v>1</v>
      </c>
      <c r="AZ7" s="17">
        <v>0</v>
      </c>
      <c r="BA7" s="17">
        <v>1</v>
      </c>
      <c r="BB7" s="17">
        <v>0</v>
      </c>
      <c r="BC7" s="17">
        <v>0</v>
      </c>
      <c r="BD7" s="17">
        <v>0</v>
      </c>
      <c r="BE7" s="17">
        <v>0</v>
      </c>
      <c r="BF7" s="17">
        <v>0</v>
      </c>
      <c r="BG7" s="17">
        <v>1</v>
      </c>
      <c r="BH7" s="17">
        <v>1</v>
      </c>
      <c r="BI7" s="17">
        <v>0</v>
      </c>
      <c r="BJ7" s="17">
        <v>0</v>
      </c>
      <c r="BK7" s="17">
        <v>0</v>
      </c>
      <c r="BL7" s="17">
        <v>1</v>
      </c>
      <c r="BM7" s="17">
        <v>0</v>
      </c>
      <c r="BN7" s="17">
        <v>0</v>
      </c>
      <c r="BO7" s="17">
        <v>0</v>
      </c>
      <c r="BP7" s="17">
        <v>0</v>
      </c>
      <c r="BQ7" s="17">
        <v>0</v>
      </c>
      <c r="BR7" s="17">
        <v>1</v>
      </c>
      <c r="BS7" s="17" t="e">
        <v>#N/A</v>
      </c>
      <c r="BT7" s="17" t="e">
        <v>#N/A</v>
      </c>
      <c r="BU7" s="17" t="e">
        <v>#N/A</v>
      </c>
      <c r="BV7" s="17" t="e">
        <v>#N/A</v>
      </c>
      <c r="BW7" s="17" t="e">
        <v>#N/A</v>
      </c>
      <c r="BX7" s="17" t="e">
        <v>#N/A</v>
      </c>
      <c r="BY7" s="17" t="e">
        <v>#N/A</v>
      </c>
      <c r="BZ7" s="17" t="e">
        <v>#N/A</v>
      </c>
      <c r="CA7" s="17" t="e">
        <v>#N/A</v>
      </c>
      <c r="CB7" s="17" t="e">
        <v>#N/A</v>
      </c>
      <c r="CC7" s="17" t="e">
        <v>#N/A</v>
      </c>
      <c r="CD7" s="17" t="e">
        <v>#N/A</v>
      </c>
      <c r="CE7" s="17" t="e">
        <v>#N/A</v>
      </c>
      <c r="CF7" s="17" t="e">
        <v>#N/A</v>
      </c>
      <c r="CG7" s="17" t="e">
        <v>#N/A</v>
      </c>
      <c r="CH7" s="17" t="e">
        <v>#N/A</v>
      </c>
      <c r="CI7" s="17" t="e">
        <v>#N/A</v>
      </c>
      <c r="CJ7" s="17" t="e">
        <v>#N/A</v>
      </c>
      <c r="CK7" s="17" t="e">
        <v>#N/A</v>
      </c>
      <c r="CL7" s="17" t="e">
        <v>#N/A</v>
      </c>
      <c r="CM7" s="17" t="e">
        <v>#N/A</v>
      </c>
      <c r="CN7" s="17" t="e">
        <v>#N/A</v>
      </c>
      <c r="CO7" s="17" t="e">
        <v>#N/A</v>
      </c>
      <c r="CP7" s="17" t="e">
        <v>#N/A</v>
      </c>
      <c r="CQ7" s="17" t="e">
        <v>#N/A</v>
      </c>
      <c r="CR7" s="17" t="e">
        <v>#N/A</v>
      </c>
      <c r="CS7" s="17" t="e">
        <v>#N/A</v>
      </c>
      <c r="CT7" s="17" t="e">
        <v>#N/A</v>
      </c>
      <c r="CU7" s="17" t="e">
        <v>#N/A</v>
      </c>
      <c r="CV7" s="17" t="e">
        <v>#N/A</v>
      </c>
      <c r="CW7" s="17" t="e">
        <v>#N/A</v>
      </c>
      <c r="CX7" s="17" t="e">
        <v>#N/A</v>
      </c>
      <c r="CY7" s="17" t="e">
        <v>#N/A</v>
      </c>
      <c r="CZ7" s="17" t="e">
        <v>#N/A</v>
      </c>
      <c r="DA7" s="17" t="e">
        <v>#N/A</v>
      </c>
      <c r="DB7" s="17" t="e">
        <v>#N/A</v>
      </c>
      <c r="DC7" s="17" t="e">
        <v>#N/A</v>
      </c>
      <c r="DD7" s="17" t="e">
        <v>#N/A</v>
      </c>
      <c r="DE7" s="17" t="e">
        <v>#N/A</v>
      </c>
      <c r="DF7" s="17" t="e">
        <v>#N/A</v>
      </c>
      <c r="DG7" s="17" t="e">
        <v>#N/A</v>
      </c>
      <c r="DH7" s="17" t="e">
        <v>#N/A</v>
      </c>
      <c r="DI7" s="17" t="e">
        <v>#N/A</v>
      </c>
      <c r="DJ7" s="17" t="e">
        <v>#N/A</v>
      </c>
      <c r="DK7" s="17" t="e">
        <v>#N/A</v>
      </c>
      <c r="DL7" s="17" t="e">
        <v>#N/A</v>
      </c>
      <c r="DM7" s="17" t="e">
        <v>#N/A</v>
      </c>
      <c r="DN7" s="17" t="e">
        <v>#N/A</v>
      </c>
      <c r="DO7" s="17" t="e">
        <v>#N/A</v>
      </c>
      <c r="DP7" s="17" t="e">
        <v>#N/A</v>
      </c>
      <c r="DQ7" s="17" t="e">
        <v>#N/A</v>
      </c>
      <c r="DR7" s="17" t="e">
        <v>#N/A</v>
      </c>
      <c r="DS7" s="17" t="e">
        <v>#N/A</v>
      </c>
      <c r="DT7" s="17" t="e">
        <v>#N/A</v>
      </c>
      <c r="DU7" s="17" t="e">
        <v>#N/A</v>
      </c>
      <c r="DV7" s="17" t="e">
        <v>#N/A</v>
      </c>
      <c r="DW7" s="17" t="e">
        <v>#N/A</v>
      </c>
      <c r="DX7" s="17" t="e">
        <v>#N/A</v>
      </c>
      <c r="DY7" s="17" t="e">
        <v>#N/A</v>
      </c>
      <c r="DZ7" s="17" t="e">
        <v>#N/A</v>
      </c>
      <c r="EA7" s="17" t="e">
        <v>#N/A</v>
      </c>
      <c r="EB7" s="17" t="e">
        <v>#N/A</v>
      </c>
      <c r="EC7" s="17" t="e">
        <v>#N/A</v>
      </c>
      <c r="ED7" s="17" t="e">
        <v>#N/A</v>
      </c>
      <c r="EE7" s="17" t="e">
        <v>#N/A</v>
      </c>
      <c r="EF7" s="17" t="e">
        <v>#N/A</v>
      </c>
      <c r="EG7" s="17" t="e">
        <v>#N/A</v>
      </c>
      <c r="EH7" s="17" t="e">
        <v>#N/A</v>
      </c>
      <c r="EI7" s="17" t="e">
        <v>#N/A</v>
      </c>
      <c r="EJ7" s="17" t="e">
        <v>#N/A</v>
      </c>
      <c r="EK7" s="17" t="e">
        <v>#N/A</v>
      </c>
      <c r="EL7" s="17" t="e">
        <v>#N/A</v>
      </c>
      <c r="EM7" s="17" t="e">
        <v>#N/A</v>
      </c>
      <c r="EN7" s="17" t="e">
        <v>#N/A</v>
      </c>
      <c r="EO7" s="17" t="e">
        <v>#N/A</v>
      </c>
      <c r="EP7" s="17" t="e">
        <v>#N/A</v>
      </c>
      <c r="EQ7" s="17" t="e">
        <v>#N/A</v>
      </c>
      <c r="ER7" s="17" t="e">
        <v>#N/A</v>
      </c>
      <c r="ES7" s="17" t="e">
        <v>#N/A</v>
      </c>
      <c r="ET7" s="17" t="e">
        <v>#N/A</v>
      </c>
      <c r="EU7" s="17" t="e">
        <v>#N/A</v>
      </c>
      <c r="EV7" s="17" t="e">
        <v>#N/A</v>
      </c>
      <c r="EW7" s="17" t="e">
        <v>#N/A</v>
      </c>
      <c r="EX7" s="17" t="e">
        <v>#N/A</v>
      </c>
      <c r="EY7" s="17" t="e">
        <v>#N/A</v>
      </c>
      <c r="EZ7" s="17" t="e">
        <v>#N/A</v>
      </c>
      <c r="FA7" s="17" t="e">
        <v>#N/A</v>
      </c>
      <c r="FB7" s="17" t="e">
        <v>#N/A</v>
      </c>
      <c r="FC7" s="17" t="e">
        <v>#N/A</v>
      </c>
      <c r="FD7" s="17" t="e">
        <v>#N/A</v>
      </c>
      <c r="FE7" s="17" t="e">
        <v>#N/A</v>
      </c>
      <c r="FF7" s="17" t="e">
        <v>#N/A</v>
      </c>
      <c r="FG7" s="17" t="e">
        <v>#N/A</v>
      </c>
      <c r="FH7" s="17" t="e">
        <v>#N/A</v>
      </c>
      <c r="FI7" s="17" t="e">
        <v>#N/A</v>
      </c>
      <c r="FJ7" s="17" t="e">
        <v>#N/A</v>
      </c>
      <c r="FK7" s="17" t="e">
        <v>#N/A</v>
      </c>
      <c r="FL7" s="17" t="e">
        <v>#N/A</v>
      </c>
      <c r="FM7" s="17" t="e">
        <v>#N/A</v>
      </c>
      <c r="FN7" s="17" t="e">
        <v>#N/A</v>
      </c>
      <c r="FO7" s="17" t="e">
        <v>#N/A</v>
      </c>
      <c r="FP7" s="17" t="e">
        <v>#N/A</v>
      </c>
      <c r="FQ7" s="17" t="e">
        <v>#N/A</v>
      </c>
      <c r="FR7" s="17" t="e">
        <v>#N/A</v>
      </c>
      <c r="FS7" s="17" t="e">
        <v>#N/A</v>
      </c>
      <c r="FT7" s="17" t="e">
        <v>#N/A</v>
      </c>
      <c r="FU7" s="17" t="e">
        <v>#N/A</v>
      </c>
      <c r="FV7" s="17" t="e">
        <v>#N/A</v>
      </c>
    </row>
    <row r="8" spans="2:178" ht="11.25" customHeight="1">
      <c r="B8" s="17">
        <v>1</v>
      </c>
      <c r="C8" s="17">
        <v>1</v>
      </c>
      <c r="D8" s="17">
        <v>1</v>
      </c>
      <c r="E8" s="17">
        <v>1</v>
      </c>
      <c r="F8" s="17">
        <v>1</v>
      </c>
      <c r="G8" s="17">
        <v>1</v>
      </c>
      <c r="H8" s="17">
        <v>1</v>
      </c>
      <c r="I8" s="17">
        <v>0</v>
      </c>
      <c r="J8" s="17">
        <v>1</v>
      </c>
      <c r="K8" s="17">
        <v>0</v>
      </c>
      <c r="L8" s="17">
        <v>1</v>
      </c>
      <c r="M8" s="17">
        <v>0</v>
      </c>
      <c r="N8" s="17">
        <v>1</v>
      </c>
      <c r="O8" s="17">
        <v>0</v>
      </c>
      <c r="P8" s="17">
        <v>1</v>
      </c>
      <c r="Q8" s="17">
        <v>0</v>
      </c>
      <c r="R8" s="17">
        <v>1</v>
      </c>
      <c r="S8" s="17">
        <v>0</v>
      </c>
      <c r="T8" s="17">
        <v>1</v>
      </c>
      <c r="U8" s="17">
        <v>0</v>
      </c>
      <c r="V8" s="17">
        <v>1</v>
      </c>
      <c r="W8" s="17">
        <v>0</v>
      </c>
      <c r="X8" s="17">
        <v>1</v>
      </c>
      <c r="Y8" s="17">
        <v>0</v>
      </c>
      <c r="Z8" s="17">
        <v>1</v>
      </c>
      <c r="AA8" s="17">
        <v>0</v>
      </c>
      <c r="AB8" s="17">
        <v>1</v>
      </c>
      <c r="AC8" s="17">
        <v>0</v>
      </c>
      <c r="AD8" s="17">
        <v>1</v>
      </c>
      <c r="AE8" s="17">
        <v>0</v>
      </c>
      <c r="AF8" s="17">
        <v>1</v>
      </c>
      <c r="AG8" s="17">
        <v>0</v>
      </c>
      <c r="AH8" s="17">
        <v>1</v>
      </c>
      <c r="AI8" s="17">
        <v>0</v>
      </c>
      <c r="AJ8" s="17">
        <v>1</v>
      </c>
      <c r="AK8" s="17">
        <v>0</v>
      </c>
      <c r="AL8" s="17">
        <v>1</v>
      </c>
      <c r="AM8" s="17">
        <v>0</v>
      </c>
      <c r="AN8" s="17">
        <v>1</v>
      </c>
      <c r="AO8" s="17">
        <v>0</v>
      </c>
      <c r="AP8" s="17">
        <v>1</v>
      </c>
      <c r="AQ8" s="17">
        <v>0</v>
      </c>
      <c r="AR8" s="17">
        <v>1</v>
      </c>
      <c r="AS8" s="17">
        <v>0</v>
      </c>
      <c r="AT8" s="17">
        <v>1</v>
      </c>
      <c r="AU8" s="17">
        <v>0</v>
      </c>
      <c r="AV8" s="17">
        <v>1</v>
      </c>
      <c r="AW8" s="17">
        <v>0</v>
      </c>
      <c r="AX8" s="17">
        <v>1</v>
      </c>
      <c r="AY8" s="17">
        <v>0</v>
      </c>
      <c r="AZ8" s="17">
        <v>1</v>
      </c>
      <c r="BA8" s="17">
        <v>0</v>
      </c>
      <c r="BB8" s="17">
        <v>1</v>
      </c>
      <c r="BC8" s="17">
        <v>0</v>
      </c>
      <c r="BD8" s="17">
        <v>1</v>
      </c>
      <c r="BE8" s="17">
        <v>0</v>
      </c>
      <c r="BF8" s="17">
        <v>1</v>
      </c>
      <c r="BG8" s="17">
        <v>0</v>
      </c>
      <c r="BH8" s="17">
        <v>1</v>
      </c>
      <c r="BI8" s="17">
        <v>0</v>
      </c>
      <c r="BJ8" s="17">
        <v>1</v>
      </c>
      <c r="BK8" s="17">
        <v>0</v>
      </c>
      <c r="BL8" s="17">
        <v>1</v>
      </c>
      <c r="BM8" s="17">
        <v>1</v>
      </c>
      <c r="BN8" s="17">
        <v>1</v>
      </c>
      <c r="BO8" s="17">
        <v>1</v>
      </c>
      <c r="BP8" s="17">
        <v>1</v>
      </c>
      <c r="BQ8" s="17">
        <v>1</v>
      </c>
      <c r="BR8" s="17">
        <v>1</v>
      </c>
      <c r="BS8" s="17" t="e">
        <v>#N/A</v>
      </c>
      <c r="BT8" s="17" t="e">
        <v>#N/A</v>
      </c>
      <c r="BU8" s="17" t="e">
        <v>#N/A</v>
      </c>
      <c r="BV8" s="17" t="e">
        <v>#N/A</v>
      </c>
      <c r="BW8" s="17" t="e">
        <v>#N/A</v>
      </c>
      <c r="BX8" s="17" t="e">
        <v>#N/A</v>
      </c>
      <c r="BY8" s="17" t="e">
        <v>#N/A</v>
      </c>
      <c r="BZ8" s="17" t="e">
        <v>#N/A</v>
      </c>
      <c r="CA8" s="17" t="e">
        <v>#N/A</v>
      </c>
      <c r="CB8" s="17" t="e">
        <v>#N/A</v>
      </c>
      <c r="CC8" s="17" t="e">
        <v>#N/A</v>
      </c>
      <c r="CD8" s="17" t="e">
        <v>#N/A</v>
      </c>
      <c r="CE8" s="17" t="e">
        <v>#N/A</v>
      </c>
      <c r="CF8" s="17" t="e">
        <v>#N/A</v>
      </c>
      <c r="CG8" s="17" t="e">
        <v>#N/A</v>
      </c>
      <c r="CH8" s="17" t="e">
        <v>#N/A</v>
      </c>
      <c r="CI8" s="17" t="e">
        <v>#N/A</v>
      </c>
      <c r="CJ8" s="17" t="e">
        <v>#N/A</v>
      </c>
      <c r="CK8" s="17" t="e">
        <v>#N/A</v>
      </c>
      <c r="CL8" s="17" t="e">
        <v>#N/A</v>
      </c>
      <c r="CM8" s="17" t="e">
        <v>#N/A</v>
      </c>
      <c r="CN8" s="17" t="e">
        <v>#N/A</v>
      </c>
      <c r="CO8" s="17" t="e">
        <v>#N/A</v>
      </c>
      <c r="CP8" s="17" t="e">
        <v>#N/A</v>
      </c>
      <c r="CQ8" s="17" t="e">
        <v>#N/A</v>
      </c>
      <c r="CR8" s="17" t="e">
        <v>#N/A</v>
      </c>
      <c r="CS8" s="17" t="e">
        <v>#N/A</v>
      </c>
      <c r="CT8" s="17" t="e">
        <v>#N/A</v>
      </c>
      <c r="CU8" s="17" t="e">
        <v>#N/A</v>
      </c>
      <c r="CV8" s="17" t="e">
        <v>#N/A</v>
      </c>
      <c r="CW8" s="17" t="e">
        <v>#N/A</v>
      </c>
      <c r="CX8" s="17" t="e">
        <v>#N/A</v>
      </c>
      <c r="CY8" s="17" t="e">
        <v>#N/A</v>
      </c>
      <c r="CZ8" s="17" t="e">
        <v>#N/A</v>
      </c>
      <c r="DA8" s="17" t="e">
        <v>#N/A</v>
      </c>
      <c r="DB8" s="17" t="e">
        <v>#N/A</v>
      </c>
      <c r="DC8" s="17" t="e">
        <v>#N/A</v>
      </c>
      <c r="DD8" s="17" t="e">
        <v>#N/A</v>
      </c>
      <c r="DE8" s="17" t="e">
        <v>#N/A</v>
      </c>
      <c r="DF8" s="17" t="e">
        <v>#N/A</v>
      </c>
      <c r="DG8" s="17" t="e">
        <v>#N/A</v>
      </c>
      <c r="DH8" s="17" t="e">
        <v>#N/A</v>
      </c>
      <c r="DI8" s="17" t="e">
        <v>#N/A</v>
      </c>
      <c r="DJ8" s="17" t="e">
        <v>#N/A</v>
      </c>
      <c r="DK8" s="17" t="e">
        <v>#N/A</v>
      </c>
      <c r="DL8" s="17" t="e">
        <v>#N/A</v>
      </c>
      <c r="DM8" s="17" t="e">
        <v>#N/A</v>
      </c>
      <c r="DN8" s="17" t="e">
        <v>#N/A</v>
      </c>
      <c r="DO8" s="17" t="e">
        <v>#N/A</v>
      </c>
      <c r="DP8" s="17" t="e">
        <v>#N/A</v>
      </c>
      <c r="DQ8" s="17" t="e">
        <v>#N/A</v>
      </c>
      <c r="DR8" s="17" t="e">
        <v>#N/A</v>
      </c>
      <c r="DS8" s="17" t="e">
        <v>#N/A</v>
      </c>
      <c r="DT8" s="17" t="e">
        <v>#N/A</v>
      </c>
      <c r="DU8" s="17" t="e">
        <v>#N/A</v>
      </c>
      <c r="DV8" s="17" t="e">
        <v>#N/A</v>
      </c>
      <c r="DW8" s="17" t="e">
        <v>#N/A</v>
      </c>
      <c r="DX8" s="17" t="e">
        <v>#N/A</v>
      </c>
      <c r="DY8" s="17" t="e">
        <v>#N/A</v>
      </c>
      <c r="DZ8" s="17" t="e">
        <v>#N/A</v>
      </c>
      <c r="EA8" s="17" t="e">
        <v>#N/A</v>
      </c>
      <c r="EB8" s="17" t="e">
        <v>#N/A</v>
      </c>
      <c r="EC8" s="17" t="e">
        <v>#N/A</v>
      </c>
      <c r="ED8" s="17" t="e">
        <v>#N/A</v>
      </c>
      <c r="EE8" s="17" t="e">
        <v>#N/A</v>
      </c>
      <c r="EF8" s="17" t="e">
        <v>#N/A</v>
      </c>
      <c r="EG8" s="17" t="e">
        <v>#N/A</v>
      </c>
      <c r="EH8" s="17" t="e">
        <v>#N/A</v>
      </c>
      <c r="EI8" s="17" t="e">
        <v>#N/A</v>
      </c>
      <c r="EJ8" s="17" t="e">
        <v>#N/A</v>
      </c>
      <c r="EK8" s="17" t="e">
        <v>#N/A</v>
      </c>
      <c r="EL8" s="17" t="e">
        <v>#N/A</v>
      </c>
      <c r="EM8" s="17" t="e">
        <v>#N/A</v>
      </c>
      <c r="EN8" s="17" t="e">
        <v>#N/A</v>
      </c>
      <c r="EO8" s="17" t="e">
        <v>#N/A</v>
      </c>
      <c r="EP8" s="17" t="e">
        <v>#N/A</v>
      </c>
      <c r="EQ8" s="17" t="e">
        <v>#N/A</v>
      </c>
      <c r="ER8" s="17" t="e">
        <v>#N/A</v>
      </c>
      <c r="ES8" s="17" t="e">
        <v>#N/A</v>
      </c>
      <c r="ET8" s="17" t="e">
        <v>#N/A</v>
      </c>
      <c r="EU8" s="17" t="e">
        <v>#N/A</v>
      </c>
      <c r="EV8" s="17" t="e">
        <v>#N/A</v>
      </c>
      <c r="EW8" s="17" t="e">
        <v>#N/A</v>
      </c>
      <c r="EX8" s="17" t="e">
        <v>#N/A</v>
      </c>
      <c r="EY8" s="17" t="e">
        <v>#N/A</v>
      </c>
      <c r="EZ8" s="17" t="e">
        <v>#N/A</v>
      </c>
      <c r="FA8" s="17" t="e">
        <v>#N/A</v>
      </c>
      <c r="FB8" s="17" t="e">
        <v>#N/A</v>
      </c>
      <c r="FC8" s="17" t="e">
        <v>#N/A</v>
      </c>
      <c r="FD8" s="17" t="e">
        <v>#N/A</v>
      </c>
      <c r="FE8" s="17" t="e">
        <v>#N/A</v>
      </c>
      <c r="FF8" s="17" t="e">
        <v>#N/A</v>
      </c>
      <c r="FG8" s="17" t="e">
        <v>#N/A</v>
      </c>
      <c r="FH8" s="17" t="e">
        <v>#N/A</v>
      </c>
      <c r="FI8" s="17" t="e">
        <v>#N/A</v>
      </c>
      <c r="FJ8" s="17" t="e">
        <v>#N/A</v>
      </c>
      <c r="FK8" s="17" t="e">
        <v>#N/A</v>
      </c>
      <c r="FL8" s="17" t="e">
        <v>#N/A</v>
      </c>
      <c r="FM8" s="17" t="e">
        <v>#N/A</v>
      </c>
      <c r="FN8" s="17" t="e">
        <v>#N/A</v>
      </c>
      <c r="FO8" s="17" t="e">
        <v>#N/A</v>
      </c>
      <c r="FP8" s="17" t="e">
        <v>#N/A</v>
      </c>
      <c r="FQ8" s="17" t="e">
        <v>#N/A</v>
      </c>
      <c r="FR8" s="17" t="e">
        <v>#N/A</v>
      </c>
      <c r="FS8" s="17" t="e">
        <v>#N/A</v>
      </c>
      <c r="FT8" s="17" t="e">
        <v>#N/A</v>
      </c>
      <c r="FU8" s="17" t="e">
        <v>#N/A</v>
      </c>
      <c r="FV8" s="17" t="e">
        <v>#N/A</v>
      </c>
    </row>
    <row r="9" spans="2:178" ht="11.25" customHeight="1">
      <c r="B9" s="17">
        <v>0</v>
      </c>
      <c r="C9" s="17">
        <v>0</v>
      </c>
      <c r="D9" s="17">
        <v>0</v>
      </c>
      <c r="E9" s="17">
        <v>0</v>
      </c>
      <c r="F9" s="17">
        <v>0</v>
      </c>
      <c r="G9" s="17">
        <v>0</v>
      </c>
      <c r="H9" s="17">
        <v>0</v>
      </c>
      <c r="I9" s="17">
        <v>0</v>
      </c>
      <c r="J9" s="17">
        <v>0</v>
      </c>
      <c r="K9" s="17">
        <v>1</v>
      </c>
      <c r="L9" s="17">
        <v>0</v>
      </c>
      <c r="M9" s="17">
        <v>1</v>
      </c>
      <c r="N9" s="17">
        <v>1</v>
      </c>
      <c r="O9" s="17">
        <v>0</v>
      </c>
      <c r="P9" s="17">
        <v>0</v>
      </c>
      <c r="Q9" s="17">
        <v>0</v>
      </c>
      <c r="R9" s="17">
        <v>1</v>
      </c>
      <c r="S9" s="17">
        <v>0</v>
      </c>
      <c r="T9" s="17">
        <v>1</v>
      </c>
      <c r="U9" s="17">
        <v>0</v>
      </c>
      <c r="V9" s="17">
        <v>0</v>
      </c>
      <c r="W9" s="17">
        <v>1</v>
      </c>
      <c r="X9" s="17">
        <v>0</v>
      </c>
      <c r="Y9" s="17">
        <v>1</v>
      </c>
      <c r="Z9" s="17">
        <v>0</v>
      </c>
      <c r="AA9" s="17">
        <v>1</v>
      </c>
      <c r="AB9" s="17">
        <v>1</v>
      </c>
      <c r="AC9" s="17">
        <v>0</v>
      </c>
      <c r="AD9" s="17">
        <v>1</v>
      </c>
      <c r="AE9" s="17">
        <v>1</v>
      </c>
      <c r="AF9" s="17">
        <v>1</v>
      </c>
      <c r="AG9" s="17">
        <v>1</v>
      </c>
      <c r="AH9" s="17">
        <v>1</v>
      </c>
      <c r="AI9" s="17">
        <v>0</v>
      </c>
      <c r="AJ9" s="17">
        <v>0</v>
      </c>
      <c r="AK9" s="17">
        <v>0</v>
      </c>
      <c r="AL9" s="17">
        <v>1</v>
      </c>
      <c r="AM9" s="17">
        <v>1</v>
      </c>
      <c r="AN9" s="17">
        <v>1</v>
      </c>
      <c r="AO9" s="17">
        <v>1</v>
      </c>
      <c r="AP9" s="17">
        <v>1</v>
      </c>
      <c r="AQ9" s="17">
        <v>0</v>
      </c>
      <c r="AR9" s="17">
        <v>1</v>
      </c>
      <c r="AS9" s="17">
        <v>1</v>
      </c>
      <c r="AT9" s="17">
        <v>0</v>
      </c>
      <c r="AU9" s="17">
        <v>1</v>
      </c>
      <c r="AV9" s="17">
        <v>1</v>
      </c>
      <c r="AW9" s="17">
        <v>0</v>
      </c>
      <c r="AX9" s="17">
        <v>0</v>
      </c>
      <c r="AY9" s="17">
        <v>1</v>
      </c>
      <c r="AZ9" s="17">
        <v>1</v>
      </c>
      <c r="BA9" s="17">
        <v>1</v>
      </c>
      <c r="BB9" s="17">
        <v>1</v>
      </c>
      <c r="BC9" s="17">
        <v>0</v>
      </c>
      <c r="BD9" s="17">
        <v>1</v>
      </c>
      <c r="BE9" s="17">
        <v>0</v>
      </c>
      <c r="BF9" s="17">
        <v>0</v>
      </c>
      <c r="BG9" s="17">
        <v>0</v>
      </c>
      <c r="BH9" s="17">
        <v>1</v>
      </c>
      <c r="BI9" s="17">
        <v>1</v>
      </c>
      <c r="BJ9" s="17">
        <v>1</v>
      </c>
      <c r="BK9" s="17">
        <v>0</v>
      </c>
      <c r="BL9" s="17">
        <v>0</v>
      </c>
      <c r="BM9" s="17">
        <v>0</v>
      </c>
      <c r="BN9" s="17">
        <v>0</v>
      </c>
      <c r="BO9" s="17">
        <v>0</v>
      </c>
      <c r="BP9" s="17">
        <v>0</v>
      </c>
      <c r="BQ9" s="17">
        <v>0</v>
      </c>
      <c r="BR9" s="17">
        <v>0</v>
      </c>
      <c r="BS9" s="17" t="e">
        <v>#N/A</v>
      </c>
      <c r="BT9" s="17" t="e">
        <v>#N/A</v>
      </c>
      <c r="BU9" s="17" t="e">
        <v>#N/A</v>
      </c>
      <c r="BV9" s="17" t="e">
        <v>#N/A</v>
      </c>
      <c r="BW9" s="17" t="e">
        <v>#N/A</v>
      </c>
      <c r="BX9" s="17" t="e">
        <v>#N/A</v>
      </c>
      <c r="BY9" s="17" t="e">
        <v>#N/A</v>
      </c>
      <c r="BZ9" s="17" t="e">
        <v>#N/A</v>
      </c>
      <c r="CA9" s="17" t="e">
        <v>#N/A</v>
      </c>
      <c r="CB9" s="17" t="e">
        <v>#N/A</v>
      </c>
      <c r="CC9" s="17" t="e">
        <v>#N/A</v>
      </c>
      <c r="CD9" s="17" t="e">
        <v>#N/A</v>
      </c>
      <c r="CE9" s="17" t="e">
        <v>#N/A</v>
      </c>
      <c r="CF9" s="17" t="e">
        <v>#N/A</v>
      </c>
      <c r="CG9" s="17" t="e">
        <v>#N/A</v>
      </c>
      <c r="CH9" s="17" t="e">
        <v>#N/A</v>
      </c>
      <c r="CI9" s="17" t="e">
        <v>#N/A</v>
      </c>
      <c r="CJ9" s="17" t="e">
        <v>#N/A</v>
      </c>
      <c r="CK9" s="17" t="e">
        <v>#N/A</v>
      </c>
      <c r="CL9" s="17" t="e">
        <v>#N/A</v>
      </c>
      <c r="CM9" s="17" t="e">
        <v>#N/A</v>
      </c>
      <c r="CN9" s="17" t="e">
        <v>#N/A</v>
      </c>
      <c r="CO9" s="17" t="e">
        <v>#N/A</v>
      </c>
      <c r="CP9" s="17" t="e">
        <v>#N/A</v>
      </c>
      <c r="CQ9" s="17" t="e">
        <v>#N/A</v>
      </c>
      <c r="CR9" s="17" t="e">
        <v>#N/A</v>
      </c>
      <c r="CS9" s="17" t="e">
        <v>#N/A</v>
      </c>
      <c r="CT9" s="17" t="e">
        <v>#N/A</v>
      </c>
      <c r="CU9" s="17" t="e">
        <v>#N/A</v>
      </c>
      <c r="CV9" s="17" t="e">
        <v>#N/A</v>
      </c>
      <c r="CW9" s="17" t="e">
        <v>#N/A</v>
      </c>
      <c r="CX9" s="17" t="e">
        <v>#N/A</v>
      </c>
      <c r="CY9" s="17" t="e">
        <v>#N/A</v>
      </c>
      <c r="CZ9" s="17" t="e">
        <v>#N/A</v>
      </c>
      <c r="DA9" s="17" t="e">
        <v>#N/A</v>
      </c>
      <c r="DB9" s="17" t="e">
        <v>#N/A</v>
      </c>
      <c r="DC9" s="17" t="e">
        <v>#N/A</v>
      </c>
      <c r="DD9" s="17" t="e">
        <v>#N/A</v>
      </c>
      <c r="DE9" s="17" t="e">
        <v>#N/A</v>
      </c>
      <c r="DF9" s="17" t="e">
        <v>#N/A</v>
      </c>
      <c r="DG9" s="17" t="e">
        <v>#N/A</v>
      </c>
      <c r="DH9" s="17" t="e">
        <v>#N/A</v>
      </c>
      <c r="DI9" s="17" t="e">
        <v>#N/A</v>
      </c>
      <c r="DJ9" s="17" t="e">
        <v>#N/A</v>
      </c>
      <c r="DK9" s="17" t="e">
        <v>#N/A</v>
      </c>
      <c r="DL9" s="17" t="e">
        <v>#N/A</v>
      </c>
      <c r="DM9" s="17" t="e">
        <v>#N/A</v>
      </c>
      <c r="DN9" s="17" t="e">
        <v>#N/A</v>
      </c>
      <c r="DO9" s="17" t="e">
        <v>#N/A</v>
      </c>
      <c r="DP9" s="17" t="e">
        <v>#N/A</v>
      </c>
      <c r="DQ9" s="17" t="e">
        <v>#N/A</v>
      </c>
      <c r="DR9" s="17" t="e">
        <v>#N/A</v>
      </c>
      <c r="DS9" s="17" t="e">
        <v>#N/A</v>
      </c>
      <c r="DT9" s="17" t="e">
        <v>#N/A</v>
      </c>
      <c r="DU9" s="17" t="e">
        <v>#N/A</v>
      </c>
      <c r="DV9" s="17" t="e">
        <v>#N/A</v>
      </c>
      <c r="DW9" s="17" t="e">
        <v>#N/A</v>
      </c>
      <c r="DX9" s="17" t="e">
        <v>#N/A</v>
      </c>
      <c r="DY9" s="17" t="e">
        <v>#N/A</v>
      </c>
      <c r="DZ9" s="17" t="e">
        <v>#N/A</v>
      </c>
      <c r="EA9" s="17" t="e">
        <v>#N/A</v>
      </c>
      <c r="EB9" s="17" t="e">
        <v>#N/A</v>
      </c>
      <c r="EC9" s="17" t="e">
        <v>#N/A</v>
      </c>
      <c r="ED9" s="17" t="e">
        <v>#N/A</v>
      </c>
      <c r="EE9" s="17" t="e">
        <v>#N/A</v>
      </c>
      <c r="EF9" s="17" t="e">
        <v>#N/A</v>
      </c>
      <c r="EG9" s="17" t="e">
        <v>#N/A</v>
      </c>
      <c r="EH9" s="17" t="e">
        <v>#N/A</v>
      </c>
      <c r="EI9" s="17" t="e">
        <v>#N/A</v>
      </c>
      <c r="EJ9" s="17" t="e">
        <v>#N/A</v>
      </c>
      <c r="EK9" s="17" t="e">
        <v>#N/A</v>
      </c>
      <c r="EL9" s="17" t="e">
        <v>#N/A</v>
      </c>
      <c r="EM9" s="17" t="e">
        <v>#N/A</v>
      </c>
      <c r="EN9" s="17" t="e">
        <v>#N/A</v>
      </c>
      <c r="EO9" s="17" t="e">
        <v>#N/A</v>
      </c>
      <c r="EP9" s="17" t="e">
        <v>#N/A</v>
      </c>
      <c r="EQ9" s="17" t="e">
        <v>#N/A</v>
      </c>
      <c r="ER9" s="17" t="e">
        <v>#N/A</v>
      </c>
      <c r="ES9" s="17" t="e">
        <v>#N/A</v>
      </c>
      <c r="ET9" s="17" t="e">
        <v>#N/A</v>
      </c>
      <c r="EU9" s="17" t="e">
        <v>#N/A</v>
      </c>
      <c r="EV9" s="17" t="e">
        <v>#N/A</v>
      </c>
      <c r="EW9" s="17" t="e">
        <v>#N/A</v>
      </c>
      <c r="EX9" s="17" t="e">
        <v>#N/A</v>
      </c>
      <c r="EY9" s="17" t="e">
        <v>#N/A</v>
      </c>
      <c r="EZ9" s="17" t="e">
        <v>#N/A</v>
      </c>
      <c r="FA9" s="17" t="e">
        <v>#N/A</v>
      </c>
      <c r="FB9" s="17" t="e">
        <v>#N/A</v>
      </c>
      <c r="FC9" s="17" t="e">
        <v>#N/A</v>
      </c>
      <c r="FD9" s="17" t="e">
        <v>#N/A</v>
      </c>
      <c r="FE9" s="17" t="e">
        <v>#N/A</v>
      </c>
      <c r="FF9" s="17" t="e">
        <v>#N/A</v>
      </c>
      <c r="FG9" s="17" t="e">
        <v>#N/A</v>
      </c>
      <c r="FH9" s="17" t="e">
        <v>#N/A</v>
      </c>
      <c r="FI9" s="17" t="e">
        <v>#N/A</v>
      </c>
      <c r="FJ9" s="17" t="e">
        <v>#N/A</v>
      </c>
      <c r="FK9" s="17" t="e">
        <v>#N/A</v>
      </c>
      <c r="FL9" s="17" t="e">
        <v>#N/A</v>
      </c>
      <c r="FM9" s="17" t="e">
        <v>#N/A</v>
      </c>
      <c r="FN9" s="17" t="e">
        <v>#N/A</v>
      </c>
      <c r="FO9" s="17" t="e">
        <v>#N/A</v>
      </c>
      <c r="FP9" s="17" t="e">
        <v>#N/A</v>
      </c>
      <c r="FQ9" s="17" t="e">
        <v>#N/A</v>
      </c>
      <c r="FR9" s="17" t="e">
        <v>#N/A</v>
      </c>
      <c r="FS9" s="17" t="e">
        <v>#N/A</v>
      </c>
      <c r="FT9" s="17" t="e">
        <v>#N/A</v>
      </c>
      <c r="FU9" s="17" t="e">
        <v>#N/A</v>
      </c>
      <c r="FV9" s="17" t="e">
        <v>#N/A</v>
      </c>
    </row>
    <row r="10" spans="2:178" ht="11.25" customHeight="1">
      <c r="B10" s="17">
        <v>0</v>
      </c>
      <c r="C10" s="17">
        <v>0</v>
      </c>
      <c r="D10" s="17">
        <v>0</v>
      </c>
      <c r="E10" s="17">
        <v>1</v>
      </c>
      <c r="F10" s="17">
        <v>0</v>
      </c>
      <c r="G10" s="17">
        <v>0</v>
      </c>
      <c r="H10" s="17">
        <v>1</v>
      </c>
      <c r="I10" s="17">
        <v>0</v>
      </c>
      <c r="J10" s="17">
        <v>0</v>
      </c>
      <c r="K10" s="17">
        <v>0</v>
      </c>
      <c r="L10" s="17">
        <v>1</v>
      </c>
      <c r="M10" s="17">
        <v>0</v>
      </c>
      <c r="N10" s="17">
        <v>1</v>
      </c>
      <c r="O10" s="17">
        <v>0</v>
      </c>
      <c r="P10" s="17">
        <v>0</v>
      </c>
      <c r="Q10" s="17">
        <v>1</v>
      </c>
      <c r="R10" s="17">
        <v>1</v>
      </c>
      <c r="S10" s="17">
        <v>0</v>
      </c>
      <c r="T10" s="17">
        <v>0</v>
      </c>
      <c r="U10" s="17">
        <v>1</v>
      </c>
      <c r="V10" s="17">
        <v>0</v>
      </c>
      <c r="W10" s="17">
        <v>1</v>
      </c>
      <c r="X10" s="17">
        <v>1</v>
      </c>
      <c r="Y10" s="17">
        <v>0</v>
      </c>
      <c r="Z10" s="17">
        <v>1</v>
      </c>
      <c r="AA10" s="17">
        <v>1</v>
      </c>
      <c r="AB10" s="17">
        <v>0</v>
      </c>
      <c r="AC10" s="17">
        <v>1</v>
      </c>
      <c r="AD10" s="17">
        <v>0</v>
      </c>
      <c r="AE10" s="17">
        <v>0</v>
      </c>
      <c r="AF10" s="17">
        <v>1</v>
      </c>
      <c r="AG10" s="17">
        <v>0</v>
      </c>
      <c r="AH10" s="17">
        <v>1</v>
      </c>
      <c r="AI10" s="17">
        <v>1</v>
      </c>
      <c r="AJ10" s="17">
        <v>1</v>
      </c>
      <c r="AK10" s="17">
        <v>1</v>
      </c>
      <c r="AL10" s="17">
        <v>1</v>
      </c>
      <c r="AM10" s="17">
        <v>0</v>
      </c>
      <c r="AN10" s="17">
        <v>1</v>
      </c>
      <c r="AO10" s="17">
        <v>1</v>
      </c>
      <c r="AP10" s="17">
        <v>0</v>
      </c>
      <c r="AQ10" s="17">
        <v>0</v>
      </c>
      <c r="AR10" s="17">
        <v>1</v>
      </c>
      <c r="AS10" s="17">
        <v>1</v>
      </c>
      <c r="AT10" s="17">
        <v>1</v>
      </c>
      <c r="AU10" s="17">
        <v>1</v>
      </c>
      <c r="AV10" s="17">
        <v>1</v>
      </c>
      <c r="AW10" s="17">
        <v>1</v>
      </c>
      <c r="AX10" s="17">
        <v>1</v>
      </c>
      <c r="AY10" s="17">
        <v>1</v>
      </c>
      <c r="AZ10" s="17">
        <v>1</v>
      </c>
      <c r="BA10" s="17">
        <v>1</v>
      </c>
      <c r="BB10" s="17">
        <v>0</v>
      </c>
      <c r="BC10" s="17">
        <v>1</v>
      </c>
      <c r="BD10" s="17">
        <v>0</v>
      </c>
      <c r="BE10" s="17">
        <v>1</v>
      </c>
      <c r="BF10" s="17">
        <v>1</v>
      </c>
      <c r="BG10" s="17">
        <v>1</v>
      </c>
      <c r="BH10" s="17">
        <v>1</v>
      </c>
      <c r="BI10" s="17">
        <v>1</v>
      </c>
      <c r="BJ10" s="17">
        <v>1</v>
      </c>
      <c r="BK10" s="17">
        <v>0</v>
      </c>
      <c r="BL10" s="17">
        <v>0</v>
      </c>
      <c r="BM10" s="17">
        <v>1</v>
      </c>
      <c r="BN10" s="17">
        <v>1</v>
      </c>
      <c r="BO10" s="17">
        <v>1</v>
      </c>
      <c r="BP10" s="17">
        <v>0</v>
      </c>
      <c r="BQ10" s="17">
        <v>1</v>
      </c>
      <c r="BR10" s="17">
        <v>1</v>
      </c>
      <c r="BS10" s="17" t="e">
        <v>#N/A</v>
      </c>
      <c r="BT10" s="17" t="e">
        <v>#N/A</v>
      </c>
      <c r="BU10" s="17" t="e">
        <v>#N/A</v>
      </c>
      <c r="BV10" s="17" t="e">
        <v>#N/A</v>
      </c>
      <c r="BW10" s="17" t="e">
        <v>#N/A</v>
      </c>
      <c r="BX10" s="17" t="e">
        <v>#N/A</v>
      </c>
      <c r="BY10" s="17" t="e">
        <v>#N/A</v>
      </c>
      <c r="BZ10" s="17" t="e">
        <v>#N/A</v>
      </c>
      <c r="CA10" s="17" t="e">
        <v>#N/A</v>
      </c>
      <c r="CB10" s="17" t="e">
        <v>#N/A</v>
      </c>
      <c r="CC10" s="17" t="e">
        <v>#N/A</v>
      </c>
      <c r="CD10" s="17" t="e">
        <v>#N/A</v>
      </c>
      <c r="CE10" s="17" t="e">
        <v>#N/A</v>
      </c>
      <c r="CF10" s="17" t="e">
        <v>#N/A</v>
      </c>
      <c r="CG10" s="17" t="e">
        <v>#N/A</v>
      </c>
      <c r="CH10" s="17" t="e">
        <v>#N/A</v>
      </c>
      <c r="CI10" s="17" t="e">
        <v>#N/A</v>
      </c>
      <c r="CJ10" s="17" t="e">
        <v>#N/A</v>
      </c>
      <c r="CK10" s="17" t="e">
        <v>#N/A</v>
      </c>
      <c r="CL10" s="17" t="e">
        <v>#N/A</v>
      </c>
      <c r="CM10" s="17" t="e">
        <v>#N/A</v>
      </c>
      <c r="CN10" s="17" t="e">
        <v>#N/A</v>
      </c>
      <c r="CO10" s="17" t="e">
        <v>#N/A</v>
      </c>
      <c r="CP10" s="17" t="e">
        <v>#N/A</v>
      </c>
      <c r="CQ10" s="17" t="e">
        <v>#N/A</v>
      </c>
      <c r="CR10" s="17" t="e">
        <v>#N/A</v>
      </c>
      <c r="CS10" s="17" t="e">
        <v>#N/A</v>
      </c>
      <c r="CT10" s="17" t="e">
        <v>#N/A</v>
      </c>
      <c r="CU10" s="17" t="e">
        <v>#N/A</v>
      </c>
      <c r="CV10" s="17" t="e">
        <v>#N/A</v>
      </c>
      <c r="CW10" s="17" t="e">
        <v>#N/A</v>
      </c>
      <c r="CX10" s="17" t="e">
        <v>#N/A</v>
      </c>
      <c r="CY10" s="17" t="e">
        <v>#N/A</v>
      </c>
      <c r="CZ10" s="17" t="e">
        <v>#N/A</v>
      </c>
      <c r="DA10" s="17" t="e">
        <v>#N/A</v>
      </c>
      <c r="DB10" s="17" t="e">
        <v>#N/A</v>
      </c>
      <c r="DC10" s="17" t="e">
        <v>#N/A</v>
      </c>
      <c r="DD10" s="17" t="e">
        <v>#N/A</v>
      </c>
      <c r="DE10" s="17" t="e">
        <v>#N/A</v>
      </c>
      <c r="DF10" s="17" t="e">
        <v>#N/A</v>
      </c>
      <c r="DG10" s="17" t="e">
        <v>#N/A</v>
      </c>
      <c r="DH10" s="17" t="e">
        <v>#N/A</v>
      </c>
      <c r="DI10" s="17" t="e">
        <v>#N/A</v>
      </c>
      <c r="DJ10" s="17" t="e">
        <v>#N/A</v>
      </c>
      <c r="DK10" s="17" t="e">
        <v>#N/A</v>
      </c>
      <c r="DL10" s="17" t="e">
        <v>#N/A</v>
      </c>
      <c r="DM10" s="17" t="e">
        <v>#N/A</v>
      </c>
      <c r="DN10" s="17" t="e">
        <v>#N/A</v>
      </c>
      <c r="DO10" s="17" t="e">
        <v>#N/A</v>
      </c>
      <c r="DP10" s="17" t="e">
        <v>#N/A</v>
      </c>
      <c r="DQ10" s="17" t="e">
        <v>#N/A</v>
      </c>
      <c r="DR10" s="17" t="e">
        <v>#N/A</v>
      </c>
      <c r="DS10" s="17" t="e">
        <v>#N/A</v>
      </c>
      <c r="DT10" s="17" t="e">
        <v>#N/A</v>
      </c>
      <c r="DU10" s="17" t="e">
        <v>#N/A</v>
      </c>
      <c r="DV10" s="17" t="e">
        <v>#N/A</v>
      </c>
      <c r="DW10" s="17" t="e">
        <v>#N/A</v>
      </c>
      <c r="DX10" s="17" t="e">
        <v>#N/A</v>
      </c>
      <c r="DY10" s="17" t="e">
        <v>#N/A</v>
      </c>
      <c r="DZ10" s="17" t="e">
        <v>#N/A</v>
      </c>
      <c r="EA10" s="17" t="e">
        <v>#N/A</v>
      </c>
      <c r="EB10" s="17" t="e">
        <v>#N/A</v>
      </c>
      <c r="EC10" s="17" t="e">
        <v>#N/A</v>
      </c>
      <c r="ED10" s="17" t="e">
        <v>#N/A</v>
      </c>
      <c r="EE10" s="17" t="e">
        <v>#N/A</v>
      </c>
      <c r="EF10" s="17" t="e">
        <v>#N/A</v>
      </c>
      <c r="EG10" s="17" t="e">
        <v>#N/A</v>
      </c>
      <c r="EH10" s="17" t="e">
        <v>#N/A</v>
      </c>
      <c r="EI10" s="17" t="e">
        <v>#N/A</v>
      </c>
      <c r="EJ10" s="17" t="e">
        <v>#N/A</v>
      </c>
      <c r="EK10" s="17" t="e">
        <v>#N/A</v>
      </c>
      <c r="EL10" s="17" t="e">
        <v>#N/A</v>
      </c>
      <c r="EM10" s="17" t="e">
        <v>#N/A</v>
      </c>
      <c r="EN10" s="17" t="e">
        <v>#N/A</v>
      </c>
      <c r="EO10" s="17" t="e">
        <v>#N/A</v>
      </c>
      <c r="EP10" s="17" t="e">
        <v>#N/A</v>
      </c>
      <c r="EQ10" s="17" t="e">
        <v>#N/A</v>
      </c>
      <c r="ER10" s="17" t="e">
        <v>#N/A</v>
      </c>
      <c r="ES10" s="17" t="e">
        <v>#N/A</v>
      </c>
      <c r="ET10" s="17" t="e">
        <v>#N/A</v>
      </c>
      <c r="EU10" s="17" t="e">
        <v>#N/A</v>
      </c>
      <c r="EV10" s="17" t="e">
        <v>#N/A</v>
      </c>
      <c r="EW10" s="17" t="e">
        <v>#N/A</v>
      </c>
      <c r="EX10" s="17" t="e">
        <v>#N/A</v>
      </c>
      <c r="EY10" s="17" t="e">
        <v>#N/A</v>
      </c>
      <c r="EZ10" s="17" t="e">
        <v>#N/A</v>
      </c>
      <c r="FA10" s="17" t="e">
        <v>#N/A</v>
      </c>
      <c r="FB10" s="17" t="e">
        <v>#N/A</v>
      </c>
      <c r="FC10" s="17" t="e">
        <v>#N/A</v>
      </c>
      <c r="FD10" s="17" t="e">
        <v>#N/A</v>
      </c>
      <c r="FE10" s="17" t="e">
        <v>#N/A</v>
      </c>
      <c r="FF10" s="17" t="e">
        <v>#N/A</v>
      </c>
      <c r="FG10" s="17" t="e">
        <v>#N/A</v>
      </c>
      <c r="FH10" s="17" t="e">
        <v>#N/A</v>
      </c>
      <c r="FI10" s="17" t="e">
        <v>#N/A</v>
      </c>
      <c r="FJ10" s="17" t="e">
        <v>#N/A</v>
      </c>
      <c r="FK10" s="17" t="e">
        <v>#N/A</v>
      </c>
      <c r="FL10" s="17" t="e">
        <v>#N/A</v>
      </c>
      <c r="FM10" s="17" t="e">
        <v>#N/A</v>
      </c>
      <c r="FN10" s="17" t="e">
        <v>#N/A</v>
      </c>
      <c r="FO10" s="17" t="e">
        <v>#N/A</v>
      </c>
      <c r="FP10" s="17" t="e">
        <v>#N/A</v>
      </c>
      <c r="FQ10" s="17" t="e">
        <v>#N/A</v>
      </c>
      <c r="FR10" s="17" t="e">
        <v>#N/A</v>
      </c>
      <c r="FS10" s="17" t="e">
        <v>#N/A</v>
      </c>
      <c r="FT10" s="17" t="e">
        <v>#N/A</v>
      </c>
      <c r="FU10" s="17" t="e">
        <v>#N/A</v>
      </c>
      <c r="FV10" s="17" t="e">
        <v>#N/A</v>
      </c>
    </row>
    <row r="11" spans="2:178" ht="11.25" customHeight="1">
      <c r="B11" s="17">
        <v>0</v>
      </c>
      <c r="C11" s="17">
        <v>0</v>
      </c>
      <c r="D11" s="17">
        <v>1</v>
      </c>
      <c r="E11" s="17">
        <v>1</v>
      </c>
      <c r="F11" s="17">
        <v>0</v>
      </c>
      <c r="G11" s="17">
        <v>1</v>
      </c>
      <c r="H11" s="17">
        <v>0</v>
      </c>
      <c r="I11" s="17">
        <v>1</v>
      </c>
      <c r="J11" s="17">
        <v>0</v>
      </c>
      <c r="K11" s="17">
        <v>1</v>
      </c>
      <c r="L11" s="17">
        <v>0</v>
      </c>
      <c r="M11" s="17">
        <v>1</v>
      </c>
      <c r="N11" s="17">
        <v>1</v>
      </c>
      <c r="O11" s="17">
        <v>1</v>
      </c>
      <c r="P11" s="17">
        <v>0</v>
      </c>
      <c r="Q11" s="17">
        <v>1</v>
      </c>
      <c r="R11" s="17">
        <v>1</v>
      </c>
      <c r="S11" s="17">
        <v>0</v>
      </c>
      <c r="T11" s="17">
        <v>1</v>
      </c>
      <c r="U11" s="17">
        <v>0</v>
      </c>
      <c r="V11" s="17">
        <v>0</v>
      </c>
      <c r="W11" s="17">
        <v>1</v>
      </c>
      <c r="X11" s="17">
        <v>1</v>
      </c>
      <c r="Y11" s="17">
        <v>0</v>
      </c>
      <c r="Z11" s="17">
        <v>1</v>
      </c>
      <c r="AA11" s="17">
        <v>0</v>
      </c>
      <c r="AB11" s="17">
        <v>1</v>
      </c>
      <c r="AC11" s="17">
        <v>1</v>
      </c>
      <c r="AD11" s="17">
        <v>1</v>
      </c>
      <c r="AE11" s="17">
        <v>1</v>
      </c>
      <c r="AF11" s="17">
        <v>0</v>
      </c>
      <c r="AG11" s="17">
        <v>0</v>
      </c>
      <c r="AH11" s="17">
        <v>0</v>
      </c>
      <c r="AI11" s="17">
        <v>0</v>
      </c>
      <c r="AJ11" s="17">
        <v>0</v>
      </c>
      <c r="AK11" s="17">
        <v>1</v>
      </c>
      <c r="AL11" s="17">
        <v>1</v>
      </c>
      <c r="AM11" s="17">
        <v>1</v>
      </c>
      <c r="AN11" s="17">
        <v>0</v>
      </c>
      <c r="AO11" s="17">
        <v>1</v>
      </c>
      <c r="AP11" s="17">
        <v>0</v>
      </c>
      <c r="AQ11" s="17">
        <v>1</v>
      </c>
      <c r="AR11" s="17">
        <v>0</v>
      </c>
      <c r="AS11" s="17">
        <v>0</v>
      </c>
      <c r="AT11" s="17">
        <v>0</v>
      </c>
      <c r="AU11" s="17">
        <v>0</v>
      </c>
      <c r="AV11" s="17">
        <v>0</v>
      </c>
      <c r="AW11" s="17">
        <v>0</v>
      </c>
      <c r="AX11" s="17">
        <v>1</v>
      </c>
      <c r="AY11" s="17">
        <v>1</v>
      </c>
      <c r="AZ11" s="17">
        <v>0</v>
      </c>
      <c r="BA11" s="17">
        <v>1</v>
      </c>
      <c r="BB11" s="17">
        <v>1</v>
      </c>
      <c r="BC11" s="17">
        <v>0</v>
      </c>
      <c r="BD11" s="17">
        <v>1</v>
      </c>
      <c r="BE11" s="17">
        <v>1</v>
      </c>
      <c r="BF11" s="17">
        <v>0</v>
      </c>
      <c r="BG11" s="17">
        <v>1</v>
      </c>
      <c r="BH11" s="17">
        <v>0</v>
      </c>
      <c r="BI11" s="17">
        <v>0</v>
      </c>
      <c r="BJ11" s="17">
        <v>1</v>
      </c>
      <c r="BK11" s="17">
        <v>0</v>
      </c>
      <c r="BL11" s="17">
        <v>1</v>
      </c>
      <c r="BM11" s="17">
        <v>1</v>
      </c>
      <c r="BN11" s="17">
        <v>0</v>
      </c>
      <c r="BO11" s="17">
        <v>1</v>
      </c>
      <c r="BP11" s="17">
        <v>0</v>
      </c>
      <c r="BQ11" s="17">
        <v>1</v>
      </c>
      <c r="BR11" s="17">
        <v>0</v>
      </c>
      <c r="BS11" s="17" t="e">
        <v>#N/A</v>
      </c>
      <c r="BT11" s="17" t="e">
        <v>#N/A</v>
      </c>
      <c r="BU11" s="17" t="e">
        <v>#N/A</v>
      </c>
      <c r="BV11" s="17" t="e">
        <v>#N/A</v>
      </c>
      <c r="BW11" s="17" t="e">
        <v>#N/A</v>
      </c>
      <c r="BX11" s="17" t="e">
        <v>#N/A</v>
      </c>
      <c r="BY11" s="17" t="e">
        <v>#N/A</v>
      </c>
      <c r="BZ11" s="17" t="e">
        <v>#N/A</v>
      </c>
      <c r="CA11" s="17" t="e">
        <v>#N/A</v>
      </c>
      <c r="CB11" s="17" t="e">
        <v>#N/A</v>
      </c>
      <c r="CC11" s="17" t="e">
        <v>#N/A</v>
      </c>
      <c r="CD11" s="17" t="e">
        <v>#N/A</v>
      </c>
      <c r="CE11" s="17" t="e">
        <v>#N/A</v>
      </c>
      <c r="CF11" s="17" t="e">
        <v>#N/A</v>
      </c>
      <c r="CG11" s="17" t="e">
        <v>#N/A</v>
      </c>
      <c r="CH11" s="17" t="e">
        <v>#N/A</v>
      </c>
      <c r="CI11" s="17" t="e">
        <v>#N/A</v>
      </c>
      <c r="CJ11" s="17" t="e">
        <v>#N/A</v>
      </c>
      <c r="CK11" s="17" t="e">
        <v>#N/A</v>
      </c>
      <c r="CL11" s="17" t="e">
        <v>#N/A</v>
      </c>
      <c r="CM11" s="17" t="e">
        <v>#N/A</v>
      </c>
      <c r="CN11" s="17" t="e">
        <v>#N/A</v>
      </c>
      <c r="CO11" s="17" t="e">
        <v>#N/A</v>
      </c>
      <c r="CP11" s="17" t="e">
        <v>#N/A</v>
      </c>
      <c r="CQ11" s="17" t="e">
        <v>#N/A</v>
      </c>
      <c r="CR11" s="17" t="e">
        <v>#N/A</v>
      </c>
      <c r="CS11" s="17" t="e">
        <v>#N/A</v>
      </c>
      <c r="CT11" s="17" t="e">
        <v>#N/A</v>
      </c>
      <c r="CU11" s="17" t="e">
        <v>#N/A</v>
      </c>
      <c r="CV11" s="17" t="e">
        <v>#N/A</v>
      </c>
      <c r="CW11" s="17" t="e">
        <v>#N/A</v>
      </c>
      <c r="CX11" s="17" t="e">
        <v>#N/A</v>
      </c>
      <c r="CY11" s="17" t="e">
        <v>#N/A</v>
      </c>
      <c r="CZ11" s="17" t="e">
        <v>#N/A</v>
      </c>
      <c r="DA11" s="17" t="e">
        <v>#N/A</v>
      </c>
      <c r="DB11" s="17" t="e">
        <v>#N/A</v>
      </c>
      <c r="DC11" s="17" t="e">
        <v>#N/A</v>
      </c>
      <c r="DD11" s="17" t="e">
        <v>#N/A</v>
      </c>
      <c r="DE11" s="17" t="e">
        <v>#N/A</v>
      </c>
      <c r="DF11" s="17" t="e">
        <v>#N/A</v>
      </c>
      <c r="DG11" s="17" t="e">
        <v>#N/A</v>
      </c>
      <c r="DH11" s="17" t="e">
        <v>#N/A</v>
      </c>
      <c r="DI11" s="17" t="e">
        <v>#N/A</v>
      </c>
      <c r="DJ11" s="17" t="e">
        <v>#N/A</v>
      </c>
      <c r="DK11" s="17" t="e">
        <v>#N/A</v>
      </c>
      <c r="DL11" s="17" t="e">
        <v>#N/A</v>
      </c>
      <c r="DM11" s="17" t="e">
        <v>#N/A</v>
      </c>
      <c r="DN11" s="17" t="e">
        <v>#N/A</v>
      </c>
      <c r="DO11" s="17" t="e">
        <v>#N/A</v>
      </c>
      <c r="DP11" s="17" t="e">
        <v>#N/A</v>
      </c>
      <c r="DQ11" s="17" t="e">
        <v>#N/A</v>
      </c>
      <c r="DR11" s="17" t="e">
        <v>#N/A</v>
      </c>
      <c r="DS11" s="17" t="e">
        <v>#N/A</v>
      </c>
      <c r="DT11" s="17" t="e">
        <v>#N/A</v>
      </c>
      <c r="DU11" s="17" t="e">
        <v>#N/A</v>
      </c>
      <c r="DV11" s="17" t="e">
        <v>#N/A</v>
      </c>
      <c r="DW11" s="17" t="e">
        <v>#N/A</v>
      </c>
      <c r="DX11" s="17" t="e">
        <v>#N/A</v>
      </c>
      <c r="DY11" s="17" t="e">
        <v>#N/A</v>
      </c>
      <c r="DZ11" s="17" t="e">
        <v>#N/A</v>
      </c>
      <c r="EA11" s="17" t="e">
        <v>#N/A</v>
      </c>
      <c r="EB11" s="17" t="e">
        <v>#N/A</v>
      </c>
      <c r="EC11" s="17" t="e">
        <v>#N/A</v>
      </c>
      <c r="ED11" s="17" t="e">
        <v>#N/A</v>
      </c>
      <c r="EE11" s="17" t="e">
        <v>#N/A</v>
      </c>
      <c r="EF11" s="17" t="e">
        <v>#N/A</v>
      </c>
      <c r="EG11" s="17" t="e">
        <v>#N/A</v>
      </c>
      <c r="EH11" s="17" t="e">
        <v>#N/A</v>
      </c>
      <c r="EI11" s="17" t="e">
        <v>#N/A</v>
      </c>
      <c r="EJ11" s="17" t="e">
        <v>#N/A</v>
      </c>
      <c r="EK11" s="17" t="e">
        <v>#N/A</v>
      </c>
      <c r="EL11" s="17" t="e">
        <v>#N/A</v>
      </c>
      <c r="EM11" s="17" t="e">
        <v>#N/A</v>
      </c>
      <c r="EN11" s="17" t="e">
        <v>#N/A</v>
      </c>
      <c r="EO11" s="17" t="e">
        <v>#N/A</v>
      </c>
      <c r="EP11" s="17" t="e">
        <v>#N/A</v>
      </c>
      <c r="EQ11" s="17" t="e">
        <v>#N/A</v>
      </c>
      <c r="ER11" s="17" t="e">
        <v>#N/A</v>
      </c>
      <c r="ES11" s="17" t="e">
        <v>#N/A</v>
      </c>
      <c r="ET11" s="17" t="e">
        <v>#N/A</v>
      </c>
      <c r="EU11" s="17" t="e">
        <v>#N/A</v>
      </c>
      <c r="EV11" s="17" t="e">
        <v>#N/A</v>
      </c>
      <c r="EW11" s="17" t="e">
        <v>#N/A</v>
      </c>
      <c r="EX11" s="17" t="e">
        <v>#N/A</v>
      </c>
      <c r="EY11" s="17" t="e">
        <v>#N/A</v>
      </c>
      <c r="EZ11" s="17" t="e">
        <v>#N/A</v>
      </c>
      <c r="FA11" s="17" t="e">
        <v>#N/A</v>
      </c>
      <c r="FB11" s="17" t="e">
        <v>#N/A</v>
      </c>
      <c r="FC11" s="17" t="e">
        <v>#N/A</v>
      </c>
      <c r="FD11" s="17" t="e">
        <v>#N/A</v>
      </c>
      <c r="FE11" s="17" t="e">
        <v>#N/A</v>
      </c>
      <c r="FF11" s="17" t="e">
        <v>#N/A</v>
      </c>
      <c r="FG11" s="17" t="e">
        <v>#N/A</v>
      </c>
      <c r="FH11" s="17" t="e">
        <v>#N/A</v>
      </c>
      <c r="FI11" s="17" t="e">
        <v>#N/A</v>
      </c>
      <c r="FJ11" s="17" t="e">
        <v>#N/A</v>
      </c>
      <c r="FK11" s="17" t="e">
        <v>#N/A</v>
      </c>
      <c r="FL11" s="17" t="e">
        <v>#N/A</v>
      </c>
      <c r="FM11" s="17" t="e">
        <v>#N/A</v>
      </c>
      <c r="FN11" s="17" t="e">
        <v>#N/A</v>
      </c>
      <c r="FO11" s="17" t="e">
        <v>#N/A</v>
      </c>
      <c r="FP11" s="17" t="e">
        <v>#N/A</v>
      </c>
      <c r="FQ11" s="17" t="e">
        <v>#N/A</v>
      </c>
      <c r="FR11" s="17" t="e">
        <v>#N/A</v>
      </c>
      <c r="FS11" s="17" t="e">
        <v>#N/A</v>
      </c>
      <c r="FT11" s="17" t="e">
        <v>#N/A</v>
      </c>
      <c r="FU11" s="17" t="e">
        <v>#N/A</v>
      </c>
      <c r="FV11" s="17" t="e">
        <v>#N/A</v>
      </c>
    </row>
    <row r="12" spans="2:178" ht="11.25" customHeight="1">
      <c r="B12" s="17">
        <v>1</v>
      </c>
      <c r="C12" s="17">
        <v>1</v>
      </c>
      <c r="D12" s="17">
        <v>1</v>
      </c>
      <c r="E12" s="17">
        <v>1</v>
      </c>
      <c r="F12" s="17">
        <v>1</v>
      </c>
      <c r="G12" s="17">
        <v>0</v>
      </c>
      <c r="H12" s="17">
        <v>1</v>
      </c>
      <c r="I12" s="17">
        <v>1</v>
      </c>
      <c r="J12" s="17">
        <v>1</v>
      </c>
      <c r="K12" s="17">
        <v>1</v>
      </c>
      <c r="L12" s="17">
        <v>0</v>
      </c>
      <c r="M12" s="17">
        <v>0</v>
      </c>
      <c r="N12" s="17">
        <v>0</v>
      </c>
      <c r="O12" s="17">
        <v>1</v>
      </c>
      <c r="P12" s="17">
        <v>1</v>
      </c>
      <c r="Q12" s="17">
        <v>1</v>
      </c>
      <c r="R12" s="17">
        <v>0</v>
      </c>
      <c r="S12" s="17">
        <v>0</v>
      </c>
      <c r="T12" s="17">
        <v>0</v>
      </c>
      <c r="U12" s="17">
        <v>1</v>
      </c>
      <c r="V12" s="17">
        <v>1</v>
      </c>
      <c r="W12" s="17">
        <v>1</v>
      </c>
      <c r="X12" s="17">
        <v>0</v>
      </c>
      <c r="Y12" s="17">
        <v>1</v>
      </c>
      <c r="Z12" s="17">
        <v>0</v>
      </c>
      <c r="AA12" s="17">
        <v>1</v>
      </c>
      <c r="AB12" s="17">
        <v>1</v>
      </c>
      <c r="AC12" s="17">
        <v>1</v>
      </c>
      <c r="AD12" s="17">
        <v>0</v>
      </c>
      <c r="AE12" s="17">
        <v>1</v>
      </c>
      <c r="AF12" s="17">
        <v>0</v>
      </c>
      <c r="AG12" s="17">
        <v>0</v>
      </c>
      <c r="AH12" s="17">
        <v>1</v>
      </c>
      <c r="AI12" s="17">
        <v>1</v>
      </c>
      <c r="AJ12" s="17">
        <v>0</v>
      </c>
      <c r="AK12" s="17">
        <v>0</v>
      </c>
      <c r="AL12" s="17">
        <v>1</v>
      </c>
      <c r="AM12" s="17">
        <v>1</v>
      </c>
      <c r="AN12" s="17">
        <v>1</v>
      </c>
      <c r="AO12" s="17">
        <v>1</v>
      </c>
      <c r="AP12" s="17">
        <v>0</v>
      </c>
      <c r="AQ12" s="17">
        <v>1</v>
      </c>
      <c r="AR12" s="17">
        <v>0</v>
      </c>
      <c r="AS12" s="17">
        <v>0</v>
      </c>
      <c r="AT12" s="17">
        <v>1</v>
      </c>
      <c r="AU12" s="17">
        <v>1</v>
      </c>
      <c r="AV12" s="17">
        <v>1</v>
      </c>
      <c r="AW12" s="17">
        <v>0</v>
      </c>
      <c r="AX12" s="17">
        <v>0</v>
      </c>
      <c r="AY12" s="17">
        <v>1</v>
      </c>
      <c r="AZ12" s="17">
        <v>1</v>
      </c>
      <c r="BA12" s="17">
        <v>1</v>
      </c>
      <c r="BB12" s="17">
        <v>1</v>
      </c>
      <c r="BC12" s="17">
        <v>0</v>
      </c>
      <c r="BD12" s="17">
        <v>1</v>
      </c>
      <c r="BE12" s="17">
        <v>1</v>
      </c>
      <c r="BF12" s="17">
        <v>1</v>
      </c>
      <c r="BG12" s="17">
        <v>1</v>
      </c>
      <c r="BH12" s="17">
        <v>1</v>
      </c>
      <c r="BI12" s="17">
        <v>0</v>
      </c>
      <c r="BJ12" s="17">
        <v>0</v>
      </c>
      <c r="BK12" s="17">
        <v>1</v>
      </c>
      <c r="BL12" s="17">
        <v>0</v>
      </c>
      <c r="BM12" s="17">
        <v>0</v>
      </c>
      <c r="BN12" s="17">
        <v>0</v>
      </c>
      <c r="BO12" s="17">
        <v>0</v>
      </c>
      <c r="BP12" s="17">
        <v>1</v>
      </c>
      <c r="BQ12" s="17">
        <v>0</v>
      </c>
      <c r="BR12" s="17">
        <v>0</v>
      </c>
      <c r="BS12" s="17" t="e">
        <v>#N/A</v>
      </c>
      <c r="BT12" s="17" t="e">
        <v>#N/A</v>
      </c>
      <c r="BU12" s="17" t="e">
        <v>#N/A</v>
      </c>
      <c r="BV12" s="17" t="e">
        <v>#N/A</v>
      </c>
      <c r="BW12" s="17" t="e">
        <v>#N/A</v>
      </c>
      <c r="BX12" s="17" t="e">
        <v>#N/A</v>
      </c>
      <c r="BY12" s="17" t="e">
        <v>#N/A</v>
      </c>
      <c r="BZ12" s="17" t="e">
        <v>#N/A</v>
      </c>
      <c r="CA12" s="17" t="e">
        <v>#N/A</v>
      </c>
      <c r="CB12" s="17" t="e">
        <v>#N/A</v>
      </c>
      <c r="CC12" s="17" t="e">
        <v>#N/A</v>
      </c>
      <c r="CD12" s="17" t="e">
        <v>#N/A</v>
      </c>
      <c r="CE12" s="17" t="e">
        <v>#N/A</v>
      </c>
      <c r="CF12" s="17" t="e">
        <v>#N/A</v>
      </c>
      <c r="CG12" s="17" t="e">
        <v>#N/A</v>
      </c>
      <c r="CH12" s="17" t="e">
        <v>#N/A</v>
      </c>
      <c r="CI12" s="17" t="e">
        <v>#N/A</v>
      </c>
      <c r="CJ12" s="17" t="e">
        <v>#N/A</v>
      </c>
      <c r="CK12" s="17" t="e">
        <v>#N/A</v>
      </c>
      <c r="CL12" s="17" t="e">
        <v>#N/A</v>
      </c>
      <c r="CM12" s="17" t="e">
        <v>#N/A</v>
      </c>
      <c r="CN12" s="17" t="e">
        <v>#N/A</v>
      </c>
      <c r="CO12" s="17" t="e">
        <v>#N/A</v>
      </c>
      <c r="CP12" s="17" t="e">
        <v>#N/A</v>
      </c>
      <c r="CQ12" s="17" t="e">
        <v>#N/A</v>
      </c>
      <c r="CR12" s="17" t="e">
        <v>#N/A</v>
      </c>
      <c r="CS12" s="17" t="e">
        <v>#N/A</v>
      </c>
      <c r="CT12" s="17" t="e">
        <v>#N/A</v>
      </c>
      <c r="CU12" s="17" t="e">
        <v>#N/A</v>
      </c>
      <c r="CV12" s="17" t="e">
        <v>#N/A</v>
      </c>
      <c r="CW12" s="17" t="e">
        <v>#N/A</v>
      </c>
      <c r="CX12" s="17" t="e">
        <v>#N/A</v>
      </c>
      <c r="CY12" s="17" t="e">
        <v>#N/A</v>
      </c>
      <c r="CZ12" s="17" t="e">
        <v>#N/A</v>
      </c>
      <c r="DA12" s="17" t="e">
        <v>#N/A</v>
      </c>
      <c r="DB12" s="17" t="e">
        <v>#N/A</v>
      </c>
      <c r="DC12" s="17" t="e">
        <v>#N/A</v>
      </c>
      <c r="DD12" s="17" t="e">
        <v>#N/A</v>
      </c>
      <c r="DE12" s="17" t="e">
        <v>#N/A</v>
      </c>
      <c r="DF12" s="17" t="e">
        <v>#N/A</v>
      </c>
      <c r="DG12" s="17" t="e">
        <v>#N/A</v>
      </c>
      <c r="DH12" s="17" t="e">
        <v>#N/A</v>
      </c>
      <c r="DI12" s="17" t="e">
        <v>#N/A</v>
      </c>
      <c r="DJ12" s="17" t="e">
        <v>#N/A</v>
      </c>
      <c r="DK12" s="17" t="e">
        <v>#N/A</v>
      </c>
      <c r="DL12" s="17" t="e">
        <v>#N/A</v>
      </c>
      <c r="DM12" s="17" t="e">
        <v>#N/A</v>
      </c>
      <c r="DN12" s="17" t="e">
        <v>#N/A</v>
      </c>
      <c r="DO12" s="17" t="e">
        <v>#N/A</v>
      </c>
      <c r="DP12" s="17" t="e">
        <v>#N/A</v>
      </c>
      <c r="DQ12" s="17" t="e">
        <v>#N/A</v>
      </c>
      <c r="DR12" s="17" t="e">
        <v>#N/A</v>
      </c>
      <c r="DS12" s="17" t="e">
        <v>#N/A</v>
      </c>
      <c r="DT12" s="17" t="e">
        <v>#N/A</v>
      </c>
      <c r="DU12" s="17" t="e">
        <v>#N/A</v>
      </c>
      <c r="DV12" s="17" t="e">
        <v>#N/A</v>
      </c>
      <c r="DW12" s="17" t="e">
        <v>#N/A</v>
      </c>
      <c r="DX12" s="17" t="e">
        <v>#N/A</v>
      </c>
      <c r="DY12" s="17" t="e">
        <v>#N/A</v>
      </c>
      <c r="DZ12" s="17" t="e">
        <v>#N/A</v>
      </c>
      <c r="EA12" s="17" t="e">
        <v>#N/A</v>
      </c>
      <c r="EB12" s="17" t="e">
        <v>#N/A</v>
      </c>
      <c r="EC12" s="17" t="e">
        <v>#N/A</v>
      </c>
      <c r="ED12" s="17" t="e">
        <v>#N/A</v>
      </c>
      <c r="EE12" s="17" t="e">
        <v>#N/A</v>
      </c>
      <c r="EF12" s="17" t="e">
        <v>#N/A</v>
      </c>
      <c r="EG12" s="17" t="e">
        <v>#N/A</v>
      </c>
      <c r="EH12" s="17" t="e">
        <v>#N/A</v>
      </c>
      <c r="EI12" s="17" t="e">
        <v>#N/A</v>
      </c>
      <c r="EJ12" s="17" t="e">
        <v>#N/A</v>
      </c>
      <c r="EK12" s="17" t="e">
        <v>#N/A</v>
      </c>
      <c r="EL12" s="17" t="e">
        <v>#N/A</v>
      </c>
      <c r="EM12" s="17" t="e">
        <v>#N/A</v>
      </c>
      <c r="EN12" s="17" t="e">
        <v>#N/A</v>
      </c>
      <c r="EO12" s="17" t="e">
        <v>#N/A</v>
      </c>
      <c r="EP12" s="17" t="e">
        <v>#N/A</v>
      </c>
      <c r="EQ12" s="17" t="e">
        <v>#N/A</v>
      </c>
      <c r="ER12" s="17" t="e">
        <v>#N/A</v>
      </c>
      <c r="ES12" s="17" t="e">
        <v>#N/A</v>
      </c>
      <c r="ET12" s="17" t="e">
        <v>#N/A</v>
      </c>
      <c r="EU12" s="17" t="e">
        <v>#N/A</v>
      </c>
      <c r="EV12" s="17" t="e">
        <v>#N/A</v>
      </c>
      <c r="EW12" s="17" t="e">
        <v>#N/A</v>
      </c>
      <c r="EX12" s="17" t="e">
        <v>#N/A</v>
      </c>
      <c r="EY12" s="17" t="e">
        <v>#N/A</v>
      </c>
      <c r="EZ12" s="17" t="e">
        <v>#N/A</v>
      </c>
      <c r="FA12" s="17" t="e">
        <v>#N/A</v>
      </c>
      <c r="FB12" s="17" t="e">
        <v>#N/A</v>
      </c>
      <c r="FC12" s="17" t="e">
        <v>#N/A</v>
      </c>
      <c r="FD12" s="17" t="e">
        <v>#N/A</v>
      </c>
      <c r="FE12" s="17" t="e">
        <v>#N/A</v>
      </c>
      <c r="FF12" s="17" t="e">
        <v>#N/A</v>
      </c>
      <c r="FG12" s="17" t="e">
        <v>#N/A</v>
      </c>
      <c r="FH12" s="17" t="e">
        <v>#N/A</v>
      </c>
      <c r="FI12" s="17" t="e">
        <v>#N/A</v>
      </c>
      <c r="FJ12" s="17" t="e">
        <v>#N/A</v>
      </c>
      <c r="FK12" s="17" t="e">
        <v>#N/A</v>
      </c>
      <c r="FL12" s="17" t="e">
        <v>#N/A</v>
      </c>
      <c r="FM12" s="17" t="e">
        <v>#N/A</v>
      </c>
      <c r="FN12" s="17" t="e">
        <v>#N/A</v>
      </c>
      <c r="FO12" s="17" t="e">
        <v>#N/A</v>
      </c>
      <c r="FP12" s="17" t="e">
        <v>#N/A</v>
      </c>
      <c r="FQ12" s="17" t="e">
        <v>#N/A</v>
      </c>
      <c r="FR12" s="17" t="e">
        <v>#N/A</v>
      </c>
      <c r="FS12" s="17" t="e">
        <v>#N/A</v>
      </c>
      <c r="FT12" s="17" t="e">
        <v>#N/A</v>
      </c>
      <c r="FU12" s="17" t="e">
        <v>#N/A</v>
      </c>
      <c r="FV12" s="17" t="e">
        <v>#N/A</v>
      </c>
    </row>
    <row r="13" spans="2:178" ht="11.25" customHeight="1">
      <c r="B13" s="17">
        <v>1</v>
      </c>
      <c r="C13" s="17">
        <v>0</v>
      </c>
      <c r="D13" s="17">
        <v>1</v>
      </c>
      <c r="E13" s="17">
        <v>0</v>
      </c>
      <c r="F13" s="17">
        <v>0</v>
      </c>
      <c r="G13" s="17">
        <v>0</v>
      </c>
      <c r="H13" s="17">
        <v>0</v>
      </c>
      <c r="I13" s="17">
        <v>0</v>
      </c>
      <c r="J13" s="17">
        <v>0</v>
      </c>
      <c r="K13" s="17">
        <v>1</v>
      </c>
      <c r="L13" s="17">
        <v>1</v>
      </c>
      <c r="M13" s="17">
        <v>0</v>
      </c>
      <c r="N13" s="17">
        <v>0</v>
      </c>
      <c r="O13" s="17">
        <v>0</v>
      </c>
      <c r="P13" s="17">
        <v>0</v>
      </c>
      <c r="Q13" s="17">
        <v>1</v>
      </c>
      <c r="R13" s="17">
        <v>1</v>
      </c>
      <c r="S13" s="17">
        <v>1</v>
      </c>
      <c r="T13" s="17">
        <v>0</v>
      </c>
      <c r="U13" s="17">
        <v>1</v>
      </c>
      <c r="V13" s="17">
        <v>1</v>
      </c>
      <c r="W13" s="17">
        <v>1</v>
      </c>
      <c r="X13" s="17">
        <v>1</v>
      </c>
      <c r="Y13" s="17">
        <v>1</v>
      </c>
      <c r="Z13" s="17">
        <v>0</v>
      </c>
      <c r="AA13" s="17">
        <v>0</v>
      </c>
      <c r="AB13" s="17">
        <v>1</v>
      </c>
      <c r="AC13" s="17">
        <v>1</v>
      </c>
      <c r="AD13" s="17">
        <v>0</v>
      </c>
      <c r="AE13" s="17">
        <v>1</v>
      </c>
      <c r="AF13" s="17">
        <v>0</v>
      </c>
      <c r="AG13" s="17">
        <v>1</v>
      </c>
      <c r="AH13" s="17">
        <v>0</v>
      </c>
      <c r="AI13" s="17">
        <v>0</v>
      </c>
      <c r="AJ13" s="17">
        <v>1</v>
      </c>
      <c r="AK13" s="17">
        <v>0</v>
      </c>
      <c r="AL13" s="17">
        <v>0</v>
      </c>
      <c r="AM13" s="17">
        <v>1</v>
      </c>
      <c r="AN13" s="17">
        <v>0</v>
      </c>
      <c r="AO13" s="17">
        <v>0</v>
      </c>
      <c r="AP13" s="17">
        <v>0</v>
      </c>
      <c r="AQ13" s="17">
        <v>0</v>
      </c>
      <c r="AR13" s="17">
        <v>0</v>
      </c>
      <c r="AS13" s="17">
        <v>0</v>
      </c>
      <c r="AT13" s="17">
        <v>1</v>
      </c>
      <c r="AU13" s="17">
        <v>1</v>
      </c>
      <c r="AV13" s="17">
        <v>0</v>
      </c>
      <c r="AW13" s="17">
        <v>0</v>
      </c>
      <c r="AX13" s="17">
        <v>1</v>
      </c>
      <c r="AY13" s="17">
        <v>1</v>
      </c>
      <c r="AZ13" s="17">
        <v>0</v>
      </c>
      <c r="BA13" s="17">
        <v>1</v>
      </c>
      <c r="BB13" s="17">
        <v>0</v>
      </c>
      <c r="BC13" s="17">
        <v>0</v>
      </c>
      <c r="BD13" s="17">
        <v>1</v>
      </c>
      <c r="BE13" s="17">
        <v>1</v>
      </c>
      <c r="BF13" s="17">
        <v>0</v>
      </c>
      <c r="BG13" s="17">
        <v>0</v>
      </c>
      <c r="BH13" s="17">
        <v>1</v>
      </c>
      <c r="BI13" s="17">
        <v>1</v>
      </c>
      <c r="BJ13" s="17">
        <v>0</v>
      </c>
      <c r="BK13" s="17">
        <v>0</v>
      </c>
      <c r="BL13" s="17">
        <v>0</v>
      </c>
      <c r="BM13" s="17">
        <v>0</v>
      </c>
      <c r="BN13" s="17">
        <v>0</v>
      </c>
      <c r="BO13" s="17">
        <v>1</v>
      </c>
      <c r="BP13" s="17">
        <v>0</v>
      </c>
      <c r="BQ13" s="17">
        <v>1</v>
      </c>
      <c r="BR13" s="17">
        <v>0</v>
      </c>
      <c r="BS13" s="17" t="e">
        <v>#N/A</v>
      </c>
      <c r="BT13" s="17" t="e">
        <v>#N/A</v>
      </c>
      <c r="BU13" s="17" t="e">
        <v>#N/A</v>
      </c>
      <c r="BV13" s="17" t="e">
        <v>#N/A</v>
      </c>
      <c r="BW13" s="17" t="e">
        <v>#N/A</v>
      </c>
      <c r="BX13" s="17" t="e">
        <v>#N/A</v>
      </c>
      <c r="BY13" s="17" t="e">
        <v>#N/A</v>
      </c>
      <c r="BZ13" s="17" t="e">
        <v>#N/A</v>
      </c>
      <c r="CA13" s="17" t="e">
        <v>#N/A</v>
      </c>
      <c r="CB13" s="17" t="e">
        <v>#N/A</v>
      </c>
      <c r="CC13" s="17" t="e">
        <v>#N/A</v>
      </c>
      <c r="CD13" s="17" t="e">
        <v>#N/A</v>
      </c>
      <c r="CE13" s="17" t="e">
        <v>#N/A</v>
      </c>
      <c r="CF13" s="17" t="e">
        <v>#N/A</v>
      </c>
      <c r="CG13" s="17" t="e">
        <v>#N/A</v>
      </c>
      <c r="CH13" s="17" t="e">
        <v>#N/A</v>
      </c>
      <c r="CI13" s="17" t="e">
        <v>#N/A</v>
      </c>
      <c r="CJ13" s="17" t="e">
        <v>#N/A</v>
      </c>
      <c r="CK13" s="17" t="e">
        <v>#N/A</v>
      </c>
      <c r="CL13" s="17" t="e">
        <v>#N/A</v>
      </c>
      <c r="CM13" s="17" t="e">
        <v>#N/A</v>
      </c>
      <c r="CN13" s="17" t="e">
        <v>#N/A</v>
      </c>
      <c r="CO13" s="17" t="e">
        <v>#N/A</v>
      </c>
      <c r="CP13" s="17" t="e">
        <v>#N/A</v>
      </c>
      <c r="CQ13" s="17" t="e">
        <v>#N/A</v>
      </c>
      <c r="CR13" s="17" t="e">
        <v>#N/A</v>
      </c>
      <c r="CS13" s="17" t="e">
        <v>#N/A</v>
      </c>
      <c r="CT13" s="17" t="e">
        <v>#N/A</v>
      </c>
      <c r="CU13" s="17" t="e">
        <v>#N/A</v>
      </c>
      <c r="CV13" s="17" t="e">
        <v>#N/A</v>
      </c>
      <c r="CW13" s="17" t="e">
        <v>#N/A</v>
      </c>
      <c r="CX13" s="17" t="e">
        <v>#N/A</v>
      </c>
      <c r="CY13" s="17" t="e">
        <v>#N/A</v>
      </c>
      <c r="CZ13" s="17" t="e">
        <v>#N/A</v>
      </c>
      <c r="DA13" s="17" t="e">
        <v>#N/A</v>
      </c>
      <c r="DB13" s="17" t="e">
        <v>#N/A</v>
      </c>
      <c r="DC13" s="17" t="e">
        <v>#N/A</v>
      </c>
      <c r="DD13" s="17" t="e">
        <v>#N/A</v>
      </c>
      <c r="DE13" s="17" t="e">
        <v>#N/A</v>
      </c>
      <c r="DF13" s="17" t="e">
        <v>#N/A</v>
      </c>
      <c r="DG13" s="17" t="e">
        <v>#N/A</v>
      </c>
      <c r="DH13" s="17" t="e">
        <v>#N/A</v>
      </c>
      <c r="DI13" s="17" t="e">
        <v>#N/A</v>
      </c>
      <c r="DJ13" s="17" t="e">
        <v>#N/A</v>
      </c>
      <c r="DK13" s="17" t="e">
        <v>#N/A</v>
      </c>
      <c r="DL13" s="17" t="e">
        <v>#N/A</v>
      </c>
      <c r="DM13" s="17" t="e">
        <v>#N/A</v>
      </c>
      <c r="DN13" s="17" t="e">
        <v>#N/A</v>
      </c>
      <c r="DO13" s="17" t="e">
        <v>#N/A</v>
      </c>
      <c r="DP13" s="17" t="e">
        <v>#N/A</v>
      </c>
      <c r="DQ13" s="17" t="e">
        <v>#N/A</v>
      </c>
      <c r="DR13" s="17" t="e">
        <v>#N/A</v>
      </c>
      <c r="DS13" s="17" t="e">
        <v>#N/A</v>
      </c>
      <c r="DT13" s="17" t="e">
        <v>#N/A</v>
      </c>
      <c r="DU13" s="17" t="e">
        <v>#N/A</v>
      </c>
      <c r="DV13" s="17" t="e">
        <v>#N/A</v>
      </c>
      <c r="DW13" s="17" t="e">
        <v>#N/A</v>
      </c>
      <c r="DX13" s="17" t="e">
        <v>#N/A</v>
      </c>
      <c r="DY13" s="17" t="e">
        <v>#N/A</v>
      </c>
      <c r="DZ13" s="17" t="e">
        <v>#N/A</v>
      </c>
      <c r="EA13" s="17" t="e">
        <v>#N/A</v>
      </c>
      <c r="EB13" s="17" t="e">
        <v>#N/A</v>
      </c>
      <c r="EC13" s="17" t="e">
        <v>#N/A</v>
      </c>
      <c r="ED13" s="17" t="e">
        <v>#N/A</v>
      </c>
      <c r="EE13" s="17" t="e">
        <v>#N/A</v>
      </c>
      <c r="EF13" s="17" t="e">
        <v>#N/A</v>
      </c>
      <c r="EG13" s="17" t="e">
        <v>#N/A</v>
      </c>
      <c r="EH13" s="17" t="e">
        <v>#N/A</v>
      </c>
      <c r="EI13" s="17" t="e">
        <v>#N/A</v>
      </c>
      <c r="EJ13" s="17" t="e">
        <v>#N/A</v>
      </c>
      <c r="EK13" s="17" t="e">
        <v>#N/A</v>
      </c>
      <c r="EL13" s="17" t="e">
        <v>#N/A</v>
      </c>
      <c r="EM13" s="17" t="e">
        <v>#N/A</v>
      </c>
      <c r="EN13" s="17" t="e">
        <v>#N/A</v>
      </c>
      <c r="EO13" s="17" t="e">
        <v>#N/A</v>
      </c>
      <c r="EP13" s="17" t="e">
        <v>#N/A</v>
      </c>
      <c r="EQ13" s="17" t="e">
        <v>#N/A</v>
      </c>
      <c r="ER13" s="17" t="e">
        <v>#N/A</v>
      </c>
      <c r="ES13" s="17" t="e">
        <v>#N/A</v>
      </c>
      <c r="ET13" s="17" t="e">
        <v>#N/A</v>
      </c>
      <c r="EU13" s="17" t="e">
        <v>#N/A</v>
      </c>
      <c r="EV13" s="17" t="e">
        <v>#N/A</v>
      </c>
      <c r="EW13" s="17" t="e">
        <v>#N/A</v>
      </c>
      <c r="EX13" s="17" t="e">
        <v>#N/A</v>
      </c>
      <c r="EY13" s="17" t="e">
        <v>#N/A</v>
      </c>
      <c r="EZ13" s="17" t="e">
        <v>#N/A</v>
      </c>
      <c r="FA13" s="17" t="e">
        <v>#N/A</v>
      </c>
      <c r="FB13" s="17" t="e">
        <v>#N/A</v>
      </c>
      <c r="FC13" s="17" t="e">
        <v>#N/A</v>
      </c>
      <c r="FD13" s="17" t="e">
        <v>#N/A</v>
      </c>
      <c r="FE13" s="17" t="e">
        <v>#N/A</v>
      </c>
      <c r="FF13" s="17" t="e">
        <v>#N/A</v>
      </c>
      <c r="FG13" s="17" t="e">
        <v>#N/A</v>
      </c>
      <c r="FH13" s="17" t="e">
        <v>#N/A</v>
      </c>
      <c r="FI13" s="17" t="e">
        <v>#N/A</v>
      </c>
      <c r="FJ13" s="17" t="e">
        <v>#N/A</v>
      </c>
      <c r="FK13" s="17" t="e">
        <v>#N/A</v>
      </c>
      <c r="FL13" s="17" t="e">
        <v>#N/A</v>
      </c>
      <c r="FM13" s="17" t="e">
        <v>#N/A</v>
      </c>
      <c r="FN13" s="17" t="e">
        <v>#N/A</v>
      </c>
      <c r="FO13" s="17" t="e">
        <v>#N/A</v>
      </c>
      <c r="FP13" s="17" t="e">
        <v>#N/A</v>
      </c>
      <c r="FQ13" s="17" t="e">
        <v>#N/A</v>
      </c>
      <c r="FR13" s="17" t="e">
        <v>#N/A</v>
      </c>
      <c r="FS13" s="17" t="e">
        <v>#N/A</v>
      </c>
      <c r="FT13" s="17" t="e">
        <v>#N/A</v>
      </c>
      <c r="FU13" s="17" t="e">
        <v>#N/A</v>
      </c>
      <c r="FV13" s="17" t="e">
        <v>#N/A</v>
      </c>
    </row>
    <row r="14" spans="2:178" ht="11.25" customHeight="1">
      <c r="B14" s="17">
        <v>1</v>
      </c>
      <c r="C14" s="17">
        <v>1</v>
      </c>
      <c r="D14" s="17">
        <v>1</v>
      </c>
      <c r="E14" s="17">
        <v>0</v>
      </c>
      <c r="F14" s="17">
        <v>1</v>
      </c>
      <c r="G14" s="17">
        <v>1</v>
      </c>
      <c r="H14" s="17">
        <v>1</v>
      </c>
      <c r="I14" s="17">
        <v>1</v>
      </c>
      <c r="J14" s="17">
        <v>0</v>
      </c>
      <c r="K14" s="17">
        <v>0</v>
      </c>
      <c r="L14" s="17">
        <v>0</v>
      </c>
      <c r="M14" s="17">
        <v>0</v>
      </c>
      <c r="N14" s="17">
        <v>0</v>
      </c>
      <c r="O14" s="17">
        <v>0</v>
      </c>
      <c r="P14" s="17">
        <v>0</v>
      </c>
      <c r="Q14" s="17">
        <v>1</v>
      </c>
      <c r="R14" s="17">
        <v>0</v>
      </c>
      <c r="S14" s="17">
        <v>1</v>
      </c>
      <c r="T14" s="17">
        <v>0</v>
      </c>
      <c r="U14" s="17">
        <v>1</v>
      </c>
      <c r="V14" s="17">
        <v>0</v>
      </c>
      <c r="W14" s="17">
        <v>0</v>
      </c>
      <c r="X14" s="17">
        <v>0</v>
      </c>
      <c r="Y14" s="17">
        <v>0</v>
      </c>
      <c r="Z14" s="17">
        <v>1</v>
      </c>
      <c r="AA14" s="17">
        <v>0</v>
      </c>
      <c r="AB14" s="17">
        <v>0</v>
      </c>
      <c r="AC14" s="17">
        <v>0</v>
      </c>
      <c r="AD14" s="17">
        <v>1</v>
      </c>
      <c r="AE14" s="17">
        <v>0</v>
      </c>
      <c r="AF14" s="17">
        <v>1</v>
      </c>
      <c r="AG14" s="17">
        <v>0</v>
      </c>
      <c r="AH14" s="17">
        <v>1</v>
      </c>
      <c r="AI14" s="17">
        <v>0</v>
      </c>
      <c r="AJ14" s="17">
        <v>1</v>
      </c>
      <c r="AK14" s="17">
        <v>1</v>
      </c>
      <c r="AL14" s="17">
        <v>1</v>
      </c>
      <c r="AM14" s="17">
        <v>1</v>
      </c>
      <c r="AN14" s="17">
        <v>0</v>
      </c>
      <c r="AO14" s="17">
        <v>1</v>
      </c>
      <c r="AP14" s="17">
        <v>1</v>
      </c>
      <c r="AQ14" s="17">
        <v>0</v>
      </c>
      <c r="AR14" s="17">
        <v>0</v>
      </c>
      <c r="AS14" s="17">
        <v>1</v>
      </c>
      <c r="AT14" s="17">
        <v>0</v>
      </c>
      <c r="AU14" s="17">
        <v>0</v>
      </c>
      <c r="AV14" s="17">
        <v>0</v>
      </c>
      <c r="AW14" s="17">
        <v>1</v>
      </c>
      <c r="AX14" s="17">
        <v>0</v>
      </c>
      <c r="AY14" s="17">
        <v>0</v>
      </c>
      <c r="AZ14" s="17">
        <v>1</v>
      </c>
      <c r="BA14" s="17">
        <v>0</v>
      </c>
      <c r="BB14" s="17">
        <v>1</v>
      </c>
      <c r="BC14" s="17">
        <v>1</v>
      </c>
      <c r="BD14" s="17">
        <v>1</v>
      </c>
      <c r="BE14" s="17">
        <v>1</v>
      </c>
      <c r="BF14" s="17">
        <v>1</v>
      </c>
      <c r="BG14" s="17">
        <v>1</v>
      </c>
      <c r="BH14" s="17">
        <v>0</v>
      </c>
      <c r="BI14" s="17">
        <v>1</v>
      </c>
      <c r="BJ14" s="17">
        <v>0</v>
      </c>
      <c r="BK14" s="17">
        <v>0</v>
      </c>
      <c r="BL14" s="17">
        <v>0</v>
      </c>
      <c r="BM14" s="17">
        <v>0</v>
      </c>
      <c r="BN14" s="17">
        <v>1</v>
      </c>
      <c r="BO14" s="17">
        <v>1</v>
      </c>
      <c r="BP14" s="17">
        <v>0</v>
      </c>
      <c r="BQ14" s="17">
        <v>1</v>
      </c>
      <c r="BR14" s="17">
        <v>0</v>
      </c>
      <c r="BS14" s="17" t="e">
        <v>#N/A</v>
      </c>
      <c r="BT14" s="17" t="e">
        <v>#N/A</v>
      </c>
      <c r="BU14" s="17" t="e">
        <v>#N/A</v>
      </c>
      <c r="BV14" s="17" t="e">
        <v>#N/A</v>
      </c>
      <c r="BW14" s="17" t="e">
        <v>#N/A</v>
      </c>
      <c r="BX14" s="17" t="e">
        <v>#N/A</v>
      </c>
      <c r="BY14" s="17" t="e">
        <v>#N/A</v>
      </c>
      <c r="BZ14" s="17" t="e">
        <v>#N/A</v>
      </c>
      <c r="CA14" s="17" t="e">
        <v>#N/A</v>
      </c>
      <c r="CB14" s="17" t="e">
        <v>#N/A</v>
      </c>
      <c r="CC14" s="17" t="e">
        <v>#N/A</v>
      </c>
      <c r="CD14" s="17" t="e">
        <v>#N/A</v>
      </c>
      <c r="CE14" s="17" t="e">
        <v>#N/A</v>
      </c>
      <c r="CF14" s="17" t="e">
        <v>#N/A</v>
      </c>
      <c r="CG14" s="17" t="e">
        <v>#N/A</v>
      </c>
      <c r="CH14" s="17" t="e">
        <v>#N/A</v>
      </c>
      <c r="CI14" s="17" t="e">
        <v>#N/A</v>
      </c>
      <c r="CJ14" s="17" t="e">
        <v>#N/A</v>
      </c>
      <c r="CK14" s="17" t="e">
        <v>#N/A</v>
      </c>
      <c r="CL14" s="17" t="e">
        <v>#N/A</v>
      </c>
      <c r="CM14" s="17" t="e">
        <v>#N/A</v>
      </c>
      <c r="CN14" s="17" t="e">
        <v>#N/A</v>
      </c>
      <c r="CO14" s="17" t="e">
        <v>#N/A</v>
      </c>
      <c r="CP14" s="17" t="e">
        <v>#N/A</v>
      </c>
      <c r="CQ14" s="17" t="e">
        <v>#N/A</v>
      </c>
      <c r="CR14" s="17" t="e">
        <v>#N/A</v>
      </c>
      <c r="CS14" s="17" t="e">
        <v>#N/A</v>
      </c>
      <c r="CT14" s="17" t="e">
        <v>#N/A</v>
      </c>
      <c r="CU14" s="17" t="e">
        <v>#N/A</v>
      </c>
      <c r="CV14" s="17" t="e">
        <v>#N/A</v>
      </c>
      <c r="CW14" s="17" t="e">
        <v>#N/A</v>
      </c>
      <c r="CX14" s="17" t="e">
        <v>#N/A</v>
      </c>
      <c r="CY14" s="17" t="e">
        <v>#N/A</v>
      </c>
      <c r="CZ14" s="17" t="e">
        <v>#N/A</v>
      </c>
      <c r="DA14" s="17" t="e">
        <v>#N/A</v>
      </c>
      <c r="DB14" s="17" t="e">
        <v>#N/A</v>
      </c>
      <c r="DC14" s="17" t="e">
        <v>#N/A</v>
      </c>
      <c r="DD14" s="17" t="e">
        <v>#N/A</v>
      </c>
      <c r="DE14" s="17" t="e">
        <v>#N/A</v>
      </c>
      <c r="DF14" s="17" t="e">
        <v>#N/A</v>
      </c>
      <c r="DG14" s="17" t="e">
        <v>#N/A</v>
      </c>
      <c r="DH14" s="17" t="e">
        <v>#N/A</v>
      </c>
      <c r="DI14" s="17" t="e">
        <v>#N/A</v>
      </c>
      <c r="DJ14" s="17" t="e">
        <v>#N/A</v>
      </c>
      <c r="DK14" s="17" t="e">
        <v>#N/A</v>
      </c>
      <c r="DL14" s="17" t="e">
        <v>#N/A</v>
      </c>
      <c r="DM14" s="17" t="e">
        <v>#N/A</v>
      </c>
      <c r="DN14" s="17" t="e">
        <v>#N/A</v>
      </c>
      <c r="DO14" s="17" t="e">
        <v>#N/A</v>
      </c>
      <c r="DP14" s="17" t="e">
        <v>#N/A</v>
      </c>
      <c r="DQ14" s="17" t="e">
        <v>#N/A</v>
      </c>
      <c r="DR14" s="17" t="e">
        <v>#N/A</v>
      </c>
      <c r="DS14" s="17" t="e">
        <v>#N/A</v>
      </c>
      <c r="DT14" s="17" t="e">
        <v>#N/A</v>
      </c>
      <c r="DU14" s="17" t="e">
        <v>#N/A</v>
      </c>
      <c r="DV14" s="17" t="e">
        <v>#N/A</v>
      </c>
      <c r="DW14" s="17" t="e">
        <v>#N/A</v>
      </c>
      <c r="DX14" s="17" t="e">
        <v>#N/A</v>
      </c>
      <c r="DY14" s="17" t="e">
        <v>#N/A</v>
      </c>
      <c r="DZ14" s="17" t="e">
        <v>#N/A</v>
      </c>
      <c r="EA14" s="17" t="e">
        <v>#N/A</v>
      </c>
      <c r="EB14" s="17" t="e">
        <v>#N/A</v>
      </c>
      <c r="EC14" s="17" t="e">
        <v>#N/A</v>
      </c>
      <c r="ED14" s="17" t="e">
        <v>#N/A</v>
      </c>
      <c r="EE14" s="17" t="e">
        <v>#N/A</v>
      </c>
      <c r="EF14" s="17" t="e">
        <v>#N/A</v>
      </c>
      <c r="EG14" s="17" t="e">
        <v>#N/A</v>
      </c>
      <c r="EH14" s="17" t="e">
        <v>#N/A</v>
      </c>
      <c r="EI14" s="17" t="e">
        <v>#N/A</v>
      </c>
      <c r="EJ14" s="17" t="e">
        <v>#N/A</v>
      </c>
      <c r="EK14" s="17" t="e">
        <v>#N/A</v>
      </c>
      <c r="EL14" s="17" t="e">
        <v>#N/A</v>
      </c>
      <c r="EM14" s="17" t="e">
        <v>#N/A</v>
      </c>
      <c r="EN14" s="17" t="e">
        <v>#N/A</v>
      </c>
      <c r="EO14" s="17" t="e">
        <v>#N/A</v>
      </c>
      <c r="EP14" s="17" t="e">
        <v>#N/A</v>
      </c>
      <c r="EQ14" s="17" t="e">
        <v>#N/A</v>
      </c>
      <c r="ER14" s="17" t="e">
        <v>#N/A</v>
      </c>
      <c r="ES14" s="17" t="e">
        <v>#N/A</v>
      </c>
      <c r="ET14" s="17" t="e">
        <v>#N/A</v>
      </c>
      <c r="EU14" s="17" t="e">
        <v>#N/A</v>
      </c>
      <c r="EV14" s="17" t="e">
        <v>#N/A</v>
      </c>
      <c r="EW14" s="17" t="e">
        <v>#N/A</v>
      </c>
      <c r="EX14" s="17" t="e">
        <v>#N/A</v>
      </c>
      <c r="EY14" s="17" t="e">
        <v>#N/A</v>
      </c>
      <c r="EZ14" s="17" t="e">
        <v>#N/A</v>
      </c>
      <c r="FA14" s="17" t="e">
        <v>#N/A</v>
      </c>
      <c r="FB14" s="17" t="e">
        <v>#N/A</v>
      </c>
      <c r="FC14" s="17" t="e">
        <v>#N/A</v>
      </c>
      <c r="FD14" s="17" t="e">
        <v>#N/A</v>
      </c>
      <c r="FE14" s="17" t="e">
        <v>#N/A</v>
      </c>
      <c r="FF14" s="17" t="e">
        <v>#N/A</v>
      </c>
      <c r="FG14" s="17" t="e">
        <v>#N/A</v>
      </c>
      <c r="FH14" s="17" t="e">
        <v>#N/A</v>
      </c>
      <c r="FI14" s="17" t="e">
        <v>#N/A</v>
      </c>
      <c r="FJ14" s="17" t="e">
        <v>#N/A</v>
      </c>
      <c r="FK14" s="17" t="e">
        <v>#N/A</v>
      </c>
      <c r="FL14" s="17" t="e">
        <v>#N/A</v>
      </c>
      <c r="FM14" s="17" t="e">
        <v>#N/A</v>
      </c>
      <c r="FN14" s="17" t="e">
        <v>#N/A</v>
      </c>
      <c r="FO14" s="17" t="e">
        <v>#N/A</v>
      </c>
      <c r="FP14" s="17" t="e">
        <v>#N/A</v>
      </c>
      <c r="FQ14" s="17" t="e">
        <v>#N/A</v>
      </c>
      <c r="FR14" s="17" t="e">
        <v>#N/A</v>
      </c>
      <c r="FS14" s="17" t="e">
        <v>#N/A</v>
      </c>
      <c r="FT14" s="17" t="e">
        <v>#N/A</v>
      </c>
      <c r="FU14" s="17" t="e">
        <v>#N/A</v>
      </c>
      <c r="FV14" s="17" t="e">
        <v>#N/A</v>
      </c>
    </row>
    <row r="15" spans="2:178" ht="11.25" customHeight="1">
      <c r="B15" s="17">
        <v>0</v>
      </c>
      <c r="C15" s="17">
        <v>0</v>
      </c>
      <c r="D15" s="17">
        <v>0</v>
      </c>
      <c r="E15" s="17">
        <v>0</v>
      </c>
      <c r="F15" s="17">
        <v>0</v>
      </c>
      <c r="G15" s="17">
        <v>1</v>
      </c>
      <c r="H15" s="17">
        <v>0</v>
      </c>
      <c r="I15" s="17">
        <v>1</v>
      </c>
      <c r="J15" s="17">
        <v>1</v>
      </c>
      <c r="K15" s="17">
        <v>1</v>
      </c>
      <c r="L15" s="17">
        <v>0</v>
      </c>
      <c r="M15" s="17">
        <v>1</v>
      </c>
      <c r="N15" s="17">
        <v>0</v>
      </c>
      <c r="O15" s="17">
        <v>0</v>
      </c>
      <c r="P15" s="17">
        <v>0</v>
      </c>
      <c r="Q15" s="17">
        <v>1</v>
      </c>
      <c r="R15" s="17">
        <v>1</v>
      </c>
      <c r="S15" s="17">
        <v>1</v>
      </c>
      <c r="T15" s="17">
        <v>1</v>
      </c>
      <c r="U15" s="17">
        <v>0</v>
      </c>
      <c r="V15" s="17">
        <v>1</v>
      </c>
      <c r="W15" s="17">
        <v>0</v>
      </c>
      <c r="X15" s="17">
        <v>1</v>
      </c>
      <c r="Y15" s="17">
        <v>0</v>
      </c>
      <c r="Z15" s="17">
        <v>0</v>
      </c>
      <c r="AA15" s="17">
        <v>1</v>
      </c>
      <c r="AB15" s="17">
        <v>1</v>
      </c>
      <c r="AC15" s="17">
        <v>0</v>
      </c>
      <c r="AD15" s="17">
        <v>1</v>
      </c>
      <c r="AE15" s="17">
        <v>1</v>
      </c>
      <c r="AF15" s="17">
        <v>1</v>
      </c>
      <c r="AG15" s="17">
        <v>1</v>
      </c>
      <c r="AH15" s="17">
        <v>0</v>
      </c>
      <c r="AI15" s="17">
        <v>0</v>
      </c>
      <c r="AJ15" s="17">
        <v>0</v>
      </c>
      <c r="AK15" s="17">
        <v>1</v>
      </c>
      <c r="AL15" s="17">
        <v>0</v>
      </c>
      <c r="AM15" s="17">
        <v>0</v>
      </c>
      <c r="AN15" s="17">
        <v>1</v>
      </c>
      <c r="AO15" s="17">
        <v>1</v>
      </c>
      <c r="AP15" s="17">
        <v>1</v>
      </c>
      <c r="AQ15" s="17">
        <v>1</v>
      </c>
      <c r="AR15" s="17">
        <v>1</v>
      </c>
      <c r="AS15" s="17">
        <v>1</v>
      </c>
      <c r="AT15" s="17">
        <v>0</v>
      </c>
      <c r="AU15" s="17">
        <v>1</v>
      </c>
      <c r="AV15" s="17">
        <v>0</v>
      </c>
      <c r="AW15" s="17">
        <v>0</v>
      </c>
      <c r="AX15" s="17">
        <v>1</v>
      </c>
      <c r="AY15" s="17">
        <v>0</v>
      </c>
      <c r="AZ15" s="17">
        <v>0</v>
      </c>
      <c r="BA15" s="17">
        <v>1</v>
      </c>
      <c r="BB15" s="17">
        <v>1</v>
      </c>
      <c r="BC15" s="17">
        <v>1</v>
      </c>
      <c r="BD15" s="17">
        <v>0</v>
      </c>
      <c r="BE15" s="17">
        <v>1</v>
      </c>
      <c r="BF15" s="17">
        <v>1</v>
      </c>
      <c r="BG15" s="17">
        <v>1</v>
      </c>
      <c r="BH15" s="17">
        <v>1</v>
      </c>
      <c r="BI15" s="17">
        <v>0</v>
      </c>
      <c r="BJ15" s="17">
        <v>0</v>
      </c>
      <c r="BK15" s="17">
        <v>1</v>
      </c>
      <c r="BL15" s="17">
        <v>0</v>
      </c>
      <c r="BM15" s="17">
        <v>0</v>
      </c>
      <c r="BN15" s="17">
        <v>0</v>
      </c>
      <c r="BO15" s="17">
        <v>1</v>
      </c>
      <c r="BP15" s="17">
        <v>1</v>
      </c>
      <c r="BQ15" s="17">
        <v>0</v>
      </c>
      <c r="BR15" s="17">
        <v>0</v>
      </c>
      <c r="BS15" s="17" t="e">
        <v>#N/A</v>
      </c>
      <c r="BT15" s="17" t="e">
        <v>#N/A</v>
      </c>
      <c r="BU15" s="17" t="e">
        <v>#N/A</v>
      </c>
      <c r="BV15" s="17" t="e">
        <v>#N/A</v>
      </c>
      <c r="BW15" s="17" t="e">
        <v>#N/A</v>
      </c>
      <c r="BX15" s="17" t="e">
        <v>#N/A</v>
      </c>
      <c r="BY15" s="17" t="e">
        <v>#N/A</v>
      </c>
      <c r="BZ15" s="17" t="e">
        <v>#N/A</v>
      </c>
      <c r="CA15" s="17" t="e">
        <v>#N/A</v>
      </c>
      <c r="CB15" s="17" t="e">
        <v>#N/A</v>
      </c>
      <c r="CC15" s="17" t="e">
        <v>#N/A</v>
      </c>
      <c r="CD15" s="17" t="e">
        <v>#N/A</v>
      </c>
      <c r="CE15" s="17" t="e">
        <v>#N/A</v>
      </c>
      <c r="CF15" s="17" t="e">
        <v>#N/A</v>
      </c>
      <c r="CG15" s="17" t="e">
        <v>#N/A</v>
      </c>
      <c r="CH15" s="17" t="e">
        <v>#N/A</v>
      </c>
      <c r="CI15" s="17" t="e">
        <v>#N/A</v>
      </c>
      <c r="CJ15" s="17" t="e">
        <v>#N/A</v>
      </c>
      <c r="CK15" s="17" t="e">
        <v>#N/A</v>
      </c>
      <c r="CL15" s="17" t="e">
        <v>#N/A</v>
      </c>
      <c r="CM15" s="17" t="e">
        <v>#N/A</v>
      </c>
      <c r="CN15" s="17" t="e">
        <v>#N/A</v>
      </c>
      <c r="CO15" s="17" t="e">
        <v>#N/A</v>
      </c>
      <c r="CP15" s="17" t="e">
        <v>#N/A</v>
      </c>
      <c r="CQ15" s="17" t="e">
        <v>#N/A</v>
      </c>
      <c r="CR15" s="17" t="e">
        <v>#N/A</v>
      </c>
      <c r="CS15" s="17" t="e">
        <v>#N/A</v>
      </c>
      <c r="CT15" s="17" t="e">
        <v>#N/A</v>
      </c>
      <c r="CU15" s="17" t="e">
        <v>#N/A</v>
      </c>
      <c r="CV15" s="17" t="e">
        <v>#N/A</v>
      </c>
      <c r="CW15" s="17" t="e">
        <v>#N/A</v>
      </c>
      <c r="CX15" s="17" t="e">
        <v>#N/A</v>
      </c>
      <c r="CY15" s="17" t="e">
        <v>#N/A</v>
      </c>
      <c r="CZ15" s="17" t="e">
        <v>#N/A</v>
      </c>
      <c r="DA15" s="17" t="e">
        <v>#N/A</v>
      </c>
      <c r="DB15" s="17" t="e">
        <v>#N/A</v>
      </c>
      <c r="DC15" s="17" t="e">
        <v>#N/A</v>
      </c>
      <c r="DD15" s="17" t="e">
        <v>#N/A</v>
      </c>
      <c r="DE15" s="17" t="e">
        <v>#N/A</v>
      </c>
      <c r="DF15" s="17" t="e">
        <v>#N/A</v>
      </c>
      <c r="DG15" s="17" t="e">
        <v>#N/A</v>
      </c>
      <c r="DH15" s="17" t="e">
        <v>#N/A</v>
      </c>
      <c r="DI15" s="17" t="e">
        <v>#N/A</v>
      </c>
      <c r="DJ15" s="17" t="e">
        <v>#N/A</v>
      </c>
      <c r="DK15" s="17" t="e">
        <v>#N/A</v>
      </c>
      <c r="DL15" s="17" t="e">
        <v>#N/A</v>
      </c>
      <c r="DM15" s="17" t="e">
        <v>#N/A</v>
      </c>
      <c r="DN15" s="17" t="e">
        <v>#N/A</v>
      </c>
      <c r="DO15" s="17" t="e">
        <v>#N/A</v>
      </c>
      <c r="DP15" s="17" t="e">
        <v>#N/A</v>
      </c>
      <c r="DQ15" s="17" t="e">
        <v>#N/A</v>
      </c>
      <c r="DR15" s="17" t="e">
        <v>#N/A</v>
      </c>
      <c r="DS15" s="17" t="e">
        <v>#N/A</v>
      </c>
      <c r="DT15" s="17" t="e">
        <v>#N/A</v>
      </c>
      <c r="DU15" s="17" t="e">
        <v>#N/A</v>
      </c>
      <c r="DV15" s="17" t="e">
        <v>#N/A</v>
      </c>
      <c r="DW15" s="17" t="e">
        <v>#N/A</v>
      </c>
      <c r="DX15" s="17" t="e">
        <v>#N/A</v>
      </c>
      <c r="DY15" s="17" t="e">
        <v>#N/A</v>
      </c>
      <c r="DZ15" s="17" t="e">
        <v>#N/A</v>
      </c>
      <c r="EA15" s="17" t="e">
        <v>#N/A</v>
      </c>
      <c r="EB15" s="17" t="e">
        <v>#N/A</v>
      </c>
      <c r="EC15" s="17" t="e">
        <v>#N/A</v>
      </c>
      <c r="ED15" s="17" t="e">
        <v>#N/A</v>
      </c>
      <c r="EE15" s="17" t="e">
        <v>#N/A</v>
      </c>
      <c r="EF15" s="17" t="e">
        <v>#N/A</v>
      </c>
      <c r="EG15" s="17" t="e">
        <v>#N/A</v>
      </c>
      <c r="EH15" s="17" t="e">
        <v>#N/A</v>
      </c>
      <c r="EI15" s="17" t="e">
        <v>#N/A</v>
      </c>
      <c r="EJ15" s="17" t="e">
        <v>#N/A</v>
      </c>
      <c r="EK15" s="17" t="e">
        <v>#N/A</v>
      </c>
      <c r="EL15" s="17" t="e">
        <v>#N/A</v>
      </c>
      <c r="EM15" s="17" t="e">
        <v>#N/A</v>
      </c>
      <c r="EN15" s="17" t="e">
        <v>#N/A</v>
      </c>
      <c r="EO15" s="17" t="e">
        <v>#N/A</v>
      </c>
      <c r="EP15" s="17" t="e">
        <v>#N/A</v>
      </c>
      <c r="EQ15" s="17" t="e">
        <v>#N/A</v>
      </c>
      <c r="ER15" s="17" t="e">
        <v>#N/A</v>
      </c>
      <c r="ES15" s="17" t="e">
        <v>#N/A</v>
      </c>
      <c r="ET15" s="17" t="e">
        <v>#N/A</v>
      </c>
      <c r="EU15" s="17" t="e">
        <v>#N/A</v>
      </c>
      <c r="EV15" s="17" t="e">
        <v>#N/A</v>
      </c>
      <c r="EW15" s="17" t="e">
        <v>#N/A</v>
      </c>
      <c r="EX15" s="17" t="e">
        <v>#N/A</v>
      </c>
      <c r="EY15" s="17" t="e">
        <v>#N/A</v>
      </c>
      <c r="EZ15" s="17" t="e">
        <v>#N/A</v>
      </c>
      <c r="FA15" s="17" t="e">
        <v>#N/A</v>
      </c>
      <c r="FB15" s="17" t="e">
        <v>#N/A</v>
      </c>
      <c r="FC15" s="17" t="e">
        <v>#N/A</v>
      </c>
      <c r="FD15" s="17" t="e">
        <v>#N/A</v>
      </c>
      <c r="FE15" s="17" t="e">
        <v>#N/A</v>
      </c>
      <c r="FF15" s="17" t="e">
        <v>#N/A</v>
      </c>
      <c r="FG15" s="17" t="e">
        <v>#N/A</v>
      </c>
      <c r="FH15" s="17" t="e">
        <v>#N/A</v>
      </c>
      <c r="FI15" s="17" t="e">
        <v>#N/A</v>
      </c>
      <c r="FJ15" s="17" t="e">
        <v>#N/A</v>
      </c>
      <c r="FK15" s="17" t="e">
        <v>#N/A</v>
      </c>
      <c r="FL15" s="17" t="e">
        <v>#N/A</v>
      </c>
      <c r="FM15" s="17" t="e">
        <v>#N/A</v>
      </c>
      <c r="FN15" s="17" t="e">
        <v>#N/A</v>
      </c>
      <c r="FO15" s="17" t="e">
        <v>#N/A</v>
      </c>
      <c r="FP15" s="17" t="e">
        <v>#N/A</v>
      </c>
      <c r="FQ15" s="17" t="e">
        <v>#N/A</v>
      </c>
      <c r="FR15" s="17" t="e">
        <v>#N/A</v>
      </c>
      <c r="FS15" s="17" t="e">
        <v>#N/A</v>
      </c>
      <c r="FT15" s="17" t="e">
        <v>#N/A</v>
      </c>
      <c r="FU15" s="17" t="e">
        <v>#N/A</v>
      </c>
      <c r="FV15" s="17" t="e">
        <v>#N/A</v>
      </c>
    </row>
    <row r="16" spans="2:178" ht="11.25" customHeight="1">
      <c r="B16" s="17">
        <v>1</v>
      </c>
      <c r="C16" s="17">
        <v>0</v>
      </c>
      <c r="D16" s="17">
        <v>1</v>
      </c>
      <c r="E16" s="17">
        <v>1</v>
      </c>
      <c r="F16" s="17">
        <v>0</v>
      </c>
      <c r="G16" s="17">
        <v>0</v>
      </c>
      <c r="H16" s="17">
        <v>1</v>
      </c>
      <c r="I16" s="17">
        <v>0</v>
      </c>
      <c r="J16" s="17">
        <v>0</v>
      </c>
      <c r="K16" s="17">
        <v>0</v>
      </c>
      <c r="L16" s="17">
        <v>0</v>
      </c>
      <c r="M16" s="17">
        <v>1</v>
      </c>
      <c r="N16" s="17">
        <v>1</v>
      </c>
      <c r="O16" s="17">
        <v>1</v>
      </c>
      <c r="P16" s="17">
        <v>0</v>
      </c>
      <c r="Q16" s="17">
        <v>1</v>
      </c>
      <c r="R16" s="17">
        <v>0</v>
      </c>
      <c r="S16" s="17">
        <v>1</v>
      </c>
      <c r="T16" s="17">
        <v>1</v>
      </c>
      <c r="U16" s="17">
        <v>0</v>
      </c>
      <c r="V16" s="17">
        <v>0</v>
      </c>
      <c r="W16" s="17">
        <v>0</v>
      </c>
      <c r="X16" s="17">
        <v>0</v>
      </c>
      <c r="Y16" s="17">
        <v>1</v>
      </c>
      <c r="Z16" s="17">
        <v>1</v>
      </c>
      <c r="AA16" s="17">
        <v>1</v>
      </c>
      <c r="AB16" s="17">
        <v>1</v>
      </c>
      <c r="AC16" s="17">
        <v>0</v>
      </c>
      <c r="AD16" s="17">
        <v>1</v>
      </c>
      <c r="AE16" s="17">
        <v>1</v>
      </c>
      <c r="AF16" s="17">
        <v>1</v>
      </c>
      <c r="AG16" s="17">
        <v>1</v>
      </c>
      <c r="AH16" s="17">
        <v>1</v>
      </c>
      <c r="AI16" s="17">
        <v>0</v>
      </c>
      <c r="AJ16" s="17">
        <v>1</v>
      </c>
      <c r="AK16" s="17">
        <v>1</v>
      </c>
      <c r="AL16" s="17">
        <v>0</v>
      </c>
      <c r="AM16" s="17">
        <v>0</v>
      </c>
      <c r="AN16" s="17">
        <v>1</v>
      </c>
      <c r="AO16" s="17">
        <v>0</v>
      </c>
      <c r="AP16" s="17">
        <v>1</v>
      </c>
      <c r="AQ16" s="17">
        <v>0</v>
      </c>
      <c r="AR16" s="17">
        <v>0</v>
      </c>
      <c r="AS16" s="17">
        <v>0</v>
      </c>
      <c r="AT16" s="17">
        <v>0</v>
      </c>
      <c r="AU16" s="17">
        <v>1</v>
      </c>
      <c r="AV16" s="17">
        <v>0</v>
      </c>
      <c r="AW16" s="17">
        <v>0</v>
      </c>
      <c r="AX16" s="17">
        <v>1</v>
      </c>
      <c r="AY16" s="17">
        <v>1</v>
      </c>
      <c r="AZ16" s="17">
        <v>1</v>
      </c>
      <c r="BA16" s="17">
        <v>0</v>
      </c>
      <c r="BB16" s="17">
        <v>1</v>
      </c>
      <c r="BC16" s="17">
        <v>1</v>
      </c>
      <c r="BD16" s="17">
        <v>1</v>
      </c>
      <c r="BE16" s="17">
        <v>1</v>
      </c>
      <c r="BF16" s="17">
        <v>1</v>
      </c>
      <c r="BG16" s="17">
        <v>0</v>
      </c>
      <c r="BH16" s="17">
        <v>0</v>
      </c>
      <c r="BI16" s="17">
        <v>0</v>
      </c>
      <c r="BJ16" s="17">
        <v>0</v>
      </c>
      <c r="BK16" s="17">
        <v>1</v>
      </c>
      <c r="BL16" s="17">
        <v>1</v>
      </c>
      <c r="BM16" s="17">
        <v>0</v>
      </c>
      <c r="BN16" s="17">
        <v>1</v>
      </c>
      <c r="BO16" s="17">
        <v>0</v>
      </c>
      <c r="BP16" s="17">
        <v>0</v>
      </c>
      <c r="BQ16" s="17">
        <v>0</v>
      </c>
      <c r="BR16" s="17">
        <v>0</v>
      </c>
      <c r="BS16" s="17" t="e">
        <v>#N/A</v>
      </c>
      <c r="BT16" s="17" t="e">
        <v>#N/A</v>
      </c>
      <c r="BU16" s="17" t="e">
        <v>#N/A</v>
      </c>
      <c r="BV16" s="17" t="e">
        <v>#N/A</v>
      </c>
      <c r="BW16" s="17" t="e">
        <v>#N/A</v>
      </c>
      <c r="BX16" s="17" t="e">
        <v>#N/A</v>
      </c>
      <c r="BY16" s="17" t="e">
        <v>#N/A</v>
      </c>
      <c r="BZ16" s="17" t="e">
        <v>#N/A</v>
      </c>
      <c r="CA16" s="17" t="e">
        <v>#N/A</v>
      </c>
      <c r="CB16" s="17" t="e">
        <v>#N/A</v>
      </c>
      <c r="CC16" s="17" t="e">
        <v>#N/A</v>
      </c>
      <c r="CD16" s="17" t="e">
        <v>#N/A</v>
      </c>
      <c r="CE16" s="17" t="e">
        <v>#N/A</v>
      </c>
      <c r="CF16" s="17" t="e">
        <v>#N/A</v>
      </c>
      <c r="CG16" s="17" t="e">
        <v>#N/A</v>
      </c>
      <c r="CH16" s="17" t="e">
        <v>#N/A</v>
      </c>
      <c r="CI16" s="17" t="e">
        <v>#N/A</v>
      </c>
      <c r="CJ16" s="17" t="e">
        <v>#N/A</v>
      </c>
      <c r="CK16" s="17" t="e">
        <v>#N/A</v>
      </c>
      <c r="CL16" s="17" t="e">
        <v>#N/A</v>
      </c>
      <c r="CM16" s="17" t="e">
        <v>#N/A</v>
      </c>
      <c r="CN16" s="17" t="e">
        <v>#N/A</v>
      </c>
      <c r="CO16" s="17" t="e">
        <v>#N/A</v>
      </c>
      <c r="CP16" s="17" t="e">
        <v>#N/A</v>
      </c>
      <c r="CQ16" s="17" t="e">
        <v>#N/A</v>
      </c>
      <c r="CR16" s="17" t="e">
        <v>#N/A</v>
      </c>
      <c r="CS16" s="17" t="e">
        <v>#N/A</v>
      </c>
      <c r="CT16" s="17" t="e">
        <v>#N/A</v>
      </c>
      <c r="CU16" s="17" t="e">
        <v>#N/A</v>
      </c>
      <c r="CV16" s="17" t="e">
        <v>#N/A</v>
      </c>
      <c r="CW16" s="17" t="e">
        <v>#N/A</v>
      </c>
      <c r="CX16" s="17" t="e">
        <v>#N/A</v>
      </c>
      <c r="CY16" s="17" t="e">
        <v>#N/A</v>
      </c>
      <c r="CZ16" s="17" t="e">
        <v>#N/A</v>
      </c>
      <c r="DA16" s="17" t="e">
        <v>#N/A</v>
      </c>
      <c r="DB16" s="17" t="e">
        <v>#N/A</v>
      </c>
      <c r="DC16" s="17" t="e">
        <v>#N/A</v>
      </c>
      <c r="DD16" s="17" t="e">
        <v>#N/A</v>
      </c>
      <c r="DE16" s="17" t="e">
        <v>#N/A</v>
      </c>
      <c r="DF16" s="17" t="e">
        <v>#N/A</v>
      </c>
      <c r="DG16" s="17" t="e">
        <v>#N/A</v>
      </c>
      <c r="DH16" s="17" t="e">
        <v>#N/A</v>
      </c>
      <c r="DI16" s="17" t="e">
        <v>#N/A</v>
      </c>
      <c r="DJ16" s="17" t="e">
        <v>#N/A</v>
      </c>
      <c r="DK16" s="17" t="e">
        <v>#N/A</v>
      </c>
      <c r="DL16" s="17" t="e">
        <v>#N/A</v>
      </c>
      <c r="DM16" s="17" t="e">
        <v>#N/A</v>
      </c>
      <c r="DN16" s="17" t="e">
        <v>#N/A</v>
      </c>
      <c r="DO16" s="17" t="e">
        <v>#N/A</v>
      </c>
      <c r="DP16" s="17" t="e">
        <v>#N/A</v>
      </c>
      <c r="DQ16" s="17" t="e">
        <v>#N/A</v>
      </c>
      <c r="DR16" s="17" t="e">
        <v>#N/A</v>
      </c>
      <c r="DS16" s="17" t="e">
        <v>#N/A</v>
      </c>
      <c r="DT16" s="17" t="e">
        <v>#N/A</v>
      </c>
      <c r="DU16" s="17" t="e">
        <v>#N/A</v>
      </c>
      <c r="DV16" s="17" t="e">
        <v>#N/A</v>
      </c>
      <c r="DW16" s="17" t="e">
        <v>#N/A</v>
      </c>
      <c r="DX16" s="17" t="e">
        <v>#N/A</v>
      </c>
      <c r="DY16" s="17" t="e">
        <v>#N/A</v>
      </c>
      <c r="DZ16" s="17" t="e">
        <v>#N/A</v>
      </c>
      <c r="EA16" s="17" t="e">
        <v>#N/A</v>
      </c>
      <c r="EB16" s="17" t="e">
        <v>#N/A</v>
      </c>
      <c r="EC16" s="17" t="e">
        <v>#N/A</v>
      </c>
      <c r="ED16" s="17" t="e">
        <v>#N/A</v>
      </c>
      <c r="EE16" s="17" t="e">
        <v>#N/A</v>
      </c>
      <c r="EF16" s="17" t="e">
        <v>#N/A</v>
      </c>
      <c r="EG16" s="17" t="e">
        <v>#N/A</v>
      </c>
      <c r="EH16" s="17" t="e">
        <v>#N/A</v>
      </c>
      <c r="EI16" s="17" t="e">
        <v>#N/A</v>
      </c>
      <c r="EJ16" s="17" t="e">
        <v>#N/A</v>
      </c>
      <c r="EK16" s="17" t="e">
        <v>#N/A</v>
      </c>
      <c r="EL16" s="17" t="e">
        <v>#N/A</v>
      </c>
      <c r="EM16" s="17" t="e">
        <v>#N/A</v>
      </c>
      <c r="EN16" s="17" t="e">
        <v>#N/A</v>
      </c>
      <c r="EO16" s="17" t="e">
        <v>#N/A</v>
      </c>
      <c r="EP16" s="17" t="e">
        <v>#N/A</v>
      </c>
      <c r="EQ16" s="17" t="e">
        <v>#N/A</v>
      </c>
      <c r="ER16" s="17" t="e">
        <v>#N/A</v>
      </c>
      <c r="ES16" s="17" t="e">
        <v>#N/A</v>
      </c>
      <c r="ET16" s="17" t="e">
        <v>#N/A</v>
      </c>
      <c r="EU16" s="17" t="e">
        <v>#N/A</v>
      </c>
      <c r="EV16" s="17" t="e">
        <v>#N/A</v>
      </c>
      <c r="EW16" s="17" t="e">
        <v>#N/A</v>
      </c>
      <c r="EX16" s="17" t="e">
        <v>#N/A</v>
      </c>
      <c r="EY16" s="17" t="e">
        <v>#N/A</v>
      </c>
      <c r="EZ16" s="17" t="e">
        <v>#N/A</v>
      </c>
      <c r="FA16" s="17" t="e">
        <v>#N/A</v>
      </c>
      <c r="FB16" s="17" t="e">
        <v>#N/A</v>
      </c>
      <c r="FC16" s="17" t="e">
        <v>#N/A</v>
      </c>
      <c r="FD16" s="17" t="e">
        <v>#N/A</v>
      </c>
      <c r="FE16" s="17" t="e">
        <v>#N/A</v>
      </c>
      <c r="FF16" s="17" t="e">
        <v>#N/A</v>
      </c>
      <c r="FG16" s="17" t="e">
        <v>#N/A</v>
      </c>
      <c r="FH16" s="17" t="e">
        <v>#N/A</v>
      </c>
      <c r="FI16" s="17" t="e">
        <v>#N/A</v>
      </c>
      <c r="FJ16" s="17" t="e">
        <v>#N/A</v>
      </c>
      <c r="FK16" s="17" t="e">
        <v>#N/A</v>
      </c>
      <c r="FL16" s="17" t="e">
        <v>#N/A</v>
      </c>
      <c r="FM16" s="17" t="e">
        <v>#N/A</v>
      </c>
      <c r="FN16" s="17" t="e">
        <v>#N/A</v>
      </c>
      <c r="FO16" s="17" t="e">
        <v>#N/A</v>
      </c>
      <c r="FP16" s="17" t="e">
        <v>#N/A</v>
      </c>
      <c r="FQ16" s="17" t="e">
        <v>#N/A</v>
      </c>
      <c r="FR16" s="17" t="e">
        <v>#N/A</v>
      </c>
      <c r="FS16" s="17" t="e">
        <v>#N/A</v>
      </c>
      <c r="FT16" s="17" t="e">
        <v>#N/A</v>
      </c>
      <c r="FU16" s="17" t="e">
        <v>#N/A</v>
      </c>
      <c r="FV16" s="17" t="e">
        <v>#N/A</v>
      </c>
    </row>
    <row r="17" spans="2:178" ht="11.25" customHeight="1">
      <c r="B17" s="17">
        <v>0</v>
      </c>
      <c r="C17" s="17">
        <v>1</v>
      </c>
      <c r="D17" s="17">
        <v>1</v>
      </c>
      <c r="E17" s="17">
        <v>0</v>
      </c>
      <c r="F17" s="17">
        <v>1</v>
      </c>
      <c r="G17" s="17">
        <v>0</v>
      </c>
      <c r="H17" s="17">
        <v>0</v>
      </c>
      <c r="I17" s="17">
        <v>0</v>
      </c>
      <c r="J17" s="17">
        <v>0</v>
      </c>
      <c r="K17" s="17">
        <v>0</v>
      </c>
      <c r="L17" s="17">
        <v>1</v>
      </c>
      <c r="M17" s="17">
        <v>0</v>
      </c>
      <c r="N17" s="17">
        <v>0</v>
      </c>
      <c r="O17" s="17">
        <v>0</v>
      </c>
      <c r="P17" s="17">
        <v>0</v>
      </c>
      <c r="Q17" s="17">
        <v>1</v>
      </c>
      <c r="R17" s="17">
        <v>1</v>
      </c>
      <c r="S17" s="17">
        <v>1</v>
      </c>
      <c r="T17" s="17">
        <v>0</v>
      </c>
      <c r="U17" s="17">
        <v>0</v>
      </c>
      <c r="V17" s="17">
        <v>1</v>
      </c>
      <c r="W17" s="17">
        <v>1</v>
      </c>
      <c r="X17" s="17">
        <v>0</v>
      </c>
      <c r="Y17" s="17">
        <v>1</v>
      </c>
      <c r="Z17" s="17">
        <v>0</v>
      </c>
      <c r="AA17" s="17">
        <v>1</v>
      </c>
      <c r="AB17" s="17">
        <v>1</v>
      </c>
      <c r="AC17" s="17">
        <v>1</v>
      </c>
      <c r="AD17" s="17">
        <v>0</v>
      </c>
      <c r="AE17" s="17">
        <v>1</v>
      </c>
      <c r="AF17" s="17">
        <v>0</v>
      </c>
      <c r="AG17" s="17">
        <v>1</v>
      </c>
      <c r="AH17" s="17">
        <v>0</v>
      </c>
      <c r="AI17" s="17">
        <v>1</v>
      </c>
      <c r="AJ17" s="17">
        <v>1</v>
      </c>
      <c r="AK17" s="17">
        <v>0</v>
      </c>
      <c r="AL17" s="17">
        <v>0</v>
      </c>
      <c r="AM17" s="17">
        <v>1</v>
      </c>
      <c r="AN17" s="17">
        <v>1</v>
      </c>
      <c r="AO17" s="17">
        <v>1</v>
      </c>
      <c r="AP17" s="17">
        <v>0</v>
      </c>
      <c r="AQ17" s="17">
        <v>0</v>
      </c>
      <c r="AR17" s="17">
        <v>0</v>
      </c>
      <c r="AS17" s="17">
        <v>1</v>
      </c>
      <c r="AT17" s="17">
        <v>0</v>
      </c>
      <c r="AU17" s="17">
        <v>0</v>
      </c>
      <c r="AV17" s="17">
        <v>0</v>
      </c>
      <c r="AW17" s="17">
        <v>0</v>
      </c>
      <c r="AX17" s="17">
        <v>1</v>
      </c>
      <c r="AY17" s="17">
        <v>0</v>
      </c>
      <c r="AZ17" s="17">
        <v>0</v>
      </c>
      <c r="BA17" s="17">
        <v>1</v>
      </c>
      <c r="BB17" s="17">
        <v>0</v>
      </c>
      <c r="BC17" s="17">
        <v>1</v>
      </c>
      <c r="BD17" s="17">
        <v>1</v>
      </c>
      <c r="BE17" s="17">
        <v>1</v>
      </c>
      <c r="BF17" s="17">
        <v>0</v>
      </c>
      <c r="BG17" s="17">
        <v>0</v>
      </c>
      <c r="BH17" s="17">
        <v>0</v>
      </c>
      <c r="BI17" s="17">
        <v>0</v>
      </c>
      <c r="BJ17" s="17">
        <v>1</v>
      </c>
      <c r="BK17" s="17">
        <v>0</v>
      </c>
      <c r="BL17" s="17">
        <v>1</v>
      </c>
      <c r="BM17" s="17">
        <v>0</v>
      </c>
      <c r="BN17" s="17">
        <v>1</v>
      </c>
      <c r="BO17" s="17">
        <v>1</v>
      </c>
      <c r="BP17" s="17">
        <v>0</v>
      </c>
      <c r="BQ17" s="17">
        <v>1</v>
      </c>
      <c r="BR17" s="17">
        <v>0</v>
      </c>
      <c r="BS17" s="17" t="e">
        <v>#N/A</v>
      </c>
      <c r="BT17" s="17" t="e">
        <v>#N/A</v>
      </c>
      <c r="BU17" s="17" t="e">
        <v>#N/A</v>
      </c>
      <c r="BV17" s="17" t="e">
        <v>#N/A</v>
      </c>
      <c r="BW17" s="17" t="e">
        <v>#N/A</v>
      </c>
      <c r="BX17" s="17" t="e">
        <v>#N/A</v>
      </c>
      <c r="BY17" s="17" t="e">
        <v>#N/A</v>
      </c>
      <c r="BZ17" s="17" t="e">
        <v>#N/A</v>
      </c>
      <c r="CA17" s="17" t="e">
        <v>#N/A</v>
      </c>
      <c r="CB17" s="17" t="e">
        <v>#N/A</v>
      </c>
      <c r="CC17" s="17" t="e">
        <v>#N/A</v>
      </c>
      <c r="CD17" s="17" t="e">
        <v>#N/A</v>
      </c>
      <c r="CE17" s="17" t="e">
        <v>#N/A</v>
      </c>
      <c r="CF17" s="17" t="e">
        <v>#N/A</v>
      </c>
      <c r="CG17" s="17" t="e">
        <v>#N/A</v>
      </c>
      <c r="CH17" s="17" t="e">
        <v>#N/A</v>
      </c>
      <c r="CI17" s="17" t="e">
        <v>#N/A</v>
      </c>
      <c r="CJ17" s="17" t="e">
        <v>#N/A</v>
      </c>
      <c r="CK17" s="17" t="e">
        <v>#N/A</v>
      </c>
      <c r="CL17" s="17" t="e">
        <v>#N/A</v>
      </c>
      <c r="CM17" s="17" t="e">
        <v>#N/A</v>
      </c>
      <c r="CN17" s="17" t="e">
        <v>#N/A</v>
      </c>
      <c r="CO17" s="17" t="e">
        <v>#N/A</v>
      </c>
      <c r="CP17" s="17" t="e">
        <v>#N/A</v>
      </c>
      <c r="CQ17" s="17" t="e">
        <v>#N/A</v>
      </c>
      <c r="CR17" s="17" t="e">
        <v>#N/A</v>
      </c>
      <c r="CS17" s="17" t="e">
        <v>#N/A</v>
      </c>
      <c r="CT17" s="17" t="e">
        <v>#N/A</v>
      </c>
      <c r="CU17" s="17" t="e">
        <v>#N/A</v>
      </c>
      <c r="CV17" s="17" t="e">
        <v>#N/A</v>
      </c>
      <c r="CW17" s="17" t="e">
        <v>#N/A</v>
      </c>
      <c r="CX17" s="17" t="e">
        <v>#N/A</v>
      </c>
      <c r="CY17" s="17" t="e">
        <v>#N/A</v>
      </c>
      <c r="CZ17" s="17" t="e">
        <v>#N/A</v>
      </c>
      <c r="DA17" s="17" t="e">
        <v>#N/A</v>
      </c>
      <c r="DB17" s="17" t="e">
        <v>#N/A</v>
      </c>
      <c r="DC17" s="17" t="e">
        <v>#N/A</v>
      </c>
      <c r="DD17" s="17" t="e">
        <v>#N/A</v>
      </c>
      <c r="DE17" s="17" t="e">
        <v>#N/A</v>
      </c>
      <c r="DF17" s="17" t="e">
        <v>#N/A</v>
      </c>
      <c r="DG17" s="17" t="e">
        <v>#N/A</v>
      </c>
      <c r="DH17" s="17" t="e">
        <v>#N/A</v>
      </c>
      <c r="DI17" s="17" t="e">
        <v>#N/A</v>
      </c>
      <c r="DJ17" s="17" t="e">
        <v>#N/A</v>
      </c>
      <c r="DK17" s="17" t="e">
        <v>#N/A</v>
      </c>
      <c r="DL17" s="17" t="e">
        <v>#N/A</v>
      </c>
      <c r="DM17" s="17" t="e">
        <v>#N/A</v>
      </c>
      <c r="DN17" s="17" t="e">
        <v>#N/A</v>
      </c>
      <c r="DO17" s="17" t="e">
        <v>#N/A</v>
      </c>
      <c r="DP17" s="17" t="e">
        <v>#N/A</v>
      </c>
      <c r="DQ17" s="17" t="e">
        <v>#N/A</v>
      </c>
      <c r="DR17" s="17" t="e">
        <v>#N/A</v>
      </c>
      <c r="DS17" s="17" t="e">
        <v>#N/A</v>
      </c>
      <c r="DT17" s="17" t="e">
        <v>#N/A</v>
      </c>
      <c r="DU17" s="17" t="e">
        <v>#N/A</v>
      </c>
      <c r="DV17" s="17" t="e">
        <v>#N/A</v>
      </c>
      <c r="DW17" s="17" t="e">
        <v>#N/A</v>
      </c>
      <c r="DX17" s="17" t="e">
        <v>#N/A</v>
      </c>
      <c r="DY17" s="17" t="e">
        <v>#N/A</v>
      </c>
      <c r="DZ17" s="17" t="e">
        <v>#N/A</v>
      </c>
      <c r="EA17" s="17" t="e">
        <v>#N/A</v>
      </c>
      <c r="EB17" s="17" t="e">
        <v>#N/A</v>
      </c>
      <c r="EC17" s="17" t="e">
        <v>#N/A</v>
      </c>
      <c r="ED17" s="17" t="e">
        <v>#N/A</v>
      </c>
      <c r="EE17" s="17" t="e">
        <v>#N/A</v>
      </c>
      <c r="EF17" s="17" t="e">
        <v>#N/A</v>
      </c>
      <c r="EG17" s="17" t="e">
        <v>#N/A</v>
      </c>
      <c r="EH17" s="17" t="e">
        <v>#N/A</v>
      </c>
      <c r="EI17" s="17" t="e">
        <v>#N/A</v>
      </c>
      <c r="EJ17" s="17" t="e">
        <v>#N/A</v>
      </c>
      <c r="EK17" s="17" t="e">
        <v>#N/A</v>
      </c>
      <c r="EL17" s="17" t="e">
        <v>#N/A</v>
      </c>
      <c r="EM17" s="17" t="e">
        <v>#N/A</v>
      </c>
      <c r="EN17" s="17" t="e">
        <v>#N/A</v>
      </c>
      <c r="EO17" s="17" t="e">
        <v>#N/A</v>
      </c>
      <c r="EP17" s="17" t="e">
        <v>#N/A</v>
      </c>
      <c r="EQ17" s="17" t="e">
        <v>#N/A</v>
      </c>
      <c r="ER17" s="17" t="e">
        <v>#N/A</v>
      </c>
      <c r="ES17" s="17" t="e">
        <v>#N/A</v>
      </c>
      <c r="ET17" s="17" t="e">
        <v>#N/A</v>
      </c>
      <c r="EU17" s="17" t="e">
        <v>#N/A</v>
      </c>
      <c r="EV17" s="17" t="e">
        <v>#N/A</v>
      </c>
      <c r="EW17" s="17" t="e">
        <v>#N/A</v>
      </c>
      <c r="EX17" s="17" t="e">
        <v>#N/A</v>
      </c>
      <c r="EY17" s="17" t="e">
        <v>#N/A</v>
      </c>
      <c r="EZ17" s="17" t="e">
        <v>#N/A</v>
      </c>
      <c r="FA17" s="17" t="e">
        <v>#N/A</v>
      </c>
      <c r="FB17" s="17" t="e">
        <v>#N/A</v>
      </c>
      <c r="FC17" s="17" t="e">
        <v>#N/A</v>
      </c>
      <c r="FD17" s="17" t="e">
        <v>#N/A</v>
      </c>
      <c r="FE17" s="17" t="e">
        <v>#N/A</v>
      </c>
      <c r="FF17" s="17" t="e">
        <v>#N/A</v>
      </c>
      <c r="FG17" s="17" t="e">
        <v>#N/A</v>
      </c>
      <c r="FH17" s="17" t="e">
        <v>#N/A</v>
      </c>
      <c r="FI17" s="17" t="e">
        <v>#N/A</v>
      </c>
      <c r="FJ17" s="17" t="e">
        <v>#N/A</v>
      </c>
      <c r="FK17" s="17" t="e">
        <v>#N/A</v>
      </c>
      <c r="FL17" s="17" t="e">
        <v>#N/A</v>
      </c>
      <c r="FM17" s="17" t="e">
        <v>#N/A</v>
      </c>
      <c r="FN17" s="17" t="e">
        <v>#N/A</v>
      </c>
      <c r="FO17" s="17" t="e">
        <v>#N/A</v>
      </c>
      <c r="FP17" s="17" t="e">
        <v>#N/A</v>
      </c>
      <c r="FQ17" s="17" t="e">
        <v>#N/A</v>
      </c>
      <c r="FR17" s="17" t="e">
        <v>#N/A</v>
      </c>
      <c r="FS17" s="17" t="e">
        <v>#N/A</v>
      </c>
      <c r="FT17" s="17" t="e">
        <v>#N/A</v>
      </c>
      <c r="FU17" s="17" t="e">
        <v>#N/A</v>
      </c>
      <c r="FV17" s="17" t="e">
        <v>#N/A</v>
      </c>
    </row>
    <row r="18" spans="2:178" ht="11.25" customHeight="1">
      <c r="B18" s="17">
        <v>1</v>
      </c>
      <c r="C18" s="17">
        <v>0</v>
      </c>
      <c r="D18" s="17">
        <v>0</v>
      </c>
      <c r="E18" s="17">
        <v>0</v>
      </c>
      <c r="F18" s="17">
        <v>1</v>
      </c>
      <c r="G18" s="17">
        <v>1</v>
      </c>
      <c r="H18" s="17">
        <v>1</v>
      </c>
      <c r="I18" s="17">
        <v>0</v>
      </c>
      <c r="J18" s="17">
        <v>1</v>
      </c>
      <c r="K18" s="17">
        <v>0</v>
      </c>
      <c r="L18" s="17">
        <v>1</v>
      </c>
      <c r="M18" s="17">
        <v>1</v>
      </c>
      <c r="N18" s="17">
        <v>1</v>
      </c>
      <c r="O18" s="17">
        <v>1</v>
      </c>
      <c r="P18" s="17">
        <v>0</v>
      </c>
      <c r="Q18" s="17">
        <v>1</v>
      </c>
      <c r="R18" s="17">
        <v>1</v>
      </c>
      <c r="S18" s="17">
        <v>0</v>
      </c>
      <c r="T18" s="17">
        <v>1</v>
      </c>
      <c r="U18" s="17">
        <v>1</v>
      </c>
      <c r="V18" s="17">
        <v>1</v>
      </c>
      <c r="W18" s="17">
        <v>0</v>
      </c>
      <c r="X18" s="17">
        <v>1</v>
      </c>
      <c r="Y18" s="17">
        <v>1</v>
      </c>
      <c r="Z18" s="17">
        <v>1</v>
      </c>
      <c r="AA18" s="17">
        <v>0</v>
      </c>
      <c r="AB18" s="17">
        <v>0</v>
      </c>
      <c r="AC18" s="17">
        <v>1</v>
      </c>
      <c r="AD18" s="17">
        <v>0</v>
      </c>
      <c r="AE18" s="17">
        <v>0</v>
      </c>
      <c r="AF18" s="17">
        <v>1</v>
      </c>
      <c r="AG18" s="17">
        <v>0</v>
      </c>
      <c r="AH18" s="17">
        <v>1</v>
      </c>
      <c r="AI18" s="17">
        <v>0</v>
      </c>
      <c r="AJ18" s="17">
        <v>0</v>
      </c>
      <c r="AK18" s="17">
        <v>1</v>
      </c>
      <c r="AL18" s="17">
        <v>0</v>
      </c>
      <c r="AM18" s="17">
        <v>1</v>
      </c>
      <c r="AN18" s="17">
        <v>1</v>
      </c>
      <c r="AO18" s="17">
        <v>0</v>
      </c>
      <c r="AP18" s="17">
        <v>1</v>
      </c>
      <c r="AQ18" s="17">
        <v>1</v>
      </c>
      <c r="AR18" s="17">
        <v>0</v>
      </c>
      <c r="AS18" s="17">
        <v>0</v>
      </c>
      <c r="AT18" s="17">
        <v>1</v>
      </c>
      <c r="AU18" s="17">
        <v>1</v>
      </c>
      <c r="AV18" s="17">
        <v>1</v>
      </c>
      <c r="AW18" s="17">
        <v>1</v>
      </c>
      <c r="AX18" s="17">
        <v>0</v>
      </c>
      <c r="AY18" s="17">
        <v>1</v>
      </c>
      <c r="AZ18" s="17">
        <v>0</v>
      </c>
      <c r="BA18" s="17">
        <v>1</v>
      </c>
      <c r="BB18" s="17">
        <v>1</v>
      </c>
      <c r="BC18" s="17">
        <v>1</v>
      </c>
      <c r="BD18" s="17">
        <v>1</v>
      </c>
      <c r="BE18" s="17">
        <v>0</v>
      </c>
      <c r="BF18" s="17">
        <v>1</v>
      </c>
      <c r="BG18" s="17">
        <v>0</v>
      </c>
      <c r="BH18" s="17">
        <v>0</v>
      </c>
      <c r="BI18" s="17">
        <v>0</v>
      </c>
      <c r="BJ18" s="17">
        <v>0</v>
      </c>
      <c r="BK18" s="17">
        <v>1</v>
      </c>
      <c r="BL18" s="17">
        <v>0</v>
      </c>
      <c r="BM18" s="17">
        <v>0</v>
      </c>
      <c r="BN18" s="17">
        <v>0</v>
      </c>
      <c r="BO18" s="17">
        <v>0</v>
      </c>
      <c r="BP18" s="17">
        <v>1</v>
      </c>
      <c r="BQ18" s="17">
        <v>0</v>
      </c>
      <c r="BR18" s="17">
        <v>1</v>
      </c>
      <c r="BS18" s="17" t="e">
        <v>#N/A</v>
      </c>
      <c r="BT18" s="17" t="e">
        <v>#N/A</v>
      </c>
      <c r="BU18" s="17" t="e">
        <v>#N/A</v>
      </c>
      <c r="BV18" s="17" t="e">
        <v>#N/A</v>
      </c>
      <c r="BW18" s="17" t="e">
        <v>#N/A</v>
      </c>
      <c r="BX18" s="17" t="e">
        <v>#N/A</v>
      </c>
      <c r="BY18" s="17" t="e">
        <v>#N/A</v>
      </c>
      <c r="BZ18" s="17" t="e">
        <v>#N/A</v>
      </c>
      <c r="CA18" s="17" t="e">
        <v>#N/A</v>
      </c>
      <c r="CB18" s="17" t="e">
        <v>#N/A</v>
      </c>
      <c r="CC18" s="17" t="e">
        <v>#N/A</v>
      </c>
      <c r="CD18" s="17" t="e">
        <v>#N/A</v>
      </c>
      <c r="CE18" s="17" t="e">
        <v>#N/A</v>
      </c>
      <c r="CF18" s="17" t="e">
        <v>#N/A</v>
      </c>
      <c r="CG18" s="17" t="e">
        <v>#N/A</v>
      </c>
      <c r="CH18" s="17" t="e">
        <v>#N/A</v>
      </c>
      <c r="CI18" s="17" t="e">
        <v>#N/A</v>
      </c>
      <c r="CJ18" s="17" t="e">
        <v>#N/A</v>
      </c>
      <c r="CK18" s="17" t="e">
        <v>#N/A</v>
      </c>
      <c r="CL18" s="17" t="e">
        <v>#N/A</v>
      </c>
      <c r="CM18" s="17" t="e">
        <v>#N/A</v>
      </c>
      <c r="CN18" s="17" t="e">
        <v>#N/A</v>
      </c>
      <c r="CO18" s="17" t="e">
        <v>#N/A</v>
      </c>
      <c r="CP18" s="17" t="e">
        <v>#N/A</v>
      </c>
      <c r="CQ18" s="17" t="e">
        <v>#N/A</v>
      </c>
      <c r="CR18" s="17" t="e">
        <v>#N/A</v>
      </c>
      <c r="CS18" s="17" t="e">
        <v>#N/A</v>
      </c>
      <c r="CT18" s="17" t="e">
        <v>#N/A</v>
      </c>
      <c r="CU18" s="17" t="e">
        <v>#N/A</v>
      </c>
      <c r="CV18" s="17" t="e">
        <v>#N/A</v>
      </c>
      <c r="CW18" s="17" t="e">
        <v>#N/A</v>
      </c>
      <c r="CX18" s="17" t="e">
        <v>#N/A</v>
      </c>
      <c r="CY18" s="17" t="e">
        <v>#N/A</v>
      </c>
      <c r="CZ18" s="17" t="e">
        <v>#N/A</v>
      </c>
      <c r="DA18" s="17" t="e">
        <v>#N/A</v>
      </c>
      <c r="DB18" s="17" t="e">
        <v>#N/A</v>
      </c>
      <c r="DC18" s="17" t="e">
        <v>#N/A</v>
      </c>
      <c r="DD18" s="17" t="e">
        <v>#N/A</v>
      </c>
      <c r="DE18" s="17" t="e">
        <v>#N/A</v>
      </c>
      <c r="DF18" s="17" t="e">
        <v>#N/A</v>
      </c>
      <c r="DG18" s="17" t="e">
        <v>#N/A</v>
      </c>
      <c r="DH18" s="17" t="e">
        <v>#N/A</v>
      </c>
      <c r="DI18" s="17" t="e">
        <v>#N/A</v>
      </c>
      <c r="DJ18" s="17" t="e">
        <v>#N/A</v>
      </c>
      <c r="DK18" s="17" t="e">
        <v>#N/A</v>
      </c>
      <c r="DL18" s="17" t="e">
        <v>#N/A</v>
      </c>
      <c r="DM18" s="17" t="e">
        <v>#N/A</v>
      </c>
      <c r="DN18" s="17" t="e">
        <v>#N/A</v>
      </c>
      <c r="DO18" s="17" t="e">
        <v>#N/A</v>
      </c>
      <c r="DP18" s="17" t="e">
        <v>#N/A</v>
      </c>
      <c r="DQ18" s="17" t="e">
        <v>#N/A</v>
      </c>
      <c r="DR18" s="17" t="e">
        <v>#N/A</v>
      </c>
      <c r="DS18" s="17" t="e">
        <v>#N/A</v>
      </c>
      <c r="DT18" s="17" t="e">
        <v>#N/A</v>
      </c>
      <c r="DU18" s="17" t="e">
        <v>#N/A</v>
      </c>
      <c r="DV18" s="17" t="e">
        <v>#N/A</v>
      </c>
      <c r="DW18" s="17" t="e">
        <v>#N/A</v>
      </c>
      <c r="DX18" s="17" t="e">
        <v>#N/A</v>
      </c>
      <c r="DY18" s="17" t="e">
        <v>#N/A</v>
      </c>
      <c r="DZ18" s="17" t="e">
        <v>#N/A</v>
      </c>
      <c r="EA18" s="17" t="e">
        <v>#N/A</v>
      </c>
      <c r="EB18" s="17" t="e">
        <v>#N/A</v>
      </c>
      <c r="EC18" s="17" t="e">
        <v>#N/A</v>
      </c>
      <c r="ED18" s="17" t="e">
        <v>#N/A</v>
      </c>
      <c r="EE18" s="17" t="e">
        <v>#N/A</v>
      </c>
      <c r="EF18" s="17" t="e">
        <v>#N/A</v>
      </c>
      <c r="EG18" s="17" t="e">
        <v>#N/A</v>
      </c>
      <c r="EH18" s="17" t="e">
        <v>#N/A</v>
      </c>
      <c r="EI18" s="17" t="e">
        <v>#N/A</v>
      </c>
      <c r="EJ18" s="17" t="e">
        <v>#N/A</v>
      </c>
      <c r="EK18" s="17" t="e">
        <v>#N/A</v>
      </c>
      <c r="EL18" s="17" t="e">
        <v>#N/A</v>
      </c>
      <c r="EM18" s="17" t="e">
        <v>#N/A</v>
      </c>
      <c r="EN18" s="17" t="e">
        <v>#N/A</v>
      </c>
      <c r="EO18" s="17" t="e">
        <v>#N/A</v>
      </c>
      <c r="EP18" s="17" t="e">
        <v>#N/A</v>
      </c>
      <c r="EQ18" s="17" t="e">
        <v>#N/A</v>
      </c>
      <c r="ER18" s="17" t="e">
        <v>#N/A</v>
      </c>
      <c r="ES18" s="17" t="e">
        <v>#N/A</v>
      </c>
      <c r="ET18" s="17" t="e">
        <v>#N/A</v>
      </c>
      <c r="EU18" s="17" t="e">
        <v>#N/A</v>
      </c>
      <c r="EV18" s="17" t="e">
        <v>#N/A</v>
      </c>
      <c r="EW18" s="17" t="e">
        <v>#N/A</v>
      </c>
      <c r="EX18" s="17" t="e">
        <v>#N/A</v>
      </c>
      <c r="EY18" s="17" t="e">
        <v>#N/A</v>
      </c>
      <c r="EZ18" s="17" t="e">
        <v>#N/A</v>
      </c>
      <c r="FA18" s="17" t="e">
        <v>#N/A</v>
      </c>
      <c r="FB18" s="17" t="e">
        <v>#N/A</v>
      </c>
      <c r="FC18" s="17" t="e">
        <v>#N/A</v>
      </c>
      <c r="FD18" s="17" t="e">
        <v>#N/A</v>
      </c>
      <c r="FE18" s="17" t="e">
        <v>#N/A</v>
      </c>
      <c r="FF18" s="17" t="e">
        <v>#N/A</v>
      </c>
      <c r="FG18" s="17" t="e">
        <v>#N/A</v>
      </c>
      <c r="FH18" s="17" t="e">
        <v>#N/A</v>
      </c>
      <c r="FI18" s="17" t="e">
        <v>#N/A</v>
      </c>
      <c r="FJ18" s="17" t="e">
        <v>#N/A</v>
      </c>
      <c r="FK18" s="17" t="e">
        <v>#N/A</v>
      </c>
      <c r="FL18" s="17" t="e">
        <v>#N/A</v>
      </c>
      <c r="FM18" s="17" t="e">
        <v>#N/A</v>
      </c>
      <c r="FN18" s="17" t="e">
        <v>#N/A</v>
      </c>
      <c r="FO18" s="17" t="e">
        <v>#N/A</v>
      </c>
      <c r="FP18" s="17" t="e">
        <v>#N/A</v>
      </c>
      <c r="FQ18" s="17" t="e">
        <v>#N/A</v>
      </c>
      <c r="FR18" s="17" t="e">
        <v>#N/A</v>
      </c>
      <c r="FS18" s="17" t="e">
        <v>#N/A</v>
      </c>
      <c r="FT18" s="17" t="e">
        <v>#N/A</v>
      </c>
      <c r="FU18" s="17" t="e">
        <v>#N/A</v>
      </c>
      <c r="FV18" s="17" t="e">
        <v>#N/A</v>
      </c>
    </row>
    <row r="19" spans="2:178" ht="11.25" customHeight="1">
      <c r="B19" s="17">
        <v>0</v>
      </c>
      <c r="C19" s="17">
        <v>1</v>
      </c>
      <c r="D19" s="17">
        <v>1</v>
      </c>
      <c r="E19" s="17">
        <v>0</v>
      </c>
      <c r="F19" s="17">
        <v>1</v>
      </c>
      <c r="G19" s="17">
        <v>1</v>
      </c>
      <c r="H19" s="17">
        <v>0</v>
      </c>
      <c r="I19" s="17">
        <v>0</v>
      </c>
      <c r="J19" s="17">
        <v>0</v>
      </c>
      <c r="K19" s="17">
        <v>1</v>
      </c>
      <c r="L19" s="17">
        <v>0</v>
      </c>
      <c r="M19" s="17">
        <v>1</v>
      </c>
      <c r="N19" s="17">
        <v>1</v>
      </c>
      <c r="O19" s="17">
        <v>1</v>
      </c>
      <c r="P19" s="17">
        <v>0</v>
      </c>
      <c r="Q19" s="17">
        <v>0</v>
      </c>
      <c r="R19" s="17">
        <v>1</v>
      </c>
      <c r="S19" s="17">
        <v>0</v>
      </c>
      <c r="T19" s="17">
        <v>0</v>
      </c>
      <c r="U19" s="17">
        <v>1</v>
      </c>
      <c r="V19" s="17">
        <v>1</v>
      </c>
      <c r="W19" s="17">
        <v>1</v>
      </c>
      <c r="X19" s="17">
        <v>1</v>
      </c>
      <c r="Y19" s="17">
        <v>1</v>
      </c>
      <c r="Z19" s="17">
        <v>0</v>
      </c>
      <c r="AA19" s="17">
        <v>1</v>
      </c>
      <c r="AB19" s="17">
        <v>0</v>
      </c>
      <c r="AC19" s="17">
        <v>1</v>
      </c>
      <c r="AD19" s="17">
        <v>0</v>
      </c>
      <c r="AE19" s="17">
        <v>1</v>
      </c>
      <c r="AF19" s="17">
        <v>0</v>
      </c>
      <c r="AG19" s="17">
        <v>1</v>
      </c>
      <c r="AH19" s="17">
        <v>0</v>
      </c>
      <c r="AI19" s="17">
        <v>0</v>
      </c>
      <c r="AJ19" s="17">
        <v>1</v>
      </c>
      <c r="AK19" s="17">
        <v>1</v>
      </c>
      <c r="AL19" s="17">
        <v>1</v>
      </c>
      <c r="AM19" s="17">
        <v>0</v>
      </c>
      <c r="AN19" s="17">
        <v>1</v>
      </c>
      <c r="AO19" s="17">
        <v>0</v>
      </c>
      <c r="AP19" s="17">
        <v>1</v>
      </c>
      <c r="AQ19" s="17">
        <v>0</v>
      </c>
      <c r="AR19" s="17">
        <v>1</v>
      </c>
      <c r="AS19" s="17">
        <v>1</v>
      </c>
      <c r="AT19" s="17">
        <v>0</v>
      </c>
      <c r="AU19" s="17">
        <v>0</v>
      </c>
      <c r="AV19" s="17">
        <v>1</v>
      </c>
      <c r="AW19" s="17">
        <v>1</v>
      </c>
      <c r="AX19" s="17">
        <v>1</v>
      </c>
      <c r="AY19" s="17">
        <v>1</v>
      </c>
      <c r="AZ19" s="17">
        <v>0</v>
      </c>
      <c r="BA19" s="17">
        <v>1</v>
      </c>
      <c r="BB19" s="17">
        <v>0</v>
      </c>
      <c r="BC19" s="17">
        <v>0</v>
      </c>
      <c r="BD19" s="17">
        <v>1</v>
      </c>
      <c r="BE19" s="17">
        <v>0</v>
      </c>
      <c r="BF19" s="17">
        <v>1</v>
      </c>
      <c r="BG19" s="17">
        <v>1</v>
      </c>
      <c r="BH19" s="17">
        <v>0</v>
      </c>
      <c r="BI19" s="17">
        <v>1</v>
      </c>
      <c r="BJ19" s="17">
        <v>0</v>
      </c>
      <c r="BK19" s="17">
        <v>0</v>
      </c>
      <c r="BL19" s="17">
        <v>0</v>
      </c>
      <c r="BM19" s="17">
        <v>0</v>
      </c>
      <c r="BN19" s="17">
        <v>0</v>
      </c>
      <c r="BO19" s="17">
        <v>0</v>
      </c>
      <c r="BP19" s="17">
        <v>0</v>
      </c>
      <c r="BQ19" s="17">
        <v>0</v>
      </c>
      <c r="BR19" s="17">
        <v>0</v>
      </c>
      <c r="BS19" s="17" t="e">
        <v>#N/A</v>
      </c>
      <c r="BT19" s="17" t="e">
        <v>#N/A</v>
      </c>
      <c r="BU19" s="17" t="e">
        <v>#N/A</v>
      </c>
      <c r="BV19" s="17" t="e">
        <v>#N/A</v>
      </c>
      <c r="BW19" s="17" t="e">
        <v>#N/A</v>
      </c>
      <c r="BX19" s="17" t="e">
        <v>#N/A</v>
      </c>
      <c r="BY19" s="17" t="e">
        <v>#N/A</v>
      </c>
      <c r="BZ19" s="17" t="e">
        <v>#N/A</v>
      </c>
      <c r="CA19" s="17" t="e">
        <v>#N/A</v>
      </c>
      <c r="CB19" s="17" t="e">
        <v>#N/A</v>
      </c>
      <c r="CC19" s="17" t="e">
        <v>#N/A</v>
      </c>
      <c r="CD19" s="17" t="e">
        <v>#N/A</v>
      </c>
      <c r="CE19" s="17" t="e">
        <v>#N/A</v>
      </c>
      <c r="CF19" s="17" t="e">
        <v>#N/A</v>
      </c>
      <c r="CG19" s="17" t="e">
        <v>#N/A</v>
      </c>
      <c r="CH19" s="17" t="e">
        <v>#N/A</v>
      </c>
      <c r="CI19" s="17" t="e">
        <v>#N/A</v>
      </c>
      <c r="CJ19" s="17" t="e">
        <v>#N/A</v>
      </c>
      <c r="CK19" s="17" t="e">
        <v>#N/A</v>
      </c>
      <c r="CL19" s="17" t="e">
        <v>#N/A</v>
      </c>
      <c r="CM19" s="17" t="e">
        <v>#N/A</v>
      </c>
      <c r="CN19" s="17" t="e">
        <v>#N/A</v>
      </c>
      <c r="CO19" s="17" t="e">
        <v>#N/A</v>
      </c>
      <c r="CP19" s="17" t="e">
        <v>#N/A</v>
      </c>
      <c r="CQ19" s="17" t="e">
        <v>#N/A</v>
      </c>
      <c r="CR19" s="17" t="e">
        <v>#N/A</v>
      </c>
      <c r="CS19" s="17" t="e">
        <v>#N/A</v>
      </c>
      <c r="CT19" s="17" t="e">
        <v>#N/A</v>
      </c>
      <c r="CU19" s="17" t="e">
        <v>#N/A</v>
      </c>
      <c r="CV19" s="17" t="e">
        <v>#N/A</v>
      </c>
      <c r="CW19" s="17" t="e">
        <v>#N/A</v>
      </c>
      <c r="CX19" s="17" t="e">
        <v>#N/A</v>
      </c>
      <c r="CY19" s="17" t="e">
        <v>#N/A</v>
      </c>
      <c r="CZ19" s="17" t="e">
        <v>#N/A</v>
      </c>
      <c r="DA19" s="17" t="e">
        <v>#N/A</v>
      </c>
      <c r="DB19" s="17" t="e">
        <v>#N/A</v>
      </c>
      <c r="DC19" s="17" t="e">
        <v>#N/A</v>
      </c>
      <c r="DD19" s="17" t="e">
        <v>#N/A</v>
      </c>
      <c r="DE19" s="17" t="e">
        <v>#N/A</v>
      </c>
      <c r="DF19" s="17" t="e">
        <v>#N/A</v>
      </c>
      <c r="DG19" s="17" t="e">
        <v>#N/A</v>
      </c>
      <c r="DH19" s="17" t="e">
        <v>#N/A</v>
      </c>
      <c r="DI19" s="17" t="e">
        <v>#N/A</v>
      </c>
      <c r="DJ19" s="17" t="e">
        <v>#N/A</v>
      </c>
      <c r="DK19" s="17" t="e">
        <v>#N/A</v>
      </c>
      <c r="DL19" s="17" t="e">
        <v>#N/A</v>
      </c>
      <c r="DM19" s="17" t="e">
        <v>#N/A</v>
      </c>
      <c r="DN19" s="17" t="e">
        <v>#N/A</v>
      </c>
      <c r="DO19" s="17" t="e">
        <v>#N/A</v>
      </c>
      <c r="DP19" s="17" t="e">
        <v>#N/A</v>
      </c>
      <c r="DQ19" s="17" t="e">
        <v>#N/A</v>
      </c>
      <c r="DR19" s="17" t="e">
        <v>#N/A</v>
      </c>
      <c r="DS19" s="17" t="e">
        <v>#N/A</v>
      </c>
      <c r="DT19" s="17" t="e">
        <v>#N/A</v>
      </c>
      <c r="DU19" s="17" t="e">
        <v>#N/A</v>
      </c>
      <c r="DV19" s="17" t="e">
        <v>#N/A</v>
      </c>
      <c r="DW19" s="17" t="e">
        <v>#N/A</v>
      </c>
      <c r="DX19" s="17" t="e">
        <v>#N/A</v>
      </c>
      <c r="DY19" s="17" t="e">
        <v>#N/A</v>
      </c>
      <c r="DZ19" s="17" t="e">
        <v>#N/A</v>
      </c>
      <c r="EA19" s="17" t="e">
        <v>#N/A</v>
      </c>
      <c r="EB19" s="17" t="e">
        <v>#N/A</v>
      </c>
      <c r="EC19" s="17" t="e">
        <v>#N/A</v>
      </c>
      <c r="ED19" s="17" t="e">
        <v>#N/A</v>
      </c>
      <c r="EE19" s="17" t="e">
        <v>#N/A</v>
      </c>
      <c r="EF19" s="17" t="e">
        <v>#N/A</v>
      </c>
      <c r="EG19" s="17" t="e">
        <v>#N/A</v>
      </c>
      <c r="EH19" s="17" t="e">
        <v>#N/A</v>
      </c>
      <c r="EI19" s="17" t="e">
        <v>#N/A</v>
      </c>
      <c r="EJ19" s="17" t="e">
        <v>#N/A</v>
      </c>
      <c r="EK19" s="17" t="e">
        <v>#N/A</v>
      </c>
      <c r="EL19" s="17" t="e">
        <v>#N/A</v>
      </c>
      <c r="EM19" s="17" t="e">
        <v>#N/A</v>
      </c>
      <c r="EN19" s="17" t="e">
        <v>#N/A</v>
      </c>
      <c r="EO19" s="17" t="e">
        <v>#N/A</v>
      </c>
      <c r="EP19" s="17" t="e">
        <v>#N/A</v>
      </c>
      <c r="EQ19" s="17" t="e">
        <v>#N/A</v>
      </c>
      <c r="ER19" s="17" t="e">
        <v>#N/A</v>
      </c>
      <c r="ES19" s="17" t="e">
        <v>#N/A</v>
      </c>
      <c r="ET19" s="17" t="e">
        <v>#N/A</v>
      </c>
      <c r="EU19" s="17" t="e">
        <v>#N/A</v>
      </c>
      <c r="EV19" s="17" t="e">
        <v>#N/A</v>
      </c>
      <c r="EW19" s="17" t="e">
        <v>#N/A</v>
      </c>
      <c r="EX19" s="17" t="e">
        <v>#N/A</v>
      </c>
      <c r="EY19" s="17" t="e">
        <v>#N/A</v>
      </c>
      <c r="EZ19" s="17" t="e">
        <v>#N/A</v>
      </c>
      <c r="FA19" s="17" t="e">
        <v>#N/A</v>
      </c>
      <c r="FB19" s="17" t="e">
        <v>#N/A</v>
      </c>
      <c r="FC19" s="17" t="e">
        <v>#N/A</v>
      </c>
      <c r="FD19" s="17" t="e">
        <v>#N/A</v>
      </c>
      <c r="FE19" s="17" t="e">
        <v>#N/A</v>
      </c>
      <c r="FF19" s="17" t="e">
        <v>#N/A</v>
      </c>
      <c r="FG19" s="17" t="e">
        <v>#N/A</v>
      </c>
      <c r="FH19" s="17" t="e">
        <v>#N/A</v>
      </c>
      <c r="FI19" s="17" t="e">
        <v>#N/A</v>
      </c>
      <c r="FJ19" s="17" t="e">
        <v>#N/A</v>
      </c>
      <c r="FK19" s="17" t="e">
        <v>#N/A</v>
      </c>
      <c r="FL19" s="17" t="e">
        <v>#N/A</v>
      </c>
      <c r="FM19" s="17" t="e">
        <v>#N/A</v>
      </c>
      <c r="FN19" s="17" t="e">
        <v>#N/A</v>
      </c>
      <c r="FO19" s="17" t="e">
        <v>#N/A</v>
      </c>
      <c r="FP19" s="17" t="e">
        <v>#N/A</v>
      </c>
      <c r="FQ19" s="17" t="e">
        <v>#N/A</v>
      </c>
      <c r="FR19" s="17" t="e">
        <v>#N/A</v>
      </c>
      <c r="FS19" s="17" t="e">
        <v>#N/A</v>
      </c>
      <c r="FT19" s="17" t="e">
        <v>#N/A</v>
      </c>
      <c r="FU19" s="17" t="e">
        <v>#N/A</v>
      </c>
      <c r="FV19" s="17" t="e">
        <v>#N/A</v>
      </c>
    </row>
    <row r="20" spans="2:178" ht="11.25" customHeight="1">
      <c r="B20" s="17">
        <v>0</v>
      </c>
      <c r="C20" s="17">
        <v>0</v>
      </c>
      <c r="D20" s="17">
        <v>1</v>
      </c>
      <c r="E20" s="17">
        <v>1</v>
      </c>
      <c r="F20" s="17">
        <v>1</v>
      </c>
      <c r="G20" s="17">
        <v>0</v>
      </c>
      <c r="H20" s="17">
        <v>1</v>
      </c>
      <c r="I20" s="17">
        <v>1</v>
      </c>
      <c r="J20" s="17">
        <v>1</v>
      </c>
      <c r="K20" s="17">
        <v>1</v>
      </c>
      <c r="L20" s="17">
        <v>0</v>
      </c>
      <c r="M20" s="17">
        <v>1</v>
      </c>
      <c r="N20" s="17">
        <v>0</v>
      </c>
      <c r="O20" s="17">
        <v>1</v>
      </c>
      <c r="P20" s="17">
        <v>0</v>
      </c>
      <c r="Q20" s="17">
        <v>1</v>
      </c>
      <c r="R20" s="17">
        <v>1</v>
      </c>
      <c r="S20" s="17">
        <v>0</v>
      </c>
      <c r="T20" s="17">
        <v>1</v>
      </c>
      <c r="U20" s="17">
        <v>1</v>
      </c>
      <c r="V20" s="17">
        <v>0</v>
      </c>
      <c r="W20" s="17">
        <v>0</v>
      </c>
      <c r="X20" s="17">
        <v>1</v>
      </c>
      <c r="Y20" s="17">
        <v>1</v>
      </c>
      <c r="Z20" s="17">
        <v>1</v>
      </c>
      <c r="AA20" s="17">
        <v>1</v>
      </c>
      <c r="AB20" s="17">
        <v>1</v>
      </c>
      <c r="AC20" s="17">
        <v>1</v>
      </c>
      <c r="AD20" s="17">
        <v>0</v>
      </c>
      <c r="AE20" s="17">
        <v>0</v>
      </c>
      <c r="AF20" s="17">
        <v>0</v>
      </c>
      <c r="AG20" s="17">
        <v>1</v>
      </c>
      <c r="AH20" s="17">
        <v>0</v>
      </c>
      <c r="AI20" s="17">
        <v>0</v>
      </c>
      <c r="AJ20" s="17">
        <v>1</v>
      </c>
      <c r="AK20" s="17">
        <v>1</v>
      </c>
      <c r="AL20" s="17">
        <v>0</v>
      </c>
      <c r="AM20" s="17">
        <v>0</v>
      </c>
      <c r="AN20" s="17">
        <v>1</v>
      </c>
      <c r="AO20" s="17">
        <v>1</v>
      </c>
      <c r="AP20" s="17">
        <v>0</v>
      </c>
      <c r="AQ20" s="17">
        <v>1</v>
      </c>
      <c r="AR20" s="17">
        <v>1</v>
      </c>
      <c r="AS20" s="17">
        <v>0</v>
      </c>
      <c r="AT20" s="17">
        <v>0</v>
      </c>
      <c r="AU20" s="17">
        <v>0</v>
      </c>
      <c r="AV20" s="17">
        <v>0</v>
      </c>
      <c r="AW20" s="17">
        <v>0</v>
      </c>
      <c r="AX20" s="17">
        <v>1</v>
      </c>
      <c r="AY20" s="17">
        <v>0</v>
      </c>
      <c r="AZ20" s="17">
        <v>1</v>
      </c>
      <c r="BA20" s="17">
        <v>0</v>
      </c>
      <c r="BB20" s="17">
        <v>1</v>
      </c>
      <c r="BC20" s="17">
        <v>0</v>
      </c>
      <c r="BD20" s="17">
        <v>0</v>
      </c>
      <c r="BE20" s="17">
        <v>0</v>
      </c>
      <c r="BF20" s="17">
        <v>1</v>
      </c>
      <c r="BG20" s="17">
        <v>1</v>
      </c>
      <c r="BH20" s="17">
        <v>0</v>
      </c>
      <c r="BI20" s="17">
        <v>1</v>
      </c>
      <c r="BJ20" s="17">
        <v>1</v>
      </c>
      <c r="BK20" s="17">
        <v>0</v>
      </c>
      <c r="BL20" s="17">
        <v>1</v>
      </c>
      <c r="BM20" s="17">
        <v>1</v>
      </c>
      <c r="BN20" s="17">
        <v>1</v>
      </c>
      <c r="BO20" s="17">
        <v>0</v>
      </c>
      <c r="BP20" s="17">
        <v>0</v>
      </c>
      <c r="BQ20" s="17">
        <v>1</v>
      </c>
      <c r="BR20" s="17">
        <v>1</v>
      </c>
      <c r="BS20" s="17" t="e">
        <v>#N/A</v>
      </c>
      <c r="BT20" s="17" t="e">
        <v>#N/A</v>
      </c>
      <c r="BU20" s="17" t="e">
        <v>#N/A</v>
      </c>
      <c r="BV20" s="17" t="e">
        <v>#N/A</v>
      </c>
      <c r="BW20" s="17" t="e">
        <v>#N/A</v>
      </c>
      <c r="BX20" s="17" t="e">
        <v>#N/A</v>
      </c>
      <c r="BY20" s="17" t="e">
        <v>#N/A</v>
      </c>
      <c r="BZ20" s="17" t="e">
        <v>#N/A</v>
      </c>
      <c r="CA20" s="17" t="e">
        <v>#N/A</v>
      </c>
      <c r="CB20" s="17" t="e">
        <v>#N/A</v>
      </c>
      <c r="CC20" s="17" t="e">
        <v>#N/A</v>
      </c>
      <c r="CD20" s="17" t="e">
        <v>#N/A</v>
      </c>
      <c r="CE20" s="17" t="e">
        <v>#N/A</v>
      </c>
      <c r="CF20" s="17" t="e">
        <v>#N/A</v>
      </c>
      <c r="CG20" s="17" t="e">
        <v>#N/A</v>
      </c>
      <c r="CH20" s="17" t="e">
        <v>#N/A</v>
      </c>
      <c r="CI20" s="17" t="e">
        <v>#N/A</v>
      </c>
      <c r="CJ20" s="17" t="e">
        <v>#N/A</v>
      </c>
      <c r="CK20" s="17" t="e">
        <v>#N/A</v>
      </c>
      <c r="CL20" s="17" t="e">
        <v>#N/A</v>
      </c>
      <c r="CM20" s="17" t="e">
        <v>#N/A</v>
      </c>
      <c r="CN20" s="17" t="e">
        <v>#N/A</v>
      </c>
      <c r="CO20" s="17" t="e">
        <v>#N/A</v>
      </c>
      <c r="CP20" s="17" t="e">
        <v>#N/A</v>
      </c>
      <c r="CQ20" s="17" t="e">
        <v>#N/A</v>
      </c>
      <c r="CR20" s="17" t="e">
        <v>#N/A</v>
      </c>
      <c r="CS20" s="17" t="e">
        <v>#N/A</v>
      </c>
      <c r="CT20" s="17" t="e">
        <v>#N/A</v>
      </c>
      <c r="CU20" s="17" t="e">
        <v>#N/A</v>
      </c>
      <c r="CV20" s="17" t="e">
        <v>#N/A</v>
      </c>
      <c r="CW20" s="17" t="e">
        <v>#N/A</v>
      </c>
      <c r="CX20" s="17" t="e">
        <v>#N/A</v>
      </c>
      <c r="CY20" s="17" t="e">
        <v>#N/A</v>
      </c>
      <c r="CZ20" s="17" t="e">
        <v>#N/A</v>
      </c>
      <c r="DA20" s="17" t="e">
        <v>#N/A</v>
      </c>
      <c r="DB20" s="17" t="e">
        <v>#N/A</v>
      </c>
      <c r="DC20" s="17" t="e">
        <v>#N/A</v>
      </c>
      <c r="DD20" s="17" t="e">
        <v>#N/A</v>
      </c>
      <c r="DE20" s="17" t="e">
        <v>#N/A</v>
      </c>
      <c r="DF20" s="17" t="e">
        <v>#N/A</v>
      </c>
      <c r="DG20" s="17" t="e">
        <v>#N/A</v>
      </c>
      <c r="DH20" s="17" t="e">
        <v>#N/A</v>
      </c>
      <c r="DI20" s="17" t="e">
        <v>#N/A</v>
      </c>
      <c r="DJ20" s="17" t="e">
        <v>#N/A</v>
      </c>
      <c r="DK20" s="17" t="e">
        <v>#N/A</v>
      </c>
      <c r="DL20" s="17" t="e">
        <v>#N/A</v>
      </c>
      <c r="DM20" s="17" t="e">
        <v>#N/A</v>
      </c>
      <c r="DN20" s="17" t="e">
        <v>#N/A</v>
      </c>
      <c r="DO20" s="17" t="e">
        <v>#N/A</v>
      </c>
      <c r="DP20" s="17" t="e">
        <v>#N/A</v>
      </c>
      <c r="DQ20" s="17" t="e">
        <v>#N/A</v>
      </c>
      <c r="DR20" s="17" t="e">
        <v>#N/A</v>
      </c>
      <c r="DS20" s="17" t="e">
        <v>#N/A</v>
      </c>
      <c r="DT20" s="17" t="e">
        <v>#N/A</v>
      </c>
      <c r="DU20" s="17" t="e">
        <v>#N/A</v>
      </c>
      <c r="DV20" s="17" t="e">
        <v>#N/A</v>
      </c>
      <c r="DW20" s="17" t="e">
        <v>#N/A</v>
      </c>
      <c r="DX20" s="17" t="e">
        <v>#N/A</v>
      </c>
      <c r="DY20" s="17" t="e">
        <v>#N/A</v>
      </c>
      <c r="DZ20" s="17" t="e">
        <v>#N/A</v>
      </c>
      <c r="EA20" s="17" t="e">
        <v>#N/A</v>
      </c>
      <c r="EB20" s="17" t="e">
        <v>#N/A</v>
      </c>
      <c r="EC20" s="17" t="e">
        <v>#N/A</v>
      </c>
      <c r="ED20" s="17" t="e">
        <v>#N/A</v>
      </c>
      <c r="EE20" s="17" t="e">
        <v>#N/A</v>
      </c>
      <c r="EF20" s="17" t="e">
        <v>#N/A</v>
      </c>
      <c r="EG20" s="17" t="e">
        <v>#N/A</v>
      </c>
      <c r="EH20" s="17" t="e">
        <v>#N/A</v>
      </c>
      <c r="EI20" s="17" t="e">
        <v>#N/A</v>
      </c>
      <c r="EJ20" s="17" t="e">
        <v>#N/A</v>
      </c>
      <c r="EK20" s="17" t="e">
        <v>#N/A</v>
      </c>
      <c r="EL20" s="17" t="e">
        <v>#N/A</v>
      </c>
      <c r="EM20" s="17" t="e">
        <v>#N/A</v>
      </c>
      <c r="EN20" s="17" t="e">
        <v>#N/A</v>
      </c>
      <c r="EO20" s="17" t="e">
        <v>#N/A</v>
      </c>
      <c r="EP20" s="17" t="e">
        <v>#N/A</v>
      </c>
      <c r="EQ20" s="17" t="e">
        <v>#N/A</v>
      </c>
      <c r="ER20" s="17" t="e">
        <v>#N/A</v>
      </c>
      <c r="ES20" s="17" t="e">
        <v>#N/A</v>
      </c>
      <c r="ET20" s="17" t="e">
        <v>#N/A</v>
      </c>
      <c r="EU20" s="17" t="e">
        <v>#N/A</v>
      </c>
      <c r="EV20" s="17" t="e">
        <v>#N/A</v>
      </c>
      <c r="EW20" s="17" t="e">
        <v>#N/A</v>
      </c>
      <c r="EX20" s="17" t="e">
        <v>#N/A</v>
      </c>
      <c r="EY20" s="17" t="e">
        <v>#N/A</v>
      </c>
      <c r="EZ20" s="17" t="e">
        <v>#N/A</v>
      </c>
      <c r="FA20" s="17" t="e">
        <v>#N/A</v>
      </c>
      <c r="FB20" s="17" t="e">
        <v>#N/A</v>
      </c>
      <c r="FC20" s="17" t="e">
        <v>#N/A</v>
      </c>
      <c r="FD20" s="17" t="e">
        <v>#N/A</v>
      </c>
      <c r="FE20" s="17" t="e">
        <v>#N/A</v>
      </c>
      <c r="FF20" s="17" t="e">
        <v>#N/A</v>
      </c>
      <c r="FG20" s="17" t="e">
        <v>#N/A</v>
      </c>
      <c r="FH20" s="17" t="e">
        <v>#N/A</v>
      </c>
      <c r="FI20" s="17" t="e">
        <v>#N/A</v>
      </c>
      <c r="FJ20" s="17" t="e">
        <v>#N/A</v>
      </c>
      <c r="FK20" s="17" t="e">
        <v>#N/A</v>
      </c>
      <c r="FL20" s="17" t="e">
        <v>#N/A</v>
      </c>
      <c r="FM20" s="17" t="e">
        <v>#N/A</v>
      </c>
      <c r="FN20" s="17" t="e">
        <v>#N/A</v>
      </c>
      <c r="FO20" s="17" t="e">
        <v>#N/A</v>
      </c>
      <c r="FP20" s="17" t="e">
        <v>#N/A</v>
      </c>
      <c r="FQ20" s="17" t="e">
        <v>#N/A</v>
      </c>
      <c r="FR20" s="17" t="e">
        <v>#N/A</v>
      </c>
      <c r="FS20" s="17" t="e">
        <v>#N/A</v>
      </c>
      <c r="FT20" s="17" t="e">
        <v>#N/A</v>
      </c>
      <c r="FU20" s="17" t="e">
        <v>#N/A</v>
      </c>
      <c r="FV20" s="17" t="e">
        <v>#N/A</v>
      </c>
    </row>
    <row r="21" spans="2:178" ht="11.25" customHeight="1">
      <c r="B21" s="17">
        <v>1</v>
      </c>
      <c r="C21" s="17">
        <v>0</v>
      </c>
      <c r="D21" s="17">
        <v>1</v>
      </c>
      <c r="E21" s="17">
        <v>1</v>
      </c>
      <c r="F21" s="17">
        <v>1</v>
      </c>
      <c r="G21" s="17">
        <v>1</v>
      </c>
      <c r="H21" s="17">
        <v>0</v>
      </c>
      <c r="I21" s="17">
        <v>1</v>
      </c>
      <c r="J21" s="17">
        <v>0</v>
      </c>
      <c r="K21" s="17">
        <v>1</v>
      </c>
      <c r="L21" s="17">
        <v>1</v>
      </c>
      <c r="M21" s="17">
        <v>0</v>
      </c>
      <c r="N21" s="17">
        <v>1</v>
      </c>
      <c r="O21" s="17">
        <v>1</v>
      </c>
      <c r="P21" s="17">
        <v>0</v>
      </c>
      <c r="Q21" s="17">
        <v>1</v>
      </c>
      <c r="R21" s="17">
        <v>1</v>
      </c>
      <c r="S21" s="17">
        <v>1</v>
      </c>
      <c r="T21" s="17">
        <v>1</v>
      </c>
      <c r="U21" s="17">
        <v>1</v>
      </c>
      <c r="V21" s="17">
        <v>1</v>
      </c>
      <c r="W21" s="17">
        <v>1</v>
      </c>
      <c r="X21" s="17">
        <v>0</v>
      </c>
      <c r="Y21" s="17">
        <v>0</v>
      </c>
      <c r="Z21" s="17">
        <v>1</v>
      </c>
      <c r="AA21" s="17">
        <v>1</v>
      </c>
      <c r="AB21" s="17">
        <v>0</v>
      </c>
      <c r="AC21" s="17">
        <v>1</v>
      </c>
      <c r="AD21" s="17">
        <v>0</v>
      </c>
      <c r="AE21" s="17">
        <v>0</v>
      </c>
      <c r="AF21" s="17">
        <v>0</v>
      </c>
      <c r="AG21" s="17">
        <v>0</v>
      </c>
      <c r="AH21" s="17">
        <v>0</v>
      </c>
      <c r="AI21" s="17">
        <v>0</v>
      </c>
      <c r="AJ21" s="17">
        <v>0</v>
      </c>
      <c r="AK21" s="17">
        <v>0</v>
      </c>
      <c r="AL21" s="17">
        <v>1</v>
      </c>
      <c r="AM21" s="17">
        <v>0</v>
      </c>
      <c r="AN21" s="17">
        <v>0</v>
      </c>
      <c r="AO21" s="17">
        <v>0</v>
      </c>
      <c r="AP21" s="17">
        <v>1</v>
      </c>
      <c r="AQ21" s="17">
        <v>1</v>
      </c>
      <c r="AR21" s="17">
        <v>0</v>
      </c>
      <c r="AS21" s="17">
        <v>1</v>
      </c>
      <c r="AT21" s="17">
        <v>0</v>
      </c>
      <c r="AU21" s="17">
        <v>1</v>
      </c>
      <c r="AV21" s="17">
        <v>0</v>
      </c>
      <c r="AW21" s="17">
        <v>1</v>
      </c>
      <c r="AX21" s="17">
        <v>0</v>
      </c>
      <c r="AY21" s="17">
        <v>0</v>
      </c>
      <c r="AZ21" s="17">
        <v>0</v>
      </c>
      <c r="BA21" s="17">
        <v>1</v>
      </c>
      <c r="BB21" s="17">
        <v>1</v>
      </c>
      <c r="BC21" s="17">
        <v>0</v>
      </c>
      <c r="BD21" s="17">
        <v>0</v>
      </c>
      <c r="BE21" s="17">
        <v>0</v>
      </c>
      <c r="BF21" s="17">
        <v>0</v>
      </c>
      <c r="BG21" s="17">
        <v>0</v>
      </c>
      <c r="BH21" s="17">
        <v>0</v>
      </c>
      <c r="BI21" s="17">
        <v>1</v>
      </c>
      <c r="BJ21" s="17">
        <v>0</v>
      </c>
      <c r="BK21" s="17">
        <v>0</v>
      </c>
      <c r="BL21" s="17">
        <v>1</v>
      </c>
      <c r="BM21" s="17">
        <v>1</v>
      </c>
      <c r="BN21" s="17">
        <v>1</v>
      </c>
      <c r="BO21" s="17">
        <v>0</v>
      </c>
      <c r="BP21" s="17">
        <v>1</v>
      </c>
      <c r="BQ21" s="17">
        <v>0</v>
      </c>
      <c r="BR21" s="17">
        <v>0</v>
      </c>
      <c r="BS21" s="17" t="e">
        <v>#N/A</v>
      </c>
      <c r="BT21" s="17" t="e">
        <v>#N/A</v>
      </c>
      <c r="BU21" s="17" t="e">
        <v>#N/A</v>
      </c>
      <c r="BV21" s="17" t="e">
        <v>#N/A</v>
      </c>
      <c r="BW21" s="17" t="e">
        <v>#N/A</v>
      </c>
      <c r="BX21" s="17" t="e">
        <v>#N/A</v>
      </c>
      <c r="BY21" s="17" t="e">
        <v>#N/A</v>
      </c>
      <c r="BZ21" s="17" t="e">
        <v>#N/A</v>
      </c>
      <c r="CA21" s="17" t="e">
        <v>#N/A</v>
      </c>
      <c r="CB21" s="17" t="e">
        <v>#N/A</v>
      </c>
      <c r="CC21" s="17" t="e">
        <v>#N/A</v>
      </c>
      <c r="CD21" s="17" t="e">
        <v>#N/A</v>
      </c>
      <c r="CE21" s="17" t="e">
        <v>#N/A</v>
      </c>
      <c r="CF21" s="17" t="e">
        <v>#N/A</v>
      </c>
      <c r="CG21" s="17" t="e">
        <v>#N/A</v>
      </c>
      <c r="CH21" s="17" t="e">
        <v>#N/A</v>
      </c>
      <c r="CI21" s="17" t="e">
        <v>#N/A</v>
      </c>
      <c r="CJ21" s="17" t="e">
        <v>#N/A</v>
      </c>
      <c r="CK21" s="17" t="e">
        <v>#N/A</v>
      </c>
      <c r="CL21" s="17" t="e">
        <v>#N/A</v>
      </c>
      <c r="CM21" s="17" t="e">
        <v>#N/A</v>
      </c>
      <c r="CN21" s="17" t="e">
        <v>#N/A</v>
      </c>
      <c r="CO21" s="17" t="e">
        <v>#N/A</v>
      </c>
      <c r="CP21" s="17" t="e">
        <v>#N/A</v>
      </c>
      <c r="CQ21" s="17" t="e">
        <v>#N/A</v>
      </c>
      <c r="CR21" s="17" t="e">
        <v>#N/A</v>
      </c>
      <c r="CS21" s="17" t="e">
        <v>#N/A</v>
      </c>
      <c r="CT21" s="17" t="e">
        <v>#N/A</v>
      </c>
      <c r="CU21" s="17" t="e">
        <v>#N/A</v>
      </c>
      <c r="CV21" s="17" t="e">
        <v>#N/A</v>
      </c>
      <c r="CW21" s="17" t="e">
        <v>#N/A</v>
      </c>
      <c r="CX21" s="17" t="e">
        <v>#N/A</v>
      </c>
      <c r="CY21" s="17" t="e">
        <v>#N/A</v>
      </c>
      <c r="CZ21" s="17" t="e">
        <v>#N/A</v>
      </c>
      <c r="DA21" s="17" t="e">
        <v>#N/A</v>
      </c>
      <c r="DB21" s="17" t="e">
        <v>#N/A</v>
      </c>
      <c r="DC21" s="17" t="e">
        <v>#N/A</v>
      </c>
      <c r="DD21" s="17" t="e">
        <v>#N/A</v>
      </c>
      <c r="DE21" s="17" t="e">
        <v>#N/A</v>
      </c>
      <c r="DF21" s="17" t="e">
        <v>#N/A</v>
      </c>
      <c r="DG21" s="17" t="e">
        <v>#N/A</v>
      </c>
      <c r="DH21" s="17" t="e">
        <v>#N/A</v>
      </c>
      <c r="DI21" s="17" t="e">
        <v>#N/A</v>
      </c>
      <c r="DJ21" s="17" t="e">
        <v>#N/A</v>
      </c>
      <c r="DK21" s="17" t="e">
        <v>#N/A</v>
      </c>
      <c r="DL21" s="17" t="e">
        <v>#N/A</v>
      </c>
      <c r="DM21" s="17" t="e">
        <v>#N/A</v>
      </c>
      <c r="DN21" s="17" t="e">
        <v>#N/A</v>
      </c>
      <c r="DO21" s="17" t="e">
        <v>#N/A</v>
      </c>
      <c r="DP21" s="17" t="e">
        <v>#N/A</v>
      </c>
      <c r="DQ21" s="17" t="e">
        <v>#N/A</v>
      </c>
      <c r="DR21" s="17" t="e">
        <v>#N/A</v>
      </c>
      <c r="DS21" s="17" t="e">
        <v>#N/A</v>
      </c>
      <c r="DT21" s="17" t="e">
        <v>#N/A</v>
      </c>
      <c r="DU21" s="17" t="e">
        <v>#N/A</v>
      </c>
      <c r="DV21" s="17" t="e">
        <v>#N/A</v>
      </c>
      <c r="DW21" s="17" t="e">
        <v>#N/A</v>
      </c>
      <c r="DX21" s="17" t="e">
        <v>#N/A</v>
      </c>
      <c r="DY21" s="17" t="e">
        <v>#N/A</v>
      </c>
      <c r="DZ21" s="17" t="e">
        <v>#N/A</v>
      </c>
      <c r="EA21" s="17" t="e">
        <v>#N/A</v>
      </c>
      <c r="EB21" s="17" t="e">
        <v>#N/A</v>
      </c>
      <c r="EC21" s="17" t="e">
        <v>#N/A</v>
      </c>
      <c r="ED21" s="17" t="e">
        <v>#N/A</v>
      </c>
      <c r="EE21" s="17" t="e">
        <v>#N/A</v>
      </c>
      <c r="EF21" s="17" t="e">
        <v>#N/A</v>
      </c>
      <c r="EG21" s="17" t="e">
        <v>#N/A</v>
      </c>
      <c r="EH21" s="17" t="e">
        <v>#N/A</v>
      </c>
      <c r="EI21" s="17" t="e">
        <v>#N/A</v>
      </c>
      <c r="EJ21" s="17" t="e">
        <v>#N/A</v>
      </c>
      <c r="EK21" s="17" t="e">
        <v>#N/A</v>
      </c>
      <c r="EL21" s="17" t="e">
        <v>#N/A</v>
      </c>
      <c r="EM21" s="17" t="e">
        <v>#N/A</v>
      </c>
      <c r="EN21" s="17" t="e">
        <v>#N/A</v>
      </c>
      <c r="EO21" s="17" t="e">
        <v>#N/A</v>
      </c>
      <c r="EP21" s="17" t="e">
        <v>#N/A</v>
      </c>
      <c r="EQ21" s="17" t="e">
        <v>#N/A</v>
      </c>
      <c r="ER21" s="17" t="e">
        <v>#N/A</v>
      </c>
      <c r="ES21" s="17" t="e">
        <v>#N/A</v>
      </c>
      <c r="ET21" s="17" t="e">
        <v>#N/A</v>
      </c>
      <c r="EU21" s="17" t="e">
        <v>#N/A</v>
      </c>
      <c r="EV21" s="17" t="e">
        <v>#N/A</v>
      </c>
      <c r="EW21" s="17" t="e">
        <v>#N/A</v>
      </c>
      <c r="EX21" s="17" t="e">
        <v>#N/A</v>
      </c>
      <c r="EY21" s="17" t="e">
        <v>#N/A</v>
      </c>
      <c r="EZ21" s="17" t="e">
        <v>#N/A</v>
      </c>
      <c r="FA21" s="17" t="e">
        <v>#N/A</v>
      </c>
      <c r="FB21" s="17" t="e">
        <v>#N/A</v>
      </c>
      <c r="FC21" s="17" t="e">
        <v>#N/A</v>
      </c>
      <c r="FD21" s="17" t="e">
        <v>#N/A</v>
      </c>
      <c r="FE21" s="17" t="e">
        <v>#N/A</v>
      </c>
      <c r="FF21" s="17" t="e">
        <v>#N/A</v>
      </c>
      <c r="FG21" s="17" t="e">
        <v>#N/A</v>
      </c>
      <c r="FH21" s="17" t="e">
        <v>#N/A</v>
      </c>
      <c r="FI21" s="17" t="e">
        <v>#N/A</v>
      </c>
      <c r="FJ21" s="17" t="e">
        <v>#N/A</v>
      </c>
      <c r="FK21" s="17" t="e">
        <v>#N/A</v>
      </c>
      <c r="FL21" s="17" t="e">
        <v>#N/A</v>
      </c>
      <c r="FM21" s="17" t="e">
        <v>#N/A</v>
      </c>
      <c r="FN21" s="17" t="e">
        <v>#N/A</v>
      </c>
      <c r="FO21" s="17" t="e">
        <v>#N/A</v>
      </c>
      <c r="FP21" s="17" t="e">
        <v>#N/A</v>
      </c>
      <c r="FQ21" s="17" t="e">
        <v>#N/A</v>
      </c>
      <c r="FR21" s="17" t="e">
        <v>#N/A</v>
      </c>
      <c r="FS21" s="17" t="e">
        <v>#N/A</v>
      </c>
      <c r="FT21" s="17" t="e">
        <v>#N/A</v>
      </c>
      <c r="FU21" s="17" t="e">
        <v>#N/A</v>
      </c>
      <c r="FV21" s="17" t="e">
        <v>#N/A</v>
      </c>
    </row>
    <row r="22" spans="2:178" ht="11.25" customHeight="1">
      <c r="B22" s="17">
        <v>0</v>
      </c>
      <c r="C22" s="17">
        <v>0</v>
      </c>
      <c r="D22" s="17">
        <v>0</v>
      </c>
      <c r="E22" s="17">
        <v>0</v>
      </c>
      <c r="F22" s="17">
        <v>1</v>
      </c>
      <c r="G22" s="17">
        <v>1</v>
      </c>
      <c r="H22" s="17">
        <v>1</v>
      </c>
      <c r="I22" s="17">
        <v>1</v>
      </c>
      <c r="J22" s="17">
        <v>0</v>
      </c>
      <c r="K22" s="17">
        <v>1</v>
      </c>
      <c r="L22" s="17">
        <v>0</v>
      </c>
      <c r="M22" s="17">
        <v>0</v>
      </c>
      <c r="N22" s="17">
        <v>1</v>
      </c>
      <c r="O22" s="17">
        <v>1</v>
      </c>
      <c r="P22" s="17">
        <v>0</v>
      </c>
      <c r="Q22" s="17">
        <v>1</v>
      </c>
      <c r="R22" s="17">
        <v>0</v>
      </c>
      <c r="S22" s="17">
        <v>1</v>
      </c>
      <c r="T22" s="17">
        <v>0</v>
      </c>
      <c r="U22" s="17">
        <v>0</v>
      </c>
      <c r="V22" s="17">
        <v>1</v>
      </c>
      <c r="W22" s="17">
        <v>0</v>
      </c>
      <c r="X22" s="17">
        <v>1</v>
      </c>
      <c r="Y22" s="17">
        <v>0</v>
      </c>
      <c r="Z22" s="17">
        <v>0</v>
      </c>
      <c r="AA22" s="17">
        <v>0</v>
      </c>
      <c r="AB22" s="17">
        <v>0</v>
      </c>
      <c r="AC22" s="17">
        <v>0</v>
      </c>
      <c r="AD22" s="17">
        <v>0</v>
      </c>
      <c r="AE22" s="17">
        <v>1</v>
      </c>
      <c r="AF22" s="17">
        <v>1</v>
      </c>
      <c r="AG22" s="17">
        <v>0</v>
      </c>
      <c r="AH22" s="17">
        <v>1</v>
      </c>
      <c r="AI22" s="17">
        <v>1</v>
      </c>
      <c r="AJ22" s="17">
        <v>1</v>
      </c>
      <c r="AK22" s="17">
        <v>0</v>
      </c>
      <c r="AL22" s="17">
        <v>0</v>
      </c>
      <c r="AM22" s="17">
        <v>0</v>
      </c>
      <c r="AN22" s="17">
        <v>0</v>
      </c>
      <c r="AO22" s="17">
        <v>1</v>
      </c>
      <c r="AP22" s="17">
        <v>0</v>
      </c>
      <c r="AQ22" s="17">
        <v>1</v>
      </c>
      <c r="AR22" s="17">
        <v>1</v>
      </c>
      <c r="AS22" s="17">
        <v>1</v>
      </c>
      <c r="AT22" s="17">
        <v>0</v>
      </c>
      <c r="AU22" s="17">
        <v>0</v>
      </c>
      <c r="AV22" s="17">
        <v>0</v>
      </c>
      <c r="AW22" s="17">
        <v>1</v>
      </c>
      <c r="AX22" s="17">
        <v>0</v>
      </c>
      <c r="AY22" s="17">
        <v>1</v>
      </c>
      <c r="AZ22" s="17">
        <v>1</v>
      </c>
      <c r="BA22" s="17">
        <v>0</v>
      </c>
      <c r="BB22" s="17">
        <v>0</v>
      </c>
      <c r="BC22" s="17">
        <v>0</v>
      </c>
      <c r="BD22" s="17">
        <v>1</v>
      </c>
      <c r="BE22" s="17">
        <v>1</v>
      </c>
      <c r="BF22" s="17">
        <v>0</v>
      </c>
      <c r="BG22" s="17">
        <v>0</v>
      </c>
      <c r="BH22" s="17">
        <v>1</v>
      </c>
      <c r="BI22" s="17">
        <v>1</v>
      </c>
      <c r="BJ22" s="17">
        <v>1</v>
      </c>
      <c r="BK22" s="17">
        <v>0</v>
      </c>
      <c r="BL22" s="17">
        <v>0</v>
      </c>
      <c r="BM22" s="17">
        <v>0</v>
      </c>
      <c r="BN22" s="17">
        <v>1</v>
      </c>
      <c r="BO22" s="17">
        <v>1</v>
      </c>
      <c r="BP22" s="17">
        <v>0</v>
      </c>
      <c r="BQ22" s="17">
        <v>0</v>
      </c>
      <c r="BR22" s="17">
        <v>1</v>
      </c>
      <c r="BS22" s="17" t="e">
        <v>#N/A</v>
      </c>
      <c r="BT22" s="17" t="e">
        <v>#N/A</v>
      </c>
      <c r="BU22" s="17" t="e">
        <v>#N/A</v>
      </c>
      <c r="BV22" s="17" t="e">
        <v>#N/A</v>
      </c>
      <c r="BW22" s="17" t="e">
        <v>#N/A</v>
      </c>
      <c r="BX22" s="17" t="e">
        <v>#N/A</v>
      </c>
      <c r="BY22" s="17" t="e">
        <v>#N/A</v>
      </c>
      <c r="BZ22" s="17" t="e">
        <v>#N/A</v>
      </c>
      <c r="CA22" s="17" t="e">
        <v>#N/A</v>
      </c>
      <c r="CB22" s="17" t="e">
        <v>#N/A</v>
      </c>
      <c r="CC22" s="17" t="e">
        <v>#N/A</v>
      </c>
      <c r="CD22" s="17" t="e">
        <v>#N/A</v>
      </c>
      <c r="CE22" s="17" t="e">
        <v>#N/A</v>
      </c>
      <c r="CF22" s="17" t="e">
        <v>#N/A</v>
      </c>
      <c r="CG22" s="17" t="e">
        <v>#N/A</v>
      </c>
      <c r="CH22" s="17" t="e">
        <v>#N/A</v>
      </c>
      <c r="CI22" s="17" t="e">
        <v>#N/A</v>
      </c>
      <c r="CJ22" s="17" t="e">
        <v>#N/A</v>
      </c>
      <c r="CK22" s="17" t="e">
        <v>#N/A</v>
      </c>
      <c r="CL22" s="17" t="e">
        <v>#N/A</v>
      </c>
      <c r="CM22" s="17" t="e">
        <v>#N/A</v>
      </c>
      <c r="CN22" s="17" t="e">
        <v>#N/A</v>
      </c>
      <c r="CO22" s="17" t="e">
        <v>#N/A</v>
      </c>
      <c r="CP22" s="17" t="e">
        <v>#N/A</v>
      </c>
      <c r="CQ22" s="17" t="e">
        <v>#N/A</v>
      </c>
      <c r="CR22" s="17" t="e">
        <v>#N/A</v>
      </c>
      <c r="CS22" s="17" t="e">
        <v>#N/A</v>
      </c>
      <c r="CT22" s="17" t="e">
        <v>#N/A</v>
      </c>
      <c r="CU22" s="17" t="e">
        <v>#N/A</v>
      </c>
      <c r="CV22" s="17" t="e">
        <v>#N/A</v>
      </c>
      <c r="CW22" s="17" t="e">
        <v>#N/A</v>
      </c>
      <c r="CX22" s="17" t="e">
        <v>#N/A</v>
      </c>
      <c r="CY22" s="17" t="e">
        <v>#N/A</v>
      </c>
      <c r="CZ22" s="17" t="e">
        <v>#N/A</v>
      </c>
      <c r="DA22" s="17" t="e">
        <v>#N/A</v>
      </c>
      <c r="DB22" s="17" t="e">
        <v>#N/A</v>
      </c>
      <c r="DC22" s="17" t="e">
        <v>#N/A</v>
      </c>
      <c r="DD22" s="17" t="e">
        <v>#N/A</v>
      </c>
      <c r="DE22" s="17" t="e">
        <v>#N/A</v>
      </c>
      <c r="DF22" s="17" t="e">
        <v>#N/A</v>
      </c>
      <c r="DG22" s="17" t="e">
        <v>#N/A</v>
      </c>
      <c r="DH22" s="17" t="e">
        <v>#N/A</v>
      </c>
      <c r="DI22" s="17" t="e">
        <v>#N/A</v>
      </c>
      <c r="DJ22" s="17" t="e">
        <v>#N/A</v>
      </c>
      <c r="DK22" s="17" t="e">
        <v>#N/A</v>
      </c>
      <c r="DL22" s="17" t="e">
        <v>#N/A</v>
      </c>
      <c r="DM22" s="17" t="e">
        <v>#N/A</v>
      </c>
      <c r="DN22" s="17" t="e">
        <v>#N/A</v>
      </c>
      <c r="DO22" s="17" t="e">
        <v>#N/A</v>
      </c>
      <c r="DP22" s="17" t="e">
        <v>#N/A</v>
      </c>
      <c r="DQ22" s="17" t="e">
        <v>#N/A</v>
      </c>
      <c r="DR22" s="17" t="e">
        <v>#N/A</v>
      </c>
      <c r="DS22" s="17" t="e">
        <v>#N/A</v>
      </c>
      <c r="DT22" s="17" t="e">
        <v>#N/A</v>
      </c>
      <c r="DU22" s="17" t="e">
        <v>#N/A</v>
      </c>
      <c r="DV22" s="17" t="e">
        <v>#N/A</v>
      </c>
      <c r="DW22" s="17" t="e">
        <v>#N/A</v>
      </c>
      <c r="DX22" s="17" t="e">
        <v>#N/A</v>
      </c>
      <c r="DY22" s="17" t="e">
        <v>#N/A</v>
      </c>
      <c r="DZ22" s="17" t="e">
        <v>#N/A</v>
      </c>
      <c r="EA22" s="17" t="e">
        <v>#N/A</v>
      </c>
      <c r="EB22" s="17" t="e">
        <v>#N/A</v>
      </c>
      <c r="EC22" s="17" t="e">
        <v>#N/A</v>
      </c>
      <c r="ED22" s="17" t="e">
        <v>#N/A</v>
      </c>
      <c r="EE22" s="17" t="e">
        <v>#N/A</v>
      </c>
      <c r="EF22" s="17" t="e">
        <v>#N/A</v>
      </c>
      <c r="EG22" s="17" t="e">
        <v>#N/A</v>
      </c>
      <c r="EH22" s="17" t="e">
        <v>#N/A</v>
      </c>
      <c r="EI22" s="17" t="e">
        <v>#N/A</v>
      </c>
      <c r="EJ22" s="17" t="e">
        <v>#N/A</v>
      </c>
      <c r="EK22" s="17" t="e">
        <v>#N/A</v>
      </c>
      <c r="EL22" s="17" t="e">
        <v>#N/A</v>
      </c>
      <c r="EM22" s="17" t="e">
        <v>#N/A</v>
      </c>
      <c r="EN22" s="17" t="e">
        <v>#N/A</v>
      </c>
      <c r="EO22" s="17" t="e">
        <v>#N/A</v>
      </c>
      <c r="EP22" s="17" t="e">
        <v>#N/A</v>
      </c>
      <c r="EQ22" s="17" t="e">
        <v>#N/A</v>
      </c>
      <c r="ER22" s="17" t="e">
        <v>#N/A</v>
      </c>
      <c r="ES22" s="17" t="e">
        <v>#N/A</v>
      </c>
      <c r="ET22" s="17" t="e">
        <v>#N/A</v>
      </c>
      <c r="EU22" s="17" t="e">
        <v>#N/A</v>
      </c>
      <c r="EV22" s="17" t="e">
        <v>#N/A</v>
      </c>
      <c r="EW22" s="17" t="e">
        <v>#N/A</v>
      </c>
      <c r="EX22" s="17" t="e">
        <v>#N/A</v>
      </c>
      <c r="EY22" s="17" t="e">
        <v>#N/A</v>
      </c>
      <c r="EZ22" s="17" t="e">
        <v>#N/A</v>
      </c>
      <c r="FA22" s="17" t="e">
        <v>#N/A</v>
      </c>
      <c r="FB22" s="17" t="e">
        <v>#N/A</v>
      </c>
      <c r="FC22" s="17" t="e">
        <v>#N/A</v>
      </c>
      <c r="FD22" s="17" t="e">
        <v>#N/A</v>
      </c>
      <c r="FE22" s="17" t="e">
        <v>#N/A</v>
      </c>
      <c r="FF22" s="17" t="e">
        <v>#N/A</v>
      </c>
      <c r="FG22" s="17" t="e">
        <v>#N/A</v>
      </c>
      <c r="FH22" s="17" t="e">
        <v>#N/A</v>
      </c>
      <c r="FI22" s="17" t="e">
        <v>#N/A</v>
      </c>
      <c r="FJ22" s="17" t="e">
        <v>#N/A</v>
      </c>
      <c r="FK22" s="17" t="e">
        <v>#N/A</v>
      </c>
      <c r="FL22" s="17" t="e">
        <v>#N/A</v>
      </c>
      <c r="FM22" s="17" t="e">
        <v>#N/A</v>
      </c>
      <c r="FN22" s="17" t="e">
        <v>#N/A</v>
      </c>
      <c r="FO22" s="17" t="e">
        <v>#N/A</v>
      </c>
      <c r="FP22" s="17" t="e">
        <v>#N/A</v>
      </c>
      <c r="FQ22" s="17" t="e">
        <v>#N/A</v>
      </c>
      <c r="FR22" s="17" t="e">
        <v>#N/A</v>
      </c>
      <c r="FS22" s="17" t="e">
        <v>#N/A</v>
      </c>
      <c r="FT22" s="17" t="e">
        <v>#N/A</v>
      </c>
      <c r="FU22" s="17" t="e">
        <v>#N/A</v>
      </c>
      <c r="FV22" s="17" t="e">
        <v>#N/A</v>
      </c>
    </row>
    <row r="23" spans="2:178" ht="11.25" customHeight="1">
      <c r="B23" s="17">
        <v>0</v>
      </c>
      <c r="C23" s="17">
        <v>0</v>
      </c>
      <c r="D23" s="17">
        <v>0</v>
      </c>
      <c r="E23" s="17">
        <v>0</v>
      </c>
      <c r="F23" s="17">
        <v>0</v>
      </c>
      <c r="G23" s="17">
        <v>1</v>
      </c>
      <c r="H23" s="17">
        <v>0</v>
      </c>
      <c r="I23" s="17">
        <v>0</v>
      </c>
      <c r="J23" s="17">
        <v>0</v>
      </c>
      <c r="K23" s="17">
        <v>1</v>
      </c>
      <c r="L23" s="17">
        <v>1</v>
      </c>
      <c r="M23" s="17">
        <v>1</v>
      </c>
      <c r="N23" s="17">
        <v>0</v>
      </c>
      <c r="O23" s="17">
        <v>1</v>
      </c>
      <c r="P23" s="17">
        <v>0</v>
      </c>
      <c r="Q23" s="17">
        <v>1</v>
      </c>
      <c r="R23" s="17">
        <v>1</v>
      </c>
      <c r="S23" s="17">
        <v>0</v>
      </c>
      <c r="T23" s="17">
        <v>1</v>
      </c>
      <c r="U23" s="17">
        <v>1</v>
      </c>
      <c r="V23" s="17">
        <v>1</v>
      </c>
      <c r="W23" s="17">
        <v>0</v>
      </c>
      <c r="X23" s="17">
        <v>1</v>
      </c>
      <c r="Y23" s="17">
        <v>0</v>
      </c>
      <c r="Z23" s="17">
        <v>0</v>
      </c>
      <c r="AA23" s="17">
        <v>0</v>
      </c>
      <c r="AB23" s="17">
        <v>1</v>
      </c>
      <c r="AC23" s="17">
        <v>0</v>
      </c>
      <c r="AD23" s="17">
        <v>1</v>
      </c>
      <c r="AE23" s="17">
        <v>1</v>
      </c>
      <c r="AF23" s="17">
        <v>1</v>
      </c>
      <c r="AG23" s="17">
        <v>1</v>
      </c>
      <c r="AH23" s="17">
        <v>1</v>
      </c>
      <c r="AI23" s="17">
        <v>1</v>
      </c>
      <c r="AJ23" s="17">
        <v>0</v>
      </c>
      <c r="AK23" s="17">
        <v>0</v>
      </c>
      <c r="AL23" s="17">
        <v>1</v>
      </c>
      <c r="AM23" s="17">
        <v>1</v>
      </c>
      <c r="AN23" s="17">
        <v>0</v>
      </c>
      <c r="AO23" s="17">
        <v>0</v>
      </c>
      <c r="AP23" s="17">
        <v>0</v>
      </c>
      <c r="AQ23" s="17">
        <v>0</v>
      </c>
      <c r="AR23" s="17">
        <v>1</v>
      </c>
      <c r="AS23" s="17">
        <v>0</v>
      </c>
      <c r="AT23" s="17">
        <v>0</v>
      </c>
      <c r="AU23" s="17">
        <v>0</v>
      </c>
      <c r="AV23" s="17">
        <v>1</v>
      </c>
      <c r="AW23" s="17">
        <v>1</v>
      </c>
      <c r="AX23" s="17">
        <v>1</v>
      </c>
      <c r="AY23" s="17">
        <v>1</v>
      </c>
      <c r="AZ23" s="17">
        <v>1</v>
      </c>
      <c r="BA23" s="17">
        <v>0</v>
      </c>
      <c r="BB23" s="17">
        <v>1</v>
      </c>
      <c r="BC23" s="17">
        <v>1</v>
      </c>
      <c r="BD23" s="17">
        <v>1</v>
      </c>
      <c r="BE23" s="17">
        <v>0</v>
      </c>
      <c r="BF23" s="17">
        <v>0</v>
      </c>
      <c r="BG23" s="17">
        <v>1</v>
      </c>
      <c r="BH23" s="17">
        <v>0</v>
      </c>
      <c r="BI23" s="17">
        <v>0</v>
      </c>
      <c r="BJ23" s="17">
        <v>0</v>
      </c>
      <c r="BK23" s="17">
        <v>1</v>
      </c>
      <c r="BL23" s="17">
        <v>0</v>
      </c>
      <c r="BM23" s="17">
        <v>1</v>
      </c>
      <c r="BN23" s="17">
        <v>0</v>
      </c>
      <c r="BO23" s="17">
        <v>1</v>
      </c>
      <c r="BP23" s="17">
        <v>1</v>
      </c>
      <c r="BQ23" s="17">
        <v>1</v>
      </c>
      <c r="BR23" s="17">
        <v>1</v>
      </c>
      <c r="BS23" s="17" t="e">
        <v>#N/A</v>
      </c>
      <c r="BT23" s="17" t="e">
        <v>#N/A</v>
      </c>
      <c r="BU23" s="17" t="e">
        <v>#N/A</v>
      </c>
      <c r="BV23" s="17" t="e">
        <v>#N/A</v>
      </c>
      <c r="BW23" s="17" t="e">
        <v>#N/A</v>
      </c>
      <c r="BX23" s="17" t="e">
        <v>#N/A</v>
      </c>
      <c r="BY23" s="17" t="e">
        <v>#N/A</v>
      </c>
      <c r="BZ23" s="17" t="e">
        <v>#N/A</v>
      </c>
      <c r="CA23" s="17" t="e">
        <v>#N/A</v>
      </c>
      <c r="CB23" s="17" t="e">
        <v>#N/A</v>
      </c>
      <c r="CC23" s="17" t="e">
        <v>#N/A</v>
      </c>
      <c r="CD23" s="17" t="e">
        <v>#N/A</v>
      </c>
      <c r="CE23" s="17" t="e">
        <v>#N/A</v>
      </c>
      <c r="CF23" s="17" t="e">
        <v>#N/A</v>
      </c>
      <c r="CG23" s="17" t="e">
        <v>#N/A</v>
      </c>
      <c r="CH23" s="17" t="e">
        <v>#N/A</v>
      </c>
      <c r="CI23" s="17" t="e">
        <v>#N/A</v>
      </c>
      <c r="CJ23" s="17" t="e">
        <v>#N/A</v>
      </c>
      <c r="CK23" s="17" t="e">
        <v>#N/A</v>
      </c>
      <c r="CL23" s="17" t="e">
        <v>#N/A</v>
      </c>
      <c r="CM23" s="17" t="e">
        <v>#N/A</v>
      </c>
      <c r="CN23" s="17" t="e">
        <v>#N/A</v>
      </c>
      <c r="CO23" s="17" t="e">
        <v>#N/A</v>
      </c>
      <c r="CP23" s="17" t="e">
        <v>#N/A</v>
      </c>
      <c r="CQ23" s="17" t="e">
        <v>#N/A</v>
      </c>
      <c r="CR23" s="17" t="e">
        <v>#N/A</v>
      </c>
      <c r="CS23" s="17" t="e">
        <v>#N/A</v>
      </c>
      <c r="CT23" s="17" t="e">
        <v>#N/A</v>
      </c>
      <c r="CU23" s="17" t="e">
        <v>#N/A</v>
      </c>
      <c r="CV23" s="17" t="e">
        <v>#N/A</v>
      </c>
      <c r="CW23" s="17" t="e">
        <v>#N/A</v>
      </c>
      <c r="CX23" s="17" t="e">
        <v>#N/A</v>
      </c>
      <c r="CY23" s="17" t="e">
        <v>#N/A</v>
      </c>
      <c r="CZ23" s="17" t="e">
        <v>#N/A</v>
      </c>
      <c r="DA23" s="17" t="e">
        <v>#N/A</v>
      </c>
      <c r="DB23" s="17" t="e">
        <v>#N/A</v>
      </c>
      <c r="DC23" s="17" t="e">
        <v>#N/A</v>
      </c>
      <c r="DD23" s="17" t="e">
        <v>#N/A</v>
      </c>
      <c r="DE23" s="17" t="e">
        <v>#N/A</v>
      </c>
      <c r="DF23" s="17" t="e">
        <v>#N/A</v>
      </c>
      <c r="DG23" s="17" t="e">
        <v>#N/A</v>
      </c>
      <c r="DH23" s="17" t="e">
        <v>#N/A</v>
      </c>
      <c r="DI23" s="17" t="e">
        <v>#N/A</v>
      </c>
      <c r="DJ23" s="17" t="e">
        <v>#N/A</v>
      </c>
      <c r="DK23" s="17" t="e">
        <v>#N/A</v>
      </c>
      <c r="DL23" s="17" t="e">
        <v>#N/A</v>
      </c>
      <c r="DM23" s="17" t="e">
        <v>#N/A</v>
      </c>
      <c r="DN23" s="17" t="e">
        <v>#N/A</v>
      </c>
      <c r="DO23" s="17" t="e">
        <v>#N/A</v>
      </c>
      <c r="DP23" s="17" t="e">
        <v>#N/A</v>
      </c>
      <c r="DQ23" s="17" t="e">
        <v>#N/A</v>
      </c>
      <c r="DR23" s="17" t="e">
        <v>#N/A</v>
      </c>
      <c r="DS23" s="17" t="e">
        <v>#N/A</v>
      </c>
      <c r="DT23" s="17" t="e">
        <v>#N/A</v>
      </c>
      <c r="DU23" s="17" t="e">
        <v>#N/A</v>
      </c>
      <c r="DV23" s="17" t="e">
        <v>#N/A</v>
      </c>
      <c r="DW23" s="17" t="e">
        <v>#N/A</v>
      </c>
      <c r="DX23" s="17" t="e">
        <v>#N/A</v>
      </c>
      <c r="DY23" s="17" t="e">
        <v>#N/A</v>
      </c>
      <c r="DZ23" s="17" t="e">
        <v>#N/A</v>
      </c>
      <c r="EA23" s="17" t="e">
        <v>#N/A</v>
      </c>
      <c r="EB23" s="17" t="e">
        <v>#N/A</v>
      </c>
      <c r="EC23" s="17" t="e">
        <v>#N/A</v>
      </c>
      <c r="ED23" s="17" t="e">
        <v>#N/A</v>
      </c>
      <c r="EE23" s="17" t="e">
        <v>#N/A</v>
      </c>
      <c r="EF23" s="17" t="e">
        <v>#N/A</v>
      </c>
      <c r="EG23" s="17" t="e">
        <v>#N/A</v>
      </c>
      <c r="EH23" s="17" t="e">
        <v>#N/A</v>
      </c>
      <c r="EI23" s="17" t="e">
        <v>#N/A</v>
      </c>
      <c r="EJ23" s="17" t="e">
        <v>#N/A</v>
      </c>
      <c r="EK23" s="17" t="e">
        <v>#N/A</v>
      </c>
      <c r="EL23" s="17" t="e">
        <v>#N/A</v>
      </c>
      <c r="EM23" s="17" t="e">
        <v>#N/A</v>
      </c>
      <c r="EN23" s="17" t="e">
        <v>#N/A</v>
      </c>
      <c r="EO23" s="17" t="e">
        <v>#N/A</v>
      </c>
      <c r="EP23" s="17" t="e">
        <v>#N/A</v>
      </c>
      <c r="EQ23" s="17" t="e">
        <v>#N/A</v>
      </c>
      <c r="ER23" s="17" t="e">
        <v>#N/A</v>
      </c>
      <c r="ES23" s="17" t="e">
        <v>#N/A</v>
      </c>
      <c r="ET23" s="17" t="e">
        <v>#N/A</v>
      </c>
      <c r="EU23" s="17" t="e">
        <v>#N/A</v>
      </c>
      <c r="EV23" s="17" t="e">
        <v>#N/A</v>
      </c>
      <c r="EW23" s="17" t="e">
        <v>#N/A</v>
      </c>
      <c r="EX23" s="17" t="e">
        <v>#N/A</v>
      </c>
      <c r="EY23" s="17" t="e">
        <v>#N/A</v>
      </c>
      <c r="EZ23" s="17" t="e">
        <v>#N/A</v>
      </c>
      <c r="FA23" s="17" t="e">
        <v>#N/A</v>
      </c>
      <c r="FB23" s="17" t="e">
        <v>#N/A</v>
      </c>
      <c r="FC23" s="17" t="e">
        <v>#N/A</v>
      </c>
      <c r="FD23" s="17" t="e">
        <v>#N/A</v>
      </c>
      <c r="FE23" s="17" t="e">
        <v>#N/A</v>
      </c>
      <c r="FF23" s="17" t="e">
        <v>#N/A</v>
      </c>
      <c r="FG23" s="17" t="e">
        <v>#N/A</v>
      </c>
      <c r="FH23" s="17" t="e">
        <v>#N/A</v>
      </c>
      <c r="FI23" s="17" t="e">
        <v>#N/A</v>
      </c>
      <c r="FJ23" s="17" t="e">
        <v>#N/A</v>
      </c>
      <c r="FK23" s="17" t="e">
        <v>#N/A</v>
      </c>
      <c r="FL23" s="17" t="e">
        <v>#N/A</v>
      </c>
      <c r="FM23" s="17" t="e">
        <v>#N/A</v>
      </c>
      <c r="FN23" s="17" t="e">
        <v>#N/A</v>
      </c>
      <c r="FO23" s="17" t="e">
        <v>#N/A</v>
      </c>
      <c r="FP23" s="17" t="e">
        <v>#N/A</v>
      </c>
      <c r="FQ23" s="17" t="e">
        <v>#N/A</v>
      </c>
      <c r="FR23" s="17" t="e">
        <v>#N/A</v>
      </c>
      <c r="FS23" s="17" t="e">
        <v>#N/A</v>
      </c>
      <c r="FT23" s="17" t="e">
        <v>#N/A</v>
      </c>
      <c r="FU23" s="17" t="e">
        <v>#N/A</v>
      </c>
      <c r="FV23" s="17" t="e">
        <v>#N/A</v>
      </c>
    </row>
    <row r="24" spans="2:178" ht="11.25" customHeight="1">
      <c r="B24" s="17">
        <v>0</v>
      </c>
      <c r="C24" s="17">
        <v>0</v>
      </c>
      <c r="D24" s="17">
        <v>0</v>
      </c>
      <c r="E24" s="17">
        <v>1</v>
      </c>
      <c r="F24" s="17">
        <v>0</v>
      </c>
      <c r="G24" s="17">
        <v>0</v>
      </c>
      <c r="H24" s="17">
        <v>1</v>
      </c>
      <c r="I24" s="17">
        <v>0</v>
      </c>
      <c r="J24" s="17">
        <v>1</v>
      </c>
      <c r="K24" s="17">
        <v>0</v>
      </c>
      <c r="L24" s="17">
        <v>1</v>
      </c>
      <c r="M24" s="17">
        <v>1</v>
      </c>
      <c r="N24" s="17">
        <v>0</v>
      </c>
      <c r="O24" s="17">
        <v>0</v>
      </c>
      <c r="P24" s="17">
        <v>0</v>
      </c>
      <c r="Q24" s="17">
        <v>1</v>
      </c>
      <c r="R24" s="17">
        <v>0</v>
      </c>
      <c r="S24" s="17">
        <v>1</v>
      </c>
      <c r="T24" s="17">
        <v>1</v>
      </c>
      <c r="U24" s="17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17">
        <v>1</v>
      </c>
      <c r="AE24" s="17">
        <v>0</v>
      </c>
      <c r="AF24" s="17">
        <v>0</v>
      </c>
      <c r="AG24" s="17">
        <v>0</v>
      </c>
      <c r="AH24" s="17">
        <v>1</v>
      </c>
      <c r="AI24" s="17">
        <v>1</v>
      </c>
      <c r="AJ24" s="17">
        <v>0</v>
      </c>
      <c r="AK24" s="17">
        <v>1</v>
      </c>
      <c r="AL24" s="17">
        <v>0</v>
      </c>
      <c r="AM24" s="17">
        <v>1</v>
      </c>
      <c r="AN24" s="17">
        <v>1</v>
      </c>
      <c r="AO24" s="17">
        <v>1</v>
      </c>
      <c r="AP24" s="17">
        <v>1</v>
      </c>
      <c r="AQ24" s="17">
        <v>1</v>
      </c>
      <c r="AR24" s="17">
        <v>1</v>
      </c>
      <c r="AS24" s="17">
        <v>1</v>
      </c>
      <c r="AT24" s="17">
        <v>1</v>
      </c>
      <c r="AU24" s="17">
        <v>0</v>
      </c>
      <c r="AV24" s="17">
        <v>0</v>
      </c>
      <c r="AW24" s="17">
        <v>0</v>
      </c>
      <c r="AX24" s="17">
        <v>0</v>
      </c>
      <c r="AY24" s="17">
        <v>1</v>
      </c>
      <c r="AZ24" s="17">
        <v>0</v>
      </c>
      <c r="BA24" s="17">
        <v>0</v>
      </c>
      <c r="BB24" s="17">
        <v>1</v>
      </c>
      <c r="BC24" s="17">
        <v>0</v>
      </c>
      <c r="BD24" s="17">
        <v>1</v>
      </c>
      <c r="BE24" s="17">
        <v>1</v>
      </c>
      <c r="BF24" s="17">
        <v>1</v>
      </c>
      <c r="BG24" s="17">
        <v>1</v>
      </c>
      <c r="BH24" s="17">
        <v>0</v>
      </c>
      <c r="BI24" s="17">
        <v>1</v>
      </c>
      <c r="BJ24" s="17">
        <v>0</v>
      </c>
      <c r="BK24" s="17">
        <v>1</v>
      </c>
      <c r="BL24" s="17">
        <v>0</v>
      </c>
      <c r="BM24" s="17">
        <v>0</v>
      </c>
      <c r="BN24" s="17">
        <v>0</v>
      </c>
      <c r="BO24" s="17">
        <v>0</v>
      </c>
      <c r="BP24" s="17">
        <v>0</v>
      </c>
      <c r="BQ24" s="17">
        <v>0</v>
      </c>
      <c r="BR24" s="17">
        <v>1</v>
      </c>
      <c r="BS24" s="17" t="e">
        <v>#N/A</v>
      </c>
      <c r="BT24" s="17" t="e">
        <v>#N/A</v>
      </c>
      <c r="BU24" s="17" t="e">
        <v>#N/A</v>
      </c>
      <c r="BV24" s="17" t="e">
        <v>#N/A</v>
      </c>
      <c r="BW24" s="17" t="e">
        <v>#N/A</v>
      </c>
      <c r="BX24" s="17" t="e">
        <v>#N/A</v>
      </c>
      <c r="BY24" s="17" t="e">
        <v>#N/A</v>
      </c>
      <c r="BZ24" s="17" t="e">
        <v>#N/A</v>
      </c>
      <c r="CA24" s="17" t="e">
        <v>#N/A</v>
      </c>
      <c r="CB24" s="17" t="e">
        <v>#N/A</v>
      </c>
      <c r="CC24" s="17" t="e">
        <v>#N/A</v>
      </c>
      <c r="CD24" s="17" t="e">
        <v>#N/A</v>
      </c>
      <c r="CE24" s="17" t="e">
        <v>#N/A</v>
      </c>
      <c r="CF24" s="17" t="e">
        <v>#N/A</v>
      </c>
      <c r="CG24" s="17" t="e">
        <v>#N/A</v>
      </c>
      <c r="CH24" s="17" t="e">
        <v>#N/A</v>
      </c>
      <c r="CI24" s="17" t="e">
        <v>#N/A</v>
      </c>
      <c r="CJ24" s="17" t="e">
        <v>#N/A</v>
      </c>
      <c r="CK24" s="17" t="e">
        <v>#N/A</v>
      </c>
      <c r="CL24" s="17" t="e">
        <v>#N/A</v>
      </c>
      <c r="CM24" s="17" t="e">
        <v>#N/A</v>
      </c>
      <c r="CN24" s="17" t="e">
        <v>#N/A</v>
      </c>
      <c r="CO24" s="17" t="e">
        <v>#N/A</v>
      </c>
      <c r="CP24" s="17" t="e">
        <v>#N/A</v>
      </c>
      <c r="CQ24" s="17" t="e">
        <v>#N/A</v>
      </c>
      <c r="CR24" s="17" t="e">
        <v>#N/A</v>
      </c>
      <c r="CS24" s="17" t="e">
        <v>#N/A</v>
      </c>
      <c r="CT24" s="17" t="e">
        <v>#N/A</v>
      </c>
      <c r="CU24" s="17" t="e">
        <v>#N/A</v>
      </c>
      <c r="CV24" s="17" t="e">
        <v>#N/A</v>
      </c>
      <c r="CW24" s="17" t="e">
        <v>#N/A</v>
      </c>
      <c r="CX24" s="17" t="e">
        <v>#N/A</v>
      </c>
      <c r="CY24" s="17" t="e">
        <v>#N/A</v>
      </c>
      <c r="CZ24" s="17" t="e">
        <v>#N/A</v>
      </c>
      <c r="DA24" s="17" t="e">
        <v>#N/A</v>
      </c>
      <c r="DB24" s="17" t="e">
        <v>#N/A</v>
      </c>
      <c r="DC24" s="17" t="e">
        <v>#N/A</v>
      </c>
      <c r="DD24" s="17" t="e">
        <v>#N/A</v>
      </c>
      <c r="DE24" s="17" t="e">
        <v>#N/A</v>
      </c>
      <c r="DF24" s="17" t="e">
        <v>#N/A</v>
      </c>
      <c r="DG24" s="17" t="e">
        <v>#N/A</v>
      </c>
      <c r="DH24" s="17" t="e">
        <v>#N/A</v>
      </c>
      <c r="DI24" s="17" t="e">
        <v>#N/A</v>
      </c>
      <c r="DJ24" s="17" t="e">
        <v>#N/A</v>
      </c>
      <c r="DK24" s="17" t="e">
        <v>#N/A</v>
      </c>
      <c r="DL24" s="17" t="e">
        <v>#N/A</v>
      </c>
      <c r="DM24" s="17" t="e">
        <v>#N/A</v>
      </c>
      <c r="DN24" s="17" t="e">
        <v>#N/A</v>
      </c>
      <c r="DO24" s="17" t="e">
        <v>#N/A</v>
      </c>
      <c r="DP24" s="17" t="e">
        <v>#N/A</v>
      </c>
      <c r="DQ24" s="17" t="e">
        <v>#N/A</v>
      </c>
      <c r="DR24" s="17" t="e">
        <v>#N/A</v>
      </c>
      <c r="DS24" s="17" t="e">
        <v>#N/A</v>
      </c>
      <c r="DT24" s="17" t="e">
        <v>#N/A</v>
      </c>
      <c r="DU24" s="17" t="e">
        <v>#N/A</v>
      </c>
      <c r="DV24" s="17" t="e">
        <v>#N/A</v>
      </c>
      <c r="DW24" s="17" t="e">
        <v>#N/A</v>
      </c>
      <c r="DX24" s="17" t="e">
        <v>#N/A</v>
      </c>
      <c r="DY24" s="17" t="e">
        <v>#N/A</v>
      </c>
      <c r="DZ24" s="17" t="e">
        <v>#N/A</v>
      </c>
      <c r="EA24" s="17" t="e">
        <v>#N/A</v>
      </c>
      <c r="EB24" s="17" t="e">
        <v>#N/A</v>
      </c>
      <c r="EC24" s="17" t="e">
        <v>#N/A</v>
      </c>
      <c r="ED24" s="17" t="e">
        <v>#N/A</v>
      </c>
      <c r="EE24" s="17" t="e">
        <v>#N/A</v>
      </c>
      <c r="EF24" s="17" t="e">
        <v>#N/A</v>
      </c>
      <c r="EG24" s="17" t="e">
        <v>#N/A</v>
      </c>
      <c r="EH24" s="17" t="e">
        <v>#N/A</v>
      </c>
      <c r="EI24" s="17" t="e">
        <v>#N/A</v>
      </c>
      <c r="EJ24" s="17" t="e">
        <v>#N/A</v>
      </c>
      <c r="EK24" s="17" t="e">
        <v>#N/A</v>
      </c>
      <c r="EL24" s="17" t="e">
        <v>#N/A</v>
      </c>
      <c r="EM24" s="17" t="e">
        <v>#N/A</v>
      </c>
      <c r="EN24" s="17" t="e">
        <v>#N/A</v>
      </c>
      <c r="EO24" s="17" t="e">
        <v>#N/A</v>
      </c>
      <c r="EP24" s="17" t="e">
        <v>#N/A</v>
      </c>
      <c r="EQ24" s="17" t="e">
        <v>#N/A</v>
      </c>
      <c r="ER24" s="17" t="e">
        <v>#N/A</v>
      </c>
      <c r="ES24" s="17" t="e">
        <v>#N/A</v>
      </c>
      <c r="ET24" s="17" t="e">
        <v>#N/A</v>
      </c>
      <c r="EU24" s="17" t="e">
        <v>#N/A</v>
      </c>
      <c r="EV24" s="17" t="e">
        <v>#N/A</v>
      </c>
      <c r="EW24" s="17" t="e">
        <v>#N/A</v>
      </c>
      <c r="EX24" s="17" t="e">
        <v>#N/A</v>
      </c>
      <c r="EY24" s="17" t="e">
        <v>#N/A</v>
      </c>
      <c r="EZ24" s="17" t="e">
        <v>#N/A</v>
      </c>
      <c r="FA24" s="17" t="e">
        <v>#N/A</v>
      </c>
      <c r="FB24" s="17" t="e">
        <v>#N/A</v>
      </c>
      <c r="FC24" s="17" t="e">
        <v>#N/A</v>
      </c>
      <c r="FD24" s="17" t="e">
        <v>#N/A</v>
      </c>
      <c r="FE24" s="17" t="e">
        <v>#N/A</v>
      </c>
      <c r="FF24" s="17" t="e">
        <v>#N/A</v>
      </c>
      <c r="FG24" s="17" t="e">
        <v>#N/A</v>
      </c>
      <c r="FH24" s="17" t="e">
        <v>#N/A</v>
      </c>
      <c r="FI24" s="17" t="e">
        <v>#N/A</v>
      </c>
      <c r="FJ24" s="17" t="e">
        <v>#N/A</v>
      </c>
      <c r="FK24" s="17" t="e">
        <v>#N/A</v>
      </c>
      <c r="FL24" s="17" t="e">
        <v>#N/A</v>
      </c>
      <c r="FM24" s="17" t="e">
        <v>#N/A</v>
      </c>
      <c r="FN24" s="17" t="e">
        <v>#N/A</v>
      </c>
      <c r="FO24" s="17" t="e">
        <v>#N/A</v>
      </c>
      <c r="FP24" s="17" t="e">
        <v>#N/A</v>
      </c>
      <c r="FQ24" s="17" t="e">
        <v>#N/A</v>
      </c>
      <c r="FR24" s="17" t="e">
        <v>#N/A</v>
      </c>
      <c r="FS24" s="17" t="e">
        <v>#N/A</v>
      </c>
      <c r="FT24" s="17" t="e">
        <v>#N/A</v>
      </c>
      <c r="FU24" s="17" t="e">
        <v>#N/A</v>
      </c>
      <c r="FV24" s="17" t="e">
        <v>#N/A</v>
      </c>
    </row>
    <row r="25" spans="2:178" ht="11.25" customHeight="1">
      <c r="B25" s="17">
        <v>1</v>
      </c>
      <c r="C25" s="17">
        <v>1</v>
      </c>
      <c r="D25" s="17">
        <v>0</v>
      </c>
      <c r="E25" s="17">
        <v>0</v>
      </c>
      <c r="F25" s="17">
        <v>0</v>
      </c>
      <c r="G25" s="17">
        <v>1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1</v>
      </c>
      <c r="N25" s="17">
        <v>0</v>
      </c>
      <c r="O25" s="17">
        <v>0</v>
      </c>
      <c r="P25" s="17">
        <v>1</v>
      </c>
      <c r="Q25" s="17">
        <v>1</v>
      </c>
      <c r="R25" s="17">
        <v>0</v>
      </c>
      <c r="S25" s="17">
        <v>0</v>
      </c>
      <c r="T25" s="17">
        <v>0</v>
      </c>
      <c r="U25" s="17">
        <v>1</v>
      </c>
      <c r="V25" s="17">
        <v>1</v>
      </c>
      <c r="W25" s="17">
        <v>1</v>
      </c>
      <c r="X25" s="17">
        <v>0</v>
      </c>
      <c r="Y25" s="17">
        <v>0</v>
      </c>
      <c r="Z25" s="17">
        <v>1</v>
      </c>
      <c r="AA25" s="17">
        <v>1</v>
      </c>
      <c r="AB25" s="17">
        <v>1</v>
      </c>
      <c r="AC25" s="17">
        <v>0</v>
      </c>
      <c r="AD25" s="17">
        <v>0</v>
      </c>
      <c r="AE25" s="17">
        <v>1</v>
      </c>
      <c r="AF25" s="17">
        <v>1</v>
      </c>
      <c r="AG25" s="17">
        <v>0</v>
      </c>
      <c r="AH25" s="17">
        <v>0</v>
      </c>
      <c r="AI25" s="17">
        <v>1</v>
      </c>
      <c r="AJ25" s="17">
        <v>1</v>
      </c>
      <c r="AK25" s="17">
        <v>1</v>
      </c>
      <c r="AL25" s="17">
        <v>1</v>
      </c>
      <c r="AM25" s="17">
        <v>1</v>
      </c>
      <c r="AN25" s="17">
        <v>0</v>
      </c>
      <c r="AO25" s="17">
        <v>1</v>
      </c>
      <c r="AP25" s="17">
        <v>0</v>
      </c>
      <c r="AQ25" s="17">
        <v>1</v>
      </c>
      <c r="AR25" s="17">
        <v>1</v>
      </c>
      <c r="AS25" s="17">
        <v>1</v>
      </c>
      <c r="AT25" s="17">
        <v>0</v>
      </c>
      <c r="AU25" s="17">
        <v>1</v>
      </c>
      <c r="AV25" s="17">
        <v>0</v>
      </c>
      <c r="AW25" s="17">
        <v>1</v>
      </c>
      <c r="AX25" s="17">
        <v>1</v>
      </c>
      <c r="AY25" s="17">
        <v>0</v>
      </c>
      <c r="AZ25" s="17">
        <v>1</v>
      </c>
      <c r="BA25" s="17">
        <v>0</v>
      </c>
      <c r="BB25" s="17">
        <v>0</v>
      </c>
      <c r="BC25" s="17">
        <v>0</v>
      </c>
      <c r="BD25" s="17">
        <v>1</v>
      </c>
      <c r="BE25" s="17">
        <v>0</v>
      </c>
      <c r="BF25" s="17">
        <v>0</v>
      </c>
      <c r="BG25" s="17">
        <v>0</v>
      </c>
      <c r="BH25" s="17">
        <v>1</v>
      </c>
      <c r="BI25" s="17">
        <v>1</v>
      </c>
      <c r="BJ25" s="17">
        <v>0</v>
      </c>
      <c r="BK25" s="17">
        <v>0</v>
      </c>
      <c r="BL25" s="17">
        <v>0</v>
      </c>
      <c r="BM25" s="17">
        <v>0</v>
      </c>
      <c r="BN25" s="17">
        <v>1</v>
      </c>
      <c r="BO25" s="17">
        <v>1</v>
      </c>
      <c r="BP25" s="17">
        <v>1</v>
      </c>
      <c r="BQ25" s="17">
        <v>1</v>
      </c>
      <c r="BR25" s="17">
        <v>1</v>
      </c>
      <c r="BS25" s="17" t="e">
        <v>#N/A</v>
      </c>
      <c r="BT25" s="17" t="e">
        <v>#N/A</v>
      </c>
      <c r="BU25" s="17" t="e">
        <v>#N/A</v>
      </c>
      <c r="BV25" s="17" t="e">
        <v>#N/A</v>
      </c>
      <c r="BW25" s="17" t="e">
        <v>#N/A</v>
      </c>
      <c r="BX25" s="17" t="e">
        <v>#N/A</v>
      </c>
      <c r="BY25" s="17" t="e">
        <v>#N/A</v>
      </c>
      <c r="BZ25" s="17" t="e">
        <v>#N/A</v>
      </c>
      <c r="CA25" s="17" t="e">
        <v>#N/A</v>
      </c>
      <c r="CB25" s="17" t="e">
        <v>#N/A</v>
      </c>
      <c r="CC25" s="17" t="e">
        <v>#N/A</v>
      </c>
      <c r="CD25" s="17" t="e">
        <v>#N/A</v>
      </c>
      <c r="CE25" s="17" t="e">
        <v>#N/A</v>
      </c>
      <c r="CF25" s="17" t="e">
        <v>#N/A</v>
      </c>
      <c r="CG25" s="17" t="e">
        <v>#N/A</v>
      </c>
      <c r="CH25" s="17" t="e">
        <v>#N/A</v>
      </c>
      <c r="CI25" s="17" t="e">
        <v>#N/A</v>
      </c>
      <c r="CJ25" s="17" t="e">
        <v>#N/A</v>
      </c>
      <c r="CK25" s="17" t="e">
        <v>#N/A</v>
      </c>
      <c r="CL25" s="17" t="e">
        <v>#N/A</v>
      </c>
      <c r="CM25" s="17" t="e">
        <v>#N/A</v>
      </c>
      <c r="CN25" s="17" t="e">
        <v>#N/A</v>
      </c>
      <c r="CO25" s="17" t="e">
        <v>#N/A</v>
      </c>
      <c r="CP25" s="17" t="e">
        <v>#N/A</v>
      </c>
      <c r="CQ25" s="17" t="e">
        <v>#N/A</v>
      </c>
      <c r="CR25" s="17" t="e">
        <v>#N/A</v>
      </c>
      <c r="CS25" s="17" t="e">
        <v>#N/A</v>
      </c>
      <c r="CT25" s="17" t="e">
        <v>#N/A</v>
      </c>
      <c r="CU25" s="17" t="e">
        <v>#N/A</v>
      </c>
      <c r="CV25" s="17" t="e">
        <v>#N/A</v>
      </c>
      <c r="CW25" s="17" t="e">
        <v>#N/A</v>
      </c>
      <c r="CX25" s="17" t="e">
        <v>#N/A</v>
      </c>
      <c r="CY25" s="17" t="e">
        <v>#N/A</v>
      </c>
      <c r="CZ25" s="17" t="e">
        <v>#N/A</v>
      </c>
      <c r="DA25" s="17" t="e">
        <v>#N/A</v>
      </c>
      <c r="DB25" s="17" t="e">
        <v>#N/A</v>
      </c>
      <c r="DC25" s="17" t="e">
        <v>#N/A</v>
      </c>
      <c r="DD25" s="17" t="e">
        <v>#N/A</v>
      </c>
      <c r="DE25" s="17" t="e">
        <v>#N/A</v>
      </c>
      <c r="DF25" s="17" t="e">
        <v>#N/A</v>
      </c>
      <c r="DG25" s="17" t="e">
        <v>#N/A</v>
      </c>
      <c r="DH25" s="17" t="e">
        <v>#N/A</v>
      </c>
      <c r="DI25" s="17" t="e">
        <v>#N/A</v>
      </c>
      <c r="DJ25" s="17" t="e">
        <v>#N/A</v>
      </c>
      <c r="DK25" s="17" t="e">
        <v>#N/A</v>
      </c>
      <c r="DL25" s="17" t="e">
        <v>#N/A</v>
      </c>
      <c r="DM25" s="17" t="e">
        <v>#N/A</v>
      </c>
      <c r="DN25" s="17" t="e">
        <v>#N/A</v>
      </c>
      <c r="DO25" s="17" t="e">
        <v>#N/A</v>
      </c>
      <c r="DP25" s="17" t="e">
        <v>#N/A</v>
      </c>
      <c r="DQ25" s="17" t="e">
        <v>#N/A</v>
      </c>
      <c r="DR25" s="17" t="e">
        <v>#N/A</v>
      </c>
      <c r="DS25" s="17" t="e">
        <v>#N/A</v>
      </c>
      <c r="DT25" s="17" t="e">
        <v>#N/A</v>
      </c>
      <c r="DU25" s="17" t="e">
        <v>#N/A</v>
      </c>
      <c r="DV25" s="17" t="e">
        <v>#N/A</v>
      </c>
      <c r="DW25" s="17" t="e">
        <v>#N/A</v>
      </c>
      <c r="DX25" s="17" t="e">
        <v>#N/A</v>
      </c>
      <c r="DY25" s="17" t="e">
        <v>#N/A</v>
      </c>
      <c r="DZ25" s="17" t="e">
        <v>#N/A</v>
      </c>
      <c r="EA25" s="17" t="e">
        <v>#N/A</v>
      </c>
      <c r="EB25" s="17" t="e">
        <v>#N/A</v>
      </c>
      <c r="EC25" s="17" t="e">
        <v>#N/A</v>
      </c>
      <c r="ED25" s="17" t="e">
        <v>#N/A</v>
      </c>
      <c r="EE25" s="17" t="e">
        <v>#N/A</v>
      </c>
      <c r="EF25" s="17" t="e">
        <v>#N/A</v>
      </c>
      <c r="EG25" s="17" t="e">
        <v>#N/A</v>
      </c>
      <c r="EH25" s="17" t="e">
        <v>#N/A</v>
      </c>
      <c r="EI25" s="17" t="e">
        <v>#N/A</v>
      </c>
      <c r="EJ25" s="17" t="e">
        <v>#N/A</v>
      </c>
      <c r="EK25" s="17" t="e">
        <v>#N/A</v>
      </c>
      <c r="EL25" s="17" t="e">
        <v>#N/A</v>
      </c>
      <c r="EM25" s="17" t="e">
        <v>#N/A</v>
      </c>
      <c r="EN25" s="17" t="e">
        <v>#N/A</v>
      </c>
      <c r="EO25" s="17" t="e">
        <v>#N/A</v>
      </c>
      <c r="EP25" s="17" t="e">
        <v>#N/A</v>
      </c>
      <c r="EQ25" s="17" t="e">
        <v>#N/A</v>
      </c>
      <c r="ER25" s="17" t="e">
        <v>#N/A</v>
      </c>
      <c r="ES25" s="17" t="e">
        <v>#N/A</v>
      </c>
      <c r="ET25" s="17" t="e">
        <v>#N/A</v>
      </c>
      <c r="EU25" s="17" t="e">
        <v>#N/A</v>
      </c>
      <c r="EV25" s="17" t="e">
        <v>#N/A</v>
      </c>
      <c r="EW25" s="17" t="e">
        <v>#N/A</v>
      </c>
      <c r="EX25" s="17" t="e">
        <v>#N/A</v>
      </c>
      <c r="EY25" s="17" t="e">
        <v>#N/A</v>
      </c>
      <c r="EZ25" s="17" t="e">
        <v>#N/A</v>
      </c>
      <c r="FA25" s="17" t="e">
        <v>#N/A</v>
      </c>
      <c r="FB25" s="17" t="e">
        <v>#N/A</v>
      </c>
      <c r="FC25" s="17" t="e">
        <v>#N/A</v>
      </c>
      <c r="FD25" s="17" t="e">
        <v>#N/A</v>
      </c>
      <c r="FE25" s="17" t="e">
        <v>#N/A</v>
      </c>
      <c r="FF25" s="17" t="e">
        <v>#N/A</v>
      </c>
      <c r="FG25" s="17" t="e">
        <v>#N/A</v>
      </c>
      <c r="FH25" s="17" t="e">
        <v>#N/A</v>
      </c>
      <c r="FI25" s="17" t="e">
        <v>#N/A</v>
      </c>
      <c r="FJ25" s="17" t="e">
        <v>#N/A</v>
      </c>
      <c r="FK25" s="17" t="e">
        <v>#N/A</v>
      </c>
      <c r="FL25" s="17" t="e">
        <v>#N/A</v>
      </c>
      <c r="FM25" s="17" t="e">
        <v>#N/A</v>
      </c>
      <c r="FN25" s="17" t="e">
        <v>#N/A</v>
      </c>
      <c r="FO25" s="17" t="e">
        <v>#N/A</v>
      </c>
      <c r="FP25" s="17" t="e">
        <v>#N/A</v>
      </c>
      <c r="FQ25" s="17" t="e">
        <v>#N/A</v>
      </c>
      <c r="FR25" s="17" t="e">
        <v>#N/A</v>
      </c>
      <c r="FS25" s="17" t="e">
        <v>#N/A</v>
      </c>
      <c r="FT25" s="17" t="e">
        <v>#N/A</v>
      </c>
      <c r="FU25" s="17" t="e">
        <v>#N/A</v>
      </c>
      <c r="FV25" s="17" t="e">
        <v>#N/A</v>
      </c>
    </row>
    <row r="26" spans="2:178" ht="11.25" customHeight="1">
      <c r="B26" s="17">
        <v>1</v>
      </c>
      <c r="C26" s="17">
        <v>0</v>
      </c>
      <c r="D26" s="17">
        <v>1</v>
      </c>
      <c r="E26" s="17">
        <v>0</v>
      </c>
      <c r="F26" s="17">
        <v>1</v>
      </c>
      <c r="G26" s="17">
        <v>1</v>
      </c>
      <c r="H26" s="17">
        <v>1</v>
      </c>
      <c r="I26" s="17">
        <v>1</v>
      </c>
      <c r="J26" s="17">
        <v>1</v>
      </c>
      <c r="K26" s="17">
        <v>0</v>
      </c>
      <c r="L26" s="17">
        <v>1</v>
      </c>
      <c r="M26" s="17">
        <v>1</v>
      </c>
      <c r="N26" s="17">
        <v>1</v>
      </c>
      <c r="O26" s="17">
        <v>0</v>
      </c>
      <c r="P26" s="17">
        <v>1</v>
      </c>
      <c r="Q26" s="17">
        <v>1</v>
      </c>
      <c r="R26" s="17">
        <v>0</v>
      </c>
      <c r="S26" s="17">
        <v>1</v>
      </c>
      <c r="T26" s="17">
        <v>1</v>
      </c>
      <c r="U26" s="17">
        <v>1</v>
      </c>
      <c r="V26" s="17">
        <v>1</v>
      </c>
      <c r="W26" s="17">
        <v>0</v>
      </c>
      <c r="X26" s="17">
        <v>1</v>
      </c>
      <c r="Y26" s="17">
        <v>1</v>
      </c>
      <c r="Z26" s="17">
        <v>0</v>
      </c>
      <c r="AA26" s="17">
        <v>1</v>
      </c>
      <c r="AB26" s="17">
        <v>0</v>
      </c>
      <c r="AC26" s="17">
        <v>1</v>
      </c>
      <c r="AD26" s="17">
        <v>1</v>
      </c>
      <c r="AE26" s="17">
        <v>1</v>
      </c>
      <c r="AF26" s="17">
        <v>1</v>
      </c>
      <c r="AG26" s="17">
        <v>1</v>
      </c>
      <c r="AH26" s="17">
        <v>1</v>
      </c>
      <c r="AI26" s="17">
        <v>1</v>
      </c>
      <c r="AJ26" s="17">
        <v>1</v>
      </c>
      <c r="AK26" s="17">
        <v>1</v>
      </c>
      <c r="AL26" s="17">
        <v>0</v>
      </c>
      <c r="AM26" s="17">
        <v>1</v>
      </c>
      <c r="AN26" s="17">
        <v>1</v>
      </c>
      <c r="AO26" s="17">
        <v>1</v>
      </c>
      <c r="AP26" s="17">
        <v>1</v>
      </c>
      <c r="AQ26" s="17">
        <v>0</v>
      </c>
      <c r="AR26" s="17">
        <v>0</v>
      </c>
      <c r="AS26" s="17">
        <v>1</v>
      </c>
      <c r="AT26" s="17">
        <v>1</v>
      </c>
      <c r="AU26" s="17">
        <v>1</v>
      </c>
      <c r="AV26" s="17">
        <v>0</v>
      </c>
      <c r="AW26" s="17">
        <v>0</v>
      </c>
      <c r="AX26" s="17">
        <v>1</v>
      </c>
      <c r="AY26" s="17">
        <v>0</v>
      </c>
      <c r="AZ26" s="17">
        <v>1</v>
      </c>
      <c r="BA26" s="17">
        <v>0</v>
      </c>
      <c r="BB26" s="17">
        <v>0</v>
      </c>
      <c r="BC26" s="17">
        <v>0</v>
      </c>
      <c r="BD26" s="17">
        <v>1</v>
      </c>
      <c r="BE26" s="17">
        <v>1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1</v>
      </c>
      <c r="BL26" s="17">
        <v>1</v>
      </c>
      <c r="BM26" s="17">
        <v>0</v>
      </c>
      <c r="BN26" s="17">
        <v>0</v>
      </c>
      <c r="BO26" s="17">
        <v>0</v>
      </c>
      <c r="BP26" s="17">
        <v>0</v>
      </c>
      <c r="BQ26" s="17">
        <v>1</v>
      </c>
      <c r="BR26" s="17">
        <v>0</v>
      </c>
      <c r="BS26" s="17" t="e">
        <v>#N/A</v>
      </c>
      <c r="BT26" s="17" t="e">
        <v>#N/A</v>
      </c>
      <c r="BU26" s="17" t="e">
        <v>#N/A</v>
      </c>
      <c r="BV26" s="17" t="e">
        <v>#N/A</v>
      </c>
      <c r="BW26" s="17" t="e">
        <v>#N/A</v>
      </c>
      <c r="BX26" s="17" t="e">
        <v>#N/A</v>
      </c>
      <c r="BY26" s="17" t="e">
        <v>#N/A</v>
      </c>
      <c r="BZ26" s="17" t="e">
        <v>#N/A</v>
      </c>
      <c r="CA26" s="17" t="e">
        <v>#N/A</v>
      </c>
      <c r="CB26" s="17" t="e">
        <v>#N/A</v>
      </c>
      <c r="CC26" s="17" t="e">
        <v>#N/A</v>
      </c>
      <c r="CD26" s="17" t="e">
        <v>#N/A</v>
      </c>
      <c r="CE26" s="17" t="e">
        <v>#N/A</v>
      </c>
      <c r="CF26" s="17" t="e">
        <v>#N/A</v>
      </c>
      <c r="CG26" s="17" t="e">
        <v>#N/A</v>
      </c>
      <c r="CH26" s="17" t="e">
        <v>#N/A</v>
      </c>
      <c r="CI26" s="17" t="e">
        <v>#N/A</v>
      </c>
      <c r="CJ26" s="17" t="e">
        <v>#N/A</v>
      </c>
      <c r="CK26" s="17" t="e">
        <v>#N/A</v>
      </c>
      <c r="CL26" s="17" t="e">
        <v>#N/A</v>
      </c>
      <c r="CM26" s="17" t="e">
        <v>#N/A</v>
      </c>
      <c r="CN26" s="17" t="e">
        <v>#N/A</v>
      </c>
      <c r="CO26" s="17" t="e">
        <v>#N/A</v>
      </c>
      <c r="CP26" s="17" t="e">
        <v>#N/A</v>
      </c>
      <c r="CQ26" s="17" t="e">
        <v>#N/A</v>
      </c>
      <c r="CR26" s="17" t="e">
        <v>#N/A</v>
      </c>
      <c r="CS26" s="17" t="e">
        <v>#N/A</v>
      </c>
      <c r="CT26" s="17" t="e">
        <v>#N/A</v>
      </c>
      <c r="CU26" s="17" t="e">
        <v>#N/A</v>
      </c>
      <c r="CV26" s="17" t="e">
        <v>#N/A</v>
      </c>
      <c r="CW26" s="17" t="e">
        <v>#N/A</v>
      </c>
      <c r="CX26" s="17" t="e">
        <v>#N/A</v>
      </c>
      <c r="CY26" s="17" t="e">
        <v>#N/A</v>
      </c>
      <c r="CZ26" s="17" t="e">
        <v>#N/A</v>
      </c>
      <c r="DA26" s="17" t="e">
        <v>#N/A</v>
      </c>
      <c r="DB26" s="17" t="e">
        <v>#N/A</v>
      </c>
      <c r="DC26" s="17" t="e">
        <v>#N/A</v>
      </c>
      <c r="DD26" s="17" t="e">
        <v>#N/A</v>
      </c>
      <c r="DE26" s="17" t="e">
        <v>#N/A</v>
      </c>
      <c r="DF26" s="17" t="e">
        <v>#N/A</v>
      </c>
      <c r="DG26" s="17" t="e">
        <v>#N/A</v>
      </c>
      <c r="DH26" s="17" t="e">
        <v>#N/A</v>
      </c>
      <c r="DI26" s="17" t="e">
        <v>#N/A</v>
      </c>
      <c r="DJ26" s="17" t="e">
        <v>#N/A</v>
      </c>
      <c r="DK26" s="17" t="e">
        <v>#N/A</v>
      </c>
      <c r="DL26" s="17" t="e">
        <v>#N/A</v>
      </c>
      <c r="DM26" s="17" t="e">
        <v>#N/A</v>
      </c>
      <c r="DN26" s="17" t="e">
        <v>#N/A</v>
      </c>
      <c r="DO26" s="17" t="e">
        <v>#N/A</v>
      </c>
      <c r="DP26" s="17" t="e">
        <v>#N/A</v>
      </c>
      <c r="DQ26" s="17" t="e">
        <v>#N/A</v>
      </c>
      <c r="DR26" s="17" t="e">
        <v>#N/A</v>
      </c>
      <c r="DS26" s="17" t="e">
        <v>#N/A</v>
      </c>
      <c r="DT26" s="17" t="e">
        <v>#N/A</v>
      </c>
      <c r="DU26" s="17" t="e">
        <v>#N/A</v>
      </c>
      <c r="DV26" s="17" t="e">
        <v>#N/A</v>
      </c>
      <c r="DW26" s="17" t="e">
        <v>#N/A</v>
      </c>
      <c r="DX26" s="17" t="e">
        <v>#N/A</v>
      </c>
      <c r="DY26" s="17" t="e">
        <v>#N/A</v>
      </c>
      <c r="DZ26" s="17" t="e">
        <v>#N/A</v>
      </c>
      <c r="EA26" s="17" t="e">
        <v>#N/A</v>
      </c>
      <c r="EB26" s="17" t="e">
        <v>#N/A</v>
      </c>
      <c r="EC26" s="17" t="e">
        <v>#N/A</v>
      </c>
      <c r="ED26" s="17" t="e">
        <v>#N/A</v>
      </c>
      <c r="EE26" s="17" t="e">
        <v>#N/A</v>
      </c>
      <c r="EF26" s="17" t="e">
        <v>#N/A</v>
      </c>
      <c r="EG26" s="17" t="e">
        <v>#N/A</v>
      </c>
      <c r="EH26" s="17" t="e">
        <v>#N/A</v>
      </c>
      <c r="EI26" s="17" t="e">
        <v>#N/A</v>
      </c>
      <c r="EJ26" s="17" t="e">
        <v>#N/A</v>
      </c>
      <c r="EK26" s="17" t="e">
        <v>#N/A</v>
      </c>
      <c r="EL26" s="17" t="e">
        <v>#N/A</v>
      </c>
      <c r="EM26" s="17" t="e">
        <v>#N/A</v>
      </c>
      <c r="EN26" s="17" t="e">
        <v>#N/A</v>
      </c>
      <c r="EO26" s="17" t="e">
        <v>#N/A</v>
      </c>
      <c r="EP26" s="17" t="e">
        <v>#N/A</v>
      </c>
      <c r="EQ26" s="17" t="e">
        <v>#N/A</v>
      </c>
      <c r="ER26" s="17" t="e">
        <v>#N/A</v>
      </c>
      <c r="ES26" s="17" t="e">
        <v>#N/A</v>
      </c>
      <c r="ET26" s="17" t="e">
        <v>#N/A</v>
      </c>
      <c r="EU26" s="17" t="e">
        <v>#N/A</v>
      </c>
      <c r="EV26" s="17" t="e">
        <v>#N/A</v>
      </c>
      <c r="EW26" s="17" t="e">
        <v>#N/A</v>
      </c>
      <c r="EX26" s="17" t="e">
        <v>#N/A</v>
      </c>
      <c r="EY26" s="17" t="e">
        <v>#N/A</v>
      </c>
      <c r="EZ26" s="17" t="e">
        <v>#N/A</v>
      </c>
      <c r="FA26" s="17" t="e">
        <v>#N/A</v>
      </c>
      <c r="FB26" s="17" t="e">
        <v>#N/A</v>
      </c>
      <c r="FC26" s="17" t="e">
        <v>#N/A</v>
      </c>
      <c r="FD26" s="17" t="e">
        <v>#N/A</v>
      </c>
      <c r="FE26" s="17" t="e">
        <v>#N/A</v>
      </c>
      <c r="FF26" s="17" t="e">
        <v>#N/A</v>
      </c>
      <c r="FG26" s="17" t="e">
        <v>#N/A</v>
      </c>
      <c r="FH26" s="17" t="e">
        <v>#N/A</v>
      </c>
      <c r="FI26" s="17" t="e">
        <v>#N/A</v>
      </c>
      <c r="FJ26" s="17" t="e">
        <v>#N/A</v>
      </c>
      <c r="FK26" s="17" t="e">
        <v>#N/A</v>
      </c>
      <c r="FL26" s="17" t="e">
        <v>#N/A</v>
      </c>
      <c r="FM26" s="17" t="e">
        <v>#N/A</v>
      </c>
      <c r="FN26" s="17" t="e">
        <v>#N/A</v>
      </c>
      <c r="FO26" s="17" t="e">
        <v>#N/A</v>
      </c>
      <c r="FP26" s="17" t="e">
        <v>#N/A</v>
      </c>
      <c r="FQ26" s="17" t="e">
        <v>#N/A</v>
      </c>
      <c r="FR26" s="17" t="e">
        <v>#N/A</v>
      </c>
      <c r="FS26" s="17" t="e">
        <v>#N/A</v>
      </c>
      <c r="FT26" s="17" t="e">
        <v>#N/A</v>
      </c>
      <c r="FU26" s="17" t="e">
        <v>#N/A</v>
      </c>
      <c r="FV26" s="17" t="e">
        <v>#N/A</v>
      </c>
    </row>
    <row r="27" spans="2:178" ht="11.25" customHeight="1">
      <c r="B27" s="17">
        <v>0</v>
      </c>
      <c r="C27" s="17">
        <v>1</v>
      </c>
      <c r="D27" s="17">
        <v>0</v>
      </c>
      <c r="E27" s="17">
        <v>1</v>
      </c>
      <c r="F27" s="17">
        <v>0</v>
      </c>
      <c r="G27" s="17">
        <v>0</v>
      </c>
      <c r="H27" s="17">
        <v>0</v>
      </c>
      <c r="I27" s="17">
        <v>1</v>
      </c>
      <c r="J27" s="17">
        <v>0</v>
      </c>
      <c r="K27" s="17">
        <v>0</v>
      </c>
      <c r="L27" s="17">
        <v>0</v>
      </c>
      <c r="M27" s="17">
        <v>0</v>
      </c>
      <c r="N27" s="17">
        <v>1</v>
      </c>
      <c r="O27" s="17">
        <v>1</v>
      </c>
      <c r="P27" s="17">
        <v>1</v>
      </c>
      <c r="Q27" s="17">
        <v>0</v>
      </c>
      <c r="R27" s="17">
        <v>0</v>
      </c>
      <c r="S27" s="17">
        <v>1</v>
      </c>
      <c r="T27" s="17">
        <v>1</v>
      </c>
      <c r="U27" s="17">
        <v>1</v>
      </c>
      <c r="V27" s="17">
        <v>1</v>
      </c>
      <c r="W27" s="17">
        <v>1</v>
      </c>
      <c r="X27" s="17">
        <v>1</v>
      </c>
      <c r="Y27" s="17">
        <v>1</v>
      </c>
      <c r="Z27" s="17">
        <v>1</v>
      </c>
      <c r="AA27" s="17">
        <v>0</v>
      </c>
      <c r="AB27" s="17">
        <v>0</v>
      </c>
      <c r="AC27" s="17">
        <v>1</v>
      </c>
      <c r="AD27" s="17">
        <v>0</v>
      </c>
      <c r="AE27" s="17">
        <v>1</v>
      </c>
      <c r="AF27" s="17">
        <v>0</v>
      </c>
      <c r="AG27" s="17">
        <v>0</v>
      </c>
      <c r="AH27" s="17">
        <v>1</v>
      </c>
      <c r="AI27" s="17">
        <v>1</v>
      </c>
      <c r="AJ27" s="17">
        <v>1</v>
      </c>
      <c r="AK27" s="17">
        <v>1</v>
      </c>
      <c r="AL27" s="17">
        <v>1</v>
      </c>
      <c r="AM27" s="17">
        <v>1</v>
      </c>
      <c r="AN27" s="17">
        <v>0</v>
      </c>
      <c r="AO27" s="17">
        <v>1</v>
      </c>
      <c r="AP27" s="17">
        <v>1</v>
      </c>
      <c r="AQ27" s="17">
        <v>1</v>
      </c>
      <c r="AR27" s="17">
        <v>1</v>
      </c>
      <c r="AS27" s="17">
        <v>1</v>
      </c>
      <c r="AT27" s="17">
        <v>0</v>
      </c>
      <c r="AU27" s="17">
        <v>0</v>
      </c>
      <c r="AV27" s="17">
        <v>1</v>
      </c>
      <c r="AW27" s="17">
        <v>1</v>
      </c>
      <c r="AX27" s="17">
        <v>1</v>
      </c>
      <c r="AY27" s="17">
        <v>1</v>
      </c>
      <c r="AZ27" s="17">
        <v>1</v>
      </c>
      <c r="BA27" s="17">
        <v>0</v>
      </c>
      <c r="BB27" s="17">
        <v>1</v>
      </c>
      <c r="BC27" s="17">
        <v>0</v>
      </c>
      <c r="BD27" s="17">
        <v>0</v>
      </c>
      <c r="BE27" s="17">
        <v>0</v>
      </c>
      <c r="BF27" s="17">
        <v>1</v>
      </c>
      <c r="BG27" s="17">
        <v>0</v>
      </c>
      <c r="BH27" s="17">
        <v>0</v>
      </c>
      <c r="BI27" s="17">
        <v>1</v>
      </c>
      <c r="BJ27" s="17">
        <v>1</v>
      </c>
      <c r="BK27" s="17">
        <v>0</v>
      </c>
      <c r="BL27" s="17">
        <v>1</v>
      </c>
      <c r="BM27" s="17">
        <v>1</v>
      </c>
      <c r="BN27" s="17">
        <v>0</v>
      </c>
      <c r="BO27" s="17">
        <v>0</v>
      </c>
      <c r="BP27" s="17">
        <v>0</v>
      </c>
      <c r="BQ27" s="17">
        <v>0</v>
      </c>
      <c r="BR27" s="17">
        <v>1</v>
      </c>
      <c r="BS27" s="17" t="e">
        <v>#N/A</v>
      </c>
      <c r="BT27" s="17" t="e">
        <v>#N/A</v>
      </c>
      <c r="BU27" s="17" t="e">
        <v>#N/A</v>
      </c>
      <c r="BV27" s="17" t="e">
        <v>#N/A</v>
      </c>
      <c r="BW27" s="17" t="e">
        <v>#N/A</v>
      </c>
      <c r="BX27" s="17" t="e">
        <v>#N/A</v>
      </c>
      <c r="BY27" s="17" t="e">
        <v>#N/A</v>
      </c>
      <c r="BZ27" s="17" t="e">
        <v>#N/A</v>
      </c>
      <c r="CA27" s="17" t="e">
        <v>#N/A</v>
      </c>
      <c r="CB27" s="17" t="e">
        <v>#N/A</v>
      </c>
      <c r="CC27" s="17" t="e">
        <v>#N/A</v>
      </c>
      <c r="CD27" s="17" t="e">
        <v>#N/A</v>
      </c>
      <c r="CE27" s="17" t="e">
        <v>#N/A</v>
      </c>
      <c r="CF27" s="17" t="e">
        <v>#N/A</v>
      </c>
      <c r="CG27" s="17" t="e">
        <v>#N/A</v>
      </c>
      <c r="CH27" s="17" t="e">
        <v>#N/A</v>
      </c>
      <c r="CI27" s="17" t="e">
        <v>#N/A</v>
      </c>
      <c r="CJ27" s="17" t="e">
        <v>#N/A</v>
      </c>
      <c r="CK27" s="17" t="e">
        <v>#N/A</v>
      </c>
      <c r="CL27" s="17" t="e">
        <v>#N/A</v>
      </c>
      <c r="CM27" s="17" t="e">
        <v>#N/A</v>
      </c>
      <c r="CN27" s="17" t="e">
        <v>#N/A</v>
      </c>
      <c r="CO27" s="17" t="e">
        <v>#N/A</v>
      </c>
      <c r="CP27" s="17" t="e">
        <v>#N/A</v>
      </c>
      <c r="CQ27" s="17" t="e">
        <v>#N/A</v>
      </c>
      <c r="CR27" s="17" t="e">
        <v>#N/A</v>
      </c>
      <c r="CS27" s="17" t="e">
        <v>#N/A</v>
      </c>
      <c r="CT27" s="17" t="e">
        <v>#N/A</v>
      </c>
      <c r="CU27" s="17" t="e">
        <v>#N/A</v>
      </c>
      <c r="CV27" s="17" t="e">
        <v>#N/A</v>
      </c>
      <c r="CW27" s="17" t="e">
        <v>#N/A</v>
      </c>
      <c r="CX27" s="17" t="e">
        <v>#N/A</v>
      </c>
      <c r="CY27" s="17" t="e">
        <v>#N/A</v>
      </c>
      <c r="CZ27" s="17" t="e">
        <v>#N/A</v>
      </c>
      <c r="DA27" s="17" t="e">
        <v>#N/A</v>
      </c>
      <c r="DB27" s="17" t="e">
        <v>#N/A</v>
      </c>
      <c r="DC27" s="17" t="e">
        <v>#N/A</v>
      </c>
      <c r="DD27" s="17" t="e">
        <v>#N/A</v>
      </c>
      <c r="DE27" s="17" t="e">
        <v>#N/A</v>
      </c>
      <c r="DF27" s="17" t="e">
        <v>#N/A</v>
      </c>
      <c r="DG27" s="17" t="e">
        <v>#N/A</v>
      </c>
      <c r="DH27" s="17" t="e">
        <v>#N/A</v>
      </c>
      <c r="DI27" s="17" t="e">
        <v>#N/A</v>
      </c>
      <c r="DJ27" s="17" t="e">
        <v>#N/A</v>
      </c>
      <c r="DK27" s="17" t="e">
        <v>#N/A</v>
      </c>
      <c r="DL27" s="17" t="e">
        <v>#N/A</v>
      </c>
      <c r="DM27" s="17" t="e">
        <v>#N/A</v>
      </c>
      <c r="DN27" s="17" t="e">
        <v>#N/A</v>
      </c>
      <c r="DO27" s="17" t="e">
        <v>#N/A</v>
      </c>
      <c r="DP27" s="17" t="e">
        <v>#N/A</v>
      </c>
      <c r="DQ27" s="17" t="e">
        <v>#N/A</v>
      </c>
      <c r="DR27" s="17" t="e">
        <v>#N/A</v>
      </c>
      <c r="DS27" s="17" t="e">
        <v>#N/A</v>
      </c>
      <c r="DT27" s="17" t="e">
        <v>#N/A</v>
      </c>
      <c r="DU27" s="17" t="e">
        <v>#N/A</v>
      </c>
      <c r="DV27" s="17" t="e">
        <v>#N/A</v>
      </c>
      <c r="DW27" s="17" t="e">
        <v>#N/A</v>
      </c>
      <c r="DX27" s="17" t="e">
        <v>#N/A</v>
      </c>
      <c r="DY27" s="17" t="e">
        <v>#N/A</v>
      </c>
      <c r="DZ27" s="17" t="e">
        <v>#N/A</v>
      </c>
      <c r="EA27" s="17" t="e">
        <v>#N/A</v>
      </c>
      <c r="EB27" s="17" t="e">
        <v>#N/A</v>
      </c>
      <c r="EC27" s="17" t="e">
        <v>#N/A</v>
      </c>
      <c r="ED27" s="17" t="e">
        <v>#N/A</v>
      </c>
      <c r="EE27" s="17" t="e">
        <v>#N/A</v>
      </c>
      <c r="EF27" s="17" t="e">
        <v>#N/A</v>
      </c>
      <c r="EG27" s="17" t="e">
        <v>#N/A</v>
      </c>
      <c r="EH27" s="17" t="e">
        <v>#N/A</v>
      </c>
      <c r="EI27" s="17" t="e">
        <v>#N/A</v>
      </c>
      <c r="EJ27" s="17" t="e">
        <v>#N/A</v>
      </c>
      <c r="EK27" s="17" t="e">
        <v>#N/A</v>
      </c>
      <c r="EL27" s="17" t="e">
        <v>#N/A</v>
      </c>
      <c r="EM27" s="17" t="e">
        <v>#N/A</v>
      </c>
      <c r="EN27" s="17" t="e">
        <v>#N/A</v>
      </c>
      <c r="EO27" s="17" t="e">
        <v>#N/A</v>
      </c>
      <c r="EP27" s="17" t="e">
        <v>#N/A</v>
      </c>
      <c r="EQ27" s="17" t="e">
        <v>#N/A</v>
      </c>
      <c r="ER27" s="17" t="e">
        <v>#N/A</v>
      </c>
      <c r="ES27" s="17" t="e">
        <v>#N/A</v>
      </c>
      <c r="ET27" s="17" t="e">
        <v>#N/A</v>
      </c>
      <c r="EU27" s="17" t="e">
        <v>#N/A</v>
      </c>
      <c r="EV27" s="17" t="e">
        <v>#N/A</v>
      </c>
      <c r="EW27" s="17" t="e">
        <v>#N/A</v>
      </c>
      <c r="EX27" s="17" t="e">
        <v>#N/A</v>
      </c>
      <c r="EY27" s="17" t="e">
        <v>#N/A</v>
      </c>
      <c r="EZ27" s="17" t="e">
        <v>#N/A</v>
      </c>
      <c r="FA27" s="17" t="e">
        <v>#N/A</v>
      </c>
      <c r="FB27" s="17" t="e">
        <v>#N/A</v>
      </c>
      <c r="FC27" s="17" t="e">
        <v>#N/A</v>
      </c>
      <c r="FD27" s="17" t="e">
        <v>#N/A</v>
      </c>
      <c r="FE27" s="17" t="e">
        <v>#N/A</v>
      </c>
      <c r="FF27" s="17" t="e">
        <v>#N/A</v>
      </c>
      <c r="FG27" s="17" t="e">
        <v>#N/A</v>
      </c>
      <c r="FH27" s="17" t="e">
        <v>#N/A</v>
      </c>
      <c r="FI27" s="17" t="e">
        <v>#N/A</v>
      </c>
      <c r="FJ27" s="17" t="e">
        <v>#N/A</v>
      </c>
      <c r="FK27" s="17" t="e">
        <v>#N/A</v>
      </c>
      <c r="FL27" s="17" t="e">
        <v>#N/A</v>
      </c>
      <c r="FM27" s="17" t="e">
        <v>#N/A</v>
      </c>
      <c r="FN27" s="17" t="e">
        <v>#N/A</v>
      </c>
      <c r="FO27" s="17" t="e">
        <v>#N/A</v>
      </c>
      <c r="FP27" s="17" t="e">
        <v>#N/A</v>
      </c>
      <c r="FQ27" s="17" t="e">
        <v>#N/A</v>
      </c>
      <c r="FR27" s="17" t="e">
        <v>#N/A</v>
      </c>
      <c r="FS27" s="17" t="e">
        <v>#N/A</v>
      </c>
      <c r="FT27" s="17" t="e">
        <v>#N/A</v>
      </c>
      <c r="FU27" s="17" t="e">
        <v>#N/A</v>
      </c>
      <c r="FV27" s="17" t="e">
        <v>#N/A</v>
      </c>
    </row>
    <row r="28" spans="2:178" ht="11.25" customHeight="1">
      <c r="B28" s="17">
        <v>0</v>
      </c>
      <c r="C28" s="17">
        <v>1</v>
      </c>
      <c r="D28" s="17">
        <v>0</v>
      </c>
      <c r="E28" s="17">
        <v>0</v>
      </c>
      <c r="F28" s="17">
        <v>0</v>
      </c>
      <c r="G28" s="17">
        <v>0</v>
      </c>
      <c r="H28" s="17">
        <v>1</v>
      </c>
      <c r="I28" s="17">
        <v>1</v>
      </c>
      <c r="J28" s="17">
        <v>0</v>
      </c>
      <c r="K28" s="17">
        <v>1</v>
      </c>
      <c r="L28" s="17">
        <v>1</v>
      </c>
      <c r="M28" s="17">
        <v>1</v>
      </c>
      <c r="N28" s="17">
        <v>0</v>
      </c>
      <c r="O28" s="17">
        <v>0</v>
      </c>
      <c r="P28" s="17">
        <v>0</v>
      </c>
      <c r="Q28" s="17">
        <v>0</v>
      </c>
      <c r="R28" s="17">
        <v>0</v>
      </c>
      <c r="S28" s="17">
        <v>1</v>
      </c>
      <c r="T28" s="17">
        <v>0</v>
      </c>
      <c r="U28" s="17">
        <v>0</v>
      </c>
      <c r="V28" s="17">
        <v>1</v>
      </c>
      <c r="W28" s="17">
        <v>0</v>
      </c>
      <c r="X28" s="17">
        <v>0</v>
      </c>
      <c r="Y28" s="17">
        <v>0</v>
      </c>
      <c r="Z28" s="17">
        <v>0</v>
      </c>
      <c r="AA28" s="17">
        <v>0</v>
      </c>
      <c r="AB28" s="17">
        <v>0</v>
      </c>
      <c r="AC28" s="17">
        <v>1</v>
      </c>
      <c r="AD28" s="17">
        <v>1</v>
      </c>
      <c r="AE28" s="17">
        <v>0</v>
      </c>
      <c r="AF28" s="17">
        <v>1</v>
      </c>
      <c r="AG28" s="17">
        <v>0</v>
      </c>
      <c r="AH28" s="17">
        <v>0</v>
      </c>
      <c r="AI28" s="17">
        <v>1</v>
      </c>
      <c r="AJ28" s="17">
        <v>1</v>
      </c>
      <c r="AK28" s="17">
        <v>1</v>
      </c>
      <c r="AL28" s="17">
        <v>0</v>
      </c>
      <c r="AM28" s="17">
        <v>0</v>
      </c>
      <c r="AN28" s="17">
        <v>1</v>
      </c>
      <c r="AO28" s="17">
        <v>0</v>
      </c>
      <c r="AP28" s="17">
        <v>0</v>
      </c>
      <c r="AQ28" s="17">
        <v>0</v>
      </c>
      <c r="AR28" s="17">
        <v>0</v>
      </c>
      <c r="AS28" s="17">
        <v>0</v>
      </c>
      <c r="AT28" s="17">
        <v>0</v>
      </c>
      <c r="AU28" s="17">
        <v>1</v>
      </c>
      <c r="AV28" s="17">
        <v>0</v>
      </c>
      <c r="AW28" s="17">
        <v>1</v>
      </c>
      <c r="AX28" s="17">
        <v>0</v>
      </c>
      <c r="AY28" s="17">
        <v>1</v>
      </c>
      <c r="AZ28" s="17">
        <v>0</v>
      </c>
      <c r="BA28" s="17">
        <v>1</v>
      </c>
      <c r="BB28" s="17">
        <v>1</v>
      </c>
      <c r="BC28" s="17">
        <v>0</v>
      </c>
      <c r="BD28" s="17">
        <v>0</v>
      </c>
      <c r="BE28" s="17">
        <v>0</v>
      </c>
      <c r="BF28" s="17">
        <v>1</v>
      </c>
      <c r="BG28" s="17">
        <v>0</v>
      </c>
      <c r="BH28" s="17">
        <v>1</v>
      </c>
      <c r="BI28" s="17">
        <v>0</v>
      </c>
      <c r="BJ28" s="17">
        <v>0</v>
      </c>
      <c r="BK28" s="17">
        <v>1</v>
      </c>
      <c r="BL28" s="17">
        <v>1</v>
      </c>
      <c r="BM28" s="17">
        <v>0</v>
      </c>
      <c r="BN28" s="17">
        <v>0</v>
      </c>
      <c r="BO28" s="17">
        <v>1</v>
      </c>
      <c r="BP28" s="17">
        <v>0</v>
      </c>
      <c r="BQ28" s="17">
        <v>1</v>
      </c>
      <c r="BR28" s="17">
        <v>1</v>
      </c>
      <c r="BS28" s="17" t="e">
        <v>#N/A</v>
      </c>
      <c r="BT28" s="17" t="e">
        <v>#N/A</v>
      </c>
      <c r="BU28" s="17" t="e">
        <v>#N/A</v>
      </c>
      <c r="BV28" s="17" t="e">
        <v>#N/A</v>
      </c>
      <c r="BW28" s="17" t="e">
        <v>#N/A</v>
      </c>
      <c r="BX28" s="17" t="e">
        <v>#N/A</v>
      </c>
      <c r="BY28" s="17" t="e">
        <v>#N/A</v>
      </c>
      <c r="BZ28" s="17" t="e">
        <v>#N/A</v>
      </c>
      <c r="CA28" s="17" t="e">
        <v>#N/A</v>
      </c>
      <c r="CB28" s="17" t="e">
        <v>#N/A</v>
      </c>
      <c r="CC28" s="17" t="e">
        <v>#N/A</v>
      </c>
      <c r="CD28" s="17" t="e">
        <v>#N/A</v>
      </c>
      <c r="CE28" s="17" t="e">
        <v>#N/A</v>
      </c>
      <c r="CF28" s="17" t="e">
        <v>#N/A</v>
      </c>
      <c r="CG28" s="17" t="e">
        <v>#N/A</v>
      </c>
      <c r="CH28" s="17" t="e">
        <v>#N/A</v>
      </c>
      <c r="CI28" s="17" t="e">
        <v>#N/A</v>
      </c>
      <c r="CJ28" s="17" t="e">
        <v>#N/A</v>
      </c>
      <c r="CK28" s="17" t="e">
        <v>#N/A</v>
      </c>
      <c r="CL28" s="17" t="e">
        <v>#N/A</v>
      </c>
      <c r="CM28" s="17" t="e">
        <v>#N/A</v>
      </c>
      <c r="CN28" s="17" t="e">
        <v>#N/A</v>
      </c>
      <c r="CO28" s="17" t="e">
        <v>#N/A</v>
      </c>
      <c r="CP28" s="17" t="e">
        <v>#N/A</v>
      </c>
      <c r="CQ28" s="17" t="e">
        <v>#N/A</v>
      </c>
      <c r="CR28" s="17" t="e">
        <v>#N/A</v>
      </c>
      <c r="CS28" s="17" t="e">
        <v>#N/A</v>
      </c>
      <c r="CT28" s="17" t="e">
        <v>#N/A</v>
      </c>
      <c r="CU28" s="17" t="e">
        <v>#N/A</v>
      </c>
      <c r="CV28" s="17" t="e">
        <v>#N/A</v>
      </c>
      <c r="CW28" s="17" t="e">
        <v>#N/A</v>
      </c>
      <c r="CX28" s="17" t="e">
        <v>#N/A</v>
      </c>
      <c r="CY28" s="17" t="e">
        <v>#N/A</v>
      </c>
      <c r="CZ28" s="17" t="e">
        <v>#N/A</v>
      </c>
      <c r="DA28" s="17" t="e">
        <v>#N/A</v>
      </c>
      <c r="DB28" s="17" t="e">
        <v>#N/A</v>
      </c>
      <c r="DC28" s="17" t="e">
        <v>#N/A</v>
      </c>
      <c r="DD28" s="17" t="e">
        <v>#N/A</v>
      </c>
      <c r="DE28" s="17" t="e">
        <v>#N/A</v>
      </c>
      <c r="DF28" s="17" t="e">
        <v>#N/A</v>
      </c>
      <c r="DG28" s="17" t="e">
        <v>#N/A</v>
      </c>
      <c r="DH28" s="17" t="e">
        <v>#N/A</v>
      </c>
      <c r="DI28" s="17" t="e">
        <v>#N/A</v>
      </c>
      <c r="DJ28" s="17" t="e">
        <v>#N/A</v>
      </c>
      <c r="DK28" s="17" t="e">
        <v>#N/A</v>
      </c>
      <c r="DL28" s="17" t="e">
        <v>#N/A</v>
      </c>
      <c r="DM28" s="17" t="e">
        <v>#N/A</v>
      </c>
      <c r="DN28" s="17" t="e">
        <v>#N/A</v>
      </c>
      <c r="DO28" s="17" t="e">
        <v>#N/A</v>
      </c>
      <c r="DP28" s="17" t="e">
        <v>#N/A</v>
      </c>
      <c r="DQ28" s="17" t="e">
        <v>#N/A</v>
      </c>
      <c r="DR28" s="17" t="e">
        <v>#N/A</v>
      </c>
      <c r="DS28" s="17" t="e">
        <v>#N/A</v>
      </c>
      <c r="DT28" s="17" t="e">
        <v>#N/A</v>
      </c>
      <c r="DU28" s="17" t="e">
        <v>#N/A</v>
      </c>
      <c r="DV28" s="17" t="e">
        <v>#N/A</v>
      </c>
      <c r="DW28" s="17" t="e">
        <v>#N/A</v>
      </c>
      <c r="DX28" s="17" t="e">
        <v>#N/A</v>
      </c>
      <c r="DY28" s="17" t="e">
        <v>#N/A</v>
      </c>
      <c r="DZ28" s="17" t="e">
        <v>#N/A</v>
      </c>
      <c r="EA28" s="17" t="e">
        <v>#N/A</v>
      </c>
      <c r="EB28" s="17" t="e">
        <v>#N/A</v>
      </c>
      <c r="EC28" s="17" t="e">
        <v>#N/A</v>
      </c>
      <c r="ED28" s="17" t="e">
        <v>#N/A</v>
      </c>
      <c r="EE28" s="17" t="e">
        <v>#N/A</v>
      </c>
      <c r="EF28" s="17" t="e">
        <v>#N/A</v>
      </c>
      <c r="EG28" s="17" t="e">
        <v>#N/A</v>
      </c>
      <c r="EH28" s="17" t="e">
        <v>#N/A</v>
      </c>
      <c r="EI28" s="17" t="e">
        <v>#N/A</v>
      </c>
      <c r="EJ28" s="17" t="e">
        <v>#N/A</v>
      </c>
      <c r="EK28" s="17" t="e">
        <v>#N/A</v>
      </c>
      <c r="EL28" s="17" t="e">
        <v>#N/A</v>
      </c>
      <c r="EM28" s="17" t="e">
        <v>#N/A</v>
      </c>
      <c r="EN28" s="17" t="e">
        <v>#N/A</v>
      </c>
      <c r="EO28" s="17" t="e">
        <v>#N/A</v>
      </c>
      <c r="EP28" s="17" t="e">
        <v>#N/A</v>
      </c>
      <c r="EQ28" s="17" t="e">
        <v>#N/A</v>
      </c>
      <c r="ER28" s="17" t="e">
        <v>#N/A</v>
      </c>
      <c r="ES28" s="17" t="e">
        <v>#N/A</v>
      </c>
      <c r="ET28" s="17" t="e">
        <v>#N/A</v>
      </c>
      <c r="EU28" s="17" t="e">
        <v>#N/A</v>
      </c>
      <c r="EV28" s="17" t="e">
        <v>#N/A</v>
      </c>
      <c r="EW28" s="17" t="e">
        <v>#N/A</v>
      </c>
      <c r="EX28" s="17" t="e">
        <v>#N/A</v>
      </c>
      <c r="EY28" s="17" t="e">
        <v>#N/A</v>
      </c>
      <c r="EZ28" s="17" t="e">
        <v>#N/A</v>
      </c>
      <c r="FA28" s="17" t="e">
        <v>#N/A</v>
      </c>
      <c r="FB28" s="17" t="e">
        <v>#N/A</v>
      </c>
      <c r="FC28" s="17" t="e">
        <v>#N/A</v>
      </c>
      <c r="FD28" s="17" t="e">
        <v>#N/A</v>
      </c>
      <c r="FE28" s="17" t="e">
        <v>#N/A</v>
      </c>
      <c r="FF28" s="17" t="e">
        <v>#N/A</v>
      </c>
      <c r="FG28" s="17" t="e">
        <v>#N/A</v>
      </c>
      <c r="FH28" s="17" t="e">
        <v>#N/A</v>
      </c>
      <c r="FI28" s="17" t="e">
        <v>#N/A</v>
      </c>
      <c r="FJ28" s="17" t="e">
        <v>#N/A</v>
      </c>
      <c r="FK28" s="17" t="e">
        <v>#N/A</v>
      </c>
      <c r="FL28" s="17" t="e">
        <v>#N/A</v>
      </c>
      <c r="FM28" s="17" t="e">
        <v>#N/A</v>
      </c>
      <c r="FN28" s="17" t="e">
        <v>#N/A</v>
      </c>
      <c r="FO28" s="17" t="e">
        <v>#N/A</v>
      </c>
      <c r="FP28" s="17" t="e">
        <v>#N/A</v>
      </c>
      <c r="FQ28" s="17" t="e">
        <v>#N/A</v>
      </c>
      <c r="FR28" s="17" t="e">
        <v>#N/A</v>
      </c>
      <c r="FS28" s="17" t="e">
        <v>#N/A</v>
      </c>
      <c r="FT28" s="17" t="e">
        <v>#N/A</v>
      </c>
      <c r="FU28" s="17" t="e">
        <v>#N/A</v>
      </c>
      <c r="FV28" s="17" t="e">
        <v>#N/A</v>
      </c>
    </row>
    <row r="29" spans="2:178" ht="11.25" customHeight="1">
      <c r="B29" s="17">
        <v>0</v>
      </c>
      <c r="C29" s="17">
        <v>1</v>
      </c>
      <c r="D29" s="17">
        <v>0</v>
      </c>
      <c r="E29" s="17">
        <v>1</v>
      </c>
      <c r="F29" s="17">
        <v>1</v>
      </c>
      <c r="G29" s="17">
        <v>0</v>
      </c>
      <c r="H29" s="17">
        <v>0</v>
      </c>
      <c r="I29" s="17">
        <v>1</v>
      </c>
      <c r="J29" s="17">
        <v>1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17">
        <v>1</v>
      </c>
      <c r="V29" s="17">
        <v>1</v>
      </c>
      <c r="W29" s="17">
        <v>0</v>
      </c>
      <c r="X29" s="17">
        <v>1</v>
      </c>
      <c r="Y29" s="17">
        <v>1</v>
      </c>
      <c r="Z29" s="17">
        <v>0</v>
      </c>
      <c r="AA29" s="17">
        <v>0</v>
      </c>
      <c r="AB29" s="17">
        <v>0</v>
      </c>
      <c r="AC29" s="17">
        <v>0</v>
      </c>
      <c r="AD29" s="17">
        <v>1</v>
      </c>
      <c r="AE29" s="17">
        <v>1</v>
      </c>
      <c r="AF29" s="17">
        <v>0</v>
      </c>
      <c r="AG29" s="17">
        <v>1</v>
      </c>
      <c r="AH29" s="17">
        <v>0</v>
      </c>
      <c r="AI29" s="17">
        <v>0</v>
      </c>
      <c r="AJ29" s="17">
        <v>1</v>
      </c>
      <c r="AK29" s="17">
        <v>0</v>
      </c>
      <c r="AL29" s="17">
        <v>1</v>
      </c>
      <c r="AM29" s="17">
        <v>1</v>
      </c>
      <c r="AN29" s="17">
        <v>1</v>
      </c>
      <c r="AO29" s="17">
        <v>1</v>
      </c>
      <c r="AP29" s="17">
        <v>1</v>
      </c>
      <c r="AQ29" s="17">
        <v>1</v>
      </c>
      <c r="AR29" s="17">
        <v>0</v>
      </c>
      <c r="AS29" s="17">
        <v>1</v>
      </c>
      <c r="AT29" s="17">
        <v>0</v>
      </c>
      <c r="AU29" s="17">
        <v>0</v>
      </c>
      <c r="AV29" s="17">
        <v>1</v>
      </c>
      <c r="AW29" s="17">
        <v>0</v>
      </c>
      <c r="AX29" s="17">
        <v>0</v>
      </c>
      <c r="AY29" s="17">
        <v>0</v>
      </c>
      <c r="AZ29" s="17">
        <v>0</v>
      </c>
      <c r="BA29" s="17">
        <v>0</v>
      </c>
      <c r="BB29" s="17">
        <v>1</v>
      </c>
      <c r="BC29" s="17">
        <v>1</v>
      </c>
      <c r="BD29" s="17">
        <v>1</v>
      </c>
      <c r="BE29" s="17">
        <v>1</v>
      </c>
      <c r="BF29" s="17">
        <v>1</v>
      </c>
      <c r="BG29" s="17">
        <v>0</v>
      </c>
      <c r="BH29" s="17">
        <v>1</v>
      </c>
      <c r="BI29" s="17">
        <v>0</v>
      </c>
      <c r="BJ29" s="17">
        <v>1</v>
      </c>
      <c r="BK29" s="17">
        <v>1</v>
      </c>
      <c r="BL29" s="17">
        <v>0</v>
      </c>
      <c r="BM29" s="17">
        <v>1</v>
      </c>
      <c r="BN29" s="17">
        <v>1</v>
      </c>
      <c r="BO29" s="17">
        <v>0</v>
      </c>
      <c r="BP29" s="17">
        <v>0</v>
      </c>
      <c r="BQ29" s="17">
        <v>1</v>
      </c>
      <c r="BR29" s="17">
        <v>0</v>
      </c>
      <c r="BS29" s="17" t="e">
        <v>#N/A</v>
      </c>
      <c r="BT29" s="17" t="e">
        <v>#N/A</v>
      </c>
      <c r="BU29" s="17" t="e">
        <v>#N/A</v>
      </c>
      <c r="BV29" s="17" t="e">
        <v>#N/A</v>
      </c>
      <c r="BW29" s="17" t="e">
        <v>#N/A</v>
      </c>
      <c r="BX29" s="17" t="e">
        <v>#N/A</v>
      </c>
      <c r="BY29" s="17" t="e">
        <v>#N/A</v>
      </c>
      <c r="BZ29" s="17" t="e">
        <v>#N/A</v>
      </c>
      <c r="CA29" s="17" t="e">
        <v>#N/A</v>
      </c>
      <c r="CB29" s="17" t="e">
        <v>#N/A</v>
      </c>
      <c r="CC29" s="17" t="e">
        <v>#N/A</v>
      </c>
      <c r="CD29" s="17" t="e">
        <v>#N/A</v>
      </c>
      <c r="CE29" s="17" t="e">
        <v>#N/A</v>
      </c>
      <c r="CF29" s="17" t="e">
        <v>#N/A</v>
      </c>
      <c r="CG29" s="17" t="e">
        <v>#N/A</v>
      </c>
      <c r="CH29" s="17" t="e">
        <v>#N/A</v>
      </c>
      <c r="CI29" s="17" t="e">
        <v>#N/A</v>
      </c>
      <c r="CJ29" s="17" t="e">
        <v>#N/A</v>
      </c>
      <c r="CK29" s="17" t="e">
        <v>#N/A</v>
      </c>
      <c r="CL29" s="17" t="e">
        <v>#N/A</v>
      </c>
      <c r="CM29" s="17" t="e">
        <v>#N/A</v>
      </c>
      <c r="CN29" s="17" t="e">
        <v>#N/A</v>
      </c>
      <c r="CO29" s="17" t="e">
        <v>#N/A</v>
      </c>
      <c r="CP29" s="17" t="e">
        <v>#N/A</v>
      </c>
      <c r="CQ29" s="17" t="e">
        <v>#N/A</v>
      </c>
      <c r="CR29" s="17" t="e">
        <v>#N/A</v>
      </c>
      <c r="CS29" s="17" t="e">
        <v>#N/A</v>
      </c>
      <c r="CT29" s="17" t="e">
        <v>#N/A</v>
      </c>
      <c r="CU29" s="17" t="e">
        <v>#N/A</v>
      </c>
      <c r="CV29" s="17" t="e">
        <v>#N/A</v>
      </c>
      <c r="CW29" s="17" t="e">
        <v>#N/A</v>
      </c>
      <c r="CX29" s="17" t="e">
        <v>#N/A</v>
      </c>
      <c r="CY29" s="17" t="e">
        <v>#N/A</v>
      </c>
      <c r="CZ29" s="17" t="e">
        <v>#N/A</v>
      </c>
      <c r="DA29" s="17" t="e">
        <v>#N/A</v>
      </c>
      <c r="DB29" s="17" t="e">
        <v>#N/A</v>
      </c>
      <c r="DC29" s="17" t="e">
        <v>#N/A</v>
      </c>
      <c r="DD29" s="17" t="e">
        <v>#N/A</v>
      </c>
      <c r="DE29" s="17" t="e">
        <v>#N/A</v>
      </c>
      <c r="DF29" s="17" t="e">
        <v>#N/A</v>
      </c>
      <c r="DG29" s="17" t="e">
        <v>#N/A</v>
      </c>
      <c r="DH29" s="17" t="e">
        <v>#N/A</v>
      </c>
      <c r="DI29" s="17" t="e">
        <v>#N/A</v>
      </c>
      <c r="DJ29" s="17" t="e">
        <v>#N/A</v>
      </c>
      <c r="DK29" s="17" t="e">
        <v>#N/A</v>
      </c>
      <c r="DL29" s="17" t="e">
        <v>#N/A</v>
      </c>
      <c r="DM29" s="17" t="e">
        <v>#N/A</v>
      </c>
      <c r="DN29" s="17" t="e">
        <v>#N/A</v>
      </c>
      <c r="DO29" s="17" t="e">
        <v>#N/A</v>
      </c>
      <c r="DP29" s="17" t="e">
        <v>#N/A</v>
      </c>
      <c r="DQ29" s="17" t="e">
        <v>#N/A</v>
      </c>
      <c r="DR29" s="17" t="e">
        <v>#N/A</v>
      </c>
      <c r="DS29" s="17" t="e">
        <v>#N/A</v>
      </c>
      <c r="DT29" s="17" t="e">
        <v>#N/A</v>
      </c>
      <c r="DU29" s="17" t="e">
        <v>#N/A</v>
      </c>
      <c r="DV29" s="17" t="e">
        <v>#N/A</v>
      </c>
      <c r="DW29" s="17" t="e">
        <v>#N/A</v>
      </c>
      <c r="DX29" s="17" t="e">
        <v>#N/A</v>
      </c>
      <c r="DY29" s="17" t="e">
        <v>#N/A</v>
      </c>
      <c r="DZ29" s="17" t="e">
        <v>#N/A</v>
      </c>
      <c r="EA29" s="17" t="e">
        <v>#N/A</v>
      </c>
      <c r="EB29" s="17" t="e">
        <v>#N/A</v>
      </c>
      <c r="EC29" s="17" t="e">
        <v>#N/A</v>
      </c>
      <c r="ED29" s="17" t="e">
        <v>#N/A</v>
      </c>
      <c r="EE29" s="17" t="e">
        <v>#N/A</v>
      </c>
      <c r="EF29" s="17" t="e">
        <v>#N/A</v>
      </c>
      <c r="EG29" s="17" t="e">
        <v>#N/A</v>
      </c>
      <c r="EH29" s="17" t="e">
        <v>#N/A</v>
      </c>
      <c r="EI29" s="17" t="e">
        <v>#N/A</v>
      </c>
      <c r="EJ29" s="17" t="e">
        <v>#N/A</v>
      </c>
      <c r="EK29" s="17" t="e">
        <v>#N/A</v>
      </c>
      <c r="EL29" s="17" t="e">
        <v>#N/A</v>
      </c>
      <c r="EM29" s="17" t="e">
        <v>#N/A</v>
      </c>
      <c r="EN29" s="17" t="e">
        <v>#N/A</v>
      </c>
      <c r="EO29" s="17" t="e">
        <v>#N/A</v>
      </c>
      <c r="EP29" s="17" t="e">
        <v>#N/A</v>
      </c>
      <c r="EQ29" s="17" t="e">
        <v>#N/A</v>
      </c>
      <c r="ER29" s="17" t="e">
        <v>#N/A</v>
      </c>
      <c r="ES29" s="17" t="e">
        <v>#N/A</v>
      </c>
      <c r="ET29" s="17" t="e">
        <v>#N/A</v>
      </c>
      <c r="EU29" s="17" t="e">
        <v>#N/A</v>
      </c>
      <c r="EV29" s="17" t="e">
        <v>#N/A</v>
      </c>
      <c r="EW29" s="17" t="e">
        <v>#N/A</v>
      </c>
      <c r="EX29" s="17" t="e">
        <v>#N/A</v>
      </c>
      <c r="EY29" s="17" t="e">
        <v>#N/A</v>
      </c>
      <c r="EZ29" s="17" t="e">
        <v>#N/A</v>
      </c>
      <c r="FA29" s="17" t="e">
        <v>#N/A</v>
      </c>
      <c r="FB29" s="17" t="e">
        <v>#N/A</v>
      </c>
      <c r="FC29" s="17" t="e">
        <v>#N/A</v>
      </c>
      <c r="FD29" s="17" t="e">
        <v>#N/A</v>
      </c>
      <c r="FE29" s="17" t="e">
        <v>#N/A</v>
      </c>
      <c r="FF29" s="17" t="e">
        <v>#N/A</v>
      </c>
      <c r="FG29" s="17" t="e">
        <v>#N/A</v>
      </c>
      <c r="FH29" s="17" t="e">
        <v>#N/A</v>
      </c>
      <c r="FI29" s="17" t="e">
        <v>#N/A</v>
      </c>
      <c r="FJ29" s="17" t="e">
        <v>#N/A</v>
      </c>
      <c r="FK29" s="17" t="e">
        <v>#N/A</v>
      </c>
      <c r="FL29" s="17" t="e">
        <v>#N/A</v>
      </c>
      <c r="FM29" s="17" t="e">
        <v>#N/A</v>
      </c>
      <c r="FN29" s="17" t="e">
        <v>#N/A</v>
      </c>
      <c r="FO29" s="17" t="e">
        <v>#N/A</v>
      </c>
      <c r="FP29" s="17" t="e">
        <v>#N/A</v>
      </c>
      <c r="FQ29" s="17" t="e">
        <v>#N/A</v>
      </c>
      <c r="FR29" s="17" t="e">
        <v>#N/A</v>
      </c>
      <c r="FS29" s="17" t="e">
        <v>#N/A</v>
      </c>
      <c r="FT29" s="17" t="e">
        <v>#N/A</v>
      </c>
      <c r="FU29" s="17" t="e">
        <v>#N/A</v>
      </c>
      <c r="FV29" s="17" t="e">
        <v>#N/A</v>
      </c>
    </row>
    <row r="30" spans="2:178" ht="11.25" customHeight="1">
      <c r="B30" s="17">
        <v>1</v>
      </c>
      <c r="C30" s="17">
        <v>1</v>
      </c>
      <c r="D30" s="17">
        <v>1</v>
      </c>
      <c r="E30" s="17">
        <v>0</v>
      </c>
      <c r="F30" s="17">
        <v>0</v>
      </c>
      <c r="G30" s="17">
        <v>0</v>
      </c>
      <c r="H30" s="17">
        <v>1</v>
      </c>
      <c r="I30" s="17">
        <v>0</v>
      </c>
      <c r="J30" s="17">
        <v>1</v>
      </c>
      <c r="K30" s="17">
        <v>1</v>
      </c>
      <c r="L30" s="17">
        <v>1</v>
      </c>
      <c r="M30" s="17">
        <v>0</v>
      </c>
      <c r="N30" s="17">
        <v>1</v>
      </c>
      <c r="O30" s="17">
        <v>1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1</v>
      </c>
      <c r="V30" s="17">
        <v>0</v>
      </c>
      <c r="W30" s="17">
        <v>0</v>
      </c>
      <c r="X30" s="17">
        <v>0</v>
      </c>
      <c r="Y30" s="17">
        <v>0</v>
      </c>
      <c r="Z30" s="17">
        <v>1</v>
      </c>
      <c r="AA30" s="17">
        <v>0</v>
      </c>
      <c r="AB30" s="17">
        <v>0</v>
      </c>
      <c r="AC30" s="17">
        <v>0</v>
      </c>
      <c r="AD30" s="17">
        <v>1</v>
      </c>
      <c r="AE30" s="17">
        <v>1</v>
      </c>
      <c r="AF30" s="17">
        <v>1</v>
      </c>
      <c r="AG30" s="17">
        <v>1</v>
      </c>
      <c r="AH30" s="17">
        <v>1</v>
      </c>
      <c r="AI30" s="17">
        <v>1</v>
      </c>
      <c r="AJ30" s="17">
        <v>0</v>
      </c>
      <c r="AK30" s="17">
        <v>1</v>
      </c>
      <c r="AL30" s="17">
        <v>1</v>
      </c>
      <c r="AM30" s="17">
        <v>1</v>
      </c>
      <c r="AN30" s="17">
        <v>0</v>
      </c>
      <c r="AO30" s="17">
        <v>1</v>
      </c>
      <c r="AP30" s="17">
        <v>0</v>
      </c>
      <c r="AQ30" s="17">
        <v>0</v>
      </c>
      <c r="AR30" s="17">
        <v>1</v>
      </c>
      <c r="AS30" s="17">
        <v>1</v>
      </c>
      <c r="AT30" s="17">
        <v>0</v>
      </c>
      <c r="AU30" s="17">
        <v>0</v>
      </c>
      <c r="AV30" s="17">
        <v>1</v>
      </c>
      <c r="AW30" s="17">
        <v>0</v>
      </c>
      <c r="AX30" s="17">
        <v>1</v>
      </c>
      <c r="AY30" s="17">
        <v>1</v>
      </c>
      <c r="AZ30" s="17">
        <v>0</v>
      </c>
      <c r="BA30" s="17">
        <v>1</v>
      </c>
      <c r="BB30" s="17">
        <v>1</v>
      </c>
      <c r="BC30" s="17">
        <v>0</v>
      </c>
      <c r="BD30" s="17">
        <v>1</v>
      </c>
      <c r="BE30" s="17">
        <v>0</v>
      </c>
      <c r="BF30" s="17">
        <v>1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7">
        <v>1</v>
      </c>
      <c r="BN30" s="17">
        <v>1</v>
      </c>
      <c r="BO30" s="17">
        <v>1</v>
      </c>
      <c r="BP30" s="17">
        <v>1</v>
      </c>
      <c r="BQ30" s="17">
        <v>1</v>
      </c>
      <c r="BR30" s="17">
        <v>0</v>
      </c>
      <c r="BS30" s="17" t="e">
        <v>#N/A</v>
      </c>
      <c r="BT30" s="17" t="e">
        <v>#N/A</v>
      </c>
      <c r="BU30" s="17" t="e">
        <v>#N/A</v>
      </c>
      <c r="BV30" s="17" t="e">
        <v>#N/A</v>
      </c>
      <c r="BW30" s="17" t="e">
        <v>#N/A</v>
      </c>
      <c r="BX30" s="17" t="e">
        <v>#N/A</v>
      </c>
      <c r="BY30" s="17" t="e">
        <v>#N/A</v>
      </c>
      <c r="BZ30" s="17" t="e">
        <v>#N/A</v>
      </c>
      <c r="CA30" s="17" t="e">
        <v>#N/A</v>
      </c>
      <c r="CB30" s="17" t="e">
        <v>#N/A</v>
      </c>
      <c r="CC30" s="17" t="e">
        <v>#N/A</v>
      </c>
      <c r="CD30" s="17" t="e">
        <v>#N/A</v>
      </c>
      <c r="CE30" s="17" t="e">
        <v>#N/A</v>
      </c>
      <c r="CF30" s="17" t="e">
        <v>#N/A</v>
      </c>
      <c r="CG30" s="17" t="e">
        <v>#N/A</v>
      </c>
      <c r="CH30" s="17" t="e">
        <v>#N/A</v>
      </c>
      <c r="CI30" s="17" t="e">
        <v>#N/A</v>
      </c>
      <c r="CJ30" s="17" t="e">
        <v>#N/A</v>
      </c>
      <c r="CK30" s="17" t="e">
        <v>#N/A</v>
      </c>
      <c r="CL30" s="17" t="e">
        <v>#N/A</v>
      </c>
      <c r="CM30" s="17" t="e">
        <v>#N/A</v>
      </c>
      <c r="CN30" s="17" t="e">
        <v>#N/A</v>
      </c>
      <c r="CO30" s="17" t="e">
        <v>#N/A</v>
      </c>
      <c r="CP30" s="17" t="e">
        <v>#N/A</v>
      </c>
      <c r="CQ30" s="17" t="e">
        <v>#N/A</v>
      </c>
      <c r="CR30" s="17" t="e">
        <v>#N/A</v>
      </c>
      <c r="CS30" s="17" t="e">
        <v>#N/A</v>
      </c>
      <c r="CT30" s="17" t="e">
        <v>#N/A</v>
      </c>
      <c r="CU30" s="17" t="e">
        <v>#N/A</v>
      </c>
      <c r="CV30" s="17" t="e">
        <v>#N/A</v>
      </c>
      <c r="CW30" s="17" t="e">
        <v>#N/A</v>
      </c>
      <c r="CX30" s="17" t="e">
        <v>#N/A</v>
      </c>
      <c r="CY30" s="17" t="e">
        <v>#N/A</v>
      </c>
      <c r="CZ30" s="17" t="e">
        <v>#N/A</v>
      </c>
      <c r="DA30" s="17" t="e">
        <v>#N/A</v>
      </c>
      <c r="DB30" s="17" t="e">
        <v>#N/A</v>
      </c>
      <c r="DC30" s="17" t="e">
        <v>#N/A</v>
      </c>
      <c r="DD30" s="17" t="e">
        <v>#N/A</v>
      </c>
      <c r="DE30" s="17" t="e">
        <v>#N/A</v>
      </c>
      <c r="DF30" s="17" t="e">
        <v>#N/A</v>
      </c>
      <c r="DG30" s="17" t="e">
        <v>#N/A</v>
      </c>
      <c r="DH30" s="17" t="e">
        <v>#N/A</v>
      </c>
      <c r="DI30" s="17" t="e">
        <v>#N/A</v>
      </c>
      <c r="DJ30" s="17" t="e">
        <v>#N/A</v>
      </c>
      <c r="DK30" s="17" t="e">
        <v>#N/A</v>
      </c>
      <c r="DL30" s="17" t="e">
        <v>#N/A</v>
      </c>
      <c r="DM30" s="17" t="e">
        <v>#N/A</v>
      </c>
      <c r="DN30" s="17" t="e">
        <v>#N/A</v>
      </c>
      <c r="DO30" s="17" t="e">
        <v>#N/A</v>
      </c>
      <c r="DP30" s="17" t="e">
        <v>#N/A</v>
      </c>
      <c r="DQ30" s="17" t="e">
        <v>#N/A</v>
      </c>
      <c r="DR30" s="17" t="e">
        <v>#N/A</v>
      </c>
      <c r="DS30" s="17" t="e">
        <v>#N/A</v>
      </c>
      <c r="DT30" s="17" t="e">
        <v>#N/A</v>
      </c>
      <c r="DU30" s="17" t="e">
        <v>#N/A</v>
      </c>
      <c r="DV30" s="17" t="e">
        <v>#N/A</v>
      </c>
      <c r="DW30" s="17" t="e">
        <v>#N/A</v>
      </c>
      <c r="DX30" s="17" t="e">
        <v>#N/A</v>
      </c>
      <c r="DY30" s="17" t="e">
        <v>#N/A</v>
      </c>
      <c r="DZ30" s="17" t="e">
        <v>#N/A</v>
      </c>
      <c r="EA30" s="17" t="e">
        <v>#N/A</v>
      </c>
      <c r="EB30" s="17" t="e">
        <v>#N/A</v>
      </c>
      <c r="EC30" s="17" t="e">
        <v>#N/A</v>
      </c>
      <c r="ED30" s="17" t="e">
        <v>#N/A</v>
      </c>
      <c r="EE30" s="17" t="e">
        <v>#N/A</v>
      </c>
      <c r="EF30" s="17" t="e">
        <v>#N/A</v>
      </c>
      <c r="EG30" s="17" t="e">
        <v>#N/A</v>
      </c>
      <c r="EH30" s="17" t="e">
        <v>#N/A</v>
      </c>
      <c r="EI30" s="17" t="e">
        <v>#N/A</v>
      </c>
      <c r="EJ30" s="17" t="e">
        <v>#N/A</v>
      </c>
      <c r="EK30" s="17" t="e">
        <v>#N/A</v>
      </c>
      <c r="EL30" s="17" t="e">
        <v>#N/A</v>
      </c>
      <c r="EM30" s="17" t="e">
        <v>#N/A</v>
      </c>
      <c r="EN30" s="17" t="e">
        <v>#N/A</v>
      </c>
      <c r="EO30" s="17" t="e">
        <v>#N/A</v>
      </c>
      <c r="EP30" s="17" t="e">
        <v>#N/A</v>
      </c>
      <c r="EQ30" s="17" t="e">
        <v>#N/A</v>
      </c>
      <c r="ER30" s="17" t="e">
        <v>#N/A</v>
      </c>
      <c r="ES30" s="17" t="e">
        <v>#N/A</v>
      </c>
      <c r="ET30" s="17" t="e">
        <v>#N/A</v>
      </c>
      <c r="EU30" s="17" t="e">
        <v>#N/A</v>
      </c>
      <c r="EV30" s="17" t="e">
        <v>#N/A</v>
      </c>
      <c r="EW30" s="17" t="e">
        <v>#N/A</v>
      </c>
      <c r="EX30" s="17" t="e">
        <v>#N/A</v>
      </c>
      <c r="EY30" s="17" t="e">
        <v>#N/A</v>
      </c>
      <c r="EZ30" s="17" t="e">
        <v>#N/A</v>
      </c>
      <c r="FA30" s="17" t="e">
        <v>#N/A</v>
      </c>
      <c r="FB30" s="17" t="e">
        <v>#N/A</v>
      </c>
      <c r="FC30" s="17" t="e">
        <v>#N/A</v>
      </c>
      <c r="FD30" s="17" t="e">
        <v>#N/A</v>
      </c>
      <c r="FE30" s="17" t="e">
        <v>#N/A</v>
      </c>
      <c r="FF30" s="17" t="e">
        <v>#N/A</v>
      </c>
      <c r="FG30" s="17" t="e">
        <v>#N/A</v>
      </c>
      <c r="FH30" s="17" t="e">
        <v>#N/A</v>
      </c>
      <c r="FI30" s="17" t="e">
        <v>#N/A</v>
      </c>
      <c r="FJ30" s="17" t="e">
        <v>#N/A</v>
      </c>
      <c r="FK30" s="17" t="e">
        <v>#N/A</v>
      </c>
      <c r="FL30" s="17" t="e">
        <v>#N/A</v>
      </c>
      <c r="FM30" s="17" t="e">
        <v>#N/A</v>
      </c>
      <c r="FN30" s="17" t="e">
        <v>#N/A</v>
      </c>
      <c r="FO30" s="17" t="e">
        <v>#N/A</v>
      </c>
      <c r="FP30" s="17" t="e">
        <v>#N/A</v>
      </c>
      <c r="FQ30" s="17" t="e">
        <v>#N/A</v>
      </c>
      <c r="FR30" s="17" t="e">
        <v>#N/A</v>
      </c>
      <c r="FS30" s="17" t="e">
        <v>#N/A</v>
      </c>
      <c r="FT30" s="17" t="e">
        <v>#N/A</v>
      </c>
      <c r="FU30" s="17" t="e">
        <v>#N/A</v>
      </c>
      <c r="FV30" s="17" t="e">
        <v>#N/A</v>
      </c>
    </row>
    <row r="31" spans="2:178" ht="11.25" customHeight="1">
      <c r="B31" s="17">
        <v>0</v>
      </c>
      <c r="C31" s="17">
        <v>0</v>
      </c>
      <c r="D31" s="17">
        <v>1</v>
      </c>
      <c r="E31" s="17">
        <v>0</v>
      </c>
      <c r="F31" s="17">
        <v>0</v>
      </c>
      <c r="G31" s="17">
        <v>1</v>
      </c>
      <c r="H31" s="17">
        <v>0</v>
      </c>
      <c r="I31" s="17">
        <v>1</v>
      </c>
      <c r="J31" s="17">
        <v>0</v>
      </c>
      <c r="K31" s="17">
        <v>1</v>
      </c>
      <c r="L31" s="17">
        <v>0</v>
      </c>
      <c r="M31" s="17">
        <v>1</v>
      </c>
      <c r="N31" s="17">
        <v>0</v>
      </c>
      <c r="O31" s="17">
        <v>1</v>
      </c>
      <c r="P31" s="17">
        <v>0</v>
      </c>
      <c r="Q31" s="17">
        <v>1</v>
      </c>
      <c r="R31" s="17">
        <v>0</v>
      </c>
      <c r="S31" s="17">
        <v>1</v>
      </c>
      <c r="T31" s="17">
        <v>1</v>
      </c>
      <c r="U31" s="17">
        <v>1</v>
      </c>
      <c r="V31" s="17">
        <v>1</v>
      </c>
      <c r="W31" s="17">
        <v>0</v>
      </c>
      <c r="X31" s="17">
        <v>0</v>
      </c>
      <c r="Y31" s="17">
        <v>1</v>
      </c>
      <c r="Z31" s="17">
        <v>1</v>
      </c>
      <c r="AA31" s="17">
        <v>0</v>
      </c>
      <c r="AB31" s="17">
        <v>0</v>
      </c>
      <c r="AC31" s="17">
        <v>0</v>
      </c>
      <c r="AD31" s="17">
        <v>0</v>
      </c>
      <c r="AE31" s="17">
        <v>1</v>
      </c>
      <c r="AF31" s="17">
        <v>0</v>
      </c>
      <c r="AG31" s="17">
        <v>1</v>
      </c>
      <c r="AH31" s="17">
        <v>1</v>
      </c>
      <c r="AI31" s="17">
        <v>1</v>
      </c>
      <c r="AJ31" s="17">
        <v>0</v>
      </c>
      <c r="AK31" s="17">
        <v>0</v>
      </c>
      <c r="AL31" s="17">
        <v>1</v>
      </c>
      <c r="AM31" s="17">
        <v>0</v>
      </c>
      <c r="AN31" s="17">
        <v>1</v>
      </c>
      <c r="AO31" s="17">
        <v>0</v>
      </c>
      <c r="AP31" s="17">
        <v>1</v>
      </c>
      <c r="AQ31" s="17">
        <v>0</v>
      </c>
      <c r="AR31" s="17">
        <v>0</v>
      </c>
      <c r="AS31" s="17">
        <v>1</v>
      </c>
      <c r="AT31" s="17">
        <v>1</v>
      </c>
      <c r="AU31" s="17">
        <v>0</v>
      </c>
      <c r="AV31" s="17">
        <v>1</v>
      </c>
      <c r="AW31" s="17">
        <v>1</v>
      </c>
      <c r="AX31" s="17">
        <v>0</v>
      </c>
      <c r="AY31" s="17">
        <v>0</v>
      </c>
      <c r="AZ31" s="17">
        <v>1</v>
      </c>
      <c r="BA31" s="17">
        <v>1</v>
      </c>
      <c r="BB31" s="17">
        <v>0</v>
      </c>
      <c r="BC31" s="17">
        <v>1</v>
      </c>
      <c r="BD31" s="17">
        <v>0</v>
      </c>
      <c r="BE31" s="17">
        <v>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1</v>
      </c>
      <c r="BL31" s="17">
        <v>1</v>
      </c>
      <c r="BM31" s="17">
        <v>0</v>
      </c>
      <c r="BN31" s="17">
        <v>0</v>
      </c>
      <c r="BO31" s="17">
        <v>0</v>
      </c>
      <c r="BP31" s="17">
        <v>0</v>
      </c>
      <c r="BQ31" s="17">
        <v>0</v>
      </c>
      <c r="BR31" s="17">
        <v>1</v>
      </c>
      <c r="BS31" s="17" t="e">
        <v>#N/A</v>
      </c>
      <c r="BT31" s="17" t="e">
        <v>#N/A</v>
      </c>
      <c r="BU31" s="17" t="e">
        <v>#N/A</v>
      </c>
      <c r="BV31" s="17" t="e">
        <v>#N/A</v>
      </c>
      <c r="BW31" s="17" t="e">
        <v>#N/A</v>
      </c>
      <c r="BX31" s="17" t="e">
        <v>#N/A</v>
      </c>
      <c r="BY31" s="17" t="e">
        <v>#N/A</v>
      </c>
      <c r="BZ31" s="17" t="e">
        <v>#N/A</v>
      </c>
      <c r="CA31" s="17" t="e">
        <v>#N/A</v>
      </c>
      <c r="CB31" s="17" t="e">
        <v>#N/A</v>
      </c>
      <c r="CC31" s="17" t="e">
        <v>#N/A</v>
      </c>
      <c r="CD31" s="17" t="e">
        <v>#N/A</v>
      </c>
      <c r="CE31" s="17" t="e">
        <v>#N/A</v>
      </c>
      <c r="CF31" s="17" t="e">
        <v>#N/A</v>
      </c>
      <c r="CG31" s="17" t="e">
        <v>#N/A</v>
      </c>
      <c r="CH31" s="17" t="e">
        <v>#N/A</v>
      </c>
      <c r="CI31" s="17" t="e">
        <v>#N/A</v>
      </c>
      <c r="CJ31" s="17" t="e">
        <v>#N/A</v>
      </c>
      <c r="CK31" s="17" t="e">
        <v>#N/A</v>
      </c>
      <c r="CL31" s="17" t="e">
        <v>#N/A</v>
      </c>
      <c r="CM31" s="17" t="e">
        <v>#N/A</v>
      </c>
      <c r="CN31" s="17" t="e">
        <v>#N/A</v>
      </c>
      <c r="CO31" s="17" t="e">
        <v>#N/A</v>
      </c>
      <c r="CP31" s="17" t="e">
        <v>#N/A</v>
      </c>
      <c r="CQ31" s="17" t="e">
        <v>#N/A</v>
      </c>
      <c r="CR31" s="17" t="e">
        <v>#N/A</v>
      </c>
      <c r="CS31" s="17" t="e">
        <v>#N/A</v>
      </c>
      <c r="CT31" s="17" t="e">
        <v>#N/A</v>
      </c>
      <c r="CU31" s="17" t="e">
        <v>#N/A</v>
      </c>
      <c r="CV31" s="17" t="e">
        <v>#N/A</v>
      </c>
      <c r="CW31" s="17" t="e">
        <v>#N/A</v>
      </c>
      <c r="CX31" s="17" t="e">
        <v>#N/A</v>
      </c>
      <c r="CY31" s="17" t="e">
        <v>#N/A</v>
      </c>
      <c r="CZ31" s="17" t="e">
        <v>#N/A</v>
      </c>
      <c r="DA31" s="17" t="e">
        <v>#N/A</v>
      </c>
      <c r="DB31" s="17" t="e">
        <v>#N/A</v>
      </c>
      <c r="DC31" s="17" t="e">
        <v>#N/A</v>
      </c>
      <c r="DD31" s="17" t="e">
        <v>#N/A</v>
      </c>
      <c r="DE31" s="17" t="e">
        <v>#N/A</v>
      </c>
      <c r="DF31" s="17" t="e">
        <v>#N/A</v>
      </c>
      <c r="DG31" s="17" t="e">
        <v>#N/A</v>
      </c>
      <c r="DH31" s="17" t="e">
        <v>#N/A</v>
      </c>
      <c r="DI31" s="17" t="e">
        <v>#N/A</v>
      </c>
      <c r="DJ31" s="17" t="e">
        <v>#N/A</v>
      </c>
      <c r="DK31" s="17" t="e">
        <v>#N/A</v>
      </c>
      <c r="DL31" s="17" t="e">
        <v>#N/A</v>
      </c>
      <c r="DM31" s="17" t="e">
        <v>#N/A</v>
      </c>
      <c r="DN31" s="17" t="e">
        <v>#N/A</v>
      </c>
      <c r="DO31" s="17" t="e">
        <v>#N/A</v>
      </c>
      <c r="DP31" s="17" t="e">
        <v>#N/A</v>
      </c>
      <c r="DQ31" s="17" t="e">
        <v>#N/A</v>
      </c>
      <c r="DR31" s="17" t="e">
        <v>#N/A</v>
      </c>
      <c r="DS31" s="17" t="e">
        <v>#N/A</v>
      </c>
      <c r="DT31" s="17" t="e">
        <v>#N/A</v>
      </c>
      <c r="DU31" s="17" t="e">
        <v>#N/A</v>
      </c>
      <c r="DV31" s="17" t="e">
        <v>#N/A</v>
      </c>
      <c r="DW31" s="17" t="e">
        <v>#N/A</v>
      </c>
      <c r="DX31" s="17" t="e">
        <v>#N/A</v>
      </c>
      <c r="DY31" s="17" t="e">
        <v>#N/A</v>
      </c>
      <c r="DZ31" s="17" t="e">
        <v>#N/A</v>
      </c>
      <c r="EA31" s="17" t="e">
        <v>#N/A</v>
      </c>
      <c r="EB31" s="17" t="e">
        <v>#N/A</v>
      </c>
      <c r="EC31" s="17" t="e">
        <v>#N/A</v>
      </c>
      <c r="ED31" s="17" t="e">
        <v>#N/A</v>
      </c>
      <c r="EE31" s="17" t="e">
        <v>#N/A</v>
      </c>
      <c r="EF31" s="17" t="e">
        <v>#N/A</v>
      </c>
      <c r="EG31" s="17" t="e">
        <v>#N/A</v>
      </c>
      <c r="EH31" s="17" t="e">
        <v>#N/A</v>
      </c>
      <c r="EI31" s="17" t="e">
        <v>#N/A</v>
      </c>
      <c r="EJ31" s="17" t="e">
        <v>#N/A</v>
      </c>
      <c r="EK31" s="17" t="e">
        <v>#N/A</v>
      </c>
      <c r="EL31" s="17" t="e">
        <v>#N/A</v>
      </c>
      <c r="EM31" s="17" t="e">
        <v>#N/A</v>
      </c>
      <c r="EN31" s="17" t="e">
        <v>#N/A</v>
      </c>
      <c r="EO31" s="17" t="e">
        <v>#N/A</v>
      </c>
      <c r="EP31" s="17" t="e">
        <v>#N/A</v>
      </c>
      <c r="EQ31" s="17" t="e">
        <v>#N/A</v>
      </c>
      <c r="ER31" s="17" t="e">
        <v>#N/A</v>
      </c>
      <c r="ES31" s="17" t="e">
        <v>#N/A</v>
      </c>
      <c r="ET31" s="17" t="e">
        <v>#N/A</v>
      </c>
      <c r="EU31" s="17" t="e">
        <v>#N/A</v>
      </c>
      <c r="EV31" s="17" t="e">
        <v>#N/A</v>
      </c>
      <c r="EW31" s="17" t="e">
        <v>#N/A</v>
      </c>
      <c r="EX31" s="17" t="e">
        <v>#N/A</v>
      </c>
      <c r="EY31" s="17" t="e">
        <v>#N/A</v>
      </c>
      <c r="EZ31" s="17" t="e">
        <v>#N/A</v>
      </c>
      <c r="FA31" s="17" t="e">
        <v>#N/A</v>
      </c>
      <c r="FB31" s="17" t="e">
        <v>#N/A</v>
      </c>
      <c r="FC31" s="17" t="e">
        <v>#N/A</v>
      </c>
      <c r="FD31" s="17" t="e">
        <v>#N/A</v>
      </c>
      <c r="FE31" s="17" t="e">
        <v>#N/A</v>
      </c>
      <c r="FF31" s="17" t="e">
        <v>#N/A</v>
      </c>
      <c r="FG31" s="17" t="e">
        <v>#N/A</v>
      </c>
      <c r="FH31" s="17" t="e">
        <v>#N/A</v>
      </c>
      <c r="FI31" s="17" t="e">
        <v>#N/A</v>
      </c>
      <c r="FJ31" s="17" t="e">
        <v>#N/A</v>
      </c>
      <c r="FK31" s="17" t="e">
        <v>#N/A</v>
      </c>
      <c r="FL31" s="17" t="e">
        <v>#N/A</v>
      </c>
      <c r="FM31" s="17" t="e">
        <v>#N/A</v>
      </c>
      <c r="FN31" s="17" t="e">
        <v>#N/A</v>
      </c>
      <c r="FO31" s="17" t="e">
        <v>#N/A</v>
      </c>
      <c r="FP31" s="17" t="e">
        <v>#N/A</v>
      </c>
      <c r="FQ31" s="17" t="e">
        <v>#N/A</v>
      </c>
      <c r="FR31" s="17" t="e">
        <v>#N/A</v>
      </c>
      <c r="FS31" s="17" t="e">
        <v>#N/A</v>
      </c>
      <c r="FT31" s="17" t="e">
        <v>#N/A</v>
      </c>
      <c r="FU31" s="17" t="e">
        <v>#N/A</v>
      </c>
      <c r="FV31" s="17" t="e">
        <v>#N/A</v>
      </c>
    </row>
    <row r="32" spans="2:178" ht="11.25" customHeight="1">
      <c r="B32" s="17">
        <v>1</v>
      </c>
      <c r="C32" s="17">
        <v>1</v>
      </c>
      <c r="D32" s="17">
        <v>1</v>
      </c>
      <c r="E32" s="17">
        <v>0</v>
      </c>
      <c r="F32" s="17">
        <v>1</v>
      </c>
      <c r="G32" s="17">
        <v>0</v>
      </c>
      <c r="H32" s="17">
        <v>1</v>
      </c>
      <c r="I32" s="17">
        <v>1</v>
      </c>
      <c r="J32" s="17">
        <v>0</v>
      </c>
      <c r="K32" s="17">
        <v>1</v>
      </c>
      <c r="L32" s="17">
        <v>1</v>
      </c>
      <c r="M32" s="17">
        <v>0</v>
      </c>
      <c r="N32" s="17">
        <v>1</v>
      </c>
      <c r="O32" s="17">
        <v>1</v>
      </c>
      <c r="P32" s="17">
        <v>1</v>
      </c>
      <c r="Q32" s="17">
        <v>1</v>
      </c>
      <c r="R32" s="17">
        <v>0</v>
      </c>
      <c r="S32" s="17">
        <v>0</v>
      </c>
      <c r="T32" s="17">
        <v>0</v>
      </c>
      <c r="U32" s="17">
        <v>1</v>
      </c>
      <c r="V32" s="17">
        <v>0</v>
      </c>
      <c r="W32" s="17">
        <v>1</v>
      </c>
      <c r="X32" s="17">
        <v>1</v>
      </c>
      <c r="Y32" s="17">
        <v>1</v>
      </c>
      <c r="Z32" s="17">
        <v>1</v>
      </c>
      <c r="AA32" s="17">
        <v>0</v>
      </c>
      <c r="AB32" s="17">
        <v>1</v>
      </c>
      <c r="AC32" s="17">
        <v>0</v>
      </c>
      <c r="AD32" s="17">
        <v>1</v>
      </c>
      <c r="AE32" s="17">
        <v>1</v>
      </c>
      <c r="AF32" s="17">
        <v>0</v>
      </c>
      <c r="AG32" s="17">
        <v>0</v>
      </c>
      <c r="AH32" s="17">
        <v>0</v>
      </c>
      <c r="AI32" s="17">
        <v>0</v>
      </c>
      <c r="AJ32" s="17">
        <v>1</v>
      </c>
      <c r="AK32" s="17">
        <v>0</v>
      </c>
      <c r="AL32" s="17">
        <v>0</v>
      </c>
      <c r="AM32" s="17">
        <v>1</v>
      </c>
      <c r="AN32" s="17">
        <v>0</v>
      </c>
      <c r="AO32" s="17">
        <v>1</v>
      </c>
      <c r="AP32" s="17">
        <v>1</v>
      </c>
      <c r="AQ32" s="17">
        <v>0</v>
      </c>
      <c r="AR32" s="17">
        <v>1</v>
      </c>
      <c r="AS32" s="17">
        <v>1</v>
      </c>
      <c r="AT32" s="17">
        <v>0</v>
      </c>
      <c r="AU32" s="17">
        <v>0</v>
      </c>
      <c r="AV32" s="17">
        <v>1</v>
      </c>
      <c r="AW32" s="17">
        <v>0</v>
      </c>
      <c r="AX32" s="17">
        <v>1</v>
      </c>
      <c r="AY32" s="17">
        <v>0</v>
      </c>
      <c r="AZ32" s="17">
        <v>0</v>
      </c>
      <c r="BA32" s="17">
        <v>0</v>
      </c>
      <c r="BB32" s="17">
        <v>0</v>
      </c>
      <c r="BC32" s="17">
        <v>1</v>
      </c>
      <c r="BD32" s="17">
        <v>1</v>
      </c>
      <c r="BE32" s="17">
        <v>0</v>
      </c>
      <c r="BF32" s="17">
        <v>1</v>
      </c>
      <c r="BG32" s="17">
        <v>1</v>
      </c>
      <c r="BH32" s="17">
        <v>0</v>
      </c>
      <c r="BI32" s="17">
        <v>1</v>
      </c>
      <c r="BJ32" s="17">
        <v>0</v>
      </c>
      <c r="BK32" s="17">
        <v>0</v>
      </c>
      <c r="BL32" s="17">
        <v>0</v>
      </c>
      <c r="BM32" s="17">
        <v>0</v>
      </c>
      <c r="BN32" s="17">
        <v>1</v>
      </c>
      <c r="BO32" s="17">
        <v>1</v>
      </c>
      <c r="BP32" s="17">
        <v>0</v>
      </c>
      <c r="BQ32" s="17">
        <v>1</v>
      </c>
      <c r="BR32" s="17">
        <v>0</v>
      </c>
      <c r="BS32" s="17" t="e">
        <v>#N/A</v>
      </c>
      <c r="BT32" s="17" t="e">
        <v>#N/A</v>
      </c>
      <c r="BU32" s="17" t="e">
        <v>#N/A</v>
      </c>
      <c r="BV32" s="17" t="e">
        <v>#N/A</v>
      </c>
      <c r="BW32" s="17" t="e">
        <v>#N/A</v>
      </c>
      <c r="BX32" s="17" t="e">
        <v>#N/A</v>
      </c>
      <c r="BY32" s="17" t="e">
        <v>#N/A</v>
      </c>
      <c r="BZ32" s="17" t="e">
        <v>#N/A</v>
      </c>
      <c r="CA32" s="17" t="e">
        <v>#N/A</v>
      </c>
      <c r="CB32" s="17" t="e">
        <v>#N/A</v>
      </c>
      <c r="CC32" s="17" t="e">
        <v>#N/A</v>
      </c>
      <c r="CD32" s="17" t="e">
        <v>#N/A</v>
      </c>
      <c r="CE32" s="17" t="e">
        <v>#N/A</v>
      </c>
      <c r="CF32" s="17" t="e">
        <v>#N/A</v>
      </c>
      <c r="CG32" s="17" t="e">
        <v>#N/A</v>
      </c>
      <c r="CH32" s="17" t="e">
        <v>#N/A</v>
      </c>
      <c r="CI32" s="17" t="e">
        <v>#N/A</v>
      </c>
      <c r="CJ32" s="17" t="e">
        <v>#N/A</v>
      </c>
      <c r="CK32" s="17" t="e">
        <v>#N/A</v>
      </c>
      <c r="CL32" s="17" t="e">
        <v>#N/A</v>
      </c>
      <c r="CM32" s="17" t="e">
        <v>#N/A</v>
      </c>
      <c r="CN32" s="17" t="e">
        <v>#N/A</v>
      </c>
      <c r="CO32" s="17" t="e">
        <v>#N/A</v>
      </c>
      <c r="CP32" s="17" t="e">
        <v>#N/A</v>
      </c>
      <c r="CQ32" s="17" t="e">
        <v>#N/A</v>
      </c>
      <c r="CR32" s="17" t="e">
        <v>#N/A</v>
      </c>
      <c r="CS32" s="17" t="e">
        <v>#N/A</v>
      </c>
      <c r="CT32" s="17" t="e">
        <v>#N/A</v>
      </c>
      <c r="CU32" s="17" t="e">
        <v>#N/A</v>
      </c>
      <c r="CV32" s="17" t="e">
        <v>#N/A</v>
      </c>
      <c r="CW32" s="17" t="e">
        <v>#N/A</v>
      </c>
      <c r="CX32" s="17" t="e">
        <v>#N/A</v>
      </c>
      <c r="CY32" s="17" t="e">
        <v>#N/A</v>
      </c>
      <c r="CZ32" s="17" t="e">
        <v>#N/A</v>
      </c>
      <c r="DA32" s="17" t="e">
        <v>#N/A</v>
      </c>
      <c r="DB32" s="17" t="e">
        <v>#N/A</v>
      </c>
      <c r="DC32" s="17" t="e">
        <v>#N/A</v>
      </c>
      <c r="DD32" s="17" t="e">
        <v>#N/A</v>
      </c>
      <c r="DE32" s="17" t="e">
        <v>#N/A</v>
      </c>
      <c r="DF32" s="17" t="e">
        <v>#N/A</v>
      </c>
      <c r="DG32" s="17" t="e">
        <v>#N/A</v>
      </c>
      <c r="DH32" s="17" t="e">
        <v>#N/A</v>
      </c>
      <c r="DI32" s="17" t="e">
        <v>#N/A</v>
      </c>
      <c r="DJ32" s="17" t="e">
        <v>#N/A</v>
      </c>
      <c r="DK32" s="17" t="e">
        <v>#N/A</v>
      </c>
      <c r="DL32" s="17" t="e">
        <v>#N/A</v>
      </c>
      <c r="DM32" s="17" t="e">
        <v>#N/A</v>
      </c>
      <c r="DN32" s="17" t="e">
        <v>#N/A</v>
      </c>
      <c r="DO32" s="17" t="e">
        <v>#N/A</v>
      </c>
      <c r="DP32" s="17" t="e">
        <v>#N/A</v>
      </c>
      <c r="DQ32" s="17" t="e">
        <v>#N/A</v>
      </c>
      <c r="DR32" s="17" t="e">
        <v>#N/A</v>
      </c>
      <c r="DS32" s="17" t="e">
        <v>#N/A</v>
      </c>
      <c r="DT32" s="17" t="e">
        <v>#N/A</v>
      </c>
      <c r="DU32" s="17" t="e">
        <v>#N/A</v>
      </c>
      <c r="DV32" s="17" t="e">
        <v>#N/A</v>
      </c>
      <c r="DW32" s="17" t="e">
        <v>#N/A</v>
      </c>
      <c r="DX32" s="17" t="e">
        <v>#N/A</v>
      </c>
      <c r="DY32" s="17" t="e">
        <v>#N/A</v>
      </c>
      <c r="DZ32" s="17" t="e">
        <v>#N/A</v>
      </c>
      <c r="EA32" s="17" t="e">
        <v>#N/A</v>
      </c>
      <c r="EB32" s="17" t="e">
        <v>#N/A</v>
      </c>
      <c r="EC32" s="17" t="e">
        <v>#N/A</v>
      </c>
      <c r="ED32" s="17" t="e">
        <v>#N/A</v>
      </c>
      <c r="EE32" s="17" t="e">
        <v>#N/A</v>
      </c>
      <c r="EF32" s="17" t="e">
        <v>#N/A</v>
      </c>
      <c r="EG32" s="17" t="e">
        <v>#N/A</v>
      </c>
      <c r="EH32" s="17" t="e">
        <v>#N/A</v>
      </c>
      <c r="EI32" s="17" t="e">
        <v>#N/A</v>
      </c>
      <c r="EJ32" s="17" t="e">
        <v>#N/A</v>
      </c>
      <c r="EK32" s="17" t="e">
        <v>#N/A</v>
      </c>
      <c r="EL32" s="17" t="e">
        <v>#N/A</v>
      </c>
      <c r="EM32" s="17" t="e">
        <v>#N/A</v>
      </c>
      <c r="EN32" s="17" t="e">
        <v>#N/A</v>
      </c>
      <c r="EO32" s="17" t="e">
        <v>#N/A</v>
      </c>
      <c r="EP32" s="17" t="e">
        <v>#N/A</v>
      </c>
      <c r="EQ32" s="17" t="e">
        <v>#N/A</v>
      </c>
      <c r="ER32" s="17" t="e">
        <v>#N/A</v>
      </c>
      <c r="ES32" s="17" t="e">
        <v>#N/A</v>
      </c>
      <c r="ET32" s="17" t="e">
        <v>#N/A</v>
      </c>
      <c r="EU32" s="17" t="e">
        <v>#N/A</v>
      </c>
      <c r="EV32" s="17" t="e">
        <v>#N/A</v>
      </c>
      <c r="EW32" s="17" t="e">
        <v>#N/A</v>
      </c>
      <c r="EX32" s="17" t="e">
        <v>#N/A</v>
      </c>
      <c r="EY32" s="17" t="e">
        <v>#N/A</v>
      </c>
      <c r="EZ32" s="17" t="e">
        <v>#N/A</v>
      </c>
      <c r="FA32" s="17" t="e">
        <v>#N/A</v>
      </c>
      <c r="FB32" s="17" t="e">
        <v>#N/A</v>
      </c>
      <c r="FC32" s="17" t="e">
        <v>#N/A</v>
      </c>
      <c r="FD32" s="17" t="e">
        <v>#N/A</v>
      </c>
      <c r="FE32" s="17" t="e">
        <v>#N/A</v>
      </c>
      <c r="FF32" s="17" t="e">
        <v>#N/A</v>
      </c>
      <c r="FG32" s="17" t="e">
        <v>#N/A</v>
      </c>
      <c r="FH32" s="17" t="e">
        <v>#N/A</v>
      </c>
      <c r="FI32" s="17" t="e">
        <v>#N/A</v>
      </c>
      <c r="FJ32" s="17" t="e">
        <v>#N/A</v>
      </c>
      <c r="FK32" s="17" t="e">
        <v>#N/A</v>
      </c>
      <c r="FL32" s="17" t="e">
        <v>#N/A</v>
      </c>
      <c r="FM32" s="17" t="e">
        <v>#N/A</v>
      </c>
      <c r="FN32" s="17" t="e">
        <v>#N/A</v>
      </c>
      <c r="FO32" s="17" t="e">
        <v>#N/A</v>
      </c>
      <c r="FP32" s="17" t="e">
        <v>#N/A</v>
      </c>
      <c r="FQ32" s="17" t="e">
        <v>#N/A</v>
      </c>
      <c r="FR32" s="17" t="e">
        <v>#N/A</v>
      </c>
      <c r="FS32" s="17" t="e">
        <v>#N/A</v>
      </c>
      <c r="FT32" s="17" t="e">
        <v>#N/A</v>
      </c>
      <c r="FU32" s="17" t="e">
        <v>#N/A</v>
      </c>
      <c r="FV32" s="17" t="e">
        <v>#N/A</v>
      </c>
    </row>
    <row r="33" spans="2:178" ht="11.25" customHeight="1">
      <c r="B33" s="17">
        <v>0</v>
      </c>
      <c r="C33" s="17">
        <v>0</v>
      </c>
      <c r="D33" s="17">
        <v>1</v>
      </c>
      <c r="E33" s="17">
        <v>1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1</v>
      </c>
      <c r="M33" s="17">
        <v>1</v>
      </c>
      <c r="N33" s="17">
        <v>0</v>
      </c>
      <c r="O33" s="17">
        <v>0</v>
      </c>
      <c r="P33" s="17">
        <v>1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1</v>
      </c>
      <c r="W33" s="17">
        <v>0</v>
      </c>
      <c r="X33" s="17">
        <v>1</v>
      </c>
      <c r="Y33" s="17">
        <v>0</v>
      </c>
      <c r="Z33" s="17">
        <v>1</v>
      </c>
      <c r="AA33" s="17">
        <v>0</v>
      </c>
      <c r="AB33" s="17">
        <v>0</v>
      </c>
      <c r="AC33" s="17">
        <v>0</v>
      </c>
      <c r="AD33" s="17">
        <v>0</v>
      </c>
      <c r="AE33" s="17">
        <v>1</v>
      </c>
      <c r="AF33" s="17">
        <v>0</v>
      </c>
      <c r="AG33" s="17">
        <v>0</v>
      </c>
      <c r="AH33" s="17">
        <v>1</v>
      </c>
      <c r="AI33" s="17">
        <v>1</v>
      </c>
      <c r="AJ33" s="17">
        <v>1</v>
      </c>
      <c r="AK33" s="17">
        <v>0</v>
      </c>
      <c r="AL33" s="17">
        <v>0</v>
      </c>
      <c r="AM33" s="17">
        <v>0</v>
      </c>
      <c r="AN33" s="17">
        <v>0</v>
      </c>
      <c r="AO33" s="17">
        <v>1</v>
      </c>
      <c r="AP33" s="17">
        <v>1</v>
      </c>
      <c r="AQ33" s="17">
        <v>1</v>
      </c>
      <c r="AR33" s="17">
        <v>1</v>
      </c>
      <c r="AS33" s="17">
        <v>0</v>
      </c>
      <c r="AT33" s="17">
        <v>1</v>
      </c>
      <c r="AU33" s="17">
        <v>0</v>
      </c>
      <c r="AV33" s="17">
        <v>1</v>
      </c>
      <c r="AW33" s="17">
        <v>0</v>
      </c>
      <c r="AX33" s="17">
        <v>0</v>
      </c>
      <c r="AY33" s="17">
        <v>0</v>
      </c>
      <c r="AZ33" s="17">
        <v>1</v>
      </c>
      <c r="BA33" s="17">
        <v>0</v>
      </c>
      <c r="BB33" s="17">
        <v>0</v>
      </c>
      <c r="BC33" s="17">
        <v>0</v>
      </c>
      <c r="BD33" s="17">
        <v>0</v>
      </c>
      <c r="BE33" s="17">
        <v>0</v>
      </c>
      <c r="BF33" s="17">
        <v>0</v>
      </c>
      <c r="BG33" s="17">
        <v>1</v>
      </c>
      <c r="BH33" s="17">
        <v>0</v>
      </c>
      <c r="BI33" s="17">
        <v>1</v>
      </c>
      <c r="BJ33" s="17">
        <v>0</v>
      </c>
      <c r="BK33" s="17">
        <v>0</v>
      </c>
      <c r="BL33" s="17">
        <v>1</v>
      </c>
      <c r="BM33" s="17">
        <v>0</v>
      </c>
      <c r="BN33" s="17">
        <v>1</v>
      </c>
      <c r="BO33" s="17">
        <v>1</v>
      </c>
      <c r="BP33" s="17">
        <v>1</v>
      </c>
      <c r="BQ33" s="17">
        <v>0</v>
      </c>
      <c r="BR33" s="17">
        <v>1</v>
      </c>
      <c r="BS33" s="17" t="e">
        <v>#N/A</v>
      </c>
      <c r="BT33" s="17" t="e">
        <v>#N/A</v>
      </c>
      <c r="BU33" s="17" t="e">
        <v>#N/A</v>
      </c>
      <c r="BV33" s="17" t="e">
        <v>#N/A</v>
      </c>
      <c r="BW33" s="17" t="e">
        <v>#N/A</v>
      </c>
      <c r="BX33" s="17" t="e">
        <v>#N/A</v>
      </c>
      <c r="BY33" s="17" t="e">
        <v>#N/A</v>
      </c>
      <c r="BZ33" s="17" t="e">
        <v>#N/A</v>
      </c>
      <c r="CA33" s="17" t="e">
        <v>#N/A</v>
      </c>
      <c r="CB33" s="17" t="e">
        <v>#N/A</v>
      </c>
      <c r="CC33" s="17" t="e">
        <v>#N/A</v>
      </c>
      <c r="CD33" s="17" t="e">
        <v>#N/A</v>
      </c>
      <c r="CE33" s="17" t="e">
        <v>#N/A</v>
      </c>
      <c r="CF33" s="17" t="e">
        <v>#N/A</v>
      </c>
      <c r="CG33" s="17" t="e">
        <v>#N/A</v>
      </c>
      <c r="CH33" s="17" t="e">
        <v>#N/A</v>
      </c>
      <c r="CI33" s="17" t="e">
        <v>#N/A</v>
      </c>
      <c r="CJ33" s="17" t="e">
        <v>#N/A</v>
      </c>
      <c r="CK33" s="17" t="e">
        <v>#N/A</v>
      </c>
      <c r="CL33" s="17" t="e">
        <v>#N/A</v>
      </c>
      <c r="CM33" s="17" t="e">
        <v>#N/A</v>
      </c>
      <c r="CN33" s="17" t="e">
        <v>#N/A</v>
      </c>
      <c r="CO33" s="17" t="e">
        <v>#N/A</v>
      </c>
      <c r="CP33" s="17" t="e">
        <v>#N/A</v>
      </c>
      <c r="CQ33" s="17" t="e">
        <v>#N/A</v>
      </c>
      <c r="CR33" s="17" t="e">
        <v>#N/A</v>
      </c>
      <c r="CS33" s="17" t="e">
        <v>#N/A</v>
      </c>
      <c r="CT33" s="17" t="e">
        <v>#N/A</v>
      </c>
      <c r="CU33" s="17" t="e">
        <v>#N/A</v>
      </c>
      <c r="CV33" s="17" t="e">
        <v>#N/A</v>
      </c>
      <c r="CW33" s="17" t="e">
        <v>#N/A</v>
      </c>
      <c r="CX33" s="17" t="e">
        <v>#N/A</v>
      </c>
      <c r="CY33" s="17" t="e">
        <v>#N/A</v>
      </c>
      <c r="CZ33" s="17" t="e">
        <v>#N/A</v>
      </c>
      <c r="DA33" s="17" t="e">
        <v>#N/A</v>
      </c>
      <c r="DB33" s="17" t="e">
        <v>#N/A</v>
      </c>
      <c r="DC33" s="17" t="e">
        <v>#N/A</v>
      </c>
      <c r="DD33" s="17" t="e">
        <v>#N/A</v>
      </c>
      <c r="DE33" s="17" t="e">
        <v>#N/A</v>
      </c>
      <c r="DF33" s="17" t="e">
        <v>#N/A</v>
      </c>
      <c r="DG33" s="17" t="e">
        <v>#N/A</v>
      </c>
      <c r="DH33" s="17" t="e">
        <v>#N/A</v>
      </c>
      <c r="DI33" s="17" t="e">
        <v>#N/A</v>
      </c>
      <c r="DJ33" s="17" t="e">
        <v>#N/A</v>
      </c>
      <c r="DK33" s="17" t="e">
        <v>#N/A</v>
      </c>
      <c r="DL33" s="17" t="e">
        <v>#N/A</v>
      </c>
      <c r="DM33" s="17" t="e">
        <v>#N/A</v>
      </c>
      <c r="DN33" s="17" t="e">
        <v>#N/A</v>
      </c>
      <c r="DO33" s="17" t="e">
        <v>#N/A</v>
      </c>
      <c r="DP33" s="17" t="e">
        <v>#N/A</v>
      </c>
      <c r="DQ33" s="17" t="e">
        <v>#N/A</v>
      </c>
      <c r="DR33" s="17" t="e">
        <v>#N/A</v>
      </c>
      <c r="DS33" s="17" t="e">
        <v>#N/A</v>
      </c>
      <c r="DT33" s="17" t="e">
        <v>#N/A</v>
      </c>
      <c r="DU33" s="17" t="e">
        <v>#N/A</v>
      </c>
      <c r="DV33" s="17" t="e">
        <v>#N/A</v>
      </c>
      <c r="DW33" s="17" t="e">
        <v>#N/A</v>
      </c>
      <c r="DX33" s="17" t="e">
        <v>#N/A</v>
      </c>
      <c r="DY33" s="17" t="e">
        <v>#N/A</v>
      </c>
      <c r="DZ33" s="17" t="e">
        <v>#N/A</v>
      </c>
      <c r="EA33" s="17" t="e">
        <v>#N/A</v>
      </c>
      <c r="EB33" s="17" t="e">
        <v>#N/A</v>
      </c>
      <c r="EC33" s="17" t="e">
        <v>#N/A</v>
      </c>
      <c r="ED33" s="17" t="e">
        <v>#N/A</v>
      </c>
      <c r="EE33" s="17" t="e">
        <v>#N/A</v>
      </c>
      <c r="EF33" s="17" t="e">
        <v>#N/A</v>
      </c>
      <c r="EG33" s="17" t="e">
        <v>#N/A</v>
      </c>
      <c r="EH33" s="17" t="e">
        <v>#N/A</v>
      </c>
      <c r="EI33" s="17" t="e">
        <v>#N/A</v>
      </c>
      <c r="EJ33" s="17" t="e">
        <v>#N/A</v>
      </c>
      <c r="EK33" s="17" t="e">
        <v>#N/A</v>
      </c>
      <c r="EL33" s="17" t="e">
        <v>#N/A</v>
      </c>
      <c r="EM33" s="17" t="e">
        <v>#N/A</v>
      </c>
      <c r="EN33" s="17" t="e">
        <v>#N/A</v>
      </c>
      <c r="EO33" s="17" t="e">
        <v>#N/A</v>
      </c>
      <c r="EP33" s="17" t="e">
        <v>#N/A</v>
      </c>
      <c r="EQ33" s="17" t="e">
        <v>#N/A</v>
      </c>
      <c r="ER33" s="17" t="e">
        <v>#N/A</v>
      </c>
      <c r="ES33" s="17" t="e">
        <v>#N/A</v>
      </c>
      <c r="ET33" s="17" t="e">
        <v>#N/A</v>
      </c>
      <c r="EU33" s="17" t="e">
        <v>#N/A</v>
      </c>
      <c r="EV33" s="17" t="e">
        <v>#N/A</v>
      </c>
      <c r="EW33" s="17" t="e">
        <v>#N/A</v>
      </c>
      <c r="EX33" s="17" t="e">
        <v>#N/A</v>
      </c>
      <c r="EY33" s="17" t="e">
        <v>#N/A</v>
      </c>
      <c r="EZ33" s="17" t="e">
        <v>#N/A</v>
      </c>
      <c r="FA33" s="17" t="e">
        <v>#N/A</v>
      </c>
      <c r="FB33" s="17" t="e">
        <v>#N/A</v>
      </c>
      <c r="FC33" s="17" t="e">
        <v>#N/A</v>
      </c>
      <c r="FD33" s="17" t="e">
        <v>#N/A</v>
      </c>
      <c r="FE33" s="17" t="e">
        <v>#N/A</v>
      </c>
      <c r="FF33" s="17" t="e">
        <v>#N/A</v>
      </c>
      <c r="FG33" s="17" t="e">
        <v>#N/A</v>
      </c>
      <c r="FH33" s="17" t="e">
        <v>#N/A</v>
      </c>
      <c r="FI33" s="17" t="e">
        <v>#N/A</v>
      </c>
      <c r="FJ33" s="17" t="e">
        <v>#N/A</v>
      </c>
      <c r="FK33" s="17" t="e">
        <v>#N/A</v>
      </c>
      <c r="FL33" s="17" t="e">
        <v>#N/A</v>
      </c>
      <c r="FM33" s="17" t="e">
        <v>#N/A</v>
      </c>
      <c r="FN33" s="17" t="e">
        <v>#N/A</v>
      </c>
      <c r="FO33" s="17" t="e">
        <v>#N/A</v>
      </c>
      <c r="FP33" s="17" t="e">
        <v>#N/A</v>
      </c>
      <c r="FQ33" s="17" t="e">
        <v>#N/A</v>
      </c>
      <c r="FR33" s="17" t="e">
        <v>#N/A</v>
      </c>
      <c r="FS33" s="17" t="e">
        <v>#N/A</v>
      </c>
      <c r="FT33" s="17" t="e">
        <v>#N/A</v>
      </c>
      <c r="FU33" s="17" t="e">
        <v>#N/A</v>
      </c>
      <c r="FV33" s="17" t="e">
        <v>#N/A</v>
      </c>
    </row>
    <row r="34" spans="2:178" ht="11.25" customHeight="1">
      <c r="B34" s="17">
        <v>0</v>
      </c>
      <c r="C34" s="17">
        <v>0</v>
      </c>
      <c r="D34" s="17">
        <v>1</v>
      </c>
      <c r="E34" s="17">
        <v>0</v>
      </c>
      <c r="F34" s="17">
        <v>1</v>
      </c>
      <c r="G34" s="17">
        <v>1</v>
      </c>
      <c r="H34" s="17">
        <v>1</v>
      </c>
      <c r="I34" s="17">
        <v>1</v>
      </c>
      <c r="J34" s="17">
        <v>1</v>
      </c>
      <c r="K34" s="17">
        <v>0</v>
      </c>
      <c r="L34" s="17">
        <v>0</v>
      </c>
      <c r="M34" s="17">
        <v>1</v>
      </c>
      <c r="N34" s="17">
        <v>1</v>
      </c>
      <c r="O34" s="17">
        <v>1</v>
      </c>
      <c r="P34" s="17">
        <v>1</v>
      </c>
      <c r="Q34" s="17">
        <v>0</v>
      </c>
      <c r="R34" s="17">
        <v>0</v>
      </c>
      <c r="S34" s="17">
        <v>0</v>
      </c>
      <c r="T34" s="17">
        <v>0</v>
      </c>
      <c r="U34" s="17">
        <v>1</v>
      </c>
      <c r="V34" s="17">
        <v>0</v>
      </c>
      <c r="W34" s="17">
        <v>0</v>
      </c>
      <c r="X34" s="17">
        <v>1</v>
      </c>
      <c r="Y34" s="17">
        <v>0</v>
      </c>
      <c r="Z34" s="17">
        <v>1</v>
      </c>
      <c r="AA34" s="17">
        <v>0</v>
      </c>
      <c r="AB34" s="17">
        <v>0</v>
      </c>
      <c r="AC34" s="17">
        <v>0</v>
      </c>
      <c r="AD34" s="17">
        <v>1</v>
      </c>
      <c r="AE34" s="17">
        <v>0</v>
      </c>
      <c r="AF34" s="17">
        <v>0</v>
      </c>
      <c r="AG34" s="17">
        <v>0</v>
      </c>
      <c r="AH34" s="17">
        <v>1</v>
      </c>
      <c r="AI34" s="17">
        <v>1</v>
      </c>
      <c r="AJ34" s="17">
        <v>1</v>
      </c>
      <c r="AK34" s="17">
        <v>1</v>
      </c>
      <c r="AL34" s="17">
        <v>1</v>
      </c>
      <c r="AM34" s="17">
        <v>0</v>
      </c>
      <c r="AN34" s="17">
        <v>1</v>
      </c>
      <c r="AO34" s="17">
        <v>1</v>
      </c>
      <c r="AP34" s="17">
        <v>1</v>
      </c>
      <c r="AQ34" s="17">
        <v>0</v>
      </c>
      <c r="AR34" s="17">
        <v>1</v>
      </c>
      <c r="AS34" s="17">
        <v>1</v>
      </c>
      <c r="AT34" s="17">
        <v>1</v>
      </c>
      <c r="AU34" s="17">
        <v>1</v>
      </c>
      <c r="AV34" s="17">
        <v>1</v>
      </c>
      <c r="AW34" s="17">
        <v>0</v>
      </c>
      <c r="AX34" s="17">
        <v>0</v>
      </c>
      <c r="AY34" s="17">
        <v>0</v>
      </c>
      <c r="AZ34" s="17">
        <v>1</v>
      </c>
      <c r="BA34" s="17">
        <v>1</v>
      </c>
      <c r="BB34" s="17">
        <v>0</v>
      </c>
      <c r="BC34" s="17">
        <v>0</v>
      </c>
      <c r="BD34" s="17">
        <v>0</v>
      </c>
      <c r="BE34" s="17">
        <v>0</v>
      </c>
      <c r="BF34" s="17">
        <v>0</v>
      </c>
      <c r="BG34" s="17">
        <v>1</v>
      </c>
      <c r="BH34" s="17">
        <v>0</v>
      </c>
      <c r="BI34" s="17">
        <v>1</v>
      </c>
      <c r="BJ34" s="17">
        <v>1</v>
      </c>
      <c r="BK34" s="17">
        <v>1</v>
      </c>
      <c r="BL34" s="17">
        <v>1</v>
      </c>
      <c r="BM34" s="17">
        <v>1</v>
      </c>
      <c r="BN34" s="17">
        <v>1</v>
      </c>
      <c r="BO34" s="17">
        <v>1</v>
      </c>
      <c r="BP34" s="17">
        <v>0</v>
      </c>
      <c r="BQ34" s="17">
        <v>0</v>
      </c>
      <c r="BR34" s="17">
        <v>0</v>
      </c>
      <c r="BS34" s="17" t="e">
        <v>#N/A</v>
      </c>
      <c r="BT34" s="17" t="e">
        <v>#N/A</v>
      </c>
      <c r="BU34" s="17" t="e">
        <v>#N/A</v>
      </c>
      <c r="BV34" s="17" t="e">
        <v>#N/A</v>
      </c>
      <c r="BW34" s="17" t="e">
        <v>#N/A</v>
      </c>
      <c r="BX34" s="17" t="e">
        <v>#N/A</v>
      </c>
      <c r="BY34" s="17" t="e">
        <v>#N/A</v>
      </c>
      <c r="BZ34" s="17" t="e">
        <v>#N/A</v>
      </c>
      <c r="CA34" s="17" t="e">
        <v>#N/A</v>
      </c>
      <c r="CB34" s="17" t="e">
        <v>#N/A</v>
      </c>
      <c r="CC34" s="17" t="e">
        <v>#N/A</v>
      </c>
      <c r="CD34" s="17" t="e">
        <v>#N/A</v>
      </c>
      <c r="CE34" s="17" t="e">
        <v>#N/A</v>
      </c>
      <c r="CF34" s="17" t="e">
        <v>#N/A</v>
      </c>
      <c r="CG34" s="17" t="e">
        <v>#N/A</v>
      </c>
      <c r="CH34" s="17" t="e">
        <v>#N/A</v>
      </c>
      <c r="CI34" s="17" t="e">
        <v>#N/A</v>
      </c>
      <c r="CJ34" s="17" t="e">
        <v>#N/A</v>
      </c>
      <c r="CK34" s="17" t="e">
        <v>#N/A</v>
      </c>
      <c r="CL34" s="17" t="e">
        <v>#N/A</v>
      </c>
      <c r="CM34" s="17" t="e">
        <v>#N/A</v>
      </c>
      <c r="CN34" s="17" t="e">
        <v>#N/A</v>
      </c>
      <c r="CO34" s="17" t="e">
        <v>#N/A</v>
      </c>
      <c r="CP34" s="17" t="e">
        <v>#N/A</v>
      </c>
      <c r="CQ34" s="17" t="e">
        <v>#N/A</v>
      </c>
      <c r="CR34" s="17" t="e">
        <v>#N/A</v>
      </c>
      <c r="CS34" s="17" t="e">
        <v>#N/A</v>
      </c>
      <c r="CT34" s="17" t="e">
        <v>#N/A</v>
      </c>
      <c r="CU34" s="17" t="e">
        <v>#N/A</v>
      </c>
      <c r="CV34" s="17" t="e">
        <v>#N/A</v>
      </c>
      <c r="CW34" s="17" t="e">
        <v>#N/A</v>
      </c>
      <c r="CX34" s="17" t="e">
        <v>#N/A</v>
      </c>
      <c r="CY34" s="17" t="e">
        <v>#N/A</v>
      </c>
      <c r="CZ34" s="17" t="e">
        <v>#N/A</v>
      </c>
      <c r="DA34" s="17" t="e">
        <v>#N/A</v>
      </c>
      <c r="DB34" s="17" t="e">
        <v>#N/A</v>
      </c>
      <c r="DC34" s="17" t="e">
        <v>#N/A</v>
      </c>
      <c r="DD34" s="17" t="e">
        <v>#N/A</v>
      </c>
      <c r="DE34" s="17" t="e">
        <v>#N/A</v>
      </c>
      <c r="DF34" s="17" t="e">
        <v>#N/A</v>
      </c>
      <c r="DG34" s="17" t="e">
        <v>#N/A</v>
      </c>
      <c r="DH34" s="17" t="e">
        <v>#N/A</v>
      </c>
      <c r="DI34" s="17" t="e">
        <v>#N/A</v>
      </c>
      <c r="DJ34" s="17" t="e">
        <v>#N/A</v>
      </c>
      <c r="DK34" s="17" t="e">
        <v>#N/A</v>
      </c>
      <c r="DL34" s="17" t="e">
        <v>#N/A</v>
      </c>
      <c r="DM34" s="17" t="e">
        <v>#N/A</v>
      </c>
      <c r="DN34" s="17" t="e">
        <v>#N/A</v>
      </c>
      <c r="DO34" s="17" t="e">
        <v>#N/A</v>
      </c>
      <c r="DP34" s="17" t="e">
        <v>#N/A</v>
      </c>
      <c r="DQ34" s="17" t="e">
        <v>#N/A</v>
      </c>
      <c r="DR34" s="17" t="e">
        <v>#N/A</v>
      </c>
      <c r="DS34" s="17" t="e">
        <v>#N/A</v>
      </c>
      <c r="DT34" s="17" t="e">
        <v>#N/A</v>
      </c>
      <c r="DU34" s="17" t="e">
        <v>#N/A</v>
      </c>
      <c r="DV34" s="17" t="e">
        <v>#N/A</v>
      </c>
      <c r="DW34" s="17" t="e">
        <v>#N/A</v>
      </c>
      <c r="DX34" s="17" t="e">
        <v>#N/A</v>
      </c>
      <c r="DY34" s="17" t="e">
        <v>#N/A</v>
      </c>
      <c r="DZ34" s="17" t="e">
        <v>#N/A</v>
      </c>
      <c r="EA34" s="17" t="e">
        <v>#N/A</v>
      </c>
      <c r="EB34" s="17" t="e">
        <v>#N/A</v>
      </c>
      <c r="EC34" s="17" t="e">
        <v>#N/A</v>
      </c>
      <c r="ED34" s="17" t="e">
        <v>#N/A</v>
      </c>
      <c r="EE34" s="17" t="e">
        <v>#N/A</v>
      </c>
      <c r="EF34" s="17" t="e">
        <v>#N/A</v>
      </c>
      <c r="EG34" s="17" t="e">
        <v>#N/A</v>
      </c>
      <c r="EH34" s="17" t="e">
        <v>#N/A</v>
      </c>
      <c r="EI34" s="17" t="e">
        <v>#N/A</v>
      </c>
      <c r="EJ34" s="17" t="e">
        <v>#N/A</v>
      </c>
      <c r="EK34" s="17" t="e">
        <v>#N/A</v>
      </c>
      <c r="EL34" s="17" t="e">
        <v>#N/A</v>
      </c>
      <c r="EM34" s="17" t="e">
        <v>#N/A</v>
      </c>
      <c r="EN34" s="17" t="e">
        <v>#N/A</v>
      </c>
      <c r="EO34" s="17" t="e">
        <v>#N/A</v>
      </c>
      <c r="EP34" s="17" t="e">
        <v>#N/A</v>
      </c>
      <c r="EQ34" s="17" t="e">
        <v>#N/A</v>
      </c>
      <c r="ER34" s="17" t="e">
        <v>#N/A</v>
      </c>
      <c r="ES34" s="17" t="e">
        <v>#N/A</v>
      </c>
      <c r="ET34" s="17" t="e">
        <v>#N/A</v>
      </c>
      <c r="EU34" s="17" t="e">
        <v>#N/A</v>
      </c>
      <c r="EV34" s="17" t="e">
        <v>#N/A</v>
      </c>
      <c r="EW34" s="17" t="e">
        <v>#N/A</v>
      </c>
      <c r="EX34" s="17" t="e">
        <v>#N/A</v>
      </c>
      <c r="EY34" s="17" t="e">
        <v>#N/A</v>
      </c>
      <c r="EZ34" s="17" t="e">
        <v>#N/A</v>
      </c>
      <c r="FA34" s="17" t="e">
        <v>#N/A</v>
      </c>
      <c r="FB34" s="17" t="e">
        <v>#N/A</v>
      </c>
      <c r="FC34" s="17" t="e">
        <v>#N/A</v>
      </c>
      <c r="FD34" s="17" t="e">
        <v>#N/A</v>
      </c>
      <c r="FE34" s="17" t="e">
        <v>#N/A</v>
      </c>
      <c r="FF34" s="17" t="e">
        <v>#N/A</v>
      </c>
      <c r="FG34" s="17" t="e">
        <v>#N/A</v>
      </c>
      <c r="FH34" s="17" t="e">
        <v>#N/A</v>
      </c>
      <c r="FI34" s="17" t="e">
        <v>#N/A</v>
      </c>
      <c r="FJ34" s="17" t="e">
        <v>#N/A</v>
      </c>
      <c r="FK34" s="17" t="e">
        <v>#N/A</v>
      </c>
      <c r="FL34" s="17" t="e">
        <v>#N/A</v>
      </c>
      <c r="FM34" s="17" t="e">
        <v>#N/A</v>
      </c>
      <c r="FN34" s="17" t="e">
        <v>#N/A</v>
      </c>
      <c r="FO34" s="17" t="e">
        <v>#N/A</v>
      </c>
      <c r="FP34" s="17" t="e">
        <v>#N/A</v>
      </c>
      <c r="FQ34" s="17" t="e">
        <v>#N/A</v>
      </c>
      <c r="FR34" s="17" t="e">
        <v>#N/A</v>
      </c>
      <c r="FS34" s="17" t="e">
        <v>#N/A</v>
      </c>
      <c r="FT34" s="17" t="e">
        <v>#N/A</v>
      </c>
      <c r="FU34" s="17" t="e">
        <v>#N/A</v>
      </c>
      <c r="FV34" s="17" t="e">
        <v>#N/A</v>
      </c>
    </row>
    <row r="35" spans="2:178" ht="11.25" customHeight="1">
      <c r="B35" s="17">
        <v>0</v>
      </c>
      <c r="C35" s="17">
        <v>0</v>
      </c>
      <c r="D35" s="17">
        <v>1</v>
      </c>
      <c r="E35" s="17">
        <v>0</v>
      </c>
      <c r="F35" s="17">
        <v>1</v>
      </c>
      <c r="G35" s="17">
        <v>0</v>
      </c>
      <c r="H35" s="17">
        <v>0</v>
      </c>
      <c r="I35" s="17">
        <v>0</v>
      </c>
      <c r="J35" s="17">
        <v>1</v>
      </c>
      <c r="K35" s="17">
        <v>1</v>
      </c>
      <c r="L35" s="17">
        <v>1</v>
      </c>
      <c r="M35" s="17">
        <v>1</v>
      </c>
      <c r="N35" s="17">
        <v>1</v>
      </c>
      <c r="O35" s="17">
        <v>1</v>
      </c>
      <c r="P35" s="17">
        <v>0</v>
      </c>
      <c r="Q35" s="17">
        <v>1</v>
      </c>
      <c r="R35" s="17">
        <v>1</v>
      </c>
      <c r="S35" s="17">
        <v>0</v>
      </c>
      <c r="T35" s="17">
        <v>1</v>
      </c>
      <c r="U35" s="17">
        <v>1</v>
      </c>
      <c r="V35" s="17">
        <v>0</v>
      </c>
      <c r="W35" s="17">
        <v>1</v>
      </c>
      <c r="X35" s="17">
        <v>1</v>
      </c>
      <c r="Y35" s="17">
        <v>0</v>
      </c>
      <c r="Z35" s="17">
        <v>0</v>
      </c>
      <c r="AA35" s="17">
        <v>1</v>
      </c>
      <c r="AB35" s="17">
        <v>0</v>
      </c>
      <c r="AC35" s="17">
        <v>1</v>
      </c>
      <c r="AD35" s="17">
        <v>0</v>
      </c>
      <c r="AE35" s="17">
        <v>0</v>
      </c>
      <c r="AF35" s="17">
        <v>0</v>
      </c>
      <c r="AG35" s="17">
        <v>1</v>
      </c>
      <c r="AH35" s="17">
        <v>1</v>
      </c>
      <c r="AI35" s="17">
        <v>0</v>
      </c>
      <c r="AJ35" s="17">
        <v>0</v>
      </c>
      <c r="AK35" s="17">
        <v>0</v>
      </c>
      <c r="AL35" s="17">
        <v>1</v>
      </c>
      <c r="AM35" s="17">
        <v>0</v>
      </c>
      <c r="AN35" s="17">
        <v>0</v>
      </c>
      <c r="AO35" s="17">
        <v>1</v>
      </c>
      <c r="AP35" s="17">
        <v>0</v>
      </c>
      <c r="AQ35" s="17">
        <v>0</v>
      </c>
      <c r="AR35" s="17">
        <v>1</v>
      </c>
      <c r="AS35" s="17">
        <v>0</v>
      </c>
      <c r="AT35" s="17">
        <v>0</v>
      </c>
      <c r="AU35" s="17">
        <v>1</v>
      </c>
      <c r="AV35" s="17">
        <v>1</v>
      </c>
      <c r="AW35" s="17">
        <v>1</v>
      </c>
      <c r="AX35" s="17">
        <v>0</v>
      </c>
      <c r="AY35" s="17">
        <v>1</v>
      </c>
      <c r="AZ35" s="17">
        <v>1</v>
      </c>
      <c r="BA35" s="17">
        <v>0</v>
      </c>
      <c r="BB35" s="17">
        <v>1</v>
      </c>
      <c r="BC35" s="17">
        <v>0</v>
      </c>
      <c r="BD35" s="17">
        <v>0</v>
      </c>
      <c r="BE35" s="17">
        <v>1</v>
      </c>
      <c r="BF35" s="17">
        <v>0</v>
      </c>
      <c r="BG35" s="17">
        <v>1</v>
      </c>
      <c r="BH35" s="17">
        <v>0</v>
      </c>
      <c r="BI35" s="17">
        <v>1</v>
      </c>
      <c r="BJ35" s="17">
        <v>1</v>
      </c>
      <c r="BK35" s="17">
        <v>0</v>
      </c>
      <c r="BL35" s="17">
        <v>0</v>
      </c>
      <c r="BM35" s="17">
        <v>0</v>
      </c>
      <c r="BN35" s="17">
        <v>1</v>
      </c>
      <c r="BO35" s="17">
        <v>1</v>
      </c>
      <c r="BP35" s="17">
        <v>0</v>
      </c>
      <c r="BQ35" s="17">
        <v>0</v>
      </c>
      <c r="BR35" s="17">
        <v>0</v>
      </c>
      <c r="BS35" s="17" t="e">
        <v>#N/A</v>
      </c>
      <c r="BT35" s="17" t="e">
        <v>#N/A</v>
      </c>
      <c r="BU35" s="17" t="e">
        <v>#N/A</v>
      </c>
      <c r="BV35" s="17" t="e">
        <v>#N/A</v>
      </c>
      <c r="BW35" s="17" t="e">
        <v>#N/A</v>
      </c>
      <c r="BX35" s="17" t="e">
        <v>#N/A</v>
      </c>
      <c r="BY35" s="17" t="e">
        <v>#N/A</v>
      </c>
      <c r="BZ35" s="17" t="e">
        <v>#N/A</v>
      </c>
      <c r="CA35" s="17" t="e">
        <v>#N/A</v>
      </c>
      <c r="CB35" s="17" t="e">
        <v>#N/A</v>
      </c>
      <c r="CC35" s="17" t="e">
        <v>#N/A</v>
      </c>
      <c r="CD35" s="17" t="e">
        <v>#N/A</v>
      </c>
      <c r="CE35" s="17" t="e">
        <v>#N/A</v>
      </c>
      <c r="CF35" s="17" t="e">
        <v>#N/A</v>
      </c>
      <c r="CG35" s="17" t="e">
        <v>#N/A</v>
      </c>
      <c r="CH35" s="17" t="e">
        <v>#N/A</v>
      </c>
      <c r="CI35" s="17" t="e">
        <v>#N/A</v>
      </c>
      <c r="CJ35" s="17" t="e">
        <v>#N/A</v>
      </c>
      <c r="CK35" s="17" t="e">
        <v>#N/A</v>
      </c>
      <c r="CL35" s="17" t="e">
        <v>#N/A</v>
      </c>
      <c r="CM35" s="17" t="e">
        <v>#N/A</v>
      </c>
      <c r="CN35" s="17" t="e">
        <v>#N/A</v>
      </c>
      <c r="CO35" s="17" t="e">
        <v>#N/A</v>
      </c>
      <c r="CP35" s="17" t="e">
        <v>#N/A</v>
      </c>
      <c r="CQ35" s="17" t="e">
        <v>#N/A</v>
      </c>
      <c r="CR35" s="17" t="e">
        <v>#N/A</v>
      </c>
      <c r="CS35" s="17" t="e">
        <v>#N/A</v>
      </c>
      <c r="CT35" s="17" t="e">
        <v>#N/A</v>
      </c>
      <c r="CU35" s="17" t="e">
        <v>#N/A</v>
      </c>
      <c r="CV35" s="17" t="e">
        <v>#N/A</v>
      </c>
      <c r="CW35" s="17" t="e">
        <v>#N/A</v>
      </c>
      <c r="CX35" s="17" t="e">
        <v>#N/A</v>
      </c>
      <c r="CY35" s="17" t="e">
        <v>#N/A</v>
      </c>
      <c r="CZ35" s="17" t="e">
        <v>#N/A</v>
      </c>
      <c r="DA35" s="17" t="e">
        <v>#N/A</v>
      </c>
      <c r="DB35" s="17" t="e">
        <v>#N/A</v>
      </c>
      <c r="DC35" s="17" t="e">
        <v>#N/A</v>
      </c>
      <c r="DD35" s="17" t="e">
        <v>#N/A</v>
      </c>
      <c r="DE35" s="17" t="e">
        <v>#N/A</v>
      </c>
      <c r="DF35" s="17" t="e">
        <v>#N/A</v>
      </c>
      <c r="DG35" s="17" t="e">
        <v>#N/A</v>
      </c>
      <c r="DH35" s="17" t="e">
        <v>#N/A</v>
      </c>
      <c r="DI35" s="17" t="e">
        <v>#N/A</v>
      </c>
      <c r="DJ35" s="17" t="e">
        <v>#N/A</v>
      </c>
      <c r="DK35" s="17" t="e">
        <v>#N/A</v>
      </c>
      <c r="DL35" s="17" t="e">
        <v>#N/A</v>
      </c>
      <c r="DM35" s="17" t="e">
        <v>#N/A</v>
      </c>
      <c r="DN35" s="17" t="e">
        <v>#N/A</v>
      </c>
      <c r="DO35" s="17" t="e">
        <v>#N/A</v>
      </c>
      <c r="DP35" s="17" t="e">
        <v>#N/A</v>
      </c>
      <c r="DQ35" s="17" t="e">
        <v>#N/A</v>
      </c>
      <c r="DR35" s="17" t="e">
        <v>#N/A</v>
      </c>
      <c r="DS35" s="17" t="e">
        <v>#N/A</v>
      </c>
      <c r="DT35" s="17" t="e">
        <v>#N/A</v>
      </c>
      <c r="DU35" s="17" t="e">
        <v>#N/A</v>
      </c>
      <c r="DV35" s="17" t="e">
        <v>#N/A</v>
      </c>
      <c r="DW35" s="17" t="e">
        <v>#N/A</v>
      </c>
      <c r="DX35" s="17" t="e">
        <v>#N/A</v>
      </c>
      <c r="DY35" s="17" t="e">
        <v>#N/A</v>
      </c>
      <c r="DZ35" s="17" t="e">
        <v>#N/A</v>
      </c>
      <c r="EA35" s="17" t="e">
        <v>#N/A</v>
      </c>
      <c r="EB35" s="17" t="e">
        <v>#N/A</v>
      </c>
      <c r="EC35" s="17" t="e">
        <v>#N/A</v>
      </c>
      <c r="ED35" s="17" t="e">
        <v>#N/A</v>
      </c>
      <c r="EE35" s="17" t="e">
        <v>#N/A</v>
      </c>
      <c r="EF35" s="17" t="e">
        <v>#N/A</v>
      </c>
      <c r="EG35" s="17" t="e">
        <v>#N/A</v>
      </c>
      <c r="EH35" s="17" t="e">
        <v>#N/A</v>
      </c>
      <c r="EI35" s="17" t="e">
        <v>#N/A</v>
      </c>
      <c r="EJ35" s="17" t="e">
        <v>#N/A</v>
      </c>
      <c r="EK35" s="17" t="e">
        <v>#N/A</v>
      </c>
      <c r="EL35" s="17" t="e">
        <v>#N/A</v>
      </c>
      <c r="EM35" s="17" t="e">
        <v>#N/A</v>
      </c>
      <c r="EN35" s="17" t="e">
        <v>#N/A</v>
      </c>
      <c r="EO35" s="17" t="e">
        <v>#N/A</v>
      </c>
      <c r="EP35" s="17" t="e">
        <v>#N/A</v>
      </c>
      <c r="EQ35" s="17" t="e">
        <v>#N/A</v>
      </c>
      <c r="ER35" s="17" t="e">
        <v>#N/A</v>
      </c>
      <c r="ES35" s="17" t="e">
        <v>#N/A</v>
      </c>
      <c r="ET35" s="17" t="e">
        <v>#N/A</v>
      </c>
      <c r="EU35" s="17" t="e">
        <v>#N/A</v>
      </c>
      <c r="EV35" s="17" t="e">
        <v>#N/A</v>
      </c>
      <c r="EW35" s="17" t="e">
        <v>#N/A</v>
      </c>
      <c r="EX35" s="17" t="e">
        <v>#N/A</v>
      </c>
      <c r="EY35" s="17" t="e">
        <v>#N/A</v>
      </c>
      <c r="EZ35" s="17" t="e">
        <v>#N/A</v>
      </c>
      <c r="FA35" s="17" t="e">
        <v>#N/A</v>
      </c>
      <c r="FB35" s="17" t="e">
        <v>#N/A</v>
      </c>
      <c r="FC35" s="17" t="e">
        <v>#N/A</v>
      </c>
      <c r="FD35" s="17" t="e">
        <v>#N/A</v>
      </c>
      <c r="FE35" s="17" t="e">
        <v>#N/A</v>
      </c>
      <c r="FF35" s="17" t="e">
        <v>#N/A</v>
      </c>
      <c r="FG35" s="17" t="e">
        <v>#N/A</v>
      </c>
      <c r="FH35" s="17" t="e">
        <v>#N/A</v>
      </c>
      <c r="FI35" s="17" t="e">
        <v>#N/A</v>
      </c>
      <c r="FJ35" s="17" t="e">
        <v>#N/A</v>
      </c>
      <c r="FK35" s="17" t="e">
        <v>#N/A</v>
      </c>
      <c r="FL35" s="17" t="e">
        <v>#N/A</v>
      </c>
      <c r="FM35" s="17" t="e">
        <v>#N/A</v>
      </c>
      <c r="FN35" s="17" t="e">
        <v>#N/A</v>
      </c>
      <c r="FO35" s="17" t="e">
        <v>#N/A</v>
      </c>
      <c r="FP35" s="17" t="e">
        <v>#N/A</v>
      </c>
      <c r="FQ35" s="17" t="e">
        <v>#N/A</v>
      </c>
      <c r="FR35" s="17" t="e">
        <v>#N/A</v>
      </c>
      <c r="FS35" s="17" t="e">
        <v>#N/A</v>
      </c>
      <c r="FT35" s="17" t="e">
        <v>#N/A</v>
      </c>
      <c r="FU35" s="17" t="e">
        <v>#N/A</v>
      </c>
      <c r="FV35" s="17" t="e">
        <v>#N/A</v>
      </c>
    </row>
    <row r="36" spans="2:178" ht="11.25" customHeight="1">
      <c r="B36" s="17">
        <v>1</v>
      </c>
      <c r="C36" s="17">
        <v>1</v>
      </c>
      <c r="D36" s="17">
        <v>1</v>
      </c>
      <c r="E36" s="17">
        <v>1</v>
      </c>
      <c r="F36" s="17">
        <v>1</v>
      </c>
      <c r="G36" s="17">
        <v>0</v>
      </c>
      <c r="H36" s="17">
        <v>1</v>
      </c>
      <c r="I36" s="17">
        <v>0</v>
      </c>
      <c r="J36" s="17">
        <v>1</v>
      </c>
      <c r="K36" s="17">
        <v>1</v>
      </c>
      <c r="L36" s="17">
        <v>0</v>
      </c>
      <c r="M36" s="17">
        <v>0</v>
      </c>
      <c r="N36" s="17">
        <v>0</v>
      </c>
      <c r="O36" s="17">
        <v>1</v>
      </c>
      <c r="P36" s="17">
        <v>1</v>
      </c>
      <c r="Q36" s="17">
        <v>1</v>
      </c>
      <c r="R36" s="17">
        <v>0</v>
      </c>
      <c r="S36" s="17">
        <v>1</v>
      </c>
      <c r="T36" s="17">
        <v>1</v>
      </c>
      <c r="U36" s="17">
        <v>0</v>
      </c>
      <c r="V36" s="17">
        <v>0</v>
      </c>
      <c r="W36" s="17">
        <v>0</v>
      </c>
      <c r="X36" s="17">
        <v>1</v>
      </c>
      <c r="Y36" s="17">
        <v>1</v>
      </c>
      <c r="Z36" s="17">
        <v>1</v>
      </c>
      <c r="AA36" s="17">
        <v>0</v>
      </c>
      <c r="AB36" s="17">
        <v>0</v>
      </c>
      <c r="AC36" s="17">
        <v>0</v>
      </c>
      <c r="AD36" s="17">
        <v>0</v>
      </c>
      <c r="AE36" s="17">
        <v>1</v>
      </c>
      <c r="AF36" s="17">
        <v>1</v>
      </c>
      <c r="AG36" s="17">
        <v>1</v>
      </c>
      <c r="AH36" s="17">
        <v>1</v>
      </c>
      <c r="AI36" s="17">
        <v>0</v>
      </c>
      <c r="AJ36" s="17">
        <v>1</v>
      </c>
      <c r="AK36" s="17">
        <v>0</v>
      </c>
      <c r="AL36" s="17">
        <v>1</v>
      </c>
      <c r="AM36" s="17">
        <v>1</v>
      </c>
      <c r="AN36" s="17">
        <v>1</v>
      </c>
      <c r="AO36" s="17">
        <v>1</v>
      </c>
      <c r="AP36" s="17">
        <v>1</v>
      </c>
      <c r="AQ36" s="17">
        <v>1</v>
      </c>
      <c r="AR36" s="17">
        <v>0</v>
      </c>
      <c r="AS36" s="17">
        <v>1</v>
      </c>
      <c r="AT36" s="17">
        <v>1</v>
      </c>
      <c r="AU36" s="17">
        <v>1</v>
      </c>
      <c r="AV36" s="17">
        <v>0</v>
      </c>
      <c r="AW36" s="17">
        <v>1</v>
      </c>
      <c r="AX36" s="17">
        <v>1</v>
      </c>
      <c r="AY36" s="17">
        <v>0</v>
      </c>
      <c r="AZ36" s="17">
        <v>1</v>
      </c>
      <c r="BA36" s="17">
        <v>0</v>
      </c>
      <c r="BB36" s="17">
        <v>0</v>
      </c>
      <c r="BC36" s="17">
        <v>1</v>
      </c>
      <c r="BD36" s="17">
        <v>1</v>
      </c>
      <c r="BE36" s="17">
        <v>1</v>
      </c>
      <c r="BF36" s="17">
        <v>1</v>
      </c>
      <c r="BG36" s="17">
        <v>0</v>
      </c>
      <c r="BH36" s="17">
        <v>1</v>
      </c>
      <c r="BI36" s="17">
        <v>0</v>
      </c>
      <c r="BJ36" s="17">
        <v>1</v>
      </c>
      <c r="BK36" s="17">
        <v>0</v>
      </c>
      <c r="BL36" s="17">
        <v>1</v>
      </c>
      <c r="BM36" s="17">
        <v>0</v>
      </c>
      <c r="BN36" s="17">
        <v>1</v>
      </c>
      <c r="BO36" s="17">
        <v>0</v>
      </c>
      <c r="BP36" s="17">
        <v>0</v>
      </c>
      <c r="BQ36" s="17">
        <v>1</v>
      </c>
      <c r="BR36" s="17">
        <v>0</v>
      </c>
      <c r="BS36" s="17" t="e">
        <v>#N/A</v>
      </c>
      <c r="BT36" s="17" t="e">
        <v>#N/A</v>
      </c>
      <c r="BU36" s="17" t="e">
        <v>#N/A</v>
      </c>
      <c r="BV36" s="17" t="e">
        <v>#N/A</v>
      </c>
      <c r="BW36" s="17" t="e">
        <v>#N/A</v>
      </c>
      <c r="BX36" s="17" t="e">
        <v>#N/A</v>
      </c>
      <c r="BY36" s="17" t="e">
        <v>#N/A</v>
      </c>
      <c r="BZ36" s="17" t="e">
        <v>#N/A</v>
      </c>
      <c r="CA36" s="17" t="e">
        <v>#N/A</v>
      </c>
      <c r="CB36" s="17" t="e">
        <v>#N/A</v>
      </c>
      <c r="CC36" s="17" t="e">
        <v>#N/A</v>
      </c>
      <c r="CD36" s="17" t="e">
        <v>#N/A</v>
      </c>
      <c r="CE36" s="17" t="e">
        <v>#N/A</v>
      </c>
      <c r="CF36" s="17" t="e">
        <v>#N/A</v>
      </c>
      <c r="CG36" s="17" t="e">
        <v>#N/A</v>
      </c>
      <c r="CH36" s="17" t="e">
        <v>#N/A</v>
      </c>
      <c r="CI36" s="17" t="e">
        <v>#N/A</v>
      </c>
      <c r="CJ36" s="17" t="e">
        <v>#N/A</v>
      </c>
      <c r="CK36" s="17" t="e">
        <v>#N/A</v>
      </c>
      <c r="CL36" s="17" t="e">
        <v>#N/A</v>
      </c>
      <c r="CM36" s="17" t="e">
        <v>#N/A</v>
      </c>
      <c r="CN36" s="17" t="e">
        <v>#N/A</v>
      </c>
      <c r="CO36" s="17" t="e">
        <v>#N/A</v>
      </c>
      <c r="CP36" s="17" t="e">
        <v>#N/A</v>
      </c>
      <c r="CQ36" s="17" t="e">
        <v>#N/A</v>
      </c>
      <c r="CR36" s="17" t="e">
        <v>#N/A</v>
      </c>
      <c r="CS36" s="17" t="e">
        <v>#N/A</v>
      </c>
      <c r="CT36" s="17" t="e">
        <v>#N/A</v>
      </c>
      <c r="CU36" s="17" t="e">
        <v>#N/A</v>
      </c>
      <c r="CV36" s="17" t="e">
        <v>#N/A</v>
      </c>
      <c r="CW36" s="17" t="e">
        <v>#N/A</v>
      </c>
      <c r="CX36" s="17" t="e">
        <v>#N/A</v>
      </c>
      <c r="CY36" s="17" t="e">
        <v>#N/A</v>
      </c>
      <c r="CZ36" s="17" t="e">
        <v>#N/A</v>
      </c>
      <c r="DA36" s="17" t="e">
        <v>#N/A</v>
      </c>
      <c r="DB36" s="17" t="e">
        <v>#N/A</v>
      </c>
      <c r="DC36" s="17" t="e">
        <v>#N/A</v>
      </c>
      <c r="DD36" s="17" t="e">
        <v>#N/A</v>
      </c>
      <c r="DE36" s="17" t="e">
        <v>#N/A</v>
      </c>
      <c r="DF36" s="17" t="e">
        <v>#N/A</v>
      </c>
      <c r="DG36" s="17" t="e">
        <v>#N/A</v>
      </c>
      <c r="DH36" s="17" t="e">
        <v>#N/A</v>
      </c>
      <c r="DI36" s="17" t="e">
        <v>#N/A</v>
      </c>
      <c r="DJ36" s="17" t="e">
        <v>#N/A</v>
      </c>
      <c r="DK36" s="17" t="e">
        <v>#N/A</v>
      </c>
      <c r="DL36" s="17" t="e">
        <v>#N/A</v>
      </c>
      <c r="DM36" s="17" t="e">
        <v>#N/A</v>
      </c>
      <c r="DN36" s="17" t="e">
        <v>#N/A</v>
      </c>
      <c r="DO36" s="17" t="e">
        <v>#N/A</v>
      </c>
      <c r="DP36" s="17" t="e">
        <v>#N/A</v>
      </c>
      <c r="DQ36" s="17" t="e">
        <v>#N/A</v>
      </c>
      <c r="DR36" s="17" t="e">
        <v>#N/A</v>
      </c>
      <c r="DS36" s="17" t="e">
        <v>#N/A</v>
      </c>
      <c r="DT36" s="17" t="e">
        <v>#N/A</v>
      </c>
      <c r="DU36" s="17" t="e">
        <v>#N/A</v>
      </c>
      <c r="DV36" s="17" t="e">
        <v>#N/A</v>
      </c>
      <c r="DW36" s="17" t="e">
        <v>#N/A</v>
      </c>
      <c r="DX36" s="17" t="e">
        <v>#N/A</v>
      </c>
      <c r="DY36" s="17" t="e">
        <v>#N/A</v>
      </c>
      <c r="DZ36" s="17" t="e">
        <v>#N/A</v>
      </c>
      <c r="EA36" s="17" t="e">
        <v>#N/A</v>
      </c>
      <c r="EB36" s="17" t="e">
        <v>#N/A</v>
      </c>
      <c r="EC36" s="17" t="e">
        <v>#N/A</v>
      </c>
      <c r="ED36" s="17" t="e">
        <v>#N/A</v>
      </c>
      <c r="EE36" s="17" t="e">
        <v>#N/A</v>
      </c>
      <c r="EF36" s="17" t="e">
        <v>#N/A</v>
      </c>
      <c r="EG36" s="17" t="e">
        <v>#N/A</v>
      </c>
      <c r="EH36" s="17" t="e">
        <v>#N/A</v>
      </c>
      <c r="EI36" s="17" t="e">
        <v>#N/A</v>
      </c>
      <c r="EJ36" s="17" t="e">
        <v>#N/A</v>
      </c>
      <c r="EK36" s="17" t="e">
        <v>#N/A</v>
      </c>
      <c r="EL36" s="17" t="e">
        <v>#N/A</v>
      </c>
      <c r="EM36" s="17" t="e">
        <v>#N/A</v>
      </c>
      <c r="EN36" s="17" t="e">
        <v>#N/A</v>
      </c>
      <c r="EO36" s="17" t="e">
        <v>#N/A</v>
      </c>
      <c r="EP36" s="17" t="e">
        <v>#N/A</v>
      </c>
      <c r="EQ36" s="17" t="e">
        <v>#N/A</v>
      </c>
      <c r="ER36" s="17" t="e">
        <v>#N/A</v>
      </c>
      <c r="ES36" s="17" t="e">
        <v>#N/A</v>
      </c>
      <c r="ET36" s="17" t="e">
        <v>#N/A</v>
      </c>
      <c r="EU36" s="17" t="e">
        <v>#N/A</v>
      </c>
      <c r="EV36" s="17" t="e">
        <v>#N/A</v>
      </c>
      <c r="EW36" s="17" t="e">
        <v>#N/A</v>
      </c>
      <c r="EX36" s="17" t="e">
        <v>#N/A</v>
      </c>
      <c r="EY36" s="17" t="e">
        <v>#N/A</v>
      </c>
      <c r="EZ36" s="17" t="e">
        <v>#N/A</v>
      </c>
      <c r="FA36" s="17" t="e">
        <v>#N/A</v>
      </c>
      <c r="FB36" s="17" t="e">
        <v>#N/A</v>
      </c>
      <c r="FC36" s="17" t="e">
        <v>#N/A</v>
      </c>
      <c r="FD36" s="17" t="e">
        <v>#N/A</v>
      </c>
      <c r="FE36" s="17" t="e">
        <v>#N/A</v>
      </c>
      <c r="FF36" s="17" t="e">
        <v>#N/A</v>
      </c>
      <c r="FG36" s="17" t="e">
        <v>#N/A</v>
      </c>
      <c r="FH36" s="17" t="e">
        <v>#N/A</v>
      </c>
      <c r="FI36" s="17" t="e">
        <v>#N/A</v>
      </c>
      <c r="FJ36" s="17" t="e">
        <v>#N/A</v>
      </c>
      <c r="FK36" s="17" t="e">
        <v>#N/A</v>
      </c>
      <c r="FL36" s="17" t="e">
        <v>#N/A</v>
      </c>
      <c r="FM36" s="17" t="e">
        <v>#N/A</v>
      </c>
      <c r="FN36" s="17" t="e">
        <v>#N/A</v>
      </c>
      <c r="FO36" s="17" t="e">
        <v>#N/A</v>
      </c>
      <c r="FP36" s="17" t="e">
        <v>#N/A</v>
      </c>
      <c r="FQ36" s="17" t="e">
        <v>#N/A</v>
      </c>
      <c r="FR36" s="17" t="e">
        <v>#N/A</v>
      </c>
      <c r="FS36" s="17" t="e">
        <v>#N/A</v>
      </c>
      <c r="FT36" s="17" t="e">
        <v>#N/A</v>
      </c>
      <c r="FU36" s="17" t="e">
        <v>#N/A</v>
      </c>
      <c r="FV36" s="17" t="e">
        <v>#N/A</v>
      </c>
    </row>
    <row r="37" spans="2:178" ht="11.25" customHeight="1">
      <c r="B37" s="17">
        <v>1</v>
      </c>
      <c r="C37" s="17">
        <v>1</v>
      </c>
      <c r="D37" s="17">
        <v>1</v>
      </c>
      <c r="E37" s="17">
        <v>1</v>
      </c>
      <c r="F37" s="17">
        <v>1</v>
      </c>
      <c r="G37" s="17">
        <v>0</v>
      </c>
      <c r="H37" s="17">
        <v>0</v>
      </c>
      <c r="I37" s="17">
        <v>0</v>
      </c>
      <c r="J37" s="17">
        <v>1</v>
      </c>
      <c r="K37" s="17">
        <v>1</v>
      </c>
      <c r="L37" s="17">
        <v>1</v>
      </c>
      <c r="M37" s="17">
        <v>1</v>
      </c>
      <c r="N37" s="17">
        <v>1</v>
      </c>
      <c r="O37" s="17">
        <v>1</v>
      </c>
      <c r="P37" s="17">
        <v>1</v>
      </c>
      <c r="Q37" s="17">
        <v>0</v>
      </c>
      <c r="R37" s="17">
        <v>1</v>
      </c>
      <c r="S37" s="17">
        <v>0</v>
      </c>
      <c r="T37" s="17">
        <v>1</v>
      </c>
      <c r="U37" s="17">
        <v>0</v>
      </c>
      <c r="V37" s="17">
        <v>1</v>
      </c>
      <c r="W37" s="17">
        <v>0</v>
      </c>
      <c r="X37" s="17">
        <v>1</v>
      </c>
      <c r="Y37" s="17">
        <v>1</v>
      </c>
      <c r="Z37" s="17">
        <v>0</v>
      </c>
      <c r="AA37" s="17">
        <v>0</v>
      </c>
      <c r="AB37" s="17">
        <v>0</v>
      </c>
      <c r="AC37" s="17">
        <v>1</v>
      </c>
      <c r="AD37" s="17">
        <v>0</v>
      </c>
      <c r="AE37" s="17">
        <v>0</v>
      </c>
      <c r="AF37" s="17">
        <v>0</v>
      </c>
      <c r="AG37" s="17">
        <v>1</v>
      </c>
      <c r="AH37" s="17">
        <v>1</v>
      </c>
      <c r="AI37" s="17">
        <v>0</v>
      </c>
      <c r="AJ37" s="17">
        <v>0</v>
      </c>
      <c r="AK37" s="17">
        <v>0</v>
      </c>
      <c r="AL37" s="17">
        <v>1</v>
      </c>
      <c r="AM37" s="17">
        <v>0</v>
      </c>
      <c r="AN37" s="17">
        <v>0</v>
      </c>
      <c r="AO37" s="17">
        <v>1</v>
      </c>
      <c r="AP37" s="17">
        <v>1</v>
      </c>
      <c r="AQ37" s="17">
        <v>1</v>
      </c>
      <c r="AR37" s="17">
        <v>1</v>
      </c>
      <c r="AS37" s="17">
        <v>1</v>
      </c>
      <c r="AT37" s="17">
        <v>1</v>
      </c>
      <c r="AU37" s="17">
        <v>1</v>
      </c>
      <c r="AV37" s="17">
        <v>0</v>
      </c>
      <c r="AW37" s="17">
        <v>1</v>
      </c>
      <c r="AX37" s="17">
        <v>0</v>
      </c>
      <c r="AY37" s="17">
        <v>1</v>
      </c>
      <c r="AZ37" s="17">
        <v>0</v>
      </c>
      <c r="BA37" s="17">
        <v>1</v>
      </c>
      <c r="BB37" s="17">
        <v>1</v>
      </c>
      <c r="BC37" s="17">
        <v>0</v>
      </c>
      <c r="BD37" s="17">
        <v>1</v>
      </c>
      <c r="BE37" s="17">
        <v>1</v>
      </c>
      <c r="BF37" s="17">
        <v>1</v>
      </c>
      <c r="BG37" s="17">
        <v>1</v>
      </c>
      <c r="BH37" s="17">
        <v>1</v>
      </c>
      <c r="BI37" s="17">
        <v>0</v>
      </c>
      <c r="BJ37" s="17">
        <v>1</v>
      </c>
      <c r="BK37" s="17">
        <v>0</v>
      </c>
      <c r="BL37" s="17">
        <v>0</v>
      </c>
      <c r="BM37" s="17">
        <v>0</v>
      </c>
      <c r="BN37" s="17">
        <v>1</v>
      </c>
      <c r="BO37" s="17">
        <v>1</v>
      </c>
      <c r="BP37" s="17">
        <v>0</v>
      </c>
      <c r="BQ37" s="17">
        <v>0</v>
      </c>
      <c r="BR37" s="17">
        <v>1</v>
      </c>
      <c r="BS37" s="17" t="e">
        <v>#N/A</v>
      </c>
      <c r="BT37" s="17" t="e">
        <v>#N/A</v>
      </c>
      <c r="BU37" s="17" t="e">
        <v>#N/A</v>
      </c>
      <c r="BV37" s="17" t="e">
        <v>#N/A</v>
      </c>
      <c r="BW37" s="17" t="e">
        <v>#N/A</v>
      </c>
      <c r="BX37" s="17" t="e">
        <v>#N/A</v>
      </c>
      <c r="BY37" s="17" t="e">
        <v>#N/A</v>
      </c>
      <c r="BZ37" s="17" t="e">
        <v>#N/A</v>
      </c>
      <c r="CA37" s="17" t="e">
        <v>#N/A</v>
      </c>
      <c r="CB37" s="17" t="e">
        <v>#N/A</v>
      </c>
      <c r="CC37" s="17" t="e">
        <v>#N/A</v>
      </c>
      <c r="CD37" s="17" t="e">
        <v>#N/A</v>
      </c>
      <c r="CE37" s="17" t="e">
        <v>#N/A</v>
      </c>
      <c r="CF37" s="17" t="e">
        <v>#N/A</v>
      </c>
      <c r="CG37" s="17" t="e">
        <v>#N/A</v>
      </c>
      <c r="CH37" s="17" t="e">
        <v>#N/A</v>
      </c>
      <c r="CI37" s="17" t="e">
        <v>#N/A</v>
      </c>
      <c r="CJ37" s="17" t="e">
        <v>#N/A</v>
      </c>
      <c r="CK37" s="17" t="e">
        <v>#N/A</v>
      </c>
      <c r="CL37" s="17" t="e">
        <v>#N/A</v>
      </c>
      <c r="CM37" s="17" t="e">
        <v>#N/A</v>
      </c>
      <c r="CN37" s="17" t="e">
        <v>#N/A</v>
      </c>
      <c r="CO37" s="17" t="e">
        <v>#N/A</v>
      </c>
      <c r="CP37" s="17" t="e">
        <v>#N/A</v>
      </c>
      <c r="CQ37" s="17" t="e">
        <v>#N/A</v>
      </c>
      <c r="CR37" s="17" t="e">
        <v>#N/A</v>
      </c>
      <c r="CS37" s="17" t="e">
        <v>#N/A</v>
      </c>
      <c r="CT37" s="17" t="e">
        <v>#N/A</v>
      </c>
      <c r="CU37" s="17" t="e">
        <v>#N/A</v>
      </c>
      <c r="CV37" s="17" t="e">
        <v>#N/A</v>
      </c>
      <c r="CW37" s="17" t="e">
        <v>#N/A</v>
      </c>
      <c r="CX37" s="17" t="e">
        <v>#N/A</v>
      </c>
      <c r="CY37" s="17" t="e">
        <v>#N/A</v>
      </c>
      <c r="CZ37" s="17" t="e">
        <v>#N/A</v>
      </c>
      <c r="DA37" s="17" t="e">
        <v>#N/A</v>
      </c>
      <c r="DB37" s="17" t="e">
        <v>#N/A</v>
      </c>
      <c r="DC37" s="17" t="e">
        <v>#N/A</v>
      </c>
      <c r="DD37" s="17" t="e">
        <v>#N/A</v>
      </c>
      <c r="DE37" s="17" t="e">
        <v>#N/A</v>
      </c>
      <c r="DF37" s="17" t="e">
        <v>#N/A</v>
      </c>
      <c r="DG37" s="17" t="e">
        <v>#N/A</v>
      </c>
      <c r="DH37" s="17" t="e">
        <v>#N/A</v>
      </c>
      <c r="DI37" s="17" t="e">
        <v>#N/A</v>
      </c>
      <c r="DJ37" s="17" t="e">
        <v>#N/A</v>
      </c>
      <c r="DK37" s="17" t="e">
        <v>#N/A</v>
      </c>
      <c r="DL37" s="17" t="e">
        <v>#N/A</v>
      </c>
      <c r="DM37" s="17" t="e">
        <v>#N/A</v>
      </c>
      <c r="DN37" s="17" t="e">
        <v>#N/A</v>
      </c>
      <c r="DO37" s="17" t="e">
        <v>#N/A</v>
      </c>
      <c r="DP37" s="17" t="e">
        <v>#N/A</v>
      </c>
      <c r="DQ37" s="17" t="e">
        <v>#N/A</v>
      </c>
      <c r="DR37" s="17" t="e">
        <v>#N/A</v>
      </c>
      <c r="DS37" s="17" t="e">
        <v>#N/A</v>
      </c>
      <c r="DT37" s="17" t="e">
        <v>#N/A</v>
      </c>
      <c r="DU37" s="17" t="e">
        <v>#N/A</v>
      </c>
      <c r="DV37" s="17" t="e">
        <v>#N/A</v>
      </c>
      <c r="DW37" s="17" t="e">
        <v>#N/A</v>
      </c>
      <c r="DX37" s="17" t="e">
        <v>#N/A</v>
      </c>
      <c r="DY37" s="17" t="e">
        <v>#N/A</v>
      </c>
      <c r="DZ37" s="17" t="e">
        <v>#N/A</v>
      </c>
      <c r="EA37" s="17" t="e">
        <v>#N/A</v>
      </c>
      <c r="EB37" s="17" t="e">
        <v>#N/A</v>
      </c>
      <c r="EC37" s="17" t="e">
        <v>#N/A</v>
      </c>
      <c r="ED37" s="17" t="e">
        <v>#N/A</v>
      </c>
      <c r="EE37" s="17" t="e">
        <v>#N/A</v>
      </c>
      <c r="EF37" s="17" t="e">
        <v>#N/A</v>
      </c>
      <c r="EG37" s="17" t="e">
        <v>#N/A</v>
      </c>
      <c r="EH37" s="17" t="e">
        <v>#N/A</v>
      </c>
      <c r="EI37" s="17" t="e">
        <v>#N/A</v>
      </c>
      <c r="EJ37" s="17" t="e">
        <v>#N/A</v>
      </c>
      <c r="EK37" s="17" t="e">
        <v>#N/A</v>
      </c>
      <c r="EL37" s="17" t="e">
        <v>#N/A</v>
      </c>
      <c r="EM37" s="17" t="e">
        <v>#N/A</v>
      </c>
      <c r="EN37" s="17" t="e">
        <v>#N/A</v>
      </c>
      <c r="EO37" s="17" t="e">
        <v>#N/A</v>
      </c>
      <c r="EP37" s="17" t="e">
        <v>#N/A</v>
      </c>
      <c r="EQ37" s="17" t="e">
        <v>#N/A</v>
      </c>
      <c r="ER37" s="17" t="e">
        <v>#N/A</v>
      </c>
      <c r="ES37" s="17" t="e">
        <v>#N/A</v>
      </c>
      <c r="ET37" s="17" t="e">
        <v>#N/A</v>
      </c>
      <c r="EU37" s="17" t="e">
        <v>#N/A</v>
      </c>
      <c r="EV37" s="17" t="e">
        <v>#N/A</v>
      </c>
      <c r="EW37" s="17" t="e">
        <v>#N/A</v>
      </c>
      <c r="EX37" s="17" t="e">
        <v>#N/A</v>
      </c>
      <c r="EY37" s="17" t="e">
        <v>#N/A</v>
      </c>
      <c r="EZ37" s="17" t="e">
        <v>#N/A</v>
      </c>
      <c r="FA37" s="17" t="e">
        <v>#N/A</v>
      </c>
      <c r="FB37" s="17" t="e">
        <v>#N/A</v>
      </c>
      <c r="FC37" s="17" t="e">
        <v>#N/A</v>
      </c>
      <c r="FD37" s="17" t="e">
        <v>#N/A</v>
      </c>
      <c r="FE37" s="17" t="e">
        <v>#N/A</v>
      </c>
      <c r="FF37" s="17" t="e">
        <v>#N/A</v>
      </c>
      <c r="FG37" s="17" t="e">
        <v>#N/A</v>
      </c>
      <c r="FH37" s="17" t="e">
        <v>#N/A</v>
      </c>
      <c r="FI37" s="17" t="e">
        <v>#N/A</v>
      </c>
      <c r="FJ37" s="17" t="e">
        <v>#N/A</v>
      </c>
      <c r="FK37" s="17" t="e">
        <v>#N/A</v>
      </c>
      <c r="FL37" s="17" t="e">
        <v>#N/A</v>
      </c>
      <c r="FM37" s="17" t="e">
        <v>#N/A</v>
      </c>
      <c r="FN37" s="17" t="e">
        <v>#N/A</v>
      </c>
      <c r="FO37" s="17" t="e">
        <v>#N/A</v>
      </c>
      <c r="FP37" s="17" t="e">
        <v>#N/A</v>
      </c>
      <c r="FQ37" s="17" t="e">
        <v>#N/A</v>
      </c>
      <c r="FR37" s="17" t="e">
        <v>#N/A</v>
      </c>
      <c r="FS37" s="17" t="e">
        <v>#N/A</v>
      </c>
      <c r="FT37" s="17" t="e">
        <v>#N/A</v>
      </c>
      <c r="FU37" s="17" t="e">
        <v>#N/A</v>
      </c>
      <c r="FV37" s="17" t="e">
        <v>#N/A</v>
      </c>
    </row>
    <row r="38" spans="2:178" ht="11.25" customHeight="1">
      <c r="B38" s="17">
        <v>1</v>
      </c>
      <c r="C38" s="17">
        <v>1</v>
      </c>
      <c r="D38" s="17">
        <v>0</v>
      </c>
      <c r="E38" s="17">
        <v>0</v>
      </c>
      <c r="F38" s="17">
        <v>1</v>
      </c>
      <c r="G38" s="17">
        <v>1</v>
      </c>
      <c r="H38" s="17">
        <v>1</v>
      </c>
      <c r="I38" s="17">
        <v>1</v>
      </c>
      <c r="J38" s="17">
        <v>1</v>
      </c>
      <c r="K38" s="17">
        <v>0</v>
      </c>
      <c r="L38" s="17">
        <v>1</v>
      </c>
      <c r="M38" s="17">
        <v>0</v>
      </c>
      <c r="N38" s="17">
        <v>1</v>
      </c>
      <c r="O38" s="17">
        <v>0</v>
      </c>
      <c r="P38" s="17">
        <v>0</v>
      </c>
      <c r="Q38" s="17">
        <v>0</v>
      </c>
      <c r="R38" s="17">
        <v>1</v>
      </c>
      <c r="S38" s="17">
        <v>0</v>
      </c>
      <c r="T38" s="17">
        <v>1</v>
      </c>
      <c r="U38" s="17">
        <v>0</v>
      </c>
      <c r="V38" s="17">
        <v>1</v>
      </c>
      <c r="W38" s="17">
        <v>1</v>
      </c>
      <c r="X38" s="17">
        <v>0</v>
      </c>
      <c r="Y38" s="17">
        <v>0</v>
      </c>
      <c r="Z38" s="17">
        <v>0</v>
      </c>
      <c r="AA38" s="17">
        <v>0</v>
      </c>
      <c r="AB38" s="17">
        <v>1</v>
      </c>
      <c r="AC38" s="17">
        <v>1</v>
      </c>
      <c r="AD38" s="17">
        <v>1</v>
      </c>
      <c r="AE38" s="17">
        <v>1</v>
      </c>
      <c r="AF38" s="17">
        <v>0</v>
      </c>
      <c r="AG38" s="17">
        <v>1</v>
      </c>
      <c r="AH38" s="17">
        <v>1</v>
      </c>
      <c r="AI38" s="17">
        <v>1</v>
      </c>
      <c r="AJ38" s="17">
        <v>1</v>
      </c>
      <c r="AK38" s="17">
        <v>1</v>
      </c>
      <c r="AL38" s="17">
        <v>1</v>
      </c>
      <c r="AM38" s="17">
        <v>1</v>
      </c>
      <c r="AN38" s="17">
        <v>1</v>
      </c>
      <c r="AO38" s="17">
        <v>1</v>
      </c>
      <c r="AP38" s="17">
        <v>1</v>
      </c>
      <c r="AQ38" s="17">
        <v>0</v>
      </c>
      <c r="AR38" s="17">
        <v>0</v>
      </c>
      <c r="AS38" s="17">
        <v>0</v>
      </c>
      <c r="AT38" s="17">
        <v>1</v>
      </c>
      <c r="AU38" s="17">
        <v>1</v>
      </c>
      <c r="AV38" s="17">
        <v>1</v>
      </c>
      <c r="AW38" s="17">
        <v>0</v>
      </c>
      <c r="AX38" s="17">
        <v>1</v>
      </c>
      <c r="AY38" s="17">
        <v>1</v>
      </c>
      <c r="AZ38" s="17">
        <v>1</v>
      </c>
      <c r="BA38" s="17">
        <v>0</v>
      </c>
      <c r="BB38" s="17">
        <v>1</v>
      </c>
      <c r="BC38" s="17">
        <v>0</v>
      </c>
      <c r="BD38" s="17">
        <v>0</v>
      </c>
      <c r="BE38" s="17">
        <v>0</v>
      </c>
      <c r="BF38" s="17">
        <v>0</v>
      </c>
      <c r="BG38" s="17">
        <v>0</v>
      </c>
      <c r="BH38" s="17">
        <v>0</v>
      </c>
      <c r="BI38" s="17">
        <v>1</v>
      </c>
      <c r="BJ38" s="17">
        <v>1</v>
      </c>
      <c r="BK38" s="17">
        <v>1</v>
      </c>
      <c r="BL38" s="17">
        <v>1</v>
      </c>
      <c r="BM38" s="17">
        <v>1</v>
      </c>
      <c r="BN38" s="17">
        <v>1</v>
      </c>
      <c r="BO38" s="17">
        <v>1</v>
      </c>
      <c r="BP38" s="17">
        <v>1</v>
      </c>
      <c r="BQ38" s="17">
        <v>0</v>
      </c>
      <c r="BR38" s="17">
        <v>1</v>
      </c>
      <c r="BS38" s="17" t="e">
        <v>#N/A</v>
      </c>
      <c r="BT38" s="17" t="e">
        <v>#N/A</v>
      </c>
      <c r="BU38" s="17" t="e">
        <v>#N/A</v>
      </c>
      <c r="BV38" s="17" t="e">
        <v>#N/A</v>
      </c>
      <c r="BW38" s="17" t="e">
        <v>#N/A</v>
      </c>
      <c r="BX38" s="17" t="e">
        <v>#N/A</v>
      </c>
      <c r="BY38" s="17" t="e">
        <v>#N/A</v>
      </c>
      <c r="BZ38" s="17" t="e">
        <v>#N/A</v>
      </c>
      <c r="CA38" s="17" t="e">
        <v>#N/A</v>
      </c>
      <c r="CB38" s="17" t="e">
        <v>#N/A</v>
      </c>
      <c r="CC38" s="17" t="e">
        <v>#N/A</v>
      </c>
      <c r="CD38" s="17" t="e">
        <v>#N/A</v>
      </c>
      <c r="CE38" s="17" t="e">
        <v>#N/A</v>
      </c>
      <c r="CF38" s="17" t="e">
        <v>#N/A</v>
      </c>
      <c r="CG38" s="17" t="e">
        <v>#N/A</v>
      </c>
      <c r="CH38" s="17" t="e">
        <v>#N/A</v>
      </c>
      <c r="CI38" s="17" t="e">
        <v>#N/A</v>
      </c>
      <c r="CJ38" s="17" t="e">
        <v>#N/A</v>
      </c>
      <c r="CK38" s="17" t="e">
        <v>#N/A</v>
      </c>
      <c r="CL38" s="17" t="e">
        <v>#N/A</v>
      </c>
      <c r="CM38" s="17" t="e">
        <v>#N/A</v>
      </c>
      <c r="CN38" s="17" t="e">
        <v>#N/A</v>
      </c>
      <c r="CO38" s="17" t="e">
        <v>#N/A</v>
      </c>
      <c r="CP38" s="17" t="e">
        <v>#N/A</v>
      </c>
      <c r="CQ38" s="17" t="e">
        <v>#N/A</v>
      </c>
      <c r="CR38" s="17" t="e">
        <v>#N/A</v>
      </c>
      <c r="CS38" s="17" t="e">
        <v>#N/A</v>
      </c>
      <c r="CT38" s="17" t="e">
        <v>#N/A</v>
      </c>
      <c r="CU38" s="17" t="e">
        <v>#N/A</v>
      </c>
      <c r="CV38" s="17" t="e">
        <v>#N/A</v>
      </c>
      <c r="CW38" s="17" t="e">
        <v>#N/A</v>
      </c>
      <c r="CX38" s="17" t="e">
        <v>#N/A</v>
      </c>
      <c r="CY38" s="17" t="e">
        <v>#N/A</v>
      </c>
      <c r="CZ38" s="17" t="e">
        <v>#N/A</v>
      </c>
      <c r="DA38" s="17" t="e">
        <v>#N/A</v>
      </c>
      <c r="DB38" s="17" t="e">
        <v>#N/A</v>
      </c>
      <c r="DC38" s="17" t="e">
        <v>#N/A</v>
      </c>
      <c r="DD38" s="17" t="e">
        <v>#N/A</v>
      </c>
      <c r="DE38" s="17" t="e">
        <v>#N/A</v>
      </c>
      <c r="DF38" s="17" t="e">
        <v>#N/A</v>
      </c>
      <c r="DG38" s="17" t="e">
        <v>#N/A</v>
      </c>
      <c r="DH38" s="17" t="e">
        <v>#N/A</v>
      </c>
      <c r="DI38" s="17" t="e">
        <v>#N/A</v>
      </c>
      <c r="DJ38" s="17" t="e">
        <v>#N/A</v>
      </c>
      <c r="DK38" s="17" t="e">
        <v>#N/A</v>
      </c>
      <c r="DL38" s="17" t="e">
        <v>#N/A</v>
      </c>
      <c r="DM38" s="17" t="e">
        <v>#N/A</v>
      </c>
      <c r="DN38" s="17" t="e">
        <v>#N/A</v>
      </c>
      <c r="DO38" s="17" t="e">
        <v>#N/A</v>
      </c>
      <c r="DP38" s="17" t="e">
        <v>#N/A</v>
      </c>
      <c r="DQ38" s="17" t="e">
        <v>#N/A</v>
      </c>
      <c r="DR38" s="17" t="e">
        <v>#N/A</v>
      </c>
      <c r="DS38" s="17" t="e">
        <v>#N/A</v>
      </c>
      <c r="DT38" s="17" t="e">
        <v>#N/A</v>
      </c>
      <c r="DU38" s="17" t="e">
        <v>#N/A</v>
      </c>
      <c r="DV38" s="17" t="e">
        <v>#N/A</v>
      </c>
      <c r="DW38" s="17" t="e">
        <v>#N/A</v>
      </c>
      <c r="DX38" s="17" t="e">
        <v>#N/A</v>
      </c>
      <c r="DY38" s="17" t="e">
        <v>#N/A</v>
      </c>
      <c r="DZ38" s="17" t="e">
        <v>#N/A</v>
      </c>
      <c r="EA38" s="17" t="e">
        <v>#N/A</v>
      </c>
      <c r="EB38" s="17" t="e">
        <v>#N/A</v>
      </c>
      <c r="EC38" s="17" t="e">
        <v>#N/A</v>
      </c>
      <c r="ED38" s="17" t="e">
        <v>#N/A</v>
      </c>
      <c r="EE38" s="17" t="e">
        <v>#N/A</v>
      </c>
      <c r="EF38" s="17" t="e">
        <v>#N/A</v>
      </c>
      <c r="EG38" s="17" t="e">
        <v>#N/A</v>
      </c>
      <c r="EH38" s="17" t="e">
        <v>#N/A</v>
      </c>
      <c r="EI38" s="17" t="e">
        <v>#N/A</v>
      </c>
      <c r="EJ38" s="17" t="e">
        <v>#N/A</v>
      </c>
      <c r="EK38" s="17" t="e">
        <v>#N/A</v>
      </c>
      <c r="EL38" s="17" t="e">
        <v>#N/A</v>
      </c>
      <c r="EM38" s="17" t="e">
        <v>#N/A</v>
      </c>
      <c r="EN38" s="17" t="e">
        <v>#N/A</v>
      </c>
      <c r="EO38" s="17" t="e">
        <v>#N/A</v>
      </c>
      <c r="EP38" s="17" t="e">
        <v>#N/A</v>
      </c>
      <c r="EQ38" s="17" t="e">
        <v>#N/A</v>
      </c>
      <c r="ER38" s="17" t="e">
        <v>#N/A</v>
      </c>
      <c r="ES38" s="17" t="e">
        <v>#N/A</v>
      </c>
      <c r="ET38" s="17" t="e">
        <v>#N/A</v>
      </c>
      <c r="EU38" s="17" t="e">
        <v>#N/A</v>
      </c>
      <c r="EV38" s="17" t="e">
        <v>#N/A</v>
      </c>
      <c r="EW38" s="17" t="e">
        <v>#N/A</v>
      </c>
      <c r="EX38" s="17" t="e">
        <v>#N/A</v>
      </c>
      <c r="EY38" s="17" t="e">
        <v>#N/A</v>
      </c>
      <c r="EZ38" s="17" t="e">
        <v>#N/A</v>
      </c>
      <c r="FA38" s="17" t="e">
        <v>#N/A</v>
      </c>
      <c r="FB38" s="17" t="e">
        <v>#N/A</v>
      </c>
      <c r="FC38" s="17" t="e">
        <v>#N/A</v>
      </c>
      <c r="FD38" s="17" t="e">
        <v>#N/A</v>
      </c>
      <c r="FE38" s="17" t="e">
        <v>#N/A</v>
      </c>
      <c r="FF38" s="17" t="e">
        <v>#N/A</v>
      </c>
      <c r="FG38" s="17" t="e">
        <v>#N/A</v>
      </c>
      <c r="FH38" s="17" t="e">
        <v>#N/A</v>
      </c>
      <c r="FI38" s="17" t="e">
        <v>#N/A</v>
      </c>
      <c r="FJ38" s="17" t="e">
        <v>#N/A</v>
      </c>
      <c r="FK38" s="17" t="e">
        <v>#N/A</v>
      </c>
      <c r="FL38" s="17" t="e">
        <v>#N/A</v>
      </c>
      <c r="FM38" s="17" t="e">
        <v>#N/A</v>
      </c>
      <c r="FN38" s="17" t="e">
        <v>#N/A</v>
      </c>
      <c r="FO38" s="17" t="e">
        <v>#N/A</v>
      </c>
      <c r="FP38" s="17" t="e">
        <v>#N/A</v>
      </c>
      <c r="FQ38" s="17" t="e">
        <v>#N/A</v>
      </c>
      <c r="FR38" s="17" t="e">
        <v>#N/A</v>
      </c>
      <c r="FS38" s="17" t="e">
        <v>#N/A</v>
      </c>
      <c r="FT38" s="17" t="e">
        <v>#N/A</v>
      </c>
      <c r="FU38" s="17" t="e">
        <v>#N/A</v>
      </c>
      <c r="FV38" s="17" t="e">
        <v>#N/A</v>
      </c>
    </row>
    <row r="39" spans="2:178" ht="11.25" customHeight="1">
      <c r="B39" s="17">
        <v>0</v>
      </c>
      <c r="C39" s="17">
        <v>1</v>
      </c>
      <c r="D39" s="17">
        <v>0</v>
      </c>
      <c r="E39" s="17">
        <v>0</v>
      </c>
      <c r="F39" s="17">
        <v>1</v>
      </c>
      <c r="G39" s="17">
        <v>0</v>
      </c>
      <c r="H39" s="17">
        <v>0</v>
      </c>
      <c r="I39" s="17">
        <v>0</v>
      </c>
      <c r="J39" s="17">
        <v>0</v>
      </c>
      <c r="K39" s="17">
        <v>1</v>
      </c>
      <c r="L39" s="17">
        <v>0</v>
      </c>
      <c r="M39" s="17">
        <v>1</v>
      </c>
      <c r="N39" s="17">
        <v>0</v>
      </c>
      <c r="O39" s="17">
        <v>0</v>
      </c>
      <c r="P39" s="17">
        <v>1</v>
      </c>
      <c r="Q39" s="17">
        <v>1</v>
      </c>
      <c r="R39" s="17">
        <v>0</v>
      </c>
      <c r="S39" s="17">
        <v>1</v>
      </c>
      <c r="T39" s="17">
        <v>0</v>
      </c>
      <c r="U39" s="17">
        <v>0</v>
      </c>
      <c r="V39" s="17">
        <v>1</v>
      </c>
      <c r="W39" s="17">
        <v>1</v>
      </c>
      <c r="X39" s="17">
        <v>1</v>
      </c>
      <c r="Y39" s="17">
        <v>0</v>
      </c>
      <c r="Z39" s="17">
        <v>1</v>
      </c>
      <c r="AA39" s="17">
        <v>0</v>
      </c>
      <c r="AB39" s="17">
        <v>0</v>
      </c>
      <c r="AC39" s="17">
        <v>1</v>
      </c>
      <c r="AD39" s="17">
        <v>0</v>
      </c>
      <c r="AE39" s="17">
        <v>0</v>
      </c>
      <c r="AF39" s="17">
        <v>0</v>
      </c>
      <c r="AG39" s="17">
        <v>0</v>
      </c>
      <c r="AH39" s="17">
        <v>1</v>
      </c>
      <c r="AI39" s="17">
        <v>1</v>
      </c>
      <c r="AJ39" s="17">
        <v>1</v>
      </c>
      <c r="AK39" s="17">
        <v>0</v>
      </c>
      <c r="AL39" s="17">
        <v>1</v>
      </c>
      <c r="AM39" s="17">
        <v>1</v>
      </c>
      <c r="AN39" s="17">
        <v>1</v>
      </c>
      <c r="AO39" s="17">
        <v>0</v>
      </c>
      <c r="AP39" s="17">
        <v>0</v>
      </c>
      <c r="AQ39" s="17">
        <v>0</v>
      </c>
      <c r="AR39" s="17">
        <v>1</v>
      </c>
      <c r="AS39" s="17">
        <v>0</v>
      </c>
      <c r="AT39" s="17">
        <v>0</v>
      </c>
      <c r="AU39" s="17">
        <v>1</v>
      </c>
      <c r="AV39" s="17">
        <v>1</v>
      </c>
      <c r="AW39" s="17">
        <v>1</v>
      </c>
      <c r="AX39" s="17">
        <v>0</v>
      </c>
      <c r="AY39" s="17">
        <v>0</v>
      </c>
      <c r="AZ39" s="17">
        <v>0</v>
      </c>
      <c r="BA39" s="17">
        <v>0</v>
      </c>
      <c r="BB39" s="17">
        <v>0</v>
      </c>
      <c r="BC39" s="17">
        <v>0</v>
      </c>
      <c r="BD39" s="17">
        <v>0</v>
      </c>
      <c r="BE39" s="17">
        <v>1</v>
      </c>
      <c r="BF39" s="17">
        <v>0</v>
      </c>
      <c r="BG39" s="17">
        <v>0</v>
      </c>
      <c r="BH39" s="17">
        <v>0</v>
      </c>
      <c r="BI39" s="17">
        <v>1</v>
      </c>
      <c r="BJ39" s="17">
        <v>1</v>
      </c>
      <c r="BK39" s="17">
        <v>1</v>
      </c>
      <c r="BL39" s="17">
        <v>1</v>
      </c>
      <c r="BM39" s="17">
        <v>1</v>
      </c>
      <c r="BN39" s="17">
        <v>1</v>
      </c>
      <c r="BO39" s="17">
        <v>1</v>
      </c>
      <c r="BP39" s="17">
        <v>1</v>
      </c>
      <c r="BQ39" s="17">
        <v>0</v>
      </c>
      <c r="BR39" s="17">
        <v>1</v>
      </c>
      <c r="BS39" s="17" t="e">
        <v>#N/A</v>
      </c>
      <c r="BT39" s="17" t="e">
        <v>#N/A</v>
      </c>
      <c r="BU39" s="17" t="e">
        <v>#N/A</v>
      </c>
      <c r="BV39" s="17" t="e">
        <v>#N/A</v>
      </c>
      <c r="BW39" s="17" t="e">
        <v>#N/A</v>
      </c>
      <c r="BX39" s="17" t="e">
        <v>#N/A</v>
      </c>
      <c r="BY39" s="17" t="e">
        <v>#N/A</v>
      </c>
      <c r="BZ39" s="17" t="e">
        <v>#N/A</v>
      </c>
      <c r="CA39" s="17" t="e">
        <v>#N/A</v>
      </c>
      <c r="CB39" s="17" t="e">
        <v>#N/A</v>
      </c>
      <c r="CC39" s="17" t="e">
        <v>#N/A</v>
      </c>
      <c r="CD39" s="17" t="e">
        <v>#N/A</v>
      </c>
      <c r="CE39" s="17" t="e">
        <v>#N/A</v>
      </c>
      <c r="CF39" s="17" t="e">
        <v>#N/A</v>
      </c>
      <c r="CG39" s="17" t="e">
        <v>#N/A</v>
      </c>
      <c r="CH39" s="17" t="e">
        <v>#N/A</v>
      </c>
      <c r="CI39" s="17" t="e">
        <v>#N/A</v>
      </c>
      <c r="CJ39" s="17" t="e">
        <v>#N/A</v>
      </c>
      <c r="CK39" s="17" t="e">
        <v>#N/A</v>
      </c>
      <c r="CL39" s="17" t="e">
        <v>#N/A</v>
      </c>
      <c r="CM39" s="17" t="e">
        <v>#N/A</v>
      </c>
      <c r="CN39" s="17" t="e">
        <v>#N/A</v>
      </c>
      <c r="CO39" s="17" t="e">
        <v>#N/A</v>
      </c>
      <c r="CP39" s="17" t="e">
        <v>#N/A</v>
      </c>
      <c r="CQ39" s="17" t="e">
        <v>#N/A</v>
      </c>
      <c r="CR39" s="17" t="e">
        <v>#N/A</v>
      </c>
      <c r="CS39" s="17" t="e">
        <v>#N/A</v>
      </c>
      <c r="CT39" s="17" t="e">
        <v>#N/A</v>
      </c>
      <c r="CU39" s="17" t="e">
        <v>#N/A</v>
      </c>
      <c r="CV39" s="17" t="e">
        <v>#N/A</v>
      </c>
      <c r="CW39" s="17" t="e">
        <v>#N/A</v>
      </c>
      <c r="CX39" s="17" t="e">
        <v>#N/A</v>
      </c>
      <c r="CY39" s="17" t="e">
        <v>#N/A</v>
      </c>
      <c r="CZ39" s="17" t="e">
        <v>#N/A</v>
      </c>
      <c r="DA39" s="17" t="e">
        <v>#N/A</v>
      </c>
      <c r="DB39" s="17" t="e">
        <v>#N/A</v>
      </c>
      <c r="DC39" s="17" t="e">
        <v>#N/A</v>
      </c>
      <c r="DD39" s="17" t="e">
        <v>#N/A</v>
      </c>
      <c r="DE39" s="17" t="e">
        <v>#N/A</v>
      </c>
      <c r="DF39" s="17" t="e">
        <v>#N/A</v>
      </c>
      <c r="DG39" s="17" t="e">
        <v>#N/A</v>
      </c>
      <c r="DH39" s="17" t="e">
        <v>#N/A</v>
      </c>
      <c r="DI39" s="17" t="e">
        <v>#N/A</v>
      </c>
      <c r="DJ39" s="17" t="e">
        <v>#N/A</v>
      </c>
      <c r="DK39" s="17" t="e">
        <v>#N/A</v>
      </c>
      <c r="DL39" s="17" t="e">
        <v>#N/A</v>
      </c>
      <c r="DM39" s="17" t="e">
        <v>#N/A</v>
      </c>
      <c r="DN39" s="17" t="e">
        <v>#N/A</v>
      </c>
      <c r="DO39" s="17" t="e">
        <v>#N/A</v>
      </c>
      <c r="DP39" s="17" t="e">
        <v>#N/A</v>
      </c>
      <c r="DQ39" s="17" t="e">
        <v>#N/A</v>
      </c>
      <c r="DR39" s="17" t="e">
        <v>#N/A</v>
      </c>
      <c r="DS39" s="17" t="e">
        <v>#N/A</v>
      </c>
      <c r="DT39" s="17" t="e">
        <v>#N/A</v>
      </c>
      <c r="DU39" s="17" t="e">
        <v>#N/A</v>
      </c>
      <c r="DV39" s="17" t="e">
        <v>#N/A</v>
      </c>
      <c r="DW39" s="17" t="e">
        <v>#N/A</v>
      </c>
      <c r="DX39" s="17" t="e">
        <v>#N/A</v>
      </c>
      <c r="DY39" s="17" t="e">
        <v>#N/A</v>
      </c>
      <c r="DZ39" s="17" t="e">
        <v>#N/A</v>
      </c>
      <c r="EA39" s="17" t="e">
        <v>#N/A</v>
      </c>
      <c r="EB39" s="17" t="e">
        <v>#N/A</v>
      </c>
      <c r="EC39" s="17" t="e">
        <v>#N/A</v>
      </c>
      <c r="ED39" s="17" t="e">
        <v>#N/A</v>
      </c>
      <c r="EE39" s="17" t="e">
        <v>#N/A</v>
      </c>
      <c r="EF39" s="17" t="e">
        <v>#N/A</v>
      </c>
      <c r="EG39" s="17" t="e">
        <v>#N/A</v>
      </c>
      <c r="EH39" s="17" t="e">
        <v>#N/A</v>
      </c>
      <c r="EI39" s="17" t="e">
        <v>#N/A</v>
      </c>
      <c r="EJ39" s="17" t="e">
        <v>#N/A</v>
      </c>
      <c r="EK39" s="17" t="e">
        <v>#N/A</v>
      </c>
      <c r="EL39" s="17" t="e">
        <v>#N/A</v>
      </c>
      <c r="EM39" s="17" t="e">
        <v>#N/A</v>
      </c>
      <c r="EN39" s="17" t="e">
        <v>#N/A</v>
      </c>
      <c r="EO39" s="17" t="e">
        <v>#N/A</v>
      </c>
      <c r="EP39" s="17" t="e">
        <v>#N/A</v>
      </c>
      <c r="EQ39" s="17" t="e">
        <v>#N/A</v>
      </c>
      <c r="ER39" s="17" t="e">
        <v>#N/A</v>
      </c>
      <c r="ES39" s="17" t="e">
        <v>#N/A</v>
      </c>
      <c r="ET39" s="17" t="e">
        <v>#N/A</v>
      </c>
      <c r="EU39" s="17" t="e">
        <v>#N/A</v>
      </c>
      <c r="EV39" s="17" t="e">
        <v>#N/A</v>
      </c>
      <c r="EW39" s="17" t="e">
        <v>#N/A</v>
      </c>
      <c r="EX39" s="17" t="e">
        <v>#N/A</v>
      </c>
      <c r="EY39" s="17" t="e">
        <v>#N/A</v>
      </c>
      <c r="EZ39" s="17" t="e">
        <v>#N/A</v>
      </c>
      <c r="FA39" s="17" t="e">
        <v>#N/A</v>
      </c>
      <c r="FB39" s="17" t="e">
        <v>#N/A</v>
      </c>
      <c r="FC39" s="17" t="e">
        <v>#N/A</v>
      </c>
      <c r="FD39" s="17" t="e">
        <v>#N/A</v>
      </c>
      <c r="FE39" s="17" t="e">
        <v>#N/A</v>
      </c>
      <c r="FF39" s="17" t="e">
        <v>#N/A</v>
      </c>
      <c r="FG39" s="17" t="e">
        <v>#N/A</v>
      </c>
      <c r="FH39" s="17" t="e">
        <v>#N/A</v>
      </c>
      <c r="FI39" s="17" t="e">
        <v>#N/A</v>
      </c>
      <c r="FJ39" s="17" t="e">
        <v>#N/A</v>
      </c>
      <c r="FK39" s="17" t="e">
        <v>#N/A</v>
      </c>
      <c r="FL39" s="17" t="e">
        <v>#N/A</v>
      </c>
      <c r="FM39" s="17" t="e">
        <v>#N/A</v>
      </c>
      <c r="FN39" s="17" t="e">
        <v>#N/A</v>
      </c>
      <c r="FO39" s="17" t="e">
        <v>#N/A</v>
      </c>
      <c r="FP39" s="17" t="e">
        <v>#N/A</v>
      </c>
      <c r="FQ39" s="17" t="e">
        <v>#N/A</v>
      </c>
      <c r="FR39" s="17" t="e">
        <v>#N/A</v>
      </c>
      <c r="FS39" s="17" t="e">
        <v>#N/A</v>
      </c>
      <c r="FT39" s="17" t="e">
        <v>#N/A</v>
      </c>
      <c r="FU39" s="17" t="e">
        <v>#N/A</v>
      </c>
      <c r="FV39" s="17" t="e">
        <v>#N/A</v>
      </c>
    </row>
    <row r="40" spans="2:178" ht="11.25" customHeight="1">
      <c r="B40" s="17">
        <v>1</v>
      </c>
      <c r="C40" s="17">
        <v>0</v>
      </c>
      <c r="D40" s="17">
        <v>1</v>
      </c>
      <c r="E40" s="17">
        <v>1</v>
      </c>
      <c r="F40" s="17">
        <v>1</v>
      </c>
      <c r="G40" s="17">
        <v>1</v>
      </c>
      <c r="H40" s="17">
        <v>1</v>
      </c>
      <c r="I40" s="17">
        <v>0</v>
      </c>
      <c r="J40" s="17">
        <v>1</v>
      </c>
      <c r="K40" s="17">
        <v>0</v>
      </c>
      <c r="L40" s="17">
        <v>0</v>
      </c>
      <c r="M40" s="17">
        <v>1</v>
      </c>
      <c r="N40" s="17">
        <v>1</v>
      </c>
      <c r="O40" s="17">
        <v>1</v>
      </c>
      <c r="P40" s="17">
        <v>1</v>
      </c>
      <c r="Q40" s="17">
        <v>0</v>
      </c>
      <c r="R40" s="17">
        <v>1</v>
      </c>
      <c r="S40" s="17">
        <v>0</v>
      </c>
      <c r="T40" s="17">
        <v>1</v>
      </c>
      <c r="U40" s="17">
        <v>1</v>
      </c>
      <c r="V40" s="17">
        <v>0</v>
      </c>
      <c r="W40" s="17">
        <v>0</v>
      </c>
      <c r="X40" s="17">
        <v>0</v>
      </c>
      <c r="Y40" s="17">
        <v>1</v>
      </c>
      <c r="Z40" s="17">
        <v>1</v>
      </c>
      <c r="AA40" s="17">
        <v>0</v>
      </c>
      <c r="AB40" s="17">
        <v>0</v>
      </c>
      <c r="AC40" s="17">
        <v>0</v>
      </c>
      <c r="AD40" s="17">
        <v>0</v>
      </c>
      <c r="AE40" s="17">
        <v>1</v>
      </c>
      <c r="AF40" s="17">
        <v>1</v>
      </c>
      <c r="AG40" s="17">
        <v>1</v>
      </c>
      <c r="AH40" s="17">
        <v>1</v>
      </c>
      <c r="AI40" s="17">
        <v>1</v>
      </c>
      <c r="AJ40" s="17">
        <v>1</v>
      </c>
      <c r="AK40" s="17">
        <v>0</v>
      </c>
      <c r="AL40" s="17">
        <v>0</v>
      </c>
      <c r="AM40" s="17">
        <v>0</v>
      </c>
      <c r="AN40" s="17">
        <v>1</v>
      </c>
      <c r="AO40" s="17">
        <v>0</v>
      </c>
      <c r="AP40" s="17">
        <v>0</v>
      </c>
      <c r="AQ40" s="17">
        <v>0</v>
      </c>
      <c r="AR40" s="17">
        <v>0</v>
      </c>
      <c r="AS40" s="17">
        <v>0</v>
      </c>
      <c r="AT40" s="17">
        <v>0</v>
      </c>
      <c r="AU40" s="17">
        <v>1</v>
      </c>
      <c r="AV40" s="17">
        <v>1</v>
      </c>
      <c r="AW40" s="17">
        <v>0</v>
      </c>
      <c r="AX40" s="17">
        <v>1</v>
      </c>
      <c r="AY40" s="17">
        <v>0</v>
      </c>
      <c r="AZ40" s="17">
        <v>1</v>
      </c>
      <c r="BA40" s="17">
        <v>1</v>
      </c>
      <c r="BB40" s="17">
        <v>0</v>
      </c>
      <c r="BC40" s="17">
        <v>0</v>
      </c>
      <c r="BD40" s="17">
        <v>1</v>
      </c>
      <c r="BE40" s="17">
        <v>1</v>
      </c>
      <c r="BF40" s="17">
        <v>1</v>
      </c>
      <c r="BG40" s="17">
        <v>0</v>
      </c>
      <c r="BH40" s="17">
        <v>0</v>
      </c>
      <c r="BI40" s="17">
        <v>0</v>
      </c>
      <c r="BJ40" s="17">
        <v>1</v>
      </c>
      <c r="BK40" s="17">
        <v>0</v>
      </c>
      <c r="BL40" s="17">
        <v>0</v>
      </c>
      <c r="BM40" s="17">
        <v>0</v>
      </c>
      <c r="BN40" s="17">
        <v>0</v>
      </c>
      <c r="BO40" s="17">
        <v>1</v>
      </c>
      <c r="BP40" s="17">
        <v>0</v>
      </c>
      <c r="BQ40" s="17">
        <v>0</v>
      </c>
      <c r="BR40" s="17">
        <v>0</v>
      </c>
      <c r="BS40" s="17" t="e">
        <v>#N/A</v>
      </c>
      <c r="BT40" s="17" t="e">
        <v>#N/A</v>
      </c>
      <c r="BU40" s="17" t="e">
        <v>#N/A</v>
      </c>
      <c r="BV40" s="17" t="e">
        <v>#N/A</v>
      </c>
      <c r="BW40" s="17" t="e">
        <v>#N/A</v>
      </c>
      <c r="BX40" s="17" t="e">
        <v>#N/A</v>
      </c>
      <c r="BY40" s="17" t="e">
        <v>#N/A</v>
      </c>
      <c r="BZ40" s="17" t="e">
        <v>#N/A</v>
      </c>
      <c r="CA40" s="17" t="e">
        <v>#N/A</v>
      </c>
      <c r="CB40" s="17" t="e">
        <v>#N/A</v>
      </c>
      <c r="CC40" s="17" t="e">
        <v>#N/A</v>
      </c>
      <c r="CD40" s="17" t="e">
        <v>#N/A</v>
      </c>
      <c r="CE40" s="17" t="e">
        <v>#N/A</v>
      </c>
      <c r="CF40" s="17" t="e">
        <v>#N/A</v>
      </c>
      <c r="CG40" s="17" t="e">
        <v>#N/A</v>
      </c>
      <c r="CH40" s="17" t="e">
        <v>#N/A</v>
      </c>
      <c r="CI40" s="17" t="e">
        <v>#N/A</v>
      </c>
      <c r="CJ40" s="17" t="e">
        <v>#N/A</v>
      </c>
      <c r="CK40" s="17" t="e">
        <v>#N/A</v>
      </c>
      <c r="CL40" s="17" t="e">
        <v>#N/A</v>
      </c>
      <c r="CM40" s="17" t="e">
        <v>#N/A</v>
      </c>
      <c r="CN40" s="17" t="e">
        <v>#N/A</v>
      </c>
      <c r="CO40" s="17" t="e">
        <v>#N/A</v>
      </c>
      <c r="CP40" s="17" t="e">
        <v>#N/A</v>
      </c>
      <c r="CQ40" s="17" t="e">
        <v>#N/A</v>
      </c>
      <c r="CR40" s="17" t="e">
        <v>#N/A</v>
      </c>
      <c r="CS40" s="17" t="e">
        <v>#N/A</v>
      </c>
      <c r="CT40" s="17" t="e">
        <v>#N/A</v>
      </c>
      <c r="CU40" s="17" t="e">
        <v>#N/A</v>
      </c>
      <c r="CV40" s="17" t="e">
        <v>#N/A</v>
      </c>
      <c r="CW40" s="17" t="e">
        <v>#N/A</v>
      </c>
      <c r="CX40" s="17" t="e">
        <v>#N/A</v>
      </c>
      <c r="CY40" s="17" t="e">
        <v>#N/A</v>
      </c>
      <c r="CZ40" s="17" t="e">
        <v>#N/A</v>
      </c>
      <c r="DA40" s="17" t="e">
        <v>#N/A</v>
      </c>
      <c r="DB40" s="17" t="e">
        <v>#N/A</v>
      </c>
      <c r="DC40" s="17" t="e">
        <v>#N/A</v>
      </c>
      <c r="DD40" s="17" t="e">
        <v>#N/A</v>
      </c>
      <c r="DE40" s="17" t="e">
        <v>#N/A</v>
      </c>
      <c r="DF40" s="17" t="e">
        <v>#N/A</v>
      </c>
      <c r="DG40" s="17" t="e">
        <v>#N/A</v>
      </c>
      <c r="DH40" s="17" t="e">
        <v>#N/A</v>
      </c>
      <c r="DI40" s="17" t="e">
        <v>#N/A</v>
      </c>
      <c r="DJ40" s="17" t="e">
        <v>#N/A</v>
      </c>
      <c r="DK40" s="17" t="e">
        <v>#N/A</v>
      </c>
      <c r="DL40" s="17" t="e">
        <v>#N/A</v>
      </c>
      <c r="DM40" s="17" t="e">
        <v>#N/A</v>
      </c>
      <c r="DN40" s="17" t="e">
        <v>#N/A</v>
      </c>
      <c r="DO40" s="17" t="e">
        <v>#N/A</v>
      </c>
      <c r="DP40" s="17" t="e">
        <v>#N/A</v>
      </c>
      <c r="DQ40" s="17" t="e">
        <v>#N/A</v>
      </c>
      <c r="DR40" s="17" t="e">
        <v>#N/A</v>
      </c>
      <c r="DS40" s="17" t="e">
        <v>#N/A</v>
      </c>
      <c r="DT40" s="17" t="e">
        <v>#N/A</v>
      </c>
      <c r="DU40" s="17" t="e">
        <v>#N/A</v>
      </c>
      <c r="DV40" s="17" t="e">
        <v>#N/A</v>
      </c>
      <c r="DW40" s="17" t="e">
        <v>#N/A</v>
      </c>
      <c r="DX40" s="17" t="e">
        <v>#N/A</v>
      </c>
      <c r="DY40" s="17" t="e">
        <v>#N/A</v>
      </c>
      <c r="DZ40" s="17" t="e">
        <v>#N/A</v>
      </c>
      <c r="EA40" s="17" t="e">
        <v>#N/A</v>
      </c>
      <c r="EB40" s="17" t="e">
        <v>#N/A</v>
      </c>
      <c r="EC40" s="17" t="e">
        <v>#N/A</v>
      </c>
      <c r="ED40" s="17" t="e">
        <v>#N/A</v>
      </c>
      <c r="EE40" s="17" t="e">
        <v>#N/A</v>
      </c>
      <c r="EF40" s="17" t="e">
        <v>#N/A</v>
      </c>
      <c r="EG40" s="17" t="e">
        <v>#N/A</v>
      </c>
      <c r="EH40" s="17" t="e">
        <v>#N/A</v>
      </c>
      <c r="EI40" s="17" t="e">
        <v>#N/A</v>
      </c>
      <c r="EJ40" s="17" t="e">
        <v>#N/A</v>
      </c>
      <c r="EK40" s="17" t="e">
        <v>#N/A</v>
      </c>
      <c r="EL40" s="17" t="e">
        <v>#N/A</v>
      </c>
      <c r="EM40" s="17" t="e">
        <v>#N/A</v>
      </c>
      <c r="EN40" s="17" t="e">
        <v>#N/A</v>
      </c>
      <c r="EO40" s="17" t="e">
        <v>#N/A</v>
      </c>
      <c r="EP40" s="17" t="e">
        <v>#N/A</v>
      </c>
      <c r="EQ40" s="17" t="e">
        <v>#N/A</v>
      </c>
      <c r="ER40" s="17" t="e">
        <v>#N/A</v>
      </c>
      <c r="ES40" s="17" t="e">
        <v>#N/A</v>
      </c>
      <c r="ET40" s="17" t="e">
        <v>#N/A</v>
      </c>
      <c r="EU40" s="17" t="e">
        <v>#N/A</v>
      </c>
      <c r="EV40" s="17" t="e">
        <v>#N/A</v>
      </c>
      <c r="EW40" s="17" t="e">
        <v>#N/A</v>
      </c>
      <c r="EX40" s="17" t="e">
        <v>#N/A</v>
      </c>
      <c r="EY40" s="17" t="e">
        <v>#N/A</v>
      </c>
      <c r="EZ40" s="17" t="e">
        <v>#N/A</v>
      </c>
      <c r="FA40" s="17" t="e">
        <v>#N/A</v>
      </c>
      <c r="FB40" s="17" t="e">
        <v>#N/A</v>
      </c>
      <c r="FC40" s="17" t="e">
        <v>#N/A</v>
      </c>
      <c r="FD40" s="17" t="e">
        <v>#N/A</v>
      </c>
      <c r="FE40" s="17" t="e">
        <v>#N/A</v>
      </c>
      <c r="FF40" s="17" t="e">
        <v>#N/A</v>
      </c>
      <c r="FG40" s="17" t="e">
        <v>#N/A</v>
      </c>
      <c r="FH40" s="17" t="e">
        <v>#N/A</v>
      </c>
      <c r="FI40" s="17" t="e">
        <v>#N/A</v>
      </c>
      <c r="FJ40" s="17" t="e">
        <v>#N/A</v>
      </c>
      <c r="FK40" s="17" t="e">
        <v>#N/A</v>
      </c>
      <c r="FL40" s="17" t="e">
        <v>#N/A</v>
      </c>
      <c r="FM40" s="17" t="e">
        <v>#N/A</v>
      </c>
      <c r="FN40" s="17" t="e">
        <v>#N/A</v>
      </c>
      <c r="FO40" s="17" t="e">
        <v>#N/A</v>
      </c>
      <c r="FP40" s="17" t="e">
        <v>#N/A</v>
      </c>
      <c r="FQ40" s="17" t="e">
        <v>#N/A</v>
      </c>
      <c r="FR40" s="17" t="e">
        <v>#N/A</v>
      </c>
      <c r="FS40" s="17" t="e">
        <v>#N/A</v>
      </c>
      <c r="FT40" s="17" t="e">
        <v>#N/A</v>
      </c>
      <c r="FU40" s="17" t="e">
        <v>#N/A</v>
      </c>
      <c r="FV40" s="17" t="e">
        <v>#N/A</v>
      </c>
    </row>
    <row r="41" spans="2:178" ht="11.25" customHeight="1">
      <c r="B41" s="17">
        <v>1</v>
      </c>
      <c r="C41" s="17">
        <v>1</v>
      </c>
      <c r="D41" s="17">
        <v>0</v>
      </c>
      <c r="E41" s="17">
        <v>1</v>
      </c>
      <c r="F41" s="17">
        <v>0</v>
      </c>
      <c r="G41" s="17">
        <v>0</v>
      </c>
      <c r="H41" s="17">
        <v>0</v>
      </c>
      <c r="I41" s="17">
        <v>1</v>
      </c>
      <c r="J41" s="17">
        <v>0</v>
      </c>
      <c r="K41" s="17">
        <v>0</v>
      </c>
      <c r="L41" s="17">
        <v>1</v>
      </c>
      <c r="M41" s="17">
        <v>1</v>
      </c>
      <c r="N41" s="17">
        <v>1</v>
      </c>
      <c r="O41" s="17">
        <v>0</v>
      </c>
      <c r="P41" s="17">
        <v>1</v>
      </c>
      <c r="Q41" s="17">
        <v>0</v>
      </c>
      <c r="R41" s="17">
        <v>1</v>
      </c>
      <c r="S41" s="17">
        <v>0</v>
      </c>
      <c r="T41" s="17">
        <v>1</v>
      </c>
      <c r="U41" s="17">
        <v>0</v>
      </c>
      <c r="V41" s="17">
        <v>1</v>
      </c>
      <c r="W41" s="17">
        <v>0</v>
      </c>
      <c r="X41" s="17">
        <v>1</v>
      </c>
      <c r="Y41" s="17">
        <v>1</v>
      </c>
      <c r="Z41" s="17">
        <v>0</v>
      </c>
      <c r="AA41" s="17">
        <v>1</v>
      </c>
      <c r="AB41" s="17">
        <v>1</v>
      </c>
      <c r="AC41" s="17">
        <v>1</v>
      </c>
      <c r="AD41" s="17">
        <v>1</v>
      </c>
      <c r="AE41" s="17">
        <v>1</v>
      </c>
      <c r="AF41" s="17">
        <v>0</v>
      </c>
      <c r="AG41" s="17">
        <v>1</v>
      </c>
      <c r="AH41" s="17">
        <v>0</v>
      </c>
      <c r="AI41" s="17">
        <v>0</v>
      </c>
      <c r="AJ41" s="17">
        <v>1</v>
      </c>
      <c r="AK41" s="17">
        <v>1</v>
      </c>
      <c r="AL41" s="17">
        <v>1</v>
      </c>
      <c r="AM41" s="17">
        <v>1</v>
      </c>
      <c r="AN41" s="17">
        <v>0</v>
      </c>
      <c r="AO41" s="17">
        <v>0</v>
      </c>
      <c r="AP41" s="17">
        <v>0</v>
      </c>
      <c r="AQ41" s="17">
        <v>1</v>
      </c>
      <c r="AR41" s="17">
        <v>0</v>
      </c>
      <c r="AS41" s="17">
        <v>0</v>
      </c>
      <c r="AT41" s="17">
        <v>1</v>
      </c>
      <c r="AU41" s="17">
        <v>0</v>
      </c>
      <c r="AV41" s="17">
        <v>1</v>
      </c>
      <c r="AW41" s="17">
        <v>1</v>
      </c>
      <c r="AX41" s="17">
        <v>0</v>
      </c>
      <c r="AY41" s="17">
        <v>1</v>
      </c>
      <c r="AZ41" s="17">
        <v>1</v>
      </c>
      <c r="BA41" s="17">
        <v>1</v>
      </c>
      <c r="BB41" s="17">
        <v>1</v>
      </c>
      <c r="BC41" s="17">
        <v>0</v>
      </c>
      <c r="BD41" s="17">
        <v>1</v>
      </c>
      <c r="BE41" s="17">
        <v>1</v>
      </c>
      <c r="BF41" s="17">
        <v>0</v>
      </c>
      <c r="BG41" s="17">
        <v>0</v>
      </c>
      <c r="BH41" s="17">
        <v>1</v>
      </c>
      <c r="BI41" s="17">
        <v>0</v>
      </c>
      <c r="BJ41" s="17">
        <v>0</v>
      </c>
      <c r="BK41" s="17">
        <v>1</v>
      </c>
      <c r="BL41" s="17">
        <v>0</v>
      </c>
      <c r="BM41" s="17">
        <v>0</v>
      </c>
      <c r="BN41" s="17">
        <v>1</v>
      </c>
      <c r="BO41" s="17">
        <v>0</v>
      </c>
      <c r="BP41" s="17">
        <v>1</v>
      </c>
      <c r="BQ41" s="17">
        <v>0</v>
      </c>
      <c r="BR41" s="17">
        <v>1</v>
      </c>
      <c r="BS41" s="17" t="e">
        <v>#N/A</v>
      </c>
      <c r="BT41" s="17" t="e">
        <v>#N/A</v>
      </c>
      <c r="BU41" s="17" t="e">
        <v>#N/A</v>
      </c>
      <c r="BV41" s="17" t="e">
        <v>#N/A</v>
      </c>
      <c r="BW41" s="17" t="e">
        <v>#N/A</v>
      </c>
      <c r="BX41" s="17" t="e">
        <v>#N/A</v>
      </c>
      <c r="BY41" s="17" t="e">
        <v>#N/A</v>
      </c>
      <c r="BZ41" s="17" t="e">
        <v>#N/A</v>
      </c>
      <c r="CA41" s="17" t="e">
        <v>#N/A</v>
      </c>
      <c r="CB41" s="17" t="e">
        <v>#N/A</v>
      </c>
      <c r="CC41" s="17" t="e">
        <v>#N/A</v>
      </c>
      <c r="CD41" s="17" t="e">
        <v>#N/A</v>
      </c>
      <c r="CE41" s="17" t="e">
        <v>#N/A</v>
      </c>
      <c r="CF41" s="17" t="e">
        <v>#N/A</v>
      </c>
      <c r="CG41" s="17" t="e">
        <v>#N/A</v>
      </c>
      <c r="CH41" s="17" t="e">
        <v>#N/A</v>
      </c>
      <c r="CI41" s="17" t="e">
        <v>#N/A</v>
      </c>
      <c r="CJ41" s="17" t="e">
        <v>#N/A</v>
      </c>
      <c r="CK41" s="17" t="e">
        <v>#N/A</v>
      </c>
      <c r="CL41" s="17" t="e">
        <v>#N/A</v>
      </c>
      <c r="CM41" s="17" t="e">
        <v>#N/A</v>
      </c>
      <c r="CN41" s="17" t="e">
        <v>#N/A</v>
      </c>
      <c r="CO41" s="17" t="e">
        <v>#N/A</v>
      </c>
      <c r="CP41" s="17" t="e">
        <v>#N/A</v>
      </c>
      <c r="CQ41" s="17" t="e">
        <v>#N/A</v>
      </c>
      <c r="CR41" s="17" t="e">
        <v>#N/A</v>
      </c>
      <c r="CS41" s="17" t="e">
        <v>#N/A</v>
      </c>
      <c r="CT41" s="17" t="e">
        <v>#N/A</v>
      </c>
      <c r="CU41" s="17" t="e">
        <v>#N/A</v>
      </c>
      <c r="CV41" s="17" t="e">
        <v>#N/A</v>
      </c>
      <c r="CW41" s="17" t="e">
        <v>#N/A</v>
      </c>
      <c r="CX41" s="17" t="e">
        <v>#N/A</v>
      </c>
      <c r="CY41" s="17" t="e">
        <v>#N/A</v>
      </c>
      <c r="CZ41" s="17" t="e">
        <v>#N/A</v>
      </c>
      <c r="DA41" s="17" t="e">
        <v>#N/A</v>
      </c>
      <c r="DB41" s="17" t="e">
        <v>#N/A</v>
      </c>
      <c r="DC41" s="17" t="e">
        <v>#N/A</v>
      </c>
      <c r="DD41" s="17" t="e">
        <v>#N/A</v>
      </c>
      <c r="DE41" s="17" t="e">
        <v>#N/A</v>
      </c>
      <c r="DF41" s="17" t="e">
        <v>#N/A</v>
      </c>
      <c r="DG41" s="17" t="e">
        <v>#N/A</v>
      </c>
      <c r="DH41" s="17" t="e">
        <v>#N/A</v>
      </c>
      <c r="DI41" s="17" t="e">
        <v>#N/A</v>
      </c>
      <c r="DJ41" s="17" t="e">
        <v>#N/A</v>
      </c>
      <c r="DK41" s="17" t="e">
        <v>#N/A</v>
      </c>
      <c r="DL41" s="17" t="e">
        <v>#N/A</v>
      </c>
      <c r="DM41" s="17" t="e">
        <v>#N/A</v>
      </c>
      <c r="DN41" s="17" t="e">
        <v>#N/A</v>
      </c>
      <c r="DO41" s="17" t="e">
        <v>#N/A</v>
      </c>
      <c r="DP41" s="17" t="e">
        <v>#N/A</v>
      </c>
      <c r="DQ41" s="17" t="e">
        <v>#N/A</v>
      </c>
      <c r="DR41" s="17" t="e">
        <v>#N/A</v>
      </c>
      <c r="DS41" s="17" t="e">
        <v>#N/A</v>
      </c>
      <c r="DT41" s="17" t="e">
        <v>#N/A</v>
      </c>
      <c r="DU41" s="17" t="e">
        <v>#N/A</v>
      </c>
      <c r="DV41" s="17" t="e">
        <v>#N/A</v>
      </c>
      <c r="DW41" s="17" t="e">
        <v>#N/A</v>
      </c>
      <c r="DX41" s="17" t="e">
        <v>#N/A</v>
      </c>
      <c r="DY41" s="17" t="e">
        <v>#N/A</v>
      </c>
      <c r="DZ41" s="17" t="e">
        <v>#N/A</v>
      </c>
      <c r="EA41" s="17" t="e">
        <v>#N/A</v>
      </c>
      <c r="EB41" s="17" t="e">
        <v>#N/A</v>
      </c>
      <c r="EC41" s="17" t="e">
        <v>#N/A</v>
      </c>
      <c r="ED41" s="17" t="e">
        <v>#N/A</v>
      </c>
      <c r="EE41" s="17" t="e">
        <v>#N/A</v>
      </c>
      <c r="EF41" s="17" t="e">
        <v>#N/A</v>
      </c>
      <c r="EG41" s="17" t="e">
        <v>#N/A</v>
      </c>
      <c r="EH41" s="17" t="e">
        <v>#N/A</v>
      </c>
      <c r="EI41" s="17" t="e">
        <v>#N/A</v>
      </c>
      <c r="EJ41" s="17" t="e">
        <v>#N/A</v>
      </c>
      <c r="EK41" s="17" t="e">
        <v>#N/A</v>
      </c>
      <c r="EL41" s="17" t="e">
        <v>#N/A</v>
      </c>
      <c r="EM41" s="17" t="e">
        <v>#N/A</v>
      </c>
      <c r="EN41" s="17" t="e">
        <v>#N/A</v>
      </c>
      <c r="EO41" s="17" t="e">
        <v>#N/A</v>
      </c>
      <c r="EP41" s="17" t="e">
        <v>#N/A</v>
      </c>
      <c r="EQ41" s="17" t="e">
        <v>#N/A</v>
      </c>
      <c r="ER41" s="17" t="e">
        <v>#N/A</v>
      </c>
      <c r="ES41" s="17" t="e">
        <v>#N/A</v>
      </c>
      <c r="ET41" s="17" t="e">
        <v>#N/A</v>
      </c>
      <c r="EU41" s="17" t="e">
        <v>#N/A</v>
      </c>
      <c r="EV41" s="17" t="e">
        <v>#N/A</v>
      </c>
      <c r="EW41" s="17" t="e">
        <v>#N/A</v>
      </c>
      <c r="EX41" s="17" t="e">
        <v>#N/A</v>
      </c>
      <c r="EY41" s="17" t="e">
        <v>#N/A</v>
      </c>
      <c r="EZ41" s="17" t="e">
        <v>#N/A</v>
      </c>
      <c r="FA41" s="17" t="e">
        <v>#N/A</v>
      </c>
      <c r="FB41" s="17" t="e">
        <v>#N/A</v>
      </c>
      <c r="FC41" s="17" t="e">
        <v>#N/A</v>
      </c>
      <c r="FD41" s="17" t="e">
        <v>#N/A</v>
      </c>
      <c r="FE41" s="17" t="e">
        <v>#N/A</v>
      </c>
      <c r="FF41" s="17" t="e">
        <v>#N/A</v>
      </c>
      <c r="FG41" s="17" t="e">
        <v>#N/A</v>
      </c>
      <c r="FH41" s="17" t="e">
        <v>#N/A</v>
      </c>
      <c r="FI41" s="17" t="e">
        <v>#N/A</v>
      </c>
      <c r="FJ41" s="17" t="e">
        <v>#N/A</v>
      </c>
      <c r="FK41" s="17" t="e">
        <v>#N/A</v>
      </c>
      <c r="FL41" s="17" t="e">
        <v>#N/A</v>
      </c>
      <c r="FM41" s="17" t="e">
        <v>#N/A</v>
      </c>
      <c r="FN41" s="17" t="e">
        <v>#N/A</v>
      </c>
      <c r="FO41" s="17" t="e">
        <v>#N/A</v>
      </c>
      <c r="FP41" s="17" t="e">
        <v>#N/A</v>
      </c>
      <c r="FQ41" s="17" t="e">
        <v>#N/A</v>
      </c>
      <c r="FR41" s="17" t="e">
        <v>#N/A</v>
      </c>
      <c r="FS41" s="17" t="e">
        <v>#N/A</v>
      </c>
      <c r="FT41" s="17" t="e">
        <v>#N/A</v>
      </c>
      <c r="FU41" s="17" t="e">
        <v>#N/A</v>
      </c>
      <c r="FV41" s="17" t="e">
        <v>#N/A</v>
      </c>
    </row>
    <row r="42" spans="2:178" ht="11.25" customHeight="1">
      <c r="B42" s="17">
        <v>0</v>
      </c>
      <c r="C42" s="17">
        <v>0</v>
      </c>
      <c r="D42" s="17">
        <v>1</v>
      </c>
      <c r="E42" s="17">
        <v>1</v>
      </c>
      <c r="F42" s="17">
        <v>1</v>
      </c>
      <c r="G42" s="17">
        <v>1</v>
      </c>
      <c r="H42" s="17">
        <v>1</v>
      </c>
      <c r="I42" s="17">
        <v>1</v>
      </c>
      <c r="J42" s="17">
        <v>1</v>
      </c>
      <c r="K42" s="17">
        <v>0</v>
      </c>
      <c r="L42" s="17">
        <v>0</v>
      </c>
      <c r="M42" s="17">
        <v>0</v>
      </c>
      <c r="N42" s="17">
        <v>0</v>
      </c>
      <c r="O42" s="17">
        <v>1</v>
      </c>
      <c r="P42" s="17">
        <v>1</v>
      </c>
      <c r="Q42" s="17">
        <v>1</v>
      </c>
      <c r="R42" s="17">
        <v>0</v>
      </c>
      <c r="S42" s="17">
        <v>1</v>
      </c>
      <c r="T42" s="17">
        <v>1</v>
      </c>
      <c r="U42" s="17">
        <v>1</v>
      </c>
      <c r="V42" s="17">
        <v>1</v>
      </c>
      <c r="W42" s="17">
        <v>1</v>
      </c>
      <c r="X42" s="17">
        <v>1</v>
      </c>
      <c r="Y42" s="17">
        <v>0</v>
      </c>
      <c r="Z42" s="17">
        <v>1</v>
      </c>
      <c r="AA42" s="17">
        <v>1</v>
      </c>
      <c r="AB42" s="17">
        <v>1</v>
      </c>
      <c r="AC42" s="17">
        <v>1</v>
      </c>
      <c r="AD42" s="17">
        <v>0</v>
      </c>
      <c r="AE42" s="17">
        <v>0</v>
      </c>
      <c r="AF42" s="17">
        <v>1</v>
      </c>
      <c r="AG42" s="17">
        <v>1</v>
      </c>
      <c r="AH42" s="17">
        <v>1</v>
      </c>
      <c r="AI42" s="17">
        <v>0</v>
      </c>
      <c r="AJ42" s="17">
        <v>0</v>
      </c>
      <c r="AK42" s="17">
        <v>1</v>
      </c>
      <c r="AL42" s="17">
        <v>0</v>
      </c>
      <c r="AM42" s="17">
        <v>1</v>
      </c>
      <c r="AN42" s="17">
        <v>0</v>
      </c>
      <c r="AO42" s="17">
        <v>1</v>
      </c>
      <c r="AP42" s="17">
        <v>1</v>
      </c>
      <c r="AQ42" s="17">
        <v>0</v>
      </c>
      <c r="AR42" s="17">
        <v>0</v>
      </c>
      <c r="AS42" s="17">
        <v>1</v>
      </c>
      <c r="AT42" s="17">
        <v>1</v>
      </c>
      <c r="AU42" s="17">
        <v>1</v>
      </c>
      <c r="AV42" s="17">
        <v>0</v>
      </c>
      <c r="AW42" s="17">
        <v>1</v>
      </c>
      <c r="AX42" s="17">
        <v>0</v>
      </c>
      <c r="AY42" s="17">
        <v>1</v>
      </c>
      <c r="AZ42" s="17">
        <v>0</v>
      </c>
      <c r="BA42" s="17">
        <v>1</v>
      </c>
      <c r="BB42" s="17">
        <v>0</v>
      </c>
      <c r="BC42" s="17">
        <v>1</v>
      </c>
      <c r="BD42" s="17">
        <v>0</v>
      </c>
      <c r="BE42" s="17">
        <v>0</v>
      </c>
      <c r="BF42" s="17">
        <v>1</v>
      </c>
      <c r="BG42" s="17">
        <v>1</v>
      </c>
      <c r="BH42" s="17">
        <v>0</v>
      </c>
      <c r="BI42" s="17">
        <v>1</v>
      </c>
      <c r="BJ42" s="17">
        <v>0</v>
      </c>
      <c r="BK42" s="17">
        <v>0</v>
      </c>
      <c r="BL42" s="17">
        <v>1</v>
      </c>
      <c r="BM42" s="17">
        <v>1</v>
      </c>
      <c r="BN42" s="17">
        <v>0</v>
      </c>
      <c r="BO42" s="17">
        <v>1</v>
      </c>
      <c r="BP42" s="17">
        <v>1</v>
      </c>
      <c r="BQ42" s="17">
        <v>0</v>
      </c>
      <c r="BR42" s="17">
        <v>1</v>
      </c>
      <c r="BS42" s="17" t="e">
        <v>#N/A</v>
      </c>
      <c r="BT42" s="17" t="e">
        <v>#N/A</v>
      </c>
      <c r="BU42" s="17" t="e">
        <v>#N/A</v>
      </c>
      <c r="BV42" s="17" t="e">
        <v>#N/A</v>
      </c>
      <c r="BW42" s="17" t="e">
        <v>#N/A</v>
      </c>
      <c r="BX42" s="17" t="e">
        <v>#N/A</v>
      </c>
      <c r="BY42" s="17" t="e">
        <v>#N/A</v>
      </c>
      <c r="BZ42" s="17" t="e">
        <v>#N/A</v>
      </c>
      <c r="CA42" s="17" t="e">
        <v>#N/A</v>
      </c>
      <c r="CB42" s="17" t="e">
        <v>#N/A</v>
      </c>
      <c r="CC42" s="17" t="e">
        <v>#N/A</v>
      </c>
      <c r="CD42" s="17" t="e">
        <v>#N/A</v>
      </c>
      <c r="CE42" s="17" t="e">
        <v>#N/A</v>
      </c>
      <c r="CF42" s="17" t="e">
        <v>#N/A</v>
      </c>
      <c r="CG42" s="17" t="e">
        <v>#N/A</v>
      </c>
      <c r="CH42" s="17" t="e">
        <v>#N/A</v>
      </c>
      <c r="CI42" s="17" t="e">
        <v>#N/A</v>
      </c>
      <c r="CJ42" s="17" t="e">
        <v>#N/A</v>
      </c>
      <c r="CK42" s="17" t="e">
        <v>#N/A</v>
      </c>
      <c r="CL42" s="17" t="e">
        <v>#N/A</v>
      </c>
      <c r="CM42" s="17" t="e">
        <v>#N/A</v>
      </c>
      <c r="CN42" s="17" t="e">
        <v>#N/A</v>
      </c>
      <c r="CO42" s="17" t="e">
        <v>#N/A</v>
      </c>
      <c r="CP42" s="17" t="e">
        <v>#N/A</v>
      </c>
      <c r="CQ42" s="17" t="e">
        <v>#N/A</v>
      </c>
      <c r="CR42" s="17" t="e">
        <v>#N/A</v>
      </c>
      <c r="CS42" s="17" t="e">
        <v>#N/A</v>
      </c>
      <c r="CT42" s="17" t="e">
        <v>#N/A</v>
      </c>
      <c r="CU42" s="17" t="e">
        <v>#N/A</v>
      </c>
      <c r="CV42" s="17" t="e">
        <v>#N/A</v>
      </c>
      <c r="CW42" s="17" t="e">
        <v>#N/A</v>
      </c>
      <c r="CX42" s="17" t="e">
        <v>#N/A</v>
      </c>
      <c r="CY42" s="17" t="e">
        <v>#N/A</v>
      </c>
      <c r="CZ42" s="17" t="e">
        <v>#N/A</v>
      </c>
      <c r="DA42" s="17" t="e">
        <v>#N/A</v>
      </c>
      <c r="DB42" s="17" t="e">
        <v>#N/A</v>
      </c>
      <c r="DC42" s="17" t="e">
        <v>#N/A</v>
      </c>
      <c r="DD42" s="17" t="e">
        <v>#N/A</v>
      </c>
      <c r="DE42" s="17" t="e">
        <v>#N/A</v>
      </c>
      <c r="DF42" s="17" t="e">
        <v>#N/A</v>
      </c>
      <c r="DG42" s="17" t="e">
        <v>#N/A</v>
      </c>
      <c r="DH42" s="17" t="e">
        <v>#N/A</v>
      </c>
      <c r="DI42" s="17" t="e">
        <v>#N/A</v>
      </c>
      <c r="DJ42" s="17" t="e">
        <v>#N/A</v>
      </c>
      <c r="DK42" s="17" t="e">
        <v>#N/A</v>
      </c>
      <c r="DL42" s="17" t="e">
        <v>#N/A</v>
      </c>
      <c r="DM42" s="17" t="e">
        <v>#N/A</v>
      </c>
      <c r="DN42" s="17" t="e">
        <v>#N/A</v>
      </c>
      <c r="DO42" s="17" t="e">
        <v>#N/A</v>
      </c>
      <c r="DP42" s="17" t="e">
        <v>#N/A</v>
      </c>
      <c r="DQ42" s="17" t="e">
        <v>#N/A</v>
      </c>
      <c r="DR42" s="17" t="e">
        <v>#N/A</v>
      </c>
      <c r="DS42" s="17" t="e">
        <v>#N/A</v>
      </c>
      <c r="DT42" s="17" t="e">
        <v>#N/A</v>
      </c>
      <c r="DU42" s="17" t="e">
        <v>#N/A</v>
      </c>
      <c r="DV42" s="17" t="e">
        <v>#N/A</v>
      </c>
      <c r="DW42" s="17" t="e">
        <v>#N/A</v>
      </c>
      <c r="DX42" s="17" t="e">
        <v>#N/A</v>
      </c>
      <c r="DY42" s="17" t="e">
        <v>#N/A</v>
      </c>
      <c r="DZ42" s="17" t="e">
        <v>#N/A</v>
      </c>
      <c r="EA42" s="17" t="e">
        <v>#N/A</v>
      </c>
      <c r="EB42" s="17" t="e">
        <v>#N/A</v>
      </c>
      <c r="EC42" s="17" t="e">
        <v>#N/A</v>
      </c>
      <c r="ED42" s="17" t="e">
        <v>#N/A</v>
      </c>
      <c r="EE42" s="17" t="e">
        <v>#N/A</v>
      </c>
      <c r="EF42" s="17" t="e">
        <v>#N/A</v>
      </c>
      <c r="EG42" s="17" t="e">
        <v>#N/A</v>
      </c>
      <c r="EH42" s="17" t="e">
        <v>#N/A</v>
      </c>
      <c r="EI42" s="17" t="e">
        <v>#N/A</v>
      </c>
      <c r="EJ42" s="17" t="e">
        <v>#N/A</v>
      </c>
      <c r="EK42" s="17" t="e">
        <v>#N/A</v>
      </c>
      <c r="EL42" s="17" t="e">
        <v>#N/A</v>
      </c>
      <c r="EM42" s="17" t="e">
        <v>#N/A</v>
      </c>
      <c r="EN42" s="17" t="e">
        <v>#N/A</v>
      </c>
      <c r="EO42" s="17" t="e">
        <v>#N/A</v>
      </c>
      <c r="EP42" s="17" t="e">
        <v>#N/A</v>
      </c>
      <c r="EQ42" s="17" t="e">
        <v>#N/A</v>
      </c>
      <c r="ER42" s="17" t="e">
        <v>#N/A</v>
      </c>
      <c r="ES42" s="17" t="e">
        <v>#N/A</v>
      </c>
      <c r="ET42" s="17" t="e">
        <v>#N/A</v>
      </c>
      <c r="EU42" s="17" t="e">
        <v>#N/A</v>
      </c>
      <c r="EV42" s="17" t="e">
        <v>#N/A</v>
      </c>
      <c r="EW42" s="17" t="e">
        <v>#N/A</v>
      </c>
      <c r="EX42" s="17" t="e">
        <v>#N/A</v>
      </c>
      <c r="EY42" s="17" t="e">
        <v>#N/A</v>
      </c>
      <c r="EZ42" s="17" t="e">
        <v>#N/A</v>
      </c>
      <c r="FA42" s="17" t="e">
        <v>#N/A</v>
      </c>
      <c r="FB42" s="17" t="e">
        <v>#N/A</v>
      </c>
      <c r="FC42" s="17" t="e">
        <v>#N/A</v>
      </c>
      <c r="FD42" s="17" t="e">
        <v>#N/A</v>
      </c>
      <c r="FE42" s="17" t="e">
        <v>#N/A</v>
      </c>
      <c r="FF42" s="17" t="e">
        <v>#N/A</v>
      </c>
      <c r="FG42" s="17" t="e">
        <v>#N/A</v>
      </c>
      <c r="FH42" s="17" t="e">
        <v>#N/A</v>
      </c>
      <c r="FI42" s="17" t="e">
        <v>#N/A</v>
      </c>
      <c r="FJ42" s="17" t="e">
        <v>#N/A</v>
      </c>
      <c r="FK42" s="17" t="e">
        <v>#N/A</v>
      </c>
      <c r="FL42" s="17" t="e">
        <v>#N/A</v>
      </c>
      <c r="FM42" s="17" t="e">
        <v>#N/A</v>
      </c>
      <c r="FN42" s="17" t="e">
        <v>#N/A</v>
      </c>
      <c r="FO42" s="17" t="e">
        <v>#N/A</v>
      </c>
      <c r="FP42" s="17" t="e">
        <v>#N/A</v>
      </c>
      <c r="FQ42" s="17" t="e">
        <v>#N/A</v>
      </c>
      <c r="FR42" s="17" t="e">
        <v>#N/A</v>
      </c>
      <c r="FS42" s="17" t="e">
        <v>#N/A</v>
      </c>
      <c r="FT42" s="17" t="e">
        <v>#N/A</v>
      </c>
      <c r="FU42" s="17" t="e">
        <v>#N/A</v>
      </c>
      <c r="FV42" s="17" t="e">
        <v>#N/A</v>
      </c>
    </row>
    <row r="43" spans="2:178" ht="11.25" customHeight="1">
      <c r="B43" s="17">
        <v>1</v>
      </c>
      <c r="C43" s="17">
        <v>0</v>
      </c>
      <c r="D43" s="17">
        <v>0</v>
      </c>
      <c r="E43" s="17">
        <v>0</v>
      </c>
      <c r="F43" s="17">
        <v>1</v>
      </c>
      <c r="G43" s="17">
        <v>1</v>
      </c>
      <c r="H43" s="17">
        <v>0</v>
      </c>
      <c r="I43" s="17">
        <v>0</v>
      </c>
      <c r="J43" s="17">
        <v>1</v>
      </c>
      <c r="K43" s="17">
        <v>1</v>
      </c>
      <c r="L43" s="17">
        <v>1</v>
      </c>
      <c r="M43" s="17">
        <v>0</v>
      </c>
      <c r="N43" s="17">
        <v>0</v>
      </c>
      <c r="O43" s="17">
        <v>0</v>
      </c>
      <c r="P43" s="17">
        <v>0</v>
      </c>
      <c r="Q43" s="17">
        <v>0</v>
      </c>
      <c r="R43" s="17">
        <v>1</v>
      </c>
      <c r="S43" s="17">
        <v>0</v>
      </c>
      <c r="T43" s="17">
        <v>0</v>
      </c>
      <c r="U43" s="17">
        <v>0</v>
      </c>
      <c r="V43" s="17">
        <v>0</v>
      </c>
      <c r="W43" s="17">
        <v>1</v>
      </c>
      <c r="X43" s="17">
        <v>1</v>
      </c>
      <c r="Y43" s="17">
        <v>0</v>
      </c>
      <c r="Z43" s="17">
        <v>0</v>
      </c>
      <c r="AA43" s="17">
        <v>1</v>
      </c>
      <c r="AB43" s="17">
        <v>0</v>
      </c>
      <c r="AC43" s="17">
        <v>1</v>
      </c>
      <c r="AD43" s="17">
        <v>0</v>
      </c>
      <c r="AE43" s="17">
        <v>0</v>
      </c>
      <c r="AF43" s="17">
        <v>0</v>
      </c>
      <c r="AG43" s="17">
        <v>1</v>
      </c>
      <c r="AH43" s="17">
        <v>1</v>
      </c>
      <c r="AI43" s="17">
        <v>0</v>
      </c>
      <c r="AJ43" s="17">
        <v>0</v>
      </c>
      <c r="AK43" s="17">
        <v>1</v>
      </c>
      <c r="AL43" s="17">
        <v>1</v>
      </c>
      <c r="AM43" s="17">
        <v>0</v>
      </c>
      <c r="AN43" s="17">
        <v>0</v>
      </c>
      <c r="AO43" s="17">
        <v>1</v>
      </c>
      <c r="AP43" s="17">
        <v>1</v>
      </c>
      <c r="AQ43" s="17">
        <v>0</v>
      </c>
      <c r="AR43" s="17">
        <v>0</v>
      </c>
      <c r="AS43" s="17">
        <v>0</v>
      </c>
      <c r="AT43" s="17">
        <v>0</v>
      </c>
      <c r="AU43" s="17">
        <v>1</v>
      </c>
      <c r="AV43" s="17">
        <v>1</v>
      </c>
      <c r="AW43" s="17">
        <v>0</v>
      </c>
      <c r="AX43" s="17">
        <v>0</v>
      </c>
      <c r="AY43" s="17">
        <v>1</v>
      </c>
      <c r="AZ43" s="17">
        <v>1</v>
      </c>
      <c r="BA43" s="17">
        <v>1</v>
      </c>
      <c r="BB43" s="17">
        <v>1</v>
      </c>
      <c r="BC43" s="17">
        <v>1</v>
      </c>
      <c r="BD43" s="17">
        <v>1</v>
      </c>
      <c r="BE43" s="17">
        <v>0</v>
      </c>
      <c r="BF43" s="17">
        <v>1</v>
      </c>
      <c r="BG43" s="17">
        <v>1</v>
      </c>
      <c r="BH43" s="17">
        <v>1</v>
      </c>
      <c r="BI43" s="17">
        <v>0</v>
      </c>
      <c r="BJ43" s="17">
        <v>1</v>
      </c>
      <c r="BK43" s="17">
        <v>0</v>
      </c>
      <c r="BL43" s="17">
        <v>1</v>
      </c>
      <c r="BM43" s="17">
        <v>1</v>
      </c>
      <c r="BN43" s="17">
        <v>1</v>
      </c>
      <c r="BO43" s="17">
        <v>1</v>
      </c>
      <c r="BP43" s="17">
        <v>0</v>
      </c>
      <c r="BQ43" s="17">
        <v>1</v>
      </c>
      <c r="BR43" s="17">
        <v>0</v>
      </c>
      <c r="BS43" s="17" t="e">
        <v>#N/A</v>
      </c>
      <c r="BT43" s="17" t="e">
        <v>#N/A</v>
      </c>
      <c r="BU43" s="17" t="e">
        <v>#N/A</v>
      </c>
      <c r="BV43" s="17" t="e">
        <v>#N/A</v>
      </c>
      <c r="BW43" s="17" t="e">
        <v>#N/A</v>
      </c>
      <c r="BX43" s="17" t="e">
        <v>#N/A</v>
      </c>
      <c r="BY43" s="17" t="e">
        <v>#N/A</v>
      </c>
      <c r="BZ43" s="17" t="e">
        <v>#N/A</v>
      </c>
      <c r="CA43" s="17" t="e">
        <v>#N/A</v>
      </c>
      <c r="CB43" s="17" t="e">
        <v>#N/A</v>
      </c>
      <c r="CC43" s="17" t="e">
        <v>#N/A</v>
      </c>
      <c r="CD43" s="17" t="e">
        <v>#N/A</v>
      </c>
      <c r="CE43" s="17" t="e">
        <v>#N/A</v>
      </c>
      <c r="CF43" s="17" t="e">
        <v>#N/A</v>
      </c>
      <c r="CG43" s="17" t="e">
        <v>#N/A</v>
      </c>
      <c r="CH43" s="17" t="e">
        <v>#N/A</v>
      </c>
      <c r="CI43" s="17" t="e">
        <v>#N/A</v>
      </c>
      <c r="CJ43" s="17" t="e">
        <v>#N/A</v>
      </c>
      <c r="CK43" s="17" t="e">
        <v>#N/A</v>
      </c>
      <c r="CL43" s="17" t="e">
        <v>#N/A</v>
      </c>
      <c r="CM43" s="17" t="e">
        <v>#N/A</v>
      </c>
      <c r="CN43" s="17" t="e">
        <v>#N/A</v>
      </c>
      <c r="CO43" s="17" t="e">
        <v>#N/A</v>
      </c>
      <c r="CP43" s="17" t="e">
        <v>#N/A</v>
      </c>
      <c r="CQ43" s="17" t="e">
        <v>#N/A</v>
      </c>
      <c r="CR43" s="17" t="e">
        <v>#N/A</v>
      </c>
      <c r="CS43" s="17" t="e">
        <v>#N/A</v>
      </c>
      <c r="CT43" s="17" t="e">
        <v>#N/A</v>
      </c>
      <c r="CU43" s="17" t="e">
        <v>#N/A</v>
      </c>
      <c r="CV43" s="17" t="e">
        <v>#N/A</v>
      </c>
      <c r="CW43" s="17" t="e">
        <v>#N/A</v>
      </c>
      <c r="CX43" s="17" t="e">
        <v>#N/A</v>
      </c>
      <c r="CY43" s="17" t="e">
        <v>#N/A</v>
      </c>
      <c r="CZ43" s="17" t="e">
        <v>#N/A</v>
      </c>
      <c r="DA43" s="17" t="e">
        <v>#N/A</v>
      </c>
      <c r="DB43" s="17" t="e">
        <v>#N/A</v>
      </c>
      <c r="DC43" s="17" t="e">
        <v>#N/A</v>
      </c>
      <c r="DD43" s="17" t="e">
        <v>#N/A</v>
      </c>
      <c r="DE43" s="17" t="e">
        <v>#N/A</v>
      </c>
      <c r="DF43" s="17" t="e">
        <v>#N/A</v>
      </c>
      <c r="DG43" s="17" t="e">
        <v>#N/A</v>
      </c>
      <c r="DH43" s="17" t="e">
        <v>#N/A</v>
      </c>
      <c r="DI43" s="17" t="e">
        <v>#N/A</v>
      </c>
      <c r="DJ43" s="17" t="e">
        <v>#N/A</v>
      </c>
      <c r="DK43" s="17" t="e">
        <v>#N/A</v>
      </c>
      <c r="DL43" s="17" t="e">
        <v>#N/A</v>
      </c>
      <c r="DM43" s="17" t="e">
        <v>#N/A</v>
      </c>
      <c r="DN43" s="17" t="e">
        <v>#N/A</v>
      </c>
      <c r="DO43" s="17" t="e">
        <v>#N/A</v>
      </c>
      <c r="DP43" s="17" t="e">
        <v>#N/A</v>
      </c>
      <c r="DQ43" s="17" t="e">
        <v>#N/A</v>
      </c>
      <c r="DR43" s="17" t="e">
        <v>#N/A</v>
      </c>
      <c r="DS43" s="17" t="e">
        <v>#N/A</v>
      </c>
      <c r="DT43" s="17" t="e">
        <v>#N/A</v>
      </c>
      <c r="DU43" s="17" t="e">
        <v>#N/A</v>
      </c>
      <c r="DV43" s="17" t="e">
        <v>#N/A</v>
      </c>
      <c r="DW43" s="17" t="e">
        <v>#N/A</v>
      </c>
      <c r="DX43" s="17" t="e">
        <v>#N/A</v>
      </c>
      <c r="DY43" s="17" t="e">
        <v>#N/A</v>
      </c>
      <c r="DZ43" s="17" t="e">
        <v>#N/A</v>
      </c>
      <c r="EA43" s="17" t="e">
        <v>#N/A</v>
      </c>
      <c r="EB43" s="17" t="e">
        <v>#N/A</v>
      </c>
      <c r="EC43" s="17" t="e">
        <v>#N/A</v>
      </c>
      <c r="ED43" s="17" t="e">
        <v>#N/A</v>
      </c>
      <c r="EE43" s="17" t="e">
        <v>#N/A</v>
      </c>
      <c r="EF43" s="17" t="e">
        <v>#N/A</v>
      </c>
      <c r="EG43" s="17" t="e">
        <v>#N/A</v>
      </c>
      <c r="EH43" s="17" t="e">
        <v>#N/A</v>
      </c>
      <c r="EI43" s="17" t="e">
        <v>#N/A</v>
      </c>
      <c r="EJ43" s="17" t="e">
        <v>#N/A</v>
      </c>
      <c r="EK43" s="17" t="e">
        <v>#N/A</v>
      </c>
      <c r="EL43" s="17" t="e">
        <v>#N/A</v>
      </c>
      <c r="EM43" s="17" t="e">
        <v>#N/A</v>
      </c>
      <c r="EN43" s="17" t="e">
        <v>#N/A</v>
      </c>
      <c r="EO43" s="17" t="e">
        <v>#N/A</v>
      </c>
      <c r="EP43" s="17" t="e">
        <v>#N/A</v>
      </c>
      <c r="EQ43" s="17" t="e">
        <v>#N/A</v>
      </c>
      <c r="ER43" s="17" t="e">
        <v>#N/A</v>
      </c>
      <c r="ES43" s="17" t="e">
        <v>#N/A</v>
      </c>
      <c r="ET43" s="17" t="e">
        <v>#N/A</v>
      </c>
      <c r="EU43" s="17" t="e">
        <v>#N/A</v>
      </c>
      <c r="EV43" s="17" t="e">
        <v>#N/A</v>
      </c>
      <c r="EW43" s="17" t="e">
        <v>#N/A</v>
      </c>
      <c r="EX43" s="17" t="e">
        <v>#N/A</v>
      </c>
      <c r="EY43" s="17" t="e">
        <v>#N/A</v>
      </c>
      <c r="EZ43" s="17" t="e">
        <v>#N/A</v>
      </c>
      <c r="FA43" s="17" t="e">
        <v>#N/A</v>
      </c>
      <c r="FB43" s="17" t="e">
        <v>#N/A</v>
      </c>
      <c r="FC43" s="17" t="e">
        <v>#N/A</v>
      </c>
      <c r="FD43" s="17" t="e">
        <v>#N/A</v>
      </c>
      <c r="FE43" s="17" t="e">
        <v>#N/A</v>
      </c>
      <c r="FF43" s="17" t="e">
        <v>#N/A</v>
      </c>
      <c r="FG43" s="17" t="e">
        <v>#N/A</v>
      </c>
      <c r="FH43" s="17" t="e">
        <v>#N/A</v>
      </c>
      <c r="FI43" s="17" t="e">
        <v>#N/A</v>
      </c>
      <c r="FJ43" s="17" t="e">
        <v>#N/A</v>
      </c>
      <c r="FK43" s="17" t="e">
        <v>#N/A</v>
      </c>
      <c r="FL43" s="17" t="e">
        <v>#N/A</v>
      </c>
      <c r="FM43" s="17" t="e">
        <v>#N/A</v>
      </c>
      <c r="FN43" s="17" t="e">
        <v>#N/A</v>
      </c>
      <c r="FO43" s="17" t="e">
        <v>#N/A</v>
      </c>
      <c r="FP43" s="17" t="e">
        <v>#N/A</v>
      </c>
      <c r="FQ43" s="17" t="e">
        <v>#N/A</v>
      </c>
      <c r="FR43" s="17" t="e">
        <v>#N/A</v>
      </c>
      <c r="FS43" s="17" t="e">
        <v>#N/A</v>
      </c>
      <c r="FT43" s="17" t="e">
        <v>#N/A</v>
      </c>
      <c r="FU43" s="17" t="e">
        <v>#N/A</v>
      </c>
      <c r="FV43" s="17" t="e">
        <v>#N/A</v>
      </c>
    </row>
    <row r="44" spans="2:178" ht="11.25" customHeight="1">
      <c r="B44" s="17">
        <v>0</v>
      </c>
      <c r="C44" s="17">
        <v>0</v>
      </c>
      <c r="D44" s="17">
        <v>1</v>
      </c>
      <c r="E44" s="17">
        <v>0</v>
      </c>
      <c r="F44" s="17">
        <v>0</v>
      </c>
      <c r="G44" s="17">
        <v>0</v>
      </c>
      <c r="H44" s="17">
        <v>1</v>
      </c>
      <c r="I44" s="17">
        <v>0</v>
      </c>
      <c r="J44" s="17">
        <v>0</v>
      </c>
      <c r="K44" s="17">
        <v>0</v>
      </c>
      <c r="L44" s="17">
        <v>0</v>
      </c>
      <c r="M44" s="17">
        <v>0</v>
      </c>
      <c r="N44" s="17">
        <v>1</v>
      </c>
      <c r="O44" s="17">
        <v>1</v>
      </c>
      <c r="P44" s="17">
        <v>1</v>
      </c>
      <c r="Q44" s="17">
        <v>0</v>
      </c>
      <c r="R44" s="17">
        <v>1</v>
      </c>
      <c r="S44" s="17">
        <v>1</v>
      </c>
      <c r="T44" s="17">
        <v>1</v>
      </c>
      <c r="U44" s="17">
        <v>0</v>
      </c>
      <c r="V44" s="17">
        <v>0</v>
      </c>
      <c r="W44" s="17">
        <v>0</v>
      </c>
      <c r="X44" s="17">
        <v>0</v>
      </c>
      <c r="Y44" s="17">
        <v>0</v>
      </c>
      <c r="Z44" s="17">
        <v>1</v>
      </c>
      <c r="AA44" s="17">
        <v>0</v>
      </c>
      <c r="AB44" s="17">
        <v>0</v>
      </c>
      <c r="AC44" s="17">
        <v>0</v>
      </c>
      <c r="AD44" s="17">
        <v>1</v>
      </c>
      <c r="AE44" s="17">
        <v>1</v>
      </c>
      <c r="AF44" s="17">
        <v>0</v>
      </c>
      <c r="AG44" s="17">
        <v>0</v>
      </c>
      <c r="AH44" s="17">
        <v>0</v>
      </c>
      <c r="AI44" s="17">
        <v>1</v>
      </c>
      <c r="AJ44" s="17">
        <v>1</v>
      </c>
      <c r="AK44" s="17">
        <v>0</v>
      </c>
      <c r="AL44" s="17">
        <v>0</v>
      </c>
      <c r="AM44" s="17">
        <v>0</v>
      </c>
      <c r="AN44" s="17">
        <v>1</v>
      </c>
      <c r="AO44" s="17">
        <v>1</v>
      </c>
      <c r="AP44" s="17">
        <v>1</v>
      </c>
      <c r="AQ44" s="17">
        <v>1</v>
      </c>
      <c r="AR44" s="17">
        <v>0</v>
      </c>
      <c r="AS44" s="17">
        <v>0</v>
      </c>
      <c r="AT44" s="17">
        <v>0</v>
      </c>
      <c r="AU44" s="17">
        <v>1</v>
      </c>
      <c r="AV44" s="17">
        <v>1</v>
      </c>
      <c r="AW44" s="17">
        <v>1</v>
      </c>
      <c r="AX44" s="17">
        <v>0</v>
      </c>
      <c r="AY44" s="17">
        <v>1</v>
      </c>
      <c r="AZ44" s="17">
        <v>0</v>
      </c>
      <c r="BA44" s="17">
        <v>1</v>
      </c>
      <c r="BB44" s="17">
        <v>1</v>
      </c>
      <c r="BC44" s="17">
        <v>0</v>
      </c>
      <c r="BD44" s="17">
        <v>0</v>
      </c>
      <c r="BE44" s="17">
        <v>1</v>
      </c>
      <c r="BF44" s="17">
        <v>1</v>
      </c>
      <c r="BG44" s="17">
        <v>1</v>
      </c>
      <c r="BH44" s="17">
        <v>0</v>
      </c>
      <c r="BI44" s="17">
        <v>1</v>
      </c>
      <c r="BJ44" s="17">
        <v>0</v>
      </c>
      <c r="BK44" s="17">
        <v>0</v>
      </c>
      <c r="BL44" s="17">
        <v>0</v>
      </c>
      <c r="BM44" s="17">
        <v>0</v>
      </c>
      <c r="BN44" s="17">
        <v>0</v>
      </c>
      <c r="BO44" s="17">
        <v>0</v>
      </c>
      <c r="BP44" s="17">
        <v>0</v>
      </c>
      <c r="BQ44" s="17">
        <v>0</v>
      </c>
      <c r="BR44" s="17">
        <v>1</v>
      </c>
      <c r="BS44" s="17" t="e">
        <v>#N/A</v>
      </c>
      <c r="BT44" s="17" t="e">
        <v>#N/A</v>
      </c>
      <c r="BU44" s="17" t="e">
        <v>#N/A</v>
      </c>
      <c r="BV44" s="17" t="e">
        <v>#N/A</v>
      </c>
      <c r="BW44" s="17" t="e">
        <v>#N/A</v>
      </c>
      <c r="BX44" s="17" t="e">
        <v>#N/A</v>
      </c>
      <c r="BY44" s="17" t="e">
        <v>#N/A</v>
      </c>
      <c r="BZ44" s="17" t="e">
        <v>#N/A</v>
      </c>
      <c r="CA44" s="17" t="e">
        <v>#N/A</v>
      </c>
      <c r="CB44" s="17" t="e">
        <v>#N/A</v>
      </c>
      <c r="CC44" s="17" t="e">
        <v>#N/A</v>
      </c>
      <c r="CD44" s="17" t="e">
        <v>#N/A</v>
      </c>
      <c r="CE44" s="17" t="e">
        <v>#N/A</v>
      </c>
      <c r="CF44" s="17" t="e">
        <v>#N/A</v>
      </c>
      <c r="CG44" s="17" t="e">
        <v>#N/A</v>
      </c>
      <c r="CH44" s="17" t="e">
        <v>#N/A</v>
      </c>
      <c r="CI44" s="17" t="e">
        <v>#N/A</v>
      </c>
      <c r="CJ44" s="17" t="e">
        <v>#N/A</v>
      </c>
      <c r="CK44" s="17" t="e">
        <v>#N/A</v>
      </c>
      <c r="CL44" s="17" t="e">
        <v>#N/A</v>
      </c>
      <c r="CM44" s="17" t="e">
        <v>#N/A</v>
      </c>
      <c r="CN44" s="17" t="e">
        <v>#N/A</v>
      </c>
      <c r="CO44" s="17" t="e">
        <v>#N/A</v>
      </c>
      <c r="CP44" s="17" t="e">
        <v>#N/A</v>
      </c>
      <c r="CQ44" s="17" t="e">
        <v>#N/A</v>
      </c>
      <c r="CR44" s="17" t="e">
        <v>#N/A</v>
      </c>
      <c r="CS44" s="17" t="e">
        <v>#N/A</v>
      </c>
      <c r="CT44" s="17" t="e">
        <v>#N/A</v>
      </c>
      <c r="CU44" s="17" t="e">
        <v>#N/A</v>
      </c>
      <c r="CV44" s="17" t="e">
        <v>#N/A</v>
      </c>
      <c r="CW44" s="17" t="e">
        <v>#N/A</v>
      </c>
      <c r="CX44" s="17" t="e">
        <v>#N/A</v>
      </c>
      <c r="CY44" s="17" t="e">
        <v>#N/A</v>
      </c>
      <c r="CZ44" s="17" t="e">
        <v>#N/A</v>
      </c>
      <c r="DA44" s="17" t="e">
        <v>#N/A</v>
      </c>
      <c r="DB44" s="17" t="e">
        <v>#N/A</v>
      </c>
      <c r="DC44" s="17" t="e">
        <v>#N/A</v>
      </c>
      <c r="DD44" s="17" t="e">
        <v>#N/A</v>
      </c>
      <c r="DE44" s="17" t="e">
        <v>#N/A</v>
      </c>
      <c r="DF44" s="17" t="e">
        <v>#N/A</v>
      </c>
      <c r="DG44" s="17" t="e">
        <v>#N/A</v>
      </c>
      <c r="DH44" s="17" t="e">
        <v>#N/A</v>
      </c>
      <c r="DI44" s="17" t="e">
        <v>#N/A</v>
      </c>
      <c r="DJ44" s="17" t="e">
        <v>#N/A</v>
      </c>
      <c r="DK44" s="17" t="e">
        <v>#N/A</v>
      </c>
      <c r="DL44" s="17" t="e">
        <v>#N/A</v>
      </c>
      <c r="DM44" s="17" t="e">
        <v>#N/A</v>
      </c>
      <c r="DN44" s="17" t="e">
        <v>#N/A</v>
      </c>
      <c r="DO44" s="17" t="e">
        <v>#N/A</v>
      </c>
      <c r="DP44" s="17" t="e">
        <v>#N/A</v>
      </c>
      <c r="DQ44" s="17" t="e">
        <v>#N/A</v>
      </c>
      <c r="DR44" s="17" t="e">
        <v>#N/A</v>
      </c>
      <c r="DS44" s="17" t="e">
        <v>#N/A</v>
      </c>
      <c r="DT44" s="17" t="e">
        <v>#N/A</v>
      </c>
      <c r="DU44" s="17" t="e">
        <v>#N/A</v>
      </c>
      <c r="DV44" s="17" t="e">
        <v>#N/A</v>
      </c>
      <c r="DW44" s="17" t="e">
        <v>#N/A</v>
      </c>
      <c r="DX44" s="17" t="e">
        <v>#N/A</v>
      </c>
      <c r="DY44" s="17" t="e">
        <v>#N/A</v>
      </c>
      <c r="DZ44" s="17" t="e">
        <v>#N/A</v>
      </c>
      <c r="EA44" s="17" t="e">
        <v>#N/A</v>
      </c>
      <c r="EB44" s="17" t="e">
        <v>#N/A</v>
      </c>
      <c r="EC44" s="17" t="e">
        <v>#N/A</v>
      </c>
      <c r="ED44" s="17" t="e">
        <v>#N/A</v>
      </c>
      <c r="EE44" s="17" t="e">
        <v>#N/A</v>
      </c>
      <c r="EF44" s="17" t="e">
        <v>#N/A</v>
      </c>
      <c r="EG44" s="17" t="e">
        <v>#N/A</v>
      </c>
      <c r="EH44" s="17" t="e">
        <v>#N/A</v>
      </c>
      <c r="EI44" s="17" t="e">
        <v>#N/A</v>
      </c>
      <c r="EJ44" s="17" t="e">
        <v>#N/A</v>
      </c>
      <c r="EK44" s="17" t="e">
        <v>#N/A</v>
      </c>
      <c r="EL44" s="17" t="e">
        <v>#N/A</v>
      </c>
      <c r="EM44" s="17" t="e">
        <v>#N/A</v>
      </c>
      <c r="EN44" s="17" t="e">
        <v>#N/A</v>
      </c>
      <c r="EO44" s="17" t="e">
        <v>#N/A</v>
      </c>
      <c r="EP44" s="17" t="e">
        <v>#N/A</v>
      </c>
      <c r="EQ44" s="17" t="e">
        <v>#N/A</v>
      </c>
      <c r="ER44" s="17" t="e">
        <v>#N/A</v>
      </c>
      <c r="ES44" s="17" t="e">
        <v>#N/A</v>
      </c>
      <c r="ET44" s="17" t="e">
        <v>#N/A</v>
      </c>
      <c r="EU44" s="17" t="e">
        <v>#N/A</v>
      </c>
      <c r="EV44" s="17" t="e">
        <v>#N/A</v>
      </c>
      <c r="EW44" s="17" t="e">
        <v>#N/A</v>
      </c>
      <c r="EX44" s="17" t="e">
        <v>#N/A</v>
      </c>
      <c r="EY44" s="17" t="e">
        <v>#N/A</v>
      </c>
      <c r="EZ44" s="17" t="e">
        <v>#N/A</v>
      </c>
      <c r="FA44" s="17" t="e">
        <v>#N/A</v>
      </c>
      <c r="FB44" s="17" t="e">
        <v>#N/A</v>
      </c>
      <c r="FC44" s="17" t="e">
        <v>#N/A</v>
      </c>
      <c r="FD44" s="17" t="e">
        <v>#N/A</v>
      </c>
      <c r="FE44" s="17" t="e">
        <v>#N/A</v>
      </c>
      <c r="FF44" s="17" t="e">
        <v>#N/A</v>
      </c>
      <c r="FG44" s="17" t="e">
        <v>#N/A</v>
      </c>
      <c r="FH44" s="17" t="e">
        <v>#N/A</v>
      </c>
      <c r="FI44" s="17" t="e">
        <v>#N/A</v>
      </c>
      <c r="FJ44" s="17" t="e">
        <v>#N/A</v>
      </c>
      <c r="FK44" s="17" t="e">
        <v>#N/A</v>
      </c>
      <c r="FL44" s="17" t="e">
        <v>#N/A</v>
      </c>
      <c r="FM44" s="17" t="e">
        <v>#N/A</v>
      </c>
      <c r="FN44" s="17" t="e">
        <v>#N/A</v>
      </c>
      <c r="FO44" s="17" t="e">
        <v>#N/A</v>
      </c>
      <c r="FP44" s="17" t="e">
        <v>#N/A</v>
      </c>
      <c r="FQ44" s="17" t="e">
        <v>#N/A</v>
      </c>
      <c r="FR44" s="17" t="e">
        <v>#N/A</v>
      </c>
      <c r="FS44" s="17" t="e">
        <v>#N/A</v>
      </c>
      <c r="FT44" s="17" t="e">
        <v>#N/A</v>
      </c>
      <c r="FU44" s="17" t="e">
        <v>#N/A</v>
      </c>
      <c r="FV44" s="17" t="e">
        <v>#N/A</v>
      </c>
    </row>
    <row r="45" spans="2:178" ht="11.25" customHeight="1">
      <c r="B45" s="17">
        <v>0</v>
      </c>
      <c r="C45" s="17">
        <v>0</v>
      </c>
      <c r="D45" s="17">
        <v>1</v>
      </c>
      <c r="E45" s="17">
        <v>0</v>
      </c>
      <c r="F45" s="17">
        <v>0</v>
      </c>
      <c r="G45" s="17">
        <v>0</v>
      </c>
      <c r="H45" s="17">
        <v>0</v>
      </c>
      <c r="I45" s="17">
        <v>0</v>
      </c>
      <c r="J45" s="17">
        <v>1</v>
      </c>
      <c r="K45" s="17">
        <v>1</v>
      </c>
      <c r="L45" s="17">
        <v>1</v>
      </c>
      <c r="M45" s="17">
        <v>0</v>
      </c>
      <c r="N45" s="17">
        <v>1</v>
      </c>
      <c r="O45" s="17">
        <v>1</v>
      </c>
      <c r="P45" s="17">
        <v>0</v>
      </c>
      <c r="Q45" s="17">
        <v>0</v>
      </c>
      <c r="R45" s="17">
        <v>1</v>
      </c>
      <c r="S45" s="17">
        <v>0</v>
      </c>
      <c r="T45" s="17">
        <v>1</v>
      </c>
      <c r="U45" s="17">
        <v>1</v>
      </c>
      <c r="V45" s="17">
        <v>1</v>
      </c>
      <c r="W45" s="17">
        <v>1</v>
      </c>
      <c r="X45" s="17">
        <v>0</v>
      </c>
      <c r="Y45" s="17">
        <v>1</v>
      </c>
      <c r="Z45" s="17">
        <v>0</v>
      </c>
      <c r="AA45" s="17">
        <v>0</v>
      </c>
      <c r="AB45" s="17">
        <v>1</v>
      </c>
      <c r="AC45" s="17">
        <v>0</v>
      </c>
      <c r="AD45" s="17">
        <v>0</v>
      </c>
      <c r="AE45" s="17">
        <v>0</v>
      </c>
      <c r="AF45" s="17">
        <v>1</v>
      </c>
      <c r="AG45" s="17">
        <v>1</v>
      </c>
      <c r="AH45" s="17">
        <v>1</v>
      </c>
      <c r="AI45" s="17">
        <v>1</v>
      </c>
      <c r="AJ45" s="17">
        <v>0</v>
      </c>
      <c r="AK45" s="17">
        <v>0</v>
      </c>
      <c r="AL45" s="17">
        <v>1</v>
      </c>
      <c r="AM45" s="17">
        <v>0</v>
      </c>
      <c r="AN45" s="17">
        <v>1</v>
      </c>
      <c r="AO45" s="17">
        <v>1</v>
      </c>
      <c r="AP45" s="17">
        <v>1</v>
      </c>
      <c r="AQ45" s="17">
        <v>1</v>
      </c>
      <c r="AR45" s="17">
        <v>0</v>
      </c>
      <c r="AS45" s="17">
        <v>0</v>
      </c>
      <c r="AT45" s="17">
        <v>1</v>
      </c>
      <c r="AU45" s="17">
        <v>1</v>
      </c>
      <c r="AV45" s="17">
        <v>0</v>
      </c>
      <c r="AW45" s="17">
        <v>1</v>
      </c>
      <c r="AX45" s="17">
        <v>0</v>
      </c>
      <c r="AY45" s="17">
        <v>0</v>
      </c>
      <c r="AZ45" s="17">
        <v>1</v>
      </c>
      <c r="BA45" s="17">
        <v>0</v>
      </c>
      <c r="BB45" s="17">
        <v>1</v>
      </c>
      <c r="BC45" s="17">
        <v>1</v>
      </c>
      <c r="BD45" s="17">
        <v>0</v>
      </c>
      <c r="BE45" s="17">
        <v>0</v>
      </c>
      <c r="BF45" s="17">
        <v>1</v>
      </c>
      <c r="BG45" s="17">
        <v>1</v>
      </c>
      <c r="BH45" s="17">
        <v>1</v>
      </c>
      <c r="BI45" s="17">
        <v>0</v>
      </c>
      <c r="BJ45" s="17">
        <v>0</v>
      </c>
      <c r="BK45" s="17">
        <v>1</v>
      </c>
      <c r="BL45" s="17">
        <v>1</v>
      </c>
      <c r="BM45" s="17">
        <v>1</v>
      </c>
      <c r="BN45" s="17">
        <v>1</v>
      </c>
      <c r="BO45" s="17">
        <v>1</v>
      </c>
      <c r="BP45" s="17">
        <v>1</v>
      </c>
      <c r="BQ45" s="17">
        <v>1</v>
      </c>
      <c r="BR45" s="17">
        <v>1</v>
      </c>
      <c r="BS45" s="17" t="e">
        <v>#N/A</v>
      </c>
      <c r="BT45" s="17" t="e">
        <v>#N/A</v>
      </c>
      <c r="BU45" s="17" t="e">
        <v>#N/A</v>
      </c>
      <c r="BV45" s="17" t="e">
        <v>#N/A</v>
      </c>
      <c r="BW45" s="17" t="e">
        <v>#N/A</v>
      </c>
      <c r="BX45" s="17" t="e">
        <v>#N/A</v>
      </c>
      <c r="BY45" s="17" t="e">
        <v>#N/A</v>
      </c>
      <c r="BZ45" s="17" t="e">
        <v>#N/A</v>
      </c>
      <c r="CA45" s="17" t="e">
        <v>#N/A</v>
      </c>
      <c r="CB45" s="17" t="e">
        <v>#N/A</v>
      </c>
      <c r="CC45" s="17" t="e">
        <v>#N/A</v>
      </c>
      <c r="CD45" s="17" t="e">
        <v>#N/A</v>
      </c>
      <c r="CE45" s="17" t="e">
        <v>#N/A</v>
      </c>
      <c r="CF45" s="17" t="e">
        <v>#N/A</v>
      </c>
      <c r="CG45" s="17" t="e">
        <v>#N/A</v>
      </c>
      <c r="CH45" s="17" t="e">
        <v>#N/A</v>
      </c>
      <c r="CI45" s="17" t="e">
        <v>#N/A</v>
      </c>
      <c r="CJ45" s="17" t="e">
        <v>#N/A</v>
      </c>
      <c r="CK45" s="17" t="e">
        <v>#N/A</v>
      </c>
      <c r="CL45" s="17" t="e">
        <v>#N/A</v>
      </c>
      <c r="CM45" s="17" t="e">
        <v>#N/A</v>
      </c>
      <c r="CN45" s="17" t="e">
        <v>#N/A</v>
      </c>
      <c r="CO45" s="17" t="e">
        <v>#N/A</v>
      </c>
      <c r="CP45" s="17" t="e">
        <v>#N/A</v>
      </c>
      <c r="CQ45" s="17" t="e">
        <v>#N/A</v>
      </c>
      <c r="CR45" s="17" t="e">
        <v>#N/A</v>
      </c>
      <c r="CS45" s="17" t="e">
        <v>#N/A</v>
      </c>
      <c r="CT45" s="17" t="e">
        <v>#N/A</v>
      </c>
      <c r="CU45" s="17" t="e">
        <v>#N/A</v>
      </c>
      <c r="CV45" s="17" t="e">
        <v>#N/A</v>
      </c>
      <c r="CW45" s="17" t="e">
        <v>#N/A</v>
      </c>
      <c r="CX45" s="17" t="e">
        <v>#N/A</v>
      </c>
      <c r="CY45" s="17" t="e">
        <v>#N/A</v>
      </c>
      <c r="CZ45" s="17" t="e">
        <v>#N/A</v>
      </c>
      <c r="DA45" s="17" t="e">
        <v>#N/A</v>
      </c>
      <c r="DB45" s="17" t="e">
        <v>#N/A</v>
      </c>
      <c r="DC45" s="17" t="e">
        <v>#N/A</v>
      </c>
      <c r="DD45" s="17" t="e">
        <v>#N/A</v>
      </c>
      <c r="DE45" s="17" t="e">
        <v>#N/A</v>
      </c>
      <c r="DF45" s="17" t="e">
        <v>#N/A</v>
      </c>
      <c r="DG45" s="17" t="e">
        <v>#N/A</v>
      </c>
      <c r="DH45" s="17" t="e">
        <v>#N/A</v>
      </c>
      <c r="DI45" s="17" t="e">
        <v>#N/A</v>
      </c>
      <c r="DJ45" s="17" t="e">
        <v>#N/A</v>
      </c>
      <c r="DK45" s="17" t="e">
        <v>#N/A</v>
      </c>
      <c r="DL45" s="17" t="e">
        <v>#N/A</v>
      </c>
      <c r="DM45" s="17" t="e">
        <v>#N/A</v>
      </c>
      <c r="DN45" s="17" t="e">
        <v>#N/A</v>
      </c>
      <c r="DO45" s="17" t="e">
        <v>#N/A</v>
      </c>
      <c r="DP45" s="17" t="e">
        <v>#N/A</v>
      </c>
      <c r="DQ45" s="17" t="e">
        <v>#N/A</v>
      </c>
      <c r="DR45" s="17" t="e">
        <v>#N/A</v>
      </c>
      <c r="DS45" s="17" t="e">
        <v>#N/A</v>
      </c>
      <c r="DT45" s="17" t="e">
        <v>#N/A</v>
      </c>
      <c r="DU45" s="17" t="e">
        <v>#N/A</v>
      </c>
      <c r="DV45" s="17" t="e">
        <v>#N/A</v>
      </c>
      <c r="DW45" s="17" t="e">
        <v>#N/A</v>
      </c>
      <c r="DX45" s="17" t="e">
        <v>#N/A</v>
      </c>
      <c r="DY45" s="17" t="e">
        <v>#N/A</v>
      </c>
      <c r="DZ45" s="17" t="e">
        <v>#N/A</v>
      </c>
      <c r="EA45" s="17" t="e">
        <v>#N/A</v>
      </c>
      <c r="EB45" s="17" t="e">
        <v>#N/A</v>
      </c>
      <c r="EC45" s="17" t="e">
        <v>#N/A</v>
      </c>
      <c r="ED45" s="17" t="e">
        <v>#N/A</v>
      </c>
      <c r="EE45" s="17" t="e">
        <v>#N/A</v>
      </c>
      <c r="EF45" s="17" t="e">
        <v>#N/A</v>
      </c>
      <c r="EG45" s="17" t="e">
        <v>#N/A</v>
      </c>
      <c r="EH45" s="17" t="e">
        <v>#N/A</v>
      </c>
      <c r="EI45" s="17" t="e">
        <v>#N/A</v>
      </c>
      <c r="EJ45" s="17" t="e">
        <v>#N/A</v>
      </c>
      <c r="EK45" s="17" t="e">
        <v>#N/A</v>
      </c>
      <c r="EL45" s="17" t="e">
        <v>#N/A</v>
      </c>
      <c r="EM45" s="17" t="e">
        <v>#N/A</v>
      </c>
      <c r="EN45" s="17" t="e">
        <v>#N/A</v>
      </c>
      <c r="EO45" s="17" t="e">
        <v>#N/A</v>
      </c>
      <c r="EP45" s="17" t="e">
        <v>#N/A</v>
      </c>
      <c r="EQ45" s="17" t="e">
        <v>#N/A</v>
      </c>
      <c r="ER45" s="17" t="e">
        <v>#N/A</v>
      </c>
      <c r="ES45" s="17" t="e">
        <v>#N/A</v>
      </c>
      <c r="ET45" s="17" t="e">
        <v>#N/A</v>
      </c>
      <c r="EU45" s="17" t="e">
        <v>#N/A</v>
      </c>
      <c r="EV45" s="17" t="e">
        <v>#N/A</v>
      </c>
      <c r="EW45" s="17" t="e">
        <v>#N/A</v>
      </c>
      <c r="EX45" s="17" t="e">
        <v>#N/A</v>
      </c>
      <c r="EY45" s="17" t="e">
        <v>#N/A</v>
      </c>
      <c r="EZ45" s="17" t="e">
        <v>#N/A</v>
      </c>
      <c r="FA45" s="17" t="e">
        <v>#N/A</v>
      </c>
      <c r="FB45" s="17" t="e">
        <v>#N/A</v>
      </c>
      <c r="FC45" s="17" t="e">
        <v>#N/A</v>
      </c>
      <c r="FD45" s="17" t="e">
        <v>#N/A</v>
      </c>
      <c r="FE45" s="17" t="e">
        <v>#N/A</v>
      </c>
      <c r="FF45" s="17" t="e">
        <v>#N/A</v>
      </c>
      <c r="FG45" s="17" t="e">
        <v>#N/A</v>
      </c>
      <c r="FH45" s="17" t="e">
        <v>#N/A</v>
      </c>
      <c r="FI45" s="17" t="e">
        <v>#N/A</v>
      </c>
      <c r="FJ45" s="17" t="e">
        <v>#N/A</v>
      </c>
      <c r="FK45" s="17" t="e">
        <v>#N/A</v>
      </c>
      <c r="FL45" s="17" t="e">
        <v>#N/A</v>
      </c>
      <c r="FM45" s="17" t="e">
        <v>#N/A</v>
      </c>
      <c r="FN45" s="17" t="e">
        <v>#N/A</v>
      </c>
      <c r="FO45" s="17" t="e">
        <v>#N/A</v>
      </c>
      <c r="FP45" s="17" t="e">
        <v>#N/A</v>
      </c>
      <c r="FQ45" s="17" t="e">
        <v>#N/A</v>
      </c>
      <c r="FR45" s="17" t="e">
        <v>#N/A</v>
      </c>
      <c r="FS45" s="17" t="e">
        <v>#N/A</v>
      </c>
      <c r="FT45" s="17" t="e">
        <v>#N/A</v>
      </c>
      <c r="FU45" s="17" t="e">
        <v>#N/A</v>
      </c>
      <c r="FV45" s="17" t="e">
        <v>#N/A</v>
      </c>
    </row>
    <row r="46" spans="2:178" ht="11.25" customHeight="1">
      <c r="B46" s="17">
        <v>0</v>
      </c>
      <c r="C46" s="17">
        <v>0</v>
      </c>
      <c r="D46" s="17">
        <v>0</v>
      </c>
      <c r="E46" s="17">
        <v>0</v>
      </c>
      <c r="F46" s="17">
        <v>0</v>
      </c>
      <c r="G46" s="17">
        <v>0</v>
      </c>
      <c r="H46" s="17">
        <v>1</v>
      </c>
      <c r="I46" s="17">
        <v>1</v>
      </c>
      <c r="J46" s="17">
        <v>0</v>
      </c>
      <c r="K46" s="17">
        <v>1</v>
      </c>
      <c r="L46" s="17">
        <v>1</v>
      </c>
      <c r="M46" s="17">
        <v>1</v>
      </c>
      <c r="N46" s="17">
        <v>0</v>
      </c>
      <c r="O46" s="17">
        <v>1</v>
      </c>
      <c r="P46" s="17">
        <v>1</v>
      </c>
      <c r="Q46" s="17">
        <v>1</v>
      </c>
      <c r="R46" s="17">
        <v>1</v>
      </c>
      <c r="S46" s="17">
        <v>1</v>
      </c>
      <c r="T46" s="17">
        <v>1</v>
      </c>
      <c r="U46" s="17">
        <v>1</v>
      </c>
      <c r="V46" s="17">
        <v>0</v>
      </c>
      <c r="W46" s="17">
        <v>1</v>
      </c>
      <c r="X46" s="17">
        <v>1</v>
      </c>
      <c r="Y46" s="17">
        <v>0</v>
      </c>
      <c r="Z46" s="17">
        <v>1</v>
      </c>
      <c r="AA46" s="17">
        <v>0</v>
      </c>
      <c r="AB46" s="17">
        <v>1</v>
      </c>
      <c r="AC46" s="17">
        <v>1</v>
      </c>
      <c r="AD46" s="17">
        <v>0</v>
      </c>
      <c r="AE46" s="17">
        <v>0</v>
      </c>
      <c r="AF46" s="17">
        <v>1</v>
      </c>
      <c r="AG46" s="17">
        <v>1</v>
      </c>
      <c r="AH46" s="17">
        <v>1</v>
      </c>
      <c r="AI46" s="17">
        <v>1</v>
      </c>
      <c r="AJ46" s="17">
        <v>0</v>
      </c>
      <c r="AK46" s="17">
        <v>0</v>
      </c>
      <c r="AL46" s="17">
        <v>0</v>
      </c>
      <c r="AM46" s="17">
        <v>0</v>
      </c>
      <c r="AN46" s="17">
        <v>0</v>
      </c>
      <c r="AO46" s="17">
        <v>0</v>
      </c>
      <c r="AP46" s="17">
        <v>1</v>
      </c>
      <c r="AQ46" s="17">
        <v>1</v>
      </c>
      <c r="AR46" s="17">
        <v>0</v>
      </c>
      <c r="AS46" s="17">
        <v>0</v>
      </c>
      <c r="AT46" s="17">
        <v>1</v>
      </c>
      <c r="AU46" s="17">
        <v>0</v>
      </c>
      <c r="AV46" s="17">
        <v>0</v>
      </c>
      <c r="AW46" s="17">
        <v>0</v>
      </c>
      <c r="AX46" s="17">
        <v>0</v>
      </c>
      <c r="AY46" s="17">
        <v>1</v>
      </c>
      <c r="AZ46" s="17">
        <v>1</v>
      </c>
      <c r="BA46" s="17">
        <v>0</v>
      </c>
      <c r="BB46" s="17">
        <v>1</v>
      </c>
      <c r="BC46" s="17">
        <v>0</v>
      </c>
      <c r="BD46" s="17">
        <v>1</v>
      </c>
      <c r="BE46" s="17">
        <v>0</v>
      </c>
      <c r="BF46" s="17">
        <v>0</v>
      </c>
      <c r="BG46" s="17">
        <v>0</v>
      </c>
      <c r="BH46" s="17">
        <v>1</v>
      </c>
      <c r="BI46" s="17">
        <v>1</v>
      </c>
      <c r="BJ46" s="17">
        <v>0</v>
      </c>
      <c r="BK46" s="17">
        <v>0</v>
      </c>
      <c r="BL46" s="17">
        <v>0</v>
      </c>
      <c r="BM46" s="17">
        <v>1</v>
      </c>
      <c r="BN46" s="17">
        <v>1</v>
      </c>
      <c r="BO46" s="17">
        <v>1</v>
      </c>
      <c r="BP46" s="17">
        <v>0</v>
      </c>
      <c r="BQ46" s="17">
        <v>1</v>
      </c>
      <c r="BR46" s="17">
        <v>0</v>
      </c>
      <c r="BS46" s="17" t="e">
        <v>#N/A</v>
      </c>
      <c r="BT46" s="17" t="e">
        <v>#N/A</v>
      </c>
      <c r="BU46" s="17" t="e">
        <v>#N/A</v>
      </c>
      <c r="BV46" s="17" t="e">
        <v>#N/A</v>
      </c>
      <c r="BW46" s="17" t="e">
        <v>#N/A</v>
      </c>
      <c r="BX46" s="17" t="e">
        <v>#N/A</v>
      </c>
      <c r="BY46" s="17" t="e">
        <v>#N/A</v>
      </c>
      <c r="BZ46" s="17" t="e">
        <v>#N/A</v>
      </c>
      <c r="CA46" s="17" t="e">
        <v>#N/A</v>
      </c>
      <c r="CB46" s="17" t="e">
        <v>#N/A</v>
      </c>
      <c r="CC46" s="17" t="e">
        <v>#N/A</v>
      </c>
      <c r="CD46" s="17" t="e">
        <v>#N/A</v>
      </c>
      <c r="CE46" s="17" t="e">
        <v>#N/A</v>
      </c>
      <c r="CF46" s="17" t="e">
        <v>#N/A</v>
      </c>
      <c r="CG46" s="17" t="e">
        <v>#N/A</v>
      </c>
      <c r="CH46" s="17" t="e">
        <v>#N/A</v>
      </c>
      <c r="CI46" s="17" t="e">
        <v>#N/A</v>
      </c>
      <c r="CJ46" s="17" t="e">
        <v>#N/A</v>
      </c>
      <c r="CK46" s="17" t="e">
        <v>#N/A</v>
      </c>
      <c r="CL46" s="17" t="e">
        <v>#N/A</v>
      </c>
      <c r="CM46" s="17" t="e">
        <v>#N/A</v>
      </c>
      <c r="CN46" s="17" t="e">
        <v>#N/A</v>
      </c>
      <c r="CO46" s="17" t="e">
        <v>#N/A</v>
      </c>
      <c r="CP46" s="17" t="e">
        <v>#N/A</v>
      </c>
      <c r="CQ46" s="17" t="e">
        <v>#N/A</v>
      </c>
      <c r="CR46" s="17" t="e">
        <v>#N/A</v>
      </c>
      <c r="CS46" s="17" t="e">
        <v>#N/A</v>
      </c>
      <c r="CT46" s="17" t="e">
        <v>#N/A</v>
      </c>
      <c r="CU46" s="17" t="e">
        <v>#N/A</v>
      </c>
      <c r="CV46" s="17" t="e">
        <v>#N/A</v>
      </c>
      <c r="CW46" s="17" t="e">
        <v>#N/A</v>
      </c>
      <c r="CX46" s="17" t="e">
        <v>#N/A</v>
      </c>
      <c r="CY46" s="17" t="e">
        <v>#N/A</v>
      </c>
      <c r="CZ46" s="17" t="e">
        <v>#N/A</v>
      </c>
      <c r="DA46" s="17" t="e">
        <v>#N/A</v>
      </c>
      <c r="DB46" s="17" t="e">
        <v>#N/A</v>
      </c>
      <c r="DC46" s="17" t="e">
        <v>#N/A</v>
      </c>
      <c r="DD46" s="17" t="e">
        <v>#N/A</v>
      </c>
      <c r="DE46" s="17" t="e">
        <v>#N/A</v>
      </c>
      <c r="DF46" s="17" t="e">
        <v>#N/A</v>
      </c>
      <c r="DG46" s="17" t="e">
        <v>#N/A</v>
      </c>
      <c r="DH46" s="17" t="e">
        <v>#N/A</v>
      </c>
      <c r="DI46" s="17" t="e">
        <v>#N/A</v>
      </c>
      <c r="DJ46" s="17" t="e">
        <v>#N/A</v>
      </c>
      <c r="DK46" s="17" t="e">
        <v>#N/A</v>
      </c>
      <c r="DL46" s="17" t="e">
        <v>#N/A</v>
      </c>
      <c r="DM46" s="17" t="e">
        <v>#N/A</v>
      </c>
      <c r="DN46" s="17" t="e">
        <v>#N/A</v>
      </c>
      <c r="DO46" s="17" t="e">
        <v>#N/A</v>
      </c>
      <c r="DP46" s="17" t="e">
        <v>#N/A</v>
      </c>
      <c r="DQ46" s="17" t="e">
        <v>#N/A</v>
      </c>
      <c r="DR46" s="17" t="e">
        <v>#N/A</v>
      </c>
      <c r="DS46" s="17" t="e">
        <v>#N/A</v>
      </c>
      <c r="DT46" s="17" t="e">
        <v>#N/A</v>
      </c>
      <c r="DU46" s="17" t="e">
        <v>#N/A</v>
      </c>
      <c r="DV46" s="17" t="e">
        <v>#N/A</v>
      </c>
      <c r="DW46" s="17" t="e">
        <v>#N/A</v>
      </c>
      <c r="DX46" s="17" t="e">
        <v>#N/A</v>
      </c>
      <c r="DY46" s="17" t="e">
        <v>#N/A</v>
      </c>
      <c r="DZ46" s="17" t="e">
        <v>#N/A</v>
      </c>
      <c r="EA46" s="17" t="e">
        <v>#N/A</v>
      </c>
      <c r="EB46" s="17" t="e">
        <v>#N/A</v>
      </c>
      <c r="EC46" s="17" t="e">
        <v>#N/A</v>
      </c>
      <c r="ED46" s="17" t="e">
        <v>#N/A</v>
      </c>
      <c r="EE46" s="17" t="e">
        <v>#N/A</v>
      </c>
      <c r="EF46" s="17" t="e">
        <v>#N/A</v>
      </c>
      <c r="EG46" s="17" t="e">
        <v>#N/A</v>
      </c>
      <c r="EH46" s="17" t="e">
        <v>#N/A</v>
      </c>
      <c r="EI46" s="17" t="e">
        <v>#N/A</v>
      </c>
      <c r="EJ46" s="17" t="e">
        <v>#N/A</v>
      </c>
      <c r="EK46" s="17" t="e">
        <v>#N/A</v>
      </c>
      <c r="EL46" s="17" t="e">
        <v>#N/A</v>
      </c>
      <c r="EM46" s="17" t="e">
        <v>#N/A</v>
      </c>
      <c r="EN46" s="17" t="e">
        <v>#N/A</v>
      </c>
      <c r="EO46" s="17" t="e">
        <v>#N/A</v>
      </c>
      <c r="EP46" s="17" t="e">
        <v>#N/A</v>
      </c>
      <c r="EQ46" s="17" t="e">
        <v>#N/A</v>
      </c>
      <c r="ER46" s="17" t="e">
        <v>#N/A</v>
      </c>
      <c r="ES46" s="17" t="e">
        <v>#N/A</v>
      </c>
      <c r="ET46" s="17" t="e">
        <v>#N/A</v>
      </c>
      <c r="EU46" s="17" t="e">
        <v>#N/A</v>
      </c>
      <c r="EV46" s="17" t="e">
        <v>#N/A</v>
      </c>
      <c r="EW46" s="17" t="e">
        <v>#N/A</v>
      </c>
      <c r="EX46" s="17" t="e">
        <v>#N/A</v>
      </c>
      <c r="EY46" s="17" t="e">
        <v>#N/A</v>
      </c>
      <c r="EZ46" s="17" t="e">
        <v>#N/A</v>
      </c>
      <c r="FA46" s="17" t="e">
        <v>#N/A</v>
      </c>
      <c r="FB46" s="17" t="e">
        <v>#N/A</v>
      </c>
      <c r="FC46" s="17" t="e">
        <v>#N/A</v>
      </c>
      <c r="FD46" s="17" t="e">
        <v>#N/A</v>
      </c>
      <c r="FE46" s="17" t="e">
        <v>#N/A</v>
      </c>
      <c r="FF46" s="17" t="e">
        <v>#N/A</v>
      </c>
      <c r="FG46" s="17" t="e">
        <v>#N/A</v>
      </c>
      <c r="FH46" s="17" t="e">
        <v>#N/A</v>
      </c>
      <c r="FI46" s="17" t="e">
        <v>#N/A</v>
      </c>
      <c r="FJ46" s="17" t="e">
        <v>#N/A</v>
      </c>
      <c r="FK46" s="17" t="e">
        <v>#N/A</v>
      </c>
      <c r="FL46" s="17" t="e">
        <v>#N/A</v>
      </c>
      <c r="FM46" s="17" t="e">
        <v>#N/A</v>
      </c>
      <c r="FN46" s="17" t="e">
        <v>#N/A</v>
      </c>
      <c r="FO46" s="17" t="e">
        <v>#N/A</v>
      </c>
      <c r="FP46" s="17" t="e">
        <v>#N/A</v>
      </c>
      <c r="FQ46" s="17" t="e">
        <v>#N/A</v>
      </c>
      <c r="FR46" s="17" t="e">
        <v>#N/A</v>
      </c>
      <c r="FS46" s="17" t="e">
        <v>#N/A</v>
      </c>
      <c r="FT46" s="17" t="e">
        <v>#N/A</v>
      </c>
      <c r="FU46" s="17" t="e">
        <v>#N/A</v>
      </c>
      <c r="FV46" s="17" t="e">
        <v>#N/A</v>
      </c>
    </row>
    <row r="47" spans="2:178" ht="11.25" customHeight="1">
      <c r="B47" s="17">
        <v>0</v>
      </c>
      <c r="C47" s="17">
        <v>1</v>
      </c>
      <c r="D47" s="17">
        <v>1</v>
      </c>
      <c r="E47" s="17">
        <v>1</v>
      </c>
      <c r="F47" s="17">
        <v>0</v>
      </c>
      <c r="G47" s="17">
        <v>0</v>
      </c>
      <c r="H47" s="17">
        <v>0</v>
      </c>
      <c r="I47" s="17">
        <v>0</v>
      </c>
      <c r="J47" s="17">
        <v>1</v>
      </c>
      <c r="K47" s="17">
        <v>0</v>
      </c>
      <c r="L47" s="17">
        <v>0</v>
      </c>
      <c r="M47" s="17">
        <v>0</v>
      </c>
      <c r="N47" s="17">
        <v>0</v>
      </c>
      <c r="O47" s="17">
        <v>1</v>
      </c>
      <c r="P47" s="17">
        <v>1</v>
      </c>
      <c r="Q47" s="17">
        <v>0</v>
      </c>
      <c r="R47" s="17">
        <v>1</v>
      </c>
      <c r="S47" s="17">
        <v>1</v>
      </c>
      <c r="T47" s="17">
        <v>0</v>
      </c>
      <c r="U47" s="17">
        <v>1</v>
      </c>
      <c r="V47" s="17">
        <v>0</v>
      </c>
      <c r="W47" s="17">
        <v>0</v>
      </c>
      <c r="X47" s="17">
        <v>0</v>
      </c>
      <c r="Y47" s="17">
        <v>1</v>
      </c>
      <c r="Z47" s="17">
        <v>1</v>
      </c>
      <c r="AA47" s="17">
        <v>1</v>
      </c>
      <c r="AB47" s="17">
        <v>0</v>
      </c>
      <c r="AC47" s="17">
        <v>1</v>
      </c>
      <c r="AD47" s="17">
        <v>0</v>
      </c>
      <c r="AE47" s="17">
        <v>1</v>
      </c>
      <c r="AF47" s="17">
        <v>1</v>
      </c>
      <c r="AG47" s="17">
        <v>1</v>
      </c>
      <c r="AH47" s="17">
        <v>0</v>
      </c>
      <c r="AI47" s="17">
        <v>0</v>
      </c>
      <c r="AJ47" s="17">
        <v>0</v>
      </c>
      <c r="AK47" s="17">
        <v>0</v>
      </c>
      <c r="AL47" s="17">
        <v>1</v>
      </c>
      <c r="AM47" s="17">
        <v>1</v>
      </c>
      <c r="AN47" s="17">
        <v>0</v>
      </c>
      <c r="AO47" s="17">
        <v>1</v>
      </c>
      <c r="AP47" s="17">
        <v>0</v>
      </c>
      <c r="AQ47" s="17">
        <v>0</v>
      </c>
      <c r="AR47" s="17">
        <v>0</v>
      </c>
      <c r="AS47" s="17">
        <v>1</v>
      </c>
      <c r="AT47" s="17">
        <v>1</v>
      </c>
      <c r="AU47" s="17">
        <v>1</v>
      </c>
      <c r="AV47" s="17">
        <v>1</v>
      </c>
      <c r="AW47" s="17">
        <v>0</v>
      </c>
      <c r="AX47" s="17">
        <v>1</v>
      </c>
      <c r="AY47" s="17">
        <v>1</v>
      </c>
      <c r="AZ47" s="17">
        <v>1</v>
      </c>
      <c r="BA47" s="17">
        <v>1</v>
      </c>
      <c r="BB47" s="17">
        <v>0</v>
      </c>
      <c r="BC47" s="17">
        <v>0</v>
      </c>
      <c r="BD47" s="17">
        <v>1</v>
      </c>
      <c r="BE47" s="17">
        <v>0</v>
      </c>
      <c r="BF47" s="17">
        <v>0</v>
      </c>
      <c r="BG47" s="17">
        <v>1</v>
      </c>
      <c r="BH47" s="17">
        <v>0</v>
      </c>
      <c r="BI47" s="17">
        <v>1</v>
      </c>
      <c r="BJ47" s="17">
        <v>1</v>
      </c>
      <c r="BK47" s="17">
        <v>1</v>
      </c>
      <c r="BL47" s="17">
        <v>1</v>
      </c>
      <c r="BM47" s="17">
        <v>1</v>
      </c>
      <c r="BN47" s="17">
        <v>1</v>
      </c>
      <c r="BO47" s="17">
        <v>1</v>
      </c>
      <c r="BP47" s="17">
        <v>0</v>
      </c>
      <c r="BQ47" s="17">
        <v>0</v>
      </c>
      <c r="BR47" s="17">
        <v>1</v>
      </c>
      <c r="BS47" s="17" t="e">
        <v>#N/A</v>
      </c>
      <c r="BT47" s="17" t="e">
        <v>#N/A</v>
      </c>
      <c r="BU47" s="17" t="e">
        <v>#N/A</v>
      </c>
      <c r="BV47" s="17" t="e">
        <v>#N/A</v>
      </c>
      <c r="BW47" s="17" t="e">
        <v>#N/A</v>
      </c>
      <c r="BX47" s="17" t="e">
        <v>#N/A</v>
      </c>
      <c r="BY47" s="17" t="e">
        <v>#N/A</v>
      </c>
      <c r="BZ47" s="17" t="e">
        <v>#N/A</v>
      </c>
      <c r="CA47" s="17" t="e">
        <v>#N/A</v>
      </c>
      <c r="CB47" s="17" t="e">
        <v>#N/A</v>
      </c>
      <c r="CC47" s="17" t="e">
        <v>#N/A</v>
      </c>
      <c r="CD47" s="17" t="e">
        <v>#N/A</v>
      </c>
      <c r="CE47" s="17" t="e">
        <v>#N/A</v>
      </c>
      <c r="CF47" s="17" t="e">
        <v>#N/A</v>
      </c>
      <c r="CG47" s="17" t="e">
        <v>#N/A</v>
      </c>
      <c r="CH47" s="17" t="e">
        <v>#N/A</v>
      </c>
      <c r="CI47" s="17" t="e">
        <v>#N/A</v>
      </c>
      <c r="CJ47" s="17" t="e">
        <v>#N/A</v>
      </c>
      <c r="CK47" s="17" t="e">
        <v>#N/A</v>
      </c>
      <c r="CL47" s="17" t="e">
        <v>#N/A</v>
      </c>
      <c r="CM47" s="17" t="e">
        <v>#N/A</v>
      </c>
      <c r="CN47" s="17" t="e">
        <v>#N/A</v>
      </c>
      <c r="CO47" s="17" t="e">
        <v>#N/A</v>
      </c>
      <c r="CP47" s="17" t="e">
        <v>#N/A</v>
      </c>
      <c r="CQ47" s="17" t="e">
        <v>#N/A</v>
      </c>
      <c r="CR47" s="17" t="e">
        <v>#N/A</v>
      </c>
      <c r="CS47" s="17" t="e">
        <v>#N/A</v>
      </c>
      <c r="CT47" s="17" t="e">
        <v>#N/A</v>
      </c>
      <c r="CU47" s="17" t="e">
        <v>#N/A</v>
      </c>
      <c r="CV47" s="17" t="e">
        <v>#N/A</v>
      </c>
      <c r="CW47" s="17" t="e">
        <v>#N/A</v>
      </c>
      <c r="CX47" s="17" t="e">
        <v>#N/A</v>
      </c>
      <c r="CY47" s="17" t="e">
        <v>#N/A</v>
      </c>
      <c r="CZ47" s="17" t="e">
        <v>#N/A</v>
      </c>
      <c r="DA47" s="17" t="e">
        <v>#N/A</v>
      </c>
      <c r="DB47" s="17" t="e">
        <v>#N/A</v>
      </c>
      <c r="DC47" s="17" t="e">
        <v>#N/A</v>
      </c>
      <c r="DD47" s="17" t="e">
        <v>#N/A</v>
      </c>
      <c r="DE47" s="17" t="e">
        <v>#N/A</v>
      </c>
      <c r="DF47" s="17" t="e">
        <v>#N/A</v>
      </c>
      <c r="DG47" s="17" t="e">
        <v>#N/A</v>
      </c>
      <c r="DH47" s="17" t="e">
        <v>#N/A</v>
      </c>
      <c r="DI47" s="17" t="e">
        <v>#N/A</v>
      </c>
      <c r="DJ47" s="17" t="e">
        <v>#N/A</v>
      </c>
      <c r="DK47" s="17" t="e">
        <v>#N/A</v>
      </c>
      <c r="DL47" s="17" t="e">
        <v>#N/A</v>
      </c>
      <c r="DM47" s="17" t="e">
        <v>#N/A</v>
      </c>
      <c r="DN47" s="17" t="e">
        <v>#N/A</v>
      </c>
      <c r="DO47" s="17" t="e">
        <v>#N/A</v>
      </c>
      <c r="DP47" s="17" t="e">
        <v>#N/A</v>
      </c>
      <c r="DQ47" s="17" t="e">
        <v>#N/A</v>
      </c>
      <c r="DR47" s="17" t="e">
        <v>#N/A</v>
      </c>
      <c r="DS47" s="17" t="e">
        <v>#N/A</v>
      </c>
      <c r="DT47" s="17" t="e">
        <v>#N/A</v>
      </c>
      <c r="DU47" s="17" t="e">
        <v>#N/A</v>
      </c>
      <c r="DV47" s="17" t="e">
        <v>#N/A</v>
      </c>
      <c r="DW47" s="17" t="e">
        <v>#N/A</v>
      </c>
      <c r="DX47" s="17" t="e">
        <v>#N/A</v>
      </c>
      <c r="DY47" s="17" t="e">
        <v>#N/A</v>
      </c>
      <c r="DZ47" s="17" t="e">
        <v>#N/A</v>
      </c>
      <c r="EA47" s="17" t="e">
        <v>#N/A</v>
      </c>
      <c r="EB47" s="17" t="e">
        <v>#N/A</v>
      </c>
      <c r="EC47" s="17" t="e">
        <v>#N/A</v>
      </c>
      <c r="ED47" s="17" t="e">
        <v>#N/A</v>
      </c>
      <c r="EE47" s="17" t="e">
        <v>#N/A</v>
      </c>
      <c r="EF47" s="17" t="e">
        <v>#N/A</v>
      </c>
      <c r="EG47" s="17" t="e">
        <v>#N/A</v>
      </c>
      <c r="EH47" s="17" t="e">
        <v>#N/A</v>
      </c>
      <c r="EI47" s="17" t="e">
        <v>#N/A</v>
      </c>
      <c r="EJ47" s="17" t="e">
        <v>#N/A</v>
      </c>
      <c r="EK47" s="17" t="e">
        <v>#N/A</v>
      </c>
      <c r="EL47" s="17" t="e">
        <v>#N/A</v>
      </c>
      <c r="EM47" s="17" t="e">
        <v>#N/A</v>
      </c>
      <c r="EN47" s="17" t="e">
        <v>#N/A</v>
      </c>
      <c r="EO47" s="17" t="e">
        <v>#N/A</v>
      </c>
      <c r="EP47" s="17" t="e">
        <v>#N/A</v>
      </c>
      <c r="EQ47" s="17" t="e">
        <v>#N/A</v>
      </c>
      <c r="ER47" s="17" t="e">
        <v>#N/A</v>
      </c>
      <c r="ES47" s="17" t="e">
        <v>#N/A</v>
      </c>
      <c r="ET47" s="17" t="e">
        <v>#N/A</v>
      </c>
      <c r="EU47" s="17" t="e">
        <v>#N/A</v>
      </c>
      <c r="EV47" s="17" t="e">
        <v>#N/A</v>
      </c>
      <c r="EW47" s="17" t="e">
        <v>#N/A</v>
      </c>
      <c r="EX47" s="17" t="e">
        <v>#N/A</v>
      </c>
      <c r="EY47" s="17" t="e">
        <v>#N/A</v>
      </c>
      <c r="EZ47" s="17" t="e">
        <v>#N/A</v>
      </c>
      <c r="FA47" s="17" t="e">
        <v>#N/A</v>
      </c>
      <c r="FB47" s="17" t="e">
        <v>#N/A</v>
      </c>
      <c r="FC47" s="17" t="e">
        <v>#N/A</v>
      </c>
      <c r="FD47" s="17" t="e">
        <v>#N/A</v>
      </c>
      <c r="FE47" s="17" t="e">
        <v>#N/A</v>
      </c>
      <c r="FF47" s="17" t="e">
        <v>#N/A</v>
      </c>
      <c r="FG47" s="17" t="e">
        <v>#N/A</v>
      </c>
      <c r="FH47" s="17" t="e">
        <v>#N/A</v>
      </c>
      <c r="FI47" s="17" t="e">
        <v>#N/A</v>
      </c>
      <c r="FJ47" s="17" t="e">
        <v>#N/A</v>
      </c>
      <c r="FK47" s="17" t="e">
        <v>#N/A</v>
      </c>
      <c r="FL47" s="17" t="e">
        <v>#N/A</v>
      </c>
      <c r="FM47" s="17" t="e">
        <v>#N/A</v>
      </c>
      <c r="FN47" s="17" t="e">
        <v>#N/A</v>
      </c>
      <c r="FO47" s="17" t="e">
        <v>#N/A</v>
      </c>
      <c r="FP47" s="17" t="e">
        <v>#N/A</v>
      </c>
      <c r="FQ47" s="17" t="e">
        <v>#N/A</v>
      </c>
      <c r="FR47" s="17" t="e">
        <v>#N/A</v>
      </c>
      <c r="FS47" s="17" t="e">
        <v>#N/A</v>
      </c>
      <c r="FT47" s="17" t="e">
        <v>#N/A</v>
      </c>
      <c r="FU47" s="17" t="e">
        <v>#N/A</v>
      </c>
      <c r="FV47" s="17" t="e">
        <v>#N/A</v>
      </c>
    </row>
    <row r="48" spans="2:178" ht="11.25" customHeight="1">
      <c r="B48" s="17">
        <v>1</v>
      </c>
      <c r="C48" s="17">
        <v>0</v>
      </c>
      <c r="D48" s="17">
        <v>1</v>
      </c>
      <c r="E48" s="17">
        <v>1</v>
      </c>
      <c r="F48" s="17">
        <v>0</v>
      </c>
      <c r="G48" s="17">
        <v>1</v>
      </c>
      <c r="H48" s="17">
        <v>1</v>
      </c>
      <c r="I48" s="17">
        <v>0</v>
      </c>
      <c r="J48" s="17">
        <v>1</v>
      </c>
      <c r="K48" s="17">
        <v>1</v>
      </c>
      <c r="L48" s="17">
        <v>1</v>
      </c>
      <c r="M48" s="17">
        <v>0</v>
      </c>
      <c r="N48" s="17">
        <v>1</v>
      </c>
      <c r="O48" s="17">
        <v>1</v>
      </c>
      <c r="P48" s="17">
        <v>1</v>
      </c>
      <c r="Q48" s="17">
        <v>1</v>
      </c>
      <c r="R48" s="17">
        <v>0</v>
      </c>
      <c r="S48" s="17">
        <v>0</v>
      </c>
      <c r="T48" s="17">
        <v>1</v>
      </c>
      <c r="U48" s="17">
        <v>0</v>
      </c>
      <c r="V48" s="17">
        <v>1</v>
      </c>
      <c r="W48" s="17">
        <v>0</v>
      </c>
      <c r="X48" s="17">
        <v>1</v>
      </c>
      <c r="Y48" s="17">
        <v>1</v>
      </c>
      <c r="Z48" s="17">
        <v>1</v>
      </c>
      <c r="AA48" s="17">
        <v>0</v>
      </c>
      <c r="AB48" s="17">
        <v>0</v>
      </c>
      <c r="AC48" s="17">
        <v>1</v>
      </c>
      <c r="AD48" s="17">
        <v>1</v>
      </c>
      <c r="AE48" s="17">
        <v>0</v>
      </c>
      <c r="AF48" s="17">
        <v>0</v>
      </c>
      <c r="AG48" s="17">
        <v>0</v>
      </c>
      <c r="AH48" s="17">
        <v>1</v>
      </c>
      <c r="AI48" s="17">
        <v>1</v>
      </c>
      <c r="AJ48" s="17">
        <v>0</v>
      </c>
      <c r="AK48" s="17">
        <v>0</v>
      </c>
      <c r="AL48" s="17">
        <v>1</v>
      </c>
      <c r="AM48" s="17">
        <v>1</v>
      </c>
      <c r="AN48" s="17">
        <v>0</v>
      </c>
      <c r="AO48" s="17">
        <v>0</v>
      </c>
      <c r="AP48" s="17">
        <v>0</v>
      </c>
      <c r="AQ48" s="17">
        <v>0</v>
      </c>
      <c r="AR48" s="17">
        <v>1</v>
      </c>
      <c r="AS48" s="17">
        <v>0</v>
      </c>
      <c r="AT48" s="17">
        <v>0</v>
      </c>
      <c r="AU48" s="17">
        <v>0</v>
      </c>
      <c r="AV48" s="17">
        <v>0</v>
      </c>
      <c r="AW48" s="17">
        <v>1</v>
      </c>
      <c r="AX48" s="17">
        <v>0</v>
      </c>
      <c r="AY48" s="17">
        <v>1</v>
      </c>
      <c r="AZ48" s="17">
        <v>1</v>
      </c>
      <c r="BA48" s="17">
        <v>1</v>
      </c>
      <c r="BB48" s="17">
        <v>0</v>
      </c>
      <c r="BC48" s="17">
        <v>0</v>
      </c>
      <c r="BD48" s="17">
        <v>1</v>
      </c>
      <c r="BE48" s="17">
        <v>0</v>
      </c>
      <c r="BF48" s="17">
        <v>1</v>
      </c>
      <c r="BG48" s="17">
        <v>0</v>
      </c>
      <c r="BH48" s="17">
        <v>0</v>
      </c>
      <c r="BI48" s="17">
        <v>1</v>
      </c>
      <c r="BJ48" s="17">
        <v>0</v>
      </c>
      <c r="BK48" s="17">
        <v>1</v>
      </c>
      <c r="BL48" s="17">
        <v>1</v>
      </c>
      <c r="BM48" s="17">
        <v>1</v>
      </c>
      <c r="BN48" s="17">
        <v>0</v>
      </c>
      <c r="BO48" s="17">
        <v>0</v>
      </c>
      <c r="BP48" s="17">
        <v>1</v>
      </c>
      <c r="BQ48" s="17">
        <v>0</v>
      </c>
      <c r="BR48" s="17">
        <v>0</v>
      </c>
      <c r="BS48" s="17" t="e">
        <v>#N/A</v>
      </c>
      <c r="BT48" s="17" t="e">
        <v>#N/A</v>
      </c>
      <c r="BU48" s="17" t="e">
        <v>#N/A</v>
      </c>
      <c r="BV48" s="17" t="e">
        <v>#N/A</v>
      </c>
      <c r="BW48" s="17" t="e">
        <v>#N/A</v>
      </c>
      <c r="BX48" s="17" t="e">
        <v>#N/A</v>
      </c>
      <c r="BY48" s="17" t="e">
        <v>#N/A</v>
      </c>
      <c r="BZ48" s="17" t="e">
        <v>#N/A</v>
      </c>
      <c r="CA48" s="17" t="e">
        <v>#N/A</v>
      </c>
      <c r="CB48" s="17" t="e">
        <v>#N/A</v>
      </c>
      <c r="CC48" s="17" t="e">
        <v>#N/A</v>
      </c>
      <c r="CD48" s="17" t="e">
        <v>#N/A</v>
      </c>
      <c r="CE48" s="17" t="e">
        <v>#N/A</v>
      </c>
      <c r="CF48" s="17" t="e">
        <v>#N/A</v>
      </c>
      <c r="CG48" s="17" t="e">
        <v>#N/A</v>
      </c>
      <c r="CH48" s="17" t="e">
        <v>#N/A</v>
      </c>
      <c r="CI48" s="17" t="e">
        <v>#N/A</v>
      </c>
      <c r="CJ48" s="17" t="e">
        <v>#N/A</v>
      </c>
      <c r="CK48" s="17" t="e">
        <v>#N/A</v>
      </c>
      <c r="CL48" s="17" t="e">
        <v>#N/A</v>
      </c>
      <c r="CM48" s="17" t="e">
        <v>#N/A</v>
      </c>
      <c r="CN48" s="17" t="e">
        <v>#N/A</v>
      </c>
      <c r="CO48" s="17" t="e">
        <v>#N/A</v>
      </c>
      <c r="CP48" s="17" t="e">
        <v>#N/A</v>
      </c>
      <c r="CQ48" s="17" t="e">
        <v>#N/A</v>
      </c>
      <c r="CR48" s="17" t="e">
        <v>#N/A</v>
      </c>
      <c r="CS48" s="17" t="e">
        <v>#N/A</v>
      </c>
      <c r="CT48" s="17" t="e">
        <v>#N/A</v>
      </c>
      <c r="CU48" s="17" t="e">
        <v>#N/A</v>
      </c>
      <c r="CV48" s="17" t="e">
        <v>#N/A</v>
      </c>
      <c r="CW48" s="17" t="e">
        <v>#N/A</v>
      </c>
      <c r="CX48" s="17" t="e">
        <v>#N/A</v>
      </c>
      <c r="CY48" s="17" t="e">
        <v>#N/A</v>
      </c>
      <c r="CZ48" s="17" t="e">
        <v>#N/A</v>
      </c>
      <c r="DA48" s="17" t="e">
        <v>#N/A</v>
      </c>
      <c r="DB48" s="17" t="e">
        <v>#N/A</v>
      </c>
      <c r="DC48" s="17" t="e">
        <v>#N/A</v>
      </c>
      <c r="DD48" s="17" t="e">
        <v>#N/A</v>
      </c>
      <c r="DE48" s="17" t="e">
        <v>#N/A</v>
      </c>
      <c r="DF48" s="17" t="e">
        <v>#N/A</v>
      </c>
      <c r="DG48" s="17" t="e">
        <v>#N/A</v>
      </c>
      <c r="DH48" s="17" t="e">
        <v>#N/A</v>
      </c>
      <c r="DI48" s="17" t="e">
        <v>#N/A</v>
      </c>
      <c r="DJ48" s="17" t="e">
        <v>#N/A</v>
      </c>
      <c r="DK48" s="17" t="e">
        <v>#N/A</v>
      </c>
      <c r="DL48" s="17" t="e">
        <v>#N/A</v>
      </c>
      <c r="DM48" s="17" t="e">
        <v>#N/A</v>
      </c>
      <c r="DN48" s="17" t="e">
        <v>#N/A</v>
      </c>
      <c r="DO48" s="17" t="e">
        <v>#N/A</v>
      </c>
      <c r="DP48" s="17" t="e">
        <v>#N/A</v>
      </c>
      <c r="DQ48" s="17" t="e">
        <v>#N/A</v>
      </c>
      <c r="DR48" s="17" t="e">
        <v>#N/A</v>
      </c>
      <c r="DS48" s="17" t="e">
        <v>#N/A</v>
      </c>
      <c r="DT48" s="17" t="e">
        <v>#N/A</v>
      </c>
      <c r="DU48" s="17" t="e">
        <v>#N/A</v>
      </c>
      <c r="DV48" s="17" t="e">
        <v>#N/A</v>
      </c>
      <c r="DW48" s="17" t="e">
        <v>#N/A</v>
      </c>
      <c r="DX48" s="17" t="e">
        <v>#N/A</v>
      </c>
      <c r="DY48" s="17" t="e">
        <v>#N/A</v>
      </c>
      <c r="DZ48" s="17" t="e">
        <v>#N/A</v>
      </c>
      <c r="EA48" s="17" t="e">
        <v>#N/A</v>
      </c>
      <c r="EB48" s="17" t="e">
        <v>#N/A</v>
      </c>
      <c r="EC48" s="17" t="e">
        <v>#N/A</v>
      </c>
      <c r="ED48" s="17" t="e">
        <v>#N/A</v>
      </c>
      <c r="EE48" s="17" t="e">
        <v>#N/A</v>
      </c>
      <c r="EF48" s="17" t="e">
        <v>#N/A</v>
      </c>
      <c r="EG48" s="17" t="e">
        <v>#N/A</v>
      </c>
      <c r="EH48" s="17" t="e">
        <v>#N/A</v>
      </c>
      <c r="EI48" s="17" t="e">
        <v>#N/A</v>
      </c>
      <c r="EJ48" s="17" t="e">
        <v>#N/A</v>
      </c>
      <c r="EK48" s="17" t="e">
        <v>#N/A</v>
      </c>
      <c r="EL48" s="17" t="e">
        <v>#N/A</v>
      </c>
      <c r="EM48" s="17" t="e">
        <v>#N/A</v>
      </c>
      <c r="EN48" s="17" t="e">
        <v>#N/A</v>
      </c>
      <c r="EO48" s="17" t="e">
        <v>#N/A</v>
      </c>
      <c r="EP48" s="17" t="e">
        <v>#N/A</v>
      </c>
      <c r="EQ48" s="17" t="e">
        <v>#N/A</v>
      </c>
      <c r="ER48" s="17" t="e">
        <v>#N/A</v>
      </c>
      <c r="ES48" s="17" t="e">
        <v>#N/A</v>
      </c>
      <c r="ET48" s="17" t="e">
        <v>#N/A</v>
      </c>
      <c r="EU48" s="17" t="e">
        <v>#N/A</v>
      </c>
      <c r="EV48" s="17" t="e">
        <v>#N/A</v>
      </c>
      <c r="EW48" s="17" t="e">
        <v>#N/A</v>
      </c>
      <c r="EX48" s="17" t="e">
        <v>#N/A</v>
      </c>
      <c r="EY48" s="17" t="e">
        <v>#N/A</v>
      </c>
      <c r="EZ48" s="17" t="e">
        <v>#N/A</v>
      </c>
      <c r="FA48" s="17" t="e">
        <v>#N/A</v>
      </c>
      <c r="FB48" s="17" t="e">
        <v>#N/A</v>
      </c>
      <c r="FC48" s="17" t="e">
        <v>#N/A</v>
      </c>
      <c r="FD48" s="17" t="e">
        <v>#N/A</v>
      </c>
      <c r="FE48" s="17" t="e">
        <v>#N/A</v>
      </c>
      <c r="FF48" s="17" t="e">
        <v>#N/A</v>
      </c>
      <c r="FG48" s="17" t="e">
        <v>#N/A</v>
      </c>
      <c r="FH48" s="17" t="e">
        <v>#N/A</v>
      </c>
      <c r="FI48" s="17" t="e">
        <v>#N/A</v>
      </c>
      <c r="FJ48" s="17" t="e">
        <v>#N/A</v>
      </c>
      <c r="FK48" s="17" t="e">
        <v>#N/A</v>
      </c>
      <c r="FL48" s="17" t="e">
        <v>#N/A</v>
      </c>
      <c r="FM48" s="17" t="e">
        <v>#N/A</v>
      </c>
      <c r="FN48" s="17" t="e">
        <v>#N/A</v>
      </c>
      <c r="FO48" s="17" t="e">
        <v>#N/A</v>
      </c>
      <c r="FP48" s="17" t="e">
        <v>#N/A</v>
      </c>
      <c r="FQ48" s="17" t="e">
        <v>#N/A</v>
      </c>
      <c r="FR48" s="17" t="e">
        <v>#N/A</v>
      </c>
      <c r="FS48" s="17" t="e">
        <v>#N/A</v>
      </c>
      <c r="FT48" s="17" t="e">
        <v>#N/A</v>
      </c>
      <c r="FU48" s="17" t="e">
        <v>#N/A</v>
      </c>
      <c r="FV48" s="17" t="e">
        <v>#N/A</v>
      </c>
    </row>
    <row r="49" spans="2:178" ht="11.25" customHeight="1">
      <c r="B49" s="17">
        <v>1</v>
      </c>
      <c r="C49" s="17">
        <v>0</v>
      </c>
      <c r="D49" s="17">
        <v>0</v>
      </c>
      <c r="E49" s="17">
        <v>1</v>
      </c>
      <c r="F49" s="17">
        <v>0</v>
      </c>
      <c r="G49" s="17">
        <v>0</v>
      </c>
      <c r="H49" s="17">
        <v>0</v>
      </c>
      <c r="I49" s="17">
        <v>0</v>
      </c>
      <c r="J49" s="17">
        <v>0</v>
      </c>
      <c r="K49" s="17">
        <v>1</v>
      </c>
      <c r="L49" s="17">
        <v>0</v>
      </c>
      <c r="M49" s="17">
        <v>1</v>
      </c>
      <c r="N49" s="17">
        <v>1</v>
      </c>
      <c r="O49" s="17">
        <v>0</v>
      </c>
      <c r="P49" s="17">
        <v>0</v>
      </c>
      <c r="Q49" s="17">
        <v>1</v>
      </c>
      <c r="R49" s="17">
        <v>1</v>
      </c>
      <c r="S49" s="17">
        <v>1</v>
      </c>
      <c r="T49" s="17">
        <v>1</v>
      </c>
      <c r="U49" s="17">
        <v>1</v>
      </c>
      <c r="V49" s="17">
        <v>1</v>
      </c>
      <c r="W49" s="17">
        <v>1</v>
      </c>
      <c r="X49" s="17">
        <v>1</v>
      </c>
      <c r="Y49" s="17">
        <v>0</v>
      </c>
      <c r="Z49" s="17">
        <v>1</v>
      </c>
      <c r="AA49" s="17">
        <v>0</v>
      </c>
      <c r="AB49" s="17">
        <v>1</v>
      </c>
      <c r="AC49" s="17">
        <v>0</v>
      </c>
      <c r="AD49" s="17">
        <v>0</v>
      </c>
      <c r="AE49" s="17">
        <v>0</v>
      </c>
      <c r="AF49" s="17">
        <v>0</v>
      </c>
      <c r="AG49" s="17">
        <v>0</v>
      </c>
      <c r="AH49" s="17">
        <v>1</v>
      </c>
      <c r="AI49" s="17">
        <v>0</v>
      </c>
      <c r="AJ49" s="17">
        <v>1</v>
      </c>
      <c r="AK49" s="17">
        <v>0</v>
      </c>
      <c r="AL49" s="17">
        <v>0</v>
      </c>
      <c r="AM49" s="17">
        <v>0</v>
      </c>
      <c r="AN49" s="17">
        <v>1</v>
      </c>
      <c r="AO49" s="17">
        <v>1</v>
      </c>
      <c r="AP49" s="17">
        <v>1</v>
      </c>
      <c r="AQ49" s="17">
        <v>0</v>
      </c>
      <c r="AR49" s="17">
        <v>0</v>
      </c>
      <c r="AS49" s="17">
        <v>0</v>
      </c>
      <c r="AT49" s="17">
        <v>0</v>
      </c>
      <c r="AU49" s="17">
        <v>0</v>
      </c>
      <c r="AV49" s="17">
        <v>0</v>
      </c>
      <c r="AW49" s="17">
        <v>1</v>
      </c>
      <c r="AX49" s="17">
        <v>0</v>
      </c>
      <c r="AY49" s="17">
        <v>0</v>
      </c>
      <c r="AZ49" s="17">
        <v>0</v>
      </c>
      <c r="BA49" s="17">
        <v>1</v>
      </c>
      <c r="BB49" s="17">
        <v>0</v>
      </c>
      <c r="BC49" s="17">
        <v>1</v>
      </c>
      <c r="BD49" s="17">
        <v>1</v>
      </c>
      <c r="BE49" s="17">
        <v>1</v>
      </c>
      <c r="BF49" s="17">
        <v>1</v>
      </c>
      <c r="BG49" s="17">
        <v>1</v>
      </c>
      <c r="BH49" s="17">
        <v>1</v>
      </c>
      <c r="BI49" s="17">
        <v>0</v>
      </c>
      <c r="BJ49" s="17">
        <v>0</v>
      </c>
      <c r="BK49" s="17">
        <v>1</v>
      </c>
      <c r="BL49" s="17">
        <v>0</v>
      </c>
      <c r="BM49" s="17">
        <v>0</v>
      </c>
      <c r="BN49" s="17">
        <v>0</v>
      </c>
      <c r="BO49" s="17">
        <v>0</v>
      </c>
      <c r="BP49" s="17">
        <v>0</v>
      </c>
      <c r="BQ49" s="17">
        <v>0</v>
      </c>
      <c r="BR49" s="17">
        <v>0</v>
      </c>
      <c r="BS49" s="17" t="e">
        <v>#N/A</v>
      </c>
      <c r="BT49" s="17" t="e">
        <v>#N/A</v>
      </c>
      <c r="BU49" s="17" t="e">
        <v>#N/A</v>
      </c>
      <c r="BV49" s="17" t="e">
        <v>#N/A</v>
      </c>
      <c r="BW49" s="17" t="e">
        <v>#N/A</v>
      </c>
      <c r="BX49" s="17" t="e">
        <v>#N/A</v>
      </c>
      <c r="BY49" s="17" t="e">
        <v>#N/A</v>
      </c>
      <c r="BZ49" s="17" t="e">
        <v>#N/A</v>
      </c>
      <c r="CA49" s="17" t="e">
        <v>#N/A</v>
      </c>
      <c r="CB49" s="17" t="e">
        <v>#N/A</v>
      </c>
      <c r="CC49" s="17" t="e">
        <v>#N/A</v>
      </c>
      <c r="CD49" s="17" t="e">
        <v>#N/A</v>
      </c>
      <c r="CE49" s="17" t="e">
        <v>#N/A</v>
      </c>
      <c r="CF49" s="17" t="e">
        <v>#N/A</v>
      </c>
      <c r="CG49" s="17" t="e">
        <v>#N/A</v>
      </c>
      <c r="CH49" s="17" t="e">
        <v>#N/A</v>
      </c>
      <c r="CI49" s="17" t="e">
        <v>#N/A</v>
      </c>
      <c r="CJ49" s="17" t="e">
        <v>#N/A</v>
      </c>
      <c r="CK49" s="17" t="e">
        <v>#N/A</v>
      </c>
      <c r="CL49" s="17" t="e">
        <v>#N/A</v>
      </c>
      <c r="CM49" s="17" t="e">
        <v>#N/A</v>
      </c>
      <c r="CN49" s="17" t="e">
        <v>#N/A</v>
      </c>
      <c r="CO49" s="17" t="e">
        <v>#N/A</v>
      </c>
      <c r="CP49" s="17" t="e">
        <v>#N/A</v>
      </c>
      <c r="CQ49" s="17" t="e">
        <v>#N/A</v>
      </c>
      <c r="CR49" s="17" t="e">
        <v>#N/A</v>
      </c>
      <c r="CS49" s="17" t="e">
        <v>#N/A</v>
      </c>
      <c r="CT49" s="17" t="e">
        <v>#N/A</v>
      </c>
      <c r="CU49" s="17" t="e">
        <v>#N/A</v>
      </c>
      <c r="CV49" s="17" t="e">
        <v>#N/A</v>
      </c>
      <c r="CW49" s="17" t="e">
        <v>#N/A</v>
      </c>
      <c r="CX49" s="17" t="e">
        <v>#N/A</v>
      </c>
      <c r="CY49" s="17" t="e">
        <v>#N/A</v>
      </c>
      <c r="CZ49" s="17" t="e">
        <v>#N/A</v>
      </c>
      <c r="DA49" s="17" t="e">
        <v>#N/A</v>
      </c>
      <c r="DB49" s="17" t="e">
        <v>#N/A</v>
      </c>
      <c r="DC49" s="17" t="e">
        <v>#N/A</v>
      </c>
      <c r="DD49" s="17" t="e">
        <v>#N/A</v>
      </c>
      <c r="DE49" s="17" t="e">
        <v>#N/A</v>
      </c>
      <c r="DF49" s="17" t="e">
        <v>#N/A</v>
      </c>
      <c r="DG49" s="17" t="e">
        <v>#N/A</v>
      </c>
      <c r="DH49" s="17" t="e">
        <v>#N/A</v>
      </c>
      <c r="DI49" s="17" t="e">
        <v>#N/A</v>
      </c>
      <c r="DJ49" s="17" t="e">
        <v>#N/A</v>
      </c>
      <c r="DK49" s="17" t="e">
        <v>#N/A</v>
      </c>
      <c r="DL49" s="17" t="e">
        <v>#N/A</v>
      </c>
      <c r="DM49" s="17" t="e">
        <v>#N/A</v>
      </c>
      <c r="DN49" s="17" t="e">
        <v>#N/A</v>
      </c>
      <c r="DO49" s="17" t="e">
        <v>#N/A</v>
      </c>
      <c r="DP49" s="17" t="e">
        <v>#N/A</v>
      </c>
      <c r="DQ49" s="17" t="e">
        <v>#N/A</v>
      </c>
      <c r="DR49" s="17" t="e">
        <v>#N/A</v>
      </c>
      <c r="DS49" s="17" t="e">
        <v>#N/A</v>
      </c>
      <c r="DT49" s="17" t="e">
        <v>#N/A</v>
      </c>
      <c r="DU49" s="17" t="e">
        <v>#N/A</v>
      </c>
      <c r="DV49" s="17" t="e">
        <v>#N/A</v>
      </c>
      <c r="DW49" s="17" t="e">
        <v>#N/A</v>
      </c>
      <c r="DX49" s="17" t="e">
        <v>#N/A</v>
      </c>
      <c r="DY49" s="17" t="e">
        <v>#N/A</v>
      </c>
      <c r="DZ49" s="17" t="e">
        <v>#N/A</v>
      </c>
      <c r="EA49" s="17" t="e">
        <v>#N/A</v>
      </c>
      <c r="EB49" s="17" t="e">
        <v>#N/A</v>
      </c>
      <c r="EC49" s="17" t="e">
        <v>#N/A</v>
      </c>
      <c r="ED49" s="17" t="e">
        <v>#N/A</v>
      </c>
      <c r="EE49" s="17" t="e">
        <v>#N/A</v>
      </c>
      <c r="EF49" s="17" t="e">
        <v>#N/A</v>
      </c>
      <c r="EG49" s="17" t="e">
        <v>#N/A</v>
      </c>
      <c r="EH49" s="17" t="e">
        <v>#N/A</v>
      </c>
      <c r="EI49" s="17" t="e">
        <v>#N/A</v>
      </c>
      <c r="EJ49" s="17" t="e">
        <v>#N/A</v>
      </c>
      <c r="EK49" s="17" t="e">
        <v>#N/A</v>
      </c>
      <c r="EL49" s="17" t="e">
        <v>#N/A</v>
      </c>
      <c r="EM49" s="17" t="e">
        <v>#N/A</v>
      </c>
      <c r="EN49" s="17" t="e">
        <v>#N/A</v>
      </c>
      <c r="EO49" s="17" t="e">
        <v>#N/A</v>
      </c>
      <c r="EP49" s="17" t="e">
        <v>#N/A</v>
      </c>
      <c r="EQ49" s="17" t="e">
        <v>#N/A</v>
      </c>
      <c r="ER49" s="17" t="e">
        <v>#N/A</v>
      </c>
      <c r="ES49" s="17" t="e">
        <v>#N/A</v>
      </c>
      <c r="ET49" s="17" t="e">
        <v>#N/A</v>
      </c>
      <c r="EU49" s="17" t="e">
        <v>#N/A</v>
      </c>
      <c r="EV49" s="17" t="e">
        <v>#N/A</v>
      </c>
      <c r="EW49" s="17" t="e">
        <v>#N/A</v>
      </c>
      <c r="EX49" s="17" t="e">
        <v>#N/A</v>
      </c>
      <c r="EY49" s="17" t="e">
        <v>#N/A</v>
      </c>
      <c r="EZ49" s="17" t="e">
        <v>#N/A</v>
      </c>
      <c r="FA49" s="17" t="e">
        <v>#N/A</v>
      </c>
      <c r="FB49" s="17" t="e">
        <v>#N/A</v>
      </c>
      <c r="FC49" s="17" t="e">
        <v>#N/A</v>
      </c>
      <c r="FD49" s="17" t="e">
        <v>#N/A</v>
      </c>
      <c r="FE49" s="17" t="e">
        <v>#N/A</v>
      </c>
      <c r="FF49" s="17" t="e">
        <v>#N/A</v>
      </c>
      <c r="FG49" s="17" t="e">
        <v>#N/A</v>
      </c>
      <c r="FH49" s="17" t="e">
        <v>#N/A</v>
      </c>
      <c r="FI49" s="17" t="e">
        <v>#N/A</v>
      </c>
      <c r="FJ49" s="17" t="e">
        <v>#N/A</v>
      </c>
      <c r="FK49" s="17" t="e">
        <v>#N/A</v>
      </c>
      <c r="FL49" s="17" t="e">
        <v>#N/A</v>
      </c>
      <c r="FM49" s="17" t="e">
        <v>#N/A</v>
      </c>
      <c r="FN49" s="17" t="e">
        <v>#N/A</v>
      </c>
      <c r="FO49" s="17" t="e">
        <v>#N/A</v>
      </c>
      <c r="FP49" s="17" t="e">
        <v>#N/A</v>
      </c>
      <c r="FQ49" s="17" t="e">
        <v>#N/A</v>
      </c>
      <c r="FR49" s="17" t="e">
        <v>#N/A</v>
      </c>
      <c r="FS49" s="17" t="e">
        <v>#N/A</v>
      </c>
      <c r="FT49" s="17" t="e">
        <v>#N/A</v>
      </c>
      <c r="FU49" s="17" t="e">
        <v>#N/A</v>
      </c>
      <c r="FV49" s="17" t="e">
        <v>#N/A</v>
      </c>
    </row>
    <row r="50" spans="2:178" ht="11.25" customHeight="1">
      <c r="B50" s="17">
        <v>0</v>
      </c>
      <c r="C50" s="17">
        <v>0</v>
      </c>
      <c r="D50" s="17">
        <v>0</v>
      </c>
      <c r="E50" s="17">
        <v>1</v>
      </c>
      <c r="F50" s="17">
        <v>1</v>
      </c>
      <c r="G50" s="17">
        <v>0</v>
      </c>
      <c r="H50" s="17">
        <v>1</v>
      </c>
      <c r="I50" s="17">
        <v>1</v>
      </c>
      <c r="J50" s="17">
        <v>1</v>
      </c>
      <c r="K50" s="17">
        <v>1</v>
      </c>
      <c r="L50" s="17">
        <v>0</v>
      </c>
      <c r="M50" s="17">
        <v>0</v>
      </c>
      <c r="N50" s="17">
        <v>1</v>
      </c>
      <c r="O50" s="17">
        <v>1</v>
      </c>
      <c r="P50" s="17">
        <v>0</v>
      </c>
      <c r="Q50" s="17">
        <v>0</v>
      </c>
      <c r="R50" s="17">
        <v>0</v>
      </c>
      <c r="S50" s="17">
        <v>0</v>
      </c>
      <c r="T50" s="17">
        <v>1</v>
      </c>
      <c r="U50" s="17">
        <v>0</v>
      </c>
      <c r="V50" s="17">
        <v>1</v>
      </c>
      <c r="W50" s="17">
        <v>0</v>
      </c>
      <c r="X50" s="17">
        <v>1</v>
      </c>
      <c r="Y50" s="17">
        <v>0</v>
      </c>
      <c r="Z50" s="17">
        <v>1</v>
      </c>
      <c r="AA50" s="17">
        <v>1</v>
      </c>
      <c r="AB50" s="17">
        <v>1</v>
      </c>
      <c r="AC50" s="17">
        <v>0</v>
      </c>
      <c r="AD50" s="17">
        <v>0</v>
      </c>
      <c r="AE50" s="17">
        <v>0</v>
      </c>
      <c r="AF50" s="17">
        <v>1</v>
      </c>
      <c r="AG50" s="17">
        <v>1</v>
      </c>
      <c r="AH50" s="17">
        <v>1</v>
      </c>
      <c r="AI50" s="17">
        <v>0</v>
      </c>
      <c r="AJ50" s="17">
        <v>0</v>
      </c>
      <c r="AK50" s="17">
        <v>0</v>
      </c>
      <c r="AL50" s="17">
        <v>1</v>
      </c>
      <c r="AM50" s="17">
        <v>1</v>
      </c>
      <c r="AN50" s="17">
        <v>0</v>
      </c>
      <c r="AO50" s="17">
        <v>0</v>
      </c>
      <c r="AP50" s="17">
        <v>0</v>
      </c>
      <c r="AQ50" s="17">
        <v>0</v>
      </c>
      <c r="AR50" s="17">
        <v>0</v>
      </c>
      <c r="AS50" s="17">
        <v>0</v>
      </c>
      <c r="AT50" s="17">
        <v>0</v>
      </c>
      <c r="AU50" s="17">
        <v>1</v>
      </c>
      <c r="AV50" s="17">
        <v>1</v>
      </c>
      <c r="AW50" s="17">
        <v>0</v>
      </c>
      <c r="AX50" s="17">
        <v>0</v>
      </c>
      <c r="AY50" s="17">
        <v>0</v>
      </c>
      <c r="AZ50" s="17">
        <v>0</v>
      </c>
      <c r="BA50" s="17">
        <v>0</v>
      </c>
      <c r="BB50" s="17">
        <v>0</v>
      </c>
      <c r="BC50" s="17">
        <v>0</v>
      </c>
      <c r="BD50" s="17">
        <v>1</v>
      </c>
      <c r="BE50" s="17">
        <v>0</v>
      </c>
      <c r="BF50" s="17">
        <v>1</v>
      </c>
      <c r="BG50" s="17">
        <v>1</v>
      </c>
      <c r="BH50" s="17">
        <v>0</v>
      </c>
      <c r="BI50" s="17">
        <v>0</v>
      </c>
      <c r="BJ50" s="17">
        <v>0</v>
      </c>
      <c r="BK50" s="17">
        <v>0</v>
      </c>
      <c r="BL50" s="17">
        <v>1</v>
      </c>
      <c r="BM50" s="17">
        <v>0</v>
      </c>
      <c r="BN50" s="17">
        <v>0</v>
      </c>
      <c r="BO50" s="17">
        <v>0</v>
      </c>
      <c r="BP50" s="17">
        <v>1</v>
      </c>
      <c r="BQ50" s="17">
        <v>0</v>
      </c>
      <c r="BR50" s="17">
        <v>1</v>
      </c>
      <c r="BS50" s="17" t="e">
        <v>#N/A</v>
      </c>
      <c r="BT50" s="17" t="e">
        <v>#N/A</v>
      </c>
      <c r="BU50" s="17" t="e">
        <v>#N/A</v>
      </c>
      <c r="BV50" s="17" t="e">
        <v>#N/A</v>
      </c>
      <c r="BW50" s="17" t="e">
        <v>#N/A</v>
      </c>
      <c r="BX50" s="17" t="e">
        <v>#N/A</v>
      </c>
      <c r="BY50" s="17" t="e">
        <v>#N/A</v>
      </c>
      <c r="BZ50" s="17" t="e">
        <v>#N/A</v>
      </c>
      <c r="CA50" s="17" t="e">
        <v>#N/A</v>
      </c>
      <c r="CB50" s="17" t="e">
        <v>#N/A</v>
      </c>
      <c r="CC50" s="17" t="e">
        <v>#N/A</v>
      </c>
      <c r="CD50" s="17" t="e">
        <v>#N/A</v>
      </c>
      <c r="CE50" s="17" t="e">
        <v>#N/A</v>
      </c>
      <c r="CF50" s="17" t="e">
        <v>#N/A</v>
      </c>
      <c r="CG50" s="17" t="e">
        <v>#N/A</v>
      </c>
      <c r="CH50" s="17" t="e">
        <v>#N/A</v>
      </c>
      <c r="CI50" s="17" t="e">
        <v>#N/A</v>
      </c>
      <c r="CJ50" s="17" t="e">
        <v>#N/A</v>
      </c>
      <c r="CK50" s="17" t="e">
        <v>#N/A</v>
      </c>
      <c r="CL50" s="17" t="e">
        <v>#N/A</v>
      </c>
      <c r="CM50" s="17" t="e">
        <v>#N/A</v>
      </c>
      <c r="CN50" s="17" t="e">
        <v>#N/A</v>
      </c>
      <c r="CO50" s="17" t="e">
        <v>#N/A</v>
      </c>
      <c r="CP50" s="17" t="e">
        <v>#N/A</v>
      </c>
      <c r="CQ50" s="17" t="e">
        <v>#N/A</v>
      </c>
      <c r="CR50" s="17" t="e">
        <v>#N/A</v>
      </c>
      <c r="CS50" s="17" t="e">
        <v>#N/A</v>
      </c>
      <c r="CT50" s="17" t="e">
        <v>#N/A</v>
      </c>
      <c r="CU50" s="17" t="e">
        <v>#N/A</v>
      </c>
      <c r="CV50" s="17" t="e">
        <v>#N/A</v>
      </c>
      <c r="CW50" s="17" t="e">
        <v>#N/A</v>
      </c>
      <c r="CX50" s="17" t="e">
        <v>#N/A</v>
      </c>
      <c r="CY50" s="17" t="e">
        <v>#N/A</v>
      </c>
      <c r="CZ50" s="17" t="e">
        <v>#N/A</v>
      </c>
      <c r="DA50" s="17" t="e">
        <v>#N/A</v>
      </c>
      <c r="DB50" s="17" t="e">
        <v>#N/A</v>
      </c>
      <c r="DC50" s="17" t="e">
        <v>#N/A</v>
      </c>
      <c r="DD50" s="17" t="e">
        <v>#N/A</v>
      </c>
      <c r="DE50" s="17" t="e">
        <v>#N/A</v>
      </c>
      <c r="DF50" s="17" t="e">
        <v>#N/A</v>
      </c>
      <c r="DG50" s="17" t="e">
        <v>#N/A</v>
      </c>
      <c r="DH50" s="17" t="e">
        <v>#N/A</v>
      </c>
      <c r="DI50" s="17" t="e">
        <v>#N/A</v>
      </c>
      <c r="DJ50" s="17" t="e">
        <v>#N/A</v>
      </c>
      <c r="DK50" s="17" t="e">
        <v>#N/A</v>
      </c>
      <c r="DL50" s="17" t="e">
        <v>#N/A</v>
      </c>
      <c r="DM50" s="17" t="e">
        <v>#N/A</v>
      </c>
      <c r="DN50" s="17" t="e">
        <v>#N/A</v>
      </c>
      <c r="DO50" s="17" t="e">
        <v>#N/A</v>
      </c>
      <c r="DP50" s="17" t="e">
        <v>#N/A</v>
      </c>
      <c r="DQ50" s="17" t="e">
        <v>#N/A</v>
      </c>
      <c r="DR50" s="17" t="e">
        <v>#N/A</v>
      </c>
      <c r="DS50" s="17" t="e">
        <v>#N/A</v>
      </c>
      <c r="DT50" s="17" t="e">
        <v>#N/A</v>
      </c>
      <c r="DU50" s="17" t="e">
        <v>#N/A</v>
      </c>
      <c r="DV50" s="17" t="e">
        <v>#N/A</v>
      </c>
      <c r="DW50" s="17" t="e">
        <v>#N/A</v>
      </c>
      <c r="DX50" s="17" t="e">
        <v>#N/A</v>
      </c>
      <c r="DY50" s="17" t="e">
        <v>#N/A</v>
      </c>
      <c r="DZ50" s="17" t="e">
        <v>#N/A</v>
      </c>
      <c r="EA50" s="17" t="e">
        <v>#N/A</v>
      </c>
      <c r="EB50" s="17" t="e">
        <v>#N/A</v>
      </c>
      <c r="EC50" s="17" t="e">
        <v>#N/A</v>
      </c>
      <c r="ED50" s="17" t="e">
        <v>#N/A</v>
      </c>
      <c r="EE50" s="17" t="e">
        <v>#N/A</v>
      </c>
      <c r="EF50" s="17" t="e">
        <v>#N/A</v>
      </c>
      <c r="EG50" s="17" t="e">
        <v>#N/A</v>
      </c>
      <c r="EH50" s="17" t="e">
        <v>#N/A</v>
      </c>
      <c r="EI50" s="17" t="e">
        <v>#N/A</v>
      </c>
      <c r="EJ50" s="17" t="e">
        <v>#N/A</v>
      </c>
      <c r="EK50" s="17" t="e">
        <v>#N/A</v>
      </c>
      <c r="EL50" s="17" t="e">
        <v>#N/A</v>
      </c>
      <c r="EM50" s="17" t="e">
        <v>#N/A</v>
      </c>
      <c r="EN50" s="17" t="e">
        <v>#N/A</v>
      </c>
      <c r="EO50" s="17" t="e">
        <v>#N/A</v>
      </c>
      <c r="EP50" s="17" t="e">
        <v>#N/A</v>
      </c>
      <c r="EQ50" s="17" t="e">
        <v>#N/A</v>
      </c>
      <c r="ER50" s="17" t="e">
        <v>#N/A</v>
      </c>
      <c r="ES50" s="17" t="e">
        <v>#N/A</v>
      </c>
      <c r="ET50" s="17" t="e">
        <v>#N/A</v>
      </c>
      <c r="EU50" s="17" t="e">
        <v>#N/A</v>
      </c>
      <c r="EV50" s="17" t="e">
        <v>#N/A</v>
      </c>
      <c r="EW50" s="17" t="e">
        <v>#N/A</v>
      </c>
      <c r="EX50" s="17" t="e">
        <v>#N/A</v>
      </c>
      <c r="EY50" s="17" t="e">
        <v>#N/A</v>
      </c>
      <c r="EZ50" s="17" t="e">
        <v>#N/A</v>
      </c>
      <c r="FA50" s="17" t="e">
        <v>#N/A</v>
      </c>
      <c r="FB50" s="17" t="e">
        <v>#N/A</v>
      </c>
      <c r="FC50" s="17" t="e">
        <v>#N/A</v>
      </c>
      <c r="FD50" s="17" t="e">
        <v>#N/A</v>
      </c>
      <c r="FE50" s="17" t="e">
        <v>#N/A</v>
      </c>
      <c r="FF50" s="17" t="e">
        <v>#N/A</v>
      </c>
      <c r="FG50" s="17" t="e">
        <v>#N/A</v>
      </c>
      <c r="FH50" s="17" t="e">
        <v>#N/A</v>
      </c>
      <c r="FI50" s="17" t="e">
        <v>#N/A</v>
      </c>
      <c r="FJ50" s="17" t="e">
        <v>#N/A</v>
      </c>
      <c r="FK50" s="17" t="e">
        <v>#N/A</v>
      </c>
      <c r="FL50" s="17" t="e">
        <v>#N/A</v>
      </c>
      <c r="FM50" s="17" t="e">
        <v>#N/A</v>
      </c>
      <c r="FN50" s="17" t="e">
        <v>#N/A</v>
      </c>
      <c r="FO50" s="17" t="e">
        <v>#N/A</v>
      </c>
      <c r="FP50" s="17" t="e">
        <v>#N/A</v>
      </c>
      <c r="FQ50" s="17" t="e">
        <v>#N/A</v>
      </c>
      <c r="FR50" s="17" t="e">
        <v>#N/A</v>
      </c>
      <c r="FS50" s="17" t="e">
        <v>#N/A</v>
      </c>
      <c r="FT50" s="17" t="e">
        <v>#N/A</v>
      </c>
      <c r="FU50" s="17" t="e">
        <v>#N/A</v>
      </c>
      <c r="FV50" s="17" t="e">
        <v>#N/A</v>
      </c>
    </row>
    <row r="51" spans="2:178" ht="11.25" customHeight="1">
      <c r="B51" s="17">
        <v>0</v>
      </c>
      <c r="C51" s="17">
        <v>1</v>
      </c>
      <c r="D51" s="17">
        <v>1</v>
      </c>
      <c r="E51" s="17">
        <v>0</v>
      </c>
      <c r="F51" s="17">
        <v>1</v>
      </c>
      <c r="G51" s="17">
        <v>1</v>
      </c>
      <c r="H51" s="17">
        <v>0</v>
      </c>
      <c r="I51" s="17">
        <v>1</v>
      </c>
      <c r="J51" s="17">
        <v>1</v>
      </c>
      <c r="K51" s="17">
        <v>0</v>
      </c>
      <c r="L51" s="17">
        <v>0</v>
      </c>
      <c r="M51" s="17">
        <v>1</v>
      </c>
      <c r="N51" s="17">
        <v>0</v>
      </c>
      <c r="O51" s="17">
        <v>1</v>
      </c>
      <c r="P51" s="17">
        <v>1</v>
      </c>
      <c r="Q51" s="17">
        <v>1</v>
      </c>
      <c r="R51" s="17">
        <v>1</v>
      </c>
      <c r="S51" s="17">
        <v>0</v>
      </c>
      <c r="T51" s="17">
        <v>0</v>
      </c>
      <c r="U51" s="17">
        <v>0</v>
      </c>
      <c r="V51" s="17">
        <v>0</v>
      </c>
      <c r="W51" s="17">
        <v>1</v>
      </c>
      <c r="X51" s="17">
        <v>1</v>
      </c>
      <c r="Y51" s="17">
        <v>1</v>
      </c>
      <c r="Z51" s="17">
        <v>0</v>
      </c>
      <c r="AA51" s="17">
        <v>1</v>
      </c>
      <c r="AB51" s="17">
        <v>0</v>
      </c>
      <c r="AC51" s="17">
        <v>0</v>
      </c>
      <c r="AD51" s="17">
        <v>1</v>
      </c>
      <c r="AE51" s="17">
        <v>0</v>
      </c>
      <c r="AF51" s="17">
        <v>0</v>
      </c>
      <c r="AG51" s="17">
        <v>1</v>
      </c>
      <c r="AH51" s="17">
        <v>1</v>
      </c>
      <c r="AI51" s="17">
        <v>0</v>
      </c>
      <c r="AJ51" s="17">
        <v>1</v>
      </c>
      <c r="AK51" s="17">
        <v>1</v>
      </c>
      <c r="AL51" s="17">
        <v>0</v>
      </c>
      <c r="AM51" s="17">
        <v>1</v>
      </c>
      <c r="AN51" s="17">
        <v>0</v>
      </c>
      <c r="AO51" s="17">
        <v>0</v>
      </c>
      <c r="AP51" s="17">
        <v>1</v>
      </c>
      <c r="AQ51" s="17">
        <v>0</v>
      </c>
      <c r="AR51" s="17">
        <v>1</v>
      </c>
      <c r="AS51" s="17">
        <v>0</v>
      </c>
      <c r="AT51" s="17">
        <v>1</v>
      </c>
      <c r="AU51" s="17">
        <v>0</v>
      </c>
      <c r="AV51" s="17">
        <v>0</v>
      </c>
      <c r="AW51" s="17">
        <v>0</v>
      </c>
      <c r="AX51" s="17">
        <v>0</v>
      </c>
      <c r="AY51" s="17">
        <v>1</v>
      </c>
      <c r="AZ51" s="17">
        <v>1</v>
      </c>
      <c r="BA51" s="17">
        <v>1</v>
      </c>
      <c r="BB51" s="17">
        <v>0</v>
      </c>
      <c r="BC51" s="17">
        <v>0</v>
      </c>
      <c r="BD51" s="17">
        <v>0</v>
      </c>
      <c r="BE51" s="17">
        <v>0</v>
      </c>
      <c r="BF51" s="17">
        <v>0</v>
      </c>
      <c r="BG51" s="17">
        <v>1</v>
      </c>
      <c r="BH51" s="17">
        <v>1</v>
      </c>
      <c r="BI51" s="17">
        <v>1</v>
      </c>
      <c r="BJ51" s="17">
        <v>0</v>
      </c>
      <c r="BK51" s="17">
        <v>0</v>
      </c>
      <c r="BL51" s="17">
        <v>1</v>
      </c>
      <c r="BM51" s="17">
        <v>0</v>
      </c>
      <c r="BN51" s="17">
        <v>0</v>
      </c>
      <c r="BO51" s="17">
        <v>1</v>
      </c>
      <c r="BP51" s="17">
        <v>0</v>
      </c>
      <c r="BQ51" s="17">
        <v>0</v>
      </c>
      <c r="BR51" s="17">
        <v>0</v>
      </c>
      <c r="BS51" s="17" t="e">
        <v>#N/A</v>
      </c>
      <c r="BT51" s="17" t="e">
        <v>#N/A</v>
      </c>
      <c r="BU51" s="17" t="e">
        <v>#N/A</v>
      </c>
      <c r="BV51" s="17" t="e">
        <v>#N/A</v>
      </c>
      <c r="BW51" s="17" t="e">
        <v>#N/A</v>
      </c>
      <c r="BX51" s="17" t="e">
        <v>#N/A</v>
      </c>
      <c r="BY51" s="17" t="e">
        <v>#N/A</v>
      </c>
      <c r="BZ51" s="17" t="e">
        <v>#N/A</v>
      </c>
      <c r="CA51" s="17" t="e">
        <v>#N/A</v>
      </c>
      <c r="CB51" s="17" t="e">
        <v>#N/A</v>
      </c>
      <c r="CC51" s="17" t="e">
        <v>#N/A</v>
      </c>
      <c r="CD51" s="17" t="e">
        <v>#N/A</v>
      </c>
      <c r="CE51" s="17" t="e">
        <v>#N/A</v>
      </c>
      <c r="CF51" s="17" t="e">
        <v>#N/A</v>
      </c>
      <c r="CG51" s="17" t="e">
        <v>#N/A</v>
      </c>
      <c r="CH51" s="17" t="e">
        <v>#N/A</v>
      </c>
      <c r="CI51" s="17" t="e">
        <v>#N/A</v>
      </c>
      <c r="CJ51" s="17" t="e">
        <v>#N/A</v>
      </c>
      <c r="CK51" s="17" t="e">
        <v>#N/A</v>
      </c>
      <c r="CL51" s="17" t="e">
        <v>#N/A</v>
      </c>
      <c r="CM51" s="17" t="e">
        <v>#N/A</v>
      </c>
      <c r="CN51" s="17" t="e">
        <v>#N/A</v>
      </c>
      <c r="CO51" s="17" t="e">
        <v>#N/A</v>
      </c>
      <c r="CP51" s="17" t="e">
        <v>#N/A</v>
      </c>
      <c r="CQ51" s="17" t="e">
        <v>#N/A</v>
      </c>
      <c r="CR51" s="17" t="e">
        <v>#N/A</v>
      </c>
      <c r="CS51" s="17" t="e">
        <v>#N/A</v>
      </c>
      <c r="CT51" s="17" t="e">
        <v>#N/A</v>
      </c>
      <c r="CU51" s="17" t="e">
        <v>#N/A</v>
      </c>
      <c r="CV51" s="17" t="e">
        <v>#N/A</v>
      </c>
      <c r="CW51" s="17" t="e">
        <v>#N/A</v>
      </c>
      <c r="CX51" s="17" t="e">
        <v>#N/A</v>
      </c>
      <c r="CY51" s="17" t="e">
        <v>#N/A</v>
      </c>
      <c r="CZ51" s="17" t="e">
        <v>#N/A</v>
      </c>
      <c r="DA51" s="17" t="e">
        <v>#N/A</v>
      </c>
      <c r="DB51" s="17" t="e">
        <v>#N/A</v>
      </c>
      <c r="DC51" s="17" t="e">
        <v>#N/A</v>
      </c>
      <c r="DD51" s="17" t="e">
        <v>#N/A</v>
      </c>
      <c r="DE51" s="17" t="e">
        <v>#N/A</v>
      </c>
      <c r="DF51" s="17" t="e">
        <v>#N/A</v>
      </c>
      <c r="DG51" s="17" t="e">
        <v>#N/A</v>
      </c>
      <c r="DH51" s="17" t="e">
        <v>#N/A</v>
      </c>
      <c r="DI51" s="17" t="e">
        <v>#N/A</v>
      </c>
      <c r="DJ51" s="17" t="e">
        <v>#N/A</v>
      </c>
      <c r="DK51" s="17" t="e">
        <v>#N/A</v>
      </c>
      <c r="DL51" s="17" t="e">
        <v>#N/A</v>
      </c>
      <c r="DM51" s="17" t="e">
        <v>#N/A</v>
      </c>
      <c r="DN51" s="17" t="e">
        <v>#N/A</v>
      </c>
      <c r="DO51" s="17" t="e">
        <v>#N/A</v>
      </c>
      <c r="DP51" s="17" t="e">
        <v>#N/A</v>
      </c>
      <c r="DQ51" s="17" t="e">
        <v>#N/A</v>
      </c>
      <c r="DR51" s="17" t="e">
        <v>#N/A</v>
      </c>
      <c r="DS51" s="17" t="e">
        <v>#N/A</v>
      </c>
      <c r="DT51" s="17" t="e">
        <v>#N/A</v>
      </c>
      <c r="DU51" s="17" t="e">
        <v>#N/A</v>
      </c>
      <c r="DV51" s="17" t="e">
        <v>#N/A</v>
      </c>
      <c r="DW51" s="17" t="e">
        <v>#N/A</v>
      </c>
      <c r="DX51" s="17" t="e">
        <v>#N/A</v>
      </c>
      <c r="DY51" s="17" t="e">
        <v>#N/A</v>
      </c>
      <c r="DZ51" s="17" t="e">
        <v>#N/A</v>
      </c>
      <c r="EA51" s="17" t="e">
        <v>#N/A</v>
      </c>
      <c r="EB51" s="17" t="e">
        <v>#N/A</v>
      </c>
      <c r="EC51" s="17" t="e">
        <v>#N/A</v>
      </c>
      <c r="ED51" s="17" t="e">
        <v>#N/A</v>
      </c>
      <c r="EE51" s="17" t="e">
        <v>#N/A</v>
      </c>
      <c r="EF51" s="17" t="e">
        <v>#N/A</v>
      </c>
      <c r="EG51" s="17" t="e">
        <v>#N/A</v>
      </c>
      <c r="EH51" s="17" t="e">
        <v>#N/A</v>
      </c>
      <c r="EI51" s="17" t="e">
        <v>#N/A</v>
      </c>
      <c r="EJ51" s="17" t="e">
        <v>#N/A</v>
      </c>
      <c r="EK51" s="17" t="e">
        <v>#N/A</v>
      </c>
      <c r="EL51" s="17" t="e">
        <v>#N/A</v>
      </c>
      <c r="EM51" s="17" t="e">
        <v>#N/A</v>
      </c>
      <c r="EN51" s="17" t="e">
        <v>#N/A</v>
      </c>
      <c r="EO51" s="17" t="e">
        <v>#N/A</v>
      </c>
      <c r="EP51" s="17" t="e">
        <v>#N/A</v>
      </c>
      <c r="EQ51" s="17" t="e">
        <v>#N/A</v>
      </c>
      <c r="ER51" s="17" t="e">
        <v>#N/A</v>
      </c>
      <c r="ES51" s="17" t="e">
        <v>#N/A</v>
      </c>
      <c r="ET51" s="17" t="e">
        <v>#N/A</v>
      </c>
      <c r="EU51" s="17" t="e">
        <v>#N/A</v>
      </c>
      <c r="EV51" s="17" t="e">
        <v>#N/A</v>
      </c>
      <c r="EW51" s="17" t="e">
        <v>#N/A</v>
      </c>
      <c r="EX51" s="17" t="e">
        <v>#N/A</v>
      </c>
      <c r="EY51" s="17" t="e">
        <v>#N/A</v>
      </c>
      <c r="EZ51" s="17" t="e">
        <v>#N/A</v>
      </c>
      <c r="FA51" s="17" t="e">
        <v>#N/A</v>
      </c>
      <c r="FB51" s="17" t="e">
        <v>#N/A</v>
      </c>
      <c r="FC51" s="17" t="e">
        <v>#N/A</v>
      </c>
      <c r="FD51" s="17" t="e">
        <v>#N/A</v>
      </c>
      <c r="FE51" s="17" t="e">
        <v>#N/A</v>
      </c>
      <c r="FF51" s="17" t="e">
        <v>#N/A</v>
      </c>
      <c r="FG51" s="17" t="e">
        <v>#N/A</v>
      </c>
      <c r="FH51" s="17" t="e">
        <v>#N/A</v>
      </c>
      <c r="FI51" s="17" t="e">
        <v>#N/A</v>
      </c>
      <c r="FJ51" s="17" t="e">
        <v>#N/A</v>
      </c>
      <c r="FK51" s="17" t="e">
        <v>#N/A</v>
      </c>
      <c r="FL51" s="17" t="e">
        <v>#N/A</v>
      </c>
      <c r="FM51" s="17" t="e">
        <v>#N/A</v>
      </c>
      <c r="FN51" s="17" t="e">
        <v>#N/A</v>
      </c>
      <c r="FO51" s="17" t="e">
        <v>#N/A</v>
      </c>
      <c r="FP51" s="17" t="e">
        <v>#N/A</v>
      </c>
      <c r="FQ51" s="17" t="e">
        <v>#N/A</v>
      </c>
      <c r="FR51" s="17" t="e">
        <v>#N/A</v>
      </c>
      <c r="FS51" s="17" t="e">
        <v>#N/A</v>
      </c>
      <c r="FT51" s="17" t="e">
        <v>#N/A</v>
      </c>
      <c r="FU51" s="17" t="e">
        <v>#N/A</v>
      </c>
      <c r="FV51" s="17" t="e">
        <v>#N/A</v>
      </c>
    </row>
    <row r="52" spans="2:178" ht="11.25" customHeight="1">
      <c r="B52" s="17">
        <v>0</v>
      </c>
      <c r="C52" s="17">
        <v>0</v>
      </c>
      <c r="D52" s="17">
        <v>1</v>
      </c>
      <c r="E52" s="17">
        <v>1</v>
      </c>
      <c r="F52" s="17">
        <v>0</v>
      </c>
      <c r="G52" s="17">
        <v>1</v>
      </c>
      <c r="H52" s="17">
        <v>1</v>
      </c>
      <c r="I52" s="17">
        <v>0</v>
      </c>
      <c r="J52" s="17">
        <v>0</v>
      </c>
      <c r="K52" s="17">
        <v>0</v>
      </c>
      <c r="L52" s="17">
        <v>1</v>
      </c>
      <c r="M52" s="17">
        <v>0</v>
      </c>
      <c r="N52" s="17">
        <v>1</v>
      </c>
      <c r="O52" s="17">
        <v>0</v>
      </c>
      <c r="P52" s="17">
        <v>0</v>
      </c>
      <c r="Q52" s="17">
        <v>1</v>
      </c>
      <c r="R52" s="17">
        <v>0</v>
      </c>
      <c r="S52" s="17">
        <v>0</v>
      </c>
      <c r="T52" s="17">
        <v>0</v>
      </c>
      <c r="U52" s="17">
        <v>0</v>
      </c>
      <c r="V52" s="17">
        <v>0</v>
      </c>
      <c r="W52" s="17">
        <v>0</v>
      </c>
      <c r="X52" s="17">
        <v>0</v>
      </c>
      <c r="Y52" s="17">
        <v>0</v>
      </c>
      <c r="Z52" s="17">
        <v>1</v>
      </c>
      <c r="AA52" s="17">
        <v>1</v>
      </c>
      <c r="AB52" s="17">
        <v>0</v>
      </c>
      <c r="AC52" s="17">
        <v>0</v>
      </c>
      <c r="AD52" s="17">
        <v>1</v>
      </c>
      <c r="AE52" s="17">
        <v>0</v>
      </c>
      <c r="AF52" s="17">
        <v>0</v>
      </c>
      <c r="AG52" s="17">
        <v>0</v>
      </c>
      <c r="AH52" s="17">
        <v>0</v>
      </c>
      <c r="AI52" s="17">
        <v>1</v>
      </c>
      <c r="AJ52" s="17">
        <v>0</v>
      </c>
      <c r="AK52" s="17">
        <v>1</v>
      </c>
      <c r="AL52" s="17">
        <v>0</v>
      </c>
      <c r="AM52" s="17">
        <v>0</v>
      </c>
      <c r="AN52" s="17">
        <v>0</v>
      </c>
      <c r="AO52" s="17">
        <v>0</v>
      </c>
      <c r="AP52" s="17">
        <v>0</v>
      </c>
      <c r="AQ52" s="17">
        <v>1</v>
      </c>
      <c r="AR52" s="17">
        <v>0</v>
      </c>
      <c r="AS52" s="17">
        <v>0</v>
      </c>
      <c r="AT52" s="17">
        <v>0</v>
      </c>
      <c r="AU52" s="17">
        <v>1</v>
      </c>
      <c r="AV52" s="17">
        <v>1</v>
      </c>
      <c r="AW52" s="17">
        <v>1</v>
      </c>
      <c r="AX52" s="17">
        <v>0</v>
      </c>
      <c r="AY52" s="17">
        <v>0</v>
      </c>
      <c r="AZ52" s="17">
        <v>0</v>
      </c>
      <c r="BA52" s="17">
        <v>1</v>
      </c>
      <c r="BB52" s="17">
        <v>1</v>
      </c>
      <c r="BC52" s="17">
        <v>1</v>
      </c>
      <c r="BD52" s="17">
        <v>0</v>
      </c>
      <c r="BE52" s="17">
        <v>0</v>
      </c>
      <c r="BF52" s="17">
        <v>0</v>
      </c>
      <c r="BG52" s="17">
        <v>1</v>
      </c>
      <c r="BH52" s="17">
        <v>1</v>
      </c>
      <c r="BI52" s="17">
        <v>1</v>
      </c>
      <c r="BJ52" s="17">
        <v>0</v>
      </c>
      <c r="BK52" s="17">
        <v>0</v>
      </c>
      <c r="BL52" s="17">
        <v>1</v>
      </c>
      <c r="BM52" s="17">
        <v>0</v>
      </c>
      <c r="BN52" s="17">
        <v>0</v>
      </c>
      <c r="BO52" s="17">
        <v>0</v>
      </c>
      <c r="BP52" s="17">
        <v>1</v>
      </c>
      <c r="BQ52" s="17">
        <v>0</v>
      </c>
      <c r="BR52" s="17">
        <v>0</v>
      </c>
      <c r="BS52" s="17" t="e">
        <v>#N/A</v>
      </c>
      <c r="BT52" s="17" t="e">
        <v>#N/A</v>
      </c>
      <c r="BU52" s="17" t="e">
        <v>#N/A</v>
      </c>
      <c r="BV52" s="17" t="e">
        <v>#N/A</v>
      </c>
      <c r="BW52" s="17" t="e">
        <v>#N/A</v>
      </c>
      <c r="BX52" s="17" t="e">
        <v>#N/A</v>
      </c>
      <c r="BY52" s="17" t="e">
        <v>#N/A</v>
      </c>
      <c r="BZ52" s="17" t="e">
        <v>#N/A</v>
      </c>
      <c r="CA52" s="17" t="e">
        <v>#N/A</v>
      </c>
      <c r="CB52" s="17" t="e">
        <v>#N/A</v>
      </c>
      <c r="CC52" s="17" t="e">
        <v>#N/A</v>
      </c>
      <c r="CD52" s="17" t="e">
        <v>#N/A</v>
      </c>
      <c r="CE52" s="17" t="e">
        <v>#N/A</v>
      </c>
      <c r="CF52" s="17" t="e">
        <v>#N/A</v>
      </c>
      <c r="CG52" s="17" t="e">
        <v>#N/A</v>
      </c>
      <c r="CH52" s="17" t="e">
        <v>#N/A</v>
      </c>
      <c r="CI52" s="17" t="e">
        <v>#N/A</v>
      </c>
      <c r="CJ52" s="17" t="e">
        <v>#N/A</v>
      </c>
      <c r="CK52" s="17" t="e">
        <v>#N/A</v>
      </c>
      <c r="CL52" s="17" t="e">
        <v>#N/A</v>
      </c>
      <c r="CM52" s="17" t="e">
        <v>#N/A</v>
      </c>
      <c r="CN52" s="17" t="e">
        <v>#N/A</v>
      </c>
      <c r="CO52" s="17" t="e">
        <v>#N/A</v>
      </c>
      <c r="CP52" s="17" t="e">
        <v>#N/A</v>
      </c>
      <c r="CQ52" s="17" t="e">
        <v>#N/A</v>
      </c>
      <c r="CR52" s="17" t="e">
        <v>#N/A</v>
      </c>
      <c r="CS52" s="17" t="e">
        <v>#N/A</v>
      </c>
      <c r="CT52" s="17" t="e">
        <v>#N/A</v>
      </c>
      <c r="CU52" s="17" t="e">
        <v>#N/A</v>
      </c>
      <c r="CV52" s="17" t="e">
        <v>#N/A</v>
      </c>
      <c r="CW52" s="17" t="e">
        <v>#N/A</v>
      </c>
      <c r="CX52" s="17" t="e">
        <v>#N/A</v>
      </c>
      <c r="CY52" s="17" t="e">
        <v>#N/A</v>
      </c>
      <c r="CZ52" s="17" t="e">
        <v>#N/A</v>
      </c>
      <c r="DA52" s="17" t="e">
        <v>#N/A</v>
      </c>
      <c r="DB52" s="17" t="e">
        <v>#N/A</v>
      </c>
      <c r="DC52" s="17" t="e">
        <v>#N/A</v>
      </c>
      <c r="DD52" s="17" t="e">
        <v>#N/A</v>
      </c>
      <c r="DE52" s="17" t="e">
        <v>#N/A</v>
      </c>
      <c r="DF52" s="17" t="e">
        <v>#N/A</v>
      </c>
      <c r="DG52" s="17" t="e">
        <v>#N/A</v>
      </c>
      <c r="DH52" s="17" t="e">
        <v>#N/A</v>
      </c>
      <c r="DI52" s="17" t="e">
        <v>#N/A</v>
      </c>
      <c r="DJ52" s="17" t="e">
        <v>#N/A</v>
      </c>
      <c r="DK52" s="17" t="e">
        <v>#N/A</v>
      </c>
      <c r="DL52" s="17" t="e">
        <v>#N/A</v>
      </c>
      <c r="DM52" s="17" t="e">
        <v>#N/A</v>
      </c>
      <c r="DN52" s="17" t="e">
        <v>#N/A</v>
      </c>
      <c r="DO52" s="17" t="e">
        <v>#N/A</v>
      </c>
      <c r="DP52" s="17" t="e">
        <v>#N/A</v>
      </c>
      <c r="DQ52" s="17" t="e">
        <v>#N/A</v>
      </c>
      <c r="DR52" s="17" t="e">
        <v>#N/A</v>
      </c>
      <c r="DS52" s="17" t="e">
        <v>#N/A</v>
      </c>
      <c r="DT52" s="17" t="e">
        <v>#N/A</v>
      </c>
      <c r="DU52" s="17" t="e">
        <v>#N/A</v>
      </c>
      <c r="DV52" s="17" t="e">
        <v>#N/A</v>
      </c>
      <c r="DW52" s="17" t="e">
        <v>#N/A</v>
      </c>
      <c r="DX52" s="17" t="e">
        <v>#N/A</v>
      </c>
      <c r="DY52" s="17" t="e">
        <v>#N/A</v>
      </c>
      <c r="DZ52" s="17" t="e">
        <v>#N/A</v>
      </c>
      <c r="EA52" s="17" t="e">
        <v>#N/A</v>
      </c>
      <c r="EB52" s="17" t="e">
        <v>#N/A</v>
      </c>
      <c r="EC52" s="17" t="e">
        <v>#N/A</v>
      </c>
      <c r="ED52" s="17" t="e">
        <v>#N/A</v>
      </c>
      <c r="EE52" s="17" t="e">
        <v>#N/A</v>
      </c>
      <c r="EF52" s="17" t="e">
        <v>#N/A</v>
      </c>
      <c r="EG52" s="17" t="e">
        <v>#N/A</v>
      </c>
      <c r="EH52" s="17" t="e">
        <v>#N/A</v>
      </c>
      <c r="EI52" s="17" t="e">
        <v>#N/A</v>
      </c>
      <c r="EJ52" s="17" t="e">
        <v>#N/A</v>
      </c>
      <c r="EK52" s="17" t="e">
        <v>#N/A</v>
      </c>
      <c r="EL52" s="17" t="e">
        <v>#N/A</v>
      </c>
      <c r="EM52" s="17" t="e">
        <v>#N/A</v>
      </c>
      <c r="EN52" s="17" t="e">
        <v>#N/A</v>
      </c>
      <c r="EO52" s="17" t="e">
        <v>#N/A</v>
      </c>
      <c r="EP52" s="17" t="e">
        <v>#N/A</v>
      </c>
      <c r="EQ52" s="17" t="e">
        <v>#N/A</v>
      </c>
      <c r="ER52" s="17" t="e">
        <v>#N/A</v>
      </c>
      <c r="ES52" s="17" t="e">
        <v>#N/A</v>
      </c>
      <c r="ET52" s="17" t="e">
        <v>#N/A</v>
      </c>
      <c r="EU52" s="17" t="e">
        <v>#N/A</v>
      </c>
      <c r="EV52" s="17" t="e">
        <v>#N/A</v>
      </c>
      <c r="EW52" s="17" t="e">
        <v>#N/A</v>
      </c>
      <c r="EX52" s="17" t="e">
        <v>#N/A</v>
      </c>
      <c r="EY52" s="17" t="e">
        <v>#N/A</v>
      </c>
      <c r="EZ52" s="17" t="e">
        <v>#N/A</v>
      </c>
      <c r="FA52" s="17" t="e">
        <v>#N/A</v>
      </c>
      <c r="FB52" s="17" t="e">
        <v>#N/A</v>
      </c>
      <c r="FC52" s="17" t="e">
        <v>#N/A</v>
      </c>
      <c r="FD52" s="17" t="e">
        <v>#N/A</v>
      </c>
      <c r="FE52" s="17" t="e">
        <v>#N/A</v>
      </c>
      <c r="FF52" s="17" t="e">
        <v>#N/A</v>
      </c>
      <c r="FG52" s="17" t="e">
        <v>#N/A</v>
      </c>
      <c r="FH52" s="17" t="e">
        <v>#N/A</v>
      </c>
      <c r="FI52" s="17" t="e">
        <v>#N/A</v>
      </c>
      <c r="FJ52" s="17" t="e">
        <v>#N/A</v>
      </c>
      <c r="FK52" s="17" t="e">
        <v>#N/A</v>
      </c>
      <c r="FL52" s="17" t="e">
        <v>#N/A</v>
      </c>
      <c r="FM52" s="17" t="e">
        <v>#N/A</v>
      </c>
      <c r="FN52" s="17" t="e">
        <v>#N/A</v>
      </c>
      <c r="FO52" s="17" t="e">
        <v>#N/A</v>
      </c>
      <c r="FP52" s="17" t="e">
        <v>#N/A</v>
      </c>
      <c r="FQ52" s="17" t="e">
        <v>#N/A</v>
      </c>
      <c r="FR52" s="17" t="e">
        <v>#N/A</v>
      </c>
      <c r="FS52" s="17" t="e">
        <v>#N/A</v>
      </c>
      <c r="FT52" s="17" t="e">
        <v>#N/A</v>
      </c>
      <c r="FU52" s="17" t="e">
        <v>#N/A</v>
      </c>
      <c r="FV52" s="17" t="e">
        <v>#N/A</v>
      </c>
    </row>
    <row r="53" spans="2:178" ht="11.25" customHeight="1">
      <c r="B53" s="17">
        <v>1</v>
      </c>
      <c r="C53" s="17">
        <v>0</v>
      </c>
      <c r="D53" s="17">
        <v>1</v>
      </c>
      <c r="E53" s="17">
        <v>0</v>
      </c>
      <c r="F53" s="17">
        <v>1</v>
      </c>
      <c r="G53" s="17">
        <v>1</v>
      </c>
      <c r="H53" s="17">
        <v>0</v>
      </c>
      <c r="I53" s="17">
        <v>1</v>
      </c>
      <c r="J53" s="17">
        <v>1</v>
      </c>
      <c r="K53" s="17">
        <v>0</v>
      </c>
      <c r="L53" s="17">
        <v>1</v>
      </c>
      <c r="M53" s="17">
        <v>1</v>
      </c>
      <c r="N53" s="17">
        <v>0</v>
      </c>
      <c r="O53" s="17">
        <v>1</v>
      </c>
      <c r="P53" s="17">
        <v>1</v>
      </c>
      <c r="Q53" s="17">
        <v>1</v>
      </c>
      <c r="R53" s="17">
        <v>1</v>
      </c>
      <c r="S53" s="17">
        <v>0</v>
      </c>
      <c r="T53" s="17">
        <v>0</v>
      </c>
      <c r="U53" s="17">
        <v>1</v>
      </c>
      <c r="V53" s="17">
        <v>0</v>
      </c>
      <c r="W53" s="17">
        <v>1</v>
      </c>
      <c r="X53" s="17">
        <v>1</v>
      </c>
      <c r="Y53" s="17">
        <v>1</v>
      </c>
      <c r="Z53" s="17">
        <v>0</v>
      </c>
      <c r="AA53" s="17">
        <v>1</v>
      </c>
      <c r="AB53" s="17">
        <v>1</v>
      </c>
      <c r="AC53" s="17">
        <v>1</v>
      </c>
      <c r="AD53" s="17">
        <v>1</v>
      </c>
      <c r="AE53" s="17">
        <v>1</v>
      </c>
      <c r="AF53" s="17">
        <v>1</v>
      </c>
      <c r="AG53" s="17">
        <v>0</v>
      </c>
      <c r="AH53" s="17">
        <v>1</v>
      </c>
      <c r="AI53" s="17">
        <v>1</v>
      </c>
      <c r="AJ53" s="17">
        <v>1</v>
      </c>
      <c r="AK53" s="17">
        <v>0</v>
      </c>
      <c r="AL53" s="17">
        <v>1</v>
      </c>
      <c r="AM53" s="17">
        <v>1</v>
      </c>
      <c r="AN53" s="17">
        <v>1</v>
      </c>
      <c r="AO53" s="17">
        <v>1</v>
      </c>
      <c r="AP53" s="17">
        <v>0</v>
      </c>
      <c r="AQ53" s="17">
        <v>0</v>
      </c>
      <c r="AR53" s="17">
        <v>1</v>
      </c>
      <c r="AS53" s="17">
        <v>1</v>
      </c>
      <c r="AT53" s="17">
        <v>0</v>
      </c>
      <c r="AU53" s="17">
        <v>0</v>
      </c>
      <c r="AV53" s="17">
        <v>0</v>
      </c>
      <c r="AW53" s="17">
        <v>1</v>
      </c>
      <c r="AX53" s="17">
        <v>1</v>
      </c>
      <c r="AY53" s="17">
        <v>1</v>
      </c>
      <c r="AZ53" s="17">
        <v>0</v>
      </c>
      <c r="BA53" s="17">
        <v>0</v>
      </c>
      <c r="BB53" s="17">
        <v>1</v>
      </c>
      <c r="BC53" s="17">
        <v>1</v>
      </c>
      <c r="BD53" s="17">
        <v>1</v>
      </c>
      <c r="BE53" s="17">
        <v>0</v>
      </c>
      <c r="BF53" s="17">
        <v>0</v>
      </c>
      <c r="BG53" s="17">
        <v>0</v>
      </c>
      <c r="BH53" s="17">
        <v>1</v>
      </c>
      <c r="BI53" s="17">
        <v>1</v>
      </c>
      <c r="BJ53" s="17">
        <v>0</v>
      </c>
      <c r="BK53" s="17">
        <v>0</v>
      </c>
      <c r="BL53" s="17">
        <v>0</v>
      </c>
      <c r="BM53" s="17">
        <v>0</v>
      </c>
      <c r="BN53" s="17">
        <v>0</v>
      </c>
      <c r="BO53" s="17">
        <v>0</v>
      </c>
      <c r="BP53" s="17">
        <v>1</v>
      </c>
      <c r="BQ53" s="17">
        <v>0</v>
      </c>
      <c r="BR53" s="17">
        <v>0</v>
      </c>
      <c r="BS53" s="17" t="e">
        <v>#N/A</v>
      </c>
      <c r="BT53" s="17" t="e">
        <v>#N/A</v>
      </c>
      <c r="BU53" s="17" t="e">
        <v>#N/A</v>
      </c>
      <c r="BV53" s="17" t="e">
        <v>#N/A</v>
      </c>
      <c r="BW53" s="17" t="e">
        <v>#N/A</v>
      </c>
      <c r="BX53" s="17" t="e">
        <v>#N/A</v>
      </c>
      <c r="BY53" s="17" t="e">
        <v>#N/A</v>
      </c>
      <c r="BZ53" s="17" t="e">
        <v>#N/A</v>
      </c>
      <c r="CA53" s="17" t="e">
        <v>#N/A</v>
      </c>
      <c r="CB53" s="17" t="e">
        <v>#N/A</v>
      </c>
      <c r="CC53" s="17" t="e">
        <v>#N/A</v>
      </c>
      <c r="CD53" s="17" t="e">
        <v>#N/A</v>
      </c>
      <c r="CE53" s="17" t="e">
        <v>#N/A</v>
      </c>
      <c r="CF53" s="17" t="e">
        <v>#N/A</v>
      </c>
      <c r="CG53" s="17" t="e">
        <v>#N/A</v>
      </c>
      <c r="CH53" s="17" t="e">
        <v>#N/A</v>
      </c>
      <c r="CI53" s="17" t="e">
        <v>#N/A</v>
      </c>
      <c r="CJ53" s="17" t="e">
        <v>#N/A</v>
      </c>
      <c r="CK53" s="17" t="e">
        <v>#N/A</v>
      </c>
      <c r="CL53" s="17" t="e">
        <v>#N/A</v>
      </c>
      <c r="CM53" s="17" t="e">
        <v>#N/A</v>
      </c>
      <c r="CN53" s="17" t="e">
        <v>#N/A</v>
      </c>
      <c r="CO53" s="17" t="e">
        <v>#N/A</v>
      </c>
      <c r="CP53" s="17" t="e">
        <v>#N/A</v>
      </c>
      <c r="CQ53" s="17" t="e">
        <v>#N/A</v>
      </c>
      <c r="CR53" s="17" t="e">
        <v>#N/A</v>
      </c>
      <c r="CS53" s="17" t="e">
        <v>#N/A</v>
      </c>
      <c r="CT53" s="17" t="e">
        <v>#N/A</v>
      </c>
      <c r="CU53" s="17" t="e">
        <v>#N/A</v>
      </c>
      <c r="CV53" s="17" t="e">
        <v>#N/A</v>
      </c>
      <c r="CW53" s="17" t="e">
        <v>#N/A</v>
      </c>
      <c r="CX53" s="17" t="e">
        <v>#N/A</v>
      </c>
      <c r="CY53" s="17" t="e">
        <v>#N/A</v>
      </c>
      <c r="CZ53" s="17" t="e">
        <v>#N/A</v>
      </c>
      <c r="DA53" s="17" t="e">
        <v>#N/A</v>
      </c>
      <c r="DB53" s="17" t="e">
        <v>#N/A</v>
      </c>
      <c r="DC53" s="17" t="e">
        <v>#N/A</v>
      </c>
      <c r="DD53" s="17" t="e">
        <v>#N/A</v>
      </c>
      <c r="DE53" s="17" t="e">
        <v>#N/A</v>
      </c>
      <c r="DF53" s="17" t="e">
        <v>#N/A</v>
      </c>
      <c r="DG53" s="17" t="e">
        <v>#N/A</v>
      </c>
      <c r="DH53" s="17" t="e">
        <v>#N/A</v>
      </c>
      <c r="DI53" s="17" t="e">
        <v>#N/A</v>
      </c>
      <c r="DJ53" s="17" t="e">
        <v>#N/A</v>
      </c>
      <c r="DK53" s="17" t="e">
        <v>#N/A</v>
      </c>
      <c r="DL53" s="17" t="e">
        <v>#N/A</v>
      </c>
      <c r="DM53" s="17" t="e">
        <v>#N/A</v>
      </c>
      <c r="DN53" s="17" t="e">
        <v>#N/A</v>
      </c>
      <c r="DO53" s="17" t="e">
        <v>#N/A</v>
      </c>
      <c r="DP53" s="17" t="e">
        <v>#N/A</v>
      </c>
      <c r="DQ53" s="17" t="e">
        <v>#N/A</v>
      </c>
      <c r="DR53" s="17" t="e">
        <v>#N/A</v>
      </c>
      <c r="DS53" s="17" t="e">
        <v>#N/A</v>
      </c>
      <c r="DT53" s="17" t="e">
        <v>#N/A</v>
      </c>
      <c r="DU53" s="17" t="e">
        <v>#N/A</v>
      </c>
      <c r="DV53" s="17" t="e">
        <v>#N/A</v>
      </c>
      <c r="DW53" s="17" t="e">
        <v>#N/A</v>
      </c>
      <c r="DX53" s="17" t="e">
        <v>#N/A</v>
      </c>
      <c r="DY53" s="17" t="e">
        <v>#N/A</v>
      </c>
      <c r="DZ53" s="17" t="e">
        <v>#N/A</v>
      </c>
      <c r="EA53" s="17" t="e">
        <v>#N/A</v>
      </c>
      <c r="EB53" s="17" t="e">
        <v>#N/A</v>
      </c>
      <c r="EC53" s="17" t="e">
        <v>#N/A</v>
      </c>
      <c r="ED53" s="17" t="e">
        <v>#N/A</v>
      </c>
      <c r="EE53" s="17" t="e">
        <v>#N/A</v>
      </c>
      <c r="EF53" s="17" t="e">
        <v>#N/A</v>
      </c>
      <c r="EG53" s="17" t="e">
        <v>#N/A</v>
      </c>
      <c r="EH53" s="17" t="e">
        <v>#N/A</v>
      </c>
      <c r="EI53" s="17" t="e">
        <v>#N/A</v>
      </c>
      <c r="EJ53" s="17" t="e">
        <v>#N/A</v>
      </c>
      <c r="EK53" s="17" t="e">
        <v>#N/A</v>
      </c>
      <c r="EL53" s="17" t="e">
        <v>#N/A</v>
      </c>
      <c r="EM53" s="17" t="e">
        <v>#N/A</v>
      </c>
      <c r="EN53" s="17" t="e">
        <v>#N/A</v>
      </c>
      <c r="EO53" s="17" t="e">
        <v>#N/A</v>
      </c>
      <c r="EP53" s="17" t="e">
        <v>#N/A</v>
      </c>
      <c r="EQ53" s="17" t="e">
        <v>#N/A</v>
      </c>
      <c r="ER53" s="17" t="e">
        <v>#N/A</v>
      </c>
      <c r="ES53" s="17" t="e">
        <v>#N/A</v>
      </c>
      <c r="ET53" s="17" t="e">
        <v>#N/A</v>
      </c>
      <c r="EU53" s="17" t="e">
        <v>#N/A</v>
      </c>
      <c r="EV53" s="17" t="e">
        <v>#N/A</v>
      </c>
      <c r="EW53" s="17" t="e">
        <v>#N/A</v>
      </c>
      <c r="EX53" s="17" t="e">
        <v>#N/A</v>
      </c>
      <c r="EY53" s="17" t="e">
        <v>#N/A</v>
      </c>
      <c r="EZ53" s="17" t="e">
        <v>#N/A</v>
      </c>
      <c r="FA53" s="17" t="e">
        <v>#N/A</v>
      </c>
      <c r="FB53" s="17" t="e">
        <v>#N/A</v>
      </c>
      <c r="FC53" s="17" t="e">
        <v>#N/A</v>
      </c>
      <c r="FD53" s="17" t="e">
        <v>#N/A</v>
      </c>
      <c r="FE53" s="17" t="e">
        <v>#N/A</v>
      </c>
      <c r="FF53" s="17" t="e">
        <v>#N/A</v>
      </c>
      <c r="FG53" s="17" t="e">
        <v>#N/A</v>
      </c>
      <c r="FH53" s="17" t="e">
        <v>#N/A</v>
      </c>
      <c r="FI53" s="17" t="e">
        <v>#N/A</v>
      </c>
      <c r="FJ53" s="17" t="e">
        <v>#N/A</v>
      </c>
      <c r="FK53" s="17" t="e">
        <v>#N/A</v>
      </c>
      <c r="FL53" s="17" t="e">
        <v>#N/A</v>
      </c>
      <c r="FM53" s="17" t="e">
        <v>#N/A</v>
      </c>
      <c r="FN53" s="17" t="e">
        <v>#N/A</v>
      </c>
      <c r="FO53" s="17" t="e">
        <v>#N/A</v>
      </c>
      <c r="FP53" s="17" t="e">
        <v>#N/A</v>
      </c>
      <c r="FQ53" s="17" t="e">
        <v>#N/A</v>
      </c>
      <c r="FR53" s="17" t="e">
        <v>#N/A</v>
      </c>
      <c r="FS53" s="17" t="e">
        <v>#N/A</v>
      </c>
      <c r="FT53" s="17" t="e">
        <v>#N/A</v>
      </c>
      <c r="FU53" s="17" t="e">
        <v>#N/A</v>
      </c>
      <c r="FV53" s="17" t="e">
        <v>#N/A</v>
      </c>
    </row>
    <row r="54" spans="2:178" ht="11.25" customHeight="1">
      <c r="B54" s="17">
        <v>0</v>
      </c>
      <c r="C54" s="17">
        <v>1</v>
      </c>
      <c r="D54" s="17">
        <v>0</v>
      </c>
      <c r="E54" s="17">
        <v>1</v>
      </c>
      <c r="F54" s="17">
        <v>0</v>
      </c>
      <c r="G54" s="17">
        <v>0</v>
      </c>
      <c r="H54" s="17">
        <v>1</v>
      </c>
      <c r="I54" s="17">
        <v>0</v>
      </c>
      <c r="J54" s="17">
        <v>0</v>
      </c>
      <c r="K54" s="17">
        <v>1</v>
      </c>
      <c r="L54" s="17">
        <v>0</v>
      </c>
      <c r="M54" s="17">
        <v>1</v>
      </c>
      <c r="N54" s="17">
        <v>1</v>
      </c>
      <c r="O54" s="17">
        <v>1</v>
      </c>
      <c r="P54" s="17">
        <v>0</v>
      </c>
      <c r="Q54" s="17">
        <v>0</v>
      </c>
      <c r="R54" s="17">
        <v>1</v>
      </c>
      <c r="S54" s="17">
        <v>0</v>
      </c>
      <c r="T54" s="17">
        <v>0</v>
      </c>
      <c r="U54" s="17">
        <v>1</v>
      </c>
      <c r="V54" s="17">
        <v>1</v>
      </c>
      <c r="W54" s="17">
        <v>0</v>
      </c>
      <c r="X54" s="17">
        <v>1</v>
      </c>
      <c r="Y54" s="17">
        <v>1</v>
      </c>
      <c r="Z54" s="17">
        <v>0</v>
      </c>
      <c r="AA54" s="17">
        <v>0</v>
      </c>
      <c r="AB54" s="17">
        <v>0</v>
      </c>
      <c r="AC54" s="17">
        <v>0</v>
      </c>
      <c r="AD54" s="17">
        <v>1</v>
      </c>
      <c r="AE54" s="17">
        <v>1</v>
      </c>
      <c r="AF54" s="17">
        <v>1</v>
      </c>
      <c r="AG54" s="17">
        <v>0</v>
      </c>
      <c r="AH54" s="17">
        <v>1</v>
      </c>
      <c r="AI54" s="17">
        <v>1</v>
      </c>
      <c r="AJ54" s="17">
        <v>1</v>
      </c>
      <c r="AK54" s="17">
        <v>0</v>
      </c>
      <c r="AL54" s="17">
        <v>0</v>
      </c>
      <c r="AM54" s="17">
        <v>0</v>
      </c>
      <c r="AN54" s="17">
        <v>1</v>
      </c>
      <c r="AO54" s="17">
        <v>1</v>
      </c>
      <c r="AP54" s="17">
        <v>0</v>
      </c>
      <c r="AQ54" s="17">
        <v>0</v>
      </c>
      <c r="AR54" s="17">
        <v>0</v>
      </c>
      <c r="AS54" s="17">
        <v>0</v>
      </c>
      <c r="AT54" s="17">
        <v>0</v>
      </c>
      <c r="AU54" s="17">
        <v>0</v>
      </c>
      <c r="AV54" s="17">
        <v>1</v>
      </c>
      <c r="AW54" s="17">
        <v>0</v>
      </c>
      <c r="AX54" s="17">
        <v>0</v>
      </c>
      <c r="AY54" s="17">
        <v>0</v>
      </c>
      <c r="AZ54" s="17">
        <v>1</v>
      </c>
      <c r="BA54" s="17">
        <v>1</v>
      </c>
      <c r="BB54" s="17">
        <v>0</v>
      </c>
      <c r="BC54" s="17">
        <v>1</v>
      </c>
      <c r="BD54" s="17">
        <v>0</v>
      </c>
      <c r="BE54" s="17">
        <v>1</v>
      </c>
      <c r="BF54" s="17">
        <v>1</v>
      </c>
      <c r="BG54" s="17">
        <v>1</v>
      </c>
      <c r="BH54" s="17">
        <v>1</v>
      </c>
      <c r="BI54" s="17">
        <v>0</v>
      </c>
      <c r="BJ54" s="17">
        <v>1</v>
      </c>
      <c r="BK54" s="17">
        <v>0</v>
      </c>
      <c r="BL54" s="17">
        <v>1</v>
      </c>
      <c r="BM54" s="17">
        <v>0</v>
      </c>
      <c r="BN54" s="17">
        <v>0</v>
      </c>
      <c r="BO54" s="17">
        <v>1</v>
      </c>
      <c r="BP54" s="17">
        <v>0</v>
      </c>
      <c r="BQ54" s="17">
        <v>0</v>
      </c>
      <c r="BR54" s="17">
        <v>1</v>
      </c>
      <c r="BS54" s="17" t="e">
        <v>#N/A</v>
      </c>
      <c r="BT54" s="17" t="e">
        <v>#N/A</v>
      </c>
      <c r="BU54" s="17" t="e">
        <v>#N/A</v>
      </c>
      <c r="BV54" s="17" t="e">
        <v>#N/A</v>
      </c>
      <c r="BW54" s="17" t="e">
        <v>#N/A</v>
      </c>
      <c r="BX54" s="17" t="e">
        <v>#N/A</v>
      </c>
      <c r="BY54" s="17" t="e">
        <v>#N/A</v>
      </c>
      <c r="BZ54" s="17" t="e">
        <v>#N/A</v>
      </c>
      <c r="CA54" s="17" t="e">
        <v>#N/A</v>
      </c>
      <c r="CB54" s="17" t="e">
        <v>#N/A</v>
      </c>
      <c r="CC54" s="17" t="e">
        <v>#N/A</v>
      </c>
      <c r="CD54" s="17" t="e">
        <v>#N/A</v>
      </c>
      <c r="CE54" s="17" t="e">
        <v>#N/A</v>
      </c>
      <c r="CF54" s="17" t="e">
        <v>#N/A</v>
      </c>
      <c r="CG54" s="17" t="e">
        <v>#N/A</v>
      </c>
      <c r="CH54" s="17" t="e">
        <v>#N/A</v>
      </c>
      <c r="CI54" s="17" t="e">
        <v>#N/A</v>
      </c>
      <c r="CJ54" s="17" t="e">
        <v>#N/A</v>
      </c>
      <c r="CK54" s="17" t="e">
        <v>#N/A</v>
      </c>
      <c r="CL54" s="17" t="e">
        <v>#N/A</v>
      </c>
      <c r="CM54" s="17" t="e">
        <v>#N/A</v>
      </c>
      <c r="CN54" s="17" t="e">
        <v>#N/A</v>
      </c>
      <c r="CO54" s="17" t="e">
        <v>#N/A</v>
      </c>
      <c r="CP54" s="17" t="e">
        <v>#N/A</v>
      </c>
      <c r="CQ54" s="17" t="e">
        <v>#N/A</v>
      </c>
      <c r="CR54" s="17" t="e">
        <v>#N/A</v>
      </c>
      <c r="CS54" s="17" t="e">
        <v>#N/A</v>
      </c>
      <c r="CT54" s="17" t="e">
        <v>#N/A</v>
      </c>
      <c r="CU54" s="17" t="e">
        <v>#N/A</v>
      </c>
      <c r="CV54" s="17" t="e">
        <v>#N/A</v>
      </c>
      <c r="CW54" s="17" t="e">
        <v>#N/A</v>
      </c>
      <c r="CX54" s="17" t="e">
        <v>#N/A</v>
      </c>
      <c r="CY54" s="17" t="e">
        <v>#N/A</v>
      </c>
      <c r="CZ54" s="17" t="e">
        <v>#N/A</v>
      </c>
      <c r="DA54" s="17" t="e">
        <v>#N/A</v>
      </c>
      <c r="DB54" s="17" t="e">
        <v>#N/A</v>
      </c>
      <c r="DC54" s="17" t="e">
        <v>#N/A</v>
      </c>
      <c r="DD54" s="17" t="e">
        <v>#N/A</v>
      </c>
      <c r="DE54" s="17" t="e">
        <v>#N/A</v>
      </c>
      <c r="DF54" s="17" t="e">
        <v>#N/A</v>
      </c>
      <c r="DG54" s="17" t="e">
        <v>#N/A</v>
      </c>
      <c r="DH54" s="17" t="e">
        <v>#N/A</v>
      </c>
      <c r="DI54" s="17" t="e">
        <v>#N/A</v>
      </c>
      <c r="DJ54" s="17" t="e">
        <v>#N/A</v>
      </c>
      <c r="DK54" s="17" t="e">
        <v>#N/A</v>
      </c>
      <c r="DL54" s="17" t="e">
        <v>#N/A</v>
      </c>
      <c r="DM54" s="17" t="e">
        <v>#N/A</v>
      </c>
      <c r="DN54" s="17" t="e">
        <v>#N/A</v>
      </c>
      <c r="DO54" s="17" t="e">
        <v>#N/A</v>
      </c>
      <c r="DP54" s="17" t="e">
        <v>#N/A</v>
      </c>
      <c r="DQ54" s="17" t="e">
        <v>#N/A</v>
      </c>
      <c r="DR54" s="17" t="e">
        <v>#N/A</v>
      </c>
      <c r="DS54" s="17" t="e">
        <v>#N/A</v>
      </c>
      <c r="DT54" s="17" t="e">
        <v>#N/A</v>
      </c>
      <c r="DU54" s="17" t="e">
        <v>#N/A</v>
      </c>
      <c r="DV54" s="17" t="e">
        <v>#N/A</v>
      </c>
      <c r="DW54" s="17" t="e">
        <v>#N/A</v>
      </c>
      <c r="DX54" s="17" t="e">
        <v>#N/A</v>
      </c>
      <c r="DY54" s="17" t="e">
        <v>#N/A</v>
      </c>
      <c r="DZ54" s="17" t="e">
        <v>#N/A</v>
      </c>
      <c r="EA54" s="17" t="e">
        <v>#N/A</v>
      </c>
      <c r="EB54" s="17" t="e">
        <v>#N/A</v>
      </c>
      <c r="EC54" s="17" t="e">
        <v>#N/A</v>
      </c>
      <c r="ED54" s="17" t="e">
        <v>#N/A</v>
      </c>
      <c r="EE54" s="17" t="e">
        <v>#N/A</v>
      </c>
      <c r="EF54" s="17" t="e">
        <v>#N/A</v>
      </c>
      <c r="EG54" s="17" t="e">
        <v>#N/A</v>
      </c>
      <c r="EH54" s="17" t="e">
        <v>#N/A</v>
      </c>
      <c r="EI54" s="17" t="e">
        <v>#N/A</v>
      </c>
      <c r="EJ54" s="17" t="e">
        <v>#N/A</v>
      </c>
      <c r="EK54" s="17" t="e">
        <v>#N/A</v>
      </c>
      <c r="EL54" s="17" t="e">
        <v>#N/A</v>
      </c>
      <c r="EM54" s="17" t="e">
        <v>#N/A</v>
      </c>
      <c r="EN54" s="17" t="e">
        <v>#N/A</v>
      </c>
      <c r="EO54" s="17" t="e">
        <v>#N/A</v>
      </c>
      <c r="EP54" s="17" t="e">
        <v>#N/A</v>
      </c>
      <c r="EQ54" s="17" t="e">
        <v>#N/A</v>
      </c>
      <c r="ER54" s="17" t="e">
        <v>#N/A</v>
      </c>
      <c r="ES54" s="17" t="e">
        <v>#N/A</v>
      </c>
      <c r="ET54" s="17" t="e">
        <v>#N/A</v>
      </c>
      <c r="EU54" s="17" t="e">
        <v>#N/A</v>
      </c>
      <c r="EV54" s="17" t="e">
        <v>#N/A</v>
      </c>
      <c r="EW54" s="17" t="e">
        <v>#N/A</v>
      </c>
      <c r="EX54" s="17" t="e">
        <v>#N/A</v>
      </c>
      <c r="EY54" s="17" t="e">
        <v>#N/A</v>
      </c>
      <c r="EZ54" s="17" t="e">
        <v>#N/A</v>
      </c>
      <c r="FA54" s="17" t="e">
        <v>#N/A</v>
      </c>
      <c r="FB54" s="17" t="e">
        <v>#N/A</v>
      </c>
      <c r="FC54" s="17" t="e">
        <v>#N/A</v>
      </c>
      <c r="FD54" s="17" t="e">
        <v>#N/A</v>
      </c>
      <c r="FE54" s="17" t="e">
        <v>#N/A</v>
      </c>
      <c r="FF54" s="17" t="e">
        <v>#N/A</v>
      </c>
      <c r="FG54" s="17" t="e">
        <v>#N/A</v>
      </c>
      <c r="FH54" s="17" t="e">
        <v>#N/A</v>
      </c>
      <c r="FI54" s="17" t="e">
        <v>#N/A</v>
      </c>
      <c r="FJ54" s="17" t="e">
        <v>#N/A</v>
      </c>
      <c r="FK54" s="17" t="e">
        <v>#N/A</v>
      </c>
      <c r="FL54" s="17" t="e">
        <v>#N/A</v>
      </c>
      <c r="FM54" s="17" t="e">
        <v>#N/A</v>
      </c>
      <c r="FN54" s="17" t="e">
        <v>#N/A</v>
      </c>
      <c r="FO54" s="17" t="e">
        <v>#N/A</v>
      </c>
      <c r="FP54" s="17" t="e">
        <v>#N/A</v>
      </c>
      <c r="FQ54" s="17" t="e">
        <v>#N/A</v>
      </c>
      <c r="FR54" s="17" t="e">
        <v>#N/A</v>
      </c>
      <c r="FS54" s="17" t="e">
        <v>#N/A</v>
      </c>
      <c r="FT54" s="17" t="e">
        <v>#N/A</v>
      </c>
      <c r="FU54" s="17" t="e">
        <v>#N/A</v>
      </c>
      <c r="FV54" s="17" t="e">
        <v>#N/A</v>
      </c>
    </row>
    <row r="55" spans="2:178" ht="11.25" customHeight="1">
      <c r="B55" s="17">
        <v>1</v>
      </c>
      <c r="C55" s="17">
        <v>1</v>
      </c>
      <c r="D55" s="17">
        <v>0</v>
      </c>
      <c r="E55" s="17">
        <v>1</v>
      </c>
      <c r="F55" s="17">
        <v>0</v>
      </c>
      <c r="G55" s="17">
        <v>1</v>
      </c>
      <c r="H55" s="17">
        <v>0</v>
      </c>
      <c r="I55" s="17">
        <v>0</v>
      </c>
      <c r="J55" s="17">
        <v>0</v>
      </c>
      <c r="K55" s="17">
        <v>0</v>
      </c>
      <c r="L55" s="17">
        <v>0</v>
      </c>
      <c r="M55" s="17">
        <v>1</v>
      </c>
      <c r="N55" s="17">
        <v>1</v>
      </c>
      <c r="O55" s="17">
        <v>1</v>
      </c>
      <c r="P55" s="17">
        <v>0</v>
      </c>
      <c r="Q55" s="17">
        <v>1</v>
      </c>
      <c r="R55" s="17">
        <v>1</v>
      </c>
      <c r="S55" s="17">
        <v>0</v>
      </c>
      <c r="T55" s="17">
        <v>0</v>
      </c>
      <c r="U55" s="17">
        <v>0</v>
      </c>
      <c r="V55" s="17">
        <v>0</v>
      </c>
      <c r="W55" s="17">
        <v>1</v>
      </c>
      <c r="X55" s="17">
        <v>1</v>
      </c>
      <c r="Y55" s="17">
        <v>1</v>
      </c>
      <c r="Z55" s="17">
        <v>0</v>
      </c>
      <c r="AA55" s="17">
        <v>1</v>
      </c>
      <c r="AB55" s="17">
        <v>1</v>
      </c>
      <c r="AC55" s="17">
        <v>0</v>
      </c>
      <c r="AD55" s="17">
        <v>1</v>
      </c>
      <c r="AE55" s="17">
        <v>0</v>
      </c>
      <c r="AF55" s="17">
        <v>0</v>
      </c>
      <c r="AG55" s="17">
        <v>1</v>
      </c>
      <c r="AH55" s="17">
        <v>0</v>
      </c>
      <c r="AI55" s="17">
        <v>1</v>
      </c>
      <c r="AJ55" s="17">
        <v>1</v>
      </c>
      <c r="AK55" s="17">
        <v>0</v>
      </c>
      <c r="AL55" s="17">
        <v>0</v>
      </c>
      <c r="AM55" s="17">
        <v>0</v>
      </c>
      <c r="AN55" s="17">
        <v>1</v>
      </c>
      <c r="AO55" s="17">
        <v>0</v>
      </c>
      <c r="AP55" s="17">
        <v>0</v>
      </c>
      <c r="AQ55" s="17">
        <v>1</v>
      </c>
      <c r="AR55" s="17">
        <v>1</v>
      </c>
      <c r="AS55" s="17">
        <v>0</v>
      </c>
      <c r="AT55" s="17">
        <v>0</v>
      </c>
      <c r="AU55" s="17">
        <v>0</v>
      </c>
      <c r="AV55" s="17">
        <v>1</v>
      </c>
      <c r="AW55" s="17">
        <v>0</v>
      </c>
      <c r="AX55" s="17">
        <v>0</v>
      </c>
      <c r="AY55" s="17">
        <v>1</v>
      </c>
      <c r="AZ55" s="17">
        <v>1</v>
      </c>
      <c r="BA55" s="17">
        <v>0</v>
      </c>
      <c r="BB55" s="17">
        <v>0</v>
      </c>
      <c r="BC55" s="17">
        <v>0</v>
      </c>
      <c r="BD55" s="17">
        <v>0</v>
      </c>
      <c r="BE55" s="17">
        <v>0</v>
      </c>
      <c r="BF55" s="17">
        <v>1</v>
      </c>
      <c r="BG55" s="17">
        <v>0</v>
      </c>
      <c r="BH55" s="17">
        <v>0</v>
      </c>
      <c r="BI55" s="17">
        <v>0</v>
      </c>
      <c r="BJ55" s="17">
        <v>0</v>
      </c>
      <c r="BK55" s="17">
        <v>1</v>
      </c>
      <c r="BL55" s="17">
        <v>0</v>
      </c>
      <c r="BM55" s="17">
        <v>1</v>
      </c>
      <c r="BN55" s="17">
        <v>0</v>
      </c>
      <c r="BO55" s="17">
        <v>1</v>
      </c>
      <c r="BP55" s="17">
        <v>0</v>
      </c>
      <c r="BQ55" s="17">
        <v>0</v>
      </c>
      <c r="BR55" s="17">
        <v>0</v>
      </c>
      <c r="BS55" s="17" t="e">
        <v>#N/A</v>
      </c>
      <c r="BT55" s="17" t="e">
        <v>#N/A</v>
      </c>
      <c r="BU55" s="17" t="e">
        <v>#N/A</v>
      </c>
      <c r="BV55" s="17" t="e">
        <v>#N/A</v>
      </c>
      <c r="BW55" s="17" t="e">
        <v>#N/A</v>
      </c>
      <c r="BX55" s="17" t="e">
        <v>#N/A</v>
      </c>
      <c r="BY55" s="17" t="e">
        <v>#N/A</v>
      </c>
      <c r="BZ55" s="17" t="e">
        <v>#N/A</v>
      </c>
      <c r="CA55" s="17" t="e">
        <v>#N/A</v>
      </c>
      <c r="CB55" s="17" t="e">
        <v>#N/A</v>
      </c>
      <c r="CC55" s="17" t="e">
        <v>#N/A</v>
      </c>
      <c r="CD55" s="17" t="e">
        <v>#N/A</v>
      </c>
      <c r="CE55" s="17" t="e">
        <v>#N/A</v>
      </c>
      <c r="CF55" s="17" t="e">
        <v>#N/A</v>
      </c>
      <c r="CG55" s="17" t="e">
        <v>#N/A</v>
      </c>
      <c r="CH55" s="17" t="e">
        <v>#N/A</v>
      </c>
      <c r="CI55" s="17" t="e">
        <v>#N/A</v>
      </c>
      <c r="CJ55" s="17" t="e">
        <v>#N/A</v>
      </c>
      <c r="CK55" s="17" t="e">
        <v>#N/A</v>
      </c>
      <c r="CL55" s="17" t="e">
        <v>#N/A</v>
      </c>
      <c r="CM55" s="17" t="e">
        <v>#N/A</v>
      </c>
      <c r="CN55" s="17" t="e">
        <v>#N/A</v>
      </c>
      <c r="CO55" s="17" t="e">
        <v>#N/A</v>
      </c>
      <c r="CP55" s="17" t="e">
        <v>#N/A</v>
      </c>
      <c r="CQ55" s="17" t="e">
        <v>#N/A</v>
      </c>
      <c r="CR55" s="17" t="e">
        <v>#N/A</v>
      </c>
      <c r="CS55" s="17" t="e">
        <v>#N/A</v>
      </c>
      <c r="CT55" s="17" t="e">
        <v>#N/A</v>
      </c>
      <c r="CU55" s="17" t="e">
        <v>#N/A</v>
      </c>
      <c r="CV55" s="17" t="e">
        <v>#N/A</v>
      </c>
      <c r="CW55" s="17" t="e">
        <v>#N/A</v>
      </c>
      <c r="CX55" s="17" t="e">
        <v>#N/A</v>
      </c>
      <c r="CY55" s="17" t="e">
        <v>#N/A</v>
      </c>
      <c r="CZ55" s="17" t="e">
        <v>#N/A</v>
      </c>
      <c r="DA55" s="17" t="e">
        <v>#N/A</v>
      </c>
      <c r="DB55" s="17" t="e">
        <v>#N/A</v>
      </c>
      <c r="DC55" s="17" t="e">
        <v>#N/A</v>
      </c>
      <c r="DD55" s="17" t="e">
        <v>#N/A</v>
      </c>
      <c r="DE55" s="17" t="e">
        <v>#N/A</v>
      </c>
      <c r="DF55" s="17" t="e">
        <v>#N/A</v>
      </c>
      <c r="DG55" s="17" t="e">
        <v>#N/A</v>
      </c>
      <c r="DH55" s="17" t="e">
        <v>#N/A</v>
      </c>
      <c r="DI55" s="17" t="e">
        <v>#N/A</v>
      </c>
      <c r="DJ55" s="17" t="e">
        <v>#N/A</v>
      </c>
      <c r="DK55" s="17" t="e">
        <v>#N/A</v>
      </c>
      <c r="DL55" s="17" t="e">
        <v>#N/A</v>
      </c>
      <c r="DM55" s="17" t="e">
        <v>#N/A</v>
      </c>
      <c r="DN55" s="17" t="e">
        <v>#N/A</v>
      </c>
      <c r="DO55" s="17" t="e">
        <v>#N/A</v>
      </c>
      <c r="DP55" s="17" t="e">
        <v>#N/A</v>
      </c>
      <c r="DQ55" s="17" t="e">
        <v>#N/A</v>
      </c>
      <c r="DR55" s="17" t="e">
        <v>#N/A</v>
      </c>
      <c r="DS55" s="17" t="e">
        <v>#N/A</v>
      </c>
      <c r="DT55" s="17" t="e">
        <v>#N/A</v>
      </c>
      <c r="DU55" s="17" t="e">
        <v>#N/A</v>
      </c>
      <c r="DV55" s="17" t="e">
        <v>#N/A</v>
      </c>
      <c r="DW55" s="17" t="e">
        <v>#N/A</v>
      </c>
      <c r="DX55" s="17" t="e">
        <v>#N/A</v>
      </c>
      <c r="DY55" s="17" t="e">
        <v>#N/A</v>
      </c>
      <c r="DZ55" s="17" t="e">
        <v>#N/A</v>
      </c>
      <c r="EA55" s="17" t="e">
        <v>#N/A</v>
      </c>
      <c r="EB55" s="17" t="e">
        <v>#N/A</v>
      </c>
      <c r="EC55" s="17" t="e">
        <v>#N/A</v>
      </c>
      <c r="ED55" s="17" t="e">
        <v>#N/A</v>
      </c>
      <c r="EE55" s="17" t="e">
        <v>#N/A</v>
      </c>
      <c r="EF55" s="17" t="e">
        <v>#N/A</v>
      </c>
      <c r="EG55" s="17" t="e">
        <v>#N/A</v>
      </c>
      <c r="EH55" s="17" t="e">
        <v>#N/A</v>
      </c>
      <c r="EI55" s="17" t="e">
        <v>#N/A</v>
      </c>
      <c r="EJ55" s="17" t="e">
        <v>#N/A</v>
      </c>
      <c r="EK55" s="17" t="e">
        <v>#N/A</v>
      </c>
      <c r="EL55" s="17" t="e">
        <v>#N/A</v>
      </c>
      <c r="EM55" s="17" t="e">
        <v>#N/A</v>
      </c>
      <c r="EN55" s="17" t="e">
        <v>#N/A</v>
      </c>
      <c r="EO55" s="17" t="e">
        <v>#N/A</v>
      </c>
      <c r="EP55" s="17" t="e">
        <v>#N/A</v>
      </c>
      <c r="EQ55" s="17" t="e">
        <v>#N/A</v>
      </c>
      <c r="ER55" s="17" t="e">
        <v>#N/A</v>
      </c>
      <c r="ES55" s="17" t="e">
        <v>#N/A</v>
      </c>
      <c r="ET55" s="17" t="e">
        <v>#N/A</v>
      </c>
      <c r="EU55" s="17" t="e">
        <v>#N/A</v>
      </c>
      <c r="EV55" s="17" t="e">
        <v>#N/A</v>
      </c>
      <c r="EW55" s="17" t="e">
        <v>#N/A</v>
      </c>
      <c r="EX55" s="17" t="e">
        <v>#N/A</v>
      </c>
      <c r="EY55" s="17" t="e">
        <v>#N/A</v>
      </c>
      <c r="EZ55" s="17" t="e">
        <v>#N/A</v>
      </c>
      <c r="FA55" s="17" t="e">
        <v>#N/A</v>
      </c>
      <c r="FB55" s="17" t="e">
        <v>#N/A</v>
      </c>
      <c r="FC55" s="17" t="e">
        <v>#N/A</v>
      </c>
      <c r="FD55" s="17" t="e">
        <v>#N/A</v>
      </c>
      <c r="FE55" s="17" t="e">
        <v>#N/A</v>
      </c>
      <c r="FF55" s="17" t="e">
        <v>#N/A</v>
      </c>
      <c r="FG55" s="17" t="e">
        <v>#N/A</v>
      </c>
      <c r="FH55" s="17" t="e">
        <v>#N/A</v>
      </c>
      <c r="FI55" s="17" t="e">
        <v>#N/A</v>
      </c>
      <c r="FJ55" s="17" t="e">
        <v>#N/A</v>
      </c>
      <c r="FK55" s="17" t="e">
        <v>#N/A</v>
      </c>
      <c r="FL55" s="17" t="e">
        <v>#N/A</v>
      </c>
      <c r="FM55" s="17" t="e">
        <v>#N/A</v>
      </c>
      <c r="FN55" s="17" t="e">
        <v>#N/A</v>
      </c>
      <c r="FO55" s="17" t="e">
        <v>#N/A</v>
      </c>
      <c r="FP55" s="17" t="e">
        <v>#N/A</v>
      </c>
      <c r="FQ55" s="17" t="e">
        <v>#N/A</v>
      </c>
      <c r="FR55" s="17" t="e">
        <v>#N/A</v>
      </c>
      <c r="FS55" s="17" t="e">
        <v>#N/A</v>
      </c>
      <c r="FT55" s="17" t="e">
        <v>#N/A</v>
      </c>
      <c r="FU55" s="17" t="e">
        <v>#N/A</v>
      </c>
      <c r="FV55" s="17" t="e">
        <v>#N/A</v>
      </c>
    </row>
    <row r="56" spans="2:178" ht="11.25" customHeight="1">
      <c r="B56" s="17">
        <v>1</v>
      </c>
      <c r="C56" s="17">
        <v>0</v>
      </c>
      <c r="D56" s="17">
        <v>1</v>
      </c>
      <c r="E56" s="17">
        <v>1</v>
      </c>
      <c r="F56" s="17">
        <v>0</v>
      </c>
      <c r="G56" s="17">
        <v>1</v>
      </c>
      <c r="H56" s="17">
        <v>1</v>
      </c>
      <c r="I56" s="17">
        <v>0</v>
      </c>
      <c r="J56" s="17">
        <v>1</v>
      </c>
      <c r="K56" s="17">
        <v>0</v>
      </c>
      <c r="L56" s="17">
        <v>1</v>
      </c>
      <c r="M56" s="17">
        <v>0</v>
      </c>
      <c r="N56" s="17">
        <v>1</v>
      </c>
      <c r="O56" s="17">
        <v>1</v>
      </c>
      <c r="P56" s="17">
        <v>1</v>
      </c>
      <c r="Q56" s="17">
        <v>1</v>
      </c>
      <c r="R56" s="17">
        <v>1</v>
      </c>
      <c r="S56" s="17">
        <v>0</v>
      </c>
      <c r="T56" s="17">
        <v>0</v>
      </c>
      <c r="U56" s="17">
        <v>0</v>
      </c>
      <c r="V56" s="17">
        <v>1</v>
      </c>
      <c r="W56" s="17">
        <v>0</v>
      </c>
      <c r="X56" s="17">
        <v>1</v>
      </c>
      <c r="Y56" s="17">
        <v>0</v>
      </c>
      <c r="Z56" s="17">
        <v>0</v>
      </c>
      <c r="AA56" s="17">
        <v>1</v>
      </c>
      <c r="AB56" s="17">
        <v>1</v>
      </c>
      <c r="AC56" s="17">
        <v>0</v>
      </c>
      <c r="AD56" s="17">
        <v>1</v>
      </c>
      <c r="AE56" s="17">
        <v>1</v>
      </c>
      <c r="AF56" s="17">
        <v>1</v>
      </c>
      <c r="AG56" s="17">
        <v>1</v>
      </c>
      <c r="AH56" s="17">
        <v>1</v>
      </c>
      <c r="AI56" s="17">
        <v>1</v>
      </c>
      <c r="AJ56" s="17">
        <v>1</v>
      </c>
      <c r="AK56" s="17">
        <v>0</v>
      </c>
      <c r="AL56" s="17">
        <v>1</v>
      </c>
      <c r="AM56" s="17">
        <v>1</v>
      </c>
      <c r="AN56" s="17">
        <v>0</v>
      </c>
      <c r="AO56" s="17">
        <v>0</v>
      </c>
      <c r="AP56" s="17">
        <v>0</v>
      </c>
      <c r="AQ56" s="17">
        <v>1</v>
      </c>
      <c r="AR56" s="17">
        <v>1</v>
      </c>
      <c r="AS56" s="17">
        <v>1</v>
      </c>
      <c r="AT56" s="17">
        <v>1</v>
      </c>
      <c r="AU56" s="17">
        <v>0</v>
      </c>
      <c r="AV56" s="17">
        <v>0</v>
      </c>
      <c r="AW56" s="17">
        <v>1</v>
      </c>
      <c r="AX56" s="17">
        <v>1</v>
      </c>
      <c r="AY56" s="17">
        <v>1</v>
      </c>
      <c r="AZ56" s="17">
        <v>1</v>
      </c>
      <c r="BA56" s="17">
        <v>0</v>
      </c>
      <c r="BB56" s="17">
        <v>1</v>
      </c>
      <c r="BC56" s="17">
        <v>0</v>
      </c>
      <c r="BD56" s="17">
        <v>0</v>
      </c>
      <c r="BE56" s="17">
        <v>0</v>
      </c>
      <c r="BF56" s="17">
        <v>1</v>
      </c>
      <c r="BG56" s="17">
        <v>0</v>
      </c>
      <c r="BH56" s="17">
        <v>0</v>
      </c>
      <c r="BI56" s="17">
        <v>1</v>
      </c>
      <c r="BJ56" s="17">
        <v>1</v>
      </c>
      <c r="BK56" s="17">
        <v>0</v>
      </c>
      <c r="BL56" s="17">
        <v>0</v>
      </c>
      <c r="BM56" s="17">
        <v>0</v>
      </c>
      <c r="BN56" s="17">
        <v>0</v>
      </c>
      <c r="BO56" s="17">
        <v>0</v>
      </c>
      <c r="BP56" s="17">
        <v>0</v>
      </c>
      <c r="BQ56" s="17">
        <v>0</v>
      </c>
      <c r="BR56" s="17">
        <v>0</v>
      </c>
      <c r="BS56" s="17" t="e">
        <v>#N/A</v>
      </c>
      <c r="BT56" s="17" t="e">
        <v>#N/A</v>
      </c>
      <c r="BU56" s="17" t="e">
        <v>#N/A</v>
      </c>
      <c r="BV56" s="17" t="e">
        <v>#N/A</v>
      </c>
      <c r="BW56" s="17" t="e">
        <v>#N/A</v>
      </c>
      <c r="BX56" s="17" t="e">
        <v>#N/A</v>
      </c>
      <c r="BY56" s="17" t="e">
        <v>#N/A</v>
      </c>
      <c r="BZ56" s="17" t="e">
        <v>#N/A</v>
      </c>
      <c r="CA56" s="17" t="e">
        <v>#N/A</v>
      </c>
      <c r="CB56" s="17" t="e">
        <v>#N/A</v>
      </c>
      <c r="CC56" s="17" t="e">
        <v>#N/A</v>
      </c>
      <c r="CD56" s="17" t="e">
        <v>#N/A</v>
      </c>
      <c r="CE56" s="17" t="e">
        <v>#N/A</v>
      </c>
      <c r="CF56" s="17" t="e">
        <v>#N/A</v>
      </c>
      <c r="CG56" s="17" t="e">
        <v>#N/A</v>
      </c>
      <c r="CH56" s="17" t="e">
        <v>#N/A</v>
      </c>
      <c r="CI56" s="17" t="e">
        <v>#N/A</v>
      </c>
      <c r="CJ56" s="17" t="e">
        <v>#N/A</v>
      </c>
      <c r="CK56" s="17" t="e">
        <v>#N/A</v>
      </c>
      <c r="CL56" s="17" t="e">
        <v>#N/A</v>
      </c>
      <c r="CM56" s="17" t="e">
        <v>#N/A</v>
      </c>
      <c r="CN56" s="17" t="e">
        <v>#N/A</v>
      </c>
      <c r="CO56" s="17" t="e">
        <v>#N/A</v>
      </c>
      <c r="CP56" s="17" t="e">
        <v>#N/A</v>
      </c>
      <c r="CQ56" s="17" t="e">
        <v>#N/A</v>
      </c>
      <c r="CR56" s="17" t="e">
        <v>#N/A</v>
      </c>
      <c r="CS56" s="17" t="e">
        <v>#N/A</v>
      </c>
      <c r="CT56" s="17" t="e">
        <v>#N/A</v>
      </c>
      <c r="CU56" s="17" t="e">
        <v>#N/A</v>
      </c>
      <c r="CV56" s="17" t="e">
        <v>#N/A</v>
      </c>
      <c r="CW56" s="17" t="e">
        <v>#N/A</v>
      </c>
      <c r="CX56" s="17" t="e">
        <v>#N/A</v>
      </c>
      <c r="CY56" s="17" t="e">
        <v>#N/A</v>
      </c>
      <c r="CZ56" s="17" t="e">
        <v>#N/A</v>
      </c>
      <c r="DA56" s="17" t="e">
        <v>#N/A</v>
      </c>
      <c r="DB56" s="17" t="e">
        <v>#N/A</v>
      </c>
      <c r="DC56" s="17" t="e">
        <v>#N/A</v>
      </c>
      <c r="DD56" s="17" t="e">
        <v>#N/A</v>
      </c>
      <c r="DE56" s="17" t="e">
        <v>#N/A</v>
      </c>
      <c r="DF56" s="17" t="e">
        <v>#N/A</v>
      </c>
      <c r="DG56" s="17" t="e">
        <v>#N/A</v>
      </c>
      <c r="DH56" s="17" t="e">
        <v>#N/A</v>
      </c>
      <c r="DI56" s="17" t="e">
        <v>#N/A</v>
      </c>
      <c r="DJ56" s="17" t="e">
        <v>#N/A</v>
      </c>
      <c r="DK56" s="17" t="e">
        <v>#N/A</v>
      </c>
      <c r="DL56" s="17" t="e">
        <v>#N/A</v>
      </c>
      <c r="DM56" s="17" t="e">
        <v>#N/A</v>
      </c>
      <c r="DN56" s="17" t="e">
        <v>#N/A</v>
      </c>
      <c r="DO56" s="17" t="e">
        <v>#N/A</v>
      </c>
      <c r="DP56" s="17" t="e">
        <v>#N/A</v>
      </c>
      <c r="DQ56" s="17" t="e">
        <v>#N/A</v>
      </c>
      <c r="DR56" s="17" t="e">
        <v>#N/A</v>
      </c>
      <c r="DS56" s="17" t="e">
        <v>#N/A</v>
      </c>
      <c r="DT56" s="17" t="e">
        <v>#N/A</v>
      </c>
      <c r="DU56" s="17" t="e">
        <v>#N/A</v>
      </c>
      <c r="DV56" s="17" t="e">
        <v>#N/A</v>
      </c>
      <c r="DW56" s="17" t="e">
        <v>#N/A</v>
      </c>
      <c r="DX56" s="17" t="e">
        <v>#N/A</v>
      </c>
      <c r="DY56" s="17" t="e">
        <v>#N/A</v>
      </c>
      <c r="DZ56" s="17" t="e">
        <v>#N/A</v>
      </c>
      <c r="EA56" s="17" t="e">
        <v>#N/A</v>
      </c>
      <c r="EB56" s="17" t="e">
        <v>#N/A</v>
      </c>
      <c r="EC56" s="17" t="e">
        <v>#N/A</v>
      </c>
      <c r="ED56" s="17" t="e">
        <v>#N/A</v>
      </c>
      <c r="EE56" s="17" t="e">
        <v>#N/A</v>
      </c>
      <c r="EF56" s="17" t="e">
        <v>#N/A</v>
      </c>
      <c r="EG56" s="17" t="e">
        <v>#N/A</v>
      </c>
      <c r="EH56" s="17" t="e">
        <v>#N/A</v>
      </c>
      <c r="EI56" s="17" t="e">
        <v>#N/A</v>
      </c>
      <c r="EJ56" s="17" t="e">
        <v>#N/A</v>
      </c>
      <c r="EK56" s="17" t="e">
        <v>#N/A</v>
      </c>
      <c r="EL56" s="17" t="e">
        <v>#N/A</v>
      </c>
      <c r="EM56" s="17" t="e">
        <v>#N/A</v>
      </c>
      <c r="EN56" s="17" t="e">
        <v>#N/A</v>
      </c>
      <c r="EO56" s="17" t="e">
        <v>#N/A</v>
      </c>
      <c r="EP56" s="17" t="e">
        <v>#N/A</v>
      </c>
      <c r="EQ56" s="17" t="e">
        <v>#N/A</v>
      </c>
      <c r="ER56" s="17" t="e">
        <v>#N/A</v>
      </c>
      <c r="ES56" s="17" t="e">
        <v>#N/A</v>
      </c>
      <c r="ET56" s="17" t="e">
        <v>#N/A</v>
      </c>
      <c r="EU56" s="17" t="e">
        <v>#N/A</v>
      </c>
      <c r="EV56" s="17" t="e">
        <v>#N/A</v>
      </c>
      <c r="EW56" s="17" t="e">
        <v>#N/A</v>
      </c>
      <c r="EX56" s="17" t="e">
        <v>#N/A</v>
      </c>
      <c r="EY56" s="17" t="e">
        <v>#N/A</v>
      </c>
      <c r="EZ56" s="17" t="e">
        <v>#N/A</v>
      </c>
      <c r="FA56" s="17" t="e">
        <v>#N/A</v>
      </c>
      <c r="FB56" s="17" t="e">
        <v>#N/A</v>
      </c>
      <c r="FC56" s="17" t="e">
        <v>#N/A</v>
      </c>
      <c r="FD56" s="17" t="e">
        <v>#N/A</v>
      </c>
      <c r="FE56" s="17" t="e">
        <v>#N/A</v>
      </c>
      <c r="FF56" s="17" t="e">
        <v>#N/A</v>
      </c>
      <c r="FG56" s="17" t="e">
        <v>#N/A</v>
      </c>
      <c r="FH56" s="17" t="e">
        <v>#N/A</v>
      </c>
      <c r="FI56" s="17" t="e">
        <v>#N/A</v>
      </c>
      <c r="FJ56" s="17" t="e">
        <v>#N/A</v>
      </c>
      <c r="FK56" s="17" t="e">
        <v>#N/A</v>
      </c>
      <c r="FL56" s="17" t="e">
        <v>#N/A</v>
      </c>
      <c r="FM56" s="17" t="e">
        <v>#N/A</v>
      </c>
      <c r="FN56" s="17" t="e">
        <v>#N/A</v>
      </c>
      <c r="FO56" s="17" t="e">
        <v>#N/A</v>
      </c>
      <c r="FP56" s="17" t="e">
        <v>#N/A</v>
      </c>
      <c r="FQ56" s="17" t="e">
        <v>#N/A</v>
      </c>
      <c r="FR56" s="17" t="e">
        <v>#N/A</v>
      </c>
      <c r="FS56" s="17" t="e">
        <v>#N/A</v>
      </c>
      <c r="FT56" s="17" t="e">
        <v>#N/A</v>
      </c>
      <c r="FU56" s="17" t="e">
        <v>#N/A</v>
      </c>
      <c r="FV56" s="17" t="e">
        <v>#N/A</v>
      </c>
    </row>
    <row r="57" spans="2:178" ht="11.25" customHeight="1">
      <c r="B57" s="17">
        <v>0</v>
      </c>
      <c r="C57" s="17">
        <v>0</v>
      </c>
      <c r="D57" s="17">
        <v>0</v>
      </c>
      <c r="E57" s="17">
        <v>0</v>
      </c>
      <c r="F57" s="17">
        <v>0</v>
      </c>
      <c r="G57" s="17">
        <v>0</v>
      </c>
      <c r="H57" s="17">
        <v>0</v>
      </c>
      <c r="I57" s="17">
        <v>0</v>
      </c>
      <c r="J57" s="17">
        <v>1</v>
      </c>
      <c r="K57" s="17">
        <v>0</v>
      </c>
      <c r="L57" s="17">
        <v>0</v>
      </c>
      <c r="M57" s="17">
        <v>1</v>
      </c>
      <c r="N57" s="17">
        <v>1</v>
      </c>
      <c r="O57" s="17">
        <v>0</v>
      </c>
      <c r="P57" s="17">
        <v>1</v>
      </c>
      <c r="Q57" s="17">
        <v>1</v>
      </c>
      <c r="R57" s="17">
        <v>1</v>
      </c>
      <c r="S57" s="17">
        <v>1</v>
      </c>
      <c r="T57" s="17">
        <v>1</v>
      </c>
      <c r="U57" s="17">
        <v>0</v>
      </c>
      <c r="V57" s="17">
        <v>1</v>
      </c>
      <c r="W57" s="17">
        <v>0</v>
      </c>
      <c r="X57" s="17">
        <v>1</v>
      </c>
      <c r="Y57" s="17">
        <v>0</v>
      </c>
      <c r="Z57" s="17">
        <v>1</v>
      </c>
      <c r="AA57" s="17">
        <v>0</v>
      </c>
      <c r="AB57" s="17">
        <v>0</v>
      </c>
      <c r="AC57" s="17">
        <v>1</v>
      </c>
      <c r="AD57" s="17">
        <v>0</v>
      </c>
      <c r="AE57" s="17">
        <v>0</v>
      </c>
      <c r="AF57" s="17">
        <v>0</v>
      </c>
      <c r="AG57" s="17">
        <v>0</v>
      </c>
      <c r="AH57" s="17">
        <v>1</v>
      </c>
      <c r="AI57" s="17">
        <v>1</v>
      </c>
      <c r="AJ57" s="17">
        <v>0</v>
      </c>
      <c r="AK57" s="17">
        <v>0</v>
      </c>
      <c r="AL57" s="17">
        <v>0</v>
      </c>
      <c r="AM57" s="17">
        <v>0</v>
      </c>
      <c r="AN57" s="17">
        <v>0</v>
      </c>
      <c r="AO57" s="17">
        <v>1</v>
      </c>
      <c r="AP57" s="17">
        <v>0</v>
      </c>
      <c r="AQ57" s="17">
        <v>1</v>
      </c>
      <c r="AR57" s="17">
        <v>1</v>
      </c>
      <c r="AS57" s="17">
        <v>0</v>
      </c>
      <c r="AT57" s="17">
        <v>0</v>
      </c>
      <c r="AU57" s="17">
        <v>1</v>
      </c>
      <c r="AV57" s="17">
        <v>0</v>
      </c>
      <c r="AW57" s="17">
        <v>1</v>
      </c>
      <c r="AX57" s="17">
        <v>0</v>
      </c>
      <c r="AY57" s="17">
        <v>0</v>
      </c>
      <c r="AZ57" s="17">
        <v>1</v>
      </c>
      <c r="BA57" s="17">
        <v>0</v>
      </c>
      <c r="BB57" s="17">
        <v>0</v>
      </c>
      <c r="BC57" s="17">
        <v>1</v>
      </c>
      <c r="BD57" s="17">
        <v>0</v>
      </c>
      <c r="BE57" s="17">
        <v>0</v>
      </c>
      <c r="BF57" s="17">
        <v>0</v>
      </c>
      <c r="BG57" s="17">
        <v>0</v>
      </c>
      <c r="BH57" s="17">
        <v>1</v>
      </c>
      <c r="BI57" s="17">
        <v>1</v>
      </c>
      <c r="BJ57" s="17">
        <v>0</v>
      </c>
      <c r="BK57" s="17">
        <v>1</v>
      </c>
      <c r="BL57" s="17">
        <v>0</v>
      </c>
      <c r="BM57" s="17">
        <v>0</v>
      </c>
      <c r="BN57" s="17">
        <v>1</v>
      </c>
      <c r="BO57" s="17">
        <v>1</v>
      </c>
      <c r="BP57" s="17">
        <v>0</v>
      </c>
      <c r="BQ57" s="17">
        <v>0</v>
      </c>
      <c r="BR57" s="17">
        <v>0</v>
      </c>
      <c r="BS57" s="17" t="e">
        <v>#N/A</v>
      </c>
      <c r="BT57" s="17" t="e">
        <v>#N/A</v>
      </c>
      <c r="BU57" s="17" t="e">
        <v>#N/A</v>
      </c>
      <c r="BV57" s="17" t="e">
        <v>#N/A</v>
      </c>
      <c r="BW57" s="17" t="e">
        <v>#N/A</v>
      </c>
      <c r="BX57" s="17" t="e">
        <v>#N/A</v>
      </c>
      <c r="BY57" s="17" t="e">
        <v>#N/A</v>
      </c>
      <c r="BZ57" s="17" t="e">
        <v>#N/A</v>
      </c>
      <c r="CA57" s="17" t="e">
        <v>#N/A</v>
      </c>
      <c r="CB57" s="17" t="e">
        <v>#N/A</v>
      </c>
      <c r="CC57" s="17" t="e">
        <v>#N/A</v>
      </c>
      <c r="CD57" s="17" t="e">
        <v>#N/A</v>
      </c>
      <c r="CE57" s="17" t="e">
        <v>#N/A</v>
      </c>
      <c r="CF57" s="17" t="e">
        <v>#N/A</v>
      </c>
      <c r="CG57" s="17" t="e">
        <v>#N/A</v>
      </c>
      <c r="CH57" s="17" t="e">
        <v>#N/A</v>
      </c>
      <c r="CI57" s="17" t="e">
        <v>#N/A</v>
      </c>
      <c r="CJ57" s="17" t="e">
        <v>#N/A</v>
      </c>
      <c r="CK57" s="17" t="e">
        <v>#N/A</v>
      </c>
      <c r="CL57" s="17" t="e">
        <v>#N/A</v>
      </c>
      <c r="CM57" s="17" t="e">
        <v>#N/A</v>
      </c>
      <c r="CN57" s="17" t="e">
        <v>#N/A</v>
      </c>
      <c r="CO57" s="17" t="e">
        <v>#N/A</v>
      </c>
      <c r="CP57" s="17" t="e">
        <v>#N/A</v>
      </c>
      <c r="CQ57" s="17" t="e">
        <v>#N/A</v>
      </c>
      <c r="CR57" s="17" t="e">
        <v>#N/A</v>
      </c>
      <c r="CS57" s="17" t="e">
        <v>#N/A</v>
      </c>
      <c r="CT57" s="17" t="e">
        <v>#N/A</v>
      </c>
      <c r="CU57" s="17" t="e">
        <v>#N/A</v>
      </c>
      <c r="CV57" s="17" t="e">
        <v>#N/A</v>
      </c>
      <c r="CW57" s="17" t="e">
        <v>#N/A</v>
      </c>
      <c r="CX57" s="17" t="e">
        <v>#N/A</v>
      </c>
      <c r="CY57" s="17" t="e">
        <v>#N/A</v>
      </c>
      <c r="CZ57" s="17" t="e">
        <v>#N/A</v>
      </c>
      <c r="DA57" s="17" t="e">
        <v>#N/A</v>
      </c>
      <c r="DB57" s="17" t="e">
        <v>#N/A</v>
      </c>
      <c r="DC57" s="17" t="e">
        <v>#N/A</v>
      </c>
      <c r="DD57" s="17" t="e">
        <v>#N/A</v>
      </c>
      <c r="DE57" s="17" t="e">
        <v>#N/A</v>
      </c>
      <c r="DF57" s="17" t="e">
        <v>#N/A</v>
      </c>
      <c r="DG57" s="17" t="e">
        <v>#N/A</v>
      </c>
      <c r="DH57" s="17" t="e">
        <v>#N/A</v>
      </c>
      <c r="DI57" s="17" t="e">
        <v>#N/A</v>
      </c>
      <c r="DJ57" s="17" t="e">
        <v>#N/A</v>
      </c>
      <c r="DK57" s="17" t="e">
        <v>#N/A</v>
      </c>
      <c r="DL57" s="17" t="e">
        <v>#N/A</v>
      </c>
      <c r="DM57" s="17" t="e">
        <v>#N/A</v>
      </c>
      <c r="DN57" s="17" t="e">
        <v>#N/A</v>
      </c>
      <c r="DO57" s="17" t="e">
        <v>#N/A</v>
      </c>
      <c r="DP57" s="17" t="e">
        <v>#N/A</v>
      </c>
      <c r="DQ57" s="17" t="e">
        <v>#N/A</v>
      </c>
      <c r="DR57" s="17" t="e">
        <v>#N/A</v>
      </c>
      <c r="DS57" s="17" t="e">
        <v>#N/A</v>
      </c>
      <c r="DT57" s="17" t="e">
        <v>#N/A</v>
      </c>
      <c r="DU57" s="17" t="e">
        <v>#N/A</v>
      </c>
      <c r="DV57" s="17" t="e">
        <v>#N/A</v>
      </c>
      <c r="DW57" s="17" t="e">
        <v>#N/A</v>
      </c>
      <c r="DX57" s="17" t="e">
        <v>#N/A</v>
      </c>
      <c r="DY57" s="17" t="e">
        <v>#N/A</v>
      </c>
      <c r="DZ57" s="17" t="e">
        <v>#N/A</v>
      </c>
      <c r="EA57" s="17" t="e">
        <v>#N/A</v>
      </c>
      <c r="EB57" s="17" t="e">
        <v>#N/A</v>
      </c>
      <c r="EC57" s="17" t="e">
        <v>#N/A</v>
      </c>
      <c r="ED57" s="17" t="e">
        <v>#N/A</v>
      </c>
      <c r="EE57" s="17" t="e">
        <v>#N/A</v>
      </c>
      <c r="EF57" s="17" t="e">
        <v>#N/A</v>
      </c>
      <c r="EG57" s="17" t="e">
        <v>#N/A</v>
      </c>
      <c r="EH57" s="17" t="e">
        <v>#N/A</v>
      </c>
      <c r="EI57" s="17" t="e">
        <v>#N/A</v>
      </c>
      <c r="EJ57" s="17" t="e">
        <v>#N/A</v>
      </c>
      <c r="EK57" s="17" t="e">
        <v>#N/A</v>
      </c>
      <c r="EL57" s="17" t="e">
        <v>#N/A</v>
      </c>
      <c r="EM57" s="17" t="e">
        <v>#N/A</v>
      </c>
      <c r="EN57" s="17" t="e">
        <v>#N/A</v>
      </c>
      <c r="EO57" s="17" t="e">
        <v>#N/A</v>
      </c>
      <c r="EP57" s="17" t="e">
        <v>#N/A</v>
      </c>
      <c r="EQ57" s="17" t="e">
        <v>#N/A</v>
      </c>
      <c r="ER57" s="17" t="e">
        <v>#N/A</v>
      </c>
      <c r="ES57" s="17" t="e">
        <v>#N/A</v>
      </c>
      <c r="ET57" s="17" t="e">
        <v>#N/A</v>
      </c>
      <c r="EU57" s="17" t="e">
        <v>#N/A</v>
      </c>
      <c r="EV57" s="17" t="e">
        <v>#N/A</v>
      </c>
      <c r="EW57" s="17" t="e">
        <v>#N/A</v>
      </c>
      <c r="EX57" s="17" t="e">
        <v>#N/A</v>
      </c>
      <c r="EY57" s="17" t="e">
        <v>#N/A</v>
      </c>
      <c r="EZ57" s="17" t="e">
        <v>#N/A</v>
      </c>
      <c r="FA57" s="17" t="e">
        <v>#N/A</v>
      </c>
      <c r="FB57" s="17" t="e">
        <v>#N/A</v>
      </c>
      <c r="FC57" s="17" t="e">
        <v>#N/A</v>
      </c>
      <c r="FD57" s="17" t="e">
        <v>#N/A</v>
      </c>
      <c r="FE57" s="17" t="e">
        <v>#N/A</v>
      </c>
      <c r="FF57" s="17" t="e">
        <v>#N/A</v>
      </c>
      <c r="FG57" s="17" t="e">
        <v>#N/A</v>
      </c>
      <c r="FH57" s="17" t="e">
        <v>#N/A</v>
      </c>
      <c r="FI57" s="17" t="e">
        <v>#N/A</v>
      </c>
      <c r="FJ57" s="17" t="e">
        <v>#N/A</v>
      </c>
      <c r="FK57" s="17" t="e">
        <v>#N/A</v>
      </c>
      <c r="FL57" s="17" t="e">
        <v>#N/A</v>
      </c>
      <c r="FM57" s="17" t="e">
        <v>#N/A</v>
      </c>
      <c r="FN57" s="17" t="e">
        <v>#N/A</v>
      </c>
      <c r="FO57" s="17" t="e">
        <v>#N/A</v>
      </c>
      <c r="FP57" s="17" t="e">
        <v>#N/A</v>
      </c>
      <c r="FQ57" s="17" t="e">
        <v>#N/A</v>
      </c>
      <c r="FR57" s="17" t="e">
        <v>#N/A</v>
      </c>
      <c r="FS57" s="17" t="e">
        <v>#N/A</v>
      </c>
      <c r="FT57" s="17" t="e">
        <v>#N/A</v>
      </c>
      <c r="FU57" s="17" t="e">
        <v>#N/A</v>
      </c>
      <c r="FV57" s="17" t="e">
        <v>#N/A</v>
      </c>
    </row>
    <row r="58" spans="2:178" ht="11.25" customHeight="1">
      <c r="B58" s="17">
        <v>1</v>
      </c>
      <c r="C58" s="17">
        <v>0</v>
      </c>
      <c r="D58" s="17">
        <v>0</v>
      </c>
      <c r="E58" s="17">
        <v>1</v>
      </c>
      <c r="F58" s="17">
        <v>1</v>
      </c>
      <c r="G58" s="17">
        <v>0</v>
      </c>
      <c r="H58" s="17">
        <v>1</v>
      </c>
      <c r="I58" s="17">
        <v>0</v>
      </c>
      <c r="J58" s="17">
        <v>1</v>
      </c>
      <c r="K58" s="17">
        <v>1</v>
      </c>
      <c r="L58" s="17">
        <v>1</v>
      </c>
      <c r="M58" s="17">
        <v>1</v>
      </c>
      <c r="N58" s="17">
        <v>0</v>
      </c>
      <c r="O58" s="17">
        <v>1</v>
      </c>
      <c r="P58" s="17">
        <v>1</v>
      </c>
      <c r="Q58" s="17">
        <v>0</v>
      </c>
      <c r="R58" s="17">
        <v>1</v>
      </c>
      <c r="S58" s="17">
        <v>0</v>
      </c>
      <c r="T58" s="17">
        <v>0</v>
      </c>
      <c r="U58" s="17">
        <v>0</v>
      </c>
      <c r="V58" s="17">
        <v>0</v>
      </c>
      <c r="W58" s="17">
        <v>1</v>
      </c>
      <c r="X58" s="17">
        <v>0</v>
      </c>
      <c r="Y58" s="17">
        <v>1</v>
      </c>
      <c r="Z58" s="17">
        <v>1</v>
      </c>
      <c r="AA58" s="17">
        <v>1</v>
      </c>
      <c r="AB58" s="17">
        <v>0</v>
      </c>
      <c r="AC58" s="17">
        <v>1</v>
      </c>
      <c r="AD58" s="17">
        <v>0</v>
      </c>
      <c r="AE58" s="17">
        <v>1</v>
      </c>
      <c r="AF58" s="17">
        <v>0</v>
      </c>
      <c r="AG58" s="17">
        <v>0</v>
      </c>
      <c r="AH58" s="17">
        <v>0</v>
      </c>
      <c r="AI58" s="17">
        <v>1</v>
      </c>
      <c r="AJ58" s="17">
        <v>1</v>
      </c>
      <c r="AK58" s="17">
        <v>1</v>
      </c>
      <c r="AL58" s="17">
        <v>1</v>
      </c>
      <c r="AM58" s="17">
        <v>0</v>
      </c>
      <c r="AN58" s="17">
        <v>0</v>
      </c>
      <c r="AO58" s="17">
        <v>0</v>
      </c>
      <c r="AP58" s="17">
        <v>1</v>
      </c>
      <c r="AQ58" s="17">
        <v>1</v>
      </c>
      <c r="AR58" s="17">
        <v>0</v>
      </c>
      <c r="AS58" s="17">
        <v>1</v>
      </c>
      <c r="AT58" s="17">
        <v>0</v>
      </c>
      <c r="AU58" s="17">
        <v>0</v>
      </c>
      <c r="AV58" s="17">
        <v>0</v>
      </c>
      <c r="AW58" s="17">
        <v>1</v>
      </c>
      <c r="AX58" s="17">
        <v>0</v>
      </c>
      <c r="AY58" s="17">
        <v>0</v>
      </c>
      <c r="AZ58" s="17">
        <v>1</v>
      </c>
      <c r="BA58" s="17">
        <v>0</v>
      </c>
      <c r="BB58" s="17">
        <v>1</v>
      </c>
      <c r="BC58" s="17">
        <v>1</v>
      </c>
      <c r="BD58" s="17">
        <v>1</v>
      </c>
      <c r="BE58" s="17">
        <v>0</v>
      </c>
      <c r="BF58" s="17">
        <v>0</v>
      </c>
      <c r="BG58" s="17">
        <v>0</v>
      </c>
      <c r="BH58" s="17">
        <v>1</v>
      </c>
      <c r="BI58" s="17">
        <v>0</v>
      </c>
      <c r="BJ58" s="17">
        <v>1</v>
      </c>
      <c r="BK58" s="17">
        <v>0</v>
      </c>
      <c r="BL58" s="17">
        <v>1</v>
      </c>
      <c r="BM58" s="17">
        <v>0</v>
      </c>
      <c r="BN58" s="17">
        <v>0</v>
      </c>
      <c r="BO58" s="17">
        <v>0</v>
      </c>
      <c r="BP58" s="17">
        <v>1</v>
      </c>
      <c r="BQ58" s="17">
        <v>0</v>
      </c>
      <c r="BR58" s="17">
        <v>0</v>
      </c>
      <c r="BS58" s="17" t="e">
        <v>#N/A</v>
      </c>
      <c r="BT58" s="17" t="e">
        <v>#N/A</v>
      </c>
      <c r="BU58" s="17" t="e">
        <v>#N/A</v>
      </c>
      <c r="BV58" s="17" t="e">
        <v>#N/A</v>
      </c>
      <c r="BW58" s="17" t="e">
        <v>#N/A</v>
      </c>
      <c r="BX58" s="17" t="e">
        <v>#N/A</v>
      </c>
      <c r="BY58" s="17" t="e">
        <v>#N/A</v>
      </c>
      <c r="BZ58" s="17" t="e">
        <v>#N/A</v>
      </c>
      <c r="CA58" s="17" t="e">
        <v>#N/A</v>
      </c>
      <c r="CB58" s="17" t="e">
        <v>#N/A</v>
      </c>
      <c r="CC58" s="17" t="e">
        <v>#N/A</v>
      </c>
      <c r="CD58" s="17" t="e">
        <v>#N/A</v>
      </c>
      <c r="CE58" s="17" t="e">
        <v>#N/A</v>
      </c>
      <c r="CF58" s="17" t="e">
        <v>#N/A</v>
      </c>
      <c r="CG58" s="17" t="e">
        <v>#N/A</v>
      </c>
      <c r="CH58" s="17" t="e">
        <v>#N/A</v>
      </c>
      <c r="CI58" s="17" t="e">
        <v>#N/A</v>
      </c>
      <c r="CJ58" s="17" t="e">
        <v>#N/A</v>
      </c>
      <c r="CK58" s="17" t="e">
        <v>#N/A</v>
      </c>
      <c r="CL58" s="17" t="e">
        <v>#N/A</v>
      </c>
      <c r="CM58" s="17" t="e">
        <v>#N/A</v>
      </c>
      <c r="CN58" s="17" t="e">
        <v>#N/A</v>
      </c>
      <c r="CO58" s="17" t="e">
        <v>#N/A</v>
      </c>
      <c r="CP58" s="17" t="e">
        <v>#N/A</v>
      </c>
      <c r="CQ58" s="17" t="e">
        <v>#N/A</v>
      </c>
      <c r="CR58" s="17" t="e">
        <v>#N/A</v>
      </c>
      <c r="CS58" s="17" t="e">
        <v>#N/A</v>
      </c>
      <c r="CT58" s="17" t="e">
        <v>#N/A</v>
      </c>
      <c r="CU58" s="17" t="e">
        <v>#N/A</v>
      </c>
      <c r="CV58" s="17" t="e">
        <v>#N/A</v>
      </c>
      <c r="CW58" s="17" t="e">
        <v>#N/A</v>
      </c>
      <c r="CX58" s="17" t="e">
        <v>#N/A</v>
      </c>
      <c r="CY58" s="17" t="e">
        <v>#N/A</v>
      </c>
      <c r="CZ58" s="17" t="e">
        <v>#N/A</v>
      </c>
      <c r="DA58" s="17" t="e">
        <v>#N/A</v>
      </c>
      <c r="DB58" s="17" t="e">
        <v>#N/A</v>
      </c>
      <c r="DC58" s="17" t="e">
        <v>#N/A</v>
      </c>
      <c r="DD58" s="17" t="e">
        <v>#N/A</v>
      </c>
      <c r="DE58" s="17" t="e">
        <v>#N/A</v>
      </c>
      <c r="DF58" s="17" t="e">
        <v>#N/A</v>
      </c>
      <c r="DG58" s="17" t="e">
        <v>#N/A</v>
      </c>
      <c r="DH58" s="17" t="e">
        <v>#N/A</v>
      </c>
      <c r="DI58" s="17" t="e">
        <v>#N/A</v>
      </c>
      <c r="DJ58" s="17" t="e">
        <v>#N/A</v>
      </c>
      <c r="DK58" s="17" t="e">
        <v>#N/A</v>
      </c>
      <c r="DL58" s="17" t="e">
        <v>#N/A</v>
      </c>
      <c r="DM58" s="17" t="e">
        <v>#N/A</v>
      </c>
      <c r="DN58" s="17" t="e">
        <v>#N/A</v>
      </c>
      <c r="DO58" s="17" t="e">
        <v>#N/A</v>
      </c>
      <c r="DP58" s="17" t="e">
        <v>#N/A</v>
      </c>
      <c r="DQ58" s="17" t="e">
        <v>#N/A</v>
      </c>
      <c r="DR58" s="17" t="e">
        <v>#N/A</v>
      </c>
      <c r="DS58" s="17" t="e">
        <v>#N/A</v>
      </c>
      <c r="DT58" s="17" t="e">
        <v>#N/A</v>
      </c>
      <c r="DU58" s="17" t="e">
        <v>#N/A</v>
      </c>
      <c r="DV58" s="17" t="e">
        <v>#N/A</v>
      </c>
      <c r="DW58" s="17" t="e">
        <v>#N/A</v>
      </c>
      <c r="DX58" s="17" t="e">
        <v>#N/A</v>
      </c>
      <c r="DY58" s="17" t="e">
        <v>#N/A</v>
      </c>
      <c r="DZ58" s="17" t="e">
        <v>#N/A</v>
      </c>
      <c r="EA58" s="17" t="e">
        <v>#N/A</v>
      </c>
      <c r="EB58" s="17" t="e">
        <v>#N/A</v>
      </c>
      <c r="EC58" s="17" t="e">
        <v>#N/A</v>
      </c>
      <c r="ED58" s="17" t="e">
        <v>#N/A</v>
      </c>
      <c r="EE58" s="17" t="e">
        <v>#N/A</v>
      </c>
      <c r="EF58" s="17" t="e">
        <v>#N/A</v>
      </c>
      <c r="EG58" s="17" t="e">
        <v>#N/A</v>
      </c>
      <c r="EH58" s="17" t="e">
        <v>#N/A</v>
      </c>
      <c r="EI58" s="17" t="e">
        <v>#N/A</v>
      </c>
      <c r="EJ58" s="17" t="e">
        <v>#N/A</v>
      </c>
      <c r="EK58" s="17" t="e">
        <v>#N/A</v>
      </c>
      <c r="EL58" s="17" t="e">
        <v>#N/A</v>
      </c>
      <c r="EM58" s="17" t="e">
        <v>#N/A</v>
      </c>
      <c r="EN58" s="17" t="e">
        <v>#N/A</v>
      </c>
      <c r="EO58" s="17" t="e">
        <v>#N/A</v>
      </c>
      <c r="EP58" s="17" t="e">
        <v>#N/A</v>
      </c>
      <c r="EQ58" s="17" t="e">
        <v>#N/A</v>
      </c>
      <c r="ER58" s="17" t="e">
        <v>#N/A</v>
      </c>
      <c r="ES58" s="17" t="e">
        <v>#N/A</v>
      </c>
      <c r="ET58" s="17" t="e">
        <v>#N/A</v>
      </c>
      <c r="EU58" s="17" t="e">
        <v>#N/A</v>
      </c>
      <c r="EV58" s="17" t="e">
        <v>#N/A</v>
      </c>
      <c r="EW58" s="17" t="e">
        <v>#N/A</v>
      </c>
      <c r="EX58" s="17" t="e">
        <v>#N/A</v>
      </c>
      <c r="EY58" s="17" t="e">
        <v>#N/A</v>
      </c>
      <c r="EZ58" s="17" t="e">
        <v>#N/A</v>
      </c>
      <c r="FA58" s="17" t="e">
        <v>#N/A</v>
      </c>
      <c r="FB58" s="17" t="e">
        <v>#N/A</v>
      </c>
      <c r="FC58" s="17" t="e">
        <v>#N/A</v>
      </c>
      <c r="FD58" s="17" t="e">
        <v>#N/A</v>
      </c>
      <c r="FE58" s="17" t="e">
        <v>#N/A</v>
      </c>
      <c r="FF58" s="17" t="e">
        <v>#N/A</v>
      </c>
      <c r="FG58" s="17" t="e">
        <v>#N/A</v>
      </c>
      <c r="FH58" s="17" t="e">
        <v>#N/A</v>
      </c>
      <c r="FI58" s="17" t="e">
        <v>#N/A</v>
      </c>
      <c r="FJ58" s="17" t="e">
        <v>#N/A</v>
      </c>
      <c r="FK58" s="17" t="e">
        <v>#N/A</v>
      </c>
      <c r="FL58" s="17" t="e">
        <v>#N/A</v>
      </c>
      <c r="FM58" s="17" t="e">
        <v>#N/A</v>
      </c>
      <c r="FN58" s="17" t="e">
        <v>#N/A</v>
      </c>
      <c r="FO58" s="17" t="e">
        <v>#N/A</v>
      </c>
      <c r="FP58" s="17" t="e">
        <v>#N/A</v>
      </c>
      <c r="FQ58" s="17" t="e">
        <v>#N/A</v>
      </c>
      <c r="FR58" s="17" t="e">
        <v>#N/A</v>
      </c>
      <c r="FS58" s="17" t="e">
        <v>#N/A</v>
      </c>
      <c r="FT58" s="17" t="e">
        <v>#N/A</v>
      </c>
      <c r="FU58" s="17" t="e">
        <v>#N/A</v>
      </c>
      <c r="FV58" s="17" t="e">
        <v>#N/A</v>
      </c>
    </row>
    <row r="59" spans="2:178" ht="11.25" customHeight="1">
      <c r="B59" s="17">
        <v>0</v>
      </c>
      <c r="C59" s="17">
        <v>1</v>
      </c>
      <c r="D59" s="17">
        <v>1</v>
      </c>
      <c r="E59" s="17">
        <v>0</v>
      </c>
      <c r="F59" s="17">
        <v>0</v>
      </c>
      <c r="G59" s="17">
        <v>1</v>
      </c>
      <c r="H59" s="17">
        <v>0</v>
      </c>
      <c r="I59" s="17">
        <v>0</v>
      </c>
      <c r="J59" s="17">
        <v>0</v>
      </c>
      <c r="K59" s="17">
        <v>1</v>
      </c>
      <c r="L59" s="17">
        <v>1</v>
      </c>
      <c r="M59" s="17">
        <v>0</v>
      </c>
      <c r="N59" s="17">
        <v>0</v>
      </c>
      <c r="O59" s="17">
        <v>0</v>
      </c>
      <c r="P59" s="17">
        <v>1</v>
      </c>
      <c r="Q59" s="17">
        <v>1</v>
      </c>
      <c r="R59" s="17">
        <v>0</v>
      </c>
      <c r="S59" s="17">
        <v>0</v>
      </c>
      <c r="T59" s="17">
        <v>1</v>
      </c>
      <c r="U59" s="17">
        <v>0</v>
      </c>
      <c r="V59" s="17">
        <v>1</v>
      </c>
      <c r="W59" s="17">
        <v>0</v>
      </c>
      <c r="X59" s="17">
        <v>0</v>
      </c>
      <c r="Y59" s="17">
        <v>1</v>
      </c>
      <c r="Z59" s="17">
        <v>0</v>
      </c>
      <c r="AA59" s="17">
        <v>0</v>
      </c>
      <c r="AB59" s="17">
        <v>1</v>
      </c>
      <c r="AC59" s="17">
        <v>0</v>
      </c>
      <c r="AD59" s="17">
        <v>1</v>
      </c>
      <c r="AE59" s="17">
        <v>1</v>
      </c>
      <c r="AF59" s="17">
        <v>1</v>
      </c>
      <c r="AG59" s="17">
        <v>1</v>
      </c>
      <c r="AH59" s="17">
        <v>0</v>
      </c>
      <c r="AI59" s="17">
        <v>1</v>
      </c>
      <c r="AJ59" s="17">
        <v>0</v>
      </c>
      <c r="AK59" s="17">
        <v>1</v>
      </c>
      <c r="AL59" s="17">
        <v>0</v>
      </c>
      <c r="AM59" s="17">
        <v>1</v>
      </c>
      <c r="AN59" s="17">
        <v>0</v>
      </c>
      <c r="AO59" s="17">
        <v>1</v>
      </c>
      <c r="AP59" s="17">
        <v>0</v>
      </c>
      <c r="AQ59" s="17">
        <v>1</v>
      </c>
      <c r="AR59" s="17">
        <v>0</v>
      </c>
      <c r="AS59" s="17">
        <v>0</v>
      </c>
      <c r="AT59" s="17">
        <v>0</v>
      </c>
      <c r="AU59" s="17">
        <v>1</v>
      </c>
      <c r="AV59" s="17">
        <v>0</v>
      </c>
      <c r="AW59" s="17">
        <v>1</v>
      </c>
      <c r="AX59" s="17">
        <v>0</v>
      </c>
      <c r="AY59" s="17">
        <v>0</v>
      </c>
      <c r="AZ59" s="17">
        <v>1</v>
      </c>
      <c r="BA59" s="17">
        <v>1</v>
      </c>
      <c r="BB59" s="17">
        <v>0</v>
      </c>
      <c r="BC59" s="17">
        <v>0</v>
      </c>
      <c r="BD59" s="17">
        <v>1</v>
      </c>
      <c r="BE59" s="17">
        <v>1</v>
      </c>
      <c r="BF59" s="17">
        <v>1</v>
      </c>
      <c r="BG59" s="17">
        <v>0</v>
      </c>
      <c r="BH59" s="17">
        <v>1</v>
      </c>
      <c r="BI59" s="17">
        <v>0</v>
      </c>
      <c r="BJ59" s="17">
        <v>0</v>
      </c>
      <c r="BK59" s="17">
        <v>1</v>
      </c>
      <c r="BL59" s="17">
        <v>0</v>
      </c>
      <c r="BM59" s="17">
        <v>1</v>
      </c>
      <c r="BN59" s="17">
        <v>0</v>
      </c>
      <c r="BO59" s="17">
        <v>0</v>
      </c>
      <c r="BP59" s="17">
        <v>0</v>
      </c>
      <c r="BQ59" s="17">
        <v>1</v>
      </c>
      <c r="BR59" s="17">
        <v>0</v>
      </c>
      <c r="BS59" s="17" t="e">
        <v>#N/A</v>
      </c>
      <c r="BT59" s="17" t="e">
        <v>#N/A</v>
      </c>
      <c r="BU59" s="17" t="e">
        <v>#N/A</v>
      </c>
      <c r="BV59" s="17" t="e">
        <v>#N/A</v>
      </c>
      <c r="BW59" s="17" t="e">
        <v>#N/A</v>
      </c>
      <c r="BX59" s="17" t="e">
        <v>#N/A</v>
      </c>
      <c r="BY59" s="17" t="e">
        <v>#N/A</v>
      </c>
      <c r="BZ59" s="17" t="e">
        <v>#N/A</v>
      </c>
      <c r="CA59" s="17" t="e">
        <v>#N/A</v>
      </c>
      <c r="CB59" s="17" t="e">
        <v>#N/A</v>
      </c>
      <c r="CC59" s="17" t="e">
        <v>#N/A</v>
      </c>
      <c r="CD59" s="17" t="e">
        <v>#N/A</v>
      </c>
      <c r="CE59" s="17" t="e">
        <v>#N/A</v>
      </c>
      <c r="CF59" s="17" t="e">
        <v>#N/A</v>
      </c>
      <c r="CG59" s="17" t="e">
        <v>#N/A</v>
      </c>
      <c r="CH59" s="17" t="e">
        <v>#N/A</v>
      </c>
      <c r="CI59" s="17" t="e">
        <v>#N/A</v>
      </c>
      <c r="CJ59" s="17" t="e">
        <v>#N/A</v>
      </c>
      <c r="CK59" s="17" t="e">
        <v>#N/A</v>
      </c>
      <c r="CL59" s="17" t="e">
        <v>#N/A</v>
      </c>
      <c r="CM59" s="17" t="e">
        <v>#N/A</v>
      </c>
      <c r="CN59" s="17" t="e">
        <v>#N/A</v>
      </c>
      <c r="CO59" s="17" t="e">
        <v>#N/A</v>
      </c>
      <c r="CP59" s="17" t="e">
        <v>#N/A</v>
      </c>
      <c r="CQ59" s="17" t="e">
        <v>#N/A</v>
      </c>
      <c r="CR59" s="17" t="e">
        <v>#N/A</v>
      </c>
      <c r="CS59" s="17" t="e">
        <v>#N/A</v>
      </c>
      <c r="CT59" s="17" t="e">
        <v>#N/A</v>
      </c>
      <c r="CU59" s="17" t="e">
        <v>#N/A</v>
      </c>
      <c r="CV59" s="17" t="e">
        <v>#N/A</v>
      </c>
      <c r="CW59" s="17" t="e">
        <v>#N/A</v>
      </c>
      <c r="CX59" s="17" t="e">
        <v>#N/A</v>
      </c>
      <c r="CY59" s="17" t="e">
        <v>#N/A</v>
      </c>
      <c r="CZ59" s="17" t="e">
        <v>#N/A</v>
      </c>
      <c r="DA59" s="17" t="e">
        <v>#N/A</v>
      </c>
      <c r="DB59" s="17" t="e">
        <v>#N/A</v>
      </c>
      <c r="DC59" s="17" t="e">
        <v>#N/A</v>
      </c>
      <c r="DD59" s="17" t="e">
        <v>#N/A</v>
      </c>
      <c r="DE59" s="17" t="e">
        <v>#N/A</v>
      </c>
      <c r="DF59" s="17" t="e">
        <v>#N/A</v>
      </c>
      <c r="DG59" s="17" t="e">
        <v>#N/A</v>
      </c>
      <c r="DH59" s="17" t="e">
        <v>#N/A</v>
      </c>
      <c r="DI59" s="17" t="e">
        <v>#N/A</v>
      </c>
      <c r="DJ59" s="17" t="e">
        <v>#N/A</v>
      </c>
      <c r="DK59" s="17" t="e">
        <v>#N/A</v>
      </c>
      <c r="DL59" s="17" t="e">
        <v>#N/A</v>
      </c>
      <c r="DM59" s="17" t="e">
        <v>#N/A</v>
      </c>
      <c r="DN59" s="17" t="e">
        <v>#N/A</v>
      </c>
      <c r="DO59" s="17" t="e">
        <v>#N/A</v>
      </c>
      <c r="DP59" s="17" t="e">
        <v>#N/A</v>
      </c>
      <c r="DQ59" s="17" t="e">
        <v>#N/A</v>
      </c>
      <c r="DR59" s="17" t="e">
        <v>#N/A</v>
      </c>
      <c r="DS59" s="17" t="e">
        <v>#N/A</v>
      </c>
      <c r="DT59" s="17" t="e">
        <v>#N/A</v>
      </c>
      <c r="DU59" s="17" t="e">
        <v>#N/A</v>
      </c>
      <c r="DV59" s="17" t="e">
        <v>#N/A</v>
      </c>
      <c r="DW59" s="17" t="e">
        <v>#N/A</v>
      </c>
      <c r="DX59" s="17" t="e">
        <v>#N/A</v>
      </c>
      <c r="DY59" s="17" t="e">
        <v>#N/A</v>
      </c>
      <c r="DZ59" s="17" t="e">
        <v>#N/A</v>
      </c>
      <c r="EA59" s="17" t="e">
        <v>#N/A</v>
      </c>
      <c r="EB59" s="17" t="e">
        <v>#N/A</v>
      </c>
      <c r="EC59" s="17" t="e">
        <v>#N/A</v>
      </c>
      <c r="ED59" s="17" t="e">
        <v>#N/A</v>
      </c>
      <c r="EE59" s="17" t="e">
        <v>#N/A</v>
      </c>
      <c r="EF59" s="17" t="e">
        <v>#N/A</v>
      </c>
      <c r="EG59" s="17" t="e">
        <v>#N/A</v>
      </c>
      <c r="EH59" s="17" t="e">
        <v>#N/A</v>
      </c>
      <c r="EI59" s="17" t="e">
        <v>#N/A</v>
      </c>
      <c r="EJ59" s="17" t="e">
        <v>#N/A</v>
      </c>
      <c r="EK59" s="17" t="e">
        <v>#N/A</v>
      </c>
      <c r="EL59" s="17" t="e">
        <v>#N/A</v>
      </c>
      <c r="EM59" s="17" t="e">
        <v>#N/A</v>
      </c>
      <c r="EN59" s="17" t="e">
        <v>#N/A</v>
      </c>
      <c r="EO59" s="17" t="e">
        <v>#N/A</v>
      </c>
      <c r="EP59" s="17" t="e">
        <v>#N/A</v>
      </c>
      <c r="EQ59" s="17" t="e">
        <v>#N/A</v>
      </c>
      <c r="ER59" s="17" t="e">
        <v>#N/A</v>
      </c>
      <c r="ES59" s="17" t="e">
        <v>#N/A</v>
      </c>
      <c r="ET59" s="17" t="e">
        <v>#N/A</v>
      </c>
      <c r="EU59" s="17" t="e">
        <v>#N/A</v>
      </c>
      <c r="EV59" s="17" t="e">
        <v>#N/A</v>
      </c>
      <c r="EW59" s="17" t="e">
        <v>#N/A</v>
      </c>
      <c r="EX59" s="17" t="e">
        <v>#N/A</v>
      </c>
      <c r="EY59" s="17" t="e">
        <v>#N/A</v>
      </c>
      <c r="EZ59" s="17" t="e">
        <v>#N/A</v>
      </c>
      <c r="FA59" s="17" t="e">
        <v>#N/A</v>
      </c>
      <c r="FB59" s="17" t="e">
        <v>#N/A</v>
      </c>
      <c r="FC59" s="17" t="e">
        <v>#N/A</v>
      </c>
      <c r="FD59" s="17" t="e">
        <v>#N/A</v>
      </c>
      <c r="FE59" s="17" t="e">
        <v>#N/A</v>
      </c>
      <c r="FF59" s="17" t="e">
        <v>#N/A</v>
      </c>
      <c r="FG59" s="17" t="e">
        <v>#N/A</v>
      </c>
      <c r="FH59" s="17" t="e">
        <v>#N/A</v>
      </c>
      <c r="FI59" s="17" t="e">
        <v>#N/A</v>
      </c>
      <c r="FJ59" s="17" t="e">
        <v>#N/A</v>
      </c>
      <c r="FK59" s="17" t="e">
        <v>#N/A</v>
      </c>
      <c r="FL59" s="17" t="e">
        <v>#N/A</v>
      </c>
      <c r="FM59" s="17" t="e">
        <v>#N/A</v>
      </c>
      <c r="FN59" s="17" t="e">
        <v>#N/A</v>
      </c>
      <c r="FO59" s="17" t="e">
        <v>#N/A</v>
      </c>
      <c r="FP59" s="17" t="e">
        <v>#N/A</v>
      </c>
      <c r="FQ59" s="17" t="e">
        <v>#N/A</v>
      </c>
      <c r="FR59" s="17" t="e">
        <v>#N/A</v>
      </c>
      <c r="FS59" s="17" t="e">
        <v>#N/A</v>
      </c>
      <c r="FT59" s="17" t="e">
        <v>#N/A</v>
      </c>
      <c r="FU59" s="17" t="e">
        <v>#N/A</v>
      </c>
      <c r="FV59" s="17" t="e">
        <v>#N/A</v>
      </c>
    </row>
    <row r="60" spans="2:178" ht="11.25" customHeight="1">
      <c r="B60" s="17">
        <v>1</v>
      </c>
      <c r="C60" s="17">
        <v>0</v>
      </c>
      <c r="D60" s="17">
        <v>1</v>
      </c>
      <c r="E60" s="17">
        <v>0</v>
      </c>
      <c r="F60" s="17">
        <v>1</v>
      </c>
      <c r="G60" s="17">
        <v>1</v>
      </c>
      <c r="H60" s="17">
        <v>1</v>
      </c>
      <c r="I60" s="17">
        <v>0</v>
      </c>
      <c r="J60" s="17">
        <v>1</v>
      </c>
      <c r="K60" s="17">
        <v>1</v>
      </c>
      <c r="L60" s="17">
        <v>1</v>
      </c>
      <c r="M60" s="17">
        <v>0</v>
      </c>
      <c r="N60" s="17">
        <v>1</v>
      </c>
      <c r="O60" s="17">
        <v>1</v>
      </c>
      <c r="P60" s="17">
        <v>0</v>
      </c>
      <c r="Q60" s="17">
        <v>0</v>
      </c>
      <c r="R60" s="17">
        <v>0</v>
      </c>
      <c r="S60" s="17">
        <v>1</v>
      </c>
      <c r="T60" s="17">
        <v>0</v>
      </c>
      <c r="U60" s="17">
        <v>1</v>
      </c>
      <c r="V60" s="17">
        <v>1</v>
      </c>
      <c r="W60" s="17">
        <v>0</v>
      </c>
      <c r="X60" s="17">
        <v>1</v>
      </c>
      <c r="Y60" s="17">
        <v>1</v>
      </c>
      <c r="Z60" s="17">
        <v>0</v>
      </c>
      <c r="AA60" s="17">
        <v>0</v>
      </c>
      <c r="AB60" s="17">
        <v>1</v>
      </c>
      <c r="AC60" s="17">
        <v>0</v>
      </c>
      <c r="AD60" s="17">
        <v>0</v>
      </c>
      <c r="AE60" s="17">
        <v>1</v>
      </c>
      <c r="AF60" s="17">
        <v>0</v>
      </c>
      <c r="AG60" s="17">
        <v>1</v>
      </c>
      <c r="AH60" s="17">
        <v>0</v>
      </c>
      <c r="AI60" s="17">
        <v>0</v>
      </c>
      <c r="AJ60" s="17">
        <v>1</v>
      </c>
      <c r="AK60" s="17">
        <v>0</v>
      </c>
      <c r="AL60" s="17">
        <v>1</v>
      </c>
      <c r="AM60" s="17">
        <v>0</v>
      </c>
      <c r="AN60" s="17">
        <v>0</v>
      </c>
      <c r="AO60" s="17">
        <v>0</v>
      </c>
      <c r="AP60" s="17">
        <v>1</v>
      </c>
      <c r="AQ60" s="17">
        <v>0</v>
      </c>
      <c r="AR60" s="17">
        <v>1</v>
      </c>
      <c r="AS60" s="17">
        <v>1</v>
      </c>
      <c r="AT60" s="17">
        <v>0</v>
      </c>
      <c r="AU60" s="17">
        <v>1</v>
      </c>
      <c r="AV60" s="17">
        <v>1</v>
      </c>
      <c r="AW60" s="17">
        <v>0</v>
      </c>
      <c r="AX60" s="17">
        <v>1</v>
      </c>
      <c r="AY60" s="17">
        <v>1</v>
      </c>
      <c r="AZ60" s="17">
        <v>0</v>
      </c>
      <c r="BA60" s="17">
        <v>1</v>
      </c>
      <c r="BB60" s="17">
        <v>1</v>
      </c>
      <c r="BC60" s="17">
        <v>0</v>
      </c>
      <c r="BD60" s="17">
        <v>1</v>
      </c>
      <c r="BE60" s="17">
        <v>0</v>
      </c>
      <c r="BF60" s="17">
        <v>0</v>
      </c>
      <c r="BG60" s="17">
        <v>0</v>
      </c>
      <c r="BH60" s="17">
        <v>0</v>
      </c>
      <c r="BI60" s="17">
        <v>0</v>
      </c>
      <c r="BJ60" s="17">
        <v>0</v>
      </c>
      <c r="BK60" s="17">
        <v>1</v>
      </c>
      <c r="BL60" s="17">
        <v>1</v>
      </c>
      <c r="BM60" s="17">
        <v>1</v>
      </c>
      <c r="BN60" s="17">
        <v>1</v>
      </c>
      <c r="BO60" s="17">
        <v>0</v>
      </c>
      <c r="BP60" s="17">
        <v>1</v>
      </c>
      <c r="BQ60" s="17">
        <v>0</v>
      </c>
      <c r="BR60" s="17">
        <v>1</v>
      </c>
      <c r="BS60" s="17" t="e">
        <v>#N/A</v>
      </c>
      <c r="BT60" s="17" t="e">
        <v>#N/A</v>
      </c>
      <c r="BU60" s="17" t="e">
        <v>#N/A</v>
      </c>
      <c r="BV60" s="17" t="e">
        <v>#N/A</v>
      </c>
      <c r="BW60" s="17" t="e">
        <v>#N/A</v>
      </c>
      <c r="BX60" s="17" t="e">
        <v>#N/A</v>
      </c>
      <c r="BY60" s="17" t="e">
        <v>#N/A</v>
      </c>
      <c r="BZ60" s="17" t="e">
        <v>#N/A</v>
      </c>
      <c r="CA60" s="17" t="e">
        <v>#N/A</v>
      </c>
      <c r="CB60" s="17" t="e">
        <v>#N/A</v>
      </c>
      <c r="CC60" s="17" t="e">
        <v>#N/A</v>
      </c>
      <c r="CD60" s="17" t="e">
        <v>#N/A</v>
      </c>
      <c r="CE60" s="17" t="e">
        <v>#N/A</v>
      </c>
      <c r="CF60" s="17" t="e">
        <v>#N/A</v>
      </c>
      <c r="CG60" s="17" t="e">
        <v>#N/A</v>
      </c>
      <c r="CH60" s="17" t="e">
        <v>#N/A</v>
      </c>
      <c r="CI60" s="17" t="e">
        <v>#N/A</v>
      </c>
      <c r="CJ60" s="17" t="e">
        <v>#N/A</v>
      </c>
      <c r="CK60" s="17" t="e">
        <v>#N/A</v>
      </c>
      <c r="CL60" s="17" t="e">
        <v>#N/A</v>
      </c>
      <c r="CM60" s="17" t="e">
        <v>#N/A</v>
      </c>
      <c r="CN60" s="17" t="e">
        <v>#N/A</v>
      </c>
      <c r="CO60" s="17" t="e">
        <v>#N/A</v>
      </c>
      <c r="CP60" s="17" t="e">
        <v>#N/A</v>
      </c>
      <c r="CQ60" s="17" t="e">
        <v>#N/A</v>
      </c>
      <c r="CR60" s="17" t="e">
        <v>#N/A</v>
      </c>
      <c r="CS60" s="17" t="e">
        <v>#N/A</v>
      </c>
      <c r="CT60" s="17" t="e">
        <v>#N/A</v>
      </c>
      <c r="CU60" s="17" t="e">
        <v>#N/A</v>
      </c>
      <c r="CV60" s="17" t="e">
        <v>#N/A</v>
      </c>
      <c r="CW60" s="17" t="e">
        <v>#N/A</v>
      </c>
      <c r="CX60" s="17" t="e">
        <v>#N/A</v>
      </c>
      <c r="CY60" s="17" t="e">
        <v>#N/A</v>
      </c>
      <c r="CZ60" s="17" t="e">
        <v>#N/A</v>
      </c>
      <c r="DA60" s="17" t="e">
        <v>#N/A</v>
      </c>
      <c r="DB60" s="17" t="e">
        <v>#N/A</v>
      </c>
      <c r="DC60" s="17" t="e">
        <v>#N/A</v>
      </c>
      <c r="DD60" s="17" t="e">
        <v>#N/A</v>
      </c>
      <c r="DE60" s="17" t="e">
        <v>#N/A</v>
      </c>
      <c r="DF60" s="17" t="e">
        <v>#N/A</v>
      </c>
      <c r="DG60" s="17" t="e">
        <v>#N/A</v>
      </c>
      <c r="DH60" s="17" t="e">
        <v>#N/A</v>
      </c>
      <c r="DI60" s="17" t="e">
        <v>#N/A</v>
      </c>
      <c r="DJ60" s="17" t="e">
        <v>#N/A</v>
      </c>
      <c r="DK60" s="17" t="e">
        <v>#N/A</v>
      </c>
      <c r="DL60" s="17" t="e">
        <v>#N/A</v>
      </c>
      <c r="DM60" s="17" t="e">
        <v>#N/A</v>
      </c>
      <c r="DN60" s="17" t="e">
        <v>#N/A</v>
      </c>
      <c r="DO60" s="17" t="e">
        <v>#N/A</v>
      </c>
      <c r="DP60" s="17" t="e">
        <v>#N/A</v>
      </c>
      <c r="DQ60" s="17" t="e">
        <v>#N/A</v>
      </c>
      <c r="DR60" s="17" t="e">
        <v>#N/A</v>
      </c>
      <c r="DS60" s="17" t="e">
        <v>#N/A</v>
      </c>
      <c r="DT60" s="17" t="e">
        <v>#N/A</v>
      </c>
      <c r="DU60" s="17" t="e">
        <v>#N/A</v>
      </c>
      <c r="DV60" s="17" t="e">
        <v>#N/A</v>
      </c>
      <c r="DW60" s="17" t="e">
        <v>#N/A</v>
      </c>
      <c r="DX60" s="17" t="e">
        <v>#N/A</v>
      </c>
      <c r="DY60" s="17" t="e">
        <v>#N/A</v>
      </c>
      <c r="DZ60" s="17" t="e">
        <v>#N/A</v>
      </c>
      <c r="EA60" s="17" t="e">
        <v>#N/A</v>
      </c>
      <c r="EB60" s="17" t="e">
        <v>#N/A</v>
      </c>
      <c r="EC60" s="17" t="e">
        <v>#N/A</v>
      </c>
      <c r="ED60" s="17" t="e">
        <v>#N/A</v>
      </c>
      <c r="EE60" s="17" t="e">
        <v>#N/A</v>
      </c>
      <c r="EF60" s="17" t="e">
        <v>#N/A</v>
      </c>
      <c r="EG60" s="17" t="e">
        <v>#N/A</v>
      </c>
      <c r="EH60" s="17" t="e">
        <v>#N/A</v>
      </c>
      <c r="EI60" s="17" t="e">
        <v>#N/A</v>
      </c>
      <c r="EJ60" s="17" t="e">
        <v>#N/A</v>
      </c>
      <c r="EK60" s="17" t="e">
        <v>#N/A</v>
      </c>
      <c r="EL60" s="17" t="e">
        <v>#N/A</v>
      </c>
      <c r="EM60" s="17" t="e">
        <v>#N/A</v>
      </c>
      <c r="EN60" s="17" t="e">
        <v>#N/A</v>
      </c>
      <c r="EO60" s="17" t="e">
        <v>#N/A</v>
      </c>
      <c r="EP60" s="17" t="e">
        <v>#N/A</v>
      </c>
      <c r="EQ60" s="17" t="e">
        <v>#N/A</v>
      </c>
      <c r="ER60" s="17" t="e">
        <v>#N/A</v>
      </c>
      <c r="ES60" s="17" t="e">
        <v>#N/A</v>
      </c>
      <c r="ET60" s="17" t="e">
        <v>#N/A</v>
      </c>
      <c r="EU60" s="17" t="e">
        <v>#N/A</v>
      </c>
      <c r="EV60" s="17" t="e">
        <v>#N/A</v>
      </c>
      <c r="EW60" s="17" t="e">
        <v>#N/A</v>
      </c>
      <c r="EX60" s="17" t="e">
        <v>#N/A</v>
      </c>
      <c r="EY60" s="17" t="e">
        <v>#N/A</v>
      </c>
      <c r="EZ60" s="17" t="e">
        <v>#N/A</v>
      </c>
      <c r="FA60" s="17" t="e">
        <v>#N/A</v>
      </c>
      <c r="FB60" s="17" t="e">
        <v>#N/A</v>
      </c>
      <c r="FC60" s="17" t="e">
        <v>#N/A</v>
      </c>
      <c r="FD60" s="17" t="e">
        <v>#N/A</v>
      </c>
      <c r="FE60" s="17" t="e">
        <v>#N/A</v>
      </c>
      <c r="FF60" s="17" t="e">
        <v>#N/A</v>
      </c>
      <c r="FG60" s="17" t="e">
        <v>#N/A</v>
      </c>
      <c r="FH60" s="17" t="e">
        <v>#N/A</v>
      </c>
      <c r="FI60" s="17" t="e">
        <v>#N/A</v>
      </c>
      <c r="FJ60" s="17" t="e">
        <v>#N/A</v>
      </c>
      <c r="FK60" s="17" t="e">
        <v>#N/A</v>
      </c>
      <c r="FL60" s="17" t="e">
        <v>#N/A</v>
      </c>
      <c r="FM60" s="17" t="e">
        <v>#N/A</v>
      </c>
      <c r="FN60" s="17" t="e">
        <v>#N/A</v>
      </c>
      <c r="FO60" s="17" t="e">
        <v>#N/A</v>
      </c>
      <c r="FP60" s="17" t="e">
        <v>#N/A</v>
      </c>
      <c r="FQ60" s="17" t="e">
        <v>#N/A</v>
      </c>
      <c r="FR60" s="17" t="e">
        <v>#N/A</v>
      </c>
      <c r="FS60" s="17" t="e">
        <v>#N/A</v>
      </c>
      <c r="FT60" s="17" t="e">
        <v>#N/A</v>
      </c>
      <c r="FU60" s="17" t="e">
        <v>#N/A</v>
      </c>
      <c r="FV60" s="17" t="e">
        <v>#N/A</v>
      </c>
    </row>
    <row r="61" spans="2:178" ht="11.25" customHeight="1">
      <c r="B61" s="17">
        <v>1</v>
      </c>
      <c r="C61" s="17">
        <v>0</v>
      </c>
      <c r="D61" s="17">
        <v>0</v>
      </c>
      <c r="E61" s="17">
        <v>0</v>
      </c>
      <c r="F61" s="17">
        <v>0</v>
      </c>
      <c r="G61" s="17">
        <v>0</v>
      </c>
      <c r="H61" s="17">
        <v>0</v>
      </c>
      <c r="I61" s="17">
        <v>0</v>
      </c>
      <c r="J61" s="17">
        <v>0</v>
      </c>
      <c r="K61" s="17">
        <v>0</v>
      </c>
      <c r="L61" s="17">
        <v>0</v>
      </c>
      <c r="M61" s="17">
        <v>0</v>
      </c>
      <c r="N61" s="17">
        <v>0</v>
      </c>
      <c r="O61" s="17">
        <v>1</v>
      </c>
      <c r="P61" s="17">
        <v>0</v>
      </c>
      <c r="Q61" s="17">
        <v>1</v>
      </c>
      <c r="R61" s="17">
        <v>0</v>
      </c>
      <c r="S61" s="17">
        <v>1</v>
      </c>
      <c r="T61" s="17">
        <v>0</v>
      </c>
      <c r="U61" s="17">
        <v>0</v>
      </c>
      <c r="V61" s="17">
        <v>1</v>
      </c>
      <c r="W61" s="17">
        <v>0</v>
      </c>
      <c r="X61" s="17">
        <v>1</v>
      </c>
      <c r="Y61" s="17">
        <v>0</v>
      </c>
      <c r="Z61" s="17">
        <v>1</v>
      </c>
      <c r="AA61" s="17">
        <v>1</v>
      </c>
      <c r="AB61" s="17">
        <v>0</v>
      </c>
      <c r="AC61" s="17">
        <v>1</v>
      </c>
      <c r="AD61" s="17">
        <v>1</v>
      </c>
      <c r="AE61" s="17">
        <v>1</v>
      </c>
      <c r="AF61" s="17">
        <v>0</v>
      </c>
      <c r="AG61" s="17">
        <v>0</v>
      </c>
      <c r="AH61" s="17">
        <v>1</v>
      </c>
      <c r="AI61" s="17">
        <v>1</v>
      </c>
      <c r="AJ61" s="17">
        <v>1</v>
      </c>
      <c r="AK61" s="17">
        <v>0</v>
      </c>
      <c r="AL61" s="17">
        <v>0</v>
      </c>
      <c r="AM61" s="17">
        <v>1</v>
      </c>
      <c r="AN61" s="17">
        <v>1</v>
      </c>
      <c r="AO61" s="17">
        <v>1</v>
      </c>
      <c r="AP61" s="17">
        <v>1</v>
      </c>
      <c r="AQ61" s="17">
        <v>1</v>
      </c>
      <c r="AR61" s="17">
        <v>1</v>
      </c>
      <c r="AS61" s="17">
        <v>1</v>
      </c>
      <c r="AT61" s="17">
        <v>0</v>
      </c>
      <c r="AU61" s="17">
        <v>1</v>
      </c>
      <c r="AV61" s="17">
        <v>1</v>
      </c>
      <c r="AW61" s="17">
        <v>1</v>
      </c>
      <c r="AX61" s="17">
        <v>0</v>
      </c>
      <c r="AY61" s="17">
        <v>1</v>
      </c>
      <c r="AZ61" s="17">
        <v>1</v>
      </c>
      <c r="BA61" s="17">
        <v>1</v>
      </c>
      <c r="BB61" s="17">
        <v>0</v>
      </c>
      <c r="BC61" s="17">
        <v>0</v>
      </c>
      <c r="BD61" s="17">
        <v>0</v>
      </c>
      <c r="BE61" s="17">
        <v>1</v>
      </c>
      <c r="BF61" s="17">
        <v>0</v>
      </c>
      <c r="BG61" s="17">
        <v>1</v>
      </c>
      <c r="BH61" s="17">
        <v>0</v>
      </c>
      <c r="BI61" s="17">
        <v>0</v>
      </c>
      <c r="BJ61" s="17">
        <v>0</v>
      </c>
      <c r="BK61" s="17">
        <v>0</v>
      </c>
      <c r="BL61" s="17">
        <v>0</v>
      </c>
      <c r="BM61" s="17">
        <v>1</v>
      </c>
      <c r="BN61" s="17">
        <v>0</v>
      </c>
      <c r="BO61" s="17">
        <v>0</v>
      </c>
      <c r="BP61" s="17">
        <v>1</v>
      </c>
      <c r="BQ61" s="17">
        <v>1</v>
      </c>
      <c r="BR61" s="17">
        <v>1</v>
      </c>
      <c r="BS61" s="17" t="e">
        <v>#N/A</v>
      </c>
      <c r="BT61" s="17" t="e">
        <v>#N/A</v>
      </c>
      <c r="BU61" s="17" t="e">
        <v>#N/A</v>
      </c>
      <c r="BV61" s="17" t="e">
        <v>#N/A</v>
      </c>
      <c r="BW61" s="17" t="e">
        <v>#N/A</v>
      </c>
      <c r="BX61" s="17" t="e">
        <v>#N/A</v>
      </c>
      <c r="BY61" s="17" t="e">
        <v>#N/A</v>
      </c>
      <c r="BZ61" s="17" t="e">
        <v>#N/A</v>
      </c>
      <c r="CA61" s="17" t="e">
        <v>#N/A</v>
      </c>
      <c r="CB61" s="17" t="e">
        <v>#N/A</v>
      </c>
      <c r="CC61" s="17" t="e">
        <v>#N/A</v>
      </c>
      <c r="CD61" s="17" t="e">
        <v>#N/A</v>
      </c>
      <c r="CE61" s="17" t="e">
        <v>#N/A</v>
      </c>
      <c r="CF61" s="17" t="e">
        <v>#N/A</v>
      </c>
      <c r="CG61" s="17" t="e">
        <v>#N/A</v>
      </c>
      <c r="CH61" s="17" t="e">
        <v>#N/A</v>
      </c>
      <c r="CI61" s="17" t="e">
        <v>#N/A</v>
      </c>
      <c r="CJ61" s="17" t="e">
        <v>#N/A</v>
      </c>
      <c r="CK61" s="17" t="e">
        <v>#N/A</v>
      </c>
      <c r="CL61" s="17" t="e">
        <v>#N/A</v>
      </c>
      <c r="CM61" s="17" t="e">
        <v>#N/A</v>
      </c>
      <c r="CN61" s="17" t="e">
        <v>#N/A</v>
      </c>
      <c r="CO61" s="17" t="e">
        <v>#N/A</v>
      </c>
      <c r="CP61" s="17" t="e">
        <v>#N/A</v>
      </c>
      <c r="CQ61" s="17" t="e">
        <v>#N/A</v>
      </c>
      <c r="CR61" s="17" t="e">
        <v>#N/A</v>
      </c>
      <c r="CS61" s="17" t="e">
        <v>#N/A</v>
      </c>
      <c r="CT61" s="17" t="e">
        <v>#N/A</v>
      </c>
      <c r="CU61" s="17" t="e">
        <v>#N/A</v>
      </c>
      <c r="CV61" s="17" t="e">
        <v>#N/A</v>
      </c>
      <c r="CW61" s="17" t="e">
        <v>#N/A</v>
      </c>
      <c r="CX61" s="17" t="e">
        <v>#N/A</v>
      </c>
      <c r="CY61" s="17" t="e">
        <v>#N/A</v>
      </c>
      <c r="CZ61" s="17" t="e">
        <v>#N/A</v>
      </c>
      <c r="DA61" s="17" t="e">
        <v>#N/A</v>
      </c>
      <c r="DB61" s="17" t="e">
        <v>#N/A</v>
      </c>
      <c r="DC61" s="17" t="e">
        <v>#N/A</v>
      </c>
      <c r="DD61" s="17" t="e">
        <v>#N/A</v>
      </c>
      <c r="DE61" s="17" t="e">
        <v>#N/A</v>
      </c>
      <c r="DF61" s="17" t="e">
        <v>#N/A</v>
      </c>
      <c r="DG61" s="17" t="e">
        <v>#N/A</v>
      </c>
      <c r="DH61" s="17" t="e">
        <v>#N/A</v>
      </c>
      <c r="DI61" s="17" t="e">
        <v>#N/A</v>
      </c>
      <c r="DJ61" s="17" t="e">
        <v>#N/A</v>
      </c>
      <c r="DK61" s="17" t="e">
        <v>#N/A</v>
      </c>
      <c r="DL61" s="17" t="e">
        <v>#N/A</v>
      </c>
      <c r="DM61" s="17" t="e">
        <v>#N/A</v>
      </c>
      <c r="DN61" s="17" t="e">
        <v>#N/A</v>
      </c>
      <c r="DO61" s="17" t="e">
        <v>#N/A</v>
      </c>
      <c r="DP61" s="17" t="e">
        <v>#N/A</v>
      </c>
      <c r="DQ61" s="17" t="e">
        <v>#N/A</v>
      </c>
      <c r="DR61" s="17" t="e">
        <v>#N/A</v>
      </c>
      <c r="DS61" s="17" t="e">
        <v>#N/A</v>
      </c>
      <c r="DT61" s="17" t="e">
        <v>#N/A</v>
      </c>
      <c r="DU61" s="17" t="e">
        <v>#N/A</v>
      </c>
      <c r="DV61" s="17" t="e">
        <v>#N/A</v>
      </c>
      <c r="DW61" s="17" t="e">
        <v>#N/A</v>
      </c>
      <c r="DX61" s="17" t="e">
        <v>#N/A</v>
      </c>
      <c r="DY61" s="17" t="e">
        <v>#N/A</v>
      </c>
      <c r="DZ61" s="17" t="e">
        <v>#N/A</v>
      </c>
      <c r="EA61" s="17" t="e">
        <v>#N/A</v>
      </c>
      <c r="EB61" s="17" t="e">
        <v>#N/A</v>
      </c>
      <c r="EC61" s="17" t="e">
        <v>#N/A</v>
      </c>
      <c r="ED61" s="17" t="e">
        <v>#N/A</v>
      </c>
      <c r="EE61" s="17" t="e">
        <v>#N/A</v>
      </c>
      <c r="EF61" s="17" t="e">
        <v>#N/A</v>
      </c>
      <c r="EG61" s="17" t="e">
        <v>#N/A</v>
      </c>
      <c r="EH61" s="17" t="e">
        <v>#N/A</v>
      </c>
      <c r="EI61" s="17" t="e">
        <v>#N/A</v>
      </c>
      <c r="EJ61" s="17" t="e">
        <v>#N/A</v>
      </c>
      <c r="EK61" s="17" t="e">
        <v>#N/A</v>
      </c>
      <c r="EL61" s="17" t="e">
        <v>#N/A</v>
      </c>
      <c r="EM61" s="17" t="e">
        <v>#N/A</v>
      </c>
      <c r="EN61" s="17" t="e">
        <v>#N/A</v>
      </c>
      <c r="EO61" s="17" t="e">
        <v>#N/A</v>
      </c>
      <c r="EP61" s="17" t="e">
        <v>#N/A</v>
      </c>
      <c r="EQ61" s="17" t="e">
        <v>#N/A</v>
      </c>
      <c r="ER61" s="17" t="e">
        <v>#N/A</v>
      </c>
      <c r="ES61" s="17" t="e">
        <v>#N/A</v>
      </c>
      <c r="ET61" s="17" t="e">
        <v>#N/A</v>
      </c>
      <c r="EU61" s="17" t="e">
        <v>#N/A</v>
      </c>
      <c r="EV61" s="17" t="e">
        <v>#N/A</v>
      </c>
      <c r="EW61" s="17" t="e">
        <v>#N/A</v>
      </c>
      <c r="EX61" s="17" t="e">
        <v>#N/A</v>
      </c>
      <c r="EY61" s="17" t="e">
        <v>#N/A</v>
      </c>
      <c r="EZ61" s="17" t="e">
        <v>#N/A</v>
      </c>
      <c r="FA61" s="17" t="e">
        <v>#N/A</v>
      </c>
      <c r="FB61" s="17" t="e">
        <v>#N/A</v>
      </c>
      <c r="FC61" s="17" t="e">
        <v>#N/A</v>
      </c>
      <c r="FD61" s="17" t="e">
        <v>#N/A</v>
      </c>
      <c r="FE61" s="17" t="e">
        <v>#N/A</v>
      </c>
      <c r="FF61" s="17" t="e">
        <v>#N/A</v>
      </c>
      <c r="FG61" s="17" t="e">
        <v>#N/A</v>
      </c>
      <c r="FH61" s="17" t="e">
        <v>#N/A</v>
      </c>
      <c r="FI61" s="17" t="e">
        <v>#N/A</v>
      </c>
      <c r="FJ61" s="17" t="e">
        <v>#N/A</v>
      </c>
      <c r="FK61" s="17" t="e">
        <v>#N/A</v>
      </c>
      <c r="FL61" s="17" t="e">
        <v>#N/A</v>
      </c>
      <c r="FM61" s="17" t="e">
        <v>#N/A</v>
      </c>
      <c r="FN61" s="17" t="e">
        <v>#N/A</v>
      </c>
      <c r="FO61" s="17" t="e">
        <v>#N/A</v>
      </c>
      <c r="FP61" s="17" t="e">
        <v>#N/A</v>
      </c>
      <c r="FQ61" s="17" t="e">
        <v>#N/A</v>
      </c>
      <c r="FR61" s="17" t="e">
        <v>#N/A</v>
      </c>
      <c r="FS61" s="17" t="e">
        <v>#N/A</v>
      </c>
      <c r="FT61" s="17" t="e">
        <v>#N/A</v>
      </c>
      <c r="FU61" s="17" t="e">
        <v>#N/A</v>
      </c>
      <c r="FV61" s="17" t="e">
        <v>#N/A</v>
      </c>
    </row>
    <row r="62" spans="2:178" ht="11.25" customHeight="1">
      <c r="B62" s="17">
        <v>1</v>
      </c>
      <c r="C62" s="17">
        <v>0</v>
      </c>
      <c r="D62" s="17">
        <v>0</v>
      </c>
      <c r="E62" s="17">
        <v>1</v>
      </c>
      <c r="F62" s="17">
        <v>1</v>
      </c>
      <c r="G62" s="17">
        <v>0</v>
      </c>
      <c r="H62" s="17">
        <v>1</v>
      </c>
      <c r="I62" s="17">
        <v>1</v>
      </c>
      <c r="J62" s="17">
        <v>1</v>
      </c>
      <c r="K62" s="17">
        <v>0</v>
      </c>
      <c r="L62" s="17">
        <v>1</v>
      </c>
      <c r="M62" s="17">
        <v>1</v>
      </c>
      <c r="N62" s="17">
        <v>1</v>
      </c>
      <c r="O62" s="17">
        <v>0</v>
      </c>
      <c r="P62" s="17">
        <v>1</v>
      </c>
      <c r="Q62" s="17">
        <v>0</v>
      </c>
      <c r="R62" s="17">
        <v>0</v>
      </c>
      <c r="S62" s="17">
        <v>0</v>
      </c>
      <c r="T62" s="17">
        <v>0</v>
      </c>
      <c r="U62" s="17">
        <v>1</v>
      </c>
      <c r="V62" s="17">
        <v>0</v>
      </c>
      <c r="W62" s="17">
        <v>1</v>
      </c>
      <c r="X62" s="17">
        <v>1</v>
      </c>
      <c r="Y62" s="17">
        <v>1</v>
      </c>
      <c r="Z62" s="17">
        <v>0</v>
      </c>
      <c r="AA62" s="17">
        <v>0</v>
      </c>
      <c r="AB62" s="17">
        <v>1</v>
      </c>
      <c r="AC62" s="17">
        <v>0</v>
      </c>
      <c r="AD62" s="17">
        <v>1</v>
      </c>
      <c r="AE62" s="17">
        <v>1</v>
      </c>
      <c r="AF62" s="17">
        <v>0</v>
      </c>
      <c r="AG62" s="17">
        <v>1</v>
      </c>
      <c r="AH62" s="17">
        <v>1</v>
      </c>
      <c r="AI62" s="17">
        <v>1</v>
      </c>
      <c r="AJ62" s="17">
        <v>1</v>
      </c>
      <c r="AK62" s="17">
        <v>1</v>
      </c>
      <c r="AL62" s="17">
        <v>1</v>
      </c>
      <c r="AM62" s="17">
        <v>0</v>
      </c>
      <c r="AN62" s="17">
        <v>1</v>
      </c>
      <c r="AO62" s="17">
        <v>0</v>
      </c>
      <c r="AP62" s="17">
        <v>1</v>
      </c>
      <c r="AQ62" s="17">
        <v>0</v>
      </c>
      <c r="AR62" s="17">
        <v>0</v>
      </c>
      <c r="AS62" s="17">
        <v>0</v>
      </c>
      <c r="AT62" s="17">
        <v>1</v>
      </c>
      <c r="AU62" s="17">
        <v>0</v>
      </c>
      <c r="AV62" s="17">
        <v>0</v>
      </c>
      <c r="AW62" s="17">
        <v>0</v>
      </c>
      <c r="AX62" s="17">
        <v>0</v>
      </c>
      <c r="AY62" s="17">
        <v>0</v>
      </c>
      <c r="AZ62" s="17">
        <v>0</v>
      </c>
      <c r="BA62" s="17">
        <v>0</v>
      </c>
      <c r="BB62" s="17">
        <v>1</v>
      </c>
      <c r="BC62" s="17">
        <v>1</v>
      </c>
      <c r="BD62" s="17">
        <v>0</v>
      </c>
      <c r="BE62" s="17">
        <v>0</v>
      </c>
      <c r="BF62" s="17">
        <v>0</v>
      </c>
      <c r="BG62" s="17">
        <v>1</v>
      </c>
      <c r="BH62" s="17">
        <v>0</v>
      </c>
      <c r="BI62" s="17">
        <v>1</v>
      </c>
      <c r="BJ62" s="17">
        <v>1</v>
      </c>
      <c r="BK62" s="17">
        <v>1</v>
      </c>
      <c r="BL62" s="17">
        <v>1</v>
      </c>
      <c r="BM62" s="17">
        <v>1</v>
      </c>
      <c r="BN62" s="17">
        <v>1</v>
      </c>
      <c r="BO62" s="17">
        <v>0</v>
      </c>
      <c r="BP62" s="17">
        <v>0</v>
      </c>
      <c r="BQ62" s="17">
        <v>1</v>
      </c>
      <c r="BR62" s="17">
        <v>0</v>
      </c>
      <c r="BS62" s="17" t="e">
        <v>#N/A</v>
      </c>
      <c r="BT62" s="17" t="e">
        <v>#N/A</v>
      </c>
      <c r="BU62" s="17" t="e">
        <v>#N/A</v>
      </c>
      <c r="BV62" s="17" t="e">
        <v>#N/A</v>
      </c>
      <c r="BW62" s="17" t="e">
        <v>#N/A</v>
      </c>
      <c r="BX62" s="17" t="e">
        <v>#N/A</v>
      </c>
      <c r="BY62" s="17" t="e">
        <v>#N/A</v>
      </c>
      <c r="BZ62" s="17" t="e">
        <v>#N/A</v>
      </c>
      <c r="CA62" s="17" t="e">
        <v>#N/A</v>
      </c>
      <c r="CB62" s="17" t="e">
        <v>#N/A</v>
      </c>
      <c r="CC62" s="17" t="e">
        <v>#N/A</v>
      </c>
      <c r="CD62" s="17" t="e">
        <v>#N/A</v>
      </c>
      <c r="CE62" s="17" t="e">
        <v>#N/A</v>
      </c>
      <c r="CF62" s="17" t="e">
        <v>#N/A</v>
      </c>
      <c r="CG62" s="17" t="e">
        <v>#N/A</v>
      </c>
      <c r="CH62" s="17" t="e">
        <v>#N/A</v>
      </c>
      <c r="CI62" s="17" t="e">
        <v>#N/A</v>
      </c>
      <c r="CJ62" s="17" t="e">
        <v>#N/A</v>
      </c>
      <c r="CK62" s="17" t="e">
        <v>#N/A</v>
      </c>
      <c r="CL62" s="17" t="e">
        <v>#N/A</v>
      </c>
      <c r="CM62" s="17" t="e">
        <v>#N/A</v>
      </c>
      <c r="CN62" s="17" t="e">
        <v>#N/A</v>
      </c>
      <c r="CO62" s="17" t="e">
        <v>#N/A</v>
      </c>
      <c r="CP62" s="17" t="e">
        <v>#N/A</v>
      </c>
      <c r="CQ62" s="17" t="e">
        <v>#N/A</v>
      </c>
      <c r="CR62" s="17" t="e">
        <v>#N/A</v>
      </c>
      <c r="CS62" s="17" t="e">
        <v>#N/A</v>
      </c>
      <c r="CT62" s="17" t="e">
        <v>#N/A</v>
      </c>
      <c r="CU62" s="17" t="e">
        <v>#N/A</v>
      </c>
      <c r="CV62" s="17" t="e">
        <v>#N/A</v>
      </c>
      <c r="CW62" s="17" t="e">
        <v>#N/A</v>
      </c>
      <c r="CX62" s="17" t="e">
        <v>#N/A</v>
      </c>
      <c r="CY62" s="17" t="e">
        <v>#N/A</v>
      </c>
      <c r="CZ62" s="17" t="e">
        <v>#N/A</v>
      </c>
      <c r="DA62" s="17" t="e">
        <v>#N/A</v>
      </c>
      <c r="DB62" s="17" t="e">
        <v>#N/A</v>
      </c>
      <c r="DC62" s="17" t="e">
        <v>#N/A</v>
      </c>
      <c r="DD62" s="17" t="e">
        <v>#N/A</v>
      </c>
      <c r="DE62" s="17" t="e">
        <v>#N/A</v>
      </c>
      <c r="DF62" s="17" t="e">
        <v>#N/A</v>
      </c>
      <c r="DG62" s="17" t="e">
        <v>#N/A</v>
      </c>
      <c r="DH62" s="17" t="e">
        <v>#N/A</v>
      </c>
      <c r="DI62" s="17" t="e">
        <v>#N/A</v>
      </c>
      <c r="DJ62" s="17" t="e">
        <v>#N/A</v>
      </c>
      <c r="DK62" s="17" t="e">
        <v>#N/A</v>
      </c>
      <c r="DL62" s="17" t="e">
        <v>#N/A</v>
      </c>
      <c r="DM62" s="17" t="e">
        <v>#N/A</v>
      </c>
      <c r="DN62" s="17" t="e">
        <v>#N/A</v>
      </c>
      <c r="DO62" s="17" t="e">
        <v>#N/A</v>
      </c>
      <c r="DP62" s="17" t="e">
        <v>#N/A</v>
      </c>
      <c r="DQ62" s="17" t="e">
        <v>#N/A</v>
      </c>
      <c r="DR62" s="17" t="e">
        <v>#N/A</v>
      </c>
      <c r="DS62" s="17" t="e">
        <v>#N/A</v>
      </c>
      <c r="DT62" s="17" t="e">
        <v>#N/A</v>
      </c>
      <c r="DU62" s="17" t="e">
        <v>#N/A</v>
      </c>
      <c r="DV62" s="17" t="e">
        <v>#N/A</v>
      </c>
      <c r="DW62" s="17" t="e">
        <v>#N/A</v>
      </c>
      <c r="DX62" s="17" t="e">
        <v>#N/A</v>
      </c>
      <c r="DY62" s="17" t="e">
        <v>#N/A</v>
      </c>
      <c r="DZ62" s="17" t="e">
        <v>#N/A</v>
      </c>
      <c r="EA62" s="17" t="e">
        <v>#N/A</v>
      </c>
      <c r="EB62" s="17" t="e">
        <v>#N/A</v>
      </c>
      <c r="EC62" s="17" t="e">
        <v>#N/A</v>
      </c>
      <c r="ED62" s="17" t="e">
        <v>#N/A</v>
      </c>
      <c r="EE62" s="17" t="e">
        <v>#N/A</v>
      </c>
      <c r="EF62" s="17" t="e">
        <v>#N/A</v>
      </c>
      <c r="EG62" s="17" t="e">
        <v>#N/A</v>
      </c>
      <c r="EH62" s="17" t="e">
        <v>#N/A</v>
      </c>
      <c r="EI62" s="17" t="e">
        <v>#N/A</v>
      </c>
      <c r="EJ62" s="17" t="e">
        <v>#N/A</v>
      </c>
      <c r="EK62" s="17" t="e">
        <v>#N/A</v>
      </c>
      <c r="EL62" s="17" t="e">
        <v>#N/A</v>
      </c>
      <c r="EM62" s="17" t="e">
        <v>#N/A</v>
      </c>
      <c r="EN62" s="17" t="e">
        <v>#N/A</v>
      </c>
      <c r="EO62" s="17" t="e">
        <v>#N/A</v>
      </c>
      <c r="EP62" s="17" t="e">
        <v>#N/A</v>
      </c>
      <c r="EQ62" s="17" t="e">
        <v>#N/A</v>
      </c>
      <c r="ER62" s="17" t="e">
        <v>#N/A</v>
      </c>
      <c r="ES62" s="17" t="e">
        <v>#N/A</v>
      </c>
      <c r="ET62" s="17" t="e">
        <v>#N/A</v>
      </c>
      <c r="EU62" s="17" t="e">
        <v>#N/A</v>
      </c>
      <c r="EV62" s="17" t="e">
        <v>#N/A</v>
      </c>
      <c r="EW62" s="17" t="e">
        <v>#N/A</v>
      </c>
      <c r="EX62" s="17" t="e">
        <v>#N/A</v>
      </c>
      <c r="EY62" s="17" t="e">
        <v>#N/A</v>
      </c>
      <c r="EZ62" s="17" t="e">
        <v>#N/A</v>
      </c>
      <c r="FA62" s="17" t="e">
        <v>#N/A</v>
      </c>
      <c r="FB62" s="17" t="e">
        <v>#N/A</v>
      </c>
      <c r="FC62" s="17" t="e">
        <v>#N/A</v>
      </c>
      <c r="FD62" s="17" t="e">
        <v>#N/A</v>
      </c>
      <c r="FE62" s="17" t="e">
        <v>#N/A</v>
      </c>
      <c r="FF62" s="17" t="e">
        <v>#N/A</v>
      </c>
      <c r="FG62" s="17" t="e">
        <v>#N/A</v>
      </c>
      <c r="FH62" s="17" t="e">
        <v>#N/A</v>
      </c>
      <c r="FI62" s="17" t="e">
        <v>#N/A</v>
      </c>
      <c r="FJ62" s="17" t="e">
        <v>#N/A</v>
      </c>
      <c r="FK62" s="17" t="e">
        <v>#N/A</v>
      </c>
      <c r="FL62" s="17" t="e">
        <v>#N/A</v>
      </c>
      <c r="FM62" s="17" t="e">
        <v>#N/A</v>
      </c>
      <c r="FN62" s="17" t="e">
        <v>#N/A</v>
      </c>
      <c r="FO62" s="17" t="e">
        <v>#N/A</v>
      </c>
      <c r="FP62" s="17" t="e">
        <v>#N/A</v>
      </c>
      <c r="FQ62" s="17" t="e">
        <v>#N/A</v>
      </c>
      <c r="FR62" s="17" t="e">
        <v>#N/A</v>
      </c>
      <c r="FS62" s="17" t="e">
        <v>#N/A</v>
      </c>
      <c r="FT62" s="17" t="e">
        <v>#N/A</v>
      </c>
      <c r="FU62" s="17" t="e">
        <v>#N/A</v>
      </c>
      <c r="FV62" s="17" t="e">
        <v>#N/A</v>
      </c>
    </row>
    <row r="63" spans="2:178" ht="11.25" customHeight="1">
      <c r="B63" s="17">
        <v>0</v>
      </c>
      <c r="C63" s="17">
        <v>0</v>
      </c>
      <c r="D63" s="17">
        <v>0</v>
      </c>
      <c r="E63" s="17">
        <v>0</v>
      </c>
      <c r="F63" s="17">
        <v>0</v>
      </c>
      <c r="G63" s="17">
        <v>0</v>
      </c>
      <c r="H63" s="17">
        <v>0</v>
      </c>
      <c r="I63" s="17">
        <v>0</v>
      </c>
      <c r="J63" s="17">
        <v>1</v>
      </c>
      <c r="K63" s="17">
        <v>0</v>
      </c>
      <c r="L63" s="17">
        <v>0</v>
      </c>
      <c r="M63" s="17">
        <v>1</v>
      </c>
      <c r="N63" s="17">
        <v>1</v>
      </c>
      <c r="O63" s="17">
        <v>1</v>
      </c>
      <c r="P63" s="17">
        <v>1</v>
      </c>
      <c r="Q63" s="17">
        <v>0</v>
      </c>
      <c r="R63" s="17">
        <v>0</v>
      </c>
      <c r="S63" s="17">
        <v>1</v>
      </c>
      <c r="T63" s="17">
        <v>1</v>
      </c>
      <c r="U63" s="17">
        <v>1</v>
      </c>
      <c r="V63" s="17">
        <v>0</v>
      </c>
      <c r="W63" s="17">
        <v>0</v>
      </c>
      <c r="X63" s="17">
        <v>0</v>
      </c>
      <c r="Y63" s="17">
        <v>1</v>
      </c>
      <c r="Z63" s="17">
        <v>0</v>
      </c>
      <c r="AA63" s="17">
        <v>1</v>
      </c>
      <c r="AB63" s="17">
        <v>1</v>
      </c>
      <c r="AC63" s="17">
        <v>0</v>
      </c>
      <c r="AD63" s="17">
        <v>0</v>
      </c>
      <c r="AE63" s="17">
        <v>0</v>
      </c>
      <c r="AF63" s="17">
        <v>0</v>
      </c>
      <c r="AG63" s="17">
        <v>0</v>
      </c>
      <c r="AH63" s="17">
        <v>1</v>
      </c>
      <c r="AI63" s="17">
        <v>0</v>
      </c>
      <c r="AJ63" s="17">
        <v>0</v>
      </c>
      <c r="AK63" s="17">
        <v>0</v>
      </c>
      <c r="AL63" s="17">
        <v>1</v>
      </c>
      <c r="AM63" s="17">
        <v>1</v>
      </c>
      <c r="AN63" s="17">
        <v>0</v>
      </c>
      <c r="AO63" s="17">
        <v>1</v>
      </c>
      <c r="AP63" s="17">
        <v>0</v>
      </c>
      <c r="AQ63" s="17">
        <v>0</v>
      </c>
      <c r="AR63" s="17">
        <v>0</v>
      </c>
      <c r="AS63" s="17">
        <v>0</v>
      </c>
      <c r="AT63" s="17">
        <v>0</v>
      </c>
      <c r="AU63" s="17">
        <v>1</v>
      </c>
      <c r="AV63" s="17">
        <v>0</v>
      </c>
      <c r="AW63" s="17">
        <v>0</v>
      </c>
      <c r="AX63" s="17">
        <v>0</v>
      </c>
      <c r="AY63" s="17">
        <v>1</v>
      </c>
      <c r="AZ63" s="17">
        <v>1</v>
      </c>
      <c r="BA63" s="17">
        <v>0</v>
      </c>
      <c r="BB63" s="17">
        <v>0</v>
      </c>
      <c r="BC63" s="17">
        <v>1</v>
      </c>
      <c r="BD63" s="17">
        <v>0</v>
      </c>
      <c r="BE63" s="17">
        <v>1</v>
      </c>
      <c r="BF63" s="17">
        <v>1</v>
      </c>
      <c r="BG63" s="17">
        <v>0</v>
      </c>
      <c r="BH63" s="17">
        <v>1</v>
      </c>
      <c r="BI63" s="17">
        <v>0</v>
      </c>
      <c r="BJ63" s="17">
        <v>1</v>
      </c>
      <c r="BK63" s="17">
        <v>0</v>
      </c>
      <c r="BL63" s="17">
        <v>0</v>
      </c>
      <c r="BM63" s="17">
        <v>0</v>
      </c>
      <c r="BN63" s="17">
        <v>1</v>
      </c>
      <c r="BO63" s="17">
        <v>1</v>
      </c>
      <c r="BP63" s="17">
        <v>1</v>
      </c>
      <c r="BQ63" s="17">
        <v>0</v>
      </c>
      <c r="BR63" s="17">
        <v>1</v>
      </c>
      <c r="BS63" s="17" t="e">
        <v>#N/A</v>
      </c>
      <c r="BT63" s="17" t="e">
        <v>#N/A</v>
      </c>
      <c r="BU63" s="17" t="e">
        <v>#N/A</v>
      </c>
      <c r="BV63" s="17" t="e">
        <v>#N/A</v>
      </c>
      <c r="BW63" s="17" t="e">
        <v>#N/A</v>
      </c>
      <c r="BX63" s="17" t="e">
        <v>#N/A</v>
      </c>
      <c r="BY63" s="17" t="e">
        <v>#N/A</v>
      </c>
      <c r="BZ63" s="17" t="e">
        <v>#N/A</v>
      </c>
      <c r="CA63" s="17" t="e">
        <v>#N/A</v>
      </c>
      <c r="CB63" s="17" t="e">
        <v>#N/A</v>
      </c>
      <c r="CC63" s="17" t="e">
        <v>#N/A</v>
      </c>
      <c r="CD63" s="17" t="e">
        <v>#N/A</v>
      </c>
      <c r="CE63" s="17" t="e">
        <v>#N/A</v>
      </c>
      <c r="CF63" s="17" t="e">
        <v>#N/A</v>
      </c>
      <c r="CG63" s="17" t="e">
        <v>#N/A</v>
      </c>
      <c r="CH63" s="17" t="e">
        <v>#N/A</v>
      </c>
      <c r="CI63" s="17" t="e">
        <v>#N/A</v>
      </c>
      <c r="CJ63" s="17" t="e">
        <v>#N/A</v>
      </c>
      <c r="CK63" s="17" t="e">
        <v>#N/A</v>
      </c>
      <c r="CL63" s="17" t="e">
        <v>#N/A</v>
      </c>
      <c r="CM63" s="17" t="e">
        <v>#N/A</v>
      </c>
      <c r="CN63" s="17" t="e">
        <v>#N/A</v>
      </c>
      <c r="CO63" s="17" t="e">
        <v>#N/A</v>
      </c>
      <c r="CP63" s="17" t="e">
        <v>#N/A</v>
      </c>
      <c r="CQ63" s="17" t="e">
        <v>#N/A</v>
      </c>
      <c r="CR63" s="17" t="e">
        <v>#N/A</v>
      </c>
      <c r="CS63" s="17" t="e">
        <v>#N/A</v>
      </c>
      <c r="CT63" s="17" t="e">
        <v>#N/A</v>
      </c>
      <c r="CU63" s="17" t="e">
        <v>#N/A</v>
      </c>
      <c r="CV63" s="17" t="e">
        <v>#N/A</v>
      </c>
      <c r="CW63" s="17" t="e">
        <v>#N/A</v>
      </c>
      <c r="CX63" s="17" t="e">
        <v>#N/A</v>
      </c>
      <c r="CY63" s="17" t="e">
        <v>#N/A</v>
      </c>
      <c r="CZ63" s="17" t="e">
        <v>#N/A</v>
      </c>
      <c r="DA63" s="17" t="e">
        <v>#N/A</v>
      </c>
      <c r="DB63" s="17" t="e">
        <v>#N/A</v>
      </c>
      <c r="DC63" s="17" t="e">
        <v>#N/A</v>
      </c>
      <c r="DD63" s="17" t="e">
        <v>#N/A</v>
      </c>
      <c r="DE63" s="17" t="e">
        <v>#N/A</v>
      </c>
      <c r="DF63" s="17" t="e">
        <v>#N/A</v>
      </c>
      <c r="DG63" s="17" t="e">
        <v>#N/A</v>
      </c>
      <c r="DH63" s="17" t="e">
        <v>#N/A</v>
      </c>
      <c r="DI63" s="17" t="e">
        <v>#N/A</v>
      </c>
      <c r="DJ63" s="17" t="e">
        <v>#N/A</v>
      </c>
      <c r="DK63" s="17" t="e">
        <v>#N/A</v>
      </c>
      <c r="DL63" s="17" t="e">
        <v>#N/A</v>
      </c>
      <c r="DM63" s="17" t="e">
        <v>#N/A</v>
      </c>
      <c r="DN63" s="17" t="e">
        <v>#N/A</v>
      </c>
      <c r="DO63" s="17" t="e">
        <v>#N/A</v>
      </c>
      <c r="DP63" s="17" t="e">
        <v>#N/A</v>
      </c>
      <c r="DQ63" s="17" t="e">
        <v>#N/A</v>
      </c>
      <c r="DR63" s="17" t="e">
        <v>#N/A</v>
      </c>
      <c r="DS63" s="17" t="e">
        <v>#N/A</v>
      </c>
      <c r="DT63" s="17" t="e">
        <v>#N/A</v>
      </c>
      <c r="DU63" s="17" t="e">
        <v>#N/A</v>
      </c>
      <c r="DV63" s="17" t="e">
        <v>#N/A</v>
      </c>
      <c r="DW63" s="17" t="e">
        <v>#N/A</v>
      </c>
      <c r="DX63" s="17" t="e">
        <v>#N/A</v>
      </c>
      <c r="DY63" s="17" t="e">
        <v>#N/A</v>
      </c>
      <c r="DZ63" s="17" t="e">
        <v>#N/A</v>
      </c>
      <c r="EA63" s="17" t="e">
        <v>#N/A</v>
      </c>
      <c r="EB63" s="17" t="e">
        <v>#N/A</v>
      </c>
      <c r="EC63" s="17" t="e">
        <v>#N/A</v>
      </c>
      <c r="ED63" s="17" t="e">
        <v>#N/A</v>
      </c>
      <c r="EE63" s="17" t="e">
        <v>#N/A</v>
      </c>
      <c r="EF63" s="17" t="e">
        <v>#N/A</v>
      </c>
      <c r="EG63" s="17" t="e">
        <v>#N/A</v>
      </c>
      <c r="EH63" s="17" t="e">
        <v>#N/A</v>
      </c>
      <c r="EI63" s="17" t="e">
        <v>#N/A</v>
      </c>
      <c r="EJ63" s="17" t="e">
        <v>#N/A</v>
      </c>
      <c r="EK63" s="17" t="e">
        <v>#N/A</v>
      </c>
      <c r="EL63" s="17" t="e">
        <v>#N/A</v>
      </c>
      <c r="EM63" s="17" t="e">
        <v>#N/A</v>
      </c>
      <c r="EN63" s="17" t="e">
        <v>#N/A</v>
      </c>
      <c r="EO63" s="17" t="e">
        <v>#N/A</v>
      </c>
      <c r="EP63" s="17" t="e">
        <v>#N/A</v>
      </c>
      <c r="EQ63" s="17" t="e">
        <v>#N/A</v>
      </c>
      <c r="ER63" s="17" t="e">
        <v>#N/A</v>
      </c>
      <c r="ES63" s="17" t="e">
        <v>#N/A</v>
      </c>
      <c r="ET63" s="17" t="e">
        <v>#N/A</v>
      </c>
      <c r="EU63" s="17" t="e">
        <v>#N/A</v>
      </c>
      <c r="EV63" s="17" t="e">
        <v>#N/A</v>
      </c>
      <c r="EW63" s="17" t="e">
        <v>#N/A</v>
      </c>
      <c r="EX63" s="17" t="e">
        <v>#N/A</v>
      </c>
      <c r="EY63" s="17" t="e">
        <v>#N/A</v>
      </c>
      <c r="EZ63" s="17" t="e">
        <v>#N/A</v>
      </c>
      <c r="FA63" s="17" t="e">
        <v>#N/A</v>
      </c>
      <c r="FB63" s="17" t="e">
        <v>#N/A</v>
      </c>
      <c r="FC63" s="17" t="e">
        <v>#N/A</v>
      </c>
      <c r="FD63" s="17" t="e">
        <v>#N/A</v>
      </c>
      <c r="FE63" s="17" t="e">
        <v>#N/A</v>
      </c>
      <c r="FF63" s="17" t="e">
        <v>#N/A</v>
      </c>
      <c r="FG63" s="17" t="e">
        <v>#N/A</v>
      </c>
      <c r="FH63" s="17" t="e">
        <v>#N/A</v>
      </c>
      <c r="FI63" s="17" t="e">
        <v>#N/A</v>
      </c>
      <c r="FJ63" s="17" t="e">
        <v>#N/A</v>
      </c>
      <c r="FK63" s="17" t="e">
        <v>#N/A</v>
      </c>
      <c r="FL63" s="17" t="e">
        <v>#N/A</v>
      </c>
      <c r="FM63" s="17" t="e">
        <v>#N/A</v>
      </c>
      <c r="FN63" s="17" t="e">
        <v>#N/A</v>
      </c>
      <c r="FO63" s="17" t="e">
        <v>#N/A</v>
      </c>
      <c r="FP63" s="17" t="e">
        <v>#N/A</v>
      </c>
      <c r="FQ63" s="17" t="e">
        <v>#N/A</v>
      </c>
      <c r="FR63" s="17" t="e">
        <v>#N/A</v>
      </c>
      <c r="FS63" s="17" t="e">
        <v>#N/A</v>
      </c>
      <c r="FT63" s="17" t="e">
        <v>#N/A</v>
      </c>
      <c r="FU63" s="17" t="e">
        <v>#N/A</v>
      </c>
      <c r="FV63" s="17" t="e">
        <v>#N/A</v>
      </c>
    </row>
    <row r="64" spans="2:178" ht="11.25" customHeight="1">
      <c r="B64" s="17">
        <v>1</v>
      </c>
      <c r="C64" s="17">
        <v>1</v>
      </c>
      <c r="D64" s="17">
        <v>1</v>
      </c>
      <c r="E64" s="17">
        <v>1</v>
      </c>
      <c r="F64" s="17">
        <v>1</v>
      </c>
      <c r="G64" s="17">
        <v>1</v>
      </c>
      <c r="H64" s="17">
        <v>1</v>
      </c>
      <c r="I64" s="17">
        <v>0</v>
      </c>
      <c r="J64" s="17">
        <v>0</v>
      </c>
      <c r="K64" s="17">
        <v>0</v>
      </c>
      <c r="L64" s="17">
        <v>1</v>
      </c>
      <c r="M64" s="17">
        <v>1</v>
      </c>
      <c r="N64" s="17">
        <v>1</v>
      </c>
      <c r="O64" s="17">
        <v>1</v>
      </c>
      <c r="P64" s="17">
        <v>0</v>
      </c>
      <c r="Q64" s="17">
        <v>0</v>
      </c>
      <c r="R64" s="17">
        <v>0</v>
      </c>
      <c r="S64" s="17">
        <v>0</v>
      </c>
      <c r="T64" s="17">
        <v>0</v>
      </c>
      <c r="U64" s="17">
        <v>1</v>
      </c>
      <c r="V64" s="17">
        <v>0</v>
      </c>
      <c r="W64" s="17">
        <v>1</v>
      </c>
      <c r="X64" s="17">
        <v>1</v>
      </c>
      <c r="Y64" s="17">
        <v>1</v>
      </c>
      <c r="Z64" s="17">
        <v>0</v>
      </c>
      <c r="AA64" s="17">
        <v>1</v>
      </c>
      <c r="AB64" s="17">
        <v>1</v>
      </c>
      <c r="AC64" s="17">
        <v>1</v>
      </c>
      <c r="AD64" s="17">
        <v>1</v>
      </c>
      <c r="AE64" s="17">
        <v>0</v>
      </c>
      <c r="AF64" s="17">
        <v>0</v>
      </c>
      <c r="AG64" s="17">
        <v>1</v>
      </c>
      <c r="AH64" s="17">
        <v>1</v>
      </c>
      <c r="AI64" s="17">
        <v>0</v>
      </c>
      <c r="AJ64" s="17">
        <v>1</v>
      </c>
      <c r="AK64" s="17">
        <v>0</v>
      </c>
      <c r="AL64" s="17">
        <v>1</v>
      </c>
      <c r="AM64" s="17">
        <v>0</v>
      </c>
      <c r="AN64" s="17">
        <v>1</v>
      </c>
      <c r="AO64" s="17">
        <v>0</v>
      </c>
      <c r="AP64" s="17">
        <v>0</v>
      </c>
      <c r="AQ64" s="17">
        <v>0</v>
      </c>
      <c r="AR64" s="17">
        <v>1</v>
      </c>
      <c r="AS64" s="17">
        <v>0</v>
      </c>
      <c r="AT64" s="17">
        <v>1</v>
      </c>
      <c r="AU64" s="17">
        <v>1</v>
      </c>
      <c r="AV64" s="17">
        <v>1</v>
      </c>
      <c r="AW64" s="17">
        <v>1</v>
      </c>
      <c r="AX64" s="17">
        <v>1</v>
      </c>
      <c r="AY64" s="17">
        <v>0</v>
      </c>
      <c r="AZ64" s="17">
        <v>0</v>
      </c>
      <c r="BA64" s="17">
        <v>0</v>
      </c>
      <c r="BB64" s="17">
        <v>1</v>
      </c>
      <c r="BC64" s="17">
        <v>1</v>
      </c>
      <c r="BD64" s="17">
        <v>1</v>
      </c>
      <c r="BE64" s="17">
        <v>1</v>
      </c>
      <c r="BF64" s="17">
        <v>0</v>
      </c>
      <c r="BG64" s="17">
        <v>1</v>
      </c>
      <c r="BH64" s="17">
        <v>1</v>
      </c>
      <c r="BI64" s="17">
        <v>1</v>
      </c>
      <c r="BJ64" s="17">
        <v>1</v>
      </c>
      <c r="BK64" s="17">
        <v>0</v>
      </c>
      <c r="BL64" s="17">
        <v>1</v>
      </c>
      <c r="BM64" s="17">
        <v>0</v>
      </c>
      <c r="BN64" s="17">
        <v>1</v>
      </c>
      <c r="BO64" s="17">
        <v>1</v>
      </c>
      <c r="BP64" s="17">
        <v>0</v>
      </c>
      <c r="BQ64" s="17">
        <v>0</v>
      </c>
      <c r="BR64" s="17">
        <v>1</v>
      </c>
      <c r="BS64" s="17" t="e">
        <v>#N/A</v>
      </c>
      <c r="BT64" s="17" t="e">
        <v>#N/A</v>
      </c>
      <c r="BU64" s="17" t="e">
        <v>#N/A</v>
      </c>
      <c r="BV64" s="17" t="e">
        <v>#N/A</v>
      </c>
      <c r="BW64" s="17" t="e">
        <v>#N/A</v>
      </c>
      <c r="BX64" s="17" t="e">
        <v>#N/A</v>
      </c>
      <c r="BY64" s="17" t="e">
        <v>#N/A</v>
      </c>
      <c r="BZ64" s="17" t="e">
        <v>#N/A</v>
      </c>
      <c r="CA64" s="17" t="e">
        <v>#N/A</v>
      </c>
      <c r="CB64" s="17" t="e">
        <v>#N/A</v>
      </c>
      <c r="CC64" s="17" t="e">
        <v>#N/A</v>
      </c>
      <c r="CD64" s="17" t="e">
        <v>#N/A</v>
      </c>
      <c r="CE64" s="17" t="e">
        <v>#N/A</v>
      </c>
      <c r="CF64" s="17" t="e">
        <v>#N/A</v>
      </c>
      <c r="CG64" s="17" t="e">
        <v>#N/A</v>
      </c>
      <c r="CH64" s="17" t="e">
        <v>#N/A</v>
      </c>
      <c r="CI64" s="17" t="e">
        <v>#N/A</v>
      </c>
      <c r="CJ64" s="17" t="e">
        <v>#N/A</v>
      </c>
      <c r="CK64" s="17" t="e">
        <v>#N/A</v>
      </c>
      <c r="CL64" s="17" t="e">
        <v>#N/A</v>
      </c>
      <c r="CM64" s="17" t="e">
        <v>#N/A</v>
      </c>
      <c r="CN64" s="17" t="e">
        <v>#N/A</v>
      </c>
      <c r="CO64" s="17" t="e">
        <v>#N/A</v>
      </c>
      <c r="CP64" s="17" t="e">
        <v>#N/A</v>
      </c>
      <c r="CQ64" s="17" t="e">
        <v>#N/A</v>
      </c>
      <c r="CR64" s="17" t="e">
        <v>#N/A</v>
      </c>
      <c r="CS64" s="17" t="e">
        <v>#N/A</v>
      </c>
      <c r="CT64" s="17" t="e">
        <v>#N/A</v>
      </c>
      <c r="CU64" s="17" t="e">
        <v>#N/A</v>
      </c>
      <c r="CV64" s="17" t="e">
        <v>#N/A</v>
      </c>
      <c r="CW64" s="17" t="e">
        <v>#N/A</v>
      </c>
      <c r="CX64" s="17" t="e">
        <v>#N/A</v>
      </c>
      <c r="CY64" s="17" t="e">
        <v>#N/A</v>
      </c>
      <c r="CZ64" s="17" t="e">
        <v>#N/A</v>
      </c>
      <c r="DA64" s="17" t="e">
        <v>#N/A</v>
      </c>
      <c r="DB64" s="17" t="e">
        <v>#N/A</v>
      </c>
      <c r="DC64" s="17" t="e">
        <v>#N/A</v>
      </c>
      <c r="DD64" s="17" t="e">
        <v>#N/A</v>
      </c>
      <c r="DE64" s="17" t="e">
        <v>#N/A</v>
      </c>
      <c r="DF64" s="17" t="e">
        <v>#N/A</v>
      </c>
      <c r="DG64" s="17" t="e">
        <v>#N/A</v>
      </c>
      <c r="DH64" s="17" t="e">
        <v>#N/A</v>
      </c>
      <c r="DI64" s="17" t="e">
        <v>#N/A</v>
      </c>
      <c r="DJ64" s="17" t="e">
        <v>#N/A</v>
      </c>
      <c r="DK64" s="17" t="e">
        <v>#N/A</v>
      </c>
      <c r="DL64" s="17" t="e">
        <v>#N/A</v>
      </c>
      <c r="DM64" s="17" t="e">
        <v>#N/A</v>
      </c>
      <c r="DN64" s="17" t="e">
        <v>#N/A</v>
      </c>
      <c r="DO64" s="17" t="e">
        <v>#N/A</v>
      </c>
      <c r="DP64" s="17" t="e">
        <v>#N/A</v>
      </c>
      <c r="DQ64" s="17" t="e">
        <v>#N/A</v>
      </c>
      <c r="DR64" s="17" t="e">
        <v>#N/A</v>
      </c>
      <c r="DS64" s="17" t="e">
        <v>#N/A</v>
      </c>
      <c r="DT64" s="17" t="e">
        <v>#N/A</v>
      </c>
      <c r="DU64" s="17" t="e">
        <v>#N/A</v>
      </c>
      <c r="DV64" s="17" t="e">
        <v>#N/A</v>
      </c>
      <c r="DW64" s="17" t="e">
        <v>#N/A</v>
      </c>
      <c r="DX64" s="17" t="e">
        <v>#N/A</v>
      </c>
      <c r="DY64" s="17" t="e">
        <v>#N/A</v>
      </c>
      <c r="DZ64" s="17" t="e">
        <v>#N/A</v>
      </c>
      <c r="EA64" s="17" t="e">
        <v>#N/A</v>
      </c>
      <c r="EB64" s="17" t="e">
        <v>#N/A</v>
      </c>
      <c r="EC64" s="17" t="e">
        <v>#N/A</v>
      </c>
      <c r="ED64" s="17" t="e">
        <v>#N/A</v>
      </c>
      <c r="EE64" s="17" t="e">
        <v>#N/A</v>
      </c>
      <c r="EF64" s="17" t="e">
        <v>#N/A</v>
      </c>
      <c r="EG64" s="17" t="e">
        <v>#N/A</v>
      </c>
      <c r="EH64" s="17" t="e">
        <v>#N/A</v>
      </c>
      <c r="EI64" s="17" t="e">
        <v>#N/A</v>
      </c>
      <c r="EJ64" s="17" t="e">
        <v>#N/A</v>
      </c>
      <c r="EK64" s="17" t="e">
        <v>#N/A</v>
      </c>
      <c r="EL64" s="17" t="e">
        <v>#N/A</v>
      </c>
      <c r="EM64" s="17" t="e">
        <v>#N/A</v>
      </c>
      <c r="EN64" s="17" t="e">
        <v>#N/A</v>
      </c>
      <c r="EO64" s="17" t="e">
        <v>#N/A</v>
      </c>
      <c r="EP64" s="17" t="e">
        <v>#N/A</v>
      </c>
      <c r="EQ64" s="17" t="e">
        <v>#N/A</v>
      </c>
      <c r="ER64" s="17" t="e">
        <v>#N/A</v>
      </c>
      <c r="ES64" s="17" t="e">
        <v>#N/A</v>
      </c>
      <c r="ET64" s="17" t="e">
        <v>#N/A</v>
      </c>
      <c r="EU64" s="17" t="e">
        <v>#N/A</v>
      </c>
      <c r="EV64" s="17" t="e">
        <v>#N/A</v>
      </c>
      <c r="EW64" s="17" t="e">
        <v>#N/A</v>
      </c>
      <c r="EX64" s="17" t="e">
        <v>#N/A</v>
      </c>
      <c r="EY64" s="17" t="e">
        <v>#N/A</v>
      </c>
      <c r="EZ64" s="17" t="e">
        <v>#N/A</v>
      </c>
      <c r="FA64" s="17" t="e">
        <v>#N/A</v>
      </c>
      <c r="FB64" s="17" t="e">
        <v>#N/A</v>
      </c>
      <c r="FC64" s="17" t="e">
        <v>#N/A</v>
      </c>
      <c r="FD64" s="17" t="e">
        <v>#N/A</v>
      </c>
      <c r="FE64" s="17" t="e">
        <v>#N/A</v>
      </c>
      <c r="FF64" s="17" t="e">
        <v>#N/A</v>
      </c>
      <c r="FG64" s="17" t="e">
        <v>#N/A</v>
      </c>
      <c r="FH64" s="17" t="e">
        <v>#N/A</v>
      </c>
      <c r="FI64" s="17" t="e">
        <v>#N/A</v>
      </c>
      <c r="FJ64" s="17" t="e">
        <v>#N/A</v>
      </c>
      <c r="FK64" s="17" t="e">
        <v>#N/A</v>
      </c>
      <c r="FL64" s="17" t="e">
        <v>#N/A</v>
      </c>
      <c r="FM64" s="17" t="e">
        <v>#N/A</v>
      </c>
      <c r="FN64" s="17" t="e">
        <v>#N/A</v>
      </c>
      <c r="FO64" s="17" t="e">
        <v>#N/A</v>
      </c>
      <c r="FP64" s="17" t="e">
        <v>#N/A</v>
      </c>
      <c r="FQ64" s="17" t="e">
        <v>#N/A</v>
      </c>
      <c r="FR64" s="17" t="e">
        <v>#N/A</v>
      </c>
      <c r="FS64" s="17" t="e">
        <v>#N/A</v>
      </c>
      <c r="FT64" s="17" t="e">
        <v>#N/A</v>
      </c>
      <c r="FU64" s="17" t="e">
        <v>#N/A</v>
      </c>
      <c r="FV64" s="17" t="e">
        <v>#N/A</v>
      </c>
    </row>
    <row r="65" spans="2:178" ht="11.25" customHeight="1">
      <c r="B65" s="17">
        <v>1</v>
      </c>
      <c r="C65" s="17">
        <v>0</v>
      </c>
      <c r="D65" s="17">
        <v>0</v>
      </c>
      <c r="E65" s="17">
        <v>0</v>
      </c>
      <c r="F65" s="17">
        <v>0</v>
      </c>
      <c r="G65" s="17">
        <v>0</v>
      </c>
      <c r="H65" s="17">
        <v>1</v>
      </c>
      <c r="I65" s="17">
        <v>0</v>
      </c>
      <c r="J65" s="17">
        <v>0</v>
      </c>
      <c r="K65" s="17">
        <v>1</v>
      </c>
      <c r="L65" s="17">
        <v>0</v>
      </c>
      <c r="M65" s="17">
        <v>0</v>
      </c>
      <c r="N65" s="17">
        <v>1</v>
      </c>
      <c r="O65" s="17">
        <v>1</v>
      </c>
      <c r="P65" s="17">
        <v>1</v>
      </c>
      <c r="Q65" s="17">
        <v>1</v>
      </c>
      <c r="R65" s="17">
        <v>1</v>
      </c>
      <c r="S65" s="17">
        <v>0</v>
      </c>
      <c r="T65" s="17">
        <v>1</v>
      </c>
      <c r="U65" s="17">
        <v>1</v>
      </c>
      <c r="V65" s="17">
        <v>1</v>
      </c>
      <c r="W65" s="17">
        <v>1</v>
      </c>
      <c r="X65" s="17">
        <v>0</v>
      </c>
      <c r="Y65" s="17">
        <v>0</v>
      </c>
      <c r="Z65" s="17">
        <v>0</v>
      </c>
      <c r="AA65" s="17">
        <v>1</v>
      </c>
      <c r="AB65" s="17">
        <v>0</v>
      </c>
      <c r="AC65" s="17">
        <v>1</v>
      </c>
      <c r="AD65" s="17">
        <v>1</v>
      </c>
      <c r="AE65" s="17">
        <v>0</v>
      </c>
      <c r="AF65" s="17">
        <v>1</v>
      </c>
      <c r="AG65" s="17">
        <v>0</v>
      </c>
      <c r="AH65" s="17">
        <v>1</v>
      </c>
      <c r="AI65" s="17">
        <v>0</v>
      </c>
      <c r="AJ65" s="17">
        <v>0</v>
      </c>
      <c r="AK65" s="17">
        <v>0</v>
      </c>
      <c r="AL65" s="17">
        <v>1</v>
      </c>
      <c r="AM65" s="17">
        <v>0</v>
      </c>
      <c r="AN65" s="17">
        <v>0</v>
      </c>
      <c r="AO65" s="17">
        <v>0</v>
      </c>
      <c r="AP65" s="17">
        <v>1</v>
      </c>
      <c r="AQ65" s="17">
        <v>1</v>
      </c>
      <c r="AR65" s="17">
        <v>1</v>
      </c>
      <c r="AS65" s="17">
        <v>1</v>
      </c>
      <c r="AT65" s="17">
        <v>1</v>
      </c>
      <c r="AU65" s="17">
        <v>0</v>
      </c>
      <c r="AV65" s="17">
        <v>0</v>
      </c>
      <c r="AW65" s="17">
        <v>1</v>
      </c>
      <c r="AX65" s="17">
        <v>1</v>
      </c>
      <c r="AY65" s="17">
        <v>0</v>
      </c>
      <c r="AZ65" s="17">
        <v>1</v>
      </c>
      <c r="BA65" s="17">
        <v>0</v>
      </c>
      <c r="BB65" s="17">
        <v>0</v>
      </c>
      <c r="BC65" s="17">
        <v>0</v>
      </c>
      <c r="BD65" s="17">
        <v>1</v>
      </c>
      <c r="BE65" s="17">
        <v>1</v>
      </c>
      <c r="BF65" s="17">
        <v>0</v>
      </c>
      <c r="BG65" s="17">
        <v>0</v>
      </c>
      <c r="BH65" s="17">
        <v>0</v>
      </c>
      <c r="BI65" s="17">
        <v>1</v>
      </c>
      <c r="BJ65" s="17">
        <v>1</v>
      </c>
      <c r="BK65" s="17">
        <v>0</v>
      </c>
      <c r="BL65" s="17">
        <v>0</v>
      </c>
      <c r="BM65" s="17">
        <v>0</v>
      </c>
      <c r="BN65" s="17">
        <v>1</v>
      </c>
      <c r="BO65" s="17">
        <v>0</v>
      </c>
      <c r="BP65" s="17">
        <v>0</v>
      </c>
      <c r="BQ65" s="17">
        <v>0</v>
      </c>
      <c r="BR65" s="17">
        <v>1</v>
      </c>
      <c r="BS65" s="17" t="e">
        <v>#N/A</v>
      </c>
      <c r="BT65" s="17" t="e">
        <v>#N/A</v>
      </c>
      <c r="BU65" s="17" t="e">
        <v>#N/A</v>
      </c>
      <c r="BV65" s="17" t="e">
        <v>#N/A</v>
      </c>
      <c r="BW65" s="17" t="e">
        <v>#N/A</v>
      </c>
      <c r="BX65" s="17" t="e">
        <v>#N/A</v>
      </c>
      <c r="BY65" s="17" t="e">
        <v>#N/A</v>
      </c>
      <c r="BZ65" s="17" t="e">
        <v>#N/A</v>
      </c>
      <c r="CA65" s="17" t="e">
        <v>#N/A</v>
      </c>
      <c r="CB65" s="17" t="e">
        <v>#N/A</v>
      </c>
      <c r="CC65" s="17" t="e">
        <v>#N/A</v>
      </c>
      <c r="CD65" s="17" t="e">
        <v>#N/A</v>
      </c>
      <c r="CE65" s="17" t="e">
        <v>#N/A</v>
      </c>
      <c r="CF65" s="17" t="e">
        <v>#N/A</v>
      </c>
      <c r="CG65" s="17" t="e">
        <v>#N/A</v>
      </c>
      <c r="CH65" s="17" t="e">
        <v>#N/A</v>
      </c>
      <c r="CI65" s="17" t="e">
        <v>#N/A</v>
      </c>
      <c r="CJ65" s="17" t="e">
        <v>#N/A</v>
      </c>
      <c r="CK65" s="17" t="e">
        <v>#N/A</v>
      </c>
      <c r="CL65" s="17" t="e">
        <v>#N/A</v>
      </c>
      <c r="CM65" s="17" t="e">
        <v>#N/A</v>
      </c>
      <c r="CN65" s="17" t="e">
        <v>#N/A</v>
      </c>
      <c r="CO65" s="17" t="e">
        <v>#N/A</v>
      </c>
      <c r="CP65" s="17" t="e">
        <v>#N/A</v>
      </c>
      <c r="CQ65" s="17" t="e">
        <v>#N/A</v>
      </c>
      <c r="CR65" s="17" t="e">
        <v>#N/A</v>
      </c>
      <c r="CS65" s="17" t="e">
        <v>#N/A</v>
      </c>
      <c r="CT65" s="17" t="e">
        <v>#N/A</v>
      </c>
      <c r="CU65" s="17" t="e">
        <v>#N/A</v>
      </c>
      <c r="CV65" s="17" t="e">
        <v>#N/A</v>
      </c>
      <c r="CW65" s="17" t="e">
        <v>#N/A</v>
      </c>
      <c r="CX65" s="17" t="e">
        <v>#N/A</v>
      </c>
      <c r="CY65" s="17" t="e">
        <v>#N/A</v>
      </c>
      <c r="CZ65" s="17" t="e">
        <v>#N/A</v>
      </c>
      <c r="DA65" s="17" t="e">
        <v>#N/A</v>
      </c>
      <c r="DB65" s="17" t="e">
        <v>#N/A</v>
      </c>
      <c r="DC65" s="17" t="e">
        <v>#N/A</v>
      </c>
      <c r="DD65" s="17" t="e">
        <v>#N/A</v>
      </c>
      <c r="DE65" s="17" t="e">
        <v>#N/A</v>
      </c>
      <c r="DF65" s="17" t="e">
        <v>#N/A</v>
      </c>
      <c r="DG65" s="17" t="e">
        <v>#N/A</v>
      </c>
      <c r="DH65" s="17" t="e">
        <v>#N/A</v>
      </c>
      <c r="DI65" s="17" t="e">
        <v>#N/A</v>
      </c>
      <c r="DJ65" s="17" t="e">
        <v>#N/A</v>
      </c>
      <c r="DK65" s="17" t="e">
        <v>#N/A</v>
      </c>
      <c r="DL65" s="17" t="e">
        <v>#N/A</v>
      </c>
      <c r="DM65" s="17" t="e">
        <v>#N/A</v>
      </c>
      <c r="DN65" s="17" t="e">
        <v>#N/A</v>
      </c>
      <c r="DO65" s="17" t="e">
        <v>#N/A</v>
      </c>
      <c r="DP65" s="17" t="e">
        <v>#N/A</v>
      </c>
      <c r="DQ65" s="17" t="e">
        <v>#N/A</v>
      </c>
      <c r="DR65" s="17" t="e">
        <v>#N/A</v>
      </c>
      <c r="DS65" s="17" t="e">
        <v>#N/A</v>
      </c>
      <c r="DT65" s="17" t="e">
        <v>#N/A</v>
      </c>
      <c r="DU65" s="17" t="e">
        <v>#N/A</v>
      </c>
      <c r="DV65" s="17" t="e">
        <v>#N/A</v>
      </c>
      <c r="DW65" s="17" t="e">
        <v>#N/A</v>
      </c>
      <c r="DX65" s="17" t="e">
        <v>#N/A</v>
      </c>
      <c r="DY65" s="17" t="e">
        <v>#N/A</v>
      </c>
      <c r="DZ65" s="17" t="e">
        <v>#N/A</v>
      </c>
      <c r="EA65" s="17" t="e">
        <v>#N/A</v>
      </c>
      <c r="EB65" s="17" t="e">
        <v>#N/A</v>
      </c>
      <c r="EC65" s="17" t="e">
        <v>#N/A</v>
      </c>
      <c r="ED65" s="17" t="e">
        <v>#N/A</v>
      </c>
      <c r="EE65" s="17" t="e">
        <v>#N/A</v>
      </c>
      <c r="EF65" s="17" t="e">
        <v>#N/A</v>
      </c>
      <c r="EG65" s="17" t="e">
        <v>#N/A</v>
      </c>
      <c r="EH65" s="17" t="e">
        <v>#N/A</v>
      </c>
      <c r="EI65" s="17" t="e">
        <v>#N/A</v>
      </c>
      <c r="EJ65" s="17" t="e">
        <v>#N/A</v>
      </c>
      <c r="EK65" s="17" t="e">
        <v>#N/A</v>
      </c>
      <c r="EL65" s="17" t="e">
        <v>#N/A</v>
      </c>
      <c r="EM65" s="17" t="e">
        <v>#N/A</v>
      </c>
      <c r="EN65" s="17" t="e">
        <v>#N/A</v>
      </c>
      <c r="EO65" s="17" t="e">
        <v>#N/A</v>
      </c>
      <c r="EP65" s="17" t="e">
        <v>#N/A</v>
      </c>
      <c r="EQ65" s="17" t="e">
        <v>#N/A</v>
      </c>
      <c r="ER65" s="17" t="e">
        <v>#N/A</v>
      </c>
      <c r="ES65" s="17" t="e">
        <v>#N/A</v>
      </c>
      <c r="ET65" s="17" t="e">
        <v>#N/A</v>
      </c>
      <c r="EU65" s="17" t="e">
        <v>#N/A</v>
      </c>
      <c r="EV65" s="17" t="e">
        <v>#N/A</v>
      </c>
      <c r="EW65" s="17" t="e">
        <v>#N/A</v>
      </c>
      <c r="EX65" s="17" t="e">
        <v>#N/A</v>
      </c>
      <c r="EY65" s="17" t="e">
        <v>#N/A</v>
      </c>
      <c r="EZ65" s="17" t="e">
        <v>#N/A</v>
      </c>
      <c r="FA65" s="17" t="e">
        <v>#N/A</v>
      </c>
      <c r="FB65" s="17" t="e">
        <v>#N/A</v>
      </c>
      <c r="FC65" s="17" t="e">
        <v>#N/A</v>
      </c>
      <c r="FD65" s="17" t="e">
        <v>#N/A</v>
      </c>
      <c r="FE65" s="17" t="e">
        <v>#N/A</v>
      </c>
      <c r="FF65" s="17" t="e">
        <v>#N/A</v>
      </c>
      <c r="FG65" s="17" t="e">
        <v>#N/A</v>
      </c>
      <c r="FH65" s="17" t="e">
        <v>#N/A</v>
      </c>
      <c r="FI65" s="17" t="e">
        <v>#N/A</v>
      </c>
      <c r="FJ65" s="17" t="e">
        <v>#N/A</v>
      </c>
      <c r="FK65" s="17" t="e">
        <v>#N/A</v>
      </c>
      <c r="FL65" s="17" t="e">
        <v>#N/A</v>
      </c>
      <c r="FM65" s="17" t="e">
        <v>#N/A</v>
      </c>
      <c r="FN65" s="17" t="e">
        <v>#N/A</v>
      </c>
      <c r="FO65" s="17" t="e">
        <v>#N/A</v>
      </c>
      <c r="FP65" s="17" t="e">
        <v>#N/A</v>
      </c>
      <c r="FQ65" s="17" t="e">
        <v>#N/A</v>
      </c>
      <c r="FR65" s="17" t="e">
        <v>#N/A</v>
      </c>
      <c r="FS65" s="17" t="e">
        <v>#N/A</v>
      </c>
      <c r="FT65" s="17" t="e">
        <v>#N/A</v>
      </c>
      <c r="FU65" s="17" t="e">
        <v>#N/A</v>
      </c>
      <c r="FV65" s="17" t="e">
        <v>#N/A</v>
      </c>
    </row>
    <row r="66" spans="2:178" ht="11.25" customHeight="1">
      <c r="B66" s="17">
        <v>1</v>
      </c>
      <c r="C66" s="17">
        <v>0</v>
      </c>
      <c r="D66" s="17">
        <v>1</v>
      </c>
      <c r="E66" s="17">
        <v>1</v>
      </c>
      <c r="F66" s="17">
        <v>1</v>
      </c>
      <c r="G66" s="17">
        <v>0</v>
      </c>
      <c r="H66" s="17">
        <v>1</v>
      </c>
      <c r="I66" s="17">
        <v>0</v>
      </c>
      <c r="J66" s="17">
        <v>0</v>
      </c>
      <c r="K66" s="17">
        <v>0</v>
      </c>
      <c r="L66" s="17">
        <v>0</v>
      </c>
      <c r="M66" s="17">
        <v>0</v>
      </c>
      <c r="N66" s="17">
        <v>1</v>
      </c>
      <c r="O66" s="17">
        <v>0</v>
      </c>
      <c r="P66" s="17">
        <v>1</v>
      </c>
      <c r="Q66" s="17">
        <v>0</v>
      </c>
      <c r="R66" s="17">
        <v>0</v>
      </c>
      <c r="S66" s="17">
        <v>1</v>
      </c>
      <c r="T66" s="17">
        <v>1</v>
      </c>
      <c r="U66" s="17">
        <v>0</v>
      </c>
      <c r="V66" s="17">
        <v>0</v>
      </c>
      <c r="W66" s="17">
        <v>0</v>
      </c>
      <c r="X66" s="17">
        <v>0</v>
      </c>
      <c r="Y66" s="17">
        <v>1</v>
      </c>
      <c r="Z66" s="17">
        <v>0</v>
      </c>
      <c r="AA66" s="17">
        <v>1</v>
      </c>
      <c r="AB66" s="17">
        <v>0</v>
      </c>
      <c r="AC66" s="17">
        <v>1</v>
      </c>
      <c r="AD66" s="17">
        <v>1</v>
      </c>
      <c r="AE66" s="17">
        <v>0</v>
      </c>
      <c r="AF66" s="17">
        <v>1</v>
      </c>
      <c r="AG66" s="17">
        <v>1</v>
      </c>
      <c r="AH66" s="17">
        <v>1</v>
      </c>
      <c r="AI66" s="17">
        <v>1</v>
      </c>
      <c r="AJ66" s="17">
        <v>1</v>
      </c>
      <c r="AK66" s="17">
        <v>1</v>
      </c>
      <c r="AL66" s="17">
        <v>1</v>
      </c>
      <c r="AM66" s="17">
        <v>1</v>
      </c>
      <c r="AN66" s="17">
        <v>1</v>
      </c>
      <c r="AO66" s="17">
        <v>0</v>
      </c>
      <c r="AP66" s="17">
        <v>0</v>
      </c>
      <c r="AQ66" s="17">
        <v>1</v>
      </c>
      <c r="AR66" s="17">
        <v>0</v>
      </c>
      <c r="AS66" s="17">
        <v>1</v>
      </c>
      <c r="AT66" s="17">
        <v>1</v>
      </c>
      <c r="AU66" s="17">
        <v>0</v>
      </c>
      <c r="AV66" s="17">
        <v>1</v>
      </c>
      <c r="AW66" s="17">
        <v>0</v>
      </c>
      <c r="AX66" s="17">
        <v>0</v>
      </c>
      <c r="AY66" s="17">
        <v>1</v>
      </c>
      <c r="AZ66" s="17">
        <v>0</v>
      </c>
      <c r="BA66" s="17">
        <v>0</v>
      </c>
      <c r="BB66" s="17">
        <v>0</v>
      </c>
      <c r="BC66" s="17">
        <v>0</v>
      </c>
      <c r="BD66" s="17">
        <v>1</v>
      </c>
      <c r="BE66" s="17">
        <v>0</v>
      </c>
      <c r="BF66" s="17">
        <v>1</v>
      </c>
      <c r="BG66" s="17">
        <v>0</v>
      </c>
      <c r="BH66" s="17">
        <v>0</v>
      </c>
      <c r="BI66" s="17">
        <v>1</v>
      </c>
      <c r="BJ66" s="17">
        <v>1</v>
      </c>
      <c r="BK66" s="17">
        <v>1</v>
      </c>
      <c r="BL66" s="17">
        <v>1</v>
      </c>
      <c r="BM66" s="17">
        <v>1</v>
      </c>
      <c r="BN66" s="17">
        <v>1</v>
      </c>
      <c r="BO66" s="17">
        <v>1</v>
      </c>
      <c r="BP66" s="17">
        <v>0</v>
      </c>
      <c r="BQ66" s="17">
        <v>0</v>
      </c>
      <c r="BR66" s="17">
        <v>1</v>
      </c>
      <c r="BS66" s="17" t="e">
        <v>#N/A</v>
      </c>
      <c r="BT66" s="17" t="e">
        <v>#N/A</v>
      </c>
      <c r="BU66" s="17" t="e">
        <v>#N/A</v>
      </c>
      <c r="BV66" s="17" t="e">
        <v>#N/A</v>
      </c>
      <c r="BW66" s="17" t="e">
        <v>#N/A</v>
      </c>
      <c r="BX66" s="17" t="e">
        <v>#N/A</v>
      </c>
      <c r="BY66" s="17" t="e">
        <v>#N/A</v>
      </c>
      <c r="BZ66" s="17" t="e">
        <v>#N/A</v>
      </c>
      <c r="CA66" s="17" t="e">
        <v>#N/A</v>
      </c>
      <c r="CB66" s="17" t="e">
        <v>#N/A</v>
      </c>
      <c r="CC66" s="17" t="e">
        <v>#N/A</v>
      </c>
      <c r="CD66" s="17" t="e">
        <v>#N/A</v>
      </c>
      <c r="CE66" s="17" t="e">
        <v>#N/A</v>
      </c>
      <c r="CF66" s="17" t="e">
        <v>#N/A</v>
      </c>
      <c r="CG66" s="17" t="e">
        <v>#N/A</v>
      </c>
      <c r="CH66" s="17" t="e">
        <v>#N/A</v>
      </c>
      <c r="CI66" s="17" t="e">
        <v>#N/A</v>
      </c>
      <c r="CJ66" s="17" t="e">
        <v>#N/A</v>
      </c>
      <c r="CK66" s="17" t="e">
        <v>#N/A</v>
      </c>
      <c r="CL66" s="17" t="e">
        <v>#N/A</v>
      </c>
      <c r="CM66" s="17" t="e">
        <v>#N/A</v>
      </c>
      <c r="CN66" s="17" t="e">
        <v>#N/A</v>
      </c>
      <c r="CO66" s="17" t="e">
        <v>#N/A</v>
      </c>
      <c r="CP66" s="17" t="e">
        <v>#N/A</v>
      </c>
      <c r="CQ66" s="17" t="e">
        <v>#N/A</v>
      </c>
      <c r="CR66" s="17" t="e">
        <v>#N/A</v>
      </c>
      <c r="CS66" s="17" t="e">
        <v>#N/A</v>
      </c>
      <c r="CT66" s="17" t="e">
        <v>#N/A</v>
      </c>
      <c r="CU66" s="17" t="e">
        <v>#N/A</v>
      </c>
      <c r="CV66" s="17" t="e">
        <v>#N/A</v>
      </c>
      <c r="CW66" s="17" t="e">
        <v>#N/A</v>
      </c>
      <c r="CX66" s="17" t="e">
        <v>#N/A</v>
      </c>
      <c r="CY66" s="17" t="e">
        <v>#N/A</v>
      </c>
      <c r="CZ66" s="17" t="e">
        <v>#N/A</v>
      </c>
      <c r="DA66" s="17" t="e">
        <v>#N/A</v>
      </c>
      <c r="DB66" s="17" t="e">
        <v>#N/A</v>
      </c>
      <c r="DC66" s="17" t="e">
        <v>#N/A</v>
      </c>
      <c r="DD66" s="17" t="e">
        <v>#N/A</v>
      </c>
      <c r="DE66" s="17" t="e">
        <v>#N/A</v>
      </c>
      <c r="DF66" s="17" t="e">
        <v>#N/A</v>
      </c>
      <c r="DG66" s="17" t="e">
        <v>#N/A</v>
      </c>
      <c r="DH66" s="17" t="e">
        <v>#N/A</v>
      </c>
      <c r="DI66" s="17" t="e">
        <v>#N/A</v>
      </c>
      <c r="DJ66" s="17" t="e">
        <v>#N/A</v>
      </c>
      <c r="DK66" s="17" t="e">
        <v>#N/A</v>
      </c>
      <c r="DL66" s="17" t="e">
        <v>#N/A</v>
      </c>
      <c r="DM66" s="17" t="e">
        <v>#N/A</v>
      </c>
      <c r="DN66" s="17" t="e">
        <v>#N/A</v>
      </c>
      <c r="DO66" s="17" t="e">
        <v>#N/A</v>
      </c>
      <c r="DP66" s="17" t="e">
        <v>#N/A</v>
      </c>
      <c r="DQ66" s="17" t="e">
        <v>#N/A</v>
      </c>
      <c r="DR66" s="17" t="e">
        <v>#N/A</v>
      </c>
      <c r="DS66" s="17" t="e">
        <v>#N/A</v>
      </c>
      <c r="DT66" s="17" t="e">
        <v>#N/A</v>
      </c>
      <c r="DU66" s="17" t="e">
        <v>#N/A</v>
      </c>
      <c r="DV66" s="17" t="e">
        <v>#N/A</v>
      </c>
      <c r="DW66" s="17" t="e">
        <v>#N/A</v>
      </c>
      <c r="DX66" s="17" t="e">
        <v>#N/A</v>
      </c>
      <c r="DY66" s="17" t="e">
        <v>#N/A</v>
      </c>
      <c r="DZ66" s="17" t="e">
        <v>#N/A</v>
      </c>
      <c r="EA66" s="17" t="e">
        <v>#N/A</v>
      </c>
      <c r="EB66" s="17" t="e">
        <v>#N/A</v>
      </c>
      <c r="EC66" s="17" t="e">
        <v>#N/A</v>
      </c>
      <c r="ED66" s="17" t="e">
        <v>#N/A</v>
      </c>
      <c r="EE66" s="17" t="e">
        <v>#N/A</v>
      </c>
      <c r="EF66" s="17" t="e">
        <v>#N/A</v>
      </c>
      <c r="EG66" s="17" t="e">
        <v>#N/A</v>
      </c>
      <c r="EH66" s="17" t="e">
        <v>#N/A</v>
      </c>
      <c r="EI66" s="17" t="e">
        <v>#N/A</v>
      </c>
      <c r="EJ66" s="17" t="e">
        <v>#N/A</v>
      </c>
      <c r="EK66" s="17" t="e">
        <v>#N/A</v>
      </c>
      <c r="EL66" s="17" t="e">
        <v>#N/A</v>
      </c>
      <c r="EM66" s="17" t="e">
        <v>#N/A</v>
      </c>
      <c r="EN66" s="17" t="e">
        <v>#N/A</v>
      </c>
      <c r="EO66" s="17" t="e">
        <v>#N/A</v>
      </c>
      <c r="EP66" s="17" t="e">
        <v>#N/A</v>
      </c>
      <c r="EQ66" s="17" t="e">
        <v>#N/A</v>
      </c>
      <c r="ER66" s="17" t="e">
        <v>#N/A</v>
      </c>
      <c r="ES66" s="17" t="e">
        <v>#N/A</v>
      </c>
      <c r="ET66" s="17" t="e">
        <v>#N/A</v>
      </c>
      <c r="EU66" s="17" t="e">
        <v>#N/A</v>
      </c>
      <c r="EV66" s="17" t="e">
        <v>#N/A</v>
      </c>
      <c r="EW66" s="17" t="e">
        <v>#N/A</v>
      </c>
      <c r="EX66" s="17" t="e">
        <v>#N/A</v>
      </c>
      <c r="EY66" s="17" t="e">
        <v>#N/A</v>
      </c>
      <c r="EZ66" s="17" t="e">
        <v>#N/A</v>
      </c>
      <c r="FA66" s="17" t="e">
        <v>#N/A</v>
      </c>
      <c r="FB66" s="17" t="e">
        <v>#N/A</v>
      </c>
      <c r="FC66" s="17" t="e">
        <v>#N/A</v>
      </c>
      <c r="FD66" s="17" t="e">
        <v>#N/A</v>
      </c>
      <c r="FE66" s="17" t="e">
        <v>#N/A</v>
      </c>
      <c r="FF66" s="17" t="e">
        <v>#N/A</v>
      </c>
      <c r="FG66" s="17" t="e">
        <v>#N/A</v>
      </c>
      <c r="FH66" s="17" t="e">
        <v>#N/A</v>
      </c>
      <c r="FI66" s="17" t="e">
        <v>#N/A</v>
      </c>
      <c r="FJ66" s="17" t="e">
        <v>#N/A</v>
      </c>
      <c r="FK66" s="17" t="e">
        <v>#N/A</v>
      </c>
      <c r="FL66" s="17" t="e">
        <v>#N/A</v>
      </c>
      <c r="FM66" s="17" t="e">
        <v>#N/A</v>
      </c>
      <c r="FN66" s="17" t="e">
        <v>#N/A</v>
      </c>
      <c r="FO66" s="17" t="e">
        <v>#N/A</v>
      </c>
      <c r="FP66" s="17" t="e">
        <v>#N/A</v>
      </c>
      <c r="FQ66" s="17" t="e">
        <v>#N/A</v>
      </c>
      <c r="FR66" s="17" t="e">
        <v>#N/A</v>
      </c>
      <c r="FS66" s="17" t="e">
        <v>#N/A</v>
      </c>
      <c r="FT66" s="17" t="e">
        <v>#N/A</v>
      </c>
      <c r="FU66" s="17" t="e">
        <v>#N/A</v>
      </c>
      <c r="FV66" s="17" t="e">
        <v>#N/A</v>
      </c>
    </row>
    <row r="67" spans="2:178" ht="11.25" customHeight="1">
      <c r="B67" s="17">
        <v>1</v>
      </c>
      <c r="C67" s="17">
        <v>0</v>
      </c>
      <c r="D67" s="17">
        <v>1</v>
      </c>
      <c r="E67" s="17">
        <v>1</v>
      </c>
      <c r="F67" s="17">
        <v>1</v>
      </c>
      <c r="G67" s="17">
        <v>0</v>
      </c>
      <c r="H67" s="17">
        <v>1</v>
      </c>
      <c r="I67" s="17">
        <v>0</v>
      </c>
      <c r="J67" s="17">
        <v>1</v>
      </c>
      <c r="K67" s="17">
        <v>1</v>
      </c>
      <c r="L67" s="17">
        <v>0</v>
      </c>
      <c r="M67" s="17">
        <v>0</v>
      </c>
      <c r="N67" s="17">
        <v>0</v>
      </c>
      <c r="O67" s="17">
        <v>1</v>
      </c>
      <c r="P67" s="17">
        <v>0</v>
      </c>
      <c r="Q67" s="17">
        <v>1</v>
      </c>
      <c r="R67" s="17">
        <v>1</v>
      </c>
      <c r="S67" s="17">
        <v>1</v>
      </c>
      <c r="T67" s="17">
        <v>1</v>
      </c>
      <c r="U67" s="17">
        <v>0</v>
      </c>
      <c r="V67" s="17">
        <v>1</v>
      </c>
      <c r="W67" s="17">
        <v>1</v>
      </c>
      <c r="X67" s="17">
        <v>0</v>
      </c>
      <c r="Y67" s="17">
        <v>0</v>
      </c>
      <c r="Z67" s="17">
        <v>1</v>
      </c>
      <c r="AA67" s="17">
        <v>1</v>
      </c>
      <c r="AB67" s="17">
        <v>1</v>
      </c>
      <c r="AC67" s="17">
        <v>0</v>
      </c>
      <c r="AD67" s="17">
        <v>1</v>
      </c>
      <c r="AE67" s="17">
        <v>0</v>
      </c>
      <c r="AF67" s="17">
        <v>1</v>
      </c>
      <c r="AG67" s="17">
        <v>1</v>
      </c>
      <c r="AH67" s="17">
        <v>1</v>
      </c>
      <c r="AI67" s="17">
        <v>0</v>
      </c>
      <c r="AJ67" s="17">
        <v>1</v>
      </c>
      <c r="AK67" s="17">
        <v>0</v>
      </c>
      <c r="AL67" s="17">
        <v>1</v>
      </c>
      <c r="AM67" s="17">
        <v>1</v>
      </c>
      <c r="AN67" s="17">
        <v>1</v>
      </c>
      <c r="AO67" s="17">
        <v>0</v>
      </c>
      <c r="AP67" s="17">
        <v>1</v>
      </c>
      <c r="AQ67" s="17">
        <v>0</v>
      </c>
      <c r="AR67" s="17">
        <v>0</v>
      </c>
      <c r="AS67" s="17">
        <v>0</v>
      </c>
      <c r="AT67" s="17">
        <v>0</v>
      </c>
      <c r="AU67" s="17">
        <v>1</v>
      </c>
      <c r="AV67" s="17">
        <v>1</v>
      </c>
      <c r="AW67" s="17">
        <v>0</v>
      </c>
      <c r="AX67" s="17">
        <v>1</v>
      </c>
      <c r="AY67" s="17">
        <v>0</v>
      </c>
      <c r="AZ67" s="17">
        <v>1</v>
      </c>
      <c r="BA67" s="17">
        <v>1</v>
      </c>
      <c r="BB67" s="17">
        <v>0</v>
      </c>
      <c r="BC67" s="17">
        <v>1</v>
      </c>
      <c r="BD67" s="17">
        <v>0</v>
      </c>
      <c r="BE67" s="17">
        <v>1</v>
      </c>
      <c r="BF67" s="17">
        <v>0</v>
      </c>
      <c r="BG67" s="17">
        <v>1</v>
      </c>
      <c r="BH67" s="17">
        <v>0</v>
      </c>
      <c r="BI67" s="17">
        <v>1</v>
      </c>
      <c r="BJ67" s="17">
        <v>1</v>
      </c>
      <c r="BK67" s="17">
        <v>0</v>
      </c>
      <c r="BL67" s="17">
        <v>1</v>
      </c>
      <c r="BM67" s="17">
        <v>1</v>
      </c>
      <c r="BN67" s="17">
        <v>1</v>
      </c>
      <c r="BO67" s="17">
        <v>0</v>
      </c>
      <c r="BP67" s="17">
        <v>0</v>
      </c>
      <c r="BQ67" s="17">
        <v>0</v>
      </c>
      <c r="BR67" s="17">
        <v>1</v>
      </c>
      <c r="BS67" s="17" t="e">
        <v>#N/A</v>
      </c>
      <c r="BT67" s="17" t="e">
        <v>#N/A</v>
      </c>
      <c r="BU67" s="17" t="e">
        <v>#N/A</v>
      </c>
      <c r="BV67" s="17" t="e">
        <v>#N/A</v>
      </c>
      <c r="BW67" s="17" t="e">
        <v>#N/A</v>
      </c>
      <c r="BX67" s="17" t="e">
        <v>#N/A</v>
      </c>
      <c r="BY67" s="17" t="e">
        <v>#N/A</v>
      </c>
      <c r="BZ67" s="17" t="e">
        <v>#N/A</v>
      </c>
      <c r="CA67" s="17" t="e">
        <v>#N/A</v>
      </c>
      <c r="CB67" s="17" t="e">
        <v>#N/A</v>
      </c>
      <c r="CC67" s="17" t="e">
        <v>#N/A</v>
      </c>
      <c r="CD67" s="17" t="e">
        <v>#N/A</v>
      </c>
      <c r="CE67" s="17" t="e">
        <v>#N/A</v>
      </c>
      <c r="CF67" s="17" t="e">
        <v>#N/A</v>
      </c>
      <c r="CG67" s="17" t="e">
        <v>#N/A</v>
      </c>
      <c r="CH67" s="17" t="e">
        <v>#N/A</v>
      </c>
      <c r="CI67" s="17" t="e">
        <v>#N/A</v>
      </c>
      <c r="CJ67" s="17" t="e">
        <v>#N/A</v>
      </c>
      <c r="CK67" s="17" t="e">
        <v>#N/A</v>
      </c>
      <c r="CL67" s="17" t="e">
        <v>#N/A</v>
      </c>
      <c r="CM67" s="17" t="e">
        <v>#N/A</v>
      </c>
      <c r="CN67" s="17" t="e">
        <v>#N/A</v>
      </c>
      <c r="CO67" s="17" t="e">
        <v>#N/A</v>
      </c>
      <c r="CP67" s="17" t="e">
        <v>#N/A</v>
      </c>
      <c r="CQ67" s="17" t="e">
        <v>#N/A</v>
      </c>
      <c r="CR67" s="17" t="e">
        <v>#N/A</v>
      </c>
      <c r="CS67" s="17" t="e">
        <v>#N/A</v>
      </c>
      <c r="CT67" s="17" t="e">
        <v>#N/A</v>
      </c>
      <c r="CU67" s="17" t="e">
        <v>#N/A</v>
      </c>
      <c r="CV67" s="17" t="e">
        <v>#N/A</v>
      </c>
      <c r="CW67" s="17" t="e">
        <v>#N/A</v>
      </c>
      <c r="CX67" s="17" t="e">
        <v>#N/A</v>
      </c>
      <c r="CY67" s="17" t="e">
        <v>#N/A</v>
      </c>
      <c r="CZ67" s="17" t="e">
        <v>#N/A</v>
      </c>
      <c r="DA67" s="17" t="e">
        <v>#N/A</v>
      </c>
      <c r="DB67" s="17" t="e">
        <v>#N/A</v>
      </c>
      <c r="DC67" s="17" t="e">
        <v>#N/A</v>
      </c>
      <c r="DD67" s="17" t="e">
        <v>#N/A</v>
      </c>
      <c r="DE67" s="17" t="e">
        <v>#N/A</v>
      </c>
      <c r="DF67" s="17" t="e">
        <v>#N/A</v>
      </c>
      <c r="DG67" s="17" t="e">
        <v>#N/A</v>
      </c>
      <c r="DH67" s="17" t="e">
        <v>#N/A</v>
      </c>
      <c r="DI67" s="17" t="e">
        <v>#N/A</v>
      </c>
      <c r="DJ67" s="17" t="e">
        <v>#N/A</v>
      </c>
      <c r="DK67" s="17" t="e">
        <v>#N/A</v>
      </c>
      <c r="DL67" s="17" t="e">
        <v>#N/A</v>
      </c>
      <c r="DM67" s="17" t="e">
        <v>#N/A</v>
      </c>
      <c r="DN67" s="17" t="e">
        <v>#N/A</v>
      </c>
      <c r="DO67" s="17" t="e">
        <v>#N/A</v>
      </c>
      <c r="DP67" s="17" t="e">
        <v>#N/A</v>
      </c>
      <c r="DQ67" s="17" t="e">
        <v>#N/A</v>
      </c>
      <c r="DR67" s="17" t="e">
        <v>#N/A</v>
      </c>
      <c r="DS67" s="17" t="e">
        <v>#N/A</v>
      </c>
      <c r="DT67" s="17" t="e">
        <v>#N/A</v>
      </c>
      <c r="DU67" s="17" t="e">
        <v>#N/A</v>
      </c>
      <c r="DV67" s="17" t="e">
        <v>#N/A</v>
      </c>
      <c r="DW67" s="17" t="e">
        <v>#N/A</v>
      </c>
      <c r="DX67" s="17" t="e">
        <v>#N/A</v>
      </c>
      <c r="DY67" s="17" t="e">
        <v>#N/A</v>
      </c>
      <c r="DZ67" s="17" t="e">
        <v>#N/A</v>
      </c>
      <c r="EA67" s="17" t="e">
        <v>#N/A</v>
      </c>
      <c r="EB67" s="17" t="e">
        <v>#N/A</v>
      </c>
      <c r="EC67" s="17" t="e">
        <v>#N/A</v>
      </c>
      <c r="ED67" s="17" t="e">
        <v>#N/A</v>
      </c>
      <c r="EE67" s="17" t="e">
        <v>#N/A</v>
      </c>
      <c r="EF67" s="17" t="e">
        <v>#N/A</v>
      </c>
      <c r="EG67" s="17" t="e">
        <v>#N/A</v>
      </c>
      <c r="EH67" s="17" t="e">
        <v>#N/A</v>
      </c>
      <c r="EI67" s="17" t="e">
        <v>#N/A</v>
      </c>
      <c r="EJ67" s="17" t="e">
        <v>#N/A</v>
      </c>
      <c r="EK67" s="17" t="e">
        <v>#N/A</v>
      </c>
      <c r="EL67" s="17" t="e">
        <v>#N/A</v>
      </c>
      <c r="EM67" s="17" t="e">
        <v>#N/A</v>
      </c>
      <c r="EN67" s="17" t="e">
        <v>#N/A</v>
      </c>
      <c r="EO67" s="17" t="e">
        <v>#N/A</v>
      </c>
      <c r="EP67" s="17" t="e">
        <v>#N/A</v>
      </c>
      <c r="EQ67" s="17" t="e">
        <v>#N/A</v>
      </c>
      <c r="ER67" s="17" t="e">
        <v>#N/A</v>
      </c>
      <c r="ES67" s="17" t="e">
        <v>#N/A</v>
      </c>
      <c r="ET67" s="17" t="e">
        <v>#N/A</v>
      </c>
      <c r="EU67" s="17" t="e">
        <v>#N/A</v>
      </c>
      <c r="EV67" s="17" t="e">
        <v>#N/A</v>
      </c>
      <c r="EW67" s="17" t="e">
        <v>#N/A</v>
      </c>
      <c r="EX67" s="17" t="e">
        <v>#N/A</v>
      </c>
      <c r="EY67" s="17" t="e">
        <v>#N/A</v>
      </c>
      <c r="EZ67" s="17" t="e">
        <v>#N/A</v>
      </c>
      <c r="FA67" s="17" t="e">
        <v>#N/A</v>
      </c>
      <c r="FB67" s="17" t="e">
        <v>#N/A</v>
      </c>
      <c r="FC67" s="17" t="e">
        <v>#N/A</v>
      </c>
      <c r="FD67" s="17" t="e">
        <v>#N/A</v>
      </c>
      <c r="FE67" s="17" t="e">
        <v>#N/A</v>
      </c>
      <c r="FF67" s="17" t="e">
        <v>#N/A</v>
      </c>
      <c r="FG67" s="17" t="e">
        <v>#N/A</v>
      </c>
      <c r="FH67" s="17" t="e">
        <v>#N/A</v>
      </c>
      <c r="FI67" s="17" t="e">
        <v>#N/A</v>
      </c>
      <c r="FJ67" s="17" t="e">
        <v>#N/A</v>
      </c>
      <c r="FK67" s="17" t="e">
        <v>#N/A</v>
      </c>
      <c r="FL67" s="17" t="e">
        <v>#N/A</v>
      </c>
      <c r="FM67" s="17" t="e">
        <v>#N/A</v>
      </c>
      <c r="FN67" s="17" t="e">
        <v>#N/A</v>
      </c>
      <c r="FO67" s="17" t="e">
        <v>#N/A</v>
      </c>
      <c r="FP67" s="17" t="e">
        <v>#N/A</v>
      </c>
      <c r="FQ67" s="17" t="e">
        <v>#N/A</v>
      </c>
      <c r="FR67" s="17" t="e">
        <v>#N/A</v>
      </c>
      <c r="FS67" s="17" t="e">
        <v>#N/A</v>
      </c>
      <c r="FT67" s="17" t="e">
        <v>#N/A</v>
      </c>
      <c r="FU67" s="17" t="e">
        <v>#N/A</v>
      </c>
      <c r="FV67" s="17" t="e">
        <v>#N/A</v>
      </c>
    </row>
    <row r="68" spans="2:178" ht="11.25" customHeight="1">
      <c r="B68" s="17">
        <v>1</v>
      </c>
      <c r="C68" s="17">
        <v>0</v>
      </c>
      <c r="D68" s="17">
        <v>1</v>
      </c>
      <c r="E68" s="17">
        <v>1</v>
      </c>
      <c r="F68" s="17">
        <v>1</v>
      </c>
      <c r="G68" s="17">
        <v>0</v>
      </c>
      <c r="H68" s="17">
        <v>1</v>
      </c>
      <c r="I68" s="17">
        <v>0</v>
      </c>
      <c r="J68" s="17">
        <v>0</v>
      </c>
      <c r="K68" s="17">
        <v>1</v>
      </c>
      <c r="L68" s="17">
        <v>0</v>
      </c>
      <c r="M68" s="17">
        <v>0</v>
      </c>
      <c r="N68" s="17">
        <v>1</v>
      </c>
      <c r="O68" s="17">
        <v>1</v>
      </c>
      <c r="P68" s="17">
        <v>1</v>
      </c>
      <c r="Q68" s="17">
        <v>0</v>
      </c>
      <c r="R68" s="17">
        <v>0</v>
      </c>
      <c r="S68" s="17">
        <v>0</v>
      </c>
      <c r="T68" s="17">
        <v>0</v>
      </c>
      <c r="U68" s="17">
        <v>1</v>
      </c>
      <c r="V68" s="17">
        <v>1</v>
      </c>
      <c r="W68" s="17">
        <v>1</v>
      </c>
      <c r="X68" s="17">
        <v>1</v>
      </c>
      <c r="Y68" s="17">
        <v>1</v>
      </c>
      <c r="Z68" s="17">
        <v>0</v>
      </c>
      <c r="AA68" s="17">
        <v>1</v>
      </c>
      <c r="AB68" s="17">
        <v>1</v>
      </c>
      <c r="AC68" s="17">
        <v>1</v>
      </c>
      <c r="AD68" s="17">
        <v>0</v>
      </c>
      <c r="AE68" s="17">
        <v>0</v>
      </c>
      <c r="AF68" s="17">
        <v>1</v>
      </c>
      <c r="AG68" s="17">
        <v>0</v>
      </c>
      <c r="AH68" s="17">
        <v>1</v>
      </c>
      <c r="AI68" s="17">
        <v>1</v>
      </c>
      <c r="AJ68" s="17">
        <v>1</v>
      </c>
      <c r="AK68" s="17">
        <v>0</v>
      </c>
      <c r="AL68" s="17">
        <v>1</v>
      </c>
      <c r="AM68" s="17">
        <v>1</v>
      </c>
      <c r="AN68" s="17">
        <v>0</v>
      </c>
      <c r="AO68" s="17">
        <v>0</v>
      </c>
      <c r="AP68" s="17">
        <v>0</v>
      </c>
      <c r="AQ68" s="17">
        <v>0</v>
      </c>
      <c r="AR68" s="17">
        <v>0</v>
      </c>
      <c r="AS68" s="17">
        <v>0</v>
      </c>
      <c r="AT68" s="17">
        <v>1</v>
      </c>
      <c r="AU68" s="17">
        <v>1</v>
      </c>
      <c r="AV68" s="17">
        <v>0</v>
      </c>
      <c r="AW68" s="17">
        <v>1</v>
      </c>
      <c r="AX68" s="17">
        <v>0</v>
      </c>
      <c r="AY68" s="17">
        <v>0</v>
      </c>
      <c r="AZ68" s="17">
        <v>0</v>
      </c>
      <c r="BA68" s="17">
        <v>1</v>
      </c>
      <c r="BB68" s="17">
        <v>0</v>
      </c>
      <c r="BC68" s="17">
        <v>0</v>
      </c>
      <c r="BD68" s="17">
        <v>0</v>
      </c>
      <c r="BE68" s="17">
        <v>1</v>
      </c>
      <c r="BF68" s="17">
        <v>0</v>
      </c>
      <c r="BG68" s="17">
        <v>1</v>
      </c>
      <c r="BH68" s="17">
        <v>1</v>
      </c>
      <c r="BI68" s="17">
        <v>0</v>
      </c>
      <c r="BJ68" s="17">
        <v>1</v>
      </c>
      <c r="BK68" s="17">
        <v>0</v>
      </c>
      <c r="BL68" s="17">
        <v>1</v>
      </c>
      <c r="BM68" s="17">
        <v>1</v>
      </c>
      <c r="BN68" s="17">
        <v>0</v>
      </c>
      <c r="BO68" s="17">
        <v>1</v>
      </c>
      <c r="BP68" s="17">
        <v>1</v>
      </c>
      <c r="BQ68" s="17">
        <v>0</v>
      </c>
      <c r="BR68" s="17">
        <v>1</v>
      </c>
      <c r="BS68" s="17" t="e">
        <v>#N/A</v>
      </c>
      <c r="BT68" s="17" t="e">
        <v>#N/A</v>
      </c>
      <c r="BU68" s="17" t="e">
        <v>#N/A</v>
      </c>
      <c r="BV68" s="17" t="e">
        <v>#N/A</v>
      </c>
      <c r="BW68" s="17" t="e">
        <v>#N/A</v>
      </c>
      <c r="BX68" s="17" t="e">
        <v>#N/A</v>
      </c>
      <c r="BY68" s="17" t="e">
        <v>#N/A</v>
      </c>
      <c r="BZ68" s="17" t="e">
        <v>#N/A</v>
      </c>
      <c r="CA68" s="17" t="e">
        <v>#N/A</v>
      </c>
      <c r="CB68" s="17" t="e">
        <v>#N/A</v>
      </c>
      <c r="CC68" s="17" t="e">
        <v>#N/A</v>
      </c>
      <c r="CD68" s="17" t="e">
        <v>#N/A</v>
      </c>
      <c r="CE68" s="17" t="e">
        <v>#N/A</v>
      </c>
      <c r="CF68" s="17" t="e">
        <v>#N/A</v>
      </c>
      <c r="CG68" s="17" t="e">
        <v>#N/A</v>
      </c>
      <c r="CH68" s="17" t="e">
        <v>#N/A</v>
      </c>
      <c r="CI68" s="17" t="e">
        <v>#N/A</v>
      </c>
      <c r="CJ68" s="17" t="e">
        <v>#N/A</v>
      </c>
      <c r="CK68" s="17" t="e">
        <v>#N/A</v>
      </c>
      <c r="CL68" s="17" t="e">
        <v>#N/A</v>
      </c>
      <c r="CM68" s="17" t="e">
        <v>#N/A</v>
      </c>
      <c r="CN68" s="17" t="e">
        <v>#N/A</v>
      </c>
      <c r="CO68" s="17" t="e">
        <v>#N/A</v>
      </c>
      <c r="CP68" s="17" t="e">
        <v>#N/A</v>
      </c>
      <c r="CQ68" s="17" t="e">
        <v>#N/A</v>
      </c>
      <c r="CR68" s="17" t="e">
        <v>#N/A</v>
      </c>
      <c r="CS68" s="17" t="e">
        <v>#N/A</v>
      </c>
      <c r="CT68" s="17" t="e">
        <v>#N/A</v>
      </c>
      <c r="CU68" s="17" t="e">
        <v>#N/A</v>
      </c>
      <c r="CV68" s="17" t="e">
        <v>#N/A</v>
      </c>
      <c r="CW68" s="17" t="e">
        <v>#N/A</v>
      </c>
      <c r="CX68" s="17" t="e">
        <v>#N/A</v>
      </c>
      <c r="CY68" s="17" t="e">
        <v>#N/A</v>
      </c>
      <c r="CZ68" s="17" t="e">
        <v>#N/A</v>
      </c>
      <c r="DA68" s="17" t="e">
        <v>#N/A</v>
      </c>
      <c r="DB68" s="17" t="e">
        <v>#N/A</v>
      </c>
      <c r="DC68" s="17" t="e">
        <v>#N/A</v>
      </c>
      <c r="DD68" s="17" t="e">
        <v>#N/A</v>
      </c>
      <c r="DE68" s="17" t="e">
        <v>#N/A</v>
      </c>
      <c r="DF68" s="17" t="e">
        <v>#N/A</v>
      </c>
      <c r="DG68" s="17" t="e">
        <v>#N/A</v>
      </c>
      <c r="DH68" s="17" t="e">
        <v>#N/A</v>
      </c>
      <c r="DI68" s="17" t="e">
        <v>#N/A</v>
      </c>
      <c r="DJ68" s="17" t="e">
        <v>#N/A</v>
      </c>
      <c r="DK68" s="17" t="e">
        <v>#N/A</v>
      </c>
      <c r="DL68" s="17" t="e">
        <v>#N/A</v>
      </c>
      <c r="DM68" s="17" t="e">
        <v>#N/A</v>
      </c>
      <c r="DN68" s="17" t="e">
        <v>#N/A</v>
      </c>
      <c r="DO68" s="17" t="e">
        <v>#N/A</v>
      </c>
      <c r="DP68" s="17" t="e">
        <v>#N/A</v>
      </c>
      <c r="DQ68" s="17" t="e">
        <v>#N/A</v>
      </c>
      <c r="DR68" s="17" t="e">
        <v>#N/A</v>
      </c>
      <c r="DS68" s="17" t="e">
        <v>#N/A</v>
      </c>
      <c r="DT68" s="17" t="e">
        <v>#N/A</v>
      </c>
      <c r="DU68" s="17" t="e">
        <v>#N/A</v>
      </c>
      <c r="DV68" s="17" t="e">
        <v>#N/A</v>
      </c>
      <c r="DW68" s="17" t="e">
        <v>#N/A</v>
      </c>
      <c r="DX68" s="17" t="e">
        <v>#N/A</v>
      </c>
      <c r="DY68" s="17" t="e">
        <v>#N/A</v>
      </c>
      <c r="DZ68" s="17" t="e">
        <v>#N/A</v>
      </c>
      <c r="EA68" s="17" t="e">
        <v>#N/A</v>
      </c>
      <c r="EB68" s="17" t="e">
        <v>#N/A</v>
      </c>
      <c r="EC68" s="17" t="e">
        <v>#N/A</v>
      </c>
      <c r="ED68" s="17" t="e">
        <v>#N/A</v>
      </c>
      <c r="EE68" s="17" t="e">
        <v>#N/A</v>
      </c>
      <c r="EF68" s="17" t="e">
        <v>#N/A</v>
      </c>
      <c r="EG68" s="17" t="e">
        <v>#N/A</v>
      </c>
      <c r="EH68" s="17" t="e">
        <v>#N/A</v>
      </c>
      <c r="EI68" s="17" t="e">
        <v>#N/A</v>
      </c>
      <c r="EJ68" s="17" t="e">
        <v>#N/A</v>
      </c>
      <c r="EK68" s="17" t="e">
        <v>#N/A</v>
      </c>
      <c r="EL68" s="17" t="e">
        <v>#N/A</v>
      </c>
      <c r="EM68" s="17" t="e">
        <v>#N/A</v>
      </c>
      <c r="EN68" s="17" t="e">
        <v>#N/A</v>
      </c>
      <c r="EO68" s="17" t="e">
        <v>#N/A</v>
      </c>
      <c r="EP68" s="17" t="e">
        <v>#N/A</v>
      </c>
      <c r="EQ68" s="17" t="e">
        <v>#N/A</v>
      </c>
      <c r="ER68" s="17" t="e">
        <v>#N/A</v>
      </c>
      <c r="ES68" s="17" t="e">
        <v>#N/A</v>
      </c>
      <c r="ET68" s="17" t="e">
        <v>#N/A</v>
      </c>
      <c r="EU68" s="17" t="e">
        <v>#N/A</v>
      </c>
      <c r="EV68" s="17" t="e">
        <v>#N/A</v>
      </c>
      <c r="EW68" s="17" t="e">
        <v>#N/A</v>
      </c>
      <c r="EX68" s="17" t="e">
        <v>#N/A</v>
      </c>
      <c r="EY68" s="17" t="e">
        <v>#N/A</v>
      </c>
      <c r="EZ68" s="17" t="e">
        <v>#N/A</v>
      </c>
      <c r="FA68" s="17" t="e">
        <v>#N/A</v>
      </c>
      <c r="FB68" s="17" t="e">
        <v>#N/A</v>
      </c>
      <c r="FC68" s="17" t="e">
        <v>#N/A</v>
      </c>
      <c r="FD68" s="17" t="e">
        <v>#N/A</v>
      </c>
      <c r="FE68" s="17" t="e">
        <v>#N/A</v>
      </c>
      <c r="FF68" s="17" t="e">
        <v>#N/A</v>
      </c>
      <c r="FG68" s="17" t="e">
        <v>#N/A</v>
      </c>
      <c r="FH68" s="17" t="e">
        <v>#N/A</v>
      </c>
      <c r="FI68" s="17" t="e">
        <v>#N/A</v>
      </c>
      <c r="FJ68" s="17" t="e">
        <v>#N/A</v>
      </c>
      <c r="FK68" s="17" t="e">
        <v>#N/A</v>
      </c>
      <c r="FL68" s="17" t="e">
        <v>#N/A</v>
      </c>
      <c r="FM68" s="17" t="e">
        <v>#N/A</v>
      </c>
      <c r="FN68" s="17" t="e">
        <v>#N/A</v>
      </c>
      <c r="FO68" s="17" t="e">
        <v>#N/A</v>
      </c>
      <c r="FP68" s="17" t="e">
        <v>#N/A</v>
      </c>
      <c r="FQ68" s="17" t="e">
        <v>#N/A</v>
      </c>
      <c r="FR68" s="17" t="e">
        <v>#N/A</v>
      </c>
      <c r="FS68" s="17" t="e">
        <v>#N/A</v>
      </c>
      <c r="FT68" s="17" t="e">
        <v>#N/A</v>
      </c>
      <c r="FU68" s="17" t="e">
        <v>#N/A</v>
      </c>
      <c r="FV68" s="17" t="e">
        <v>#N/A</v>
      </c>
    </row>
    <row r="69" spans="2:178" ht="11.25" customHeight="1">
      <c r="B69" s="17">
        <v>1</v>
      </c>
      <c r="C69" s="17">
        <v>0</v>
      </c>
      <c r="D69" s="17">
        <v>0</v>
      </c>
      <c r="E69" s="17">
        <v>0</v>
      </c>
      <c r="F69" s="17">
        <v>0</v>
      </c>
      <c r="G69" s="17">
        <v>0</v>
      </c>
      <c r="H69" s="17">
        <v>1</v>
      </c>
      <c r="I69" s="17">
        <v>0</v>
      </c>
      <c r="J69" s="17">
        <v>0</v>
      </c>
      <c r="K69" s="17">
        <v>1</v>
      </c>
      <c r="L69" s="17">
        <v>1</v>
      </c>
      <c r="M69" s="17">
        <v>1</v>
      </c>
      <c r="N69" s="17">
        <v>0</v>
      </c>
      <c r="O69" s="17">
        <v>0</v>
      </c>
      <c r="P69" s="17">
        <v>0</v>
      </c>
      <c r="Q69" s="17">
        <v>0</v>
      </c>
      <c r="R69" s="17">
        <v>0</v>
      </c>
      <c r="S69" s="17">
        <v>1</v>
      </c>
      <c r="T69" s="17">
        <v>1</v>
      </c>
      <c r="U69" s="17">
        <v>0</v>
      </c>
      <c r="V69" s="17">
        <v>1</v>
      </c>
      <c r="W69" s="17">
        <v>0</v>
      </c>
      <c r="X69" s="17">
        <v>1</v>
      </c>
      <c r="Y69" s="17">
        <v>0</v>
      </c>
      <c r="Z69" s="17">
        <v>1</v>
      </c>
      <c r="AA69" s="17">
        <v>0</v>
      </c>
      <c r="AB69" s="17">
        <v>1</v>
      </c>
      <c r="AC69" s="17">
        <v>1</v>
      </c>
      <c r="AD69" s="17">
        <v>0</v>
      </c>
      <c r="AE69" s="17">
        <v>0</v>
      </c>
      <c r="AF69" s="17">
        <v>0</v>
      </c>
      <c r="AG69" s="17">
        <v>0</v>
      </c>
      <c r="AH69" s="17">
        <v>0</v>
      </c>
      <c r="AI69" s="17">
        <v>1</v>
      </c>
      <c r="AJ69" s="17">
        <v>0</v>
      </c>
      <c r="AK69" s="17">
        <v>0</v>
      </c>
      <c r="AL69" s="17">
        <v>1</v>
      </c>
      <c r="AM69" s="17">
        <v>1</v>
      </c>
      <c r="AN69" s="17">
        <v>1</v>
      </c>
      <c r="AO69" s="17">
        <v>0</v>
      </c>
      <c r="AP69" s="17">
        <v>1</v>
      </c>
      <c r="AQ69" s="17">
        <v>1</v>
      </c>
      <c r="AR69" s="17">
        <v>0</v>
      </c>
      <c r="AS69" s="17">
        <v>0</v>
      </c>
      <c r="AT69" s="17">
        <v>0</v>
      </c>
      <c r="AU69" s="17">
        <v>1</v>
      </c>
      <c r="AV69" s="17">
        <v>0</v>
      </c>
      <c r="AW69" s="17">
        <v>0</v>
      </c>
      <c r="AX69" s="17">
        <v>0</v>
      </c>
      <c r="AY69" s="17">
        <v>1</v>
      </c>
      <c r="AZ69" s="17">
        <v>1</v>
      </c>
      <c r="BA69" s="17">
        <v>0</v>
      </c>
      <c r="BB69" s="17">
        <v>1</v>
      </c>
      <c r="BC69" s="17">
        <v>1</v>
      </c>
      <c r="BD69" s="17">
        <v>0</v>
      </c>
      <c r="BE69" s="17">
        <v>0</v>
      </c>
      <c r="BF69" s="17">
        <v>0</v>
      </c>
      <c r="BG69" s="17">
        <v>0</v>
      </c>
      <c r="BH69" s="17">
        <v>0</v>
      </c>
      <c r="BI69" s="17">
        <v>1</v>
      </c>
      <c r="BJ69" s="17">
        <v>1</v>
      </c>
      <c r="BK69" s="17">
        <v>0</v>
      </c>
      <c r="BL69" s="17">
        <v>0</v>
      </c>
      <c r="BM69" s="17">
        <v>1</v>
      </c>
      <c r="BN69" s="17">
        <v>1</v>
      </c>
      <c r="BO69" s="17">
        <v>1</v>
      </c>
      <c r="BP69" s="17">
        <v>0</v>
      </c>
      <c r="BQ69" s="17">
        <v>1</v>
      </c>
      <c r="BR69" s="17">
        <v>0</v>
      </c>
      <c r="BS69" s="17" t="e">
        <v>#N/A</v>
      </c>
      <c r="BT69" s="17" t="e">
        <v>#N/A</v>
      </c>
      <c r="BU69" s="17" t="e">
        <v>#N/A</v>
      </c>
      <c r="BV69" s="17" t="e">
        <v>#N/A</v>
      </c>
      <c r="BW69" s="17" t="e">
        <v>#N/A</v>
      </c>
      <c r="BX69" s="17" t="e">
        <v>#N/A</v>
      </c>
      <c r="BY69" s="17" t="e">
        <v>#N/A</v>
      </c>
      <c r="BZ69" s="17" t="e">
        <v>#N/A</v>
      </c>
      <c r="CA69" s="17" t="e">
        <v>#N/A</v>
      </c>
      <c r="CB69" s="17" t="e">
        <v>#N/A</v>
      </c>
      <c r="CC69" s="17" t="e">
        <v>#N/A</v>
      </c>
      <c r="CD69" s="17" t="e">
        <v>#N/A</v>
      </c>
      <c r="CE69" s="17" t="e">
        <v>#N/A</v>
      </c>
      <c r="CF69" s="17" t="e">
        <v>#N/A</v>
      </c>
      <c r="CG69" s="17" t="e">
        <v>#N/A</v>
      </c>
      <c r="CH69" s="17" t="e">
        <v>#N/A</v>
      </c>
      <c r="CI69" s="17" t="e">
        <v>#N/A</v>
      </c>
      <c r="CJ69" s="17" t="e">
        <v>#N/A</v>
      </c>
      <c r="CK69" s="17" t="e">
        <v>#N/A</v>
      </c>
      <c r="CL69" s="17" t="e">
        <v>#N/A</v>
      </c>
      <c r="CM69" s="17" t="e">
        <v>#N/A</v>
      </c>
      <c r="CN69" s="17" t="e">
        <v>#N/A</v>
      </c>
      <c r="CO69" s="17" t="e">
        <v>#N/A</v>
      </c>
      <c r="CP69" s="17" t="e">
        <v>#N/A</v>
      </c>
      <c r="CQ69" s="17" t="e">
        <v>#N/A</v>
      </c>
      <c r="CR69" s="17" t="e">
        <v>#N/A</v>
      </c>
      <c r="CS69" s="17" t="e">
        <v>#N/A</v>
      </c>
      <c r="CT69" s="17" t="e">
        <v>#N/A</v>
      </c>
      <c r="CU69" s="17" t="e">
        <v>#N/A</v>
      </c>
      <c r="CV69" s="17" t="e">
        <v>#N/A</v>
      </c>
      <c r="CW69" s="17" t="e">
        <v>#N/A</v>
      </c>
      <c r="CX69" s="17" t="e">
        <v>#N/A</v>
      </c>
      <c r="CY69" s="17" t="e">
        <v>#N/A</v>
      </c>
      <c r="CZ69" s="17" t="e">
        <v>#N/A</v>
      </c>
      <c r="DA69" s="17" t="e">
        <v>#N/A</v>
      </c>
      <c r="DB69" s="17" t="e">
        <v>#N/A</v>
      </c>
      <c r="DC69" s="17" t="e">
        <v>#N/A</v>
      </c>
      <c r="DD69" s="17" t="e">
        <v>#N/A</v>
      </c>
      <c r="DE69" s="17" t="e">
        <v>#N/A</v>
      </c>
      <c r="DF69" s="17" t="e">
        <v>#N/A</v>
      </c>
      <c r="DG69" s="17" t="e">
        <v>#N/A</v>
      </c>
      <c r="DH69" s="17" t="e">
        <v>#N/A</v>
      </c>
      <c r="DI69" s="17" t="e">
        <v>#N/A</v>
      </c>
      <c r="DJ69" s="17" t="e">
        <v>#N/A</v>
      </c>
      <c r="DK69" s="17" t="e">
        <v>#N/A</v>
      </c>
      <c r="DL69" s="17" t="e">
        <v>#N/A</v>
      </c>
      <c r="DM69" s="17" t="e">
        <v>#N/A</v>
      </c>
      <c r="DN69" s="17" t="e">
        <v>#N/A</v>
      </c>
      <c r="DO69" s="17" t="e">
        <v>#N/A</v>
      </c>
      <c r="DP69" s="17" t="e">
        <v>#N/A</v>
      </c>
      <c r="DQ69" s="17" t="e">
        <v>#N/A</v>
      </c>
      <c r="DR69" s="17" t="e">
        <v>#N/A</v>
      </c>
      <c r="DS69" s="17" t="e">
        <v>#N/A</v>
      </c>
      <c r="DT69" s="17" t="e">
        <v>#N/A</v>
      </c>
      <c r="DU69" s="17" t="e">
        <v>#N/A</v>
      </c>
      <c r="DV69" s="17" t="e">
        <v>#N/A</v>
      </c>
      <c r="DW69" s="17" t="e">
        <v>#N/A</v>
      </c>
      <c r="DX69" s="17" t="e">
        <v>#N/A</v>
      </c>
      <c r="DY69" s="17" t="e">
        <v>#N/A</v>
      </c>
      <c r="DZ69" s="17" t="e">
        <v>#N/A</v>
      </c>
      <c r="EA69" s="17" t="e">
        <v>#N/A</v>
      </c>
      <c r="EB69" s="17" t="e">
        <v>#N/A</v>
      </c>
      <c r="EC69" s="17" t="e">
        <v>#N/A</v>
      </c>
      <c r="ED69" s="17" t="e">
        <v>#N/A</v>
      </c>
      <c r="EE69" s="17" t="e">
        <v>#N/A</v>
      </c>
      <c r="EF69" s="17" t="e">
        <v>#N/A</v>
      </c>
      <c r="EG69" s="17" t="e">
        <v>#N/A</v>
      </c>
      <c r="EH69" s="17" t="e">
        <v>#N/A</v>
      </c>
      <c r="EI69" s="17" t="e">
        <v>#N/A</v>
      </c>
      <c r="EJ69" s="17" t="e">
        <v>#N/A</v>
      </c>
      <c r="EK69" s="17" t="e">
        <v>#N/A</v>
      </c>
      <c r="EL69" s="17" t="e">
        <v>#N/A</v>
      </c>
      <c r="EM69" s="17" t="e">
        <v>#N/A</v>
      </c>
      <c r="EN69" s="17" t="e">
        <v>#N/A</v>
      </c>
      <c r="EO69" s="17" t="e">
        <v>#N/A</v>
      </c>
      <c r="EP69" s="17" t="e">
        <v>#N/A</v>
      </c>
      <c r="EQ69" s="17" t="e">
        <v>#N/A</v>
      </c>
      <c r="ER69" s="17" t="e">
        <v>#N/A</v>
      </c>
      <c r="ES69" s="17" t="e">
        <v>#N/A</v>
      </c>
      <c r="ET69" s="17" t="e">
        <v>#N/A</v>
      </c>
      <c r="EU69" s="17" t="e">
        <v>#N/A</v>
      </c>
      <c r="EV69" s="17" t="e">
        <v>#N/A</v>
      </c>
      <c r="EW69" s="17" t="e">
        <v>#N/A</v>
      </c>
      <c r="EX69" s="17" t="e">
        <v>#N/A</v>
      </c>
      <c r="EY69" s="17" t="e">
        <v>#N/A</v>
      </c>
      <c r="EZ69" s="17" t="e">
        <v>#N/A</v>
      </c>
      <c r="FA69" s="17" t="e">
        <v>#N/A</v>
      </c>
      <c r="FB69" s="17" t="e">
        <v>#N/A</v>
      </c>
      <c r="FC69" s="17" t="e">
        <v>#N/A</v>
      </c>
      <c r="FD69" s="17" t="e">
        <v>#N/A</v>
      </c>
      <c r="FE69" s="17" t="e">
        <v>#N/A</v>
      </c>
      <c r="FF69" s="17" t="e">
        <v>#N/A</v>
      </c>
      <c r="FG69" s="17" t="e">
        <v>#N/A</v>
      </c>
      <c r="FH69" s="17" t="e">
        <v>#N/A</v>
      </c>
      <c r="FI69" s="17" t="e">
        <v>#N/A</v>
      </c>
      <c r="FJ69" s="17" t="e">
        <v>#N/A</v>
      </c>
      <c r="FK69" s="17" t="e">
        <v>#N/A</v>
      </c>
      <c r="FL69" s="17" t="e">
        <v>#N/A</v>
      </c>
      <c r="FM69" s="17" t="e">
        <v>#N/A</v>
      </c>
      <c r="FN69" s="17" t="e">
        <v>#N/A</v>
      </c>
      <c r="FO69" s="17" t="e">
        <v>#N/A</v>
      </c>
      <c r="FP69" s="17" t="e">
        <v>#N/A</v>
      </c>
      <c r="FQ69" s="17" t="e">
        <v>#N/A</v>
      </c>
      <c r="FR69" s="17" t="e">
        <v>#N/A</v>
      </c>
      <c r="FS69" s="17" t="e">
        <v>#N/A</v>
      </c>
      <c r="FT69" s="17" t="e">
        <v>#N/A</v>
      </c>
      <c r="FU69" s="17" t="e">
        <v>#N/A</v>
      </c>
      <c r="FV69" s="17" t="e">
        <v>#N/A</v>
      </c>
    </row>
    <row r="70" spans="2:178" ht="11.25" customHeight="1">
      <c r="B70" s="17">
        <v>1</v>
      </c>
      <c r="C70" s="17">
        <v>1</v>
      </c>
      <c r="D70" s="17">
        <v>1</v>
      </c>
      <c r="E70" s="17">
        <v>1</v>
      </c>
      <c r="F70" s="17">
        <v>1</v>
      </c>
      <c r="G70" s="17">
        <v>1</v>
      </c>
      <c r="H70" s="17">
        <v>1</v>
      </c>
      <c r="I70" s="17">
        <v>0</v>
      </c>
      <c r="J70" s="17">
        <v>0</v>
      </c>
      <c r="K70" s="17">
        <v>1</v>
      </c>
      <c r="L70" s="17">
        <v>1</v>
      </c>
      <c r="M70" s="17">
        <v>0</v>
      </c>
      <c r="N70" s="17">
        <v>0</v>
      </c>
      <c r="O70" s="17">
        <v>1</v>
      </c>
      <c r="P70" s="17">
        <v>1</v>
      </c>
      <c r="Q70" s="17">
        <v>0</v>
      </c>
      <c r="R70" s="17">
        <v>1</v>
      </c>
      <c r="S70" s="17">
        <v>1</v>
      </c>
      <c r="T70" s="17">
        <v>1</v>
      </c>
      <c r="U70" s="17">
        <v>0</v>
      </c>
      <c r="V70" s="17">
        <v>1</v>
      </c>
      <c r="W70" s="17">
        <v>1</v>
      </c>
      <c r="X70" s="17">
        <v>1</v>
      </c>
      <c r="Y70" s="17">
        <v>1</v>
      </c>
      <c r="Z70" s="17">
        <v>0</v>
      </c>
      <c r="AA70" s="17">
        <v>1</v>
      </c>
      <c r="AB70" s="17">
        <v>0</v>
      </c>
      <c r="AC70" s="17">
        <v>1</v>
      </c>
      <c r="AD70" s="17">
        <v>1</v>
      </c>
      <c r="AE70" s="17">
        <v>1</v>
      </c>
      <c r="AF70" s="17">
        <v>1</v>
      </c>
      <c r="AG70" s="17">
        <v>0</v>
      </c>
      <c r="AH70" s="17">
        <v>0</v>
      </c>
      <c r="AI70" s="17">
        <v>0</v>
      </c>
      <c r="AJ70" s="17">
        <v>0</v>
      </c>
      <c r="AK70" s="17">
        <v>0</v>
      </c>
      <c r="AL70" s="17">
        <v>1</v>
      </c>
      <c r="AM70" s="17">
        <v>0</v>
      </c>
      <c r="AN70" s="17">
        <v>0</v>
      </c>
      <c r="AO70" s="17">
        <v>1</v>
      </c>
      <c r="AP70" s="17">
        <v>1</v>
      </c>
      <c r="AQ70" s="17">
        <v>1</v>
      </c>
      <c r="AR70" s="17">
        <v>0</v>
      </c>
      <c r="AS70" s="17">
        <v>1</v>
      </c>
      <c r="AT70" s="17">
        <v>1</v>
      </c>
      <c r="AU70" s="17">
        <v>1</v>
      </c>
      <c r="AV70" s="17">
        <v>0</v>
      </c>
      <c r="AW70" s="17">
        <v>1</v>
      </c>
      <c r="AX70" s="17">
        <v>1</v>
      </c>
      <c r="AY70" s="17">
        <v>0</v>
      </c>
      <c r="AZ70" s="17">
        <v>0</v>
      </c>
      <c r="BA70" s="17">
        <v>0</v>
      </c>
      <c r="BB70" s="17">
        <v>1</v>
      </c>
      <c r="BC70" s="17">
        <v>0</v>
      </c>
      <c r="BD70" s="17">
        <v>1</v>
      </c>
      <c r="BE70" s="17">
        <v>0</v>
      </c>
      <c r="BF70" s="17">
        <v>0</v>
      </c>
      <c r="BG70" s="17">
        <v>1</v>
      </c>
      <c r="BH70" s="17">
        <v>1</v>
      </c>
      <c r="BI70" s="17">
        <v>0</v>
      </c>
      <c r="BJ70" s="17">
        <v>1</v>
      </c>
      <c r="BK70" s="17">
        <v>0</v>
      </c>
      <c r="BL70" s="17">
        <v>1</v>
      </c>
      <c r="BM70" s="17">
        <v>1</v>
      </c>
      <c r="BN70" s="17">
        <v>0</v>
      </c>
      <c r="BO70" s="17">
        <v>0</v>
      </c>
      <c r="BP70" s="17">
        <v>1</v>
      </c>
      <c r="BQ70" s="17">
        <v>1</v>
      </c>
      <c r="BR70" s="17">
        <v>1</v>
      </c>
      <c r="BS70" s="17" t="e">
        <v>#N/A</v>
      </c>
      <c r="BT70" s="17" t="e">
        <v>#N/A</v>
      </c>
      <c r="BU70" s="17" t="e">
        <v>#N/A</v>
      </c>
      <c r="BV70" s="17" t="e">
        <v>#N/A</v>
      </c>
      <c r="BW70" s="17" t="e">
        <v>#N/A</v>
      </c>
      <c r="BX70" s="17" t="e">
        <v>#N/A</v>
      </c>
      <c r="BY70" s="17" t="e">
        <v>#N/A</v>
      </c>
      <c r="BZ70" s="17" t="e">
        <v>#N/A</v>
      </c>
      <c r="CA70" s="17" t="e">
        <v>#N/A</v>
      </c>
      <c r="CB70" s="17" t="e">
        <v>#N/A</v>
      </c>
      <c r="CC70" s="17" t="e">
        <v>#N/A</v>
      </c>
      <c r="CD70" s="17" t="e">
        <v>#N/A</v>
      </c>
      <c r="CE70" s="17" t="e">
        <v>#N/A</v>
      </c>
      <c r="CF70" s="17" t="e">
        <v>#N/A</v>
      </c>
      <c r="CG70" s="17" t="e">
        <v>#N/A</v>
      </c>
      <c r="CH70" s="17" t="e">
        <v>#N/A</v>
      </c>
      <c r="CI70" s="17" t="e">
        <v>#N/A</v>
      </c>
      <c r="CJ70" s="17" t="e">
        <v>#N/A</v>
      </c>
      <c r="CK70" s="17" t="e">
        <v>#N/A</v>
      </c>
      <c r="CL70" s="17" t="e">
        <v>#N/A</v>
      </c>
      <c r="CM70" s="17" t="e">
        <v>#N/A</v>
      </c>
      <c r="CN70" s="17" t="e">
        <v>#N/A</v>
      </c>
      <c r="CO70" s="17" t="e">
        <v>#N/A</v>
      </c>
      <c r="CP70" s="17" t="e">
        <v>#N/A</v>
      </c>
      <c r="CQ70" s="17" t="e">
        <v>#N/A</v>
      </c>
      <c r="CR70" s="17" t="e">
        <v>#N/A</v>
      </c>
      <c r="CS70" s="17" t="e">
        <v>#N/A</v>
      </c>
      <c r="CT70" s="17" t="e">
        <v>#N/A</v>
      </c>
      <c r="CU70" s="17" t="e">
        <v>#N/A</v>
      </c>
      <c r="CV70" s="17" t="e">
        <v>#N/A</v>
      </c>
      <c r="CW70" s="17" t="e">
        <v>#N/A</v>
      </c>
      <c r="CX70" s="17" t="e">
        <v>#N/A</v>
      </c>
      <c r="CY70" s="17" t="e">
        <v>#N/A</v>
      </c>
      <c r="CZ70" s="17" t="e">
        <v>#N/A</v>
      </c>
      <c r="DA70" s="17" t="e">
        <v>#N/A</v>
      </c>
      <c r="DB70" s="17" t="e">
        <v>#N/A</v>
      </c>
      <c r="DC70" s="17" t="e">
        <v>#N/A</v>
      </c>
      <c r="DD70" s="17" t="e">
        <v>#N/A</v>
      </c>
      <c r="DE70" s="17" t="e">
        <v>#N/A</v>
      </c>
      <c r="DF70" s="17" t="e">
        <v>#N/A</v>
      </c>
      <c r="DG70" s="17" t="e">
        <v>#N/A</v>
      </c>
      <c r="DH70" s="17" t="e">
        <v>#N/A</v>
      </c>
      <c r="DI70" s="17" t="e">
        <v>#N/A</v>
      </c>
      <c r="DJ70" s="17" t="e">
        <v>#N/A</v>
      </c>
      <c r="DK70" s="17" t="e">
        <v>#N/A</v>
      </c>
      <c r="DL70" s="17" t="e">
        <v>#N/A</v>
      </c>
      <c r="DM70" s="17" t="e">
        <v>#N/A</v>
      </c>
      <c r="DN70" s="17" t="e">
        <v>#N/A</v>
      </c>
      <c r="DO70" s="17" t="e">
        <v>#N/A</v>
      </c>
      <c r="DP70" s="17" t="e">
        <v>#N/A</v>
      </c>
      <c r="DQ70" s="17" t="e">
        <v>#N/A</v>
      </c>
      <c r="DR70" s="17" t="e">
        <v>#N/A</v>
      </c>
      <c r="DS70" s="17" t="e">
        <v>#N/A</v>
      </c>
      <c r="DT70" s="17" t="e">
        <v>#N/A</v>
      </c>
      <c r="DU70" s="17" t="e">
        <v>#N/A</v>
      </c>
      <c r="DV70" s="17" t="e">
        <v>#N/A</v>
      </c>
      <c r="DW70" s="17" t="e">
        <v>#N/A</v>
      </c>
      <c r="DX70" s="17" t="e">
        <v>#N/A</v>
      </c>
      <c r="DY70" s="17" t="e">
        <v>#N/A</v>
      </c>
      <c r="DZ70" s="17" t="e">
        <v>#N/A</v>
      </c>
      <c r="EA70" s="17" t="e">
        <v>#N/A</v>
      </c>
      <c r="EB70" s="17" t="e">
        <v>#N/A</v>
      </c>
      <c r="EC70" s="17" t="e">
        <v>#N/A</v>
      </c>
      <c r="ED70" s="17" t="e">
        <v>#N/A</v>
      </c>
      <c r="EE70" s="17" t="e">
        <v>#N/A</v>
      </c>
      <c r="EF70" s="17" t="e">
        <v>#N/A</v>
      </c>
      <c r="EG70" s="17" t="e">
        <v>#N/A</v>
      </c>
      <c r="EH70" s="17" t="e">
        <v>#N/A</v>
      </c>
      <c r="EI70" s="17" t="e">
        <v>#N/A</v>
      </c>
      <c r="EJ70" s="17" t="e">
        <v>#N/A</v>
      </c>
      <c r="EK70" s="17" t="e">
        <v>#N/A</v>
      </c>
      <c r="EL70" s="17" t="e">
        <v>#N/A</v>
      </c>
      <c r="EM70" s="17" t="e">
        <v>#N/A</v>
      </c>
      <c r="EN70" s="17" t="e">
        <v>#N/A</v>
      </c>
      <c r="EO70" s="17" t="e">
        <v>#N/A</v>
      </c>
      <c r="EP70" s="17" t="e">
        <v>#N/A</v>
      </c>
      <c r="EQ70" s="17" t="e">
        <v>#N/A</v>
      </c>
      <c r="ER70" s="17" t="e">
        <v>#N/A</v>
      </c>
      <c r="ES70" s="17" t="e">
        <v>#N/A</v>
      </c>
      <c r="ET70" s="17" t="e">
        <v>#N/A</v>
      </c>
      <c r="EU70" s="17" t="e">
        <v>#N/A</v>
      </c>
      <c r="EV70" s="17" t="e">
        <v>#N/A</v>
      </c>
      <c r="EW70" s="17" t="e">
        <v>#N/A</v>
      </c>
      <c r="EX70" s="17" t="e">
        <v>#N/A</v>
      </c>
      <c r="EY70" s="17" t="e">
        <v>#N/A</v>
      </c>
      <c r="EZ70" s="17" t="e">
        <v>#N/A</v>
      </c>
      <c r="FA70" s="17" t="e">
        <v>#N/A</v>
      </c>
      <c r="FB70" s="17" t="e">
        <v>#N/A</v>
      </c>
      <c r="FC70" s="17" t="e">
        <v>#N/A</v>
      </c>
      <c r="FD70" s="17" t="e">
        <v>#N/A</v>
      </c>
      <c r="FE70" s="17" t="e">
        <v>#N/A</v>
      </c>
      <c r="FF70" s="17" t="e">
        <v>#N/A</v>
      </c>
      <c r="FG70" s="17" t="e">
        <v>#N/A</v>
      </c>
      <c r="FH70" s="17" t="e">
        <v>#N/A</v>
      </c>
      <c r="FI70" s="17" t="e">
        <v>#N/A</v>
      </c>
      <c r="FJ70" s="17" t="e">
        <v>#N/A</v>
      </c>
      <c r="FK70" s="17" t="e">
        <v>#N/A</v>
      </c>
      <c r="FL70" s="17" t="e">
        <v>#N/A</v>
      </c>
      <c r="FM70" s="17" t="e">
        <v>#N/A</v>
      </c>
      <c r="FN70" s="17" t="e">
        <v>#N/A</v>
      </c>
      <c r="FO70" s="17" t="e">
        <v>#N/A</v>
      </c>
      <c r="FP70" s="17" t="e">
        <v>#N/A</v>
      </c>
      <c r="FQ70" s="17" t="e">
        <v>#N/A</v>
      </c>
      <c r="FR70" s="17" t="e">
        <v>#N/A</v>
      </c>
      <c r="FS70" s="17" t="e">
        <v>#N/A</v>
      </c>
      <c r="FT70" s="17" t="e">
        <v>#N/A</v>
      </c>
      <c r="FU70" s="17" t="e">
        <v>#N/A</v>
      </c>
      <c r="FV70" s="17" t="e">
        <v>#N/A</v>
      </c>
    </row>
    <row r="71" spans="2:178" ht="11.25" customHeight="1">
      <c r="B71" s="17" t="e">
        <v>#N/A</v>
      </c>
      <c r="C71" s="17" t="e">
        <v>#N/A</v>
      </c>
      <c r="D71" s="17" t="e">
        <v>#N/A</v>
      </c>
      <c r="E71" s="17" t="e">
        <v>#N/A</v>
      </c>
      <c r="F71" s="17" t="e">
        <v>#N/A</v>
      </c>
      <c r="G71" s="17" t="e">
        <v>#N/A</v>
      </c>
      <c r="H71" s="17" t="e">
        <v>#N/A</v>
      </c>
      <c r="I71" s="17" t="e">
        <v>#N/A</v>
      </c>
      <c r="J71" s="17" t="e">
        <v>#N/A</v>
      </c>
      <c r="K71" s="17" t="e">
        <v>#N/A</v>
      </c>
      <c r="L71" s="17" t="e">
        <v>#N/A</v>
      </c>
      <c r="M71" s="17" t="e">
        <v>#N/A</v>
      </c>
      <c r="N71" s="17" t="e">
        <v>#N/A</v>
      </c>
      <c r="O71" s="17" t="e">
        <v>#N/A</v>
      </c>
      <c r="P71" s="17" t="e">
        <v>#N/A</v>
      </c>
      <c r="Q71" s="17" t="e">
        <v>#N/A</v>
      </c>
      <c r="R71" s="17" t="e">
        <v>#N/A</v>
      </c>
      <c r="S71" s="17" t="e">
        <v>#N/A</v>
      </c>
      <c r="T71" s="17" t="e">
        <v>#N/A</v>
      </c>
      <c r="U71" s="17" t="e">
        <v>#N/A</v>
      </c>
      <c r="V71" s="17" t="e">
        <v>#N/A</v>
      </c>
      <c r="W71" s="17" t="e">
        <v>#N/A</v>
      </c>
      <c r="X71" s="17" t="e">
        <v>#N/A</v>
      </c>
      <c r="Y71" s="17" t="e">
        <v>#N/A</v>
      </c>
      <c r="Z71" s="17" t="e">
        <v>#N/A</v>
      </c>
      <c r="AA71" s="17" t="e">
        <v>#N/A</v>
      </c>
      <c r="AB71" s="17" t="e">
        <v>#N/A</v>
      </c>
      <c r="AC71" s="17" t="e">
        <v>#N/A</v>
      </c>
      <c r="AD71" s="17" t="e">
        <v>#N/A</v>
      </c>
      <c r="AE71" s="17" t="e">
        <v>#N/A</v>
      </c>
      <c r="AF71" s="17" t="e">
        <v>#N/A</v>
      </c>
      <c r="AG71" s="17" t="e">
        <v>#N/A</v>
      </c>
      <c r="AH71" s="17" t="e">
        <v>#N/A</v>
      </c>
      <c r="AI71" s="17" t="e">
        <v>#N/A</v>
      </c>
      <c r="AJ71" s="17" t="e">
        <v>#N/A</v>
      </c>
      <c r="AK71" s="17" t="e">
        <v>#N/A</v>
      </c>
      <c r="AL71" s="17" t="e">
        <v>#N/A</v>
      </c>
      <c r="AM71" s="17" t="e">
        <v>#N/A</v>
      </c>
      <c r="AN71" s="17" t="e">
        <v>#N/A</v>
      </c>
      <c r="AO71" s="17" t="e">
        <v>#N/A</v>
      </c>
      <c r="AP71" s="17" t="e">
        <v>#N/A</v>
      </c>
      <c r="AQ71" s="17" t="e">
        <v>#N/A</v>
      </c>
      <c r="AR71" s="17" t="e">
        <v>#N/A</v>
      </c>
      <c r="AS71" s="17" t="e">
        <v>#N/A</v>
      </c>
      <c r="AT71" s="17" t="e">
        <v>#N/A</v>
      </c>
      <c r="AU71" s="17" t="e">
        <v>#N/A</v>
      </c>
      <c r="AV71" s="17" t="e">
        <v>#N/A</v>
      </c>
      <c r="AW71" s="17" t="e">
        <v>#N/A</v>
      </c>
      <c r="AX71" s="17" t="e">
        <v>#N/A</v>
      </c>
      <c r="AY71" s="17" t="e">
        <v>#N/A</v>
      </c>
      <c r="AZ71" s="17" t="e">
        <v>#N/A</v>
      </c>
      <c r="BA71" s="17" t="e">
        <v>#N/A</v>
      </c>
      <c r="BB71" s="17" t="e">
        <v>#N/A</v>
      </c>
      <c r="BC71" s="17" t="e">
        <v>#N/A</v>
      </c>
      <c r="BD71" s="17" t="e">
        <v>#N/A</v>
      </c>
      <c r="BE71" s="17" t="e">
        <v>#N/A</v>
      </c>
      <c r="BF71" s="17" t="e">
        <v>#N/A</v>
      </c>
      <c r="BG71" s="17" t="e">
        <v>#N/A</v>
      </c>
      <c r="BH71" s="17" t="e">
        <v>#N/A</v>
      </c>
      <c r="BI71" s="17" t="e">
        <v>#N/A</v>
      </c>
      <c r="BJ71" s="17" t="e">
        <v>#N/A</v>
      </c>
      <c r="BK71" s="17" t="e">
        <v>#N/A</v>
      </c>
      <c r="BL71" s="17" t="e">
        <v>#N/A</v>
      </c>
      <c r="BM71" s="17" t="e">
        <v>#N/A</v>
      </c>
      <c r="BN71" s="17" t="e">
        <v>#N/A</v>
      </c>
      <c r="BO71" s="17" t="e">
        <v>#N/A</v>
      </c>
      <c r="BP71" s="17" t="e">
        <v>#N/A</v>
      </c>
      <c r="BQ71" s="17" t="e">
        <v>#N/A</v>
      </c>
      <c r="BR71" s="17" t="e">
        <v>#N/A</v>
      </c>
      <c r="BS71" s="17" t="e">
        <v>#N/A</v>
      </c>
      <c r="BT71" s="17" t="e">
        <v>#N/A</v>
      </c>
      <c r="BU71" s="17" t="e">
        <v>#N/A</v>
      </c>
      <c r="BV71" s="17" t="e">
        <v>#N/A</v>
      </c>
      <c r="BW71" s="17" t="e">
        <v>#N/A</v>
      </c>
      <c r="BX71" s="17" t="e">
        <v>#N/A</v>
      </c>
      <c r="BY71" s="17" t="e">
        <v>#N/A</v>
      </c>
      <c r="BZ71" s="17" t="e">
        <v>#N/A</v>
      </c>
      <c r="CA71" s="17" t="e">
        <v>#N/A</v>
      </c>
      <c r="CB71" s="17" t="e">
        <v>#N/A</v>
      </c>
      <c r="CC71" s="17" t="e">
        <v>#N/A</v>
      </c>
      <c r="CD71" s="17" t="e">
        <v>#N/A</v>
      </c>
      <c r="CE71" s="17" t="e">
        <v>#N/A</v>
      </c>
      <c r="CF71" s="17" t="e">
        <v>#N/A</v>
      </c>
      <c r="CG71" s="17" t="e">
        <v>#N/A</v>
      </c>
      <c r="CH71" s="17" t="e">
        <v>#N/A</v>
      </c>
      <c r="CI71" s="17" t="e">
        <v>#N/A</v>
      </c>
      <c r="CJ71" s="17" t="e">
        <v>#N/A</v>
      </c>
      <c r="CK71" s="17" t="e">
        <v>#N/A</v>
      </c>
      <c r="CL71" s="17" t="e">
        <v>#N/A</v>
      </c>
      <c r="CM71" s="17" t="e">
        <v>#N/A</v>
      </c>
      <c r="CN71" s="17" t="e">
        <v>#N/A</v>
      </c>
      <c r="CO71" s="17" t="e">
        <v>#N/A</v>
      </c>
      <c r="CP71" s="17" t="e">
        <v>#N/A</v>
      </c>
      <c r="CQ71" s="17" t="e">
        <v>#N/A</v>
      </c>
      <c r="CR71" s="17" t="e">
        <v>#N/A</v>
      </c>
      <c r="CS71" s="17" t="e">
        <v>#N/A</v>
      </c>
      <c r="CT71" s="17" t="e">
        <v>#N/A</v>
      </c>
      <c r="CU71" s="17" t="e">
        <v>#N/A</v>
      </c>
      <c r="CV71" s="17" t="e">
        <v>#N/A</v>
      </c>
      <c r="CW71" s="17" t="e">
        <v>#N/A</v>
      </c>
      <c r="CX71" s="17" t="e">
        <v>#N/A</v>
      </c>
      <c r="CY71" s="17" t="e">
        <v>#N/A</v>
      </c>
      <c r="CZ71" s="17" t="e">
        <v>#N/A</v>
      </c>
      <c r="DA71" s="17" t="e">
        <v>#N/A</v>
      </c>
      <c r="DB71" s="17" t="e">
        <v>#N/A</v>
      </c>
      <c r="DC71" s="17" t="e">
        <v>#N/A</v>
      </c>
      <c r="DD71" s="17" t="e">
        <v>#N/A</v>
      </c>
      <c r="DE71" s="17" t="e">
        <v>#N/A</v>
      </c>
      <c r="DF71" s="17" t="e">
        <v>#N/A</v>
      </c>
      <c r="DG71" s="17" t="e">
        <v>#N/A</v>
      </c>
      <c r="DH71" s="17" t="e">
        <v>#N/A</v>
      </c>
      <c r="DI71" s="17" t="e">
        <v>#N/A</v>
      </c>
      <c r="DJ71" s="17" t="e">
        <v>#N/A</v>
      </c>
      <c r="DK71" s="17" t="e">
        <v>#N/A</v>
      </c>
      <c r="DL71" s="17" t="e">
        <v>#N/A</v>
      </c>
      <c r="DM71" s="17" t="e">
        <v>#N/A</v>
      </c>
      <c r="DN71" s="17" t="e">
        <v>#N/A</v>
      </c>
      <c r="DO71" s="17" t="e">
        <v>#N/A</v>
      </c>
      <c r="DP71" s="17" t="e">
        <v>#N/A</v>
      </c>
      <c r="DQ71" s="17" t="e">
        <v>#N/A</v>
      </c>
      <c r="DR71" s="17" t="e">
        <v>#N/A</v>
      </c>
      <c r="DS71" s="17" t="e">
        <v>#N/A</v>
      </c>
      <c r="DT71" s="17" t="e">
        <v>#N/A</v>
      </c>
      <c r="DU71" s="17" t="e">
        <v>#N/A</v>
      </c>
      <c r="DV71" s="17" t="e">
        <v>#N/A</v>
      </c>
      <c r="DW71" s="17" t="e">
        <v>#N/A</v>
      </c>
      <c r="DX71" s="17" t="e">
        <v>#N/A</v>
      </c>
      <c r="DY71" s="17" t="e">
        <v>#N/A</v>
      </c>
      <c r="DZ71" s="17" t="e">
        <v>#N/A</v>
      </c>
      <c r="EA71" s="17" t="e">
        <v>#N/A</v>
      </c>
      <c r="EB71" s="17" t="e">
        <v>#N/A</v>
      </c>
      <c r="EC71" s="17" t="e">
        <v>#N/A</v>
      </c>
      <c r="ED71" s="17" t="e">
        <v>#N/A</v>
      </c>
      <c r="EE71" s="17" t="e">
        <v>#N/A</v>
      </c>
      <c r="EF71" s="17" t="e">
        <v>#N/A</v>
      </c>
      <c r="EG71" s="17" t="e">
        <v>#N/A</v>
      </c>
      <c r="EH71" s="17" t="e">
        <v>#N/A</v>
      </c>
      <c r="EI71" s="17" t="e">
        <v>#N/A</v>
      </c>
      <c r="EJ71" s="17" t="e">
        <v>#N/A</v>
      </c>
      <c r="EK71" s="17" t="e">
        <v>#N/A</v>
      </c>
      <c r="EL71" s="17" t="e">
        <v>#N/A</v>
      </c>
      <c r="EM71" s="17" t="e">
        <v>#N/A</v>
      </c>
      <c r="EN71" s="17" t="e">
        <v>#N/A</v>
      </c>
      <c r="EO71" s="17" t="e">
        <v>#N/A</v>
      </c>
      <c r="EP71" s="17" t="e">
        <v>#N/A</v>
      </c>
      <c r="EQ71" s="17" t="e">
        <v>#N/A</v>
      </c>
      <c r="ER71" s="17" t="e">
        <v>#N/A</v>
      </c>
      <c r="ES71" s="17" t="e">
        <v>#N/A</v>
      </c>
      <c r="ET71" s="17" t="e">
        <v>#N/A</v>
      </c>
      <c r="EU71" s="17" t="e">
        <v>#N/A</v>
      </c>
      <c r="EV71" s="17" t="e">
        <v>#N/A</v>
      </c>
      <c r="EW71" s="17" t="e">
        <v>#N/A</v>
      </c>
      <c r="EX71" s="17" t="e">
        <v>#N/A</v>
      </c>
      <c r="EY71" s="17" t="e">
        <v>#N/A</v>
      </c>
      <c r="EZ71" s="17" t="e">
        <v>#N/A</v>
      </c>
      <c r="FA71" s="17" t="e">
        <v>#N/A</v>
      </c>
      <c r="FB71" s="17" t="e">
        <v>#N/A</v>
      </c>
      <c r="FC71" s="17" t="e">
        <v>#N/A</v>
      </c>
      <c r="FD71" s="17" t="e">
        <v>#N/A</v>
      </c>
      <c r="FE71" s="17" t="e">
        <v>#N/A</v>
      </c>
      <c r="FF71" s="17" t="e">
        <v>#N/A</v>
      </c>
      <c r="FG71" s="17" t="e">
        <v>#N/A</v>
      </c>
      <c r="FH71" s="17" t="e">
        <v>#N/A</v>
      </c>
      <c r="FI71" s="17" t="e">
        <v>#N/A</v>
      </c>
      <c r="FJ71" s="17" t="e">
        <v>#N/A</v>
      </c>
      <c r="FK71" s="17" t="e">
        <v>#N/A</v>
      </c>
      <c r="FL71" s="17" t="e">
        <v>#N/A</v>
      </c>
      <c r="FM71" s="17" t="e">
        <v>#N/A</v>
      </c>
      <c r="FN71" s="17" t="e">
        <v>#N/A</v>
      </c>
      <c r="FO71" s="17" t="e">
        <v>#N/A</v>
      </c>
      <c r="FP71" s="17" t="e">
        <v>#N/A</v>
      </c>
      <c r="FQ71" s="17" t="e">
        <v>#N/A</v>
      </c>
      <c r="FR71" s="17" t="e">
        <v>#N/A</v>
      </c>
      <c r="FS71" s="17" t="e">
        <v>#N/A</v>
      </c>
      <c r="FT71" s="17" t="e">
        <v>#N/A</v>
      </c>
      <c r="FU71" s="17" t="e">
        <v>#N/A</v>
      </c>
      <c r="FV71" s="17" t="e">
        <v>#N/A</v>
      </c>
    </row>
    <row r="72" spans="2:178" ht="11.25" customHeight="1">
      <c r="B72" s="17" t="e">
        <v>#N/A</v>
      </c>
      <c r="C72" s="17" t="e">
        <v>#N/A</v>
      </c>
      <c r="D72" s="17" t="e">
        <v>#N/A</v>
      </c>
      <c r="E72" s="17" t="e">
        <v>#N/A</v>
      </c>
      <c r="F72" s="17" t="e">
        <v>#N/A</v>
      </c>
      <c r="G72" s="17" t="e">
        <v>#N/A</v>
      </c>
      <c r="H72" s="17" t="e">
        <v>#N/A</v>
      </c>
      <c r="I72" s="17" t="e">
        <v>#N/A</v>
      </c>
      <c r="J72" s="17" t="e">
        <v>#N/A</v>
      </c>
      <c r="K72" s="17" t="e">
        <v>#N/A</v>
      </c>
      <c r="L72" s="17" t="e">
        <v>#N/A</v>
      </c>
      <c r="M72" s="17" t="e">
        <v>#N/A</v>
      </c>
      <c r="N72" s="17" t="e">
        <v>#N/A</v>
      </c>
      <c r="O72" s="17" t="e">
        <v>#N/A</v>
      </c>
      <c r="P72" s="17" t="e">
        <v>#N/A</v>
      </c>
      <c r="Q72" s="17" t="e">
        <v>#N/A</v>
      </c>
      <c r="R72" s="17" t="e">
        <v>#N/A</v>
      </c>
      <c r="S72" s="17" t="e">
        <v>#N/A</v>
      </c>
      <c r="T72" s="17" t="e">
        <v>#N/A</v>
      </c>
      <c r="U72" s="17" t="e">
        <v>#N/A</v>
      </c>
      <c r="V72" s="17" t="e">
        <v>#N/A</v>
      </c>
      <c r="W72" s="17" t="e">
        <v>#N/A</v>
      </c>
      <c r="X72" s="17" t="e">
        <v>#N/A</v>
      </c>
      <c r="Y72" s="17" t="e">
        <v>#N/A</v>
      </c>
      <c r="Z72" s="17" t="e">
        <v>#N/A</v>
      </c>
      <c r="AA72" s="17" t="e">
        <v>#N/A</v>
      </c>
      <c r="AB72" s="17" t="e">
        <v>#N/A</v>
      </c>
      <c r="AC72" s="17" t="e">
        <v>#N/A</v>
      </c>
      <c r="AD72" s="17" t="e">
        <v>#N/A</v>
      </c>
      <c r="AE72" s="17" t="e">
        <v>#N/A</v>
      </c>
      <c r="AF72" s="17" t="e">
        <v>#N/A</v>
      </c>
      <c r="AG72" s="17" t="e">
        <v>#N/A</v>
      </c>
      <c r="AH72" s="17" t="e">
        <v>#N/A</v>
      </c>
      <c r="AI72" s="17" t="e">
        <v>#N/A</v>
      </c>
      <c r="AJ72" s="17" t="e">
        <v>#N/A</v>
      </c>
      <c r="AK72" s="17" t="e">
        <v>#N/A</v>
      </c>
      <c r="AL72" s="17" t="e">
        <v>#N/A</v>
      </c>
      <c r="AM72" s="17" t="e">
        <v>#N/A</v>
      </c>
      <c r="AN72" s="17" t="e">
        <v>#N/A</v>
      </c>
      <c r="AO72" s="17" t="e">
        <v>#N/A</v>
      </c>
      <c r="AP72" s="17" t="e">
        <v>#N/A</v>
      </c>
      <c r="AQ72" s="17" t="e">
        <v>#N/A</v>
      </c>
      <c r="AR72" s="17" t="e">
        <v>#N/A</v>
      </c>
      <c r="AS72" s="17" t="e">
        <v>#N/A</v>
      </c>
      <c r="AT72" s="17" t="e">
        <v>#N/A</v>
      </c>
      <c r="AU72" s="17" t="e">
        <v>#N/A</v>
      </c>
      <c r="AV72" s="17" t="e">
        <v>#N/A</v>
      </c>
      <c r="AW72" s="17" t="e">
        <v>#N/A</v>
      </c>
      <c r="AX72" s="17" t="e">
        <v>#N/A</v>
      </c>
      <c r="AY72" s="17" t="e">
        <v>#N/A</v>
      </c>
      <c r="AZ72" s="17" t="e">
        <v>#N/A</v>
      </c>
      <c r="BA72" s="17" t="e">
        <v>#N/A</v>
      </c>
      <c r="BB72" s="17" t="e">
        <v>#N/A</v>
      </c>
      <c r="BC72" s="17" t="e">
        <v>#N/A</v>
      </c>
      <c r="BD72" s="17" t="e">
        <v>#N/A</v>
      </c>
      <c r="BE72" s="17" t="e">
        <v>#N/A</v>
      </c>
      <c r="BF72" s="17" t="e">
        <v>#N/A</v>
      </c>
      <c r="BG72" s="17" t="e">
        <v>#N/A</v>
      </c>
      <c r="BH72" s="17" t="e">
        <v>#N/A</v>
      </c>
      <c r="BI72" s="17" t="e">
        <v>#N/A</v>
      </c>
      <c r="BJ72" s="17" t="e">
        <v>#N/A</v>
      </c>
      <c r="BK72" s="17" t="e">
        <v>#N/A</v>
      </c>
      <c r="BL72" s="17" t="e">
        <v>#N/A</v>
      </c>
      <c r="BM72" s="17" t="e">
        <v>#N/A</v>
      </c>
      <c r="BN72" s="17" t="e">
        <v>#N/A</v>
      </c>
      <c r="BO72" s="17" t="e">
        <v>#N/A</v>
      </c>
      <c r="BP72" s="17" t="e">
        <v>#N/A</v>
      </c>
      <c r="BQ72" s="17" t="e">
        <v>#N/A</v>
      </c>
      <c r="BR72" s="17" t="e">
        <v>#N/A</v>
      </c>
      <c r="BS72" s="17" t="e">
        <v>#N/A</v>
      </c>
      <c r="BT72" s="17" t="e">
        <v>#N/A</v>
      </c>
      <c r="BU72" s="17" t="e">
        <v>#N/A</v>
      </c>
      <c r="BV72" s="17" t="e">
        <v>#N/A</v>
      </c>
      <c r="BW72" s="17" t="e">
        <v>#N/A</v>
      </c>
      <c r="BX72" s="17" t="e">
        <v>#N/A</v>
      </c>
      <c r="BY72" s="17" t="e">
        <v>#N/A</v>
      </c>
      <c r="BZ72" s="17" t="e">
        <v>#N/A</v>
      </c>
      <c r="CA72" s="17" t="e">
        <v>#N/A</v>
      </c>
      <c r="CB72" s="17" t="e">
        <v>#N/A</v>
      </c>
      <c r="CC72" s="17" t="e">
        <v>#N/A</v>
      </c>
      <c r="CD72" s="17" t="e">
        <v>#N/A</v>
      </c>
      <c r="CE72" s="17" t="e">
        <v>#N/A</v>
      </c>
      <c r="CF72" s="17" t="e">
        <v>#N/A</v>
      </c>
      <c r="CG72" s="17" t="e">
        <v>#N/A</v>
      </c>
      <c r="CH72" s="17" t="e">
        <v>#N/A</v>
      </c>
      <c r="CI72" s="17" t="e">
        <v>#N/A</v>
      </c>
      <c r="CJ72" s="17" t="e">
        <v>#N/A</v>
      </c>
      <c r="CK72" s="17" t="e">
        <v>#N/A</v>
      </c>
      <c r="CL72" s="17" t="e">
        <v>#N/A</v>
      </c>
      <c r="CM72" s="17" t="e">
        <v>#N/A</v>
      </c>
      <c r="CN72" s="17" t="e">
        <v>#N/A</v>
      </c>
      <c r="CO72" s="17" t="e">
        <v>#N/A</v>
      </c>
      <c r="CP72" s="17" t="e">
        <v>#N/A</v>
      </c>
      <c r="CQ72" s="17" t="e">
        <v>#N/A</v>
      </c>
      <c r="CR72" s="17" t="e">
        <v>#N/A</v>
      </c>
      <c r="CS72" s="17" t="e">
        <v>#N/A</v>
      </c>
      <c r="CT72" s="17" t="e">
        <v>#N/A</v>
      </c>
      <c r="CU72" s="17" t="e">
        <v>#N/A</v>
      </c>
      <c r="CV72" s="17" t="e">
        <v>#N/A</v>
      </c>
      <c r="CW72" s="17" t="e">
        <v>#N/A</v>
      </c>
      <c r="CX72" s="17" t="e">
        <v>#N/A</v>
      </c>
      <c r="CY72" s="17" t="e">
        <v>#N/A</v>
      </c>
      <c r="CZ72" s="17" t="e">
        <v>#N/A</v>
      </c>
      <c r="DA72" s="17" t="e">
        <v>#N/A</v>
      </c>
      <c r="DB72" s="17" t="e">
        <v>#N/A</v>
      </c>
      <c r="DC72" s="17" t="e">
        <v>#N/A</v>
      </c>
      <c r="DD72" s="17" t="e">
        <v>#N/A</v>
      </c>
      <c r="DE72" s="17" t="e">
        <v>#N/A</v>
      </c>
      <c r="DF72" s="17" t="e">
        <v>#N/A</v>
      </c>
      <c r="DG72" s="17" t="e">
        <v>#N/A</v>
      </c>
      <c r="DH72" s="17" t="e">
        <v>#N/A</v>
      </c>
      <c r="DI72" s="17" t="e">
        <v>#N/A</v>
      </c>
      <c r="DJ72" s="17" t="e">
        <v>#N/A</v>
      </c>
      <c r="DK72" s="17" t="e">
        <v>#N/A</v>
      </c>
      <c r="DL72" s="17" t="e">
        <v>#N/A</v>
      </c>
      <c r="DM72" s="17" t="e">
        <v>#N/A</v>
      </c>
      <c r="DN72" s="17" t="e">
        <v>#N/A</v>
      </c>
      <c r="DO72" s="17" t="e">
        <v>#N/A</v>
      </c>
      <c r="DP72" s="17" t="e">
        <v>#N/A</v>
      </c>
      <c r="DQ72" s="17" t="e">
        <v>#N/A</v>
      </c>
      <c r="DR72" s="17" t="e">
        <v>#N/A</v>
      </c>
      <c r="DS72" s="17" t="e">
        <v>#N/A</v>
      </c>
      <c r="DT72" s="17" t="e">
        <v>#N/A</v>
      </c>
      <c r="DU72" s="17" t="e">
        <v>#N/A</v>
      </c>
      <c r="DV72" s="17" t="e">
        <v>#N/A</v>
      </c>
      <c r="DW72" s="17" t="e">
        <v>#N/A</v>
      </c>
      <c r="DX72" s="17" t="e">
        <v>#N/A</v>
      </c>
      <c r="DY72" s="17" t="e">
        <v>#N/A</v>
      </c>
      <c r="DZ72" s="17" t="e">
        <v>#N/A</v>
      </c>
      <c r="EA72" s="17" t="e">
        <v>#N/A</v>
      </c>
      <c r="EB72" s="17" t="e">
        <v>#N/A</v>
      </c>
      <c r="EC72" s="17" t="e">
        <v>#N/A</v>
      </c>
      <c r="ED72" s="17" t="e">
        <v>#N/A</v>
      </c>
      <c r="EE72" s="17" t="e">
        <v>#N/A</v>
      </c>
      <c r="EF72" s="17" t="e">
        <v>#N/A</v>
      </c>
      <c r="EG72" s="17" t="e">
        <v>#N/A</v>
      </c>
      <c r="EH72" s="17" t="e">
        <v>#N/A</v>
      </c>
      <c r="EI72" s="17" t="e">
        <v>#N/A</v>
      </c>
      <c r="EJ72" s="17" t="e">
        <v>#N/A</v>
      </c>
      <c r="EK72" s="17" t="e">
        <v>#N/A</v>
      </c>
      <c r="EL72" s="17" t="e">
        <v>#N/A</v>
      </c>
      <c r="EM72" s="17" t="e">
        <v>#N/A</v>
      </c>
      <c r="EN72" s="17" t="e">
        <v>#N/A</v>
      </c>
      <c r="EO72" s="17" t="e">
        <v>#N/A</v>
      </c>
      <c r="EP72" s="17" t="e">
        <v>#N/A</v>
      </c>
      <c r="EQ72" s="17" t="e">
        <v>#N/A</v>
      </c>
      <c r="ER72" s="17" t="e">
        <v>#N/A</v>
      </c>
      <c r="ES72" s="17" t="e">
        <v>#N/A</v>
      </c>
      <c r="ET72" s="17" t="e">
        <v>#N/A</v>
      </c>
      <c r="EU72" s="17" t="e">
        <v>#N/A</v>
      </c>
      <c r="EV72" s="17" t="e">
        <v>#N/A</v>
      </c>
      <c r="EW72" s="17" t="e">
        <v>#N/A</v>
      </c>
      <c r="EX72" s="17" t="e">
        <v>#N/A</v>
      </c>
      <c r="EY72" s="17" t="e">
        <v>#N/A</v>
      </c>
      <c r="EZ72" s="17" t="e">
        <v>#N/A</v>
      </c>
      <c r="FA72" s="17" t="e">
        <v>#N/A</v>
      </c>
      <c r="FB72" s="17" t="e">
        <v>#N/A</v>
      </c>
      <c r="FC72" s="17" t="e">
        <v>#N/A</v>
      </c>
      <c r="FD72" s="17" t="e">
        <v>#N/A</v>
      </c>
      <c r="FE72" s="17" t="e">
        <v>#N/A</v>
      </c>
      <c r="FF72" s="17" t="e">
        <v>#N/A</v>
      </c>
      <c r="FG72" s="17" t="e">
        <v>#N/A</v>
      </c>
      <c r="FH72" s="17" t="e">
        <v>#N/A</v>
      </c>
      <c r="FI72" s="17" t="e">
        <v>#N/A</v>
      </c>
      <c r="FJ72" s="17" t="e">
        <v>#N/A</v>
      </c>
      <c r="FK72" s="17" t="e">
        <v>#N/A</v>
      </c>
      <c r="FL72" s="17" t="e">
        <v>#N/A</v>
      </c>
      <c r="FM72" s="17" t="e">
        <v>#N/A</v>
      </c>
      <c r="FN72" s="17" t="e">
        <v>#N/A</v>
      </c>
      <c r="FO72" s="17" t="e">
        <v>#N/A</v>
      </c>
      <c r="FP72" s="17" t="e">
        <v>#N/A</v>
      </c>
      <c r="FQ72" s="17" t="e">
        <v>#N/A</v>
      </c>
      <c r="FR72" s="17" t="e">
        <v>#N/A</v>
      </c>
      <c r="FS72" s="17" t="e">
        <v>#N/A</v>
      </c>
      <c r="FT72" s="17" t="e">
        <v>#N/A</v>
      </c>
      <c r="FU72" s="17" t="e">
        <v>#N/A</v>
      </c>
      <c r="FV72" s="17" t="e">
        <v>#N/A</v>
      </c>
    </row>
    <row r="73" spans="2:178" ht="11.25" customHeight="1">
      <c r="B73" s="17" t="e">
        <v>#N/A</v>
      </c>
      <c r="C73" s="17" t="e">
        <v>#N/A</v>
      </c>
      <c r="D73" s="17" t="e">
        <v>#N/A</v>
      </c>
      <c r="E73" s="17" t="e">
        <v>#N/A</v>
      </c>
      <c r="F73" s="17" t="e">
        <v>#N/A</v>
      </c>
      <c r="G73" s="17" t="e">
        <v>#N/A</v>
      </c>
      <c r="H73" s="17" t="e">
        <v>#N/A</v>
      </c>
      <c r="I73" s="17" t="e">
        <v>#N/A</v>
      </c>
      <c r="J73" s="17" t="e">
        <v>#N/A</v>
      </c>
      <c r="K73" s="17" t="e">
        <v>#N/A</v>
      </c>
      <c r="L73" s="17" t="e">
        <v>#N/A</v>
      </c>
      <c r="M73" s="17" t="e">
        <v>#N/A</v>
      </c>
      <c r="N73" s="17" t="e">
        <v>#N/A</v>
      </c>
      <c r="O73" s="17" t="e">
        <v>#N/A</v>
      </c>
      <c r="P73" s="17" t="e">
        <v>#N/A</v>
      </c>
      <c r="Q73" s="17" t="e">
        <v>#N/A</v>
      </c>
      <c r="R73" s="17" t="e">
        <v>#N/A</v>
      </c>
      <c r="S73" s="17" t="e">
        <v>#N/A</v>
      </c>
      <c r="T73" s="17" t="e">
        <v>#N/A</v>
      </c>
      <c r="U73" s="17" t="e">
        <v>#N/A</v>
      </c>
      <c r="V73" s="17" t="e">
        <v>#N/A</v>
      </c>
      <c r="W73" s="17" t="e">
        <v>#N/A</v>
      </c>
      <c r="X73" s="17" t="e">
        <v>#N/A</v>
      </c>
      <c r="Y73" s="17" t="e">
        <v>#N/A</v>
      </c>
      <c r="Z73" s="17" t="e">
        <v>#N/A</v>
      </c>
      <c r="AA73" s="17" t="e">
        <v>#N/A</v>
      </c>
      <c r="AB73" s="17" t="e">
        <v>#N/A</v>
      </c>
      <c r="AC73" s="17" t="e">
        <v>#N/A</v>
      </c>
      <c r="AD73" s="17" t="e">
        <v>#N/A</v>
      </c>
      <c r="AE73" s="17" t="e">
        <v>#N/A</v>
      </c>
      <c r="AF73" s="17" t="e">
        <v>#N/A</v>
      </c>
      <c r="AG73" s="17" t="e">
        <v>#N/A</v>
      </c>
      <c r="AH73" s="17" t="e">
        <v>#N/A</v>
      </c>
      <c r="AI73" s="17" t="e">
        <v>#N/A</v>
      </c>
      <c r="AJ73" s="17" t="e">
        <v>#N/A</v>
      </c>
      <c r="AK73" s="17" t="e">
        <v>#N/A</v>
      </c>
      <c r="AL73" s="17" t="e">
        <v>#N/A</v>
      </c>
      <c r="AM73" s="17" t="e">
        <v>#N/A</v>
      </c>
      <c r="AN73" s="17" t="e">
        <v>#N/A</v>
      </c>
      <c r="AO73" s="17" t="e">
        <v>#N/A</v>
      </c>
      <c r="AP73" s="17" t="e">
        <v>#N/A</v>
      </c>
      <c r="AQ73" s="17" t="e">
        <v>#N/A</v>
      </c>
      <c r="AR73" s="17" t="e">
        <v>#N/A</v>
      </c>
      <c r="AS73" s="17" t="e">
        <v>#N/A</v>
      </c>
      <c r="AT73" s="17" t="e">
        <v>#N/A</v>
      </c>
      <c r="AU73" s="17" t="e">
        <v>#N/A</v>
      </c>
      <c r="AV73" s="17" t="e">
        <v>#N/A</v>
      </c>
      <c r="AW73" s="17" t="e">
        <v>#N/A</v>
      </c>
      <c r="AX73" s="17" t="e">
        <v>#N/A</v>
      </c>
      <c r="AY73" s="17" t="e">
        <v>#N/A</v>
      </c>
      <c r="AZ73" s="17" t="e">
        <v>#N/A</v>
      </c>
      <c r="BA73" s="17" t="e">
        <v>#N/A</v>
      </c>
      <c r="BB73" s="17" t="e">
        <v>#N/A</v>
      </c>
      <c r="BC73" s="17" t="e">
        <v>#N/A</v>
      </c>
      <c r="BD73" s="17" t="e">
        <v>#N/A</v>
      </c>
      <c r="BE73" s="17" t="e">
        <v>#N/A</v>
      </c>
      <c r="BF73" s="17" t="e">
        <v>#N/A</v>
      </c>
      <c r="BG73" s="17" t="e">
        <v>#N/A</v>
      </c>
      <c r="BH73" s="17" t="e">
        <v>#N/A</v>
      </c>
      <c r="BI73" s="17" t="e">
        <v>#N/A</v>
      </c>
      <c r="BJ73" s="17" t="e">
        <v>#N/A</v>
      </c>
      <c r="BK73" s="17" t="e">
        <v>#N/A</v>
      </c>
      <c r="BL73" s="17" t="e">
        <v>#N/A</v>
      </c>
      <c r="BM73" s="17" t="e">
        <v>#N/A</v>
      </c>
      <c r="BN73" s="17" t="e">
        <v>#N/A</v>
      </c>
      <c r="BO73" s="17" t="e">
        <v>#N/A</v>
      </c>
      <c r="BP73" s="17" t="e">
        <v>#N/A</v>
      </c>
      <c r="BQ73" s="17" t="e">
        <v>#N/A</v>
      </c>
      <c r="BR73" s="17" t="e">
        <v>#N/A</v>
      </c>
      <c r="BS73" s="17" t="e">
        <v>#N/A</v>
      </c>
      <c r="BT73" s="17" t="e">
        <v>#N/A</v>
      </c>
      <c r="BU73" s="17" t="e">
        <v>#N/A</v>
      </c>
      <c r="BV73" s="17" t="e">
        <v>#N/A</v>
      </c>
      <c r="BW73" s="17" t="e">
        <v>#N/A</v>
      </c>
      <c r="BX73" s="17" t="e">
        <v>#N/A</v>
      </c>
      <c r="BY73" s="17" t="e">
        <v>#N/A</v>
      </c>
      <c r="BZ73" s="17" t="e">
        <v>#N/A</v>
      </c>
      <c r="CA73" s="17" t="e">
        <v>#N/A</v>
      </c>
      <c r="CB73" s="17" t="e">
        <v>#N/A</v>
      </c>
      <c r="CC73" s="17" t="e">
        <v>#N/A</v>
      </c>
      <c r="CD73" s="17" t="e">
        <v>#N/A</v>
      </c>
      <c r="CE73" s="17" t="e">
        <v>#N/A</v>
      </c>
      <c r="CF73" s="17" t="e">
        <v>#N/A</v>
      </c>
      <c r="CG73" s="17" t="e">
        <v>#N/A</v>
      </c>
      <c r="CH73" s="17" t="e">
        <v>#N/A</v>
      </c>
      <c r="CI73" s="17" t="e">
        <v>#N/A</v>
      </c>
      <c r="CJ73" s="17" t="e">
        <v>#N/A</v>
      </c>
      <c r="CK73" s="17" t="e">
        <v>#N/A</v>
      </c>
      <c r="CL73" s="17" t="e">
        <v>#N/A</v>
      </c>
      <c r="CM73" s="17" t="e">
        <v>#N/A</v>
      </c>
      <c r="CN73" s="17" t="e">
        <v>#N/A</v>
      </c>
      <c r="CO73" s="17" t="e">
        <v>#N/A</v>
      </c>
      <c r="CP73" s="17" t="e">
        <v>#N/A</v>
      </c>
      <c r="CQ73" s="17" t="e">
        <v>#N/A</v>
      </c>
      <c r="CR73" s="17" t="e">
        <v>#N/A</v>
      </c>
      <c r="CS73" s="17" t="e">
        <v>#N/A</v>
      </c>
      <c r="CT73" s="17" t="e">
        <v>#N/A</v>
      </c>
      <c r="CU73" s="17" t="e">
        <v>#N/A</v>
      </c>
      <c r="CV73" s="17" t="e">
        <v>#N/A</v>
      </c>
      <c r="CW73" s="17" t="e">
        <v>#N/A</v>
      </c>
      <c r="CX73" s="17" t="e">
        <v>#N/A</v>
      </c>
      <c r="CY73" s="17" t="e">
        <v>#N/A</v>
      </c>
      <c r="CZ73" s="17" t="e">
        <v>#N/A</v>
      </c>
      <c r="DA73" s="17" t="e">
        <v>#N/A</v>
      </c>
      <c r="DB73" s="17" t="e">
        <v>#N/A</v>
      </c>
      <c r="DC73" s="17" t="e">
        <v>#N/A</v>
      </c>
      <c r="DD73" s="17" t="e">
        <v>#N/A</v>
      </c>
      <c r="DE73" s="17" t="e">
        <v>#N/A</v>
      </c>
      <c r="DF73" s="17" t="e">
        <v>#N/A</v>
      </c>
      <c r="DG73" s="17" t="e">
        <v>#N/A</v>
      </c>
      <c r="DH73" s="17" t="e">
        <v>#N/A</v>
      </c>
      <c r="DI73" s="17" t="e">
        <v>#N/A</v>
      </c>
      <c r="DJ73" s="17" t="e">
        <v>#N/A</v>
      </c>
      <c r="DK73" s="17" t="e">
        <v>#N/A</v>
      </c>
      <c r="DL73" s="17" t="e">
        <v>#N/A</v>
      </c>
      <c r="DM73" s="17" t="e">
        <v>#N/A</v>
      </c>
      <c r="DN73" s="17" t="e">
        <v>#N/A</v>
      </c>
      <c r="DO73" s="17" t="e">
        <v>#N/A</v>
      </c>
      <c r="DP73" s="17" t="e">
        <v>#N/A</v>
      </c>
      <c r="DQ73" s="17" t="e">
        <v>#N/A</v>
      </c>
      <c r="DR73" s="17" t="e">
        <v>#N/A</v>
      </c>
      <c r="DS73" s="17" t="e">
        <v>#N/A</v>
      </c>
      <c r="DT73" s="17" t="e">
        <v>#N/A</v>
      </c>
      <c r="DU73" s="17" t="e">
        <v>#N/A</v>
      </c>
      <c r="DV73" s="17" t="e">
        <v>#N/A</v>
      </c>
      <c r="DW73" s="17" t="e">
        <v>#N/A</v>
      </c>
      <c r="DX73" s="17" t="e">
        <v>#N/A</v>
      </c>
      <c r="DY73" s="17" t="e">
        <v>#N/A</v>
      </c>
      <c r="DZ73" s="17" t="e">
        <v>#N/A</v>
      </c>
      <c r="EA73" s="17" t="e">
        <v>#N/A</v>
      </c>
      <c r="EB73" s="17" t="e">
        <v>#N/A</v>
      </c>
      <c r="EC73" s="17" t="e">
        <v>#N/A</v>
      </c>
      <c r="ED73" s="17" t="e">
        <v>#N/A</v>
      </c>
      <c r="EE73" s="17" t="e">
        <v>#N/A</v>
      </c>
      <c r="EF73" s="17" t="e">
        <v>#N/A</v>
      </c>
      <c r="EG73" s="17" t="e">
        <v>#N/A</v>
      </c>
      <c r="EH73" s="17" t="e">
        <v>#N/A</v>
      </c>
      <c r="EI73" s="17" t="e">
        <v>#N/A</v>
      </c>
      <c r="EJ73" s="17" t="e">
        <v>#N/A</v>
      </c>
      <c r="EK73" s="17" t="e">
        <v>#N/A</v>
      </c>
      <c r="EL73" s="17" t="e">
        <v>#N/A</v>
      </c>
      <c r="EM73" s="17" t="e">
        <v>#N/A</v>
      </c>
      <c r="EN73" s="17" t="e">
        <v>#N/A</v>
      </c>
      <c r="EO73" s="17" t="e">
        <v>#N/A</v>
      </c>
      <c r="EP73" s="17" t="e">
        <v>#N/A</v>
      </c>
      <c r="EQ73" s="17" t="e">
        <v>#N/A</v>
      </c>
      <c r="ER73" s="17" t="e">
        <v>#N/A</v>
      </c>
      <c r="ES73" s="17" t="e">
        <v>#N/A</v>
      </c>
      <c r="ET73" s="17" t="e">
        <v>#N/A</v>
      </c>
      <c r="EU73" s="17" t="e">
        <v>#N/A</v>
      </c>
      <c r="EV73" s="17" t="e">
        <v>#N/A</v>
      </c>
      <c r="EW73" s="17" t="e">
        <v>#N/A</v>
      </c>
      <c r="EX73" s="17" t="e">
        <v>#N/A</v>
      </c>
      <c r="EY73" s="17" t="e">
        <v>#N/A</v>
      </c>
      <c r="EZ73" s="17" t="e">
        <v>#N/A</v>
      </c>
      <c r="FA73" s="17" t="e">
        <v>#N/A</v>
      </c>
      <c r="FB73" s="17" t="e">
        <v>#N/A</v>
      </c>
      <c r="FC73" s="17" t="e">
        <v>#N/A</v>
      </c>
      <c r="FD73" s="17" t="e">
        <v>#N/A</v>
      </c>
      <c r="FE73" s="17" t="e">
        <v>#N/A</v>
      </c>
      <c r="FF73" s="17" t="e">
        <v>#N/A</v>
      </c>
      <c r="FG73" s="17" t="e">
        <v>#N/A</v>
      </c>
      <c r="FH73" s="17" t="e">
        <v>#N/A</v>
      </c>
      <c r="FI73" s="17" t="e">
        <v>#N/A</v>
      </c>
      <c r="FJ73" s="17" t="e">
        <v>#N/A</v>
      </c>
      <c r="FK73" s="17" t="e">
        <v>#N/A</v>
      </c>
      <c r="FL73" s="17" t="e">
        <v>#N/A</v>
      </c>
      <c r="FM73" s="17" t="e">
        <v>#N/A</v>
      </c>
      <c r="FN73" s="17" t="e">
        <v>#N/A</v>
      </c>
      <c r="FO73" s="17" t="e">
        <v>#N/A</v>
      </c>
      <c r="FP73" s="17" t="e">
        <v>#N/A</v>
      </c>
      <c r="FQ73" s="17" t="e">
        <v>#N/A</v>
      </c>
      <c r="FR73" s="17" t="e">
        <v>#N/A</v>
      </c>
      <c r="FS73" s="17" t="e">
        <v>#N/A</v>
      </c>
      <c r="FT73" s="17" t="e">
        <v>#N/A</v>
      </c>
      <c r="FU73" s="17" t="e">
        <v>#N/A</v>
      </c>
      <c r="FV73" s="17" t="e">
        <v>#N/A</v>
      </c>
    </row>
    <row r="74" spans="2:178" ht="11.25" customHeight="1">
      <c r="B74" s="17" t="e">
        <v>#N/A</v>
      </c>
      <c r="C74" s="17" t="e">
        <v>#N/A</v>
      </c>
      <c r="D74" s="17" t="e">
        <v>#N/A</v>
      </c>
      <c r="E74" s="17" t="e">
        <v>#N/A</v>
      </c>
      <c r="F74" s="17" t="e">
        <v>#N/A</v>
      </c>
      <c r="G74" s="17" t="e">
        <v>#N/A</v>
      </c>
      <c r="H74" s="17" t="e">
        <v>#N/A</v>
      </c>
      <c r="I74" s="17" t="e">
        <v>#N/A</v>
      </c>
      <c r="J74" s="17" t="e">
        <v>#N/A</v>
      </c>
      <c r="K74" s="17" t="e">
        <v>#N/A</v>
      </c>
      <c r="L74" s="17" t="e">
        <v>#N/A</v>
      </c>
      <c r="M74" s="17" t="e">
        <v>#N/A</v>
      </c>
      <c r="N74" s="17" t="e">
        <v>#N/A</v>
      </c>
      <c r="O74" s="17" t="e">
        <v>#N/A</v>
      </c>
      <c r="P74" s="17" t="e">
        <v>#N/A</v>
      </c>
      <c r="Q74" s="17" t="e">
        <v>#N/A</v>
      </c>
      <c r="R74" s="17" t="e">
        <v>#N/A</v>
      </c>
      <c r="S74" s="17" t="e">
        <v>#N/A</v>
      </c>
      <c r="T74" s="17" t="e">
        <v>#N/A</v>
      </c>
      <c r="U74" s="17" t="e">
        <v>#N/A</v>
      </c>
      <c r="V74" s="17" t="e">
        <v>#N/A</v>
      </c>
      <c r="W74" s="17" t="e">
        <v>#N/A</v>
      </c>
      <c r="X74" s="17" t="e">
        <v>#N/A</v>
      </c>
      <c r="Y74" s="17" t="e">
        <v>#N/A</v>
      </c>
      <c r="Z74" s="17" t="e">
        <v>#N/A</v>
      </c>
      <c r="AA74" s="17" t="e">
        <v>#N/A</v>
      </c>
      <c r="AB74" s="17" t="e">
        <v>#N/A</v>
      </c>
      <c r="AC74" s="17" t="e">
        <v>#N/A</v>
      </c>
      <c r="AD74" s="17" t="e">
        <v>#N/A</v>
      </c>
      <c r="AE74" s="17" t="e">
        <v>#N/A</v>
      </c>
      <c r="AF74" s="17" t="e">
        <v>#N/A</v>
      </c>
      <c r="AG74" s="17" t="e">
        <v>#N/A</v>
      </c>
      <c r="AH74" s="17" t="e">
        <v>#N/A</v>
      </c>
      <c r="AI74" s="17" t="e">
        <v>#N/A</v>
      </c>
      <c r="AJ74" s="17" t="e">
        <v>#N/A</v>
      </c>
      <c r="AK74" s="17" t="e">
        <v>#N/A</v>
      </c>
      <c r="AL74" s="17" t="e">
        <v>#N/A</v>
      </c>
      <c r="AM74" s="17" t="e">
        <v>#N/A</v>
      </c>
      <c r="AN74" s="17" t="e">
        <v>#N/A</v>
      </c>
      <c r="AO74" s="17" t="e">
        <v>#N/A</v>
      </c>
      <c r="AP74" s="17" t="e">
        <v>#N/A</v>
      </c>
      <c r="AQ74" s="17" t="e">
        <v>#N/A</v>
      </c>
      <c r="AR74" s="17" t="e">
        <v>#N/A</v>
      </c>
      <c r="AS74" s="17" t="e">
        <v>#N/A</v>
      </c>
      <c r="AT74" s="17" t="e">
        <v>#N/A</v>
      </c>
      <c r="AU74" s="17" t="e">
        <v>#N/A</v>
      </c>
      <c r="AV74" s="17" t="e">
        <v>#N/A</v>
      </c>
      <c r="AW74" s="17" t="e">
        <v>#N/A</v>
      </c>
      <c r="AX74" s="17" t="e">
        <v>#N/A</v>
      </c>
      <c r="AY74" s="17" t="e">
        <v>#N/A</v>
      </c>
      <c r="AZ74" s="17" t="e">
        <v>#N/A</v>
      </c>
      <c r="BA74" s="17" t="e">
        <v>#N/A</v>
      </c>
      <c r="BB74" s="17" t="e">
        <v>#N/A</v>
      </c>
      <c r="BC74" s="17" t="e">
        <v>#N/A</v>
      </c>
      <c r="BD74" s="17" t="e">
        <v>#N/A</v>
      </c>
      <c r="BE74" s="17" t="e">
        <v>#N/A</v>
      </c>
      <c r="BF74" s="17" t="e">
        <v>#N/A</v>
      </c>
      <c r="BG74" s="17" t="e">
        <v>#N/A</v>
      </c>
      <c r="BH74" s="17" t="e">
        <v>#N/A</v>
      </c>
      <c r="BI74" s="17" t="e">
        <v>#N/A</v>
      </c>
      <c r="BJ74" s="17" t="e">
        <v>#N/A</v>
      </c>
      <c r="BK74" s="17" t="e">
        <v>#N/A</v>
      </c>
      <c r="BL74" s="17" t="e">
        <v>#N/A</v>
      </c>
      <c r="BM74" s="17" t="e">
        <v>#N/A</v>
      </c>
      <c r="BN74" s="17" t="e">
        <v>#N/A</v>
      </c>
      <c r="BO74" s="17" t="e">
        <v>#N/A</v>
      </c>
      <c r="BP74" s="17" t="e">
        <v>#N/A</v>
      </c>
      <c r="BQ74" s="17" t="e">
        <v>#N/A</v>
      </c>
      <c r="BR74" s="17" t="e">
        <v>#N/A</v>
      </c>
      <c r="BS74" s="17" t="e">
        <v>#N/A</v>
      </c>
      <c r="BT74" s="17" t="e">
        <v>#N/A</v>
      </c>
      <c r="BU74" s="17" t="e">
        <v>#N/A</v>
      </c>
      <c r="BV74" s="17" t="e">
        <v>#N/A</v>
      </c>
      <c r="BW74" s="17" t="e">
        <v>#N/A</v>
      </c>
      <c r="BX74" s="17" t="e">
        <v>#N/A</v>
      </c>
      <c r="BY74" s="17" t="e">
        <v>#N/A</v>
      </c>
      <c r="BZ74" s="17" t="e">
        <v>#N/A</v>
      </c>
      <c r="CA74" s="17" t="e">
        <v>#N/A</v>
      </c>
      <c r="CB74" s="17" t="e">
        <v>#N/A</v>
      </c>
      <c r="CC74" s="17" t="e">
        <v>#N/A</v>
      </c>
      <c r="CD74" s="17" t="e">
        <v>#N/A</v>
      </c>
      <c r="CE74" s="17" t="e">
        <v>#N/A</v>
      </c>
      <c r="CF74" s="17" t="e">
        <v>#N/A</v>
      </c>
      <c r="CG74" s="17" t="e">
        <v>#N/A</v>
      </c>
      <c r="CH74" s="17" t="e">
        <v>#N/A</v>
      </c>
      <c r="CI74" s="17" t="e">
        <v>#N/A</v>
      </c>
      <c r="CJ74" s="17" t="e">
        <v>#N/A</v>
      </c>
      <c r="CK74" s="17" t="e">
        <v>#N/A</v>
      </c>
      <c r="CL74" s="17" t="e">
        <v>#N/A</v>
      </c>
      <c r="CM74" s="17" t="e">
        <v>#N/A</v>
      </c>
      <c r="CN74" s="17" t="e">
        <v>#N/A</v>
      </c>
      <c r="CO74" s="17" t="e">
        <v>#N/A</v>
      </c>
      <c r="CP74" s="17" t="e">
        <v>#N/A</v>
      </c>
      <c r="CQ74" s="17" t="e">
        <v>#N/A</v>
      </c>
      <c r="CR74" s="17" t="e">
        <v>#N/A</v>
      </c>
      <c r="CS74" s="17" t="e">
        <v>#N/A</v>
      </c>
      <c r="CT74" s="17" t="e">
        <v>#N/A</v>
      </c>
      <c r="CU74" s="17" t="e">
        <v>#N/A</v>
      </c>
      <c r="CV74" s="17" t="e">
        <v>#N/A</v>
      </c>
      <c r="CW74" s="17" t="e">
        <v>#N/A</v>
      </c>
      <c r="CX74" s="17" t="e">
        <v>#N/A</v>
      </c>
      <c r="CY74" s="17" t="e">
        <v>#N/A</v>
      </c>
      <c r="CZ74" s="17" t="e">
        <v>#N/A</v>
      </c>
      <c r="DA74" s="17" t="e">
        <v>#N/A</v>
      </c>
      <c r="DB74" s="17" t="e">
        <v>#N/A</v>
      </c>
      <c r="DC74" s="17" t="e">
        <v>#N/A</v>
      </c>
      <c r="DD74" s="17" t="e">
        <v>#N/A</v>
      </c>
      <c r="DE74" s="17" t="e">
        <v>#N/A</v>
      </c>
      <c r="DF74" s="17" t="e">
        <v>#N/A</v>
      </c>
      <c r="DG74" s="17" t="e">
        <v>#N/A</v>
      </c>
      <c r="DH74" s="17" t="e">
        <v>#N/A</v>
      </c>
      <c r="DI74" s="17" t="e">
        <v>#N/A</v>
      </c>
      <c r="DJ74" s="17" t="e">
        <v>#N/A</v>
      </c>
      <c r="DK74" s="17" t="e">
        <v>#N/A</v>
      </c>
      <c r="DL74" s="17" t="e">
        <v>#N/A</v>
      </c>
      <c r="DM74" s="17" t="e">
        <v>#N/A</v>
      </c>
      <c r="DN74" s="17" t="e">
        <v>#N/A</v>
      </c>
      <c r="DO74" s="17" t="e">
        <v>#N/A</v>
      </c>
      <c r="DP74" s="17" t="e">
        <v>#N/A</v>
      </c>
      <c r="DQ74" s="17" t="e">
        <v>#N/A</v>
      </c>
      <c r="DR74" s="17" t="e">
        <v>#N/A</v>
      </c>
      <c r="DS74" s="17" t="e">
        <v>#N/A</v>
      </c>
      <c r="DT74" s="17" t="e">
        <v>#N/A</v>
      </c>
      <c r="DU74" s="17" t="e">
        <v>#N/A</v>
      </c>
      <c r="DV74" s="17" t="e">
        <v>#N/A</v>
      </c>
      <c r="DW74" s="17" t="e">
        <v>#N/A</v>
      </c>
      <c r="DX74" s="17" t="e">
        <v>#N/A</v>
      </c>
      <c r="DY74" s="17" t="e">
        <v>#N/A</v>
      </c>
      <c r="DZ74" s="17" t="e">
        <v>#N/A</v>
      </c>
      <c r="EA74" s="17" t="e">
        <v>#N/A</v>
      </c>
      <c r="EB74" s="17" t="e">
        <v>#N/A</v>
      </c>
      <c r="EC74" s="17" t="e">
        <v>#N/A</v>
      </c>
      <c r="ED74" s="17" t="e">
        <v>#N/A</v>
      </c>
      <c r="EE74" s="17" t="e">
        <v>#N/A</v>
      </c>
      <c r="EF74" s="17" t="e">
        <v>#N/A</v>
      </c>
      <c r="EG74" s="17" t="e">
        <v>#N/A</v>
      </c>
      <c r="EH74" s="17" t="e">
        <v>#N/A</v>
      </c>
      <c r="EI74" s="17" t="e">
        <v>#N/A</v>
      </c>
      <c r="EJ74" s="17" t="e">
        <v>#N/A</v>
      </c>
      <c r="EK74" s="17" t="e">
        <v>#N/A</v>
      </c>
      <c r="EL74" s="17" t="e">
        <v>#N/A</v>
      </c>
      <c r="EM74" s="17" t="e">
        <v>#N/A</v>
      </c>
      <c r="EN74" s="17" t="e">
        <v>#N/A</v>
      </c>
      <c r="EO74" s="17" t="e">
        <v>#N/A</v>
      </c>
      <c r="EP74" s="17" t="e">
        <v>#N/A</v>
      </c>
      <c r="EQ74" s="17" t="e">
        <v>#N/A</v>
      </c>
      <c r="ER74" s="17" t="e">
        <v>#N/A</v>
      </c>
      <c r="ES74" s="17" t="e">
        <v>#N/A</v>
      </c>
      <c r="ET74" s="17" t="e">
        <v>#N/A</v>
      </c>
      <c r="EU74" s="17" t="e">
        <v>#N/A</v>
      </c>
      <c r="EV74" s="17" t="e">
        <v>#N/A</v>
      </c>
      <c r="EW74" s="17" t="e">
        <v>#N/A</v>
      </c>
      <c r="EX74" s="17" t="e">
        <v>#N/A</v>
      </c>
      <c r="EY74" s="17" t="e">
        <v>#N/A</v>
      </c>
      <c r="EZ74" s="17" t="e">
        <v>#N/A</v>
      </c>
      <c r="FA74" s="17" t="e">
        <v>#N/A</v>
      </c>
      <c r="FB74" s="17" t="e">
        <v>#N/A</v>
      </c>
      <c r="FC74" s="17" t="e">
        <v>#N/A</v>
      </c>
      <c r="FD74" s="17" t="e">
        <v>#N/A</v>
      </c>
      <c r="FE74" s="17" t="e">
        <v>#N/A</v>
      </c>
      <c r="FF74" s="17" t="e">
        <v>#N/A</v>
      </c>
      <c r="FG74" s="17" t="e">
        <v>#N/A</v>
      </c>
      <c r="FH74" s="17" t="e">
        <v>#N/A</v>
      </c>
      <c r="FI74" s="17" t="e">
        <v>#N/A</v>
      </c>
      <c r="FJ74" s="17" t="e">
        <v>#N/A</v>
      </c>
      <c r="FK74" s="17" t="e">
        <v>#N/A</v>
      </c>
      <c r="FL74" s="17" t="e">
        <v>#N/A</v>
      </c>
      <c r="FM74" s="17" t="e">
        <v>#N/A</v>
      </c>
      <c r="FN74" s="17" t="e">
        <v>#N/A</v>
      </c>
      <c r="FO74" s="17" t="e">
        <v>#N/A</v>
      </c>
      <c r="FP74" s="17" t="e">
        <v>#N/A</v>
      </c>
      <c r="FQ74" s="17" t="e">
        <v>#N/A</v>
      </c>
      <c r="FR74" s="17" t="e">
        <v>#N/A</v>
      </c>
      <c r="FS74" s="17" t="e">
        <v>#N/A</v>
      </c>
      <c r="FT74" s="17" t="e">
        <v>#N/A</v>
      </c>
      <c r="FU74" s="17" t="e">
        <v>#N/A</v>
      </c>
      <c r="FV74" s="17" t="e">
        <v>#N/A</v>
      </c>
    </row>
    <row r="75" spans="2:178" ht="11.25" customHeight="1">
      <c r="B75" s="17" t="e">
        <v>#N/A</v>
      </c>
      <c r="C75" s="17" t="e">
        <v>#N/A</v>
      </c>
      <c r="D75" s="17" t="e">
        <v>#N/A</v>
      </c>
      <c r="E75" s="17" t="e">
        <v>#N/A</v>
      </c>
      <c r="F75" s="17" t="e">
        <v>#N/A</v>
      </c>
      <c r="G75" s="17" t="e">
        <v>#N/A</v>
      </c>
      <c r="H75" s="17" t="e">
        <v>#N/A</v>
      </c>
      <c r="I75" s="17" t="e">
        <v>#N/A</v>
      </c>
      <c r="J75" s="17" t="e">
        <v>#N/A</v>
      </c>
      <c r="K75" s="17" t="e">
        <v>#N/A</v>
      </c>
      <c r="L75" s="17" t="e">
        <v>#N/A</v>
      </c>
      <c r="M75" s="17" t="e">
        <v>#N/A</v>
      </c>
      <c r="N75" s="17" t="e">
        <v>#N/A</v>
      </c>
      <c r="O75" s="17" t="e">
        <v>#N/A</v>
      </c>
      <c r="P75" s="17" t="e">
        <v>#N/A</v>
      </c>
      <c r="Q75" s="17" t="e">
        <v>#N/A</v>
      </c>
      <c r="R75" s="17" t="e">
        <v>#N/A</v>
      </c>
      <c r="S75" s="17" t="e">
        <v>#N/A</v>
      </c>
      <c r="T75" s="17" t="e">
        <v>#N/A</v>
      </c>
      <c r="U75" s="17" t="e">
        <v>#N/A</v>
      </c>
      <c r="V75" s="17" t="e">
        <v>#N/A</v>
      </c>
      <c r="W75" s="17" t="e">
        <v>#N/A</v>
      </c>
      <c r="X75" s="17" t="e">
        <v>#N/A</v>
      </c>
      <c r="Y75" s="17" t="e">
        <v>#N/A</v>
      </c>
      <c r="Z75" s="17" t="e">
        <v>#N/A</v>
      </c>
      <c r="AA75" s="17" t="e">
        <v>#N/A</v>
      </c>
      <c r="AB75" s="17" t="e">
        <v>#N/A</v>
      </c>
      <c r="AC75" s="17" t="e">
        <v>#N/A</v>
      </c>
      <c r="AD75" s="17" t="e">
        <v>#N/A</v>
      </c>
      <c r="AE75" s="17" t="e">
        <v>#N/A</v>
      </c>
      <c r="AF75" s="17" t="e">
        <v>#N/A</v>
      </c>
      <c r="AG75" s="17" t="e">
        <v>#N/A</v>
      </c>
      <c r="AH75" s="17" t="e">
        <v>#N/A</v>
      </c>
      <c r="AI75" s="17" t="e">
        <v>#N/A</v>
      </c>
      <c r="AJ75" s="17" t="e">
        <v>#N/A</v>
      </c>
      <c r="AK75" s="17" t="e">
        <v>#N/A</v>
      </c>
      <c r="AL75" s="17" t="e">
        <v>#N/A</v>
      </c>
      <c r="AM75" s="17" t="e">
        <v>#N/A</v>
      </c>
      <c r="AN75" s="17" t="e">
        <v>#N/A</v>
      </c>
      <c r="AO75" s="17" t="e">
        <v>#N/A</v>
      </c>
      <c r="AP75" s="17" t="e">
        <v>#N/A</v>
      </c>
      <c r="AQ75" s="17" t="e">
        <v>#N/A</v>
      </c>
      <c r="AR75" s="17" t="e">
        <v>#N/A</v>
      </c>
      <c r="AS75" s="17" t="e">
        <v>#N/A</v>
      </c>
      <c r="AT75" s="17" t="e">
        <v>#N/A</v>
      </c>
      <c r="AU75" s="17" t="e">
        <v>#N/A</v>
      </c>
      <c r="AV75" s="17" t="e">
        <v>#N/A</v>
      </c>
      <c r="AW75" s="17" t="e">
        <v>#N/A</v>
      </c>
      <c r="AX75" s="17" t="e">
        <v>#N/A</v>
      </c>
      <c r="AY75" s="17" t="e">
        <v>#N/A</v>
      </c>
      <c r="AZ75" s="17" t="e">
        <v>#N/A</v>
      </c>
      <c r="BA75" s="17" t="e">
        <v>#N/A</v>
      </c>
      <c r="BB75" s="17" t="e">
        <v>#N/A</v>
      </c>
      <c r="BC75" s="17" t="e">
        <v>#N/A</v>
      </c>
      <c r="BD75" s="17" t="e">
        <v>#N/A</v>
      </c>
      <c r="BE75" s="17" t="e">
        <v>#N/A</v>
      </c>
      <c r="BF75" s="17" t="e">
        <v>#N/A</v>
      </c>
      <c r="BG75" s="17" t="e">
        <v>#N/A</v>
      </c>
      <c r="BH75" s="17" t="e">
        <v>#N/A</v>
      </c>
      <c r="BI75" s="17" t="e">
        <v>#N/A</v>
      </c>
      <c r="BJ75" s="17" t="e">
        <v>#N/A</v>
      </c>
      <c r="BK75" s="17" t="e">
        <v>#N/A</v>
      </c>
      <c r="BL75" s="17" t="e">
        <v>#N/A</v>
      </c>
      <c r="BM75" s="17" t="e">
        <v>#N/A</v>
      </c>
      <c r="BN75" s="17" t="e">
        <v>#N/A</v>
      </c>
      <c r="BO75" s="17" t="e">
        <v>#N/A</v>
      </c>
      <c r="BP75" s="17" t="e">
        <v>#N/A</v>
      </c>
      <c r="BQ75" s="17" t="e">
        <v>#N/A</v>
      </c>
      <c r="BR75" s="17" t="e">
        <v>#N/A</v>
      </c>
      <c r="BS75" s="17" t="e">
        <v>#N/A</v>
      </c>
      <c r="BT75" s="17" t="e">
        <v>#N/A</v>
      </c>
      <c r="BU75" s="17" t="e">
        <v>#N/A</v>
      </c>
      <c r="BV75" s="17" t="e">
        <v>#N/A</v>
      </c>
      <c r="BW75" s="17" t="e">
        <v>#N/A</v>
      </c>
      <c r="BX75" s="17" t="e">
        <v>#N/A</v>
      </c>
      <c r="BY75" s="17" t="e">
        <v>#N/A</v>
      </c>
      <c r="BZ75" s="17" t="e">
        <v>#N/A</v>
      </c>
      <c r="CA75" s="17" t="e">
        <v>#N/A</v>
      </c>
      <c r="CB75" s="17" t="e">
        <v>#N/A</v>
      </c>
      <c r="CC75" s="17" t="e">
        <v>#N/A</v>
      </c>
      <c r="CD75" s="17" t="e">
        <v>#N/A</v>
      </c>
      <c r="CE75" s="17" t="e">
        <v>#N/A</v>
      </c>
      <c r="CF75" s="17" t="e">
        <v>#N/A</v>
      </c>
      <c r="CG75" s="17" t="e">
        <v>#N/A</v>
      </c>
      <c r="CH75" s="17" t="e">
        <v>#N/A</v>
      </c>
      <c r="CI75" s="17" t="e">
        <v>#N/A</v>
      </c>
      <c r="CJ75" s="17" t="e">
        <v>#N/A</v>
      </c>
      <c r="CK75" s="17" t="e">
        <v>#N/A</v>
      </c>
      <c r="CL75" s="17" t="e">
        <v>#N/A</v>
      </c>
      <c r="CM75" s="17" t="e">
        <v>#N/A</v>
      </c>
      <c r="CN75" s="17" t="e">
        <v>#N/A</v>
      </c>
      <c r="CO75" s="17" t="e">
        <v>#N/A</v>
      </c>
      <c r="CP75" s="17" t="e">
        <v>#N/A</v>
      </c>
      <c r="CQ75" s="17" t="e">
        <v>#N/A</v>
      </c>
      <c r="CR75" s="17" t="e">
        <v>#N/A</v>
      </c>
      <c r="CS75" s="17" t="e">
        <v>#N/A</v>
      </c>
      <c r="CT75" s="17" t="e">
        <v>#N/A</v>
      </c>
      <c r="CU75" s="17" t="e">
        <v>#N/A</v>
      </c>
      <c r="CV75" s="17" t="e">
        <v>#N/A</v>
      </c>
      <c r="CW75" s="17" t="e">
        <v>#N/A</v>
      </c>
      <c r="CX75" s="17" t="e">
        <v>#N/A</v>
      </c>
      <c r="CY75" s="17" t="e">
        <v>#N/A</v>
      </c>
      <c r="CZ75" s="17" t="e">
        <v>#N/A</v>
      </c>
      <c r="DA75" s="17" t="e">
        <v>#N/A</v>
      </c>
      <c r="DB75" s="17" t="e">
        <v>#N/A</v>
      </c>
      <c r="DC75" s="17" t="e">
        <v>#N/A</v>
      </c>
      <c r="DD75" s="17" t="e">
        <v>#N/A</v>
      </c>
      <c r="DE75" s="17" t="e">
        <v>#N/A</v>
      </c>
      <c r="DF75" s="17" t="e">
        <v>#N/A</v>
      </c>
      <c r="DG75" s="17" t="e">
        <v>#N/A</v>
      </c>
      <c r="DH75" s="17" t="e">
        <v>#N/A</v>
      </c>
      <c r="DI75" s="17" t="e">
        <v>#N/A</v>
      </c>
      <c r="DJ75" s="17" t="e">
        <v>#N/A</v>
      </c>
      <c r="DK75" s="17" t="e">
        <v>#N/A</v>
      </c>
      <c r="DL75" s="17" t="e">
        <v>#N/A</v>
      </c>
      <c r="DM75" s="17" t="e">
        <v>#N/A</v>
      </c>
      <c r="DN75" s="17" t="e">
        <v>#N/A</v>
      </c>
      <c r="DO75" s="17" t="e">
        <v>#N/A</v>
      </c>
      <c r="DP75" s="17" t="e">
        <v>#N/A</v>
      </c>
      <c r="DQ75" s="17" t="e">
        <v>#N/A</v>
      </c>
      <c r="DR75" s="17" t="e">
        <v>#N/A</v>
      </c>
      <c r="DS75" s="17" t="e">
        <v>#N/A</v>
      </c>
      <c r="DT75" s="17" t="e">
        <v>#N/A</v>
      </c>
      <c r="DU75" s="17" t="e">
        <v>#N/A</v>
      </c>
      <c r="DV75" s="17" t="e">
        <v>#N/A</v>
      </c>
      <c r="DW75" s="17" t="e">
        <v>#N/A</v>
      </c>
      <c r="DX75" s="17" t="e">
        <v>#N/A</v>
      </c>
      <c r="DY75" s="17" t="e">
        <v>#N/A</v>
      </c>
      <c r="DZ75" s="17" t="e">
        <v>#N/A</v>
      </c>
      <c r="EA75" s="17" t="e">
        <v>#N/A</v>
      </c>
      <c r="EB75" s="17" t="e">
        <v>#N/A</v>
      </c>
      <c r="EC75" s="17" t="e">
        <v>#N/A</v>
      </c>
      <c r="ED75" s="17" t="e">
        <v>#N/A</v>
      </c>
      <c r="EE75" s="17" t="e">
        <v>#N/A</v>
      </c>
      <c r="EF75" s="17" t="e">
        <v>#N/A</v>
      </c>
      <c r="EG75" s="17" t="e">
        <v>#N/A</v>
      </c>
      <c r="EH75" s="17" t="e">
        <v>#N/A</v>
      </c>
      <c r="EI75" s="17" t="e">
        <v>#N/A</v>
      </c>
      <c r="EJ75" s="17" t="e">
        <v>#N/A</v>
      </c>
      <c r="EK75" s="17" t="e">
        <v>#N/A</v>
      </c>
      <c r="EL75" s="17" t="e">
        <v>#N/A</v>
      </c>
      <c r="EM75" s="17" t="e">
        <v>#N/A</v>
      </c>
      <c r="EN75" s="17" t="e">
        <v>#N/A</v>
      </c>
      <c r="EO75" s="17" t="e">
        <v>#N/A</v>
      </c>
      <c r="EP75" s="17" t="e">
        <v>#N/A</v>
      </c>
      <c r="EQ75" s="17" t="e">
        <v>#N/A</v>
      </c>
      <c r="ER75" s="17" t="e">
        <v>#N/A</v>
      </c>
      <c r="ES75" s="17" t="e">
        <v>#N/A</v>
      </c>
      <c r="ET75" s="17" t="e">
        <v>#N/A</v>
      </c>
      <c r="EU75" s="17" t="e">
        <v>#N/A</v>
      </c>
      <c r="EV75" s="17" t="e">
        <v>#N/A</v>
      </c>
      <c r="EW75" s="17" t="e">
        <v>#N/A</v>
      </c>
      <c r="EX75" s="17" t="e">
        <v>#N/A</v>
      </c>
      <c r="EY75" s="17" t="e">
        <v>#N/A</v>
      </c>
      <c r="EZ75" s="17" t="e">
        <v>#N/A</v>
      </c>
      <c r="FA75" s="17" t="e">
        <v>#N/A</v>
      </c>
      <c r="FB75" s="17" t="e">
        <v>#N/A</v>
      </c>
      <c r="FC75" s="17" t="e">
        <v>#N/A</v>
      </c>
      <c r="FD75" s="17" t="e">
        <v>#N/A</v>
      </c>
      <c r="FE75" s="17" t="e">
        <v>#N/A</v>
      </c>
      <c r="FF75" s="17" t="e">
        <v>#N/A</v>
      </c>
      <c r="FG75" s="17" t="e">
        <v>#N/A</v>
      </c>
      <c r="FH75" s="17" t="e">
        <v>#N/A</v>
      </c>
      <c r="FI75" s="17" t="e">
        <v>#N/A</v>
      </c>
      <c r="FJ75" s="17" t="e">
        <v>#N/A</v>
      </c>
      <c r="FK75" s="17" t="e">
        <v>#N/A</v>
      </c>
      <c r="FL75" s="17" t="e">
        <v>#N/A</v>
      </c>
      <c r="FM75" s="17" t="e">
        <v>#N/A</v>
      </c>
      <c r="FN75" s="17" t="e">
        <v>#N/A</v>
      </c>
      <c r="FO75" s="17" t="e">
        <v>#N/A</v>
      </c>
      <c r="FP75" s="17" t="e">
        <v>#N/A</v>
      </c>
      <c r="FQ75" s="17" t="e">
        <v>#N/A</v>
      </c>
      <c r="FR75" s="17" t="e">
        <v>#N/A</v>
      </c>
      <c r="FS75" s="17" t="e">
        <v>#N/A</v>
      </c>
      <c r="FT75" s="17" t="e">
        <v>#N/A</v>
      </c>
      <c r="FU75" s="17" t="e">
        <v>#N/A</v>
      </c>
      <c r="FV75" s="17" t="e">
        <v>#N/A</v>
      </c>
    </row>
    <row r="76" spans="2:178" ht="11.25" customHeight="1">
      <c r="B76" s="17" t="e">
        <v>#N/A</v>
      </c>
      <c r="C76" s="17" t="e">
        <v>#N/A</v>
      </c>
      <c r="D76" s="17" t="e">
        <v>#N/A</v>
      </c>
      <c r="E76" s="17" t="e">
        <v>#N/A</v>
      </c>
      <c r="F76" s="17" t="e">
        <v>#N/A</v>
      </c>
      <c r="G76" s="17" t="e">
        <v>#N/A</v>
      </c>
      <c r="H76" s="17" t="e">
        <v>#N/A</v>
      </c>
      <c r="I76" s="17" t="e">
        <v>#N/A</v>
      </c>
      <c r="J76" s="17" t="e">
        <v>#N/A</v>
      </c>
      <c r="K76" s="17" t="e">
        <v>#N/A</v>
      </c>
      <c r="L76" s="17" t="e">
        <v>#N/A</v>
      </c>
      <c r="M76" s="17" t="e">
        <v>#N/A</v>
      </c>
      <c r="N76" s="17" t="e">
        <v>#N/A</v>
      </c>
      <c r="O76" s="17" t="e">
        <v>#N/A</v>
      </c>
      <c r="P76" s="17" t="e">
        <v>#N/A</v>
      </c>
      <c r="Q76" s="17" t="e">
        <v>#N/A</v>
      </c>
      <c r="R76" s="17" t="e">
        <v>#N/A</v>
      </c>
      <c r="S76" s="17" t="e">
        <v>#N/A</v>
      </c>
      <c r="T76" s="17" t="e">
        <v>#N/A</v>
      </c>
      <c r="U76" s="17" t="e">
        <v>#N/A</v>
      </c>
      <c r="V76" s="17" t="e">
        <v>#N/A</v>
      </c>
      <c r="W76" s="17" t="e">
        <v>#N/A</v>
      </c>
      <c r="X76" s="17" t="e">
        <v>#N/A</v>
      </c>
      <c r="Y76" s="17" t="e">
        <v>#N/A</v>
      </c>
      <c r="Z76" s="17" t="e">
        <v>#N/A</v>
      </c>
      <c r="AA76" s="17" t="e">
        <v>#N/A</v>
      </c>
      <c r="AB76" s="17" t="e">
        <v>#N/A</v>
      </c>
      <c r="AC76" s="17" t="e">
        <v>#N/A</v>
      </c>
      <c r="AD76" s="17" t="e">
        <v>#N/A</v>
      </c>
      <c r="AE76" s="17" t="e">
        <v>#N/A</v>
      </c>
      <c r="AF76" s="17" t="e">
        <v>#N/A</v>
      </c>
      <c r="AG76" s="17" t="e">
        <v>#N/A</v>
      </c>
      <c r="AH76" s="17" t="e">
        <v>#N/A</v>
      </c>
      <c r="AI76" s="17" t="e">
        <v>#N/A</v>
      </c>
      <c r="AJ76" s="17" t="e">
        <v>#N/A</v>
      </c>
      <c r="AK76" s="17" t="e">
        <v>#N/A</v>
      </c>
      <c r="AL76" s="17" t="e">
        <v>#N/A</v>
      </c>
      <c r="AM76" s="17" t="e">
        <v>#N/A</v>
      </c>
      <c r="AN76" s="17" t="e">
        <v>#N/A</v>
      </c>
      <c r="AO76" s="17" t="e">
        <v>#N/A</v>
      </c>
      <c r="AP76" s="17" t="e">
        <v>#N/A</v>
      </c>
      <c r="AQ76" s="17" t="e">
        <v>#N/A</v>
      </c>
      <c r="AR76" s="17" t="e">
        <v>#N/A</v>
      </c>
      <c r="AS76" s="17" t="e">
        <v>#N/A</v>
      </c>
      <c r="AT76" s="17" t="e">
        <v>#N/A</v>
      </c>
      <c r="AU76" s="17" t="e">
        <v>#N/A</v>
      </c>
      <c r="AV76" s="17" t="e">
        <v>#N/A</v>
      </c>
      <c r="AW76" s="17" t="e">
        <v>#N/A</v>
      </c>
      <c r="AX76" s="17" t="e">
        <v>#N/A</v>
      </c>
      <c r="AY76" s="17" t="e">
        <v>#N/A</v>
      </c>
      <c r="AZ76" s="17" t="e">
        <v>#N/A</v>
      </c>
      <c r="BA76" s="17" t="e">
        <v>#N/A</v>
      </c>
      <c r="BB76" s="17" t="e">
        <v>#N/A</v>
      </c>
      <c r="BC76" s="17" t="e">
        <v>#N/A</v>
      </c>
      <c r="BD76" s="17" t="e">
        <v>#N/A</v>
      </c>
      <c r="BE76" s="17" t="e">
        <v>#N/A</v>
      </c>
      <c r="BF76" s="17" t="e">
        <v>#N/A</v>
      </c>
      <c r="BG76" s="17" t="e">
        <v>#N/A</v>
      </c>
      <c r="BH76" s="17" t="e">
        <v>#N/A</v>
      </c>
      <c r="BI76" s="17" t="e">
        <v>#N/A</v>
      </c>
      <c r="BJ76" s="17" t="e">
        <v>#N/A</v>
      </c>
      <c r="BK76" s="17" t="e">
        <v>#N/A</v>
      </c>
      <c r="BL76" s="17" t="e">
        <v>#N/A</v>
      </c>
      <c r="BM76" s="17" t="e">
        <v>#N/A</v>
      </c>
      <c r="BN76" s="17" t="e">
        <v>#N/A</v>
      </c>
      <c r="BO76" s="17" t="e">
        <v>#N/A</v>
      </c>
      <c r="BP76" s="17" t="e">
        <v>#N/A</v>
      </c>
      <c r="BQ76" s="17" t="e">
        <v>#N/A</v>
      </c>
      <c r="BR76" s="17" t="e">
        <v>#N/A</v>
      </c>
      <c r="BS76" s="17" t="e">
        <v>#N/A</v>
      </c>
      <c r="BT76" s="17" t="e">
        <v>#N/A</v>
      </c>
      <c r="BU76" s="17" t="e">
        <v>#N/A</v>
      </c>
      <c r="BV76" s="17" t="e">
        <v>#N/A</v>
      </c>
      <c r="BW76" s="17" t="e">
        <v>#N/A</v>
      </c>
      <c r="BX76" s="17" t="e">
        <v>#N/A</v>
      </c>
      <c r="BY76" s="17" t="e">
        <v>#N/A</v>
      </c>
      <c r="BZ76" s="17" t="e">
        <v>#N/A</v>
      </c>
      <c r="CA76" s="17" t="e">
        <v>#N/A</v>
      </c>
      <c r="CB76" s="17" t="e">
        <v>#N/A</v>
      </c>
      <c r="CC76" s="17" t="e">
        <v>#N/A</v>
      </c>
      <c r="CD76" s="17" t="e">
        <v>#N/A</v>
      </c>
      <c r="CE76" s="17" t="e">
        <v>#N/A</v>
      </c>
      <c r="CF76" s="17" t="e">
        <v>#N/A</v>
      </c>
      <c r="CG76" s="17" t="e">
        <v>#N/A</v>
      </c>
      <c r="CH76" s="17" t="e">
        <v>#N/A</v>
      </c>
      <c r="CI76" s="17" t="e">
        <v>#N/A</v>
      </c>
      <c r="CJ76" s="17" t="e">
        <v>#N/A</v>
      </c>
      <c r="CK76" s="17" t="e">
        <v>#N/A</v>
      </c>
      <c r="CL76" s="17" t="e">
        <v>#N/A</v>
      </c>
      <c r="CM76" s="17" t="e">
        <v>#N/A</v>
      </c>
      <c r="CN76" s="17" t="e">
        <v>#N/A</v>
      </c>
      <c r="CO76" s="17" t="e">
        <v>#N/A</v>
      </c>
      <c r="CP76" s="17" t="e">
        <v>#N/A</v>
      </c>
      <c r="CQ76" s="17" t="e">
        <v>#N/A</v>
      </c>
      <c r="CR76" s="17" t="e">
        <v>#N/A</v>
      </c>
      <c r="CS76" s="17" t="e">
        <v>#N/A</v>
      </c>
      <c r="CT76" s="17" t="e">
        <v>#N/A</v>
      </c>
      <c r="CU76" s="17" t="e">
        <v>#N/A</v>
      </c>
      <c r="CV76" s="17" t="e">
        <v>#N/A</v>
      </c>
      <c r="CW76" s="17" t="e">
        <v>#N/A</v>
      </c>
      <c r="CX76" s="17" t="e">
        <v>#N/A</v>
      </c>
      <c r="CY76" s="17" t="e">
        <v>#N/A</v>
      </c>
      <c r="CZ76" s="17" t="e">
        <v>#N/A</v>
      </c>
      <c r="DA76" s="17" t="e">
        <v>#N/A</v>
      </c>
      <c r="DB76" s="17" t="e">
        <v>#N/A</v>
      </c>
      <c r="DC76" s="17" t="e">
        <v>#N/A</v>
      </c>
      <c r="DD76" s="17" t="e">
        <v>#N/A</v>
      </c>
      <c r="DE76" s="17" t="e">
        <v>#N/A</v>
      </c>
      <c r="DF76" s="17" t="e">
        <v>#N/A</v>
      </c>
      <c r="DG76" s="17" t="e">
        <v>#N/A</v>
      </c>
      <c r="DH76" s="17" t="e">
        <v>#N/A</v>
      </c>
      <c r="DI76" s="17" t="e">
        <v>#N/A</v>
      </c>
      <c r="DJ76" s="17" t="e">
        <v>#N/A</v>
      </c>
      <c r="DK76" s="17" t="e">
        <v>#N/A</v>
      </c>
      <c r="DL76" s="17" t="e">
        <v>#N/A</v>
      </c>
      <c r="DM76" s="17" t="e">
        <v>#N/A</v>
      </c>
      <c r="DN76" s="17" t="e">
        <v>#N/A</v>
      </c>
      <c r="DO76" s="17" t="e">
        <v>#N/A</v>
      </c>
      <c r="DP76" s="17" t="e">
        <v>#N/A</v>
      </c>
      <c r="DQ76" s="17" t="e">
        <v>#N/A</v>
      </c>
      <c r="DR76" s="17" t="e">
        <v>#N/A</v>
      </c>
      <c r="DS76" s="17" t="e">
        <v>#N/A</v>
      </c>
      <c r="DT76" s="17" t="e">
        <v>#N/A</v>
      </c>
      <c r="DU76" s="17" t="e">
        <v>#N/A</v>
      </c>
      <c r="DV76" s="17" t="e">
        <v>#N/A</v>
      </c>
      <c r="DW76" s="17" t="e">
        <v>#N/A</v>
      </c>
      <c r="DX76" s="17" t="e">
        <v>#N/A</v>
      </c>
      <c r="DY76" s="17" t="e">
        <v>#N/A</v>
      </c>
      <c r="DZ76" s="17" t="e">
        <v>#N/A</v>
      </c>
      <c r="EA76" s="17" t="e">
        <v>#N/A</v>
      </c>
      <c r="EB76" s="17" t="e">
        <v>#N/A</v>
      </c>
      <c r="EC76" s="17" t="e">
        <v>#N/A</v>
      </c>
      <c r="ED76" s="17" t="e">
        <v>#N/A</v>
      </c>
      <c r="EE76" s="17" t="e">
        <v>#N/A</v>
      </c>
      <c r="EF76" s="17" t="e">
        <v>#N/A</v>
      </c>
      <c r="EG76" s="17" t="e">
        <v>#N/A</v>
      </c>
      <c r="EH76" s="17" t="e">
        <v>#N/A</v>
      </c>
      <c r="EI76" s="17" t="e">
        <v>#N/A</v>
      </c>
      <c r="EJ76" s="17" t="e">
        <v>#N/A</v>
      </c>
      <c r="EK76" s="17" t="e">
        <v>#N/A</v>
      </c>
      <c r="EL76" s="17" t="e">
        <v>#N/A</v>
      </c>
      <c r="EM76" s="17" t="e">
        <v>#N/A</v>
      </c>
      <c r="EN76" s="17" t="e">
        <v>#N/A</v>
      </c>
      <c r="EO76" s="17" t="e">
        <v>#N/A</v>
      </c>
      <c r="EP76" s="17" t="e">
        <v>#N/A</v>
      </c>
      <c r="EQ76" s="17" t="e">
        <v>#N/A</v>
      </c>
      <c r="ER76" s="17" t="e">
        <v>#N/A</v>
      </c>
      <c r="ES76" s="17" t="e">
        <v>#N/A</v>
      </c>
      <c r="ET76" s="17" t="e">
        <v>#N/A</v>
      </c>
      <c r="EU76" s="17" t="e">
        <v>#N/A</v>
      </c>
      <c r="EV76" s="17" t="e">
        <v>#N/A</v>
      </c>
      <c r="EW76" s="17" t="e">
        <v>#N/A</v>
      </c>
      <c r="EX76" s="17" t="e">
        <v>#N/A</v>
      </c>
      <c r="EY76" s="17" t="e">
        <v>#N/A</v>
      </c>
      <c r="EZ76" s="17" t="e">
        <v>#N/A</v>
      </c>
      <c r="FA76" s="17" t="e">
        <v>#N/A</v>
      </c>
      <c r="FB76" s="17" t="e">
        <v>#N/A</v>
      </c>
      <c r="FC76" s="17" t="e">
        <v>#N/A</v>
      </c>
      <c r="FD76" s="17" t="e">
        <v>#N/A</v>
      </c>
      <c r="FE76" s="17" t="e">
        <v>#N/A</v>
      </c>
      <c r="FF76" s="17" t="e">
        <v>#N/A</v>
      </c>
      <c r="FG76" s="17" t="e">
        <v>#N/A</v>
      </c>
      <c r="FH76" s="17" t="e">
        <v>#N/A</v>
      </c>
      <c r="FI76" s="17" t="e">
        <v>#N/A</v>
      </c>
      <c r="FJ76" s="17" t="e">
        <v>#N/A</v>
      </c>
      <c r="FK76" s="17" t="e">
        <v>#N/A</v>
      </c>
      <c r="FL76" s="17" t="e">
        <v>#N/A</v>
      </c>
      <c r="FM76" s="17" t="e">
        <v>#N/A</v>
      </c>
      <c r="FN76" s="17" t="e">
        <v>#N/A</v>
      </c>
      <c r="FO76" s="17" t="e">
        <v>#N/A</v>
      </c>
      <c r="FP76" s="17" t="e">
        <v>#N/A</v>
      </c>
      <c r="FQ76" s="17" t="e">
        <v>#N/A</v>
      </c>
      <c r="FR76" s="17" t="e">
        <v>#N/A</v>
      </c>
      <c r="FS76" s="17" t="e">
        <v>#N/A</v>
      </c>
      <c r="FT76" s="17" t="e">
        <v>#N/A</v>
      </c>
      <c r="FU76" s="17" t="e">
        <v>#N/A</v>
      </c>
      <c r="FV76" s="17" t="e">
        <v>#N/A</v>
      </c>
    </row>
    <row r="77" spans="2:178" ht="11.25" customHeight="1">
      <c r="B77" s="17" t="e">
        <v>#N/A</v>
      </c>
      <c r="C77" s="17" t="e">
        <v>#N/A</v>
      </c>
      <c r="D77" s="17" t="e">
        <v>#N/A</v>
      </c>
      <c r="E77" s="17" t="e">
        <v>#N/A</v>
      </c>
      <c r="F77" s="17" t="e">
        <v>#N/A</v>
      </c>
      <c r="G77" s="17" t="e">
        <v>#N/A</v>
      </c>
      <c r="H77" s="17" t="e">
        <v>#N/A</v>
      </c>
      <c r="I77" s="17" t="e">
        <v>#N/A</v>
      </c>
      <c r="J77" s="17" t="e">
        <v>#N/A</v>
      </c>
      <c r="K77" s="17" t="e">
        <v>#N/A</v>
      </c>
      <c r="L77" s="17" t="e">
        <v>#N/A</v>
      </c>
      <c r="M77" s="17" t="e">
        <v>#N/A</v>
      </c>
      <c r="N77" s="17" t="e">
        <v>#N/A</v>
      </c>
      <c r="O77" s="17" t="e">
        <v>#N/A</v>
      </c>
      <c r="P77" s="17" t="e">
        <v>#N/A</v>
      </c>
      <c r="Q77" s="17" t="e">
        <v>#N/A</v>
      </c>
      <c r="R77" s="17" t="e">
        <v>#N/A</v>
      </c>
      <c r="S77" s="17" t="e">
        <v>#N/A</v>
      </c>
      <c r="T77" s="17" t="e">
        <v>#N/A</v>
      </c>
      <c r="U77" s="17" t="e">
        <v>#N/A</v>
      </c>
      <c r="V77" s="17" t="e">
        <v>#N/A</v>
      </c>
      <c r="W77" s="17" t="e">
        <v>#N/A</v>
      </c>
      <c r="X77" s="17" t="e">
        <v>#N/A</v>
      </c>
      <c r="Y77" s="17" t="e">
        <v>#N/A</v>
      </c>
      <c r="Z77" s="17" t="e">
        <v>#N/A</v>
      </c>
      <c r="AA77" s="17" t="e">
        <v>#N/A</v>
      </c>
      <c r="AB77" s="17" t="e">
        <v>#N/A</v>
      </c>
      <c r="AC77" s="17" t="e">
        <v>#N/A</v>
      </c>
      <c r="AD77" s="17" t="e">
        <v>#N/A</v>
      </c>
      <c r="AE77" s="17" t="e">
        <v>#N/A</v>
      </c>
      <c r="AF77" s="17" t="e">
        <v>#N/A</v>
      </c>
      <c r="AG77" s="17" t="e">
        <v>#N/A</v>
      </c>
      <c r="AH77" s="17" t="e">
        <v>#N/A</v>
      </c>
      <c r="AI77" s="17" t="e">
        <v>#N/A</v>
      </c>
      <c r="AJ77" s="17" t="e">
        <v>#N/A</v>
      </c>
      <c r="AK77" s="17" t="e">
        <v>#N/A</v>
      </c>
      <c r="AL77" s="17" t="e">
        <v>#N/A</v>
      </c>
      <c r="AM77" s="17" t="e">
        <v>#N/A</v>
      </c>
      <c r="AN77" s="17" t="e">
        <v>#N/A</v>
      </c>
      <c r="AO77" s="17" t="e">
        <v>#N/A</v>
      </c>
      <c r="AP77" s="17" t="e">
        <v>#N/A</v>
      </c>
      <c r="AQ77" s="17" t="e">
        <v>#N/A</v>
      </c>
      <c r="AR77" s="17" t="e">
        <v>#N/A</v>
      </c>
      <c r="AS77" s="17" t="e">
        <v>#N/A</v>
      </c>
      <c r="AT77" s="17" t="e">
        <v>#N/A</v>
      </c>
      <c r="AU77" s="17" t="e">
        <v>#N/A</v>
      </c>
      <c r="AV77" s="17" t="e">
        <v>#N/A</v>
      </c>
      <c r="AW77" s="17" t="e">
        <v>#N/A</v>
      </c>
      <c r="AX77" s="17" t="e">
        <v>#N/A</v>
      </c>
      <c r="AY77" s="17" t="e">
        <v>#N/A</v>
      </c>
      <c r="AZ77" s="17" t="e">
        <v>#N/A</v>
      </c>
      <c r="BA77" s="17" t="e">
        <v>#N/A</v>
      </c>
      <c r="BB77" s="17" t="e">
        <v>#N/A</v>
      </c>
      <c r="BC77" s="17" t="e">
        <v>#N/A</v>
      </c>
      <c r="BD77" s="17" t="e">
        <v>#N/A</v>
      </c>
      <c r="BE77" s="17" t="e">
        <v>#N/A</v>
      </c>
      <c r="BF77" s="17" t="e">
        <v>#N/A</v>
      </c>
      <c r="BG77" s="17" t="e">
        <v>#N/A</v>
      </c>
      <c r="BH77" s="17" t="e">
        <v>#N/A</v>
      </c>
      <c r="BI77" s="17" t="e">
        <v>#N/A</v>
      </c>
      <c r="BJ77" s="17" t="e">
        <v>#N/A</v>
      </c>
      <c r="BK77" s="17" t="e">
        <v>#N/A</v>
      </c>
      <c r="BL77" s="17" t="e">
        <v>#N/A</v>
      </c>
      <c r="BM77" s="17" t="e">
        <v>#N/A</v>
      </c>
      <c r="BN77" s="17" t="e">
        <v>#N/A</v>
      </c>
      <c r="BO77" s="17" t="e">
        <v>#N/A</v>
      </c>
      <c r="BP77" s="17" t="e">
        <v>#N/A</v>
      </c>
      <c r="BQ77" s="17" t="e">
        <v>#N/A</v>
      </c>
      <c r="BR77" s="17" t="e">
        <v>#N/A</v>
      </c>
      <c r="BS77" s="17" t="e">
        <v>#N/A</v>
      </c>
      <c r="BT77" s="17" t="e">
        <v>#N/A</v>
      </c>
      <c r="BU77" s="17" t="e">
        <v>#N/A</v>
      </c>
      <c r="BV77" s="17" t="e">
        <v>#N/A</v>
      </c>
      <c r="BW77" s="17" t="e">
        <v>#N/A</v>
      </c>
      <c r="BX77" s="17" t="e">
        <v>#N/A</v>
      </c>
      <c r="BY77" s="17" t="e">
        <v>#N/A</v>
      </c>
      <c r="BZ77" s="17" t="e">
        <v>#N/A</v>
      </c>
      <c r="CA77" s="17" t="e">
        <v>#N/A</v>
      </c>
      <c r="CB77" s="17" t="e">
        <v>#N/A</v>
      </c>
      <c r="CC77" s="17" t="e">
        <v>#N/A</v>
      </c>
      <c r="CD77" s="17" t="e">
        <v>#N/A</v>
      </c>
      <c r="CE77" s="17" t="e">
        <v>#N/A</v>
      </c>
      <c r="CF77" s="17" t="e">
        <v>#N/A</v>
      </c>
      <c r="CG77" s="17" t="e">
        <v>#N/A</v>
      </c>
      <c r="CH77" s="17" t="e">
        <v>#N/A</v>
      </c>
      <c r="CI77" s="17" t="e">
        <v>#N/A</v>
      </c>
      <c r="CJ77" s="17" t="e">
        <v>#N/A</v>
      </c>
      <c r="CK77" s="17" t="e">
        <v>#N/A</v>
      </c>
      <c r="CL77" s="17" t="e">
        <v>#N/A</v>
      </c>
      <c r="CM77" s="17" t="e">
        <v>#N/A</v>
      </c>
      <c r="CN77" s="17" t="e">
        <v>#N/A</v>
      </c>
      <c r="CO77" s="17" t="e">
        <v>#N/A</v>
      </c>
      <c r="CP77" s="17" t="e">
        <v>#N/A</v>
      </c>
      <c r="CQ77" s="17" t="e">
        <v>#N/A</v>
      </c>
      <c r="CR77" s="17" t="e">
        <v>#N/A</v>
      </c>
      <c r="CS77" s="17" t="e">
        <v>#N/A</v>
      </c>
      <c r="CT77" s="17" t="e">
        <v>#N/A</v>
      </c>
      <c r="CU77" s="17" t="e">
        <v>#N/A</v>
      </c>
      <c r="CV77" s="17" t="e">
        <v>#N/A</v>
      </c>
      <c r="CW77" s="17" t="e">
        <v>#N/A</v>
      </c>
      <c r="CX77" s="17" t="e">
        <v>#N/A</v>
      </c>
      <c r="CY77" s="17" t="e">
        <v>#N/A</v>
      </c>
      <c r="CZ77" s="17" t="e">
        <v>#N/A</v>
      </c>
      <c r="DA77" s="17" t="e">
        <v>#N/A</v>
      </c>
      <c r="DB77" s="17" t="e">
        <v>#N/A</v>
      </c>
      <c r="DC77" s="17" t="e">
        <v>#N/A</v>
      </c>
      <c r="DD77" s="17" t="e">
        <v>#N/A</v>
      </c>
      <c r="DE77" s="17" t="e">
        <v>#N/A</v>
      </c>
      <c r="DF77" s="17" t="e">
        <v>#N/A</v>
      </c>
      <c r="DG77" s="17" t="e">
        <v>#N/A</v>
      </c>
      <c r="DH77" s="17" t="e">
        <v>#N/A</v>
      </c>
      <c r="DI77" s="17" t="e">
        <v>#N/A</v>
      </c>
      <c r="DJ77" s="17" t="e">
        <v>#N/A</v>
      </c>
      <c r="DK77" s="17" t="e">
        <v>#N/A</v>
      </c>
      <c r="DL77" s="17" t="e">
        <v>#N/A</v>
      </c>
      <c r="DM77" s="17" t="e">
        <v>#N/A</v>
      </c>
      <c r="DN77" s="17" t="e">
        <v>#N/A</v>
      </c>
      <c r="DO77" s="17" t="e">
        <v>#N/A</v>
      </c>
      <c r="DP77" s="17" t="e">
        <v>#N/A</v>
      </c>
      <c r="DQ77" s="17" t="e">
        <v>#N/A</v>
      </c>
      <c r="DR77" s="17" t="e">
        <v>#N/A</v>
      </c>
      <c r="DS77" s="17" t="e">
        <v>#N/A</v>
      </c>
      <c r="DT77" s="17" t="e">
        <v>#N/A</v>
      </c>
      <c r="DU77" s="17" t="e">
        <v>#N/A</v>
      </c>
      <c r="DV77" s="17" t="e">
        <v>#N/A</v>
      </c>
      <c r="DW77" s="17" t="e">
        <v>#N/A</v>
      </c>
      <c r="DX77" s="17" t="e">
        <v>#N/A</v>
      </c>
      <c r="DY77" s="17" t="e">
        <v>#N/A</v>
      </c>
      <c r="DZ77" s="17" t="e">
        <v>#N/A</v>
      </c>
      <c r="EA77" s="17" t="e">
        <v>#N/A</v>
      </c>
      <c r="EB77" s="17" t="e">
        <v>#N/A</v>
      </c>
      <c r="EC77" s="17" t="e">
        <v>#N/A</v>
      </c>
      <c r="ED77" s="17" t="e">
        <v>#N/A</v>
      </c>
      <c r="EE77" s="17" t="e">
        <v>#N/A</v>
      </c>
      <c r="EF77" s="17" t="e">
        <v>#N/A</v>
      </c>
      <c r="EG77" s="17" t="e">
        <v>#N/A</v>
      </c>
      <c r="EH77" s="17" t="e">
        <v>#N/A</v>
      </c>
      <c r="EI77" s="17" t="e">
        <v>#N/A</v>
      </c>
      <c r="EJ77" s="17" t="e">
        <v>#N/A</v>
      </c>
      <c r="EK77" s="17" t="e">
        <v>#N/A</v>
      </c>
      <c r="EL77" s="17" t="e">
        <v>#N/A</v>
      </c>
      <c r="EM77" s="17" t="e">
        <v>#N/A</v>
      </c>
      <c r="EN77" s="17" t="e">
        <v>#N/A</v>
      </c>
      <c r="EO77" s="17" t="e">
        <v>#N/A</v>
      </c>
      <c r="EP77" s="17" t="e">
        <v>#N/A</v>
      </c>
      <c r="EQ77" s="17" t="e">
        <v>#N/A</v>
      </c>
      <c r="ER77" s="17" t="e">
        <v>#N/A</v>
      </c>
      <c r="ES77" s="17" t="e">
        <v>#N/A</v>
      </c>
      <c r="ET77" s="17" t="e">
        <v>#N/A</v>
      </c>
      <c r="EU77" s="17" t="e">
        <v>#N/A</v>
      </c>
      <c r="EV77" s="17" t="e">
        <v>#N/A</v>
      </c>
      <c r="EW77" s="17" t="e">
        <v>#N/A</v>
      </c>
      <c r="EX77" s="17" t="e">
        <v>#N/A</v>
      </c>
      <c r="EY77" s="17" t="e">
        <v>#N/A</v>
      </c>
      <c r="EZ77" s="17" t="e">
        <v>#N/A</v>
      </c>
      <c r="FA77" s="17" t="e">
        <v>#N/A</v>
      </c>
      <c r="FB77" s="17" t="e">
        <v>#N/A</v>
      </c>
      <c r="FC77" s="17" t="e">
        <v>#N/A</v>
      </c>
      <c r="FD77" s="17" t="e">
        <v>#N/A</v>
      </c>
      <c r="FE77" s="17" t="e">
        <v>#N/A</v>
      </c>
      <c r="FF77" s="17" t="e">
        <v>#N/A</v>
      </c>
      <c r="FG77" s="17" t="e">
        <v>#N/A</v>
      </c>
      <c r="FH77" s="17" t="e">
        <v>#N/A</v>
      </c>
      <c r="FI77" s="17" t="e">
        <v>#N/A</v>
      </c>
      <c r="FJ77" s="17" t="e">
        <v>#N/A</v>
      </c>
      <c r="FK77" s="17" t="e">
        <v>#N/A</v>
      </c>
      <c r="FL77" s="17" t="e">
        <v>#N/A</v>
      </c>
      <c r="FM77" s="17" t="e">
        <v>#N/A</v>
      </c>
      <c r="FN77" s="17" t="e">
        <v>#N/A</v>
      </c>
      <c r="FO77" s="17" t="e">
        <v>#N/A</v>
      </c>
      <c r="FP77" s="17" t="e">
        <v>#N/A</v>
      </c>
      <c r="FQ77" s="17" t="e">
        <v>#N/A</v>
      </c>
      <c r="FR77" s="17" t="e">
        <v>#N/A</v>
      </c>
      <c r="FS77" s="17" t="e">
        <v>#N/A</v>
      </c>
      <c r="FT77" s="17" t="e">
        <v>#N/A</v>
      </c>
      <c r="FU77" s="17" t="e">
        <v>#N/A</v>
      </c>
      <c r="FV77" s="17" t="e">
        <v>#N/A</v>
      </c>
    </row>
    <row r="78" spans="2:178" ht="11.25" customHeight="1">
      <c r="B78" s="17" t="e">
        <v>#N/A</v>
      </c>
      <c r="C78" s="17" t="e">
        <v>#N/A</v>
      </c>
      <c r="D78" s="17" t="e">
        <v>#N/A</v>
      </c>
      <c r="E78" s="17" t="e">
        <v>#N/A</v>
      </c>
      <c r="F78" s="17" t="e">
        <v>#N/A</v>
      </c>
      <c r="G78" s="17" t="e">
        <v>#N/A</v>
      </c>
      <c r="H78" s="17" t="e">
        <v>#N/A</v>
      </c>
      <c r="I78" s="17" t="e">
        <v>#N/A</v>
      </c>
      <c r="J78" s="17" t="e">
        <v>#N/A</v>
      </c>
      <c r="K78" s="17" t="e">
        <v>#N/A</v>
      </c>
      <c r="L78" s="17" t="e">
        <v>#N/A</v>
      </c>
      <c r="M78" s="17" t="e">
        <v>#N/A</v>
      </c>
      <c r="N78" s="17" t="e">
        <v>#N/A</v>
      </c>
      <c r="O78" s="17" t="e">
        <v>#N/A</v>
      </c>
      <c r="P78" s="17" t="e">
        <v>#N/A</v>
      </c>
      <c r="Q78" s="17" t="e">
        <v>#N/A</v>
      </c>
      <c r="R78" s="17" t="e">
        <v>#N/A</v>
      </c>
      <c r="S78" s="17" t="e">
        <v>#N/A</v>
      </c>
      <c r="T78" s="17" t="e">
        <v>#N/A</v>
      </c>
      <c r="U78" s="17" t="e">
        <v>#N/A</v>
      </c>
      <c r="V78" s="17" t="e">
        <v>#N/A</v>
      </c>
      <c r="W78" s="17" t="e">
        <v>#N/A</v>
      </c>
      <c r="X78" s="17" t="e">
        <v>#N/A</v>
      </c>
      <c r="Y78" s="17" t="e">
        <v>#N/A</v>
      </c>
      <c r="Z78" s="17" t="e">
        <v>#N/A</v>
      </c>
      <c r="AA78" s="17" t="e">
        <v>#N/A</v>
      </c>
      <c r="AB78" s="17" t="e">
        <v>#N/A</v>
      </c>
      <c r="AC78" s="17" t="e">
        <v>#N/A</v>
      </c>
      <c r="AD78" s="17" t="e">
        <v>#N/A</v>
      </c>
      <c r="AE78" s="17" t="e">
        <v>#N/A</v>
      </c>
      <c r="AF78" s="17" t="e">
        <v>#N/A</v>
      </c>
      <c r="AG78" s="17" t="e">
        <v>#N/A</v>
      </c>
      <c r="AH78" s="17" t="e">
        <v>#N/A</v>
      </c>
      <c r="AI78" s="17" t="e">
        <v>#N/A</v>
      </c>
      <c r="AJ78" s="17" t="e">
        <v>#N/A</v>
      </c>
      <c r="AK78" s="17" t="e">
        <v>#N/A</v>
      </c>
      <c r="AL78" s="17" t="e">
        <v>#N/A</v>
      </c>
      <c r="AM78" s="17" t="e">
        <v>#N/A</v>
      </c>
      <c r="AN78" s="17" t="e">
        <v>#N/A</v>
      </c>
      <c r="AO78" s="17" t="e">
        <v>#N/A</v>
      </c>
      <c r="AP78" s="17" t="e">
        <v>#N/A</v>
      </c>
      <c r="AQ78" s="17" t="e">
        <v>#N/A</v>
      </c>
      <c r="AR78" s="17" t="e">
        <v>#N/A</v>
      </c>
      <c r="AS78" s="17" t="e">
        <v>#N/A</v>
      </c>
      <c r="AT78" s="17" t="e">
        <v>#N/A</v>
      </c>
      <c r="AU78" s="17" t="e">
        <v>#N/A</v>
      </c>
      <c r="AV78" s="17" t="e">
        <v>#N/A</v>
      </c>
      <c r="AW78" s="17" t="e">
        <v>#N/A</v>
      </c>
      <c r="AX78" s="17" t="e">
        <v>#N/A</v>
      </c>
      <c r="AY78" s="17" t="e">
        <v>#N/A</v>
      </c>
      <c r="AZ78" s="17" t="e">
        <v>#N/A</v>
      </c>
      <c r="BA78" s="17" t="e">
        <v>#N/A</v>
      </c>
      <c r="BB78" s="17" t="e">
        <v>#N/A</v>
      </c>
      <c r="BC78" s="17" t="e">
        <v>#N/A</v>
      </c>
      <c r="BD78" s="17" t="e">
        <v>#N/A</v>
      </c>
      <c r="BE78" s="17" t="e">
        <v>#N/A</v>
      </c>
      <c r="BF78" s="17" t="e">
        <v>#N/A</v>
      </c>
      <c r="BG78" s="17" t="e">
        <v>#N/A</v>
      </c>
      <c r="BH78" s="17" t="e">
        <v>#N/A</v>
      </c>
      <c r="BI78" s="17" t="e">
        <v>#N/A</v>
      </c>
      <c r="BJ78" s="17" t="e">
        <v>#N/A</v>
      </c>
      <c r="BK78" s="17" t="e">
        <v>#N/A</v>
      </c>
      <c r="BL78" s="17" t="e">
        <v>#N/A</v>
      </c>
      <c r="BM78" s="17" t="e">
        <v>#N/A</v>
      </c>
      <c r="BN78" s="17" t="e">
        <v>#N/A</v>
      </c>
      <c r="BO78" s="17" t="e">
        <v>#N/A</v>
      </c>
      <c r="BP78" s="17" t="e">
        <v>#N/A</v>
      </c>
      <c r="BQ78" s="17" t="e">
        <v>#N/A</v>
      </c>
      <c r="BR78" s="17" t="e">
        <v>#N/A</v>
      </c>
      <c r="BS78" s="17" t="e">
        <v>#N/A</v>
      </c>
      <c r="BT78" s="17" t="e">
        <v>#N/A</v>
      </c>
      <c r="BU78" s="17" t="e">
        <v>#N/A</v>
      </c>
      <c r="BV78" s="17" t="e">
        <v>#N/A</v>
      </c>
      <c r="BW78" s="17" t="e">
        <v>#N/A</v>
      </c>
      <c r="BX78" s="17" t="e">
        <v>#N/A</v>
      </c>
      <c r="BY78" s="17" t="e">
        <v>#N/A</v>
      </c>
      <c r="BZ78" s="17" t="e">
        <v>#N/A</v>
      </c>
      <c r="CA78" s="17" t="e">
        <v>#N/A</v>
      </c>
      <c r="CB78" s="17" t="e">
        <v>#N/A</v>
      </c>
      <c r="CC78" s="17" t="e">
        <v>#N/A</v>
      </c>
      <c r="CD78" s="17" t="e">
        <v>#N/A</v>
      </c>
      <c r="CE78" s="17" t="e">
        <v>#N/A</v>
      </c>
      <c r="CF78" s="17" t="e">
        <v>#N/A</v>
      </c>
      <c r="CG78" s="17" t="e">
        <v>#N/A</v>
      </c>
      <c r="CH78" s="17" t="e">
        <v>#N/A</v>
      </c>
      <c r="CI78" s="17" t="e">
        <v>#N/A</v>
      </c>
      <c r="CJ78" s="17" t="e">
        <v>#N/A</v>
      </c>
      <c r="CK78" s="17" t="e">
        <v>#N/A</v>
      </c>
      <c r="CL78" s="17" t="e">
        <v>#N/A</v>
      </c>
      <c r="CM78" s="17" t="e">
        <v>#N/A</v>
      </c>
      <c r="CN78" s="17" t="e">
        <v>#N/A</v>
      </c>
      <c r="CO78" s="17" t="e">
        <v>#N/A</v>
      </c>
      <c r="CP78" s="17" t="e">
        <v>#N/A</v>
      </c>
      <c r="CQ78" s="17" t="e">
        <v>#N/A</v>
      </c>
      <c r="CR78" s="17" t="e">
        <v>#N/A</v>
      </c>
      <c r="CS78" s="17" t="e">
        <v>#N/A</v>
      </c>
      <c r="CT78" s="17" t="e">
        <v>#N/A</v>
      </c>
      <c r="CU78" s="17" t="e">
        <v>#N/A</v>
      </c>
      <c r="CV78" s="17" t="e">
        <v>#N/A</v>
      </c>
      <c r="CW78" s="17" t="e">
        <v>#N/A</v>
      </c>
      <c r="CX78" s="17" t="e">
        <v>#N/A</v>
      </c>
      <c r="CY78" s="17" t="e">
        <v>#N/A</v>
      </c>
      <c r="CZ78" s="17" t="e">
        <v>#N/A</v>
      </c>
      <c r="DA78" s="17" t="e">
        <v>#N/A</v>
      </c>
      <c r="DB78" s="17" t="e">
        <v>#N/A</v>
      </c>
      <c r="DC78" s="17" t="e">
        <v>#N/A</v>
      </c>
      <c r="DD78" s="17" t="e">
        <v>#N/A</v>
      </c>
      <c r="DE78" s="17" t="e">
        <v>#N/A</v>
      </c>
      <c r="DF78" s="17" t="e">
        <v>#N/A</v>
      </c>
      <c r="DG78" s="17" t="e">
        <v>#N/A</v>
      </c>
      <c r="DH78" s="17" t="e">
        <v>#N/A</v>
      </c>
      <c r="DI78" s="17" t="e">
        <v>#N/A</v>
      </c>
      <c r="DJ78" s="17" t="e">
        <v>#N/A</v>
      </c>
      <c r="DK78" s="17" t="e">
        <v>#N/A</v>
      </c>
      <c r="DL78" s="17" t="e">
        <v>#N/A</v>
      </c>
      <c r="DM78" s="17" t="e">
        <v>#N/A</v>
      </c>
      <c r="DN78" s="17" t="e">
        <v>#N/A</v>
      </c>
      <c r="DO78" s="17" t="e">
        <v>#N/A</v>
      </c>
      <c r="DP78" s="17" t="e">
        <v>#N/A</v>
      </c>
      <c r="DQ78" s="17" t="e">
        <v>#N/A</v>
      </c>
      <c r="DR78" s="17" t="e">
        <v>#N/A</v>
      </c>
      <c r="DS78" s="17" t="e">
        <v>#N/A</v>
      </c>
      <c r="DT78" s="17" t="e">
        <v>#N/A</v>
      </c>
      <c r="DU78" s="17" t="e">
        <v>#N/A</v>
      </c>
      <c r="DV78" s="17" t="e">
        <v>#N/A</v>
      </c>
      <c r="DW78" s="17" t="e">
        <v>#N/A</v>
      </c>
      <c r="DX78" s="17" t="e">
        <v>#N/A</v>
      </c>
      <c r="DY78" s="17" t="e">
        <v>#N/A</v>
      </c>
      <c r="DZ78" s="17" t="e">
        <v>#N/A</v>
      </c>
      <c r="EA78" s="17" t="e">
        <v>#N/A</v>
      </c>
      <c r="EB78" s="17" t="e">
        <v>#N/A</v>
      </c>
      <c r="EC78" s="17" t="e">
        <v>#N/A</v>
      </c>
      <c r="ED78" s="17" t="e">
        <v>#N/A</v>
      </c>
      <c r="EE78" s="17" t="e">
        <v>#N/A</v>
      </c>
      <c r="EF78" s="17" t="e">
        <v>#N/A</v>
      </c>
      <c r="EG78" s="17" t="e">
        <v>#N/A</v>
      </c>
      <c r="EH78" s="17" t="e">
        <v>#N/A</v>
      </c>
      <c r="EI78" s="17" t="e">
        <v>#N/A</v>
      </c>
      <c r="EJ78" s="17" t="e">
        <v>#N/A</v>
      </c>
      <c r="EK78" s="17" t="e">
        <v>#N/A</v>
      </c>
      <c r="EL78" s="17" t="e">
        <v>#N/A</v>
      </c>
      <c r="EM78" s="17" t="e">
        <v>#N/A</v>
      </c>
      <c r="EN78" s="17" t="e">
        <v>#N/A</v>
      </c>
      <c r="EO78" s="17" t="e">
        <v>#N/A</v>
      </c>
      <c r="EP78" s="17" t="e">
        <v>#N/A</v>
      </c>
      <c r="EQ78" s="17" t="e">
        <v>#N/A</v>
      </c>
      <c r="ER78" s="17" t="e">
        <v>#N/A</v>
      </c>
      <c r="ES78" s="17" t="e">
        <v>#N/A</v>
      </c>
      <c r="ET78" s="17" t="e">
        <v>#N/A</v>
      </c>
      <c r="EU78" s="17" t="e">
        <v>#N/A</v>
      </c>
      <c r="EV78" s="17" t="e">
        <v>#N/A</v>
      </c>
      <c r="EW78" s="17" t="e">
        <v>#N/A</v>
      </c>
      <c r="EX78" s="17" t="e">
        <v>#N/A</v>
      </c>
      <c r="EY78" s="17" t="e">
        <v>#N/A</v>
      </c>
      <c r="EZ78" s="17" t="e">
        <v>#N/A</v>
      </c>
      <c r="FA78" s="17" t="e">
        <v>#N/A</v>
      </c>
      <c r="FB78" s="17" t="e">
        <v>#N/A</v>
      </c>
      <c r="FC78" s="17" t="e">
        <v>#N/A</v>
      </c>
      <c r="FD78" s="17" t="e">
        <v>#N/A</v>
      </c>
      <c r="FE78" s="17" t="e">
        <v>#N/A</v>
      </c>
      <c r="FF78" s="17" t="e">
        <v>#N/A</v>
      </c>
      <c r="FG78" s="17" t="e">
        <v>#N/A</v>
      </c>
      <c r="FH78" s="17" t="e">
        <v>#N/A</v>
      </c>
      <c r="FI78" s="17" t="e">
        <v>#N/A</v>
      </c>
      <c r="FJ78" s="17" t="e">
        <v>#N/A</v>
      </c>
      <c r="FK78" s="17" t="e">
        <v>#N/A</v>
      </c>
      <c r="FL78" s="17" t="e">
        <v>#N/A</v>
      </c>
      <c r="FM78" s="17" t="e">
        <v>#N/A</v>
      </c>
      <c r="FN78" s="17" t="e">
        <v>#N/A</v>
      </c>
      <c r="FO78" s="17" t="e">
        <v>#N/A</v>
      </c>
      <c r="FP78" s="17" t="e">
        <v>#N/A</v>
      </c>
      <c r="FQ78" s="17" t="e">
        <v>#N/A</v>
      </c>
      <c r="FR78" s="17" t="e">
        <v>#N/A</v>
      </c>
      <c r="FS78" s="17" t="e">
        <v>#N/A</v>
      </c>
      <c r="FT78" s="17" t="e">
        <v>#N/A</v>
      </c>
      <c r="FU78" s="17" t="e">
        <v>#N/A</v>
      </c>
      <c r="FV78" s="17" t="e">
        <v>#N/A</v>
      </c>
    </row>
    <row r="79" spans="2:178" ht="11.25" customHeight="1">
      <c r="B79" s="17" t="e">
        <v>#N/A</v>
      </c>
      <c r="C79" s="17" t="e">
        <v>#N/A</v>
      </c>
      <c r="D79" s="17" t="e">
        <v>#N/A</v>
      </c>
      <c r="E79" s="17" t="e">
        <v>#N/A</v>
      </c>
      <c r="F79" s="17" t="e">
        <v>#N/A</v>
      </c>
      <c r="G79" s="17" t="e">
        <v>#N/A</v>
      </c>
      <c r="H79" s="17" t="e">
        <v>#N/A</v>
      </c>
      <c r="I79" s="17" t="e">
        <v>#N/A</v>
      </c>
      <c r="J79" s="17" t="e">
        <v>#N/A</v>
      </c>
      <c r="K79" s="17" t="e">
        <v>#N/A</v>
      </c>
      <c r="L79" s="17" t="e">
        <v>#N/A</v>
      </c>
      <c r="M79" s="17" t="e">
        <v>#N/A</v>
      </c>
      <c r="N79" s="17" t="e">
        <v>#N/A</v>
      </c>
      <c r="O79" s="17" t="e">
        <v>#N/A</v>
      </c>
      <c r="P79" s="17" t="e">
        <v>#N/A</v>
      </c>
      <c r="Q79" s="17" t="e">
        <v>#N/A</v>
      </c>
      <c r="R79" s="17" t="e">
        <v>#N/A</v>
      </c>
      <c r="S79" s="17" t="e">
        <v>#N/A</v>
      </c>
      <c r="T79" s="17" t="e">
        <v>#N/A</v>
      </c>
      <c r="U79" s="17" t="e">
        <v>#N/A</v>
      </c>
      <c r="V79" s="17" t="e">
        <v>#N/A</v>
      </c>
      <c r="W79" s="17" t="e">
        <v>#N/A</v>
      </c>
      <c r="X79" s="17" t="e">
        <v>#N/A</v>
      </c>
      <c r="Y79" s="17" t="e">
        <v>#N/A</v>
      </c>
      <c r="Z79" s="17" t="e">
        <v>#N/A</v>
      </c>
      <c r="AA79" s="17" t="e">
        <v>#N/A</v>
      </c>
      <c r="AB79" s="17" t="e">
        <v>#N/A</v>
      </c>
      <c r="AC79" s="17" t="e">
        <v>#N/A</v>
      </c>
      <c r="AD79" s="17" t="e">
        <v>#N/A</v>
      </c>
      <c r="AE79" s="17" t="e">
        <v>#N/A</v>
      </c>
      <c r="AF79" s="17" t="e">
        <v>#N/A</v>
      </c>
      <c r="AG79" s="17" t="e">
        <v>#N/A</v>
      </c>
      <c r="AH79" s="17" t="e">
        <v>#N/A</v>
      </c>
      <c r="AI79" s="17" t="e">
        <v>#N/A</v>
      </c>
      <c r="AJ79" s="17" t="e">
        <v>#N/A</v>
      </c>
      <c r="AK79" s="17" t="e">
        <v>#N/A</v>
      </c>
      <c r="AL79" s="17" t="e">
        <v>#N/A</v>
      </c>
      <c r="AM79" s="17" t="e">
        <v>#N/A</v>
      </c>
      <c r="AN79" s="17" t="e">
        <v>#N/A</v>
      </c>
      <c r="AO79" s="17" t="e">
        <v>#N/A</v>
      </c>
      <c r="AP79" s="17" t="e">
        <v>#N/A</v>
      </c>
      <c r="AQ79" s="17" t="e">
        <v>#N/A</v>
      </c>
      <c r="AR79" s="17" t="e">
        <v>#N/A</v>
      </c>
      <c r="AS79" s="17" t="e">
        <v>#N/A</v>
      </c>
      <c r="AT79" s="17" t="e">
        <v>#N/A</v>
      </c>
      <c r="AU79" s="17" t="e">
        <v>#N/A</v>
      </c>
      <c r="AV79" s="17" t="e">
        <v>#N/A</v>
      </c>
      <c r="AW79" s="17" t="e">
        <v>#N/A</v>
      </c>
      <c r="AX79" s="17" t="e">
        <v>#N/A</v>
      </c>
      <c r="AY79" s="17" t="e">
        <v>#N/A</v>
      </c>
      <c r="AZ79" s="17" t="e">
        <v>#N/A</v>
      </c>
      <c r="BA79" s="17" t="e">
        <v>#N/A</v>
      </c>
      <c r="BB79" s="17" t="e">
        <v>#N/A</v>
      </c>
      <c r="BC79" s="17" t="e">
        <v>#N/A</v>
      </c>
      <c r="BD79" s="17" t="e">
        <v>#N/A</v>
      </c>
      <c r="BE79" s="17" t="e">
        <v>#N/A</v>
      </c>
      <c r="BF79" s="17" t="e">
        <v>#N/A</v>
      </c>
      <c r="BG79" s="17" t="e">
        <v>#N/A</v>
      </c>
      <c r="BH79" s="17" t="e">
        <v>#N/A</v>
      </c>
      <c r="BI79" s="17" t="e">
        <v>#N/A</v>
      </c>
      <c r="BJ79" s="17" t="e">
        <v>#N/A</v>
      </c>
      <c r="BK79" s="17" t="e">
        <v>#N/A</v>
      </c>
      <c r="BL79" s="17" t="e">
        <v>#N/A</v>
      </c>
      <c r="BM79" s="17" t="e">
        <v>#N/A</v>
      </c>
      <c r="BN79" s="17" t="e">
        <v>#N/A</v>
      </c>
      <c r="BO79" s="17" t="e">
        <v>#N/A</v>
      </c>
      <c r="BP79" s="17" t="e">
        <v>#N/A</v>
      </c>
      <c r="BQ79" s="17" t="e">
        <v>#N/A</v>
      </c>
      <c r="BR79" s="17" t="e">
        <v>#N/A</v>
      </c>
      <c r="BS79" s="17" t="e">
        <v>#N/A</v>
      </c>
      <c r="BT79" s="17" t="e">
        <v>#N/A</v>
      </c>
      <c r="BU79" s="17" t="e">
        <v>#N/A</v>
      </c>
      <c r="BV79" s="17" t="e">
        <v>#N/A</v>
      </c>
      <c r="BW79" s="17" t="e">
        <v>#N/A</v>
      </c>
      <c r="BX79" s="17" t="e">
        <v>#N/A</v>
      </c>
      <c r="BY79" s="17" t="e">
        <v>#N/A</v>
      </c>
      <c r="BZ79" s="17" t="e">
        <v>#N/A</v>
      </c>
      <c r="CA79" s="17" t="e">
        <v>#N/A</v>
      </c>
      <c r="CB79" s="17" t="e">
        <v>#N/A</v>
      </c>
      <c r="CC79" s="17" t="e">
        <v>#N/A</v>
      </c>
      <c r="CD79" s="17" t="e">
        <v>#N/A</v>
      </c>
      <c r="CE79" s="17" t="e">
        <v>#N/A</v>
      </c>
      <c r="CF79" s="17" t="e">
        <v>#N/A</v>
      </c>
      <c r="CG79" s="17" t="e">
        <v>#N/A</v>
      </c>
      <c r="CH79" s="17" t="e">
        <v>#N/A</v>
      </c>
      <c r="CI79" s="17" t="e">
        <v>#N/A</v>
      </c>
      <c r="CJ79" s="17" t="e">
        <v>#N/A</v>
      </c>
      <c r="CK79" s="17" t="e">
        <v>#N/A</v>
      </c>
      <c r="CL79" s="17" t="e">
        <v>#N/A</v>
      </c>
      <c r="CM79" s="17" t="e">
        <v>#N/A</v>
      </c>
      <c r="CN79" s="17" t="e">
        <v>#N/A</v>
      </c>
      <c r="CO79" s="17" t="e">
        <v>#N/A</v>
      </c>
      <c r="CP79" s="17" t="e">
        <v>#N/A</v>
      </c>
      <c r="CQ79" s="17" t="e">
        <v>#N/A</v>
      </c>
      <c r="CR79" s="17" t="e">
        <v>#N/A</v>
      </c>
      <c r="CS79" s="17" t="e">
        <v>#N/A</v>
      </c>
      <c r="CT79" s="17" t="e">
        <v>#N/A</v>
      </c>
      <c r="CU79" s="17" t="e">
        <v>#N/A</v>
      </c>
      <c r="CV79" s="17" t="e">
        <v>#N/A</v>
      </c>
      <c r="CW79" s="17" t="e">
        <v>#N/A</v>
      </c>
      <c r="CX79" s="17" t="e">
        <v>#N/A</v>
      </c>
      <c r="CY79" s="17" t="e">
        <v>#N/A</v>
      </c>
      <c r="CZ79" s="17" t="e">
        <v>#N/A</v>
      </c>
      <c r="DA79" s="17" t="e">
        <v>#N/A</v>
      </c>
      <c r="DB79" s="17" t="e">
        <v>#N/A</v>
      </c>
      <c r="DC79" s="17" t="e">
        <v>#N/A</v>
      </c>
      <c r="DD79" s="17" t="e">
        <v>#N/A</v>
      </c>
      <c r="DE79" s="17" t="e">
        <v>#N/A</v>
      </c>
      <c r="DF79" s="17" t="e">
        <v>#N/A</v>
      </c>
      <c r="DG79" s="17" t="e">
        <v>#N/A</v>
      </c>
      <c r="DH79" s="17" t="e">
        <v>#N/A</v>
      </c>
      <c r="DI79" s="17" t="e">
        <v>#N/A</v>
      </c>
      <c r="DJ79" s="17" t="e">
        <v>#N/A</v>
      </c>
      <c r="DK79" s="17" t="e">
        <v>#N/A</v>
      </c>
      <c r="DL79" s="17" t="e">
        <v>#N/A</v>
      </c>
      <c r="DM79" s="17" t="e">
        <v>#N/A</v>
      </c>
      <c r="DN79" s="17" t="e">
        <v>#N/A</v>
      </c>
      <c r="DO79" s="17" t="e">
        <v>#N/A</v>
      </c>
      <c r="DP79" s="17" t="e">
        <v>#N/A</v>
      </c>
      <c r="DQ79" s="17" t="e">
        <v>#N/A</v>
      </c>
      <c r="DR79" s="17" t="e">
        <v>#N/A</v>
      </c>
      <c r="DS79" s="17" t="e">
        <v>#N/A</v>
      </c>
      <c r="DT79" s="17" t="e">
        <v>#N/A</v>
      </c>
      <c r="DU79" s="17" t="e">
        <v>#N/A</v>
      </c>
      <c r="DV79" s="17" t="e">
        <v>#N/A</v>
      </c>
      <c r="DW79" s="17" t="e">
        <v>#N/A</v>
      </c>
      <c r="DX79" s="17" t="e">
        <v>#N/A</v>
      </c>
      <c r="DY79" s="17" t="e">
        <v>#N/A</v>
      </c>
      <c r="DZ79" s="17" t="e">
        <v>#N/A</v>
      </c>
      <c r="EA79" s="17" t="e">
        <v>#N/A</v>
      </c>
      <c r="EB79" s="17" t="e">
        <v>#N/A</v>
      </c>
      <c r="EC79" s="17" t="e">
        <v>#N/A</v>
      </c>
      <c r="ED79" s="17" t="e">
        <v>#N/A</v>
      </c>
      <c r="EE79" s="17" t="e">
        <v>#N/A</v>
      </c>
      <c r="EF79" s="17" t="e">
        <v>#N/A</v>
      </c>
      <c r="EG79" s="17" t="e">
        <v>#N/A</v>
      </c>
      <c r="EH79" s="17" t="e">
        <v>#N/A</v>
      </c>
      <c r="EI79" s="17" t="e">
        <v>#N/A</v>
      </c>
      <c r="EJ79" s="17" t="e">
        <v>#N/A</v>
      </c>
      <c r="EK79" s="17" t="e">
        <v>#N/A</v>
      </c>
      <c r="EL79" s="17" t="e">
        <v>#N/A</v>
      </c>
      <c r="EM79" s="17" t="e">
        <v>#N/A</v>
      </c>
      <c r="EN79" s="17" t="e">
        <v>#N/A</v>
      </c>
      <c r="EO79" s="17" t="e">
        <v>#N/A</v>
      </c>
      <c r="EP79" s="17" t="e">
        <v>#N/A</v>
      </c>
      <c r="EQ79" s="17" t="e">
        <v>#N/A</v>
      </c>
      <c r="ER79" s="17" t="e">
        <v>#N/A</v>
      </c>
      <c r="ES79" s="17" t="e">
        <v>#N/A</v>
      </c>
      <c r="ET79" s="17" t="e">
        <v>#N/A</v>
      </c>
      <c r="EU79" s="17" t="e">
        <v>#N/A</v>
      </c>
      <c r="EV79" s="17" t="e">
        <v>#N/A</v>
      </c>
      <c r="EW79" s="17" t="e">
        <v>#N/A</v>
      </c>
      <c r="EX79" s="17" t="e">
        <v>#N/A</v>
      </c>
      <c r="EY79" s="17" t="e">
        <v>#N/A</v>
      </c>
      <c r="EZ79" s="17" t="e">
        <v>#N/A</v>
      </c>
      <c r="FA79" s="17" t="e">
        <v>#N/A</v>
      </c>
      <c r="FB79" s="17" t="e">
        <v>#N/A</v>
      </c>
      <c r="FC79" s="17" t="e">
        <v>#N/A</v>
      </c>
      <c r="FD79" s="17" t="e">
        <v>#N/A</v>
      </c>
      <c r="FE79" s="17" t="e">
        <v>#N/A</v>
      </c>
      <c r="FF79" s="17" t="e">
        <v>#N/A</v>
      </c>
      <c r="FG79" s="17" t="e">
        <v>#N/A</v>
      </c>
      <c r="FH79" s="17" t="e">
        <v>#N/A</v>
      </c>
      <c r="FI79" s="17" t="e">
        <v>#N/A</v>
      </c>
      <c r="FJ79" s="17" t="e">
        <v>#N/A</v>
      </c>
      <c r="FK79" s="17" t="e">
        <v>#N/A</v>
      </c>
      <c r="FL79" s="17" t="e">
        <v>#N/A</v>
      </c>
      <c r="FM79" s="17" t="e">
        <v>#N/A</v>
      </c>
      <c r="FN79" s="17" t="e">
        <v>#N/A</v>
      </c>
      <c r="FO79" s="17" t="e">
        <v>#N/A</v>
      </c>
      <c r="FP79" s="17" t="e">
        <v>#N/A</v>
      </c>
      <c r="FQ79" s="17" t="e">
        <v>#N/A</v>
      </c>
      <c r="FR79" s="17" t="e">
        <v>#N/A</v>
      </c>
      <c r="FS79" s="17" t="e">
        <v>#N/A</v>
      </c>
      <c r="FT79" s="17" t="e">
        <v>#N/A</v>
      </c>
      <c r="FU79" s="17" t="e">
        <v>#N/A</v>
      </c>
      <c r="FV79" s="17" t="e">
        <v>#N/A</v>
      </c>
    </row>
    <row r="80" spans="2:178" ht="11.25" customHeight="1">
      <c r="B80" s="17" t="e">
        <v>#N/A</v>
      </c>
      <c r="C80" s="17" t="e">
        <v>#N/A</v>
      </c>
      <c r="D80" s="17" t="e">
        <v>#N/A</v>
      </c>
      <c r="E80" s="17" t="e">
        <v>#N/A</v>
      </c>
      <c r="F80" s="17" t="e">
        <v>#N/A</v>
      </c>
      <c r="G80" s="17" t="e">
        <v>#N/A</v>
      </c>
      <c r="H80" s="17" t="e">
        <v>#N/A</v>
      </c>
      <c r="I80" s="17" t="e">
        <v>#N/A</v>
      </c>
      <c r="J80" s="17" t="e">
        <v>#N/A</v>
      </c>
      <c r="K80" s="17" t="e">
        <v>#N/A</v>
      </c>
      <c r="L80" s="17" t="e">
        <v>#N/A</v>
      </c>
      <c r="M80" s="17" t="e">
        <v>#N/A</v>
      </c>
      <c r="N80" s="17" t="e">
        <v>#N/A</v>
      </c>
      <c r="O80" s="17" t="e">
        <v>#N/A</v>
      </c>
      <c r="P80" s="17" t="e">
        <v>#N/A</v>
      </c>
      <c r="Q80" s="17" t="e">
        <v>#N/A</v>
      </c>
      <c r="R80" s="17" t="e">
        <v>#N/A</v>
      </c>
      <c r="S80" s="17" t="e">
        <v>#N/A</v>
      </c>
      <c r="T80" s="17" t="e">
        <v>#N/A</v>
      </c>
      <c r="U80" s="17" t="e">
        <v>#N/A</v>
      </c>
      <c r="V80" s="17" t="e">
        <v>#N/A</v>
      </c>
      <c r="W80" s="17" t="e">
        <v>#N/A</v>
      </c>
      <c r="X80" s="17" t="e">
        <v>#N/A</v>
      </c>
      <c r="Y80" s="17" t="e">
        <v>#N/A</v>
      </c>
      <c r="Z80" s="17" t="e">
        <v>#N/A</v>
      </c>
      <c r="AA80" s="17" t="e">
        <v>#N/A</v>
      </c>
      <c r="AB80" s="17" t="e">
        <v>#N/A</v>
      </c>
      <c r="AC80" s="17" t="e">
        <v>#N/A</v>
      </c>
      <c r="AD80" s="17" t="e">
        <v>#N/A</v>
      </c>
      <c r="AE80" s="17" t="e">
        <v>#N/A</v>
      </c>
      <c r="AF80" s="17" t="e">
        <v>#N/A</v>
      </c>
      <c r="AG80" s="17" t="e">
        <v>#N/A</v>
      </c>
      <c r="AH80" s="17" t="e">
        <v>#N/A</v>
      </c>
      <c r="AI80" s="17" t="e">
        <v>#N/A</v>
      </c>
      <c r="AJ80" s="17" t="e">
        <v>#N/A</v>
      </c>
      <c r="AK80" s="17" t="e">
        <v>#N/A</v>
      </c>
      <c r="AL80" s="17" t="e">
        <v>#N/A</v>
      </c>
      <c r="AM80" s="17" t="e">
        <v>#N/A</v>
      </c>
      <c r="AN80" s="17" t="e">
        <v>#N/A</v>
      </c>
      <c r="AO80" s="17" t="e">
        <v>#N/A</v>
      </c>
      <c r="AP80" s="17" t="e">
        <v>#N/A</v>
      </c>
      <c r="AQ80" s="17" t="e">
        <v>#N/A</v>
      </c>
      <c r="AR80" s="17" t="e">
        <v>#N/A</v>
      </c>
      <c r="AS80" s="17" t="e">
        <v>#N/A</v>
      </c>
      <c r="AT80" s="17" t="e">
        <v>#N/A</v>
      </c>
      <c r="AU80" s="17" t="e">
        <v>#N/A</v>
      </c>
      <c r="AV80" s="17" t="e">
        <v>#N/A</v>
      </c>
      <c r="AW80" s="17" t="e">
        <v>#N/A</v>
      </c>
      <c r="AX80" s="17" t="e">
        <v>#N/A</v>
      </c>
      <c r="AY80" s="17" t="e">
        <v>#N/A</v>
      </c>
      <c r="AZ80" s="17" t="e">
        <v>#N/A</v>
      </c>
      <c r="BA80" s="17" t="e">
        <v>#N/A</v>
      </c>
      <c r="BB80" s="17" t="e">
        <v>#N/A</v>
      </c>
      <c r="BC80" s="17" t="e">
        <v>#N/A</v>
      </c>
      <c r="BD80" s="17" t="e">
        <v>#N/A</v>
      </c>
      <c r="BE80" s="17" t="e">
        <v>#N/A</v>
      </c>
      <c r="BF80" s="17" t="e">
        <v>#N/A</v>
      </c>
      <c r="BG80" s="17" t="e">
        <v>#N/A</v>
      </c>
      <c r="BH80" s="17" t="e">
        <v>#N/A</v>
      </c>
      <c r="BI80" s="17" t="e">
        <v>#N/A</v>
      </c>
      <c r="BJ80" s="17" t="e">
        <v>#N/A</v>
      </c>
      <c r="BK80" s="17" t="e">
        <v>#N/A</v>
      </c>
      <c r="BL80" s="17" t="e">
        <v>#N/A</v>
      </c>
      <c r="BM80" s="17" t="e">
        <v>#N/A</v>
      </c>
      <c r="BN80" s="17" t="e">
        <v>#N/A</v>
      </c>
      <c r="BO80" s="17" t="e">
        <v>#N/A</v>
      </c>
      <c r="BP80" s="17" t="e">
        <v>#N/A</v>
      </c>
      <c r="BQ80" s="17" t="e">
        <v>#N/A</v>
      </c>
      <c r="BR80" s="17" t="e">
        <v>#N/A</v>
      </c>
      <c r="BS80" s="17" t="e">
        <v>#N/A</v>
      </c>
      <c r="BT80" s="17" t="e">
        <v>#N/A</v>
      </c>
      <c r="BU80" s="17" t="e">
        <v>#N/A</v>
      </c>
      <c r="BV80" s="17" t="e">
        <v>#N/A</v>
      </c>
      <c r="BW80" s="17" t="e">
        <v>#N/A</v>
      </c>
      <c r="BX80" s="17" t="e">
        <v>#N/A</v>
      </c>
      <c r="BY80" s="17" t="e">
        <v>#N/A</v>
      </c>
      <c r="BZ80" s="17" t="e">
        <v>#N/A</v>
      </c>
      <c r="CA80" s="17" t="e">
        <v>#N/A</v>
      </c>
      <c r="CB80" s="17" t="e">
        <v>#N/A</v>
      </c>
      <c r="CC80" s="17" t="e">
        <v>#N/A</v>
      </c>
      <c r="CD80" s="17" t="e">
        <v>#N/A</v>
      </c>
      <c r="CE80" s="17" t="e">
        <v>#N/A</v>
      </c>
      <c r="CF80" s="17" t="e">
        <v>#N/A</v>
      </c>
      <c r="CG80" s="17" t="e">
        <v>#N/A</v>
      </c>
      <c r="CH80" s="17" t="e">
        <v>#N/A</v>
      </c>
      <c r="CI80" s="17" t="e">
        <v>#N/A</v>
      </c>
      <c r="CJ80" s="17" t="e">
        <v>#N/A</v>
      </c>
      <c r="CK80" s="17" t="e">
        <v>#N/A</v>
      </c>
      <c r="CL80" s="17" t="e">
        <v>#N/A</v>
      </c>
      <c r="CM80" s="17" t="e">
        <v>#N/A</v>
      </c>
      <c r="CN80" s="17" t="e">
        <v>#N/A</v>
      </c>
      <c r="CO80" s="17" t="e">
        <v>#N/A</v>
      </c>
      <c r="CP80" s="17" t="e">
        <v>#N/A</v>
      </c>
      <c r="CQ80" s="17" t="e">
        <v>#N/A</v>
      </c>
      <c r="CR80" s="17" t="e">
        <v>#N/A</v>
      </c>
      <c r="CS80" s="17" t="e">
        <v>#N/A</v>
      </c>
      <c r="CT80" s="17" t="e">
        <v>#N/A</v>
      </c>
      <c r="CU80" s="17" t="e">
        <v>#N/A</v>
      </c>
      <c r="CV80" s="17" t="e">
        <v>#N/A</v>
      </c>
      <c r="CW80" s="17" t="e">
        <v>#N/A</v>
      </c>
      <c r="CX80" s="17" t="e">
        <v>#N/A</v>
      </c>
      <c r="CY80" s="17" t="e">
        <v>#N/A</v>
      </c>
      <c r="CZ80" s="17" t="e">
        <v>#N/A</v>
      </c>
      <c r="DA80" s="17" t="e">
        <v>#N/A</v>
      </c>
      <c r="DB80" s="17" t="e">
        <v>#N/A</v>
      </c>
      <c r="DC80" s="17" t="e">
        <v>#N/A</v>
      </c>
      <c r="DD80" s="17" t="e">
        <v>#N/A</v>
      </c>
      <c r="DE80" s="17" t="e">
        <v>#N/A</v>
      </c>
      <c r="DF80" s="17" t="e">
        <v>#N/A</v>
      </c>
      <c r="DG80" s="17" t="e">
        <v>#N/A</v>
      </c>
      <c r="DH80" s="17" t="e">
        <v>#N/A</v>
      </c>
      <c r="DI80" s="17" t="e">
        <v>#N/A</v>
      </c>
      <c r="DJ80" s="17" t="e">
        <v>#N/A</v>
      </c>
      <c r="DK80" s="17" t="e">
        <v>#N/A</v>
      </c>
      <c r="DL80" s="17" t="e">
        <v>#N/A</v>
      </c>
      <c r="DM80" s="17" t="e">
        <v>#N/A</v>
      </c>
      <c r="DN80" s="17" t="e">
        <v>#N/A</v>
      </c>
      <c r="DO80" s="17" t="e">
        <v>#N/A</v>
      </c>
      <c r="DP80" s="17" t="e">
        <v>#N/A</v>
      </c>
      <c r="DQ80" s="17" t="e">
        <v>#N/A</v>
      </c>
      <c r="DR80" s="17" t="e">
        <v>#N/A</v>
      </c>
      <c r="DS80" s="17" t="e">
        <v>#N/A</v>
      </c>
      <c r="DT80" s="17" t="e">
        <v>#N/A</v>
      </c>
      <c r="DU80" s="17" t="e">
        <v>#N/A</v>
      </c>
      <c r="DV80" s="17" t="e">
        <v>#N/A</v>
      </c>
      <c r="DW80" s="17" t="e">
        <v>#N/A</v>
      </c>
      <c r="DX80" s="17" t="e">
        <v>#N/A</v>
      </c>
      <c r="DY80" s="17" t="e">
        <v>#N/A</v>
      </c>
      <c r="DZ80" s="17" t="e">
        <v>#N/A</v>
      </c>
      <c r="EA80" s="17" t="e">
        <v>#N/A</v>
      </c>
      <c r="EB80" s="17" t="e">
        <v>#N/A</v>
      </c>
      <c r="EC80" s="17" t="e">
        <v>#N/A</v>
      </c>
      <c r="ED80" s="17" t="e">
        <v>#N/A</v>
      </c>
      <c r="EE80" s="17" t="e">
        <v>#N/A</v>
      </c>
      <c r="EF80" s="17" t="e">
        <v>#N/A</v>
      </c>
      <c r="EG80" s="17" t="e">
        <v>#N/A</v>
      </c>
      <c r="EH80" s="17" t="e">
        <v>#N/A</v>
      </c>
      <c r="EI80" s="17" t="e">
        <v>#N/A</v>
      </c>
      <c r="EJ80" s="17" t="e">
        <v>#N/A</v>
      </c>
      <c r="EK80" s="17" t="e">
        <v>#N/A</v>
      </c>
      <c r="EL80" s="17" t="e">
        <v>#N/A</v>
      </c>
      <c r="EM80" s="17" t="e">
        <v>#N/A</v>
      </c>
      <c r="EN80" s="17" t="e">
        <v>#N/A</v>
      </c>
      <c r="EO80" s="17" t="e">
        <v>#N/A</v>
      </c>
      <c r="EP80" s="17" t="e">
        <v>#N/A</v>
      </c>
      <c r="EQ80" s="17" t="e">
        <v>#N/A</v>
      </c>
      <c r="ER80" s="17" t="e">
        <v>#N/A</v>
      </c>
      <c r="ES80" s="17" t="e">
        <v>#N/A</v>
      </c>
      <c r="ET80" s="17" t="e">
        <v>#N/A</v>
      </c>
      <c r="EU80" s="17" t="e">
        <v>#N/A</v>
      </c>
      <c r="EV80" s="17" t="e">
        <v>#N/A</v>
      </c>
      <c r="EW80" s="17" t="e">
        <v>#N/A</v>
      </c>
      <c r="EX80" s="17" t="e">
        <v>#N/A</v>
      </c>
      <c r="EY80" s="17" t="e">
        <v>#N/A</v>
      </c>
      <c r="EZ80" s="17" t="e">
        <v>#N/A</v>
      </c>
      <c r="FA80" s="17" t="e">
        <v>#N/A</v>
      </c>
      <c r="FB80" s="17" t="e">
        <v>#N/A</v>
      </c>
      <c r="FC80" s="17" t="e">
        <v>#N/A</v>
      </c>
      <c r="FD80" s="17" t="e">
        <v>#N/A</v>
      </c>
      <c r="FE80" s="17" t="e">
        <v>#N/A</v>
      </c>
      <c r="FF80" s="17" t="e">
        <v>#N/A</v>
      </c>
      <c r="FG80" s="17" t="e">
        <v>#N/A</v>
      </c>
      <c r="FH80" s="17" t="e">
        <v>#N/A</v>
      </c>
      <c r="FI80" s="17" t="e">
        <v>#N/A</v>
      </c>
      <c r="FJ80" s="17" t="e">
        <v>#N/A</v>
      </c>
      <c r="FK80" s="17" t="e">
        <v>#N/A</v>
      </c>
      <c r="FL80" s="17" t="e">
        <v>#N/A</v>
      </c>
      <c r="FM80" s="17" t="e">
        <v>#N/A</v>
      </c>
      <c r="FN80" s="17" t="e">
        <v>#N/A</v>
      </c>
      <c r="FO80" s="17" t="e">
        <v>#N/A</v>
      </c>
      <c r="FP80" s="17" t="e">
        <v>#N/A</v>
      </c>
      <c r="FQ80" s="17" t="e">
        <v>#N/A</v>
      </c>
      <c r="FR80" s="17" t="e">
        <v>#N/A</v>
      </c>
      <c r="FS80" s="17" t="e">
        <v>#N/A</v>
      </c>
      <c r="FT80" s="17" t="e">
        <v>#N/A</v>
      </c>
      <c r="FU80" s="17" t="e">
        <v>#N/A</v>
      </c>
      <c r="FV80" s="17" t="e">
        <v>#N/A</v>
      </c>
    </row>
    <row r="81" spans="2:178" ht="11.25" customHeight="1">
      <c r="B81" s="17" t="e">
        <v>#N/A</v>
      </c>
      <c r="C81" s="17" t="e">
        <v>#N/A</v>
      </c>
      <c r="D81" s="17" t="e">
        <v>#N/A</v>
      </c>
      <c r="E81" s="17" t="e">
        <v>#N/A</v>
      </c>
      <c r="F81" s="17" t="e">
        <v>#N/A</v>
      </c>
      <c r="G81" s="17" t="e">
        <v>#N/A</v>
      </c>
      <c r="H81" s="17" t="e">
        <v>#N/A</v>
      </c>
      <c r="I81" s="17" t="e">
        <v>#N/A</v>
      </c>
      <c r="J81" s="17" t="e">
        <v>#N/A</v>
      </c>
      <c r="K81" s="17" t="e">
        <v>#N/A</v>
      </c>
      <c r="L81" s="17" t="e">
        <v>#N/A</v>
      </c>
      <c r="M81" s="17" t="e">
        <v>#N/A</v>
      </c>
      <c r="N81" s="17" t="e">
        <v>#N/A</v>
      </c>
      <c r="O81" s="17" t="e">
        <v>#N/A</v>
      </c>
      <c r="P81" s="17" t="e">
        <v>#N/A</v>
      </c>
      <c r="Q81" s="17" t="e">
        <v>#N/A</v>
      </c>
      <c r="R81" s="17" t="e">
        <v>#N/A</v>
      </c>
      <c r="S81" s="17" t="e">
        <v>#N/A</v>
      </c>
      <c r="T81" s="17" t="e">
        <v>#N/A</v>
      </c>
      <c r="U81" s="17" t="e">
        <v>#N/A</v>
      </c>
      <c r="V81" s="17" t="e">
        <v>#N/A</v>
      </c>
      <c r="W81" s="17" t="e">
        <v>#N/A</v>
      </c>
      <c r="X81" s="17" t="e">
        <v>#N/A</v>
      </c>
      <c r="Y81" s="17" t="e">
        <v>#N/A</v>
      </c>
      <c r="Z81" s="17" t="e">
        <v>#N/A</v>
      </c>
      <c r="AA81" s="17" t="e">
        <v>#N/A</v>
      </c>
      <c r="AB81" s="17" t="e">
        <v>#N/A</v>
      </c>
      <c r="AC81" s="17" t="e">
        <v>#N/A</v>
      </c>
      <c r="AD81" s="17" t="e">
        <v>#N/A</v>
      </c>
      <c r="AE81" s="17" t="e">
        <v>#N/A</v>
      </c>
      <c r="AF81" s="17" t="e">
        <v>#N/A</v>
      </c>
      <c r="AG81" s="17" t="e">
        <v>#N/A</v>
      </c>
      <c r="AH81" s="17" t="e">
        <v>#N/A</v>
      </c>
      <c r="AI81" s="17" t="e">
        <v>#N/A</v>
      </c>
      <c r="AJ81" s="17" t="e">
        <v>#N/A</v>
      </c>
      <c r="AK81" s="17" t="e">
        <v>#N/A</v>
      </c>
      <c r="AL81" s="17" t="e">
        <v>#N/A</v>
      </c>
      <c r="AM81" s="17" t="e">
        <v>#N/A</v>
      </c>
      <c r="AN81" s="17" t="e">
        <v>#N/A</v>
      </c>
      <c r="AO81" s="17" t="e">
        <v>#N/A</v>
      </c>
      <c r="AP81" s="17" t="e">
        <v>#N/A</v>
      </c>
      <c r="AQ81" s="17" t="e">
        <v>#N/A</v>
      </c>
      <c r="AR81" s="17" t="e">
        <v>#N/A</v>
      </c>
      <c r="AS81" s="17" t="e">
        <v>#N/A</v>
      </c>
      <c r="AT81" s="17" t="e">
        <v>#N/A</v>
      </c>
      <c r="AU81" s="17" t="e">
        <v>#N/A</v>
      </c>
      <c r="AV81" s="17" t="e">
        <v>#N/A</v>
      </c>
      <c r="AW81" s="17" t="e">
        <v>#N/A</v>
      </c>
      <c r="AX81" s="17" t="e">
        <v>#N/A</v>
      </c>
      <c r="AY81" s="17" t="e">
        <v>#N/A</v>
      </c>
      <c r="AZ81" s="17" t="e">
        <v>#N/A</v>
      </c>
      <c r="BA81" s="17" t="e">
        <v>#N/A</v>
      </c>
      <c r="BB81" s="17" t="e">
        <v>#N/A</v>
      </c>
      <c r="BC81" s="17" t="e">
        <v>#N/A</v>
      </c>
      <c r="BD81" s="17" t="e">
        <v>#N/A</v>
      </c>
      <c r="BE81" s="17" t="e">
        <v>#N/A</v>
      </c>
      <c r="BF81" s="17" t="e">
        <v>#N/A</v>
      </c>
      <c r="BG81" s="17" t="e">
        <v>#N/A</v>
      </c>
      <c r="BH81" s="17" t="e">
        <v>#N/A</v>
      </c>
      <c r="BI81" s="17" t="e">
        <v>#N/A</v>
      </c>
      <c r="BJ81" s="17" t="e">
        <v>#N/A</v>
      </c>
      <c r="BK81" s="17" t="e">
        <v>#N/A</v>
      </c>
      <c r="BL81" s="17" t="e">
        <v>#N/A</v>
      </c>
      <c r="BM81" s="17" t="e">
        <v>#N/A</v>
      </c>
      <c r="BN81" s="17" t="e">
        <v>#N/A</v>
      </c>
      <c r="BO81" s="17" t="e">
        <v>#N/A</v>
      </c>
      <c r="BP81" s="17" t="e">
        <v>#N/A</v>
      </c>
      <c r="BQ81" s="17" t="e">
        <v>#N/A</v>
      </c>
      <c r="BR81" s="17" t="e">
        <v>#N/A</v>
      </c>
      <c r="BS81" s="17" t="e">
        <v>#N/A</v>
      </c>
      <c r="BT81" s="17" t="e">
        <v>#N/A</v>
      </c>
      <c r="BU81" s="17" t="e">
        <v>#N/A</v>
      </c>
      <c r="BV81" s="17" t="e">
        <v>#N/A</v>
      </c>
      <c r="BW81" s="17" t="e">
        <v>#N/A</v>
      </c>
      <c r="BX81" s="17" t="e">
        <v>#N/A</v>
      </c>
      <c r="BY81" s="17" t="e">
        <v>#N/A</v>
      </c>
      <c r="BZ81" s="17" t="e">
        <v>#N/A</v>
      </c>
      <c r="CA81" s="17" t="e">
        <v>#N/A</v>
      </c>
      <c r="CB81" s="17" t="e">
        <v>#N/A</v>
      </c>
      <c r="CC81" s="17" t="e">
        <v>#N/A</v>
      </c>
      <c r="CD81" s="17" t="e">
        <v>#N/A</v>
      </c>
      <c r="CE81" s="17" t="e">
        <v>#N/A</v>
      </c>
      <c r="CF81" s="17" t="e">
        <v>#N/A</v>
      </c>
      <c r="CG81" s="17" t="e">
        <v>#N/A</v>
      </c>
      <c r="CH81" s="17" t="e">
        <v>#N/A</v>
      </c>
      <c r="CI81" s="17" t="e">
        <v>#N/A</v>
      </c>
      <c r="CJ81" s="17" t="e">
        <v>#N/A</v>
      </c>
      <c r="CK81" s="17" t="e">
        <v>#N/A</v>
      </c>
      <c r="CL81" s="17" t="e">
        <v>#N/A</v>
      </c>
      <c r="CM81" s="17" t="e">
        <v>#N/A</v>
      </c>
      <c r="CN81" s="17" t="e">
        <v>#N/A</v>
      </c>
      <c r="CO81" s="17" t="e">
        <v>#N/A</v>
      </c>
      <c r="CP81" s="17" t="e">
        <v>#N/A</v>
      </c>
      <c r="CQ81" s="17" t="e">
        <v>#N/A</v>
      </c>
      <c r="CR81" s="17" t="e">
        <v>#N/A</v>
      </c>
      <c r="CS81" s="17" t="e">
        <v>#N/A</v>
      </c>
      <c r="CT81" s="17" t="e">
        <v>#N/A</v>
      </c>
      <c r="CU81" s="17" t="e">
        <v>#N/A</v>
      </c>
      <c r="CV81" s="17" t="e">
        <v>#N/A</v>
      </c>
      <c r="CW81" s="17" t="e">
        <v>#N/A</v>
      </c>
      <c r="CX81" s="17" t="e">
        <v>#N/A</v>
      </c>
      <c r="CY81" s="17" t="e">
        <v>#N/A</v>
      </c>
      <c r="CZ81" s="17" t="e">
        <v>#N/A</v>
      </c>
      <c r="DA81" s="17" t="e">
        <v>#N/A</v>
      </c>
      <c r="DB81" s="17" t="e">
        <v>#N/A</v>
      </c>
      <c r="DC81" s="17" t="e">
        <v>#N/A</v>
      </c>
      <c r="DD81" s="17" t="e">
        <v>#N/A</v>
      </c>
      <c r="DE81" s="17" t="e">
        <v>#N/A</v>
      </c>
      <c r="DF81" s="17" t="e">
        <v>#N/A</v>
      </c>
      <c r="DG81" s="17" t="e">
        <v>#N/A</v>
      </c>
      <c r="DH81" s="17" t="e">
        <v>#N/A</v>
      </c>
      <c r="DI81" s="17" t="e">
        <v>#N/A</v>
      </c>
      <c r="DJ81" s="17" t="e">
        <v>#N/A</v>
      </c>
      <c r="DK81" s="17" t="e">
        <v>#N/A</v>
      </c>
      <c r="DL81" s="17" t="e">
        <v>#N/A</v>
      </c>
      <c r="DM81" s="17" t="e">
        <v>#N/A</v>
      </c>
      <c r="DN81" s="17" t="e">
        <v>#N/A</v>
      </c>
      <c r="DO81" s="17" t="e">
        <v>#N/A</v>
      </c>
      <c r="DP81" s="17" t="e">
        <v>#N/A</v>
      </c>
      <c r="DQ81" s="17" t="e">
        <v>#N/A</v>
      </c>
      <c r="DR81" s="17" t="e">
        <v>#N/A</v>
      </c>
      <c r="DS81" s="17" t="e">
        <v>#N/A</v>
      </c>
      <c r="DT81" s="17" t="e">
        <v>#N/A</v>
      </c>
      <c r="DU81" s="17" t="e">
        <v>#N/A</v>
      </c>
      <c r="DV81" s="17" t="e">
        <v>#N/A</v>
      </c>
      <c r="DW81" s="17" t="e">
        <v>#N/A</v>
      </c>
      <c r="DX81" s="17" t="e">
        <v>#N/A</v>
      </c>
      <c r="DY81" s="17" t="e">
        <v>#N/A</v>
      </c>
      <c r="DZ81" s="17" t="e">
        <v>#N/A</v>
      </c>
      <c r="EA81" s="17" t="e">
        <v>#N/A</v>
      </c>
      <c r="EB81" s="17" t="e">
        <v>#N/A</v>
      </c>
      <c r="EC81" s="17" t="e">
        <v>#N/A</v>
      </c>
      <c r="ED81" s="17" t="e">
        <v>#N/A</v>
      </c>
      <c r="EE81" s="17" t="e">
        <v>#N/A</v>
      </c>
      <c r="EF81" s="17" t="e">
        <v>#N/A</v>
      </c>
      <c r="EG81" s="17" t="e">
        <v>#N/A</v>
      </c>
      <c r="EH81" s="17" t="e">
        <v>#N/A</v>
      </c>
      <c r="EI81" s="17" t="e">
        <v>#N/A</v>
      </c>
      <c r="EJ81" s="17" t="e">
        <v>#N/A</v>
      </c>
      <c r="EK81" s="17" t="e">
        <v>#N/A</v>
      </c>
      <c r="EL81" s="17" t="e">
        <v>#N/A</v>
      </c>
      <c r="EM81" s="17" t="e">
        <v>#N/A</v>
      </c>
      <c r="EN81" s="17" t="e">
        <v>#N/A</v>
      </c>
      <c r="EO81" s="17" t="e">
        <v>#N/A</v>
      </c>
      <c r="EP81" s="17" t="e">
        <v>#N/A</v>
      </c>
      <c r="EQ81" s="17" t="e">
        <v>#N/A</v>
      </c>
      <c r="ER81" s="17" t="e">
        <v>#N/A</v>
      </c>
      <c r="ES81" s="17" t="e">
        <v>#N/A</v>
      </c>
      <c r="ET81" s="17" t="e">
        <v>#N/A</v>
      </c>
      <c r="EU81" s="17" t="e">
        <v>#N/A</v>
      </c>
      <c r="EV81" s="17" t="e">
        <v>#N/A</v>
      </c>
      <c r="EW81" s="17" t="e">
        <v>#N/A</v>
      </c>
      <c r="EX81" s="17" t="e">
        <v>#N/A</v>
      </c>
      <c r="EY81" s="17" t="e">
        <v>#N/A</v>
      </c>
      <c r="EZ81" s="17" t="e">
        <v>#N/A</v>
      </c>
      <c r="FA81" s="17" t="e">
        <v>#N/A</v>
      </c>
      <c r="FB81" s="17" t="e">
        <v>#N/A</v>
      </c>
      <c r="FC81" s="17" t="e">
        <v>#N/A</v>
      </c>
      <c r="FD81" s="17" t="e">
        <v>#N/A</v>
      </c>
      <c r="FE81" s="17" t="e">
        <v>#N/A</v>
      </c>
      <c r="FF81" s="17" t="e">
        <v>#N/A</v>
      </c>
      <c r="FG81" s="17" t="e">
        <v>#N/A</v>
      </c>
      <c r="FH81" s="17" t="e">
        <v>#N/A</v>
      </c>
      <c r="FI81" s="17" t="e">
        <v>#N/A</v>
      </c>
      <c r="FJ81" s="17" t="e">
        <v>#N/A</v>
      </c>
      <c r="FK81" s="17" t="e">
        <v>#N/A</v>
      </c>
      <c r="FL81" s="17" t="e">
        <v>#N/A</v>
      </c>
      <c r="FM81" s="17" t="e">
        <v>#N/A</v>
      </c>
      <c r="FN81" s="17" t="e">
        <v>#N/A</v>
      </c>
      <c r="FO81" s="17" t="e">
        <v>#N/A</v>
      </c>
      <c r="FP81" s="17" t="e">
        <v>#N/A</v>
      </c>
      <c r="FQ81" s="17" t="e">
        <v>#N/A</v>
      </c>
      <c r="FR81" s="17" t="e">
        <v>#N/A</v>
      </c>
      <c r="FS81" s="17" t="e">
        <v>#N/A</v>
      </c>
      <c r="FT81" s="17" t="e">
        <v>#N/A</v>
      </c>
      <c r="FU81" s="17" t="e">
        <v>#N/A</v>
      </c>
      <c r="FV81" s="17" t="e">
        <v>#N/A</v>
      </c>
    </row>
    <row r="82" spans="2:178" ht="11.25" customHeight="1">
      <c r="B82" s="17" t="e">
        <v>#N/A</v>
      </c>
      <c r="C82" s="17" t="e">
        <v>#N/A</v>
      </c>
      <c r="D82" s="17" t="e">
        <v>#N/A</v>
      </c>
      <c r="E82" s="17" t="e">
        <v>#N/A</v>
      </c>
      <c r="F82" s="17" t="e">
        <v>#N/A</v>
      </c>
      <c r="G82" s="17" t="e">
        <v>#N/A</v>
      </c>
      <c r="H82" s="17" t="e">
        <v>#N/A</v>
      </c>
      <c r="I82" s="17" t="e">
        <v>#N/A</v>
      </c>
      <c r="J82" s="17" t="e">
        <v>#N/A</v>
      </c>
      <c r="K82" s="17" t="e">
        <v>#N/A</v>
      </c>
      <c r="L82" s="17" t="e">
        <v>#N/A</v>
      </c>
      <c r="M82" s="17" t="e">
        <v>#N/A</v>
      </c>
      <c r="N82" s="17" t="e">
        <v>#N/A</v>
      </c>
      <c r="O82" s="17" t="e">
        <v>#N/A</v>
      </c>
      <c r="P82" s="17" t="e">
        <v>#N/A</v>
      </c>
      <c r="Q82" s="17" t="e">
        <v>#N/A</v>
      </c>
      <c r="R82" s="17" t="e">
        <v>#N/A</v>
      </c>
      <c r="S82" s="17" t="e">
        <v>#N/A</v>
      </c>
      <c r="T82" s="17" t="e">
        <v>#N/A</v>
      </c>
      <c r="U82" s="17" t="e">
        <v>#N/A</v>
      </c>
      <c r="V82" s="17" t="e">
        <v>#N/A</v>
      </c>
      <c r="W82" s="17" t="e">
        <v>#N/A</v>
      </c>
      <c r="X82" s="17" t="e">
        <v>#N/A</v>
      </c>
      <c r="Y82" s="17" t="e">
        <v>#N/A</v>
      </c>
      <c r="Z82" s="17" t="e">
        <v>#N/A</v>
      </c>
      <c r="AA82" s="17" t="e">
        <v>#N/A</v>
      </c>
      <c r="AB82" s="17" t="e">
        <v>#N/A</v>
      </c>
      <c r="AC82" s="17" t="e">
        <v>#N/A</v>
      </c>
      <c r="AD82" s="17" t="e">
        <v>#N/A</v>
      </c>
      <c r="AE82" s="17" t="e">
        <v>#N/A</v>
      </c>
      <c r="AF82" s="17" t="e">
        <v>#N/A</v>
      </c>
      <c r="AG82" s="17" t="e">
        <v>#N/A</v>
      </c>
      <c r="AH82" s="17" t="e">
        <v>#N/A</v>
      </c>
      <c r="AI82" s="17" t="e">
        <v>#N/A</v>
      </c>
      <c r="AJ82" s="17" t="e">
        <v>#N/A</v>
      </c>
      <c r="AK82" s="17" t="e">
        <v>#N/A</v>
      </c>
      <c r="AL82" s="17" t="e">
        <v>#N/A</v>
      </c>
      <c r="AM82" s="17" t="e">
        <v>#N/A</v>
      </c>
      <c r="AN82" s="17" t="e">
        <v>#N/A</v>
      </c>
      <c r="AO82" s="17" t="e">
        <v>#N/A</v>
      </c>
      <c r="AP82" s="17" t="e">
        <v>#N/A</v>
      </c>
      <c r="AQ82" s="17" t="e">
        <v>#N/A</v>
      </c>
      <c r="AR82" s="17" t="e">
        <v>#N/A</v>
      </c>
      <c r="AS82" s="17" t="e">
        <v>#N/A</v>
      </c>
      <c r="AT82" s="17" t="e">
        <v>#N/A</v>
      </c>
      <c r="AU82" s="17" t="e">
        <v>#N/A</v>
      </c>
      <c r="AV82" s="17" t="e">
        <v>#N/A</v>
      </c>
      <c r="AW82" s="17" t="e">
        <v>#N/A</v>
      </c>
      <c r="AX82" s="17" t="e">
        <v>#N/A</v>
      </c>
      <c r="AY82" s="17" t="e">
        <v>#N/A</v>
      </c>
      <c r="AZ82" s="17" t="e">
        <v>#N/A</v>
      </c>
      <c r="BA82" s="17" t="e">
        <v>#N/A</v>
      </c>
      <c r="BB82" s="17" t="e">
        <v>#N/A</v>
      </c>
      <c r="BC82" s="17" t="e">
        <v>#N/A</v>
      </c>
      <c r="BD82" s="17" t="e">
        <v>#N/A</v>
      </c>
      <c r="BE82" s="17" t="e">
        <v>#N/A</v>
      </c>
      <c r="BF82" s="17" t="e">
        <v>#N/A</v>
      </c>
      <c r="BG82" s="17" t="e">
        <v>#N/A</v>
      </c>
      <c r="BH82" s="17" t="e">
        <v>#N/A</v>
      </c>
      <c r="BI82" s="17" t="e">
        <v>#N/A</v>
      </c>
      <c r="BJ82" s="17" t="e">
        <v>#N/A</v>
      </c>
      <c r="BK82" s="17" t="e">
        <v>#N/A</v>
      </c>
      <c r="BL82" s="17" t="e">
        <v>#N/A</v>
      </c>
      <c r="BM82" s="17" t="e">
        <v>#N/A</v>
      </c>
      <c r="BN82" s="17" t="e">
        <v>#N/A</v>
      </c>
      <c r="BO82" s="17" t="e">
        <v>#N/A</v>
      </c>
      <c r="BP82" s="17" t="e">
        <v>#N/A</v>
      </c>
      <c r="BQ82" s="17" t="e">
        <v>#N/A</v>
      </c>
      <c r="BR82" s="17" t="e">
        <v>#N/A</v>
      </c>
      <c r="BS82" s="17" t="e">
        <v>#N/A</v>
      </c>
      <c r="BT82" s="17" t="e">
        <v>#N/A</v>
      </c>
      <c r="BU82" s="17" t="e">
        <v>#N/A</v>
      </c>
      <c r="BV82" s="17" t="e">
        <v>#N/A</v>
      </c>
      <c r="BW82" s="17" t="e">
        <v>#N/A</v>
      </c>
      <c r="BX82" s="17" t="e">
        <v>#N/A</v>
      </c>
      <c r="BY82" s="17" t="e">
        <v>#N/A</v>
      </c>
      <c r="BZ82" s="17" t="e">
        <v>#N/A</v>
      </c>
      <c r="CA82" s="17" t="e">
        <v>#N/A</v>
      </c>
      <c r="CB82" s="17" t="e">
        <v>#N/A</v>
      </c>
      <c r="CC82" s="17" t="e">
        <v>#N/A</v>
      </c>
      <c r="CD82" s="17" t="e">
        <v>#N/A</v>
      </c>
      <c r="CE82" s="17" t="e">
        <v>#N/A</v>
      </c>
      <c r="CF82" s="17" t="e">
        <v>#N/A</v>
      </c>
      <c r="CG82" s="17" t="e">
        <v>#N/A</v>
      </c>
      <c r="CH82" s="17" t="e">
        <v>#N/A</v>
      </c>
      <c r="CI82" s="17" t="e">
        <v>#N/A</v>
      </c>
      <c r="CJ82" s="17" t="e">
        <v>#N/A</v>
      </c>
      <c r="CK82" s="17" t="e">
        <v>#N/A</v>
      </c>
      <c r="CL82" s="17" t="e">
        <v>#N/A</v>
      </c>
      <c r="CM82" s="17" t="e">
        <v>#N/A</v>
      </c>
      <c r="CN82" s="17" t="e">
        <v>#N/A</v>
      </c>
      <c r="CO82" s="17" t="e">
        <v>#N/A</v>
      </c>
      <c r="CP82" s="17" t="e">
        <v>#N/A</v>
      </c>
      <c r="CQ82" s="17" t="e">
        <v>#N/A</v>
      </c>
      <c r="CR82" s="17" t="e">
        <v>#N/A</v>
      </c>
      <c r="CS82" s="17" t="e">
        <v>#N/A</v>
      </c>
      <c r="CT82" s="17" t="e">
        <v>#N/A</v>
      </c>
      <c r="CU82" s="17" t="e">
        <v>#N/A</v>
      </c>
      <c r="CV82" s="17" t="e">
        <v>#N/A</v>
      </c>
      <c r="CW82" s="17" t="e">
        <v>#N/A</v>
      </c>
      <c r="CX82" s="17" t="e">
        <v>#N/A</v>
      </c>
      <c r="CY82" s="17" t="e">
        <v>#N/A</v>
      </c>
      <c r="CZ82" s="17" t="e">
        <v>#N/A</v>
      </c>
      <c r="DA82" s="17" t="e">
        <v>#N/A</v>
      </c>
      <c r="DB82" s="17" t="e">
        <v>#N/A</v>
      </c>
      <c r="DC82" s="17" t="e">
        <v>#N/A</v>
      </c>
      <c r="DD82" s="17" t="e">
        <v>#N/A</v>
      </c>
      <c r="DE82" s="17" t="e">
        <v>#N/A</v>
      </c>
      <c r="DF82" s="17" t="e">
        <v>#N/A</v>
      </c>
      <c r="DG82" s="17" t="e">
        <v>#N/A</v>
      </c>
      <c r="DH82" s="17" t="e">
        <v>#N/A</v>
      </c>
      <c r="DI82" s="17" t="e">
        <v>#N/A</v>
      </c>
      <c r="DJ82" s="17" t="e">
        <v>#N/A</v>
      </c>
      <c r="DK82" s="17" t="e">
        <v>#N/A</v>
      </c>
      <c r="DL82" s="17" t="e">
        <v>#N/A</v>
      </c>
      <c r="DM82" s="17" t="e">
        <v>#N/A</v>
      </c>
      <c r="DN82" s="17" t="e">
        <v>#N/A</v>
      </c>
      <c r="DO82" s="17" t="e">
        <v>#N/A</v>
      </c>
      <c r="DP82" s="17" t="e">
        <v>#N/A</v>
      </c>
      <c r="DQ82" s="17" t="e">
        <v>#N/A</v>
      </c>
      <c r="DR82" s="17" t="e">
        <v>#N/A</v>
      </c>
      <c r="DS82" s="17" t="e">
        <v>#N/A</v>
      </c>
      <c r="DT82" s="17" t="e">
        <v>#N/A</v>
      </c>
      <c r="DU82" s="17" t="e">
        <v>#N/A</v>
      </c>
      <c r="DV82" s="17" t="e">
        <v>#N/A</v>
      </c>
      <c r="DW82" s="17" t="e">
        <v>#N/A</v>
      </c>
      <c r="DX82" s="17" t="e">
        <v>#N/A</v>
      </c>
      <c r="DY82" s="17" t="e">
        <v>#N/A</v>
      </c>
      <c r="DZ82" s="17" t="e">
        <v>#N/A</v>
      </c>
      <c r="EA82" s="17" t="e">
        <v>#N/A</v>
      </c>
      <c r="EB82" s="17" t="e">
        <v>#N/A</v>
      </c>
      <c r="EC82" s="17" t="e">
        <v>#N/A</v>
      </c>
      <c r="ED82" s="17" t="e">
        <v>#N/A</v>
      </c>
      <c r="EE82" s="17" t="e">
        <v>#N/A</v>
      </c>
      <c r="EF82" s="17" t="e">
        <v>#N/A</v>
      </c>
      <c r="EG82" s="17" t="e">
        <v>#N/A</v>
      </c>
      <c r="EH82" s="17" t="e">
        <v>#N/A</v>
      </c>
      <c r="EI82" s="17" t="e">
        <v>#N/A</v>
      </c>
      <c r="EJ82" s="17" t="e">
        <v>#N/A</v>
      </c>
      <c r="EK82" s="17" t="e">
        <v>#N/A</v>
      </c>
      <c r="EL82" s="17" t="e">
        <v>#N/A</v>
      </c>
      <c r="EM82" s="17" t="e">
        <v>#N/A</v>
      </c>
      <c r="EN82" s="17" t="e">
        <v>#N/A</v>
      </c>
      <c r="EO82" s="17" t="e">
        <v>#N/A</v>
      </c>
      <c r="EP82" s="17" t="e">
        <v>#N/A</v>
      </c>
      <c r="EQ82" s="17" t="e">
        <v>#N/A</v>
      </c>
      <c r="ER82" s="17" t="e">
        <v>#N/A</v>
      </c>
      <c r="ES82" s="17" t="e">
        <v>#N/A</v>
      </c>
      <c r="ET82" s="17" t="e">
        <v>#N/A</v>
      </c>
      <c r="EU82" s="17" t="e">
        <v>#N/A</v>
      </c>
      <c r="EV82" s="17" t="e">
        <v>#N/A</v>
      </c>
      <c r="EW82" s="17" t="e">
        <v>#N/A</v>
      </c>
      <c r="EX82" s="17" t="e">
        <v>#N/A</v>
      </c>
      <c r="EY82" s="17" t="e">
        <v>#N/A</v>
      </c>
      <c r="EZ82" s="17" t="e">
        <v>#N/A</v>
      </c>
      <c r="FA82" s="17" t="e">
        <v>#N/A</v>
      </c>
      <c r="FB82" s="17" t="e">
        <v>#N/A</v>
      </c>
      <c r="FC82" s="17" t="e">
        <v>#N/A</v>
      </c>
      <c r="FD82" s="17" t="e">
        <v>#N/A</v>
      </c>
      <c r="FE82" s="17" t="e">
        <v>#N/A</v>
      </c>
      <c r="FF82" s="17" t="e">
        <v>#N/A</v>
      </c>
      <c r="FG82" s="17" t="e">
        <v>#N/A</v>
      </c>
      <c r="FH82" s="17" t="e">
        <v>#N/A</v>
      </c>
      <c r="FI82" s="17" t="e">
        <v>#N/A</v>
      </c>
      <c r="FJ82" s="17" t="e">
        <v>#N/A</v>
      </c>
      <c r="FK82" s="17" t="e">
        <v>#N/A</v>
      </c>
      <c r="FL82" s="17" t="e">
        <v>#N/A</v>
      </c>
      <c r="FM82" s="17" t="e">
        <v>#N/A</v>
      </c>
      <c r="FN82" s="17" t="e">
        <v>#N/A</v>
      </c>
      <c r="FO82" s="17" t="e">
        <v>#N/A</v>
      </c>
      <c r="FP82" s="17" t="e">
        <v>#N/A</v>
      </c>
      <c r="FQ82" s="17" t="e">
        <v>#N/A</v>
      </c>
      <c r="FR82" s="17" t="e">
        <v>#N/A</v>
      </c>
      <c r="FS82" s="17" t="e">
        <v>#N/A</v>
      </c>
      <c r="FT82" s="17" t="e">
        <v>#N/A</v>
      </c>
      <c r="FU82" s="17" t="e">
        <v>#N/A</v>
      </c>
      <c r="FV82" s="17" t="e">
        <v>#N/A</v>
      </c>
    </row>
    <row r="83" spans="2:178" ht="11.25" customHeight="1">
      <c r="B83" s="17" t="e">
        <v>#N/A</v>
      </c>
      <c r="C83" s="17" t="e">
        <v>#N/A</v>
      </c>
      <c r="D83" s="17" t="e">
        <v>#N/A</v>
      </c>
      <c r="E83" s="17" t="e">
        <v>#N/A</v>
      </c>
      <c r="F83" s="17" t="e">
        <v>#N/A</v>
      </c>
      <c r="G83" s="17" t="e">
        <v>#N/A</v>
      </c>
      <c r="H83" s="17" t="e">
        <v>#N/A</v>
      </c>
      <c r="I83" s="17" t="e">
        <v>#N/A</v>
      </c>
      <c r="J83" s="17" t="e">
        <v>#N/A</v>
      </c>
      <c r="K83" s="17" t="e">
        <v>#N/A</v>
      </c>
      <c r="L83" s="17" t="e">
        <v>#N/A</v>
      </c>
      <c r="M83" s="17" t="e">
        <v>#N/A</v>
      </c>
      <c r="N83" s="17" t="e">
        <v>#N/A</v>
      </c>
      <c r="O83" s="17" t="e">
        <v>#N/A</v>
      </c>
      <c r="P83" s="17" t="e">
        <v>#N/A</v>
      </c>
      <c r="Q83" s="17" t="e">
        <v>#N/A</v>
      </c>
      <c r="R83" s="17" t="e">
        <v>#N/A</v>
      </c>
      <c r="S83" s="17" t="e">
        <v>#N/A</v>
      </c>
      <c r="T83" s="17" t="e">
        <v>#N/A</v>
      </c>
      <c r="U83" s="17" t="e">
        <v>#N/A</v>
      </c>
      <c r="V83" s="17" t="e">
        <v>#N/A</v>
      </c>
      <c r="W83" s="17" t="e">
        <v>#N/A</v>
      </c>
      <c r="X83" s="17" t="e">
        <v>#N/A</v>
      </c>
      <c r="Y83" s="17" t="e">
        <v>#N/A</v>
      </c>
      <c r="Z83" s="17" t="e">
        <v>#N/A</v>
      </c>
      <c r="AA83" s="17" t="e">
        <v>#N/A</v>
      </c>
      <c r="AB83" s="17" t="e">
        <v>#N/A</v>
      </c>
      <c r="AC83" s="17" t="e">
        <v>#N/A</v>
      </c>
      <c r="AD83" s="17" t="e">
        <v>#N/A</v>
      </c>
      <c r="AE83" s="17" t="e">
        <v>#N/A</v>
      </c>
      <c r="AF83" s="17" t="e">
        <v>#N/A</v>
      </c>
      <c r="AG83" s="17" t="e">
        <v>#N/A</v>
      </c>
      <c r="AH83" s="17" t="e">
        <v>#N/A</v>
      </c>
      <c r="AI83" s="17" t="e">
        <v>#N/A</v>
      </c>
      <c r="AJ83" s="17" t="e">
        <v>#N/A</v>
      </c>
      <c r="AK83" s="17" t="e">
        <v>#N/A</v>
      </c>
      <c r="AL83" s="17" t="e">
        <v>#N/A</v>
      </c>
      <c r="AM83" s="17" t="e">
        <v>#N/A</v>
      </c>
      <c r="AN83" s="17" t="e">
        <v>#N/A</v>
      </c>
      <c r="AO83" s="17" t="e">
        <v>#N/A</v>
      </c>
      <c r="AP83" s="17" t="e">
        <v>#N/A</v>
      </c>
      <c r="AQ83" s="17" t="e">
        <v>#N/A</v>
      </c>
      <c r="AR83" s="17" t="e">
        <v>#N/A</v>
      </c>
      <c r="AS83" s="17" t="e">
        <v>#N/A</v>
      </c>
      <c r="AT83" s="17" t="e">
        <v>#N/A</v>
      </c>
      <c r="AU83" s="17" t="e">
        <v>#N/A</v>
      </c>
      <c r="AV83" s="17" t="e">
        <v>#N/A</v>
      </c>
      <c r="AW83" s="17" t="e">
        <v>#N/A</v>
      </c>
      <c r="AX83" s="17" t="e">
        <v>#N/A</v>
      </c>
      <c r="AY83" s="17" t="e">
        <v>#N/A</v>
      </c>
      <c r="AZ83" s="17" t="e">
        <v>#N/A</v>
      </c>
      <c r="BA83" s="17" t="e">
        <v>#N/A</v>
      </c>
      <c r="BB83" s="17" t="e">
        <v>#N/A</v>
      </c>
      <c r="BC83" s="17" t="e">
        <v>#N/A</v>
      </c>
      <c r="BD83" s="17" t="e">
        <v>#N/A</v>
      </c>
      <c r="BE83" s="17" t="e">
        <v>#N/A</v>
      </c>
      <c r="BF83" s="17" t="e">
        <v>#N/A</v>
      </c>
      <c r="BG83" s="17" t="e">
        <v>#N/A</v>
      </c>
      <c r="BH83" s="17" t="e">
        <v>#N/A</v>
      </c>
      <c r="BI83" s="17" t="e">
        <v>#N/A</v>
      </c>
      <c r="BJ83" s="17" t="e">
        <v>#N/A</v>
      </c>
      <c r="BK83" s="17" t="e">
        <v>#N/A</v>
      </c>
      <c r="BL83" s="17" t="e">
        <v>#N/A</v>
      </c>
      <c r="BM83" s="17" t="e">
        <v>#N/A</v>
      </c>
      <c r="BN83" s="17" t="e">
        <v>#N/A</v>
      </c>
      <c r="BO83" s="17" t="e">
        <v>#N/A</v>
      </c>
      <c r="BP83" s="17" t="e">
        <v>#N/A</v>
      </c>
      <c r="BQ83" s="17" t="e">
        <v>#N/A</v>
      </c>
      <c r="BR83" s="17" t="e">
        <v>#N/A</v>
      </c>
      <c r="BS83" s="17" t="e">
        <v>#N/A</v>
      </c>
      <c r="BT83" s="17" t="e">
        <v>#N/A</v>
      </c>
      <c r="BU83" s="17" t="e">
        <v>#N/A</v>
      </c>
      <c r="BV83" s="17" t="e">
        <v>#N/A</v>
      </c>
      <c r="BW83" s="17" t="e">
        <v>#N/A</v>
      </c>
      <c r="BX83" s="17" t="e">
        <v>#N/A</v>
      </c>
      <c r="BY83" s="17" t="e">
        <v>#N/A</v>
      </c>
      <c r="BZ83" s="17" t="e">
        <v>#N/A</v>
      </c>
      <c r="CA83" s="17" t="e">
        <v>#N/A</v>
      </c>
      <c r="CB83" s="17" t="e">
        <v>#N/A</v>
      </c>
      <c r="CC83" s="17" t="e">
        <v>#N/A</v>
      </c>
      <c r="CD83" s="17" t="e">
        <v>#N/A</v>
      </c>
      <c r="CE83" s="17" t="e">
        <v>#N/A</v>
      </c>
      <c r="CF83" s="17" t="e">
        <v>#N/A</v>
      </c>
      <c r="CG83" s="17" t="e">
        <v>#N/A</v>
      </c>
      <c r="CH83" s="17" t="e">
        <v>#N/A</v>
      </c>
      <c r="CI83" s="17" t="e">
        <v>#N/A</v>
      </c>
      <c r="CJ83" s="17" t="e">
        <v>#N/A</v>
      </c>
      <c r="CK83" s="17" t="e">
        <v>#N/A</v>
      </c>
      <c r="CL83" s="17" t="e">
        <v>#N/A</v>
      </c>
      <c r="CM83" s="17" t="e">
        <v>#N/A</v>
      </c>
      <c r="CN83" s="17" t="e">
        <v>#N/A</v>
      </c>
      <c r="CO83" s="17" t="e">
        <v>#N/A</v>
      </c>
      <c r="CP83" s="17" t="e">
        <v>#N/A</v>
      </c>
      <c r="CQ83" s="17" t="e">
        <v>#N/A</v>
      </c>
      <c r="CR83" s="17" t="e">
        <v>#N/A</v>
      </c>
      <c r="CS83" s="17" t="e">
        <v>#N/A</v>
      </c>
      <c r="CT83" s="17" t="e">
        <v>#N/A</v>
      </c>
      <c r="CU83" s="17" t="e">
        <v>#N/A</v>
      </c>
      <c r="CV83" s="17" t="e">
        <v>#N/A</v>
      </c>
      <c r="CW83" s="17" t="e">
        <v>#N/A</v>
      </c>
      <c r="CX83" s="17" t="e">
        <v>#N/A</v>
      </c>
      <c r="CY83" s="17" t="e">
        <v>#N/A</v>
      </c>
      <c r="CZ83" s="17" t="e">
        <v>#N/A</v>
      </c>
      <c r="DA83" s="17" t="e">
        <v>#N/A</v>
      </c>
      <c r="DB83" s="17" t="e">
        <v>#N/A</v>
      </c>
      <c r="DC83" s="17" t="e">
        <v>#N/A</v>
      </c>
      <c r="DD83" s="17" t="e">
        <v>#N/A</v>
      </c>
      <c r="DE83" s="17" t="e">
        <v>#N/A</v>
      </c>
      <c r="DF83" s="17" t="e">
        <v>#N/A</v>
      </c>
      <c r="DG83" s="17" t="e">
        <v>#N/A</v>
      </c>
      <c r="DH83" s="17" t="e">
        <v>#N/A</v>
      </c>
      <c r="DI83" s="17" t="e">
        <v>#N/A</v>
      </c>
      <c r="DJ83" s="17" t="e">
        <v>#N/A</v>
      </c>
      <c r="DK83" s="17" t="e">
        <v>#N/A</v>
      </c>
      <c r="DL83" s="17" t="e">
        <v>#N/A</v>
      </c>
      <c r="DM83" s="17" t="e">
        <v>#N/A</v>
      </c>
      <c r="DN83" s="17" t="e">
        <v>#N/A</v>
      </c>
      <c r="DO83" s="17" t="e">
        <v>#N/A</v>
      </c>
      <c r="DP83" s="17" t="e">
        <v>#N/A</v>
      </c>
      <c r="DQ83" s="17" t="e">
        <v>#N/A</v>
      </c>
      <c r="DR83" s="17" t="e">
        <v>#N/A</v>
      </c>
      <c r="DS83" s="17" t="e">
        <v>#N/A</v>
      </c>
      <c r="DT83" s="17" t="e">
        <v>#N/A</v>
      </c>
      <c r="DU83" s="17" t="e">
        <v>#N/A</v>
      </c>
      <c r="DV83" s="17" t="e">
        <v>#N/A</v>
      </c>
      <c r="DW83" s="17" t="e">
        <v>#N/A</v>
      </c>
      <c r="DX83" s="17" t="e">
        <v>#N/A</v>
      </c>
      <c r="DY83" s="17" t="e">
        <v>#N/A</v>
      </c>
      <c r="DZ83" s="17" t="e">
        <v>#N/A</v>
      </c>
      <c r="EA83" s="17" t="e">
        <v>#N/A</v>
      </c>
      <c r="EB83" s="17" t="e">
        <v>#N/A</v>
      </c>
      <c r="EC83" s="17" t="e">
        <v>#N/A</v>
      </c>
      <c r="ED83" s="17" t="e">
        <v>#N/A</v>
      </c>
      <c r="EE83" s="17" t="e">
        <v>#N/A</v>
      </c>
      <c r="EF83" s="17" t="e">
        <v>#N/A</v>
      </c>
      <c r="EG83" s="17" t="e">
        <v>#N/A</v>
      </c>
      <c r="EH83" s="17" t="e">
        <v>#N/A</v>
      </c>
      <c r="EI83" s="17" t="e">
        <v>#N/A</v>
      </c>
      <c r="EJ83" s="17" t="e">
        <v>#N/A</v>
      </c>
      <c r="EK83" s="17" t="e">
        <v>#N/A</v>
      </c>
      <c r="EL83" s="17" t="e">
        <v>#N/A</v>
      </c>
      <c r="EM83" s="17" t="e">
        <v>#N/A</v>
      </c>
      <c r="EN83" s="17" t="e">
        <v>#N/A</v>
      </c>
      <c r="EO83" s="17" t="e">
        <v>#N/A</v>
      </c>
      <c r="EP83" s="17" t="e">
        <v>#N/A</v>
      </c>
      <c r="EQ83" s="17" t="e">
        <v>#N/A</v>
      </c>
      <c r="ER83" s="17" t="e">
        <v>#N/A</v>
      </c>
      <c r="ES83" s="17" t="e">
        <v>#N/A</v>
      </c>
      <c r="ET83" s="17" t="e">
        <v>#N/A</v>
      </c>
      <c r="EU83" s="17" t="e">
        <v>#N/A</v>
      </c>
      <c r="EV83" s="17" t="e">
        <v>#N/A</v>
      </c>
      <c r="EW83" s="17" t="e">
        <v>#N/A</v>
      </c>
      <c r="EX83" s="17" t="e">
        <v>#N/A</v>
      </c>
      <c r="EY83" s="17" t="e">
        <v>#N/A</v>
      </c>
      <c r="EZ83" s="17" t="e">
        <v>#N/A</v>
      </c>
      <c r="FA83" s="17" t="e">
        <v>#N/A</v>
      </c>
      <c r="FB83" s="17" t="e">
        <v>#N/A</v>
      </c>
      <c r="FC83" s="17" t="e">
        <v>#N/A</v>
      </c>
      <c r="FD83" s="17" t="e">
        <v>#N/A</v>
      </c>
      <c r="FE83" s="17" t="e">
        <v>#N/A</v>
      </c>
      <c r="FF83" s="17" t="e">
        <v>#N/A</v>
      </c>
      <c r="FG83" s="17" t="e">
        <v>#N/A</v>
      </c>
      <c r="FH83" s="17" t="e">
        <v>#N/A</v>
      </c>
      <c r="FI83" s="17" t="e">
        <v>#N/A</v>
      </c>
      <c r="FJ83" s="17" t="e">
        <v>#N/A</v>
      </c>
      <c r="FK83" s="17" t="e">
        <v>#N/A</v>
      </c>
      <c r="FL83" s="17" t="e">
        <v>#N/A</v>
      </c>
      <c r="FM83" s="17" t="e">
        <v>#N/A</v>
      </c>
      <c r="FN83" s="17" t="e">
        <v>#N/A</v>
      </c>
      <c r="FO83" s="17" t="e">
        <v>#N/A</v>
      </c>
      <c r="FP83" s="17" t="e">
        <v>#N/A</v>
      </c>
      <c r="FQ83" s="17" t="e">
        <v>#N/A</v>
      </c>
      <c r="FR83" s="17" t="e">
        <v>#N/A</v>
      </c>
      <c r="FS83" s="17" t="e">
        <v>#N/A</v>
      </c>
      <c r="FT83" s="17" t="e">
        <v>#N/A</v>
      </c>
      <c r="FU83" s="17" t="e">
        <v>#N/A</v>
      </c>
      <c r="FV83" s="17" t="e">
        <v>#N/A</v>
      </c>
    </row>
    <row r="84" spans="2:178" ht="11.25" customHeight="1">
      <c r="B84" s="17" t="e">
        <v>#N/A</v>
      </c>
      <c r="C84" s="17" t="e">
        <v>#N/A</v>
      </c>
      <c r="D84" s="17" t="e">
        <v>#N/A</v>
      </c>
      <c r="E84" s="17" t="e">
        <v>#N/A</v>
      </c>
      <c r="F84" s="17" t="e">
        <v>#N/A</v>
      </c>
      <c r="G84" s="17" t="e">
        <v>#N/A</v>
      </c>
      <c r="H84" s="17" t="e">
        <v>#N/A</v>
      </c>
      <c r="I84" s="17" t="e">
        <v>#N/A</v>
      </c>
      <c r="J84" s="17" t="e">
        <v>#N/A</v>
      </c>
      <c r="K84" s="17" t="e">
        <v>#N/A</v>
      </c>
      <c r="L84" s="17" t="e">
        <v>#N/A</v>
      </c>
      <c r="M84" s="17" t="e">
        <v>#N/A</v>
      </c>
      <c r="N84" s="17" t="e">
        <v>#N/A</v>
      </c>
      <c r="O84" s="17" t="e">
        <v>#N/A</v>
      </c>
      <c r="P84" s="17" t="e">
        <v>#N/A</v>
      </c>
      <c r="Q84" s="17" t="e">
        <v>#N/A</v>
      </c>
      <c r="R84" s="17" t="e">
        <v>#N/A</v>
      </c>
      <c r="S84" s="17" t="e">
        <v>#N/A</v>
      </c>
      <c r="T84" s="17" t="e">
        <v>#N/A</v>
      </c>
      <c r="U84" s="17" t="e">
        <v>#N/A</v>
      </c>
      <c r="V84" s="17" t="e">
        <v>#N/A</v>
      </c>
      <c r="W84" s="17" t="e">
        <v>#N/A</v>
      </c>
      <c r="X84" s="17" t="e">
        <v>#N/A</v>
      </c>
      <c r="Y84" s="17" t="e">
        <v>#N/A</v>
      </c>
      <c r="Z84" s="17" t="e">
        <v>#N/A</v>
      </c>
      <c r="AA84" s="17" t="e">
        <v>#N/A</v>
      </c>
      <c r="AB84" s="17" t="e">
        <v>#N/A</v>
      </c>
      <c r="AC84" s="17" t="e">
        <v>#N/A</v>
      </c>
      <c r="AD84" s="17" t="e">
        <v>#N/A</v>
      </c>
      <c r="AE84" s="17" t="e">
        <v>#N/A</v>
      </c>
      <c r="AF84" s="17" t="e">
        <v>#N/A</v>
      </c>
      <c r="AG84" s="17" t="e">
        <v>#N/A</v>
      </c>
      <c r="AH84" s="17" t="e">
        <v>#N/A</v>
      </c>
      <c r="AI84" s="17" t="e">
        <v>#N/A</v>
      </c>
      <c r="AJ84" s="17" t="e">
        <v>#N/A</v>
      </c>
      <c r="AK84" s="17" t="e">
        <v>#N/A</v>
      </c>
      <c r="AL84" s="17" t="e">
        <v>#N/A</v>
      </c>
      <c r="AM84" s="17" t="e">
        <v>#N/A</v>
      </c>
      <c r="AN84" s="17" t="e">
        <v>#N/A</v>
      </c>
      <c r="AO84" s="17" t="e">
        <v>#N/A</v>
      </c>
      <c r="AP84" s="17" t="e">
        <v>#N/A</v>
      </c>
      <c r="AQ84" s="17" t="e">
        <v>#N/A</v>
      </c>
      <c r="AR84" s="17" t="e">
        <v>#N/A</v>
      </c>
      <c r="AS84" s="17" t="e">
        <v>#N/A</v>
      </c>
      <c r="AT84" s="17" t="e">
        <v>#N/A</v>
      </c>
      <c r="AU84" s="17" t="e">
        <v>#N/A</v>
      </c>
      <c r="AV84" s="17" t="e">
        <v>#N/A</v>
      </c>
      <c r="AW84" s="17" t="e">
        <v>#N/A</v>
      </c>
      <c r="AX84" s="17" t="e">
        <v>#N/A</v>
      </c>
      <c r="AY84" s="17" t="e">
        <v>#N/A</v>
      </c>
      <c r="AZ84" s="17" t="e">
        <v>#N/A</v>
      </c>
      <c r="BA84" s="17" t="e">
        <v>#N/A</v>
      </c>
      <c r="BB84" s="17" t="e">
        <v>#N/A</v>
      </c>
      <c r="BC84" s="17" t="e">
        <v>#N/A</v>
      </c>
      <c r="BD84" s="17" t="e">
        <v>#N/A</v>
      </c>
      <c r="BE84" s="17" t="e">
        <v>#N/A</v>
      </c>
      <c r="BF84" s="17" t="e">
        <v>#N/A</v>
      </c>
      <c r="BG84" s="17" t="e">
        <v>#N/A</v>
      </c>
      <c r="BH84" s="17" t="e">
        <v>#N/A</v>
      </c>
      <c r="BI84" s="17" t="e">
        <v>#N/A</v>
      </c>
      <c r="BJ84" s="17" t="e">
        <v>#N/A</v>
      </c>
      <c r="BK84" s="17" t="e">
        <v>#N/A</v>
      </c>
      <c r="BL84" s="17" t="e">
        <v>#N/A</v>
      </c>
      <c r="BM84" s="17" t="e">
        <v>#N/A</v>
      </c>
      <c r="BN84" s="17" t="e">
        <v>#N/A</v>
      </c>
      <c r="BO84" s="17" t="e">
        <v>#N/A</v>
      </c>
      <c r="BP84" s="17" t="e">
        <v>#N/A</v>
      </c>
      <c r="BQ84" s="17" t="e">
        <v>#N/A</v>
      </c>
      <c r="BR84" s="17" t="e">
        <v>#N/A</v>
      </c>
      <c r="BS84" s="17" t="e">
        <v>#N/A</v>
      </c>
      <c r="BT84" s="17" t="e">
        <v>#N/A</v>
      </c>
      <c r="BU84" s="17" t="e">
        <v>#N/A</v>
      </c>
      <c r="BV84" s="17" t="e">
        <v>#N/A</v>
      </c>
      <c r="BW84" s="17" t="e">
        <v>#N/A</v>
      </c>
      <c r="BX84" s="17" t="e">
        <v>#N/A</v>
      </c>
      <c r="BY84" s="17" t="e">
        <v>#N/A</v>
      </c>
      <c r="BZ84" s="17" t="e">
        <v>#N/A</v>
      </c>
      <c r="CA84" s="17" t="e">
        <v>#N/A</v>
      </c>
      <c r="CB84" s="17" t="e">
        <v>#N/A</v>
      </c>
      <c r="CC84" s="17" t="e">
        <v>#N/A</v>
      </c>
      <c r="CD84" s="17" t="e">
        <v>#N/A</v>
      </c>
      <c r="CE84" s="17" t="e">
        <v>#N/A</v>
      </c>
      <c r="CF84" s="17" t="e">
        <v>#N/A</v>
      </c>
      <c r="CG84" s="17" t="e">
        <v>#N/A</v>
      </c>
      <c r="CH84" s="17" t="e">
        <v>#N/A</v>
      </c>
      <c r="CI84" s="17" t="e">
        <v>#N/A</v>
      </c>
      <c r="CJ84" s="17" t="e">
        <v>#N/A</v>
      </c>
      <c r="CK84" s="17" t="e">
        <v>#N/A</v>
      </c>
      <c r="CL84" s="17" t="e">
        <v>#N/A</v>
      </c>
      <c r="CM84" s="17" t="e">
        <v>#N/A</v>
      </c>
      <c r="CN84" s="17" t="e">
        <v>#N/A</v>
      </c>
      <c r="CO84" s="17" t="e">
        <v>#N/A</v>
      </c>
      <c r="CP84" s="17" t="e">
        <v>#N/A</v>
      </c>
      <c r="CQ84" s="17" t="e">
        <v>#N/A</v>
      </c>
      <c r="CR84" s="17" t="e">
        <v>#N/A</v>
      </c>
      <c r="CS84" s="17" t="e">
        <v>#N/A</v>
      </c>
      <c r="CT84" s="17" t="e">
        <v>#N/A</v>
      </c>
      <c r="CU84" s="17" t="e">
        <v>#N/A</v>
      </c>
      <c r="CV84" s="17" t="e">
        <v>#N/A</v>
      </c>
      <c r="CW84" s="17" t="e">
        <v>#N/A</v>
      </c>
      <c r="CX84" s="17" t="e">
        <v>#N/A</v>
      </c>
      <c r="CY84" s="17" t="e">
        <v>#N/A</v>
      </c>
      <c r="CZ84" s="17" t="e">
        <v>#N/A</v>
      </c>
      <c r="DA84" s="17" t="e">
        <v>#N/A</v>
      </c>
      <c r="DB84" s="17" t="e">
        <v>#N/A</v>
      </c>
      <c r="DC84" s="17" t="e">
        <v>#N/A</v>
      </c>
      <c r="DD84" s="17" t="e">
        <v>#N/A</v>
      </c>
      <c r="DE84" s="17" t="e">
        <v>#N/A</v>
      </c>
      <c r="DF84" s="17" t="e">
        <v>#N/A</v>
      </c>
      <c r="DG84" s="17" t="e">
        <v>#N/A</v>
      </c>
      <c r="DH84" s="17" t="e">
        <v>#N/A</v>
      </c>
      <c r="DI84" s="17" t="e">
        <v>#N/A</v>
      </c>
      <c r="DJ84" s="17" t="e">
        <v>#N/A</v>
      </c>
      <c r="DK84" s="17" t="e">
        <v>#N/A</v>
      </c>
      <c r="DL84" s="17" t="e">
        <v>#N/A</v>
      </c>
      <c r="DM84" s="17" t="e">
        <v>#N/A</v>
      </c>
      <c r="DN84" s="17" t="e">
        <v>#N/A</v>
      </c>
      <c r="DO84" s="17" t="e">
        <v>#N/A</v>
      </c>
      <c r="DP84" s="17" t="e">
        <v>#N/A</v>
      </c>
      <c r="DQ84" s="17" t="e">
        <v>#N/A</v>
      </c>
      <c r="DR84" s="17" t="e">
        <v>#N/A</v>
      </c>
      <c r="DS84" s="17" t="e">
        <v>#N/A</v>
      </c>
      <c r="DT84" s="17" t="e">
        <v>#N/A</v>
      </c>
      <c r="DU84" s="17" t="e">
        <v>#N/A</v>
      </c>
      <c r="DV84" s="17" t="e">
        <v>#N/A</v>
      </c>
      <c r="DW84" s="17" t="e">
        <v>#N/A</v>
      </c>
      <c r="DX84" s="17" t="e">
        <v>#N/A</v>
      </c>
      <c r="DY84" s="17" t="e">
        <v>#N/A</v>
      </c>
      <c r="DZ84" s="17" t="e">
        <v>#N/A</v>
      </c>
      <c r="EA84" s="17" t="e">
        <v>#N/A</v>
      </c>
      <c r="EB84" s="17" t="e">
        <v>#N/A</v>
      </c>
      <c r="EC84" s="17" t="e">
        <v>#N/A</v>
      </c>
      <c r="ED84" s="17" t="e">
        <v>#N/A</v>
      </c>
      <c r="EE84" s="17" t="e">
        <v>#N/A</v>
      </c>
      <c r="EF84" s="17" t="e">
        <v>#N/A</v>
      </c>
      <c r="EG84" s="17" t="e">
        <v>#N/A</v>
      </c>
      <c r="EH84" s="17" t="e">
        <v>#N/A</v>
      </c>
      <c r="EI84" s="17" t="e">
        <v>#N/A</v>
      </c>
      <c r="EJ84" s="17" t="e">
        <v>#N/A</v>
      </c>
      <c r="EK84" s="17" t="e">
        <v>#N/A</v>
      </c>
      <c r="EL84" s="17" t="e">
        <v>#N/A</v>
      </c>
      <c r="EM84" s="17" t="e">
        <v>#N/A</v>
      </c>
      <c r="EN84" s="17" t="e">
        <v>#N/A</v>
      </c>
      <c r="EO84" s="17" t="e">
        <v>#N/A</v>
      </c>
      <c r="EP84" s="17" t="e">
        <v>#N/A</v>
      </c>
      <c r="EQ84" s="17" t="e">
        <v>#N/A</v>
      </c>
      <c r="ER84" s="17" t="e">
        <v>#N/A</v>
      </c>
      <c r="ES84" s="17" t="e">
        <v>#N/A</v>
      </c>
      <c r="ET84" s="17" t="e">
        <v>#N/A</v>
      </c>
      <c r="EU84" s="17" t="e">
        <v>#N/A</v>
      </c>
      <c r="EV84" s="17" t="e">
        <v>#N/A</v>
      </c>
      <c r="EW84" s="17" t="e">
        <v>#N/A</v>
      </c>
      <c r="EX84" s="17" t="e">
        <v>#N/A</v>
      </c>
      <c r="EY84" s="17" t="e">
        <v>#N/A</v>
      </c>
      <c r="EZ84" s="17" t="e">
        <v>#N/A</v>
      </c>
      <c r="FA84" s="17" t="e">
        <v>#N/A</v>
      </c>
      <c r="FB84" s="17" t="e">
        <v>#N/A</v>
      </c>
      <c r="FC84" s="17" t="e">
        <v>#N/A</v>
      </c>
      <c r="FD84" s="17" t="e">
        <v>#N/A</v>
      </c>
      <c r="FE84" s="17" t="e">
        <v>#N/A</v>
      </c>
      <c r="FF84" s="17" t="e">
        <v>#N/A</v>
      </c>
      <c r="FG84" s="17" t="e">
        <v>#N/A</v>
      </c>
      <c r="FH84" s="17" t="e">
        <v>#N/A</v>
      </c>
      <c r="FI84" s="17" t="e">
        <v>#N/A</v>
      </c>
      <c r="FJ84" s="17" t="e">
        <v>#N/A</v>
      </c>
      <c r="FK84" s="17" t="e">
        <v>#N/A</v>
      </c>
      <c r="FL84" s="17" t="e">
        <v>#N/A</v>
      </c>
      <c r="FM84" s="17" t="e">
        <v>#N/A</v>
      </c>
      <c r="FN84" s="17" t="e">
        <v>#N/A</v>
      </c>
      <c r="FO84" s="17" t="e">
        <v>#N/A</v>
      </c>
      <c r="FP84" s="17" t="e">
        <v>#N/A</v>
      </c>
      <c r="FQ84" s="17" t="e">
        <v>#N/A</v>
      </c>
      <c r="FR84" s="17" t="e">
        <v>#N/A</v>
      </c>
      <c r="FS84" s="17" t="e">
        <v>#N/A</v>
      </c>
      <c r="FT84" s="17" t="e">
        <v>#N/A</v>
      </c>
      <c r="FU84" s="17" t="e">
        <v>#N/A</v>
      </c>
      <c r="FV84" s="17" t="e">
        <v>#N/A</v>
      </c>
    </row>
    <row r="85" spans="2:178" ht="11.25" customHeight="1">
      <c r="B85" s="17" t="e">
        <v>#N/A</v>
      </c>
      <c r="C85" s="17" t="e">
        <v>#N/A</v>
      </c>
      <c r="D85" s="17" t="e">
        <v>#N/A</v>
      </c>
      <c r="E85" s="17" t="e">
        <v>#N/A</v>
      </c>
      <c r="F85" s="17" t="e">
        <v>#N/A</v>
      </c>
      <c r="G85" s="17" t="e">
        <v>#N/A</v>
      </c>
      <c r="H85" s="17" t="e">
        <v>#N/A</v>
      </c>
      <c r="I85" s="17" t="e">
        <v>#N/A</v>
      </c>
      <c r="J85" s="17" t="e">
        <v>#N/A</v>
      </c>
      <c r="K85" s="17" t="e">
        <v>#N/A</v>
      </c>
      <c r="L85" s="17" t="e">
        <v>#N/A</v>
      </c>
      <c r="M85" s="17" t="e">
        <v>#N/A</v>
      </c>
      <c r="N85" s="17" t="e">
        <v>#N/A</v>
      </c>
      <c r="O85" s="17" t="e">
        <v>#N/A</v>
      </c>
      <c r="P85" s="17" t="e">
        <v>#N/A</v>
      </c>
      <c r="Q85" s="17" t="e">
        <v>#N/A</v>
      </c>
      <c r="R85" s="17" t="e">
        <v>#N/A</v>
      </c>
      <c r="S85" s="17" t="e">
        <v>#N/A</v>
      </c>
      <c r="T85" s="17" t="e">
        <v>#N/A</v>
      </c>
      <c r="U85" s="17" t="e">
        <v>#N/A</v>
      </c>
      <c r="V85" s="17" t="e">
        <v>#N/A</v>
      </c>
      <c r="W85" s="17" t="e">
        <v>#N/A</v>
      </c>
      <c r="X85" s="17" t="e">
        <v>#N/A</v>
      </c>
      <c r="Y85" s="17" t="e">
        <v>#N/A</v>
      </c>
      <c r="Z85" s="17" t="e">
        <v>#N/A</v>
      </c>
      <c r="AA85" s="17" t="e">
        <v>#N/A</v>
      </c>
      <c r="AB85" s="17" t="e">
        <v>#N/A</v>
      </c>
      <c r="AC85" s="17" t="e">
        <v>#N/A</v>
      </c>
      <c r="AD85" s="17" t="e">
        <v>#N/A</v>
      </c>
      <c r="AE85" s="17" t="e">
        <v>#N/A</v>
      </c>
      <c r="AF85" s="17" t="e">
        <v>#N/A</v>
      </c>
      <c r="AG85" s="17" t="e">
        <v>#N/A</v>
      </c>
      <c r="AH85" s="17" t="e">
        <v>#N/A</v>
      </c>
      <c r="AI85" s="17" t="e">
        <v>#N/A</v>
      </c>
      <c r="AJ85" s="17" t="e">
        <v>#N/A</v>
      </c>
      <c r="AK85" s="17" t="e">
        <v>#N/A</v>
      </c>
      <c r="AL85" s="17" t="e">
        <v>#N/A</v>
      </c>
      <c r="AM85" s="17" t="e">
        <v>#N/A</v>
      </c>
      <c r="AN85" s="17" t="e">
        <v>#N/A</v>
      </c>
      <c r="AO85" s="17" t="e">
        <v>#N/A</v>
      </c>
      <c r="AP85" s="17" t="e">
        <v>#N/A</v>
      </c>
      <c r="AQ85" s="17" t="e">
        <v>#N/A</v>
      </c>
      <c r="AR85" s="17" t="e">
        <v>#N/A</v>
      </c>
      <c r="AS85" s="17" t="e">
        <v>#N/A</v>
      </c>
      <c r="AT85" s="17" t="e">
        <v>#N/A</v>
      </c>
      <c r="AU85" s="17" t="e">
        <v>#N/A</v>
      </c>
      <c r="AV85" s="17" t="e">
        <v>#N/A</v>
      </c>
      <c r="AW85" s="17" t="e">
        <v>#N/A</v>
      </c>
      <c r="AX85" s="17" t="e">
        <v>#N/A</v>
      </c>
      <c r="AY85" s="17" t="e">
        <v>#N/A</v>
      </c>
      <c r="AZ85" s="17" t="e">
        <v>#N/A</v>
      </c>
      <c r="BA85" s="17" t="e">
        <v>#N/A</v>
      </c>
      <c r="BB85" s="17" t="e">
        <v>#N/A</v>
      </c>
      <c r="BC85" s="17" t="e">
        <v>#N/A</v>
      </c>
      <c r="BD85" s="17" t="e">
        <v>#N/A</v>
      </c>
      <c r="BE85" s="17" t="e">
        <v>#N/A</v>
      </c>
      <c r="BF85" s="17" t="e">
        <v>#N/A</v>
      </c>
      <c r="BG85" s="17" t="e">
        <v>#N/A</v>
      </c>
      <c r="BH85" s="17" t="e">
        <v>#N/A</v>
      </c>
      <c r="BI85" s="17" t="e">
        <v>#N/A</v>
      </c>
      <c r="BJ85" s="17" t="e">
        <v>#N/A</v>
      </c>
      <c r="BK85" s="17" t="e">
        <v>#N/A</v>
      </c>
      <c r="BL85" s="17" t="e">
        <v>#N/A</v>
      </c>
      <c r="BM85" s="17" t="e">
        <v>#N/A</v>
      </c>
      <c r="BN85" s="17" t="e">
        <v>#N/A</v>
      </c>
      <c r="BO85" s="17" t="e">
        <v>#N/A</v>
      </c>
      <c r="BP85" s="17" t="e">
        <v>#N/A</v>
      </c>
      <c r="BQ85" s="17" t="e">
        <v>#N/A</v>
      </c>
      <c r="BR85" s="17" t="e">
        <v>#N/A</v>
      </c>
      <c r="BS85" s="17" t="e">
        <v>#N/A</v>
      </c>
      <c r="BT85" s="17" t="e">
        <v>#N/A</v>
      </c>
      <c r="BU85" s="17" t="e">
        <v>#N/A</v>
      </c>
      <c r="BV85" s="17" t="e">
        <v>#N/A</v>
      </c>
      <c r="BW85" s="17" t="e">
        <v>#N/A</v>
      </c>
      <c r="BX85" s="17" t="e">
        <v>#N/A</v>
      </c>
      <c r="BY85" s="17" t="e">
        <v>#N/A</v>
      </c>
      <c r="BZ85" s="17" t="e">
        <v>#N/A</v>
      </c>
      <c r="CA85" s="17" t="e">
        <v>#N/A</v>
      </c>
      <c r="CB85" s="17" t="e">
        <v>#N/A</v>
      </c>
      <c r="CC85" s="17" t="e">
        <v>#N/A</v>
      </c>
      <c r="CD85" s="17" t="e">
        <v>#N/A</v>
      </c>
      <c r="CE85" s="17" t="e">
        <v>#N/A</v>
      </c>
      <c r="CF85" s="17" t="e">
        <v>#N/A</v>
      </c>
      <c r="CG85" s="17" t="e">
        <v>#N/A</v>
      </c>
      <c r="CH85" s="17" t="e">
        <v>#N/A</v>
      </c>
      <c r="CI85" s="17" t="e">
        <v>#N/A</v>
      </c>
      <c r="CJ85" s="17" t="e">
        <v>#N/A</v>
      </c>
      <c r="CK85" s="17" t="e">
        <v>#N/A</v>
      </c>
      <c r="CL85" s="17" t="e">
        <v>#N/A</v>
      </c>
      <c r="CM85" s="17" t="e">
        <v>#N/A</v>
      </c>
      <c r="CN85" s="17" t="e">
        <v>#N/A</v>
      </c>
      <c r="CO85" s="17" t="e">
        <v>#N/A</v>
      </c>
      <c r="CP85" s="17" t="e">
        <v>#N/A</v>
      </c>
      <c r="CQ85" s="17" t="e">
        <v>#N/A</v>
      </c>
      <c r="CR85" s="17" t="e">
        <v>#N/A</v>
      </c>
      <c r="CS85" s="17" t="e">
        <v>#N/A</v>
      </c>
      <c r="CT85" s="17" t="e">
        <v>#N/A</v>
      </c>
      <c r="CU85" s="17" t="e">
        <v>#N/A</v>
      </c>
      <c r="CV85" s="17" t="e">
        <v>#N/A</v>
      </c>
      <c r="CW85" s="17" t="e">
        <v>#N/A</v>
      </c>
      <c r="CX85" s="17" t="e">
        <v>#N/A</v>
      </c>
      <c r="CY85" s="17" t="e">
        <v>#N/A</v>
      </c>
      <c r="CZ85" s="17" t="e">
        <v>#N/A</v>
      </c>
      <c r="DA85" s="17" t="e">
        <v>#N/A</v>
      </c>
      <c r="DB85" s="17" t="e">
        <v>#N/A</v>
      </c>
      <c r="DC85" s="17" t="e">
        <v>#N/A</v>
      </c>
      <c r="DD85" s="17" t="e">
        <v>#N/A</v>
      </c>
      <c r="DE85" s="17" t="e">
        <v>#N/A</v>
      </c>
      <c r="DF85" s="17" t="e">
        <v>#N/A</v>
      </c>
      <c r="DG85" s="17" t="e">
        <v>#N/A</v>
      </c>
      <c r="DH85" s="17" t="e">
        <v>#N/A</v>
      </c>
      <c r="DI85" s="17" t="e">
        <v>#N/A</v>
      </c>
      <c r="DJ85" s="17" t="e">
        <v>#N/A</v>
      </c>
      <c r="DK85" s="17" t="e">
        <v>#N/A</v>
      </c>
      <c r="DL85" s="17" t="e">
        <v>#N/A</v>
      </c>
      <c r="DM85" s="17" t="e">
        <v>#N/A</v>
      </c>
      <c r="DN85" s="17" t="e">
        <v>#N/A</v>
      </c>
      <c r="DO85" s="17" t="e">
        <v>#N/A</v>
      </c>
      <c r="DP85" s="17" t="e">
        <v>#N/A</v>
      </c>
      <c r="DQ85" s="17" t="e">
        <v>#N/A</v>
      </c>
      <c r="DR85" s="17" t="e">
        <v>#N/A</v>
      </c>
      <c r="DS85" s="17" t="e">
        <v>#N/A</v>
      </c>
      <c r="DT85" s="17" t="e">
        <v>#N/A</v>
      </c>
      <c r="DU85" s="17" t="e">
        <v>#N/A</v>
      </c>
      <c r="DV85" s="17" t="e">
        <v>#N/A</v>
      </c>
      <c r="DW85" s="17" t="e">
        <v>#N/A</v>
      </c>
      <c r="DX85" s="17" t="e">
        <v>#N/A</v>
      </c>
      <c r="DY85" s="17" t="e">
        <v>#N/A</v>
      </c>
      <c r="DZ85" s="17" t="e">
        <v>#N/A</v>
      </c>
      <c r="EA85" s="17" t="e">
        <v>#N/A</v>
      </c>
      <c r="EB85" s="17" t="e">
        <v>#N/A</v>
      </c>
      <c r="EC85" s="17" t="e">
        <v>#N/A</v>
      </c>
      <c r="ED85" s="17" t="e">
        <v>#N/A</v>
      </c>
      <c r="EE85" s="17" t="e">
        <v>#N/A</v>
      </c>
      <c r="EF85" s="17" t="e">
        <v>#N/A</v>
      </c>
      <c r="EG85" s="17" t="e">
        <v>#N/A</v>
      </c>
      <c r="EH85" s="17" t="e">
        <v>#N/A</v>
      </c>
      <c r="EI85" s="17" t="e">
        <v>#N/A</v>
      </c>
      <c r="EJ85" s="17" t="e">
        <v>#N/A</v>
      </c>
      <c r="EK85" s="17" t="e">
        <v>#N/A</v>
      </c>
      <c r="EL85" s="17" t="e">
        <v>#N/A</v>
      </c>
      <c r="EM85" s="17" t="e">
        <v>#N/A</v>
      </c>
      <c r="EN85" s="17" t="e">
        <v>#N/A</v>
      </c>
      <c r="EO85" s="17" t="e">
        <v>#N/A</v>
      </c>
      <c r="EP85" s="17" t="e">
        <v>#N/A</v>
      </c>
      <c r="EQ85" s="17" t="e">
        <v>#N/A</v>
      </c>
      <c r="ER85" s="17" t="e">
        <v>#N/A</v>
      </c>
      <c r="ES85" s="17" t="e">
        <v>#N/A</v>
      </c>
      <c r="ET85" s="17" t="e">
        <v>#N/A</v>
      </c>
      <c r="EU85" s="17" t="e">
        <v>#N/A</v>
      </c>
      <c r="EV85" s="17" t="e">
        <v>#N/A</v>
      </c>
      <c r="EW85" s="17" t="e">
        <v>#N/A</v>
      </c>
      <c r="EX85" s="17" t="e">
        <v>#N/A</v>
      </c>
      <c r="EY85" s="17" t="e">
        <v>#N/A</v>
      </c>
      <c r="EZ85" s="17" t="e">
        <v>#N/A</v>
      </c>
      <c r="FA85" s="17" t="e">
        <v>#N/A</v>
      </c>
      <c r="FB85" s="17" t="e">
        <v>#N/A</v>
      </c>
      <c r="FC85" s="17" t="e">
        <v>#N/A</v>
      </c>
      <c r="FD85" s="17" t="e">
        <v>#N/A</v>
      </c>
      <c r="FE85" s="17" t="e">
        <v>#N/A</v>
      </c>
      <c r="FF85" s="17" t="e">
        <v>#N/A</v>
      </c>
      <c r="FG85" s="17" t="e">
        <v>#N/A</v>
      </c>
      <c r="FH85" s="17" t="e">
        <v>#N/A</v>
      </c>
      <c r="FI85" s="17" t="e">
        <v>#N/A</v>
      </c>
      <c r="FJ85" s="17" t="e">
        <v>#N/A</v>
      </c>
      <c r="FK85" s="17" t="e">
        <v>#N/A</v>
      </c>
      <c r="FL85" s="17" t="e">
        <v>#N/A</v>
      </c>
      <c r="FM85" s="17" t="e">
        <v>#N/A</v>
      </c>
      <c r="FN85" s="17" t="e">
        <v>#N/A</v>
      </c>
      <c r="FO85" s="17" t="e">
        <v>#N/A</v>
      </c>
      <c r="FP85" s="17" t="e">
        <v>#N/A</v>
      </c>
      <c r="FQ85" s="17" t="e">
        <v>#N/A</v>
      </c>
      <c r="FR85" s="17" t="e">
        <v>#N/A</v>
      </c>
      <c r="FS85" s="17" t="e">
        <v>#N/A</v>
      </c>
      <c r="FT85" s="17" t="e">
        <v>#N/A</v>
      </c>
      <c r="FU85" s="17" t="e">
        <v>#N/A</v>
      </c>
      <c r="FV85" s="17" t="e">
        <v>#N/A</v>
      </c>
    </row>
    <row r="86" spans="2:178" ht="11.25" customHeight="1">
      <c r="B86" s="17" t="e">
        <v>#N/A</v>
      </c>
      <c r="C86" s="17" t="e">
        <v>#N/A</v>
      </c>
      <c r="D86" s="17" t="e">
        <v>#N/A</v>
      </c>
      <c r="E86" s="17" t="e">
        <v>#N/A</v>
      </c>
      <c r="F86" s="17" t="e">
        <v>#N/A</v>
      </c>
      <c r="G86" s="17" t="e">
        <v>#N/A</v>
      </c>
      <c r="H86" s="17" t="e">
        <v>#N/A</v>
      </c>
      <c r="I86" s="17" t="e">
        <v>#N/A</v>
      </c>
      <c r="J86" s="17" t="e">
        <v>#N/A</v>
      </c>
      <c r="K86" s="17" t="e">
        <v>#N/A</v>
      </c>
      <c r="L86" s="17" t="e">
        <v>#N/A</v>
      </c>
      <c r="M86" s="17" t="e">
        <v>#N/A</v>
      </c>
      <c r="N86" s="17" t="e">
        <v>#N/A</v>
      </c>
      <c r="O86" s="17" t="e">
        <v>#N/A</v>
      </c>
      <c r="P86" s="17" t="e">
        <v>#N/A</v>
      </c>
      <c r="Q86" s="17" t="e">
        <v>#N/A</v>
      </c>
      <c r="R86" s="17" t="e">
        <v>#N/A</v>
      </c>
      <c r="S86" s="17" t="e">
        <v>#N/A</v>
      </c>
      <c r="T86" s="17" t="e">
        <v>#N/A</v>
      </c>
      <c r="U86" s="17" t="e">
        <v>#N/A</v>
      </c>
      <c r="V86" s="17" t="e">
        <v>#N/A</v>
      </c>
      <c r="W86" s="17" t="e">
        <v>#N/A</v>
      </c>
      <c r="X86" s="17" t="e">
        <v>#N/A</v>
      </c>
      <c r="Y86" s="17" t="e">
        <v>#N/A</v>
      </c>
      <c r="Z86" s="17" t="e">
        <v>#N/A</v>
      </c>
      <c r="AA86" s="17" t="e">
        <v>#N/A</v>
      </c>
      <c r="AB86" s="17" t="e">
        <v>#N/A</v>
      </c>
      <c r="AC86" s="17" t="e">
        <v>#N/A</v>
      </c>
      <c r="AD86" s="17" t="e">
        <v>#N/A</v>
      </c>
      <c r="AE86" s="17" t="e">
        <v>#N/A</v>
      </c>
      <c r="AF86" s="17" t="e">
        <v>#N/A</v>
      </c>
      <c r="AG86" s="17" t="e">
        <v>#N/A</v>
      </c>
      <c r="AH86" s="17" t="e">
        <v>#N/A</v>
      </c>
      <c r="AI86" s="17" t="e">
        <v>#N/A</v>
      </c>
      <c r="AJ86" s="17" t="e">
        <v>#N/A</v>
      </c>
      <c r="AK86" s="17" t="e">
        <v>#N/A</v>
      </c>
      <c r="AL86" s="17" t="e">
        <v>#N/A</v>
      </c>
      <c r="AM86" s="17" t="e">
        <v>#N/A</v>
      </c>
      <c r="AN86" s="17" t="e">
        <v>#N/A</v>
      </c>
      <c r="AO86" s="17" t="e">
        <v>#N/A</v>
      </c>
      <c r="AP86" s="17" t="e">
        <v>#N/A</v>
      </c>
      <c r="AQ86" s="17" t="e">
        <v>#N/A</v>
      </c>
      <c r="AR86" s="17" t="e">
        <v>#N/A</v>
      </c>
      <c r="AS86" s="17" t="e">
        <v>#N/A</v>
      </c>
      <c r="AT86" s="17" t="e">
        <v>#N/A</v>
      </c>
      <c r="AU86" s="17" t="e">
        <v>#N/A</v>
      </c>
      <c r="AV86" s="17" t="e">
        <v>#N/A</v>
      </c>
      <c r="AW86" s="17" t="e">
        <v>#N/A</v>
      </c>
      <c r="AX86" s="17" t="e">
        <v>#N/A</v>
      </c>
      <c r="AY86" s="17" t="e">
        <v>#N/A</v>
      </c>
      <c r="AZ86" s="17" t="e">
        <v>#N/A</v>
      </c>
      <c r="BA86" s="17" t="e">
        <v>#N/A</v>
      </c>
      <c r="BB86" s="17" t="e">
        <v>#N/A</v>
      </c>
      <c r="BC86" s="17" t="e">
        <v>#N/A</v>
      </c>
      <c r="BD86" s="17" t="e">
        <v>#N/A</v>
      </c>
      <c r="BE86" s="17" t="e">
        <v>#N/A</v>
      </c>
      <c r="BF86" s="17" t="e">
        <v>#N/A</v>
      </c>
      <c r="BG86" s="17" t="e">
        <v>#N/A</v>
      </c>
      <c r="BH86" s="17" t="e">
        <v>#N/A</v>
      </c>
      <c r="BI86" s="17" t="e">
        <v>#N/A</v>
      </c>
      <c r="BJ86" s="17" t="e">
        <v>#N/A</v>
      </c>
      <c r="BK86" s="17" t="e">
        <v>#N/A</v>
      </c>
      <c r="BL86" s="17" t="e">
        <v>#N/A</v>
      </c>
      <c r="BM86" s="17" t="e">
        <v>#N/A</v>
      </c>
      <c r="BN86" s="17" t="e">
        <v>#N/A</v>
      </c>
      <c r="BO86" s="17" t="e">
        <v>#N/A</v>
      </c>
      <c r="BP86" s="17" t="e">
        <v>#N/A</v>
      </c>
      <c r="BQ86" s="17" t="e">
        <v>#N/A</v>
      </c>
      <c r="BR86" s="17" t="e">
        <v>#N/A</v>
      </c>
      <c r="BS86" s="17" t="e">
        <v>#N/A</v>
      </c>
      <c r="BT86" s="17" t="e">
        <v>#N/A</v>
      </c>
      <c r="BU86" s="17" t="e">
        <v>#N/A</v>
      </c>
      <c r="BV86" s="17" t="e">
        <v>#N/A</v>
      </c>
      <c r="BW86" s="17" t="e">
        <v>#N/A</v>
      </c>
      <c r="BX86" s="17" t="e">
        <v>#N/A</v>
      </c>
      <c r="BY86" s="17" t="e">
        <v>#N/A</v>
      </c>
      <c r="BZ86" s="17" t="e">
        <v>#N/A</v>
      </c>
      <c r="CA86" s="17" t="e">
        <v>#N/A</v>
      </c>
      <c r="CB86" s="17" t="e">
        <v>#N/A</v>
      </c>
      <c r="CC86" s="17" t="e">
        <v>#N/A</v>
      </c>
      <c r="CD86" s="17" t="e">
        <v>#N/A</v>
      </c>
      <c r="CE86" s="17" t="e">
        <v>#N/A</v>
      </c>
      <c r="CF86" s="17" t="e">
        <v>#N/A</v>
      </c>
      <c r="CG86" s="17" t="e">
        <v>#N/A</v>
      </c>
      <c r="CH86" s="17" t="e">
        <v>#N/A</v>
      </c>
      <c r="CI86" s="17" t="e">
        <v>#N/A</v>
      </c>
      <c r="CJ86" s="17" t="e">
        <v>#N/A</v>
      </c>
      <c r="CK86" s="17" t="e">
        <v>#N/A</v>
      </c>
      <c r="CL86" s="17" t="e">
        <v>#N/A</v>
      </c>
      <c r="CM86" s="17" t="e">
        <v>#N/A</v>
      </c>
      <c r="CN86" s="17" t="e">
        <v>#N/A</v>
      </c>
      <c r="CO86" s="17" t="e">
        <v>#N/A</v>
      </c>
      <c r="CP86" s="17" t="e">
        <v>#N/A</v>
      </c>
      <c r="CQ86" s="17" t="e">
        <v>#N/A</v>
      </c>
      <c r="CR86" s="17" t="e">
        <v>#N/A</v>
      </c>
      <c r="CS86" s="17" t="e">
        <v>#N/A</v>
      </c>
      <c r="CT86" s="17" t="e">
        <v>#N/A</v>
      </c>
      <c r="CU86" s="17" t="e">
        <v>#N/A</v>
      </c>
      <c r="CV86" s="17" t="e">
        <v>#N/A</v>
      </c>
      <c r="CW86" s="17" t="e">
        <v>#N/A</v>
      </c>
      <c r="CX86" s="17" t="e">
        <v>#N/A</v>
      </c>
      <c r="CY86" s="17" t="e">
        <v>#N/A</v>
      </c>
      <c r="CZ86" s="17" t="e">
        <v>#N/A</v>
      </c>
      <c r="DA86" s="17" t="e">
        <v>#N/A</v>
      </c>
      <c r="DB86" s="17" t="e">
        <v>#N/A</v>
      </c>
      <c r="DC86" s="17" t="e">
        <v>#N/A</v>
      </c>
      <c r="DD86" s="17" t="e">
        <v>#N/A</v>
      </c>
      <c r="DE86" s="17" t="e">
        <v>#N/A</v>
      </c>
      <c r="DF86" s="17" t="e">
        <v>#N/A</v>
      </c>
      <c r="DG86" s="17" t="e">
        <v>#N/A</v>
      </c>
      <c r="DH86" s="17" t="e">
        <v>#N/A</v>
      </c>
      <c r="DI86" s="17" t="e">
        <v>#N/A</v>
      </c>
      <c r="DJ86" s="17" t="e">
        <v>#N/A</v>
      </c>
      <c r="DK86" s="17" t="e">
        <v>#N/A</v>
      </c>
      <c r="DL86" s="17" t="e">
        <v>#N/A</v>
      </c>
      <c r="DM86" s="17" t="e">
        <v>#N/A</v>
      </c>
      <c r="DN86" s="17" t="e">
        <v>#N/A</v>
      </c>
      <c r="DO86" s="17" t="e">
        <v>#N/A</v>
      </c>
      <c r="DP86" s="17" t="e">
        <v>#N/A</v>
      </c>
      <c r="DQ86" s="17" t="e">
        <v>#N/A</v>
      </c>
      <c r="DR86" s="17" t="e">
        <v>#N/A</v>
      </c>
      <c r="DS86" s="17" t="e">
        <v>#N/A</v>
      </c>
      <c r="DT86" s="17" t="e">
        <v>#N/A</v>
      </c>
      <c r="DU86" s="17" t="e">
        <v>#N/A</v>
      </c>
      <c r="DV86" s="17" t="e">
        <v>#N/A</v>
      </c>
      <c r="DW86" s="17" t="e">
        <v>#N/A</v>
      </c>
      <c r="DX86" s="17" t="e">
        <v>#N/A</v>
      </c>
      <c r="DY86" s="17" t="e">
        <v>#N/A</v>
      </c>
      <c r="DZ86" s="17" t="e">
        <v>#N/A</v>
      </c>
      <c r="EA86" s="17" t="e">
        <v>#N/A</v>
      </c>
      <c r="EB86" s="17" t="e">
        <v>#N/A</v>
      </c>
      <c r="EC86" s="17" t="e">
        <v>#N/A</v>
      </c>
      <c r="ED86" s="17" t="e">
        <v>#N/A</v>
      </c>
      <c r="EE86" s="17" t="e">
        <v>#N/A</v>
      </c>
      <c r="EF86" s="17" t="e">
        <v>#N/A</v>
      </c>
      <c r="EG86" s="17" t="e">
        <v>#N/A</v>
      </c>
      <c r="EH86" s="17" t="e">
        <v>#N/A</v>
      </c>
      <c r="EI86" s="17" t="e">
        <v>#N/A</v>
      </c>
      <c r="EJ86" s="17" t="e">
        <v>#N/A</v>
      </c>
      <c r="EK86" s="17" t="e">
        <v>#N/A</v>
      </c>
      <c r="EL86" s="17" t="e">
        <v>#N/A</v>
      </c>
      <c r="EM86" s="17" t="e">
        <v>#N/A</v>
      </c>
      <c r="EN86" s="17" t="e">
        <v>#N/A</v>
      </c>
      <c r="EO86" s="17" t="e">
        <v>#N/A</v>
      </c>
      <c r="EP86" s="17" t="e">
        <v>#N/A</v>
      </c>
      <c r="EQ86" s="17" t="e">
        <v>#N/A</v>
      </c>
      <c r="ER86" s="17" t="e">
        <v>#N/A</v>
      </c>
      <c r="ES86" s="17" t="e">
        <v>#N/A</v>
      </c>
      <c r="ET86" s="17" t="e">
        <v>#N/A</v>
      </c>
      <c r="EU86" s="17" t="e">
        <v>#N/A</v>
      </c>
      <c r="EV86" s="17" t="e">
        <v>#N/A</v>
      </c>
      <c r="EW86" s="17" t="e">
        <v>#N/A</v>
      </c>
      <c r="EX86" s="17" t="e">
        <v>#N/A</v>
      </c>
      <c r="EY86" s="17" t="e">
        <v>#N/A</v>
      </c>
      <c r="EZ86" s="17" t="e">
        <v>#N/A</v>
      </c>
      <c r="FA86" s="17" t="e">
        <v>#N/A</v>
      </c>
      <c r="FB86" s="17" t="e">
        <v>#N/A</v>
      </c>
      <c r="FC86" s="17" t="e">
        <v>#N/A</v>
      </c>
      <c r="FD86" s="17" t="e">
        <v>#N/A</v>
      </c>
      <c r="FE86" s="17" t="e">
        <v>#N/A</v>
      </c>
      <c r="FF86" s="17" t="e">
        <v>#N/A</v>
      </c>
      <c r="FG86" s="17" t="e">
        <v>#N/A</v>
      </c>
      <c r="FH86" s="17" t="e">
        <v>#N/A</v>
      </c>
      <c r="FI86" s="17" t="e">
        <v>#N/A</v>
      </c>
      <c r="FJ86" s="17" t="e">
        <v>#N/A</v>
      </c>
      <c r="FK86" s="17" t="e">
        <v>#N/A</v>
      </c>
      <c r="FL86" s="17" t="e">
        <v>#N/A</v>
      </c>
      <c r="FM86" s="17" t="e">
        <v>#N/A</v>
      </c>
      <c r="FN86" s="17" t="e">
        <v>#N/A</v>
      </c>
      <c r="FO86" s="17" t="e">
        <v>#N/A</v>
      </c>
      <c r="FP86" s="17" t="e">
        <v>#N/A</v>
      </c>
      <c r="FQ86" s="17" t="e">
        <v>#N/A</v>
      </c>
      <c r="FR86" s="17" t="e">
        <v>#N/A</v>
      </c>
      <c r="FS86" s="17" t="e">
        <v>#N/A</v>
      </c>
      <c r="FT86" s="17" t="e">
        <v>#N/A</v>
      </c>
      <c r="FU86" s="17" t="e">
        <v>#N/A</v>
      </c>
      <c r="FV86" s="17" t="e">
        <v>#N/A</v>
      </c>
    </row>
    <row r="87" spans="2:178" ht="11.25" customHeight="1">
      <c r="B87" s="17" t="e">
        <v>#N/A</v>
      </c>
      <c r="C87" s="17" t="e">
        <v>#N/A</v>
      </c>
      <c r="D87" s="17" t="e">
        <v>#N/A</v>
      </c>
      <c r="E87" s="17" t="e">
        <v>#N/A</v>
      </c>
      <c r="F87" s="17" t="e">
        <v>#N/A</v>
      </c>
      <c r="G87" s="17" t="e">
        <v>#N/A</v>
      </c>
      <c r="H87" s="17" t="e">
        <v>#N/A</v>
      </c>
      <c r="I87" s="17" t="e">
        <v>#N/A</v>
      </c>
      <c r="J87" s="17" t="e">
        <v>#N/A</v>
      </c>
      <c r="K87" s="17" t="e">
        <v>#N/A</v>
      </c>
      <c r="L87" s="17" t="e">
        <v>#N/A</v>
      </c>
      <c r="M87" s="17" t="e">
        <v>#N/A</v>
      </c>
      <c r="N87" s="17" t="e">
        <v>#N/A</v>
      </c>
      <c r="O87" s="17" t="e">
        <v>#N/A</v>
      </c>
      <c r="P87" s="17" t="e">
        <v>#N/A</v>
      </c>
      <c r="Q87" s="17" t="e">
        <v>#N/A</v>
      </c>
      <c r="R87" s="17" t="e">
        <v>#N/A</v>
      </c>
      <c r="S87" s="17" t="e">
        <v>#N/A</v>
      </c>
      <c r="T87" s="17" t="e">
        <v>#N/A</v>
      </c>
      <c r="U87" s="17" t="e">
        <v>#N/A</v>
      </c>
      <c r="V87" s="17" t="e">
        <v>#N/A</v>
      </c>
      <c r="W87" s="17" t="e">
        <v>#N/A</v>
      </c>
      <c r="X87" s="17" t="e">
        <v>#N/A</v>
      </c>
      <c r="Y87" s="17" t="e">
        <v>#N/A</v>
      </c>
      <c r="Z87" s="17" t="e">
        <v>#N/A</v>
      </c>
      <c r="AA87" s="17" t="e">
        <v>#N/A</v>
      </c>
      <c r="AB87" s="17" t="e">
        <v>#N/A</v>
      </c>
      <c r="AC87" s="17" t="e">
        <v>#N/A</v>
      </c>
      <c r="AD87" s="17" t="e">
        <v>#N/A</v>
      </c>
      <c r="AE87" s="17" t="e">
        <v>#N/A</v>
      </c>
      <c r="AF87" s="17" t="e">
        <v>#N/A</v>
      </c>
      <c r="AG87" s="17" t="e">
        <v>#N/A</v>
      </c>
      <c r="AH87" s="17" t="e">
        <v>#N/A</v>
      </c>
      <c r="AI87" s="17" t="e">
        <v>#N/A</v>
      </c>
      <c r="AJ87" s="17" t="e">
        <v>#N/A</v>
      </c>
      <c r="AK87" s="17" t="e">
        <v>#N/A</v>
      </c>
      <c r="AL87" s="17" t="e">
        <v>#N/A</v>
      </c>
      <c r="AM87" s="17" t="e">
        <v>#N/A</v>
      </c>
      <c r="AN87" s="17" t="e">
        <v>#N/A</v>
      </c>
      <c r="AO87" s="17" t="e">
        <v>#N/A</v>
      </c>
      <c r="AP87" s="17" t="e">
        <v>#N/A</v>
      </c>
      <c r="AQ87" s="17" t="e">
        <v>#N/A</v>
      </c>
      <c r="AR87" s="17" t="e">
        <v>#N/A</v>
      </c>
      <c r="AS87" s="17" t="e">
        <v>#N/A</v>
      </c>
      <c r="AT87" s="17" t="e">
        <v>#N/A</v>
      </c>
      <c r="AU87" s="17" t="e">
        <v>#N/A</v>
      </c>
      <c r="AV87" s="17" t="e">
        <v>#N/A</v>
      </c>
      <c r="AW87" s="17" t="e">
        <v>#N/A</v>
      </c>
      <c r="AX87" s="17" t="e">
        <v>#N/A</v>
      </c>
      <c r="AY87" s="17" t="e">
        <v>#N/A</v>
      </c>
      <c r="AZ87" s="17" t="e">
        <v>#N/A</v>
      </c>
      <c r="BA87" s="17" t="e">
        <v>#N/A</v>
      </c>
      <c r="BB87" s="17" t="e">
        <v>#N/A</v>
      </c>
      <c r="BC87" s="17" t="e">
        <v>#N/A</v>
      </c>
      <c r="BD87" s="17" t="e">
        <v>#N/A</v>
      </c>
      <c r="BE87" s="17" t="e">
        <v>#N/A</v>
      </c>
      <c r="BF87" s="17" t="e">
        <v>#N/A</v>
      </c>
      <c r="BG87" s="17" t="e">
        <v>#N/A</v>
      </c>
      <c r="BH87" s="17" t="e">
        <v>#N/A</v>
      </c>
      <c r="BI87" s="17" t="e">
        <v>#N/A</v>
      </c>
      <c r="BJ87" s="17" t="e">
        <v>#N/A</v>
      </c>
      <c r="BK87" s="17" t="e">
        <v>#N/A</v>
      </c>
      <c r="BL87" s="17" t="e">
        <v>#N/A</v>
      </c>
      <c r="BM87" s="17" t="e">
        <v>#N/A</v>
      </c>
      <c r="BN87" s="17" t="e">
        <v>#N/A</v>
      </c>
      <c r="BO87" s="17" t="e">
        <v>#N/A</v>
      </c>
      <c r="BP87" s="17" t="e">
        <v>#N/A</v>
      </c>
      <c r="BQ87" s="17" t="e">
        <v>#N/A</v>
      </c>
      <c r="BR87" s="17" t="e">
        <v>#N/A</v>
      </c>
      <c r="BS87" s="17" t="e">
        <v>#N/A</v>
      </c>
      <c r="BT87" s="17" t="e">
        <v>#N/A</v>
      </c>
      <c r="BU87" s="17" t="e">
        <v>#N/A</v>
      </c>
      <c r="BV87" s="17" t="e">
        <v>#N/A</v>
      </c>
      <c r="BW87" s="17" t="e">
        <v>#N/A</v>
      </c>
      <c r="BX87" s="17" t="e">
        <v>#N/A</v>
      </c>
      <c r="BY87" s="17" t="e">
        <v>#N/A</v>
      </c>
      <c r="BZ87" s="17" t="e">
        <v>#N/A</v>
      </c>
      <c r="CA87" s="17" t="e">
        <v>#N/A</v>
      </c>
      <c r="CB87" s="17" t="e">
        <v>#N/A</v>
      </c>
      <c r="CC87" s="17" t="e">
        <v>#N/A</v>
      </c>
      <c r="CD87" s="17" t="e">
        <v>#N/A</v>
      </c>
      <c r="CE87" s="17" t="e">
        <v>#N/A</v>
      </c>
      <c r="CF87" s="17" t="e">
        <v>#N/A</v>
      </c>
      <c r="CG87" s="17" t="e">
        <v>#N/A</v>
      </c>
      <c r="CH87" s="17" t="e">
        <v>#N/A</v>
      </c>
      <c r="CI87" s="17" t="e">
        <v>#N/A</v>
      </c>
      <c r="CJ87" s="17" t="e">
        <v>#N/A</v>
      </c>
      <c r="CK87" s="17" t="e">
        <v>#N/A</v>
      </c>
      <c r="CL87" s="17" t="e">
        <v>#N/A</v>
      </c>
      <c r="CM87" s="17" t="e">
        <v>#N/A</v>
      </c>
      <c r="CN87" s="17" t="e">
        <v>#N/A</v>
      </c>
      <c r="CO87" s="17" t="e">
        <v>#N/A</v>
      </c>
      <c r="CP87" s="17" t="e">
        <v>#N/A</v>
      </c>
      <c r="CQ87" s="17" t="e">
        <v>#N/A</v>
      </c>
      <c r="CR87" s="17" t="e">
        <v>#N/A</v>
      </c>
      <c r="CS87" s="17" t="e">
        <v>#N/A</v>
      </c>
      <c r="CT87" s="17" t="e">
        <v>#N/A</v>
      </c>
      <c r="CU87" s="17" t="e">
        <v>#N/A</v>
      </c>
      <c r="CV87" s="17" t="e">
        <v>#N/A</v>
      </c>
      <c r="CW87" s="17" t="e">
        <v>#N/A</v>
      </c>
      <c r="CX87" s="17" t="e">
        <v>#N/A</v>
      </c>
      <c r="CY87" s="17" t="e">
        <v>#N/A</v>
      </c>
      <c r="CZ87" s="17" t="e">
        <v>#N/A</v>
      </c>
      <c r="DA87" s="17" t="e">
        <v>#N/A</v>
      </c>
      <c r="DB87" s="17" t="e">
        <v>#N/A</v>
      </c>
      <c r="DC87" s="17" t="e">
        <v>#N/A</v>
      </c>
      <c r="DD87" s="17" t="e">
        <v>#N/A</v>
      </c>
      <c r="DE87" s="17" t="e">
        <v>#N/A</v>
      </c>
      <c r="DF87" s="17" t="e">
        <v>#N/A</v>
      </c>
      <c r="DG87" s="17" t="e">
        <v>#N/A</v>
      </c>
      <c r="DH87" s="17" t="e">
        <v>#N/A</v>
      </c>
      <c r="DI87" s="17" t="e">
        <v>#N/A</v>
      </c>
      <c r="DJ87" s="17" t="e">
        <v>#N/A</v>
      </c>
      <c r="DK87" s="17" t="e">
        <v>#N/A</v>
      </c>
      <c r="DL87" s="17" t="e">
        <v>#N/A</v>
      </c>
      <c r="DM87" s="17" t="e">
        <v>#N/A</v>
      </c>
      <c r="DN87" s="17" t="e">
        <v>#N/A</v>
      </c>
      <c r="DO87" s="17" t="e">
        <v>#N/A</v>
      </c>
      <c r="DP87" s="17" t="e">
        <v>#N/A</v>
      </c>
      <c r="DQ87" s="17" t="e">
        <v>#N/A</v>
      </c>
      <c r="DR87" s="17" t="e">
        <v>#N/A</v>
      </c>
      <c r="DS87" s="17" t="e">
        <v>#N/A</v>
      </c>
      <c r="DT87" s="17" t="e">
        <v>#N/A</v>
      </c>
      <c r="DU87" s="17" t="e">
        <v>#N/A</v>
      </c>
      <c r="DV87" s="17" t="e">
        <v>#N/A</v>
      </c>
      <c r="DW87" s="17" t="e">
        <v>#N/A</v>
      </c>
      <c r="DX87" s="17" t="e">
        <v>#N/A</v>
      </c>
      <c r="DY87" s="17" t="e">
        <v>#N/A</v>
      </c>
      <c r="DZ87" s="17" t="e">
        <v>#N/A</v>
      </c>
      <c r="EA87" s="17" t="e">
        <v>#N/A</v>
      </c>
      <c r="EB87" s="17" t="e">
        <v>#N/A</v>
      </c>
      <c r="EC87" s="17" t="e">
        <v>#N/A</v>
      </c>
      <c r="ED87" s="17" t="e">
        <v>#N/A</v>
      </c>
      <c r="EE87" s="17" t="e">
        <v>#N/A</v>
      </c>
      <c r="EF87" s="17" t="e">
        <v>#N/A</v>
      </c>
      <c r="EG87" s="17" t="e">
        <v>#N/A</v>
      </c>
      <c r="EH87" s="17" t="e">
        <v>#N/A</v>
      </c>
      <c r="EI87" s="17" t="e">
        <v>#N/A</v>
      </c>
      <c r="EJ87" s="17" t="e">
        <v>#N/A</v>
      </c>
      <c r="EK87" s="17" t="e">
        <v>#N/A</v>
      </c>
      <c r="EL87" s="17" t="e">
        <v>#N/A</v>
      </c>
      <c r="EM87" s="17" t="e">
        <v>#N/A</v>
      </c>
      <c r="EN87" s="17" t="e">
        <v>#N/A</v>
      </c>
      <c r="EO87" s="17" t="e">
        <v>#N/A</v>
      </c>
      <c r="EP87" s="17" t="e">
        <v>#N/A</v>
      </c>
      <c r="EQ87" s="17" t="e">
        <v>#N/A</v>
      </c>
      <c r="ER87" s="17" t="e">
        <v>#N/A</v>
      </c>
      <c r="ES87" s="17" t="e">
        <v>#N/A</v>
      </c>
      <c r="ET87" s="17" t="e">
        <v>#N/A</v>
      </c>
      <c r="EU87" s="17" t="e">
        <v>#N/A</v>
      </c>
      <c r="EV87" s="17" t="e">
        <v>#N/A</v>
      </c>
      <c r="EW87" s="17" t="e">
        <v>#N/A</v>
      </c>
      <c r="EX87" s="17" t="e">
        <v>#N/A</v>
      </c>
      <c r="EY87" s="17" t="e">
        <v>#N/A</v>
      </c>
      <c r="EZ87" s="17" t="e">
        <v>#N/A</v>
      </c>
      <c r="FA87" s="17" t="e">
        <v>#N/A</v>
      </c>
      <c r="FB87" s="17" t="e">
        <v>#N/A</v>
      </c>
      <c r="FC87" s="17" t="e">
        <v>#N/A</v>
      </c>
      <c r="FD87" s="17" t="e">
        <v>#N/A</v>
      </c>
      <c r="FE87" s="17" t="e">
        <v>#N/A</v>
      </c>
      <c r="FF87" s="17" t="e">
        <v>#N/A</v>
      </c>
      <c r="FG87" s="17" t="e">
        <v>#N/A</v>
      </c>
      <c r="FH87" s="17" t="e">
        <v>#N/A</v>
      </c>
      <c r="FI87" s="17" t="e">
        <v>#N/A</v>
      </c>
      <c r="FJ87" s="17" t="e">
        <v>#N/A</v>
      </c>
      <c r="FK87" s="17" t="e">
        <v>#N/A</v>
      </c>
      <c r="FL87" s="17" t="e">
        <v>#N/A</v>
      </c>
      <c r="FM87" s="17" t="e">
        <v>#N/A</v>
      </c>
      <c r="FN87" s="17" t="e">
        <v>#N/A</v>
      </c>
      <c r="FO87" s="17" t="e">
        <v>#N/A</v>
      </c>
      <c r="FP87" s="17" t="e">
        <v>#N/A</v>
      </c>
      <c r="FQ87" s="17" t="e">
        <v>#N/A</v>
      </c>
      <c r="FR87" s="17" t="e">
        <v>#N/A</v>
      </c>
      <c r="FS87" s="17" t="e">
        <v>#N/A</v>
      </c>
      <c r="FT87" s="17" t="e">
        <v>#N/A</v>
      </c>
      <c r="FU87" s="17" t="e">
        <v>#N/A</v>
      </c>
      <c r="FV87" s="17" t="e">
        <v>#N/A</v>
      </c>
    </row>
    <row r="88" spans="2:178" ht="11.25" customHeight="1">
      <c r="B88" s="17" t="e">
        <v>#N/A</v>
      </c>
      <c r="C88" s="17" t="e">
        <v>#N/A</v>
      </c>
      <c r="D88" s="17" t="e">
        <v>#N/A</v>
      </c>
      <c r="E88" s="17" t="e">
        <v>#N/A</v>
      </c>
      <c r="F88" s="17" t="e">
        <v>#N/A</v>
      </c>
      <c r="G88" s="17" t="e">
        <v>#N/A</v>
      </c>
      <c r="H88" s="17" t="e">
        <v>#N/A</v>
      </c>
      <c r="I88" s="17" t="e">
        <v>#N/A</v>
      </c>
      <c r="J88" s="17" t="e">
        <v>#N/A</v>
      </c>
      <c r="K88" s="17" t="e">
        <v>#N/A</v>
      </c>
      <c r="L88" s="17" t="e">
        <v>#N/A</v>
      </c>
      <c r="M88" s="17" t="e">
        <v>#N/A</v>
      </c>
      <c r="N88" s="17" t="e">
        <v>#N/A</v>
      </c>
      <c r="O88" s="17" t="e">
        <v>#N/A</v>
      </c>
      <c r="P88" s="17" t="e">
        <v>#N/A</v>
      </c>
      <c r="Q88" s="17" t="e">
        <v>#N/A</v>
      </c>
      <c r="R88" s="17" t="e">
        <v>#N/A</v>
      </c>
      <c r="S88" s="17" t="e">
        <v>#N/A</v>
      </c>
      <c r="T88" s="17" t="e">
        <v>#N/A</v>
      </c>
      <c r="U88" s="17" t="e">
        <v>#N/A</v>
      </c>
      <c r="V88" s="17" t="e">
        <v>#N/A</v>
      </c>
      <c r="W88" s="17" t="e">
        <v>#N/A</v>
      </c>
      <c r="X88" s="17" t="e">
        <v>#N/A</v>
      </c>
      <c r="Y88" s="17" t="e">
        <v>#N/A</v>
      </c>
      <c r="Z88" s="17" t="e">
        <v>#N/A</v>
      </c>
      <c r="AA88" s="17" t="e">
        <v>#N/A</v>
      </c>
      <c r="AB88" s="17" t="e">
        <v>#N/A</v>
      </c>
      <c r="AC88" s="17" t="e">
        <v>#N/A</v>
      </c>
      <c r="AD88" s="17" t="e">
        <v>#N/A</v>
      </c>
      <c r="AE88" s="17" t="e">
        <v>#N/A</v>
      </c>
      <c r="AF88" s="17" t="e">
        <v>#N/A</v>
      </c>
      <c r="AG88" s="17" t="e">
        <v>#N/A</v>
      </c>
      <c r="AH88" s="17" t="e">
        <v>#N/A</v>
      </c>
      <c r="AI88" s="17" t="e">
        <v>#N/A</v>
      </c>
      <c r="AJ88" s="17" t="e">
        <v>#N/A</v>
      </c>
      <c r="AK88" s="17" t="e">
        <v>#N/A</v>
      </c>
      <c r="AL88" s="17" t="e">
        <v>#N/A</v>
      </c>
      <c r="AM88" s="17" t="e">
        <v>#N/A</v>
      </c>
      <c r="AN88" s="17" t="e">
        <v>#N/A</v>
      </c>
      <c r="AO88" s="17" t="e">
        <v>#N/A</v>
      </c>
      <c r="AP88" s="17" t="e">
        <v>#N/A</v>
      </c>
      <c r="AQ88" s="17" t="e">
        <v>#N/A</v>
      </c>
      <c r="AR88" s="17" t="e">
        <v>#N/A</v>
      </c>
      <c r="AS88" s="17" t="e">
        <v>#N/A</v>
      </c>
      <c r="AT88" s="17" t="e">
        <v>#N/A</v>
      </c>
      <c r="AU88" s="17" t="e">
        <v>#N/A</v>
      </c>
      <c r="AV88" s="17" t="e">
        <v>#N/A</v>
      </c>
      <c r="AW88" s="17" t="e">
        <v>#N/A</v>
      </c>
      <c r="AX88" s="17" t="e">
        <v>#N/A</v>
      </c>
      <c r="AY88" s="17" t="e">
        <v>#N/A</v>
      </c>
      <c r="AZ88" s="17" t="e">
        <v>#N/A</v>
      </c>
      <c r="BA88" s="17" t="e">
        <v>#N/A</v>
      </c>
      <c r="BB88" s="17" t="e">
        <v>#N/A</v>
      </c>
      <c r="BC88" s="17" t="e">
        <v>#N/A</v>
      </c>
      <c r="BD88" s="17" t="e">
        <v>#N/A</v>
      </c>
      <c r="BE88" s="17" t="e">
        <v>#N/A</v>
      </c>
      <c r="BF88" s="17" t="e">
        <v>#N/A</v>
      </c>
      <c r="BG88" s="17" t="e">
        <v>#N/A</v>
      </c>
      <c r="BH88" s="17" t="e">
        <v>#N/A</v>
      </c>
      <c r="BI88" s="17" t="e">
        <v>#N/A</v>
      </c>
      <c r="BJ88" s="17" t="e">
        <v>#N/A</v>
      </c>
      <c r="BK88" s="17" t="e">
        <v>#N/A</v>
      </c>
      <c r="BL88" s="17" t="e">
        <v>#N/A</v>
      </c>
      <c r="BM88" s="17" t="e">
        <v>#N/A</v>
      </c>
      <c r="BN88" s="17" t="e">
        <v>#N/A</v>
      </c>
      <c r="BO88" s="17" t="e">
        <v>#N/A</v>
      </c>
      <c r="BP88" s="17" t="e">
        <v>#N/A</v>
      </c>
      <c r="BQ88" s="17" t="e">
        <v>#N/A</v>
      </c>
      <c r="BR88" s="17" t="e">
        <v>#N/A</v>
      </c>
      <c r="BS88" s="17" t="e">
        <v>#N/A</v>
      </c>
      <c r="BT88" s="17" t="e">
        <v>#N/A</v>
      </c>
      <c r="BU88" s="17" t="e">
        <v>#N/A</v>
      </c>
      <c r="BV88" s="17" t="e">
        <v>#N/A</v>
      </c>
      <c r="BW88" s="17" t="e">
        <v>#N/A</v>
      </c>
      <c r="BX88" s="17" t="e">
        <v>#N/A</v>
      </c>
      <c r="BY88" s="17" t="e">
        <v>#N/A</v>
      </c>
      <c r="BZ88" s="17" t="e">
        <v>#N/A</v>
      </c>
      <c r="CA88" s="17" t="e">
        <v>#N/A</v>
      </c>
      <c r="CB88" s="17" t="e">
        <v>#N/A</v>
      </c>
      <c r="CC88" s="17" t="e">
        <v>#N/A</v>
      </c>
      <c r="CD88" s="17" t="e">
        <v>#N/A</v>
      </c>
      <c r="CE88" s="17" t="e">
        <v>#N/A</v>
      </c>
      <c r="CF88" s="17" t="e">
        <v>#N/A</v>
      </c>
      <c r="CG88" s="17" t="e">
        <v>#N/A</v>
      </c>
      <c r="CH88" s="17" t="e">
        <v>#N/A</v>
      </c>
      <c r="CI88" s="17" t="e">
        <v>#N/A</v>
      </c>
      <c r="CJ88" s="17" t="e">
        <v>#N/A</v>
      </c>
      <c r="CK88" s="17" t="e">
        <v>#N/A</v>
      </c>
      <c r="CL88" s="17" t="e">
        <v>#N/A</v>
      </c>
      <c r="CM88" s="17" t="e">
        <v>#N/A</v>
      </c>
      <c r="CN88" s="17" t="e">
        <v>#N/A</v>
      </c>
      <c r="CO88" s="17" t="e">
        <v>#N/A</v>
      </c>
      <c r="CP88" s="17" t="e">
        <v>#N/A</v>
      </c>
      <c r="CQ88" s="17" t="e">
        <v>#N/A</v>
      </c>
      <c r="CR88" s="17" t="e">
        <v>#N/A</v>
      </c>
      <c r="CS88" s="17" t="e">
        <v>#N/A</v>
      </c>
      <c r="CT88" s="17" t="e">
        <v>#N/A</v>
      </c>
      <c r="CU88" s="17" t="e">
        <v>#N/A</v>
      </c>
      <c r="CV88" s="17" t="e">
        <v>#N/A</v>
      </c>
      <c r="CW88" s="17" t="e">
        <v>#N/A</v>
      </c>
      <c r="CX88" s="17" t="e">
        <v>#N/A</v>
      </c>
      <c r="CY88" s="17" t="e">
        <v>#N/A</v>
      </c>
      <c r="CZ88" s="17" t="e">
        <v>#N/A</v>
      </c>
      <c r="DA88" s="17" t="e">
        <v>#N/A</v>
      </c>
      <c r="DB88" s="17" t="e">
        <v>#N/A</v>
      </c>
      <c r="DC88" s="17" t="e">
        <v>#N/A</v>
      </c>
      <c r="DD88" s="17" t="e">
        <v>#N/A</v>
      </c>
      <c r="DE88" s="17" t="e">
        <v>#N/A</v>
      </c>
      <c r="DF88" s="17" t="e">
        <v>#N/A</v>
      </c>
      <c r="DG88" s="17" t="e">
        <v>#N/A</v>
      </c>
      <c r="DH88" s="17" t="e">
        <v>#N/A</v>
      </c>
      <c r="DI88" s="17" t="e">
        <v>#N/A</v>
      </c>
      <c r="DJ88" s="17" t="e">
        <v>#N/A</v>
      </c>
      <c r="DK88" s="17" t="e">
        <v>#N/A</v>
      </c>
      <c r="DL88" s="17" t="e">
        <v>#N/A</v>
      </c>
      <c r="DM88" s="17" t="e">
        <v>#N/A</v>
      </c>
      <c r="DN88" s="17" t="e">
        <v>#N/A</v>
      </c>
      <c r="DO88" s="17" t="e">
        <v>#N/A</v>
      </c>
      <c r="DP88" s="17" t="e">
        <v>#N/A</v>
      </c>
      <c r="DQ88" s="17" t="e">
        <v>#N/A</v>
      </c>
      <c r="DR88" s="17" t="e">
        <v>#N/A</v>
      </c>
      <c r="DS88" s="17" t="e">
        <v>#N/A</v>
      </c>
      <c r="DT88" s="17" t="e">
        <v>#N/A</v>
      </c>
      <c r="DU88" s="17" t="e">
        <v>#N/A</v>
      </c>
      <c r="DV88" s="17" t="e">
        <v>#N/A</v>
      </c>
      <c r="DW88" s="17" t="e">
        <v>#N/A</v>
      </c>
      <c r="DX88" s="17" t="e">
        <v>#N/A</v>
      </c>
      <c r="DY88" s="17" t="e">
        <v>#N/A</v>
      </c>
      <c r="DZ88" s="17" t="e">
        <v>#N/A</v>
      </c>
      <c r="EA88" s="17" t="e">
        <v>#N/A</v>
      </c>
      <c r="EB88" s="17" t="e">
        <v>#N/A</v>
      </c>
      <c r="EC88" s="17" t="e">
        <v>#N/A</v>
      </c>
      <c r="ED88" s="17" t="e">
        <v>#N/A</v>
      </c>
      <c r="EE88" s="17" t="e">
        <v>#N/A</v>
      </c>
      <c r="EF88" s="17" t="e">
        <v>#N/A</v>
      </c>
      <c r="EG88" s="17" t="e">
        <v>#N/A</v>
      </c>
      <c r="EH88" s="17" t="e">
        <v>#N/A</v>
      </c>
      <c r="EI88" s="17" t="e">
        <v>#N/A</v>
      </c>
      <c r="EJ88" s="17" t="e">
        <v>#N/A</v>
      </c>
      <c r="EK88" s="17" t="e">
        <v>#N/A</v>
      </c>
      <c r="EL88" s="17" t="e">
        <v>#N/A</v>
      </c>
      <c r="EM88" s="17" t="e">
        <v>#N/A</v>
      </c>
      <c r="EN88" s="17" t="e">
        <v>#N/A</v>
      </c>
      <c r="EO88" s="17" t="e">
        <v>#N/A</v>
      </c>
      <c r="EP88" s="17" t="e">
        <v>#N/A</v>
      </c>
      <c r="EQ88" s="17" t="e">
        <v>#N/A</v>
      </c>
      <c r="ER88" s="17" t="e">
        <v>#N/A</v>
      </c>
      <c r="ES88" s="17" t="e">
        <v>#N/A</v>
      </c>
      <c r="ET88" s="17" t="e">
        <v>#N/A</v>
      </c>
      <c r="EU88" s="17" t="e">
        <v>#N/A</v>
      </c>
      <c r="EV88" s="17" t="e">
        <v>#N/A</v>
      </c>
      <c r="EW88" s="17" t="e">
        <v>#N/A</v>
      </c>
      <c r="EX88" s="17" t="e">
        <v>#N/A</v>
      </c>
      <c r="EY88" s="17" t="e">
        <v>#N/A</v>
      </c>
      <c r="EZ88" s="17" t="e">
        <v>#N/A</v>
      </c>
      <c r="FA88" s="17" t="e">
        <v>#N/A</v>
      </c>
      <c r="FB88" s="17" t="e">
        <v>#N/A</v>
      </c>
      <c r="FC88" s="17" t="e">
        <v>#N/A</v>
      </c>
      <c r="FD88" s="17" t="e">
        <v>#N/A</v>
      </c>
      <c r="FE88" s="17" t="e">
        <v>#N/A</v>
      </c>
      <c r="FF88" s="17" t="e">
        <v>#N/A</v>
      </c>
      <c r="FG88" s="17" t="e">
        <v>#N/A</v>
      </c>
      <c r="FH88" s="17" t="e">
        <v>#N/A</v>
      </c>
      <c r="FI88" s="17" t="e">
        <v>#N/A</v>
      </c>
      <c r="FJ88" s="17" t="e">
        <v>#N/A</v>
      </c>
      <c r="FK88" s="17" t="e">
        <v>#N/A</v>
      </c>
      <c r="FL88" s="17" t="e">
        <v>#N/A</v>
      </c>
      <c r="FM88" s="17" t="e">
        <v>#N/A</v>
      </c>
      <c r="FN88" s="17" t="e">
        <v>#N/A</v>
      </c>
      <c r="FO88" s="17" t="e">
        <v>#N/A</v>
      </c>
      <c r="FP88" s="17" t="e">
        <v>#N/A</v>
      </c>
      <c r="FQ88" s="17" t="e">
        <v>#N/A</v>
      </c>
      <c r="FR88" s="17" t="e">
        <v>#N/A</v>
      </c>
      <c r="FS88" s="17" t="e">
        <v>#N/A</v>
      </c>
      <c r="FT88" s="17" t="e">
        <v>#N/A</v>
      </c>
      <c r="FU88" s="17" t="e">
        <v>#N/A</v>
      </c>
      <c r="FV88" s="17" t="e">
        <v>#N/A</v>
      </c>
    </row>
    <row r="89" spans="2:178" ht="11.25" customHeight="1">
      <c r="B89" s="17" t="e">
        <v>#N/A</v>
      </c>
      <c r="C89" s="17" t="e">
        <v>#N/A</v>
      </c>
      <c r="D89" s="17" t="e">
        <v>#N/A</v>
      </c>
      <c r="E89" s="17" t="e">
        <v>#N/A</v>
      </c>
      <c r="F89" s="17" t="e">
        <v>#N/A</v>
      </c>
      <c r="G89" s="17" t="e">
        <v>#N/A</v>
      </c>
      <c r="H89" s="17" t="e">
        <v>#N/A</v>
      </c>
      <c r="I89" s="17" t="e">
        <v>#N/A</v>
      </c>
      <c r="J89" s="17" t="e">
        <v>#N/A</v>
      </c>
      <c r="K89" s="17" t="e">
        <v>#N/A</v>
      </c>
      <c r="L89" s="17" t="e">
        <v>#N/A</v>
      </c>
      <c r="M89" s="17" t="e">
        <v>#N/A</v>
      </c>
      <c r="N89" s="17" t="e">
        <v>#N/A</v>
      </c>
      <c r="O89" s="17" t="e">
        <v>#N/A</v>
      </c>
      <c r="P89" s="17" t="e">
        <v>#N/A</v>
      </c>
      <c r="Q89" s="17" t="e">
        <v>#N/A</v>
      </c>
      <c r="R89" s="17" t="e">
        <v>#N/A</v>
      </c>
      <c r="S89" s="17" t="e">
        <v>#N/A</v>
      </c>
      <c r="T89" s="17" t="e">
        <v>#N/A</v>
      </c>
      <c r="U89" s="17" t="e">
        <v>#N/A</v>
      </c>
      <c r="V89" s="17" t="e">
        <v>#N/A</v>
      </c>
      <c r="W89" s="17" t="e">
        <v>#N/A</v>
      </c>
      <c r="X89" s="17" t="e">
        <v>#N/A</v>
      </c>
      <c r="Y89" s="17" t="e">
        <v>#N/A</v>
      </c>
      <c r="Z89" s="17" t="e">
        <v>#N/A</v>
      </c>
      <c r="AA89" s="17" t="e">
        <v>#N/A</v>
      </c>
      <c r="AB89" s="17" t="e">
        <v>#N/A</v>
      </c>
      <c r="AC89" s="17" t="e">
        <v>#N/A</v>
      </c>
      <c r="AD89" s="17" t="e">
        <v>#N/A</v>
      </c>
      <c r="AE89" s="17" t="e">
        <v>#N/A</v>
      </c>
      <c r="AF89" s="17" t="e">
        <v>#N/A</v>
      </c>
      <c r="AG89" s="17" t="e">
        <v>#N/A</v>
      </c>
      <c r="AH89" s="17" t="e">
        <v>#N/A</v>
      </c>
      <c r="AI89" s="17" t="e">
        <v>#N/A</v>
      </c>
      <c r="AJ89" s="17" t="e">
        <v>#N/A</v>
      </c>
      <c r="AK89" s="17" t="e">
        <v>#N/A</v>
      </c>
      <c r="AL89" s="17" t="e">
        <v>#N/A</v>
      </c>
      <c r="AM89" s="17" t="e">
        <v>#N/A</v>
      </c>
      <c r="AN89" s="17" t="e">
        <v>#N/A</v>
      </c>
      <c r="AO89" s="17" t="e">
        <v>#N/A</v>
      </c>
      <c r="AP89" s="17" t="e">
        <v>#N/A</v>
      </c>
      <c r="AQ89" s="17" t="e">
        <v>#N/A</v>
      </c>
      <c r="AR89" s="17" t="e">
        <v>#N/A</v>
      </c>
      <c r="AS89" s="17" t="e">
        <v>#N/A</v>
      </c>
      <c r="AT89" s="17" t="e">
        <v>#N/A</v>
      </c>
      <c r="AU89" s="17" t="e">
        <v>#N/A</v>
      </c>
      <c r="AV89" s="17" t="e">
        <v>#N/A</v>
      </c>
      <c r="AW89" s="17" t="e">
        <v>#N/A</v>
      </c>
      <c r="AX89" s="17" t="e">
        <v>#N/A</v>
      </c>
      <c r="AY89" s="17" t="e">
        <v>#N/A</v>
      </c>
      <c r="AZ89" s="17" t="e">
        <v>#N/A</v>
      </c>
      <c r="BA89" s="17" t="e">
        <v>#N/A</v>
      </c>
      <c r="BB89" s="17" t="e">
        <v>#N/A</v>
      </c>
      <c r="BC89" s="17" t="e">
        <v>#N/A</v>
      </c>
      <c r="BD89" s="17" t="e">
        <v>#N/A</v>
      </c>
      <c r="BE89" s="17" t="e">
        <v>#N/A</v>
      </c>
      <c r="BF89" s="17" t="e">
        <v>#N/A</v>
      </c>
      <c r="BG89" s="17" t="e">
        <v>#N/A</v>
      </c>
      <c r="BH89" s="17" t="e">
        <v>#N/A</v>
      </c>
      <c r="BI89" s="17" t="e">
        <v>#N/A</v>
      </c>
      <c r="BJ89" s="17" t="e">
        <v>#N/A</v>
      </c>
      <c r="BK89" s="17" t="e">
        <v>#N/A</v>
      </c>
      <c r="BL89" s="17" t="e">
        <v>#N/A</v>
      </c>
      <c r="BM89" s="17" t="e">
        <v>#N/A</v>
      </c>
      <c r="BN89" s="17" t="e">
        <v>#N/A</v>
      </c>
      <c r="BO89" s="17" t="e">
        <v>#N/A</v>
      </c>
      <c r="BP89" s="17" t="e">
        <v>#N/A</v>
      </c>
      <c r="BQ89" s="17" t="e">
        <v>#N/A</v>
      </c>
      <c r="BR89" s="17" t="e">
        <v>#N/A</v>
      </c>
      <c r="BS89" s="17" t="e">
        <v>#N/A</v>
      </c>
      <c r="BT89" s="17" t="e">
        <v>#N/A</v>
      </c>
      <c r="BU89" s="17" t="e">
        <v>#N/A</v>
      </c>
      <c r="BV89" s="17" t="e">
        <v>#N/A</v>
      </c>
      <c r="BW89" s="17" t="e">
        <v>#N/A</v>
      </c>
      <c r="BX89" s="17" t="e">
        <v>#N/A</v>
      </c>
      <c r="BY89" s="17" t="e">
        <v>#N/A</v>
      </c>
      <c r="BZ89" s="17" t="e">
        <v>#N/A</v>
      </c>
      <c r="CA89" s="17" t="e">
        <v>#N/A</v>
      </c>
      <c r="CB89" s="17" t="e">
        <v>#N/A</v>
      </c>
      <c r="CC89" s="17" t="e">
        <v>#N/A</v>
      </c>
      <c r="CD89" s="17" t="e">
        <v>#N/A</v>
      </c>
      <c r="CE89" s="17" t="e">
        <v>#N/A</v>
      </c>
      <c r="CF89" s="17" t="e">
        <v>#N/A</v>
      </c>
      <c r="CG89" s="17" t="e">
        <v>#N/A</v>
      </c>
      <c r="CH89" s="17" t="e">
        <v>#N/A</v>
      </c>
      <c r="CI89" s="17" t="e">
        <v>#N/A</v>
      </c>
      <c r="CJ89" s="17" t="e">
        <v>#N/A</v>
      </c>
      <c r="CK89" s="17" t="e">
        <v>#N/A</v>
      </c>
      <c r="CL89" s="17" t="e">
        <v>#N/A</v>
      </c>
      <c r="CM89" s="17" t="e">
        <v>#N/A</v>
      </c>
      <c r="CN89" s="17" t="e">
        <v>#N/A</v>
      </c>
      <c r="CO89" s="17" t="e">
        <v>#N/A</v>
      </c>
      <c r="CP89" s="17" t="e">
        <v>#N/A</v>
      </c>
      <c r="CQ89" s="17" t="e">
        <v>#N/A</v>
      </c>
      <c r="CR89" s="17" t="e">
        <v>#N/A</v>
      </c>
      <c r="CS89" s="17" t="e">
        <v>#N/A</v>
      </c>
      <c r="CT89" s="17" t="e">
        <v>#N/A</v>
      </c>
      <c r="CU89" s="17" t="e">
        <v>#N/A</v>
      </c>
      <c r="CV89" s="17" t="e">
        <v>#N/A</v>
      </c>
      <c r="CW89" s="17" t="e">
        <v>#N/A</v>
      </c>
      <c r="CX89" s="17" t="e">
        <v>#N/A</v>
      </c>
      <c r="CY89" s="17" t="e">
        <v>#N/A</v>
      </c>
      <c r="CZ89" s="17" t="e">
        <v>#N/A</v>
      </c>
      <c r="DA89" s="17" t="e">
        <v>#N/A</v>
      </c>
      <c r="DB89" s="17" t="e">
        <v>#N/A</v>
      </c>
      <c r="DC89" s="17" t="e">
        <v>#N/A</v>
      </c>
      <c r="DD89" s="17" t="e">
        <v>#N/A</v>
      </c>
      <c r="DE89" s="17" t="e">
        <v>#N/A</v>
      </c>
      <c r="DF89" s="17" t="e">
        <v>#N/A</v>
      </c>
      <c r="DG89" s="17" t="e">
        <v>#N/A</v>
      </c>
      <c r="DH89" s="17" t="e">
        <v>#N/A</v>
      </c>
      <c r="DI89" s="17" t="e">
        <v>#N/A</v>
      </c>
      <c r="DJ89" s="17" t="e">
        <v>#N/A</v>
      </c>
      <c r="DK89" s="17" t="e">
        <v>#N/A</v>
      </c>
      <c r="DL89" s="17" t="e">
        <v>#N/A</v>
      </c>
      <c r="DM89" s="17" t="e">
        <v>#N/A</v>
      </c>
      <c r="DN89" s="17" t="e">
        <v>#N/A</v>
      </c>
      <c r="DO89" s="17" t="e">
        <v>#N/A</v>
      </c>
      <c r="DP89" s="17" t="e">
        <v>#N/A</v>
      </c>
      <c r="DQ89" s="17" t="e">
        <v>#N/A</v>
      </c>
      <c r="DR89" s="17" t="e">
        <v>#N/A</v>
      </c>
      <c r="DS89" s="17" t="e">
        <v>#N/A</v>
      </c>
      <c r="DT89" s="17" t="e">
        <v>#N/A</v>
      </c>
      <c r="DU89" s="17" t="e">
        <v>#N/A</v>
      </c>
      <c r="DV89" s="17" t="e">
        <v>#N/A</v>
      </c>
      <c r="DW89" s="17" t="e">
        <v>#N/A</v>
      </c>
      <c r="DX89" s="17" t="e">
        <v>#N/A</v>
      </c>
      <c r="DY89" s="17" t="e">
        <v>#N/A</v>
      </c>
      <c r="DZ89" s="17" t="e">
        <v>#N/A</v>
      </c>
      <c r="EA89" s="17" t="e">
        <v>#N/A</v>
      </c>
      <c r="EB89" s="17" t="e">
        <v>#N/A</v>
      </c>
      <c r="EC89" s="17" t="e">
        <v>#N/A</v>
      </c>
      <c r="ED89" s="17" t="e">
        <v>#N/A</v>
      </c>
      <c r="EE89" s="17" t="e">
        <v>#N/A</v>
      </c>
      <c r="EF89" s="17" t="e">
        <v>#N/A</v>
      </c>
      <c r="EG89" s="17" t="e">
        <v>#N/A</v>
      </c>
      <c r="EH89" s="17" t="e">
        <v>#N/A</v>
      </c>
      <c r="EI89" s="17" t="e">
        <v>#N/A</v>
      </c>
      <c r="EJ89" s="17" t="e">
        <v>#N/A</v>
      </c>
      <c r="EK89" s="17" t="e">
        <v>#N/A</v>
      </c>
      <c r="EL89" s="17" t="e">
        <v>#N/A</v>
      </c>
      <c r="EM89" s="17" t="e">
        <v>#N/A</v>
      </c>
      <c r="EN89" s="17" t="e">
        <v>#N/A</v>
      </c>
      <c r="EO89" s="17" t="e">
        <v>#N/A</v>
      </c>
      <c r="EP89" s="17" t="e">
        <v>#N/A</v>
      </c>
      <c r="EQ89" s="17" t="e">
        <v>#N/A</v>
      </c>
      <c r="ER89" s="17" t="e">
        <v>#N/A</v>
      </c>
      <c r="ES89" s="17" t="e">
        <v>#N/A</v>
      </c>
      <c r="ET89" s="17" t="e">
        <v>#N/A</v>
      </c>
      <c r="EU89" s="17" t="e">
        <v>#N/A</v>
      </c>
      <c r="EV89" s="17" t="e">
        <v>#N/A</v>
      </c>
      <c r="EW89" s="17" t="e">
        <v>#N/A</v>
      </c>
      <c r="EX89" s="17" t="e">
        <v>#N/A</v>
      </c>
      <c r="EY89" s="17" t="e">
        <v>#N/A</v>
      </c>
      <c r="EZ89" s="17" t="e">
        <v>#N/A</v>
      </c>
      <c r="FA89" s="17" t="e">
        <v>#N/A</v>
      </c>
      <c r="FB89" s="17" t="e">
        <v>#N/A</v>
      </c>
      <c r="FC89" s="17" t="e">
        <v>#N/A</v>
      </c>
      <c r="FD89" s="17" t="e">
        <v>#N/A</v>
      </c>
      <c r="FE89" s="17" t="e">
        <v>#N/A</v>
      </c>
      <c r="FF89" s="17" t="e">
        <v>#N/A</v>
      </c>
      <c r="FG89" s="17" t="e">
        <v>#N/A</v>
      </c>
      <c r="FH89" s="17" t="e">
        <v>#N/A</v>
      </c>
      <c r="FI89" s="17" t="e">
        <v>#N/A</v>
      </c>
      <c r="FJ89" s="17" t="e">
        <v>#N/A</v>
      </c>
      <c r="FK89" s="17" t="e">
        <v>#N/A</v>
      </c>
      <c r="FL89" s="17" t="e">
        <v>#N/A</v>
      </c>
      <c r="FM89" s="17" t="e">
        <v>#N/A</v>
      </c>
      <c r="FN89" s="17" t="e">
        <v>#N/A</v>
      </c>
      <c r="FO89" s="17" t="e">
        <v>#N/A</v>
      </c>
      <c r="FP89" s="17" t="e">
        <v>#N/A</v>
      </c>
      <c r="FQ89" s="17" t="e">
        <v>#N/A</v>
      </c>
      <c r="FR89" s="17" t="e">
        <v>#N/A</v>
      </c>
      <c r="FS89" s="17" t="e">
        <v>#N/A</v>
      </c>
      <c r="FT89" s="17" t="e">
        <v>#N/A</v>
      </c>
      <c r="FU89" s="17" t="e">
        <v>#N/A</v>
      </c>
      <c r="FV89" s="17" t="e">
        <v>#N/A</v>
      </c>
    </row>
    <row r="90" spans="2:178" ht="11.25" customHeight="1">
      <c r="B90" s="17" t="e">
        <v>#N/A</v>
      </c>
      <c r="C90" s="17" t="e">
        <v>#N/A</v>
      </c>
      <c r="D90" s="17" t="e">
        <v>#N/A</v>
      </c>
      <c r="E90" s="17" t="e">
        <v>#N/A</v>
      </c>
      <c r="F90" s="17" t="e">
        <v>#N/A</v>
      </c>
      <c r="G90" s="17" t="e">
        <v>#N/A</v>
      </c>
      <c r="H90" s="17" t="e">
        <v>#N/A</v>
      </c>
      <c r="I90" s="17" t="e">
        <v>#N/A</v>
      </c>
      <c r="J90" s="17" t="e">
        <v>#N/A</v>
      </c>
      <c r="K90" s="17" t="e">
        <v>#N/A</v>
      </c>
      <c r="L90" s="17" t="e">
        <v>#N/A</v>
      </c>
      <c r="M90" s="17" t="e">
        <v>#N/A</v>
      </c>
      <c r="N90" s="17" t="e">
        <v>#N/A</v>
      </c>
      <c r="O90" s="17" t="e">
        <v>#N/A</v>
      </c>
      <c r="P90" s="17" t="e">
        <v>#N/A</v>
      </c>
      <c r="Q90" s="17" t="e">
        <v>#N/A</v>
      </c>
      <c r="R90" s="17" t="e">
        <v>#N/A</v>
      </c>
      <c r="S90" s="17" t="e">
        <v>#N/A</v>
      </c>
      <c r="T90" s="17" t="e">
        <v>#N/A</v>
      </c>
      <c r="U90" s="17" t="e">
        <v>#N/A</v>
      </c>
      <c r="V90" s="17" t="e">
        <v>#N/A</v>
      </c>
      <c r="W90" s="17" t="e">
        <v>#N/A</v>
      </c>
      <c r="X90" s="17" t="e">
        <v>#N/A</v>
      </c>
      <c r="Y90" s="17" t="e">
        <v>#N/A</v>
      </c>
      <c r="Z90" s="17" t="e">
        <v>#N/A</v>
      </c>
      <c r="AA90" s="17" t="e">
        <v>#N/A</v>
      </c>
      <c r="AB90" s="17" t="e">
        <v>#N/A</v>
      </c>
      <c r="AC90" s="17" t="e">
        <v>#N/A</v>
      </c>
      <c r="AD90" s="17" t="e">
        <v>#N/A</v>
      </c>
      <c r="AE90" s="17" t="e">
        <v>#N/A</v>
      </c>
      <c r="AF90" s="17" t="e">
        <v>#N/A</v>
      </c>
      <c r="AG90" s="17" t="e">
        <v>#N/A</v>
      </c>
      <c r="AH90" s="17" t="e">
        <v>#N/A</v>
      </c>
      <c r="AI90" s="17" t="e">
        <v>#N/A</v>
      </c>
      <c r="AJ90" s="17" t="e">
        <v>#N/A</v>
      </c>
      <c r="AK90" s="17" t="e">
        <v>#N/A</v>
      </c>
      <c r="AL90" s="17" t="e">
        <v>#N/A</v>
      </c>
      <c r="AM90" s="17" t="e">
        <v>#N/A</v>
      </c>
      <c r="AN90" s="17" t="e">
        <v>#N/A</v>
      </c>
      <c r="AO90" s="17" t="e">
        <v>#N/A</v>
      </c>
      <c r="AP90" s="17" t="e">
        <v>#N/A</v>
      </c>
      <c r="AQ90" s="17" t="e">
        <v>#N/A</v>
      </c>
      <c r="AR90" s="17" t="e">
        <v>#N/A</v>
      </c>
      <c r="AS90" s="17" t="e">
        <v>#N/A</v>
      </c>
      <c r="AT90" s="17" t="e">
        <v>#N/A</v>
      </c>
      <c r="AU90" s="17" t="e">
        <v>#N/A</v>
      </c>
      <c r="AV90" s="17" t="e">
        <v>#N/A</v>
      </c>
      <c r="AW90" s="17" t="e">
        <v>#N/A</v>
      </c>
      <c r="AX90" s="17" t="e">
        <v>#N/A</v>
      </c>
      <c r="AY90" s="17" t="e">
        <v>#N/A</v>
      </c>
      <c r="AZ90" s="17" t="e">
        <v>#N/A</v>
      </c>
      <c r="BA90" s="17" t="e">
        <v>#N/A</v>
      </c>
      <c r="BB90" s="17" t="e">
        <v>#N/A</v>
      </c>
      <c r="BC90" s="17" t="e">
        <v>#N/A</v>
      </c>
      <c r="BD90" s="17" t="e">
        <v>#N/A</v>
      </c>
      <c r="BE90" s="17" t="e">
        <v>#N/A</v>
      </c>
      <c r="BF90" s="17" t="e">
        <v>#N/A</v>
      </c>
      <c r="BG90" s="17" t="e">
        <v>#N/A</v>
      </c>
      <c r="BH90" s="17" t="e">
        <v>#N/A</v>
      </c>
      <c r="BI90" s="17" t="e">
        <v>#N/A</v>
      </c>
      <c r="BJ90" s="17" t="e">
        <v>#N/A</v>
      </c>
      <c r="BK90" s="17" t="e">
        <v>#N/A</v>
      </c>
      <c r="BL90" s="17" t="e">
        <v>#N/A</v>
      </c>
      <c r="BM90" s="17" t="e">
        <v>#N/A</v>
      </c>
      <c r="BN90" s="17" t="e">
        <v>#N/A</v>
      </c>
      <c r="BO90" s="17" t="e">
        <v>#N/A</v>
      </c>
      <c r="BP90" s="17" t="e">
        <v>#N/A</v>
      </c>
      <c r="BQ90" s="17" t="e">
        <v>#N/A</v>
      </c>
      <c r="BR90" s="17" t="e">
        <v>#N/A</v>
      </c>
      <c r="BS90" s="17" t="e">
        <v>#N/A</v>
      </c>
      <c r="BT90" s="17" t="e">
        <v>#N/A</v>
      </c>
      <c r="BU90" s="17" t="e">
        <v>#N/A</v>
      </c>
      <c r="BV90" s="17" t="e">
        <v>#N/A</v>
      </c>
      <c r="BW90" s="17" t="e">
        <v>#N/A</v>
      </c>
      <c r="BX90" s="17" t="e">
        <v>#N/A</v>
      </c>
      <c r="BY90" s="17" t="e">
        <v>#N/A</v>
      </c>
      <c r="BZ90" s="17" t="e">
        <v>#N/A</v>
      </c>
      <c r="CA90" s="17" t="e">
        <v>#N/A</v>
      </c>
      <c r="CB90" s="17" t="e">
        <v>#N/A</v>
      </c>
      <c r="CC90" s="17" t="e">
        <v>#N/A</v>
      </c>
      <c r="CD90" s="17" t="e">
        <v>#N/A</v>
      </c>
      <c r="CE90" s="17" t="e">
        <v>#N/A</v>
      </c>
      <c r="CF90" s="17" t="e">
        <v>#N/A</v>
      </c>
      <c r="CG90" s="17" t="e">
        <v>#N/A</v>
      </c>
      <c r="CH90" s="17" t="e">
        <v>#N/A</v>
      </c>
      <c r="CI90" s="17" t="e">
        <v>#N/A</v>
      </c>
      <c r="CJ90" s="17" t="e">
        <v>#N/A</v>
      </c>
      <c r="CK90" s="17" t="e">
        <v>#N/A</v>
      </c>
      <c r="CL90" s="17" t="e">
        <v>#N/A</v>
      </c>
      <c r="CM90" s="17" t="e">
        <v>#N/A</v>
      </c>
      <c r="CN90" s="17" t="e">
        <v>#N/A</v>
      </c>
      <c r="CO90" s="17" t="e">
        <v>#N/A</v>
      </c>
      <c r="CP90" s="17" t="e">
        <v>#N/A</v>
      </c>
      <c r="CQ90" s="17" t="e">
        <v>#N/A</v>
      </c>
      <c r="CR90" s="17" t="e">
        <v>#N/A</v>
      </c>
      <c r="CS90" s="17" t="e">
        <v>#N/A</v>
      </c>
      <c r="CT90" s="17" t="e">
        <v>#N/A</v>
      </c>
      <c r="CU90" s="17" t="e">
        <v>#N/A</v>
      </c>
      <c r="CV90" s="17" t="e">
        <v>#N/A</v>
      </c>
      <c r="CW90" s="17" t="e">
        <v>#N/A</v>
      </c>
      <c r="CX90" s="17" t="e">
        <v>#N/A</v>
      </c>
      <c r="CY90" s="17" t="e">
        <v>#N/A</v>
      </c>
      <c r="CZ90" s="17" t="e">
        <v>#N/A</v>
      </c>
      <c r="DA90" s="17" t="e">
        <v>#N/A</v>
      </c>
      <c r="DB90" s="17" t="e">
        <v>#N/A</v>
      </c>
      <c r="DC90" s="17" t="e">
        <v>#N/A</v>
      </c>
      <c r="DD90" s="17" t="e">
        <v>#N/A</v>
      </c>
      <c r="DE90" s="17" t="e">
        <v>#N/A</v>
      </c>
      <c r="DF90" s="17" t="e">
        <v>#N/A</v>
      </c>
      <c r="DG90" s="17" t="e">
        <v>#N/A</v>
      </c>
      <c r="DH90" s="17" t="e">
        <v>#N/A</v>
      </c>
      <c r="DI90" s="17" t="e">
        <v>#N/A</v>
      </c>
      <c r="DJ90" s="17" t="e">
        <v>#N/A</v>
      </c>
      <c r="DK90" s="17" t="e">
        <v>#N/A</v>
      </c>
      <c r="DL90" s="17" t="e">
        <v>#N/A</v>
      </c>
      <c r="DM90" s="17" t="e">
        <v>#N/A</v>
      </c>
      <c r="DN90" s="17" t="e">
        <v>#N/A</v>
      </c>
      <c r="DO90" s="17" t="e">
        <v>#N/A</v>
      </c>
      <c r="DP90" s="17" t="e">
        <v>#N/A</v>
      </c>
      <c r="DQ90" s="17" t="e">
        <v>#N/A</v>
      </c>
      <c r="DR90" s="17" t="e">
        <v>#N/A</v>
      </c>
      <c r="DS90" s="17" t="e">
        <v>#N/A</v>
      </c>
      <c r="DT90" s="17" t="e">
        <v>#N/A</v>
      </c>
      <c r="DU90" s="17" t="e">
        <v>#N/A</v>
      </c>
      <c r="DV90" s="17" t="e">
        <v>#N/A</v>
      </c>
      <c r="DW90" s="17" t="e">
        <v>#N/A</v>
      </c>
      <c r="DX90" s="17" t="e">
        <v>#N/A</v>
      </c>
      <c r="DY90" s="17" t="e">
        <v>#N/A</v>
      </c>
      <c r="DZ90" s="17" t="e">
        <v>#N/A</v>
      </c>
      <c r="EA90" s="17" t="e">
        <v>#N/A</v>
      </c>
      <c r="EB90" s="17" t="e">
        <v>#N/A</v>
      </c>
      <c r="EC90" s="17" t="e">
        <v>#N/A</v>
      </c>
      <c r="ED90" s="17" t="e">
        <v>#N/A</v>
      </c>
      <c r="EE90" s="17" t="e">
        <v>#N/A</v>
      </c>
      <c r="EF90" s="17" t="e">
        <v>#N/A</v>
      </c>
      <c r="EG90" s="17" t="e">
        <v>#N/A</v>
      </c>
      <c r="EH90" s="17" t="e">
        <v>#N/A</v>
      </c>
      <c r="EI90" s="17" t="e">
        <v>#N/A</v>
      </c>
      <c r="EJ90" s="17" t="e">
        <v>#N/A</v>
      </c>
      <c r="EK90" s="17" t="e">
        <v>#N/A</v>
      </c>
      <c r="EL90" s="17" t="e">
        <v>#N/A</v>
      </c>
      <c r="EM90" s="17" t="e">
        <v>#N/A</v>
      </c>
      <c r="EN90" s="17" t="e">
        <v>#N/A</v>
      </c>
      <c r="EO90" s="17" t="e">
        <v>#N/A</v>
      </c>
      <c r="EP90" s="17" t="e">
        <v>#N/A</v>
      </c>
      <c r="EQ90" s="17" t="e">
        <v>#N/A</v>
      </c>
      <c r="ER90" s="17" t="e">
        <v>#N/A</v>
      </c>
      <c r="ES90" s="17" t="e">
        <v>#N/A</v>
      </c>
      <c r="ET90" s="17" t="e">
        <v>#N/A</v>
      </c>
      <c r="EU90" s="17" t="e">
        <v>#N/A</v>
      </c>
      <c r="EV90" s="17" t="e">
        <v>#N/A</v>
      </c>
      <c r="EW90" s="17" t="e">
        <v>#N/A</v>
      </c>
      <c r="EX90" s="17" t="e">
        <v>#N/A</v>
      </c>
      <c r="EY90" s="17" t="e">
        <v>#N/A</v>
      </c>
      <c r="EZ90" s="17" t="e">
        <v>#N/A</v>
      </c>
      <c r="FA90" s="17" t="e">
        <v>#N/A</v>
      </c>
      <c r="FB90" s="17" t="e">
        <v>#N/A</v>
      </c>
      <c r="FC90" s="17" t="e">
        <v>#N/A</v>
      </c>
      <c r="FD90" s="17" t="e">
        <v>#N/A</v>
      </c>
      <c r="FE90" s="17" t="e">
        <v>#N/A</v>
      </c>
      <c r="FF90" s="17" t="e">
        <v>#N/A</v>
      </c>
      <c r="FG90" s="17" t="e">
        <v>#N/A</v>
      </c>
      <c r="FH90" s="17" t="e">
        <v>#N/A</v>
      </c>
      <c r="FI90" s="17" t="e">
        <v>#N/A</v>
      </c>
      <c r="FJ90" s="17" t="e">
        <v>#N/A</v>
      </c>
      <c r="FK90" s="17" t="e">
        <v>#N/A</v>
      </c>
      <c r="FL90" s="17" t="e">
        <v>#N/A</v>
      </c>
      <c r="FM90" s="17" t="e">
        <v>#N/A</v>
      </c>
      <c r="FN90" s="17" t="e">
        <v>#N/A</v>
      </c>
      <c r="FO90" s="17" t="e">
        <v>#N/A</v>
      </c>
      <c r="FP90" s="17" t="e">
        <v>#N/A</v>
      </c>
      <c r="FQ90" s="17" t="e">
        <v>#N/A</v>
      </c>
      <c r="FR90" s="17" t="e">
        <v>#N/A</v>
      </c>
      <c r="FS90" s="17" t="e">
        <v>#N/A</v>
      </c>
      <c r="FT90" s="17" t="e">
        <v>#N/A</v>
      </c>
      <c r="FU90" s="17" t="e">
        <v>#N/A</v>
      </c>
      <c r="FV90" s="17" t="e">
        <v>#N/A</v>
      </c>
    </row>
    <row r="91" spans="2:178" ht="11.25" customHeight="1">
      <c r="B91" s="17" t="e">
        <v>#N/A</v>
      </c>
      <c r="C91" s="17" t="e">
        <v>#N/A</v>
      </c>
      <c r="D91" s="17" t="e">
        <v>#N/A</v>
      </c>
      <c r="E91" s="17" t="e">
        <v>#N/A</v>
      </c>
      <c r="F91" s="17" t="e">
        <v>#N/A</v>
      </c>
      <c r="G91" s="17" t="e">
        <v>#N/A</v>
      </c>
      <c r="H91" s="17" t="e">
        <v>#N/A</v>
      </c>
      <c r="I91" s="17" t="e">
        <v>#N/A</v>
      </c>
      <c r="J91" s="17" t="e">
        <v>#N/A</v>
      </c>
      <c r="K91" s="17" t="e">
        <v>#N/A</v>
      </c>
      <c r="L91" s="17" t="e">
        <v>#N/A</v>
      </c>
      <c r="M91" s="17" t="e">
        <v>#N/A</v>
      </c>
      <c r="N91" s="17" t="e">
        <v>#N/A</v>
      </c>
      <c r="O91" s="17" t="e">
        <v>#N/A</v>
      </c>
      <c r="P91" s="17" t="e">
        <v>#N/A</v>
      </c>
      <c r="Q91" s="17" t="e">
        <v>#N/A</v>
      </c>
      <c r="R91" s="17" t="e">
        <v>#N/A</v>
      </c>
      <c r="S91" s="17" t="e">
        <v>#N/A</v>
      </c>
      <c r="T91" s="17" t="e">
        <v>#N/A</v>
      </c>
      <c r="U91" s="17" t="e">
        <v>#N/A</v>
      </c>
      <c r="V91" s="17" t="e">
        <v>#N/A</v>
      </c>
      <c r="W91" s="17" t="e">
        <v>#N/A</v>
      </c>
      <c r="X91" s="17" t="e">
        <v>#N/A</v>
      </c>
      <c r="Y91" s="17" t="e">
        <v>#N/A</v>
      </c>
      <c r="Z91" s="17" t="e">
        <v>#N/A</v>
      </c>
      <c r="AA91" s="17" t="e">
        <v>#N/A</v>
      </c>
      <c r="AB91" s="17" t="e">
        <v>#N/A</v>
      </c>
      <c r="AC91" s="17" t="e">
        <v>#N/A</v>
      </c>
      <c r="AD91" s="17" t="e">
        <v>#N/A</v>
      </c>
      <c r="AE91" s="17" t="e">
        <v>#N/A</v>
      </c>
      <c r="AF91" s="17" t="e">
        <v>#N/A</v>
      </c>
      <c r="AG91" s="17" t="e">
        <v>#N/A</v>
      </c>
      <c r="AH91" s="17" t="e">
        <v>#N/A</v>
      </c>
      <c r="AI91" s="17" t="e">
        <v>#N/A</v>
      </c>
      <c r="AJ91" s="17" t="e">
        <v>#N/A</v>
      </c>
      <c r="AK91" s="17" t="e">
        <v>#N/A</v>
      </c>
      <c r="AL91" s="17" t="e">
        <v>#N/A</v>
      </c>
      <c r="AM91" s="17" t="e">
        <v>#N/A</v>
      </c>
      <c r="AN91" s="17" t="e">
        <v>#N/A</v>
      </c>
      <c r="AO91" s="17" t="e">
        <v>#N/A</v>
      </c>
      <c r="AP91" s="17" t="e">
        <v>#N/A</v>
      </c>
      <c r="AQ91" s="17" t="e">
        <v>#N/A</v>
      </c>
      <c r="AR91" s="17" t="e">
        <v>#N/A</v>
      </c>
      <c r="AS91" s="17" t="e">
        <v>#N/A</v>
      </c>
      <c r="AT91" s="17" t="e">
        <v>#N/A</v>
      </c>
      <c r="AU91" s="17" t="e">
        <v>#N/A</v>
      </c>
      <c r="AV91" s="17" t="e">
        <v>#N/A</v>
      </c>
      <c r="AW91" s="17" t="e">
        <v>#N/A</v>
      </c>
      <c r="AX91" s="17" t="e">
        <v>#N/A</v>
      </c>
      <c r="AY91" s="17" t="e">
        <v>#N/A</v>
      </c>
      <c r="AZ91" s="17" t="e">
        <v>#N/A</v>
      </c>
      <c r="BA91" s="17" t="e">
        <v>#N/A</v>
      </c>
      <c r="BB91" s="17" t="e">
        <v>#N/A</v>
      </c>
      <c r="BC91" s="17" t="e">
        <v>#N/A</v>
      </c>
      <c r="BD91" s="17" t="e">
        <v>#N/A</v>
      </c>
      <c r="BE91" s="17" t="e">
        <v>#N/A</v>
      </c>
      <c r="BF91" s="17" t="e">
        <v>#N/A</v>
      </c>
      <c r="BG91" s="17" t="e">
        <v>#N/A</v>
      </c>
      <c r="BH91" s="17" t="e">
        <v>#N/A</v>
      </c>
      <c r="BI91" s="17" t="e">
        <v>#N/A</v>
      </c>
      <c r="BJ91" s="17" t="e">
        <v>#N/A</v>
      </c>
      <c r="BK91" s="17" t="e">
        <v>#N/A</v>
      </c>
      <c r="BL91" s="17" t="e">
        <v>#N/A</v>
      </c>
      <c r="BM91" s="17" t="e">
        <v>#N/A</v>
      </c>
      <c r="BN91" s="17" t="e">
        <v>#N/A</v>
      </c>
      <c r="BO91" s="17" t="e">
        <v>#N/A</v>
      </c>
      <c r="BP91" s="17" t="e">
        <v>#N/A</v>
      </c>
      <c r="BQ91" s="17" t="e">
        <v>#N/A</v>
      </c>
      <c r="BR91" s="17" t="e">
        <v>#N/A</v>
      </c>
      <c r="BS91" s="17" t="e">
        <v>#N/A</v>
      </c>
      <c r="BT91" s="17" t="e">
        <v>#N/A</v>
      </c>
      <c r="BU91" s="17" t="e">
        <v>#N/A</v>
      </c>
      <c r="BV91" s="17" t="e">
        <v>#N/A</v>
      </c>
      <c r="BW91" s="17" t="e">
        <v>#N/A</v>
      </c>
      <c r="BX91" s="17" t="e">
        <v>#N/A</v>
      </c>
      <c r="BY91" s="17" t="e">
        <v>#N/A</v>
      </c>
      <c r="BZ91" s="17" t="e">
        <v>#N/A</v>
      </c>
      <c r="CA91" s="17" t="e">
        <v>#N/A</v>
      </c>
      <c r="CB91" s="17" t="e">
        <v>#N/A</v>
      </c>
      <c r="CC91" s="17" t="e">
        <v>#N/A</v>
      </c>
      <c r="CD91" s="17" t="e">
        <v>#N/A</v>
      </c>
      <c r="CE91" s="17" t="e">
        <v>#N/A</v>
      </c>
      <c r="CF91" s="17" t="e">
        <v>#N/A</v>
      </c>
      <c r="CG91" s="17" t="e">
        <v>#N/A</v>
      </c>
      <c r="CH91" s="17" t="e">
        <v>#N/A</v>
      </c>
      <c r="CI91" s="17" t="e">
        <v>#N/A</v>
      </c>
      <c r="CJ91" s="17" t="e">
        <v>#N/A</v>
      </c>
      <c r="CK91" s="17" t="e">
        <v>#N/A</v>
      </c>
      <c r="CL91" s="17" t="e">
        <v>#N/A</v>
      </c>
      <c r="CM91" s="17" t="e">
        <v>#N/A</v>
      </c>
      <c r="CN91" s="17" t="e">
        <v>#N/A</v>
      </c>
      <c r="CO91" s="17" t="e">
        <v>#N/A</v>
      </c>
      <c r="CP91" s="17" t="e">
        <v>#N/A</v>
      </c>
      <c r="CQ91" s="17" t="e">
        <v>#N/A</v>
      </c>
      <c r="CR91" s="17" t="e">
        <v>#N/A</v>
      </c>
      <c r="CS91" s="17" t="e">
        <v>#N/A</v>
      </c>
      <c r="CT91" s="17" t="e">
        <v>#N/A</v>
      </c>
      <c r="CU91" s="17" t="e">
        <v>#N/A</v>
      </c>
      <c r="CV91" s="17" t="e">
        <v>#N/A</v>
      </c>
      <c r="CW91" s="17" t="e">
        <v>#N/A</v>
      </c>
      <c r="CX91" s="17" t="e">
        <v>#N/A</v>
      </c>
      <c r="CY91" s="17" t="e">
        <v>#N/A</v>
      </c>
      <c r="CZ91" s="17" t="e">
        <v>#N/A</v>
      </c>
      <c r="DA91" s="17" t="e">
        <v>#N/A</v>
      </c>
      <c r="DB91" s="17" t="e">
        <v>#N/A</v>
      </c>
      <c r="DC91" s="17" t="e">
        <v>#N/A</v>
      </c>
      <c r="DD91" s="17" t="e">
        <v>#N/A</v>
      </c>
      <c r="DE91" s="17" t="e">
        <v>#N/A</v>
      </c>
      <c r="DF91" s="17" t="e">
        <v>#N/A</v>
      </c>
      <c r="DG91" s="17" t="e">
        <v>#N/A</v>
      </c>
      <c r="DH91" s="17" t="e">
        <v>#N/A</v>
      </c>
      <c r="DI91" s="17" t="e">
        <v>#N/A</v>
      </c>
      <c r="DJ91" s="17" t="e">
        <v>#N/A</v>
      </c>
      <c r="DK91" s="17" t="e">
        <v>#N/A</v>
      </c>
      <c r="DL91" s="17" t="e">
        <v>#N/A</v>
      </c>
      <c r="DM91" s="17" t="e">
        <v>#N/A</v>
      </c>
      <c r="DN91" s="17" t="e">
        <v>#N/A</v>
      </c>
      <c r="DO91" s="17" t="e">
        <v>#N/A</v>
      </c>
      <c r="DP91" s="17" t="e">
        <v>#N/A</v>
      </c>
      <c r="DQ91" s="17" t="e">
        <v>#N/A</v>
      </c>
      <c r="DR91" s="17" t="e">
        <v>#N/A</v>
      </c>
      <c r="DS91" s="17" t="e">
        <v>#N/A</v>
      </c>
      <c r="DT91" s="17" t="e">
        <v>#N/A</v>
      </c>
      <c r="DU91" s="17" t="e">
        <v>#N/A</v>
      </c>
      <c r="DV91" s="17" t="e">
        <v>#N/A</v>
      </c>
      <c r="DW91" s="17" t="e">
        <v>#N/A</v>
      </c>
      <c r="DX91" s="17" t="e">
        <v>#N/A</v>
      </c>
      <c r="DY91" s="17" t="e">
        <v>#N/A</v>
      </c>
      <c r="DZ91" s="17" t="e">
        <v>#N/A</v>
      </c>
      <c r="EA91" s="17" t="e">
        <v>#N/A</v>
      </c>
      <c r="EB91" s="17" t="e">
        <v>#N/A</v>
      </c>
      <c r="EC91" s="17" t="e">
        <v>#N/A</v>
      </c>
      <c r="ED91" s="17" t="e">
        <v>#N/A</v>
      </c>
      <c r="EE91" s="17" t="e">
        <v>#N/A</v>
      </c>
      <c r="EF91" s="17" t="e">
        <v>#N/A</v>
      </c>
      <c r="EG91" s="17" t="e">
        <v>#N/A</v>
      </c>
      <c r="EH91" s="17" t="e">
        <v>#N/A</v>
      </c>
      <c r="EI91" s="17" t="e">
        <v>#N/A</v>
      </c>
      <c r="EJ91" s="17" t="e">
        <v>#N/A</v>
      </c>
      <c r="EK91" s="17" t="e">
        <v>#N/A</v>
      </c>
      <c r="EL91" s="17" t="e">
        <v>#N/A</v>
      </c>
      <c r="EM91" s="17" t="e">
        <v>#N/A</v>
      </c>
      <c r="EN91" s="17" t="e">
        <v>#N/A</v>
      </c>
      <c r="EO91" s="17" t="e">
        <v>#N/A</v>
      </c>
      <c r="EP91" s="17" t="e">
        <v>#N/A</v>
      </c>
      <c r="EQ91" s="17" t="e">
        <v>#N/A</v>
      </c>
      <c r="ER91" s="17" t="e">
        <v>#N/A</v>
      </c>
      <c r="ES91" s="17" t="e">
        <v>#N/A</v>
      </c>
      <c r="ET91" s="17" t="e">
        <v>#N/A</v>
      </c>
      <c r="EU91" s="17" t="e">
        <v>#N/A</v>
      </c>
      <c r="EV91" s="17" t="e">
        <v>#N/A</v>
      </c>
      <c r="EW91" s="17" t="e">
        <v>#N/A</v>
      </c>
      <c r="EX91" s="17" t="e">
        <v>#N/A</v>
      </c>
      <c r="EY91" s="17" t="e">
        <v>#N/A</v>
      </c>
      <c r="EZ91" s="17" t="e">
        <v>#N/A</v>
      </c>
      <c r="FA91" s="17" t="e">
        <v>#N/A</v>
      </c>
      <c r="FB91" s="17" t="e">
        <v>#N/A</v>
      </c>
      <c r="FC91" s="17" t="e">
        <v>#N/A</v>
      </c>
      <c r="FD91" s="17" t="e">
        <v>#N/A</v>
      </c>
      <c r="FE91" s="17" t="e">
        <v>#N/A</v>
      </c>
      <c r="FF91" s="17" t="e">
        <v>#N/A</v>
      </c>
      <c r="FG91" s="17" t="e">
        <v>#N/A</v>
      </c>
      <c r="FH91" s="17" t="e">
        <v>#N/A</v>
      </c>
      <c r="FI91" s="17" t="e">
        <v>#N/A</v>
      </c>
      <c r="FJ91" s="17" t="e">
        <v>#N/A</v>
      </c>
      <c r="FK91" s="17" t="e">
        <v>#N/A</v>
      </c>
      <c r="FL91" s="17" t="e">
        <v>#N/A</v>
      </c>
      <c r="FM91" s="17" t="e">
        <v>#N/A</v>
      </c>
      <c r="FN91" s="17" t="e">
        <v>#N/A</v>
      </c>
      <c r="FO91" s="17" t="e">
        <v>#N/A</v>
      </c>
      <c r="FP91" s="17" t="e">
        <v>#N/A</v>
      </c>
      <c r="FQ91" s="17" t="e">
        <v>#N/A</v>
      </c>
      <c r="FR91" s="17" t="e">
        <v>#N/A</v>
      </c>
      <c r="FS91" s="17" t="e">
        <v>#N/A</v>
      </c>
      <c r="FT91" s="17" t="e">
        <v>#N/A</v>
      </c>
      <c r="FU91" s="17" t="e">
        <v>#N/A</v>
      </c>
      <c r="FV91" s="17" t="e">
        <v>#N/A</v>
      </c>
    </row>
    <row r="92" spans="2:178" ht="11.25" customHeight="1">
      <c r="B92" s="17" t="e">
        <v>#N/A</v>
      </c>
      <c r="C92" s="17" t="e">
        <v>#N/A</v>
      </c>
      <c r="D92" s="17" t="e">
        <v>#N/A</v>
      </c>
      <c r="E92" s="17" t="e">
        <v>#N/A</v>
      </c>
      <c r="F92" s="17" t="e">
        <v>#N/A</v>
      </c>
      <c r="G92" s="17" t="e">
        <v>#N/A</v>
      </c>
      <c r="H92" s="17" t="e">
        <v>#N/A</v>
      </c>
      <c r="I92" s="17" t="e">
        <v>#N/A</v>
      </c>
      <c r="J92" s="17" t="e">
        <v>#N/A</v>
      </c>
      <c r="K92" s="17" t="e">
        <v>#N/A</v>
      </c>
      <c r="L92" s="17" t="e">
        <v>#N/A</v>
      </c>
      <c r="M92" s="17" t="e">
        <v>#N/A</v>
      </c>
      <c r="N92" s="17" t="e">
        <v>#N/A</v>
      </c>
      <c r="O92" s="17" t="e">
        <v>#N/A</v>
      </c>
      <c r="P92" s="17" t="e">
        <v>#N/A</v>
      </c>
      <c r="Q92" s="17" t="e">
        <v>#N/A</v>
      </c>
      <c r="R92" s="17" t="e">
        <v>#N/A</v>
      </c>
      <c r="S92" s="17" t="e">
        <v>#N/A</v>
      </c>
      <c r="T92" s="17" t="e">
        <v>#N/A</v>
      </c>
      <c r="U92" s="17" t="e">
        <v>#N/A</v>
      </c>
      <c r="V92" s="17" t="e">
        <v>#N/A</v>
      </c>
      <c r="W92" s="17" t="e">
        <v>#N/A</v>
      </c>
      <c r="X92" s="17" t="e">
        <v>#N/A</v>
      </c>
      <c r="Y92" s="17" t="e">
        <v>#N/A</v>
      </c>
      <c r="Z92" s="17" t="e">
        <v>#N/A</v>
      </c>
      <c r="AA92" s="17" t="e">
        <v>#N/A</v>
      </c>
      <c r="AB92" s="17" t="e">
        <v>#N/A</v>
      </c>
      <c r="AC92" s="17" t="e">
        <v>#N/A</v>
      </c>
      <c r="AD92" s="17" t="e">
        <v>#N/A</v>
      </c>
      <c r="AE92" s="17" t="e">
        <v>#N/A</v>
      </c>
      <c r="AF92" s="17" t="e">
        <v>#N/A</v>
      </c>
      <c r="AG92" s="17" t="e">
        <v>#N/A</v>
      </c>
      <c r="AH92" s="17" t="e">
        <v>#N/A</v>
      </c>
      <c r="AI92" s="17" t="e">
        <v>#N/A</v>
      </c>
      <c r="AJ92" s="17" t="e">
        <v>#N/A</v>
      </c>
      <c r="AK92" s="17" t="e">
        <v>#N/A</v>
      </c>
      <c r="AL92" s="17" t="e">
        <v>#N/A</v>
      </c>
      <c r="AM92" s="17" t="e">
        <v>#N/A</v>
      </c>
      <c r="AN92" s="17" t="e">
        <v>#N/A</v>
      </c>
      <c r="AO92" s="17" t="e">
        <v>#N/A</v>
      </c>
      <c r="AP92" s="17" t="e">
        <v>#N/A</v>
      </c>
      <c r="AQ92" s="17" t="e">
        <v>#N/A</v>
      </c>
      <c r="AR92" s="17" t="e">
        <v>#N/A</v>
      </c>
      <c r="AS92" s="17" t="e">
        <v>#N/A</v>
      </c>
      <c r="AT92" s="17" t="e">
        <v>#N/A</v>
      </c>
      <c r="AU92" s="17" t="e">
        <v>#N/A</v>
      </c>
      <c r="AV92" s="17" t="e">
        <v>#N/A</v>
      </c>
      <c r="AW92" s="17" t="e">
        <v>#N/A</v>
      </c>
      <c r="AX92" s="17" t="e">
        <v>#N/A</v>
      </c>
      <c r="AY92" s="17" t="e">
        <v>#N/A</v>
      </c>
      <c r="AZ92" s="17" t="e">
        <v>#N/A</v>
      </c>
      <c r="BA92" s="17" t="e">
        <v>#N/A</v>
      </c>
      <c r="BB92" s="17" t="e">
        <v>#N/A</v>
      </c>
      <c r="BC92" s="17" t="e">
        <v>#N/A</v>
      </c>
      <c r="BD92" s="17" t="e">
        <v>#N/A</v>
      </c>
      <c r="BE92" s="17" t="e">
        <v>#N/A</v>
      </c>
      <c r="BF92" s="17" t="e">
        <v>#N/A</v>
      </c>
      <c r="BG92" s="17" t="e">
        <v>#N/A</v>
      </c>
      <c r="BH92" s="17" t="e">
        <v>#N/A</v>
      </c>
      <c r="BI92" s="17" t="e">
        <v>#N/A</v>
      </c>
      <c r="BJ92" s="17" t="e">
        <v>#N/A</v>
      </c>
      <c r="BK92" s="17" t="e">
        <v>#N/A</v>
      </c>
      <c r="BL92" s="17" t="e">
        <v>#N/A</v>
      </c>
      <c r="BM92" s="17" t="e">
        <v>#N/A</v>
      </c>
      <c r="BN92" s="17" t="e">
        <v>#N/A</v>
      </c>
      <c r="BO92" s="17" t="e">
        <v>#N/A</v>
      </c>
      <c r="BP92" s="17" t="e">
        <v>#N/A</v>
      </c>
      <c r="BQ92" s="17" t="e">
        <v>#N/A</v>
      </c>
      <c r="BR92" s="17" t="e">
        <v>#N/A</v>
      </c>
      <c r="BS92" s="17" t="e">
        <v>#N/A</v>
      </c>
      <c r="BT92" s="17" t="e">
        <v>#N/A</v>
      </c>
      <c r="BU92" s="17" t="e">
        <v>#N/A</v>
      </c>
      <c r="BV92" s="17" t="e">
        <v>#N/A</v>
      </c>
      <c r="BW92" s="17" t="e">
        <v>#N/A</v>
      </c>
      <c r="BX92" s="17" t="e">
        <v>#N/A</v>
      </c>
      <c r="BY92" s="17" t="e">
        <v>#N/A</v>
      </c>
      <c r="BZ92" s="17" t="e">
        <v>#N/A</v>
      </c>
      <c r="CA92" s="17" t="e">
        <v>#N/A</v>
      </c>
      <c r="CB92" s="17" t="e">
        <v>#N/A</v>
      </c>
      <c r="CC92" s="17" t="e">
        <v>#N/A</v>
      </c>
      <c r="CD92" s="17" t="e">
        <v>#N/A</v>
      </c>
      <c r="CE92" s="17" t="e">
        <v>#N/A</v>
      </c>
      <c r="CF92" s="17" t="e">
        <v>#N/A</v>
      </c>
      <c r="CG92" s="17" t="e">
        <v>#N/A</v>
      </c>
      <c r="CH92" s="17" t="e">
        <v>#N/A</v>
      </c>
      <c r="CI92" s="17" t="e">
        <v>#N/A</v>
      </c>
      <c r="CJ92" s="17" t="e">
        <v>#N/A</v>
      </c>
      <c r="CK92" s="17" t="e">
        <v>#N/A</v>
      </c>
      <c r="CL92" s="17" t="e">
        <v>#N/A</v>
      </c>
      <c r="CM92" s="17" t="e">
        <v>#N/A</v>
      </c>
      <c r="CN92" s="17" t="e">
        <v>#N/A</v>
      </c>
      <c r="CO92" s="17" t="e">
        <v>#N/A</v>
      </c>
      <c r="CP92" s="17" t="e">
        <v>#N/A</v>
      </c>
      <c r="CQ92" s="17" t="e">
        <v>#N/A</v>
      </c>
      <c r="CR92" s="17" t="e">
        <v>#N/A</v>
      </c>
      <c r="CS92" s="17" t="e">
        <v>#N/A</v>
      </c>
      <c r="CT92" s="17" t="e">
        <v>#N/A</v>
      </c>
      <c r="CU92" s="17" t="e">
        <v>#N/A</v>
      </c>
      <c r="CV92" s="17" t="e">
        <v>#N/A</v>
      </c>
      <c r="CW92" s="17" t="e">
        <v>#N/A</v>
      </c>
      <c r="CX92" s="17" t="e">
        <v>#N/A</v>
      </c>
      <c r="CY92" s="17" t="e">
        <v>#N/A</v>
      </c>
      <c r="CZ92" s="17" t="e">
        <v>#N/A</v>
      </c>
      <c r="DA92" s="17" t="e">
        <v>#N/A</v>
      </c>
      <c r="DB92" s="17" t="e">
        <v>#N/A</v>
      </c>
      <c r="DC92" s="17" t="e">
        <v>#N/A</v>
      </c>
      <c r="DD92" s="17" t="e">
        <v>#N/A</v>
      </c>
      <c r="DE92" s="17" t="e">
        <v>#N/A</v>
      </c>
      <c r="DF92" s="17" t="e">
        <v>#N/A</v>
      </c>
      <c r="DG92" s="17" t="e">
        <v>#N/A</v>
      </c>
      <c r="DH92" s="17" t="e">
        <v>#N/A</v>
      </c>
      <c r="DI92" s="17" t="e">
        <v>#N/A</v>
      </c>
      <c r="DJ92" s="17" t="e">
        <v>#N/A</v>
      </c>
      <c r="DK92" s="17" t="e">
        <v>#N/A</v>
      </c>
      <c r="DL92" s="17" t="e">
        <v>#N/A</v>
      </c>
      <c r="DM92" s="17" t="e">
        <v>#N/A</v>
      </c>
      <c r="DN92" s="17" t="e">
        <v>#N/A</v>
      </c>
      <c r="DO92" s="17" t="e">
        <v>#N/A</v>
      </c>
      <c r="DP92" s="17" t="e">
        <v>#N/A</v>
      </c>
      <c r="DQ92" s="17" t="e">
        <v>#N/A</v>
      </c>
      <c r="DR92" s="17" t="e">
        <v>#N/A</v>
      </c>
      <c r="DS92" s="17" t="e">
        <v>#N/A</v>
      </c>
      <c r="DT92" s="17" t="e">
        <v>#N/A</v>
      </c>
      <c r="DU92" s="17" t="e">
        <v>#N/A</v>
      </c>
      <c r="DV92" s="17" t="e">
        <v>#N/A</v>
      </c>
      <c r="DW92" s="17" t="e">
        <v>#N/A</v>
      </c>
      <c r="DX92" s="17" t="e">
        <v>#N/A</v>
      </c>
      <c r="DY92" s="17" t="e">
        <v>#N/A</v>
      </c>
      <c r="DZ92" s="17" t="e">
        <v>#N/A</v>
      </c>
      <c r="EA92" s="17" t="e">
        <v>#N/A</v>
      </c>
      <c r="EB92" s="17" t="e">
        <v>#N/A</v>
      </c>
      <c r="EC92" s="17" t="e">
        <v>#N/A</v>
      </c>
      <c r="ED92" s="17" t="e">
        <v>#N/A</v>
      </c>
      <c r="EE92" s="17" t="e">
        <v>#N/A</v>
      </c>
      <c r="EF92" s="17" t="e">
        <v>#N/A</v>
      </c>
      <c r="EG92" s="17" t="e">
        <v>#N/A</v>
      </c>
      <c r="EH92" s="17" t="e">
        <v>#N/A</v>
      </c>
      <c r="EI92" s="17" t="e">
        <v>#N/A</v>
      </c>
      <c r="EJ92" s="17" t="e">
        <v>#N/A</v>
      </c>
      <c r="EK92" s="17" t="e">
        <v>#N/A</v>
      </c>
      <c r="EL92" s="17" t="e">
        <v>#N/A</v>
      </c>
      <c r="EM92" s="17" t="e">
        <v>#N/A</v>
      </c>
      <c r="EN92" s="17" t="e">
        <v>#N/A</v>
      </c>
      <c r="EO92" s="17" t="e">
        <v>#N/A</v>
      </c>
      <c r="EP92" s="17" t="e">
        <v>#N/A</v>
      </c>
      <c r="EQ92" s="17" t="e">
        <v>#N/A</v>
      </c>
      <c r="ER92" s="17" t="e">
        <v>#N/A</v>
      </c>
      <c r="ES92" s="17" t="e">
        <v>#N/A</v>
      </c>
      <c r="ET92" s="17" t="e">
        <v>#N/A</v>
      </c>
      <c r="EU92" s="17" t="e">
        <v>#N/A</v>
      </c>
      <c r="EV92" s="17" t="e">
        <v>#N/A</v>
      </c>
      <c r="EW92" s="17" t="e">
        <v>#N/A</v>
      </c>
      <c r="EX92" s="17" t="e">
        <v>#N/A</v>
      </c>
      <c r="EY92" s="17" t="e">
        <v>#N/A</v>
      </c>
      <c r="EZ92" s="17" t="e">
        <v>#N/A</v>
      </c>
      <c r="FA92" s="17" t="e">
        <v>#N/A</v>
      </c>
      <c r="FB92" s="17" t="e">
        <v>#N/A</v>
      </c>
      <c r="FC92" s="17" t="e">
        <v>#N/A</v>
      </c>
      <c r="FD92" s="17" t="e">
        <v>#N/A</v>
      </c>
      <c r="FE92" s="17" t="e">
        <v>#N/A</v>
      </c>
      <c r="FF92" s="17" t="e">
        <v>#N/A</v>
      </c>
      <c r="FG92" s="17" t="e">
        <v>#N/A</v>
      </c>
      <c r="FH92" s="17" t="e">
        <v>#N/A</v>
      </c>
      <c r="FI92" s="17" t="e">
        <v>#N/A</v>
      </c>
      <c r="FJ92" s="17" t="e">
        <v>#N/A</v>
      </c>
      <c r="FK92" s="17" t="e">
        <v>#N/A</v>
      </c>
      <c r="FL92" s="17" t="e">
        <v>#N/A</v>
      </c>
      <c r="FM92" s="17" t="e">
        <v>#N/A</v>
      </c>
      <c r="FN92" s="17" t="e">
        <v>#N/A</v>
      </c>
      <c r="FO92" s="17" t="e">
        <v>#N/A</v>
      </c>
      <c r="FP92" s="17" t="e">
        <v>#N/A</v>
      </c>
      <c r="FQ92" s="17" t="e">
        <v>#N/A</v>
      </c>
      <c r="FR92" s="17" t="e">
        <v>#N/A</v>
      </c>
      <c r="FS92" s="17" t="e">
        <v>#N/A</v>
      </c>
      <c r="FT92" s="17" t="e">
        <v>#N/A</v>
      </c>
      <c r="FU92" s="17" t="e">
        <v>#N/A</v>
      </c>
      <c r="FV92" s="17" t="e">
        <v>#N/A</v>
      </c>
    </row>
    <row r="93" spans="2:178" ht="11.25" customHeight="1">
      <c r="B93" s="17" t="e">
        <v>#N/A</v>
      </c>
      <c r="C93" s="17" t="e">
        <v>#N/A</v>
      </c>
      <c r="D93" s="17" t="e">
        <v>#N/A</v>
      </c>
      <c r="E93" s="17" t="e">
        <v>#N/A</v>
      </c>
      <c r="F93" s="17" t="e">
        <v>#N/A</v>
      </c>
      <c r="G93" s="17" t="e">
        <v>#N/A</v>
      </c>
      <c r="H93" s="17" t="e">
        <v>#N/A</v>
      </c>
      <c r="I93" s="17" t="e">
        <v>#N/A</v>
      </c>
      <c r="J93" s="17" t="e">
        <v>#N/A</v>
      </c>
      <c r="K93" s="17" t="e">
        <v>#N/A</v>
      </c>
      <c r="L93" s="17" t="e">
        <v>#N/A</v>
      </c>
      <c r="M93" s="17" t="e">
        <v>#N/A</v>
      </c>
      <c r="N93" s="17" t="e">
        <v>#N/A</v>
      </c>
      <c r="O93" s="17" t="e">
        <v>#N/A</v>
      </c>
      <c r="P93" s="17" t="e">
        <v>#N/A</v>
      </c>
      <c r="Q93" s="17" t="e">
        <v>#N/A</v>
      </c>
      <c r="R93" s="17" t="e">
        <v>#N/A</v>
      </c>
      <c r="S93" s="17" t="e">
        <v>#N/A</v>
      </c>
      <c r="T93" s="17" t="e">
        <v>#N/A</v>
      </c>
      <c r="U93" s="17" t="e">
        <v>#N/A</v>
      </c>
      <c r="V93" s="17" t="e">
        <v>#N/A</v>
      </c>
      <c r="W93" s="17" t="e">
        <v>#N/A</v>
      </c>
      <c r="X93" s="17" t="e">
        <v>#N/A</v>
      </c>
      <c r="Y93" s="17" t="e">
        <v>#N/A</v>
      </c>
      <c r="Z93" s="17" t="e">
        <v>#N/A</v>
      </c>
      <c r="AA93" s="17" t="e">
        <v>#N/A</v>
      </c>
      <c r="AB93" s="17" t="e">
        <v>#N/A</v>
      </c>
      <c r="AC93" s="17" t="e">
        <v>#N/A</v>
      </c>
      <c r="AD93" s="17" t="e">
        <v>#N/A</v>
      </c>
      <c r="AE93" s="17" t="e">
        <v>#N/A</v>
      </c>
      <c r="AF93" s="17" t="e">
        <v>#N/A</v>
      </c>
      <c r="AG93" s="17" t="e">
        <v>#N/A</v>
      </c>
      <c r="AH93" s="17" t="e">
        <v>#N/A</v>
      </c>
      <c r="AI93" s="17" t="e">
        <v>#N/A</v>
      </c>
      <c r="AJ93" s="17" t="e">
        <v>#N/A</v>
      </c>
      <c r="AK93" s="17" t="e">
        <v>#N/A</v>
      </c>
      <c r="AL93" s="17" t="e">
        <v>#N/A</v>
      </c>
      <c r="AM93" s="17" t="e">
        <v>#N/A</v>
      </c>
      <c r="AN93" s="17" t="e">
        <v>#N/A</v>
      </c>
      <c r="AO93" s="17" t="e">
        <v>#N/A</v>
      </c>
      <c r="AP93" s="17" t="e">
        <v>#N/A</v>
      </c>
      <c r="AQ93" s="17" t="e">
        <v>#N/A</v>
      </c>
      <c r="AR93" s="17" t="e">
        <v>#N/A</v>
      </c>
      <c r="AS93" s="17" t="e">
        <v>#N/A</v>
      </c>
      <c r="AT93" s="17" t="e">
        <v>#N/A</v>
      </c>
      <c r="AU93" s="17" t="e">
        <v>#N/A</v>
      </c>
      <c r="AV93" s="17" t="e">
        <v>#N/A</v>
      </c>
      <c r="AW93" s="17" t="e">
        <v>#N/A</v>
      </c>
      <c r="AX93" s="17" t="e">
        <v>#N/A</v>
      </c>
      <c r="AY93" s="17" t="e">
        <v>#N/A</v>
      </c>
      <c r="AZ93" s="17" t="e">
        <v>#N/A</v>
      </c>
      <c r="BA93" s="17" t="e">
        <v>#N/A</v>
      </c>
      <c r="BB93" s="17" t="e">
        <v>#N/A</v>
      </c>
      <c r="BC93" s="17" t="e">
        <v>#N/A</v>
      </c>
      <c r="BD93" s="17" t="e">
        <v>#N/A</v>
      </c>
      <c r="BE93" s="17" t="e">
        <v>#N/A</v>
      </c>
      <c r="BF93" s="17" t="e">
        <v>#N/A</v>
      </c>
      <c r="BG93" s="17" t="e">
        <v>#N/A</v>
      </c>
      <c r="BH93" s="17" t="e">
        <v>#N/A</v>
      </c>
      <c r="BI93" s="17" t="e">
        <v>#N/A</v>
      </c>
      <c r="BJ93" s="17" t="e">
        <v>#N/A</v>
      </c>
      <c r="BK93" s="17" t="e">
        <v>#N/A</v>
      </c>
      <c r="BL93" s="17" t="e">
        <v>#N/A</v>
      </c>
      <c r="BM93" s="17" t="e">
        <v>#N/A</v>
      </c>
      <c r="BN93" s="17" t="e">
        <v>#N/A</v>
      </c>
      <c r="BO93" s="17" t="e">
        <v>#N/A</v>
      </c>
      <c r="BP93" s="17" t="e">
        <v>#N/A</v>
      </c>
      <c r="BQ93" s="17" t="e">
        <v>#N/A</v>
      </c>
      <c r="BR93" s="17" t="e">
        <v>#N/A</v>
      </c>
      <c r="BS93" s="17" t="e">
        <v>#N/A</v>
      </c>
      <c r="BT93" s="17" t="e">
        <v>#N/A</v>
      </c>
      <c r="BU93" s="17" t="e">
        <v>#N/A</v>
      </c>
      <c r="BV93" s="17" t="e">
        <v>#N/A</v>
      </c>
      <c r="BW93" s="17" t="e">
        <v>#N/A</v>
      </c>
      <c r="BX93" s="17" t="e">
        <v>#N/A</v>
      </c>
      <c r="BY93" s="17" t="e">
        <v>#N/A</v>
      </c>
      <c r="BZ93" s="17" t="e">
        <v>#N/A</v>
      </c>
      <c r="CA93" s="17" t="e">
        <v>#N/A</v>
      </c>
      <c r="CB93" s="17" t="e">
        <v>#N/A</v>
      </c>
      <c r="CC93" s="17" t="e">
        <v>#N/A</v>
      </c>
      <c r="CD93" s="17" t="e">
        <v>#N/A</v>
      </c>
      <c r="CE93" s="17" t="e">
        <v>#N/A</v>
      </c>
      <c r="CF93" s="17" t="e">
        <v>#N/A</v>
      </c>
      <c r="CG93" s="17" t="e">
        <v>#N/A</v>
      </c>
      <c r="CH93" s="17" t="e">
        <v>#N/A</v>
      </c>
      <c r="CI93" s="17" t="e">
        <v>#N/A</v>
      </c>
      <c r="CJ93" s="17" t="e">
        <v>#N/A</v>
      </c>
      <c r="CK93" s="17" t="e">
        <v>#N/A</v>
      </c>
      <c r="CL93" s="17" t="e">
        <v>#N/A</v>
      </c>
      <c r="CM93" s="17" t="e">
        <v>#N/A</v>
      </c>
      <c r="CN93" s="17" t="e">
        <v>#N/A</v>
      </c>
      <c r="CO93" s="17" t="e">
        <v>#N/A</v>
      </c>
      <c r="CP93" s="17" t="e">
        <v>#N/A</v>
      </c>
      <c r="CQ93" s="17" t="e">
        <v>#N/A</v>
      </c>
      <c r="CR93" s="17" t="e">
        <v>#N/A</v>
      </c>
      <c r="CS93" s="17" t="e">
        <v>#N/A</v>
      </c>
      <c r="CT93" s="17" t="e">
        <v>#N/A</v>
      </c>
      <c r="CU93" s="17" t="e">
        <v>#N/A</v>
      </c>
      <c r="CV93" s="17" t="e">
        <v>#N/A</v>
      </c>
      <c r="CW93" s="17" t="e">
        <v>#N/A</v>
      </c>
      <c r="CX93" s="17" t="e">
        <v>#N/A</v>
      </c>
      <c r="CY93" s="17" t="e">
        <v>#N/A</v>
      </c>
      <c r="CZ93" s="17" t="e">
        <v>#N/A</v>
      </c>
      <c r="DA93" s="17" t="e">
        <v>#N/A</v>
      </c>
      <c r="DB93" s="17" t="e">
        <v>#N/A</v>
      </c>
      <c r="DC93" s="17" t="e">
        <v>#N/A</v>
      </c>
      <c r="DD93" s="17" t="e">
        <v>#N/A</v>
      </c>
      <c r="DE93" s="17" t="e">
        <v>#N/A</v>
      </c>
      <c r="DF93" s="17" t="e">
        <v>#N/A</v>
      </c>
      <c r="DG93" s="17" t="e">
        <v>#N/A</v>
      </c>
      <c r="DH93" s="17" t="e">
        <v>#N/A</v>
      </c>
      <c r="DI93" s="17" t="e">
        <v>#N/A</v>
      </c>
      <c r="DJ93" s="17" t="e">
        <v>#N/A</v>
      </c>
      <c r="DK93" s="17" t="e">
        <v>#N/A</v>
      </c>
      <c r="DL93" s="17" t="e">
        <v>#N/A</v>
      </c>
      <c r="DM93" s="17" t="e">
        <v>#N/A</v>
      </c>
      <c r="DN93" s="17" t="e">
        <v>#N/A</v>
      </c>
      <c r="DO93" s="17" t="e">
        <v>#N/A</v>
      </c>
      <c r="DP93" s="17" t="e">
        <v>#N/A</v>
      </c>
      <c r="DQ93" s="17" t="e">
        <v>#N/A</v>
      </c>
      <c r="DR93" s="17" t="e">
        <v>#N/A</v>
      </c>
      <c r="DS93" s="17" t="e">
        <v>#N/A</v>
      </c>
      <c r="DT93" s="17" t="e">
        <v>#N/A</v>
      </c>
      <c r="DU93" s="17" t="e">
        <v>#N/A</v>
      </c>
      <c r="DV93" s="17" t="e">
        <v>#N/A</v>
      </c>
      <c r="DW93" s="17" t="e">
        <v>#N/A</v>
      </c>
      <c r="DX93" s="17" t="e">
        <v>#N/A</v>
      </c>
      <c r="DY93" s="17" t="e">
        <v>#N/A</v>
      </c>
      <c r="DZ93" s="17" t="e">
        <v>#N/A</v>
      </c>
      <c r="EA93" s="17" t="e">
        <v>#N/A</v>
      </c>
      <c r="EB93" s="17" t="e">
        <v>#N/A</v>
      </c>
      <c r="EC93" s="17" t="e">
        <v>#N/A</v>
      </c>
      <c r="ED93" s="17" t="e">
        <v>#N/A</v>
      </c>
      <c r="EE93" s="17" t="e">
        <v>#N/A</v>
      </c>
      <c r="EF93" s="17" t="e">
        <v>#N/A</v>
      </c>
      <c r="EG93" s="17" t="e">
        <v>#N/A</v>
      </c>
      <c r="EH93" s="17" t="e">
        <v>#N/A</v>
      </c>
      <c r="EI93" s="17" t="e">
        <v>#N/A</v>
      </c>
      <c r="EJ93" s="17" t="e">
        <v>#N/A</v>
      </c>
      <c r="EK93" s="17" t="e">
        <v>#N/A</v>
      </c>
      <c r="EL93" s="17" t="e">
        <v>#N/A</v>
      </c>
      <c r="EM93" s="17" t="e">
        <v>#N/A</v>
      </c>
      <c r="EN93" s="17" t="e">
        <v>#N/A</v>
      </c>
      <c r="EO93" s="17" t="e">
        <v>#N/A</v>
      </c>
      <c r="EP93" s="17" t="e">
        <v>#N/A</v>
      </c>
      <c r="EQ93" s="17" t="e">
        <v>#N/A</v>
      </c>
      <c r="ER93" s="17" t="e">
        <v>#N/A</v>
      </c>
      <c r="ES93" s="17" t="e">
        <v>#N/A</v>
      </c>
      <c r="ET93" s="17" t="e">
        <v>#N/A</v>
      </c>
      <c r="EU93" s="17" t="e">
        <v>#N/A</v>
      </c>
      <c r="EV93" s="17" t="e">
        <v>#N/A</v>
      </c>
      <c r="EW93" s="17" t="e">
        <v>#N/A</v>
      </c>
      <c r="EX93" s="17" t="e">
        <v>#N/A</v>
      </c>
      <c r="EY93" s="17" t="e">
        <v>#N/A</v>
      </c>
      <c r="EZ93" s="17" t="e">
        <v>#N/A</v>
      </c>
      <c r="FA93" s="17" t="e">
        <v>#N/A</v>
      </c>
      <c r="FB93" s="17" t="e">
        <v>#N/A</v>
      </c>
      <c r="FC93" s="17" t="e">
        <v>#N/A</v>
      </c>
      <c r="FD93" s="17" t="e">
        <v>#N/A</v>
      </c>
      <c r="FE93" s="17" t="e">
        <v>#N/A</v>
      </c>
      <c r="FF93" s="17" t="e">
        <v>#N/A</v>
      </c>
      <c r="FG93" s="17" t="e">
        <v>#N/A</v>
      </c>
      <c r="FH93" s="17" t="e">
        <v>#N/A</v>
      </c>
      <c r="FI93" s="17" t="e">
        <v>#N/A</v>
      </c>
      <c r="FJ93" s="17" t="e">
        <v>#N/A</v>
      </c>
      <c r="FK93" s="17" t="e">
        <v>#N/A</v>
      </c>
      <c r="FL93" s="17" t="e">
        <v>#N/A</v>
      </c>
      <c r="FM93" s="17" t="e">
        <v>#N/A</v>
      </c>
      <c r="FN93" s="17" t="e">
        <v>#N/A</v>
      </c>
      <c r="FO93" s="17" t="e">
        <v>#N/A</v>
      </c>
      <c r="FP93" s="17" t="e">
        <v>#N/A</v>
      </c>
      <c r="FQ93" s="17" t="e">
        <v>#N/A</v>
      </c>
      <c r="FR93" s="17" t="e">
        <v>#N/A</v>
      </c>
      <c r="FS93" s="17" t="e">
        <v>#N/A</v>
      </c>
      <c r="FT93" s="17" t="e">
        <v>#N/A</v>
      </c>
      <c r="FU93" s="17" t="e">
        <v>#N/A</v>
      </c>
      <c r="FV93" s="17" t="e">
        <v>#N/A</v>
      </c>
    </row>
    <row r="94" spans="2:178" ht="11.25" customHeight="1">
      <c r="B94" s="17" t="e">
        <v>#N/A</v>
      </c>
      <c r="C94" s="17" t="e">
        <v>#N/A</v>
      </c>
      <c r="D94" s="17" t="e">
        <v>#N/A</v>
      </c>
      <c r="E94" s="17" t="e">
        <v>#N/A</v>
      </c>
      <c r="F94" s="17" t="e">
        <v>#N/A</v>
      </c>
      <c r="G94" s="17" t="e">
        <v>#N/A</v>
      </c>
      <c r="H94" s="17" t="e">
        <v>#N/A</v>
      </c>
      <c r="I94" s="17" t="e">
        <v>#N/A</v>
      </c>
      <c r="J94" s="17" t="e">
        <v>#N/A</v>
      </c>
      <c r="K94" s="17" t="e">
        <v>#N/A</v>
      </c>
      <c r="L94" s="17" t="e">
        <v>#N/A</v>
      </c>
      <c r="M94" s="17" t="e">
        <v>#N/A</v>
      </c>
      <c r="N94" s="17" t="e">
        <v>#N/A</v>
      </c>
      <c r="O94" s="17" t="e">
        <v>#N/A</v>
      </c>
      <c r="P94" s="17" t="e">
        <v>#N/A</v>
      </c>
      <c r="Q94" s="17" t="e">
        <v>#N/A</v>
      </c>
      <c r="R94" s="17" t="e">
        <v>#N/A</v>
      </c>
      <c r="S94" s="17" t="e">
        <v>#N/A</v>
      </c>
      <c r="T94" s="17" t="e">
        <v>#N/A</v>
      </c>
      <c r="U94" s="17" t="e">
        <v>#N/A</v>
      </c>
      <c r="V94" s="17" t="e">
        <v>#N/A</v>
      </c>
      <c r="W94" s="17" t="e">
        <v>#N/A</v>
      </c>
      <c r="X94" s="17" t="e">
        <v>#N/A</v>
      </c>
      <c r="Y94" s="17" t="e">
        <v>#N/A</v>
      </c>
      <c r="Z94" s="17" t="e">
        <v>#N/A</v>
      </c>
      <c r="AA94" s="17" t="e">
        <v>#N/A</v>
      </c>
      <c r="AB94" s="17" t="e">
        <v>#N/A</v>
      </c>
      <c r="AC94" s="17" t="e">
        <v>#N/A</v>
      </c>
      <c r="AD94" s="17" t="e">
        <v>#N/A</v>
      </c>
      <c r="AE94" s="17" t="e">
        <v>#N/A</v>
      </c>
      <c r="AF94" s="17" t="e">
        <v>#N/A</v>
      </c>
      <c r="AG94" s="17" t="e">
        <v>#N/A</v>
      </c>
      <c r="AH94" s="17" t="e">
        <v>#N/A</v>
      </c>
      <c r="AI94" s="17" t="e">
        <v>#N/A</v>
      </c>
      <c r="AJ94" s="17" t="e">
        <v>#N/A</v>
      </c>
      <c r="AK94" s="17" t="e">
        <v>#N/A</v>
      </c>
      <c r="AL94" s="17" t="e">
        <v>#N/A</v>
      </c>
      <c r="AM94" s="17" t="e">
        <v>#N/A</v>
      </c>
      <c r="AN94" s="17" t="e">
        <v>#N/A</v>
      </c>
      <c r="AO94" s="17" t="e">
        <v>#N/A</v>
      </c>
      <c r="AP94" s="17" t="e">
        <v>#N/A</v>
      </c>
      <c r="AQ94" s="17" t="e">
        <v>#N/A</v>
      </c>
      <c r="AR94" s="17" t="e">
        <v>#N/A</v>
      </c>
      <c r="AS94" s="17" t="e">
        <v>#N/A</v>
      </c>
      <c r="AT94" s="17" t="e">
        <v>#N/A</v>
      </c>
      <c r="AU94" s="17" t="e">
        <v>#N/A</v>
      </c>
      <c r="AV94" s="17" t="e">
        <v>#N/A</v>
      </c>
      <c r="AW94" s="17" t="e">
        <v>#N/A</v>
      </c>
      <c r="AX94" s="17" t="e">
        <v>#N/A</v>
      </c>
      <c r="AY94" s="17" t="e">
        <v>#N/A</v>
      </c>
      <c r="AZ94" s="17" t="e">
        <v>#N/A</v>
      </c>
      <c r="BA94" s="17" t="e">
        <v>#N/A</v>
      </c>
      <c r="BB94" s="17" t="e">
        <v>#N/A</v>
      </c>
      <c r="BC94" s="17" t="e">
        <v>#N/A</v>
      </c>
      <c r="BD94" s="17" t="e">
        <v>#N/A</v>
      </c>
      <c r="BE94" s="17" t="e">
        <v>#N/A</v>
      </c>
      <c r="BF94" s="17" t="e">
        <v>#N/A</v>
      </c>
      <c r="BG94" s="17" t="e">
        <v>#N/A</v>
      </c>
      <c r="BH94" s="17" t="e">
        <v>#N/A</v>
      </c>
      <c r="BI94" s="17" t="e">
        <v>#N/A</v>
      </c>
      <c r="BJ94" s="17" t="e">
        <v>#N/A</v>
      </c>
      <c r="BK94" s="17" t="e">
        <v>#N/A</v>
      </c>
      <c r="BL94" s="17" t="e">
        <v>#N/A</v>
      </c>
      <c r="BM94" s="17" t="e">
        <v>#N/A</v>
      </c>
      <c r="BN94" s="17" t="e">
        <v>#N/A</v>
      </c>
      <c r="BO94" s="17" t="e">
        <v>#N/A</v>
      </c>
      <c r="BP94" s="17" t="e">
        <v>#N/A</v>
      </c>
      <c r="BQ94" s="17" t="e">
        <v>#N/A</v>
      </c>
      <c r="BR94" s="17" t="e">
        <v>#N/A</v>
      </c>
      <c r="BS94" s="17" t="e">
        <v>#N/A</v>
      </c>
      <c r="BT94" s="17" t="e">
        <v>#N/A</v>
      </c>
      <c r="BU94" s="17" t="e">
        <v>#N/A</v>
      </c>
      <c r="BV94" s="17" t="e">
        <v>#N/A</v>
      </c>
      <c r="BW94" s="17" t="e">
        <v>#N/A</v>
      </c>
      <c r="BX94" s="17" t="e">
        <v>#N/A</v>
      </c>
      <c r="BY94" s="17" t="e">
        <v>#N/A</v>
      </c>
      <c r="BZ94" s="17" t="e">
        <v>#N/A</v>
      </c>
      <c r="CA94" s="17" t="e">
        <v>#N/A</v>
      </c>
      <c r="CB94" s="17" t="e">
        <v>#N/A</v>
      </c>
      <c r="CC94" s="17" t="e">
        <v>#N/A</v>
      </c>
      <c r="CD94" s="17" t="e">
        <v>#N/A</v>
      </c>
      <c r="CE94" s="17" t="e">
        <v>#N/A</v>
      </c>
      <c r="CF94" s="17" t="e">
        <v>#N/A</v>
      </c>
      <c r="CG94" s="17" t="e">
        <v>#N/A</v>
      </c>
      <c r="CH94" s="17" t="e">
        <v>#N/A</v>
      </c>
      <c r="CI94" s="17" t="e">
        <v>#N/A</v>
      </c>
      <c r="CJ94" s="17" t="e">
        <v>#N/A</v>
      </c>
      <c r="CK94" s="17" t="e">
        <v>#N/A</v>
      </c>
      <c r="CL94" s="17" t="e">
        <v>#N/A</v>
      </c>
      <c r="CM94" s="17" t="e">
        <v>#N/A</v>
      </c>
      <c r="CN94" s="17" t="e">
        <v>#N/A</v>
      </c>
      <c r="CO94" s="17" t="e">
        <v>#N/A</v>
      </c>
      <c r="CP94" s="17" t="e">
        <v>#N/A</v>
      </c>
      <c r="CQ94" s="17" t="e">
        <v>#N/A</v>
      </c>
      <c r="CR94" s="17" t="e">
        <v>#N/A</v>
      </c>
      <c r="CS94" s="17" t="e">
        <v>#N/A</v>
      </c>
      <c r="CT94" s="17" t="e">
        <v>#N/A</v>
      </c>
      <c r="CU94" s="17" t="e">
        <v>#N/A</v>
      </c>
      <c r="CV94" s="17" t="e">
        <v>#N/A</v>
      </c>
      <c r="CW94" s="17" t="e">
        <v>#N/A</v>
      </c>
      <c r="CX94" s="17" t="e">
        <v>#N/A</v>
      </c>
      <c r="CY94" s="17" t="e">
        <v>#N/A</v>
      </c>
      <c r="CZ94" s="17" t="e">
        <v>#N/A</v>
      </c>
      <c r="DA94" s="17" t="e">
        <v>#N/A</v>
      </c>
      <c r="DB94" s="17" t="e">
        <v>#N/A</v>
      </c>
      <c r="DC94" s="17" t="e">
        <v>#N/A</v>
      </c>
      <c r="DD94" s="17" t="e">
        <v>#N/A</v>
      </c>
      <c r="DE94" s="17" t="e">
        <v>#N/A</v>
      </c>
      <c r="DF94" s="17" t="e">
        <v>#N/A</v>
      </c>
      <c r="DG94" s="17" t="e">
        <v>#N/A</v>
      </c>
      <c r="DH94" s="17" t="e">
        <v>#N/A</v>
      </c>
      <c r="DI94" s="17" t="e">
        <v>#N/A</v>
      </c>
      <c r="DJ94" s="17" t="e">
        <v>#N/A</v>
      </c>
      <c r="DK94" s="17" t="e">
        <v>#N/A</v>
      </c>
      <c r="DL94" s="17" t="e">
        <v>#N/A</v>
      </c>
      <c r="DM94" s="17" t="e">
        <v>#N/A</v>
      </c>
      <c r="DN94" s="17" t="e">
        <v>#N/A</v>
      </c>
      <c r="DO94" s="17" t="e">
        <v>#N/A</v>
      </c>
      <c r="DP94" s="17" t="e">
        <v>#N/A</v>
      </c>
      <c r="DQ94" s="17" t="e">
        <v>#N/A</v>
      </c>
      <c r="DR94" s="17" t="e">
        <v>#N/A</v>
      </c>
      <c r="DS94" s="17" t="e">
        <v>#N/A</v>
      </c>
      <c r="DT94" s="17" t="e">
        <v>#N/A</v>
      </c>
      <c r="DU94" s="17" t="e">
        <v>#N/A</v>
      </c>
      <c r="DV94" s="17" t="e">
        <v>#N/A</v>
      </c>
      <c r="DW94" s="17" t="e">
        <v>#N/A</v>
      </c>
      <c r="DX94" s="17" t="e">
        <v>#N/A</v>
      </c>
      <c r="DY94" s="17" t="e">
        <v>#N/A</v>
      </c>
      <c r="DZ94" s="17" t="e">
        <v>#N/A</v>
      </c>
      <c r="EA94" s="17" t="e">
        <v>#N/A</v>
      </c>
      <c r="EB94" s="17" t="e">
        <v>#N/A</v>
      </c>
      <c r="EC94" s="17" t="e">
        <v>#N/A</v>
      </c>
      <c r="ED94" s="17" t="e">
        <v>#N/A</v>
      </c>
      <c r="EE94" s="17" t="e">
        <v>#N/A</v>
      </c>
      <c r="EF94" s="17" t="e">
        <v>#N/A</v>
      </c>
      <c r="EG94" s="17" t="e">
        <v>#N/A</v>
      </c>
      <c r="EH94" s="17" t="e">
        <v>#N/A</v>
      </c>
      <c r="EI94" s="17" t="e">
        <v>#N/A</v>
      </c>
      <c r="EJ94" s="17" t="e">
        <v>#N/A</v>
      </c>
      <c r="EK94" s="17" t="e">
        <v>#N/A</v>
      </c>
      <c r="EL94" s="17" t="e">
        <v>#N/A</v>
      </c>
      <c r="EM94" s="17" t="e">
        <v>#N/A</v>
      </c>
      <c r="EN94" s="17" t="e">
        <v>#N/A</v>
      </c>
      <c r="EO94" s="17" t="e">
        <v>#N/A</v>
      </c>
      <c r="EP94" s="17" t="e">
        <v>#N/A</v>
      </c>
      <c r="EQ94" s="17" t="e">
        <v>#N/A</v>
      </c>
      <c r="ER94" s="17" t="e">
        <v>#N/A</v>
      </c>
      <c r="ES94" s="17" t="e">
        <v>#N/A</v>
      </c>
      <c r="ET94" s="17" t="e">
        <v>#N/A</v>
      </c>
      <c r="EU94" s="17" t="e">
        <v>#N/A</v>
      </c>
      <c r="EV94" s="17" t="e">
        <v>#N/A</v>
      </c>
      <c r="EW94" s="17" t="e">
        <v>#N/A</v>
      </c>
      <c r="EX94" s="17" t="e">
        <v>#N/A</v>
      </c>
      <c r="EY94" s="17" t="e">
        <v>#N/A</v>
      </c>
      <c r="EZ94" s="17" t="e">
        <v>#N/A</v>
      </c>
      <c r="FA94" s="17" t="e">
        <v>#N/A</v>
      </c>
      <c r="FB94" s="17" t="e">
        <v>#N/A</v>
      </c>
      <c r="FC94" s="17" t="e">
        <v>#N/A</v>
      </c>
      <c r="FD94" s="17" t="e">
        <v>#N/A</v>
      </c>
      <c r="FE94" s="17" t="e">
        <v>#N/A</v>
      </c>
      <c r="FF94" s="17" t="e">
        <v>#N/A</v>
      </c>
      <c r="FG94" s="17" t="e">
        <v>#N/A</v>
      </c>
      <c r="FH94" s="17" t="e">
        <v>#N/A</v>
      </c>
      <c r="FI94" s="17" t="e">
        <v>#N/A</v>
      </c>
      <c r="FJ94" s="17" t="e">
        <v>#N/A</v>
      </c>
      <c r="FK94" s="17" t="e">
        <v>#N/A</v>
      </c>
      <c r="FL94" s="17" t="e">
        <v>#N/A</v>
      </c>
      <c r="FM94" s="17" t="e">
        <v>#N/A</v>
      </c>
      <c r="FN94" s="17" t="e">
        <v>#N/A</v>
      </c>
      <c r="FO94" s="17" t="e">
        <v>#N/A</v>
      </c>
      <c r="FP94" s="17" t="e">
        <v>#N/A</v>
      </c>
      <c r="FQ94" s="17" t="e">
        <v>#N/A</v>
      </c>
      <c r="FR94" s="17" t="e">
        <v>#N/A</v>
      </c>
      <c r="FS94" s="17" t="e">
        <v>#N/A</v>
      </c>
      <c r="FT94" s="17" t="e">
        <v>#N/A</v>
      </c>
      <c r="FU94" s="17" t="e">
        <v>#N/A</v>
      </c>
      <c r="FV94" s="17" t="e">
        <v>#N/A</v>
      </c>
    </row>
    <row r="95" spans="2:178" ht="11.25" customHeight="1">
      <c r="B95" s="17" t="e">
        <v>#N/A</v>
      </c>
      <c r="C95" s="17" t="e">
        <v>#N/A</v>
      </c>
      <c r="D95" s="17" t="e">
        <v>#N/A</v>
      </c>
      <c r="E95" s="17" t="e">
        <v>#N/A</v>
      </c>
      <c r="F95" s="17" t="e">
        <v>#N/A</v>
      </c>
      <c r="G95" s="17" t="e">
        <v>#N/A</v>
      </c>
      <c r="H95" s="17" t="e">
        <v>#N/A</v>
      </c>
      <c r="I95" s="17" t="e">
        <v>#N/A</v>
      </c>
      <c r="J95" s="17" t="e">
        <v>#N/A</v>
      </c>
      <c r="K95" s="17" t="e">
        <v>#N/A</v>
      </c>
      <c r="L95" s="17" t="e">
        <v>#N/A</v>
      </c>
      <c r="M95" s="17" t="e">
        <v>#N/A</v>
      </c>
      <c r="N95" s="17" t="e">
        <v>#N/A</v>
      </c>
      <c r="O95" s="17" t="e">
        <v>#N/A</v>
      </c>
      <c r="P95" s="17" t="e">
        <v>#N/A</v>
      </c>
      <c r="Q95" s="17" t="e">
        <v>#N/A</v>
      </c>
      <c r="R95" s="17" t="e">
        <v>#N/A</v>
      </c>
      <c r="S95" s="17" t="e">
        <v>#N/A</v>
      </c>
      <c r="T95" s="17" t="e">
        <v>#N/A</v>
      </c>
      <c r="U95" s="17" t="e">
        <v>#N/A</v>
      </c>
      <c r="V95" s="17" t="e">
        <v>#N/A</v>
      </c>
      <c r="W95" s="17" t="e">
        <v>#N/A</v>
      </c>
      <c r="X95" s="17" t="e">
        <v>#N/A</v>
      </c>
      <c r="Y95" s="17" t="e">
        <v>#N/A</v>
      </c>
      <c r="Z95" s="17" t="e">
        <v>#N/A</v>
      </c>
      <c r="AA95" s="17" t="e">
        <v>#N/A</v>
      </c>
      <c r="AB95" s="17" t="e">
        <v>#N/A</v>
      </c>
      <c r="AC95" s="17" t="e">
        <v>#N/A</v>
      </c>
      <c r="AD95" s="17" t="e">
        <v>#N/A</v>
      </c>
      <c r="AE95" s="17" t="e">
        <v>#N/A</v>
      </c>
      <c r="AF95" s="17" t="e">
        <v>#N/A</v>
      </c>
      <c r="AG95" s="17" t="e">
        <v>#N/A</v>
      </c>
      <c r="AH95" s="17" t="e">
        <v>#N/A</v>
      </c>
      <c r="AI95" s="17" t="e">
        <v>#N/A</v>
      </c>
      <c r="AJ95" s="17" t="e">
        <v>#N/A</v>
      </c>
      <c r="AK95" s="17" t="e">
        <v>#N/A</v>
      </c>
      <c r="AL95" s="17" t="e">
        <v>#N/A</v>
      </c>
      <c r="AM95" s="17" t="e">
        <v>#N/A</v>
      </c>
      <c r="AN95" s="17" t="e">
        <v>#N/A</v>
      </c>
      <c r="AO95" s="17" t="e">
        <v>#N/A</v>
      </c>
      <c r="AP95" s="17" t="e">
        <v>#N/A</v>
      </c>
      <c r="AQ95" s="17" t="e">
        <v>#N/A</v>
      </c>
      <c r="AR95" s="17" t="e">
        <v>#N/A</v>
      </c>
      <c r="AS95" s="17" t="e">
        <v>#N/A</v>
      </c>
      <c r="AT95" s="17" t="e">
        <v>#N/A</v>
      </c>
      <c r="AU95" s="17" t="e">
        <v>#N/A</v>
      </c>
      <c r="AV95" s="17" t="e">
        <v>#N/A</v>
      </c>
      <c r="AW95" s="17" t="e">
        <v>#N/A</v>
      </c>
      <c r="AX95" s="17" t="e">
        <v>#N/A</v>
      </c>
      <c r="AY95" s="17" t="e">
        <v>#N/A</v>
      </c>
      <c r="AZ95" s="17" t="e">
        <v>#N/A</v>
      </c>
      <c r="BA95" s="17" t="e">
        <v>#N/A</v>
      </c>
      <c r="BB95" s="17" t="e">
        <v>#N/A</v>
      </c>
      <c r="BC95" s="17" t="e">
        <v>#N/A</v>
      </c>
      <c r="BD95" s="17" t="e">
        <v>#N/A</v>
      </c>
      <c r="BE95" s="17" t="e">
        <v>#N/A</v>
      </c>
      <c r="BF95" s="17" t="e">
        <v>#N/A</v>
      </c>
      <c r="BG95" s="17" t="e">
        <v>#N/A</v>
      </c>
      <c r="BH95" s="17" t="e">
        <v>#N/A</v>
      </c>
      <c r="BI95" s="17" t="e">
        <v>#N/A</v>
      </c>
      <c r="BJ95" s="17" t="e">
        <v>#N/A</v>
      </c>
      <c r="BK95" s="17" t="e">
        <v>#N/A</v>
      </c>
      <c r="BL95" s="17" t="e">
        <v>#N/A</v>
      </c>
      <c r="BM95" s="17" t="e">
        <v>#N/A</v>
      </c>
      <c r="BN95" s="17" t="e">
        <v>#N/A</v>
      </c>
      <c r="BO95" s="17" t="e">
        <v>#N/A</v>
      </c>
      <c r="BP95" s="17" t="e">
        <v>#N/A</v>
      </c>
      <c r="BQ95" s="17" t="e">
        <v>#N/A</v>
      </c>
      <c r="BR95" s="17" t="e">
        <v>#N/A</v>
      </c>
      <c r="BS95" s="17" t="e">
        <v>#N/A</v>
      </c>
      <c r="BT95" s="17" t="e">
        <v>#N/A</v>
      </c>
      <c r="BU95" s="17" t="e">
        <v>#N/A</v>
      </c>
      <c r="BV95" s="17" t="e">
        <v>#N/A</v>
      </c>
      <c r="BW95" s="17" t="e">
        <v>#N/A</v>
      </c>
      <c r="BX95" s="17" t="e">
        <v>#N/A</v>
      </c>
      <c r="BY95" s="17" t="e">
        <v>#N/A</v>
      </c>
      <c r="BZ95" s="17" t="e">
        <v>#N/A</v>
      </c>
      <c r="CA95" s="17" t="e">
        <v>#N/A</v>
      </c>
      <c r="CB95" s="17" t="e">
        <v>#N/A</v>
      </c>
      <c r="CC95" s="17" t="e">
        <v>#N/A</v>
      </c>
      <c r="CD95" s="17" t="e">
        <v>#N/A</v>
      </c>
      <c r="CE95" s="17" t="e">
        <v>#N/A</v>
      </c>
      <c r="CF95" s="17" t="e">
        <v>#N/A</v>
      </c>
      <c r="CG95" s="17" t="e">
        <v>#N/A</v>
      </c>
      <c r="CH95" s="17" t="e">
        <v>#N/A</v>
      </c>
      <c r="CI95" s="17" t="e">
        <v>#N/A</v>
      </c>
      <c r="CJ95" s="17" t="e">
        <v>#N/A</v>
      </c>
      <c r="CK95" s="17" t="e">
        <v>#N/A</v>
      </c>
      <c r="CL95" s="17" t="e">
        <v>#N/A</v>
      </c>
      <c r="CM95" s="17" t="e">
        <v>#N/A</v>
      </c>
      <c r="CN95" s="17" t="e">
        <v>#N/A</v>
      </c>
      <c r="CO95" s="17" t="e">
        <v>#N/A</v>
      </c>
      <c r="CP95" s="17" t="e">
        <v>#N/A</v>
      </c>
      <c r="CQ95" s="17" t="e">
        <v>#N/A</v>
      </c>
      <c r="CR95" s="17" t="e">
        <v>#N/A</v>
      </c>
      <c r="CS95" s="17" t="e">
        <v>#N/A</v>
      </c>
      <c r="CT95" s="17" t="e">
        <v>#N/A</v>
      </c>
      <c r="CU95" s="17" t="e">
        <v>#N/A</v>
      </c>
      <c r="CV95" s="17" t="e">
        <v>#N/A</v>
      </c>
      <c r="CW95" s="17" t="e">
        <v>#N/A</v>
      </c>
      <c r="CX95" s="17" t="e">
        <v>#N/A</v>
      </c>
      <c r="CY95" s="17" t="e">
        <v>#N/A</v>
      </c>
      <c r="CZ95" s="17" t="e">
        <v>#N/A</v>
      </c>
      <c r="DA95" s="17" t="e">
        <v>#N/A</v>
      </c>
      <c r="DB95" s="17" t="e">
        <v>#N/A</v>
      </c>
      <c r="DC95" s="17" t="e">
        <v>#N/A</v>
      </c>
      <c r="DD95" s="17" t="e">
        <v>#N/A</v>
      </c>
      <c r="DE95" s="17" t="e">
        <v>#N/A</v>
      </c>
      <c r="DF95" s="17" t="e">
        <v>#N/A</v>
      </c>
      <c r="DG95" s="17" t="e">
        <v>#N/A</v>
      </c>
      <c r="DH95" s="17" t="e">
        <v>#N/A</v>
      </c>
      <c r="DI95" s="17" t="e">
        <v>#N/A</v>
      </c>
      <c r="DJ95" s="17" t="e">
        <v>#N/A</v>
      </c>
      <c r="DK95" s="17" t="e">
        <v>#N/A</v>
      </c>
      <c r="DL95" s="17" t="e">
        <v>#N/A</v>
      </c>
      <c r="DM95" s="17" t="e">
        <v>#N/A</v>
      </c>
      <c r="DN95" s="17" t="e">
        <v>#N/A</v>
      </c>
      <c r="DO95" s="17" t="e">
        <v>#N/A</v>
      </c>
      <c r="DP95" s="17" t="e">
        <v>#N/A</v>
      </c>
      <c r="DQ95" s="17" t="e">
        <v>#N/A</v>
      </c>
      <c r="DR95" s="17" t="e">
        <v>#N/A</v>
      </c>
      <c r="DS95" s="17" t="e">
        <v>#N/A</v>
      </c>
      <c r="DT95" s="17" t="e">
        <v>#N/A</v>
      </c>
      <c r="DU95" s="17" t="e">
        <v>#N/A</v>
      </c>
      <c r="DV95" s="17" t="e">
        <v>#N/A</v>
      </c>
      <c r="DW95" s="17" t="e">
        <v>#N/A</v>
      </c>
      <c r="DX95" s="17" t="e">
        <v>#N/A</v>
      </c>
      <c r="DY95" s="17" t="e">
        <v>#N/A</v>
      </c>
      <c r="DZ95" s="17" t="e">
        <v>#N/A</v>
      </c>
      <c r="EA95" s="17" t="e">
        <v>#N/A</v>
      </c>
      <c r="EB95" s="17" t="e">
        <v>#N/A</v>
      </c>
      <c r="EC95" s="17" t="e">
        <v>#N/A</v>
      </c>
      <c r="ED95" s="17" t="e">
        <v>#N/A</v>
      </c>
      <c r="EE95" s="17" t="e">
        <v>#N/A</v>
      </c>
      <c r="EF95" s="17" t="e">
        <v>#N/A</v>
      </c>
      <c r="EG95" s="17" t="e">
        <v>#N/A</v>
      </c>
      <c r="EH95" s="17" t="e">
        <v>#N/A</v>
      </c>
      <c r="EI95" s="17" t="e">
        <v>#N/A</v>
      </c>
      <c r="EJ95" s="17" t="e">
        <v>#N/A</v>
      </c>
      <c r="EK95" s="17" t="e">
        <v>#N/A</v>
      </c>
      <c r="EL95" s="17" t="e">
        <v>#N/A</v>
      </c>
      <c r="EM95" s="17" t="e">
        <v>#N/A</v>
      </c>
      <c r="EN95" s="17" t="e">
        <v>#N/A</v>
      </c>
      <c r="EO95" s="17" t="e">
        <v>#N/A</v>
      </c>
      <c r="EP95" s="17" t="e">
        <v>#N/A</v>
      </c>
      <c r="EQ95" s="17" t="e">
        <v>#N/A</v>
      </c>
      <c r="ER95" s="17" t="e">
        <v>#N/A</v>
      </c>
      <c r="ES95" s="17" t="e">
        <v>#N/A</v>
      </c>
      <c r="ET95" s="17" t="e">
        <v>#N/A</v>
      </c>
      <c r="EU95" s="17" t="e">
        <v>#N/A</v>
      </c>
      <c r="EV95" s="17" t="e">
        <v>#N/A</v>
      </c>
      <c r="EW95" s="17" t="e">
        <v>#N/A</v>
      </c>
      <c r="EX95" s="17" t="e">
        <v>#N/A</v>
      </c>
      <c r="EY95" s="17" t="e">
        <v>#N/A</v>
      </c>
      <c r="EZ95" s="17" t="e">
        <v>#N/A</v>
      </c>
      <c r="FA95" s="17" t="e">
        <v>#N/A</v>
      </c>
      <c r="FB95" s="17" t="e">
        <v>#N/A</v>
      </c>
      <c r="FC95" s="17" t="e">
        <v>#N/A</v>
      </c>
      <c r="FD95" s="17" t="e">
        <v>#N/A</v>
      </c>
      <c r="FE95" s="17" t="e">
        <v>#N/A</v>
      </c>
      <c r="FF95" s="17" t="e">
        <v>#N/A</v>
      </c>
      <c r="FG95" s="17" t="e">
        <v>#N/A</v>
      </c>
      <c r="FH95" s="17" t="e">
        <v>#N/A</v>
      </c>
      <c r="FI95" s="17" t="e">
        <v>#N/A</v>
      </c>
      <c r="FJ95" s="17" t="e">
        <v>#N/A</v>
      </c>
      <c r="FK95" s="17" t="e">
        <v>#N/A</v>
      </c>
      <c r="FL95" s="17" t="e">
        <v>#N/A</v>
      </c>
      <c r="FM95" s="17" t="e">
        <v>#N/A</v>
      </c>
      <c r="FN95" s="17" t="e">
        <v>#N/A</v>
      </c>
      <c r="FO95" s="17" t="e">
        <v>#N/A</v>
      </c>
      <c r="FP95" s="17" t="e">
        <v>#N/A</v>
      </c>
      <c r="FQ95" s="17" t="e">
        <v>#N/A</v>
      </c>
      <c r="FR95" s="17" t="e">
        <v>#N/A</v>
      </c>
      <c r="FS95" s="17" t="e">
        <v>#N/A</v>
      </c>
      <c r="FT95" s="17" t="e">
        <v>#N/A</v>
      </c>
      <c r="FU95" s="17" t="e">
        <v>#N/A</v>
      </c>
      <c r="FV95" s="17" t="e">
        <v>#N/A</v>
      </c>
    </row>
    <row r="96" spans="2:178" ht="11.25" customHeight="1">
      <c r="B96" s="17" t="e">
        <v>#N/A</v>
      </c>
      <c r="C96" s="17" t="e">
        <v>#N/A</v>
      </c>
      <c r="D96" s="17" t="e">
        <v>#N/A</v>
      </c>
      <c r="E96" s="17" t="e">
        <v>#N/A</v>
      </c>
      <c r="F96" s="17" t="e">
        <v>#N/A</v>
      </c>
      <c r="G96" s="17" t="e">
        <v>#N/A</v>
      </c>
      <c r="H96" s="17" t="e">
        <v>#N/A</v>
      </c>
      <c r="I96" s="17" t="e">
        <v>#N/A</v>
      </c>
      <c r="J96" s="17" t="e">
        <v>#N/A</v>
      </c>
      <c r="K96" s="17" t="e">
        <v>#N/A</v>
      </c>
      <c r="L96" s="17" t="e">
        <v>#N/A</v>
      </c>
      <c r="M96" s="17" t="e">
        <v>#N/A</v>
      </c>
      <c r="N96" s="17" t="e">
        <v>#N/A</v>
      </c>
      <c r="O96" s="17" t="e">
        <v>#N/A</v>
      </c>
      <c r="P96" s="17" t="e">
        <v>#N/A</v>
      </c>
      <c r="Q96" s="17" t="e">
        <v>#N/A</v>
      </c>
      <c r="R96" s="17" t="e">
        <v>#N/A</v>
      </c>
      <c r="S96" s="17" t="e">
        <v>#N/A</v>
      </c>
      <c r="T96" s="17" t="e">
        <v>#N/A</v>
      </c>
      <c r="U96" s="17" t="e">
        <v>#N/A</v>
      </c>
      <c r="V96" s="17" t="e">
        <v>#N/A</v>
      </c>
      <c r="W96" s="17" t="e">
        <v>#N/A</v>
      </c>
      <c r="X96" s="17" t="e">
        <v>#N/A</v>
      </c>
      <c r="Y96" s="17" t="e">
        <v>#N/A</v>
      </c>
      <c r="Z96" s="17" t="e">
        <v>#N/A</v>
      </c>
      <c r="AA96" s="17" t="e">
        <v>#N/A</v>
      </c>
      <c r="AB96" s="17" t="e">
        <v>#N/A</v>
      </c>
      <c r="AC96" s="17" t="e">
        <v>#N/A</v>
      </c>
      <c r="AD96" s="17" t="e">
        <v>#N/A</v>
      </c>
      <c r="AE96" s="17" t="e">
        <v>#N/A</v>
      </c>
      <c r="AF96" s="17" t="e">
        <v>#N/A</v>
      </c>
      <c r="AG96" s="17" t="e">
        <v>#N/A</v>
      </c>
      <c r="AH96" s="17" t="e">
        <v>#N/A</v>
      </c>
      <c r="AI96" s="17" t="e">
        <v>#N/A</v>
      </c>
      <c r="AJ96" s="17" t="e">
        <v>#N/A</v>
      </c>
      <c r="AK96" s="17" t="e">
        <v>#N/A</v>
      </c>
      <c r="AL96" s="17" t="e">
        <v>#N/A</v>
      </c>
      <c r="AM96" s="17" t="e">
        <v>#N/A</v>
      </c>
      <c r="AN96" s="17" t="e">
        <v>#N/A</v>
      </c>
      <c r="AO96" s="17" t="e">
        <v>#N/A</v>
      </c>
      <c r="AP96" s="17" t="e">
        <v>#N/A</v>
      </c>
      <c r="AQ96" s="17" t="e">
        <v>#N/A</v>
      </c>
      <c r="AR96" s="17" t="e">
        <v>#N/A</v>
      </c>
      <c r="AS96" s="17" t="e">
        <v>#N/A</v>
      </c>
      <c r="AT96" s="17" t="e">
        <v>#N/A</v>
      </c>
      <c r="AU96" s="17" t="e">
        <v>#N/A</v>
      </c>
      <c r="AV96" s="17" t="e">
        <v>#N/A</v>
      </c>
      <c r="AW96" s="17" t="e">
        <v>#N/A</v>
      </c>
      <c r="AX96" s="17" t="e">
        <v>#N/A</v>
      </c>
      <c r="AY96" s="17" t="e">
        <v>#N/A</v>
      </c>
      <c r="AZ96" s="17" t="e">
        <v>#N/A</v>
      </c>
      <c r="BA96" s="17" t="e">
        <v>#N/A</v>
      </c>
      <c r="BB96" s="17" t="e">
        <v>#N/A</v>
      </c>
      <c r="BC96" s="17" t="e">
        <v>#N/A</v>
      </c>
      <c r="BD96" s="17" t="e">
        <v>#N/A</v>
      </c>
      <c r="BE96" s="17" t="e">
        <v>#N/A</v>
      </c>
      <c r="BF96" s="17" t="e">
        <v>#N/A</v>
      </c>
      <c r="BG96" s="17" t="e">
        <v>#N/A</v>
      </c>
      <c r="BH96" s="17" t="e">
        <v>#N/A</v>
      </c>
      <c r="BI96" s="17" t="e">
        <v>#N/A</v>
      </c>
      <c r="BJ96" s="17" t="e">
        <v>#N/A</v>
      </c>
      <c r="BK96" s="17" t="e">
        <v>#N/A</v>
      </c>
      <c r="BL96" s="17" t="e">
        <v>#N/A</v>
      </c>
      <c r="BM96" s="17" t="e">
        <v>#N/A</v>
      </c>
      <c r="BN96" s="17" t="e">
        <v>#N/A</v>
      </c>
      <c r="BO96" s="17" t="e">
        <v>#N/A</v>
      </c>
      <c r="BP96" s="17" t="e">
        <v>#N/A</v>
      </c>
      <c r="BQ96" s="17" t="e">
        <v>#N/A</v>
      </c>
      <c r="BR96" s="17" t="e">
        <v>#N/A</v>
      </c>
      <c r="BS96" s="17" t="e">
        <v>#N/A</v>
      </c>
      <c r="BT96" s="17" t="e">
        <v>#N/A</v>
      </c>
      <c r="BU96" s="17" t="e">
        <v>#N/A</v>
      </c>
      <c r="BV96" s="17" t="e">
        <v>#N/A</v>
      </c>
      <c r="BW96" s="17" t="e">
        <v>#N/A</v>
      </c>
      <c r="BX96" s="17" t="e">
        <v>#N/A</v>
      </c>
      <c r="BY96" s="17" t="e">
        <v>#N/A</v>
      </c>
      <c r="BZ96" s="17" t="e">
        <v>#N/A</v>
      </c>
      <c r="CA96" s="17" t="e">
        <v>#N/A</v>
      </c>
      <c r="CB96" s="17" t="e">
        <v>#N/A</v>
      </c>
      <c r="CC96" s="17" t="e">
        <v>#N/A</v>
      </c>
      <c r="CD96" s="17" t="e">
        <v>#N/A</v>
      </c>
      <c r="CE96" s="17" t="e">
        <v>#N/A</v>
      </c>
      <c r="CF96" s="17" t="e">
        <v>#N/A</v>
      </c>
      <c r="CG96" s="17" t="e">
        <v>#N/A</v>
      </c>
      <c r="CH96" s="17" t="e">
        <v>#N/A</v>
      </c>
      <c r="CI96" s="17" t="e">
        <v>#N/A</v>
      </c>
      <c r="CJ96" s="17" t="e">
        <v>#N/A</v>
      </c>
      <c r="CK96" s="17" t="e">
        <v>#N/A</v>
      </c>
      <c r="CL96" s="17" t="e">
        <v>#N/A</v>
      </c>
      <c r="CM96" s="17" t="e">
        <v>#N/A</v>
      </c>
      <c r="CN96" s="17" t="e">
        <v>#N/A</v>
      </c>
      <c r="CO96" s="17" t="e">
        <v>#N/A</v>
      </c>
      <c r="CP96" s="17" t="e">
        <v>#N/A</v>
      </c>
      <c r="CQ96" s="17" t="e">
        <v>#N/A</v>
      </c>
      <c r="CR96" s="17" t="e">
        <v>#N/A</v>
      </c>
      <c r="CS96" s="17" t="e">
        <v>#N/A</v>
      </c>
      <c r="CT96" s="17" t="e">
        <v>#N/A</v>
      </c>
      <c r="CU96" s="17" t="e">
        <v>#N/A</v>
      </c>
      <c r="CV96" s="17" t="e">
        <v>#N/A</v>
      </c>
      <c r="CW96" s="17" t="e">
        <v>#N/A</v>
      </c>
      <c r="CX96" s="17" t="e">
        <v>#N/A</v>
      </c>
      <c r="CY96" s="17" t="e">
        <v>#N/A</v>
      </c>
      <c r="CZ96" s="17" t="e">
        <v>#N/A</v>
      </c>
      <c r="DA96" s="17" t="e">
        <v>#N/A</v>
      </c>
      <c r="DB96" s="17" t="e">
        <v>#N/A</v>
      </c>
      <c r="DC96" s="17" t="e">
        <v>#N/A</v>
      </c>
      <c r="DD96" s="17" t="e">
        <v>#N/A</v>
      </c>
      <c r="DE96" s="17" t="e">
        <v>#N/A</v>
      </c>
      <c r="DF96" s="17" t="e">
        <v>#N/A</v>
      </c>
      <c r="DG96" s="17" t="e">
        <v>#N/A</v>
      </c>
      <c r="DH96" s="17" t="e">
        <v>#N/A</v>
      </c>
      <c r="DI96" s="17" t="e">
        <v>#N/A</v>
      </c>
      <c r="DJ96" s="17" t="e">
        <v>#N/A</v>
      </c>
      <c r="DK96" s="17" t="e">
        <v>#N/A</v>
      </c>
      <c r="DL96" s="17" t="e">
        <v>#N/A</v>
      </c>
      <c r="DM96" s="17" t="e">
        <v>#N/A</v>
      </c>
      <c r="DN96" s="17" t="e">
        <v>#N/A</v>
      </c>
      <c r="DO96" s="17" t="e">
        <v>#N/A</v>
      </c>
      <c r="DP96" s="17" t="e">
        <v>#N/A</v>
      </c>
      <c r="DQ96" s="17" t="e">
        <v>#N/A</v>
      </c>
      <c r="DR96" s="17" t="e">
        <v>#N/A</v>
      </c>
      <c r="DS96" s="17" t="e">
        <v>#N/A</v>
      </c>
      <c r="DT96" s="17" t="e">
        <v>#N/A</v>
      </c>
      <c r="DU96" s="17" t="e">
        <v>#N/A</v>
      </c>
      <c r="DV96" s="17" t="e">
        <v>#N/A</v>
      </c>
      <c r="DW96" s="17" t="e">
        <v>#N/A</v>
      </c>
      <c r="DX96" s="17" t="e">
        <v>#N/A</v>
      </c>
      <c r="DY96" s="17" t="e">
        <v>#N/A</v>
      </c>
      <c r="DZ96" s="17" t="e">
        <v>#N/A</v>
      </c>
      <c r="EA96" s="17" t="e">
        <v>#N/A</v>
      </c>
      <c r="EB96" s="17" t="e">
        <v>#N/A</v>
      </c>
      <c r="EC96" s="17" t="e">
        <v>#N/A</v>
      </c>
      <c r="ED96" s="17" t="e">
        <v>#N/A</v>
      </c>
      <c r="EE96" s="17" t="e">
        <v>#N/A</v>
      </c>
      <c r="EF96" s="17" t="e">
        <v>#N/A</v>
      </c>
      <c r="EG96" s="17" t="e">
        <v>#N/A</v>
      </c>
      <c r="EH96" s="17" t="e">
        <v>#N/A</v>
      </c>
      <c r="EI96" s="17" t="e">
        <v>#N/A</v>
      </c>
      <c r="EJ96" s="17" t="e">
        <v>#N/A</v>
      </c>
      <c r="EK96" s="17" t="e">
        <v>#N/A</v>
      </c>
      <c r="EL96" s="17" t="e">
        <v>#N/A</v>
      </c>
      <c r="EM96" s="17" t="e">
        <v>#N/A</v>
      </c>
      <c r="EN96" s="17" t="e">
        <v>#N/A</v>
      </c>
      <c r="EO96" s="17" t="e">
        <v>#N/A</v>
      </c>
      <c r="EP96" s="17" t="e">
        <v>#N/A</v>
      </c>
      <c r="EQ96" s="17" t="e">
        <v>#N/A</v>
      </c>
      <c r="ER96" s="17" t="e">
        <v>#N/A</v>
      </c>
      <c r="ES96" s="17" t="e">
        <v>#N/A</v>
      </c>
      <c r="ET96" s="17" t="e">
        <v>#N/A</v>
      </c>
      <c r="EU96" s="17" t="e">
        <v>#N/A</v>
      </c>
      <c r="EV96" s="17" t="e">
        <v>#N/A</v>
      </c>
      <c r="EW96" s="17" t="e">
        <v>#N/A</v>
      </c>
      <c r="EX96" s="17" t="e">
        <v>#N/A</v>
      </c>
      <c r="EY96" s="17" t="e">
        <v>#N/A</v>
      </c>
      <c r="EZ96" s="17" t="e">
        <v>#N/A</v>
      </c>
      <c r="FA96" s="17" t="e">
        <v>#N/A</v>
      </c>
      <c r="FB96" s="17" t="e">
        <v>#N/A</v>
      </c>
      <c r="FC96" s="17" t="e">
        <v>#N/A</v>
      </c>
      <c r="FD96" s="17" t="e">
        <v>#N/A</v>
      </c>
      <c r="FE96" s="17" t="e">
        <v>#N/A</v>
      </c>
      <c r="FF96" s="17" t="e">
        <v>#N/A</v>
      </c>
      <c r="FG96" s="17" t="e">
        <v>#N/A</v>
      </c>
      <c r="FH96" s="17" t="e">
        <v>#N/A</v>
      </c>
      <c r="FI96" s="17" t="e">
        <v>#N/A</v>
      </c>
      <c r="FJ96" s="17" t="e">
        <v>#N/A</v>
      </c>
      <c r="FK96" s="17" t="e">
        <v>#N/A</v>
      </c>
      <c r="FL96" s="17" t="e">
        <v>#N/A</v>
      </c>
      <c r="FM96" s="17" t="e">
        <v>#N/A</v>
      </c>
      <c r="FN96" s="17" t="e">
        <v>#N/A</v>
      </c>
      <c r="FO96" s="17" t="e">
        <v>#N/A</v>
      </c>
      <c r="FP96" s="17" t="e">
        <v>#N/A</v>
      </c>
      <c r="FQ96" s="17" t="e">
        <v>#N/A</v>
      </c>
      <c r="FR96" s="17" t="e">
        <v>#N/A</v>
      </c>
      <c r="FS96" s="17" t="e">
        <v>#N/A</v>
      </c>
      <c r="FT96" s="17" t="e">
        <v>#N/A</v>
      </c>
      <c r="FU96" s="17" t="e">
        <v>#N/A</v>
      </c>
      <c r="FV96" s="17" t="e">
        <v>#N/A</v>
      </c>
    </row>
    <row r="97" spans="2:178" ht="11.25" customHeight="1">
      <c r="B97" s="17" t="e">
        <v>#N/A</v>
      </c>
      <c r="C97" s="17" t="e">
        <v>#N/A</v>
      </c>
      <c r="D97" s="17" t="e">
        <v>#N/A</v>
      </c>
      <c r="E97" s="17" t="e">
        <v>#N/A</v>
      </c>
      <c r="F97" s="17" t="e">
        <v>#N/A</v>
      </c>
      <c r="G97" s="17" t="e">
        <v>#N/A</v>
      </c>
      <c r="H97" s="17" t="e">
        <v>#N/A</v>
      </c>
      <c r="I97" s="17" t="e">
        <v>#N/A</v>
      </c>
      <c r="J97" s="17" t="e">
        <v>#N/A</v>
      </c>
      <c r="K97" s="17" t="e">
        <v>#N/A</v>
      </c>
      <c r="L97" s="17" t="e">
        <v>#N/A</v>
      </c>
      <c r="M97" s="17" t="e">
        <v>#N/A</v>
      </c>
      <c r="N97" s="17" t="e">
        <v>#N/A</v>
      </c>
      <c r="O97" s="17" t="e">
        <v>#N/A</v>
      </c>
      <c r="P97" s="17" t="e">
        <v>#N/A</v>
      </c>
      <c r="Q97" s="17" t="e">
        <v>#N/A</v>
      </c>
      <c r="R97" s="17" t="e">
        <v>#N/A</v>
      </c>
      <c r="S97" s="17" t="e">
        <v>#N/A</v>
      </c>
      <c r="T97" s="17" t="e">
        <v>#N/A</v>
      </c>
      <c r="U97" s="17" t="e">
        <v>#N/A</v>
      </c>
      <c r="V97" s="17" t="e">
        <v>#N/A</v>
      </c>
      <c r="W97" s="17" t="e">
        <v>#N/A</v>
      </c>
      <c r="X97" s="17" t="e">
        <v>#N/A</v>
      </c>
      <c r="Y97" s="17" t="e">
        <v>#N/A</v>
      </c>
      <c r="Z97" s="17" t="e">
        <v>#N/A</v>
      </c>
      <c r="AA97" s="17" t="e">
        <v>#N/A</v>
      </c>
      <c r="AB97" s="17" t="e">
        <v>#N/A</v>
      </c>
      <c r="AC97" s="17" t="e">
        <v>#N/A</v>
      </c>
      <c r="AD97" s="17" t="e">
        <v>#N/A</v>
      </c>
      <c r="AE97" s="17" t="e">
        <v>#N/A</v>
      </c>
      <c r="AF97" s="17" t="e">
        <v>#N/A</v>
      </c>
      <c r="AG97" s="17" t="e">
        <v>#N/A</v>
      </c>
      <c r="AH97" s="17" t="e">
        <v>#N/A</v>
      </c>
      <c r="AI97" s="17" t="e">
        <v>#N/A</v>
      </c>
      <c r="AJ97" s="17" t="e">
        <v>#N/A</v>
      </c>
      <c r="AK97" s="17" t="e">
        <v>#N/A</v>
      </c>
      <c r="AL97" s="17" t="e">
        <v>#N/A</v>
      </c>
      <c r="AM97" s="17" t="e">
        <v>#N/A</v>
      </c>
      <c r="AN97" s="17" t="e">
        <v>#N/A</v>
      </c>
      <c r="AO97" s="17" t="e">
        <v>#N/A</v>
      </c>
      <c r="AP97" s="17" t="e">
        <v>#N/A</v>
      </c>
      <c r="AQ97" s="17" t="e">
        <v>#N/A</v>
      </c>
      <c r="AR97" s="17" t="e">
        <v>#N/A</v>
      </c>
      <c r="AS97" s="17" t="e">
        <v>#N/A</v>
      </c>
      <c r="AT97" s="17" t="e">
        <v>#N/A</v>
      </c>
      <c r="AU97" s="17" t="e">
        <v>#N/A</v>
      </c>
      <c r="AV97" s="17" t="e">
        <v>#N/A</v>
      </c>
      <c r="AW97" s="17" t="e">
        <v>#N/A</v>
      </c>
      <c r="AX97" s="17" t="e">
        <v>#N/A</v>
      </c>
      <c r="AY97" s="17" t="e">
        <v>#N/A</v>
      </c>
      <c r="AZ97" s="17" t="e">
        <v>#N/A</v>
      </c>
      <c r="BA97" s="17" t="e">
        <v>#N/A</v>
      </c>
      <c r="BB97" s="17" t="e">
        <v>#N/A</v>
      </c>
      <c r="BC97" s="17" t="e">
        <v>#N/A</v>
      </c>
      <c r="BD97" s="17" t="e">
        <v>#N/A</v>
      </c>
      <c r="BE97" s="17" t="e">
        <v>#N/A</v>
      </c>
      <c r="BF97" s="17" t="e">
        <v>#N/A</v>
      </c>
      <c r="BG97" s="17" t="e">
        <v>#N/A</v>
      </c>
      <c r="BH97" s="17" t="e">
        <v>#N/A</v>
      </c>
      <c r="BI97" s="17" t="e">
        <v>#N/A</v>
      </c>
      <c r="BJ97" s="17" t="e">
        <v>#N/A</v>
      </c>
      <c r="BK97" s="17" t="e">
        <v>#N/A</v>
      </c>
      <c r="BL97" s="17" t="e">
        <v>#N/A</v>
      </c>
      <c r="BM97" s="17" t="e">
        <v>#N/A</v>
      </c>
      <c r="BN97" s="17" t="e">
        <v>#N/A</v>
      </c>
      <c r="BO97" s="17" t="e">
        <v>#N/A</v>
      </c>
      <c r="BP97" s="17" t="e">
        <v>#N/A</v>
      </c>
      <c r="BQ97" s="17" t="e">
        <v>#N/A</v>
      </c>
      <c r="BR97" s="17" t="e">
        <v>#N/A</v>
      </c>
      <c r="BS97" s="17" t="e">
        <v>#N/A</v>
      </c>
      <c r="BT97" s="17" t="e">
        <v>#N/A</v>
      </c>
      <c r="BU97" s="17" t="e">
        <v>#N/A</v>
      </c>
      <c r="BV97" s="17" t="e">
        <v>#N/A</v>
      </c>
      <c r="BW97" s="17" t="e">
        <v>#N/A</v>
      </c>
      <c r="BX97" s="17" t="e">
        <v>#N/A</v>
      </c>
      <c r="BY97" s="17" t="e">
        <v>#N/A</v>
      </c>
      <c r="BZ97" s="17" t="e">
        <v>#N/A</v>
      </c>
      <c r="CA97" s="17" t="e">
        <v>#N/A</v>
      </c>
      <c r="CB97" s="17" t="e">
        <v>#N/A</v>
      </c>
      <c r="CC97" s="17" t="e">
        <v>#N/A</v>
      </c>
      <c r="CD97" s="17" t="e">
        <v>#N/A</v>
      </c>
      <c r="CE97" s="17" t="e">
        <v>#N/A</v>
      </c>
      <c r="CF97" s="17" t="e">
        <v>#N/A</v>
      </c>
      <c r="CG97" s="17" t="e">
        <v>#N/A</v>
      </c>
      <c r="CH97" s="17" t="e">
        <v>#N/A</v>
      </c>
      <c r="CI97" s="17" t="e">
        <v>#N/A</v>
      </c>
      <c r="CJ97" s="17" t="e">
        <v>#N/A</v>
      </c>
      <c r="CK97" s="17" t="e">
        <v>#N/A</v>
      </c>
      <c r="CL97" s="17" t="e">
        <v>#N/A</v>
      </c>
      <c r="CM97" s="17" t="e">
        <v>#N/A</v>
      </c>
      <c r="CN97" s="17" t="e">
        <v>#N/A</v>
      </c>
      <c r="CO97" s="17" t="e">
        <v>#N/A</v>
      </c>
      <c r="CP97" s="17" t="e">
        <v>#N/A</v>
      </c>
      <c r="CQ97" s="17" t="e">
        <v>#N/A</v>
      </c>
      <c r="CR97" s="17" t="e">
        <v>#N/A</v>
      </c>
      <c r="CS97" s="17" t="e">
        <v>#N/A</v>
      </c>
      <c r="CT97" s="17" t="e">
        <v>#N/A</v>
      </c>
      <c r="CU97" s="17" t="e">
        <v>#N/A</v>
      </c>
      <c r="CV97" s="17" t="e">
        <v>#N/A</v>
      </c>
      <c r="CW97" s="17" t="e">
        <v>#N/A</v>
      </c>
      <c r="CX97" s="17" t="e">
        <v>#N/A</v>
      </c>
      <c r="CY97" s="17" t="e">
        <v>#N/A</v>
      </c>
      <c r="CZ97" s="17" t="e">
        <v>#N/A</v>
      </c>
      <c r="DA97" s="17" t="e">
        <v>#N/A</v>
      </c>
      <c r="DB97" s="17" t="e">
        <v>#N/A</v>
      </c>
      <c r="DC97" s="17" t="e">
        <v>#N/A</v>
      </c>
      <c r="DD97" s="17" t="e">
        <v>#N/A</v>
      </c>
      <c r="DE97" s="17" t="e">
        <v>#N/A</v>
      </c>
      <c r="DF97" s="17" t="e">
        <v>#N/A</v>
      </c>
      <c r="DG97" s="17" t="e">
        <v>#N/A</v>
      </c>
      <c r="DH97" s="17" t="e">
        <v>#N/A</v>
      </c>
      <c r="DI97" s="17" t="e">
        <v>#N/A</v>
      </c>
      <c r="DJ97" s="17" t="e">
        <v>#N/A</v>
      </c>
      <c r="DK97" s="17" t="e">
        <v>#N/A</v>
      </c>
      <c r="DL97" s="17" t="e">
        <v>#N/A</v>
      </c>
      <c r="DM97" s="17" t="e">
        <v>#N/A</v>
      </c>
      <c r="DN97" s="17" t="e">
        <v>#N/A</v>
      </c>
      <c r="DO97" s="17" t="e">
        <v>#N/A</v>
      </c>
      <c r="DP97" s="17" t="e">
        <v>#N/A</v>
      </c>
      <c r="DQ97" s="17" t="e">
        <v>#N/A</v>
      </c>
      <c r="DR97" s="17" t="e">
        <v>#N/A</v>
      </c>
      <c r="DS97" s="17" t="e">
        <v>#N/A</v>
      </c>
      <c r="DT97" s="17" t="e">
        <v>#N/A</v>
      </c>
      <c r="DU97" s="17" t="e">
        <v>#N/A</v>
      </c>
      <c r="DV97" s="17" t="e">
        <v>#N/A</v>
      </c>
      <c r="DW97" s="17" t="e">
        <v>#N/A</v>
      </c>
      <c r="DX97" s="17" t="e">
        <v>#N/A</v>
      </c>
      <c r="DY97" s="17" t="e">
        <v>#N/A</v>
      </c>
      <c r="DZ97" s="17" t="e">
        <v>#N/A</v>
      </c>
      <c r="EA97" s="17" t="e">
        <v>#N/A</v>
      </c>
      <c r="EB97" s="17" t="e">
        <v>#N/A</v>
      </c>
      <c r="EC97" s="17" t="e">
        <v>#N/A</v>
      </c>
      <c r="ED97" s="17" t="e">
        <v>#N/A</v>
      </c>
      <c r="EE97" s="17" t="e">
        <v>#N/A</v>
      </c>
      <c r="EF97" s="17" t="e">
        <v>#N/A</v>
      </c>
      <c r="EG97" s="17" t="e">
        <v>#N/A</v>
      </c>
      <c r="EH97" s="17" t="e">
        <v>#N/A</v>
      </c>
      <c r="EI97" s="17" t="e">
        <v>#N/A</v>
      </c>
      <c r="EJ97" s="17" t="e">
        <v>#N/A</v>
      </c>
      <c r="EK97" s="17" t="e">
        <v>#N/A</v>
      </c>
      <c r="EL97" s="17" t="e">
        <v>#N/A</v>
      </c>
      <c r="EM97" s="17" t="e">
        <v>#N/A</v>
      </c>
      <c r="EN97" s="17" t="e">
        <v>#N/A</v>
      </c>
      <c r="EO97" s="17" t="e">
        <v>#N/A</v>
      </c>
      <c r="EP97" s="17" t="e">
        <v>#N/A</v>
      </c>
      <c r="EQ97" s="17" t="e">
        <v>#N/A</v>
      </c>
      <c r="ER97" s="17" t="e">
        <v>#N/A</v>
      </c>
      <c r="ES97" s="17" t="e">
        <v>#N/A</v>
      </c>
      <c r="ET97" s="17" t="e">
        <v>#N/A</v>
      </c>
      <c r="EU97" s="17" t="e">
        <v>#N/A</v>
      </c>
      <c r="EV97" s="17" t="e">
        <v>#N/A</v>
      </c>
      <c r="EW97" s="17" t="e">
        <v>#N/A</v>
      </c>
      <c r="EX97" s="17" t="e">
        <v>#N/A</v>
      </c>
      <c r="EY97" s="17" t="e">
        <v>#N/A</v>
      </c>
      <c r="EZ97" s="17" t="e">
        <v>#N/A</v>
      </c>
      <c r="FA97" s="17" t="e">
        <v>#N/A</v>
      </c>
      <c r="FB97" s="17" t="e">
        <v>#N/A</v>
      </c>
      <c r="FC97" s="17" t="e">
        <v>#N/A</v>
      </c>
      <c r="FD97" s="17" t="e">
        <v>#N/A</v>
      </c>
      <c r="FE97" s="17" t="e">
        <v>#N/A</v>
      </c>
      <c r="FF97" s="17" t="e">
        <v>#N/A</v>
      </c>
      <c r="FG97" s="17" t="e">
        <v>#N/A</v>
      </c>
      <c r="FH97" s="17" t="e">
        <v>#N/A</v>
      </c>
      <c r="FI97" s="17" t="e">
        <v>#N/A</v>
      </c>
      <c r="FJ97" s="17" t="e">
        <v>#N/A</v>
      </c>
      <c r="FK97" s="17" t="e">
        <v>#N/A</v>
      </c>
      <c r="FL97" s="17" t="e">
        <v>#N/A</v>
      </c>
      <c r="FM97" s="17" t="e">
        <v>#N/A</v>
      </c>
      <c r="FN97" s="17" t="e">
        <v>#N/A</v>
      </c>
      <c r="FO97" s="17" t="e">
        <v>#N/A</v>
      </c>
      <c r="FP97" s="17" t="e">
        <v>#N/A</v>
      </c>
      <c r="FQ97" s="17" t="e">
        <v>#N/A</v>
      </c>
      <c r="FR97" s="17" t="e">
        <v>#N/A</v>
      </c>
      <c r="FS97" s="17" t="e">
        <v>#N/A</v>
      </c>
      <c r="FT97" s="17" t="e">
        <v>#N/A</v>
      </c>
      <c r="FU97" s="17" t="e">
        <v>#N/A</v>
      </c>
      <c r="FV97" s="17" t="e">
        <v>#N/A</v>
      </c>
    </row>
    <row r="98" spans="2:178" ht="11.25" customHeight="1">
      <c r="B98" s="17" t="e">
        <v>#N/A</v>
      </c>
      <c r="C98" s="17" t="e">
        <v>#N/A</v>
      </c>
      <c r="D98" s="17" t="e">
        <v>#N/A</v>
      </c>
      <c r="E98" s="17" t="e">
        <v>#N/A</v>
      </c>
      <c r="F98" s="17" t="e">
        <v>#N/A</v>
      </c>
      <c r="G98" s="17" t="e">
        <v>#N/A</v>
      </c>
      <c r="H98" s="17" t="e">
        <v>#N/A</v>
      </c>
      <c r="I98" s="17" t="e">
        <v>#N/A</v>
      </c>
      <c r="J98" s="17" t="e">
        <v>#N/A</v>
      </c>
      <c r="K98" s="17" t="e">
        <v>#N/A</v>
      </c>
      <c r="L98" s="17" t="e">
        <v>#N/A</v>
      </c>
      <c r="M98" s="17" t="e">
        <v>#N/A</v>
      </c>
      <c r="N98" s="17" t="e">
        <v>#N/A</v>
      </c>
      <c r="O98" s="17" t="e">
        <v>#N/A</v>
      </c>
      <c r="P98" s="17" t="e">
        <v>#N/A</v>
      </c>
      <c r="Q98" s="17" t="e">
        <v>#N/A</v>
      </c>
      <c r="R98" s="17" t="e">
        <v>#N/A</v>
      </c>
      <c r="S98" s="17" t="e">
        <v>#N/A</v>
      </c>
      <c r="T98" s="17" t="e">
        <v>#N/A</v>
      </c>
      <c r="U98" s="17" t="e">
        <v>#N/A</v>
      </c>
      <c r="V98" s="17" t="e">
        <v>#N/A</v>
      </c>
      <c r="W98" s="17" t="e">
        <v>#N/A</v>
      </c>
      <c r="X98" s="17" t="e">
        <v>#N/A</v>
      </c>
      <c r="Y98" s="17" t="e">
        <v>#N/A</v>
      </c>
      <c r="Z98" s="17" t="e">
        <v>#N/A</v>
      </c>
      <c r="AA98" s="17" t="e">
        <v>#N/A</v>
      </c>
      <c r="AB98" s="17" t="e">
        <v>#N/A</v>
      </c>
      <c r="AC98" s="17" t="e">
        <v>#N/A</v>
      </c>
      <c r="AD98" s="17" t="e">
        <v>#N/A</v>
      </c>
      <c r="AE98" s="17" t="e">
        <v>#N/A</v>
      </c>
      <c r="AF98" s="17" t="e">
        <v>#N/A</v>
      </c>
      <c r="AG98" s="17" t="e">
        <v>#N/A</v>
      </c>
      <c r="AH98" s="17" t="e">
        <v>#N/A</v>
      </c>
      <c r="AI98" s="17" t="e">
        <v>#N/A</v>
      </c>
      <c r="AJ98" s="17" t="e">
        <v>#N/A</v>
      </c>
      <c r="AK98" s="17" t="e">
        <v>#N/A</v>
      </c>
      <c r="AL98" s="17" t="e">
        <v>#N/A</v>
      </c>
      <c r="AM98" s="17" t="e">
        <v>#N/A</v>
      </c>
      <c r="AN98" s="17" t="e">
        <v>#N/A</v>
      </c>
      <c r="AO98" s="17" t="e">
        <v>#N/A</v>
      </c>
      <c r="AP98" s="17" t="e">
        <v>#N/A</v>
      </c>
      <c r="AQ98" s="17" t="e">
        <v>#N/A</v>
      </c>
      <c r="AR98" s="17" t="e">
        <v>#N/A</v>
      </c>
      <c r="AS98" s="17" t="e">
        <v>#N/A</v>
      </c>
      <c r="AT98" s="17" t="e">
        <v>#N/A</v>
      </c>
      <c r="AU98" s="17" t="e">
        <v>#N/A</v>
      </c>
      <c r="AV98" s="17" t="e">
        <v>#N/A</v>
      </c>
      <c r="AW98" s="17" t="e">
        <v>#N/A</v>
      </c>
      <c r="AX98" s="17" t="e">
        <v>#N/A</v>
      </c>
      <c r="AY98" s="17" t="e">
        <v>#N/A</v>
      </c>
      <c r="AZ98" s="17" t="e">
        <v>#N/A</v>
      </c>
      <c r="BA98" s="17" t="e">
        <v>#N/A</v>
      </c>
      <c r="BB98" s="17" t="e">
        <v>#N/A</v>
      </c>
      <c r="BC98" s="17" t="e">
        <v>#N/A</v>
      </c>
      <c r="BD98" s="17" t="e">
        <v>#N/A</v>
      </c>
      <c r="BE98" s="17" t="e">
        <v>#N/A</v>
      </c>
      <c r="BF98" s="17" t="e">
        <v>#N/A</v>
      </c>
      <c r="BG98" s="17" t="e">
        <v>#N/A</v>
      </c>
      <c r="BH98" s="17" t="e">
        <v>#N/A</v>
      </c>
      <c r="BI98" s="17" t="e">
        <v>#N/A</v>
      </c>
      <c r="BJ98" s="17" t="e">
        <v>#N/A</v>
      </c>
      <c r="BK98" s="17" t="e">
        <v>#N/A</v>
      </c>
      <c r="BL98" s="17" t="e">
        <v>#N/A</v>
      </c>
      <c r="BM98" s="17" t="e">
        <v>#N/A</v>
      </c>
      <c r="BN98" s="17" t="e">
        <v>#N/A</v>
      </c>
      <c r="BO98" s="17" t="e">
        <v>#N/A</v>
      </c>
      <c r="BP98" s="17" t="e">
        <v>#N/A</v>
      </c>
      <c r="BQ98" s="17" t="e">
        <v>#N/A</v>
      </c>
      <c r="BR98" s="17" t="e">
        <v>#N/A</v>
      </c>
      <c r="BS98" s="17" t="e">
        <v>#N/A</v>
      </c>
      <c r="BT98" s="17" t="e">
        <v>#N/A</v>
      </c>
      <c r="BU98" s="17" t="e">
        <v>#N/A</v>
      </c>
      <c r="BV98" s="17" t="e">
        <v>#N/A</v>
      </c>
      <c r="BW98" s="17" t="e">
        <v>#N/A</v>
      </c>
      <c r="BX98" s="17" t="e">
        <v>#N/A</v>
      </c>
      <c r="BY98" s="17" t="e">
        <v>#N/A</v>
      </c>
      <c r="BZ98" s="17" t="e">
        <v>#N/A</v>
      </c>
      <c r="CA98" s="17" t="e">
        <v>#N/A</v>
      </c>
      <c r="CB98" s="17" t="e">
        <v>#N/A</v>
      </c>
      <c r="CC98" s="17" t="e">
        <v>#N/A</v>
      </c>
      <c r="CD98" s="17" t="e">
        <v>#N/A</v>
      </c>
      <c r="CE98" s="17" t="e">
        <v>#N/A</v>
      </c>
      <c r="CF98" s="17" t="e">
        <v>#N/A</v>
      </c>
      <c r="CG98" s="17" t="e">
        <v>#N/A</v>
      </c>
      <c r="CH98" s="17" t="e">
        <v>#N/A</v>
      </c>
      <c r="CI98" s="17" t="e">
        <v>#N/A</v>
      </c>
      <c r="CJ98" s="17" t="e">
        <v>#N/A</v>
      </c>
      <c r="CK98" s="17" t="e">
        <v>#N/A</v>
      </c>
      <c r="CL98" s="17" t="e">
        <v>#N/A</v>
      </c>
      <c r="CM98" s="17" t="e">
        <v>#N/A</v>
      </c>
      <c r="CN98" s="17" t="e">
        <v>#N/A</v>
      </c>
      <c r="CO98" s="17" t="e">
        <v>#N/A</v>
      </c>
      <c r="CP98" s="17" t="e">
        <v>#N/A</v>
      </c>
      <c r="CQ98" s="17" t="e">
        <v>#N/A</v>
      </c>
      <c r="CR98" s="17" t="e">
        <v>#N/A</v>
      </c>
      <c r="CS98" s="17" t="e">
        <v>#N/A</v>
      </c>
      <c r="CT98" s="17" t="e">
        <v>#N/A</v>
      </c>
      <c r="CU98" s="17" t="e">
        <v>#N/A</v>
      </c>
      <c r="CV98" s="17" t="e">
        <v>#N/A</v>
      </c>
      <c r="CW98" s="17" t="e">
        <v>#N/A</v>
      </c>
      <c r="CX98" s="17" t="e">
        <v>#N/A</v>
      </c>
      <c r="CY98" s="17" t="e">
        <v>#N/A</v>
      </c>
      <c r="CZ98" s="17" t="e">
        <v>#N/A</v>
      </c>
      <c r="DA98" s="17" t="e">
        <v>#N/A</v>
      </c>
      <c r="DB98" s="17" t="e">
        <v>#N/A</v>
      </c>
      <c r="DC98" s="17" t="e">
        <v>#N/A</v>
      </c>
      <c r="DD98" s="17" t="e">
        <v>#N/A</v>
      </c>
      <c r="DE98" s="17" t="e">
        <v>#N/A</v>
      </c>
      <c r="DF98" s="17" t="e">
        <v>#N/A</v>
      </c>
      <c r="DG98" s="17" t="e">
        <v>#N/A</v>
      </c>
      <c r="DH98" s="17" t="e">
        <v>#N/A</v>
      </c>
      <c r="DI98" s="17" t="e">
        <v>#N/A</v>
      </c>
      <c r="DJ98" s="17" t="e">
        <v>#N/A</v>
      </c>
      <c r="DK98" s="17" t="e">
        <v>#N/A</v>
      </c>
      <c r="DL98" s="17" t="e">
        <v>#N/A</v>
      </c>
      <c r="DM98" s="17" t="e">
        <v>#N/A</v>
      </c>
      <c r="DN98" s="17" t="e">
        <v>#N/A</v>
      </c>
      <c r="DO98" s="17" t="e">
        <v>#N/A</v>
      </c>
      <c r="DP98" s="17" t="e">
        <v>#N/A</v>
      </c>
      <c r="DQ98" s="17" t="e">
        <v>#N/A</v>
      </c>
      <c r="DR98" s="17" t="e">
        <v>#N/A</v>
      </c>
      <c r="DS98" s="17" t="e">
        <v>#N/A</v>
      </c>
      <c r="DT98" s="17" t="e">
        <v>#N/A</v>
      </c>
      <c r="DU98" s="17" t="e">
        <v>#N/A</v>
      </c>
      <c r="DV98" s="17" t="e">
        <v>#N/A</v>
      </c>
      <c r="DW98" s="17" t="e">
        <v>#N/A</v>
      </c>
      <c r="DX98" s="17" t="e">
        <v>#N/A</v>
      </c>
      <c r="DY98" s="17" t="e">
        <v>#N/A</v>
      </c>
      <c r="DZ98" s="17" t="e">
        <v>#N/A</v>
      </c>
      <c r="EA98" s="17" t="e">
        <v>#N/A</v>
      </c>
      <c r="EB98" s="17" t="e">
        <v>#N/A</v>
      </c>
      <c r="EC98" s="17" t="e">
        <v>#N/A</v>
      </c>
      <c r="ED98" s="17" t="e">
        <v>#N/A</v>
      </c>
      <c r="EE98" s="17" t="e">
        <v>#N/A</v>
      </c>
      <c r="EF98" s="17" t="e">
        <v>#N/A</v>
      </c>
      <c r="EG98" s="17" t="e">
        <v>#N/A</v>
      </c>
      <c r="EH98" s="17" t="e">
        <v>#N/A</v>
      </c>
      <c r="EI98" s="17" t="e">
        <v>#N/A</v>
      </c>
      <c r="EJ98" s="17" t="e">
        <v>#N/A</v>
      </c>
      <c r="EK98" s="17" t="e">
        <v>#N/A</v>
      </c>
      <c r="EL98" s="17" t="e">
        <v>#N/A</v>
      </c>
      <c r="EM98" s="17" t="e">
        <v>#N/A</v>
      </c>
      <c r="EN98" s="17" t="e">
        <v>#N/A</v>
      </c>
      <c r="EO98" s="17" t="e">
        <v>#N/A</v>
      </c>
      <c r="EP98" s="17" t="e">
        <v>#N/A</v>
      </c>
      <c r="EQ98" s="17" t="e">
        <v>#N/A</v>
      </c>
      <c r="ER98" s="17" t="e">
        <v>#N/A</v>
      </c>
      <c r="ES98" s="17" t="e">
        <v>#N/A</v>
      </c>
      <c r="ET98" s="17" t="e">
        <v>#N/A</v>
      </c>
      <c r="EU98" s="17" t="e">
        <v>#N/A</v>
      </c>
      <c r="EV98" s="17" t="e">
        <v>#N/A</v>
      </c>
      <c r="EW98" s="17" t="e">
        <v>#N/A</v>
      </c>
      <c r="EX98" s="17" t="e">
        <v>#N/A</v>
      </c>
      <c r="EY98" s="17" t="e">
        <v>#N/A</v>
      </c>
      <c r="EZ98" s="17" t="e">
        <v>#N/A</v>
      </c>
      <c r="FA98" s="17" t="e">
        <v>#N/A</v>
      </c>
      <c r="FB98" s="17" t="e">
        <v>#N/A</v>
      </c>
      <c r="FC98" s="17" t="e">
        <v>#N/A</v>
      </c>
      <c r="FD98" s="17" t="e">
        <v>#N/A</v>
      </c>
      <c r="FE98" s="17" t="e">
        <v>#N/A</v>
      </c>
      <c r="FF98" s="17" t="e">
        <v>#N/A</v>
      </c>
      <c r="FG98" s="17" t="e">
        <v>#N/A</v>
      </c>
      <c r="FH98" s="17" t="e">
        <v>#N/A</v>
      </c>
      <c r="FI98" s="17" t="e">
        <v>#N/A</v>
      </c>
      <c r="FJ98" s="17" t="e">
        <v>#N/A</v>
      </c>
      <c r="FK98" s="17" t="e">
        <v>#N/A</v>
      </c>
      <c r="FL98" s="17" t="e">
        <v>#N/A</v>
      </c>
      <c r="FM98" s="17" t="e">
        <v>#N/A</v>
      </c>
      <c r="FN98" s="17" t="e">
        <v>#N/A</v>
      </c>
      <c r="FO98" s="17" t="e">
        <v>#N/A</v>
      </c>
      <c r="FP98" s="17" t="e">
        <v>#N/A</v>
      </c>
      <c r="FQ98" s="17" t="e">
        <v>#N/A</v>
      </c>
      <c r="FR98" s="17" t="e">
        <v>#N/A</v>
      </c>
      <c r="FS98" s="17" t="e">
        <v>#N/A</v>
      </c>
      <c r="FT98" s="17" t="e">
        <v>#N/A</v>
      </c>
      <c r="FU98" s="17" t="e">
        <v>#N/A</v>
      </c>
      <c r="FV98" s="17" t="e">
        <v>#N/A</v>
      </c>
    </row>
    <row r="99" spans="2:178" ht="11.25" customHeight="1">
      <c r="B99" s="17" t="e">
        <v>#N/A</v>
      </c>
      <c r="C99" s="17" t="e">
        <v>#N/A</v>
      </c>
      <c r="D99" s="17" t="e">
        <v>#N/A</v>
      </c>
      <c r="E99" s="17" t="e">
        <v>#N/A</v>
      </c>
      <c r="F99" s="17" t="e">
        <v>#N/A</v>
      </c>
      <c r="G99" s="17" t="e">
        <v>#N/A</v>
      </c>
      <c r="H99" s="17" t="e">
        <v>#N/A</v>
      </c>
      <c r="I99" s="17" t="e">
        <v>#N/A</v>
      </c>
      <c r="J99" s="17" t="e">
        <v>#N/A</v>
      </c>
      <c r="K99" s="17" t="e">
        <v>#N/A</v>
      </c>
      <c r="L99" s="17" t="e">
        <v>#N/A</v>
      </c>
      <c r="M99" s="17" t="e">
        <v>#N/A</v>
      </c>
      <c r="N99" s="17" t="e">
        <v>#N/A</v>
      </c>
      <c r="O99" s="17" t="e">
        <v>#N/A</v>
      </c>
      <c r="P99" s="17" t="e">
        <v>#N/A</v>
      </c>
      <c r="Q99" s="17" t="e">
        <v>#N/A</v>
      </c>
      <c r="R99" s="17" t="e">
        <v>#N/A</v>
      </c>
      <c r="S99" s="17" t="e">
        <v>#N/A</v>
      </c>
      <c r="T99" s="17" t="e">
        <v>#N/A</v>
      </c>
      <c r="U99" s="17" t="e">
        <v>#N/A</v>
      </c>
      <c r="V99" s="17" t="e">
        <v>#N/A</v>
      </c>
      <c r="W99" s="17" t="e">
        <v>#N/A</v>
      </c>
      <c r="X99" s="17" t="e">
        <v>#N/A</v>
      </c>
      <c r="Y99" s="17" t="e">
        <v>#N/A</v>
      </c>
      <c r="Z99" s="17" t="e">
        <v>#N/A</v>
      </c>
      <c r="AA99" s="17" t="e">
        <v>#N/A</v>
      </c>
      <c r="AB99" s="17" t="e">
        <v>#N/A</v>
      </c>
      <c r="AC99" s="17" t="e">
        <v>#N/A</v>
      </c>
      <c r="AD99" s="17" t="e">
        <v>#N/A</v>
      </c>
      <c r="AE99" s="17" t="e">
        <v>#N/A</v>
      </c>
      <c r="AF99" s="17" t="e">
        <v>#N/A</v>
      </c>
      <c r="AG99" s="17" t="e">
        <v>#N/A</v>
      </c>
      <c r="AH99" s="17" t="e">
        <v>#N/A</v>
      </c>
      <c r="AI99" s="17" t="e">
        <v>#N/A</v>
      </c>
      <c r="AJ99" s="17" t="e">
        <v>#N/A</v>
      </c>
      <c r="AK99" s="17" t="e">
        <v>#N/A</v>
      </c>
      <c r="AL99" s="17" t="e">
        <v>#N/A</v>
      </c>
      <c r="AM99" s="17" t="e">
        <v>#N/A</v>
      </c>
      <c r="AN99" s="17" t="e">
        <v>#N/A</v>
      </c>
      <c r="AO99" s="17" t="e">
        <v>#N/A</v>
      </c>
      <c r="AP99" s="17" t="e">
        <v>#N/A</v>
      </c>
      <c r="AQ99" s="17" t="e">
        <v>#N/A</v>
      </c>
      <c r="AR99" s="17" t="e">
        <v>#N/A</v>
      </c>
      <c r="AS99" s="17" t="e">
        <v>#N/A</v>
      </c>
      <c r="AT99" s="17" t="e">
        <v>#N/A</v>
      </c>
      <c r="AU99" s="17" t="e">
        <v>#N/A</v>
      </c>
      <c r="AV99" s="17" t="e">
        <v>#N/A</v>
      </c>
      <c r="AW99" s="17" t="e">
        <v>#N/A</v>
      </c>
      <c r="AX99" s="17" t="e">
        <v>#N/A</v>
      </c>
      <c r="AY99" s="17" t="e">
        <v>#N/A</v>
      </c>
      <c r="AZ99" s="17" t="e">
        <v>#N/A</v>
      </c>
      <c r="BA99" s="17" t="e">
        <v>#N/A</v>
      </c>
      <c r="BB99" s="17" t="e">
        <v>#N/A</v>
      </c>
      <c r="BC99" s="17" t="e">
        <v>#N/A</v>
      </c>
      <c r="BD99" s="17" t="e">
        <v>#N/A</v>
      </c>
      <c r="BE99" s="17" t="e">
        <v>#N/A</v>
      </c>
      <c r="BF99" s="17" t="e">
        <v>#N/A</v>
      </c>
      <c r="BG99" s="17" t="e">
        <v>#N/A</v>
      </c>
      <c r="BH99" s="17" t="e">
        <v>#N/A</v>
      </c>
      <c r="BI99" s="17" t="e">
        <v>#N/A</v>
      </c>
      <c r="BJ99" s="17" t="e">
        <v>#N/A</v>
      </c>
      <c r="BK99" s="17" t="e">
        <v>#N/A</v>
      </c>
      <c r="BL99" s="17" t="e">
        <v>#N/A</v>
      </c>
      <c r="BM99" s="17" t="e">
        <v>#N/A</v>
      </c>
      <c r="BN99" s="17" t="e">
        <v>#N/A</v>
      </c>
      <c r="BO99" s="17" t="e">
        <v>#N/A</v>
      </c>
      <c r="BP99" s="17" t="e">
        <v>#N/A</v>
      </c>
      <c r="BQ99" s="17" t="e">
        <v>#N/A</v>
      </c>
      <c r="BR99" s="17" t="e">
        <v>#N/A</v>
      </c>
      <c r="BS99" s="17" t="e">
        <v>#N/A</v>
      </c>
      <c r="BT99" s="17" t="e">
        <v>#N/A</v>
      </c>
      <c r="BU99" s="17" t="e">
        <v>#N/A</v>
      </c>
      <c r="BV99" s="17" t="e">
        <v>#N/A</v>
      </c>
      <c r="BW99" s="17" t="e">
        <v>#N/A</v>
      </c>
      <c r="BX99" s="17" t="e">
        <v>#N/A</v>
      </c>
      <c r="BY99" s="17" t="e">
        <v>#N/A</v>
      </c>
      <c r="BZ99" s="17" t="e">
        <v>#N/A</v>
      </c>
      <c r="CA99" s="17" t="e">
        <v>#N/A</v>
      </c>
      <c r="CB99" s="17" t="e">
        <v>#N/A</v>
      </c>
      <c r="CC99" s="17" t="e">
        <v>#N/A</v>
      </c>
      <c r="CD99" s="17" t="e">
        <v>#N/A</v>
      </c>
      <c r="CE99" s="17" t="e">
        <v>#N/A</v>
      </c>
      <c r="CF99" s="17" t="e">
        <v>#N/A</v>
      </c>
      <c r="CG99" s="17" t="e">
        <v>#N/A</v>
      </c>
      <c r="CH99" s="17" t="e">
        <v>#N/A</v>
      </c>
      <c r="CI99" s="17" t="e">
        <v>#N/A</v>
      </c>
      <c r="CJ99" s="17" t="e">
        <v>#N/A</v>
      </c>
      <c r="CK99" s="17" t="e">
        <v>#N/A</v>
      </c>
      <c r="CL99" s="17" t="e">
        <v>#N/A</v>
      </c>
      <c r="CM99" s="17" t="e">
        <v>#N/A</v>
      </c>
      <c r="CN99" s="17" t="e">
        <v>#N/A</v>
      </c>
      <c r="CO99" s="17" t="e">
        <v>#N/A</v>
      </c>
      <c r="CP99" s="17" t="e">
        <v>#N/A</v>
      </c>
      <c r="CQ99" s="17" t="e">
        <v>#N/A</v>
      </c>
      <c r="CR99" s="17" t="e">
        <v>#N/A</v>
      </c>
      <c r="CS99" s="17" t="e">
        <v>#N/A</v>
      </c>
      <c r="CT99" s="17" t="e">
        <v>#N/A</v>
      </c>
      <c r="CU99" s="17" t="e">
        <v>#N/A</v>
      </c>
      <c r="CV99" s="17" t="e">
        <v>#N/A</v>
      </c>
      <c r="CW99" s="17" t="e">
        <v>#N/A</v>
      </c>
      <c r="CX99" s="17" t="e">
        <v>#N/A</v>
      </c>
      <c r="CY99" s="17" t="e">
        <v>#N/A</v>
      </c>
      <c r="CZ99" s="17" t="e">
        <v>#N/A</v>
      </c>
      <c r="DA99" s="17" t="e">
        <v>#N/A</v>
      </c>
      <c r="DB99" s="17" t="e">
        <v>#N/A</v>
      </c>
      <c r="DC99" s="17" t="e">
        <v>#N/A</v>
      </c>
      <c r="DD99" s="17" t="e">
        <v>#N/A</v>
      </c>
      <c r="DE99" s="17" t="e">
        <v>#N/A</v>
      </c>
      <c r="DF99" s="17" t="e">
        <v>#N/A</v>
      </c>
      <c r="DG99" s="17" t="e">
        <v>#N/A</v>
      </c>
      <c r="DH99" s="17" t="e">
        <v>#N/A</v>
      </c>
      <c r="DI99" s="17" t="e">
        <v>#N/A</v>
      </c>
      <c r="DJ99" s="17" t="e">
        <v>#N/A</v>
      </c>
      <c r="DK99" s="17" t="e">
        <v>#N/A</v>
      </c>
      <c r="DL99" s="17" t="e">
        <v>#N/A</v>
      </c>
      <c r="DM99" s="17" t="e">
        <v>#N/A</v>
      </c>
      <c r="DN99" s="17" t="e">
        <v>#N/A</v>
      </c>
      <c r="DO99" s="17" t="e">
        <v>#N/A</v>
      </c>
      <c r="DP99" s="17" t="e">
        <v>#N/A</v>
      </c>
      <c r="DQ99" s="17" t="e">
        <v>#N/A</v>
      </c>
      <c r="DR99" s="17" t="e">
        <v>#N/A</v>
      </c>
      <c r="DS99" s="17" t="e">
        <v>#N/A</v>
      </c>
      <c r="DT99" s="17" t="e">
        <v>#N/A</v>
      </c>
      <c r="DU99" s="17" t="e">
        <v>#N/A</v>
      </c>
      <c r="DV99" s="17" t="e">
        <v>#N/A</v>
      </c>
      <c r="DW99" s="17" t="e">
        <v>#N/A</v>
      </c>
      <c r="DX99" s="17" t="e">
        <v>#N/A</v>
      </c>
      <c r="DY99" s="17" t="e">
        <v>#N/A</v>
      </c>
      <c r="DZ99" s="17" t="e">
        <v>#N/A</v>
      </c>
      <c r="EA99" s="17" t="e">
        <v>#N/A</v>
      </c>
      <c r="EB99" s="17" t="e">
        <v>#N/A</v>
      </c>
      <c r="EC99" s="17" t="e">
        <v>#N/A</v>
      </c>
      <c r="ED99" s="17" t="e">
        <v>#N/A</v>
      </c>
      <c r="EE99" s="17" t="e">
        <v>#N/A</v>
      </c>
      <c r="EF99" s="17" t="e">
        <v>#N/A</v>
      </c>
      <c r="EG99" s="17" t="e">
        <v>#N/A</v>
      </c>
      <c r="EH99" s="17" t="e">
        <v>#N/A</v>
      </c>
      <c r="EI99" s="17" t="e">
        <v>#N/A</v>
      </c>
      <c r="EJ99" s="17" t="e">
        <v>#N/A</v>
      </c>
      <c r="EK99" s="17" t="e">
        <v>#N/A</v>
      </c>
      <c r="EL99" s="17" t="e">
        <v>#N/A</v>
      </c>
      <c r="EM99" s="17" t="e">
        <v>#N/A</v>
      </c>
      <c r="EN99" s="17" t="e">
        <v>#N/A</v>
      </c>
      <c r="EO99" s="17" t="e">
        <v>#N/A</v>
      </c>
      <c r="EP99" s="17" t="e">
        <v>#N/A</v>
      </c>
      <c r="EQ99" s="17" t="e">
        <v>#N/A</v>
      </c>
      <c r="ER99" s="17" t="e">
        <v>#N/A</v>
      </c>
      <c r="ES99" s="17" t="e">
        <v>#N/A</v>
      </c>
      <c r="ET99" s="17" t="e">
        <v>#N/A</v>
      </c>
      <c r="EU99" s="17" t="e">
        <v>#N/A</v>
      </c>
      <c r="EV99" s="17" t="e">
        <v>#N/A</v>
      </c>
      <c r="EW99" s="17" t="e">
        <v>#N/A</v>
      </c>
      <c r="EX99" s="17" t="e">
        <v>#N/A</v>
      </c>
      <c r="EY99" s="17" t="e">
        <v>#N/A</v>
      </c>
      <c r="EZ99" s="17" t="e">
        <v>#N/A</v>
      </c>
      <c r="FA99" s="17" t="e">
        <v>#N/A</v>
      </c>
      <c r="FB99" s="17" t="e">
        <v>#N/A</v>
      </c>
      <c r="FC99" s="17" t="e">
        <v>#N/A</v>
      </c>
      <c r="FD99" s="17" t="e">
        <v>#N/A</v>
      </c>
      <c r="FE99" s="17" t="e">
        <v>#N/A</v>
      </c>
      <c r="FF99" s="17" t="e">
        <v>#N/A</v>
      </c>
      <c r="FG99" s="17" t="e">
        <v>#N/A</v>
      </c>
      <c r="FH99" s="17" t="e">
        <v>#N/A</v>
      </c>
      <c r="FI99" s="17" t="e">
        <v>#N/A</v>
      </c>
      <c r="FJ99" s="17" t="e">
        <v>#N/A</v>
      </c>
      <c r="FK99" s="17" t="e">
        <v>#N/A</v>
      </c>
      <c r="FL99" s="17" t="e">
        <v>#N/A</v>
      </c>
      <c r="FM99" s="17" t="e">
        <v>#N/A</v>
      </c>
      <c r="FN99" s="17" t="e">
        <v>#N/A</v>
      </c>
      <c r="FO99" s="17" t="e">
        <v>#N/A</v>
      </c>
      <c r="FP99" s="17" t="e">
        <v>#N/A</v>
      </c>
      <c r="FQ99" s="17" t="e">
        <v>#N/A</v>
      </c>
      <c r="FR99" s="17" t="e">
        <v>#N/A</v>
      </c>
      <c r="FS99" s="17" t="e">
        <v>#N/A</v>
      </c>
      <c r="FT99" s="17" t="e">
        <v>#N/A</v>
      </c>
      <c r="FU99" s="17" t="e">
        <v>#N/A</v>
      </c>
      <c r="FV99" s="17" t="e">
        <v>#N/A</v>
      </c>
    </row>
    <row r="100" spans="2:178" ht="11.25" customHeight="1">
      <c r="B100" s="17" t="e">
        <v>#N/A</v>
      </c>
      <c r="C100" s="17" t="e">
        <v>#N/A</v>
      </c>
      <c r="D100" s="17" t="e">
        <v>#N/A</v>
      </c>
      <c r="E100" s="17" t="e">
        <v>#N/A</v>
      </c>
      <c r="F100" s="17" t="e">
        <v>#N/A</v>
      </c>
      <c r="G100" s="17" t="e">
        <v>#N/A</v>
      </c>
      <c r="H100" s="17" t="e">
        <v>#N/A</v>
      </c>
      <c r="I100" s="17" t="e">
        <v>#N/A</v>
      </c>
      <c r="J100" s="17" t="e">
        <v>#N/A</v>
      </c>
      <c r="K100" s="17" t="e">
        <v>#N/A</v>
      </c>
      <c r="L100" s="17" t="e">
        <v>#N/A</v>
      </c>
      <c r="M100" s="17" t="e">
        <v>#N/A</v>
      </c>
      <c r="N100" s="17" t="e">
        <v>#N/A</v>
      </c>
      <c r="O100" s="17" t="e">
        <v>#N/A</v>
      </c>
      <c r="P100" s="17" t="e">
        <v>#N/A</v>
      </c>
      <c r="Q100" s="17" t="e">
        <v>#N/A</v>
      </c>
      <c r="R100" s="17" t="e">
        <v>#N/A</v>
      </c>
      <c r="S100" s="17" t="e">
        <v>#N/A</v>
      </c>
      <c r="T100" s="17" t="e">
        <v>#N/A</v>
      </c>
      <c r="U100" s="17" t="e">
        <v>#N/A</v>
      </c>
      <c r="V100" s="17" t="e">
        <v>#N/A</v>
      </c>
      <c r="W100" s="17" t="e">
        <v>#N/A</v>
      </c>
      <c r="X100" s="17" t="e">
        <v>#N/A</v>
      </c>
      <c r="Y100" s="17" t="e">
        <v>#N/A</v>
      </c>
      <c r="Z100" s="17" t="e">
        <v>#N/A</v>
      </c>
      <c r="AA100" s="17" t="e">
        <v>#N/A</v>
      </c>
      <c r="AB100" s="17" t="e">
        <v>#N/A</v>
      </c>
      <c r="AC100" s="17" t="e">
        <v>#N/A</v>
      </c>
      <c r="AD100" s="17" t="e">
        <v>#N/A</v>
      </c>
      <c r="AE100" s="17" t="e">
        <v>#N/A</v>
      </c>
      <c r="AF100" s="17" t="e">
        <v>#N/A</v>
      </c>
      <c r="AG100" s="17" t="e">
        <v>#N/A</v>
      </c>
      <c r="AH100" s="17" t="e">
        <v>#N/A</v>
      </c>
      <c r="AI100" s="17" t="e">
        <v>#N/A</v>
      </c>
      <c r="AJ100" s="17" t="e">
        <v>#N/A</v>
      </c>
      <c r="AK100" s="17" t="e">
        <v>#N/A</v>
      </c>
      <c r="AL100" s="17" t="e">
        <v>#N/A</v>
      </c>
      <c r="AM100" s="17" t="e">
        <v>#N/A</v>
      </c>
      <c r="AN100" s="17" t="e">
        <v>#N/A</v>
      </c>
      <c r="AO100" s="17" t="e">
        <v>#N/A</v>
      </c>
      <c r="AP100" s="17" t="e">
        <v>#N/A</v>
      </c>
      <c r="AQ100" s="17" t="e">
        <v>#N/A</v>
      </c>
      <c r="AR100" s="17" t="e">
        <v>#N/A</v>
      </c>
      <c r="AS100" s="17" t="e">
        <v>#N/A</v>
      </c>
      <c r="AT100" s="17" t="e">
        <v>#N/A</v>
      </c>
      <c r="AU100" s="17" t="e">
        <v>#N/A</v>
      </c>
      <c r="AV100" s="17" t="e">
        <v>#N/A</v>
      </c>
      <c r="AW100" s="17" t="e">
        <v>#N/A</v>
      </c>
      <c r="AX100" s="17" t="e">
        <v>#N/A</v>
      </c>
      <c r="AY100" s="17" t="e">
        <v>#N/A</v>
      </c>
      <c r="AZ100" s="17" t="e">
        <v>#N/A</v>
      </c>
      <c r="BA100" s="17" t="e">
        <v>#N/A</v>
      </c>
      <c r="BB100" s="17" t="e">
        <v>#N/A</v>
      </c>
      <c r="BC100" s="17" t="e">
        <v>#N/A</v>
      </c>
      <c r="BD100" s="17" t="e">
        <v>#N/A</v>
      </c>
      <c r="BE100" s="17" t="e">
        <v>#N/A</v>
      </c>
      <c r="BF100" s="17" t="e">
        <v>#N/A</v>
      </c>
      <c r="BG100" s="17" t="e">
        <v>#N/A</v>
      </c>
      <c r="BH100" s="17" t="e">
        <v>#N/A</v>
      </c>
      <c r="BI100" s="17" t="e">
        <v>#N/A</v>
      </c>
      <c r="BJ100" s="17" t="e">
        <v>#N/A</v>
      </c>
      <c r="BK100" s="17" t="e">
        <v>#N/A</v>
      </c>
      <c r="BL100" s="17" t="e">
        <v>#N/A</v>
      </c>
      <c r="BM100" s="17" t="e">
        <v>#N/A</v>
      </c>
      <c r="BN100" s="17" t="e">
        <v>#N/A</v>
      </c>
      <c r="BO100" s="17" t="e">
        <v>#N/A</v>
      </c>
      <c r="BP100" s="17" t="e">
        <v>#N/A</v>
      </c>
      <c r="BQ100" s="17" t="e">
        <v>#N/A</v>
      </c>
      <c r="BR100" s="17" t="e">
        <v>#N/A</v>
      </c>
      <c r="BS100" s="17" t="e">
        <v>#N/A</v>
      </c>
      <c r="BT100" s="17" t="e">
        <v>#N/A</v>
      </c>
      <c r="BU100" s="17" t="e">
        <v>#N/A</v>
      </c>
      <c r="BV100" s="17" t="e">
        <v>#N/A</v>
      </c>
      <c r="BW100" s="17" t="e">
        <v>#N/A</v>
      </c>
      <c r="BX100" s="17" t="e">
        <v>#N/A</v>
      </c>
      <c r="BY100" s="17" t="e">
        <v>#N/A</v>
      </c>
      <c r="BZ100" s="17" t="e">
        <v>#N/A</v>
      </c>
      <c r="CA100" s="17" t="e">
        <v>#N/A</v>
      </c>
      <c r="CB100" s="17" t="e">
        <v>#N/A</v>
      </c>
      <c r="CC100" s="17" t="e">
        <v>#N/A</v>
      </c>
      <c r="CD100" s="17" t="e">
        <v>#N/A</v>
      </c>
      <c r="CE100" s="17" t="e">
        <v>#N/A</v>
      </c>
      <c r="CF100" s="17" t="e">
        <v>#N/A</v>
      </c>
      <c r="CG100" s="17" t="e">
        <v>#N/A</v>
      </c>
      <c r="CH100" s="17" t="e">
        <v>#N/A</v>
      </c>
      <c r="CI100" s="17" t="e">
        <v>#N/A</v>
      </c>
      <c r="CJ100" s="17" t="e">
        <v>#N/A</v>
      </c>
      <c r="CK100" s="17" t="e">
        <v>#N/A</v>
      </c>
      <c r="CL100" s="17" t="e">
        <v>#N/A</v>
      </c>
      <c r="CM100" s="17" t="e">
        <v>#N/A</v>
      </c>
      <c r="CN100" s="17" t="e">
        <v>#N/A</v>
      </c>
      <c r="CO100" s="17" t="e">
        <v>#N/A</v>
      </c>
      <c r="CP100" s="17" t="e">
        <v>#N/A</v>
      </c>
      <c r="CQ100" s="17" t="e">
        <v>#N/A</v>
      </c>
      <c r="CR100" s="17" t="e">
        <v>#N/A</v>
      </c>
      <c r="CS100" s="17" t="e">
        <v>#N/A</v>
      </c>
      <c r="CT100" s="17" t="e">
        <v>#N/A</v>
      </c>
      <c r="CU100" s="17" t="e">
        <v>#N/A</v>
      </c>
      <c r="CV100" s="17" t="e">
        <v>#N/A</v>
      </c>
      <c r="CW100" s="17" t="e">
        <v>#N/A</v>
      </c>
      <c r="CX100" s="17" t="e">
        <v>#N/A</v>
      </c>
      <c r="CY100" s="17" t="e">
        <v>#N/A</v>
      </c>
      <c r="CZ100" s="17" t="e">
        <v>#N/A</v>
      </c>
      <c r="DA100" s="17" t="e">
        <v>#N/A</v>
      </c>
      <c r="DB100" s="17" t="e">
        <v>#N/A</v>
      </c>
      <c r="DC100" s="17" t="e">
        <v>#N/A</v>
      </c>
      <c r="DD100" s="17" t="e">
        <v>#N/A</v>
      </c>
      <c r="DE100" s="17" t="e">
        <v>#N/A</v>
      </c>
      <c r="DF100" s="17" t="e">
        <v>#N/A</v>
      </c>
      <c r="DG100" s="17" t="e">
        <v>#N/A</v>
      </c>
      <c r="DH100" s="17" t="e">
        <v>#N/A</v>
      </c>
      <c r="DI100" s="17" t="e">
        <v>#N/A</v>
      </c>
      <c r="DJ100" s="17" t="e">
        <v>#N/A</v>
      </c>
      <c r="DK100" s="17" t="e">
        <v>#N/A</v>
      </c>
      <c r="DL100" s="17" t="e">
        <v>#N/A</v>
      </c>
      <c r="DM100" s="17" t="e">
        <v>#N/A</v>
      </c>
      <c r="DN100" s="17" t="e">
        <v>#N/A</v>
      </c>
      <c r="DO100" s="17" t="e">
        <v>#N/A</v>
      </c>
      <c r="DP100" s="17" t="e">
        <v>#N/A</v>
      </c>
      <c r="DQ100" s="17" t="e">
        <v>#N/A</v>
      </c>
      <c r="DR100" s="17" t="e">
        <v>#N/A</v>
      </c>
      <c r="DS100" s="17" t="e">
        <v>#N/A</v>
      </c>
      <c r="DT100" s="17" t="e">
        <v>#N/A</v>
      </c>
      <c r="DU100" s="17" t="e">
        <v>#N/A</v>
      </c>
      <c r="DV100" s="17" t="e">
        <v>#N/A</v>
      </c>
      <c r="DW100" s="17" t="e">
        <v>#N/A</v>
      </c>
      <c r="DX100" s="17" t="e">
        <v>#N/A</v>
      </c>
      <c r="DY100" s="17" t="e">
        <v>#N/A</v>
      </c>
      <c r="DZ100" s="17" t="e">
        <v>#N/A</v>
      </c>
      <c r="EA100" s="17" t="e">
        <v>#N/A</v>
      </c>
      <c r="EB100" s="17" t="e">
        <v>#N/A</v>
      </c>
      <c r="EC100" s="17" t="e">
        <v>#N/A</v>
      </c>
      <c r="ED100" s="17" t="e">
        <v>#N/A</v>
      </c>
      <c r="EE100" s="17" t="e">
        <v>#N/A</v>
      </c>
      <c r="EF100" s="17" t="e">
        <v>#N/A</v>
      </c>
      <c r="EG100" s="17" t="e">
        <v>#N/A</v>
      </c>
      <c r="EH100" s="17" t="e">
        <v>#N/A</v>
      </c>
      <c r="EI100" s="17" t="e">
        <v>#N/A</v>
      </c>
      <c r="EJ100" s="17" t="e">
        <v>#N/A</v>
      </c>
      <c r="EK100" s="17" t="e">
        <v>#N/A</v>
      </c>
      <c r="EL100" s="17" t="e">
        <v>#N/A</v>
      </c>
      <c r="EM100" s="17" t="e">
        <v>#N/A</v>
      </c>
      <c r="EN100" s="17" t="e">
        <v>#N/A</v>
      </c>
      <c r="EO100" s="17" t="e">
        <v>#N/A</v>
      </c>
      <c r="EP100" s="17" t="e">
        <v>#N/A</v>
      </c>
      <c r="EQ100" s="17" t="e">
        <v>#N/A</v>
      </c>
      <c r="ER100" s="17" t="e">
        <v>#N/A</v>
      </c>
      <c r="ES100" s="17" t="e">
        <v>#N/A</v>
      </c>
      <c r="ET100" s="17" t="e">
        <v>#N/A</v>
      </c>
      <c r="EU100" s="17" t="e">
        <v>#N/A</v>
      </c>
      <c r="EV100" s="17" t="e">
        <v>#N/A</v>
      </c>
      <c r="EW100" s="17" t="e">
        <v>#N/A</v>
      </c>
      <c r="EX100" s="17" t="e">
        <v>#N/A</v>
      </c>
      <c r="EY100" s="17" t="e">
        <v>#N/A</v>
      </c>
      <c r="EZ100" s="17" t="e">
        <v>#N/A</v>
      </c>
      <c r="FA100" s="17" t="e">
        <v>#N/A</v>
      </c>
      <c r="FB100" s="17" t="e">
        <v>#N/A</v>
      </c>
      <c r="FC100" s="17" t="e">
        <v>#N/A</v>
      </c>
      <c r="FD100" s="17" t="e">
        <v>#N/A</v>
      </c>
      <c r="FE100" s="17" t="e">
        <v>#N/A</v>
      </c>
      <c r="FF100" s="17" t="e">
        <v>#N/A</v>
      </c>
      <c r="FG100" s="17" t="e">
        <v>#N/A</v>
      </c>
      <c r="FH100" s="17" t="e">
        <v>#N/A</v>
      </c>
      <c r="FI100" s="17" t="e">
        <v>#N/A</v>
      </c>
      <c r="FJ100" s="17" t="e">
        <v>#N/A</v>
      </c>
      <c r="FK100" s="17" t="e">
        <v>#N/A</v>
      </c>
      <c r="FL100" s="17" t="e">
        <v>#N/A</v>
      </c>
      <c r="FM100" s="17" t="e">
        <v>#N/A</v>
      </c>
      <c r="FN100" s="17" t="e">
        <v>#N/A</v>
      </c>
      <c r="FO100" s="17" t="e">
        <v>#N/A</v>
      </c>
      <c r="FP100" s="17" t="e">
        <v>#N/A</v>
      </c>
      <c r="FQ100" s="17" t="e">
        <v>#N/A</v>
      </c>
      <c r="FR100" s="17" t="e">
        <v>#N/A</v>
      </c>
      <c r="FS100" s="17" t="e">
        <v>#N/A</v>
      </c>
      <c r="FT100" s="17" t="e">
        <v>#N/A</v>
      </c>
      <c r="FU100" s="17" t="e">
        <v>#N/A</v>
      </c>
      <c r="FV100" s="17" t="e">
        <v>#N/A</v>
      </c>
    </row>
    <row r="101" spans="2:178" ht="11.25" customHeight="1">
      <c r="B101" s="17" t="e">
        <v>#N/A</v>
      </c>
      <c r="C101" s="17" t="e">
        <v>#N/A</v>
      </c>
      <c r="D101" s="17" t="e">
        <v>#N/A</v>
      </c>
      <c r="E101" s="17" t="e">
        <v>#N/A</v>
      </c>
      <c r="F101" s="17" t="e">
        <v>#N/A</v>
      </c>
      <c r="G101" s="17" t="e">
        <v>#N/A</v>
      </c>
      <c r="H101" s="17" t="e">
        <v>#N/A</v>
      </c>
      <c r="I101" s="17" t="e">
        <v>#N/A</v>
      </c>
      <c r="J101" s="17" t="e">
        <v>#N/A</v>
      </c>
      <c r="K101" s="17" t="e">
        <v>#N/A</v>
      </c>
      <c r="L101" s="17" t="e">
        <v>#N/A</v>
      </c>
      <c r="M101" s="17" t="e">
        <v>#N/A</v>
      </c>
      <c r="N101" s="17" t="e">
        <v>#N/A</v>
      </c>
      <c r="O101" s="17" t="e">
        <v>#N/A</v>
      </c>
      <c r="P101" s="17" t="e">
        <v>#N/A</v>
      </c>
      <c r="Q101" s="17" t="e">
        <v>#N/A</v>
      </c>
      <c r="R101" s="17" t="e">
        <v>#N/A</v>
      </c>
      <c r="S101" s="17" t="e">
        <v>#N/A</v>
      </c>
      <c r="T101" s="17" t="e">
        <v>#N/A</v>
      </c>
      <c r="U101" s="17" t="e">
        <v>#N/A</v>
      </c>
      <c r="V101" s="17" t="e">
        <v>#N/A</v>
      </c>
      <c r="W101" s="17" t="e">
        <v>#N/A</v>
      </c>
      <c r="X101" s="17" t="e">
        <v>#N/A</v>
      </c>
      <c r="Y101" s="17" t="e">
        <v>#N/A</v>
      </c>
      <c r="Z101" s="17" t="e">
        <v>#N/A</v>
      </c>
      <c r="AA101" s="17" t="e">
        <v>#N/A</v>
      </c>
      <c r="AB101" s="17" t="e">
        <v>#N/A</v>
      </c>
      <c r="AC101" s="17" t="e">
        <v>#N/A</v>
      </c>
      <c r="AD101" s="17" t="e">
        <v>#N/A</v>
      </c>
      <c r="AE101" s="17" t="e">
        <v>#N/A</v>
      </c>
      <c r="AF101" s="17" t="e">
        <v>#N/A</v>
      </c>
      <c r="AG101" s="17" t="e">
        <v>#N/A</v>
      </c>
      <c r="AH101" s="17" t="e">
        <v>#N/A</v>
      </c>
      <c r="AI101" s="17" t="e">
        <v>#N/A</v>
      </c>
      <c r="AJ101" s="17" t="e">
        <v>#N/A</v>
      </c>
      <c r="AK101" s="17" t="e">
        <v>#N/A</v>
      </c>
      <c r="AL101" s="17" t="e">
        <v>#N/A</v>
      </c>
      <c r="AM101" s="17" t="e">
        <v>#N/A</v>
      </c>
      <c r="AN101" s="17" t="e">
        <v>#N/A</v>
      </c>
      <c r="AO101" s="17" t="e">
        <v>#N/A</v>
      </c>
      <c r="AP101" s="17" t="e">
        <v>#N/A</v>
      </c>
      <c r="AQ101" s="17" t="e">
        <v>#N/A</v>
      </c>
      <c r="AR101" s="17" t="e">
        <v>#N/A</v>
      </c>
      <c r="AS101" s="17" t="e">
        <v>#N/A</v>
      </c>
      <c r="AT101" s="17" t="e">
        <v>#N/A</v>
      </c>
      <c r="AU101" s="17" t="e">
        <v>#N/A</v>
      </c>
      <c r="AV101" s="17" t="e">
        <v>#N/A</v>
      </c>
      <c r="AW101" s="17" t="e">
        <v>#N/A</v>
      </c>
      <c r="AX101" s="17" t="e">
        <v>#N/A</v>
      </c>
      <c r="AY101" s="17" t="e">
        <v>#N/A</v>
      </c>
      <c r="AZ101" s="17" t="e">
        <v>#N/A</v>
      </c>
      <c r="BA101" s="17" t="e">
        <v>#N/A</v>
      </c>
      <c r="BB101" s="17" t="e">
        <v>#N/A</v>
      </c>
      <c r="BC101" s="17" t="e">
        <v>#N/A</v>
      </c>
      <c r="BD101" s="17" t="e">
        <v>#N/A</v>
      </c>
      <c r="BE101" s="17" t="e">
        <v>#N/A</v>
      </c>
      <c r="BF101" s="17" t="e">
        <v>#N/A</v>
      </c>
      <c r="BG101" s="17" t="e">
        <v>#N/A</v>
      </c>
      <c r="BH101" s="17" t="e">
        <v>#N/A</v>
      </c>
      <c r="BI101" s="17" t="e">
        <v>#N/A</v>
      </c>
      <c r="BJ101" s="17" t="e">
        <v>#N/A</v>
      </c>
      <c r="BK101" s="17" t="e">
        <v>#N/A</v>
      </c>
      <c r="BL101" s="17" t="e">
        <v>#N/A</v>
      </c>
      <c r="BM101" s="17" t="e">
        <v>#N/A</v>
      </c>
      <c r="BN101" s="17" t="e">
        <v>#N/A</v>
      </c>
      <c r="BO101" s="17" t="e">
        <v>#N/A</v>
      </c>
      <c r="BP101" s="17" t="e">
        <v>#N/A</v>
      </c>
      <c r="BQ101" s="17" t="e">
        <v>#N/A</v>
      </c>
      <c r="BR101" s="17" t="e">
        <v>#N/A</v>
      </c>
      <c r="BS101" s="17" t="e">
        <v>#N/A</v>
      </c>
      <c r="BT101" s="17" t="e">
        <v>#N/A</v>
      </c>
      <c r="BU101" s="17" t="e">
        <v>#N/A</v>
      </c>
      <c r="BV101" s="17" t="e">
        <v>#N/A</v>
      </c>
      <c r="BW101" s="17" t="e">
        <v>#N/A</v>
      </c>
      <c r="BX101" s="17" t="e">
        <v>#N/A</v>
      </c>
      <c r="BY101" s="17" t="e">
        <v>#N/A</v>
      </c>
      <c r="BZ101" s="17" t="e">
        <v>#N/A</v>
      </c>
      <c r="CA101" s="17" t="e">
        <v>#N/A</v>
      </c>
      <c r="CB101" s="17" t="e">
        <v>#N/A</v>
      </c>
      <c r="CC101" s="17" t="e">
        <v>#N/A</v>
      </c>
      <c r="CD101" s="17" t="e">
        <v>#N/A</v>
      </c>
      <c r="CE101" s="17" t="e">
        <v>#N/A</v>
      </c>
      <c r="CF101" s="17" t="e">
        <v>#N/A</v>
      </c>
      <c r="CG101" s="17" t="e">
        <v>#N/A</v>
      </c>
      <c r="CH101" s="17" t="e">
        <v>#N/A</v>
      </c>
      <c r="CI101" s="17" t="e">
        <v>#N/A</v>
      </c>
      <c r="CJ101" s="17" t="e">
        <v>#N/A</v>
      </c>
      <c r="CK101" s="17" t="e">
        <v>#N/A</v>
      </c>
      <c r="CL101" s="17" t="e">
        <v>#N/A</v>
      </c>
      <c r="CM101" s="17" t="e">
        <v>#N/A</v>
      </c>
      <c r="CN101" s="17" t="e">
        <v>#N/A</v>
      </c>
      <c r="CO101" s="17" t="e">
        <v>#N/A</v>
      </c>
      <c r="CP101" s="17" t="e">
        <v>#N/A</v>
      </c>
      <c r="CQ101" s="17" t="e">
        <v>#N/A</v>
      </c>
      <c r="CR101" s="17" t="e">
        <v>#N/A</v>
      </c>
      <c r="CS101" s="17" t="e">
        <v>#N/A</v>
      </c>
      <c r="CT101" s="17" t="e">
        <v>#N/A</v>
      </c>
      <c r="CU101" s="17" t="e">
        <v>#N/A</v>
      </c>
      <c r="CV101" s="17" t="e">
        <v>#N/A</v>
      </c>
      <c r="CW101" s="17" t="e">
        <v>#N/A</v>
      </c>
      <c r="CX101" s="17" t="e">
        <v>#N/A</v>
      </c>
      <c r="CY101" s="17" t="e">
        <v>#N/A</v>
      </c>
      <c r="CZ101" s="17" t="e">
        <v>#N/A</v>
      </c>
      <c r="DA101" s="17" t="e">
        <v>#N/A</v>
      </c>
      <c r="DB101" s="17" t="e">
        <v>#N/A</v>
      </c>
      <c r="DC101" s="17" t="e">
        <v>#N/A</v>
      </c>
      <c r="DD101" s="17" t="e">
        <v>#N/A</v>
      </c>
      <c r="DE101" s="17" t="e">
        <v>#N/A</v>
      </c>
      <c r="DF101" s="17" t="e">
        <v>#N/A</v>
      </c>
      <c r="DG101" s="17" t="e">
        <v>#N/A</v>
      </c>
      <c r="DH101" s="17" t="e">
        <v>#N/A</v>
      </c>
      <c r="DI101" s="17" t="e">
        <v>#N/A</v>
      </c>
      <c r="DJ101" s="17" t="e">
        <v>#N/A</v>
      </c>
      <c r="DK101" s="17" t="e">
        <v>#N/A</v>
      </c>
      <c r="DL101" s="17" t="e">
        <v>#N/A</v>
      </c>
      <c r="DM101" s="17" t="e">
        <v>#N/A</v>
      </c>
      <c r="DN101" s="17" t="e">
        <v>#N/A</v>
      </c>
      <c r="DO101" s="17" t="e">
        <v>#N/A</v>
      </c>
      <c r="DP101" s="17" t="e">
        <v>#N/A</v>
      </c>
      <c r="DQ101" s="17" t="e">
        <v>#N/A</v>
      </c>
      <c r="DR101" s="17" t="e">
        <v>#N/A</v>
      </c>
      <c r="DS101" s="17" t="e">
        <v>#N/A</v>
      </c>
      <c r="DT101" s="17" t="e">
        <v>#N/A</v>
      </c>
      <c r="DU101" s="17" t="e">
        <v>#N/A</v>
      </c>
      <c r="DV101" s="17" t="e">
        <v>#N/A</v>
      </c>
      <c r="DW101" s="17" t="e">
        <v>#N/A</v>
      </c>
      <c r="DX101" s="17" t="e">
        <v>#N/A</v>
      </c>
      <c r="DY101" s="17" t="e">
        <v>#N/A</v>
      </c>
      <c r="DZ101" s="17" t="e">
        <v>#N/A</v>
      </c>
      <c r="EA101" s="17" t="e">
        <v>#N/A</v>
      </c>
      <c r="EB101" s="17" t="e">
        <v>#N/A</v>
      </c>
      <c r="EC101" s="17" t="e">
        <v>#N/A</v>
      </c>
      <c r="ED101" s="17" t="e">
        <v>#N/A</v>
      </c>
      <c r="EE101" s="17" t="e">
        <v>#N/A</v>
      </c>
      <c r="EF101" s="17" t="e">
        <v>#N/A</v>
      </c>
      <c r="EG101" s="17" t="e">
        <v>#N/A</v>
      </c>
      <c r="EH101" s="17" t="e">
        <v>#N/A</v>
      </c>
      <c r="EI101" s="17" t="e">
        <v>#N/A</v>
      </c>
      <c r="EJ101" s="17" t="e">
        <v>#N/A</v>
      </c>
      <c r="EK101" s="17" t="e">
        <v>#N/A</v>
      </c>
      <c r="EL101" s="17" t="e">
        <v>#N/A</v>
      </c>
      <c r="EM101" s="17" t="e">
        <v>#N/A</v>
      </c>
      <c r="EN101" s="17" t="e">
        <v>#N/A</v>
      </c>
      <c r="EO101" s="17" t="e">
        <v>#N/A</v>
      </c>
      <c r="EP101" s="17" t="e">
        <v>#N/A</v>
      </c>
      <c r="EQ101" s="17" t="e">
        <v>#N/A</v>
      </c>
      <c r="ER101" s="17" t="e">
        <v>#N/A</v>
      </c>
      <c r="ES101" s="17" t="e">
        <v>#N/A</v>
      </c>
      <c r="ET101" s="17" t="e">
        <v>#N/A</v>
      </c>
      <c r="EU101" s="17" t="e">
        <v>#N/A</v>
      </c>
      <c r="EV101" s="17" t="e">
        <v>#N/A</v>
      </c>
      <c r="EW101" s="17" t="e">
        <v>#N/A</v>
      </c>
      <c r="EX101" s="17" t="e">
        <v>#N/A</v>
      </c>
      <c r="EY101" s="17" t="e">
        <v>#N/A</v>
      </c>
      <c r="EZ101" s="17" t="e">
        <v>#N/A</v>
      </c>
      <c r="FA101" s="17" t="e">
        <v>#N/A</v>
      </c>
      <c r="FB101" s="17" t="e">
        <v>#N/A</v>
      </c>
      <c r="FC101" s="17" t="e">
        <v>#N/A</v>
      </c>
      <c r="FD101" s="17" t="e">
        <v>#N/A</v>
      </c>
      <c r="FE101" s="17" t="e">
        <v>#N/A</v>
      </c>
      <c r="FF101" s="17" t="e">
        <v>#N/A</v>
      </c>
      <c r="FG101" s="17" t="e">
        <v>#N/A</v>
      </c>
      <c r="FH101" s="17" t="e">
        <v>#N/A</v>
      </c>
      <c r="FI101" s="17" t="e">
        <v>#N/A</v>
      </c>
      <c r="FJ101" s="17" t="e">
        <v>#N/A</v>
      </c>
      <c r="FK101" s="17" t="e">
        <v>#N/A</v>
      </c>
      <c r="FL101" s="17" t="e">
        <v>#N/A</v>
      </c>
      <c r="FM101" s="17" t="e">
        <v>#N/A</v>
      </c>
      <c r="FN101" s="17" t="e">
        <v>#N/A</v>
      </c>
      <c r="FO101" s="17" t="e">
        <v>#N/A</v>
      </c>
      <c r="FP101" s="17" t="e">
        <v>#N/A</v>
      </c>
      <c r="FQ101" s="17" t="e">
        <v>#N/A</v>
      </c>
      <c r="FR101" s="17" t="e">
        <v>#N/A</v>
      </c>
      <c r="FS101" s="17" t="e">
        <v>#N/A</v>
      </c>
      <c r="FT101" s="17" t="e">
        <v>#N/A</v>
      </c>
      <c r="FU101" s="17" t="e">
        <v>#N/A</v>
      </c>
      <c r="FV101" s="17" t="e">
        <v>#N/A</v>
      </c>
    </row>
    <row r="102" spans="2:178" ht="11.25" customHeight="1">
      <c r="B102" s="17" t="e">
        <v>#N/A</v>
      </c>
      <c r="C102" s="17" t="e">
        <v>#N/A</v>
      </c>
      <c r="D102" s="17" t="e">
        <v>#N/A</v>
      </c>
      <c r="E102" s="17" t="e">
        <v>#N/A</v>
      </c>
      <c r="F102" s="17" t="e">
        <v>#N/A</v>
      </c>
      <c r="G102" s="17" t="e">
        <v>#N/A</v>
      </c>
      <c r="H102" s="17" t="e">
        <v>#N/A</v>
      </c>
      <c r="I102" s="17" t="e">
        <v>#N/A</v>
      </c>
      <c r="J102" s="17" t="e">
        <v>#N/A</v>
      </c>
      <c r="K102" s="17" t="e">
        <v>#N/A</v>
      </c>
      <c r="L102" s="17" t="e">
        <v>#N/A</v>
      </c>
      <c r="M102" s="17" t="e">
        <v>#N/A</v>
      </c>
      <c r="N102" s="17" t="e">
        <v>#N/A</v>
      </c>
      <c r="O102" s="17" t="e">
        <v>#N/A</v>
      </c>
      <c r="P102" s="17" t="e">
        <v>#N/A</v>
      </c>
      <c r="Q102" s="17" t="e">
        <v>#N/A</v>
      </c>
      <c r="R102" s="17" t="e">
        <v>#N/A</v>
      </c>
      <c r="S102" s="17" t="e">
        <v>#N/A</v>
      </c>
      <c r="T102" s="17" t="e">
        <v>#N/A</v>
      </c>
      <c r="U102" s="17" t="e">
        <v>#N/A</v>
      </c>
      <c r="V102" s="17" t="e">
        <v>#N/A</v>
      </c>
      <c r="W102" s="17" t="e">
        <v>#N/A</v>
      </c>
      <c r="X102" s="17" t="e">
        <v>#N/A</v>
      </c>
      <c r="Y102" s="17" t="e">
        <v>#N/A</v>
      </c>
      <c r="Z102" s="17" t="e">
        <v>#N/A</v>
      </c>
      <c r="AA102" s="17" t="e">
        <v>#N/A</v>
      </c>
      <c r="AB102" s="17" t="e">
        <v>#N/A</v>
      </c>
      <c r="AC102" s="17" t="e">
        <v>#N/A</v>
      </c>
      <c r="AD102" s="17" t="e">
        <v>#N/A</v>
      </c>
      <c r="AE102" s="17" t="e">
        <v>#N/A</v>
      </c>
      <c r="AF102" s="17" t="e">
        <v>#N/A</v>
      </c>
      <c r="AG102" s="17" t="e">
        <v>#N/A</v>
      </c>
      <c r="AH102" s="17" t="e">
        <v>#N/A</v>
      </c>
      <c r="AI102" s="17" t="e">
        <v>#N/A</v>
      </c>
      <c r="AJ102" s="17" t="e">
        <v>#N/A</v>
      </c>
      <c r="AK102" s="17" t="e">
        <v>#N/A</v>
      </c>
      <c r="AL102" s="17" t="e">
        <v>#N/A</v>
      </c>
      <c r="AM102" s="17" t="e">
        <v>#N/A</v>
      </c>
      <c r="AN102" s="17" t="e">
        <v>#N/A</v>
      </c>
      <c r="AO102" s="17" t="e">
        <v>#N/A</v>
      </c>
      <c r="AP102" s="17" t="e">
        <v>#N/A</v>
      </c>
      <c r="AQ102" s="17" t="e">
        <v>#N/A</v>
      </c>
      <c r="AR102" s="17" t="e">
        <v>#N/A</v>
      </c>
      <c r="AS102" s="17" t="e">
        <v>#N/A</v>
      </c>
      <c r="AT102" s="17" t="e">
        <v>#N/A</v>
      </c>
      <c r="AU102" s="17" t="e">
        <v>#N/A</v>
      </c>
      <c r="AV102" s="17" t="e">
        <v>#N/A</v>
      </c>
      <c r="AW102" s="17" t="e">
        <v>#N/A</v>
      </c>
      <c r="AX102" s="17" t="e">
        <v>#N/A</v>
      </c>
      <c r="AY102" s="17" t="e">
        <v>#N/A</v>
      </c>
      <c r="AZ102" s="17" t="e">
        <v>#N/A</v>
      </c>
      <c r="BA102" s="17" t="e">
        <v>#N/A</v>
      </c>
      <c r="BB102" s="17" t="e">
        <v>#N/A</v>
      </c>
      <c r="BC102" s="17" t="e">
        <v>#N/A</v>
      </c>
      <c r="BD102" s="17" t="e">
        <v>#N/A</v>
      </c>
      <c r="BE102" s="17" t="e">
        <v>#N/A</v>
      </c>
      <c r="BF102" s="17" t="e">
        <v>#N/A</v>
      </c>
      <c r="BG102" s="17" t="e">
        <v>#N/A</v>
      </c>
      <c r="BH102" s="17" t="e">
        <v>#N/A</v>
      </c>
      <c r="BI102" s="17" t="e">
        <v>#N/A</v>
      </c>
      <c r="BJ102" s="17" t="e">
        <v>#N/A</v>
      </c>
      <c r="BK102" s="17" t="e">
        <v>#N/A</v>
      </c>
      <c r="BL102" s="17" t="e">
        <v>#N/A</v>
      </c>
      <c r="BM102" s="17" t="e">
        <v>#N/A</v>
      </c>
      <c r="BN102" s="17" t="e">
        <v>#N/A</v>
      </c>
      <c r="BO102" s="17" t="e">
        <v>#N/A</v>
      </c>
      <c r="BP102" s="17" t="e">
        <v>#N/A</v>
      </c>
      <c r="BQ102" s="17" t="e">
        <v>#N/A</v>
      </c>
      <c r="BR102" s="17" t="e">
        <v>#N/A</v>
      </c>
      <c r="BS102" s="17" t="e">
        <v>#N/A</v>
      </c>
      <c r="BT102" s="17" t="e">
        <v>#N/A</v>
      </c>
      <c r="BU102" s="17" t="e">
        <v>#N/A</v>
      </c>
      <c r="BV102" s="17" t="e">
        <v>#N/A</v>
      </c>
      <c r="BW102" s="17" t="e">
        <v>#N/A</v>
      </c>
      <c r="BX102" s="17" t="e">
        <v>#N/A</v>
      </c>
      <c r="BY102" s="17" t="e">
        <v>#N/A</v>
      </c>
      <c r="BZ102" s="17" t="e">
        <v>#N/A</v>
      </c>
      <c r="CA102" s="17" t="e">
        <v>#N/A</v>
      </c>
      <c r="CB102" s="17" t="e">
        <v>#N/A</v>
      </c>
      <c r="CC102" s="17" t="e">
        <v>#N/A</v>
      </c>
      <c r="CD102" s="17" t="e">
        <v>#N/A</v>
      </c>
      <c r="CE102" s="17" t="e">
        <v>#N/A</v>
      </c>
      <c r="CF102" s="17" t="e">
        <v>#N/A</v>
      </c>
      <c r="CG102" s="17" t="e">
        <v>#N/A</v>
      </c>
      <c r="CH102" s="17" t="e">
        <v>#N/A</v>
      </c>
      <c r="CI102" s="17" t="e">
        <v>#N/A</v>
      </c>
      <c r="CJ102" s="17" t="e">
        <v>#N/A</v>
      </c>
      <c r="CK102" s="17" t="e">
        <v>#N/A</v>
      </c>
      <c r="CL102" s="17" t="e">
        <v>#N/A</v>
      </c>
      <c r="CM102" s="17" t="e">
        <v>#N/A</v>
      </c>
      <c r="CN102" s="17" t="e">
        <v>#N/A</v>
      </c>
      <c r="CO102" s="17" t="e">
        <v>#N/A</v>
      </c>
      <c r="CP102" s="17" t="e">
        <v>#N/A</v>
      </c>
      <c r="CQ102" s="17" t="e">
        <v>#N/A</v>
      </c>
      <c r="CR102" s="17" t="e">
        <v>#N/A</v>
      </c>
      <c r="CS102" s="17" t="e">
        <v>#N/A</v>
      </c>
      <c r="CT102" s="17" t="e">
        <v>#N/A</v>
      </c>
      <c r="CU102" s="17" t="e">
        <v>#N/A</v>
      </c>
      <c r="CV102" s="17" t="e">
        <v>#N/A</v>
      </c>
      <c r="CW102" s="17" t="e">
        <v>#N/A</v>
      </c>
      <c r="CX102" s="17" t="e">
        <v>#N/A</v>
      </c>
      <c r="CY102" s="17" t="e">
        <v>#N/A</v>
      </c>
      <c r="CZ102" s="17" t="e">
        <v>#N/A</v>
      </c>
      <c r="DA102" s="17" t="e">
        <v>#N/A</v>
      </c>
      <c r="DB102" s="17" t="e">
        <v>#N/A</v>
      </c>
      <c r="DC102" s="17" t="e">
        <v>#N/A</v>
      </c>
      <c r="DD102" s="17" t="e">
        <v>#N/A</v>
      </c>
      <c r="DE102" s="17" t="e">
        <v>#N/A</v>
      </c>
      <c r="DF102" s="17" t="e">
        <v>#N/A</v>
      </c>
      <c r="DG102" s="17" t="e">
        <v>#N/A</v>
      </c>
      <c r="DH102" s="17" t="e">
        <v>#N/A</v>
      </c>
      <c r="DI102" s="17" t="e">
        <v>#N/A</v>
      </c>
      <c r="DJ102" s="17" t="e">
        <v>#N/A</v>
      </c>
      <c r="DK102" s="17" t="e">
        <v>#N/A</v>
      </c>
      <c r="DL102" s="17" t="e">
        <v>#N/A</v>
      </c>
      <c r="DM102" s="17" t="e">
        <v>#N/A</v>
      </c>
      <c r="DN102" s="17" t="e">
        <v>#N/A</v>
      </c>
      <c r="DO102" s="17" t="e">
        <v>#N/A</v>
      </c>
      <c r="DP102" s="17" t="e">
        <v>#N/A</v>
      </c>
      <c r="DQ102" s="17" t="e">
        <v>#N/A</v>
      </c>
      <c r="DR102" s="17" t="e">
        <v>#N/A</v>
      </c>
      <c r="DS102" s="17" t="e">
        <v>#N/A</v>
      </c>
      <c r="DT102" s="17" t="e">
        <v>#N/A</v>
      </c>
      <c r="DU102" s="17" t="e">
        <v>#N/A</v>
      </c>
      <c r="DV102" s="17" t="e">
        <v>#N/A</v>
      </c>
      <c r="DW102" s="17" t="e">
        <v>#N/A</v>
      </c>
      <c r="DX102" s="17" t="e">
        <v>#N/A</v>
      </c>
      <c r="DY102" s="17" t="e">
        <v>#N/A</v>
      </c>
      <c r="DZ102" s="17" t="e">
        <v>#N/A</v>
      </c>
      <c r="EA102" s="17" t="e">
        <v>#N/A</v>
      </c>
      <c r="EB102" s="17" t="e">
        <v>#N/A</v>
      </c>
      <c r="EC102" s="17" t="e">
        <v>#N/A</v>
      </c>
      <c r="ED102" s="17" t="e">
        <v>#N/A</v>
      </c>
      <c r="EE102" s="17" t="e">
        <v>#N/A</v>
      </c>
      <c r="EF102" s="17" t="e">
        <v>#N/A</v>
      </c>
      <c r="EG102" s="17" t="e">
        <v>#N/A</v>
      </c>
      <c r="EH102" s="17" t="e">
        <v>#N/A</v>
      </c>
      <c r="EI102" s="17" t="e">
        <v>#N/A</v>
      </c>
      <c r="EJ102" s="17" t="e">
        <v>#N/A</v>
      </c>
      <c r="EK102" s="17" t="e">
        <v>#N/A</v>
      </c>
      <c r="EL102" s="17" t="e">
        <v>#N/A</v>
      </c>
      <c r="EM102" s="17" t="e">
        <v>#N/A</v>
      </c>
      <c r="EN102" s="17" t="e">
        <v>#N/A</v>
      </c>
      <c r="EO102" s="17" t="e">
        <v>#N/A</v>
      </c>
      <c r="EP102" s="17" t="e">
        <v>#N/A</v>
      </c>
      <c r="EQ102" s="17" t="e">
        <v>#N/A</v>
      </c>
      <c r="ER102" s="17" t="e">
        <v>#N/A</v>
      </c>
      <c r="ES102" s="17" t="e">
        <v>#N/A</v>
      </c>
      <c r="ET102" s="17" t="e">
        <v>#N/A</v>
      </c>
      <c r="EU102" s="17" t="e">
        <v>#N/A</v>
      </c>
      <c r="EV102" s="17" t="e">
        <v>#N/A</v>
      </c>
      <c r="EW102" s="17" t="e">
        <v>#N/A</v>
      </c>
      <c r="EX102" s="17" t="e">
        <v>#N/A</v>
      </c>
      <c r="EY102" s="17" t="e">
        <v>#N/A</v>
      </c>
      <c r="EZ102" s="17" t="e">
        <v>#N/A</v>
      </c>
      <c r="FA102" s="17" t="e">
        <v>#N/A</v>
      </c>
      <c r="FB102" s="17" t="e">
        <v>#N/A</v>
      </c>
      <c r="FC102" s="17" t="e">
        <v>#N/A</v>
      </c>
      <c r="FD102" s="17" t="e">
        <v>#N/A</v>
      </c>
      <c r="FE102" s="17" t="e">
        <v>#N/A</v>
      </c>
      <c r="FF102" s="17" t="e">
        <v>#N/A</v>
      </c>
      <c r="FG102" s="17" t="e">
        <v>#N/A</v>
      </c>
      <c r="FH102" s="17" t="e">
        <v>#N/A</v>
      </c>
      <c r="FI102" s="17" t="e">
        <v>#N/A</v>
      </c>
      <c r="FJ102" s="17" t="e">
        <v>#N/A</v>
      </c>
      <c r="FK102" s="17" t="e">
        <v>#N/A</v>
      </c>
      <c r="FL102" s="17" t="e">
        <v>#N/A</v>
      </c>
      <c r="FM102" s="17" t="e">
        <v>#N/A</v>
      </c>
      <c r="FN102" s="17" t="e">
        <v>#N/A</v>
      </c>
      <c r="FO102" s="17" t="e">
        <v>#N/A</v>
      </c>
      <c r="FP102" s="17" t="e">
        <v>#N/A</v>
      </c>
      <c r="FQ102" s="17" t="e">
        <v>#N/A</v>
      </c>
      <c r="FR102" s="17" t="e">
        <v>#N/A</v>
      </c>
      <c r="FS102" s="17" t="e">
        <v>#N/A</v>
      </c>
      <c r="FT102" s="17" t="e">
        <v>#N/A</v>
      </c>
      <c r="FU102" s="17" t="e">
        <v>#N/A</v>
      </c>
      <c r="FV102" s="17" t="e">
        <v>#N/A</v>
      </c>
    </row>
    <row r="103" spans="2:178" ht="11.25" customHeight="1">
      <c r="B103" s="17" t="e">
        <v>#N/A</v>
      </c>
      <c r="C103" s="17" t="e">
        <v>#N/A</v>
      </c>
      <c r="D103" s="17" t="e">
        <v>#N/A</v>
      </c>
      <c r="E103" s="17" t="e">
        <v>#N/A</v>
      </c>
      <c r="F103" s="17" t="e">
        <v>#N/A</v>
      </c>
      <c r="G103" s="17" t="e">
        <v>#N/A</v>
      </c>
      <c r="H103" s="17" t="e">
        <v>#N/A</v>
      </c>
      <c r="I103" s="17" t="e">
        <v>#N/A</v>
      </c>
      <c r="J103" s="17" t="e">
        <v>#N/A</v>
      </c>
      <c r="K103" s="17" t="e">
        <v>#N/A</v>
      </c>
      <c r="L103" s="17" t="e">
        <v>#N/A</v>
      </c>
      <c r="M103" s="17" t="e">
        <v>#N/A</v>
      </c>
      <c r="N103" s="17" t="e">
        <v>#N/A</v>
      </c>
      <c r="O103" s="17" t="e">
        <v>#N/A</v>
      </c>
      <c r="P103" s="17" t="e">
        <v>#N/A</v>
      </c>
      <c r="Q103" s="17" t="e">
        <v>#N/A</v>
      </c>
      <c r="R103" s="17" t="e">
        <v>#N/A</v>
      </c>
      <c r="S103" s="17" t="e">
        <v>#N/A</v>
      </c>
      <c r="T103" s="17" t="e">
        <v>#N/A</v>
      </c>
      <c r="U103" s="17" t="e">
        <v>#N/A</v>
      </c>
      <c r="V103" s="17" t="e">
        <v>#N/A</v>
      </c>
      <c r="W103" s="17" t="e">
        <v>#N/A</v>
      </c>
      <c r="X103" s="17" t="e">
        <v>#N/A</v>
      </c>
      <c r="Y103" s="17" t="e">
        <v>#N/A</v>
      </c>
      <c r="Z103" s="17" t="e">
        <v>#N/A</v>
      </c>
      <c r="AA103" s="17" t="e">
        <v>#N/A</v>
      </c>
      <c r="AB103" s="17" t="e">
        <v>#N/A</v>
      </c>
      <c r="AC103" s="17" t="e">
        <v>#N/A</v>
      </c>
      <c r="AD103" s="17" t="e">
        <v>#N/A</v>
      </c>
      <c r="AE103" s="17" t="e">
        <v>#N/A</v>
      </c>
      <c r="AF103" s="17" t="e">
        <v>#N/A</v>
      </c>
      <c r="AG103" s="17" t="e">
        <v>#N/A</v>
      </c>
      <c r="AH103" s="17" t="e">
        <v>#N/A</v>
      </c>
      <c r="AI103" s="17" t="e">
        <v>#N/A</v>
      </c>
      <c r="AJ103" s="17" t="e">
        <v>#N/A</v>
      </c>
      <c r="AK103" s="17" t="e">
        <v>#N/A</v>
      </c>
      <c r="AL103" s="17" t="e">
        <v>#N/A</v>
      </c>
      <c r="AM103" s="17" t="e">
        <v>#N/A</v>
      </c>
      <c r="AN103" s="17" t="e">
        <v>#N/A</v>
      </c>
      <c r="AO103" s="17" t="e">
        <v>#N/A</v>
      </c>
      <c r="AP103" s="17" t="e">
        <v>#N/A</v>
      </c>
      <c r="AQ103" s="17" t="e">
        <v>#N/A</v>
      </c>
      <c r="AR103" s="17" t="e">
        <v>#N/A</v>
      </c>
      <c r="AS103" s="17" t="e">
        <v>#N/A</v>
      </c>
      <c r="AT103" s="17" t="e">
        <v>#N/A</v>
      </c>
      <c r="AU103" s="17" t="e">
        <v>#N/A</v>
      </c>
      <c r="AV103" s="17" t="e">
        <v>#N/A</v>
      </c>
      <c r="AW103" s="17" t="e">
        <v>#N/A</v>
      </c>
      <c r="AX103" s="17" t="e">
        <v>#N/A</v>
      </c>
      <c r="AY103" s="17" t="e">
        <v>#N/A</v>
      </c>
      <c r="AZ103" s="17" t="e">
        <v>#N/A</v>
      </c>
      <c r="BA103" s="17" t="e">
        <v>#N/A</v>
      </c>
      <c r="BB103" s="17" t="e">
        <v>#N/A</v>
      </c>
      <c r="BC103" s="17" t="e">
        <v>#N/A</v>
      </c>
      <c r="BD103" s="17" t="e">
        <v>#N/A</v>
      </c>
      <c r="BE103" s="17" t="e">
        <v>#N/A</v>
      </c>
      <c r="BF103" s="17" t="e">
        <v>#N/A</v>
      </c>
      <c r="BG103" s="17" t="e">
        <v>#N/A</v>
      </c>
      <c r="BH103" s="17" t="e">
        <v>#N/A</v>
      </c>
      <c r="BI103" s="17" t="e">
        <v>#N/A</v>
      </c>
      <c r="BJ103" s="17" t="e">
        <v>#N/A</v>
      </c>
      <c r="BK103" s="17" t="e">
        <v>#N/A</v>
      </c>
      <c r="BL103" s="17" t="e">
        <v>#N/A</v>
      </c>
      <c r="BM103" s="17" t="e">
        <v>#N/A</v>
      </c>
      <c r="BN103" s="17" t="e">
        <v>#N/A</v>
      </c>
      <c r="BO103" s="17" t="e">
        <v>#N/A</v>
      </c>
      <c r="BP103" s="17" t="e">
        <v>#N/A</v>
      </c>
      <c r="BQ103" s="17" t="e">
        <v>#N/A</v>
      </c>
      <c r="BR103" s="17" t="e">
        <v>#N/A</v>
      </c>
      <c r="BS103" s="17" t="e">
        <v>#N/A</v>
      </c>
      <c r="BT103" s="17" t="e">
        <v>#N/A</v>
      </c>
      <c r="BU103" s="17" t="e">
        <v>#N/A</v>
      </c>
      <c r="BV103" s="17" t="e">
        <v>#N/A</v>
      </c>
      <c r="BW103" s="17" t="e">
        <v>#N/A</v>
      </c>
      <c r="BX103" s="17" t="e">
        <v>#N/A</v>
      </c>
      <c r="BY103" s="17" t="e">
        <v>#N/A</v>
      </c>
      <c r="BZ103" s="17" t="e">
        <v>#N/A</v>
      </c>
      <c r="CA103" s="17" t="e">
        <v>#N/A</v>
      </c>
      <c r="CB103" s="17" t="e">
        <v>#N/A</v>
      </c>
      <c r="CC103" s="17" t="e">
        <v>#N/A</v>
      </c>
      <c r="CD103" s="17" t="e">
        <v>#N/A</v>
      </c>
      <c r="CE103" s="17" t="e">
        <v>#N/A</v>
      </c>
      <c r="CF103" s="17" t="e">
        <v>#N/A</v>
      </c>
      <c r="CG103" s="17" t="e">
        <v>#N/A</v>
      </c>
      <c r="CH103" s="17" t="e">
        <v>#N/A</v>
      </c>
      <c r="CI103" s="17" t="e">
        <v>#N/A</v>
      </c>
      <c r="CJ103" s="17" t="e">
        <v>#N/A</v>
      </c>
      <c r="CK103" s="17" t="e">
        <v>#N/A</v>
      </c>
      <c r="CL103" s="17" t="e">
        <v>#N/A</v>
      </c>
      <c r="CM103" s="17" t="e">
        <v>#N/A</v>
      </c>
      <c r="CN103" s="17" t="e">
        <v>#N/A</v>
      </c>
      <c r="CO103" s="17" t="e">
        <v>#N/A</v>
      </c>
      <c r="CP103" s="17" t="e">
        <v>#N/A</v>
      </c>
      <c r="CQ103" s="17" t="e">
        <v>#N/A</v>
      </c>
      <c r="CR103" s="17" t="e">
        <v>#N/A</v>
      </c>
      <c r="CS103" s="17" t="e">
        <v>#N/A</v>
      </c>
      <c r="CT103" s="17" t="e">
        <v>#N/A</v>
      </c>
      <c r="CU103" s="17" t="e">
        <v>#N/A</v>
      </c>
      <c r="CV103" s="17" t="e">
        <v>#N/A</v>
      </c>
      <c r="CW103" s="17" t="e">
        <v>#N/A</v>
      </c>
      <c r="CX103" s="17" t="e">
        <v>#N/A</v>
      </c>
      <c r="CY103" s="17" t="e">
        <v>#N/A</v>
      </c>
      <c r="CZ103" s="17" t="e">
        <v>#N/A</v>
      </c>
      <c r="DA103" s="17" t="e">
        <v>#N/A</v>
      </c>
      <c r="DB103" s="17" t="e">
        <v>#N/A</v>
      </c>
      <c r="DC103" s="17" t="e">
        <v>#N/A</v>
      </c>
      <c r="DD103" s="17" t="e">
        <v>#N/A</v>
      </c>
      <c r="DE103" s="17" t="e">
        <v>#N/A</v>
      </c>
      <c r="DF103" s="17" t="e">
        <v>#N/A</v>
      </c>
      <c r="DG103" s="17" t="e">
        <v>#N/A</v>
      </c>
      <c r="DH103" s="17" t="e">
        <v>#N/A</v>
      </c>
      <c r="DI103" s="17" t="e">
        <v>#N/A</v>
      </c>
      <c r="DJ103" s="17" t="e">
        <v>#N/A</v>
      </c>
      <c r="DK103" s="17" t="e">
        <v>#N/A</v>
      </c>
      <c r="DL103" s="17" t="e">
        <v>#N/A</v>
      </c>
      <c r="DM103" s="17" t="e">
        <v>#N/A</v>
      </c>
      <c r="DN103" s="17" t="e">
        <v>#N/A</v>
      </c>
      <c r="DO103" s="17" t="e">
        <v>#N/A</v>
      </c>
      <c r="DP103" s="17" t="e">
        <v>#N/A</v>
      </c>
      <c r="DQ103" s="17" t="e">
        <v>#N/A</v>
      </c>
      <c r="DR103" s="17" t="e">
        <v>#N/A</v>
      </c>
      <c r="DS103" s="17" t="e">
        <v>#N/A</v>
      </c>
      <c r="DT103" s="17" t="e">
        <v>#N/A</v>
      </c>
      <c r="DU103" s="17" t="e">
        <v>#N/A</v>
      </c>
      <c r="DV103" s="17" t="e">
        <v>#N/A</v>
      </c>
      <c r="DW103" s="17" t="e">
        <v>#N/A</v>
      </c>
      <c r="DX103" s="17" t="e">
        <v>#N/A</v>
      </c>
      <c r="DY103" s="17" t="e">
        <v>#N/A</v>
      </c>
      <c r="DZ103" s="17" t="e">
        <v>#N/A</v>
      </c>
      <c r="EA103" s="17" t="e">
        <v>#N/A</v>
      </c>
      <c r="EB103" s="17" t="e">
        <v>#N/A</v>
      </c>
      <c r="EC103" s="17" t="e">
        <v>#N/A</v>
      </c>
      <c r="ED103" s="17" t="e">
        <v>#N/A</v>
      </c>
      <c r="EE103" s="17" t="e">
        <v>#N/A</v>
      </c>
      <c r="EF103" s="17" t="e">
        <v>#N/A</v>
      </c>
      <c r="EG103" s="17" t="e">
        <v>#N/A</v>
      </c>
      <c r="EH103" s="17" t="e">
        <v>#N/A</v>
      </c>
      <c r="EI103" s="17" t="e">
        <v>#N/A</v>
      </c>
      <c r="EJ103" s="17" t="e">
        <v>#N/A</v>
      </c>
      <c r="EK103" s="17" t="e">
        <v>#N/A</v>
      </c>
      <c r="EL103" s="17" t="e">
        <v>#N/A</v>
      </c>
      <c r="EM103" s="17" t="e">
        <v>#N/A</v>
      </c>
      <c r="EN103" s="17" t="e">
        <v>#N/A</v>
      </c>
      <c r="EO103" s="17" t="e">
        <v>#N/A</v>
      </c>
      <c r="EP103" s="17" t="e">
        <v>#N/A</v>
      </c>
      <c r="EQ103" s="17" t="e">
        <v>#N/A</v>
      </c>
      <c r="ER103" s="17" t="e">
        <v>#N/A</v>
      </c>
      <c r="ES103" s="17" t="e">
        <v>#N/A</v>
      </c>
      <c r="ET103" s="17" t="e">
        <v>#N/A</v>
      </c>
      <c r="EU103" s="17" t="e">
        <v>#N/A</v>
      </c>
      <c r="EV103" s="17" t="e">
        <v>#N/A</v>
      </c>
      <c r="EW103" s="17" t="e">
        <v>#N/A</v>
      </c>
      <c r="EX103" s="17" t="e">
        <v>#N/A</v>
      </c>
      <c r="EY103" s="17" t="e">
        <v>#N/A</v>
      </c>
      <c r="EZ103" s="17" t="e">
        <v>#N/A</v>
      </c>
      <c r="FA103" s="17" t="e">
        <v>#N/A</v>
      </c>
      <c r="FB103" s="17" t="e">
        <v>#N/A</v>
      </c>
      <c r="FC103" s="17" t="e">
        <v>#N/A</v>
      </c>
      <c r="FD103" s="17" t="e">
        <v>#N/A</v>
      </c>
      <c r="FE103" s="17" t="e">
        <v>#N/A</v>
      </c>
      <c r="FF103" s="17" t="e">
        <v>#N/A</v>
      </c>
      <c r="FG103" s="17" t="e">
        <v>#N/A</v>
      </c>
      <c r="FH103" s="17" t="e">
        <v>#N/A</v>
      </c>
      <c r="FI103" s="17" t="e">
        <v>#N/A</v>
      </c>
      <c r="FJ103" s="17" t="e">
        <v>#N/A</v>
      </c>
      <c r="FK103" s="17" t="e">
        <v>#N/A</v>
      </c>
      <c r="FL103" s="17" t="e">
        <v>#N/A</v>
      </c>
      <c r="FM103" s="17" t="e">
        <v>#N/A</v>
      </c>
      <c r="FN103" s="17" t="e">
        <v>#N/A</v>
      </c>
      <c r="FO103" s="17" t="e">
        <v>#N/A</v>
      </c>
      <c r="FP103" s="17" t="e">
        <v>#N/A</v>
      </c>
      <c r="FQ103" s="17" t="e">
        <v>#N/A</v>
      </c>
      <c r="FR103" s="17" t="e">
        <v>#N/A</v>
      </c>
      <c r="FS103" s="17" t="e">
        <v>#N/A</v>
      </c>
      <c r="FT103" s="17" t="e">
        <v>#N/A</v>
      </c>
      <c r="FU103" s="17" t="e">
        <v>#N/A</v>
      </c>
      <c r="FV103" s="17" t="e">
        <v>#N/A</v>
      </c>
    </row>
    <row r="104" spans="2:178" ht="11.25" customHeight="1">
      <c r="B104" s="17" t="e">
        <v>#N/A</v>
      </c>
      <c r="C104" s="17" t="e">
        <v>#N/A</v>
      </c>
      <c r="D104" s="17" t="e">
        <v>#N/A</v>
      </c>
      <c r="E104" s="17" t="e">
        <v>#N/A</v>
      </c>
      <c r="F104" s="17" t="e">
        <v>#N/A</v>
      </c>
      <c r="G104" s="17" t="e">
        <v>#N/A</v>
      </c>
      <c r="H104" s="17" t="e">
        <v>#N/A</v>
      </c>
      <c r="I104" s="17" t="e">
        <v>#N/A</v>
      </c>
      <c r="J104" s="17" t="e">
        <v>#N/A</v>
      </c>
      <c r="K104" s="17" t="e">
        <v>#N/A</v>
      </c>
      <c r="L104" s="17" t="e">
        <v>#N/A</v>
      </c>
      <c r="M104" s="17" t="e">
        <v>#N/A</v>
      </c>
      <c r="N104" s="17" t="e">
        <v>#N/A</v>
      </c>
      <c r="O104" s="17" t="e">
        <v>#N/A</v>
      </c>
      <c r="P104" s="17" t="e">
        <v>#N/A</v>
      </c>
      <c r="Q104" s="17" t="e">
        <v>#N/A</v>
      </c>
      <c r="R104" s="17" t="e">
        <v>#N/A</v>
      </c>
      <c r="S104" s="17" t="e">
        <v>#N/A</v>
      </c>
      <c r="T104" s="17" t="e">
        <v>#N/A</v>
      </c>
      <c r="U104" s="17" t="e">
        <v>#N/A</v>
      </c>
      <c r="V104" s="17" t="e">
        <v>#N/A</v>
      </c>
      <c r="W104" s="17" t="e">
        <v>#N/A</v>
      </c>
      <c r="X104" s="17" t="e">
        <v>#N/A</v>
      </c>
      <c r="Y104" s="17" t="e">
        <v>#N/A</v>
      </c>
      <c r="Z104" s="17" t="e">
        <v>#N/A</v>
      </c>
      <c r="AA104" s="17" t="e">
        <v>#N/A</v>
      </c>
      <c r="AB104" s="17" t="e">
        <v>#N/A</v>
      </c>
      <c r="AC104" s="17" t="e">
        <v>#N/A</v>
      </c>
      <c r="AD104" s="17" t="e">
        <v>#N/A</v>
      </c>
      <c r="AE104" s="17" t="e">
        <v>#N/A</v>
      </c>
      <c r="AF104" s="17" t="e">
        <v>#N/A</v>
      </c>
      <c r="AG104" s="17" t="e">
        <v>#N/A</v>
      </c>
      <c r="AH104" s="17" t="e">
        <v>#N/A</v>
      </c>
      <c r="AI104" s="17" t="e">
        <v>#N/A</v>
      </c>
      <c r="AJ104" s="17" t="e">
        <v>#N/A</v>
      </c>
      <c r="AK104" s="17" t="e">
        <v>#N/A</v>
      </c>
      <c r="AL104" s="17" t="e">
        <v>#N/A</v>
      </c>
      <c r="AM104" s="17" t="e">
        <v>#N/A</v>
      </c>
      <c r="AN104" s="17" t="e">
        <v>#N/A</v>
      </c>
      <c r="AO104" s="17" t="e">
        <v>#N/A</v>
      </c>
      <c r="AP104" s="17" t="e">
        <v>#N/A</v>
      </c>
      <c r="AQ104" s="17" t="e">
        <v>#N/A</v>
      </c>
      <c r="AR104" s="17" t="e">
        <v>#N/A</v>
      </c>
      <c r="AS104" s="17" t="e">
        <v>#N/A</v>
      </c>
      <c r="AT104" s="17" t="e">
        <v>#N/A</v>
      </c>
      <c r="AU104" s="17" t="e">
        <v>#N/A</v>
      </c>
      <c r="AV104" s="17" t="e">
        <v>#N/A</v>
      </c>
      <c r="AW104" s="17" t="e">
        <v>#N/A</v>
      </c>
      <c r="AX104" s="17" t="e">
        <v>#N/A</v>
      </c>
      <c r="AY104" s="17" t="e">
        <v>#N/A</v>
      </c>
      <c r="AZ104" s="17" t="e">
        <v>#N/A</v>
      </c>
      <c r="BA104" s="17" t="e">
        <v>#N/A</v>
      </c>
      <c r="BB104" s="17" t="e">
        <v>#N/A</v>
      </c>
      <c r="BC104" s="17" t="e">
        <v>#N/A</v>
      </c>
      <c r="BD104" s="17" t="e">
        <v>#N/A</v>
      </c>
      <c r="BE104" s="17" t="e">
        <v>#N/A</v>
      </c>
      <c r="BF104" s="17" t="e">
        <v>#N/A</v>
      </c>
      <c r="BG104" s="17" t="e">
        <v>#N/A</v>
      </c>
      <c r="BH104" s="17" t="e">
        <v>#N/A</v>
      </c>
      <c r="BI104" s="17" t="e">
        <v>#N/A</v>
      </c>
      <c r="BJ104" s="17" t="e">
        <v>#N/A</v>
      </c>
      <c r="BK104" s="17" t="e">
        <v>#N/A</v>
      </c>
      <c r="BL104" s="17" t="e">
        <v>#N/A</v>
      </c>
      <c r="BM104" s="17" t="e">
        <v>#N/A</v>
      </c>
      <c r="BN104" s="17" t="e">
        <v>#N/A</v>
      </c>
      <c r="BO104" s="17" t="e">
        <v>#N/A</v>
      </c>
      <c r="BP104" s="17" t="e">
        <v>#N/A</v>
      </c>
      <c r="BQ104" s="17" t="e">
        <v>#N/A</v>
      </c>
      <c r="BR104" s="17" t="e">
        <v>#N/A</v>
      </c>
      <c r="BS104" s="17" t="e">
        <v>#N/A</v>
      </c>
      <c r="BT104" s="17" t="e">
        <v>#N/A</v>
      </c>
      <c r="BU104" s="17" t="e">
        <v>#N/A</v>
      </c>
      <c r="BV104" s="17" t="e">
        <v>#N/A</v>
      </c>
      <c r="BW104" s="17" t="e">
        <v>#N/A</v>
      </c>
      <c r="BX104" s="17" t="e">
        <v>#N/A</v>
      </c>
      <c r="BY104" s="17" t="e">
        <v>#N/A</v>
      </c>
      <c r="BZ104" s="17" t="e">
        <v>#N/A</v>
      </c>
      <c r="CA104" s="17" t="e">
        <v>#N/A</v>
      </c>
      <c r="CB104" s="17" t="e">
        <v>#N/A</v>
      </c>
      <c r="CC104" s="17" t="e">
        <v>#N/A</v>
      </c>
      <c r="CD104" s="17" t="e">
        <v>#N/A</v>
      </c>
      <c r="CE104" s="17" t="e">
        <v>#N/A</v>
      </c>
      <c r="CF104" s="17" t="e">
        <v>#N/A</v>
      </c>
      <c r="CG104" s="17" t="e">
        <v>#N/A</v>
      </c>
      <c r="CH104" s="17" t="e">
        <v>#N/A</v>
      </c>
      <c r="CI104" s="17" t="e">
        <v>#N/A</v>
      </c>
      <c r="CJ104" s="17" t="e">
        <v>#N/A</v>
      </c>
      <c r="CK104" s="17" t="e">
        <v>#N/A</v>
      </c>
      <c r="CL104" s="17" t="e">
        <v>#N/A</v>
      </c>
      <c r="CM104" s="17" t="e">
        <v>#N/A</v>
      </c>
      <c r="CN104" s="17" t="e">
        <v>#N/A</v>
      </c>
      <c r="CO104" s="17" t="e">
        <v>#N/A</v>
      </c>
      <c r="CP104" s="17" t="e">
        <v>#N/A</v>
      </c>
      <c r="CQ104" s="17" t="e">
        <v>#N/A</v>
      </c>
      <c r="CR104" s="17" t="e">
        <v>#N/A</v>
      </c>
      <c r="CS104" s="17" t="e">
        <v>#N/A</v>
      </c>
      <c r="CT104" s="17" t="e">
        <v>#N/A</v>
      </c>
      <c r="CU104" s="17" t="e">
        <v>#N/A</v>
      </c>
      <c r="CV104" s="17" t="e">
        <v>#N/A</v>
      </c>
      <c r="CW104" s="17" t="e">
        <v>#N/A</v>
      </c>
      <c r="CX104" s="17" t="e">
        <v>#N/A</v>
      </c>
      <c r="CY104" s="17" t="e">
        <v>#N/A</v>
      </c>
      <c r="CZ104" s="17" t="e">
        <v>#N/A</v>
      </c>
      <c r="DA104" s="17" t="e">
        <v>#N/A</v>
      </c>
      <c r="DB104" s="17" t="e">
        <v>#N/A</v>
      </c>
      <c r="DC104" s="17" t="e">
        <v>#N/A</v>
      </c>
      <c r="DD104" s="17" t="e">
        <v>#N/A</v>
      </c>
      <c r="DE104" s="17" t="e">
        <v>#N/A</v>
      </c>
      <c r="DF104" s="17" t="e">
        <v>#N/A</v>
      </c>
      <c r="DG104" s="17" t="e">
        <v>#N/A</v>
      </c>
      <c r="DH104" s="17" t="e">
        <v>#N/A</v>
      </c>
      <c r="DI104" s="17" t="e">
        <v>#N/A</v>
      </c>
      <c r="DJ104" s="17" t="e">
        <v>#N/A</v>
      </c>
      <c r="DK104" s="17" t="e">
        <v>#N/A</v>
      </c>
      <c r="DL104" s="17" t="e">
        <v>#N/A</v>
      </c>
      <c r="DM104" s="17" t="e">
        <v>#N/A</v>
      </c>
      <c r="DN104" s="17" t="e">
        <v>#N/A</v>
      </c>
      <c r="DO104" s="17" t="e">
        <v>#N/A</v>
      </c>
      <c r="DP104" s="17" t="e">
        <v>#N/A</v>
      </c>
      <c r="DQ104" s="17" t="e">
        <v>#N/A</v>
      </c>
      <c r="DR104" s="17" t="e">
        <v>#N/A</v>
      </c>
      <c r="DS104" s="17" t="e">
        <v>#N/A</v>
      </c>
      <c r="DT104" s="17" t="e">
        <v>#N/A</v>
      </c>
      <c r="DU104" s="17" t="e">
        <v>#N/A</v>
      </c>
      <c r="DV104" s="17" t="e">
        <v>#N/A</v>
      </c>
      <c r="DW104" s="17" t="e">
        <v>#N/A</v>
      </c>
      <c r="DX104" s="17" t="e">
        <v>#N/A</v>
      </c>
      <c r="DY104" s="17" t="e">
        <v>#N/A</v>
      </c>
      <c r="DZ104" s="17" t="e">
        <v>#N/A</v>
      </c>
      <c r="EA104" s="17" t="e">
        <v>#N/A</v>
      </c>
      <c r="EB104" s="17" t="e">
        <v>#N/A</v>
      </c>
      <c r="EC104" s="17" t="e">
        <v>#N/A</v>
      </c>
      <c r="ED104" s="17" t="e">
        <v>#N/A</v>
      </c>
      <c r="EE104" s="17" t="e">
        <v>#N/A</v>
      </c>
      <c r="EF104" s="17" t="e">
        <v>#N/A</v>
      </c>
      <c r="EG104" s="17" t="e">
        <v>#N/A</v>
      </c>
      <c r="EH104" s="17" t="e">
        <v>#N/A</v>
      </c>
      <c r="EI104" s="17" t="e">
        <v>#N/A</v>
      </c>
      <c r="EJ104" s="17" t="e">
        <v>#N/A</v>
      </c>
      <c r="EK104" s="17" t="e">
        <v>#N/A</v>
      </c>
      <c r="EL104" s="17" t="e">
        <v>#N/A</v>
      </c>
      <c r="EM104" s="17" t="e">
        <v>#N/A</v>
      </c>
      <c r="EN104" s="17" t="e">
        <v>#N/A</v>
      </c>
      <c r="EO104" s="17" t="e">
        <v>#N/A</v>
      </c>
      <c r="EP104" s="17" t="e">
        <v>#N/A</v>
      </c>
      <c r="EQ104" s="17" t="e">
        <v>#N/A</v>
      </c>
      <c r="ER104" s="17" t="e">
        <v>#N/A</v>
      </c>
      <c r="ES104" s="17" t="e">
        <v>#N/A</v>
      </c>
      <c r="ET104" s="17" t="e">
        <v>#N/A</v>
      </c>
      <c r="EU104" s="17" t="e">
        <v>#N/A</v>
      </c>
      <c r="EV104" s="17" t="e">
        <v>#N/A</v>
      </c>
      <c r="EW104" s="17" t="e">
        <v>#N/A</v>
      </c>
      <c r="EX104" s="17" t="e">
        <v>#N/A</v>
      </c>
      <c r="EY104" s="17" t="e">
        <v>#N/A</v>
      </c>
      <c r="EZ104" s="17" t="e">
        <v>#N/A</v>
      </c>
      <c r="FA104" s="17" t="e">
        <v>#N/A</v>
      </c>
      <c r="FB104" s="17" t="e">
        <v>#N/A</v>
      </c>
      <c r="FC104" s="17" t="e">
        <v>#N/A</v>
      </c>
      <c r="FD104" s="17" t="e">
        <v>#N/A</v>
      </c>
      <c r="FE104" s="17" t="e">
        <v>#N/A</v>
      </c>
      <c r="FF104" s="17" t="e">
        <v>#N/A</v>
      </c>
      <c r="FG104" s="17" t="e">
        <v>#N/A</v>
      </c>
      <c r="FH104" s="17" t="e">
        <v>#N/A</v>
      </c>
      <c r="FI104" s="17" t="e">
        <v>#N/A</v>
      </c>
      <c r="FJ104" s="17" t="e">
        <v>#N/A</v>
      </c>
      <c r="FK104" s="17" t="e">
        <v>#N/A</v>
      </c>
      <c r="FL104" s="17" t="e">
        <v>#N/A</v>
      </c>
      <c r="FM104" s="17" t="e">
        <v>#N/A</v>
      </c>
      <c r="FN104" s="17" t="e">
        <v>#N/A</v>
      </c>
      <c r="FO104" s="17" t="e">
        <v>#N/A</v>
      </c>
      <c r="FP104" s="17" t="e">
        <v>#N/A</v>
      </c>
      <c r="FQ104" s="17" t="e">
        <v>#N/A</v>
      </c>
      <c r="FR104" s="17" t="e">
        <v>#N/A</v>
      </c>
      <c r="FS104" s="17" t="e">
        <v>#N/A</v>
      </c>
      <c r="FT104" s="17" t="e">
        <v>#N/A</v>
      </c>
      <c r="FU104" s="17" t="e">
        <v>#N/A</v>
      </c>
      <c r="FV104" s="17" t="e">
        <v>#N/A</v>
      </c>
    </row>
    <row r="105" spans="2:178" ht="11.25" customHeight="1">
      <c r="B105" s="17" t="e">
        <v>#N/A</v>
      </c>
      <c r="C105" s="17" t="e">
        <v>#N/A</v>
      </c>
      <c r="D105" s="17" t="e">
        <v>#N/A</v>
      </c>
      <c r="E105" s="17" t="e">
        <v>#N/A</v>
      </c>
      <c r="F105" s="17" t="e">
        <v>#N/A</v>
      </c>
      <c r="G105" s="17" t="e">
        <v>#N/A</v>
      </c>
      <c r="H105" s="17" t="e">
        <v>#N/A</v>
      </c>
      <c r="I105" s="17" t="e">
        <v>#N/A</v>
      </c>
      <c r="J105" s="17" t="e">
        <v>#N/A</v>
      </c>
      <c r="K105" s="17" t="e">
        <v>#N/A</v>
      </c>
      <c r="L105" s="17" t="e">
        <v>#N/A</v>
      </c>
      <c r="M105" s="17" t="e">
        <v>#N/A</v>
      </c>
      <c r="N105" s="17" t="e">
        <v>#N/A</v>
      </c>
      <c r="O105" s="17" t="e">
        <v>#N/A</v>
      </c>
      <c r="P105" s="17" t="e">
        <v>#N/A</v>
      </c>
      <c r="Q105" s="17" t="e">
        <v>#N/A</v>
      </c>
      <c r="R105" s="17" t="e">
        <v>#N/A</v>
      </c>
      <c r="S105" s="17" t="e">
        <v>#N/A</v>
      </c>
      <c r="T105" s="17" t="e">
        <v>#N/A</v>
      </c>
      <c r="U105" s="17" t="e">
        <v>#N/A</v>
      </c>
      <c r="V105" s="17" t="e">
        <v>#N/A</v>
      </c>
      <c r="W105" s="17" t="e">
        <v>#N/A</v>
      </c>
      <c r="X105" s="17" t="e">
        <v>#N/A</v>
      </c>
      <c r="Y105" s="17" t="e">
        <v>#N/A</v>
      </c>
      <c r="Z105" s="17" t="e">
        <v>#N/A</v>
      </c>
      <c r="AA105" s="17" t="e">
        <v>#N/A</v>
      </c>
      <c r="AB105" s="17" t="e">
        <v>#N/A</v>
      </c>
      <c r="AC105" s="17" t="e">
        <v>#N/A</v>
      </c>
      <c r="AD105" s="17" t="e">
        <v>#N/A</v>
      </c>
      <c r="AE105" s="17" t="e">
        <v>#N/A</v>
      </c>
      <c r="AF105" s="17" t="e">
        <v>#N/A</v>
      </c>
      <c r="AG105" s="17" t="e">
        <v>#N/A</v>
      </c>
      <c r="AH105" s="17" t="e">
        <v>#N/A</v>
      </c>
      <c r="AI105" s="17" t="e">
        <v>#N/A</v>
      </c>
      <c r="AJ105" s="17" t="e">
        <v>#N/A</v>
      </c>
      <c r="AK105" s="17" t="e">
        <v>#N/A</v>
      </c>
      <c r="AL105" s="17" t="e">
        <v>#N/A</v>
      </c>
      <c r="AM105" s="17" t="e">
        <v>#N/A</v>
      </c>
      <c r="AN105" s="17" t="e">
        <v>#N/A</v>
      </c>
      <c r="AO105" s="17" t="e">
        <v>#N/A</v>
      </c>
      <c r="AP105" s="17" t="e">
        <v>#N/A</v>
      </c>
      <c r="AQ105" s="17" t="e">
        <v>#N/A</v>
      </c>
      <c r="AR105" s="17" t="e">
        <v>#N/A</v>
      </c>
      <c r="AS105" s="17" t="e">
        <v>#N/A</v>
      </c>
      <c r="AT105" s="17" t="e">
        <v>#N/A</v>
      </c>
      <c r="AU105" s="17" t="e">
        <v>#N/A</v>
      </c>
      <c r="AV105" s="17" t="e">
        <v>#N/A</v>
      </c>
      <c r="AW105" s="17" t="e">
        <v>#N/A</v>
      </c>
      <c r="AX105" s="17" t="e">
        <v>#N/A</v>
      </c>
      <c r="AY105" s="17" t="e">
        <v>#N/A</v>
      </c>
      <c r="AZ105" s="17" t="e">
        <v>#N/A</v>
      </c>
      <c r="BA105" s="17" t="e">
        <v>#N/A</v>
      </c>
      <c r="BB105" s="17" t="e">
        <v>#N/A</v>
      </c>
      <c r="BC105" s="17" t="e">
        <v>#N/A</v>
      </c>
      <c r="BD105" s="17" t="e">
        <v>#N/A</v>
      </c>
      <c r="BE105" s="17" t="e">
        <v>#N/A</v>
      </c>
      <c r="BF105" s="17" t="e">
        <v>#N/A</v>
      </c>
      <c r="BG105" s="17" t="e">
        <v>#N/A</v>
      </c>
      <c r="BH105" s="17" t="e">
        <v>#N/A</v>
      </c>
      <c r="BI105" s="17" t="e">
        <v>#N/A</v>
      </c>
      <c r="BJ105" s="17" t="e">
        <v>#N/A</v>
      </c>
      <c r="BK105" s="17" t="e">
        <v>#N/A</v>
      </c>
      <c r="BL105" s="17" t="e">
        <v>#N/A</v>
      </c>
      <c r="BM105" s="17" t="e">
        <v>#N/A</v>
      </c>
      <c r="BN105" s="17" t="e">
        <v>#N/A</v>
      </c>
      <c r="BO105" s="17" t="e">
        <v>#N/A</v>
      </c>
      <c r="BP105" s="17" t="e">
        <v>#N/A</v>
      </c>
      <c r="BQ105" s="17" t="e">
        <v>#N/A</v>
      </c>
      <c r="BR105" s="17" t="e">
        <v>#N/A</v>
      </c>
      <c r="BS105" s="17" t="e">
        <v>#N/A</v>
      </c>
      <c r="BT105" s="17" t="e">
        <v>#N/A</v>
      </c>
      <c r="BU105" s="17" t="e">
        <v>#N/A</v>
      </c>
      <c r="BV105" s="17" t="e">
        <v>#N/A</v>
      </c>
      <c r="BW105" s="17" t="e">
        <v>#N/A</v>
      </c>
      <c r="BX105" s="17" t="e">
        <v>#N/A</v>
      </c>
      <c r="BY105" s="17" t="e">
        <v>#N/A</v>
      </c>
      <c r="BZ105" s="17" t="e">
        <v>#N/A</v>
      </c>
      <c r="CA105" s="17" t="e">
        <v>#N/A</v>
      </c>
      <c r="CB105" s="17" t="e">
        <v>#N/A</v>
      </c>
      <c r="CC105" s="17" t="e">
        <v>#N/A</v>
      </c>
      <c r="CD105" s="17" t="e">
        <v>#N/A</v>
      </c>
      <c r="CE105" s="17" t="e">
        <v>#N/A</v>
      </c>
      <c r="CF105" s="17" t="e">
        <v>#N/A</v>
      </c>
      <c r="CG105" s="17" t="e">
        <v>#N/A</v>
      </c>
      <c r="CH105" s="17" t="e">
        <v>#N/A</v>
      </c>
      <c r="CI105" s="17" t="e">
        <v>#N/A</v>
      </c>
      <c r="CJ105" s="17" t="e">
        <v>#N/A</v>
      </c>
      <c r="CK105" s="17" t="e">
        <v>#N/A</v>
      </c>
      <c r="CL105" s="17" t="e">
        <v>#N/A</v>
      </c>
      <c r="CM105" s="17" t="e">
        <v>#N/A</v>
      </c>
      <c r="CN105" s="17" t="e">
        <v>#N/A</v>
      </c>
      <c r="CO105" s="17" t="e">
        <v>#N/A</v>
      </c>
      <c r="CP105" s="17" t="e">
        <v>#N/A</v>
      </c>
      <c r="CQ105" s="17" t="e">
        <v>#N/A</v>
      </c>
      <c r="CR105" s="17" t="e">
        <v>#N/A</v>
      </c>
      <c r="CS105" s="17" t="e">
        <v>#N/A</v>
      </c>
      <c r="CT105" s="17" t="e">
        <v>#N/A</v>
      </c>
      <c r="CU105" s="17" t="e">
        <v>#N/A</v>
      </c>
      <c r="CV105" s="17" t="e">
        <v>#N/A</v>
      </c>
      <c r="CW105" s="17" t="e">
        <v>#N/A</v>
      </c>
      <c r="CX105" s="17" t="e">
        <v>#N/A</v>
      </c>
      <c r="CY105" s="17" t="e">
        <v>#N/A</v>
      </c>
      <c r="CZ105" s="17" t="e">
        <v>#N/A</v>
      </c>
      <c r="DA105" s="17" t="e">
        <v>#N/A</v>
      </c>
      <c r="DB105" s="17" t="e">
        <v>#N/A</v>
      </c>
      <c r="DC105" s="17" t="e">
        <v>#N/A</v>
      </c>
      <c r="DD105" s="17" t="e">
        <v>#N/A</v>
      </c>
      <c r="DE105" s="17" t="e">
        <v>#N/A</v>
      </c>
      <c r="DF105" s="17" t="e">
        <v>#N/A</v>
      </c>
      <c r="DG105" s="17" t="e">
        <v>#N/A</v>
      </c>
      <c r="DH105" s="17" t="e">
        <v>#N/A</v>
      </c>
      <c r="DI105" s="17" t="e">
        <v>#N/A</v>
      </c>
      <c r="DJ105" s="17" t="e">
        <v>#N/A</v>
      </c>
      <c r="DK105" s="17" t="e">
        <v>#N/A</v>
      </c>
      <c r="DL105" s="17" t="e">
        <v>#N/A</v>
      </c>
      <c r="DM105" s="17" t="e">
        <v>#N/A</v>
      </c>
      <c r="DN105" s="17" t="e">
        <v>#N/A</v>
      </c>
      <c r="DO105" s="17" t="e">
        <v>#N/A</v>
      </c>
      <c r="DP105" s="17" t="e">
        <v>#N/A</v>
      </c>
      <c r="DQ105" s="17" t="e">
        <v>#N/A</v>
      </c>
      <c r="DR105" s="17" t="e">
        <v>#N/A</v>
      </c>
      <c r="DS105" s="17" t="e">
        <v>#N/A</v>
      </c>
      <c r="DT105" s="17" t="e">
        <v>#N/A</v>
      </c>
      <c r="DU105" s="17" t="e">
        <v>#N/A</v>
      </c>
      <c r="DV105" s="17" t="e">
        <v>#N/A</v>
      </c>
      <c r="DW105" s="17" t="e">
        <v>#N/A</v>
      </c>
      <c r="DX105" s="17" t="e">
        <v>#N/A</v>
      </c>
      <c r="DY105" s="17" t="e">
        <v>#N/A</v>
      </c>
      <c r="DZ105" s="17" t="e">
        <v>#N/A</v>
      </c>
      <c r="EA105" s="17" t="e">
        <v>#N/A</v>
      </c>
      <c r="EB105" s="17" t="e">
        <v>#N/A</v>
      </c>
      <c r="EC105" s="17" t="e">
        <v>#N/A</v>
      </c>
      <c r="ED105" s="17" t="e">
        <v>#N/A</v>
      </c>
      <c r="EE105" s="17" t="e">
        <v>#N/A</v>
      </c>
      <c r="EF105" s="17" t="e">
        <v>#N/A</v>
      </c>
      <c r="EG105" s="17" t="e">
        <v>#N/A</v>
      </c>
      <c r="EH105" s="17" t="e">
        <v>#N/A</v>
      </c>
      <c r="EI105" s="17" t="e">
        <v>#N/A</v>
      </c>
      <c r="EJ105" s="17" t="e">
        <v>#N/A</v>
      </c>
      <c r="EK105" s="17" t="e">
        <v>#N/A</v>
      </c>
      <c r="EL105" s="17" t="e">
        <v>#N/A</v>
      </c>
      <c r="EM105" s="17" t="e">
        <v>#N/A</v>
      </c>
      <c r="EN105" s="17" t="e">
        <v>#N/A</v>
      </c>
      <c r="EO105" s="17" t="e">
        <v>#N/A</v>
      </c>
      <c r="EP105" s="17" t="e">
        <v>#N/A</v>
      </c>
      <c r="EQ105" s="17" t="e">
        <v>#N/A</v>
      </c>
      <c r="ER105" s="17" t="e">
        <v>#N/A</v>
      </c>
      <c r="ES105" s="17" t="e">
        <v>#N/A</v>
      </c>
      <c r="ET105" s="17" t="e">
        <v>#N/A</v>
      </c>
      <c r="EU105" s="17" t="e">
        <v>#N/A</v>
      </c>
      <c r="EV105" s="17" t="e">
        <v>#N/A</v>
      </c>
      <c r="EW105" s="17" t="e">
        <v>#N/A</v>
      </c>
      <c r="EX105" s="17" t="e">
        <v>#N/A</v>
      </c>
      <c r="EY105" s="17" t="e">
        <v>#N/A</v>
      </c>
      <c r="EZ105" s="17" t="e">
        <v>#N/A</v>
      </c>
      <c r="FA105" s="17" t="e">
        <v>#N/A</v>
      </c>
      <c r="FB105" s="17" t="e">
        <v>#N/A</v>
      </c>
      <c r="FC105" s="17" t="e">
        <v>#N/A</v>
      </c>
      <c r="FD105" s="17" t="e">
        <v>#N/A</v>
      </c>
      <c r="FE105" s="17" t="e">
        <v>#N/A</v>
      </c>
      <c r="FF105" s="17" t="e">
        <v>#N/A</v>
      </c>
      <c r="FG105" s="17" t="e">
        <v>#N/A</v>
      </c>
      <c r="FH105" s="17" t="e">
        <v>#N/A</v>
      </c>
      <c r="FI105" s="17" t="e">
        <v>#N/A</v>
      </c>
      <c r="FJ105" s="17" t="e">
        <v>#N/A</v>
      </c>
      <c r="FK105" s="17" t="e">
        <v>#N/A</v>
      </c>
      <c r="FL105" s="17" t="e">
        <v>#N/A</v>
      </c>
      <c r="FM105" s="17" t="e">
        <v>#N/A</v>
      </c>
      <c r="FN105" s="17" t="e">
        <v>#N/A</v>
      </c>
      <c r="FO105" s="17" t="e">
        <v>#N/A</v>
      </c>
      <c r="FP105" s="17" t="e">
        <v>#N/A</v>
      </c>
      <c r="FQ105" s="17" t="e">
        <v>#N/A</v>
      </c>
      <c r="FR105" s="17" t="e">
        <v>#N/A</v>
      </c>
      <c r="FS105" s="17" t="e">
        <v>#N/A</v>
      </c>
      <c r="FT105" s="17" t="e">
        <v>#N/A</v>
      </c>
      <c r="FU105" s="17" t="e">
        <v>#N/A</v>
      </c>
      <c r="FV105" s="17" t="e">
        <v>#N/A</v>
      </c>
    </row>
    <row r="106" spans="2:178" ht="11.25" customHeight="1">
      <c r="B106" s="17" t="e">
        <v>#N/A</v>
      </c>
      <c r="C106" s="17" t="e">
        <v>#N/A</v>
      </c>
      <c r="D106" s="17" t="e">
        <v>#N/A</v>
      </c>
      <c r="E106" s="17" t="e">
        <v>#N/A</v>
      </c>
      <c r="F106" s="17" t="e">
        <v>#N/A</v>
      </c>
      <c r="G106" s="17" t="e">
        <v>#N/A</v>
      </c>
      <c r="H106" s="17" t="e">
        <v>#N/A</v>
      </c>
      <c r="I106" s="17" t="e">
        <v>#N/A</v>
      </c>
      <c r="J106" s="17" t="e">
        <v>#N/A</v>
      </c>
      <c r="K106" s="17" t="e">
        <v>#N/A</v>
      </c>
      <c r="L106" s="17" t="e">
        <v>#N/A</v>
      </c>
      <c r="M106" s="17" t="e">
        <v>#N/A</v>
      </c>
      <c r="N106" s="17" t="e">
        <v>#N/A</v>
      </c>
      <c r="O106" s="17" t="e">
        <v>#N/A</v>
      </c>
      <c r="P106" s="17" t="e">
        <v>#N/A</v>
      </c>
      <c r="Q106" s="17" t="e">
        <v>#N/A</v>
      </c>
      <c r="R106" s="17" t="e">
        <v>#N/A</v>
      </c>
      <c r="S106" s="17" t="e">
        <v>#N/A</v>
      </c>
      <c r="T106" s="17" t="e">
        <v>#N/A</v>
      </c>
      <c r="U106" s="17" t="e">
        <v>#N/A</v>
      </c>
      <c r="V106" s="17" t="e">
        <v>#N/A</v>
      </c>
      <c r="W106" s="17" t="e">
        <v>#N/A</v>
      </c>
      <c r="X106" s="17" t="e">
        <v>#N/A</v>
      </c>
      <c r="Y106" s="17" t="e">
        <v>#N/A</v>
      </c>
      <c r="Z106" s="17" t="e">
        <v>#N/A</v>
      </c>
      <c r="AA106" s="17" t="e">
        <v>#N/A</v>
      </c>
      <c r="AB106" s="17" t="e">
        <v>#N/A</v>
      </c>
      <c r="AC106" s="17" t="e">
        <v>#N/A</v>
      </c>
      <c r="AD106" s="17" t="e">
        <v>#N/A</v>
      </c>
      <c r="AE106" s="17" t="e">
        <v>#N/A</v>
      </c>
      <c r="AF106" s="17" t="e">
        <v>#N/A</v>
      </c>
      <c r="AG106" s="17" t="e">
        <v>#N/A</v>
      </c>
      <c r="AH106" s="17" t="e">
        <v>#N/A</v>
      </c>
      <c r="AI106" s="17" t="e">
        <v>#N/A</v>
      </c>
      <c r="AJ106" s="17" t="e">
        <v>#N/A</v>
      </c>
      <c r="AK106" s="17" t="e">
        <v>#N/A</v>
      </c>
      <c r="AL106" s="17" t="e">
        <v>#N/A</v>
      </c>
      <c r="AM106" s="17" t="e">
        <v>#N/A</v>
      </c>
      <c r="AN106" s="17" t="e">
        <v>#N/A</v>
      </c>
      <c r="AO106" s="17" t="e">
        <v>#N/A</v>
      </c>
      <c r="AP106" s="17" t="e">
        <v>#N/A</v>
      </c>
      <c r="AQ106" s="17" t="e">
        <v>#N/A</v>
      </c>
      <c r="AR106" s="17" t="e">
        <v>#N/A</v>
      </c>
      <c r="AS106" s="17" t="e">
        <v>#N/A</v>
      </c>
      <c r="AT106" s="17" t="e">
        <v>#N/A</v>
      </c>
      <c r="AU106" s="17" t="e">
        <v>#N/A</v>
      </c>
      <c r="AV106" s="17" t="e">
        <v>#N/A</v>
      </c>
      <c r="AW106" s="17" t="e">
        <v>#N/A</v>
      </c>
      <c r="AX106" s="17" t="e">
        <v>#N/A</v>
      </c>
      <c r="AY106" s="17" t="e">
        <v>#N/A</v>
      </c>
      <c r="AZ106" s="17" t="e">
        <v>#N/A</v>
      </c>
      <c r="BA106" s="17" t="e">
        <v>#N/A</v>
      </c>
      <c r="BB106" s="17" t="e">
        <v>#N/A</v>
      </c>
      <c r="BC106" s="17" t="e">
        <v>#N/A</v>
      </c>
      <c r="BD106" s="17" t="e">
        <v>#N/A</v>
      </c>
      <c r="BE106" s="17" t="e">
        <v>#N/A</v>
      </c>
      <c r="BF106" s="17" t="e">
        <v>#N/A</v>
      </c>
      <c r="BG106" s="17" t="e">
        <v>#N/A</v>
      </c>
      <c r="BH106" s="17" t="e">
        <v>#N/A</v>
      </c>
      <c r="BI106" s="17" t="e">
        <v>#N/A</v>
      </c>
      <c r="BJ106" s="17" t="e">
        <v>#N/A</v>
      </c>
      <c r="BK106" s="17" t="e">
        <v>#N/A</v>
      </c>
      <c r="BL106" s="17" t="e">
        <v>#N/A</v>
      </c>
      <c r="BM106" s="17" t="e">
        <v>#N/A</v>
      </c>
      <c r="BN106" s="17" t="e">
        <v>#N/A</v>
      </c>
      <c r="BO106" s="17" t="e">
        <v>#N/A</v>
      </c>
      <c r="BP106" s="17" t="e">
        <v>#N/A</v>
      </c>
      <c r="BQ106" s="17" t="e">
        <v>#N/A</v>
      </c>
      <c r="BR106" s="17" t="e">
        <v>#N/A</v>
      </c>
      <c r="BS106" s="17" t="e">
        <v>#N/A</v>
      </c>
      <c r="BT106" s="17" t="e">
        <v>#N/A</v>
      </c>
      <c r="BU106" s="17" t="e">
        <v>#N/A</v>
      </c>
      <c r="BV106" s="17" t="e">
        <v>#N/A</v>
      </c>
      <c r="BW106" s="17" t="e">
        <v>#N/A</v>
      </c>
      <c r="BX106" s="17" t="e">
        <v>#N/A</v>
      </c>
      <c r="BY106" s="17" t="e">
        <v>#N/A</v>
      </c>
      <c r="BZ106" s="17" t="e">
        <v>#N/A</v>
      </c>
      <c r="CA106" s="17" t="e">
        <v>#N/A</v>
      </c>
      <c r="CB106" s="17" t="e">
        <v>#N/A</v>
      </c>
      <c r="CC106" s="17" t="e">
        <v>#N/A</v>
      </c>
      <c r="CD106" s="17" t="e">
        <v>#N/A</v>
      </c>
      <c r="CE106" s="17" t="e">
        <v>#N/A</v>
      </c>
      <c r="CF106" s="17" t="e">
        <v>#N/A</v>
      </c>
      <c r="CG106" s="17" t="e">
        <v>#N/A</v>
      </c>
      <c r="CH106" s="17" t="e">
        <v>#N/A</v>
      </c>
      <c r="CI106" s="17" t="e">
        <v>#N/A</v>
      </c>
      <c r="CJ106" s="17" t="e">
        <v>#N/A</v>
      </c>
      <c r="CK106" s="17" t="e">
        <v>#N/A</v>
      </c>
      <c r="CL106" s="17" t="e">
        <v>#N/A</v>
      </c>
      <c r="CM106" s="17" t="e">
        <v>#N/A</v>
      </c>
      <c r="CN106" s="17" t="e">
        <v>#N/A</v>
      </c>
      <c r="CO106" s="17" t="e">
        <v>#N/A</v>
      </c>
      <c r="CP106" s="17" t="e">
        <v>#N/A</v>
      </c>
      <c r="CQ106" s="17" t="e">
        <v>#N/A</v>
      </c>
      <c r="CR106" s="17" t="e">
        <v>#N/A</v>
      </c>
      <c r="CS106" s="17" t="e">
        <v>#N/A</v>
      </c>
      <c r="CT106" s="17" t="e">
        <v>#N/A</v>
      </c>
      <c r="CU106" s="17" t="e">
        <v>#N/A</v>
      </c>
      <c r="CV106" s="17" t="e">
        <v>#N/A</v>
      </c>
      <c r="CW106" s="17" t="e">
        <v>#N/A</v>
      </c>
      <c r="CX106" s="17" t="e">
        <v>#N/A</v>
      </c>
      <c r="CY106" s="17" t="e">
        <v>#N/A</v>
      </c>
      <c r="CZ106" s="17" t="e">
        <v>#N/A</v>
      </c>
      <c r="DA106" s="17" t="e">
        <v>#N/A</v>
      </c>
      <c r="DB106" s="17" t="e">
        <v>#N/A</v>
      </c>
      <c r="DC106" s="17" t="e">
        <v>#N/A</v>
      </c>
      <c r="DD106" s="17" t="e">
        <v>#N/A</v>
      </c>
      <c r="DE106" s="17" t="e">
        <v>#N/A</v>
      </c>
      <c r="DF106" s="17" t="e">
        <v>#N/A</v>
      </c>
      <c r="DG106" s="17" t="e">
        <v>#N/A</v>
      </c>
      <c r="DH106" s="17" t="e">
        <v>#N/A</v>
      </c>
      <c r="DI106" s="17" t="e">
        <v>#N/A</v>
      </c>
      <c r="DJ106" s="17" t="e">
        <v>#N/A</v>
      </c>
      <c r="DK106" s="17" t="e">
        <v>#N/A</v>
      </c>
      <c r="DL106" s="17" t="e">
        <v>#N/A</v>
      </c>
      <c r="DM106" s="17" t="e">
        <v>#N/A</v>
      </c>
      <c r="DN106" s="17" t="e">
        <v>#N/A</v>
      </c>
      <c r="DO106" s="17" t="e">
        <v>#N/A</v>
      </c>
      <c r="DP106" s="17" t="e">
        <v>#N/A</v>
      </c>
      <c r="DQ106" s="17" t="e">
        <v>#N/A</v>
      </c>
      <c r="DR106" s="17" t="e">
        <v>#N/A</v>
      </c>
      <c r="DS106" s="17" t="e">
        <v>#N/A</v>
      </c>
      <c r="DT106" s="17" t="e">
        <v>#N/A</v>
      </c>
      <c r="DU106" s="17" t="e">
        <v>#N/A</v>
      </c>
      <c r="DV106" s="17" t="e">
        <v>#N/A</v>
      </c>
      <c r="DW106" s="17" t="e">
        <v>#N/A</v>
      </c>
      <c r="DX106" s="17" t="e">
        <v>#N/A</v>
      </c>
      <c r="DY106" s="17" t="e">
        <v>#N/A</v>
      </c>
      <c r="DZ106" s="17" t="e">
        <v>#N/A</v>
      </c>
      <c r="EA106" s="17" t="e">
        <v>#N/A</v>
      </c>
      <c r="EB106" s="17" t="e">
        <v>#N/A</v>
      </c>
      <c r="EC106" s="17" t="e">
        <v>#N/A</v>
      </c>
      <c r="ED106" s="17" t="e">
        <v>#N/A</v>
      </c>
      <c r="EE106" s="17" t="e">
        <v>#N/A</v>
      </c>
      <c r="EF106" s="17" t="e">
        <v>#N/A</v>
      </c>
      <c r="EG106" s="17" t="e">
        <v>#N/A</v>
      </c>
      <c r="EH106" s="17" t="e">
        <v>#N/A</v>
      </c>
      <c r="EI106" s="17" t="e">
        <v>#N/A</v>
      </c>
      <c r="EJ106" s="17" t="e">
        <v>#N/A</v>
      </c>
      <c r="EK106" s="17" t="e">
        <v>#N/A</v>
      </c>
      <c r="EL106" s="17" t="e">
        <v>#N/A</v>
      </c>
      <c r="EM106" s="17" t="e">
        <v>#N/A</v>
      </c>
      <c r="EN106" s="17" t="e">
        <v>#N/A</v>
      </c>
      <c r="EO106" s="17" t="e">
        <v>#N/A</v>
      </c>
      <c r="EP106" s="17" t="e">
        <v>#N/A</v>
      </c>
      <c r="EQ106" s="17" t="e">
        <v>#N/A</v>
      </c>
      <c r="ER106" s="17" t="e">
        <v>#N/A</v>
      </c>
      <c r="ES106" s="17" t="e">
        <v>#N/A</v>
      </c>
      <c r="ET106" s="17" t="e">
        <v>#N/A</v>
      </c>
      <c r="EU106" s="17" t="e">
        <v>#N/A</v>
      </c>
      <c r="EV106" s="17" t="e">
        <v>#N/A</v>
      </c>
      <c r="EW106" s="17" t="e">
        <v>#N/A</v>
      </c>
      <c r="EX106" s="17" t="e">
        <v>#N/A</v>
      </c>
      <c r="EY106" s="17" t="e">
        <v>#N/A</v>
      </c>
      <c r="EZ106" s="17" t="e">
        <v>#N/A</v>
      </c>
      <c r="FA106" s="17" t="e">
        <v>#N/A</v>
      </c>
      <c r="FB106" s="17" t="e">
        <v>#N/A</v>
      </c>
      <c r="FC106" s="17" t="e">
        <v>#N/A</v>
      </c>
      <c r="FD106" s="17" t="e">
        <v>#N/A</v>
      </c>
      <c r="FE106" s="17" t="e">
        <v>#N/A</v>
      </c>
      <c r="FF106" s="17" t="e">
        <v>#N/A</v>
      </c>
      <c r="FG106" s="17" t="e">
        <v>#N/A</v>
      </c>
      <c r="FH106" s="17" t="e">
        <v>#N/A</v>
      </c>
      <c r="FI106" s="17" t="e">
        <v>#N/A</v>
      </c>
      <c r="FJ106" s="17" t="e">
        <v>#N/A</v>
      </c>
      <c r="FK106" s="17" t="e">
        <v>#N/A</v>
      </c>
      <c r="FL106" s="17" t="e">
        <v>#N/A</v>
      </c>
      <c r="FM106" s="17" t="e">
        <v>#N/A</v>
      </c>
      <c r="FN106" s="17" t="e">
        <v>#N/A</v>
      </c>
      <c r="FO106" s="17" t="e">
        <v>#N/A</v>
      </c>
      <c r="FP106" s="17" t="e">
        <v>#N/A</v>
      </c>
      <c r="FQ106" s="17" t="e">
        <v>#N/A</v>
      </c>
      <c r="FR106" s="17" t="e">
        <v>#N/A</v>
      </c>
      <c r="FS106" s="17" t="e">
        <v>#N/A</v>
      </c>
      <c r="FT106" s="17" t="e">
        <v>#N/A</v>
      </c>
      <c r="FU106" s="17" t="e">
        <v>#N/A</v>
      </c>
      <c r="FV106" s="17" t="e">
        <v>#N/A</v>
      </c>
    </row>
    <row r="107" spans="2:178" ht="11.25" customHeight="1">
      <c r="B107" s="17" t="e">
        <v>#N/A</v>
      </c>
      <c r="C107" s="17" t="e">
        <v>#N/A</v>
      </c>
      <c r="D107" s="17" t="e">
        <v>#N/A</v>
      </c>
      <c r="E107" s="17" t="e">
        <v>#N/A</v>
      </c>
      <c r="F107" s="17" t="e">
        <v>#N/A</v>
      </c>
      <c r="G107" s="17" t="e">
        <v>#N/A</v>
      </c>
      <c r="H107" s="17" t="e">
        <v>#N/A</v>
      </c>
      <c r="I107" s="17" t="e">
        <v>#N/A</v>
      </c>
      <c r="J107" s="17" t="e">
        <v>#N/A</v>
      </c>
      <c r="K107" s="17" t="e">
        <v>#N/A</v>
      </c>
      <c r="L107" s="17" t="e">
        <v>#N/A</v>
      </c>
      <c r="M107" s="17" t="e">
        <v>#N/A</v>
      </c>
      <c r="N107" s="17" t="e">
        <v>#N/A</v>
      </c>
      <c r="O107" s="17" t="e">
        <v>#N/A</v>
      </c>
      <c r="P107" s="17" t="e">
        <v>#N/A</v>
      </c>
      <c r="Q107" s="17" t="e">
        <v>#N/A</v>
      </c>
      <c r="R107" s="17" t="e">
        <v>#N/A</v>
      </c>
      <c r="S107" s="17" t="e">
        <v>#N/A</v>
      </c>
      <c r="T107" s="17" t="e">
        <v>#N/A</v>
      </c>
      <c r="U107" s="17" t="e">
        <v>#N/A</v>
      </c>
      <c r="V107" s="17" t="e">
        <v>#N/A</v>
      </c>
      <c r="W107" s="17" t="e">
        <v>#N/A</v>
      </c>
      <c r="X107" s="17" t="e">
        <v>#N/A</v>
      </c>
      <c r="Y107" s="17" t="e">
        <v>#N/A</v>
      </c>
      <c r="Z107" s="17" t="e">
        <v>#N/A</v>
      </c>
      <c r="AA107" s="17" t="e">
        <v>#N/A</v>
      </c>
      <c r="AB107" s="17" t="e">
        <v>#N/A</v>
      </c>
      <c r="AC107" s="17" t="e">
        <v>#N/A</v>
      </c>
      <c r="AD107" s="17" t="e">
        <v>#N/A</v>
      </c>
      <c r="AE107" s="17" t="e">
        <v>#N/A</v>
      </c>
      <c r="AF107" s="17" t="e">
        <v>#N/A</v>
      </c>
      <c r="AG107" s="17" t="e">
        <v>#N/A</v>
      </c>
      <c r="AH107" s="17" t="e">
        <v>#N/A</v>
      </c>
      <c r="AI107" s="17" t="e">
        <v>#N/A</v>
      </c>
      <c r="AJ107" s="17" t="e">
        <v>#N/A</v>
      </c>
      <c r="AK107" s="17" t="e">
        <v>#N/A</v>
      </c>
      <c r="AL107" s="17" t="e">
        <v>#N/A</v>
      </c>
      <c r="AM107" s="17" t="e">
        <v>#N/A</v>
      </c>
      <c r="AN107" s="17" t="e">
        <v>#N/A</v>
      </c>
      <c r="AO107" s="17" t="e">
        <v>#N/A</v>
      </c>
      <c r="AP107" s="17" t="e">
        <v>#N/A</v>
      </c>
      <c r="AQ107" s="17" t="e">
        <v>#N/A</v>
      </c>
      <c r="AR107" s="17" t="e">
        <v>#N/A</v>
      </c>
      <c r="AS107" s="17" t="e">
        <v>#N/A</v>
      </c>
      <c r="AT107" s="17" t="e">
        <v>#N/A</v>
      </c>
      <c r="AU107" s="17" t="e">
        <v>#N/A</v>
      </c>
      <c r="AV107" s="17" t="e">
        <v>#N/A</v>
      </c>
      <c r="AW107" s="17" t="e">
        <v>#N/A</v>
      </c>
      <c r="AX107" s="17" t="e">
        <v>#N/A</v>
      </c>
      <c r="AY107" s="17" t="e">
        <v>#N/A</v>
      </c>
      <c r="AZ107" s="17" t="e">
        <v>#N/A</v>
      </c>
      <c r="BA107" s="17" t="e">
        <v>#N/A</v>
      </c>
      <c r="BB107" s="17" t="e">
        <v>#N/A</v>
      </c>
      <c r="BC107" s="17" t="e">
        <v>#N/A</v>
      </c>
      <c r="BD107" s="17" t="e">
        <v>#N/A</v>
      </c>
      <c r="BE107" s="17" t="e">
        <v>#N/A</v>
      </c>
      <c r="BF107" s="17" t="e">
        <v>#N/A</v>
      </c>
      <c r="BG107" s="17" t="e">
        <v>#N/A</v>
      </c>
      <c r="BH107" s="17" t="e">
        <v>#N/A</v>
      </c>
      <c r="BI107" s="17" t="e">
        <v>#N/A</v>
      </c>
      <c r="BJ107" s="17" t="e">
        <v>#N/A</v>
      </c>
      <c r="BK107" s="17" t="e">
        <v>#N/A</v>
      </c>
      <c r="BL107" s="17" t="e">
        <v>#N/A</v>
      </c>
      <c r="BM107" s="17" t="e">
        <v>#N/A</v>
      </c>
      <c r="BN107" s="17" t="e">
        <v>#N/A</v>
      </c>
      <c r="BO107" s="17" t="e">
        <v>#N/A</v>
      </c>
      <c r="BP107" s="17" t="e">
        <v>#N/A</v>
      </c>
      <c r="BQ107" s="17" t="e">
        <v>#N/A</v>
      </c>
      <c r="BR107" s="17" t="e">
        <v>#N/A</v>
      </c>
      <c r="BS107" s="17" t="e">
        <v>#N/A</v>
      </c>
      <c r="BT107" s="17" t="e">
        <v>#N/A</v>
      </c>
      <c r="BU107" s="17" t="e">
        <v>#N/A</v>
      </c>
      <c r="BV107" s="17" t="e">
        <v>#N/A</v>
      </c>
      <c r="BW107" s="17" t="e">
        <v>#N/A</v>
      </c>
      <c r="BX107" s="17" t="e">
        <v>#N/A</v>
      </c>
      <c r="BY107" s="17" t="e">
        <v>#N/A</v>
      </c>
      <c r="BZ107" s="17" t="e">
        <v>#N/A</v>
      </c>
      <c r="CA107" s="17" t="e">
        <v>#N/A</v>
      </c>
      <c r="CB107" s="17" t="e">
        <v>#N/A</v>
      </c>
      <c r="CC107" s="17" t="e">
        <v>#N/A</v>
      </c>
      <c r="CD107" s="17" t="e">
        <v>#N/A</v>
      </c>
      <c r="CE107" s="17" t="e">
        <v>#N/A</v>
      </c>
      <c r="CF107" s="17" t="e">
        <v>#N/A</v>
      </c>
      <c r="CG107" s="17" t="e">
        <v>#N/A</v>
      </c>
      <c r="CH107" s="17" t="e">
        <v>#N/A</v>
      </c>
      <c r="CI107" s="17" t="e">
        <v>#N/A</v>
      </c>
      <c r="CJ107" s="17" t="e">
        <v>#N/A</v>
      </c>
      <c r="CK107" s="17" t="e">
        <v>#N/A</v>
      </c>
      <c r="CL107" s="17" t="e">
        <v>#N/A</v>
      </c>
      <c r="CM107" s="17" t="e">
        <v>#N/A</v>
      </c>
      <c r="CN107" s="17" t="e">
        <v>#N/A</v>
      </c>
      <c r="CO107" s="17" t="e">
        <v>#N/A</v>
      </c>
      <c r="CP107" s="17" t="e">
        <v>#N/A</v>
      </c>
      <c r="CQ107" s="17" t="e">
        <v>#N/A</v>
      </c>
      <c r="CR107" s="17" t="e">
        <v>#N/A</v>
      </c>
      <c r="CS107" s="17" t="e">
        <v>#N/A</v>
      </c>
      <c r="CT107" s="17" t="e">
        <v>#N/A</v>
      </c>
      <c r="CU107" s="17" t="e">
        <v>#N/A</v>
      </c>
      <c r="CV107" s="17" t="e">
        <v>#N/A</v>
      </c>
      <c r="CW107" s="17" t="e">
        <v>#N/A</v>
      </c>
      <c r="CX107" s="17" t="e">
        <v>#N/A</v>
      </c>
      <c r="CY107" s="17" t="e">
        <v>#N/A</v>
      </c>
      <c r="CZ107" s="17" t="e">
        <v>#N/A</v>
      </c>
      <c r="DA107" s="17" t="e">
        <v>#N/A</v>
      </c>
      <c r="DB107" s="17" t="e">
        <v>#N/A</v>
      </c>
      <c r="DC107" s="17" t="e">
        <v>#N/A</v>
      </c>
      <c r="DD107" s="17" t="e">
        <v>#N/A</v>
      </c>
      <c r="DE107" s="17" t="e">
        <v>#N/A</v>
      </c>
      <c r="DF107" s="17" t="e">
        <v>#N/A</v>
      </c>
      <c r="DG107" s="17" t="e">
        <v>#N/A</v>
      </c>
      <c r="DH107" s="17" t="e">
        <v>#N/A</v>
      </c>
      <c r="DI107" s="17" t="e">
        <v>#N/A</v>
      </c>
      <c r="DJ107" s="17" t="e">
        <v>#N/A</v>
      </c>
      <c r="DK107" s="17" t="e">
        <v>#N/A</v>
      </c>
      <c r="DL107" s="17" t="e">
        <v>#N/A</v>
      </c>
      <c r="DM107" s="17" t="e">
        <v>#N/A</v>
      </c>
      <c r="DN107" s="17" t="e">
        <v>#N/A</v>
      </c>
      <c r="DO107" s="17" t="e">
        <v>#N/A</v>
      </c>
      <c r="DP107" s="17" t="e">
        <v>#N/A</v>
      </c>
      <c r="DQ107" s="17" t="e">
        <v>#N/A</v>
      </c>
      <c r="DR107" s="17" t="e">
        <v>#N/A</v>
      </c>
      <c r="DS107" s="17" t="e">
        <v>#N/A</v>
      </c>
      <c r="DT107" s="17" t="e">
        <v>#N/A</v>
      </c>
      <c r="DU107" s="17" t="e">
        <v>#N/A</v>
      </c>
      <c r="DV107" s="17" t="e">
        <v>#N/A</v>
      </c>
      <c r="DW107" s="17" t="e">
        <v>#N/A</v>
      </c>
      <c r="DX107" s="17" t="e">
        <v>#N/A</v>
      </c>
      <c r="DY107" s="17" t="e">
        <v>#N/A</v>
      </c>
      <c r="DZ107" s="17" t="e">
        <v>#N/A</v>
      </c>
      <c r="EA107" s="17" t="e">
        <v>#N/A</v>
      </c>
      <c r="EB107" s="17" t="e">
        <v>#N/A</v>
      </c>
      <c r="EC107" s="17" t="e">
        <v>#N/A</v>
      </c>
      <c r="ED107" s="17" t="e">
        <v>#N/A</v>
      </c>
      <c r="EE107" s="17" t="e">
        <v>#N/A</v>
      </c>
      <c r="EF107" s="17" t="e">
        <v>#N/A</v>
      </c>
      <c r="EG107" s="17" t="e">
        <v>#N/A</v>
      </c>
      <c r="EH107" s="17" t="e">
        <v>#N/A</v>
      </c>
      <c r="EI107" s="17" t="e">
        <v>#N/A</v>
      </c>
      <c r="EJ107" s="17" t="e">
        <v>#N/A</v>
      </c>
      <c r="EK107" s="17" t="e">
        <v>#N/A</v>
      </c>
      <c r="EL107" s="17" t="e">
        <v>#N/A</v>
      </c>
      <c r="EM107" s="17" t="e">
        <v>#N/A</v>
      </c>
      <c r="EN107" s="17" t="e">
        <v>#N/A</v>
      </c>
      <c r="EO107" s="17" t="e">
        <v>#N/A</v>
      </c>
      <c r="EP107" s="17" t="e">
        <v>#N/A</v>
      </c>
      <c r="EQ107" s="17" t="e">
        <v>#N/A</v>
      </c>
      <c r="ER107" s="17" t="e">
        <v>#N/A</v>
      </c>
      <c r="ES107" s="17" t="e">
        <v>#N/A</v>
      </c>
      <c r="ET107" s="17" t="e">
        <v>#N/A</v>
      </c>
      <c r="EU107" s="17" t="e">
        <v>#N/A</v>
      </c>
      <c r="EV107" s="17" t="e">
        <v>#N/A</v>
      </c>
      <c r="EW107" s="17" t="e">
        <v>#N/A</v>
      </c>
      <c r="EX107" s="17" t="e">
        <v>#N/A</v>
      </c>
      <c r="EY107" s="17" t="e">
        <v>#N/A</v>
      </c>
      <c r="EZ107" s="17" t="e">
        <v>#N/A</v>
      </c>
      <c r="FA107" s="17" t="e">
        <v>#N/A</v>
      </c>
      <c r="FB107" s="17" t="e">
        <v>#N/A</v>
      </c>
      <c r="FC107" s="17" t="e">
        <v>#N/A</v>
      </c>
      <c r="FD107" s="17" t="e">
        <v>#N/A</v>
      </c>
      <c r="FE107" s="17" t="e">
        <v>#N/A</v>
      </c>
      <c r="FF107" s="17" t="e">
        <v>#N/A</v>
      </c>
      <c r="FG107" s="17" t="e">
        <v>#N/A</v>
      </c>
      <c r="FH107" s="17" t="e">
        <v>#N/A</v>
      </c>
      <c r="FI107" s="17" t="e">
        <v>#N/A</v>
      </c>
      <c r="FJ107" s="17" t="e">
        <v>#N/A</v>
      </c>
      <c r="FK107" s="17" t="e">
        <v>#N/A</v>
      </c>
      <c r="FL107" s="17" t="e">
        <v>#N/A</v>
      </c>
      <c r="FM107" s="17" t="e">
        <v>#N/A</v>
      </c>
      <c r="FN107" s="17" t="e">
        <v>#N/A</v>
      </c>
      <c r="FO107" s="17" t="e">
        <v>#N/A</v>
      </c>
      <c r="FP107" s="17" t="e">
        <v>#N/A</v>
      </c>
      <c r="FQ107" s="17" t="e">
        <v>#N/A</v>
      </c>
      <c r="FR107" s="17" t="e">
        <v>#N/A</v>
      </c>
      <c r="FS107" s="17" t="e">
        <v>#N/A</v>
      </c>
      <c r="FT107" s="17" t="e">
        <v>#N/A</v>
      </c>
      <c r="FU107" s="17" t="e">
        <v>#N/A</v>
      </c>
      <c r="FV107" s="17" t="e">
        <v>#N/A</v>
      </c>
    </row>
    <row r="108" spans="2:178" ht="11.25" customHeight="1">
      <c r="B108" s="17" t="e">
        <v>#N/A</v>
      </c>
      <c r="C108" s="17" t="e">
        <v>#N/A</v>
      </c>
      <c r="D108" s="17" t="e">
        <v>#N/A</v>
      </c>
      <c r="E108" s="17" t="e">
        <v>#N/A</v>
      </c>
      <c r="F108" s="17" t="e">
        <v>#N/A</v>
      </c>
      <c r="G108" s="17" t="e">
        <v>#N/A</v>
      </c>
      <c r="H108" s="17" t="e">
        <v>#N/A</v>
      </c>
      <c r="I108" s="17" t="e">
        <v>#N/A</v>
      </c>
      <c r="J108" s="17" t="e">
        <v>#N/A</v>
      </c>
      <c r="K108" s="17" t="e">
        <v>#N/A</v>
      </c>
      <c r="L108" s="17" t="e">
        <v>#N/A</v>
      </c>
      <c r="M108" s="17" t="e">
        <v>#N/A</v>
      </c>
      <c r="N108" s="17" t="e">
        <v>#N/A</v>
      </c>
      <c r="O108" s="17" t="e">
        <v>#N/A</v>
      </c>
      <c r="P108" s="17" t="e">
        <v>#N/A</v>
      </c>
      <c r="Q108" s="17" t="e">
        <v>#N/A</v>
      </c>
      <c r="R108" s="17" t="e">
        <v>#N/A</v>
      </c>
      <c r="S108" s="17" t="e">
        <v>#N/A</v>
      </c>
      <c r="T108" s="17" t="e">
        <v>#N/A</v>
      </c>
      <c r="U108" s="17" t="e">
        <v>#N/A</v>
      </c>
      <c r="V108" s="17" t="e">
        <v>#N/A</v>
      </c>
      <c r="W108" s="17" t="e">
        <v>#N/A</v>
      </c>
      <c r="X108" s="17" t="e">
        <v>#N/A</v>
      </c>
      <c r="Y108" s="17" t="e">
        <v>#N/A</v>
      </c>
      <c r="Z108" s="17" t="e">
        <v>#N/A</v>
      </c>
      <c r="AA108" s="17" t="e">
        <v>#N/A</v>
      </c>
      <c r="AB108" s="17" t="e">
        <v>#N/A</v>
      </c>
      <c r="AC108" s="17" t="e">
        <v>#N/A</v>
      </c>
      <c r="AD108" s="17" t="e">
        <v>#N/A</v>
      </c>
      <c r="AE108" s="17" t="e">
        <v>#N/A</v>
      </c>
      <c r="AF108" s="17" t="e">
        <v>#N/A</v>
      </c>
      <c r="AG108" s="17" t="e">
        <v>#N/A</v>
      </c>
      <c r="AH108" s="17" t="e">
        <v>#N/A</v>
      </c>
      <c r="AI108" s="17" t="e">
        <v>#N/A</v>
      </c>
      <c r="AJ108" s="17" t="e">
        <v>#N/A</v>
      </c>
      <c r="AK108" s="17" t="e">
        <v>#N/A</v>
      </c>
      <c r="AL108" s="17" t="e">
        <v>#N/A</v>
      </c>
      <c r="AM108" s="17" t="e">
        <v>#N/A</v>
      </c>
      <c r="AN108" s="17" t="e">
        <v>#N/A</v>
      </c>
      <c r="AO108" s="17" t="e">
        <v>#N/A</v>
      </c>
      <c r="AP108" s="17" t="e">
        <v>#N/A</v>
      </c>
      <c r="AQ108" s="17" t="e">
        <v>#N/A</v>
      </c>
      <c r="AR108" s="17" t="e">
        <v>#N/A</v>
      </c>
      <c r="AS108" s="17" t="e">
        <v>#N/A</v>
      </c>
      <c r="AT108" s="17" t="e">
        <v>#N/A</v>
      </c>
      <c r="AU108" s="17" t="e">
        <v>#N/A</v>
      </c>
      <c r="AV108" s="17" t="e">
        <v>#N/A</v>
      </c>
      <c r="AW108" s="17" t="e">
        <v>#N/A</v>
      </c>
      <c r="AX108" s="17" t="e">
        <v>#N/A</v>
      </c>
      <c r="AY108" s="17" t="e">
        <v>#N/A</v>
      </c>
      <c r="AZ108" s="17" t="e">
        <v>#N/A</v>
      </c>
      <c r="BA108" s="17" t="e">
        <v>#N/A</v>
      </c>
      <c r="BB108" s="17" t="e">
        <v>#N/A</v>
      </c>
      <c r="BC108" s="17" t="e">
        <v>#N/A</v>
      </c>
      <c r="BD108" s="17" t="e">
        <v>#N/A</v>
      </c>
      <c r="BE108" s="17" t="e">
        <v>#N/A</v>
      </c>
      <c r="BF108" s="17" t="e">
        <v>#N/A</v>
      </c>
      <c r="BG108" s="17" t="e">
        <v>#N/A</v>
      </c>
      <c r="BH108" s="17" t="e">
        <v>#N/A</v>
      </c>
      <c r="BI108" s="17" t="e">
        <v>#N/A</v>
      </c>
      <c r="BJ108" s="17" t="e">
        <v>#N/A</v>
      </c>
      <c r="BK108" s="17" t="e">
        <v>#N/A</v>
      </c>
      <c r="BL108" s="17" t="e">
        <v>#N/A</v>
      </c>
      <c r="BM108" s="17" t="e">
        <v>#N/A</v>
      </c>
      <c r="BN108" s="17" t="e">
        <v>#N/A</v>
      </c>
      <c r="BO108" s="17" t="e">
        <v>#N/A</v>
      </c>
      <c r="BP108" s="17" t="e">
        <v>#N/A</v>
      </c>
      <c r="BQ108" s="17" t="e">
        <v>#N/A</v>
      </c>
      <c r="BR108" s="17" t="e">
        <v>#N/A</v>
      </c>
      <c r="BS108" s="17" t="e">
        <v>#N/A</v>
      </c>
      <c r="BT108" s="17" t="e">
        <v>#N/A</v>
      </c>
      <c r="BU108" s="17" t="e">
        <v>#N/A</v>
      </c>
      <c r="BV108" s="17" t="e">
        <v>#N/A</v>
      </c>
      <c r="BW108" s="17" t="e">
        <v>#N/A</v>
      </c>
      <c r="BX108" s="17" t="e">
        <v>#N/A</v>
      </c>
      <c r="BY108" s="17" t="e">
        <v>#N/A</v>
      </c>
      <c r="BZ108" s="17" t="e">
        <v>#N/A</v>
      </c>
      <c r="CA108" s="17" t="e">
        <v>#N/A</v>
      </c>
      <c r="CB108" s="17" t="e">
        <v>#N/A</v>
      </c>
      <c r="CC108" s="17" t="e">
        <v>#N/A</v>
      </c>
      <c r="CD108" s="17" t="e">
        <v>#N/A</v>
      </c>
      <c r="CE108" s="17" t="e">
        <v>#N/A</v>
      </c>
      <c r="CF108" s="17" t="e">
        <v>#N/A</v>
      </c>
      <c r="CG108" s="17" t="e">
        <v>#N/A</v>
      </c>
      <c r="CH108" s="17" t="e">
        <v>#N/A</v>
      </c>
      <c r="CI108" s="17" t="e">
        <v>#N/A</v>
      </c>
      <c r="CJ108" s="17" t="e">
        <v>#N/A</v>
      </c>
      <c r="CK108" s="17" t="e">
        <v>#N/A</v>
      </c>
      <c r="CL108" s="17" t="e">
        <v>#N/A</v>
      </c>
      <c r="CM108" s="17" t="e">
        <v>#N/A</v>
      </c>
      <c r="CN108" s="17" t="e">
        <v>#N/A</v>
      </c>
      <c r="CO108" s="17" t="e">
        <v>#N/A</v>
      </c>
      <c r="CP108" s="17" t="e">
        <v>#N/A</v>
      </c>
      <c r="CQ108" s="17" t="e">
        <v>#N/A</v>
      </c>
      <c r="CR108" s="17" t="e">
        <v>#N/A</v>
      </c>
      <c r="CS108" s="17" t="e">
        <v>#N/A</v>
      </c>
      <c r="CT108" s="17" t="e">
        <v>#N/A</v>
      </c>
      <c r="CU108" s="17" t="e">
        <v>#N/A</v>
      </c>
      <c r="CV108" s="17" t="e">
        <v>#N/A</v>
      </c>
      <c r="CW108" s="17" t="e">
        <v>#N/A</v>
      </c>
      <c r="CX108" s="17" t="e">
        <v>#N/A</v>
      </c>
      <c r="CY108" s="17" t="e">
        <v>#N/A</v>
      </c>
      <c r="CZ108" s="17" t="e">
        <v>#N/A</v>
      </c>
      <c r="DA108" s="17" t="e">
        <v>#N/A</v>
      </c>
      <c r="DB108" s="17" t="e">
        <v>#N/A</v>
      </c>
      <c r="DC108" s="17" t="e">
        <v>#N/A</v>
      </c>
      <c r="DD108" s="17" t="e">
        <v>#N/A</v>
      </c>
      <c r="DE108" s="17" t="e">
        <v>#N/A</v>
      </c>
      <c r="DF108" s="17" t="e">
        <v>#N/A</v>
      </c>
      <c r="DG108" s="17" t="e">
        <v>#N/A</v>
      </c>
      <c r="DH108" s="17" t="e">
        <v>#N/A</v>
      </c>
      <c r="DI108" s="17" t="e">
        <v>#N/A</v>
      </c>
      <c r="DJ108" s="17" t="e">
        <v>#N/A</v>
      </c>
      <c r="DK108" s="17" t="e">
        <v>#N/A</v>
      </c>
      <c r="DL108" s="17" t="e">
        <v>#N/A</v>
      </c>
      <c r="DM108" s="17" t="e">
        <v>#N/A</v>
      </c>
      <c r="DN108" s="17" t="e">
        <v>#N/A</v>
      </c>
      <c r="DO108" s="17" t="e">
        <v>#N/A</v>
      </c>
      <c r="DP108" s="17" t="e">
        <v>#N/A</v>
      </c>
      <c r="DQ108" s="17" t="e">
        <v>#N/A</v>
      </c>
      <c r="DR108" s="17" t="e">
        <v>#N/A</v>
      </c>
      <c r="DS108" s="17" t="e">
        <v>#N/A</v>
      </c>
      <c r="DT108" s="17" t="e">
        <v>#N/A</v>
      </c>
      <c r="DU108" s="17" t="e">
        <v>#N/A</v>
      </c>
      <c r="DV108" s="17" t="e">
        <v>#N/A</v>
      </c>
      <c r="DW108" s="17" t="e">
        <v>#N/A</v>
      </c>
      <c r="DX108" s="17" t="e">
        <v>#N/A</v>
      </c>
      <c r="DY108" s="17" t="e">
        <v>#N/A</v>
      </c>
      <c r="DZ108" s="17" t="e">
        <v>#N/A</v>
      </c>
      <c r="EA108" s="17" t="e">
        <v>#N/A</v>
      </c>
      <c r="EB108" s="17" t="e">
        <v>#N/A</v>
      </c>
      <c r="EC108" s="17" t="e">
        <v>#N/A</v>
      </c>
      <c r="ED108" s="17" t="e">
        <v>#N/A</v>
      </c>
      <c r="EE108" s="17" t="e">
        <v>#N/A</v>
      </c>
      <c r="EF108" s="17" t="e">
        <v>#N/A</v>
      </c>
      <c r="EG108" s="17" t="e">
        <v>#N/A</v>
      </c>
      <c r="EH108" s="17" t="e">
        <v>#N/A</v>
      </c>
      <c r="EI108" s="17" t="e">
        <v>#N/A</v>
      </c>
      <c r="EJ108" s="17" t="e">
        <v>#N/A</v>
      </c>
      <c r="EK108" s="17" t="e">
        <v>#N/A</v>
      </c>
      <c r="EL108" s="17" t="e">
        <v>#N/A</v>
      </c>
      <c r="EM108" s="17" t="e">
        <v>#N/A</v>
      </c>
      <c r="EN108" s="17" t="e">
        <v>#N/A</v>
      </c>
      <c r="EO108" s="17" t="e">
        <v>#N/A</v>
      </c>
      <c r="EP108" s="17" t="e">
        <v>#N/A</v>
      </c>
      <c r="EQ108" s="17" t="e">
        <v>#N/A</v>
      </c>
      <c r="ER108" s="17" t="e">
        <v>#N/A</v>
      </c>
      <c r="ES108" s="17" t="e">
        <v>#N/A</v>
      </c>
      <c r="ET108" s="17" t="e">
        <v>#N/A</v>
      </c>
      <c r="EU108" s="17" t="e">
        <v>#N/A</v>
      </c>
      <c r="EV108" s="17" t="e">
        <v>#N/A</v>
      </c>
      <c r="EW108" s="17" t="e">
        <v>#N/A</v>
      </c>
      <c r="EX108" s="17" t="e">
        <v>#N/A</v>
      </c>
      <c r="EY108" s="17" t="e">
        <v>#N/A</v>
      </c>
      <c r="EZ108" s="17" t="e">
        <v>#N/A</v>
      </c>
      <c r="FA108" s="17" t="e">
        <v>#N/A</v>
      </c>
      <c r="FB108" s="17" t="e">
        <v>#N/A</v>
      </c>
      <c r="FC108" s="17" t="e">
        <v>#N/A</v>
      </c>
      <c r="FD108" s="17" t="e">
        <v>#N/A</v>
      </c>
      <c r="FE108" s="17" t="e">
        <v>#N/A</v>
      </c>
      <c r="FF108" s="17" t="e">
        <v>#N/A</v>
      </c>
      <c r="FG108" s="17" t="e">
        <v>#N/A</v>
      </c>
      <c r="FH108" s="17" t="e">
        <v>#N/A</v>
      </c>
      <c r="FI108" s="17" t="e">
        <v>#N/A</v>
      </c>
      <c r="FJ108" s="17" t="e">
        <v>#N/A</v>
      </c>
      <c r="FK108" s="17" t="e">
        <v>#N/A</v>
      </c>
      <c r="FL108" s="17" t="e">
        <v>#N/A</v>
      </c>
      <c r="FM108" s="17" t="e">
        <v>#N/A</v>
      </c>
      <c r="FN108" s="17" t="e">
        <v>#N/A</v>
      </c>
      <c r="FO108" s="17" t="e">
        <v>#N/A</v>
      </c>
      <c r="FP108" s="17" t="e">
        <v>#N/A</v>
      </c>
      <c r="FQ108" s="17" t="e">
        <v>#N/A</v>
      </c>
      <c r="FR108" s="17" t="e">
        <v>#N/A</v>
      </c>
      <c r="FS108" s="17" t="e">
        <v>#N/A</v>
      </c>
      <c r="FT108" s="17" t="e">
        <v>#N/A</v>
      </c>
      <c r="FU108" s="17" t="e">
        <v>#N/A</v>
      </c>
      <c r="FV108" s="17" t="e">
        <v>#N/A</v>
      </c>
    </row>
    <row r="109" spans="2:178" ht="11.25" customHeight="1">
      <c r="B109" s="17" t="e">
        <v>#N/A</v>
      </c>
      <c r="C109" s="17" t="e">
        <v>#N/A</v>
      </c>
      <c r="D109" s="17" t="e">
        <v>#N/A</v>
      </c>
      <c r="E109" s="17" t="e">
        <v>#N/A</v>
      </c>
      <c r="F109" s="17" t="e">
        <v>#N/A</v>
      </c>
      <c r="G109" s="17" t="e">
        <v>#N/A</v>
      </c>
      <c r="H109" s="17" t="e">
        <v>#N/A</v>
      </c>
      <c r="I109" s="17" t="e">
        <v>#N/A</v>
      </c>
      <c r="J109" s="17" t="e">
        <v>#N/A</v>
      </c>
      <c r="K109" s="17" t="e">
        <v>#N/A</v>
      </c>
      <c r="L109" s="17" t="e">
        <v>#N/A</v>
      </c>
      <c r="M109" s="17" t="e">
        <v>#N/A</v>
      </c>
      <c r="N109" s="17" t="e">
        <v>#N/A</v>
      </c>
      <c r="O109" s="17" t="e">
        <v>#N/A</v>
      </c>
      <c r="P109" s="17" t="e">
        <v>#N/A</v>
      </c>
      <c r="Q109" s="17" t="e">
        <v>#N/A</v>
      </c>
      <c r="R109" s="17" t="e">
        <v>#N/A</v>
      </c>
      <c r="S109" s="17" t="e">
        <v>#N/A</v>
      </c>
      <c r="T109" s="17" t="e">
        <v>#N/A</v>
      </c>
      <c r="U109" s="17" t="e">
        <v>#N/A</v>
      </c>
      <c r="V109" s="17" t="e">
        <v>#N/A</v>
      </c>
      <c r="W109" s="17" t="e">
        <v>#N/A</v>
      </c>
      <c r="X109" s="17" t="e">
        <v>#N/A</v>
      </c>
      <c r="Y109" s="17" t="e">
        <v>#N/A</v>
      </c>
      <c r="Z109" s="17" t="e">
        <v>#N/A</v>
      </c>
      <c r="AA109" s="17" t="e">
        <v>#N/A</v>
      </c>
      <c r="AB109" s="17" t="e">
        <v>#N/A</v>
      </c>
      <c r="AC109" s="17" t="e">
        <v>#N/A</v>
      </c>
      <c r="AD109" s="17" t="e">
        <v>#N/A</v>
      </c>
      <c r="AE109" s="17" t="e">
        <v>#N/A</v>
      </c>
      <c r="AF109" s="17" t="e">
        <v>#N/A</v>
      </c>
      <c r="AG109" s="17" t="e">
        <v>#N/A</v>
      </c>
      <c r="AH109" s="17" t="e">
        <v>#N/A</v>
      </c>
      <c r="AI109" s="17" t="e">
        <v>#N/A</v>
      </c>
      <c r="AJ109" s="17" t="e">
        <v>#N/A</v>
      </c>
      <c r="AK109" s="17" t="e">
        <v>#N/A</v>
      </c>
      <c r="AL109" s="17" t="e">
        <v>#N/A</v>
      </c>
      <c r="AM109" s="17" t="e">
        <v>#N/A</v>
      </c>
      <c r="AN109" s="17" t="e">
        <v>#N/A</v>
      </c>
      <c r="AO109" s="17" t="e">
        <v>#N/A</v>
      </c>
      <c r="AP109" s="17" t="e">
        <v>#N/A</v>
      </c>
      <c r="AQ109" s="17" t="e">
        <v>#N/A</v>
      </c>
      <c r="AR109" s="17" t="e">
        <v>#N/A</v>
      </c>
      <c r="AS109" s="17" t="e">
        <v>#N/A</v>
      </c>
      <c r="AT109" s="17" t="e">
        <v>#N/A</v>
      </c>
      <c r="AU109" s="17" t="e">
        <v>#N/A</v>
      </c>
      <c r="AV109" s="17" t="e">
        <v>#N/A</v>
      </c>
      <c r="AW109" s="17" t="e">
        <v>#N/A</v>
      </c>
      <c r="AX109" s="17" t="e">
        <v>#N/A</v>
      </c>
      <c r="AY109" s="17" t="e">
        <v>#N/A</v>
      </c>
      <c r="AZ109" s="17" t="e">
        <v>#N/A</v>
      </c>
      <c r="BA109" s="17" t="e">
        <v>#N/A</v>
      </c>
      <c r="BB109" s="17" t="e">
        <v>#N/A</v>
      </c>
      <c r="BC109" s="17" t="e">
        <v>#N/A</v>
      </c>
      <c r="BD109" s="17" t="e">
        <v>#N/A</v>
      </c>
      <c r="BE109" s="17" t="e">
        <v>#N/A</v>
      </c>
      <c r="BF109" s="17" t="e">
        <v>#N/A</v>
      </c>
      <c r="BG109" s="17" t="e">
        <v>#N/A</v>
      </c>
      <c r="BH109" s="17" t="e">
        <v>#N/A</v>
      </c>
      <c r="BI109" s="17" t="e">
        <v>#N/A</v>
      </c>
      <c r="BJ109" s="17" t="e">
        <v>#N/A</v>
      </c>
      <c r="BK109" s="17" t="e">
        <v>#N/A</v>
      </c>
      <c r="BL109" s="17" t="e">
        <v>#N/A</v>
      </c>
      <c r="BM109" s="17" t="e">
        <v>#N/A</v>
      </c>
      <c r="BN109" s="17" t="e">
        <v>#N/A</v>
      </c>
      <c r="BO109" s="17" t="e">
        <v>#N/A</v>
      </c>
      <c r="BP109" s="17" t="e">
        <v>#N/A</v>
      </c>
      <c r="BQ109" s="17" t="e">
        <v>#N/A</v>
      </c>
      <c r="BR109" s="17" t="e">
        <v>#N/A</v>
      </c>
      <c r="BS109" s="17" t="e">
        <v>#N/A</v>
      </c>
      <c r="BT109" s="17" t="e">
        <v>#N/A</v>
      </c>
      <c r="BU109" s="17" t="e">
        <v>#N/A</v>
      </c>
      <c r="BV109" s="17" t="e">
        <v>#N/A</v>
      </c>
      <c r="BW109" s="17" t="e">
        <v>#N/A</v>
      </c>
      <c r="BX109" s="17" t="e">
        <v>#N/A</v>
      </c>
      <c r="BY109" s="17" t="e">
        <v>#N/A</v>
      </c>
      <c r="BZ109" s="17" t="e">
        <v>#N/A</v>
      </c>
      <c r="CA109" s="17" t="e">
        <v>#N/A</v>
      </c>
      <c r="CB109" s="17" t="e">
        <v>#N/A</v>
      </c>
      <c r="CC109" s="17" t="e">
        <v>#N/A</v>
      </c>
      <c r="CD109" s="17" t="e">
        <v>#N/A</v>
      </c>
      <c r="CE109" s="17" t="e">
        <v>#N/A</v>
      </c>
      <c r="CF109" s="17" t="e">
        <v>#N/A</v>
      </c>
      <c r="CG109" s="17" t="e">
        <v>#N/A</v>
      </c>
      <c r="CH109" s="17" t="e">
        <v>#N/A</v>
      </c>
      <c r="CI109" s="17" t="e">
        <v>#N/A</v>
      </c>
      <c r="CJ109" s="17" t="e">
        <v>#N/A</v>
      </c>
      <c r="CK109" s="17" t="e">
        <v>#N/A</v>
      </c>
      <c r="CL109" s="17" t="e">
        <v>#N/A</v>
      </c>
      <c r="CM109" s="17" t="e">
        <v>#N/A</v>
      </c>
      <c r="CN109" s="17" t="e">
        <v>#N/A</v>
      </c>
      <c r="CO109" s="17" t="e">
        <v>#N/A</v>
      </c>
      <c r="CP109" s="17" t="e">
        <v>#N/A</v>
      </c>
      <c r="CQ109" s="17" t="e">
        <v>#N/A</v>
      </c>
      <c r="CR109" s="17" t="e">
        <v>#N/A</v>
      </c>
      <c r="CS109" s="17" t="e">
        <v>#N/A</v>
      </c>
      <c r="CT109" s="17" t="e">
        <v>#N/A</v>
      </c>
      <c r="CU109" s="17" t="e">
        <v>#N/A</v>
      </c>
      <c r="CV109" s="17" t="e">
        <v>#N/A</v>
      </c>
      <c r="CW109" s="17" t="e">
        <v>#N/A</v>
      </c>
      <c r="CX109" s="17" t="e">
        <v>#N/A</v>
      </c>
      <c r="CY109" s="17" t="e">
        <v>#N/A</v>
      </c>
      <c r="CZ109" s="17" t="e">
        <v>#N/A</v>
      </c>
      <c r="DA109" s="17" t="e">
        <v>#N/A</v>
      </c>
      <c r="DB109" s="17" t="e">
        <v>#N/A</v>
      </c>
      <c r="DC109" s="17" t="e">
        <v>#N/A</v>
      </c>
      <c r="DD109" s="17" t="e">
        <v>#N/A</v>
      </c>
      <c r="DE109" s="17" t="e">
        <v>#N/A</v>
      </c>
      <c r="DF109" s="17" t="e">
        <v>#N/A</v>
      </c>
      <c r="DG109" s="17" t="e">
        <v>#N/A</v>
      </c>
      <c r="DH109" s="17" t="e">
        <v>#N/A</v>
      </c>
      <c r="DI109" s="17" t="e">
        <v>#N/A</v>
      </c>
      <c r="DJ109" s="17" t="e">
        <v>#N/A</v>
      </c>
      <c r="DK109" s="17" t="e">
        <v>#N/A</v>
      </c>
      <c r="DL109" s="17" t="e">
        <v>#N/A</v>
      </c>
      <c r="DM109" s="17" t="e">
        <v>#N/A</v>
      </c>
      <c r="DN109" s="17" t="e">
        <v>#N/A</v>
      </c>
      <c r="DO109" s="17" t="e">
        <v>#N/A</v>
      </c>
      <c r="DP109" s="17" t="e">
        <v>#N/A</v>
      </c>
      <c r="DQ109" s="17" t="e">
        <v>#N/A</v>
      </c>
      <c r="DR109" s="17" t="e">
        <v>#N/A</v>
      </c>
      <c r="DS109" s="17" t="e">
        <v>#N/A</v>
      </c>
      <c r="DT109" s="17" t="e">
        <v>#N/A</v>
      </c>
      <c r="DU109" s="17" t="e">
        <v>#N/A</v>
      </c>
      <c r="DV109" s="17" t="e">
        <v>#N/A</v>
      </c>
      <c r="DW109" s="17" t="e">
        <v>#N/A</v>
      </c>
      <c r="DX109" s="17" t="e">
        <v>#N/A</v>
      </c>
      <c r="DY109" s="17" t="e">
        <v>#N/A</v>
      </c>
      <c r="DZ109" s="17" t="e">
        <v>#N/A</v>
      </c>
      <c r="EA109" s="17" t="e">
        <v>#N/A</v>
      </c>
      <c r="EB109" s="17" t="e">
        <v>#N/A</v>
      </c>
      <c r="EC109" s="17" t="e">
        <v>#N/A</v>
      </c>
      <c r="ED109" s="17" t="e">
        <v>#N/A</v>
      </c>
      <c r="EE109" s="17" t="e">
        <v>#N/A</v>
      </c>
      <c r="EF109" s="17" t="e">
        <v>#N/A</v>
      </c>
      <c r="EG109" s="17" t="e">
        <v>#N/A</v>
      </c>
      <c r="EH109" s="17" t="e">
        <v>#N/A</v>
      </c>
      <c r="EI109" s="17" t="e">
        <v>#N/A</v>
      </c>
      <c r="EJ109" s="17" t="e">
        <v>#N/A</v>
      </c>
      <c r="EK109" s="17" t="e">
        <v>#N/A</v>
      </c>
      <c r="EL109" s="17" t="e">
        <v>#N/A</v>
      </c>
      <c r="EM109" s="17" t="e">
        <v>#N/A</v>
      </c>
      <c r="EN109" s="17" t="e">
        <v>#N/A</v>
      </c>
      <c r="EO109" s="17" t="e">
        <v>#N/A</v>
      </c>
      <c r="EP109" s="17" t="e">
        <v>#N/A</v>
      </c>
      <c r="EQ109" s="17" t="e">
        <v>#N/A</v>
      </c>
      <c r="ER109" s="17" t="e">
        <v>#N/A</v>
      </c>
      <c r="ES109" s="17" t="e">
        <v>#N/A</v>
      </c>
      <c r="ET109" s="17" t="e">
        <v>#N/A</v>
      </c>
      <c r="EU109" s="17" t="e">
        <v>#N/A</v>
      </c>
      <c r="EV109" s="17" t="e">
        <v>#N/A</v>
      </c>
      <c r="EW109" s="17" t="e">
        <v>#N/A</v>
      </c>
      <c r="EX109" s="17" t="e">
        <v>#N/A</v>
      </c>
      <c r="EY109" s="17" t="e">
        <v>#N/A</v>
      </c>
      <c r="EZ109" s="17" t="e">
        <v>#N/A</v>
      </c>
      <c r="FA109" s="17" t="e">
        <v>#N/A</v>
      </c>
      <c r="FB109" s="17" t="e">
        <v>#N/A</v>
      </c>
      <c r="FC109" s="17" t="e">
        <v>#N/A</v>
      </c>
      <c r="FD109" s="17" t="e">
        <v>#N/A</v>
      </c>
      <c r="FE109" s="17" t="e">
        <v>#N/A</v>
      </c>
      <c r="FF109" s="17" t="e">
        <v>#N/A</v>
      </c>
      <c r="FG109" s="17" t="e">
        <v>#N/A</v>
      </c>
      <c r="FH109" s="17" t="e">
        <v>#N/A</v>
      </c>
      <c r="FI109" s="17" t="e">
        <v>#N/A</v>
      </c>
      <c r="FJ109" s="17" t="e">
        <v>#N/A</v>
      </c>
      <c r="FK109" s="17" t="e">
        <v>#N/A</v>
      </c>
      <c r="FL109" s="17" t="e">
        <v>#N/A</v>
      </c>
      <c r="FM109" s="17" t="e">
        <v>#N/A</v>
      </c>
      <c r="FN109" s="17" t="e">
        <v>#N/A</v>
      </c>
      <c r="FO109" s="17" t="e">
        <v>#N/A</v>
      </c>
      <c r="FP109" s="17" t="e">
        <v>#N/A</v>
      </c>
      <c r="FQ109" s="17" t="e">
        <v>#N/A</v>
      </c>
      <c r="FR109" s="17" t="e">
        <v>#N/A</v>
      </c>
      <c r="FS109" s="17" t="e">
        <v>#N/A</v>
      </c>
      <c r="FT109" s="17" t="e">
        <v>#N/A</v>
      </c>
      <c r="FU109" s="17" t="e">
        <v>#N/A</v>
      </c>
      <c r="FV109" s="17" t="e">
        <v>#N/A</v>
      </c>
    </row>
    <row r="110" spans="2:178" ht="11.25" customHeight="1">
      <c r="B110" s="17" t="e">
        <v>#N/A</v>
      </c>
      <c r="C110" s="17" t="e">
        <v>#N/A</v>
      </c>
      <c r="D110" s="17" t="e">
        <v>#N/A</v>
      </c>
      <c r="E110" s="17" t="e">
        <v>#N/A</v>
      </c>
      <c r="F110" s="17" t="e">
        <v>#N/A</v>
      </c>
      <c r="G110" s="17" t="e">
        <v>#N/A</v>
      </c>
      <c r="H110" s="17" t="e">
        <v>#N/A</v>
      </c>
      <c r="I110" s="17" t="e">
        <v>#N/A</v>
      </c>
      <c r="J110" s="17" t="e">
        <v>#N/A</v>
      </c>
      <c r="K110" s="17" t="e">
        <v>#N/A</v>
      </c>
      <c r="L110" s="17" t="e">
        <v>#N/A</v>
      </c>
      <c r="M110" s="17" t="e">
        <v>#N/A</v>
      </c>
      <c r="N110" s="17" t="e">
        <v>#N/A</v>
      </c>
      <c r="O110" s="17" t="e">
        <v>#N/A</v>
      </c>
      <c r="P110" s="17" t="e">
        <v>#N/A</v>
      </c>
      <c r="Q110" s="17" t="e">
        <v>#N/A</v>
      </c>
      <c r="R110" s="17" t="e">
        <v>#N/A</v>
      </c>
      <c r="S110" s="17" t="e">
        <v>#N/A</v>
      </c>
      <c r="T110" s="17" t="e">
        <v>#N/A</v>
      </c>
      <c r="U110" s="17" t="e">
        <v>#N/A</v>
      </c>
      <c r="V110" s="17" t="e">
        <v>#N/A</v>
      </c>
      <c r="W110" s="17" t="e">
        <v>#N/A</v>
      </c>
      <c r="X110" s="17" t="e">
        <v>#N/A</v>
      </c>
      <c r="Y110" s="17" t="e">
        <v>#N/A</v>
      </c>
      <c r="Z110" s="17" t="e">
        <v>#N/A</v>
      </c>
      <c r="AA110" s="17" t="e">
        <v>#N/A</v>
      </c>
      <c r="AB110" s="17" t="e">
        <v>#N/A</v>
      </c>
      <c r="AC110" s="17" t="e">
        <v>#N/A</v>
      </c>
      <c r="AD110" s="17" t="e">
        <v>#N/A</v>
      </c>
      <c r="AE110" s="17" t="e">
        <v>#N/A</v>
      </c>
      <c r="AF110" s="17" t="e">
        <v>#N/A</v>
      </c>
      <c r="AG110" s="17" t="e">
        <v>#N/A</v>
      </c>
      <c r="AH110" s="17" t="e">
        <v>#N/A</v>
      </c>
      <c r="AI110" s="17" t="e">
        <v>#N/A</v>
      </c>
      <c r="AJ110" s="17" t="e">
        <v>#N/A</v>
      </c>
      <c r="AK110" s="17" t="e">
        <v>#N/A</v>
      </c>
      <c r="AL110" s="17" t="e">
        <v>#N/A</v>
      </c>
      <c r="AM110" s="17" t="e">
        <v>#N/A</v>
      </c>
      <c r="AN110" s="17" t="e">
        <v>#N/A</v>
      </c>
      <c r="AO110" s="17" t="e">
        <v>#N/A</v>
      </c>
      <c r="AP110" s="17" t="e">
        <v>#N/A</v>
      </c>
      <c r="AQ110" s="17" t="e">
        <v>#N/A</v>
      </c>
      <c r="AR110" s="17" t="e">
        <v>#N/A</v>
      </c>
      <c r="AS110" s="17" t="e">
        <v>#N/A</v>
      </c>
      <c r="AT110" s="17" t="e">
        <v>#N/A</v>
      </c>
      <c r="AU110" s="17" t="e">
        <v>#N/A</v>
      </c>
      <c r="AV110" s="17" t="e">
        <v>#N/A</v>
      </c>
      <c r="AW110" s="17" t="e">
        <v>#N/A</v>
      </c>
      <c r="AX110" s="17" t="e">
        <v>#N/A</v>
      </c>
      <c r="AY110" s="17" t="e">
        <v>#N/A</v>
      </c>
      <c r="AZ110" s="17" t="e">
        <v>#N/A</v>
      </c>
      <c r="BA110" s="17" t="e">
        <v>#N/A</v>
      </c>
      <c r="BB110" s="17" t="e">
        <v>#N/A</v>
      </c>
      <c r="BC110" s="17" t="e">
        <v>#N/A</v>
      </c>
      <c r="BD110" s="17" t="e">
        <v>#N/A</v>
      </c>
      <c r="BE110" s="17" t="e">
        <v>#N/A</v>
      </c>
      <c r="BF110" s="17" t="e">
        <v>#N/A</v>
      </c>
      <c r="BG110" s="17" t="e">
        <v>#N/A</v>
      </c>
      <c r="BH110" s="17" t="e">
        <v>#N/A</v>
      </c>
      <c r="BI110" s="17" t="e">
        <v>#N/A</v>
      </c>
      <c r="BJ110" s="17" t="e">
        <v>#N/A</v>
      </c>
      <c r="BK110" s="17" t="e">
        <v>#N/A</v>
      </c>
      <c r="BL110" s="17" t="e">
        <v>#N/A</v>
      </c>
      <c r="BM110" s="17" t="e">
        <v>#N/A</v>
      </c>
      <c r="BN110" s="17" t="e">
        <v>#N/A</v>
      </c>
      <c r="BO110" s="17" t="e">
        <v>#N/A</v>
      </c>
      <c r="BP110" s="17" t="e">
        <v>#N/A</v>
      </c>
      <c r="BQ110" s="17" t="e">
        <v>#N/A</v>
      </c>
      <c r="BR110" s="17" t="e">
        <v>#N/A</v>
      </c>
      <c r="BS110" s="17" t="e">
        <v>#N/A</v>
      </c>
      <c r="BT110" s="17" t="e">
        <v>#N/A</v>
      </c>
      <c r="BU110" s="17" t="e">
        <v>#N/A</v>
      </c>
      <c r="BV110" s="17" t="e">
        <v>#N/A</v>
      </c>
      <c r="BW110" s="17" t="e">
        <v>#N/A</v>
      </c>
      <c r="BX110" s="17" t="e">
        <v>#N/A</v>
      </c>
      <c r="BY110" s="17" t="e">
        <v>#N/A</v>
      </c>
      <c r="BZ110" s="17" t="e">
        <v>#N/A</v>
      </c>
      <c r="CA110" s="17" t="e">
        <v>#N/A</v>
      </c>
      <c r="CB110" s="17" t="e">
        <v>#N/A</v>
      </c>
      <c r="CC110" s="17" t="e">
        <v>#N/A</v>
      </c>
      <c r="CD110" s="17" t="e">
        <v>#N/A</v>
      </c>
      <c r="CE110" s="17" t="e">
        <v>#N/A</v>
      </c>
      <c r="CF110" s="17" t="e">
        <v>#N/A</v>
      </c>
      <c r="CG110" s="17" t="e">
        <v>#N/A</v>
      </c>
      <c r="CH110" s="17" t="e">
        <v>#N/A</v>
      </c>
      <c r="CI110" s="17" t="e">
        <v>#N/A</v>
      </c>
      <c r="CJ110" s="17" t="e">
        <v>#N/A</v>
      </c>
      <c r="CK110" s="17" t="e">
        <v>#N/A</v>
      </c>
      <c r="CL110" s="17" t="e">
        <v>#N/A</v>
      </c>
      <c r="CM110" s="17" t="e">
        <v>#N/A</v>
      </c>
      <c r="CN110" s="17" t="e">
        <v>#N/A</v>
      </c>
      <c r="CO110" s="17" t="e">
        <v>#N/A</v>
      </c>
      <c r="CP110" s="17" t="e">
        <v>#N/A</v>
      </c>
      <c r="CQ110" s="17" t="e">
        <v>#N/A</v>
      </c>
      <c r="CR110" s="17" t="e">
        <v>#N/A</v>
      </c>
      <c r="CS110" s="17" t="e">
        <v>#N/A</v>
      </c>
      <c r="CT110" s="17" t="e">
        <v>#N/A</v>
      </c>
      <c r="CU110" s="17" t="e">
        <v>#N/A</v>
      </c>
      <c r="CV110" s="17" t="e">
        <v>#N/A</v>
      </c>
      <c r="CW110" s="17" t="e">
        <v>#N/A</v>
      </c>
      <c r="CX110" s="17" t="e">
        <v>#N/A</v>
      </c>
      <c r="CY110" s="17" t="e">
        <v>#N/A</v>
      </c>
      <c r="CZ110" s="17" t="e">
        <v>#N/A</v>
      </c>
      <c r="DA110" s="17" t="e">
        <v>#N/A</v>
      </c>
      <c r="DB110" s="17" t="e">
        <v>#N/A</v>
      </c>
      <c r="DC110" s="17" t="e">
        <v>#N/A</v>
      </c>
      <c r="DD110" s="17" t="e">
        <v>#N/A</v>
      </c>
      <c r="DE110" s="17" t="e">
        <v>#N/A</v>
      </c>
      <c r="DF110" s="17" t="e">
        <v>#N/A</v>
      </c>
      <c r="DG110" s="17" t="e">
        <v>#N/A</v>
      </c>
      <c r="DH110" s="17" t="e">
        <v>#N/A</v>
      </c>
      <c r="DI110" s="17" t="e">
        <v>#N/A</v>
      </c>
      <c r="DJ110" s="17" t="e">
        <v>#N/A</v>
      </c>
      <c r="DK110" s="17" t="e">
        <v>#N/A</v>
      </c>
      <c r="DL110" s="17" t="e">
        <v>#N/A</v>
      </c>
      <c r="DM110" s="17" t="e">
        <v>#N/A</v>
      </c>
      <c r="DN110" s="17" t="e">
        <v>#N/A</v>
      </c>
      <c r="DO110" s="17" t="e">
        <v>#N/A</v>
      </c>
      <c r="DP110" s="17" t="e">
        <v>#N/A</v>
      </c>
      <c r="DQ110" s="17" t="e">
        <v>#N/A</v>
      </c>
      <c r="DR110" s="17" t="e">
        <v>#N/A</v>
      </c>
      <c r="DS110" s="17" t="e">
        <v>#N/A</v>
      </c>
      <c r="DT110" s="17" t="e">
        <v>#N/A</v>
      </c>
      <c r="DU110" s="17" t="e">
        <v>#N/A</v>
      </c>
      <c r="DV110" s="17" t="e">
        <v>#N/A</v>
      </c>
      <c r="DW110" s="17" t="e">
        <v>#N/A</v>
      </c>
      <c r="DX110" s="17" t="e">
        <v>#N/A</v>
      </c>
      <c r="DY110" s="17" t="e">
        <v>#N/A</v>
      </c>
      <c r="DZ110" s="17" t="e">
        <v>#N/A</v>
      </c>
      <c r="EA110" s="17" t="e">
        <v>#N/A</v>
      </c>
      <c r="EB110" s="17" t="e">
        <v>#N/A</v>
      </c>
      <c r="EC110" s="17" t="e">
        <v>#N/A</v>
      </c>
      <c r="ED110" s="17" t="e">
        <v>#N/A</v>
      </c>
      <c r="EE110" s="17" t="e">
        <v>#N/A</v>
      </c>
      <c r="EF110" s="17" t="e">
        <v>#N/A</v>
      </c>
      <c r="EG110" s="17" t="e">
        <v>#N/A</v>
      </c>
      <c r="EH110" s="17" t="e">
        <v>#N/A</v>
      </c>
      <c r="EI110" s="17" t="e">
        <v>#N/A</v>
      </c>
      <c r="EJ110" s="17" t="e">
        <v>#N/A</v>
      </c>
      <c r="EK110" s="17" t="e">
        <v>#N/A</v>
      </c>
      <c r="EL110" s="17" t="e">
        <v>#N/A</v>
      </c>
      <c r="EM110" s="17" t="e">
        <v>#N/A</v>
      </c>
      <c r="EN110" s="17" t="e">
        <v>#N/A</v>
      </c>
      <c r="EO110" s="17" t="e">
        <v>#N/A</v>
      </c>
      <c r="EP110" s="17" t="e">
        <v>#N/A</v>
      </c>
      <c r="EQ110" s="17" t="e">
        <v>#N/A</v>
      </c>
      <c r="ER110" s="17" t="e">
        <v>#N/A</v>
      </c>
      <c r="ES110" s="17" t="e">
        <v>#N/A</v>
      </c>
      <c r="ET110" s="17" t="e">
        <v>#N/A</v>
      </c>
      <c r="EU110" s="17" t="e">
        <v>#N/A</v>
      </c>
      <c r="EV110" s="17" t="e">
        <v>#N/A</v>
      </c>
      <c r="EW110" s="17" t="e">
        <v>#N/A</v>
      </c>
      <c r="EX110" s="17" t="e">
        <v>#N/A</v>
      </c>
      <c r="EY110" s="17" t="e">
        <v>#N/A</v>
      </c>
      <c r="EZ110" s="17" t="e">
        <v>#N/A</v>
      </c>
      <c r="FA110" s="17" t="e">
        <v>#N/A</v>
      </c>
      <c r="FB110" s="17" t="e">
        <v>#N/A</v>
      </c>
      <c r="FC110" s="17" t="e">
        <v>#N/A</v>
      </c>
      <c r="FD110" s="17" t="e">
        <v>#N/A</v>
      </c>
      <c r="FE110" s="17" t="e">
        <v>#N/A</v>
      </c>
      <c r="FF110" s="17" t="e">
        <v>#N/A</v>
      </c>
      <c r="FG110" s="17" t="e">
        <v>#N/A</v>
      </c>
      <c r="FH110" s="17" t="e">
        <v>#N/A</v>
      </c>
      <c r="FI110" s="17" t="e">
        <v>#N/A</v>
      </c>
      <c r="FJ110" s="17" t="e">
        <v>#N/A</v>
      </c>
      <c r="FK110" s="17" t="e">
        <v>#N/A</v>
      </c>
      <c r="FL110" s="17" t="e">
        <v>#N/A</v>
      </c>
      <c r="FM110" s="17" t="e">
        <v>#N/A</v>
      </c>
      <c r="FN110" s="17" t="e">
        <v>#N/A</v>
      </c>
      <c r="FO110" s="17" t="e">
        <v>#N/A</v>
      </c>
      <c r="FP110" s="17" t="e">
        <v>#N/A</v>
      </c>
      <c r="FQ110" s="17" t="e">
        <v>#N/A</v>
      </c>
      <c r="FR110" s="17" t="e">
        <v>#N/A</v>
      </c>
      <c r="FS110" s="17" t="e">
        <v>#N/A</v>
      </c>
      <c r="FT110" s="17" t="e">
        <v>#N/A</v>
      </c>
      <c r="FU110" s="17" t="e">
        <v>#N/A</v>
      </c>
      <c r="FV110" s="17" t="e">
        <v>#N/A</v>
      </c>
    </row>
    <row r="111" spans="2:178" ht="11.25" customHeight="1">
      <c r="B111" s="17" t="e">
        <v>#N/A</v>
      </c>
      <c r="C111" s="17" t="e">
        <v>#N/A</v>
      </c>
      <c r="D111" s="17" t="e">
        <v>#N/A</v>
      </c>
      <c r="E111" s="17" t="e">
        <v>#N/A</v>
      </c>
      <c r="F111" s="17" t="e">
        <v>#N/A</v>
      </c>
      <c r="G111" s="17" t="e">
        <v>#N/A</v>
      </c>
      <c r="H111" s="17" t="e">
        <v>#N/A</v>
      </c>
      <c r="I111" s="17" t="e">
        <v>#N/A</v>
      </c>
      <c r="J111" s="17" t="e">
        <v>#N/A</v>
      </c>
      <c r="K111" s="17" t="e">
        <v>#N/A</v>
      </c>
      <c r="L111" s="17" t="e">
        <v>#N/A</v>
      </c>
      <c r="M111" s="17" t="e">
        <v>#N/A</v>
      </c>
      <c r="N111" s="17" t="e">
        <v>#N/A</v>
      </c>
      <c r="O111" s="17" t="e">
        <v>#N/A</v>
      </c>
      <c r="P111" s="17" t="e">
        <v>#N/A</v>
      </c>
      <c r="Q111" s="17" t="e">
        <v>#N/A</v>
      </c>
      <c r="R111" s="17" t="e">
        <v>#N/A</v>
      </c>
      <c r="S111" s="17" t="e">
        <v>#N/A</v>
      </c>
      <c r="T111" s="17" t="e">
        <v>#N/A</v>
      </c>
      <c r="U111" s="17" t="e">
        <v>#N/A</v>
      </c>
      <c r="V111" s="17" t="e">
        <v>#N/A</v>
      </c>
      <c r="W111" s="17" t="e">
        <v>#N/A</v>
      </c>
      <c r="X111" s="17" t="e">
        <v>#N/A</v>
      </c>
      <c r="Y111" s="17" t="e">
        <v>#N/A</v>
      </c>
      <c r="Z111" s="17" t="e">
        <v>#N/A</v>
      </c>
      <c r="AA111" s="17" t="e">
        <v>#N/A</v>
      </c>
      <c r="AB111" s="17" t="e">
        <v>#N/A</v>
      </c>
      <c r="AC111" s="17" t="e">
        <v>#N/A</v>
      </c>
      <c r="AD111" s="17" t="e">
        <v>#N/A</v>
      </c>
      <c r="AE111" s="17" t="e">
        <v>#N/A</v>
      </c>
      <c r="AF111" s="17" t="e">
        <v>#N/A</v>
      </c>
      <c r="AG111" s="17" t="e">
        <v>#N/A</v>
      </c>
      <c r="AH111" s="17" t="e">
        <v>#N/A</v>
      </c>
      <c r="AI111" s="17" t="e">
        <v>#N/A</v>
      </c>
      <c r="AJ111" s="17" t="e">
        <v>#N/A</v>
      </c>
      <c r="AK111" s="17" t="e">
        <v>#N/A</v>
      </c>
      <c r="AL111" s="17" t="e">
        <v>#N/A</v>
      </c>
      <c r="AM111" s="17" t="e">
        <v>#N/A</v>
      </c>
      <c r="AN111" s="17" t="e">
        <v>#N/A</v>
      </c>
      <c r="AO111" s="17" t="e">
        <v>#N/A</v>
      </c>
      <c r="AP111" s="17" t="e">
        <v>#N/A</v>
      </c>
      <c r="AQ111" s="17" t="e">
        <v>#N/A</v>
      </c>
      <c r="AR111" s="17" t="e">
        <v>#N/A</v>
      </c>
      <c r="AS111" s="17" t="e">
        <v>#N/A</v>
      </c>
      <c r="AT111" s="17" t="e">
        <v>#N/A</v>
      </c>
      <c r="AU111" s="17" t="e">
        <v>#N/A</v>
      </c>
      <c r="AV111" s="17" t="e">
        <v>#N/A</v>
      </c>
      <c r="AW111" s="17" t="e">
        <v>#N/A</v>
      </c>
      <c r="AX111" s="17" t="e">
        <v>#N/A</v>
      </c>
      <c r="AY111" s="17" t="e">
        <v>#N/A</v>
      </c>
      <c r="AZ111" s="17" t="e">
        <v>#N/A</v>
      </c>
      <c r="BA111" s="17" t="e">
        <v>#N/A</v>
      </c>
      <c r="BB111" s="17" t="e">
        <v>#N/A</v>
      </c>
      <c r="BC111" s="17" t="e">
        <v>#N/A</v>
      </c>
      <c r="BD111" s="17" t="e">
        <v>#N/A</v>
      </c>
      <c r="BE111" s="17" t="e">
        <v>#N/A</v>
      </c>
      <c r="BF111" s="17" t="e">
        <v>#N/A</v>
      </c>
      <c r="BG111" s="17" t="e">
        <v>#N/A</v>
      </c>
      <c r="BH111" s="17" t="e">
        <v>#N/A</v>
      </c>
      <c r="BI111" s="17" t="e">
        <v>#N/A</v>
      </c>
      <c r="BJ111" s="17" t="e">
        <v>#N/A</v>
      </c>
      <c r="BK111" s="17" t="e">
        <v>#N/A</v>
      </c>
      <c r="BL111" s="17" t="e">
        <v>#N/A</v>
      </c>
      <c r="BM111" s="17" t="e">
        <v>#N/A</v>
      </c>
      <c r="BN111" s="17" t="e">
        <v>#N/A</v>
      </c>
      <c r="BO111" s="17" t="e">
        <v>#N/A</v>
      </c>
      <c r="BP111" s="17" t="e">
        <v>#N/A</v>
      </c>
      <c r="BQ111" s="17" t="e">
        <v>#N/A</v>
      </c>
      <c r="BR111" s="17" t="e">
        <v>#N/A</v>
      </c>
      <c r="BS111" s="17" t="e">
        <v>#N/A</v>
      </c>
      <c r="BT111" s="17" t="e">
        <v>#N/A</v>
      </c>
      <c r="BU111" s="17" t="e">
        <v>#N/A</v>
      </c>
      <c r="BV111" s="17" t="e">
        <v>#N/A</v>
      </c>
      <c r="BW111" s="17" t="e">
        <v>#N/A</v>
      </c>
      <c r="BX111" s="17" t="e">
        <v>#N/A</v>
      </c>
      <c r="BY111" s="17" t="e">
        <v>#N/A</v>
      </c>
      <c r="BZ111" s="17" t="e">
        <v>#N/A</v>
      </c>
      <c r="CA111" s="17" t="e">
        <v>#N/A</v>
      </c>
      <c r="CB111" s="17" t="e">
        <v>#N/A</v>
      </c>
      <c r="CC111" s="17" t="e">
        <v>#N/A</v>
      </c>
      <c r="CD111" s="17" t="e">
        <v>#N/A</v>
      </c>
      <c r="CE111" s="17" t="e">
        <v>#N/A</v>
      </c>
      <c r="CF111" s="17" t="e">
        <v>#N/A</v>
      </c>
      <c r="CG111" s="17" t="e">
        <v>#N/A</v>
      </c>
      <c r="CH111" s="17" t="e">
        <v>#N/A</v>
      </c>
      <c r="CI111" s="17" t="e">
        <v>#N/A</v>
      </c>
      <c r="CJ111" s="17" t="e">
        <v>#N/A</v>
      </c>
      <c r="CK111" s="17" t="e">
        <v>#N/A</v>
      </c>
      <c r="CL111" s="17" t="e">
        <v>#N/A</v>
      </c>
      <c r="CM111" s="17" t="e">
        <v>#N/A</v>
      </c>
      <c r="CN111" s="17" t="e">
        <v>#N/A</v>
      </c>
      <c r="CO111" s="17" t="e">
        <v>#N/A</v>
      </c>
      <c r="CP111" s="17" t="e">
        <v>#N/A</v>
      </c>
      <c r="CQ111" s="17" t="e">
        <v>#N/A</v>
      </c>
      <c r="CR111" s="17" t="e">
        <v>#N/A</v>
      </c>
      <c r="CS111" s="17" t="e">
        <v>#N/A</v>
      </c>
      <c r="CT111" s="17" t="e">
        <v>#N/A</v>
      </c>
      <c r="CU111" s="17" t="e">
        <v>#N/A</v>
      </c>
      <c r="CV111" s="17" t="e">
        <v>#N/A</v>
      </c>
      <c r="CW111" s="17" t="e">
        <v>#N/A</v>
      </c>
      <c r="CX111" s="17" t="e">
        <v>#N/A</v>
      </c>
      <c r="CY111" s="17" t="e">
        <v>#N/A</v>
      </c>
      <c r="CZ111" s="17" t="e">
        <v>#N/A</v>
      </c>
      <c r="DA111" s="17" t="e">
        <v>#N/A</v>
      </c>
      <c r="DB111" s="17" t="e">
        <v>#N/A</v>
      </c>
      <c r="DC111" s="17" t="e">
        <v>#N/A</v>
      </c>
      <c r="DD111" s="17" t="e">
        <v>#N/A</v>
      </c>
      <c r="DE111" s="17" t="e">
        <v>#N/A</v>
      </c>
      <c r="DF111" s="17" t="e">
        <v>#N/A</v>
      </c>
      <c r="DG111" s="17" t="e">
        <v>#N/A</v>
      </c>
      <c r="DH111" s="17" t="e">
        <v>#N/A</v>
      </c>
      <c r="DI111" s="17" t="e">
        <v>#N/A</v>
      </c>
      <c r="DJ111" s="17" t="e">
        <v>#N/A</v>
      </c>
      <c r="DK111" s="17" t="e">
        <v>#N/A</v>
      </c>
      <c r="DL111" s="17" t="e">
        <v>#N/A</v>
      </c>
      <c r="DM111" s="17" t="e">
        <v>#N/A</v>
      </c>
      <c r="DN111" s="17" t="e">
        <v>#N/A</v>
      </c>
      <c r="DO111" s="17" t="e">
        <v>#N/A</v>
      </c>
      <c r="DP111" s="17" t="e">
        <v>#N/A</v>
      </c>
      <c r="DQ111" s="17" t="e">
        <v>#N/A</v>
      </c>
      <c r="DR111" s="17" t="e">
        <v>#N/A</v>
      </c>
      <c r="DS111" s="17" t="e">
        <v>#N/A</v>
      </c>
      <c r="DT111" s="17" t="e">
        <v>#N/A</v>
      </c>
      <c r="DU111" s="17" t="e">
        <v>#N/A</v>
      </c>
      <c r="DV111" s="17" t="e">
        <v>#N/A</v>
      </c>
      <c r="DW111" s="17" t="e">
        <v>#N/A</v>
      </c>
      <c r="DX111" s="17" t="e">
        <v>#N/A</v>
      </c>
      <c r="DY111" s="17" t="e">
        <v>#N/A</v>
      </c>
      <c r="DZ111" s="17" t="e">
        <v>#N/A</v>
      </c>
      <c r="EA111" s="17" t="e">
        <v>#N/A</v>
      </c>
      <c r="EB111" s="17" t="e">
        <v>#N/A</v>
      </c>
      <c r="EC111" s="17" t="e">
        <v>#N/A</v>
      </c>
      <c r="ED111" s="17" t="e">
        <v>#N/A</v>
      </c>
      <c r="EE111" s="17" t="e">
        <v>#N/A</v>
      </c>
      <c r="EF111" s="17" t="e">
        <v>#N/A</v>
      </c>
      <c r="EG111" s="17" t="e">
        <v>#N/A</v>
      </c>
      <c r="EH111" s="17" t="e">
        <v>#N/A</v>
      </c>
      <c r="EI111" s="17" t="e">
        <v>#N/A</v>
      </c>
      <c r="EJ111" s="17" t="e">
        <v>#N/A</v>
      </c>
      <c r="EK111" s="17" t="e">
        <v>#N/A</v>
      </c>
      <c r="EL111" s="17" t="e">
        <v>#N/A</v>
      </c>
      <c r="EM111" s="17" t="e">
        <v>#N/A</v>
      </c>
      <c r="EN111" s="17" t="e">
        <v>#N/A</v>
      </c>
      <c r="EO111" s="17" t="e">
        <v>#N/A</v>
      </c>
      <c r="EP111" s="17" t="e">
        <v>#N/A</v>
      </c>
      <c r="EQ111" s="17" t="e">
        <v>#N/A</v>
      </c>
      <c r="ER111" s="17" t="e">
        <v>#N/A</v>
      </c>
      <c r="ES111" s="17" t="e">
        <v>#N/A</v>
      </c>
      <c r="ET111" s="17" t="e">
        <v>#N/A</v>
      </c>
      <c r="EU111" s="17" t="e">
        <v>#N/A</v>
      </c>
      <c r="EV111" s="17" t="e">
        <v>#N/A</v>
      </c>
      <c r="EW111" s="17" t="e">
        <v>#N/A</v>
      </c>
      <c r="EX111" s="17" t="e">
        <v>#N/A</v>
      </c>
      <c r="EY111" s="17" t="e">
        <v>#N/A</v>
      </c>
      <c r="EZ111" s="17" t="e">
        <v>#N/A</v>
      </c>
      <c r="FA111" s="17" t="e">
        <v>#N/A</v>
      </c>
      <c r="FB111" s="17" t="e">
        <v>#N/A</v>
      </c>
      <c r="FC111" s="17" t="e">
        <v>#N/A</v>
      </c>
      <c r="FD111" s="17" t="e">
        <v>#N/A</v>
      </c>
      <c r="FE111" s="17" t="e">
        <v>#N/A</v>
      </c>
      <c r="FF111" s="17" t="e">
        <v>#N/A</v>
      </c>
      <c r="FG111" s="17" t="e">
        <v>#N/A</v>
      </c>
      <c r="FH111" s="17" t="e">
        <v>#N/A</v>
      </c>
      <c r="FI111" s="17" t="e">
        <v>#N/A</v>
      </c>
      <c r="FJ111" s="17" t="e">
        <v>#N/A</v>
      </c>
      <c r="FK111" s="17" t="e">
        <v>#N/A</v>
      </c>
      <c r="FL111" s="17" t="e">
        <v>#N/A</v>
      </c>
      <c r="FM111" s="17" t="e">
        <v>#N/A</v>
      </c>
      <c r="FN111" s="17" t="e">
        <v>#N/A</v>
      </c>
      <c r="FO111" s="17" t="e">
        <v>#N/A</v>
      </c>
      <c r="FP111" s="17" t="e">
        <v>#N/A</v>
      </c>
      <c r="FQ111" s="17" t="e">
        <v>#N/A</v>
      </c>
      <c r="FR111" s="17" t="e">
        <v>#N/A</v>
      </c>
      <c r="FS111" s="17" t="e">
        <v>#N/A</v>
      </c>
      <c r="FT111" s="17" t="e">
        <v>#N/A</v>
      </c>
      <c r="FU111" s="17" t="e">
        <v>#N/A</v>
      </c>
      <c r="FV111" s="17" t="e">
        <v>#N/A</v>
      </c>
    </row>
    <row r="112" spans="2:178" ht="11.25" customHeight="1">
      <c r="B112" s="17" t="e">
        <v>#N/A</v>
      </c>
      <c r="C112" s="17" t="e">
        <v>#N/A</v>
      </c>
      <c r="D112" s="17" t="e">
        <v>#N/A</v>
      </c>
      <c r="E112" s="17" t="e">
        <v>#N/A</v>
      </c>
      <c r="F112" s="17" t="e">
        <v>#N/A</v>
      </c>
      <c r="G112" s="17" t="e">
        <v>#N/A</v>
      </c>
      <c r="H112" s="17" t="e">
        <v>#N/A</v>
      </c>
      <c r="I112" s="17" t="e">
        <v>#N/A</v>
      </c>
      <c r="J112" s="17" t="e">
        <v>#N/A</v>
      </c>
      <c r="K112" s="17" t="e">
        <v>#N/A</v>
      </c>
      <c r="L112" s="17" t="e">
        <v>#N/A</v>
      </c>
      <c r="M112" s="17" t="e">
        <v>#N/A</v>
      </c>
      <c r="N112" s="17" t="e">
        <v>#N/A</v>
      </c>
      <c r="O112" s="17" t="e">
        <v>#N/A</v>
      </c>
      <c r="P112" s="17" t="e">
        <v>#N/A</v>
      </c>
      <c r="Q112" s="17" t="e">
        <v>#N/A</v>
      </c>
      <c r="R112" s="17" t="e">
        <v>#N/A</v>
      </c>
      <c r="S112" s="17" t="e">
        <v>#N/A</v>
      </c>
      <c r="T112" s="17" t="e">
        <v>#N/A</v>
      </c>
      <c r="U112" s="17" t="e">
        <v>#N/A</v>
      </c>
      <c r="V112" s="17" t="e">
        <v>#N/A</v>
      </c>
      <c r="W112" s="17" t="e">
        <v>#N/A</v>
      </c>
      <c r="X112" s="17" t="e">
        <v>#N/A</v>
      </c>
      <c r="Y112" s="17" t="e">
        <v>#N/A</v>
      </c>
      <c r="Z112" s="17" t="e">
        <v>#N/A</v>
      </c>
      <c r="AA112" s="17" t="e">
        <v>#N/A</v>
      </c>
      <c r="AB112" s="17" t="e">
        <v>#N/A</v>
      </c>
      <c r="AC112" s="17" t="e">
        <v>#N/A</v>
      </c>
      <c r="AD112" s="17" t="e">
        <v>#N/A</v>
      </c>
      <c r="AE112" s="17" t="e">
        <v>#N/A</v>
      </c>
      <c r="AF112" s="17" t="e">
        <v>#N/A</v>
      </c>
      <c r="AG112" s="17" t="e">
        <v>#N/A</v>
      </c>
      <c r="AH112" s="17" t="e">
        <v>#N/A</v>
      </c>
      <c r="AI112" s="17" t="e">
        <v>#N/A</v>
      </c>
      <c r="AJ112" s="17" t="e">
        <v>#N/A</v>
      </c>
      <c r="AK112" s="17" t="e">
        <v>#N/A</v>
      </c>
      <c r="AL112" s="17" t="e">
        <v>#N/A</v>
      </c>
      <c r="AM112" s="17" t="e">
        <v>#N/A</v>
      </c>
      <c r="AN112" s="17" t="e">
        <v>#N/A</v>
      </c>
      <c r="AO112" s="17" t="e">
        <v>#N/A</v>
      </c>
      <c r="AP112" s="17" t="e">
        <v>#N/A</v>
      </c>
      <c r="AQ112" s="17" t="e">
        <v>#N/A</v>
      </c>
      <c r="AR112" s="17" t="e">
        <v>#N/A</v>
      </c>
      <c r="AS112" s="17" t="e">
        <v>#N/A</v>
      </c>
      <c r="AT112" s="17" t="e">
        <v>#N/A</v>
      </c>
      <c r="AU112" s="17" t="e">
        <v>#N/A</v>
      </c>
      <c r="AV112" s="17" t="e">
        <v>#N/A</v>
      </c>
      <c r="AW112" s="17" t="e">
        <v>#N/A</v>
      </c>
      <c r="AX112" s="17" t="e">
        <v>#N/A</v>
      </c>
      <c r="AY112" s="17" t="e">
        <v>#N/A</v>
      </c>
      <c r="AZ112" s="17" t="e">
        <v>#N/A</v>
      </c>
      <c r="BA112" s="17" t="e">
        <v>#N/A</v>
      </c>
      <c r="BB112" s="17" t="e">
        <v>#N/A</v>
      </c>
      <c r="BC112" s="17" t="e">
        <v>#N/A</v>
      </c>
      <c r="BD112" s="17" t="e">
        <v>#N/A</v>
      </c>
      <c r="BE112" s="17" t="e">
        <v>#N/A</v>
      </c>
      <c r="BF112" s="17" t="e">
        <v>#N/A</v>
      </c>
      <c r="BG112" s="17" t="e">
        <v>#N/A</v>
      </c>
      <c r="BH112" s="17" t="e">
        <v>#N/A</v>
      </c>
      <c r="BI112" s="17" t="e">
        <v>#N/A</v>
      </c>
      <c r="BJ112" s="17" t="e">
        <v>#N/A</v>
      </c>
      <c r="BK112" s="17" t="e">
        <v>#N/A</v>
      </c>
      <c r="BL112" s="17" t="e">
        <v>#N/A</v>
      </c>
      <c r="BM112" s="17" t="e">
        <v>#N/A</v>
      </c>
      <c r="BN112" s="17" t="e">
        <v>#N/A</v>
      </c>
      <c r="BO112" s="17" t="e">
        <v>#N/A</v>
      </c>
      <c r="BP112" s="17" t="e">
        <v>#N/A</v>
      </c>
      <c r="BQ112" s="17" t="e">
        <v>#N/A</v>
      </c>
      <c r="BR112" s="17" t="e">
        <v>#N/A</v>
      </c>
      <c r="BS112" s="17" t="e">
        <v>#N/A</v>
      </c>
      <c r="BT112" s="17" t="e">
        <v>#N/A</v>
      </c>
      <c r="BU112" s="17" t="e">
        <v>#N/A</v>
      </c>
      <c r="BV112" s="17" t="e">
        <v>#N/A</v>
      </c>
      <c r="BW112" s="17" t="e">
        <v>#N/A</v>
      </c>
      <c r="BX112" s="17" t="e">
        <v>#N/A</v>
      </c>
      <c r="BY112" s="17" t="e">
        <v>#N/A</v>
      </c>
      <c r="BZ112" s="17" t="e">
        <v>#N/A</v>
      </c>
      <c r="CA112" s="17" t="e">
        <v>#N/A</v>
      </c>
      <c r="CB112" s="17" t="e">
        <v>#N/A</v>
      </c>
      <c r="CC112" s="17" t="e">
        <v>#N/A</v>
      </c>
      <c r="CD112" s="17" t="e">
        <v>#N/A</v>
      </c>
      <c r="CE112" s="17" t="e">
        <v>#N/A</v>
      </c>
      <c r="CF112" s="17" t="e">
        <v>#N/A</v>
      </c>
      <c r="CG112" s="17" t="e">
        <v>#N/A</v>
      </c>
      <c r="CH112" s="17" t="e">
        <v>#N/A</v>
      </c>
      <c r="CI112" s="17" t="e">
        <v>#N/A</v>
      </c>
      <c r="CJ112" s="17" t="e">
        <v>#N/A</v>
      </c>
      <c r="CK112" s="17" t="e">
        <v>#N/A</v>
      </c>
      <c r="CL112" s="17" t="e">
        <v>#N/A</v>
      </c>
      <c r="CM112" s="17" t="e">
        <v>#N/A</v>
      </c>
      <c r="CN112" s="17" t="e">
        <v>#N/A</v>
      </c>
      <c r="CO112" s="17" t="e">
        <v>#N/A</v>
      </c>
      <c r="CP112" s="17" t="e">
        <v>#N/A</v>
      </c>
      <c r="CQ112" s="17" t="e">
        <v>#N/A</v>
      </c>
      <c r="CR112" s="17" t="e">
        <v>#N/A</v>
      </c>
      <c r="CS112" s="17" t="e">
        <v>#N/A</v>
      </c>
      <c r="CT112" s="17" t="e">
        <v>#N/A</v>
      </c>
      <c r="CU112" s="17" t="e">
        <v>#N/A</v>
      </c>
      <c r="CV112" s="17" t="e">
        <v>#N/A</v>
      </c>
      <c r="CW112" s="17" t="e">
        <v>#N/A</v>
      </c>
      <c r="CX112" s="17" t="e">
        <v>#N/A</v>
      </c>
      <c r="CY112" s="17" t="e">
        <v>#N/A</v>
      </c>
      <c r="CZ112" s="17" t="e">
        <v>#N/A</v>
      </c>
      <c r="DA112" s="17" t="e">
        <v>#N/A</v>
      </c>
      <c r="DB112" s="17" t="e">
        <v>#N/A</v>
      </c>
      <c r="DC112" s="17" t="e">
        <v>#N/A</v>
      </c>
      <c r="DD112" s="17" t="e">
        <v>#N/A</v>
      </c>
      <c r="DE112" s="17" t="e">
        <v>#N/A</v>
      </c>
      <c r="DF112" s="17" t="e">
        <v>#N/A</v>
      </c>
      <c r="DG112" s="17" t="e">
        <v>#N/A</v>
      </c>
      <c r="DH112" s="17" t="e">
        <v>#N/A</v>
      </c>
      <c r="DI112" s="17" t="e">
        <v>#N/A</v>
      </c>
      <c r="DJ112" s="17" t="e">
        <v>#N/A</v>
      </c>
      <c r="DK112" s="17" t="e">
        <v>#N/A</v>
      </c>
      <c r="DL112" s="17" t="e">
        <v>#N/A</v>
      </c>
      <c r="DM112" s="17" t="e">
        <v>#N/A</v>
      </c>
      <c r="DN112" s="17" t="e">
        <v>#N/A</v>
      </c>
      <c r="DO112" s="17" t="e">
        <v>#N/A</v>
      </c>
      <c r="DP112" s="17" t="e">
        <v>#N/A</v>
      </c>
      <c r="DQ112" s="17" t="e">
        <v>#N/A</v>
      </c>
      <c r="DR112" s="17" t="e">
        <v>#N/A</v>
      </c>
      <c r="DS112" s="17" t="e">
        <v>#N/A</v>
      </c>
      <c r="DT112" s="17" t="e">
        <v>#N/A</v>
      </c>
      <c r="DU112" s="17" t="e">
        <v>#N/A</v>
      </c>
      <c r="DV112" s="17" t="e">
        <v>#N/A</v>
      </c>
      <c r="DW112" s="17" t="e">
        <v>#N/A</v>
      </c>
      <c r="DX112" s="17" t="e">
        <v>#N/A</v>
      </c>
      <c r="DY112" s="17" t="e">
        <v>#N/A</v>
      </c>
      <c r="DZ112" s="17" t="e">
        <v>#N/A</v>
      </c>
      <c r="EA112" s="17" t="e">
        <v>#N/A</v>
      </c>
      <c r="EB112" s="17" t="e">
        <v>#N/A</v>
      </c>
      <c r="EC112" s="17" t="e">
        <v>#N/A</v>
      </c>
      <c r="ED112" s="17" t="e">
        <v>#N/A</v>
      </c>
      <c r="EE112" s="17" t="e">
        <v>#N/A</v>
      </c>
      <c r="EF112" s="17" t="e">
        <v>#N/A</v>
      </c>
      <c r="EG112" s="17" t="e">
        <v>#N/A</v>
      </c>
      <c r="EH112" s="17" t="e">
        <v>#N/A</v>
      </c>
      <c r="EI112" s="17" t="e">
        <v>#N/A</v>
      </c>
      <c r="EJ112" s="17" t="e">
        <v>#N/A</v>
      </c>
      <c r="EK112" s="17" t="e">
        <v>#N/A</v>
      </c>
      <c r="EL112" s="17" t="e">
        <v>#N/A</v>
      </c>
      <c r="EM112" s="17" t="e">
        <v>#N/A</v>
      </c>
      <c r="EN112" s="17" t="e">
        <v>#N/A</v>
      </c>
      <c r="EO112" s="17" t="e">
        <v>#N/A</v>
      </c>
      <c r="EP112" s="17" t="e">
        <v>#N/A</v>
      </c>
      <c r="EQ112" s="17" t="e">
        <v>#N/A</v>
      </c>
      <c r="ER112" s="17" t="e">
        <v>#N/A</v>
      </c>
      <c r="ES112" s="17" t="e">
        <v>#N/A</v>
      </c>
      <c r="ET112" s="17" t="e">
        <v>#N/A</v>
      </c>
      <c r="EU112" s="17" t="e">
        <v>#N/A</v>
      </c>
      <c r="EV112" s="17" t="e">
        <v>#N/A</v>
      </c>
      <c r="EW112" s="17" t="e">
        <v>#N/A</v>
      </c>
      <c r="EX112" s="17" t="e">
        <v>#N/A</v>
      </c>
      <c r="EY112" s="17" t="e">
        <v>#N/A</v>
      </c>
      <c r="EZ112" s="17" t="e">
        <v>#N/A</v>
      </c>
      <c r="FA112" s="17" t="e">
        <v>#N/A</v>
      </c>
      <c r="FB112" s="17" t="e">
        <v>#N/A</v>
      </c>
      <c r="FC112" s="17" t="e">
        <v>#N/A</v>
      </c>
      <c r="FD112" s="17" t="e">
        <v>#N/A</v>
      </c>
      <c r="FE112" s="17" t="e">
        <v>#N/A</v>
      </c>
      <c r="FF112" s="17" t="e">
        <v>#N/A</v>
      </c>
      <c r="FG112" s="17" t="e">
        <v>#N/A</v>
      </c>
      <c r="FH112" s="17" t="e">
        <v>#N/A</v>
      </c>
      <c r="FI112" s="17" t="e">
        <v>#N/A</v>
      </c>
      <c r="FJ112" s="17" t="e">
        <v>#N/A</v>
      </c>
      <c r="FK112" s="17" t="e">
        <v>#N/A</v>
      </c>
      <c r="FL112" s="17" t="e">
        <v>#N/A</v>
      </c>
      <c r="FM112" s="17" t="e">
        <v>#N/A</v>
      </c>
      <c r="FN112" s="17" t="e">
        <v>#N/A</v>
      </c>
      <c r="FO112" s="17" t="e">
        <v>#N/A</v>
      </c>
      <c r="FP112" s="17" t="e">
        <v>#N/A</v>
      </c>
      <c r="FQ112" s="17" t="e">
        <v>#N/A</v>
      </c>
      <c r="FR112" s="17" t="e">
        <v>#N/A</v>
      </c>
      <c r="FS112" s="17" t="e">
        <v>#N/A</v>
      </c>
      <c r="FT112" s="17" t="e">
        <v>#N/A</v>
      </c>
      <c r="FU112" s="17" t="e">
        <v>#N/A</v>
      </c>
      <c r="FV112" s="17" t="e">
        <v>#N/A</v>
      </c>
    </row>
    <row r="113" spans="2:178" ht="11.25" customHeight="1">
      <c r="B113" s="17" t="e">
        <v>#N/A</v>
      </c>
      <c r="C113" s="17" t="e">
        <v>#N/A</v>
      </c>
      <c r="D113" s="17" t="e">
        <v>#N/A</v>
      </c>
      <c r="E113" s="17" t="e">
        <v>#N/A</v>
      </c>
      <c r="F113" s="17" t="e">
        <v>#N/A</v>
      </c>
      <c r="G113" s="17" t="e">
        <v>#N/A</v>
      </c>
      <c r="H113" s="17" t="e">
        <v>#N/A</v>
      </c>
      <c r="I113" s="17" t="e">
        <v>#N/A</v>
      </c>
      <c r="J113" s="17" t="e">
        <v>#N/A</v>
      </c>
      <c r="K113" s="17" t="e">
        <v>#N/A</v>
      </c>
      <c r="L113" s="17" t="e">
        <v>#N/A</v>
      </c>
      <c r="M113" s="17" t="e">
        <v>#N/A</v>
      </c>
      <c r="N113" s="17" t="e">
        <v>#N/A</v>
      </c>
      <c r="O113" s="17" t="e">
        <v>#N/A</v>
      </c>
      <c r="P113" s="17" t="e">
        <v>#N/A</v>
      </c>
      <c r="Q113" s="17" t="e">
        <v>#N/A</v>
      </c>
      <c r="R113" s="17" t="e">
        <v>#N/A</v>
      </c>
      <c r="S113" s="17" t="e">
        <v>#N/A</v>
      </c>
      <c r="T113" s="17" t="e">
        <v>#N/A</v>
      </c>
      <c r="U113" s="17" t="e">
        <v>#N/A</v>
      </c>
      <c r="V113" s="17" t="e">
        <v>#N/A</v>
      </c>
      <c r="W113" s="17" t="e">
        <v>#N/A</v>
      </c>
      <c r="X113" s="17" t="e">
        <v>#N/A</v>
      </c>
      <c r="Y113" s="17" t="e">
        <v>#N/A</v>
      </c>
      <c r="Z113" s="17" t="e">
        <v>#N/A</v>
      </c>
      <c r="AA113" s="17" t="e">
        <v>#N/A</v>
      </c>
      <c r="AB113" s="17" t="e">
        <v>#N/A</v>
      </c>
      <c r="AC113" s="17" t="e">
        <v>#N/A</v>
      </c>
      <c r="AD113" s="17" t="e">
        <v>#N/A</v>
      </c>
      <c r="AE113" s="17" t="e">
        <v>#N/A</v>
      </c>
      <c r="AF113" s="17" t="e">
        <v>#N/A</v>
      </c>
      <c r="AG113" s="17" t="e">
        <v>#N/A</v>
      </c>
      <c r="AH113" s="17" t="e">
        <v>#N/A</v>
      </c>
      <c r="AI113" s="17" t="e">
        <v>#N/A</v>
      </c>
      <c r="AJ113" s="17" t="e">
        <v>#N/A</v>
      </c>
      <c r="AK113" s="17" t="e">
        <v>#N/A</v>
      </c>
      <c r="AL113" s="17" t="e">
        <v>#N/A</v>
      </c>
      <c r="AM113" s="17" t="e">
        <v>#N/A</v>
      </c>
      <c r="AN113" s="17" t="e">
        <v>#N/A</v>
      </c>
      <c r="AO113" s="17" t="e">
        <v>#N/A</v>
      </c>
      <c r="AP113" s="17" t="e">
        <v>#N/A</v>
      </c>
      <c r="AQ113" s="17" t="e">
        <v>#N/A</v>
      </c>
      <c r="AR113" s="17" t="e">
        <v>#N/A</v>
      </c>
      <c r="AS113" s="17" t="e">
        <v>#N/A</v>
      </c>
      <c r="AT113" s="17" t="e">
        <v>#N/A</v>
      </c>
      <c r="AU113" s="17" t="e">
        <v>#N/A</v>
      </c>
      <c r="AV113" s="17" t="e">
        <v>#N/A</v>
      </c>
      <c r="AW113" s="17" t="e">
        <v>#N/A</v>
      </c>
      <c r="AX113" s="17" t="e">
        <v>#N/A</v>
      </c>
      <c r="AY113" s="17" t="e">
        <v>#N/A</v>
      </c>
      <c r="AZ113" s="17" t="e">
        <v>#N/A</v>
      </c>
      <c r="BA113" s="17" t="e">
        <v>#N/A</v>
      </c>
      <c r="BB113" s="17" t="e">
        <v>#N/A</v>
      </c>
      <c r="BC113" s="17" t="e">
        <v>#N/A</v>
      </c>
      <c r="BD113" s="17" t="e">
        <v>#N/A</v>
      </c>
      <c r="BE113" s="17" t="e">
        <v>#N/A</v>
      </c>
      <c r="BF113" s="17" t="e">
        <v>#N/A</v>
      </c>
      <c r="BG113" s="17" t="e">
        <v>#N/A</v>
      </c>
      <c r="BH113" s="17" t="e">
        <v>#N/A</v>
      </c>
      <c r="BI113" s="17" t="e">
        <v>#N/A</v>
      </c>
      <c r="BJ113" s="17" t="e">
        <v>#N/A</v>
      </c>
      <c r="BK113" s="17" t="e">
        <v>#N/A</v>
      </c>
      <c r="BL113" s="17" t="e">
        <v>#N/A</v>
      </c>
      <c r="BM113" s="17" t="e">
        <v>#N/A</v>
      </c>
      <c r="BN113" s="17" t="e">
        <v>#N/A</v>
      </c>
      <c r="BO113" s="17" t="e">
        <v>#N/A</v>
      </c>
      <c r="BP113" s="17" t="e">
        <v>#N/A</v>
      </c>
      <c r="BQ113" s="17" t="e">
        <v>#N/A</v>
      </c>
      <c r="BR113" s="17" t="e">
        <v>#N/A</v>
      </c>
      <c r="BS113" s="17" t="e">
        <v>#N/A</v>
      </c>
      <c r="BT113" s="17" t="e">
        <v>#N/A</v>
      </c>
      <c r="BU113" s="17" t="e">
        <v>#N/A</v>
      </c>
      <c r="BV113" s="17" t="e">
        <v>#N/A</v>
      </c>
      <c r="BW113" s="17" t="e">
        <v>#N/A</v>
      </c>
      <c r="BX113" s="17" t="e">
        <v>#N/A</v>
      </c>
      <c r="BY113" s="17" t="e">
        <v>#N/A</v>
      </c>
      <c r="BZ113" s="17" t="e">
        <v>#N/A</v>
      </c>
      <c r="CA113" s="17" t="e">
        <v>#N/A</v>
      </c>
      <c r="CB113" s="17" t="e">
        <v>#N/A</v>
      </c>
      <c r="CC113" s="17" t="e">
        <v>#N/A</v>
      </c>
      <c r="CD113" s="17" t="e">
        <v>#N/A</v>
      </c>
      <c r="CE113" s="17" t="e">
        <v>#N/A</v>
      </c>
      <c r="CF113" s="17" t="e">
        <v>#N/A</v>
      </c>
      <c r="CG113" s="17" t="e">
        <v>#N/A</v>
      </c>
      <c r="CH113" s="17" t="e">
        <v>#N/A</v>
      </c>
      <c r="CI113" s="17" t="e">
        <v>#N/A</v>
      </c>
      <c r="CJ113" s="17" t="e">
        <v>#N/A</v>
      </c>
      <c r="CK113" s="17" t="e">
        <v>#N/A</v>
      </c>
      <c r="CL113" s="17" t="e">
        <v>#N/A</v>
      </c>
      <c r="CM113" s="17" t="e">
        <v>#N/A</v>
      </c>
      <c r="CN113" s="17" t="e">
        <v>#N/A</v>
      </c>
      <c r="CO113" s="17" t="e">
        <v>#N/A</v>
      </c>
      <c r="CP113" s="17" t="e">
        <v>#N/A</v>
      </c>
      <c r="CQ113" s="17" t="e">
        <v>#N/A</v>
      </c>
      <c r="CR113" s="17" t="e">
        <v>#N/A</v>
      </c>
      <c r="CS113" s="17" t="e">
        <v>#N/A</v>
      </c>
      <c r="CT113" s="17" t="e">
        <v>#N/A</v>
      </c>
      <c r="CU113" s="17" t="e">
        <v>#N/A</v>
      </c>
      <c r="CV113" s="17" t="e">
        <v>#N/A</v>
      </c>
      <c r="CW113" s="17" t="e">
        <v>#N/A</v>
      </c>
      <c r="CX113" s="17" t="e">
        <v>#N/A</v>
      </c>
      <c r="CY113" s="17" t="e">
        <v>#N/A</v>
      </c>
      <c r="CZ113" s="17" t="e">
        <v>#N/A</v>
      </c>
      <c r="DA113" s="17" t="e">
        <v>#N/A</v>
      </c>
      <c r="DB113" s="17" t="e">
        <v>#N/A</v>
      </c>
      <c r="DC113" s="17" t="e">
        <v>#N/A</v>
      </c>
      <c r="DD113" s="17" t="e">
        <v>#N/A</v>
      </c>
      <c r="DE113" s="17" t="e">
        <v>#N/A</v>
      </c>
      <c r="DF113" s="17" t="e">
        <v>#N/A</v>
      </c>
      <c r="DG113" s="17" t="e">
        <v>#N/A</v>
      </c>
      <c r="DH113" s="17" t="e">
        <v>#N/A</v>
      </c>
      <c r="DI113" s="17" t="e">
        <v>#N/A</v>
      </c>
      <c r="DJ113" s="17" t="e">
        <v>#N/A</v>
      </c>
      <c r="DK113" s="17" t="e">
        <v>#N/A</v>
      </c>
      <c r="DL113" s="17" t="e">
        <v>#N/A</v>
      </c>
      <c r="DM113" s="17" t="e">
        <v>#N/A</v>
      </c>
      <c r="DN113" s="17" t="e">
        <v>#N/A</v>
      </c>
      <c r="DO113" s="17" t="e">
        <v>#N/A</v>
      </c>
      <c r="DP113" s="17" t="e">
        <v>#N/A</v>
      </c>
      <c r="DQ113" s="17" t="e">
        <v>#N/A</v>
      </c>
      <c r="DR113" s="17" t="e">
        <v>#N/A</v>
      </c>
      <c r="DS113" s="17" t="e">
        <v>#N/A</v>
      </c>
      <c r="DT113" s="17" t="e">
        <v>#N/A</v>
      </c>
      <c r="DU113" s="17" t="e">
        <v>#N/A</v>
      </c>
      <c r="DV113" s="17" t="e">
        <v>#N/A</v>
      </c>
      <c r="DW113" s="17" t="e">
        <v>#N/A</v>
      </c>
      <c r="DX113" s="17" t="e">
        <v>#N/A</v>
      </c>
      <c r="DY113" s="17" t="e">
        <v>#N/A</v>
      </c>
      <c r="DZ113" s="17" t="e">
        <v>#N/A</v>
      </c>
      <c r="EA113" s="17" t="e">
        <v>#N/A</v>
      </c>
      <c r="EB113" s="17" t="e">
        <v>#N/A</v>
      </c>
      <c r="EC113" s="17" t="e">
        <v>#N/A</v>
      </c>
      <c r="ED113" s="17" t="e">
        <v>#N/A</v>
      </c>
      <c r="EE113" s="17" t="e">
        <v>#N/A</v>
      </c>
      <c r="EF113" s="17" t="e">
        <v>#N/A</v>
      </c>
      <c r="EG113" s="17" t="e">
        <v>#N/A</v>
      </c>
      <c r="EH113" s="17" t="e">
        <v>#N/A</v>
      </c>
      <c r="EI113" s="17" t="e">
        <v>#N/A</v>
      </c>
      <c r="EJ113" s="17" t="e">
        <v>#N/A</v>
      </c>
      <c r="EK113" s="17" t="e">
        <v>#N/A</v>
      </c>
      <c r="EL113" s="17" t="e">
        <v>#N/A</v>
      </c>
      <c r="EM113" s="17" t="e">
        <v>#N/A</v>
      </c>
      <c r="EN113" s="17" t="e">
        <v>#N/A</v>
      </c>
      <c r="EO113" s="17" t="e">
        <v>#N/A</v>
      </c>
      <c r="EP113" s="17" t="e">
        <v>#N/A</v>
      </c>
      <c r="EQ113" s="17" t="e">
        <v>#N/A</v>
      </c>
      <c r="ER113" s="17" t="e">
        <v>#N/A</v>
      </c>
      <c r="ES113" s="17" t="e">
        <v>#N/A</v>
      </c>
      <c r="ET113" s="17" t="e">
        <v>#N/A</v>
      </c>
      <c r="EU113" s="17" t="e">
        <v>#N/A</v>
      </c>
      <c r="EV113" s="17" t="e">
        <v>#N/A</v>
      </c>
      <c r="EW113" s="17" t="e">
        <v>#N/A</v>
      </c>
      <c r="EX113" s="17" t="e">
        <v>#N/A</v>
      </c>
      <c r="EY113" s="17" t="e">
        <v>#N/A</v>
      </c>
      <c r="EZ113" s="17" t="e">
        <v>#N/A</v>
      </c>
      <c r="FA113" s="17" t="e">
        <v>#N/A</v>
      </c>
      <c r="FB113" s="17" t="e">
        <v>#N/A</v>
      </c>
      <c r="FC113" s="17" t="e">
        <v>#N/A</v>
      </c>
      <c r="FD113" s="17" t="e">
        <v>#N/A</v>
      </c>
      <c r="FE113" s="17" t="e">
        <v>#N/A</v>
      </c>
      <c r="FF113" s="17" t="e">
        <v>#N/A</v>
      </c>
      <c r="FG113" s="17" t="e">
        <v>#N/A</v>
      </c>
      <c r="FH113" s="17" t="e">
        <v>#N/A</v>
      </c>
      <c r="FI113" s="17" t="e">
        <v>#N/A</v>
      </c>
      <c r="FJ113" s="17" t="e">
        <v>#N/A</v>
      </c>
      <c r="FK113" s="17" t="e">
        <v>#N/A</v>
      </c>
      <c r="FL113" s="17" t="e">
        <v>#N/A</v>
      </c>
      <c r="FM113" s="17" t="e">
        <v>#N/A</v>
      </c>
      <c r="FN113" s="17" t="e">
        <v>#N/A</v>
      </c>
      <c r="FO113" s="17" t="e">
        <v>#N/A</v>
      </c>
      <c r="FP113" s="17" t="e">
        <v>#N/A</v>
      </c>
      <c r="FQ113" s="17" t="e">
        <v>#N/A</v>
      </c>
      <c r="FR113" s="17" t="e">
        <v>#N/A</v>
      </c>
      <c r="FS113" s="17" t="e">
        <v>#N/A</v>
      </c>
      <c r="FT113" s="17" t="e">
        <v>#N/A</v>
      </c>
      <c r="FU113" s="17" t="e">
        <v>#N/A</v>
      </c>
      <c r="FV113" s="17" t="e">
        <v>#N/A</v>
      </c>
    </row>
    <row r="114" spans="2:178" ht="11.25" customHeight="1">
      <c r="B114" s="17" t="e">
        <v>#N/A</v>
      </c>
      <c r="C114" s="17" t="e">
        <v>#N/A</v>
      </c>
      <c r="D114" s="17" t="e">
        <v>#N/A</v>
      </c>
      <c r="E114" s="17" t="e">
        <v>#N/A</v>
      </c>
      <c r="F114" s="17" t="e">
        <v>#N/A</v>
      </c>
      <c r="G114" s="17" t="e">
        <v>#N/A</v>
      </c>
      <c r="H114" s="17" t="e">
        <v>#N/A</v>
      </c>
      <c r="I114" s="17" t="e">
        <v>#N/A</v>
      </c>
      <c r="J114" s="17" t="e">
        <v>#N/A</v>
      </c>
      <c r="K114" s="17" t="e">
        <v>#N/A</v>
      </c>
      <c r="L114" s="17" t="e">
        <v>#N/A</v>
      </c>
      <c r="M114" s="17" t="e">
        <v>#N/A</v>
      </c>
      <c r="N114" s="17" t="e">
        <v>#N/A</v>
      </c>
      <c r="O114" s="17" t="e">
        <v>#N/A</v>
      </c>
      <c r="P114" s="17" t="e">
        <v>#N/A</v>
      </c>
      <c r="Q114" s="17" t="e">
        <v>#N/A</v>
      </c>
      <c r="R114" s="17" t="e">
        <v>#N/A</v>
      </c>
      <c r="S114" s="17" t="e">
        <v>#N/A</v>
      </c>
      <c r="T114" s="17" t="e">
        <v>#N/A</v>
      </c>
      <c r="U114" s="17" t="e">
        <v>#N/A</v>
      </c>
      <c r="V114" s="17" t="e">
        <v>#N/A</v>
      </c>
      <c r="W114" s="17" t="e">
        <v>#N/A</v>
      </c>
      <c r="X114" s="17" t="e">
        <v>#N/A</v>
      </c>
      <c r="Y114" s="17" t="e">
        <v>#N/A</v>
      </c>
      <c r="Z114" s="17" t="e">
        <v>#N/A</v>
      </c>
      <c r="AA114" s="17" t="e">
        <v>#N/A</v>
      </c>
      <c r="AB114" s="17" t="e">
        <v>#N/A</v>
      </c>
      <c r="AC114" s="17" t="e">
        <v>#N/A</v>
      </c>
      <c r="AD114" s="17" t="e">
        <v>#N/A</v>
      </c>
      <c r="AE114" s="17" t="e">
        <v>#N/A</v>
      </c>
      <c r="AF114" s="17" t="e">
        <v>#N/A</v>
      </c>
      <c r="AG114" s="17" t="e">
        <v>#N/A</v>
      </c>
      <c r="AH114" s="17" t="e">
        <v>#N/A</v>
      </c>
      <c r="AI114" s="17" t="e">
        <v>#N/A</v>
      </c>
      <c r="AJ114" s="17" t="e">
        <v>#N/A</v>
      </c>
      <c r="AK114" s="17" t="e">
        <v>#N/A</v>
      </c>
      <c r="AL114" s="17" t="e">
        <v>#N/A</v>
      </c>
      <c r="AM114" s="17" t="e">
        <v>#N/A</v>
      </c>
      <c r="AN114" s="17" t="e">
        <v>#N/A</v>
      </c>
      <c r="AO114" s="17" t="e">
        <v>#N/A</v>
      </c>
      <c r="AP114" s="17" t="e">
        <v>#N/A</v>
      </c>
      <c r="AQ114" s="17" t="e">
        <v>#N/A</v>
      </c>
      <c r="AR114" s="17" t="e">
        <v>#N/A</v>
      </c>
      <c r="AS114" s="17" t="e">
        <v>#N/A</v>
      </c>
      <c r="AT114" s="17" t="e">
        <v>#N/A</v>
      </c>
      <c r="AU114" s="17" t="e">
        <v>#N/A</v>
      </c>
      <c r="AV114" s="17" t="e">
        <v>#N/A</v>
      </c>
      <c r="AW114" s="17" t="e">
        <v>#N/A</v>
      </c>
      <c r="AX114" s="17" t="e">
        <v>#N/A</v>
      </c>
      <c r="AY114" s="17" t="e">
        <v>#N/A</v>
      </c>
      <c r="AZ114" s="17" t="e">
        <v>#N/A</v>
      </c>
      <c r="BA114" s="17" t="e">
        <v>#N/A</v>
      </c>
      <c r="BB114" s="17" t="e">
        <v>#N/A</v>
      </c>
      <c r="BC114" s="17" t="e">
        <v>#N/A</v>
      </c>
      <c r="BD114" s="17" t="e">
        <v>#N/A</v>
      </c>
      <c r="BE114" s="17" t="e">
        <v>#N/A</v>
      </c>
      <c r="BF114" s="17" t="e">
        <v>#N/A</v>
      </c>
      <c r="BG114" s="17" t="e">
        <v>#N/A</v>
      </c>
      <c r="BH114" s="17" t="e">
        <v>#N/A</v>
      </c>
      <c r="BI114" s="17" t="e">
        <v>#N/A</v>
      </c>
      <c r="BJ114" s="17" t="e">
        <v>#N/A</v>
      </c>
      <c r="BK114" s="17" t="e">
        <v>#N/A</v>
      </c>
      <c r="BL114" s="17" t="e">
        <v>#N/A</v>
      </c>
      <c r="BM114" s="17" t="e">
        <v>#N/A</v>
      </c>
      <c r="BN114" s="17" t="e">
        <v>#N/A</v>
      </c>
      <c r="BO114" s="17" t="e">
        <v>#N/A</v>
      </c>
      <c r="BP114" s="17" t="e">
        <v>#N/A</v>
      </c>
      <c r="BQ114" s="17" t="e">
        <v>#N/A</v>
      </c>
      <c r="BR114" s="17" t="e">
        <v>#N/A</v>
      </c>
      <c r="BS114" s="17" t="e">
        <v>#N/A</v>
      </c>
      <c r="BT114" s="17" t="e">
        <v>#N/A</v>
      </c>
      <c r="BU114" s="17" t="e">
        <v>#N/A</v>
      </c>
      <c r="BV114" s="17" t="e">
        <v>#N/A</v>
      </c>
      <c r="BW114" s="17" t="e">
        <v>#N/A</v>
      </c>
      <c r="BX114" s="17" t="e">
        <v>#N/A</v>
      </c>
      <c r="BY114" s="17" t="e">
        <v>#N/A</v>
      </c>
      <c r="BZ114" s="17" t="e">
        <v>#N/A</v>
      </c>
      <c r="CA114" s="17" t="e">
        <v>#N/A</v>
      </c>
      <c r="CB114" s="17" t="e">
        <v>#N/A</v>
      </c>
      <c r="CC114" s="17" t="e">
        <v>#N/A</v>
      </c>
      <c r="CD114" s="17" t="e">
        <v>#N/A</v>
      </c>
      <c r="CE114" s="17" t="e">
        <v>#N/A</v>
      </c>
      <c r="CF114" s="17" t="e">
        <v>#N/A</v>
      </c>
      <c r="CG114" s="17" t="e">
        <v>#N/A</v>
      </c>
      <c r="CH114" s="17" t="e">
        <v>#N/A</v>
      </c>
      <c r="CI114" s="17" t="e">
        <v>#N/A</v>
      </c>
      <c r="CJ114" s="17" t="e">
        <v>#N/A</v>
      </c>
      <c r="CK114" s="17" t="e">
        <v>#N/A</v>
      </c>
      <c r="CL114" s="17" t="e">
        <v>#N/A</v>
      </c>
      <c r="CM114" s="17" t="e">
        <v>#N/A</v>
      </c>
      <c r="CN114" s="17" t="e">
        <v>#N/A</v>
      </c>
      <c r="CO114" s="17" t="e">
        <v>#N/A</v>
      </c>
      <c r="CP114" s="17" t="e">
        <v>#N/A</v>
      </c>
      <c r="CQ114" s="17" t="e">
        <v>#N/A</v>
      </c>
      <c r="CR114" s="17" t="e">
        <v>#N/A</v>
      </c>
      <c r="CS114" s="17" t="e">
        <v>#N/A</v>
      </c>
      <c r="CT114" s="17" t="e">
        <v>#N/A</v>
      </c>
      <c r="CU114" s="17" t="e">
        <v>#N/A</v>
      </c>
      <c r="CV114" s="17" t="e">
        <v>#N/A</v>
      </c>
      <c r="CW114" s="17" t="e">
        <v>#N/A</v>
      </c>
      <c r="CX114" s="17" t="e">
        <v>#N/A</v>
      </c>
      <c r="CY114" s="17" t="e">
        <v>#N/A</v>
      </c>
      <c r="CZ114" s="17" t="e">
        <v>#N/A</v>
      </c>
      <c r="DA114" s="17" t="e">
        <v>#N/A</v>
      </c>
      <c r="DB114" s="17" t="e">
        <v>#N/A</v>
      </c>
      <c r="DC114" s="17" t="e">
        <v>#N/A</v>
      </c>
      <c r="DD114" s="17" t="e">
        <v>#N/A</v>
      </c>
      <c r="DE114" s="17" t="e">
        <v>#N/A</v>
      </c>
      <c r="DF114" s="17" t="e">
        <v>#N/A</v>
      </c>
      <c r="DG114" s="17" t="e">
        <v>#N/A</v>
      </c>
      <c r="DH114" s="17" t="e">
        <v>#N/A</v>
      </c>
      <c r="DI114" s="17" t="e">
        <v>#N/A</v>
      </c>
      <c r="DJ114" s="17" t="e">
        <v>#N/A</v>
      </c>
      <c r="DK114" s="17" t="e">
        <v>#N/A</v>
      </c>
      <c r="DL114" s="17" t="e">
        <v>#N/A</v>
      </c>
      <c r="DM114" s="17" t="e">
        <v>#N/A</v>
      </c>
      <c r="DN114" s="17" t="e">
        <v>#N/A</v>
      </c>
      <c r="DO114" s="17" t="e">
        <v>#N/A</v>
      </c>
      <c r="DP114" s="17" t="e">
        <v>#N/A</v>
      </c>
      <c r="DQ114" s="17" t="e">
        <v>#N/A</v>
      </c>
      <c r="DR114" s="17" t="e">
        <v>#N/A</v>
      </c>
      <c r="DS114" s="17" t="e">
        <v>#N/A</v>
      </c>
      <c r="DT114" s="17" t="e">
        <v>#N/A</v>
      </c>
      <c r="DU114" s="17" t="e">
        <v>#N/A</v>
      </c>
      <c r="DV114" s="17" t="e">
        <v>#N/A</v>
      </c>
      <c r="DW114" s="17" t="e">
        <v>#N/A</v>
      </c>
      <c r="DX114" s="17" t="e">
        <v>#N/A</v>
      </c>
      <c r="DY114" s="17" t="e">
        <v>#N/A</v>
      </c>
      <c r="DZ114" s="17" t="e">
        <v>#N/A</v>
      </c>
      <c r="EA114" s="17" t="e">
        <v>#N/A</v>
      </c>
      <c r="EB114" s="17" t="e">
        <v>#N/A</v>
      </c>
      <c r="EC114" s="17" t="e">
        <v>#N/A</v>
      </c>
      <c r="ED114" s="17" t="e">
        <v>#N/A</v>
      </c>
      <c r="EE114" s="17" t="e">
        <v>#N/A</v>
      </c>
      <c r="EF114" s="17" t="e">
        <v>#N/A</v>
      </c>
      <c r="EG114" s="17" t="e">
        <v>#N/A</v>
      </c>
      <c r="EH114" s="17" t="e">
        <v>#N/A</v>
      </c>
      <c r="EI114" s="17" t="e">
        <v>#N/A</v>
      </c>
      <c r="EJ114" s="17" t="e">
        <v>#N/A</v>
      </c>
      <c r="EK114" s="17" t="e">
        <v>#N/A</v>
      </c>
      <c r="EL114" s="17" t="e">
        <v>#N/A</v>
      </c>
      <c r="EM114" s="17" t="e">
        <v>#N/A</v>
      </c>
      <c r="EN114" s="17" t="e">
        <v>#N/A</v>
      </c>
      <c r="EO114" s="17" t="e">
        <v>#N/A</v>
      </c>
      <c r="EP114" s="17" t="e">
        <v>#N/A</v>
      </c>
      <c r="EQ114" s="17" t="e">
        <v>#N/A</v>
      </c>
      <c r="ER114" s="17" t="e">
        <v>#N/A</v>
      </c>
      <c r="ES114" s="17" t="e">
        <v>#N/A</v>
      </c>
      <c r="ET114" s="17" t="e">
        <v>#N/A</v>
      </c>
      <c r="EU114" s="17" t="e">
        <v>#N/A</v>
      </c>
      <c r="EV114" s="17" t="e">
        <v>#N/A</v>
      </c>
      <c r="EW114" s="17" t="e">
        <v>#N/A</v>
      </c>
      <c r="EX114" s="17" t="e">
        <v>#N/A</v>
      </c>
      <c r="EY114" s="17" t="e">
        <v>#N/A</v>
      </c>
      <c r="EZ114" s="17" t="e">
        <v>#N/A</v>
      </c>
      <c r="FA114" s="17" t="e">
        <v>#N/A</v>
      </c>
      <c r="FB114" s="17" t="e">
        <v>#N/A</v>
      </c>
      <c r="FC114" s="17" t="e">
        <v>#N/A</v>
      </c>
      <c r="FD114" s="17" t="e">
        <v>#N/A</v>
      </c>
      <c r="FE114" s="17" t="e">
        <v>#N/A</v>
      </c>
      <c r="FF114" s="17" t="e">
        <v>#N/A</v>
      </c>
      <c r="FG114" s="17" t="e">
        <v>#N/A</v>
      </c>
      <c r="FH114" s="17" t="e">
        <v>#N/A</v>
      </c>
      <c r="FI114" s="17" t="e">
        <v>#N/A</v>
      </c>
      <c r="FJ114" s="17" t="e">
        <v>#N/A</v>
      </c>
      <c r="FK114" s="17" t="e">
        <v>#N/A</v>
      </c>
      <c r="FL114" s="17" t="e">
        <v>#N/A</v>
      </c>
      <c r="FM114" s="17" t="e">
        <v>#N/A</v>
      </c>
      <c r="FN114" s="17" t="e">
        <v>#N/A</v>
      </c>
      <c r="FO114" s="17" t="e">
        <v>#N/A</v>
      </c>
      <c r="FP114" s="17" t="e">
        <v>#N/A</v>
      </c>
      <c r="FQ114" s="17" t="e">
        <v>#N/A</v>
      </c>
      <c r="FR114" s="17" t="e">
        <v>#N/A</v>
      </c>
      <c r="FS114" s="17" t="e">
        <v>#N/A</v>
      </c>
      <c r="FT114" s="17" t="e">
        <v>#N/A</v>
      </c>
      <c r="FU114" s="17" t="e">
        <v>#N/A</v>
      </c>
      <c r="FV114" s="17" t="e">
        <v>#N/A</v>
      </c>
    </row>
    <row r="115" spans="2:178" ht="11.25" customHeight="1">
      <c r="B115" s="17" t="e">
        <v>#N/A</v>
      </c>
      <c r="C115" s="17" t="e">
        <v>#N/A</v>
      </c>
      <c r="D115" s="17" t="e">
        <v>#N/A</v>
      </c>
      <c r="E115" s="17" t="e">
        <v>#N/A</v>
      </c>
      <c r="F115" s="17" t="e">
        <v>#N/A</v>
      </c>
      <c r="G115" s="17" t="e">
        <v>#N/A</v>
      </c>
      <c r="H115" s="17" t="e">
        <v>#N/A</v>
      </c>
      <c r="I115" s="17" t="e">
        <v>#N/A</v>
      </c>
      <c r="J115" s="17" t="e">
        <v>#N/A</v>
      </c>
      <c r="K115" s="17" t="e">
        <v>#N/A</v>
      </c>
      <c r="L115" s="17" t="e">
        <v>#N/A</v>
      </c>
      <c r="M115" s="17" t="e">
        <v>#N/A</v>
      </c>
      <c r="N115" s="17" t="e">
        <v>#N/A</v>
      </c>
      <c r="O115" s="17" t="e">
        <v>#N/A</v>
      </c>
      <c r="P115" s="17" t="e">
        <v>#N/A</v>
      </c>
      <c r="Q115" s="17" t="e">
        <v>#N/A</v>
      </c>
      <c r="R115" s="17" t="e">
        <v>#N/A</v>
      </c>
      <c r="S115" s="17" t="e">
        <v>#N/A</v>
      </c>
      <c r="T115" s="17" t="e">
        <v>#N/A</v>
      </c>
      <c r="U115" s="17" t="e">
        <v>#N/A</v>
      </c>
      <c r="V115" s="17" t="e">
        <v>#N/A</v>
      </c>
      <c r="W115" s="17" t="e">
        <v>#N/A</v>
      </c>
      <c r="X115" s="17" t="e">
        <v>#N/A</v>
      </c>
      <c r="Y115" s="17" t="e">
        <v>#N/A</v>
      </c>
      <c r="Z115" s="17" t="e">
        <v>#N/A</v>
      </c>
      <c r="AA115" s="17" t="e">
        <v>#N/A</v>
      </c>
      <c r="AB115" s="17" t="e">
        <v>#N/A</v>
      </c>
      <c r="AC115" s="17" t="e">
        <v>#N/A</v>
      </c>
      <c r="AD115" s="17" t="e">
        <v>#N/A</v>
      </c>
      <c r="AE115" s="17" t="e">
        <v>#N/A</v>
      </c>
      <c r="AF115" s="17" t="e">
        <v>#N/A</v>
      </c>
      <c r="AG115" s="17" t="e">
        <v>#N/A</v>
      </c>
      <c r="AH115" s="17" t="e">
        <v>#N/A</v>
      </c>
      <c r="AI115" s="17" t="e">
        <v>#N/A</v>
      </c>
      <c r="AJ115" s="17" t="e">
        <v>#N/A</v>
      </c>
      <c r="AK115" s="17" t="e">
        <v>#N/A</v>
      </c>
      <c r="AL115" s="17" t="e">
        <v>#N/A</v>
      </c>
      <c r="AM115" s="17" t="e">
        <v>#N/A</v>
      </c>
      <c r="AN115" s="17" t="e">
        <v>#N/A</v>
      </c>
      <c r="AO115" s="17" t="e">
        <v>#N/A</v>
      </c>
      <c r="AP115" s="17" t="e">
        <v>#N/A</v>
      </c>
      <c r="AQ115" s="17" t="e">
        <v>#N/A</v>
      </c>
      <c r="AR115" s="17" t="e">
        <v>#N/A</v>
      </c>
      <c r="AS115" s="17" t="e">
        <v>#N/A</v>
      </c>
      <c r="AT115" s="17" t="e">
        <v>#N/A</v>
      </c>
      <c r="AU115" s="17" t="e">
        <v>#N/A</v>
      </c>
      <c r="AV115" s="17" t="e">
        <v>#N/A</v>
      </c>
      <c r="AW115" s="17" t="e">
        <v>#N/A</v>
      </c>
      <c r="AX115" s="17" t="e">
        <v>#N/A</v>
      </c>
      <c r="AY115" s="17" t="e">
        <v>#N/A</v>
      </c>
      <c r="AZ115" s="17" t="e">
        <v>#N/A</v>
      </c>
      <c r="BA115" s="17" t="e">
        <v>#N/A</v>
      </c>
      <c r="BB115" s="17" t="e">
        <v>#N/A</v>
      </c>
      <c r="BC115" s="17" t="e">
        <v>#N/A</v>
      </c>
      <c r="BD115" s="17" t="e">
        <v>#N/A</v>
      </c>
      <c r="BE115" s="17" t="e">
        <v>#N/A</v>
      </c>
      <c r="BF115" s="17" t="e">
        <v>#N/A</v>
      </c>
      <c r="BG115" s="17" t="e">
        <v>#N/A</v>
      </c>
      <c r="BH115" s="17" t="e">
        <v>#N/A</v>
      </c>
      <c r="BI115" s="17" t="e">
        <v>#N/A</v>
      </c>
      <c r="BJ115" s="17" t="e">
        <v>#N/A</v>
      </c>
      <c r="BK115" s="17" t="e">
        <v>#N/A</v>
      </c>
      <c r="BL115" s="17" t="e">
        <v>#N/A</v>
      </c>
      <c r="BM115" s="17" t="e">
        <v>#N/A</v>
      </c>
      <c r="BN115" s="17" t="e">
        <v>#N/A</v>
      </c>
      <c r="BO115" s="17" t="e">
        <v>#N/A</v>
      </c>
      <c r="BP115" s="17" t="e">
        <v>#N/A</v>
      </c>
      <c r="BQ115" s="17" t="e">
        <v>#N/A</v>
      </c>
      <c r="BR115" s="17" t="e">
        <v>#N/A</v>
      </c>
      <c r="BS115" s="17" t="e">
        <v>#N/A</v>
      </c>
      <c r="BT115" s="17" t="e">
        <v>#N/A</v>
      </c>
      <c r="BU115" s="17" t="e">
        <v>#N/A</v>
      </c>
      <c r="BV115" s="17" t="e">
        <v>#N/A</v>
      </c>
      <c r="BW115" s="17" t="e">
        <v>#N/A</v>
      </c>
      <c r="BX115" s="17" t="e">
        <v>#N/A</v>
      </c>
      <c r="BY115" s="17" t="e">
        <v>#N/A</v>
      </c>
      <c r="BZ115" s="17" t="e">
        <v>#N/A</v>
      </c>
      <c r="CA115" s="17" t="e">
        <v>#N/A</v>
      </c>
      <c r="CB115" s="17" t="e">
        <v>#N/A</v>
      </c>
      <c r="CC115" s="17" t="e">
        <v>#N/A</v>
      </c>
      <c r="CD115" s="17" t="e">
        <v>#N/A</v>
      </c>
      <c r="CE115" s="17" t="e">
        <v>#N/A</v>
      </c>
      <c r="CF115" s="17" t="e">
        <v>#N/A</v>
      </c>
      <c r="CG115" s="17" t="e">
        <v>#N/A</v>
      </c>
      <c r="CH115" s="17" t="e">
        <v>#N/A</v>
      </c>
      <c r="CI115" s="17" t="e">
        <v>#N/A</v>
      </c>
      <c r="CJ115" s="17" t="e">
        <v>#N/A</v>
      </c>
      <c r="CK115" s="17" t="e">
        <v>#N/A</v>
      </c>
      <c r="CL115" s="17" t="e">
        <v>#N/A</v>
      </c>
      <c r="CM115" s="17" t="e">
        <v>#N/A</v>
      </c>
      <c r="CN115" s="17" t="e">
        <v>#N/A</v>
      </c>
      <c r="CO115" s="17" t="e">
        <v>#N/A</v>
      </c>
      <c r="CP115" s="17" t="e">
        <v>#N/A</v>
      </c>
      <c r="CQ115" s="17" t="e">
        <v>#N/A</v>
      </c>
      <c r="CR115" s="17" t="e">
        <v>#N/A</v>
      </c>
      <c r="CS115" s="17" t="e">
        <v>#N/A</v>
      </c>
      <c r="CT115" s="17" t="e">
        <v>#N/A</v>
      </c>
      <c r="CU115" s="17" t="e">
        <v>#N/A</v>
      </c>
      <c r="CV115" s="17" t="e">
        <v>#N/A</v>
      </c>
      <c r="CW115" s="17" t="e">
        <v>#N/A</v>
      </c>
      <c r="CX115" s="17" t="e">
        <v>#N/A</v>
      </c>
      <c r="CY115" s="17" t="e">
        <v>#N/A</v>
      </c>
      <c r="CZ115" s="17" t="e">
        <v>#N/A</v>
      </c>
      <c r="DA115" s="17" t="e">
        <v>#N/A</v>
      </c>
      <c r="DB115" s="17" t="e">
        <v>#N/A</v>
      </c>
      <c r="DC115" s="17" t="e">
        <v>#N/A</v>
      </c>
      <c r="DD115" s="17" t="e">
        <v>#N/A</v>
      </c>
      <c r="DE115" s="17" t="e">
        <v>#N/A</v>
      </c>
      <c r="DF115" s="17" t="e">
        <v>#N/A</v>
      </c>
      <c r="DG115" s="17" t="e">
        <v>#N/A</v>
      </c>
      <c r="DH115" s="17" t="e">
        <v>#N/A</v>
      </c>
      <c r="DI115" s="17" t="e">
        <v>#N/A</v>
      </c>
      <c r="DJ115" s="17" t="e">
        <v>#N/A</v>
      </c>
      <c r="DK115" s="17" t="e">
        <v>#N/A</v>
      </c>
      <c r="DL115" s="17" t="e">
        <v>#N/A</v>
      </c>
      <c r="DM115" s="17" t="e">
        <v>#N/A</v>
      </c>
      <c r="DN115" s="17" t="e">
        <v>#N/A</v>
      </c>
      <c r="DO115" s="17" t="e">
        <v>#N/A</v>
      </c>
      <c r="DP115" s="17" t="e">
        <v>#N/A</v>
      </c>
      <c r="DQ115" s="17" t="e">
        <v>#N/A</v>
      </c>
      <c r="DR115" s="17" t="e">
        <v>#N/A</v>
      </c>
      <c r="DS115" s="17" t="e">
        <v>#N/A</v>
      </c>
      <c r="DT115" s="17" t="e">
        <v>#N/A</v>
      </c>
      <c r="DU115" s="17" t="e">
        <v>#N/A</v>
      </c>
      <c r="DV115" s="17" t="e">
        <v>#N/A</v>
      </c>
      <c r="DW115" s="17" t="e">
        <v>#N/A</v>
      </c>
      <c r="DX115" s="17" t="e">
        <v>#N/A</v>
      </c>
      <c r="DY115" s="17" t="e">
        <v>#N/A</v>
      </c>
      <c r="DZ115" s="17" t="e">
        <v>#N/A</v>
      </c>
      <c r="EA115" s="17" t="e">
        <v>#N/A</v>
      </c>
      <c r="EB115" s="17" t="e">
        <v>#N/A</v>
      </c>
      <c r="EC115" s="17" t="e">
        <v>#N/A</v>
      </c>
      <c r="ED115" s="17" t="e">
        <v>#N/A</v>
      </c>
      <c r="EE115" s="17" t="e">
        <v>#N/A</v>
      </c>
      <c r="EF115" s="17" t="e">
        <v>#N/A</v>
      </c>
      <c r="EG115" s="17" t="e">
        <v>#N/A</v>
      </c>
      <c r="EH115" s="17" t="e">
        <v>#N/A</v>
      </c>
      <c r="EI115" s="17" t="e">
        <v>#N/A</v>
      </c>
      <c r="EJ115" s="17" t="e">
        <v>#N/A</v>
      </c>
      <c r="EK115" s="17" t="e">
        <v>#N/A</v>
      </c>
      <c r="EL115" s="17" t="e">
        <v>#N/A</v>
      </c>
      <c r="EM115" s="17" t="e">
        <v>#N/A</v>
      </c>
      <c r="EN115" s="17" t="e">
        <v>#N/A</v>
      </c>
      <c r="EO115" s="17" t="e">
        <v>#N/A</v>
      </c>
      <c r="EP115" s="17" t="e">
        <v>#N/A</v>
      </c>
      <c r="EQ115" s="17" t="e">
        <v>#N/A</v>
      </c>
      <c r="ER115" s="17" t="e">
        <v>#N/A</v>
      </c>
      <c r="ES115" s="17" t="e">
        <v>#N/A</v>
      </c>
      <c r="ET115" s="17" t="e">
        <v>#N/A</v>
      </c>
      <c r="EU115" s="17" t="e">
        <v>#N/A</v>
      </c>
      <c r="EV115" s="17" t="e">
        <v>#N/A</v>
      </c>
      <c r="EW115" s="17" t="e">
        <v>#N/A</v>
      </c>
      <c r="EX115" s="17" t="e">
        <v>#N/A</v>
      </c>
      <c r="EY115" s="17" t="e">
        <v>#N/A</v>
      </c>
      <c r="EZ115" s="17" t="e">
        <v>#N/A</v>
      </c>
      <c r="FA115" s="17" t="e">
        <v>#N/A</v>
      </c>
      <c r="FB115" s="17" t="e">
        <v>#N/A</v>
      </c>
      <c r="FC115" s="17" t="e">
        <v>#N/A</v>
      </c>
      <c r="FD115" s="17" t="e">
        <v>#N/A</v>
      </c>
      <c r="FE115" s="17" t="e">
        <v>#N/A</v>
      </c>
      <c r="FF115" s="17" t="e">
        <v>#N/A</v>
      </c>
      <c r="FG115" s="17" t="e">
        <v>#N/A</v>
      </c>
      <c r="FH115" s="17" t="e">
        <v>#N/A</v>
      </c>
      <c r="FI115" s="17" t="e">
        <v>#N/A</v>
      </c>
      <c r="FJ115" s="17" t="e">
        <v>#N/A</v>
      </c>
      <c r="FK115" s="17" t="e">
        <v>#N/A</v>
      </c>
      <c r="FL115" s="17" t="e">
        <v>#N/A</v>
      </c>
      <c r="FM115" s="17" t="e">
        <v>#N/A</v>
      </c>
      <c r="FN115" s="17" t="e">
        <v>#N/A</v>
      </c>
      <c r="FO115" s="17" t="e">
        <v>#N/A</v>
      </c>
      <c r="FP115" s="17" t="e">
        <v>#N/A</v>
      </c>
      <c r="FQ115" s="17" t="e">
        <v>#N/A</v>
      </c>
      <c r="FR115" s="17" t="e">
        <v>#N/A</v>
      </c>
      <c r="FS115" s="17" t="e">
        <v>#N/A</v>
      </c>
      <c r="FT115" s="17" t="e">
        <v>#N/A</v>
      </c>
      <c r="FU115" s="17" t="e">
        <v>#N/A</v>
      </c>
      <c r="FV115" s="17" t="e">
        <v>#N/A</v>
      </c>
    </row>
    <row r="116" spans="2:178" ht="11.25" customHeight="1">
      <c r="B116" s="17" t="e">
        <v>#N/A</v>
      </c>
      <c r="C116" s="17" t="e">
        <v>#N/A</v>
      </c>
      <c r="D116" s="17" t="e">
        <v>#N/A</v>
      </c>
      <c r="E116" s="17" t="e">
        <v>#N/A</v>
      </c>
      <c r="F116" s="17" t="e">
        <v>#N/A</v>
      </c>
      <c r="G116" s="17" t="e">
        <v>#N/A</v>
      </c>
      <c r="H116" s="17" t="e">
        <v>#N/A</v>
      </c>
      <c r="I116" s="17" t="e">
        <v>#N/A</v>
      </c>
      <c r="J116" s="17" t="e">
        <v>#N/A</v>
      </c>
      <c r="K116" s="17" t="e">
        <v>#N/A</v>
      </c>
      <c r="L116" s="17" t="e">
        <v>#N/A</v>
      </c>
      <c r="M116" s="17" t="e">
        <v>#N/A</v>
      </c>
      <c r="N116" s="17" t="e">
        <v>#N/A</v>
      </c>
      <c r="O116" s="17" t="e">
        <v>#N/A</v>
      </c>
      <c r="P116" s="17" t="e">
        <v>#N/A</v>
      </c>
      <c r="Q116" s="17" t="e">
        <v>#N/A</v>
      </c>
      <c r="R116" s="17" t="e">
        <v>#N/A</v>
      </c>
      <c r="S116" s="17" t="e">
        <v>#N/A</v>
      </c>
      <c r="T116" s="17" t="e">
        <v>#N/A</v>
      </c>
      <c r="U116" s="17" t="e">
        <v>#N/A</v>
      </c>
      <c r="V116" s="17" t="e">
        <v>#N/A</v>
      </c>
      <c r="W116" s="17" t="e">
        <v>#N/A</v>
      </c>
      <c r="X116" s="17" t="e">
        <v>#N/A</v>
      </c>
      <c r="Y116" s="17" t="e">
        <v>#N/A</v>
      </c>
      <c r="Z116" s="17" t="e">
        <v>#N/A</v>
      </c>
      <c r="AA116" s="17" t="e">
        <v>#N/A</v>
      </c>
      <c r="AB116" s="17" t="e">
        <v>#N/A</v>
      </c>
      <c r="AC116" s="17" t="e">
        <v>#N/A</v>
      </c>
      <c r="AD116" s="17" t="e">
        <v>#N/A</v>
      </c>
      <c r="AE116" s="17" t="e">
        <v>#N/A</v>
      </c>
      <c r="AF116" s="17" t="e">
        <v>#N/A</v>
      </c>
      <c r="AG116" s="17" t="e">
        <v>#N/A</v>
      </c>
      <c r="AH116" s="17" t="e">
        <v>#N/A</v>
      </c>
      <c r="AI116" s="17" t="e">
        <v>#N/A</v>
      </c>
      <c r="AJ116" s="17" t="e">
        <v>#N/A</v>
      </c>
      <c r="AK116" s="17" t="e">
        <v>#N/A</v>
      </c>
      <c r="AL116" s="17" t="e">
        <v>#N/A</v>
      </c>
      <c r="AM116" s="17" t="e">
        <v>#N/A</v>
      </c>
      <c r="AN116" s="17" t="e">
        <v>#N/A</v>
      </c>
      <c r="AO116" s="17" t="e">
        <v>#N/A</v>
      </c>
      <c r="AP116" s="17" t="e">
        <v>#N/A</v>
      </c>
      <c r="AQ116" s="17" t="e">
        <v>#N/A</v>
      </c>
      <c r="AR116" s="17" t="e">
        <v>#N/A</v>
      </c>
      <c r="AS116" s="17" t="e">
        <v>#N/A</v>
      </c>
      <c r="AT116" s="17" t="e">
        <v>#N/A</v>
      </c>
      <c r="AU116" s="17" t="e">
        <v>#N/A</v>
      </c>
      <c r="AV116" s="17" t="e">
        <v>#N/A</v>
      </c>
      <c r="AW116" s="17" t="e">
        <v>#N/A</v>
      </c>
      <c r="AX116" s="17" t="e">
        <v>#N/A</v>
      </c>
      <c r="AY116" s="17" t="e">
        <v>#N/A</v>
      </c>
      <c r="AZ116" s="17" t="e">
        <v>#N/A</v>
      </c>
      <c r="BA116" s="17" t="e">
        <v>#N/A</v>
      </c>
      <c r="BB116" s="17" t="e">
        <v>#N/A</v>
      </c>
      <c r="BC116" s="17" t="e">
        <v>#N/A</v>
      </c>
      <c r="BD116" s="17" t="e">
        <v>#N/A</v>
      </c>
      <c r="BE116" s="17" t="e">
        <v>#N/A</v>
      </c>
      <c r="BF116" s="17" t="e">
        <v>#N/A</v>
      </c>
      <c r="BG116" s="17" t="e">
        <v>#N/A</v>
      </c>
      <c r="BH116" s="17" t="e">
        <v>#N/A</v>
      </c>
      <c r="BI116" s="17" t="e">
        <v>#N/A</v>
      </c>
      <c r="BJ116" s="17" t="e">
        <v>#N/A</v>
      </c>
      <c r="BK116" s="17" t="e">
        <v>#N/A</v>
      </c>
      <c r="BL116" s="17" t="e">
        <v>#N/A</v>
      </c>
      <c r="BM116" s="17" t="e">
        <v>#N/A</v>
      </c>
      <c r="BN116" s="17" t="e">
        <v>#N/A</v>
      </c>
      <c r="BO116" s="17" t="e">
        <v>#N/A</v>
      </c>
      <c r="BP116" s="17" t="e">
        <v>#N/A</v>
      </c>
      <c r="BQ116" s="17" t="e">
        <v>#N/A</v>
      </c>
      <c r="BR116" s="17" t="e">
        <v>#N/A</v>
      </c>
      <c r="BS116" s="17" t="e">
        <v>#N/A</v>
      </c>
      <c r="BT116" s="17" t="e">
        <v>#N/A</v>
      </c>
      <c r="BU116" s="17" t="e">
        <v>#N/A</v>
      </c>
      <c r="BV116" s="17" t="e">
        <v>#N/A</v>
      </c>
      <c r="BW116" s="17" t="e">
        <v>#N/A</v>
      </c>
      <c r="BX116" s="17" t="e">
        <v>#N/A</v>
      </c>
      <c r="BY116" s="17" t="e">
        <v>#N/A</v>
      </c>
      <c r="BZ116" s="17" t="e">
        <v>#N/A</v>
      </c>
      <c r="CA116" s="17" t="e">
        <v>#N/A</v>
      </c>
      <c r="CB116" s="17" t="e">
        <v>#N/A</v>
      </c>
      <c r="CC116" s="17" t="e">
        <v>#N/A</v>
      </c>
      <c r="CD116" s="17" t="e">
        <v>#N/A</v>
      </c>
      <c r="CE116" s="17" t="e">
        <v>#N/A</v>
      </c>
      <c r="CF116" s="17" t="e">
        <v>#N/A</v>
      </c>
      <c r="CG116" s="17" t="e">
        <v>#N/A</v>
      </c>
      <c r="CH116" s="17" t="e">
        <v>#N/A</v>
      </c>
      <c r="CI116" s="17" t="e">
        <v>#N/A</v>
      </c>
      <c r="CJ116" s="17" t="e">
        <v>#N/A</v>
      </c>
      <c r="CK116" s="17" t="e">
        <v>#N/A</v>
      </c>
      <c r="CL116" s="17" t="e">
        <v>#N/A</v>
      </c>
      <c r="CM116" s="17" t="e">
        <v>#N/A</v>
      </c>
      <c r="CN116" s="17" t="e">
        <v>#N/A</v>
      </c>
      <c r="CO116" s="17" t="e">
        <v>#N/A</v>
      </c>
      <c r="CP116" s="17" t="e">
        <v>#N/A</v>
      </c>
      <c r="CQ116" s="17" t="e">
        <v>#N/A</v>
      </c>
      <c r="CR116" s="17" t="e">
        <v>#N/A</v>
      </c>
      <c r="CS116" s="17" t="e">
        <v>#N/A</v>
      </c>
      <c r="CT116" s="17" t="e">
        <v>#N/A</v>
      </c>
      <c r="CU116" s="17" t="e">
        <v>#N/A</v>
      </c>
      <c r="CV116" s="17" t="e">
        <v>#N/A</v>
      </c>
      <c r="CW116" s="17" t="e">
        <v>#N/A</v>
      </c>
      <c r="CX116" s="17" t="e">
        <v>#N/A</v>
      </c>
      <c r="CY116" s="17" t="e">
        <v>#N/A</v>
      </c>
      <c r="CZ116" s="17" t="e">
        <v>#N/A</v>
      </c>
      <c r="DA116" s="17" t="e">
        <v>#N/A</v>
      </c>
      <c r="DB116" s="17" t="e">
        <v>#N/A</v>
      </c>
      <c r="DC116" s="17" t="e">
        <v>#N/A</v>
      </c>
      <c r="DD116" s="17" t="e">
        <v>#N/A</v>
      </c>
      <c r="DE116" s="17" t="e">
        <v>#N/A</v>
      </c>
      <c r="DF116" s="17" t="e">
        <v>#N/A</v>
      </c>
      <c r="DG116" s="17" t="e">
        <v>#N/A</v>
      </c>
      <c r="DH116" s="17" t="e">
        <v>#N/A</v>
      </c>
      <c r="DI116" s="17" t="e">
        <v>#N/A</v>
      </c>
      <c r="DJ116" s="17" t="e">
        <v>#N/A</v>
      </c>
      <c r="DK116" s="17" t="e">
        <v>#N/A</v>
      </c>
      <c r="DL116" s="17" t="e">
        <v>#N/A</v>
      </c>
      <c r="DM116" s="17" t="e">
        <v>#N/A</v>
      </c>
      <c r="DN116" s="17" t="e">
        <v>#N/A</v>
      </c>
      <c r="DO116" s="17" t="e">
        <v>#N/A</v>
      </c>
      <c r="DP116" s="17" t="e">
        <v>#N/A</v>
      </c>
      <c r="DQ116" s="17" t="e">
        <v>#N/A</v>
      </c>
      <c r="DR116" s="17" t="e">
        <v>#N/A</v>
      </c>
      <c r="DS116" s="17" t="e">
        <v>#N/A</v>
      </c>
      <c r="DT116" s="17" t="e">
        <v>#N/A</v>
      </c>
      <c r="DU116" s="17" t="e">
        <v>#N/A</v>
      </c>
      <c r="DV116" s="17" t="e">
        <v>#N/A</v>
      </c>
      <c r="DW116" s="17" t="e">
        <v>#N/A</v>
      </c>
      <c r="DX116" s="17" t="e">
        <v>#N/A</v>
      </c>
      <c r="DY116" s="17" t="e">
        <v>#N/A</v>
      </c>
      <c r="DZ116" s="17" t="e">
        <v>#N/A</v>
      </c>
      <c r="EA116" s="17" t="e">
        <v>#N/A</v>
      </c>
      <c r="EB116" s="17" t="e">
        <v>#N/A</v>
      </c>
      <c r="EC116" s="17" t="e">
        <v>#N/A</v>
      </c>
      <c r="ED116" s="17" t="e">
        <v>#N/A</v>
      </c>
      <c r="EE116" s="17" t="e">
        <v>#N/A</v>
      </c>
      <c r="EF116" s="17" t="e">
        <v>#N/A</v>
      </c>
      <c r="EG116" s="17" t="e">
        <v>#N/A</v>
      </c>
      <c r="EH116" s="17" t="e">
        <v>#N/A</v>
      </c>
      <c r="EI116" s="17" t="e">
        <v>#N/A</v>
      </c>
      <c r="EJ116" s="17" t="e">
        <v>#N/A</v>
      </c>
      <c r="EK116" s="17" t="e">
        <v>#N/A</v>
      </c>
      <c r="EL116" s="17" t="e">
        <v>#N/A</v>
      </c>
      <c r="EM116" s="17" t="e">
        <v>#N/A</v>
      </c>
      <c r="EN116" s="17" t="e">
        <v>#N/A</v>
      </c>
      <c r="EO116" s="17" t="e">
        <v>#N/A</v>
      </c>
      <c r="EP116" s="17" t="e">
        <v>#N/A</v>
      </c>
      <c r="EQ116" s="17" t="e">
        <v>#N/A</v>
      </c>
      <c r="ER116" s="17" t="e">
        <v>#N/A</v>
      </c>
      <c r="ES116" s="17" t="e">
        <v>#N/A</v>
      </c>
      <c r="ET116" s="17" t="e">
        <v>#N/A</v>
      </c>
      <c r="EU116" s="17" t="e">
        <v>#N/A</v>
      </c>
      <c r="EV116" s="17" t="e">
        <v>#N/A</v>
      </c>
      <c r="EW116" s="17" t="e">
        <v>#N/A</v>
      </c>
      <c r="EX116" s="17" t="e">
        <v>#N/A</v>
      </c>
      <c r="EY116" s="17" t="e">
        <v>#N/A</v>
      </c>
      <c r="EZ116" s="17" t="e">
        <v>#N/A</v>
      </c>
      <c r="FA116" s="17" t="e">
        <v>#N/A</v>
      </c>
      <c r="FB116" s="17" t="e">
        <v>#N/A</v>
      </c>
      <c r="FC116" s="17" t="e">
        <v>#N/A</v>
      </c>
      <c r="FD116" s="17" t="e">
        <v>#N/A</v>
      </c>
      <c r="FE116" s="17" t="e">
        <v>#N/A</v>
      </c>
      <c r="FF116" s="17" t="e">
        <v>#N/A</v>
      </c>
      <c r="FG116" s="17" t="e">
        <v>#N/A</v>
      </c>
      <c r="FH116" s="17" t="e">
        <v>#N/A</v>
      </c>
      <c r="FI116" s="17" t="e">
        <v>#N/A</v>
      </c>
      <c r="FJ116" s="17" t="e">
        <v>#N/A</v>
      </c>
      <c r="FK116" s="17" t="e">
        <v>#N/A</v>
      </c>
      <c r="FL116" s="17" t="e">
        <v>#N/A</v>
      </c>
      <c r="FM116" s="17" t="e">
        <v>#N/A</v>
      </c>
      <c r="FN116" s="17" t="e">
        <v>#N/A</v>
      </c>
      <c r="FO116" s="17" t="e">
        <v>#N/A</v>
      </c>
      <c r="FP116" s="17" t="e">
        <v>#N/A</v>
      </c>
      <c r="FQ116" s="17" t="e">
        <v>#N/A</v>
      </c>
      <c r="FR116" s="17" t="e">
        <v>#N/A</v>
      </c>
      <c r="FS116" s="17" t="e">
        <v>#N/A</v>
      </c>
      <c r="FT116" s="17" t="e">
        <v>#N/A</v>
      </c>
      <c r="FU116" s="17" t="e">
        <v>#N/A</v>
      </c>
      <c r="FV116" s="17" t="e">
        <v>#N/A</v>
      </c>
    </row>
    <row r="117" spans="2:178" ht="11.25" customHeight="1">
      <c r="B117" s="17" t="e">
        <v>#N/A</v>
      </c>
      <c r="C117" s="17" t="e">
        <v>#N/A</v>
      </c>
      <c r="D117" s="17" t="e">
        <v>#N/A</v>
      </c>
      <c r="E117" s="17" t="e">
        <v>#N/A</v>
      </c>
      <c r="F117" s="17" t="e">
        <v>#N/A</v>
      </c>
      <c r="G117" s="17" t="e">
        <v>#N/A</v>
      </c>
      <c r="H117" s="17" t="e">
        <v>#N/A</v>
      </c>
      <c r="I117" s="17" t="e">
        <v>#N/A</v>
      </c>
      <c r="J117" s="17" t="e">
        <v>#N/A</v>
      </c>
      <c r="K117" s="17" t="e">
        <v>#N/A</v>
      </c>
      <c r="L117" s="17" t="e">
        <v>#N/A</v>
      </c>
      <c r="M117" s="17" t="e">
        <v>#N/A</v>
      </c>
      <c r="N117" s="17" t="e">
        <v>#N/A</v>
      </c>
      <c r="O117" s="17" t="e">
        <v>#N/A</v>
      </c>
      <c r="P117" s="17" t="e">
        <v>#N/A</v>
      </c>
      <c r="Q117" s="17" t="e">
        <v>#N/A</v>
      </c>
      <c r="R117" s="17" t="e">
        <v>#N/A</v>
      </c>
      <c r="S117" s="17" t="e">
        <v>#N/A</v>
      </c>
      <c r="T117" s="17" t="e">
        <v>#N/A</v>
      </c>
      <c r="U117" s="17" t="e">
        <v>#N/A</v>
      </c>
      <c r="V117" s="17" t="e">
        <v>#N/A</v>
      </c>
      <c r="W117" s="17" t="e">
        <v>#N/A</v>
      </c>
      <c r="X117" s="17" t="e">
        <v>#N/A</v>
      </c>
      <c r="Y117" s="17" t="e">
        <v>#N/A</v>
      </c>
      <c r="Z117" s="17" t="e">
        <v>#N/A</v>
      </c>
      <c r="AA117" s="17" t="e">
        <v>#N/A</v>
      </c>
      <c r="AB117" s="17" t="e">
        <v>#N/A</v>
      </c>
      <c r="AC117" s="17" t="e">
        <v>#N/A</v>
      </c>
      <c r="AD117" s="17" t="e">
        <v>#N/A</v>
      </c>
      <c r="AE117" s="17" t="e">
        <v>#N/A</v>
      </c>
      <c r="AF117" s="17" t="e">
        <v>#N/A</v>
      </c>
      <c r="AG117" s="17" t="e">
        <v>#N/A</v>
      </c>
      <c r="AH117" s="17" t="e">
        <v>#N/A</v>
      </c>
      <c r="AI117" s="17" t="e">
        <v>#N/A</v>
      </c>
      <c r="AJ117" s="17" t="e">
        <v>#N/A</v>
      </c>
      <c r="AK117" s="17" t="e">
        <v>#N/A</v>
      </c>
      <c r="AL117" s="17" t="e">
        <v>#N/A</v>
      </c>
      <c r="AM117" s="17" t="e">
        <v>#N/A</v>
      </c>
      <c r="AN117" s="17" t="e">
        <v>#N/A</v>
      </c>
      <c r="AO117" s="17" t="e">
        <v>#N/A</v>
      </c>
      <c r="AP117" s="17" t="e">
        <v>#N/A</v>
      </c>
      <c r="AQ117" s="17" t="e">
        <v>#N/A</v>
      </c>
      <c r="AR117" s="17" t="e">
        <v>#N/A</v>
      </c>
      <c r="AS117" s="17" t="e">
        <v>#N/A</v>
      </c>
      <c r="AT117" s="17" t="e">
        <v>#N/A</v>
      </c>
      <c r="AU117" s="17" t="e">
        <v>#N/A</v>
      </c>
      <c r="AV117" s="17" t="e">
        <v>#N/A</v>
      </c>
      <c r="AW117" s="17" t="e">
        <v>#N/A</v>
      </c>
      <c r="AX117" s="17" t="e">
        <v>#N/A</v>
      </c>
      <c r="AY117" s="17" t="e">
        <v>#N/A</v>
      </c>
      <c r="AZ117" s="17" t="e">
        <v>#N/A</v>
      </c>
      <c r="BA117" s="17" t="e">
        <v>#N/A</v>
      </c>
      <c r="BB117" s="17" t="e">
        <v>#N/A</v>
      </c>
      <c r="BC117" s="17" t="e">
        <v>#N/A</v>
      </c>
      <c r="BD117" s="17" t="e">
        <v>#N/A</v>
      </c>
      <c r="BE117" s="17" t="e">
        <v>#N/A</v>
      </c>
      <c r="BF117" s="17" t="e">
        <v>#N/A</v>
      </c>
      <c r="BG117" s="17" t="e">
        <v>#N/A</v>
      </c>
      <c r="BH117" s="17" t="e">
        <v>#N/A</v>
      </c>
      <c r="BI117" s="17" t="e">
        <v>#N/A</v>
      </c>
      <c r="BJ117" s="17" t="e">
        <v>#N/A</v>
      </c>
      <c r="BK117" s="17" t="e">
        <v>#N/A</v>
      </c>
      <c r="BL117" s="17" t="e">
        <v>#N/A</v>
      </c>
      <c r="BM117" s="17" t="e">
        <v>#N/A</v>
      </c>
      <c r="BN117" s="17" t="e">
        <v>#N/A</v>
      </c>
      <c r="BO117" s="17" t="e">
        <v>#N/A</v>
      </c>
      <c r="BP117" s="17" t="e">
        <v>#N/A</v>
      </c>
      <c r="BQ117" s="17" t="e">
        <v>#N/A</v>
      </c>
      <c r="BR117" s="17" t="e">
        <v>#N/A</v>
      </c>
      <c r="BS117" s="17" t="e">
        <v>#N/A</v>
      </c>
      <c r="BT117" s="17" t="e">
        <v>#N/A</v>
      </c>
      <c r="BU117" s="17" t="e">
        <v>#N/A</v>
      </c>
      <c r="BV117" s="17" t="e">
        <v>#N/A</v>
      </c>
      <c r="BW117" s="17" t="e">
        <v>#N/A</v>
      </c>
      <c r="BX117" s="17" t="e">
        <v>#N/A</v>
      </c>
      <c r="BY117" s="17" t="e">
        <v>#N/A</v>
      </c>
      <c r="BZ117" s="17" t="e">
        <v>#N/A</v>
      </c>
      <c r="CA117" s="17" t="e">
        <v>#N/A</v>
      </c>
      <c r="CB117" s="17" t="e">
        <v>#N/A</v>
      </c>
      <c r="CC117" s="17" t="e">
        <v>#N/A</v>
      </c>
      <c r="CD117" s="17" t="e">
        <v>#N/A</v>
      </c>
      <c r="CE117" s="17" t="e">
        <v>#N/A</v>
      </c>
      <c r="CF117" s="17" t="e">
        <v>#N/A</v>
      </c>
      <c r="CG117" s="17" t="e">
        <v>#N/A</v>
      </c>
      <c r="CH117" s="17" t="e">
        <v>#N/A</v>
      </c>
      <c r="CI117" s="17" t="e">
        <v>#N/A</v>
      </c>
      <c r="CJ117" s="17" t="e">
        <v>#N/A</v>
      </c>
      <c r="CK117" s="17" t="e">
        <v>#N/A</v>
      </c>
      <c r="CL117" s="17" t="e">
        <v>#N/A</v>
      </c>
      <c r="CM117" s="17" t="e">
        <v>#N/A</v>
      </c>
      <c r="CN117" s="17" t="e">
        <v>#N/A</v>
      </c>
      <c r="CO117" s="17" t="e">
        <v>#N/A</v>
      </c>
      <c r="CP117" s="17" t="e">
        <v>#N/A</v>
      </c>
      <c r="CQ117" s="17" t="e">
        <v>#N/A</v>
      </c>
      <c r="CR117" s="17" t="e">
        <v>#N/A</v>
      </c>
      <c r="CS117" s="17" t="e">
        <v>#N/A</v>
      </c>
      <c r="CT117" s="17" t="e">
        <v>#N/A</v>
      </c>
      <c r="CU117" s="17" t="e">
        <v>#N/A</v>
      </c>
      <c r="CV117" s="17" t="e">
        <v>#N/A</v>
      </c>
      <c r="CW117" s="17" t="e">
        <v>#N/A</v>
      </c>
      <c r="CX117" s="17" t="e">
        <v>#N/A</v>
      </c>
      <c r="CY117" s="17" t="e">
        <v>#N/A</v>
      </c>
      <c r="CZ117" s="17" t="e">
        <v>#N/A</v>
      </c>
      <c r="DA117" s="17" t="e">
        <v>#N/A</v>
      </c>
      <c r="DB117" s="17" t="e">
        <v>#N/A</v>
      </c>
      <c r="DC117" s="17" t="e">
        <v>#N/A</v>
      </c>
      <c r="DD117" s="17" t="e">
        <v>#N/A</v>
      </c>
      <c r="DE117" s="17" t="e">
        <v>#N/A</v>
      </c>
      <c r="DF117" s="17" t="e">
        <v>#N/A</v>
      </c>
      <c r="DG117" s="17" t="e">
        <v>#N/A</v>
      </c>
      <c r="DH117" s="17" t="e">
        <v>#N/A</v>
      </c>
      <c r="DI117" s="17" t="e">
        <v>#N/A</v>
      </c>
      <c r="DJ117" s="17" t="e">
        <v>#N/A</v>
      </c>
      <c r="DK117" s="17" t="e">
        <v>#N/A</v>
      </c>
      <c r="DL117" s="17" t="e">
        <v>#N/A</v>
      </c>
      <c r="DM117" s="17" t="e">
        <v>#N/A</v>
      </c>
      <c r="DN117" s="17" t="e">
        <v>#N/A</v>
      </c>
      <c r="DO117" s="17" t="e">
        <v>#N/A</v>
      </c>
      <c r="DP117" s="17" t="e">
        <v>#N/A</v>
      </c>
      <c r="DQ117" s="17" t="e">
        <v>#N/A</v>
      </c>
      <c r="DR117" s="17" t="e">
        <v>#N/A</v>
      </c>
      <c r="DS117" s="17" t="e">
        <v>#N/A</v>
      </c>
      <c r="DT117" s="17" t="e">
        <v>#N/A</v>
      </c>
      <c r="DU117" s="17" t="e">
        <v>#N/A</v>
      </c>
      <c r="DV117" s="17" t="e">
        <v>#N/A</v>
      </c>
      <c r="DW117" s="17" t="e">
        <v>#N/A</v>
      </c>
      <c r="DX117" s="17" t="e">
        <v>#N/A</v>
      </c>
      <c r="DY117" s="17" t="e">
        <v>#N/A</v>
      </c>
      <c r="DZ117" s="17" t="e">
        <v>#N/A</v>
      </c>
      <c r="EA117" s="17" t="e">
        <v>#N/A</v>
      </c>
      <c r="EB117" s="17" t="e">
        <v>#N/A</v>
      </c>
      <c r="EC117" s="17" t="e">
        <v>#N/A</v>
      </c>
      <c r="ED117" s="17" t="e">
        <v>#N/A</v>
      </c>
      <c r="EE117" s="17" t="e">
        <v>#N/A</v>
      </c>
      <c r="EF117" s="17" t="e">
        <v>#N/A</v>
      </c>
      <c r="EG117" s="17" t="e">
        <v>#N/A</v>
      </c>
      <c r="EH117" s="17" t="e">
        <v>#N/A</v>
      </c>
      <c r="EI117" s="17" t="e">
        <v>#N/A</v>
      </c>
      <c r="EJ117" s="17" t="e">
        <v>#N/A</v>
      </c>
      <c r="EK117" s="17" t="e">
        <v>#N/A</v>
      </c>
      <c r="EL117" s="17" t="e">
        <v>#N/A</v>
      </c>
      <c r="EM117" s="17" t="e">
        <v>#N/A</v>
      </c>
      <c r="EN117" s="17" t="e">
        <v>#N/A</v>
      </c>
      <c r="EO117" s="17" t="e">
        <v>#N/A</v>
      </c>
      <c r="EP117" s="17" t="e">
        <v>#N/A</v>
      </c>
      <c r="EQ117" s="17" t="e">
        <v>#N/A</v>
      </c>
      <c r="ER117" s="17" t="e">
        <v>#N/A</v>
      </c>
      <c r="ES117" s="17" t="e">
        <v>#N/A</v>
      </c>
      <c r="ET117" s="17" t="e">
        <v>#N/A</v>
      </c>
      <c r="EU117" s="17" t="e">
        <v>#N/A</v>
      </c>
      <c r="EV117" s="17" t="e">
        <v>#N/A</v>
      </c>
      <c r="EW117" s="17" t="e">
        <v>#N/A</v>
      </c>
      <c r="EX117" s="17" t="e">
        <v>#N/A</v>
      </c>
      <c r="EY117" s="17" t="e">
        <v>#N/A</v>
      </c>
      <c r="EZ117" s="17" t="e">
        <v>#N/A</v>
      </c>
      <c r="FA117" s="17" t="e">
        <v>#N/A</v>
      </c>
      <c r="FB117" s="17" t="e">
        <v>#N/A</v>
      </c>
      <c r="FC117" s="17" t="e">
        <v>#N/A</v>
      </c>
      <c r="FD117" s="17" t="e">
        <v>#N/A</v>
      </c>
      <c r="FE117" s="17" t="e">
        <v>#N/A</v>
      </c>
      <c r="FF117" s="17" t="e">
        <v>#N/A</v>
      </c>
      <c r="FG117" s="17" t="e">
        <v>#N/A</v>
      </c>
      <c r="FH117" s="17" t="e">
        <v>#N/A</v>
      </c>
      <c r="FI117" s="17" t="e">
        <v>#N/A</v>
      </c>
      <c r="FJ117" s="17" t="e">
        <v>#N/A</v>
      </c>
      <c r="FK117" s="17" t="e">
        <v>#N/A</v>
      </c>
      <c r="FL117" s="17" t="e">
        <v>#N/A</v>
      </c>
      <c r="FM117" s="17" t="e">
        <v>#N/A</v>
      </c>
      <c r="FN117" s="17" t="e">
        <v>#N/A</v>
      </c>
      <c r="FO117" s="17" t="e">
        <v>#N/A</v>
      </c>
      <c r="FP117" s="17" t="e">
        <v>#N/A</v>
      </c>
      <c r="FQ117" s="17" t="e">
        <v>#N/A</v>
      </c>
      <c r="FR117" s="17" t="e">
        <v>#N/A</v>
      </c>
      <c r="FS117" s="17" t="e">
        <v>#N/A</v>
      </c>
      <c r="FT117" s="17" t="e">
        <v>#N/A</v>
      </c>
      <c r="FU117" s="17" t="e">
        <v>#N/A</v>
      </c>
      <c r="FV117" s="17" t="e">
        <v>#N/A</v>
      </c>
    </row>
    <row r="118" spans="2:178" ht="11.25" customHeight="1">
      <c r="B118" s="17" t="e">
        <v>#N/A</v>
      </c>
      <c r="C118" s="17" t="e">
        <v>#N/A</v>
      </c>
      <c r="D118" s="17" t="e">
        <v>#N/A</v>
      </c>
      <c r="E118" s="17" t="e">
        <v>#N/A</v>
      </c>
      <c r="F118" s="17" t="e">
        <v>#N/A</v>
      </c>
      <c r="G118" s="17" t="e">
        <v>#N/A</v>
      </c>
      <c r="H118" s="17" t="e">
        <v>#N/A</v>
      </c>
      <c r="I118" s="17" t="e">
        <v>#N/A</v>
      </c>
      <c r="J118" s="17" t="e">
        <v>#N/A</v>
      </c>
      <c r="K118" s="17" t="e">
        <v>#N/A</v>
      </c>
      <c r="L118" s="17" t="e">
        <v>#N/A</v>
      </c>
      <c r="M118" s="17" t="e">
        <v>#N/A</v>
      </c>
      <c r="N118" s="17" t="e">
        <v>#N/A</v>
      </c>
      <c r="O118" s="17" t="e">
        <v>#N/A</v>
      </c>
      <c r="P118" s="17" t="e">
        <v>#N/A</v>
      </c>
      <c r="Q118" s="17" t="e">
        <v>#N/A</v>
      </c>
      <c r="R118" s="17" t="e">
        <v>#N/A</v>
      </c>
      <c r="S118" s="17" t="e">
        <v>#N/A</v>
      </c>
      <c r="T118" s="17" t="e">
        <v>#N/A</v>
      </c>
      <c r="U118" s="17" t="e">
        <v>#N/A</v>
      </c>
      <c r="V118" s="17" t="e">
        <v>#N/A</v>
      </c>
      <c r="W118" s="17" t="e">
        <v>#N/A</v>
      </c>
      <c r="X118" s="17" t="e">
        <v>#N/A</v>
      </c>
      <c r="Y118" s="17" t="e">
        <v>#N/A</v>
      </c>
      <c r="Z118" s="17" t="e">
        <v>#N/A</v>
      </c>
      <c r="AA118" s="17" t="e">
        <v>#N/A</v>
      </c>
      <c r="AB118" s="17" t="e">
        <v>#N/A</v>
      </c>
      <c r="AC118" s="17" t="e">
        <v>#N/A</v>
      </c>
      <c r="AD118" s="17" t="e">
        <v>#N/A</v>
      </c>
      <c r="AE118" s="17" t="e">
        <v>#N/A</v>
      </c>
      <c r="AF118" s="17" t="e">
        <v>#N/A</v>
      </c>
      <c r="AG118" s="17" t="e">
        <v>#N/A</v>
      </c>
      <c r="AH118" s="17" t="e">
        <v>#N/A</v>
      </c>
      <c r="AI118" s="17" t="e">
        <v>#N/A</v>
      </c>
      <c r="AJ118" s="17" t="e">
        <v>#N/A</v>
      </c>
      <c r="AK118" s="17" t="e">
        <v>#N/A</v>
      </c>
      <c r="AL118" s="17" t="e">
        <v>#N/A</v>
      </c>
      <c r="AM118" s="17" t="e">
        <v>#N/A</v>
      </c>
      <c r="AN118" s="17" t="e">
        <v>#N/A</v>
      </c>
      <c r="AO118" s="17" t="e">
        <v>#N/A</v>
      </c>
      <c r="AP118" s="17" t="e">
        <v>#N/A</v>
      </c>
      <c r="AQ118" s="17" t="e">
        <v>#N/A</v>
      </c>
      <c r="AR118" s="17" t="e">
        <v>#N/A</v>
      </c>
      <c r="AS118" s="17" t="e">
        <v>#N/A</v>
      </c>
      <c r="AT118" s="17" t="e">
        <v>#N/A</v>
      </c>
      <c r="AU118" s="17" t="e">
        <v>#N/A</v>
      </c>
      <c r="AV118" s="17" t="e">
        <v>#N/A</v>
      </c>
      <c r="AW118" s="17" t="e">
        <v>#N/A</v>
      </c>
      <c r="AX118" s="17" t="e">
        <v>#N/A</v>
      </c>
      <c r="AY118" s="17" t="e">
        <v>#N/A</v>
      </c>
      <c r="AZ118" s="17" t="e">
        <v>#N/A</v>
      </c>
      <c r="BA118" s="17" t="e">
        <v>#N/A</v>
      </c>
      <c r="BB118" s="17" t="e">
        <v>#N/A</v>
      </c>
      <c r="BC118" s="17" t="e">
        <v>#N/A</v>
      </c>
      <c r="BD118" s="17" t="e">
        <v>#N/A</v>
      </c>
      <c r="BE118" s="17" t="e">
        <v>#N/A</v>
      </c>
      <c r="BF118" s="17" t="e">
        <v>#N/A</v>
      </c>
      <c r="BG118" s="17" t="e">
        <v>#N/A</v>
      </c>
      <c r="BH118" s="17" t="e">
        <v>#N/A</v>
      </c>
      <c r="BI118" s="17" t="e">
        <v>#N/A</v>
      </c>
      <c r="BJ118" s="17" t="e">
        <v>#N/A</v>
      </c>
      <c r="BK118" s="17" t="e">
        <v>#N/A</v>
      </c>
      <c r="BL118" s="17" t="e">
        <v>#N/A</v>
      </c>
      <c r="BM118" s="17" t="e">
        <v>#N/A</v>
      </c>
      <c r="BN118" s="17" t="e">
        <v>#N/A</v>
      </c>
      <c r="BO118" s="17" t="e">
        <v>#N/A</v>
      </c>
      <c r="BP118" s="17" t="e">
        <v>#N/A</v>
      </c>
      <c r="BQ118" s="17" t="e">
        <v>#N/A</v>
      </c>
      <c r="BR118" s="17" t="e">
        <v>#N/A</v>
      </c>
      <c r="BS118" s="17" t="e">
        <v>#N/A</v>
      </c>
      <c r="BT118" s="17" t="e">
        <v>#N/A</v>
      </c>
      <c r="BU118" s="17" t="e">
        <v>#N/A</v>
      </c>
      <c r="BV118" s="17" t="e">
        <v>#N/A</v>
      </c>
      <c r="BW118" s="17" t="e">
        <v>#N/A</v>
      </c>
      <c r="BX118" s="17" t="e">
        <v>#N/A</v>
      </c>
      <c r="BY118" s="17" t="e">
        <v>#N/A</v>
      </c>
      <c r="BZ118" s="17" t="e">
        <v>#N/A</v>
      </c>
      <c r="CA118" s="17" t="e">
        <v>#N/A</v>
      </c>
      <c r="CB118" s="17" t="e">
        <v>#N/A</v>
      </c>
      <c r="CC118" s="17" t="e">
        <v>#N/A</v>
      </c>
      <c r="CD118" s="17" t="e">
        <v>#N/A</v>
      </c>
      <c r="CE118" s="17" t="e">
        <v>#N/A</v>
      </c>
      <c r="CF118" s="17" t="e">
        <v>#N/A</v>
      </c>
      <c r="CG118" s="17" t="e">
        <v>#N/A</v>
      </c>
      <c r="CH118" s="17" t="e">
        <v>#N/A</v>
      </c>
      <c r="CI118" s="17" t="e">
        <v>#N/A</v>
      </c>
      <c r="CJ118" s="17" t="e">
        <v>#N/A</v>
      </c>
      <c r="CK118" s="17" t="e">
        <v>#N/A</v>
      </c>
      <c r="CL118" s="17" t="e">
        <v>#N/A</v>
      </c>
      <c r="CM118" s="17" t="e">
        <v>#N/A</v>
      </c>
      <c r="CN118" s="17" t="e">
        <v>#N/A</v>
      </c>
      <c r="CO118" s="17" t="e">
        <v>#N/A</v>
      </c>
      <c r="CP118" s="17" t="e">
        <v>#N/A</v>
      </c>
      <c r="CQ118" s="17" t="e">
        <v>#N/A</v>
      </c>
      <c r="CR118" s="17" t="e">
        <v>#N/A</v>
      </c>
      <c r="CS118" s="17" t="e">
        <v>#N/A</v>
      </c>
      <c r="CT118" s="17" t="e">
        <v>#N/A</v>
      </c>
      <c r="CU118" s="17" t="e">
        <v>#N/A</v>
      </c>
      <c r="CV118" s="17" t="e">
        <v>#N/A</v>
      </c>
      <c r="CW118" s="17" t="e">
        <v>#N/A</v>
      </c>
      <c r="CX118" s="17" t="e">
        <v>#N/A</v>
      </c>
      <c r="CY118" s="17" t="e">
        <v>#N/A</v>
      </c>
      <c r="CZ118" s="17" t="e">
        <v>#N/A</v>
      </c>
      <c r="DA118" s="17" t="e">
        <v>#N/A</v>
      </c>
      <c r="DB118" s="17" t="e">
        <v>#N/A</v>
      </c>
      <c r="DC118" s="17" t="e">
        <v>#N/A</v>
      </c>
      <c r="DD118" s="17" t="e">
        <v>#N/A</v>
      </c>
      <c r="DE118" s="17" t="e">
        <v>#N/A</v>
      </c>
      <c r="DF118" s="17" t="e">
        <v>#N/A</v>
      </c>
      <c r="DG118" s="17" t="e">
        <v>#N/A</v>
      </c>
      <c r="DH118" s="17" t="e">
        <v>#N/A</v>
      </c>
      <c r="DI118" s="17" t="e">
        <v>#N/A</v>
      </c>
      <c r="DJ118" s="17" t="e">
        <v>#N/A</v>
      </c>
      <c r="DK118" s="17" t="e">
        <v>#N/A</v>
      </c>
      <c r="DL118" s="17" t="e">
        <v>#N/A</v>
      </c>
      <c r="DM118" s="17" t="e">
        <v>#N/A</v>
      </c>
      <c r="DN118" s="17" t="e">
        <v>#N/A</v>
      </c>
      <c r="DO118" s="17" t="e">
        <v>#N/A</v>
      </c>
      <c r="DP118" s="17" t="e">
        <v>#N/A</v>
      </c>
      <c r="DQ118" s="17" t="e">
        <v>#N/A</v>
      </c>
      <c r="DR118" s="17" t="e">
        <v>#N/A</v>
      </c>
      <c r="DS118" s="17" t="e">
        <v>#N/A</v>
      </c>
      <c r="DT118" s="17" t="e">
        <v>#N/A</v>
      </c>
      <c r="DU118" s="17" t="e">
        <v>#N/A</v>
      </c>
      <c r="DV118" s="17" t="e">
        <v>#N/A</v>
      </c>
      <c r="DW118" s="17" t="e">
        <v>#N/A</v>
      </c>
      <c r="DX118" s="17" t="e">
        <v>#N/A</v>
      </c>
      <c r="DY118" s="17" t="e">
        <v>#N/A</v>
      </c>
      <c r="DZ118" s="17" t="e">
        <v>#N/A</v>
      </c>
      <c r="EA118" s="17" t="e">
        <v>#N/A</v>
      </c>
      <c r="EB118" s="17" t="e">
        <v>#N/A</v>
      </c>
      <c r="EC118" s="17" t="e">
        <v>#N/A</v>
      </c>
      <c r="ED118" s="17" t="e">
        <v>#N/A</v>
      </c>
      <c r="EE118" s="17" t="e">
        <v>#N/A</v>
      </c>
      <c r="EF118" s="17" t="e">
        <v>#N/A</v>
      </c>
      <c r="EG118" s="17" t="e">
        <v>#N/A</v>
      </c>
      <c r="EH118" s="17" t="e">
        <v>#N/A</v>
      </c>
      <c r="EI118" s="17" t="e">
        <v>#N/A</v>
      </c>
      <c r="EJ118" s="17" t="e">
        <v>#N/A</v>
      </c>
      <c r="EK118" s="17" t="e">
        <v>#N/A</v>
      </c>
      <c r="EL118" s="17" t="e">
        <v>#N/A</v>
      </c>
      <c r="EM118" s="17" t="e">
        <v>#N/A</v>
      </c>
      <c r="EN118" s="17" t="e">
        <v>#N/A</v>
      </c>
      <c r="EO118" s="17" t="e">
        <v>#N/A</v>
      </c>
      <c r="EP118" s="17" t="e">
        <v>#N/A</v>
      </c>
      <c r="EQ118" s="17" t="e">
        <v>#N/A</v>
      </c>
      <c r="ER118" s="17" t="e">
        <v>#N/A</v>
      </c>
      <c r="ES118" s="17" t="e">
        <v>#N/A</v>
      </c>
      <c r="ET118" s="17" t="e">
        <v>#N/A</v>
      </c>
      <c r="EU118" s="17" t="e">
        <v>#N/A</v>
      </c>
      <c r="EV118" s="17" t="e">
        <v>#N/A</v>
      </c>
      <c r="EW118" s="17" t="e">
        <v>#N/A</v>
      </c>
      <c r="EX118" s="17" t="e">
        <v>#N/A</v>
      </c>
      <c r="EY118" s="17" t="e">
        <v>#N/A</v>
      </c>
      <c r="EZ118" s="17" t="e">
        <v>#N/A</v>
      </c>
      <c r="FA118" s="17" t="e">
        <v>#N/A</v>
      </c>
      <c r="FB118" s="17" t="e">
        <v>#N/A</v>
      </c>
      <c r="FC118" s="17" t="e">
        <v>#N/A</v>
      </c>
      <c r="FD118" s="17" t="e">
        <v>#N/A</v>
      </c>
      <c r="FE118" s="17" t="e">
        <v>#N/A</v>
      </c>
      <c r="FF118" s="17" t="e">
        <v>#N/A</v>
      </c>
      <c r="FG118" s="17" t="e">
        <v>#N/A</v>
      </c>
      <c r="FH118" s="17" t="e">
        <v>#N/A</v>
      </c>
      <c r="FI118" s="17" t="e">
        <v>#N/A</v>
      </c>
      <c r="FJ118" s="17" t="e">
        <v>#N/A</v>
      </c>
      <c r="FK118" s="17" t="e">
        <v>#N/A</v>
      </c>
      <c r="FL118" s="17" t="e">
        <v>#N/A</v>
      </c>
      <c r="FM118" s="17" t="e">
        <v>#N/A</v>
      </c>
      <c r="FN118" s="17" t="e">
        <v>#N/A</v>
      </c>
      <c r="FO118" s="17" t="e">
        <v>#N/A</v>
      </c>
      <c r="FP118" s="17" t="e">
        <v>#N/A</v>
      </c>
      <c r="FQ118" s="17" t="e">
        <v>#N/A</v>
      </c>
      <c r="FR118" s="17" t="e">
        <v>#N/A</v>
      </c>
      <c r="FS118" s="17" t="e">
        <v>#N/A</v>
      </c>
      <c r="FT118" s="17" t="e">
        <v>#N/A</v>
      </c>
      <c r="FU118" s="17" t="e">
        <v>#N/A</v>
      </c>
      <c r="FV118" s="17" t="e">
        <v>#N/A</v>
      </c>
    </row>
    <row r="119" spans="2:178" ht="11.25" customHeight="1">
      <c r="B119" s="17" t="e">
        <v>#N/A</v>
      </c>
      <c r="C119" s="17" t="e">
        <v>#N/A</v>
      </c>
      <c r="D119" s="17" t="e">
        <v>#N/A</v>
      </c>
      <c r="E119" s="17" t="e">
        <v>#N/A</v>
      </c>
      <c r="F119" s="17" t="e">
        <v>#N/A</v>
      </c>
      <c r="G119" s="17" t="e">
        <v>#N/A</v>
      </c>
      <c r="H119" s="17" t="e">
        <v>#N/A</v>
      </c>
      <c r="I119" s="17" t="e">
        <v>#N/A</v>
      </c>
      <c r="J119" s="17" t="e">
        <v>#N/A</v>
      </c>
      <c r="K119" s="17" t="e">
        <v>#N/A</v>
      </c>
      <c r="L119" s="17" t="e">
        <v>#N/A</v>
      </c>
      <c r="M119" s="17" t="e">
        <v>#N/A</v>
      </c>
      <c r="N119" s="17" t="e">
        <v>#N/A</v>
      </c>
      <c r="O119" s="17" t="e">
        <v>#N/A</v>
      </c>
      <c r="P119" s="17" t="e">
        <v>#N/A</v>
      </c>
      <c r="Q119" s="17" t="e">
        <v>#N/A</v>
      </c>
      <c r="R119" s="17" t="e">
        <v>#N/A</v>
      </c>
      <c r="S119" s="17" t="e">
        <v>#N/A</v>
      </c>
      <c r="T119" s="17" t="e">
        <v>#N/A</v>
      </c>
      <c r="U119" s="17" t="e">
        <v>#N/A</v>
      </c>
      <c r="V119" s="17" t="e">
        <v>#N/A</v>
      </c>
      <c r="W119" s="17" t="e">
        <v>#N/A</v>
      </c>
      <c r="X119" s="17" t="e">
        <v>#N/A</v>
      </c>
      <c r="Y119" s="17" t="e">
        <v>#N/A</v>
      </c>
      <c r="Z119" s="17" t="e">
        <v>#N/A</v>
      </c>
      <c r="AA119" s="17" t="e">
        <v>#N/A</v>
      </c>
      <c r="AB119" s="17" t="e">
        <v>#N/A</v>
      </c>
      <c r="AC119" s="17" t="e">
        <v>#N/A</v>
      </c>
      <c r="AD119" s="17" t="e">
        <v>#N/A</v>
      </c>
      <c r="AE119" s="17" t="e">
        <v>#N/A</v>
      </c>
      <c r="AF119" s="17" t="e">
        <v>#N/A</v>
      </c>
      <c r="AG119" s="17" t="e">
        <v>#N/A</v>
      </c>
      <c r="AH119" s="17" t="e">
        <v>#N/A</v>
      </c>
      <c r="AI119" s="17" t="e">
        <v>#N/A</v>
      </c>
      <c r="AJ119" s="17" t="e">
        <v>#N/A</v>
      </c>
      <c r="AK119" s="17" t="e">
        <v>#N/A</v>
      </c>
      <c r="AL119" s="17" t="e">
        <v>#N/A</v>
      </c>
      <c r="AM119" s="17" t="e">
        <v>#N/A</v>
      </c>
      <c r="AN119" s="17" t="e">
        <v>#N/A</v>
      </c>
      <c r="AO119" s="17" t="e">
        <v>#N/A</v>
      </c>
      <c r="AP119" s="17" t="e">
        <v>#N/A</v>
      </c>
      <c r="AQ119" s="17" t="e">
        <v>#N/A</v>
      </c>
      <c r="AR119" s="17" t="e">
        <v>#N/A</v>
      </c>
      <c r="AS119" s="17" t="e">
        <v>#N/A</v>
      </c>
      <c r="AT119" s="17" t="e">
        <v>#N/A</v>
      </c>
      <c r="AU119" s="17" t="e">
        <v>#N/A</v>
      </c>
      <c r="AV119" s="17" t="e">
        <v>#N/A</v>
      </c>
      <c r="AW119" s="17" t="e">
        <v>#N/A</v>
      </c>
      <c r="AX119" s="17" t="e">
        <v>#N/A</v>
      </c>
      <c r="AY119" s="17" t="e">
        <v>#N/A</v>
      </c>
      <c r="AZ119" s="17" t="e">
        <v>#N/A</v>
      </c>
      <c r="BA119" s="17" t="e">
        <v>#N/A</v>
      </c>
      <c r="BB119" s="17" t="e">
        <v>#N/A</v>
      </c>
      <c r="BC119" s="17" t="e">
        <v>#N/A</v>
      </c>
      <c r="BD119" s="17" t="e">
        <v>#N/A</v>
      </c>
      <c r="BE119" s="17" t="e">
        <v>#N/A</v>
      </c>
      <c r="BF119" s="17" t="e">
        <v>#N/A</v>
      </c>
      <c r="BG119" s="17" t="e">
        <v>#N/A</v>
      </c>
      <c r="BH119" s="17" t="e">
        <v>#N/A</v>
      </c>
      <c r="BI119" s="17" t="e">
        <v>#N/A</v>
      </c>
      <c r="BJ119" s="17" t="e">
        <v>#N/A</v>
      </c>
      <c r="BK119" s="17" t="e">
        <v>#N/A</v>
      </c>
      <c r="BL119" s="17" t="e">
        <v>#N/A</v>
      </c>
      <c r="BM119" s="17" t="e">
        <v>#N/A</v>
      </c>
      <c r="BN119" s="17" t="e">
        <v>#N/A</v>
      </c>
      <c r="BO119" s="17" t="e">
        <v>#N/A</v>
      </c>
      <c r="BP119" s="17" t="e">
        <v>#N/A</v>
      </c>
      <c r="BQ119" s="17" t="e">
        <v>#N/A</v>
      </c>
      <c r="BR119" s="17" t="e">
        <v>#N/A</v>
      </c>
      <c r="BS119" s="17" t="e">
        <v>#N/A</v>
      </c>
      <c r="BT119" s="17" t="e">
        <v>#N/A</v>
      </c>
      <c r="BU119" s="17" t="e">
        <v>#N/A</v>
      </c>
      <c r="BV119" s="17" t="e">
        <v>#N/A</v>
      </c>
      <c r="BW119" s="17" t="e">
        <v>#N/A</v>
      </c>
      <c r="BX119" s="17" t="e">
        <v>#N/A</v>
      </c>
      <c r="BY119" s="17" t="e">
        <v>#N/A</v>
      </c>
      <c r="BZ119" s="17" t="e">
        <v>#N/A</v>
      </c>
      <c r="CA119" s="17" t="e">
        <v>#N/A</v>
      </c>
      <c r="CB119" s="17" t="e">
        <v>#N/A</v>
      </c>
      <c r="CC119" s="17" t="e">
        <v>#N/A</v>
      </c>
      <c r="CD119" s="17" t="e">
        <v>#N/A</v>
      </c>
      <c r="CE119" s="17" t="e">
        <v>#N/A</v>
      </c>
      <c r="CF119" s="17" t="e">
        <v>#N/A</v>
      </c>
      <c r="CG119" s="17" t="e">
        <v>#N/A</v>
      </c>
      <c r="CH119" s="17" t="e">
        <v>#N/A</v>
      </c>
      <c r="CI119" s="17" t="e">
        <v>#N/A</v>
      </c>
      <c r="CJ119" s="17" t="e">
        <v>#N/A</v>
      </c>
      <c r="CK119" s="17" t="e">
        <v>#N/A</v>
      </c>
      <c r="CL119" s="17" t="e">
        <v>#N/A</v>
      </c>
      <c r="CM119" s="17" t="e">
        <v>#N/A</v>
      </c>
      <c r="CN119" s="17" t="e">
        <v>#N/A</v>
      </c>
      <c r="CO119" s="17" t="e">
        <v>#N/A</v>
      </c>
      <c r="CP119" s="17" t="e">
        <v>#N/A</v>
      </c>
      <c r="CQ119" s="17" t="e">
        <v>#N/A</v>
      </c>
      <c r="CR119" s="17" t="e">
        <v>#N/A</v>
      </c>
      <c r="CS119" s="17" t="e">
        <v>#N/A</v>
      </c>
      <c r="CT119" s="17" t="e">
        <v>#N/A</v>
      </c>
      <c r="CU119" s="17" t="e">
        <v>#N/A</v>
      </c>
      <c r="CV119" s="17" t="e">
        <v>#N/A</v>
      </c>
      <c r="CW119" s="17" t="e">
        <v>#N/A</v>
      </c>
      <c r="CX119" s="17" t="e">
        <v>#N/A</v>
      </c>
      <c r="CY119" s="17" t="e">
        <v>#N/A</v>
      </c>
      <c r="CZ119" s="17" t="e">
        <v>#N/A</v>
      </c>
      <c r="DA119" s="17" t="e">
        <v>#N/A</v>
      </c>
      <c r="DB119" s="17" t="e">
        <v>#N/A</v>
      </c>
      <c r="DC119" s="17" t="e">
        <v>#N/A</v>
      </c>
      <c r="DD119" s="17" t="e">
        <v>#N/A</v>
      </c>
      <c r="DE119" s="17" t="e">
        <v>#N/A</v>
      </c>
      <c r="DF119" s="17" t="e">
        <v>#N/A</v>
      </c>
      <c r="DG119" s="17" t="e">
        <v>#N/A</v>
      </c>
      <c r="DH119" s="17" t="e">
        <v>#N/A</v>
      </c>
      <c r="DI119" s="17" t="e">
        <v>#N/A</v>
      </c>
      <c r="DJ119" s="17" t="e">
        <v>#N/A</v>
      </c>
      <c r="DK119" s="17" t="e">
        <v>#N/A</v>
      </c>
      <c r="DL119" s="17" t="e">
        <v>#N/A</v>
      </c>
      <c r="DM119" s="17" t="e">
        <v>#N/A</v>
      </c>
      <c r="DN119" s="17" t="e">
        <v>#N/A</v>
      </c>
      <c r="DO119" s="17" t="e">
        <v>#N/A</v>
      </c>
      <c r="DP119" s="17" t="e">
        <v>#N/A</v>
      </c>
      <c r="DQ119" s="17" t="e">
        <v>#N/A</v>
      </c>
      <c r="DR119" s="17" t="e">
        <v>#N/A</v>
      </c>
      <c r="DS119" s="17" t="e">
        <v>#N/A</v>
      </c>
      <c r="DT119" s="17" t="e">
        <v>#N/A</v>
      </c>
      <c r="DU119" s="17" t="e">
        <v>#N/A</v>
      </c>
      <c r="DV119" s="17" t="e">
        <v>#N/A</v>
      </c>
      <c r="DW119" s="17" t="e">
        <v>#N/A</v>
      </c>
      <c r="DX119" s="17" t="e">
        <v>#N/A</v>
      </c>
      <c r="DY119" s="17" t="e">
        <v>#N/A</v>
      </c>
      <c r="DZ119" s="17" t="e">
        <v>#N/A</v>
      </c>
      <c r="EA119" s="17" t="e">
        <v>#N/A</v>
      </c>
      <c r="EB119" s="17" t="e">
        <v>#N/A</v>
      </c>
      <c r="EC119" s="17" t="e">
        <v>#N/A</v>
      </c>
      <c r="ED119" s="17" t="e">
        <v>#N/A</v>
      </c>
      <c r="EE119" s="17" t="e">
        <v>#N/A</v>
      </c>
      <c r="EF119" s="17" t="e">
        <v>#N/A</v>
      </c>
      <c r="EG119" s="17" t="e">
        <v>#N/A</v>
      </c>
      <c r="EH119" s="17" t="e">
        <v>#N/A</v>
      </c>
      <c r="EI119" s="17" t="e">
        <v>#N/A</v>
      </c>
      <c r="EJ119" s="17" t="e">
        <v>#N/A</v>
      </c>
      <c r="EK119" s="17" t="e">
        <v>#N/A</v>
      </c>
      <c r="EL119" s="17" t="e">
        <v>#N/A</v>
      </c>
      <c r="EM119" s="17" t="e">
        <v>#N/A</v>
      </c>
      <c r="EN119" s="17" t="e">
        <v>#N/A</v>
      </c>
      <c r="EO119" s="17" t="e">
        <v>#N/A</v>
      </c>
      <c r="EP119" s="17" t="e">
        <v>#N/A</v>
      </c>
      <c r="EQ119" s="17" t="e">
        <v>#N/A</v>
      </c>
      <c r="ER119" s="17" t="e">
        <v>#N/A</v>
      </c>
      <c r="ES119" s="17" t="e">
        <v>#N/A</v>
      </c>
      <c r="ET119" s="17" t="e">
        <v>#N/A</v>
      </c>
      <c r="EU119" s="17" t="e">
        <v>#N/A</v>
      </c>
      <c r="EV119" s="17" t="e">
        <v>#N/A</v>
      </c>
      <c r="EW119" s="17" t="e">
        <v>#N/A</v>
      </c>
      <c r="EX119" s="17" t="e">
        <v>#N/A</v>
      </c>
      <c r="EY119" s="17" t="e">
        <v>#N/A</v>
      </c>
      <c r="EZ119" s="17" t="e">
        <v>#N/A</v>
      </c>
      <c r="FA119" s="17" t="e">
        <v>#N/A</v>
      </c>
      <c r="FB119" s="17" t="e">
        <v>#N/A</v>
      </c>
      <c r="FC119" s="17" t="e">
        <v>#N/A</v>
      </c>
      <c r="FD119" s="17" t="e">
        <v>#N/A</v>
      </c>
      <c r="FE119" s="17" t="e">
        <v>#N/A</v>
      </c>
      <c r="FF119" s="17" t="e">
        <v>#N/A</v>
      </c>
      <c r="FG119" s="17" t="e">
        <v>#N/A</v>
      </c>
      <c r="FH119" s="17" t="e">
        <v>#N/A</v>
      </c>
      <c r="FI119" s="17" t="e">
        <v>#N/A</v>
      </c>
      <c r="FJ119" s="17" t="e">
        <v>#N/A</v>
      </c>
      <c r="FK119" s="17" t="e">
        <v>#N/A</v>
      </c>
      <c r="FL119" s="17" t="e">
        <v>#N/A</v>
      </c>
      <c r="FM119" s="17" t="e">
        <v>#N/A</v>
      </c>
      <c r="FN119" s="17" t="e">
        <v>#N/A</v>
      </c>
      <c r="FO119" s="17" t="e">
        <v>#N/A</v>
      </c>
      <c r="FP119" s="17" t="e">
        <v>#N/A</v>
      </c>
      <c r="FQ119" s="17" t="e">
        <v>#N/A</v>
      </c>
      <c r="FR119" s="17" t="e">
        <v>#N/A</v>
      </c>
      <c r="FS119" s="17" t="e">
        <v>#N/A</v>
      </c>
      <c r="FT119" s="17" t="e">
        <v>#N/A</v>
      </c>
      <c r="FU119" s="17" t="e">
        <v>#N/A</v>
      </c>
      <c r="FV119" s="17" t="e">
        <v>#N/A</v>
      </c>
    </row>
    <row r="120" spans="2:178" ht="11.25" customHeight="1">
      <c r="B120" s="17" t="e">
        <v>#N/A</v>
      </c>
      <c r="C120" s="17" t="e">
        <v>#N/A</v>
      </c>
      <c r="D120" s="17" t="e">
        <v>#N/A</v>
      </c>
      <c r="E120" s="17" t="e">
        <v>#N/A</v>
      </c>
      <c r="F120" s="17" t="e">
        <v>#N/A</v>
      </c>
      <c r="G120" s="17" t="e">
        <v>#N/A</v>
      </c>
      <c r="H120" s="17" t="e">
        <v>#N/A</v>
      </c>
      <c r="I120" s="17" t="e">
        <v>#N/A</v>
      </c>
      <c r="J120" s="17" t="e">
        <v>#N/A</v>
      </c>
      <c r="K120" s="17" t="e">
        <v>#N/A</v>
      </c>
      <c r="L120" s="17" t="e">
        <v>#N/A</v>
      </c>
      <c r="M120" s="17" t="e">
        <v>#N/A</v>
      </c>
      <c r="N120" s="17" t="e">
        <v>#N/A</v>
      </c>
      <c r="O120" s="17" t="e">
        <v>#N/A</v>
      </c>
      <c r="P120" s="17" t="e">
        <v>#N/A</v>
      </c>
      <c r="Q120" s="17" t="e">
        <v>#N/A</v>
      </c>
      <c r="R120" s="17" t="e">
        <v>#N/A</v>
      </c>
      <c r="S120" s="17" t="e">
        <v>#N/A</v>
      </c>
      <c r="T120" s="17" t="e">
        <v>#N/A</v>
      </c>
      <c r="U120" s="17" t="e">
        <v>#N/A</v>
      </c>
      <c r="V120" s="17" t="e">
        <v>#N/A</v>
      </c>
      <c r="W120" s="17" t="e">
        <v>#N/A</v>
      </c>
      <c r="X120" s="17" t="e">
        <v>#N/A</v>
      </c>
      <c r="Y120" s="17" t="e">
        <v>#N/A</v>
      </c>
      <c r="Z120" s="17" t="e">
        <v>#N/A</v>
      </c>
      <c r="AA120" s="17" t="e">
        <v>#N/A</v>
      </c>
      <c r="AB120" s="17" t="e">
        <v>#N/A</v>
      </c>
      <c r="AC120" s="17" t="e">
        <v>#N/A</v>
      </c>
      <c r="AD120" s="17" t="e">
        <v>#N/A</v>
      </c>
      <c r="AE120" s="17" t="e">
        <v>#N/A</v>
      </c>
      <c r="AF120" s="17" t="e">
        <v>#N/A</v>
      </c>
      <c r="AG120" s="17" t="e">
        <v>#N/A</v>
      </c>
      <c r="AH120" s="17" t="e">
        <v>#N/A</v>
      </c>
      <c r="AI120" s="17" t="e">
        <v>#N/A</v>
      </c>
      <c r="AJ120" s="17" t="e">
        <v>#N/A</v>
      </c>
      <c r="AK120" s="17" t="e">
        <v>#N/A</v>
      </c>
      <c r="AL120" s="17" t="e">
        <v>#N/A</v>
      </c>
      <c r="AM120" s="17" t="e">
        <v>#N/A</v>
      </c>
      <c r="AN120" s="17" t="e">
        <v>#N/A</v>
      </c>
      <c r="AO120" s="17" t="e">
        <v>#N/A</v>
      </c>
      <c r="AP120" s="17" t="e">
        <v>#N/A</v>
      </c>
      <c r="AQ120" s="17" t="e">
        <v>#N/A</v>
      </c>
      <c r="AR120" s="17" t="e">
        <v>#N/A</v>
      </c>
      <c r="AS120" s="17" t="e">
        <v>#N/A</v>
      </c>
      <c r="AT120" s="17" t="e">
        <v>#N/A</v>
      </c>
      <c r="AU120" s="17" t="e">
        <v>#N/A</v>
      </c>
      <c r="AV120" s="17" t="e">
        <v>#N/A</v>
      </c>
      <c r="AW120" s="17" t="e">
        <v>#N/A</v>
      </c>
      <c r="AX120" s="17" t="e">
        <v>#N/A</v>
      </c>
      <c r="AY120" s="17" t="e">
        <v>#N/A</v>
      </c>
      <c r="AZ120" s="17" t="e">
        <v>#N/A</v>
      </c>
      <c r="BA120" s="17" t="e">
        <v>#N/A</v>
      </c>
      <c r="BB120" s="17" t="e">
        <v>#N/A</v>
      </c>
      <c r="BC120" s="17" t="e">
        <v>#N/A</v>
      </c>
      <c r="BD120" s="17" t="e">
        <v>#N/A</v>
      </c>
      <c r="BE120" s="17" t="e">
        <v>#N/A</v>
      </c>
      <c r="BF120" s="17" t="e">
        <v>#N/A</v>
      </c>
      <c r="BG120" s="17" t="e">
        <v>#N/A</v>
      </c>
      <c r="BH120" s="17" t="e">
        <v>#N/A</v>
      </c>
      <c r="BI120" s="17" t="e">
        <v>#N/A</v>
      </c>
      <c r="BJ120" s="17" t="e">
        <v>#N/A</v>
      </c>
      <c r="BK120" s="17" t="e">
        <v>#N/A</v>
      </c>
      <c r="BL120" s="17" t="e">
        <v>#N/A</v>
      </c>
      <c r="BM120" s="17" t="e">
        <v>#N/A</v>
      </c>
      <c r="BN120" s="17" t="e">
        <v>#N/A</v>
      </c>
      <c r="BO120" s="17" t="e">
        <v>#N/A</v>
      </c>
      <c r="BP120" s="17" t="e">
        <v>#N/A</v>
      </c>
      <c r="BQ120" s="17" t="e">
        <v>#N/A</v>
      </c>
      <c r="BR120" s="17" t="e">
        <v>#N/A</v>
      </c>
      <c r="BS120" s="17" t="e">
        <v>#N/A</v>
      </c>
      <c r="BT120" s="17" t="e">
        <v>#N/A</v>
      </c>
      <c r="BU120" s="17" t="e">
        <v>#N/A</v>
      </c>
      <c r="BV120" s="17" t="e">
        <v>#N/A</v>
      </c>
      <c r="BW120" s="17" t="e">
        <v>#N/A</v>
      </c>
      <c r="BX120" s="17" t="e">
        <v>#N/A</v>
      </c>
      <c r="BY120" s="17" t="e">
        <v>#N/A</v>
      </c>
      <c r="BZ120" s="17" t="e">
        <v>#N/A</v>
      </c>
      <c r="CA120" s="17" t="e">
        <v>#N/A</v>
      </c>
      <c r="CB120" s="17" t="e">
        <v>#N/A</v>
      </c>
      <c r="CC120" s="17" t="e">
        <v>#N/A</v>
      </c>
      <c r="CD120" s="17" t="e">
        <v>#N/A</v>
      </c>
      <c r="CE120" s="17" t="e">
        <v>#N/A</v>
      </c>
      <c r="CF120" s="17" t="e">
        <v>#N/A</v>
      </c>
      <c r="CG120" s="17" t="e">
        <v>#N/A</v>
      </c>
      <c r="CH120" s="17" t="e">
        <v>#N/A</v>
      </c>
      <c r="CI120" s="17" t="e">
        <v>#N/A</v>
      </c>
      <c r="CJ120" s="17" t="e">
        <v>#N/A</v>
      </c>
      <c r="CK120" s="17" t="e">
        <v>#N/A</v>
      </c>
      <c r="CL120" s="17" t="e">
        <v>#N/A</v>
      </c>
      <c r="CM120" s="17" t="e">
        <v>#N/A</v>
      </c>
      <c r="CN120" s="17" t="e">
        <v>#N/A</v>
      </c>
      <c r="CO120" s="17" t="e">
        <v>#N/A</v>
      </c>
      <c r="CP120" s="17" t="e">
        <v>#N/A</v>
      </c>
      <c r="CQ120" s="17" t="e">
        <v>#N/A</v>
      </c>
      <c r="CR120" s="17" t="e">
        <v>#N/A</v>
      </c>
      <c r="CS120" s="17" t="e">
        <v>#N/A</v>
      </c>
      <c r="CT120" s="17" t="e">
        <v>#N/A</v>
      </c>
      <c r="CU120" s="17" t="e">
        <v>#N/A</v>
      </c>
      <c r="CV120" s="17" t="e">
        <v>#N/A</v>
      </c>
      <c r="CW120" s="17" t="e">
        <v>#N/A</v>
      </c>
      <c r="CX120" s="17" t="e">
        <v>#N/A</v>
      </c>
      <c r="CY120" s="17" t="e">
        <v>#N/A</v>
      </c>
      <c r="CZ120" s="17" t="e">
        <v>#N/A</v>
      </c>
      <c r="DA120" s="17" t="e">
        <v>#N/A</v>
      </c>
      <c r="DB120" s="17" t="e">
        <v>#N/A</v>
      </c>
      <c r="DC120" s="17" t="e">
        <v>#N/A</v>
      </c>
      <c r="DD120" s="17" t="e">
        <v>#N/A</v>
      </c>
      <c r="DE120" s="17" t="e">
        <v>#N/A</v>
      </c>
      <c r="DF120" s="17" t="e">
        <v>#N/A</v>
      </c>
      <c r="DG120" s="17" t="e">
        <v>#N/A</v>
      </c>
      <c r="DH120" s="17" t="e">
        <v>#N/A</v>
      </c>
      <c r="DI120" s="17" t="e">
        <v>#N/A</v>
      </c>
      <c r="DJ120" s="17" t="e">
        <v>#N/A</v>
      </c>
      <c r="DK120" s="17" t="e">
        <v>#N/A</v>
      </c>
      <c r="DL120" s="17" t="e">
        <v>#N/A</v>
      </c>
      <c r="DM120" s="17" t="e">
        <v>#N/A</v>
      </c>
      <c r="DN120" s="17" t="e">
        <v>#N/A</v>
      </c>
      <c r="DO120" s="17" t="e">
        <v>#N/A</v>
      </c>
      <c r="DP120" s="17" t="e">
        <v>#N/A</v>
      </c>
      <c r="DQ120" s="17" t="e">
        <v>#N/A</v>
      </c>
      <c r="DR120" s="17" t="e">
        <v>#N/A</v>
      </c>
      <c r="DS120" s="17" t="e">
        <v>#N/A</v>
      </c>
      <c r="DT120" s="17" t="e">
        <v>#N/A</v>
      </c>
      <c r="DU120" s="17" t="e">
        <v>#N/A</v>
      </c>
      <c r="DV120" s="17" t="e">
        <v>#N/A</v>
      </c>
      <c r="DW120" s="17" t="e">
        <v>#N/A</v>
      </c>
      <c r="DX120" s="17" t="e">
        <v>#N/A</v>
      </c>
      <c r="DY120" s="17" t="e">
        <v>#N/A</v>
      </c>
      <c r="DZ120" s="17" t="e">
        <v>#N/A</v>
      </c>
      <c r="EA120" s="17" t="e">
        <v>#N/A</v>
      </c>
      <c r="EB120" s="17" t="e">
        <v>#N/A</v>
      </c>
      <c r="EC120" s="17" t="e">
        <v>#N/A</v>
      </c>
      <c r="ED120" s="17" t="e">
        <v>#N/A</v>
      </c>
      <c r="EE120" s="17" t="e">
        <v>#N/A</v>
      </c>
      <c r="EF120" s="17" t="e">
        <v>#N/A</v>
      </c>
      <c r="EG120" s="17" t="e">
        <v>#N/A</v>
      </c>
      <c r="EH120" s="17" t="e">
        <v>#N/A</v>
      </c>
      <c r="EI120" s="17" t="e">
        <v>#N/A</v>
      </c>
      <c r="EJ120" s="17" t="e">
        <v>#N/A</v>
      </c>
      <c r="EK120" s="17" t="e">
        <v>#N/A</v>
      </c>
      <c r="EL120" s="17" t="e">
        <v>#N/A</v>
      </c>
      <c r="EM120" s="17" t="e">
        <v>#N/A</v>
      </c>
      <c r="EN120" s="17" t="e">
        <v>#N/A</v>
      </c>
      <c r="EO120" s="17" t="e">
        <v>#N/A</v>
      </c>
      <c r="EP120" s="17" t="e">
        <v>#N/A</v>
      </c>
      <c r="EQ120" s="17" t="e">
        <v>#N/A</v>
      </c>
      <c r="ER120" s="17" t="e">
        <v>#N/A</v>
      </c>
      <c r="ES120" s="17" t="e">
        <v>#N/A</v>
      </c>
      <c r="ET120" s="17" t="e">
        <v>#N/A</v>
      </c>
      <c r="EU120" s="17" t="e">
        <v>#N/A</v>
      </c>
      <c r="EV120" s="17" t="e">
        <v>#N/A</v>
      </c>
      <c r="EW120" s="17" t="e">
        <v>#N/A</v>
      </c>
      <c r="EX120" s="17" t="e">
        <v>#N/A</v>
      </c>
      <c r="EY120" s="17" t="e">
        <v>#N/A</v>
      </c>
      <c r="EZ120" s="17" t="e">
        <v>#N/A</v>
      </c>
      <c r="FA120" s="17" t="e">
        <v>#N/A</v>
      </c>
      <c r="FB120" s="17" t="e">
        <v>#N/A</v>
      </c>
      <c r="FC120" s="17" t="e">
        <v>#N/A</v>
      </c>
      <c r="FD120" s="17" t="e">
        <v>#N/A</v>
      </c>
      <c r="FE120" s="17" t="e">
        <v>#N/A</v>
      </c>
      <c r="FF120" s="17" t="e">
        <v>#N/A</v>
      </c>
      <c r="FG120" s="17" t="e">
        <v>#N/A</v>
      </c>
      <c r="FH120" s="17" t="e">
        <v>#N/A</v>
      </c>
      <c r="FI120" s="17" t="e">
        <v>#N/A</v>
      </c>
      <c r="FJ120" s="17" t="e">
        <v>#N/A</v>
      </c>
      <c r="FK120" s="17" t="e">
        <v>#N/A</v>
      </c>
      <c r="FL120" s="17" t="e">
        <v>#N/A</v>
      </c>
      <c r="FM120" s="17" t="e">
        <v>#N/A</v>
      </c>
      <c r="FN120" s="17" t="e">
        <v>#N/A</v>
      </c>
      <c r="FO120" s="17" t="e">
        <v>#N/A</v>
      </c>
      <c r="FP120" s="17" t="e">
        <v>#N/A</v>
      </c>
      <c r="FQ120" s="17" t="e">
        <v>#N/A</v>
      </c>
      <c r="FR120" s="17" t="e">
        <v>#N/A</v>
      </c>
      <c r="FS120" s="17" t="e">
        <v>#N/A</v>
      </c>
      <c r="FT120" s="17" t="e">
        <v>#N/A</v>
      </c>
      <c r="FU120" s="17" t="e">
        <v>#N/A</v>
      </c>
      <c r="FV120" s="17" t="e">
        <v>#N/A</v>
      </c>
    </row>
    <row r="121" spans="2:178" ht="11.25" customHeight="1">
      <c r="B121" s="17" t="e">
        <v>#N/A</v>
      </c>
      <c r="C121" s="17" t="e">
        <v>#N/A</v>
      </c>
      <c r="D121" s="17" t="e">
        <v>#N/A</v>
      </c>
      <c r="E121" s="17" t="e">
        <v>#N/A</v>
      </c>
      <c r="F121" s="17" t="e">
        <v>#N/A</v>
      </c>
      <c r="G121" s="17" t="e">
        <v>#N/A</v>
      </c>
      <c r="H121" s="17" t="e">
        <v>#N/A</v>
      </c>
      <c r="I121" s="17" t="e">
        <v>#N/A</v>
      </c>
      <c r="J121" s="17" t="e">
        <v>#N/A</v>
      </c>
      <c r="K121" s="17" t="e">
        <v>#N/A</v>
      </c>
      <c r="L121" s="17" t="e">
        <v>#N/A</v>
      </c>
      <c r="M121" s="17" t="e">
        <v>#N/A</v>
      </c>
      <c r="N121" s="17" t="e">
        <v>#N/A</v>
      </c>
      <c r="O121" s="17" t="e">
        <v>#N/A</v>
      </c>
      <c r="P121" s="17" t="e">
        <v>#N/A</v>
      </c>
      <c r="Q121" s="17" t="e">
        <v>#N/A</v>
      </c>
      <c r="R121" s="17" t="e">
        <v>#N/A</v>
      </c>
      <c r="S121" s="17" t="e">
        <v>#N/A</v>
      </c>
      <c r="T121" s="17" t="e">
        <v>#N/A</v>
      </c>
      <c r="U121" s="17" t="e">
        <v>#N/A</v>
      </c>
      <c r="V121" s="17" t="e">
        <v>#N/A</v>
      </c>
      <c r="W121" s="17" t="e">
        <v>#N/A</v>
      </c>
      <c r="X121" s="17" t="e">
        <v>#N/A</v>
      </c>
      <c r="Y121" s="17" t="e">
        <v>#N/A</v>
      </c>
      <c r="Z121" s="17" t="e">
        <v>#N/A</v>
      </c>
      <c r="AA121" s="17" t="e">
        <v>#N/A</v>
      </c>
      <c r="AB121" s="17" t="e">
        <v>#N/A</v>
      </c>
      <c r="AC121" s="17" t="e">
        <v>#N/A</v>
      </c>
      <c r="AD121" s="17" t="e">
        <v>#N/A</v>
      </c>
      <c r="AE121" s="17" t="e">
        <v>#N/A</v>
      </c>
      <c r="AF121" s="17" t="e">
        <v>#N/A</v>
      </c>
      <c r="AG121" s="17" t="e">
        <v>#N/A</v>
      </c>
      <c r="AH121" s="17" t="e">
        <v>#N/A</v>
      </c>
      <c r="AI121" s="17" t="e">
        <v>#N/A</v>
      </c>
      <c r="AJ121" s="17" t="e">
        <v>#N/A</v>
      </c>
      <c r="AK121" s="17" t="e">
        <v>#N/A</v>
      </c>
      <c r="AL121" s="17" t="e">
        <v>#N/A</v>
      </c>
      <c r="AM121" s="17" t="e">
        <v>#N/A</v>
      </c>
      <c r="AN121" s="17" t="e">
        <v>#N/A</v>
      </c>
      <c r="AO121" s="17" t="e">
        <v>#N/A</v>
      </c>
      <c r="AP121" s="17" t="e">
        <v>#N/A</v>
      </c>
      <c r="AQ121" s="17" t="e">
        <v>#N/A</v>
      </c>
      <c r="AR121" s="17" t="e">
        <v>#N/A</v>
      </c>
      <c r="AS121" s="17" t="e">
        <v>#N/A</v>
      </c>
      <c r="AT121" s="17" t="e">
        <v>#N/A</v>
      </c>
      <c r="AU121" s="17" t="e">
        <v>#N/A</v>
      </c>
      <c r="AV121" s="17" t="e">
        <v>#N/A</v>
      </c>
      <c r="AW121" s="17" t="e">
        <v>#N/A</v>
      </c>
      <c r="AX121" s="17" t="e">
        <v>#N/A</v>
      </c>
      <c r="AY121" s="17" t="e">
        <v>#N/A</v>
      </c>
      <c r="AZ121" s="17" t="e">
        <v>#N/A</v>
      </c>
      <c r="BA121" s="17" t="e">
        <v>#N/A</v>
      </c>
      <c r="BB121" s="17" t="e">
        <v>#N/A</v>
      </c>
      <c r="BC121" s="17" t="e">
        <v>#N/A</v>
      </c>
      <c r="BD121" s="17" t="e">
        <v>#N/A</v>
      </c>
      <c r="BE121" s="17" t="e">
        <v>#N/A</v>
      </c>
      <c r="BF121" s="17" t="e">
        <v>#N/A</v>
      </c>
      <c r="BG121" s="17" t="e">
        <v>#N/A</v>
      </c>
      <c r="BH121" s="17" t="e">
        <v>#N/A</v>
      </c>
      <c r="BI121" s="17" t="e">
        <v>#N/A</v>
      </c>
      <c r="BJ121" s="17" t="e">
        <v>#N/A</v>
      </c>
      <c r="BK121" s="17" t="e">
        <v>#N/A</v>
      </c>
      <c r="BL121" s="17" t="e">
        <v>#N/A</v>
      </c>
      <c r="BM121" s="17" t="e">
        <v>#N/A</v>
      </c>
      <c r="BN121" s="17" t="e">
        <v>#N/A</v>
      </c>
      <c r="BO121" s="17" t="e">
        <v>#N/A</v>
      </c>
      <c r="BP121" s="17" t="e">
        <v>#N/A</v>
      </c>
      <c r="BQ121" s="17" t="e">
        <v>#N/A</v>
      </c>
      <c r="BR121" s="17" t="e">
        <v>#N/A</v>
      </c>
      <c r="BS121" s="17" t="e">
        <v>#N/A</v>
      </c>
      <c r="BT121" s="17" t="e">
        <v>#N/A</v>
      </c>
      <c r="BU121" s="17" t="e">
        <v>#N/A</v>
      </c>
      <c r="BV121" s="17" t="e">
        <v>#N/A</v>
      </c>
      <c r="BW121" s="17" t="e">
        <v>#N/A</v>
      </c>
      <c r="BX121" s="17" t="e">
        <v>#N/A</v>
      </c>
      <c r="BY121" s="17" t="e">
        <v>#N/A</v>
      </c>
      <c r="BZ121" s="17" t="e">
        <v>#N/A</v>
      </c>
      <c r="CA121" s="17" t="e">
        <v>#N/A</v>
      </c>
      <c r="CB121" s="17" t="e">
        <v>#N/A</v>
      </c>
      <c r="CC121" s="17" t="e">
        <v>#N/A</v>
      </c>
      <c r="CD121" s="17" t="e">
        <v>#N/A</v>
      </c>
      <c r="CE121" s="17" t="e">
        <v>#N/A</v>
      </c>
      <c r="CF121" s="17" t="e">
        <v>#N/A</v>
      </c>
      <c r="CG121" s="17" t="e">
        <v>#N/A</v>
      </c>
      <c r="CH121" s="17" t="e">
        <v>#N/A</v>
      </c>
      <c r="CI121" s="17" t="e">
        <v>#N/A</v>
      </c>
      <c r="CJ121" s="17" t="e">
        <v>#N/A</v>
      </c>
      <c r="CK121" s="17" t="e">
        <v>#N/A</v>
      </c>
      <c r="CL121" s="17" t="e">
        <v>#N/A</v>
      </c>
      <c r="CM121" s="17" t="e">
        <v>#N/A</v>
      </c>
      <c r="CN121" s="17" t="e">
        <v>#N/A</v>
      </c>
      <c r="CO121" s="17" t="e">
        <v>#N/A</v>
      </c>
      <c r="CP121" s="17" t="e">
        <v>#N/A</v>
      </c>
      <c r="CQ121" s="17" t="e">
        <v>#N/A</v>
      </c>
      <c r="CR121" s="17" t="e">
        <v>#N/A</v>
      </c>
      <c r="CS121" s="17" t="e">
        <v>#N/A</v>
      </c>
      <c r="CT121" s="17" t="e">
        <v>#N/A</v>
      </c>
      <c r="CU121" s="17" t="e">
        <v>#N/A</v>
      </c>
      <c r="CV121" s="17" t="e">
        <v>#N/A</v>
      </c>
      <c r="CW121" s="17" t="e">
        <v>#N/A</v>
      </c>
      <c r="CX121" s="17" t="e">
        <v>#N/A</v>
      </c>
      <c r="CY121" s="17" t="e">
        <v>#N/A</v>
      </c>
      <c r="CZ121" s="17" t="e">
        <v>#N/A</v>
      </c>
      <c r="DA121" s="17" t="e">
        <v>#N/A</v>
      </c>
      <c r="DB121" s="17" t="e">
        <v>#N/A</v>
      </c>
      <c r="DC121" s="17" t="e">
        <v>#N/A</v>
      </c>
      <c r="DD121" s="17" t="e">
        <v>#N/A</v>
      </c>
      <c r="DE121" s="17" t="e">
        <v>#N/A</v>
      </c>
      <c r="DF121" s="17" t="e">
        <v>#N/A</v>
      </c>
      <c r="DG121" s="17" t="e">
        <v>#N/A</v>
      </c>
      <c r="DH121" s="17" t="e">
        <v>#N/A</v>
      </c>
      <c r="DI121" s="17" t="e">
        <v>#N/A</v>
      </c>
      <c r="DJ121" s="17" t="e">
        <v>#N/A</v>
      </c>
      <c r="DK121" s="17" t="e">
        <v>#N/A</v>
      </c>
      <c r="DL121" s="17" t="e">
        <v>#N/A</v>
      </c>
      <c r="DM121" s="17" t="e">
        <v>#N/A</v>
      </c>
      <c r="DN121" s="17" t="e">
        <v>#N/A</v>
      </c>
      <c r="DO121" s="17" t="e">
        <v>#N/A</v>
      </c>
      <c r="DP121" s="17" t="e">
        <v>#N/A</v>
      </c>
      <c r="DQ121" s="17" t="e">
        <v>#N/A</v>
      </c>
      <c r="DR121" s="17" t="e">
        <v>#N/A</v>
      </c>
      <c r="DS121" s="17" t="e">
        <v>#N/A</v>
      </c>
      <c r="DT121" s="17" t="e">
        <v>#N/A</v>
      </c>
      <c r="DU121" s="17" t="e">
        <v>#N/A</v>
      </c>
      <c r="DV121" s="17" t="e">
        <v>#N/A</v>
      </c>
      <c r="DW121" s="17" t="e">
        <v>#N/A</v>
      </c>
      <c r="DX121" s="17" t="e">
        <v>#N/A</v>
      </c>
      <c r="DY121" s="17" t="e">
        <v>#N/A</v>
      </c>
      <c r="DZ121" s="17" t="e">
        <v>#N/A</v>
      </c>
      <c r="EA121" s="17" t="e">
        <v>#N/A</v>
      </c>
      <c r="EB121" s="17" t="e">
        <v>#N/A</v>
      </c>
      <c r="EC121" s="17" t="e">
        <v>#N/A</v>
      </c>
      <c r="ED121" s="17" t="e">
        <v>#N/A</v>
      </c>
      <c r="EE121" s="17" t="e">
        <v>#N/A</v>
      </c>
      <c r="EF121" s="17" t="e">
        <v>#N/A</v>
      </c>
      <c r="EG121" s="17" t="e">
        <v>#N/A</v>
      </c>
      <c r="EH121" s="17" t="e">
        <v>#N/A</v>
      </c>
      <c r="EI121" s="17" t="e">
        <v>#N/A</v>
      </c>
      <c r="EJ121" s="17" t="e">
        <v>#N/A</v>
      </c>
      <c r="EK121" s="17" t="e">
        <v>#N/A</v>
      </c>
      <c r="EL121" s="17" t="e">
        <v>#N/A</v>
      </c>
      <c r="EM121" s="17" t="e">
        <v>#N/A</v>
      </c>
      <c r="EN121" s="17" t="e">
        <v>#N/A</v>
      </c>
      <c r="EO121" s="17" t="e">
        <v>#N/A</v>
      </c>
      <c r="EP121" s="17" t="e">
        <v>#N/A</v>
      </c>
      <c r="EQ121" s="17" t="e">
        <v>#N/A</v>
      </c>
      <c r="ER121" s="17" t="e">
        <v>#N/A</v>
      </c>
      <c r="ES121" s="17" t="e">
        <v>#N/A</v>
      </c>
      <c r="ET121" s="17" t="e">
        <v>#N/A</v>
      </c>
      <c r="EU121" s="17" t="e">
        <v>#N/A</v>
      </c>
      <c r="EV121" s="17" t="e">
        <v>#N/A</v>
      </c>
      <c r="EW121" s="17" t="e">
        <v>#N/A</v>
      </c>
      <c r="EX121" s="17" t="e">
        <v>#N/A</v>
      </c>
      <c r="EY121" s="17" t="e">
        <v>#N/A</v>
      </c>
      <c r="EZ121" s="17" t="e">
        <v>#N/A</v>
      </c>
      <c r="FA121" s="17" t="e">
        <v>#N/A</v>
      </c>
      <c r="FB121" s="17" t="e">
        <v>#N/A</v>
      </c>
      <c r="FC121" s="17" t="e">
        <v>#N/A</v>
      </c>
      <c r="FD121" s="17" t="e">
        <v>#N/A</v>
      </c>
      <c r="FE121" s="17" t="e">
        <v>#N/A</v>
      </c>
      <c r="FF121" s="17" t="e">
        <v>#N/A</v>
      </c>
      <c r="FG121" s="17" t="e">
        <v>#N/A</v>
      </c>
      <c r="FH121" s="17" t="e">
        <v>#N/A</v>
      </c>
      <c r="FI121" s="17" t="e">
        <v>#N/A</v>
      </c>
      <c r="FJ121" s="17" t="e">
        <v>#N/A</v>
      </c>
      <c r="FK121" s="17" t="e">
        <v>#N/A</v>
      </c>
      <c r="FL121" s="17" t="e">
        <v>#N/A</v>
      </c>
      <c r="FM121" s="17" t="e">
        <v>#N/A</v>
      </c>
      <c r="FN121" s="17" t="e">
        <v>#N/A</v>
      </c>
      <c r="FO121" s="17" t="e">
        <v>#N/A</v>
      </c>
      <c r="FP121" s="17" t="e">
        <v>#N/A</v>
      </c>
      <c r="FQ121" s="17" t="e">
        <v>#N/A</v>
      </c>
      <c r="FR121" s="17" t="e">
        <v>#N/A</v>
      </c>
      <c r="FS121" s="17" t="e">
        <v>#N/A</v>
      </c>
      <c r="FT121" s="17" t="e">
        <v>#N/A</v>
      </c>
      <c r="FU121" s="17" t="e">
        <v>#N/A</v>
      </c>
      <c r="FV121" s="17" t="e">
        <v>#N/A</v>
      </c>
    </row>
    <row r="122" spans="2:178" ht="11.25" customHeight="1">
      <c r="B122" s="17" t="e">
        <v>#N/A</v>
      </c>
      <c r="C122" s="17" t="e">
        <v>#N/A</v>
      </c>
      <c r="D122" s="17" t="e">
        <v>#N/A</v>
      </c>
      <c r="E122" s="17" t="e">
        <v>#N/A</v>
      </c>
      <c r="F122" s="17" t="e">
        <v>#N/A</v>
      </c>
      <c r="G122" s="17" t="e">
        <v>#N/A</v>
      </c>
      <c r="H122" s="17" t="e">
        <v>#N/A</v>
      </c>
      <c r="I122" s="17" t="e">
        <v>#N/A</v>
      </c>
      <c r="J122" s="17" t="e">
        <v>#N/A</v>
      </c>
      <c r="K122" s="17" t="e">
        <v>#N/A</v>
      </c>
      <c r="L122" s="17" t="e">
        <v>#N/A</v>
      </c>
      <c r="M122" s="17" t="e">
        <v>#N/A</v>
      </c>
      <c r="N122" s="17" t="e">
        <v>#N/A</v>
      </c>
      <c r="O122" s="17" t="e">
        <v>#N/A</v>
      </c>
      <c r="P122" s="17" t="e">
        <v>#N/A</v>
      </c>
      <c r="Q122" s="17" t="e">
        <v>#N/A</v>
      </c>
      <c r="R122" s="17" t="e">
        <v>#N/A</v>
      </c>
      <c r="S122" s="17" t="e">
        <v>#N/A</v>
      </c>
      <c r="T122" s="17" t="e">
        <v>#N/A</v>
      </c>
      <c r="U122" s="17" t="e">
        <v>#N/A</v>
      </c>
      <c r="V122" s="17" t="e">
        <v>#N/A</v>
      </c>
      <c r="W122" s="17" t="e">
        <v>#N/A</v>
      </c>
      <c r="X122" s="17" t="e">
        <v>#N/A</v>
      </c>
      <c r="Y122" s="17" t="e">
        <v>#N/A</v>
      </c>
      <c r="Z122" s="17" t="e">
        <v>#N/A</v>
      </c>
      <c r="AA122" s="17" t="e">
        <v>#N/A</v>
      </c>
      <c r="AB122" s="17" t="e">
        <v>#N/A</v>
      </c>
      <c r="AC122" s="17" t="e">
        <v>#N/A</v>
      </c>
      <c r="AD122" s="17" t="e">
        <v>#N/A</v>
      </c>
      <c r="AE122" s="17" t="e">
        <v>#N/A</v>
      </c>
      <c r="AF122" s="17" t="e">
        <v>#N/A</v>
      </c>
      <c r="AG122" s="17" t="e">
        <v>#N/A</v>
      </c>
      <c r="AH122" s="17" t="e">
        <v>#N/A</v>
      </c>
      <c r="AI122" s="17" t="e">
        <v>#N/A</v>
      </c>
      <c r="AJ122" s="17" t="e">
        <v>#N/A</v>
      </c>
      <c r="AK122" s="17" t="e">
        <v>#N/A</v>
      </c>
      <c r="AL122" s="17" t="e">
        <v>#N/A</v>
      </c>
      <c r="AM122" s="17" t="e">
        <v>#N/A</v>
      </c>
      <c r="AN122" s="17" t="e">
        <v>#N/A</v>
      </c>
      <c r="AO122" s="17" t="e">
        <v>#N/A</v>
      </c>
      <c r="AP122" s="17" t="e">
        <v>#N/A</v>
      </c>
      <c r="AQ122" s="17" t="e">
        <v>#N/A</v>
      </c>
      <c r="AR122" s="17" t="e">
        <v>#N/A</v>
      </c>
      <c r="AS122" s="17" t="e">
        <v>#N/A</v>
      </c>
      <c r="AT122" s="17" t="e">
        <v>#N/A</v>
      </c>
      <c r="AU122" s="17" t="e">
        <v>#N/A</v>
      </c>
      <c r="AV122" s="17" t="e">
        <v>#N/A</v>
      </c>
      <c r="AW122" s="17" t="e">
        <v>#N/A</v>
      </c>
      <c r="AX122" s="17" t="e">
        <v>#N/A</v>
      </c>
      <c r="AY122" s="17" t="e">
        <v>#N/A</v>
      </c>
      <c r="AZ122" s="17" t="e">
        <v>#N/A</v>
      </c>
      <c r="BA122" s="17" t="e">
        <v>#N/A</v>
      </c>
      <c r="BB122" s="17" t="e">
        <v>#N/A</v>
      </c>
      <c r="BC122" s="17" t="e">
        <v>#N/A</v>
      </c>
      <c r="BD122" s="17" t="e">
        <v>#N/A</v>
      </c>
      <c r="BE122" s="17" t="e">
        <v>#N/A</v>
      </c>
      <c r="BF122" s="17" t="e">
        <v>#N/A</v>
      </c>
      <c r="BG122" s="17" t="e">
        <v>#N/A</v>
      </c>
      <c r="BH122" s="17" t="e">
        <v>#N/A</v>
      </c>
      <c r="BI122" s="17" t="e">
        <v>#N/A</v>
      </c>
      <c r="BJ122" s="17" t="e">
        <v>#N/A</v>
      </c>
      <c r="BK122" s="17" t="e">
        <v>#N/A</v>
      </c>
      <c r="BL122" s="17" t="e">
        <v>#N/A</v>
      </c>
      <c r="BM122" s="17" t="e">
        <v>#N/A</v>
      </c>
      <c r="BN122" s="17" t="e">
        <v>#N/A</v>
      </c>
      <c r="BO122" s="17" t="e">
        <v>#N/A</v>
      </c>
      <c r="BP122" s="17" t="e">
        <v>#N/A</v>
      </c>
      <c r="BQ122" s="17" t="e">
        <v>#N/A</v>
      </c>
      <c r="BR122" s="17" t="e">
        <v>#N/A</v>
      </c>
      <c r="BS122" s="17" t="e">
        <v>#N/A</v>
      </c>
      <c r="BT122" s="17" t="e">
        <v>#N/A</v>
      </c>
      <c r="BU122" s="17" t="e">
        <v>#N/A</v>
      </c>
      <c r="BV122" s="17" t="e">
        <v>#N/A</v>
      </c>
      <c r="BW122" s="17" t="e">
        <v>#N/A</v>
      </c>
      <c r="BX122" s="17" t="e">
        <v>#N/A</v>
      </c>
      <c r="BY122" s="17" t="e">
        <v>#N/A</v>
      </c>
      <c r="BZ122" s="17" t="e">
        <v>#N/A</v>
      </c>
      <c r="CA122" s="17" t="e">
        <v>#N/A</v>
      </c>
      <c r="CB122" s="17" t="e">
        <v>#N/A</v>
      </c>
      <c r="CC122" s="17" t="e">
        <v>#N/A</v>
      </c>
      <c r="CD122" s="17" t="e">
        <v>#N/A</v>
      </c>
      <c r="CE122" s="17" t="e">
        <v>#N/A</v>
      </c>
      <c r="CF122" s="17" t="e">
        <v>#N/A</v>
      </c>
      <c r="CG122" s="17" t="e">
        <v>#N/A</v>
      </c>
      <c r="CH122" s="17" t="e">
        <v>#N/A</v>
      </c>
      <c r="CI122" s="17" t="e">
        <v>#N/A</v>
      </c>
      <c r="CJ122" s="17" t="e">
        <v>#N/A</v>
      </c>
      <c r="CK122" s="17" t="e">
        <v>#N/A</v>
      </c>
      <c r="CL122" s="17" t="e">
        <v>#N/A</v>
      </c>
      <c r="CM122" s="17" t="e">
        <v>#N/A</v>
      </c>
      <c r="CN122" s="17" t="e">
        <v>#N/A</v>
      </c>
      <c r="CO122" s="17" t="e">
        <v>#N/A</v>
      </c>
      <c r="CP122" s="17" t="e">
        <v>#N/A</v>
      </c>
      <c r="CQ122" s="17" t="e">
        <v>#N/A</v>
      </c>
      <c r="CR122" s="17" t="e">
        <v>#N/A</v>
      </c>
      <c r="CS122" s="17" t="e">
        <v>#N/A</v>
      </c>
      <c r="CT122" s="17" t="e">
        <v>#N/A</v>
      </c>
      <c r="CU122" s="17" t="e">
        <v>#N/A</v>
      </c>
      <c r="CV122" s="17" t="e">
        <v>#N/A</v>
      </c>
      <c r="CW122" s="17" t="e">
        <v>#N/A</v>
      </c>
      <c r="CX122" s="17" t="e">
        <v>#N/A</v>
      </c>
      <c r="CY122" s="17" t="e">
        <v>#N/A</v>
      </c>
      <c r="CZ122" s="17" t="e">
        <v>#N/A</v>
      </c>
      <c r="DA122" s="17" t="e">
        <v>#N/A</v>
      </c>
      <c r="DB122" s="17" t="e">
        <v>#N/A</v>
      </c>
      <c r="DC122" s="17" t="e">
        <v>#N/A</v>
      </c>
      <c r="DD122" s="17" t="e">
        <v>#N/A</v>
      </c>
      <c r="DE122" s="17" t="e">
        <v>#N/A</v>
      </c>
      <c r="DF122" s="17" t="e">
        <v>#N/A</v>
      </c>
      <c r="DG122" s="17" t="e">
        <v>#N/A</v>
      </c>
      <c r="DH122" s="17" t="e">
        <v>#N/A</v>
      </c>
      <c r="DI122" s="17" t="e">
        <v>#N/A</v>
      </c>
      <c r="DJ122" s="17" t="e">
        <v>#N/A</v>
      </c>
      <c r="DK122" s="17" t="e">
        <v>#N/A</v>
      </c>
      <c r="DL122" s="17" t="e">
        <v>#N/A</v>
      </c>
      <c r="DM122" s="17" t="e">
        <v>#N/A</v>
      </c>
      <c r="DN122" s="17" t="e">
        <v>#N/A</v>
      </c>
      <c r="DO122" s="17" t="e">
        <v>#N/A</v>
      </c>
      <c r="DP122" s="17" t="e">
        <v>#N/A</v>
      </c>
      <c r="DQ122" s="17" t="e">
        <v>#N/A</v>
      </c>
      <c r="DR122" s="17" t="e">
        <v>#N/A</v>
      </c>
      <c r="DS122" s="17" t="e">
        <v>#N/A</v>
      </c>
      <c r="DT122" s="17" t="e">
        <v>#N/A</v>
      </c>
      <c r="DU122" s="17" t="e">
        <v>#N/A</v>
      </c>
      <c r="DV122" s="17" t="e">
        <v>#N/A</v>
      </c>
      <c r="DW122" s="17" t="e">
        <v>#N/A</v>
      </c>
      <c r="DX122" s="17" t="e">
        <v>#N/A</v>
      </c>
      <c r="DY122" s="17" t="e">
        <v>#N/A</v>
      </c>
      <c r="DZ122" s="17" t="e">
        <v>#N/A</v>
      </c>
      <c r="EA122" s="17" t="e">
        <v>#N/A</v>
      </c>
      <c r="EB122" s="17" t="e">
        <v>#N/A</v>
      </c>
      <c r="EC122" s="17" t="e">
        <v>#N/A</v>
      </c>
      <c r="ED122" s="17" t="e">
        <v>#N/A</v>
      </c>
      <c r="EE122" s="17" t="e">
        <v>#N/A</v>
      </c>
      <c r="EF122" s="17" t="e">
        <v>#N/A</v>
      </c>
      <c r="EG122" s="17" t="e">
        <v>#N/A</v>
      </c>
      <c r="EH122" s="17" t="e">
        <v>#N/A</v>
      </c>
      <c r="EI122" s="17" t="e">
        <v>#N/A</v>
      </c>
      <c r="EJ122" s="17" t="e">
        <v>#N/A</v>
      </c>
      <c r="EK122" s="17" t="e">
        <v>#N/A</v>
      </c>
      <c r="EL122" s="17" t="e">
        <v>#N/A</v>
      </c>
      <c r="EM122" s="17" t="e">
        <v>#N/A</v>
      </c>
      <c r="EN122" s="17" t="e">
        <v>#N/A</v>
      </c>
      <c r="EO122" s="17" t="e">
        <v>#N/A</v>
      </c>
      <c r="EP122" s="17" t="e">
        <v>#N/A</v>
      </c>
      <c r="EQ122" s="17" t="e">
        <v>#N/A</v>
      </c>
      <c r="ER122" s="17" t="e">
        <v>#N/A</v>
      </c>
      <c r="ES122" s="17" t="e">
        <v>#N/A</v>
      </c>
      <c r="ET122" s="17" t="e">
        <v>#N/A</v>
      </c>
      <c r="EU122" s="17" t="e">
        <v>#N/A</v>
      </c>
      <c r="EV122" s="17" t="e">
        <v>#N/A</v>
      </c>
      <c r="EW122" s="17" t="e">
        <v>#N/A</v>
      </c>
      <c r="EX122" s="17" t="e">
        <v>#N/A</v>
      </c>
      <c r="EY122" s="17" t="e">
        <v>#N/A</v>
      </c>
      <c r="EZ122" s="17" t="e">
        <v>#N/A</v>
      </c>
      <c r="FA122" s="17" t="e">
        <v>#N/A</v>
      </c>
      <c r="FB122" s="17" t="e">
        <v>#N/A</v>
      </c>
      <c r="FC122" s="17" t="e">
        <v>#N/A</v>
      </c>
      <c r="FD122" s="17" t="e">
        <v>#N/A</v>
      </c>
      <c r="FE122" s="17" t="e">
        <v>#N/A</v>
      </c>
      <c r="FF122" s="17" t="e">
        <v>#N/A</v>
      </c>
      <c r="FG122" s="17" t="e">
        <v>#N/A</v>
      </c>
      <c r="FH122" s="17" t="e">
        <v>#N/A</v>
      </c>
      <c r="FI122" s="17" t="e">
        <v>#N/A</v>
      </c>
      <c r="FJ122" s="17" t="e">
        <v>#N/A</v>
      </c>
      <c r="FK122" s="17" t="e">
        <v>#N/A</v>
      </c>
      <c r="FL122" s="17" t="e">
        <v>#N/A</v>
      </c>
      <c r="FM122" s="17" t="e">
        <v>#N/A</v>
      </c>
      <c r="FN122" s="17" t="e">
        <v>#N/A</v>
      </c>
      <c r="FO122" s="17" t="e">
        <v>#N/A</v>
      </c>
      <c r="FP122" s="17" t="e">
        <v>#N/A</v>
      </c>
      <c r="FQ122" s="17" t="e">
        <v>#N/A</v>
      </c>
      <c r="FR122" s="17" t="e">
        <v>#N/A</v>
      </c>
      <c r="FS122" s="17" t="e">
        <v>#N/A</v>
      </c>
      <c r="FT122" s="17" t="e">
        <v>#N/A</v>
      </c>
      <c r="FU122" s="17" t="e">
        <v>#N/A</v>
      </c>
      <c r="FV122" s="17" t="e">
        <v>#N/A</v>
      </c>
    </row>
    <row r="123" spans="2:178" ht="11.25" customHeight="1">
      <c r="B123" s="17" t="e">
        <v>#N/A</v>
      </c>
      <c r="C123" s="17" t="e">
        <v>#N/A</v>
      </c>
      <c r="D123" s="17" t="e">
        <v>#N/A</v>
      </c>
      <c r="E123" s="17" t="e">
        <v>#N/A</v>
      </c>
      <c r="F123" s="17" t="e">
        <v>#N/A</v>
      </c>
      <c r="G123" s="17" t="e">
        <v>#N/A</v>
      </c>
      <c r="H123" s="17" t="e">
        <v>#N/A</v>
      </c>
      <c r="I123" s="17" t="e">
        <v>#N/A</v>
      </c>
      <c r="J123" s="17" t="e">
        <v>#N/A</v>
      </c>
      <c r="K123" s="17" t="e">
        <v>#N/A</v>
      </c>
      <c r="L123" s="17" t="e">
        <v>#N/A</v>
      </c>
      <c r="M123" s="17" t="e">
        <v>#N/A</v>
      </c>
      <c r="N123" s="17" t="e">
        <v>#N/A</v>
      </c>
      <c r="O123" s="17" t="e">
        <v>#N/A</v>
      </c>
      <c r="P123" s="17" t="e">
        <v>#N/A</v>
      </c>
      <c r="Q123" s="17" t="e">
        <v>#N/A</v>
      </c>
      <c r="R123" s="17" t="e">
        <v>#N/A</v>
      </c>
      <c r="S123" s="17" t="e">
        <v>#N/A</v>
      </c>
      <c r="T123" s="17" t="e">
        <v>#N/A</v>
      </c>
      <c r="U123" s="17" t="e">
        <v>#N/A</v>
      </c>
      <c r="V123" s="17" t="e">
        <v>#N/A</v>
      </c>
      <c r="W123" s="17" t="e">
        <v>#N/A</v>
      </c>
      <c r="X123" s="17" t="e">
        <v>#N/A</v>
      </c>
      <c r="Y123" s="17" t="e">
        <v>#N/A</v>
      </c>
      <c r="Z123" s="17" t="e">
        <v>#N/A</v>
      </c>
      <c r="AA123" s="17" t="e">
        <v>#N/A</v>
      </c>
      <c r="AB123" s="17" t="e">
        <v>#N/A</v>
      </c>
      <c r="AC123" s="17" t="e">
        <v>#N/A</v>
      </c>
      <c r="AD123" s="17" t="e">
        <v>#N/A</v>
      </c>
      <c r="AE123" s="17" t="e">
        <v>#N/A</v>
      </c>
      <c r="AF123" s="17" t="e">
        <v>#N/A</v>
      </c>
      <c r="AG123" s="17" t="e">
        <v>#N/A</v>
      </c>
      <c r="AH123" s="17" t="e">
        <v>#N/A</v>
      </c>
      <c r="AI123" s="17" t="e">
        <v>#N/A</v>
      </c>
      <c r="AJ123" s="17" t="e">
        <v>#N/A</v>
      </c>
      <c r="AK123" s="17" t="e">
        <v>#N/A</v>
      </c>
      <c r="AL123" s="17" t="e">
        <v>#N/A</v>
      </c>
      <c r="AM123" s="17" t="e">
        <v>#N/A</v>
      </c>
      <c r="AN123" s="17" t="e">
        <v>#N/A</v>
      </c>
      <c r="AO123" s="17" t="e">
        <v>#N/A</v>
      </c>
      <c r="AP123" s="17" t="e">
        <v>#N/A</v>
      </c>
      <c r="AQ123" s="17" t="e">
        <v>#N/A</v>
      </c>
      <c r="AR123" s="17" t="e">
        <v>#N/A</v>
      </c>
      <c r="AS123" s="17" t="e">
        <v>#N/A</v>
      </c>
      <c r="AT123" s="17" t="e">
        <v>#N/A</v>
      </c>
      <c r="AU123" s="17" t="e">
        <v>#N/A</v>
      </c>
      <c r="AV123" s="17" t="e">
        <v>#N/A</v>
      </c>
      <c r="AW123" s="17" t="e">
        <v>#N/A</v>
      </c>
      <c r="AX123" s="17" t="e">
        <v>#N/A</v>
      </c>
      <c r="AY123" s="17" t="e">
        <v>#N/A</v>
      </c>
      <c r="AZ123" s="17" t="e">
        <v>#N/A</v>
      </c>
      <c r="BA123" s="17" t="e">
        <v>#N/A</v>
      </c>
      <c r="BB123" s="17" t="e">
        <v>#N/A</v>
      </c>
      <c r="BC123" s="17" t="e">
        <v>#N/A</v>
      </c>
      <c r="BD123" s="17" t="e">
        <v>#N/A</v>
      </c>
      <c r="BE123" s="17" t="e">
        <v>#N/A</v>
      </c>
      <c r="BF123" s="17" t="e">
        <v>#N/A</v>
      </c>
      <c r="BG123" s="17" t="e">
        <v>#N/A</v>
      </c>
      <c r="BH123" s="17" t="e">
        <v>#N/A</v>
      </c>
      <c r="BI123" s="17" t="e">
        <v>#N/A</v>
      </c>
      <c r="BJ123" s="17" t="e">
        <v>#N/A</v>
      </c>
      <c r="BK123" s="17" t="e">
        <v>#N/A</v>
      </c>
      <c r="BL123" s="17" t="e">
        <v>#N/A</v>
      </c>
      <c r="BM123" s="17" t="e">
        <v>#N/A</v>
      </c>
      <c r="BN123" s="17" t="e">
        <v>#N/A</v>
      </c>
      <c r="BO123" s="17" t="e">
        <v>#N/A</v>
      </c>
      <c r="BP123" s="17" t="e">
        <v>#N/A</v>
      </c>
      <c r="BQ123" s="17" t="e">
        <v>#N/A</v>
      </c>
      <c r="BR123" s="17" t="e">
        <v>#N/A</v>
      </c>
      <c r="BS123" s="17" t="e">
        <v>#N/A</v>
      </c>
      <c r="BT123" s="17" t="e">
        <v>#N/A</v>
      </c>
      <c r="BU123" s="17" t="e">
        <v>#N/A</v>
      </c>
      <c r="BV123" s="17" t="e">
        <v>#N/A</v>
      </c>
      <c r="BW123" s="17" t="e">
        <v>#N/A</v>
      </c>
      <c r="BX123" s="17" t="e">
        <v>#N/A</v>
      </c>
      <c r="BY123" s="17" t="e">
        <v>#N/A</v>
      </c>
      <c r="BZ123" s="17" t="e">
        <v>#N/A</v>
      </c>
      <c r="CA123" s="17" t="e">
        <v>#N/A</v>
      </c>
      <c r="CB123" s="17" t="e">
        <v>#N/A</v>
      </c>
      <c r="CC123" s="17" t="e">
        <v>#N/A</v>
      </c>
      <c r="CD123" s="17" t="e">
        <v>#N/A</v>
      </c>
      <c r="CE123" s="17" t="e">
        <v>#N/A</v>
      </c>
      <c r="CF123" s="17" t="e">
        <v>#N/A</v>
      </c>
      <c r="CG123" s="17" t="e">
        <v>#N/A</v>
      </c>
      <c r="CH123" s="17" t="e">
        <v>#N/A</v>
      </c>
      <c r="CI123" s="17" t="e">
        <v>#N/A</v>
      </c>
      <c r="CJ123" s="17" t="e">
        <v>#N/A</v>
      </c>
      <c r="CK123" s="17" t="e">
        <v>#N/A</v>
      </c>
      <c r="CL123" s="17" t="e">
        <v>#N/A</v>
      </c>
      <c r="CM123" s="17" t="e">
        <v>#N/A</v>
      </c>
      <c r="CN123" s="17" t="e">
        <v>#N/A</v>
      </c>
      <c r="CO123" s="17" t="e">
        <v>#N/A</v>
      </c>
      <c r="CP123" s="17" t="e">
        <v>#N/A</v>
      </c>
      <c r="CQ123" s="17" t="e">
        <v>#N/A</v>
      </c>
      <c r="CR123" s="17" t="e">
        <v>#N/A</v>
      </c>
      <c r="CS123" s="17" t="e">
        <v>#N/A</v>
      </c>
      <c r="CT123" s="17" t="e">
        <v>#N/A</v>
      </c>
      <c r="CU123" s="17" t="e">
        <v>#N/A</v>
      </c>
      <c r="CV123" s="17" t="e">
        <v>#N/A</v>
      </c>
      <c r="CW123" s="17" t="e">
        <v>#N/A</v>
      </c>
      <c r="CX123" s="17" t="e">
        <v>#N/A</v>
      </c>
      <c r="CY123" s="17" t="e">
        <v>#N/A</v>
      </c>
      <c r="CZ123" s="17" t="e">
        <v>#N/A</v>
      </c>
      <c r="DA123" s="17" t="e">
        <v>#N/A</v>
      </c>
      <c r="DB123" s="17" t="e">
        <v>#N/A</v>
      </c>
      <c r="DC123" s="17" t="e">
        <v>#N/A</v>
      </c>
      <c r="DD123" s="17" t="e">
        <v>#N/A</v>
      </c>
      <c r="DE123" s="17" t="e">
        <v>#N/A</v>
      </c>
      <c r="DF123" s="17" t="e">
        <v>#N/A</v>
      </c>
      <c r="DG123" s="17" t="e">
        <v>#N/A</v>
      </c>
      <c r="DH123" s="17" t="e">
        <v>#N/A</v>
      </c>
      <c r="DI123" s="17" t="e">
        <v>#N/A</v>
      </c>
      <c r="DJ123" s="17" t="e">
        <v>#N/A</v>
      </c>
      <c r="DK123" s="17" t="e">
        <v>#N/A</v>
      </c>
      <c r="DL123" s="17" t="e">
        <v>#N/A</v>
      </c>
      <c r="DM123" s="17" t="e">
        <v>#N/A</v>
      </c>
      <c r="DN123" s="17" t="e">
        <v>#N/A</v>
      </c>
      <c r="DO123" s="17" t="e">
        <v>#N/A</v>
      </c>
      <c r="DP123" s="17" t="e">
        <v>#N/A</v>
      </c>
      <c r="DQ123" s="17" t="e">
        <v>#N/A</v>
      </c>
      <c r="DR123" s="17" t="e">
        <v>#N/A</v>
      </c>
      <c r="DS123" s="17" t="e">
        <v>#N/A</v>
      </c>
      <c r="DT123" s="17" t="e">
        <v>#N/A</v>
      </c>
      <c r="DU123" s="17" t="e">
        <v>#N/A</v>
      </c>
      <c r="DV123" s="17" t="e">
        <v>#N/A</v>
      </c>
      <c r="DW123" s="17" t="e">
        <v>#N/A</v>
      </c>
      <c r="DX123" s="17" t="e">
        <v>#N/A</v>
      </c>
      <c r="DY123" s="17" t="e">
        <v>#N/A</v>
      </c>
      <c r="DZ123" s="17" t="e">
        <v>#N/A</v>
      </c>
      <c r="EA123" s="17" t="e">
        <v>#N/A</v>
      </c>
      <c r="EB123" s="17" t="e">
        <v>#N/A</v>
      </c>
      <c r="EC123" s="17" t="e">
        <v>#N/A</v>
      </c>
      <c r="ED123" s="17" t="e">
        <v>#N/A</v>
      </c>
      <c r="EE123" s="17" t="e">
        <v>#N/A</v>
      </c>
      <c r="EF123" s="17" t="e">
        <v>#N/A</v>
      </c>
      <c r="EG123" s="17" t="e">
        <v>#N/A</v>
      </c>
      <c r="EH123" s="17" t="e">
        <v>#N/A</v>
      </c>
      <c r="EI123" s="17" t="e">
        <v>#N/A</v>
      </c>
      <c r="EJ123" s="17" t="e">
        <v>#N/A</v>
      </c>
      <c r="EK123" s="17" t="e">
        <v>#N/A</v>
      </c>
      <c r="EL123" s="17" t="e">
        <v>#N/A</v>
      </c>
      <c r="EM123" s="17" t="e">
        <v>#N/A</v>
      </c>
      <c r="EN123" s="17" t="e">
        <v>#N/A</v>
      </c>
      <c r="EO123" s="17" t="e">
        <v>#N/A</v>
      </c>
      <c r="EP123" s="17" t="e">
        <v>#N/A</v>
      </c>
      <c r="EQ123" s="17" t="e">
        <v>#N/A</v>
      </c>
      <c r="ER123" s="17" t="e">
        <v>#N/A</v>
      </c>
      <c r="ES123" s="17" t="e">
        <v>#N/A</v>
      </c>
      <c r="ET123" s="17" t="e">
        <v>#N/A</v>
      </c>
      <c r="EU123" s="17" t="e">
        <v>#N/A</v>
      </c>
      <c r="EV123" s="17" t="e">
        <v>#N/A</v>
      </c>
      <c r="EW123" s="17" t="e">
        <v>#N/A</v>
      </c>
      <c r="EX123" s="17" t="e">
        <v>#N/A</v>
      </c>
      <c r="EY123" s="17" t="e">
        <v>#N/A</v>
      </c>
      <c r="EZ123" s="17" t="e">
        <v>#N/A</v>
      </c>
      <c r="FA123" s="17" t="e">
        <v>#N/A</v>
      </c>
      <c r="FB123" s="17" t="e">
        <v>#N/A</v>
      </c>
      <c r="FC123" s="17" t="e">
        <v>#N/A</v>
      </c>
      <c r="FD123" s="17" t="e">
        <v>#N/A</v>
      </c>
      <c r="FE123" s="17" t="e">
        <v>#N/A</v>
      </c>
      <c r="FF123" s="17" t="e">
        <v>#N/A</v>
      </c>
      <c r="FG123" s="17" t="e">
        <v>#N/A</v>
      </c>
      <c r="FH123" s="17" t="e">
        <v>#N/A</v>
      </c>
      <c r="FI123" s="17" t="e">
        <v>#N/A</v>
      </c>
      <c r="FJ123" s="17" t="e">
        <v>#N/A</v>
      </c>
      <c r="FK123" s="17" t="e">
        <v>#N/A</v>
      </c>
      <c r="FL123" s="17" t="e">
        <v>#N/A</v>
      </c>
      <c r="FM123" s="17" t="e">
        <v>#N/A</v>
      </c>
      <c r="FN123" s="17" t="e">
        <v>#N/A</v>
      </c>
      <c r="FO123" s="17" t="e">
        <v>#N/A</v>
      </c>
      <c r="FP123" s="17" t="e">
        <v>#N/A</v>
      </c>
      <c r="FQ123" s="17" t="e">
        <v>#N/A</v>
      </c>
      <c r="FR123" s="17" t="e">
        <v>#N/A</v>
      </c>
      <c r="FS123" s="17" t="e">
        <v>#N/A</v>
      </c>
      <c r="FT123" s="17" t="e">
        <v>#N/A</v>
      </c>
      <c r="FU123" s="17" t="e">
        <v>#N/A</v>
      </c>
      <c r="FV123" s="17" t="e">
        <v>#N/A</v>
      </c>
    </row>
    <row r="124" spans="2:178" ht="11.25" customHeight="1">
      <c r="B124" s="17" t="e">
        <v>#N/A</v>
      </c>
      <c r="C124" s="17" t="e">
        <v>#N/A</v>
      </c>
      <c r="D124" s="17" t="e">
        <v>#N/A</v>
      </c>
      <c r="E124" s="17" t="e">
        <v>#N/A</v>
      </c>
      <c r="F124" s="17" t="e">
        <v>#N/A</v>
      </c>
      <c r="G124" s="17" t="e">
        <v>#N/A</v>
      </c>
      <c r="H124" s="17" t="e">
        <v>#N/A</v>
      </c>
      <c r="I124" s="17" t="e">
        <v>#N/A</v>
      </c>
      <c r="J124" s="17" t="e">
        <v>#N/A</v>
      </c>
      <c r="K124" s="17" t="e">
        <v>#N/A</v>
      </c>
      <c r="L124" s="17" t="e">
        <v>#N/A</v>
      </c>
      <c r="M124" s="17" t="e">
        <v>#N/A</v>
      </c>
      <c r="N124" s="17" t="e">
        <v>#N/A</v>
      </c>
      <c r="O124" s="17" t="e">
        <v>#N/A</v>
      </c>
      <c r="P124" s="17" t="e">
        <v>#N/A</v>
      </c>
      <c r="Q124" s="17" t="e">
        <v>#N/A</v>
      </c>
      <c r="R124" s="17" t="e">
        <v>#N/A</v>
      </c>
      <c r="S124" s="17" t="e">
        <v>#N/A</v>
      </c>
      <c r="T124" s="17" t="e">
        <v>#N/A</v>
      </c>
      <c r="U124" s="17" t="e">
        <v>#N/A</v>
      </c>
      <c r="V124" s="17" t="e">
        <v>#N/A</v>
      </c>
      <c r="W124" s="17" t="e">
        <v>#N/A</v>
      </c>
      <c r="X124" s="17" t="e">
        <v>#N/A</v>
      </c>
      <c r="Y124" s="17" t="e">
        <v>#N/A</v>
      </c>
      <c r="Z124" s="17" t="e">
        <v>#N/A</v>
      </c>
      <c r="AA124" s="17" t="e">
        <v>#N/A</v>
      </c>
      <c r="AB124" s="17" t="e">
        <v>#N/A</v>
      </c>
      <c r="AC124" s="17" t="e">
        <v>#N/A</v>
      </c>
      <c r="AD124" s="17" t="e">
        <v>#N/A</v>
      </c>
      <c r="AE124" s="17" t="e">
        <v>#N/A</v>
      </c>
      <c r="AF124" s="17" t="e">
        <v>#N/A</v>
      </c>
      <c r="AG124" s="17" t="e">
        <v>#N/A</v>
      </c>
      <c r="AH124" s="17" t="e">
        <v>#N/A</v>
      </c>
      <c r="AI124" s="17" t="e">
        <v>#N/A</v>
      </c>
      <c r="AJ124" s="17" t="e">
        <v>#N/A</v>
      </c>
      <c r="AK124" s="17" t="e">
        <v>#N/A</v>
      </c>
      <c r="AL124" s="17" t="e">
        <v>#N/A</v>
      </c>
      <c r="AM124" s="17" t="e">
        <v>#N/A</v>
      </c>
      <c r="AN124" s="17" t="e">
        <v>#N/A</v>
      </c>
      <c r="AO124" s="17" t="e">
        <v>#N/A</v>
      </c>
      <c r="AP124" s="17" t="e">
        <v>#N/A</v>
      </c>
      <c r="AQ124" s="17" t="e">
        <v>#N/A</v>
      </c>
      <c r="AR124" s="17" t="e">
        <v>#N/A</v>
      </c>
      <c r="AS124" s="17" t="e">
        <v>#N/A</v>
      </c>
      <c r="AT124" s="17" t="e">
        <v>#N/A</v>
      </c>
      <c r="AU124" s="17" t="e">
        <v>#N/A</v>
      </c>
      <c r="AV124" s="17" t="e">
        <v>#N/A</v>
      </c>
      <c r="AW124" s="17" t="e">
        <v>#N/A</v>
      </c>
      <c r="AX124" s="17" t="e">
        <v>#N/A</v>
      </c>
      <c r="AY124" s="17" t="e">
        <v>#N/A</v>
      </c>
      <c r="AZ124" s="17" t="e">
        <v>#N/A</v>
      </c>
      <c r="BA124" s="17" t="e">
        <v>#N/A</v>
      </c>
      <c r="BB124" s="17" t="e">
        <v>#N/A</v>
      </c>
      <c r="BC124" s="17" t="e">
        <v>#N/A</v>
      </c>
      <c r="BD124" s="17" t="e">
        <v>#N/A</v>
      </c>
      <c r="BE124" s="17" t="e">
        <v>#N/A</v>
      </c>
      <c r="BF124" s="17" t="e">
        <v>#N/A</v>
      </c>
      <c r="BG124" s="17" t="e">
        <v>#N/A</v>
      </c>
      <c r="BH124" s="17" t="e">
        <v>#N/A</v>
      </c>
      <c r="BI124" s="17" t="e">
        <v>#N/A</v>
      </c>
      <c r="BJ124" s="17" t="e">
        <v>#N/A</v>
      </c>
      <c r="BK124" s="17" t="e">
        <v>#N/A</v>
      </c>
      <c r="BL124" s="17" t="e">
        <v>#N/A</v>
      </c>
      <c r="BM124" s="17" t="e">
        <v>#N/A</v>
      </c>
      <c r="BN124" s="17" t="e">
        <v>#N/A</v>
      </c>
      <c r="BO124" s="17" t="e">
        <v>#N/A</v>
      </c>
      <c r="BP124" s="17" t="e">
        <v>#N/A</v>
      </c>
      <c r="BQ124" s="17" t="e">
        <v>#N/A</v>
      </c>
      <c r="BR124" s="17" t="e">
        <v>#N/A</v>
      </c>
      <c r="BS124" s="17" t="e">
        <v>#N/A</v>
      </c>
      <c r="BT124" s="17" t="e">
        <v>#N/A</v>
      </c>
      <c r="BU124" s="17" t="e">
        <v>#N/A</v>
      </c>
      <c r="BV124" s="17" t="e">
        <v>#N/A</v>
      </c>
      <c r="BW124" s="17" t="e">
        <v>#N/A</v>
      </c>
      <c r="BX124" s="17" t="e">
        <v>#N/A</v>
      </c>
      <c r="BY124" s="17" t="e">
        <v>#N/A</v>
      </c>
      <c r="BZ124" s="17" t="e">
        <v>#N/A</v>
      </c>
      <c r="CA124" s="17" t="e">
        <v>#N/A</v>
      </c>
      <c r="CB124" s="17" t="e">
        <v>#N/A</v>
      </c>
      <c r="CC124" s="17" t="e">
        <v>#N/A</v>
      </c>
      <c r="CD124" s="17" t="e">
        <v>#N/A</v>
      </c>
      <c r="CE124" s="17" t="e">
        <v>#N/A</v>
      </c>
      <c r="CF124" s="17" t="e">
        <v>#N/A</v>
      </c>
      <c r="CG124" s="17" t="e">
        <v>#N/A</v>
      </c>
      <c r="CH124" s="17" t="e">
        <v>#N/A</v>
      </c>
      <c r="CI124" s="17" t="e">
        <v>#N/A</v>
      </c>
      <c r="CJ124" s="17" t="e">
        <v>#N/A</v>
      </c>
      <c r="CK124" s="17" t="e">
        <v>#N/A</v>
      </c>
      <c r="CL124" s="17" t="e">
        <v>#N/A</v>
      </c>
      <c r="CM124" s="17" t="e">
        <v>#N/A</v>
      </c>
      <c r="CN124" s="17" t="e">
        <v>#N/A</v>
      </c>
      <c r="CO124" s="17" t="e">
        <v>#N/A</v>
      </c>
      <c r="CP124" s="17" t="e">
        <v>#N/A</v>
      </c>
      <c r="CQ124" s="17" t="e">
        <v>#N/A</v>
      </c>
      <c r="CR124" s="17" t="e">
        <v>#N/A</v>
      </c>
      <c r="CS124" s="17" t="e">
        <v>#N/A</v>
      </c>
      <c r="CT124" s="17" t="e">
        <v>#N/A</v>
      </c>
      <c r="CU124" s="17" t="e">
        <v>#N/A</v>
      </c>
      <c r="CV124" s="17" t="e">
        <v>#N/A</v>
      </c>
      <c r="CW124" s="17" t="e">
        <v>#N/A</v>
      </c>
      <c r="CX124" s="17" t="e">
        <v>#N/A</v>
      </c>
      <c r="CY124" s="17" t="e">
        <v>#N/A</v>
      </c>
      <c r="CZ124" s="17" t="e">
        <v>#N/A</v>
      </c>
      <c r="DA124" s="17" t="e">
        <v>#N/A</v>
      </c>
      <c r="DB124" s="17" t="e">
        <v>#N/A</v>
      </c>
      <c r="DC124" s="17" t="e">
        <v>#N/A</v>
      </c>
      <c r="DD124" s="17" t="e">
        <v>#N/A</v>
      </c>
      <c r="DE124" s="17" t="e">
        <v>#N/A</v>
      </c>
      <c r="DF124" s="17" t="e">
        <v>#N/A</v>
      </c>
      <c r="DG124" s="17" t="e">
        <v>#N/A</v>
      </c>
      <c r="DH124" s="17" t="e">
        <v>#N/A</v>
      </c>
      <c r="DI124" s="17" t="e">
        <v>#N/A</v>
      </c>
      <c r="DJ124" s="17" t="e">
        <v>#N/A</v>
      </c>
      <c r="DK124" s="17" t="e">
        <v>#N/A</v>
      </c>
      <c r="DL124" s="17" t="e">
        <v>#N/A</v>
      </c>
      <c r="DM124" s="17" t="e">
        <v>#N/A</v>
      </c>
      <c r="DN124" s="17" t="e">
        <v>#N/A</v>
      </c>
      <c r="DO124" s="17" t="e">
        <v>#N/A</v>
      </c>
      <c r="DP124" s="17" t="e">
        <v>#N/A</v>
      </c>
      <c r="DQ124" s="17" t="e">
        <v>#N/A</v>
      </c>
      <c r="DR124" s="17" t="e">
        <v>#N/A</v>
      </c>
      <c r="DS124" s="17" t="e">
        <v>#N/A</v>
      </c>
      <c r="DT124" s="17" t="e">
        <v>#N/A</v>
      </c>
      <c r="DU124" s="17" t="e">
        <v>#N/A</v>
      </c>
      <c r="DV124" s="17" t="e">
        <v>#N/A</v>
      </c>
      <c r="DW124" s="17" t="e">
        <v>#N/A</v>
      </c>
      <c r="DX124" s="17" t="e">
        <v>#N/A</v>
      </c>
      <c r="DY124" s="17" t="e">
        <v>#N/A</v>
      </c>
      <c r="DZ124" s="17" t="e">
        <v>#N/A</v>
      </c>
      <c r="EA124" s="17" t="e">
        <v>#N/A</v>
      </c>
      <c r="EB124" s="17" t="e">
        <v>#N/A</v>
      </c>
      <c r="EC124" s="17" t="e">
        <v>#N/A</v>
      </c>
      <c r="ED124" s="17" t="e">
        <v>#N/A</v>
      </c>
      <c r="EE124" s="17" t="e">
        <v>#N/A</v>
      </c>
      <c r="EF124" s="17" t="e">
        <v>#N/A</v>
      </c>
      <c r="EG124" s="17" t="e">
        <v>#N/A</v>
      </c>
      <c r="EH124" s="17" t="e">
        <v>#N/A</v>
      </c>
      <c r="EI124" s="17" t="e">
        <v>#N/A</v>
      </c>
      <c r="EJ124" s="17" t="e">
        <v>#N/A</v>
      </c>
      <c r="EK124" s="17" t="e">
        <v>#N/A</v>
      </c>
      <c r="EL124" s="17" t="e">
        <v>#N/A</v>
      </c>
      <c r="EM124" s="17" t="e">
        <v>#N/A</v>
      </c>
      <c r="EN124" s="17" t="e">
        <v>#N/A</v>
      </c>
      <c r="EO124" s="17" t="e">
        <v>#N/A</v>
      </c>
      <c r="EP124" s="17" t="e">
        <v>#N/A</v>
      </c>
      <c r="EQ124" s="17" t="e">
        <v>#N/A</v>
      </c>
      <c r="ER124" s="17" t="e">
        <v>#N/A</v>
      </c>
      <c r="ES124" s="17" t="e">
        <v>#N/A</v>
      </c>
      <c r="ET124" s="17" t="e">
        <v>#N/A</v>
      </c>
      <c r="EU124" s="17" t="e">
        <v>#N/A</v>
      </c>
      <c r="EV124" s="17" t="e">
        <v>#N/A</v>
      </c>
      <c r="EW124" s="17" t="e">
        <v>#N/A</v>
      </c>
      <c r="EX124" s="17" t="e">
        <v>#N/A</v>
      </c>
      <c r="EY124" s="17" t="e">
        <v>#N/A</v>
      </c>
      <c r="EZ124" s="17" t="e">
        <v>#N/A</v>
      </c>
      <c r="FA124" s="17" t="e">
        <v>#N/A</v>
      </c>
      <c r="FB124" s="17" t="e">
        <v>#N/A</v>
      </c>
      <c r="FC124" s="17" t="e">
        <v>#N/A</v>
      </c>
      <c r="FD124" s="17" t="e">
        <v>#N/A</v>
      </c>
      <c r="FE124" s="17" t="e">
        <v>#N/A</v>
      </c>
      <c r="FF124" s="17" t="e">
        <v>#N/A</v>
      </c>
      <c r="FG124" s="17" t="e">
        <v>#N/A</v>
      </c>
      <c r="FH124" s="17" t="e">
        <v>#N/A</v>
      </c>
      <c r="FI124" s="17" t="e">
        <v>#N/A</v>
      </c>
      <c r="FJ124" s="17" t="e">
        <v>#N/A</v>
      </c>
      <c r="FK124" s="17" t="e">
        <v>#N/A</v>
      </c>
      <c r="FL124" s="17" t="e">
        <v>#N/A</v>
      </c>
      <c r="FM124" s="17" t="e">
        <v>#N/A</v>
      </c>
      <c r="FN124" s="17" t="e">
        <v>#N/A</v>
      </c>
      <c r="FO124" s="17" t="e">
        <v>#N/A</v>
      </c>
      <c r="FP124" s="17" t="e">
        <v>#N/A</v>
      </c>
      <c r="FQ124" s="17" t="e">
        <v>#N/A</v>
      </c>
      <c r="FR124" s="17" t="e">
        <v>#N/A</v>
      </c>
      <c r="FS124" s="17" t="e">
        <v>#N/A</v>
      </c>
      <c r="FT124" s="17" t="e">
        <v>#N/A</v>
      </c>
      <c r="FU124" s="17" t="e">
        <v>#N/A</v>
      </c>
      <c r="FV124" s="17" t="e">
        <v>#N/A</v>
      </c>
    </row>
    <row r="125" spans="2:178" ht="11.25" customHeight="1">
      <c r="B125" s="17" t="e">
        <v>#N/A</v>
      </c>
      <c r="C125" s="17" t="e">
        <v>#N/A</v>
      </c>
      <c r="D125" s="17" t="e">
        <v>#N/A</v>
      </c>
      <c r="E125" s="17" t="e">
        <v>#N/A</v>
      </c>
      <c r="F125" s="17" t="e">
        <v>#N/A</v>
      </c>
      <c r="G125" s="17" t="e">
        <v>#N/A</v>
      </c>
      <c r="H125" s="17" t="e">
        <v>#N/A</v>
      </c>
      <c r="I125" s="17" t="e">
        <v>#N/A</v>
      </c>
      <c r="J125" s="17" t="e">
        <v>#N/A</v>
      </c>
      <c r="K125" s="17" t="e">
        <v>#N/A</v>
      </c>
      <c r="L125" s="17" t="e">
        <v>#N/A</v>
      </c>
      <c r="M125" s="17" t="e">
        <v>#N/A</v>
      </c>
      <c r="N125" s="17" t="e">
        <v>#N/A</v>
      </c>
      <c r="O125" s="17" t="e">
        <v>#N/A</v>
      </c>
      <c r="P125" s="17" t="e">
        <v>#N/A</v>
      </c>
      <c r="Q125" s="17" t="e">
        <v>#N/A</v>
      </c>
      <c r="R125" s="17" t="e">
        <v>#N/A</v>
      </c>
      <c r="S125" s="17" t="e">
        <v>#N/A</v>
      </c>
      <c r="T125" s="17" t="e">
        <v>#N/A</v>
      </c>
      <c r="U125" s="17" t="e">
        <v>#N/A</v>
      </c>
      <c r="V125" s="17" t="e">
        <v>#N/A</v>
      </c>
      <c r="W125" s="17" t="e">
        <v>#N/A</v>
      </c>
      <c r="X125" s="17" t="e">
        <v>#N/A</v>
      </c>
      <c r="Y125" s="17" t="e">
        <v>#N/A</v>
      </c>
      <c r="Z125" s="17" t="e">
        <v>#N/A</v>
      </c>
      <c r="AA125" s="17" t="e">
        <v>#N/A</v>
      </c>
      <c r="AB125" s="17" t="e">
        <v>#N/A</v>
      </c>
      <c r="AC125" s="17" t="e">
        <v>#N/A</v>
      </c>
      <c r="AD125" s="17" t="e">
        <v>#N/A</v>
      </c>
      <c r="AE125" s="17" t="e">
        <v>#N/A</v>
      </c>
      <c r="AF125" s="17" t="e">
        <v>#N/A</v>
      </c>
      <c r="AG125" s="17" t="e">
        <v>#N/A</v>
      </c>
      <c r="AH125" s="17" t="e">
        <v>#N/A</v>
      </c>
      <c r="AI125" s="17" t="e">
        <v>#N/A</v>
      </c>
      <c r="AJ125" s="17" t="e">
        <v>#N/A</v>
      </c>
      <c r="AK125" s="17" t="e">
        <v>#N/A</v>
      </c>
      <c r="AL125" s="17" t="e">
        <v>#N/A</v>
      </c>
      <c r="AM125" s="17" t="e">
        <v>#N/A</v>
      </c>
      <c r="AN125" s="17" t="e">
        <v>#N/A</v>
      </c>
      <c r="AO125" s="17" t="e">
        <v>#N/A</v>
      </c>
      <c r="AP125" s="17" t="e">
        <v>#N/A</v>
      </c>
      <c r="AQ125" s="17" t="e">
        <v>#N/A</v>
      </c>
      <c r="AR125" s="17" t="e">
        <v>#N/A</v>
      </c>
      <c r="AS125" s="17" t="e">
        <v>#N/A</v>
      </c>
      <c r="AT125" s="17" t="e">
        <v>#N/A</v>
      </c>
      <c r="AU125" s="17" t="e">
        <v>#N/A</v>
      </c>
      <c r="AV125" s="17" t="e">
        <v>#N/A</v>
      </c>
      <c r="AW125" s="17" t="e">
        <v>#N/A</v>
      </c>
      <c r="AX125" s="17" t="e">
        <v>#N/A</v>
      </c>
      <c r="AY125" s="17" t="e">
        <v>#N/A</v>
      </c>
      <c r="AZ125" s="17" t="e">
        <v>#N/A</v>
      </c>
      <c r="BA125" s="17" t="e">
        <v>#N/A</v>
      </c>
      <c r="BB125" s="17" t="e">
        <v>#N/A</v>
      </c>
      <c r="BC125" s="17" t="e">
        <v>#N/A</v>
      </c>
      <c r="BD125" s="17" t="e">
        <v>#N/A</v>
      </c>
      <c r="BE125" s="17" t="e">
        <v>#N/A</v>
      </c>
      <c r="BF125" s="17" t="e">
        <v>#N/A</v>
      </c>
      <c r="BG125" s="17" t="e">
        <v>#N/A</v>
      </c>
      <c r="BH125" s="17" t="e">
        <v>#N/A</v>
      </c>
      <c r="BI125" s="17" t="e">
        <v>#N/A</v>
      </c>
      <c r="BJ125" s="17" t="e">
        <v>#N/A</v>
      </c>
      <c r="BK125" s="17" t="e">
        <v>#N/A</v>
      </c>
      <c r="BL125" s="17" t="e">
        <v>#N/A</v>
      </c>
      <c r="BM125" s="17" t="e">
        <v>#N/A</v>
      </c>
      <c r="BN125" s="17" t="e">
        <v>#N/A</v>
      </c>
      <c r="BO125" s="17" t="e">
        <v>#N/A</v>
      </c>
      <c r="BP125" s="17" t="e">
        <v>#N/A</v>
      </c>
      <c r="BQ125" s="17" t="e">
        <v>#N/A</v>
      </c>
      <c r="BR125" s="17" t="e">
        <v>#N/A</v>
      </c>
      <c r="BS125" s="17" t="e">
        <v>#N/A</v>
      </c>
      <c r="BT125" s="17" t="e">
        <v>#N/A</v>
      </c>
      <c r="BU125" s="17" t="e">
        <v>#N/A</v>
      </c>
      <c r="BV125" s="17" t="e">
        <v>#N/A</v>
      </c>
      <c r="BW125" s="17" t="e">
        <v>#N/A</v>
      </c>
      <c r="BX125" s="17" t="e">
        <v>#N/A</v>
      </c>
      <c r="BY125" s="17" t="e">
        <v>#N/A</v>
      </c>
      <c r="BZ125" s="17" t="e">
        <v>#N/A</v>
      </c>
      <c r="CA125" s="17" t="e">
        <v>#N/A</v>
      </c>
      <c r="CB125" s="17" t="e">
        <v>#N/A</v>
      </c>
      <c r="CC125" s="17" t="e">
        <v>#N/A</v>
      </c>
      <c r="CD125" s="17" t="e">
        <v>#N/A</v>
      </c>
      <c r="CE125" s="17" t="e">
        <v>#N/A</v>
      </c>
      <c r="CF125" s="17" t="e">
        <v>#N/A</v>
      </c>
      <c r="CG125" s="17" t="e">
        <v>#N/A</v>
      </c>
      <c r="CH125" s="17" t="e">
        <v>#N/A</v>
      </c>
      <c r="CI125" s="17" t="e">
        <v>#N/A</v>
      </c>
      <c r="CJ125" s="17" t="e">
        <v>#N/A</v>
      </c>
      <c r="CK125" s="17" t="e">
        <v>#N/A</v>
      </c>
      <c r="CL125" s="17" t="e">
        <v>#N/A</v>
      </c>
      <c r="CM125" s="17" t="e">
        <v>#N/A</v>
      </c>
      <c r="CN125" s="17" t="e">
        <v>#N/A</v>
      </c>
      <c r="CO125" s="17" t="e">
        <v>#N/A</v>
      </c>
      <c r="CP125" s="17" t="e">
        <v>#N/A</v>
      </c>
      <c r="CQ125" s="17" t="e">
        <v>#N/A</v>
      </c>
      <c r="CR125" s="17" t="e">
        <v>#N/A</v>
      </c>
      <c r="CS125" s="17" t="e">
        <v>#N/A</v>
      </c>
      <c r="CT125" s="17" t="e">
        <v>#N/A</v>
      </c>
      <c r="CU125" s="17" t="e">
        <v>#N/A</v>
      </c>
      <c r="CV125" s="17" t="e">
        <v>#N/A</v>
      </c>
      <c r="CW125" s="17" t="e">
        <v>#N/A</v>
      </c>
      <c r="CX125" s="17" t="e">
        <v>#N/A</v>
      </c>
      <c r="CY125" s="17" t="e">
        <v>#N/A</v>
      </c>
      <c r="CZ125" s="17" t="e">
        <v>#N/A</v>
      </c>
      <c r="DA125" s="17" t="e">
        <v>#N/A</v>
      </c>
      <c r="DB125" s="17" t="e">
        <v>#N/A</v>
      </c>
      <c r="DC125" s="17" t="e">
        <v>#N/A</v>
      </c>
      <c r="DD125" s="17" t="e">
        <v>#N/A</v>
      </c>
      <c r="DE125" s="17" t="e">
        <v>#N/A</v>
      </c>
      <c r="DF125" s="17" t="e">
        <v>#N/A</v>
      </c>
      <c r="DG125" s="17" t="e">
        <v>#N/A</v>
      </c>
      <c r="DH125" s="17" t="e">
        <v>#N/A</v>
      </c>
      <c r="DI125" s="17" t="e">
        <v>#N/A</v>
      </c>
      <c r="DJ125" s="17" t="e">
        <v>#N/A</v>
      </c>
      <c r="DK125" s="17" t="e">
        <v>#N/A</v>
      </c>
      <c r="DL125" s="17" t="e">
        <v>#N/A</v>
      </c>
      <c r="DM125" s="17" t="e">
        <v>#N/A</v>
      </c>
      <c r="DN125" s="17" t="e">
        <v>#N/A</v>
      </c>
      <c r="DO125" s="17" t="e">
        <v>#N/A</v>
      </c>
      <c r="DP125" s="17" t="e">
        <v>#N/A</v>
      </c>
      <c r="DQ125" s="17" t="e">
        <v>#N/A</v>
      </c>
      <c r="DR125" s="17" t="e">
        <v>#N/A</v>
      </c>
      <c r="DS125" s="17" t="e">
        <v>#N/A</v>
      </c>
      <c r="DT125" s="17" t="e">
        <v>#N/A</v>
      </c>
      <c r="DU125" s="17" t="e">
        <v>#N/A</v>
      </c>
      <c r="DV125" s="17" t="e">
        <v>#N/A</v>
      </c>
      <c r="DW125" s="17" t="e">
        <v>#N/A</v>
      </c>
      <c r="DX125" s="17" t="e">
        <v>#N/A</v>
      </c>
      <c r="DY125" s="17" t="e">
        <v>#N/A</v>
      </c>
      <c r="DZ125" s="17" t="e">
        <v>#N/A</v>
      </c>
      <c r="EA125" s="17" t="e">
        <v>#N/A</v>
      </c>
      <c r="EB125" s="17" t="e">
        <v>#N/A</v>
      </c>
      <c r="EC125" s="17" t="e">
        <v>#N/A</v>
      </c>
      <c r="ED125" s="17" t="e">
        <v>#N/A</v>
      </c>
      <c r="EE125" s="17" t="e">
        <v>#N/A</v>
      </c>
      <c r="EF125" s="17" t="e">
        <v>#N/A</v>
      </c>
      <c r="EG125" s="17" t="e">
        <v>#N/A</v>
      </c>
      <c r="EH125" s="17" t="e">
        <v>#N/A</v>
      </c>
      <c r="EI125" s="17" t="e">
        <v>#N/A</v>
      </c>
      <c r="EJ125" s="17" t="e">
        <v>#N/A</v>
      </c>
      <c r="EK125" s="17" t="e">
        <v>#N/A</v>
      </c>
      <c r="EL125" s="17" t="e">
        <v>#N/A</v>
      </c>
      <c r="EM125" s="17" t="e">
        <v>#N/A</v>
      </c>
      <c r="EN125" s="17" t="e">
        <v>#N/A</v>
      </c>
      <c r="EO125" s="17" t="e">
        <v>#N/A</v>
      </c>
      <c r="EP125" s="17" t="e">
        <v>#N/A</v>
      </c>
      <c r="EQ125" s="17" t="e">
        <v>#N/A</v>
      </c>
      <c r="ER125" s="17" t="e">
        <v>#N/A</v>
      </c>
      <c r="ES125" s="17" t="e">
        <v>#N/A</v>
      </c>
      <c r="ET125" s="17" t="e">
        <v>#N/A</v>
      </c>
      <c r="EU125" s="17" t="e">
        <v>#N/A</v>
      </c>
      <c r="EV125" s="17" t="e">
        <v>#N/A</v>
      </c>
      <c r="EW125" s="17" t="e">
        <v>#N/A</v>
      </c>
      <c r="EX125" s="17" t="e">
        <v>#N/A</v>
      </c>
      <c r="EY125" s="17" t="e">
        <v>#N/A</v>
      </c>
      <c r="EZ125" s="17" t="e">
        <v>#N/A</v>
      </c>
      <c r="FA125" s="17" t="e">
        <v>#N/A</v>
      </c>
      <c r="FB125" s="17" t="e">
        <v>#N/A</v>
      </c>
      <c r="FC125" s="17" t="e">
        <v>#N/A</v>
      </c>
      <c r="FD125" s="17" t="e">
        <v>#N/A</v>
      </c>
      <c r="FE125" s="17" t="e">
        <v>#N/A</v>
      </c>
      <c r="FF125" s="17" t="e">
        <v>#N/A</v>
      </c>
      <c r="FG125" s="17" t="e">
        <v>#N/A</v>
      </c>
      <c r="FH125" s="17" t="e">
        <v>#N/A</v>
      </c>
      <c r="FI125" s="17" t="e">
        <v>#N/A</v>
      </c>
      <c r="FJ125" s="17" t="e">
        <v>#N/A</v>
      </c>
      <c r="FK125" s="17" t="e">
        <v>#N/A</v>
      </c>
      <c r="FL125" s="17" t="e">
        <v>#N/A</v>
      </c>
      <c r="FM125" s="17" t="e">
        <v>#N/A</v>
      </c>
      <c r="FN125" s="17" t="e">
        <v>#N/A</v>
      </c>
      <c r="FO125" s="17" t="e">
        <v>#N/A</v>
      </c>
      <c r="FP125" s="17" t="e">
        <v>#N/A</v>
      </c>
      <c r="FQ125" s="17" t="e">
        <v>#N/A</v>
      </c>
      <c r="FR125" s="17" t="e">
        <v>#N/A</v>
      </c>
      <c r="FS125" s="17" t="e">
        <v>#N/A</v>
      </c>
      <c r="FT125" s="17" t="e">
        <v>#N/A</v>
      </c>
      <c r="FU125" s="17" t="e">
        <v>#N/A</v>
      </c>
      <c r="FV125" s="17" t="e">
        <v>#N/A</v>
      </c>
    </row>
    <row r="126" spans="2:178" ht="11.25" customHeight="1">
      <c r="B126" s="17" t="e">
        <v>#N/A</v>
      </c>
      <c r="C126" s="17" t="e">
        <v>#N/A</v>
      </c>
      <c r="D126" s="17" t="e">
        <v>#N/A</v>
      </c>
      <c r="E126" s="17" t="e">
        <v>#N/A</v>
      </c>
      <c r="F126" s="17" t="e">
        <v>#N/A</v>
      </c>
      <c r="G126" s="17" t="e">
        <v>#N/A</v>
      </c>
      <c r="H126" s="17" t="e">
        <v>#N/A</v>
      </c>
      <c r="I126" s="17" t="e">
        <v>#N/A</v>
      </c>
      <c r="J126" s="17" t="e">
        <v>#N/A</v>
      </c>
      <c r="K126" s="17" t="e">
        <v>#N/A</v>
      </c>
      <c r="L126" s="17" t="e">
        <v>#N/A</v>
      </c>
      <c r="M126" s="17" t="e">
        <v>#N/A</v>
      </c>
      <c r="N126" s="17" t="e">
        <v>#N/A</v>
      </c>
      <c r="O126" s="17" t="e">
        <v>#N/A</v>
      </c>
      <c r="P126" s="17" t="e">
        <v>#N/A</v>
      </c>
      <c r="Q126" s="17" t="e">
        <v>#N/A</v>
      </c>
      <c r="R126" s="17" t="e">
        <v>#N/A</v>
      </c>
      <c r="S126" s="17" t="e">
        <v>#N/A</v>
      </c>
      <c r="T126" s="17" t="e">
        <v>#N/A</v>
      </c>
      <c r="U126" s="17" t="e">
        <v>#N/A</v>
      </c>
      <c r="V126" s="17" t="e">
        <v>#N/A</v>
      </c>
      <c r="W126" s="17" t="e">
        <v>#N/A</v>
      </c>
      <c r="X126" s="17" t="e">
        <v>#N/A</v>
      </c>
      <c r="Y126" s="17" t="e">
        <v>#N/A</v>
      </c>
      <c r="Z126" s="17" t="e">
        <v>#N/A</v>
      </c>
      <c r="AA126" s="17" t="e">
        <v>#N/A</v>
      </c>
      <c r="AB126" s="17" t="e">
        <v>#N/A</v>
      </c>
      <c r="AC126" s="17" t="e">
        <v>#N/A</v>
      </c>
      <c r="AD126" s="17" t="e">
        <v>#N/A</v>
      </c>
      <c r="AE126" s="17" t="e">
        <v>#N/A</v>
      </c>
      <c r="AF126" s="17" t="e">
        <v>#N/A</v>
      </c>
      <c r="AG126" s="17" t="e">
        <v>#N/A</v>
      </c>
      <c r="AH126" s="17" t="e">
        <v>#N/A</v>
      </c>
      <c r="AI126" s="17" t="e">
        <v>#N/A</v>
      </c>
      <c r="AJ126" s="17" t="e">
        <v>#N/A</v>
      </c>
      <c r="AK126" s="17" t="e">
        <v>#N/A</v>
      </c>
      <c r="AL126" s="17" t="e">
        <v>#N/A</v>
      </c>
      <c r="AM126" s="17" t="e">
        <v>#N/A</v>
      </c>
      <c r="AN126" s="17" t="e">
        <v>#N/A</v>
      </c>
      <c r="AO126" s="17" t="e">
        <v>#N/A</v>
      </c>
      <c r="AP126" s="17" t="e">
        <v>#N/A</v>
      </c>
      <c r="AQ126" s="17" t="e">
        <v>#N/A</v>
      </c>
      <c r="AR126" s="17" t="e">
        <v>#N/A</v>
      </c>
      <c r="AS126" s="17" t="e">
        <v>#N/A</v>
      </c>
      <c r="AT126" s="17" t="e">
        <v>#N/A</v>
      </c>
      <c r="AU126" s="17" t="e">
        <v>#N/A</v>
      </c>
      <c r="AV126" s="17" t="e">
        <v>#N/A</v>
      </c>
      <c r="AW126" s="17" t="e">
        <v>#N/A</v>
      </c>
      <c r="AX126" s="17" t="e">
        <v>#N/A</v>
      </c>
      <c r="AY126" s="17" t="e">
        <v>#N/A</v>
      </c>
      <c r="AZ126" s="17" t="e">
        <v>#N/A</v>
      </c>
      <c r="BA126" s="17" t="e">
        <v>#N/A</v>
      </c>
      <c r="BB126" s="17" t="e">
        <v>#N/A</v>
      </c>
      <c r="BC126" s="17" t="e">
        <v>#N/A</v>
      </c>
      <c r="BD126" s="17" t="e">
        <v>#N/A</v>
      </c>
      <c r="BE126" s="17" t="e">
        <v>#N/A</v>
      </c>
      <c r="BF126" s="17" t="e">
        <v>#N/A</v>
      </c>
      <c r="BG126" s="17" t="e">
        <v>#N/A</v>
      </c>
      <c r="BH126" s="17" t="e">
        <v>#N/A</v>
      </c>
      <c r="BI126" s="17" t="e">
        <v>#N/A</v>
      </c>
      <c r="BJ126" s="17" t="e">
        <v>#N/A</v>
      </c>
      <c r="BK126" s="17" t="e">
        <v>#N/A</v>
      </c>
      <c r="BL126" s="17" t="e">
        <v>#N/A</v>
      </c>
      <c r="BM126" s="17" t="e">
        <v>#N/A</v>
      </c>
      <c r="BN126" s="17" t="e">
        <v>#N/A</v>
      </c>
      <c r="BO126" s="17" t="e">
        <v>#N/A</v>
      </c>
      <c r="BP126" s="17" t="e">
        <v>#N/A</v>
      </c>
      <c r="BQ126" s="17" t="e">
        <v>#N/A</v>
      </c>
      <c r="BR126" s="17" t="e">
        <v>#N/A</v>
      </c>
      <c r="BS126" s="17" t="e">
        <v>#N/A</v>
      </c>
      <c r="BT126" s="17" t="e">
        <v>#N/A</v>
      </c>
      <c r="BU126" s="17" t="e">
        <v>#N/A</v>
      </c>
      <c r="BV126" s="17" t="e">
        <v>#N/A</v>
      </c>
      <c r="BW126" s="17" t="e">
        <v>#N/A</v>
      </c>
      <c r="BX126" s="17" t="e">
        <v>#N/A</v>
      </c>
      <c r="BY126" s="17" t="e">
        <v>#N/A</v>
      </c>
      <c r="BZ126" s="17" t="e">
        <v>#N/A</v>
      </c>
      <c r="CA126" s="17" t="e">
        <v>#N/A</v>
      </c>
      <c r="CB126" s="17" t="e">
        <v>#N/A</v>
      </c>
      <c r="CC126" s="17" t="e">
        <v>#N/A</v>
      </c>
      <c r="CD126" s="17" t="e">
        <v>#N/A</v>
      </c>
      <c r="CE126" s="17" t="e">
        <v>#N/A</v>
      </c>
      <c r="CF126" s="17" t="e">
        <v>#N/A</v>
      </c>
      <c r="CG126" s="17" t="e">
        <v>#N/A</v>
      </c>
      <c r="CH126" s="17" t="e">
        <v>#N/A</v>
      </c>
      <c r="CI126" s="17" t="e">
        <v>#N/A</v>
      </c>
      <c r="CJ126" s="17" t="e">
        <v>#N/A</v>
      </c>
      <c r="CK126" s="17" t="e">
        <v>#N/A</v>
      </c>
      <c r="CL126" s="17" t="e">
        <v>#N/A</v>
      </c>
      <c r="CM126" s="17" t="e">
        <v>#N/A</v>
      </c>
      <c r="CN126" s="17" t="e">
        <v>#N/A</v>
      </c>
      <c r="CO126" s="17" t="e">
        <v>#N/A</v>
      </c>
      <c r="CP126" s="17" t="e">
        <v>#N/A</v>
      </c>
      <c r="CQ126" s="17" t="e">
        <v>#N/A</v>
      </c>
      <c r="CR126" s="17" t="e">
        <v>#N/A</v>
      </c>
      <c r="CS126" s="17" t="e">
        <v>#N/A</v>
      </c>
      <c r="CT126" s="17" t="e">
        <v>#N/A</v>
      </c>
      <c r="CU126" s="17" t="e">
        <v>#N/A</v>
      </c>
      <c r="CV126" s="17" t="e">
        <v>#N/A</v>
      </c>
      <c r="CW126" s="17" t="e">
        <v>#N/A</v>
      </c>
      <c r="CX126" s="17" t="e">
        <v>#N/A</v>
      </c>
      <c r="CY126" s="17" t="e">
        <v>#N/A</v>
      </c>
      <c r="CZ126" s="17" t="e">
        <v>#N/A</v>
      </c>
      <c r="DA126" s="17" t="e">
        <v>#N/A</v>
      </c>
      <c r="DB126" s="17" t="e">
        <v>#N/A</v>
      </c>
      <c r="DC126" s="17" t="e">
        <v>#N/A</v>
      </c>
      <c r="DD126" s="17" t="e">
        <v>#N/A</v>
      </c>
      <c r="DE126" s="17" t="e">
        <v>#N/A</v>
      </c>
      <c r="DF126" s="17" t="e">
        <v>#N/A</v>
      </c>
      <c r="DG126" s="17" t="e">
        <v>#N/A</v>
      </c>
      <c r="DH126" s="17" t="e">
        <v>#N/A</v>
      </c>
      <c r="DI126" s="17" t="e">
        <v>#N/A</v>
      </c>
      <c r="DJ126" s="17" t="e">
        <v>#N/A</v>
      </c>
      <c r="DK126" s="17" t="e">
        <v>#N/A</v>
      </c>
      <c r="DL126" s="17" t="e">
        <v>#N/A</v>
      </c>
      <c r="DM126" s="17" t="e">
        <v>#N/A</v>
      </c>
      <c r="DN126" s="17" t="e">
        <v>#N/A</v>
      </c>
      <c r="DO126" s="17" t="e">
        <v>#N/A</v>
      </c>
      <c r="DP126" s="17" t="e">
        <v>#N/A</v>
      </c>
      <c r="DQ126" s="17" t="e">
        <v>#N/A</v>
      </c>
      <c r="DR126" s="17" t="e">
        <v>#N/A</v>
      </c>
      <c r="DS126" s="17" t="e">
        <v>#N/A</v>
      </c>
      <c r="DT126" s="17" t="e">
        <v>#N/A</v>
      </c>
      <c r="DU126" s="17" t="e">
        <v>#N/A</v>
      </c>
      <c r="DV126" s="17" t="e">
        <v>#N/A</v>
      </c>
      <c r="DW126" s="17" t="e">
        <v>#N/A</v>
      </c>
      <c r="DX126" s="17" t="e">
        <v>#N/A</v>
      </c>
      <c r="DY126" s="17" t="e">
        <v>#N/A</v>
      </c>
      <c r="DZ126" s="17" t="e">
        <v>#N/A</v>
      </c>
      <c r="EA126" s="17" t="e">
        <v>#N/A</v>
      </c>
      <c r="EB126" s="17" t="e">
        <v>#N/A</v>
      </c>
      <c r="EC126" s="17" t="e">
        <v>#N/A</v>
      </c>
      <c r="ED126" s="17" t="e">
        <v>#N/A</v>
      </c>
      <c r="EE126" s="17" t="e">
        <v>#N/A</v>
      </c>
      <c r="EF126" s="17" t="e">
        <v>#N/A</v>
      </c>
      <c r="EG126" s="17" t="e">
        <v>#N/A</v>
      </c>
      <c r="EH126" s="17" t="e">
        <v>#N/A</v>
      </c>
      <c r="EI126" s="17" t="e">
        <v>#N/A</v>
      </c>
      <c r="EJ126" s="17" t="e">
        <v>#N/A</v>
      </c>
      <c r="EK126" s="17" t="e">
        <v>#N/A</v>
      </c>
      <c r="EL126" s="17" t="e">
        <v>#N/A</v>
      </c>
      <c r="EM126" s="17" t="e">
        <v>#N/A</v>
      </c>
      <c r="EN126" s="17" t="e">
        <v>#N/A</v>
      </c>
      <c r="EO126" s="17" t="e">
        <v>#N/A</v>
      </c>
      <c r="EP126" s="17" t="e">
        <v>#N/A</v>
      </c>
      <c r="EQ126" s="17" t="e">
        <v>#N/A</v>
      </c>
      <c r="ER126" s="17" t="e">
        <v>#N/A</v>
      </c>
      <c r="ES126" s="17" t="e">
        <v>#N/A</v>
      </c>
      <c r="ET126" s="17" t="e">
        <v>#N/A</v>
      </c>
      <c r="EU126" s="17" t="e">
        <v>#N/A</v>
      </c>
      <c r="EV126" s="17" t="e">
        <v>#N/A</v>
      </c>
      <c r="EW126" s="17" t="e">
        <v>#N/A</v>
      </c>
      <c r="EX126" s="17" t="e">
        <v>#N/A</v>
      </c>
      <c r="EY126" s="17" t="e">
        <v>#N/A</v>
      </c>
      <c r="EZ126" s="17" t="e">
        <v>#N/A</v>
      </c>
      <c r="FA126" s="17" t="e">
        <v>#N/A</v>
      </c>
      <c r="FB126" s="17" t="e">
        <v>#N/A</v>
      </c>
      <c r="FC126" s="17" t="e">
        <v>#N/A</v>
      </c>
      <c r="FD126" s="17" t="e">
        <v>#N/A</v>
      </c>
      <c r="FE126" s="17" t="e">
        <v>#N/A</v>
      </c>
      <c r="FF126" s="17" t="e">
        <v>#N/A</v>
      </c>
      <c r="FG126" s="17" t="e">
        <v>#N/A</v>
      </c>
      <c r="FH126" s="17" t="e">
        <v>#N/A</v>
      </c>
      <c r="FI126" s="17" t="e">
        <v>#N/A</v>
      </c>
      <c r="FJ126" s="17" t="e">
        <v>#N/A</v>
      </c>
      <c r="FK126" s="17" t="e">
        <v>#N/A</v>
      </c>
      <c r="FL126" s="17" t="e">
        <v>#N/A</v>
      </c>
      <c r="FM126" s="17" t="e">
        <v>#N/A</v>
      </c>
      <c r="FN126" s="17" t="e">
        <v>#N/A</v>
      </c>
      <c r="FO126" s="17" t="e">
        <v>#N/A</v>
      </c>
      <c r="FP126" s="17" t="e">
        <v>#N/A</v>
      </c>
      <c r="FQ126" s="17" t="e">
        <v>#N/A</v>
      </c>
      <c r="FR126" s="17" t="e">
        <v>#N/A</v>
      </c>
      <c r="FS126" s="17" t="e">
        <v>#N/A</v>
      </c>
      <c r="FT126" s="17" t="e">
        <v>#N/A</v>
      </c>
      <c r="FU126" s="17" t="e">
        <v>#N/A</v>
      </c>
      <c r="FV126" s="17" t="e">
        <v>#N/A</v>
      </c>
    </row>
    <row r="127" spans="2:178" ht="11.25" customHeight="1">
      <c r="B127" s="17" t="e">
        <v>#N/A</v>
      </c>
      <c r="C127" s="17" t="e">
        <v>#N/A</v>
      </c>
      <c r="D127" s="17" t="e">
        <v>#N/A</v>
      </c>
      <c r="E127" s="17" t="e">
        <v>#N/A</v>
      </c>
      <c r="F127" s="17" t="e">
        <v>#N/A</v>
      </c>
      <c r="G127" s="17" t="e">
        <v>#N/A</v>
      </c>
      <c r="H127" s="17" t="e">
        <v>#N/A</v>
      </c>
      <c r="I127" s="17" t="e">
        <v>#N/A</v>
      </c>
      <c r="J127" s="17" t="e">
        <v>#N/A</v>
      </c>
      <c r="K127" s="17" t="e">
        <v>#N/A</v>
      </c>
      <c r="L127" s="17" t="e">
        <v>#N/A</v>
      </c>
      <c r="M127" s="17" t="e">
        <v>#N/A</v>
      </c>
      <c r="N127" s="17" t="e">
        <v>#N/A</v>
      </c>
      <c r="O127" s="17" t="e">
        <v>#N/A</v>
      </c>
      <c r="P127" s="17" t="e">
        <v>#N/A</v>
      </c>
      <c r="Q127" s="17" t="e">
        <v>#N/A</v>
      </c>
      <c r="R127" s="17" t="e">
        <v>#N/A</v>
      </c>
      <c r="S127" s="17" t="e">
        <v>#N/A</v>
      </c>
      <c r="T127" s="17" t="e">
        <v>#N/A</v>
      </c>
      <c r="U127" s="17" t="e">
        <v>#N/A</v>
      </c>
      <c r="V127" s="17" t="e">
        <v>#N/A</v>
      </c>
      <c r="W127" s="17" t="e">
        <v>#N/A</v>
      </c>
      <c r="X127" s="17" t="e">
        <v>#N/A</v>
      </c>
      <c r="Y127" s="17" t="e">
        <v>#N/A</v>
      </c>
      <c r="Z127" s="17" t="e">
        <v>#N/A</v>
      </c>
      <c r="AA127" s="17" t="e">
        <v>#N/A</v>
      </c>
      <c r="AB127" s="17" t="e">
        <v>#N/A</v>
      </c>
      <c r="AC127" s="17" t="e">
        <v>#N/A</v>
      </c>
      <c r="AD127" s="17" t="e">
        <v>#N/A</v>
      </c>
      <c r="AE127" s="17" t="e">
        <v>#N/A</v>
      </c>
      <c r="AF127" s="17" t="e">
        <v>#N/A</v>
      </c>
      <c r="AG127" s="17" t="e">
        <v>#N/A</v>
      </c>
      <c r="AH127" s="17" t="e">
        <v>#N/A</v>
      </c>
      <c r="AI127" s="17" t="e">
        <v>#N/A</v>
      </c>
      <c r="AJ127" s="17" t="e">
        <v>#N/A</v>
      </c>
      <c r="AK127" s="17" t="e">
        <v>#N/A</v>
      </c>
      <c r="AL127" s="17" t="e">
        <v>#N/A</v>
      </c>
      <c r="AM127" s="17" t="e">
        <v>#N/A</v>
      </c>
      <c r="AN127" s="17" t="e">
        <v>#N/A</v>
      </c>
      <c r="AO127" s="17" t="e">
        <v>#N/A</v>
      </c>
      <c r="AP127" s="17" t="e">
        <v>#N/A</v>
      </c>
      <c r="AQ127" s="17" t="e">
        <v>#N/A</v>
      </c>
      <c r="AR127" s="17" t="e">
        <v>#N/A</v>
      </c>
      <c r="AS127" s="17" t="e">
        <v>#N/A</v>
      </c>
      <c r="AT127" s="17" t="e">
        <v>#N/A</v>
      </c>
      <c r="AU127" s="17" t="e">
        <v>#N/A</v>
      </c>
      <c r="AV127" s="17" t="e">
        <v>#N/A</v>
      </c>
      <c r="AW127" s="17" t="e">
        <v>#N/A</v>
      </c>
      <c r="AX127" s="17" t="e">
        <v>#N/A</v>
      </c>
      <c r="AY127" s="17" t="e">
        <v>#N/A</v>
      </c>
      <c r="AZ127" s="17" t="e">
        <v>#N/A</v>
      </c>
      <c r="BA127" s="17" t="e">
        <v>#N/A</v>
      </c>
      <c r="BB127" s="17" t="e">
        <v>#N/A</v>
      </c>
      <c r="BC127" s="17" t="e">
        <v>#N/A</v>
      </c>
      <c r="BD127" s="17" t="e">
        <v>#N/A</v>
      </c>
      <c r="BE127" s="17" t="e">
        <v>#N/A</v>
      </c>
      <c r="BF127" s="17" t="e">
        <v>#N/A</v>
      </c>
      <c r="BG127" s="17" t="e">
        <v>#N/A</v>
      </c>
      <c r="BH127" s="17" t="e">
        <v>#N/A</v>
      </c>
      <c r="BI127" s="17" t="e">
        <v>#N/A</v>
      </c>
      <c r="BJ127" s="17" t="e">
        <v>#N/A</v>
      </c>
      <c r="BK127" s="17" t="e">
        <v>#N/A</v>
      </c>
      <c r="BL127" s="17" t="e">
        <v>#N/A</v>
      </c>
      <c r="BM127" s="17" t="e">
        <v>#N/A</v>
      </c>
      <c r="BN127" s="17" t="e">
        <v>#N/A</v>
      </c>
      <c r="BO127" s="17" t="e">
        <v>#N/A</v>
      </c>
      <c r="BP127" s="17" t="e">
        <v>#N/A</v>
      </c>
      <c r="BQ127" s="17" t="e">
        <v>#N/A</v>
      </c>
      <c r="BR127" s="17" t="e">
        <v>#N/A</v>
      </c>
      <c r="BS127" s="17" t="e">
        <v>#N/A</v>
      </c>
      <c r="BT127" s="17" t="e">
        <v>#N/A</v>
      </c>
      <c r="BU127" s="17" t="e">
        <v>#N/A</v>
      </c>
      <c r="BV127" s="17" t="e">
        <v>#N/A</v>
      </c>
      <c r="BW127" s="17" t="e">
        <v>#N/A</v>
      </c>
      <c r="BX127" s="17" t="e">
        <v>#N/A</v>
      </c>
      <c r="BY127" s="17" t="e">
        <v>#N/A</v>
      </c>
      <c r="BZ127" s="17" t="e">
        <v>#N/A</v>
      </c>
      <c r="CA127" s="17" t="e">
        <v>#N/A</v>
      </c>
      <c r="CB127" s="17" t="e">
        <v>#N/A</v>
      </c>
      <c r="CC127" s="17" t="e">
        <v>#N/A</v>
      </c>
      <c r="CD127" s="17" t="e">
        <v>#N/A</v>
      </c>
      <c r="CE127" s="17" t="e">
        <v>#N/A</v>
      </c>
      <c r="CF127" s="17" t="e">
        <v>#N/A</v>
      </c>
      <c r="CG127" s="17" t="e">
        <v>#N/A</v>
      </c>
      <c r="CH127" s="17" t="e">
        <v>#N/A</v>
      </c>
      <c r="CI127" s="17" t="e">
        <v>#N/A</v>
      </c>
      <c r="CJ127" s="17" t="e">
        <v>#N/A</v>
      </c>
      <c r="CK127" s="17" t="e">
        <v>#N/A</v>
      </c>
      <c r="CL127" s="17" t="e">
        <v>#N/A</v>
      </c>
      <c r="CM127" s="17" t="e">
        <v>#N/A</v>
      </c>
      <c r="CN127" s="17" t="e">
        <v>#N/A</v>
      </c>
      <c r="CO127" s="17" t="e">
        <v>#N/A</v>
      </c>
      <c r="CP127" s="17" t="e">
        <v>#N/A</v>
      </c>
      <c r="CQ127" s="17" t="e">
        <v>#N/A</v>
      </c>
      <c r="CR127" s="17" t="e">
        <v>#N/A</v>
      </c>
      <c r="CS127" s="17" t="e">
        <v>#N/A</v>
      </c>
      <c r="CT127" s="17" t="e">
        <v>#N/A</v>
      </c>
      <c r="CU127" s="17" t="e">
        <v>#N/A</v>
      </c>
      <c r="CV127" s="17" t="e">
        <v>#N/A</v>
      </c>
      <c r="CW127" s="17" t="e">
        <v>#N/A</v>
      </c>
      <c r="CX127" s="17" t="e">
        <v>#N/A</v>
      </c>
      <c r="CY127" s="17" t="e">
        <v>#N/A</v>
      </c>
      <c r="CZ127" s="17" t="e">
        <v>#N/A</v>
      </c>
      <c r="DA127" s="17" t="e">
        <v>#N/A</v>
      </c>
      <c r="DB127" s="17" t="e">
        <v>#N/A</v>
      </c>
      <c r="DC127" s="17" t="e">
        <v>#N/A</v>
      </c>
      <c r="DD127" s="17" t="e">
        <v>#N/A</v>
      </c>
      <c r="DE127" s="17" t="e">
        <v>#N/A</v>
      </c>
      <c r="DF127" s="17" t="e">
        <v>#N/A</v>
      </c>
      <c r="DG127" s="17" t="e">
        <v>#N/A</v>
      </c>
      <c r="DH127" s="17" t="e">
        <v>#N/A</v>
      </c>
      <c r="DI127" s="17" t="e">
        <v>#N/A</v>
      </c>
      <c r="DJ127" s="17" t="e">
        <v>#N/A</v>
      </c>
      <c r="DK127" s="17" t="e">
        <v>#N/A</v>
      </c>
      <c r="DL127" s="17" t="e">
        <v>#N/A</v>
      </c>
      <c r="DM127" s="17" t="e">
        <v>#N/A</v>
      </c>
      <c r="DN127" s="17" t="e">
        <v>#N/A</v>
      </c>
      <c r="DO127" s="17" t="e">
        <v>#N/A</v>
      </c>
      <c r="DP127" s="17" t="e">
        <v>#N/A</v>
      </c>
      <c r="DQ127" s="17" t="e">
        <v>#N/A</v>
      </c>
      <c r="DR127" s="17" t="e">
        <v>#N/A</v>
      </c>
      <c r="DS127" s="17" t="e">
        <v>#N/A</v>
      </c>
      <c r="DT127" s="17" t="e">
        <v>#N/A</v>
      </c>
      <c r="DU127" s="17" t="e">
        <v>#N/A</v>
      </c>
      <c r="DV127" s="17" t="e">
        <v>#N/A</v>
      </c>
      <c r="DW127" s="17" t="e">
        <v>#N/A</v>
      </c>
      <c r="DX127" s="17" t="e">
        <v>#N/A</v>
      </c>
      <c r="DY127" s="17" t="e">
        <v>#N/A</v>
      </c>
      <c r="DZ127" s="17" t="e">
        <v>#N/A</v>
      </c>
      <c r="EA127" s="17" t="e">
        <v>#N/A</v>
      </c>
      <c r="EB127" s="17" t="e">
        <v>#N/A</v>
      </c>
      <c r="EC127" s="17" t="e">
        <v>#N/A</v>
      </c>
      <c r="ED127" s="17" t="e">
        <v>#N/A</v>
      </c>
      <c r="EE127" s="17" t="e">
        <v>#N/A</v>
      </c>
      <c r="EF127" s="17" t="e">
        <v>#N/A</v>
      </c>
      <c r="EG127" s="17" t="e">
        <v>#N/A</v>
      </c>
      <c r="EH127" s="17" t="e">
        <v>#N/A</v>
      </c>
      <c r="EI127" s="17" t="e">
        <v>#N/A</v>
      </c>
      <c r="EJ127" s="17" t="e">
        <v>#N/A</v>
      </c>
      <c r="EK127" s="17" t="e">
        <v>#N/A</v>
      </c>
      <c r="EL127" s="17" t="e">
        <v>#N/A</v>
      </c>
      <c r="EM127" s="17" t="e">
        <v>#N/A</v>
      </c>
      <c r="EN127" s="17" t="e">
        <v>#N/A</v>
      </c>
      <c r="EO127" s="17" t="e">
        <v>#N/A</v>
      </c>
      <c r="EP127" s="17" t="e">
        <v>#N/A</v>
      </c>
      <c r="EQ127" s="17" t="e">
        <v>#N/A</v>
      </c>
      <c r="ER127" s="17" t="e">
        <v>#N/A</v>
      </c>
      <c r="ES127" s="17" t="e">
        <v>#N/A</v>
      </c>
      <c r="ET127" s="17" t="e">
        <v>#N/A</v>
      </c>
      <c r="EU127" s="17" t="e">
        <v>#N/A</v>
      </c>
      <c r="EV127" s="17" t="e">
        <v>#N/A</v>
      </c>
      <c r="EW127" s="17" t="e">
        <v>#N/A</v>
      </c>
      <c r="EX127" s="17" t="e">
        <v>#N/A</v>
      </c>
      <c r="EY127" s="17" t="e">
        <v>#N/A</v>
      </c>
      <c r="EZ127" s="17" t="e">
        <v>#N/A</v>
      </c>
      <c r="FA127" s="17" t="e">
        <v>#N/A</v>
      </c>
      <c r="FB127" s="17" t="e">
        <v>#N/A</v>
      </c>
      <c r="FC127" s="17" t="e">
        <v>#N/A</v>
      </c>
      <c r="FD127" s="17" t="e">
        <v>#N/A</v>
      </c>
      <c r="FE127" s="17" t="e">
        <v>#N/A</v>
      </c>
      <c r="FF127" s="17" t="e">
        <v>#N/A</v>
      </c>
      <c r="FG127" s="17" t="e">
        <v>#N/A</v>
      </c>
      <c r="FH127" s="17" t="e">
        <v>#N/A</v>
      </c>
      <c r="FI127" s="17" t="e">
        <v>#N/A</v>
      </c>
      <c r="FJ127" s="17" t="e">
        <v>#N/A</v>
      </c>
      <c r="FK127" s="17" t="e">
        <v>#N/A</v>
      </c>
      <c r="FL127" s="17" t="e">
        <v>#N/A</v>
      </c>
      <c r="FM127" s="17" t="e">
        <v>#N/A</v>
      </c>
      <c r="FN127" s="17" t="e">
        <v>#N/A</v>
      </c>
      <c r="FO127" s="17" t="e">
        <v>#N/A</v>
      </c>
      <c r="FP127" s="17" t="e">
        <v>#N/A</v>
      </c>
      <c r="FQ127" s="17" t="e">
        <v>#N/A</v>
      </c>
      <c r="FR127" s="17" t="e">
        <v>#N/A</v>
      </c>
      <c r="FS127" s="17" t="e">
        <v>#N/A</v>
      </c>
      <c r="FT127" s="17" t="e">
        <v>#N/A</v>
      </c>
      <c r="FU127" s="17" t="e">
        <v>#N/A</v>
      </c>
      <c r="FV127" s="17" t="e">
        <v>#N/A</v>
      </c>
    </row>
    <row r="128" spans="2:178" ht="11.25" customHeight="1">
      <c r="B128" s="17" t="e">
        <v>#N/A</v>
      </c>
      <c r="C128" s="17" t="e">
        <v>#N/A</v>
      </c>
      <c r="D128" s="17" t="e">
        <v>#N/A</v>
      </c>
      <c r="E128" s="17" t="e">
        <v>#N/A</v>
      </c>
      <c r="F128" s="17" t="e">
        <v>#N/A</v>
      </c>
      <c r="G128" s="17" t="e">
        <v>#N/A</v>
      </c>
      <c r="H128" s="17" t="e">
        <v>#N/A</v>
      </c>
      <c r="I128" s="17" t="e">
        <v>#N/A</v>
      </c>
      <c r="J128" s="17" t="e">
        <v>#N/A</v>
      </c>
      <c r="K128" s="17" t="e">
        <v>#N/A</v>
      </c>
      <c r="L128" s="17" t="e">
        <v>#N/A</v>
      </c>
      <c r="M128" s="17" t="e">
        <v>#N/A</v>
      </c>
      <c r="N128" s="17" t="e">
        <v>#N/A</v>
      </c>
      <c r="O128" s="17" t="e">
        <v>#N/A</v>
      </c>
      <c r="P128" s="17" t="e">
        <v>#N/A</v>
      </c>
      <c r="Q128" s="17" t="e">
        <v>#N/A</v>
      </c>
      <c r="R128" s="17" t="e">
        <v>#N/A</v>
      </c>
      <c r="S128" s="17" t="e">
        <v>#N/A</v>
      </c>
      <c r="T128" s="17" t="e">
        <v>#N/A</v>
      </c>
      <c r="U128" s="17" t="e">
        <v>#N/A</v>
      </c>
      <c r="V128" s="17" t="e">
        <v>#N/A</v>
      </c>
      <c r="W128" s="17" t="e">
        <v>#N/A</v>
      </c>
      <c r="X128" s="17" t="e">
        <v>#N/A</v>
      </c>
      <c r="Y128" s="17" t="e">
        <v>#N/A</v>
      </c>
      <c r="Z128" s="17" t="e">
        <v>#N/A</v>
      </c>
      <c r="AA128" s="17" t="e">
        <v>#N/A</v>
      </c>
      <c r="AB128" s="17" t="e">
        <v>#N/A</v>
      </c>
      <c r="AC128" s="17" t="e">
        <v>#N/A</v>
      </c>
      <c r="AD128" s="17" t="e">
        <v>#N/A</v>
      </c>
      <c r="AE128" s="17" t="e">
        <v>#N/A</v>
      </c>
      <c r="AF128" s="17" t="e">
        <v>#N/A</v>
      </c>
      <c r="AG128" s="17" t="e">
        <v>#N/A</v>
      </c>
      <c r="AH128" s="17" t="e">
        <v>#N/A</v>
      </c>
      <c r="AI128" s="17" t="e">
        <v>#N/A</v>
      </c>
      <c r="AJ128" s="17" t="e">
        <v>#N/A</v>
      </c>
      <c r="AK128" s="17" t="e">
        <v>#N/A</v>
      </c>
      <c r="AL128" s="17" t="e">
        <v>#N/A</v>
      </c>
      <c r="AM128" s="17" t="e">
        <v>#N/A</v>
      </c>
      <c r="AN128" s="17" t="e">
        <v>#N/A</v>
      </c>
      <c r="AO128" s="17" t="e">
        <v>#N/A</v>
      </c>
      <c r="AP128" s="17" t="e">
        <v>#N/A</v>
      </c>
      <c r="AQ128" s="17" t="e">
        <v>#N/A</v>
      </c>
      <c r="AR128" s="17" t="e">
        <v>#N/A</v>
      </c>
      <c r="AS128" s="17" t="e">
        <v>#N/A</v>
      </c>
      <c r="AT128" s="17" t="e">
        <v>#N/A</v>
      </c>
      <c r="AU128" s="17" t="e">
        <v>#N/A</v>
      </c>
      <c r="AV128" s="17" t="e">
        <v>#N/A</v>
      </c>
      <c r="AW128" s="17" t="e">
        <v>#N/A</v>
      </c>
      <c r="AX128" s="17" t="e">
        <v>#N/A</v>
      </c>
      <c r="AY128" s="17" t="e">
        <v>#N/A</v>
      </c>
      <c r="AZ128" s="17" t="e">
        <v>#N/A</v>
      </c>
      <c r="BA128" s="17" t="e">
        <v>#N/A</v>
      </c>
      <c r="BB128" s="17" t="e">
        <v>#N/A</v>
      </c>
      <c r="BC128" s="17" t="e">
        <v>#N/A</v>
      </c>
      <c r="BD128" s="17" t="e">
        <v>#N/A</v>
      </c>
      <c r="BE128" s="17" t="e">
        <v>#N/A</v>
      </c>
      <c r="BF128" s="17" t="e">
        <v>#N/A</v>
      </c>
      <c r="BG128" s="17" t="e">
        <v>#N/A</v>
      </c>
      <c r="BH128" s="17" t="e">
        <v>#N/A</v>
      </c>
      <c r="BI128" s="17" t="e">
        <v>#N/A</v>
      </c>
      <c r="BJ128" s="17" t="e">
        <v>#N/A</v>
      </c>
      <c r="BK128" s="17" t="e">
        <v>#N/A</v>
      </c>
      <c r="BL128" s="17" t="e">
        <v>#N/A</v>
      </c>
      <c r="BM128" s="17" t="e">
        <v>#N/A</v>
      </c>
      <c r="BN128" s="17" t="e">
        <v>#N/A</v>
      </c>
      <c r="BO128" s="17" t="e">
        <v>#N/A</v>
      </c>
      <c r="BP128" s="17" t="e">
        <v>#N/A</v>
      </c>
      <c r="BQ128" s="17" t="e">
        <v>#N/A</v>
      </c>
      <c r="BR128" s="17" t="e">
        <v>#N/A</v>
      </c>
      <c r="BS128" s="17" t="e">
        <v>#N/A</v>
      </c>
      <c r="BT128" s="17" t="e">
        <v>#N/A</v>
      </c>
      <c r="BU128" s="17" t="e">
        <v>#N/A</v>
      </c>
      <c r="BV128" s="17" t="e">
        <v>#N/A</v>
      </c>
      <c r="BW128" s="17" t="e">
        <v>#N/A</v>
      </c>
      <c r="BX128" s="17" t="e">
        <v>#N/A</v>
      </c>
      <c r="BY128" s="17" t="e">
        <v>#N/A</v>
      </c>
      <c r="BZ128" s="17" t="e">
        <v>#N/A</v>
      </c>
      <c r="CA128" s="17" t="e">
        <v>#N/A</v>
      </c>
      <c r="CB128" s="17" t="e">
        <v>#N/A</v>
      </c>
      <c r="CC128" s="17" t="e">
        <v>#N/A</v>
      </c>
      <c r="CD128" s="17" t="e">
        <v>#N/A</v>
      </c>
      <c r="CE128" s="17" t="e">
        <v>#N/A</v>
      </c>
      <c r="CF128" s="17" t="e">
        <v>#N/A</v>
      </c>
      <c r="CG128" s="17" t="e">
        <v>#N/A</v>
      </c>
      <c r="CH128" s="17" t="e">
        <v>#N/A</v>
      </c>
      <c r="CI128" s="17" t="e">
        <v>#N/A</v>
      </c>
      <c r="CJ128" s="17" t="e">
        <v>#N/A</v>
      </c>
      <c r="CK128" s="17" t="e">
        <v>#N/A</v>
      </c>
      <c r="CL128" s="17" t="e">
        <v>#N/A</v>
      </c>
      <c r="CM128" s="17" t="e">
        <v>#N/A</v>
      </c>
      <c r="CN128" s="17" t="e">
        <v>#N/A</v>
      </c>
      <c r="CO128" s="17" t="e">
        <v>#N/A</v>
      </c>
      <c r="CP128" s="17" t="e">
        <v>#N/A</v>
      </c>
      <c r="CQ128" s="17" t="e">
        <v>#N/A</v>
      </c>
      <c r="CR128" s="17" t="e">
        <v>#N/A</v>
      </c>
      <c r="CS128" s="17" t="e">
        <v>#N/A</v>
      </c>
      <c r="CT128" s="17" t="e">
        <v>#N/A</v>
      </c>
      <c r="CU128" s="17" t="e">
        <v>#N/A</v>
      </c>
      <c r="CV128" s="17" t="e">
        <v>#N/A</v>
      </c>
      <c r="CW128" s="17" t="e">
        <v>#N/A</v>
      </c>
      <c r="CX128" s="17" t="e">
        <v>#N/A</v>
      </c>
      <c r="CY128" s="17" t="e">
        <v>#N/A</v>
      </c>
      <c r="CZ128" s="17" t="e">
        <v>#N/A</v>
      </c>
      <c r="DA128" s="17" t="e">
        <v>#N/A</v>
      </c>
      <c r="DB128" s="17" t="e">
        <v>#N/A</v>
      </c>
      <c r="DC128" s="17" t="e">
        <v>#N/A</v>
      </c>
      <c r="DD128" s="17" t="e">
        <v>#N/A</v>
      </c>
      <c r="DE128" s="17" t="e">
        <v>#N/A</v>
      </c>
      <c r="DF128" s="17" t="e">
        <v>#N/A</v>
      </c>
      <c r="DG128" s="17" t="e">
        <v>#N/A</v>
      </c>
      <c r="DH128" s="17" t="e">
        <v>#N/A</v>
      </c>
      <c r="DI128" s="17" t="e">
        <v>#N/A</v>
      </c>
      <c r="DJ128" s="17" t="e">
        <v>#N/A</v>
      </c>
      <c r="DK128" s="17" t="e">
        <v>#N/A</v>
      </c>
      <c r="DL128" s="17" t="e">
        <v>#N/A</v>
      </c>
      <c r="DM128" s="17" t="e">
        <v>#N/A</v>
      </c>
      <c r="DN128" s="17" t="e">
        <v>#N/A</v>
      </c>
      <c r="DO128" s="17" t="e">
        <v>#N/A</v>
      </c>
      <c r="DP128" s="17" t="e">
        <v>#N/A</v>
      </c>
      <c r="DQ128" s="17" t="e">
        <v>#N/A</v>
      </c>
      <c r="DR128" s="17" t="e">
        <v>#N/A</v>
      </c>
      <c r="DS128" s="17" t="e">
        <v>#N/A</v>
      </c>
      <c r="DT128" s="17" t="e">
        <v>#N/A</v>
      </c>
      <c r="DU128" s="17" t="e">
        <v>#N/A</v>
      </c>
      <c r="DV128" s="17" t="e">
        <v>#N/A</v>
      </c>
      <c r="DW128" s="17" t="e">
        <v>#N/A</v>
      </c>
      <c r="DX128" s="17" t="e">
        <v>#N/A</v>
      </c>
      <c r="DY128" s="17" t="e">
        <v>#N/A</v>
      </c>
      <c r="DZ128" s="17" t="e">
        <v>#N/A</v>
      </c>
      <c r="EA128" s="17" t="e">
        <v>#N/A</v>
      </c>
      <c r="EB128" s="17" t="e">
        <v>#N/A</v>
      </c>
      <c r="EC128" s="17" t="e">
        <v>#N/A</v>
      </c>
      <c r="ED128" s="17" t="e">
        <v>#N/A</v>
      </c>
      <c r="EE128" s="17" t="e">
        <v>#N/A</v>
      </c>
      <c r="EF128" s="17" t="e">
        <v>#N/A</v>
      </c>
      <c r="EG128" s="17" t="e">
        <v>#N/A</v>
      </c>
      <c r="EH128" s="17" t="e">
        <v>#N/A</v>
      </c>
      <c r="EI128" s="17" t="e">
        <v>#N/A</v>
      </c>
      <c r="EJ128" s="17" t="e">
        <v>#N/A</v>
      </c>
      <c r="EK128" s="17" t="e">
        <v>#N/A</v>
      </c>
      <c r="EL128" s="17" t="e">
        <v>#N/A</v>
      </c>
      <c r="EM128" s="17" t="e">
        <v>#N/A</v>
      </c>
      <c r="EN128" s="17" t="e">
        <v>#N/A</v>
      </c>
      <c r="EO128" s="17" t="e">
        <v>#N/A</v>
      </c>
      <c r="EP128" s="17" t="e">
        <v>#N/A</v>
      </c>
      <c r="EQ128" s="17" t="e">
        <v>#N/A</v>
      </c>
      <c r="ER128" s="17" t="e">
        <v>#N/A</v>
      </c>
      <c r="ES128" s="17" t="e">
        <v>#N/A</v>
      </c>
      <c r="ET128" s="17" t="e">
        <v>#N/A</v>
      </c>
      <c r="EU128" s="17" t="e">
        <v>#N/A</v>
      </c>
      <c r="EV128" s="17" t="e">
        <v>#N/A</v>
      </c>
      <c r="EW128" s="17" t="e">
        <v>#N/A</v>
      </c>
      <c r="EX128" s="17" t="e">
        <v>#N/A</v>
      </c>
      <c r="EY128" s="17" t="e">
        <v>#N/A</v>
      </c>
      <c r="EZ128" s="17" t="e">
        <v>#N/A</v>
      </c>
      <c r="FA128" s="17" t="e">
        <v>#N/A</v>
      </c>
      <c r="FB128" s="17" t="e">
        <v>#N/A</v>
      </c>
      <c r="FC128" s="17" t="e">
        <v>#N/A</v>
      </c>
      <c r="FD128" s="17" t="e">
        <v>#N/A</v>
      </c>
      <c r="FE128" s="17" t="e">
        <v>#N/A</v>
      </c>
      <c r="FF128" s="17" t="e">
        <v>#N/A</v>
      </c>
      <c r="FG128" s="17" t="e">
        <v>#N/A</v>
      </c>
      <c r="FH128" s="17" t="e">
        <v>#N/A</v>
      </c>
      <c r="FI128" s="17" t="e">
        <v>#N/A</v>
      </c>
      <c r="FJ128" s="17" t="e">
        <v>#N/A</v>
      </c>
      <c r="FK128" s="17" t="e">
        <v>#N/A</v>
      </c>
      <c r="FL128" s="17" t="e">
        <v>#N/A</v>
      </c>
      <c r="FM128" s="17" t="e">
        <v>#N/A</v>
      </c>
      <c r="FN128" s="17" t="e">
        <v>#N/A</v>
      </c>
      <c r="FO128" s="17" t="e">
        <v>#N/A</v>
      </c>
      <c r="FP128" s="17" t="e">
        <v>#N/A</v>
      </c>
      <c r="FQ128" s="17" t="e">
        <v>#N/A</v>
      </c>
      <c r="FR128" s="17" t="e">
        <v>#N/A</v>
      </c>
      <c r="FS128" s="17" t="e">
        <v>#N/A</v>
      </c>
      <c r="FT128" s="17" t="e">
        <v>#N/A</v>
      </c>
      <c r="FU128" s="17" t="e">
        <v>#N/A</v>
      </c>
      <c r="FV128" s="17" t="e">
        <v>#N/A</v>
      </c>
    </row>
    <row r="129" spans="2:178" ht="11.25" customHeight="1">
      <c r="B129" s="17" t="e">
        <v>#N/A</v>
      </c>
      <c r="C129" s="17" t="e">
        <v>#N/A</v>
      </c>
      <c r="D129" s="17" t="e">
        <v>#N/A</v>
      </c>
      <c r="E129" s="17" t="e">
        <v>#N/A</v>
      </c>
      <c r="F129" s="17" t="e">
        <v>#N/A</v>
      </c>
      <c r="G129" s="17" t="e">
        <v>#N/A</v>
      </c>
      <c r="H129" s="17" t="e">
        <v>#N/A</v>
      </c>
      <c r="I129" s="17" t="e">
        <v>#N/A</v>
      </c>
      <c r="J129" s="17" t="e">
        <v>#N/A</v>
      </c>
      <c r="K129" s="17" t="e">
        <v>#N/A</v>
      </c>
      <c r="L129" s="17" t="e">
        <v>#N/A</v>
      </c>
      <c r="M129" s="17" t="e">
        <v>#N/A</v>
      </c>
      <c r="N129" s="17" t="e">
        <v>#N/A</v>
      </c>
      <c r="O129" s="17" t="e">
        <v>#N/A</v>
      </c>
      <c r="P129" s="17" t="e">
        <v>#N/A</v>
      </c>
      <c r="Q129" s="17" t="e">
        <v>#N/A</v>
      </c>
      <c r="R129" s="17" t="e">
        <v>#N/A</v>
      </c>
      <c r="S129" s="17" t="e">
        <v>#N/A</v>
      </c>
      <c r="T129" s="17" t="e">
        <v>#N/A</v>
      </c>
      <c r="U129" s="17" t="e">
        <v>#N/A</v>
      </c>
      <c r="V129" s="17" t="e">
        <v>#N/A</v>
      </c>
      <c r="W129" s="17" t="e">
        <v>#N/A</v>
      </c>
      <c r="X129" s="17" t="e">
        <v>#N/A</v>
      </c>
      <c r="Y129" s="17" t="e">
        <v>#N/A</v>
      </c>
      <c r="Z129" s="17" t="e">
        <v>#N/A</v>
      </c>
      <c r="AA129" s="17" t="e">
        <v>#N/A</v>
      </c>
      <c r="AB129" s="17" t="e">
        <v>#N/A</v>
      </c>
      <c r="AC129" s="17" t="e">
        <v>#N/A</v>
      </c>
      <c r="AD129" s="17" t="e">
        <v>#N/A</v>
      </c>
      <c r="AE129" s="17" t="e">
        <v>#N/A</v>
      </c>
      <c r="AF129" s="17" t="e">
        <v>#N/A</v>
      </c>
      <c r="AG129" s="17" t="e">
        <v>#N/A</v>
      </c>
      <c r="AH129" s="17" t="e">
        <v>#N/A</v>
      </c>
      <c r="AI129" s="17" t="e">
        <v>#N/A</v>
      </c>
      <c r="AJ129" s="17" t="e">
        <v>#N/A</v>
      </c>
      <c r="AK129" s="17" t="e">
        <v>#N/A</v>
      </c>
      <c r="AL129" s="17" t="e">
        <v>#N/A</v>
      </c>
      <c r="AM129" s="17" t="e">
        <v>#N/A</v>
      </c>
      <c r="AN129" s="17" t="e">
        <v>#N/A</v>
      </c>
      <c r="AO129" s="17" t="e">
        <v>#N/A</v>
      </c>
      <c r="AP129" s="17" t="e">
        <v>#N/A</v>
      </c>
      <c r="AQ129" s="17" t="e">
        <v>#N/A</v>
      </c>
      <c r="AR129" s="17" t="e">
        <v>#N/A</v>
      </c>
      <c r="AS129" s="17" t="e">
        <v>#N/A</v>
      </c>
      <c r="AT129" s="17" t="e">
        <v>#N/A</v>
      </c>
      <c r="AU129" s="17" t="e">
        <v>#N/A</v>
      </c>
      <c r="AV129" s="17" t="e">
        <v>#N/A</v>
      </c>
      <c r="AW129" s="17" t="e">
        <v>#N/A</v>
      </c>
      <c r="AX129" s="17" t="e">
        <v>#N/A</v>
      </c>
      <c r="AY129" s="17" t="e">
        <v>#N/A</v>
      </c>
      <c r="AZ129" s="17" t="e">
        <v>#N/A</v>
      </c>
      <c r="BA129" s="17" t="e">
        <v>#N/A</v>
      </c>
      <c r="BB129" s="17" t="e">
        <v>#N/A</v>
      </c>
      <c r="BC129" s="17" t="e">
        <v>#N/A</v>
      </c>
      <c r="BD129" s="17" t="e">
        <v>#N/A</v>
      </c>
      <c r="BE129" s="17" t="e">
        <v>#N/A</v>
      </c>
      <c r="BF129" s="17" t="e">
        <v>#N/A</v>
      </c>
      <c r="BG129" s="17" t="e">
        <v>#N/A</v>
      </c>
      <c r="BH129" s="17" t="e">
        <v>#N/A</v>
      </c>
      <c r="BI129" s="17" t="e">
        <v>#N/A</v>
      </c>
      <c r="BJ129" s="17" t="e">
        <v>#N/A</v>
      </c>
      <c r="BK129" s="17" t="e">
        <v>#N/A</v>
      </c>
      <c r="BL129" s="17" t="e">
        <v>#N/A</v>
      </c>
      <c r="BM129" s="17" t="e">
        <v>#N/A</v>
      </c>
      <c r="BN129" s="17" t="e">
        <v>#N/A</v>
      </c>
      <c r="BO129" s="17" t="e">
        <v>#N/A</v>
      </c>
      <c r="BP129" s="17" t="e">
        <v>#N/A</v>
      </c>
      <c r="BQ129" s="17" t="e">
        <v>#N/A</v>
      </c>
      <c r="BR129" s="17" t="e">
        <v>#N/A</v>
      </c>
      <c r="BS129" s="17" t="e">
        <v>#N/A</v>
      </c>
      <c r="BT129" s="17" t="e">
        <v>#N/A</v>
      </c>
      <c r="BU129" s="17" t="e">
        <v>#N/A</v>
      </c>
      <c r="BV129" s="17" t="e">
        <v>#N/A</v>
      </c>
      <c r="BW129" s="17" t="e">
        <v>#N/A</v>
      </c>
      <c r="BX129" s="17" t="e">
        <v>#N/A</v>
      </c>
      <c r="BY129" s="17" t="e">
        <v>#N/A</v>
      </c>
      <c r="BZ129" s="17" t="e">
        <v>#N/A</v>
      </c>
      <c r="CA129" s="17" t="e">
        <v>#N/A</v>
      </c>
      <c r="CB129" s="17" t="e">
        <v>#N/A</v>
      </c>
      <c r="CC129" s="17" t="e">
        <v>#N/A</v>
      </c>
      <c r="CD129" s="17" t="e">
        <v>#N/A</v>
      </c>
      <c r="CE129" s="17" t="e">
        <v>#N/A</v>
      </c>
      <c r="CF129" s="17" t="e">
        <v>#N/A</v>
      </c>
      <c r="CG129" s="17" t="e">
        <v>#N/A</v>
      </c>
      <c r="CH129" s="17" t="e">
        <v>#N/A</v>
      </c>
      <c r="CI129" s="17" t="e">
        <v>#N/A</v>
      </c>
      <c r="CJ129" s="17" t="e">
        <v>#N/A</v>
      </c>
      <c r="CK129" s="17" t="e">
        <v>#N/A</v>
      </c>
      <c r="CL129" s="17" t="e">
        <v>#N/A</v>
      </c>
      <c r="CM129" s="17" t="e">
        <v>#N/A</v>
      </c>
      <c r="CN129" s="17" t="e">
        <v>#N/A</v>
      </c>
      <c r="CO129" s="17" t="e">
        <v>#N/A</v>
      </c>
      <c r="CP129" s="17" t="e">
        <v>#N/A</v>
      </c>
      <c r="CQ129" s="17" t="e">
        <v>#N/A</v>
      </c>
      <c r="CR129" s="17" t="e">
        <v>#N/A</v>
      </c>
      <c r="CS129" s="17" t="e">
        <v>#N/A</v>
      </c>
      <c r="CT129" s="17" t="e">
        <v>#N/A</v>
      </c>
      <c r="CU129" s="17" t="e">
        <v>#N/A</v>
      </c>
      <c r="CV129" s="17" t="e">
        <v>#N/A</v>
      </c>
      <c r="CW129" s="17" t="e">
        <v>#N/A</v>
      </c>
      <c r="CX129" s="17" t="e">
        <v>#N/A</v>
      </c>
      <c r="CY129" s="17" t="e">
        <v>#N/A</v>
      </c>
      <c r="CZ129" s="17" t="e">
        <v>#N/A</v>
      </c>
      <c r="DA129" s="17" t="e">
        <v>#N/A</v>
      </c>
      <c r="DB129" s="17" t="e">
        <v>#N/A</v>
      </c>
      <c r="DC129" s="17" t="e">
        <v>#N/A</v>
      </c>
      <c r="DD129" s="17" t="e">
        <v>#N/A</v>
      </c>
      <c r="DE129" s="17" t="e">
        <v>#N/A</v>
      </c>
      <c r="DF129" s="17" t="e">
        <v>#N/A</v>
      </c>
      <c r="DG129" s="17" t="e">
        <v>#N/A</v>
      </c>
      <c r="DH129" s="17" t="e">
        <v>#N/A</v>
      </c>
      <c r="DI129" s="17" t="e">
        <v>#N/A</v>
      </c>
      <c r="DJ129" s="17" t="e">
        <v>#N/A</v>
      </c>
      <c r="DK129" s="17" t="e">
        <v>#N/A</v>
      </c>
      <c r="DL129" s="17" t="e">
        <v>#N/A</v>
      </c>
      <c r="DM129" s="17" t="e">
        <v>#N/A</v>
      </c>
      <c r="DN129" s="17" t="e">
        <v>#N/A</v>
      </c>
      <c r="DO129" s="17" t="e">
        <v>#N/A</v>
      </c>
      <c r="DP129" s="17" t="e">
        <v>#N/A</v>
      </c>
      <c r="DQ129" s="17" t="e">
        <v>#N/A</v>
      </c>
      <c r="DR129" s="17" t="e">
        <v>#N/A</v>
      </c>
      <c r="DS129" s="17" t="e">
        <v>#N/A</v>
      </c>
      <c r="DT129" s="17" t="e">
        <v>#N/A</v>
      </c>
      <c r="DU129" s="17" t="e">
        <v>#N/A</v>
      </c>
      <c r="DV129" s="17" t="e">
        <v>#N/A</v>
      </c>
      <c r="DW129" s="17" t="e">
        <v>#N/A</v>
      </c>
      <c r="DX129" s="17" t="e">
        <v>#N/A</v>
      </c>
      <c r="DY129" s="17" t="e">
        <v>#N/A</v>
      </c>
      <c r="DZ129" s="17" t="e">
        <v>#N/A</v>
      </c>
      <c r="EA129" s="17" t="e">
        <v>#N/A</v>
      </c>
      <c r="EB129" s="17" t="e">
        <v>#N/A</v>
      </c>
      <c r="EC129" s="17" t="e">
        <v>#N/A</v>
      </c>
      <c r="ED129" s="17" t="e">
        <v>#N/A</v>
      </c>
      <c r="EE129" s="17" t="e">
        <v>#N/A</v>
      </c>
      <c r="EF129" s="17" t="e">
        <v>#N/A</v>
      </c>
      <c r="EG129" s="17" t="e">
        <v>#N/A</v>
      </c>
      <c r="EH129" s="17" t="e">
        <v>#N/A</v>
      </c>
      <c r="EI129" s="17" t="e">
        <v>#N/A</v>
      </c>
      <c r="EJ129" s="17" t="e">
        <v>#N/A</v>
      </c>
      <c r="EK129" s="17" t="e">
        <v>#N/A</v>
      </c>
      <c r="EL129" s="17" t="e">
        <v>#N/A</v>
      </c>
      <c r="EM129" s="17" t="e">
        <v>#N/A</v>
      </c>
      <c r="EN129" s="17" t="e">
        <v>#N/A</v>
      </c>
      <c r="EO129" s="17" t="e">
        <v>#N/A</v>
      </c>
      <c r="EP129" s="17" t="e">
        <v>#N/A</v>
      </c>
      <c r="EQ129" s="17" t="e">
        <v>#N/A</v>
      </c>
      <c r="ER129" s="17" t="e">
        <v>#N/A</v>
      </c>
      <c r="ES129" s="17" t="e">
        <v>#N/A</v>
      </c>
      <c r="ET129" s="17" t="e">
        <v>#N/A</v>
      </c>
      <c r="EU129" s="17" t="e">
        <v>#N/A</v>
      </c>
      <c r="EV129" s="17" t="e">
        <v>#N/A</v>
      </c>
      <c r="EW129" s="17" t="e">
        <v>#N/A</v>
      </c>
      <c r="EX129" s="17" t="e">
        <v>#N/A</v>
      </c>
      <c r="EY129" s="17" t="e">
        <v>#N/A</v>
      </c>
      <c r="EZ129" s="17" t="e">
        <v>#N/A</v>
      </c>
      <c r="FA129" s="17" t="e">
        <v>#N/A</v>
      </c>
      <c r="FB129" s="17" t="e">
        <v>#N/A</v>
      </c>
      <c r="FC129" s="17" t="e">
        <v>#N/A</v>
      </c>
      <c r="FD129" s="17" t="e">
        <v>#N/A</v>
      </c>
      <c r="FE129" s="17" t="e">
        <v>#N/A</v>
      </c>
      <c r="FF129" s="17" t="e">
        <v>#N/A</v>
      </c>
      <c r="FG129" s="17" t="e">
        <v>#N/A</v>
      </c>
      <c r="FH129" s="17" t="e">
        <v>#N/A</v>
      </c>
      <c r="FI129" s="17" t="e">
        <v>#N/A</v>
      </c>
      <c r="FJ129" s="17" t="e">
        <v>#N/A</v>
      </c>
      <c r="FK129" s="17" t="e">
        <v>#N/A</v>
      </c>
      <c r="FL129" s="17" t="e">
        <v>#N/A</v>
      </c>
      <c r="FM129" s="17" t="e">
        <v>#N/A</v>
      </c>
      <c r="FN129" s="17" t="e">
        <v>#N/A</v>
      </c>
      <c r="FO129" s="17" t="e">
        <v>#N/A</v>
      </c>
      <c r="FP129" s="17" t="e">
        <v>#N/A</v>
      </c>
      <c r="FQ129" s="17" t="e">
        <v>#N/A</v>
      </c>
      <c r="FR129" s="17" t="e">
        <v>#N/A</v>
      </c>
      <c r="FS129" s="17" t="e">
        <v>#N/A</v>
      </c>
      <c r="FT129" s="17" t="e">
        <v>#N/A</v>
      </c>
      <c r="FU129" s="17" t="e">
        <v>#N/A</v>
      </c>
      <c r="FV129" s="17" t="e">
        <v>#N/A</v>
      </c>
    </row>
    <row r="130" spans="2:178" ht="11.25" customHeight="1">
      <c r="B130" s="17" t="e">
        <v>#N/A</v>
      </c>
      <c r="C130" s="17" t="e">
        <v>#N/A</v>
      </c>
      <c r="D130" s="17" t="e">
        <v>#N/A</v>
      </c>
      <c r="E130" s="17" t="e">
        <v>#N/A</v>
      </c>
      <c r="F130" s="17" t="e">
        <v>#N/A</v>
      </c>
      <c r="G130" s="17" t="e">
        <v>#N/A</v>
      </c>
      <c r="H130" s="17" t="e">
        <v>#N/A</v>
      </c>
      <c r="I130" s="17" t="e">
        <v>#N/A</v>
      </c>
      <c r="J130" s="17" t="e">
        <v>#N/A</v>
      </c>
      <c r="K130" s="17" t="e">
        <v>#N/A</v>
      </c>
      <c r="L130" s="17" t="e">
        <v>#N/A</v>
      </c>
      <c r="M130" s="17" t="e">
        <v>#N/A</v>
      </c>
      <c r="N130" s="17" t="e">
        <v>#N/A</v>
      </c>
      <c r="O130" s="17" t="e">
        <v>#N/A</v>
      </c>
      <c r="P130" s="17" t="e">
        <v>#N/A</v>
      </c>
      <c r="Q130" s="17" t="e">
        <v>#N/A</v>
      </c>
      <c r="R130" s="17" t="e">
        <v>#N/A</v>
      </c>
      <c r="S130" s="17" t="e">
        <v>#N/A</v>
      </c>
      <c r="T130" s="17" t="e">
        <v>#N/A</v>
      </c>
      <c r="U130" s="17" t="e">
        <v>#N/A</v>
      </c>
      <c r="V130" s="17" t="e">
        <v>#N/A</v>
      </c>
      <c r="W130" s="17" t="e">
        <v>#N/A</v>
      </c>
      <c r="X130" s="17" t="e">
        <v>#N/A</v>
      </c>
      <c r="Y130" s="17" t="e">
        <v>#N/A</v>
      </c>
      <c r="Z130" s="17" t="e">
        <v>#N/A</v>
      </c>
      <c r="AA130" s="17" t="e">
        <v>#N/A</v>
      </c>
      <c r="AB130" s="17" t="e">
        <v>#N/A</v>
      </c>
      <c r="AC130" s="17" t="e">
        <v>#N/A</v>
      </c>
      <c r="AD130" s="17" t="e">
        <v>#N/A</v>
      </c>
      <c r="AE130" s="17" t="e">
        <v>#N/A</v>
      </c>
      <c r="AF130" s="17" t="e">
        <v>#N/A</v>
      </c>
      <c r="AG130" s="17" t="e">
        <v>#N/A</v>
      </c>
      <c r="AH130" s="17" t="e">
        <v>#N/A</v>
      </c>
      <c r="AI130" s="17" t="e">
        <v>#N/A</v>
      </c>
      <c r="AJ130" s="17" t="e">
        <v>#N/A</v>
      </c>
      <c r="AK130" s="17" t="e">
        <v>#N/A</v>
      </c>
      <c r="AL130" s="17" t="e">
        <v>#N/A</v>
      </c>
      <c r="AM130" s="17" t="e">
        <v>#N/A</v>
      </c>
      <c r="AN130" s="17" t="e">
        <v>#N/A</v>
      </c>
      <c r="AO130" s="17" t="e">
        <v>#N/A</v>
      </c>
      <c r="AP130" s="17" t="e">
        <v>#N/A</v>
      </c>
      <c r="AQ130" s="17" t="e">
        <v>#N/A</v>
      </c>
      <c r="AR130" s="17" t="e">
        <v>#N/A</v>
      </c>
      <c r="AS130" s="17" t="e">
        <v>#N/A</v>
      </c>
      <c r="AT130" s="17" t="e">
        <v>#N/A</v>
      </c>
      <c r="AU130" s="17" t="e">
        <v>#N/A</v>
      </c>
      <c r="AV130" s="17" t="e">
        <v>#N/A</v>
      </c>
      <c r="AW130" s="17" t="e">
        <v>#N/A</v>
      </c>
      <c r="AX130" s="17" t="e">
        <v>#N/A</v>
      </c>
      <c r="AY130" s="17" t="e">
        <v>#N/A</v>
      </c>
      <c r="AZ130" s="17" t="e">
        <v>#N/A</v>
      </c>
      <c r="BA130" s="17" t="e">
        <v>#N/A</v>
      </c>
      <c r="BB130" s="17" t="e">
        <v>#N/A</v>
      </c>
      <c r="BC130" s="17" t="e">
        <v>#N/A</v>
      </c>
      <c r="BD130" s="17" t="e">
        <v>#N/A</v>
      </c>
      <c r="BE130" s="17" t="e">
        <v>#N/A</v>
      </c>
      <c r="BF130" s="17" t="e">
        <v>#N/A</v>
      </c>
      <c r="BG130" s="17" t="e">
        <v>#N/A</v>
      </c>
      <c r="BH130" s="17" t="e">
        <v>#N/A</v>
      </c>
      <c r="BI130" s="17" t="e">
        <v>#N/A</v>
      </c>
      <c r="BJ130" s="17" t="e">
        <v>#N/A</v>
      </c>
      <c r="BK130" s="17" t="e">
        <v>#N/A</v>
      </c>
      <c r="BL130" s="17" t="e">
        <v>#N/A</v>
      </c>
      <c r="BM130" s="17" t="e">
        <v>#N/A</v>
      </c>
      <c r="BN130" s="17" t="e">
        <v>#N/A</v>
      </c>
      <c r="BO130" s="17" t="e">
        <v>#N/A</v>
      </c>
      <c r="BP130" s="17" t="e">
        <v>#N/A</v>
      </c>
      <c r="BQ130" s="17" t="e">
        <v>#N/A</v>
      </c>
      <c r="BR130" s="17" t="e">
        <v>#N/A</v>
      </c>
      <c r="BS130" s="17" t="e">
        <v>#N/A</v>
      </c>
      <c r="BT130" s="17" t="e">
        <v>#N/A</v>
      </c>
      <c r="BU130" s="17" t="e">
        <v>#N/A</v>
      </c>
      <c r="BV130" s="17" t="e">
        <v>#N/A</v>
      </c>
      <c r="BW130" s="17" t="e">
        <v>#N/A</v>
      </c>
      <c r="BX130" s="17" t="e">
        <v>#N/A</v>
      </c>
      <c r="BY130" s="17" t="e">
        <v>#N/A</v>
      </c>
      <c r="BZ130" s="17" t="e">
        <v>#N/A</v>
      </c>
      <c r="CA130" s="17" t="e">
        <v>#N/A</v>
      </c>
      <c r="CB130" s="17" t="e">
        <v>#N/A</v>
      </c>
      <c r="CC130" s="17" t="e">
        <v>#N/A</v>
      </c>
      <c r="CD130" s="17" t="e">
        <v>#N/A</v>
      </c>
      <c r="CE130" s="17" t="e">
        <v>#N/A</v>
      </c>
      <c r="CF130" s="17" t="e">
        <v>#N/A</v>
      </c>
      <c r="CG130" s="17" t="e">
        <v>#N/A</v>
      </c>
      <c r="CH130" s="17" t="e">
        <v>#N/A</v>
      </c>
      <c r="CI130" s="17" t="e">
        <v>#N/A</v>
      </c>
      <c r="CJ130" s="17" t="e">
        <v>#N/A</v>
      </c>
      <c r="CK130" s="17" t="e">
        <v>#N/A</v>
      </c>
      <c r="CL130" s="17" t="e">
        <v>#N/A</v>
      </c>
      <c r="CM130" s="17" t="e">
        <v>#N/A</v>
      </c>
      <c r="CN130" s="17" t="e">
        <v>#N/A</v>
      </c>
      <c r="CO130" s="17" t="e">
        <v>#N/A</v>
      </c>
      <c r="CP130" s="17" t="e">
        <v>#N/A</v>
      </c>
      <c r="CQ130" s="17" t="e">
        <v>#N/A</v>
      </c>
      <c r="CR130" s="17" t="e">
        <v>#N/A</v>
      </c>
      <c r="CS130" s="17" t="e">
        <v>#N/A</v>
      </c>
      <c r="CT130" s="17" t="e">
        <v>#N/A</v>
      </c>
      <c r="CU130" s="17" t="e">
        <v>#N/A</v>
      </c>
      <c r="CV130" s="17" t="e">
        <v>#N/A</v>
      </c>
      <c r="CW130" s="17" t="e">
        <v>#N/A</v>
      </c>
      <c r="CX130" s="17" t="e">
        <v>#N/A</v>
      </c>
      <c r="CY130" s="17" t="e">
        <v>#N/A</v>
      </c>
      <c r="CZ130" s="17" t="e">
        <v>#N/A</v>
      </c>
      <c r="DA130" s="17" t="e">
        <v>#N/A</v>
      </c>
      <c r="DB130" s="17" t="e">
        <v>#N/A</v>
      </c>
      <c r="DC130" s="17" t="e">
        <v>#N/A</v>
      </c>
      <c r="DD130" s="17" t="e">
        <v>#N/A</v>
      </c>
      <c r="DE130" s="17" t="e">
        <v>#N/A</v>
      </c>
      <c r="DF130" s="17" t="e">
        <v>#N/A</v>
      </c>
      <c r="DG130" s="17" t="e">
        <v>#N/A</v>
      </c>
      <c r="DH130" s="17" t="e">
        <v>#N/A</v>
      </c>
      <c r="DI130" s="17" t="e">
        <v>#N/A</v>
      </c>
      <c r="DJ130" s="17" t="e">
        <v>#N/A</v>
      </c>
      <c r="DK130" s="17" t="e">
        <v>#N/A</v>
      </c>
      <c r="DL130" s="17" t="e">
        <v>#N/A</v>
      </c>
      <c r="DM130" s="17" t="e">
        <v>#N/A</v>
      </c>
      <c r="DN130" s="17" t="e">
        <v>#N/A</v>
      </c>
      <c r="DO130" s="17" t="e">
        <v>#N/A</v>
      </c>
      <c r="DP130" s="17" t="e">
        <v>#N/A</v>
      </c>
      <c r="DQ130" s="17" t="e">
        <v>#N/A</v>
      </c>
      <c r="DR130" s="17" t="e">
        <v>#N/A</v>
      </c>
      <c r="DS130" s="17" t="e">
        <v>#N/A</v>
      </c>
      <c r="DT130" s="17" t="e">
        <v>#N/A</v>
      </c>
      <c r="DU130" s="17" t="e">
        <v>#N/A</v>
      </c>
      <c r="DV130" s="17" t="e">
        <v>#N/A</v>
      </c>
      <c r="DW130" s="17" t="e">
        <v>#N/A</v>
      </c>
      <c r="DX130" s="17" t="e">
        <v>#N/A</v>
      </c>
      <c r="DY130" s="17" t="e">
        <v>#N/A</v>
      </c>
      <c r="DZ130" s="17" t="e">
        <v>#N/A</v>
      </c>
      <c r="EA130" s="17" t="e">
        <v>#N/A</v>
      </c>
      <c r="EB130" s="17" t="e">
        <v>#N/A</v>
      </c>
      <c r="EC130" s="17" t="e">
        <v>#N/A</v>
      </c>
      <c r="ED130" s="17" t="e">
        <v>#N/A</v>
      </c>
      <c r="EE130" s="17" t="e">
        <v>#N/A</v>
      </c>
      <c r="EF130" s="17" t="e">
        <v>#N/A</v>
      </c>
      <c r="EG130" s="17" t="e">
        <v>#N/A</v>
      </c>
      <c r="EH130" s="17" t="e">
        <v>#N/A</v>
      </c>
      <c r="EI130" s="17" t="e">
        <v>#N/A</v>
      </c>
      <c r="EJ130" s="17" t="e">
        <v>#N/A</v>
      </c>
      <c r="EK130" s="17" t="e">
        <v>#N/A</v>
      </c>
      <c r="EL130" s="17" t="e">
        <v>#N/A</v>
      </c>
      <c r="EM130" s="17" t="e">
        <v>#N/A</v>
      </c>
      <c r="EN130" s="17" t="e">
        <v>#N/A</v>
      </c>
      <c r="EO130" s="17" t="e">
        <v>#N/A</v>
      </c>
      <c r="EP130" s="17" t="e">
        <v>#N/A</v>
      </c>
      <c r="EQ130" s="17" t="e">
        <v>#N/A</v>
      </c>
      <c r="ER130" s="17" t="e">
        <v>#N/A</v>
      </c>
      <c r="ES130" s="17" t="e">
        <v>#N/A</v>
      </c>
      <c r="ET130" s="17" t="e">
        <v>#N/A</v>
      </c>
      <c r="EU130" s="17" t="e">
        <v>#N/A</v>
      </c>
      <c r="EV130" s="17" t="e">
        <v>#N/A</v>
      </c>
      <c r="EW130" s="17" t="e">
        <v>#N/A</v>
      </c>
      <c r="EX130" s="17" t="e">
        <v>#N/A</v>
      </c>
      <c r="EY130" s="17" t="e">
        <v>#N/A</v>
      </c>
      <c r="EZ130" s="17" t="e">
        <v>#N/A</v>
      </c>
      <c r="FA130" s="17" t="e">
        <v>#N/A</v>
      </c>
      <c r="FB130" s="17" t="e">
        <v>#N/A</v>
      </c>
      <c r="FC130" s="17" t="e">
        <v>#N/A</v>
      </c>
      <c r="FD130" s="17" t="e">
        <v>#N/A</v>
      </c>
      <c r="FE130" s="17" t="e">
        <v>#N/A</v>
      </c>
      <c r="FF130" s="17" t="e">
        <v>#N/A</v>
      </c>
      <c r="FG130" s="17" t="e">
        <v>#N/A</v>
      </c>
      <c r="FH130" s="17" t="e">
        <v>#N/A</v>
      </c>
      <c r="FI130" s="17" t="e">
        <v>#N/A</v>
      </c>
      <c r="FJ130" s="17" t="e">
        <v>#N/A</v>
      </c>
      <c r="FK130" s="17" t="e">
        <v>#N/A</v>
      </c>
      <c r="FL130" s="17" t="e">
        <v>#N/A</v>
      </c>
      <c r="FM130" s="17" t="e">
        <v>#N/A</v>
      </c>
      <c r="FN130" s="17" t="e">
        <v>#N/A</v>
      </c>
      <c r="FO130" s="17" t="e">
        <v>#N/A</v>
      </c>
      <c r="FP130" s="17" t="e">
        <v>#N/A</v>
      </c>
      <c r="FQ130" s="17" t="e">
        <v>#N/A</v>
      </c>
      <c r="FR130" s="17" t="e">
        <v>#N/A</v>
      </c>
      <c r="FS130" s="17" t="e">
        <v>#N/A</v>
      </c>
      <c r="FT130" s="17" t="e">
        <v>#N/A</v>
      </c>
      <c r="FU130" s="17" t="e">
        <v>#N/A</v>
      </c>
      <c r="FV130" s="17" t="e">
        <v>#N/A</v>
      </c>
    </row>
    <row r="131" spans="2:178" ht="11.25" customHeight="1">
      <c r="B131" s="17" t="e">
        <v>#N/A</v>
      </c>
      <c r="C131" s="17" t="e">
        <v>#N/A</v>
      </c>
      <c r="D131" s="17" t="e">
        <v>#N/A</v>
      </c>
      <c r="E131" s="17" t="e">
        <v>#N/A</v>
      </c>
      <c r="F131" s="17" t="e">
        <v>#N/A</v>
      </c>
      <c r="G131" s="17" t="e">
        <v>#N/A</v>
      </c>
      <c r="H131" s="17" t="e">
        <v>#N/A</v>
      </c>
      <c r="I131" s="17" t="e">
        <v>#N/A</v>
      </c>
      <c r="J131" s="17" t="e">
        <v>#N/A</v>
      </c>
      <c r="K131" s="17" t="e">
        <v>#N/A</v>
      </c>
      <c r="L131" s="17" t="e">
        <v>#N/A</v>
      </c>
      <c r="M131" s="17" t="e">
        <v>#N/A</v>
      </c>
      <c r="N131" s="17" t="e">
        <v>#N/A</v>
      </c>
      <c r="O131" s="17" t="e">
        <v>#N/A</v>
      </c>
      <c r="P131" s="17" t="e">
        <v>#N/A</v>
      </c>
      <c r="Q131" s="17" t="e">
        <v>#N/A</v>
      </c>
      <c r="R131" s="17" t="e">
        <v>#N/A</v>
      </c>
      <c r="S131" s="17" t="e">
        <v>#N/A</v>
      </c>
      <c r="T131" s="17" t="e">
        <v>#N/A</v>
      </c>
      <c r="U131" s="17" t="e">
        <v>#N/A</v>
      </c>
      <c r="V131" s="17" t="e">
        <v>#N/A</v>
      </c>
      <c r="W131" s="17" t="e">
        <v>#N/A</v>
      </c>
      <c r="X131" s="17" t="e">
        <v>#N/A</v>
      </c>
      <c r="Y131" s="17" t="e">
        <v>#N/A</v>
      </c>
      <c r="Z131" s="17" t="e">
        <v>#N/A</v>
      </c>
      <c r="AA131" s="17" t="e">
        <v>#N/A</v>
      </c>
      <c r="AB131" s="17" t="e">
        <v>#N/A</v>
      </c>
      <c r="AC131" s="17" t="e">
        <v>#N/A</v>
      </c>
      <c r="AD131" s="17" t="e">
        <v>#N/A</v>
      </c>
      <c r="AE131" s="17" t="e">
        <v>#N/A</v>
      </c>
      <c r="AF131" s="17" t="e">
        <v>#N/A</v>
      </c>
      <c r="AG131" s="17" t="e">
        <v>#N/A</v>
      </c>
      <c r="AH131" s="17" t="e">
        <v>#N/A</v>
      </c>
      <c r="AI131" s="17" t="e">
        <v>#N/A</v>
      </c>
      <c r="AJ131" s="17" t="e">
        <v>#N/A</v>
      </c>
      <c r="AK131" s="17" t="e">
        <v>#N/A</v>
      </c>
      <c r="AL131" s="17" t="e">
        <v>#N/A</v>
      </c>
      <c r="AM131" s="17" t="e">
        <v>#N/A</v>
      </c>
      <c r="AN131" s="17" t="e">
        <v>#N/A</v>
      </c>
      <c r="AO131" s="17" t="e">
        <v>#N/A</v>
      </c>
      <c r="AP131" s="17" t="e">
        <v>#N/A</v>
      </c>
      <c r="AQ131" s="17" t="e">
        <v>#N/A</v>
      </c>
      <c r="AR131" s="17" t="e">
        <v>#N/A</v>
      </c>
      <c r="AS131" s="17" t="e">
        <v>#N/A</v>
      </c>
      <c r="AT131" s="17" t="e">
        <v>#N/A</v>
      </c>
      <c r="AU131" s="17" t="e">
        <v>#N/A</v>
      </c>
      <c r="AV131" s="17" t="e">
        <v>#N/A</v>
      </c>
      <c r="AW131" s="17" t="e">
        <v>#N/A</v>
      </c>
      <c r="AX131" s="17" t="e">
        <v>#N/A</v>
      </c>
      <c r="AY131" s="17" t="e">
        <v>#N/A</v>
      </c>
      <c r="AZ131" s="17" t="e">
        <v>#N/A</v>
      </c>
      <c r="BA131" s="17" t="e">
        <v>#N/A</v>
      </c>
      <c r="BB131" s="17" t="e">
        <v>#N/A</v>
      </c>
      <c r="BC131" s="17" t="e">
        <v>#N/A</v>
      </c>
      <c r="BD131" s="17" t="e">
        <v>#N/A</v>
      </c>
      <c r="BE131" s="17" t="e">
        <v>#N/A</v>
      </c>
      <c r="BF131" s="17" t="e">
        <v>#N/A</v>
      </c>
      <c r="BG131" s="17" t="e">
        <v>#N/A</v>
      </c>
      <c r="BH131" s="17" t="e">
        <v>#N/A</v>
      </c>
      <c r="BI131" s="17" t="e">
        <v>#N/A</v>
      </c>
      <c r="BJ131" s="17" t="e">
        <v>#N/A</v>
      </c>
      <c r="BK131" s="17" t="e">
        <v>#N/A</v>
      </c>
      <c r="BL131" s="17" t="e">
        <v>#N/A</v>
      </c>
      <c r="BM131" s="17" t="e">
        <v>#N/A</v>
      </c>
      <c r="BN131" s="17" t="e">
        <v>#N/A</v>
      </c>
      <c r="BO131" s="17" t="e">
        <v>#N/A</v>
      </c>
      <c r="BP131" s="17" t="e">
        <v>#N/A</v>
      </c>
      <c r="BQ131" s="17" t="e">
        <v>#N/A</v>
      </c>
      <c r="BR131" s="17" t="e">
        <v>#N/A</v>
      </c>
      <c r="BS131" s="17" t="e">
        <v>#N/A</v>
      </c>
      <c r="BT131" s="17" t="e">
        <v>#N/A</v>
      </c>
      <c r="BU131" s="17" t="e">
        <v>#N/A</v>
      </c>
      <c r="BV131" s="17" t="e">
        <v>#N/A</v>
      </c>
      <c r="BW131" s="17" t="e">
        <v>#N/A</v>
      </c>
      <c r="BX131" s="17" t="e">
        <v>#N/A</v>
      </c>
      <c r="BY131" s="17" t="e">
        <v>#N/A</v>
      </c>
      <c r="BZ131" s="17" t="e">
        <v>#N/A</v>
      </c>
      <c r="CA131" s="17" t="e">
        <v>#N/A</v>
      </c>
      <c r="CB131" s="17" t="e">
        <v>#N/A</v>
      </c>
      <c r="CC131" s="17" t="e">
        <v>#N/A</v>
      </c>
      <c r="CD131" s="17" t="e">
        <v>#N/A</v>
      </c>
      <c r="CE131" s="17" t="e">
        <v>#N/A</v>
      </c>
      <c r="CF131" s="17" t="e">
        <v>#N/A</v>
      </c>
      <c r="CG131" s="17" t="e">
        <v>#N/A</v>
      </c>
      <c r="CH131" s="17" t="e">
        <v>#N/A</v>
      </c>
      <c r="CI131" s="17" t="e">
        <v>#N/A</v>
      </c>
      <c r="CJ131" s="17" t="e">
        <v>#N/A</v>
      </c>
      <c r="CK131" s="17" t="e">
        <v>#N/A</v>
      </c>
      <c r="CL131" s="17" t="e">
        <v>#N/A</v>
      </c>
      <c r="CM131" s="17" t="e">
        <v>#N/A</v>
      </c>
      <c r="CN131" s="17" t="e">
        <v>#N/A</v>
      </c>
      <c r="CO131" s="17" t="e">
        <v>#N/A</v>
      </c>
      <c r="CP131" s="17" t="e">
        <v>#N/A</v>
      </c>
      <c r="CQ131" s="17" t="e">
        <v>#N/A</v>
      </c>
      <c r="CR131" s="17" t="e">
        <v>#N/A</v>
      </c>
      <c r="CS131" s="17" t="e">
        <v>#N/A</v>
      </c>
      <c r="CT131" s="17" t="e">
        <v>#N/A</v>
      </c>
      <c r="CU131" s="17" t="e">
        <v>#N/A</v>
      </c>
      <c r="CV131" s="17" t="e">
        <v>#N/A</v>
      </c>
      <c r="CW131" s="17" t="e">
        <v>#N/A</v>
      </c>
      <c r="CX131" s="17" t="e">
        <v>#N/A</v>
      </c>
      <c r="CY131" s="17" t="e">
        <v>#N/A</v>
      </c>
      <c r="CZ131" s="17" t="e">
        <v>#N/A</v>
      </c>
      <c r="DA131" s="17" t="e">
        <v>#N/A</v>
      </c>
      <c r="DB131" s="17" t="e">
        <v>#N/A</v>
      </c>
      <c r="DC131" s="17" t="e">
        <v>#N/A</v>
      </c>
      <c r="DD131" s="17" t="e">
        <v>#N/A</v>
      </c>
      <c r="DE131" s="17" t="e">
        <v>#N/A</v>
      </c>
      <c r="DF131" s="17" t="e">
        <v>#N/A</v>
      </c>
      <c r="DG131" s="17" t="e">
        <v>#N/A</v>
      </c>
      <c r="DH131" s="17" t="e">
        <v>#N/A</v>
      </c>
      <c r="DI131" s="17" t="e">
        <v>#N/A</v>
      </c>
      <c r="DJ131" s="17" t="e">
        <v>#N/A</v>
      </c>
      <c r="DK131" s="17" t="e">
        <v>#N/A</v>
      </c>
      <c r="DL131" s="17" t="e">
        <v>#N/A</v>
      </c>
      <c r="DM131" s="17" t="e">
        <v>#N/A</v>
      </c>
      <c r="DN131" s="17" t="e">
        <v>#N/A</v>
      </c>
      <c r="DO131" s="17" t="e">
        <v>#N/A</v>
      </c>
      <c r="DP131" s="17" t="e">
        <v>#N/A</v>
      </c>
      <c r="DQ131" s="17" t="e">
        <v>#N/A</v>
      </c>
      <c r="DR131" s="17" t="e">
        <v>#N/A</v>
      </c>
      <c r="DS131" s="17" t="e">
        <v>#N/A</v>
      </c>
      <c r="DT131" s="17" t="e">
        <v>#N/A</v>
      </c>
      <c r="DU131" s="17" t="e">
        <v>#N/A</v>
      </c>
      <c r="DV131" s="17" t="e">
        <v>#N/A</v>
      </c>
      <c r="DW131" s="17" t="e">
        <v>#N/A</v>
      </c>
      <c r="DX131" s="17" t="e">
        <v>#N/A</v>
      </c>
      <c r="DY131" s="17" t="e">
        <v>#N/A</v>
      </c>
      <c r="DZ131" s="17" t="e">
        <v>#N/A</v>
      </c>
      <c r="EA131" s="17" t="e">
        <v>#N/A</v>
      </c>
      <c r="EB131" s="17" t="e">
        <v>#N/A</v>
      </c>
      <c r="EC131" s="17" t="e">
        <v>#N/A</v>
      </c>
      <c r="ED131" s="17" t="e">
        <v>#N/A</v>
      </c>
      <c r="EE131" s="17" t="e">
        <v>#N/A</v>
      </c>
      <c r="EF131" s="17" t="e">
        <v>#N/A</v>
      </c>
      <c r="EG131" s="17" t="e">
        <v>#N/A</v>
      </c>
      <c r="EH131" s="17" t="e">
        <v>#N/A</v>
      </c>
      <c r="EI131" s="17" t="e">
        <v>#N/A</v>
      </c>
      <c r="EJ131" s="17" t="e">
        <v>#N/A</v>
      </c>
      <c r="EK131" s="17" t="e">
        <v>#N/A</v>
      </c>
      <c r="EL131" s="17" t="e">
        <v>#N/A</v>
      </c>
      <c r="EM131" s="17" t="e">
        <v>#N/A</v>
      </c>
      <c r="EN131" s="17" t="e">
        <v>#N/A</v>
      </c>
      <c r="EO131" s="17" t="e">
        <v>#N/A</v>
      </c>
      <c r="EP131" s="17" t="e">
        <v>#N/A</v>
      </c>
      <c r="EQ131" s="17" t="e">
        <v>#N/A</v>
      </c>
      <c r="ER131" s="17" t="e">
        <v>#N/A</v>
      </c>
      <c r="ES131" s="17" t="e">
        <v>#N/A</v>
      </c>
      <c r="ET131" s="17" t="e">
        <v>#N/A</v>
      </c>
      <c r="EU131" s="17" t="e">
        <v>#N/A</v>
      </c>
      <c r="EV131" s="17" t="e">
        <v>#N/A</v>
      </c>
      <c r="EW131" s="17" t="e">
        <v>#N/A</v>
      </c>
      <c r="EX131" s="17" t="e">
        <v>#N/A</v>
      </c>
      <c r="EY131" s="17" t="e">
        <v>#N/A</v>
      </c>
      <c r="EZ131" s="17" t="e">
        <v>#N/A</v>
      </c>
      <c r="FA131" s="17" t="e">
        <v>#N/A</v>
      </c>
      <c r="FB131" s="17" t="e">
        <v>#N/A</v>
      </c>
      <c r="FC131" s="17" t="e">
        <v>#N/A</v>
      </c>
      <c r="FD131" s="17" t="e">
        <v>#N/A</v>
      </c>
      <c r="FE131" s="17" t="e">
        <v>#N/A</v>
      </c>
      <c r="FF131" s="17" t="e">
        <v>#N/A</v>
      </c>
      <c r="FG131" s="17" t="e">
        <v>#N/A</v>
      </c>
      <c r="FH131" s="17" t="e">
        <v>#N/A</v>
      </c>
      <c r="FI131" s="17" t="e">
        <v>#N/A</v>
      </c>
      <c r="FJ131" s="17" t="e">
        <v>#N/A</v>
      </c>
      <c r="FK131" s="17" t="e">
        <v>#N/A</v>
      </c>
      <c r="FL131" s="17" t="e">
        <v>#N/A</v>
      </c>
      <c r="FM131" s="17" t="e">
        <v>#N/A</v>
      </c>
      <c r="FN131" s="17" t="e">
        <v>#N/A</v>
      </c>
      <c r="FO131" s="17" t="e">
        <v>#N/A</v>
      </c>
      <c r="FP131" s="17" t="e">
        <v>#N/A</v>
      </c>
      <c r="FQ131" s="17" t="e">
        <v>#N/A</v>
      </c>
      <c r="FR131" s="17" t="e">
        <v>#N/A</v>
      </c>
      <c r="FS131" s="17" t="e">
        <v>#N/A</v>
      </c>
      <c r="FT131" s="17" t="e">
        <v>#N/A</v>
      </c>
      <c r="FU131" s="17" t="e">
        <v>#N/A</v>
      </c>
      <c r="FV131" s="17" t="e">
        <v>#N/A</v>
      </c>
    </row>
    <row r="132" spans="2:178" ht="11.25" customHeight="1">
      <c r="B132" s="17" t="e">
        <v>#N/A</v>
      </c>
      <c r="C132" s="17" t="e">
        <v>#N/A</v>
      </c>
      <c r="D132" s="17" t="e">
        <v>#N/A</v>
      </c>
      <c r="E132" s="17" t="e">
        <v>#N/A</v>
      </c>
      <c r="F132" s="17" t="e">
        <v>#N/A</v>
      </c>
      <c r="G132" s="17" t="e">
        <v>#N/A</v>
      </c>
      <c r="H132" s="17" t="e">
        <v>#N/A</v>
      </c>
      <c r="I132" s="17" t="e">
        <v>#N/A</v>
      </c>
      <c r="J132" s="17" t="e">
        <v>#N/A</v>
      </c>
      <c r="K132" s="17" t="e">
        <v>#N/A</v>
      </c>
      <c r="L132" s="17" t="e">
        <v>#N/A</v>
      </c>
      <c r="M132" s="17" t="e">
        <v>#N/A</v>
      </c>
      <c r="N132" s="17" t="e">
        <v>#N/A</v>
      </c>
      <c r="O132" s="17" t="e">
        <v>#N/A</v>
      </c>
      <c r="P132" s="17" t="e">
        <v>#N/A</v>
      </c>
      <c r="Q132" s="17" t="e">
        <v>#N/A</v>
      </c>
      <c r="R132" s="17" t="e">
        <v>#N/A</v>
      </c>
      <c r="S132" s="17" t="e">
        <v>#N/A</v>
      </c>
      <c r="T132" s="17" t="e">
        <v>#N/A</v>
      </c>
      <c r="U132" s="17" t="e">
        <v>#N/A</v>
      </c>
      <c r="V132" s="17" t="e">
        <v>#N/A</v>
      </c>
      <c r="W132" s="17" t="e">
        <v>#N/A</v>
      </c>
      <c r="X132" s="17" t="e">
        <v>#N/A</v>
      </c>
      <c r="Y132" s="17" t="e">
        <v>#N/A</v>
      </c>
      <c r="Z132" s="17" t="e">
        <v>#N/A</v>
      </c>
      <c r="AA132" s="17" t="e">
        <v>#N/A</v>
      </c>
      <c r="AB132" s="17" t="e">
        <v>#N/A</v>
      </c>
      <c r="AC132" s="17" t="e">
        <v>#N/A</v>
      </c>
      <c r="AD132" s="17" t="e">
        <v>#N/A</v>
      </c>
      <c r="AE132" s="17" t="e">
        <v>#N/A</v>
      </c>
      <c r="AF132" s="17" t="e">
        <v>#N/A</v>
      </c>
      <c r="AG132" s="17" t="e">
        <v>#N/A</v>
      </c>
      <c r="AH132" s="17" t="e">
        <v>#N/A</v>
      </c>
      <c r="AI132" s="17" t="e">
        <v>#N/A</v>
      </c>
      <c r="AJ132" s="17" t="e">
        <v>#N/A</v>
      </c>
      <c r="AK132" s="17" t="e">
        <v>#N/A</v>
      </c>
      <c r="AL132" s="17" t="e">
        <v>#N/A</v>
      </c>
      <c r="AM132" s="17" t="e">
        <v>#N/A</v>
      </c>
      <c r="AN132" s="17" t="e">
        <v>#N/A</v>
      </c>
      <c r="AO132" s="17" t="e">
        <v>#N/A</v>
      </c>
      <c r="AP132" s="17" t="e">
        <v>#N/A</v>
      </c>
      <c r="AQ132" s="17" t="e">
        <v>#N/A</v>
      </c>
      <c r="AR132" s="17" t="e">
        <v>#N/A</v>
      </c>
      <c r="AS132" s="17" t="e">
        <v>#N/A</v>
      </c>
      <c r="AT132" s="17" t="e">
        <v>#N/A</v>
      </c>
      <c r="AU132" s="17" t="e">
        <v>#N/A</v>
      </c>
      <c r="AV132" s="17" t="e">
        <v>#N/A</v>
      </c>
      <c r="AW132" s="17" t="e">
        <v>#N/A</v>
      </c>
      <c r="AX132" s="17" t="e">
        <v>#N/A</v>
      </c>
      <c r="AY132" s="17" t="e">
        <v>#N/A</v>
      </c>
      <c r="AZ132" s="17" t="e">
        <v>#N/A</v>
      </c>
      <c r="BA132" s="17" t="e">
        <v>#N/A</v>
      </c>
      <c r="BB132" s="17" t="e">
        <v>#N/A</v>
      </c>
      <c r="BC132" s="17" t="e">
        <v>#N/A</v>
      </c>
      <c r="BD132" s="17" t="e">
        <v>#N/A</v>
      </c>
      <c r="BE132" s="17" t="e">
        <v>#N/A</v>
      </c>
      <c r="BF132" s="17" t="e">
        <v>#N/A</v>
      </c>
      <c r="BG132" s="17" t="e">
        <v>#N/A</v>
      </c>
      <c r="BH132" s="17" t="e">
        <v>#N/A</v>
      </c>
      <c r="BI132" s="17" t="e">
        <v>#N/A</v>
      </c>
      <c r="BJ132" s="17" t="e">
        <v>#N/A</v>
      </c>
      <c r="BK132" s="17" t="e">
        <v>#N/A</v>
      </c>
      <c r="BL132" s="17" t="e">
        <v>#N/A</v>
      </c>
      <c r="BM132" s="17" t="e">
        <v>#N/A</v>
      </c>
      <c r="BN132" s="17" t="e">
        <v>#N/A</v>
      </c>
      <c r="BO132" s="17" t="e">
        <v>#N/A</v>
      </c>
      <c r="BP132" s="17" t="e">
        <v>#N/A</v>
      </c>
      <c r="BQ132" s="17" t="e">
        <v>#N/A</v>
      </c>
      <c r="BR132" s="17" t="e">
        <v>#N/A</v>
      </c>
      <c r="BS132" s="17" t="e">
        <v>#N/A</v>
      </c>
      <c r="BT132" s="17" t="e">
        <v>#N/A</v>
      </c>
      <c r="BU132" s="17" t="e">
        <v>#N/A</v>
      </c>
      <c r="BV132" s="17" t="e">
        <v>#N/A</v>
      </c>
      <c r="BW132" s="17" t="e">
        <v>#N/A</v>
      </c>
      <c r="BX132" s="17" t="e">
        <v>#N/A</v>
      </c>
      <c r="BY132" s="17" t="e">
        <v>#N/A</v>
      </c>
      <c r="BZ132" s="17" t="e">
        <v>#N/A</v>
      </c>
      <c r="CA132" s="17" t="e">
        <v>#N/A</v>
      </c>
      <c r="CB132" s="17" t="e">
        <v>#N/A</v>
      </c>
      <c r="CC132" s="17" t="e">
        <v>#N/A</v>
      </c>
      <c r="CD132" s="17" t="e">
        <v>#N/A</v>
      </c>
      <c r="CE132" s="17" t="e">
        <v>#N/A</v>
      </c>
      <c r="CF132" s="17" t="e">
        <v>#N/A</v>
      </c>
      <c r="CG132" s="17" t="e">
        <v>#N/A</v>
      </c>
      <c r="CH132" s="17" t="e">
        <v>#N/A</v>
      </c>
      <c r="CI132" s="17" t="e">
        <v>#N/A</v>
      </c>
      <c r="CJ132" s="17" t="e">
        <v>#N/A</v>
      </c>
      <c r="CK132" s="17" t="e">
        <v>#N/A</v>
      </c>
      <c r="CL132" s="17" t="e">
        <v>#N/A</v>
      </c>
      <c r="CM132" s="17" t="e">
        <v>#N/A</v>
      </c>
      <c r="CN132" s="17" t="e">
        <v>#N/A</v>
      </c>
      <c r="CO132" s="17" t="e">
        <v>#N/A</v>
      </c>
      <c r="CP132" s="17" t="e">
        <v>#N/A</v>
      </c>
      <c r="CQ132" s="17" t="e">
        <v>#N/A</v>
      </c>
      <c r="CR132" s="17" t="e">
        <v>#N/A</v>
      </c>
      <c r="CS132" s="17" t="e">
        <v>#N/A</v>
      </c>
      <c r="CT132" s="17" t="e">
        <v>#N/A</v>
      </c>
      <c r="CU132" s="17" t="e">
        <v>#N/A</v>
      </c>
      <c r="CV132" s="17" t="e">
        <v>#N/A</v>
      </c>
      <c r="CW132" s="17" t="e">
        <v>#N/A</v>
      </c>
      <c r="CX132" s="17" t="e">
        <v>#N/A</v>
      </c>
      <c r="CY132" s="17" t="e">
        <v>#N/A</v>
      </c>
      <c r="CZ132" s="17" t="e">
        <v>#N/A</v>
      </c>
      <c r="DA132" s="17" t="e">
        <v>#N/A</v>
      </c>
      <c r="DB132" s="17" t="e">
        <v>#N/A</v>
      </c>
      <c r="DC132" s="17" t="e">
        <v>#N/A</v>
      </c>
      <c r="DD132" s="17" t="e">
        <v>#N/A</v>
      </c>
      <c r="DE132" s="17" t="e">
        <v>#N/A</v>
      </c>
      <c r="DF132" s="17" t="e">
        <v>#N/A</v>
      </c>
      <c r="DG132" s="17" t="e">
        <v>#N/A</v>
      </c>
      <c r="DH132" s="17" t="e">
        <v>#N/A</v>
      </c>
      <c r="DI132" s="17" t="e">
        <v>#N/A</v>
      </c>
      <c r="DJ132" s="17" t="e">
        <v>#N/A</v>
      </c>
      <c r="DK132" s="17" t="e">
        <v>#N/A</v>
      </c>
      <c r="DL132" s="17" t="e">
        <v>#N/A</v>
      </c>
      <c r="DM132" s="17" t="e">
        <v>#N/A</v>
      </c>
      <c r="DN132" s="17" t="e">
        <v>#N/A</v>
      </c>
      <c r="DO132" s="17" t="e">
        <v>#N/A</v>
      </c>
      <c r="DP132" s="17" t="e">
        <v>#N/A</v>
      </c>
      <c r="DQ132" s="17" t="e">
        <v>#N/A</v>
      </c>
      <c r="DR132" s="17" t="e">
        <v>#N/A</v>
      </c>
      <c r="DS132" s="17" t="e">
        <v>#N/A</v>
      </c>
      <c r="DT132" s="17" t="e">
        <v>#N/A</v>
      </c>
      <c r="DU132" s="17" t="e">
        <v>#N/A</v>
      </c>
      <c r="DV132" s="17" t="e">
        <v>#N/A</v>
      </c>
      <c r="DW132" s="17" t="e">
        <v>#N/A</v>
      </c>
      <c r="DX132" s="17" t="e">
        <v>#N/A</v>
      </c>
      <c r="DY132" s="17" t="e">
        <v>#N/A</v>
      </c>
      <c r="DZ132" s="17" t="e">
        <v>#N/A</v>
      </c>
      <c r="EA132" s="17" t="e">
        <v>#N/A</v>
      </c>
      <c r="EB132" s="17" t="e">
        <v>#N/A</v>
      </c>
      <c r="EC132" s="17" t="e">
        <v>#N/A</v>
      </c>
      <c r="ED132" s="17" t="e">
        <v>#N/A</v>
      </c>
      <c r="EE132" s="17" t="e">
        <v>#N/A</v>
      </c>
      <c r="EF132" s="17" t="e">
        <v>#N/A</v>
      </c>
      <c r="EG132" s="17" t="e">
        <v>#N/A</v>
      </c>
      <c r="EH132" s="17" t="e">
        <v>#N/A</v>
      </c>
      <c r="EI132" s="17" t="e">
        <v>#N/A</v>
      </c>
      <c r="EJ132" s="17" t="e">
        <v>#N/A</v>
      </c>
      <c r="EK132" s="17" t="e">
        <v>#N/A</v>
      </c>
      <c r="EL132" s="17" t="e">
        <v>#N/A</v>
      </c>
      <c r="EM132" s="17" t="e">
        <v>#N/A</v>
      </c>
      <c r="EN132" s="17" t="e">
        <v>#N/A</v>
      </c>
      <c r="EO132" s="17" t="e">
        <v>#N/A</v>
      </c>
      <c r="EP132" s="17" t="e">
        <v>#N/A</v>
      </c>
      <c r="EQ132" s="17" t="e">
        <v>#N/A</v>
      </c>
      <c r="ER132" s="17" t="e">
        <v>#N/A</v>
      </c>
      <c r="ES132" s="17" t="e">
        <v>#N/A</v>
      </c>
      <c r="ET132" s="17" t="e">
        <v>#N/A</v>
      </c>
      <c r="EU132" s="17" t="e">
        <v>#N/A</v>
      </c>
      <c r="EV132" s="17" t="e">
        <v>#N/A</v>
      </c>
      <c r="EW132" s="17" t="e">
        <v>#N/A</v>
      </c>
      <c r="EX132" s="17" t="e">
        <v>#N/A</v>
      </c>
      <c r="EY132" s="17" t="e">
        <v>#N/A</v>
      </c>
      <c r="EZ132" s="17" t="e">
        <v>#N/A</v>
      </c>
      <c r="FA132" s="17" t="e">
        <v>#N/A</v>
      </c>
      <c r="FB132" s="17" t="e">
        <v>#N/A</v>
      </c>
      <c r="FC132" s="17" t="e">
        <v>#N/A</v>
      </c>
      <c r="FD132" s="17" t="e">
        <v>#N/A</v>
      </c>
      <c r="FE132" s="17" t="e">
        <v>#N/A</v>
      </c>
      <c r="FF132" s="17" t="e">
        <v>#N/A</v>
      </c>
      <c r="FG132" s="17" t="e">
        <v>#N/A</v>
      </c>
      <c r="FH132" s="17" t="e">
        <v>#N/A</v>
      </c>
      <c r="FI132" s="17" t="e">
        <v>#N/A</v>
      </c>
      <c r="FJ132" s="17" t="e">
        <v>#N/A</v>
      </c>
      <c r="FK132" s="17" t="e">
        <v>#N/A</v>
      </c>
      <c r="FL132" s="17" t="e">
        <v>#N/A</v>
      </c>
      <c r="FM132" s="17" t="e">
        <v>#N/A</v>
      </c>
      <c r="FN132" s="17" t="e">
        <v>#N/A</v>
      </c>
      <c r="FO132" s="17" t="e">
        <v>#N/A</v>
      </c>
      <c r="FP132" s="17" t="e">
        <v>#N/A</v>
      </c>
      <c r="FQ132" s="17" t="e">
        <v>#N/A</v>
      </c>
      <c r="FR132" s="17" t="e">
        <v>#N/A</v>
      </c>
      <c r="FS132" s="17" t="e">
        <v>#N/A</v>
      </c>
      <c r="FT132" s="17" t="e">
        <v>#N/A</v>
      </c>
      <c r="FU132" s="17" t="e">
        <v>#N/A</v>
      </c>
      <c r="FV132" s="17" t="e">
        <v>#N/A</v>
      </c>
    </row>
    <row r="133" spans="2:178" ht="11.25" customHeight="1">
      <c r="B133" s="17" t="e">
        <v>#N/A</v>
      </c>
      <c r="C133" s="17" t="e">
        <v>#N/A</v>
      </c>
      <c r="D133" s="17" t="e">
        <v>#N/A</v>
      </c>
      <c r="E133" s="17" t="e">
        <v>#N/A</v>
      </c>
      <c r="F133" s="17" t="e">
        <v>#N/A</v>
      </c>
      <c r="G133" s="17" t="e">
        <v>#N/A</v>
      </c>
      <c r="H133" s="17" t="e">
        <v>#N/A</v>
      </c>
      <c r="I133" s="17" t="e">
        <v>#N/A</v>
      </c>
      <c r="J133" s="17" t="e">
        <v>#N/A</v>
      </c>
      <c r="K133" s="17" t="e">
        <v>#N/A</v>
      </c>
      <c r="L133" s="17" t="e">
        <v>#N/A</v>
      </c>
      <c r="M133" s="17" t="e">
        <v>#N/A</v>
      </c>
      <c r="N133" s="17" t="e">
        <v>#N/A</v>
      </c>
      <c r="O133" s="17" t="e">
        <v>#N/A</v>
      </c>
      <c r="P133" s="17" t="e">
        <v>#N/A</v>
      </c>
      <c r="Q133" s="17" t="e">
        <v>#N/A</v>
      </c>
      <c r="R133" s="17" t="e">
        <v>#N/A</v>
      </c>
      <c r="S133" s="17" t="e">
        <v>#N/A</v>
      </c>
      <c r="T133" s="17" t="e">
        <v>#N/A</v>
      </c>
      <c r="U133" s="17" t="e">
        <v>#N/A</v>
      </c>
      <c r="V133" s="17" t="e">
        <v>#N/A</v>
      </c>
      <c r="W133" s="17" t="e">
        <v>#N/A</v>
      </c>
      <c r="X133" s="17" t="e">
        <v>#N/A</v>
      </c>
      <c r="Y133" s="17" t="e">
        <v>#N/A</v>
      </c>
      <c r="Z133" s="17" t="e">
        <v>#N/A</v>
      </c>
      <c r="AA133" s="17" t="e">
        <v>#N/A</v>
      </c>
      <c r="AB133" s="17" t="e">
        <v>#N/A</v>
      </c>
      <c r="AC133" s="17" t="e">
        <v>#N/A</v>
      </c>
      <c r="AD133" s="17" t="e">
        <v>#N/A</v>
      </c>
      <c r="AE133" s="17" t="e">
        <v>#N/A</v>
      </c>
      <c r="AF133" s="17" t="e">
        <v>#N/A</v>
      </c>
      <c r="AG133" s="17" t="e">
        <v>#N/A</v>
      </c>
      <c r="AH133" s="17" t="e">
        <v>#N/A</v>
      </c>
      <c r="AI133" s="17" t="e">
        <v>#N/A</v>
      </c>
      <c r="AJ133" s="17" t="e">
        <v>#N/A</v>
      </c>
      <c r="AK133" s="17" t="e">
        <v>#N/A</v>
      </c>
      <c r="AL133" s="17" t="e">
        <v>#N/A</v>
      </c>
      <c r="AM133" s="17" t="e">
        <v>#N/A</v>
      </c>
      <c r="AN133" s="17" t="e">
        <v>#N/A</v>
      </c>
      <c r="AO133" s="17" t="e">
        <v>#N/A</v>
      </c>
      <c r="AP133" s="17" t="e">
        <v>#N/A</v>
      </c>
      <c r="AQ133" s="17" t="e">
        <v>#N/A</v>
      </c>
      <c r="AR133" s="17" t="e">
        <v>#N/A</v>
      </c>
      <c r="AS133" s="17" t="e">
        <v>#N/A</v>
      </c>
      <c r="AT133" s="17" t="e">
        <v>#N/A</v>
      </c>
      <c r="AU133" s="17" t="e">
        <v>#N/A</v>
      </c>
      <c r="AV133" s="17" t="e">
        <v>#N/A</v>
      </c>
      <c r="AW133" s="17" t="e">
        <v>#N/A</v>
      </c>
      <c r="AX133" s="17" t="e">
        <v>#N/A</v>
      </c>
      <c r="AY133" s="17" t="e">
        <v>#N/A</v>
      </c>
      <c r="AZ133" s="17" t="e">
        <v>#N/A</v>
      </c>
      <c r="BA133" s="17" t="e">
        <v>#N/A</v>
      </c>
      <c r="BB133" s="17" t="e">
        <v>#N/A</v>
      </c>
      <c r="BC133" s="17" t="e">
        <v>#N/A</v>
      </c>
      <c r="BD133" s="17" t="e">
        <v>#N/A</v>
      </c>
      <c r="BE133" s="17" t="e">
        <v>#N/A</v>
      </c>
      <c r="BF133" s="17" t="e">
        <v>#N/A</v>
      </c>
      <c r="BG133" s="17" t="e">
        <v>#N/A</v>
      </c>
      <c r="BH133" s="17" t="e">
        <v>#N/A</v>
      </c>
      <c r="BI133" s="17" t="e">
        <v>#N/A</v>
      </c>
      <c r="BJ133" s="17" t="e">
        <v>#N/A</v>
      </c>
      <c r="BK133" s="17" t="e">
        <v>#N/A</v>
      </c>
      <c r="BL133" s="17" t="e">
        <v>#N/A</v>
      </c>
      <c r="BM133" s="17" t="e">
        <v>#N/A</v>
      </c>
      <c r="BN133" s="17" t="e">
        <v>#N/A</v>
      </c>
      <c r="BO133" s="17" t="e">
        <v>#N/A</v>
      </c>
      <c r="BP133" s="17" t="e">
        <v>#N/A</v>
      </c>
      <c r="BQ133" s="17" t="e">
        <v>#N/A</v>
      </c>
      <c r="BR133" s="17" t="e">
        <v>#N/A</v>
      </c>
      <c r="BS133" s="17" t="e">
        <v>#N/A</v>
      </c>
      <c r="BT133" s="17" t="e">
        <v>#N/A</v>
      </c>
      <c r="BU133" s="17" t="e">
        <v>#N/A</v>
      </c>
      <c r="BV133" s="17" t="e">
        <v>#N/A</v>
      </c>
      <c r="BW133" s="17" t="e">
        <v>#N/A</v>
      </c>
      <c r="BX133" s="17" t="e">
        <v>#N/A</v>
      </c>
      <c r="BY133" s="17" t="e">
        <v>#N/A</v>
      </c>
      <c r="BZ133" s="17" t="e">
        <v>#N/A</v>
      </c>
      <c r="CA133" s="17" t="e">
        <v>#N/A</v>
      </c>
      <c r="CB133" s="17" t="e">
        <v>#N/A</v>
      </c>
      <c r="CC133" s="17" t="e">
        <v>#N/A</v>
      </c>
      <c r="CD133" s="17" t="e">
        <v>#N/A</v>
      </c>
      <c r="CE133" s="17" t="e">
        <v>#N/A</v>
      </c>
      <c r="CF133" s="17" t="e">
        <v>#N/A</v>
      </c>
      <c r="CG133" s="17" t="e">
        <v>#N/A</v>
      </c>
      <c r="CH133" s="17" t="e">
        <v>#N/A</v>
      </c>
      <c r="CI133" s="17" t="e">
        <v>#N/A</v>
      </c>
      <c r="CJ133" s="17" t="e">
        <v>#N/A</v>
      </c>
      <c r="CK133" s="17" t="e">
        <v>#N/A</v>
      </c>
      <c r="CL133" s="17" t="e">
        <v>#N/A</v>
      </c>
      <c r="CM133" s="17" t="e">
        <v>#N/A</v>
      </c>
      <c r="CN133" s="17" t="e">
        <v>#N/A</v>
      </c>
      <c r="CO133" s="17" t="e">
        <v>#N/A</v>
      </c>
      <c r="CP133" s="17" t="e">
        <v>#N/A</v>
      </c>
      <c r="CQ133" s="17" t="e">
        <v>#N/A</v>
      </c>
      <c r="CR133" s="17" t="e">
        <v>#N/A</v>
      </c>
      <c r="CS133" s="17" t="e">
        <v>#N/A</v>
      </c>
      <c r="CT133" s="17" t="e">
        <v>#N/A</v>
      </c>
      <c r="CU133" s="17" t="e">
        <v>#N/A</v>
      </c>
      <c r="CV133" s="17" t="e">
        <v>#N/A</v>
      </c>
      <c r="CW133" s="17" t="e">
        <v>#N/A</v>
      </c>
      <c r="CX133" s="17" t="e">
        <v>#N/A</v>
      </c>
      <c r="CY133" s="17" t="e">
        <v>#N/A</v>
      </c>
      <c r="CZ133" s="17" t="e">
        <v>#N/A</v>
      </c>
      <c r="DA133" s="17" t="e">
        <v>#N/A</v>
      </c>
      <c r="DB133" s="17" t="e">
        <v>#N/A</v>
      </c>
      <c r="DC133" s="17" t="e">
        <v>#N/A</v>
      </c>
      <c r="DD133" s="17" t="e">
        <v>#N/A</v>
      </c>
      <c r="DE133" s="17" t="e">
        <v>#N/A</v>
      </c>
      <c r="DF133" s="17" t="e">
        <v>#N/A</v>
      </c>
      <c r="DG133" s="17" t="e">
        <v>#N/A</v>
      </c>
      <c r="DH133" s="17" t="e">
        <v>#N/A</v>
      </c>
      <c r="DI133" s="17" t="e">
        <v>#N/A</v>
      </c>
      <c r="DJ133" s="17" t="e">
        <v>#N/A</v>
      </c>
      <c r="DK133" s="17" t="e">
        <v>#N/A</v>
      </c>
      <c r="DL133" s="17" t="e">
        <v>#N/A</v>
      </c>
      <c r="DM133" s="17" t="e">
        <v>#N/A</v>
      </c>
      <c r="DN133" s="17" t="e">
        <v>#N/A</v>
      </c>
      <c r="DO133" s="17" t="e">
        <v>#N/A</v>
      </c>
      <c r="DP133" s="17" t="e">
        <v>#N/A</v>
      </c>
      <c r="DQ133" s="17" t="e">
        <v>#N/A</v>
      </c>
      <c r="DR133" s="17" t="e">
        <v>#N/A</v>
      </c>
      <c r="DS133" s="17" t="e">
        <v>#N/A</v>
      </c>
      <c r="DT133" s="17" t="e">
        <v>#N/A</v>
      </c>
      <c r="DU133" s="17" t="e">
        <v>#N/A</v>
      </c>
      <c r="DV133" s="17" t="e">
        <v>#N/A</v>
      </c>
      <c r="DW133" s="17" t="e">
        <v>#N/A</v>
      </c>
      <c r="DX133" s="17" t="e">
        <v>#N/A</v>
      </c>
      <c r="DY133" s="17" t="e">
        <v>#N/A</v>
      </c>
      <c r="DZ133" s="17" t="e">
        <v>#N/A</v>
      </c>
      <c r="EA133" s="17" t="e">
        <v>#N/A</v>
      </c>
      <c r="EB133" s="17" t="e">
        <v>#N/A</v>
      </c>
      <c r="EC133" s="17" t="e">
        <v>#N/A</v>
      </c>
      <c r="ED133" s="17" t="e">
        <v>#N/A</v>
      </c>
      <c r="EE133" s="17" t="e">
        <v>#N/A</v>
      </c>
      <c r="EF133" s="17" t="e">
        <v>#N/A</v>
      </c>
      <c r="EG133" s="17" t="e">
        <v>#N/A</v>
      </c>
      <c r="EH133" s="17" t="e">
        <v>#N/A</v>
      </c>
      <c r="EI133" s="17" t="e">
        <v>#N/A</v>
      </c>
      <c r="EJ133" s="17" t="e">
        <v>#N/A</v>
      </c>
      <c r="EK133" s="17" t="e">
        <v>#N/A</v>
      </c>
      <c r="EL133" s="17" t="e">
        <v>#N/A</v>
      </c>
      <c r="EM133" s="17" t="e">
        <v>#N/A</v>
      </c>
      <c r="EN133" s="17" t="e">
        <v>#N/A</v>
      </c>
      <c r="EO133" s="17" t="e">
        <v>#N/A</v>
      </c>
      <c r="EP133" s="17" t="e">
        <v>#N/A</v>
      </c>
      <c r="EQ133" s="17" t="e">
        <v>#N/A</v>
      </c>
      <c r="ER133" s="17" t="e">
        <v>#N/A</v>
      </c>
      <c r="ES133" s="17" t="e">
        <v>#N/A</v>
      </c>
      <c r="ET133" s="17" t="e">
        <v>#N/A</v>
      </c>
      <c r="EU133" s="17" t="e">
        <v>#N/A</v>
      </c>
      <c r="EV133" s="17" t="e">
        <v>#N/A</v>
      </c>
      <c r="EW133" s="17" t="e">
        <v>#N/A</v>
      </c>
      <c r="EX133" s="17" t="e">
        <v>#N/A</v>
      </c>
      <c r="EY133" s="17" t="e">
        <v>#N/A</v>
      </c>
      <c r="EZ133" s="17" t="e">
        <v>#N/A</v>
      </c>
      <c r="FA133" s="17" t="e">
        <v>#N/A</v>
      </c>
      <c r="FB133" s="17" t="e">
        <v>#N/A</v>
      </c>
      <c r="FC133" s="17" t="e">
        <v>#N/A</v>
      </c>
      <c r="FD133" s="17" t="e">
        <v>#N/A</v>
      </c>
      <c r="FE133" s="17" t="e">
        <v>#N/A</v>
      </c>
      <c r="FF133" s="17" t="e">
        <v>#N/A</v>
      </c>
      <c r="FG133" s="17" t="e">
        <v>#N/A</v>
      </c>
      <c r="FH133" s="17" t="e">
        <v>#N/A</v>
      </c>
      <c r="FI133" s="17" t="e">
        <v>#N/A</v>
      </c>
      <c r="FJ133" s="17" t="e">
        <v>#N/A</v>
      </c>
      <c r="FK133" s="17" t="e">
        <v>#N/A</v>
      </c>
      <c r="FL133" s="17" t="e">
        <v>#N/A</v>
      </c>
      <c r="FM133" s="17" t="e">
        <v>#N/A</v>
      </c>
      <c r="FN133" s="17" t="e">
        <v>#N/A</v>
      </c>
      <c r="FO133" s="17" t="e">
        <v>#N/A</v>
      </c>
      <c r="FP133" s="17" t="e">
        <v>#N/A</v>
      </c>
      <c r="FQ133" s="17" t="e">
        <v>#N/A</v>
      </c>
      <c r="FR133" s="17" t="e">
        <v>#N/A</v>
      </c>
      <c r="FS133" s="17" t="e">
        <v>#N/A</v>
      </c>
      <c r="FT133" s="17" t="e">
        <v>#N/A</v>
      </c>
      <c r="FU133" s="17" t="e">
        <v>#N/A</v>
      </c>
      <c r="FV133" s="17" t="e">
        <v>#N/A</v>
      </c>
    </row>
    <row r="134" spans="2:178" ht="11.25" customHeight="1">
      <c r="B134" s="17" t="e">
        <v>#N/A</v>
      </c>
      <c r="C134" s="17" t="e">
        <v>#N/A</v>
      </c>
      <c r="D134" s="17" t="e">
        <v>#N/A</v>
      </c>
      <c r="E134" s="17" t="e">
        <v>#N/A</v>
      </c>
      <c r="F134" s="17" t="e">
        <v>#N/A</v>
      </c>
      <c r="G134" s="17" t="e">
        <v>#N/A</v>
      </c>
      <c r="H134" s="17" t="e">
        <v>#N/A</v>
      </c>
      <c r="I134" s="17" t="e">
        <v>#N/A</v>
      </c>
      <c r="J134" s="17" t="e">
        <v>#N/A</v>
      </c>
      <c r="K134" s="17" t="e">
        <v>#N/A</v>
      </c>
      <c r="L134" s="17" t="e">
        <v>#N/A</v>
      </c>
      <c r="M134" s="17" t="e">
        <v>#N/A</v>
      </c>
      <c r="N134" s="17" t="e">
        <v>#N/A</v>
      </c>
      <c r="O134" s="17" t="e">
        <v>#N/A</v>
      </c>
      <c r="P134" s="17" t="e">
        <v>#N/A</v>
      </c>
      <c r="Q134" s="17" t="e">
        <v>#N/A</v>
      </c>
      <c r="R134" s="17" t="e">
        <v>#N/A</v>
      </c>
      <c r="S134" s="17" t="e">
        <v>#N/A</v>
      </c>
      <c r="T134" s="17" t="e">
        <v>#N/A</v>
      </c>
      <c r="U134" s="17" t="e">
        <v>#N/A</v>
      </c>
      <c r="V134" s="17" t="e">
        <v>#N/A</v>
      </c>
      <c r="W134" s="17" t="e">
        <v>#N/A</v>
      </c>
      <c r="X134" s="17" t="e">
        <v>#N/A</v>
      </c>
      <c r="Y134" s="17" t="e">
        <v>#N/A</v>
      </c>
      <c r="Z134" s="17" t="e">
        <v>#N/A</v>
      </c>
      <c r="AA134" s="17" t="e">
        <v>#N/A</v>
      </c>
      <c r="AB134" s="17" t="e">
        <v>#N/A</v>
      </c>
      <c r="AC134" s="17" t="e">
        <v>#N/A</v>
      </c>
      <c r="AD134" s="17" t="e">
        <v>#N/A</v>
      </c>
      <c r="AE134" s="17" t="e">
        <v>#N/A</v>
      </c>
      <c r="AF134" s="17" t="e">
        <v>#N/A</v>
      </c>
      <c r="AG134" s="17" t="e">
        <v>#N/A</v>
      </c>
      <c r="AH134" s="17" t="e">
        <v>#N/A</v>
      </c>
      <c r="AI134" s="17" t="e">
        <v>#N/A</v>
      </c>
      <c r="AJ134" s="17" t="e">
        <v>#N/A</v>
      </c>
      <c r="AK134" s="17" t="e">
        <v>#N/A</v>
      </c>
      <c r="AL134" s="17" t="e">
        <v>#N/A</v>
      </c>
      <c r="AM134" s="17" t="e">
        <v>#N/A</v>
      </c>
      <c r="AN134" s="17" t="e">
        <v>#N/A</v>
      </c>
      <c r="AO134" s="17" t="e">
        <v>#N/A</v>
      </c>
      <c r="AP134" s="17" t="e">
        <v>#N/A</v>
      </c>
      <c r="AQ134" s="17" t="e">
        <v>#N/A</v>
      </c>
      <c r="AR134" s="17" t="e">
        <v>#N/A</v>
      </c>
      <c r="AS134" s="17" t="e">
        <v>#N/A</v>
      </c>
      <c r="AT134" s="17" t="e">
        <v>#N/A</v>
      </c>
      <c r="AU134" s="17" t="e">
        <v>#N/A</v>
      </c>
      <c r="AV134" s="17" t="e">
        <v>#N/A</v>
      </c>
      <c r="AW134" s="17" t="e">
        <v>#N/A</v>
      </c>
      <c r="AX134" s="17" t="e">
        <v>#N/A</v>
      </c>
      <c r="AY134" s="17" t="e">
        <v>#N/A</v>
      </c>
      <c r="AZ134" s="17" t="e">
        <v>#N/A</v>
      </c>
      <c r="BA134" s="17" t="e">
        <v>#N/A</v>
      </c>
      <c r="BB134" s="17" t="e">
        <v>#N/A</v>
      </c>
      <c r="BC134" s="17" t="e">
        <v>#N/A</v>
      </c>
      <c r="BD134" s="17" t="e">
        <v>#N/A</v>
      </c>
      <c r="BE134" s="17" t="e">
        <v>#N/A</v>
      </c>
      <c r="BF134" s="17" t="e">
        <v>#N/A</v>
      </c>
      <c r="BG134" s="17" t="e">
        <v>#N/A</v>
      </c>
      <c r="BH134" s="17" t="e">
        <v>#N/A</v>
      </c>
      <c r="BI134" s="17" t="e">
        <v>#N/A</v>
      </c>
      <c r="BJ134" s="17" t="e">
        <v>#N/A</v>
      </c>
      <c r="BK134" s="17" t="e">
        <v>#N/A</v>
      </c>
      <c r="BL134" s="17" t="e">
        <v>#N/A</v>
      </c>
      <c r="BM134" s="17" t="e">
        <v>#N/A</v>
      </c>
      <c r="BN134" s="17" t="e">
        <v>#N/A</v>
      </c>
      <c r="BO134" s="17" t="e">
        <v>#N/A</v>
      </c>
      <c r="BP134" s="17" t="e">
        <v>#N/A</v>
      </c>
      <c r="BQ134" s="17" t="e">
        <v>#N/A</v>
      </c>
      <c r="BR134" s="17" t="e">
        <v>#N/A</v>
      </c>
      <c r="BS134" s="17" t="e">
        <v>#N/A</v>
      </c>
      <c r="BT134" s="17" t="e">
        <v>#N/A</v>
      </c>
      <c r="BU134" s="17" t="e">
        <v>#N/A</v>
      </c>
      <c r="BV134" s="17" t="e">
        <v>#N/A</v>
      </c>
      <c r="BW134" s="17" t="e">
        <v>#N/A</v>
      </c>
      <c r="BX134" s="17" t="e">
        <v>#N/A</v>
      </c>
      <c r="BY134" s="17" t="e">
        <v>#N/A</v>
      </c>
      <c r="BZ134" s="17" t="e">
        <v>#N/A</v>
      </c>
      <c r="CA134" s="17" t="e">
        <v>#N/A</v>
      </c>
      <c r="CB134" s="17" t="e">
        <v>#N/A</v>
      </c>
      <c r="CC134" s="17" t="e">
        <v>#N/A</v>
      </c>
      <c r="CD134" s="17" t="e">
        <v>#N/A</v>
      </c>
      <c r="CE134" s="17" t="e">
        <v>#N/A</v>
      </c>
      <c r="CF134" s="17" t="e">
        <v>#N/A</v>
      </c>
      <c r="CG134" s="17" t="e">
        <v>#N/A</v>
      </c>
      <c r="CH134" s="17" t="e">
        <v>#N/A</v>
      </c>
      <c r="CI134" s="17" t="e">
        <v>#N/A</v>
      </c>
      <c r="CJ134" s="17" t="e">
        <v>#N/A</v>
      </c>
      <c r="CK134" s="17" t="e">
        <v>#N/A</v>
      </c>
      <c r="CL134" s="17" t="e">
        <v>#N/A</v>
      </c>
      <c r="CM134" s="17" t="e">
        <v>#N/A</v>
      </c>
      <c r="CN134" s="17" t="e">
        <v>#N/A</v>
      </c>
      <c r="CO134" s="17" t="e">
        <v>#N/A</v>
      </c>
      <c r="CP134" s="17" t="e">
        <v>#N/A</v>
      </c>
      <c r="CQ134" s="17" t="e">
        <v>#N/A</v>
      </c>
      <c r="CR134" s="17" t="e">
        <v>#N/A</v>
      </c>
      <c r="CS134" s="17" t="e">
        <v>#N/A</v>
      </c>
      <c r="CT134" s="17" t="e">
        <v>#N/A</v>
      </c>
      <c r="CU134" s="17" t="e">
        <v>#N/A</v>
      </c>
      <c r="CV134" s="17" t="e">
        <v>#N/A</v>
      </c>
      <c r="CW134" s="17" t="e">
        <v>#N/A</v>
      </c>
      <c r="CX134" s="17" t="e">
        <v>#N/A</v>
      </c>
      <c r="CY134" s="17" t="e">
        <v>#N/A</v>
      </c>
      <c r="CZ134" s="17" t="e">
        <v>#N/A</v>
      </c>
      <c r="DA134" s="17" t="e">
        <v>#N/A</v>
      </c>
      <c r="DB134" s="17" t="e">
        <v>#N/A</v>
      </c>
      <c r="DC134" s="17" t="e">
        <v>#N/A</v>
      </c>
      <c r="DD134" s="17" t="e">
        <v>#N/A</v>
      </c>
      <c r="DE134" s="17" t="e">
        <v>#N/A</v>
      </c>
      <c r="DF134" s="17" t="e">
        <v>#N/A</v>
      </c>
      <c r="DG134" s="17" t="e">
        <v>#N/A</v>
      </c>
      <c r="DH134" s="17" t="e">
        <v>#N/A</v>
      </c>
      <c r="DI134" s="17" t="e">
        <v>#N/A</v>
      </c>
      <c r="DJ134" s="17" t="e">
        <v>#N/A</v>
      </c>
      <c r="DK134" s="17" t="e">
        <v>#N/A</v>
      </c>
      <c r="DL134" s="17" t="e">
        <v>#N/A</v>
      </c>
      <c r="DM134" s="17" t="e">
        <v>#N/A</v>
      </c>
      <c r="DN134" s="17" t="e">
        <v>#N/A</v>
      </c>
      <c r="DO134" s="17" t="e">
        <v>#N/A</v>
      </c>
      <c r="DP134" s="17" t="e">
        <v>#N/A</v>
      </c>
      <c r="DQ134" s="17" t="e">
        <v>#N/A</v>
      </c>
      <c r="DR134" s="17" t="e">
        <v>#N/A</v>
      </c>
      <c r="DS134" s="17" t="e">
        <v>#N/A</v>
      </c>
      <c r="DT134" s="17" t="e">
        <v>#N/A</v>
      </c>
      <c r="DU134" s="17" t="e">
        <v>#N/A</v>
      </c>
      <c r="DV134" s="17" t="e">
        <v>#N/A</v>
      </c>
      <c r="DW134" s="17" t="e">
        <v>#N/A</v>
      </c>
      <c r="DX134" s="17" t="e">
        <v>#N/A</v>
      </c>
      <c r="DY134" s="17" t="e">
        <v>#N/A</v>
      </c>
      <c r="DZ134" s="17" t="e">
        <v>#N/A</v>
      </c>
      <c r="EA134" s="17" t="e">
        <v>#N/A</v>
      </c>
      <c r="EB134" s="17" t="e">
        <v>#N/A</v>
      </c>
      <c r="EC134" s="17" t="e">
        <v>#N/A</v>
      </c>
      <c r="ED134" s="17" t="e">
        <v>#N/A</v>
      </c>
      <c r="EE134" s="17" t="e">
        <v>#N/A</v>
      </c>
      <c r="EF134" s="17" t="e">
        <v>#N/A</v>
      </c>
      <c r="EG134" s="17" t="e">
        <v>#N/A</v>
      </c>
      <c r="EH134" s="17" t="e">
        <v>#N/A</v>
      </c>
      <c r="EI134" s="17" t="e">
        <v>#N/A</v>
      </c>
      <c r="EJ134" s="17" t="e">
        <v>#N/A</v>
      </c>
      <c r="EK134" s="17" t="e">
        <v>#N/A</v>
      </c>
      <c r="EL134" s="17" t="e">
        <v>#N/A</v>
      </c>
      <c r="EM134" s="17" t="e">
        <v>#N/A</v>
      </c>
      <c r="EN134" s="17" t="e">
        <v>#N/A</v>
      </c>
      <c r="EO134" s="17" t="e">
        <v>#N/A</v>
      </c>
      <c r="EP134" s="17" t="e">
        <v>#N/A</v>
      </c>
      <c r="EQ134" s="17" t="e">
        <v>#N/A</v>
      </c>
      <c r="ER134" s="17" t="e">
        <v>#N/A</v>
      </c>
      <c r="ES134" s="17" t="e">
        <v>#N/A</v>
      </c>
      <c r="ET134" s="17" t="e">
        <v>#N/A</v>
      </c>
      <c r="EU134" s="17" t="e">
        <v>#N/A</v>
      </c>
      <c r="EV134" s="17" t="e">
        <v>#N/A</v>
      </c>
      <c r="EW134" s="17" t="e">
        <v>#N/A</v>
      </c>
      <c r="EX134" s="17" t="e">
        <v>#N/A</v>
      </c>
      <c r="EY134" s="17" t="e">
        <v>#N/A</v>
      </c>
      <c r="EZ134" s="17" t="e">
        <v>#N/A</v>
      </c>
      <c r="FA134" s="17" t="e">
        <v>#N/A</v>
      </c>
      <c r="FB134" s="17" t="e">
        <v>#N/A</v>
      </c>
      <c r="FC134" s="17" t="e">
        <v>#N/A</v>
      </c>
      <c r="FD134" s="17" t="e">
        <v>#N/A</v>
      </c>
      <c r="FE134" s="17" t="e">
        <v>#N/A</v>
      </c>
      <c r="FF134" s="17" t="e">
        <v>#N/A</v>
      </c>
      <c r="FG134" s="17" t="e">
        <v>#N/A</v>
      </c>
      <c r="FH134" s="17" t="e">
        <v>#N/A</v>
      </c>
      <c r="FI134" s="17" t="e">
        <v>#N/A</v>
      </c>
      <c r="FJ134" s="17" t="e">
        <v>#N/A</v>
      </c>
      <c r="FK134" s="17" t="e">
        <v>#N/A</v>
      </c>
      <c r="FL134" s="17" t="e">
        <v>#N/A</v>
      </c>
      <c r="FM134" s="17" t="e">
        <v>#N/A</v>
      </c>
      <c r="FN134" s="17" t="e">
        <v>#N/A</v>
      </c>
      <c r="FO134" s="17" t="e">
        <v>#N/A</v>
      </c>
      <c r="FP134" s="17" t="e">
        <v>#N/A</v>
      </c>
      <c r="FQ134" s="17" t="e">
        <v>#N/A</v>
      </c>
      <c r="FR134" s="17" t="e">
        <v>#N/A</v>
      </c>
      <c r="FS134" s="17" t="e">
        <v>#N/A</v>
      </c>
      <c r="FT134" s="17" t="e">
        <v>#N/A</v>
      </c>
      <c r="FU134" s="17" t="e">
        <v>#N/A</v>
      </c>
      <c r="FV134" s="17" t="e">
        <v>#N/A</v>
      </c>
    </row>
    <row r="135" spans="2:178" ht="11.25" customHeight="1">
      <c r="B135" s="17" t="e">
        <v>#N/A</v>
      </c>
      <c r="C135" s="17" t="e">
        <v>#N/A</v>
      </c>
      <c r="D135" s="17" t="e">
        <v>#N/A</v>
      </c>
      <c r="E135" s="17" t="e">
        <v>#N/A</v>
      </c>
      <c r="F135" s="17" t="e">
        <v>#N/A</v>
      </c>
      <c r="G135" s="17" t="e">
        <v>#N/A</v>
      </c>
      <c r="H135" s="17" t="e">
        <v>#N/A</v>
      </c>
      <c r="I135" s="17" t="e">
        <v>#N/A</v>
      </c>
      <c r="J135" s="17" t="e">
        <v>#N/A</v>
      </c>
      <c r="K135" s="17" t="e">
        <v>#N/A</v>
      </c>
      <c r="L135" s="17" t="e">
        <v>#N/A</v>
      </c>
      <c r="M135" s="17" t="e">
        <v>#N/A</v>
      </c>
      <c r="N135" s="17" t="e">
        <v>#N/A</v>
      </c>
      <c r="O135" s="17" t="e">
        <v>#N/A</v>
      </c>
      <c r="P135" s="17" t="e">
        <v>#N/A</v>
      </c>
      <c r="Q135" s="17" t="e">
        <v>#N/A</v>
      </c>
      <c r="R135" s="17" t="e">
        <v>#N/A</v>
      </c>
      <c r="S135" s="17" t="e">
        <v>#N/A</v>
      </c>
      <c r="T135" s="17" t="e">
        <v>#N/A</v>
      </c>
      <c r="U135" s="17" t="e">
        <v>#N/A</v>
      </c>
      <c r="V135" s="17" t="e">
        <v>#N/A</v>
      </c>
      <c r="W135" s="17" t="e">
        <v>#N/A</v>
      </c>
      <c r="X135" s="17" t="e">
        <v>#N/A</v>
      </c>
      <c r="Y135" s="17" t="e">
        <v>#N/A</v>
      </c>
      <c r="Z135" s="17" t="e">
        <v>#N/A</v>
      </c>
      <c r="AA135" s="17" t="e">
        <v>#N/A</v>
      </c>
      <c r="AB135" s="17" t="e">
        <v>#N/A</v>
      </c>
      <c r="AC135" s="17" t="e">
        <v>#N/A</v>
      </c>
      <c r="AD135" s="17" t="e">
        <v>#N/A</v>
      </c>
      <c r="AE135" s="17" t="e">
        <v>#N/A</v>
      </c>
      <c r="AF135" s="17" t="e">
        <v>#N/A</v>
      </c>
      <c r="AG135" s="17" t="e">
        <v>#N/A</v>
      </c>
      <c r="AH135" s="17" t="e">
        <v>#N/A</v>
      </c>
      <c r="AI135" s="17" t="e">
        <v>#N/A</v>
      </c>
      <c r="AJ135" s="17" t="e">
        <v>#N/A</v>
      </c>
      <c r="AK135" s="17" t="e">
        <v>#N/A</v>
      </c>
      <c r="AL135" s="17" t="e">
        <v>#N/A</v>
      </c>
      <c r="AM135" s="17" t="e">
        <v>#N/A</v>
      </c>
      <c r="AN135" s="17" t="e">
        <v>#N/A</v>
      </c>
      <c r="AO135" s="17" t="e">
        <v>#N/A</v>
      </c>
      <c r="AP135" s="17" t="e">
        <v>#N/A</v>
      </c>
      <c r="AQ135" s="17" t="e">
        <v>#N/A</v>
      </c>
      <c r="AR135" s="17" t="e">
        <v>#N/A</v>
      </c>
      <c r="AS135" s="17" t="e">
        <v>#N/A</v>
      </c>
      <c r="AT135" s="17" t="e">
        <v>#N/A</v>
      </c>
      <c r="AU135" s="17" t="e">
        <v>#N/A</v>
      </c>
      <c r="AV135" s="17" t="e">
        <v>#N/A</v>
      </c>
      <c r="AW135" s="17" t="e">
        <v>#N/A</v>
      </c>
      <c r="AX135" s="17" t="e">
        <v>#N/A</v>
      </c>
      <c r="AY135" s="17" t="e">
        <v>#N/A</v>
      </c>
      <c r="AZ135" s="17" t="e">
        <v>#N/A</v>
      </c>
      <c r="BA135" s="17" t="e">
        <v>#N/A</v>
      </c>
      <c r="BB135" s="17" t="e">
        <v>#N/A</v>
      </c>
      <c r="BC135" s="17" t="e">
        <v>#N/A</v>
      </c>
      <c r="BD135" s="17" t="e">
        <v>#N/A</v>
      </c>
      <c r="BE135" s="17" t="e">
        <v>#N/A</v>
      </c>
      <c r="BF135" s="17" t="e">
        <v>#N/A</v>
      </c>
      <c r="BG135" s="17" t="e">
        <v>#N/A</v>
      </c>
      <c r="BH135" s="17" t="e">
        <v>#N/A</v>
      </c>
      <c r="BI135" s="17" t="e">
        <v>#N/A</v>
      </c>
      <c r="BJ135" s="17" t="e">
        <v>#N/A</v>
      </c>
      <c r="BK135" s="17" t="e">
        <v>#N/A</v>
      </c>
      <c r="BL135" s="17" t="e">
        <v>#N/A</v>
      </c>
      <c r="BM135" s="17" t="e">
        <v>#N/A</v>
      </c>
      <c r="BN135" s="17" t="e">
        <v>#N/A</v>
      </c>
      <c r="BO135" s="17" t="e">
        <v>#N/A</v>
      </c>
      <c r="BP135" s="17" t="e">
        <v>#N/A</v>
      </c>
      <c r="BQ135" s="17" t="e">
        <v>#N/A</v>
      </c>
      <c r="BR135" s="17" t="e">
        <v>#N/A</v>
      </c>
      <c r="BS135" s="17" t="e">
        <v>#N/A</v>
      </c>
      <c r="BT135" s="17" t="e">
        <v>#N/A</v>
      </c>
      <c r="BU135" s="17" t="e">
        <v>#N/A</v>
      </c>
      <c r="BV135" s="17" t="e">
        <v>#N/A</v>
      </c>
      <c r="BW135" s="17" t="e">
        <v>#N/A</v>
      </c>
      <c r="BX135" s="17" t="e">
        <v>#N/A</v>
      </c>
      <c r="BY135" s="17" t="e">
        <v>#N/A</v>
      </c>
      <c r="BZ135" s="17" t="e">
        <v>#N/A</v>
      </c>
      <c r="CA135" s="17" t="e">
        <v>#N/A</v>
      </c>
      <c r="CB135" s="17" t="e">
        <v>#N/A</v>
      </c>
      <c r="CC135" s="17" t="e">
        <v>#N/A</v>
      </c>
      <c r="CD135" s="17" t="e">
        <v>#N/A</v>
      </c>
      <c r="CE135" s="17" t="e">
        <v>#N/A</v>
      </c>
      <c r="CF135" s="17" t="e">
        <v>#N/A</v>
      </c>
      <c r="CG135" s="17" t="e">
        <v>#N/A</v>
      </c>
      <c r="CH135" s="17" t="e">
        <v>#N/A</v>
      </c>
      <c r="CI135" s="17" t="e">
        <v>#N/A</v>
      </c>
      <c r="CJ135" s="17" t="e">
        <v>#N/A</v>
      </c>
      <c r="CK135" s="17" t="e">
        <v>#N/A</v>
      </c>
      <c r="CL135" s="17" t="e">
        <v>#N/A</v>
      </c>
      <c r="CM135" s="17" t="e">
        <v>#N/A</v>
      </c>
      <c r="CN135" s="17" t="e">
        <v>#N/A</v>
      </c>
      <c r="CO135" s="17" t="e">
        <v>#N/A</v>
      </c>
      <c r="CP135" s="17" t="e">
        <v>#N/A</v>
      </c>
      <c r="CQ135" s="17" t="e">
        <v>#N/A</v>
      </c>
      <c r="CR135" s="17" t="e">
        <v>#N/A</v>
      </c>
      <c r="CS135" s="17" t="e">
        <v>#N/A</v>
      </c>
      <c r="CT135" s="17" t="e">
        <v>#N/A</v>
      </c>
      <c r="CU135" s="17" t="e">
        <v>#N/A</v>
      </c>
      <c r="CV135" s="17" t="e">
        <v>#N/A</v>
      </c>
      <c r="CW135" s="17" t="e">
        <v>#N/A</v>
      </c>
      <c r="CX135" s="17" t="e">
        <v>#N/A</v>
      </c>
      <c r="CY135" s="17" t="e">
        <v>#N/A</v>
      </c>
      <c r="CZ135" s="17" t="e">
        <v>#N/A</v>
      </c>
      <c r="DA135" s="17" t="e">
        <v>#N/A</v>
      </c>
      <c r="DB135" s="17" t="e">
        <v>#N/A</v>
      </c>
      <c r="DC135" s="17" t="e">
        <v>#N/A</v>
      </c>
      <c r="DD135" s="17" t="e">
        <v>#N/A</v>
      </c>
      <c r="DE135" s="17" t="e">
        <v>#N/A</v>
      </c>
      <c r="DF135" s="17" t="e">
        <v>#N/A</v>
      </c>
      <c r="DG135" s="17" t="e">
        <v>#N/A</v>
      </c>
      <c r="DH135" s="17" t="e">
        <v>#N/A</v>
      </c>
      <c r="DI135" s="17" t="e">
        <v>#N/A</v>
      </c>
      <c r="DJ135" s="17" t="e">
        <v>#N/A</v>
      </c>
      <c r="DK135" s="17" t="e">
        <v>#N/A</v>
      </c>
      <c r="DL135" s="17" t="e">
        <v>#N/A</v>
      </c>
      <c r="DM135" s="17" t="e">
        <v>#N/A</v>
      </c>
      <c r="DN135" s="17" t="e">
        <v>#N/A</v>
      </c>
      <c r="DO135" s="17" t="e">
        <v>#N/A</v>
      </c>
      <c r="DP135" s="17" t="e">
        <v>#N/A</v>
      </c>
      <c r="DQ135" s="17" t="e">
        <v>#N/A</v>
      </c>
      <c r="DR135" s="17" t="e">
        <v>#N/A</v>
      </c>
      <c r="DS135" s="17" t="e">
        <v>#N/A</v>
      </c>
      <c r="DT135" s="17" t="e">
        <v>#N/A</v>
      </c>
      <c r="DU135" s="17" t="e">
        <v>#N/A</v>
      </c>
      <c r="DV135" s="17" t="e">
        <v>#N/A</v>
      </c>
      <c r="DW135" s="17" t="e">
        <v>#N/A</v>
      </c>
      <c r="DX135" s="17" t="e">
        <v>#N/A</v>
      </c>
      <c r="DY135" s="17" t="e">
        <v>#N/A</v>
      </c>
      <c r="DZ135" s="17" t="e">
        <v>#N/A</v>
      </c>
      <c r="EA135" s="17" t="e">
        <v>#N/A</v>
      </c>
      <c r="EB135" s="17" t="e">
        <v>#N/A</v>
      </c>
      <c r="EC135" s="17" t="e">
        <v>#N/A</v>
      </c>
      <c r="ED135" s="17" t="e">
        <v>#N/A</v>
      </c>
      <c r="EE135" s="17" t="e">
        <v>#N/A</v>
      </c>
      <c r="EF135" s="17" t="e">
        <v>#N/A</v>
      </c>
      <c r="EG135" s="17" t="e">
        <v>#N/A</v>
      </c>
      <c r="EH135" s="17" t="e">
        <v>#N/A</v>
      </c>
      <c r="EI135" s="17" t="e">
        <v>#N/A</v>
      </c>
      <c r="EJ135" s="17" t="e">
        <v>#N/A</v>
      </c>
      <c r="EK135" s="17" t="e">
        <v>#N/A</v>
      </c>
      <c r="EL135" s="17" t="e">
        <v>#N/A</v>
      </c>
      <c r="EM135" s="17" t="e">
        <v>#N/A</v>
      </c>
      <c r="EN135" s="17" t="e">
        <v>#N/A</v>
      </c>
      <c r="EO135" s="17" t="e">
        <v>#N/A</v>
      </c>
      <c r="EP135" s="17" t="e">
        <v>#N/A</v>
      </c>
      <c r="EQ135" s="17" t="e">
        <v>#N/A</v>
      </c>
      <c r="ER135" s="17" t="e">
        <v>#N/A</v>
      </c>
      <c r="ES135" s="17" t="e">
        <v>#N/A</v>
      </c>
      <c r="ET135" s="17" t="e">
        <v>#N/A</v>
      </c>
      <c r="EU135" s="17" t="e">
        <v>#N/A</v>
      </c>
      <c r="EV135" s="17" t="e">
        <v>#N/A</v>
      </c>
      <c r="EW135" s="17" t="e">
        <v>#N/A</v>
      </c>
      <c r="EX135" s="17" t="e">
        <v>#N/A</v>
      </c>
      <c r="EY135" s="17" t="e">
        <v>#N/A</v>
      </c>
      <c r="EZ135" s="17" t="e">
        <v>#N/A</v>
      </c>
      <c r="FA135" s="17" t="e">
        <v>#N/A</v>
      </c>
      <c r="FB135" s="17" t="e">
        <v>#N/A</v>
      </c>
      <c r="FC135" s="17" t="e">
        <v>#N/A</v>
      </c>
      <c r="FD135" s="17" t="e">
        <v>#N/A</v>
      </c>
      <c r="FE135" s="17" t="e">
        <v>#N/A</v>
      </c>
      <c r="FF135" s="17" t="e">
        <v>#N/A</v>
      </c>
      <c r="FG135" s="17" t="e">
        <v>#N/A</v>
      </c>
      <c r="FH135" s="17" t="e">
        <v>#N/A</v>
      </c>
      <c r="FI135" s="17" t="e">
        <v>#N/A</v>
      </c>
      <c r="FJ135" s="17" t="e">
        <v>#N/A</v>
      </c>
      <c r="FK135" s="17" t="e">
        <v>#N/A</v>
      </c>
      <c r="FL135" s="17" t="e">
        <v>#N/A</v>
      </c>
      <c r="FM135" s="17" t="e">
        <v>#N/A</v>
      </c>
      <c r="FN135" s="17" t="e">
        <v>#N/A</v>
      </c>
      <c r="FO135" s="17" t="e">
        <v>#N/A</v>
      </c>
      <c r="FP135" s="17" t="e">
        <v>#N/A</v>
      </c>
      <c r="FQ135" s="17" t="e">
        <v>#N/A</v>
      </c>
      <c r="FR135" s="17" t="e">
        <v>#N/A</v>
      </c>
      <c r="FS135" s="17" t="e">
        <v>#N/A</v>
      </c>
      <c r="FT135" s="17" t="e">
        <v>#N/A</v>
      </c>
      <c r="FU135" s="17" t="e">
        <v>#N/A</v>
      </c>
      <c r="FV135" s="17" t="e">
        <v>#N/A</v>
      </c>
    </row>
    <row r="136" spans="2:178" ht="11.25" customHeight="1">
      <c r="B136" s="17" t="e">
        <v>#N/A</v>
      </c>
      <c r="C136" s="17" t="e">
        <v>#N/A</v>
      </c>
      <c r="D136" s="17" t="e">
        <v>#N/A</v>
      </c>
      <c r="E136" s="17" t="e">
        <v>#N/A</v>
      </c>
      <c r="F136" s="17" t="e">
        <v>#N/A</v>
      </c>
      <c r="G136" s="17" t="e">
        <v>#N/A</v>
      </c>
      <c r="H136" s="17" t="e">
        <v>#N/A</v>
      </c>
      <c r="I136" s="17" t="e">
        <v>#N/A</v>
      </c>
      <c r="J136" s="17" t="e">
        <v>#N/A</v>
      </c>
      <c r="K136" s="17" t="e">
        <v>#N/A</v>
      </c>
      <c r="L136" s="17" t="e">
        <v>#N/A</v>
      </c>
      <c r="M136" s="17" t="e">
        <v>#N/A</v>
      </c>
      <c r="N136" s="17" t="e">
        <v>#N/A</v>
      </c>
      <c r="O136" s="17" t="e">
        <v>#N/A</v>
      </c>
      <c r="P136" s="17" t="e">
        <v>#N/A</v>
      </c>
      <c r="Q136" s="17" t="e">
        <v>#N/A</v>
      </c>
      <c r="R136" s="17" t="e">
        <v>#N/A</v>
      </c>
      <c r="S136" s="17" t="e">
        <v>#N/A</v>
      </c>
      <c r="T136" s="17" t="e">
        <v>#N/A</v>
      </c>
      <c r="U136" s="17" t="e">
        <v>#N/A</v>
      </c>
      <c r="V136" s="17" t="e">
        <v>#N/A</v>
      </c>
      <c r="W136" s="17" t="e">
        <v>#N/A</v>
      </c>
      <c r="X136" s="17" t="e">
        <v>#N/A</v>
      </c>
      <c r="Y136" s="17" t="e">
        <v>#N/A</v>
      </c>
      <c r="Z136" s="17" t="e">
        <v>#N/A</v>
      </c>
      <c r="AA136" s="17" t="e">
        <v>#N/A</v>
      </c>
      <c r="AB136" s="17" t="e">
        <v>#N/A</v>
      </c>
      <c r="AC136" s="17" t="e">
        <v>#N/A</v>
      </c>
      <c r="AD136" s="17" t="e">
        <v>#N/A</v>
      </c>
      <c r="AE136" s="17" t="e">
        <v>#N/A</v>
      </c>
      <c r="AF136" s="17" t="e">
        <v>#N/A</v>
      </c>
      <c r="AG136" s="17" t="e">
        <v>#N/A</v>
      </c>
      <c r="AH136" s="17" t="e">
        <v>#N/A</v>
      </c>
      <c r="AI136" s="17" t="e">
        <v>#N/A</v>
      </c>
      <c r="AJ136" s="17" t="e">
        <v>#N/A</v>
      </c>
      <c r="AK136" s="17" t="e">
        <v>#N/A</v>
      </c>
      <c r="AL136" s="17" t="e">
        <v>#N/A</v>
      </c>
      <c r="AM136" s="17" t="e">
        <v>#N/A</v>
      </c>
      <c r="AN136" s="17" t="e">
        <v>#N/A</v>
      </c>
      <c r="AO136" s="17" t="e">
        <v>#N/A</v>
      </c>
      <c r="AP136" s="17" t="e">
        <v>#N/A</v>
      </c>
      <c r="AQ136" s="17" t="e">
        <v>#N/A</v>
      </c>
      <c r="AR136" s="17" t="e">
        <v>#N/A</v>
      </c>
      <c r="AS136" s="17" t="e">
        <v>#N/A</v>
      </c>
      <c r="AT136" s="17" t="e">
        <v>#N/A</v>
      </c>
      <c r="AU136" s="17" t="e">
        <v>#N/A</v>
      </c>
      <c r="AV136" s="17" t="e">
        <v>#N/A</v>
      </c>
      <c r="AW136" s="17" t="e">
        <v>#N/A</v>
      </c>
      <c r="AX136" s="17" t="e">
        <v>#N/A</v>
      </c>
      <c r="AY136" s="17" t="e">
        <v>#N/A</v>
      </c>
      <c r="AZ136" s="17" t="e">
        <v>#N/A</v>
      </c>
      <c r="BA136" s="17" t="e">
        <v>#N/A</v>
      </c>
      <c r="BB136" s="17" t="e">
        <v>#N/A</v>
      </c>
      <c r="BC136" s="17" t="e">
        <v>#N/A</v>
      </c>
      <c r="BD136" s="17" t="e">
        <v>#N/A</v>
      </c>
      <c r="BE136" s="17" t="e">
        <v>#N/A</v>
      </c>
      <c r="BF136" s="17" t="e">
        <v>#N/A</v>
      </c>
      <c r="BG136" s="17" t="e">
        <v>#N/A</v>
      </c>
      <c r="BH136" s="17" t="e">
        <v>#N/A</v>
      </c>
      <c r="BI136" s="17" t="e">
        <v>#N/A</v>
      </c>
      <c r="BJ136" s="17" t="e">
        <v>#N/A</v>
      </c>
      <c r="BK136" s="17" t="e">
        <v>#N/A</v>
      </c>
      <c r="BL136" s="17" t="e">
        <v>#N/A</v>
      </c>
      <c r="BM136" s="17" t="e">
        <v>#N/A</v>
      </c>
      <c r="BN136" s="17" t="e">
        <v>#N/A</v>
      </c>
      <c r="BO136" s="17" t="e">
        <v>#N/A</v>
      </c>
      <c r="BP136" s="17" t="e">
        <v>#N/A</v>
      </c>
      <c r="BQ136" s="17" t="e">
        <v>#N/A</v>
      </c>
      <c r="BR136" s="17" t="e">
        <v>#N/A</v>
      </c>
      <c r="BS136" s="17" t="e">
        <v>#N/A</v>
      </c>
      <c r="BT136" s="17" t="e">
        <v>#N/A</v>
      </c>
      <c r="BU136" s="17" t="e">
        <v>#N/A</v>
      </c>
      <c r="BV136" s="17" t="e">
        <v>#N/A</v>
      </c>
      <c r="BW136" s="17" t="e">
        <v>#N/A</v>
      </c>
      <c r="BX136" s="17" t="e">
        <v>#N/A</v>
      </c>
      <c r="BY136" s="17" t="e">
        <v>#N/A</v>
      </c>
      <c r="BZ136" s="17" t="e">
        <v>#N/A</v>
      </c>
      <c r="CA136" s="17" t="e">
        <v>#N/A</v>
      </c>
      <c r="CB136" s="17" t="e">
        <v>#N/A</v>
      </c>
      <c r="CC136" s="17" t="e">
        <v>#N/A</v>
      </c>
      <c r="CD136" s="17" t="e">
        <v>#N/A</v>
      </c>
      <c r="CE136" s="17" t="e">
        <v>#N/A</v>
      </c>
      <c r="CF136" s="17" t="e">
        <v>#N/A</v>
      </c>
      <c r="CG136" s="17" t="e">
        <v>#N/A</v>
      </c>
      <c r="CH136" s="17" t="e">
        <v>#N/A</v>
      </c>
      <c r="CI136" s="17" t="e">
        <v>#N/A</v>
      </c>
      <c r="CJ136" s="17" t="e">
        <v>#N/A</v>
      </c>
      <c r="CK136" s="17" t="e">
        <v>#N/A</v>
      </c>
      <c r="CL136" s="17" t="e">
        <v>#N/A</v>
      </c>
      <c r="CM136" s="17" t="e">
        <v>#N/A</v>
      </c>
      <c r="CN136" s="17" t="e">
        <v>#N/A</v>
      </c>
      <c r="CO136" s="17" t="e">
        <v>#N/A</v>
      </c>
      <c r="CP136" s="17" t="e">
        <v>#N/A</v>
      </c>
      <c r="CQ136" s="17" t="e">
        <v>#N/A</v>
      </c>
      <c r="CR136" s="17" t="e">
        <v>#N/A</v>
      </c>
      <c r="CS136" s="17" t="e">
        <v>#N/A</v>
      </c>
      <c r="CT136" s="17" t="e">
        <v>#N/A</v>
      </c>
      <c r="CU136" s="17" t="e">
        <v>#N/A</v>
      </c>
      <c r="CV136" s="17" t="e">
        <v>#N/A</v>
      </c>
      <c r="CW136" s="17" t="e">
        <v>#N/A</v>
      </c>
      <c r="CX136" s="17" t="e">
        <v>#N/A</v>
      </c>
      <c r="CY136" s="17" t="e">
        <v>#N/A</v>
      </c>
      <c r="CZ136" s="17" t="e">
        <v>#N/A</v>
      </c>
      <c r="DA136" s="17" t="e">
        <v>#N/A</v>
      </c>
      <c r="DB136" s="17" t="e">
        <v>#N/A</v>
      </c>
      <c r="DC136" s="17" t="e">
        <v>#N/A</v>
      </c>
      <c r="DD136" s="17" t="e">
        <v>#N/A</v>
      </c>
      <c r="DE136" s="17" t="e">
        <v>#N/A</v>
      </c>
      <c r="DF136" s="17" t="e">
        <v>#N/A</v>
      </c>
      <c r="DG136" s="17" t="e">
        <v>#N/A</v>
      </c>
      <c r="DH136" s="17" t="e">
        <v>#N/A</v>
      </c>
      <c r="DI136" s="17" t="e">
        <v>#N/A</v>
      </c>
      <c r="DJ136" s="17" t="e">
        <v>#N/A</v>
      </c>
      <c r="DK136" s="17" t="e">
        <v>#N/A</v>
      </c>
      <c r="DL136" s="17" t="e">
        <v>#N/A</v>
      </c>
      <c r="DM136" s="17" t="e">
        <v>#N/A</v>
      </c>
      <c r="DN136" s="17" t="e">
        <v>#N/A</v>
      </c>
      <c r="DO136" s="17" t="e">
        <v>#N/A</v>
      </c>
      <c r="DP136" s="17" t="e">
        <v>#N/A</v>
      </c>
      <c r="DQ136" s="17" t="e">
        <v>#N/A</v>
      </c>
      <c r="DR136" s="17" t="e">
        <v>#N/A</v>
      </c>
      <c r="DS136" s="17" t="e">
        <v>#N/A</v>
      </c>
      <c r="DT136" s="17" t="e">
        <v>#N/A</v>
      </c>
      <c r="DU136" s="17" t="e">
        <v>#N/A</v>
      </c>
      <c r="DV136" s="17" t="e">
        <v>#N/A</v>
      </c>
      <c r="DW136" s="17" t="e">
        <v>#N/A</v>
      </c>
      <c r="DX136" s="17" t="e">
        <v>#N/A</v>
      </c>
      <c r="DY136" s="17" t="e">
        <v>#N/A</v>
      </c>
      <c r="DZ136" s="17" t="e">
        <v>#N/A</v>
      </c>
      <c r="EA136" s="17" t="e">
        <v>#N/A</v>
      </c>
      <c r="EB136" s="17" t="e">
        <v>#N/A</v>
      </c>
      <c r="EC136" s="17" t="e">
        <v>#N/A</v>
      </c>
      <c r="ED136" s="17" t="e">
        <v>#N/A</v>
      </c>
      <c r="EE136" s="17" t="e">
        <v>#N/A</v>
      </c>
      <c r="EF136" s="17" t="e">
        <v>#N/A</v>
      </c>
      <c r="EG136" s="17" t="e">
        <v>#N/A</v>
      </c>
      <c r="EH136" s="17" t="e">
        <v>#N/A</v>
      </c>
      <c r="EI136" s="17" t="e">
        <v>#N/A</v>
      </c>
      <c r="EJ136" s="17" t="e">
        <v>#N/A</v>
      </c>
      <c r="EK136" s="17" t="e">
        <v>#N/A</v>
      </c>
      <c r="EL136" s="17" t="e">
        <v>#N/A</v>
      </c>
      <c r="EM136" s="17" t="e">
        <v>#N/A</v>
      </c>
      <c r="EN136" s="17" t="e">
        <v>#N/A</v>
      </c>
      <c r="EO136" s="17" t="e">
        <v>#N/A</v>
      </c>
      <c r="EP136" s="17" t="e">
        <v>#N/A</v>
      </c>
      <c r="EQ136" s="17" t="e">
        <v>#N/A</v>
      </c>
      <c r="ER136" s="17" t="e">
        <v>#N/A</v>
      </c>
      <c r="ES136" s="17" t="e">
        <v>#N/A</v>
      </c>
      <c r="ET136" s="17" t="e">
        <v>#N/A</v>
      </c>
      <c r="EU136" s="17" t="e">
        <v>#N/A</v>
      </c>
      <c r="EV136" s="17" t="e">
        <v>#N/A</v>
      </c>
      <c r="EW136" s="17" t="e">
        <v>#N/A</v>
      </c>
      <c r="EX136" s="17" t="e">
        <v>#N/A</v>
      </c>
      <c r="EY136" s="17" t="e">
        <v>#N/A</v>
      </c>
      <c r="EZ136" s="17" t="e">
        <v>#N/A</v>
      </c>
      <c r="FA136" s="17" t="e">
        <v>#N/A</v>
      </c>
      <c r="FB136" s="17" t="e">
        <v>#N/A</v>
      </c>
      <c r="FC136" s="17" t="e">
        <v>#N/A</v>
      </c>
      <c r="FD136" s="17" t="e">
        <v>#N/A</v>
      </c>
      <c r="FE136" s="17" t="e">
        <v>#N/A</v>
      </c>
      <c r="FF136" s="17" t="e">
        <v>#N/A</v>
      </c>
      <c r="FG136" s="17" t="e">
        <v>#N/A</v>
      </c>
      <c r="FH136" s="17" t="e">
        <v>#N/A</v>
      </c>
      <c r="FI136" s="17" t="e">
        <v>#N/A</v>
      </c>
      <c r="FJ136" s="17" t="e">
        <v>#N/A</v>
      </c>
      <c r="FK136" s="17" t="e">
        <v>#N/A</v>
      </c>
      <c r="FL136" s="17" t="e">
        <v>#N/A</v>
      </c>
      <c r="FM136" s="17" t="e">
        <v>#N/A</v>
      </c>
      <c r="FN136" s="17" t="e">
        <v>#N/A</v>
      </c>
      <c r="FO136" s="17" t="e">
        <v>#N/A</v>
      </c>
      <c r="FP136" s="17" t="e">
        <v>#N/A</v>
      </c>
      <c r="FQ136" s="17" t="e">
        <v>#N/A</v>
      </c>
      <c r="FR136" s="17" t="e">
        <v>#N/A</v>
      </c>
      <c r="FS136" s="17" t="e">
        <v>#N/A</v>
      </c>
      <c r="FT136" s="17" t="e">
        <v>#N/A</v>
      </c>
      <c r="FU136" s="17" t="e">
        <v>#N/A</v>
      </c>
      <c r="FV136" s="17" t="e">
        <v>#N/A</v>
      </c>
    </row>
    <row r="137" spans="2:178" ht="11.25" customHeight="1">
      <c r="B137" s="17" t="e">
        <v>#N/A</v>
      </c>
      <c r="C137" s="17" t="e">
        <v>#N/A</v>
      </c>
      <c r="D137" s="17" t="e">
        <v>#N/A</v>
      </c>
      <c r="E137" s="17" t="e">
        <v>#N/A</v>
      </c>
      <c r="F137" s="17" t="e">
        <v>#N/A</v>
      </c>
      <c r="G137" s="17" t="e">
        <v>#N/A</v>
      </c>
      <c r="H137" s="17" t="e">
        <v>#N/A</v>
      </c>
      <c r="I137" s="17" t="e">
        <v>#N/A</v>
      </c>
      <c r="J137" s="17" t="e">
        <v>#N/A</v>
      </c>
      <c r="K137" s="17" t="e">
        <v>#N/A</v>
      </c>
      <c r="L137" s="17" t="e">
        <v>#N/A</v>
      </c>
      <c r="M137" s="17" t="e">
        <v>#N/A</v>
      </c>
      <c r="N137" s="17" t="e">
        <v>#N/A</v>
      </c>
      <c r="O137" s="17" t="e">
        <v>#N/A</v>
      </c>
      <c r="P137" s="17" t="e">
        <v>#N/A</v>
      </c>
      <c r="Q137" s="17" t="e">
        <v>#N/A</v>
      </c>
      <c r="R137" s="17" t="e">
        <v>#N/A</v>
      </c>
      <c r="S137" s="17" t="e">
        <v>#N/A</v>
      </c>
      <c r="T137" s="17" t="e">
        <v>#N/A</v>
      </c>
      <c r="U137" s="17" t="e">
        <v>#N/A</v>
      </c>
      <c r="V137" s="17" t="e">
        <v>#N/A</v>
      </c>
      <c r="W137" s="17" t="e">
        <v>#N/A</v>
      </c>
      <c r="X137" s="17" t="e">
        <v>#N/A</v>
      </c>
      <c r="Y137" s="17" t="e">
        <v>#N/A</v>
      </c>
      <c r="Z137" s="17" t="e">
        <v>#N/A</v>
      </c>
      <c r="AA137" s="17" t="e">
        <v>#N/A</v>
      </c>
      <c r="AB137" s="17" t="e">
        <v>#N/A</v>
      </c>
      <c r="AC137" s="17" t="e">
        <v>#N/A</v>
      </c>
      <c r="AD137" s="17" t="e">
        <v>#N/A</v>
      </c>
      <c r="AE137" s="17" t="e">
        <v>#N/A</v>
      </c>
      <c r="AF137" s="17" t="e">
        <v>#N/A</v>
      </c>
      <c r="AG137" s="17" t="e">
        <v>#N/A</v>
      </c>
      <c r="AH137" s="17" t="e">
        <v>#N/A</v>
      </c>
      <c r="AI137" s="17" t="e">
        <v>#N/A</v>
      </c>
      <c r="AJ137" s="17" t="e">
        <v>#N/A</v>
      </c>
      <c r="AK137" s="17" t="e">
        <v>#N/A</v>
      </c>
      <c r="AL137" s="17" t="e">
        <v>#N/A</v>
      </c>
      <c r="AM137" s="17" t="e">
        <v>#N/A</v>
      </c>
      <c r="AN137" s="17" t="e">
        <v>#N/A</v>
      </c>
      <c r="AO137" s="17" t="e">
        <v>#N/A</v>
      </c>
      <c r="AP137" s="17" t="e">
        <v>#N/A</v>
      </c>
      <c r="AQ137" s="17" t="e">
        <v>#N/A</v>
      </c>
      <c r="AR137" s="17" t="e">
        <v>#N/A</v>
      </c>
      <c r="AS137" s="17" t="e">
        <v>#N/A</v>
      </c>
      <c r="AT137" s="17" t="e">
        <v>#N/A</v>
      </c>
      <c r="AU137" s="17" t="e">
        <v>#N/A</v>
      </c>
      <c r="AV137" s="17" t="e">
        <v>#N/A</v>
      </c>
      <c r="AW137" s="17" t="e">
        <v>#N/A</v>
      </c>
      <c r="AX137" s="17" t="e">
        <v>#N/A</v>
      </c>
      <c r="AY137" s="17" t="e">
        <v>#N/A</v>
      </c>
      <c r="AZ137" s="17" t="e">
        <v>#N/A</v>
      </c>
      <c r="BA137" s="17" t="e">
        <v>#N/A</v>
      </c>
      <c r="BB137" s="17" t="e">
        <v>#N/A</v>
      </c>
      <c r="BC137" s="17" t="e">
        <v>#N/A</v>
      </c>
      <c r="BD137" s="17" t="e">
        <v>#N/A</v>
      </c>
      <c r="BE137" s="17" t="e">
        <v>#N/A</v>
      </c>
      <c r="BF137" s="17" t="e">
        <v>#N/A</v>
      </c>
      <c r="BG137" s="17" t="e">
        <v>#N/A</v>
      </c>
      <c r="BH137" s="17" t="e">
        <v>#N/A</v>
      </c>
      <c r="BI137" s="17" t="e">
        <v>#N/A</v>
      </c>
      <c r="BJ137" s="17" t="e">
        <v>#N/A</v>
      </c>
      <c r="BK137" s="17" t="e">
        <v>#N/A</v>
      </c>
      <c r="BL137" s="17" t="e">
        <v>#N/A</v>
      </c>
      <c r="BM137" s="17" t="e">
        <v>#N/A</v>
      </c>
      <c r="BN137" s="17" t="e">
        <v>#N/A</v>
      </c>
      <c r="BO137" s="17" t="e">
        <v>#N/A</v>
      </c>
      <c r="BP137" s="17" t="e">
        <v>#N/A</v>
      </c>
      <c r="BQ137" s="17" t="e">
        <v>#N/A</v>
      </c>
      <c r="BR137" s="17" t="e">
        <v>#N/A</v>
      </c>
      <c r="BS137" s="17" t="e">
        <v>#N/A</v>
      </c>
      <c r="BT137" s="17" t="e">
        <v>#N/A</v>
      </c>
      <c r="BU137" s="17" t="e">
        <v>#N/A</v>
      </c>
      <c r="BV137" s="17" t="e">
        <v>#N/A</v>
      </c>
      <c r="BW137" s="17" t="e">
        <v>#N/A</v>
      </c>
      <c r="BX137" s="17" t="e">
        <v>#N/A</v>
      </c>
      <c r="BY137" s="17" t="e">
        <v>#N/A</v>
      </c>
      <c r="BZ137" s="17" t="e">
        <v>#N/A</v>
      </c>
      <c r="CA137" s="17" t="e">
        <v>#N/A</v>
      </c>
      <c r="CB137" s="17" t="e">
        <v>#N/A</v>
      </c>
      <c r="CC137" s="17" t="e">
        <v>#N/A</v>
      </c>
      <c r="CD137" s="17" t="e">
        <v>#N/A</v>
      </c>
      <c r="CE137" s="17" t="e">
        <v>#N/A</v>
      </c>
      <c r="CF137" s="17" t="e">
        <v>#N/A</v>
      </c>
      <c r="CG137" s="17" t="e">
        <v>#N/A</v>
      </c>
      <c r="CH137" s="17" t="e">
        <v>#N/A</v>
      </c>
      <c r="CI137" s="17" t="e">
        <v>#N/A</v>
      </c>
      <c r="CJ137" s="17" t="e">
        <v>#N/A</v>
      </c>
      <c r="CK137" s="17" t="e">
        <v>#N/A</v>
      </c>
      <c r="CL137" s="17" t="e">
        <v>#N/A</v>
      </c>
      <c r="CM137" s="17" t="e">
        <v>#N/A</v>
      </c>
      <c r="CN137" s="17" t="e">
        <v>#N/A</v>
      </c>
      <c r="CO137" s="17" t="e">
        <v>#N/A</v>
      </c>
      <c r="CP137" s="17" t="e">
        <v>#N/A</v>
      </c>
      <c r="CQ137" s="17" t="e">
        <v>#N/A</v>
      </c>
      <c r="CR137" s="17" t="e">
        <v>#N/A</v>
      </c>
      <c r="CS137" s="17" t="e">
        <v>#N/A</v>
      </c>
      <c r="CT137" s="17" t="e">
        <v>#N/A</v>
      </c>
      <c r="CU137" s="17" t="e">
        <v>#N/A</v>
      </c>
      <c r="CV137" s="17" t="e">
        <v>#N/A</v>
      </c>
      <c r="CW137" s="17" t="e">
        <v>#N/A</v>
      </c>
      <c r="CX137" s="17" t="e">
        <v>#N/A</v>
      </c>
      <c r="CY137" s="17" t="e">
        <v>#N/A</v>
      </c>
      <c r="CZ137" s="17" t="e">
        <v>#N/A</v>
      </c>
      <c r="DA137" s="17" t="e">
        <v>#N/A</v>
      </c>
      <c r="DB137" s="17" t="e">
        <v>#N/A</v>
      </c>
      <c r="DC137" s="17" t="e">
        <v>#N/A</v>
      </c>
      <c r="DD137" s="17" t="e">
        <v>#N/A</v>
      </c>
      <c r="DE137" s="17" t="e">
        <v>#N/A</v>
      </c>
      <c r="DF137" s="17" t="e">
        <v>#N/A</v>
      </c>
      <c r="DG137" s="17" t="e">
        <v>#N/A</v>
      </c>
      <c r="DH137" s="17" t="e">
        <v>#N/A</v>
      </c>
      <c r="DI137" s="17" t="e">
        <v>#N/A</v>
      </c>
      <c r="DJ137" s="17" t="e">
        <v>#N/A</v>
      </c>
      <c r="DK137" s="17" t="e">
        <v>#N/A</v>
      </c>
      <c r="DL137" s="17" t="e">
        <v>#N/A</v>
      </c>
      <c r="DM137" s="17" t="e">
        <v>#N/A</v>
      </c>
      <c r="DN137" s="17" t="e">
        <v>#N/A</v>
      </c>
      <c r="DO137" s="17" t="e">
        <v>#N/A</v>
      </c>
      <c r="DP137" s="17" t="e">
        <v>#N/A</v>
      </c>
      <c r="DQ137" s="17" t="e">
        <v>#N/A</v>
      </c>
      <c r="DR137" s="17" t="e">
        <v>#N/A</v>
      </c>
      <c r="DS137" s="17" t="e">
        <v>#N/A</v>
      </c>
      <c r="DT137" s="17" t="e">
        <v>#N/A</v>
      </c>
      <c r="DU137" s="17" t="e">
        <v>#N/A</v>
      </c>
      <c r="DV137" s="17" t="e">
        <v>#N/A</v>
      </c>
      <c r="DW137" s="17" t="e">
        <v>#N/A</v>
      </c>
      <c r="DX137" s="17" t="e">
        <v>#N/A</v>
      </c>
      <c r="DY137" s="17" t="e">
        <v>#N/A</v>
      </c>
      <c r="DZ137" s="17" t="e">
        <v>#N/A</v>
      </c>
      <c r="EA137" s="17" t="e">
        <v>#N/A</v>
      </c>
      <c r="EB137" s="17" t="e">
        <v>#N/A</v>
      </c>
      <c r="EC137" s="17" t="e">
        <v>#N/A</v>
      </c>
      <c r="ED137" s="17" t="e">
        <v>#N/A</v>
      </c>
      <c r="EE137" s="17" t="e">
        <v>#N/A</v>
      </c>
      <c r="EF137" s="17" t="e">
        <v>#N/A</v>
      </c>
      <c r="EG137" s="17" t="e">
        <v>#N/A</v>
      </c>
      <c r="EH137" s="17" t="e">
        <v>#N/A</v>
      </c>
      <c r="EI137" s="17" t="e">
        <v>#N/A</v>
      </c>
      <c r="EJ137" s="17" t="e">
        <v>#N/A</v>
      </c>
      <c r="EK137" s="17" t="e">
        <v>#N/A</v>
      </c>
      <c r="EL137" s="17" t="e">
        <v>#N/A</v>
      </c>
      <c r="EM137" s="17" t="e">
        <v>#N/A</v>
      </c>
      <c r="EN137" s="17" t="e">
        <v>#N/A</v>
      </c>
      <c r="EO137" s="17" t="e">
        <v>#N/A</v>
      </c>
      <c r="EP137" s="17" t="e">
        <v>#N/A</v>
      </c>
      <c r="EQ137" s="17" t="e">
        <v>#N/A</v>
      </c>
      <c r="ER137" s="17" t="e">
        <v>#N/A</v>
      </c>
      <c r="ES137" s="17" t="e">
        <v>#N/A</v>
      </c>
      <c r="ET137" s="17" t="e">
        <v>#N/A</v>
      </c>
      <c r="EU137" s="17" t="e">
        <v>#N/A</v>
      </c>
      <c r="EV137" s="17" t="e">
        <v>#N/A</v>
      </c>
      <c r="EW137" s="17" t="e">
        <v>#N/A</v>
      </c>
      <c r="EX137" s="17" t="e">
        <v>#N/A</v>
      </c>
      <c r="EY137" s="17" t="e">
        <v>#N/A</v>
      </c>
      <c r="EZ137" s="17" t="e">
        <v>#N/A</v>
      </c>
      <c r="FA137" s="17" t="e">
        <v>#N/A</v>
      </c>
      <c r="FB137" s="17" t="e">
        <v>#N/A</v>
      </c>
      <c r="FC137" s="17" t="e">
        <v>#N/A</v>
      </c>
      <c r="FD137" s="17" t="e">
        <v>#N/A</v>
      </c>
      <c r="FE137" s="17" t="e">
        <v>#N/A</v>
      </c>
      <c r="FF137" s="17" t="e">
        <v>#N/A</v>
      </c>
      <c r="FG137" s="17" t="e">
        <v>#N/A</v>
      </c>
      <c r="FH137" s="17" t="e">
        <v>#N/A</v>
      </c>
      <c r="FI137" s="17" t="e">
        <v>#N/A</v>
      </c>
      <c r="FJ137" s="17" t="e">
        <v>#N/A</v>
      </c>
      <c r="FK137" s="17" t="e">
        <v>#N/A</v>
      </c>
      <c r="FL137" s="17" t="e">
        <v>#N/A</v>
      </c>
      <c r="FM137" s="17" t="e">
        <v>#N/A</v>
      </c>
      <c r="FN137" s="17" t="e">
        <v>#N/A</v>
      </c>
      <c r="FO137" s="17" t="e">
        <v>#N/A</v>
      </c>
      <c r="FP137" s="17" t="e">
        <v>#N/A</v>
      </c>
      <c r="FQ137" s="17" t="e">
        <v>#N/A</v>
      </c>
      <c r="FR137" s="17" t="e">
        <v>#N/A</v>
      </c>
      <c r="FS137" s="17" t="e">
        <v>#N/A</v>
      </c>
      <c r="FT137" s="17" t="e">
        <v>#N/A</v>
      </c>
      <c r="FU137" s="17" t="e">
        <v>#N/A</v>
      </c>
      <c r="FV137" s="17" t="e">
        <v>#N/A</v>
      </c>
    </row>
    <row r="138" spans="2:178" ht="11.25" customHeight="1">
      <c r="B138" s="17" t="e">
        <v>#N/A</v>
      </c>
      <c r="C138" s="17" t="e">
        <v>#N/A</v>
      </c>
      <c r="D138" s="17" t="e">
        <v>#N/A</v>
      </c>
      <c r="E138" s="17" t="e">
        <v>#N/A</v>
      </c>
      <c r="F138" s="17" t="e">
        <v>#N/A</v>
      </c>
      <c r="G138" s="17" t="e">
        <v>#N/A</v>
      </c>
      <c r="H138" s="17" t="e">
        <v>#N/A</v>
      </c>
      <c r="I138" s="17" t="e">
        <v>#N/A</v>
      </c>
      <c r="J138" s="17" t="e">
        <v>#N/A</v>
      </c>
      <c r="K138" s="17" t="e">
        <v>#N/A</v>
      </c>
      <c r="L138" s="17" t="e">
        <v>#N/A</v>
      </c>
      <c r="M138" s="17" t="e">
        <v>#N/A</v>
      </c>
      <c r="N138" s="17" t="e">
        <v>#N/A</v>
      </c>
      <c r="O138" s="17" t="e">
        <v>#N/A</v>
      </c>
      <c r="P138" s="17" t="e">
        <v>#N/A</v>
      </c>
      <c r="Q138" s="17" t="e">
        <v>#N/A</v>
      </c>
      <c r="R138" s="17" t="e">
        <v>#N/A</v>
      </c>
      <c r="S138" s="17" t="e">
        <v>#N/A</v>
      </c>
      <c r="T138" s="17" t="e">
        <v>#N/A</v>
      </c>
      <c r="U138" s="17" t="e">
        <v>#N/A</v>
      </c>
      <c r="V138" s="17" t="e">
        <v>#N/A</v>
      </c>
      <c r="W138" s="17" t="e">
        <v>#N/A</v>
      </c>
      <c r="X138" s="17" t="e">
        <v>#N/A</v>
      </c>
      <c r="Y138" s="17" t="e">
        <v>#N/A</v>
      </c>
      <c r="Z138" s="17" t="e">
        <v>#N/A</v>
      </c>
      <c r="AA138" s="17" t="e">
        <v>#N/A</v>
      </c>
      <c r="AB138" s="17" t="e">
        <v>#N/A</v>
      </c>
      <c r="AC138" s="17" t="e">
        <v>#N/A</v>
      </c>
      <c r="AD138" s="17" t="e">
        <v>#N/A</v>
      </c>
      <c r="AE138" s="17" t="e">
        <v>#N/A</v>
      </c>
      <c r="AF138" s="17" t="e">
        <v>#N/A</v>
      </c>
      <c r="AG138" s="17" t="e">
        <v>#N/A</v>
      </c>
      <c r="AH138" s="17" t="e">
        <v>#N/A</v>
      </c>
      <c r="AI138" s="17" t="e">
        <v>#N/A</v>
      </c>
      <c r="AJ138" s="17" t="e">
        <v>#N/A</v>
      </c>
      <c r="AK138" s="17" t="e">
        <v>#N/A</v>
      </c>
      <c r="AL138" s="17" t="e">
        <v>#N/A</v>
      </c>
      <c r="AM138" s="17" t="e">
        <v>#N/A</v>
      </c>
      <c r="AN138" s="17" t="e">
        <v>#N/A</v>
      </c>
      <c r="AO138" s="17" t="e">
        <v>#N/A</v>
      </c>
      <c r="AP138" s="17" t="e">
        <v>#N/A</v>
      </c>
      <c r="AQ138" s="17" t="e">
        <v>#N/A</v>
      </c>
      <c r="AR138" s="17" t="e">
        <v>#N/A</v>
      </c>
      <c r="AS138" s="17" t="e">
        <v>#N/A</v>
      </c>
      <c r="AT138" s="17" t="e">
        <v>#N/A</v>
      </c>
      <c r="AU138" s="17" t="e">
        <v>#N/A</v>
      </c>
      <c r="AV138" s="17" t="e">
        <v>#N/A</v>
      </c>
      <c r="AW138" s="17" t="e">
        <v>#N/A</v>
      </c>
      <c r="AX138" s="17" t="e">
        <v>#N/A</v>
      </c>
      <c r="AY138" s="17" t="e">
        <v>#N/A</v>
      </c>
      <c r="AZ138" s="17" t="e">
        <v>#N/A</v>
      </c>
      <c r="BA138" s="17" t="e">
        <v>#N/A</v>
      </c>
      <c r="BB138" s="17" t="e">
        <v>#N/A</v>
      </c>
      <c r="BC138" s="17" t="e">
        <v>#N/A</v>
      </c>
      <c r="BD138" s="17" t="e">
        <v>#N/A</v>
      </c>
      <c r="BE138" s="17" t="e">
        <v>#N/A</v>
      </c>
      <c r="BF138" s="17" t="e">
        <v>#N/A</v>
      </c>
      <c r="BG138" s="17" t="e">
        <v>#N/A</v>
      </c>
      <c r="BH138" s="17" t="e">
        <v>#N/A</v>
      </c>
      <c r="BI138" s="17" t="e">
        <v>#N/A</v>
      </c>
      <c r="BJ138" s="17" t="e">
        <v>#N/A</v>
      </c>
      <c r="BK138" s="17" t="e">
        <v>#N/A</v>
      </c>
      <c r="BL138" s="17" t="e">
        <v>#N/A</v>
      </c>
      <c r="BM138" s="17" t="e">
        <v>#N/A</v>
      </c>
      <c r="BN138" s="17" t="e">
        <v>#N/A</v>
      </c>
      <c r="BO138" s="17" t="e">
        <v>#N/A</v>
      </c>
      <c r="BP138" s="17" t="e">
        <v>#N/A</v>
      </c>
      <c r="BQ138" s="17" t="e">
        <v>#N/A</v>
      </c>
      <c r="BR138" s="17" t="e">
        <v>#N/A</v>
      </c>
      <c r="BS138" s="17" t="e">
        <v>#N/A</v>
      </c>
      <c r="BT138" s="17" t="e">
        <v>#N/A</v>
      </c>
      <c r="BU138" s="17" t="e">
        <v>#N/A</v>
      </c>
      <c r="BV138" s="17" t="e">
        <v>#N/A</v>
      </c>
      <c r="BW138" s="17" t="e">
        <v>#N/A</v>
      </c>
      <c r="BX138" s="17" t="e">
        <v>#N/A</v>
      </c>
      <c r="BY138" s="17" t="e">
        <v>#N/A</v>
      </c>
      <c r="BZ138" s="17" t="e">
        <v>#N/A</v>
      </c>
      <c r="CA138" s="17" t="e">
        <v>#N/A</v>
      </c>
      <c r="CB138" s="17" t="e">
        <v>#N/A</v>
      </c>
      <c r="CC138" s="17" t="e">
        <v>#N/A</v>
      </c>
      <c r="CD138" s="17" t="e">
        <v>#N/A</v>
      </c>
      <c r="CE138" s="17" t="e">
        <v>#N/A</v>
      </c>
      <c r="CF138" s="17" t="e">
        <v>#N/A</v>
      </c>
      <c r="CG138" s="17" t="e">
        <v>#N/A</v>
      </c>
      <c r="CH138" s="17" t="e">
        <v>#N/A</v>
      </c>
      <c r="CI138" s="17" t="e">
        <v>#N/A</v>
      </c>
      <c r="CJ138" s="17" t="e">
        <v>#N/A</v>
      </c>
      <c r="CK138" s="17" t="e">
        <v>#N/A</v>
      </c>
      <c r="CL138" s="17" t="e">
        <v>#N/A</v>
      </c>
      <c r="CM138" s="17" t="e">
        <v>#N/A</v>
      </c>
      <c r="CN138" s="17" t="e">
        <v>#N/A</v>
      </c>
      <c r="CO138" s="17" t="e">
        <v>#N/A</v>
      </c>
      <c r="CP138" s="17" t="e">
        <v>#N/A</v>
      </c>
      <c r="CQ138" s="17" t="e">
        <v>#N/A</v>
      </c>
      <c r="CR138" s="17" t="e">
        <v>#N/A</v>
      </c>
      <c r="CS138" s="17" t="e">
        <v>#N/A</v>
      </c>
      <c r="CT138" s="17" t="e">
        <v>#N/A</v>
      </c>
      <c r="CU138" s="17" t="e">
        <v>#N/A</v>
      </c>
      <c r="CV138" s="17" t="e">
        <v>#N/A</v>
      </c>
      <c r="CW138" s="17" t="e">
        <v>#N/A</v>
      </c>
      <c r="CX138" s="17" t="e">
        <v>#N/A</v>
      </c>
      <c r="CY138" s="17" t="e">
        <v>#N/A</v>
      </c>
      <c r="CZ138" s="17" t="e">
        <v>#N/A</v>
      </c>
      <c r="DA138" s="17" t="e">
        <v>#N/A</v>
      </c>
      <c r="DB138" s="17" t="e">
        <v>#N/A</v>
      </c>
      <c r="DC138" s="17" t="e">
        <v>#N/A</v>
      </c>
      <c r="DD138" s="17" t="e">
        <v>#N/A</v>
      </c>
      <c r="DE138" s="17" t="e">
        <v>#N/A</v>
      </c>
      <c r="DF138" s="17" t="e">
        <v>#N/A</v>
      </c>
      <c r="DG138" s="17" t="e">
        <v>#N/A</v>
      </c>
      <c r="DH138" s="17" t="e">
        <v>#N/A</v>
      </c>
      <c r="DI138" s="17" t="e">
        <v>#N/A</v>
      </c>
      <c r="DJ138" s="17" t="e">
        <v>#N/A</v>
      </c>
      <c r="DK138" s="17" t="e">
        <v>#N/A</v>
      </c>
      <c r="DL138" s="17" t="e">
        <v>#N/A</v>
      </c>
      <c r="DM138" s="17" t="e">
        <v>#N/A</v>
      </c>
      <c r="DN138" s="17" t="e">
        <v>#N/A</v>
      </c>
      <c r="DO138" s="17" t="e">
        <v>#N/A</v>
      </c>
      <c r="DP138" s="17" t="e">
        <v>#N/A</v>
      </c>
      <c r="DQ138" s="17" t="e">
        <v>#N/A</v>
      </c>
      <c r="DR138" s="17" t="e">
        <v>#N/A</v>
      </c>
      <c r="DS138" s="17" t="e">
        <v>#N/A</v>
      </c>
      <c r="DT138" s="17" t="e">
        <v>#N/A</v>
      </c>
      <c r="DU138" s="17" t="e">
        <v>#N/A</v>
      </c>
      <c r="DV138" s="17" t="e">
        <v>#N/A</v>
      </c>
      <c r="DW138" s="17" t="e">
        <v>#N/A</v>
      </c>
      <c r="DX138" s="17" t="e">
        <v>#N/A</v>
      </c>
      <c r="DY138" s="17" t="e">
        <v>#N/A</v>
      </c>
      <c r="DZ138" s="17" t="e">
        <v>#N/A</v>
      </c>
      <c r="EA138" s="17" t="e">
        <v>#N/A</v>
      </c>
      <c r="EB138" s="17" t="e">
        <v>#N/A</v>
      </c>
      <c r="EC138" s="17" t="e">
        <v>#N/A</v>
      </c>
      <c r="ED138" s="17" t="e">
        <v>#N/A</v>
      </c>
      <c r="EE138" s="17" t="e">
        <v>#N/A</v>
      </c>
      <c r="EF138" s="17" t="e">
        <v>#N/A</v>
      </c>
      <c r="EG138" s="17" t="e">
        <v>#N/A</v>
      </c>
      <c r="EH138" s="17" t="e">
        <v>#N/A</v>
      </c>
      <c r="EI138" s="17" t="e">
        <v>#N/A</v>
      </c>
      <c r="EJ138" s="17" t="e">
        <v>#N/A</v>
      </c>
      <c r="EK138" s="17" t="e">
        <v>#N/A</v>
      </c>
      <c r="EL138" s="17" t="e">
        <v>#N/A</v>
      </c>
      <c r="EM138" s="17" t="e">
        <v>#N/A</v>
      </c>
      <c r="EN138" s="17" t="e">
        <v>#N/A</v>
      </c>
      <c r="EO138" s="17" t="e">
        <v>#N/A</v>
      </c>
      <c r="EP138" s="17" t="e">
        <v>#N/A</v>
      </c>
      <c r="EQ138" s="17" t="e">
        <v>#N/A</v>
      </c>
      <c r="ER138" s="17" t="e">
        <v>#N/A</v>
      </c>
      <c r="ES138" s="17" t="e">
        <v>#N/A</v>
      </c>
      <c r="ET138" s="17" t="e">
        <v>#N/A</v>
      </c>
      <c r="EU138" s="17" t="e">
        <v>#N/A</v>
      </c>
      <c r="EV138" s="17" t="e">
        <v>#N/A</v>
      </c>
      <c r="EW138" s="17" t="e">
        <v>#N/A</v>
      </c>
      <c r="EX138" s="17" t="e">
        <v>#N/A</v>
      </c>
      <c r="EY138" s="17" t="e">
        <v>#N/A</v>
      </c>
      <c r="EZ138" s="17" t="e">
        <v>#N/A</v>
      </c>
      <c r="FA138" s="17" t="e">
        <v>#N/A</v>
      </c>
      <c r="FB138" s="17" t="e">
        <v>#N/A</v>
      </c>
      <c r="FC138" s="17" t="e">
        <v>#N/A</v>
      </c>
      <c r="FD138" s="17" t="e">
        <v>#N/A</v>
      </c>
      <c r="FE138" s="17" t="e">
        <v>#N/A</v>
      </c>
      <c r="FF138" s="17" t="e">
        <v>#N/A</v>
      </c>
      <c r="FG138" s="17" t="e">
        <v>#N/A</v>
      </c>
      <c r="FH138" s="17" t="e">
        <v>#N/A</v>
      </c>
      <c r="FI138" s="17" t="e">
        <v>#N/A</v>
      </c>
      <c r="FJ138" s="17" t="e">
        <v>#N/A</v>
      </c>
      <c r="FK138" s="17" t="e">
        <v>#N/A</v>
      </c>
      <c r="FL138" s="17" t="e">
        <v>#N/A</v>
      </c>
      <c r="FM138" s="17" t="e">
        <v>#N/A</v>
      </c>
      <c r="FN138" s="17" t="e">
        <v>#N/A</v>
      </c>
      <c r="FO138" s="17" t="e">
        <v>#N/A</v>
      </c>
      <c r="FP138" s="17" t="e">
        <v>#N/A</v>
      </c>
      <c r="FQ138" s="17" t="e">
        <v>#N/A</v>
      </c>
      <c r="FR138" s="17" t="e">
        <v>#N/A</v>
      </c>
      <c r="FS138" s="17" t="e">
        <v>#N/A</v>
      </c>
      <c r="FT138" s="17" t="e">
        <v>#N/A</v>
      </c>
      <c r="FU138" s="17" t="e">
        <v>#N/A</v>
      </c>
      <c r="FV138" s="17" t="e">
        <v>#N/A</v>
      </c>
    </row>
    <row r="139" spans="2:178" ht="11.25" customHeight="1">
      <c r="B139" s="17" t="e">
        <v>#N/A</v>
      </c>
      <c r="C139" s="17" t="e">
        <v>#N/A</v>
      </c>
      <c r="D139" s="17" t="e">
        <v>#N/A</v>
      </c>
      <c r="E139" s="17" t="e">
        <v>#N/A</v>
      </c>
      <c r="F139" s="17" t="e">
        <v>#N/A</v>
      </c>
      <c r="G139" s="17" t="e">
        <v>#N/A</v>
      </c>
      <c r="H139" s="17" t="e">
        <v>#N/A</v>
      </c>
      <c r="I139" s="17" t="e">
        <v>#N/A</v>
      </c>
      <c r="J139" s="17" t="e">
        <v>#N/A</v>
      </c>
      <c r="K139" s="17" t="e">
        <v>#N/A</v>
      </c>
      <c r="L139" s="17" t="e">
        <v>#N/A</v>
      </c>
      <c r="M139" s="17" t="e">
        <v>#N/A</v>
      </c>
      <c r="N139" s="17" t="e">
        <v>#N/A</v>
      </c>
      <c r="O139" s="17" t="e">
        <v>#N/A</v>
      </c>
      <c r="P139" s="17" t="e">
        <v>#N/A</v>
      </c>
      <c r="Q139" s="17" t="e">
        <v>#N/A</v>
      </c>
      <c r="R139" s="17" t="e">
        <v>#N/A</v>
      </c>
      <c r="S139" s="17" t="e">
        <v>#N/A</v>
      </c>
      <c r="T139" s="17" t="e">
        <v>#N/A</v>
      </c>
      <c r="U139" s="17" t="e">
        <v>#N/A</v>
      </c>
      <c r="V139" s="17" t="e">
        <v>#N/A</v>
      </c>
      <c r="W139" s="17" t="e">
        <v>#N/A</v>
      </c>
      <c r="X139" s="17" t="e">
        <v>#N/A</v>
      </c>
      <c r="Y139" s="17" t="e">
        <v>#N/A</v>
      </c>
      <c r="Z139" s="17" t="e">
        <v>#N/A</v>
      </c>
      <c r="AA139" s="17" t="e">
        <v>#N/A</v>
      </c>
      <c r="AB139" s="17" t="e">
        <v>#N/A</v>
      </c>
      <c r="AC139" s="17" t="e">
        <v>#N/A</v>
      </c>
      <c r="AD139" s="17" t="e">
        <v>#N/A</v>
      </c>
      <c r="AE139" s="17" t="e">
        <v>#N/A</v>
      </c>
      <c r="AF139" s="17" t="e">
        <v>#N/A</v>
      </c>
      <c r="AG139" s="17" t="e">
        <v>#N/A</v>
      </c>
      <c r="AH139" s="17" t="e">
        <v>#N/A</v>
      </c>
      <c r="AI139" s="17" t="e">
        <v>#N/A</v>
      </c>
      <c r="AJ139" s="17" t="e">
        <v>#N/A</v>
      </c>
      <c r="AK139" s="17" t="e">
        <v>#N/A</v>
      </c>
      <c r="AL139" s="17" t="e">
        <v>#N/A</v>
      </c>
      <c r="AM139" s="17" t="e">
        <v>#N/A</v>
      </c>
      <c r="AN139" s="17" t="e">
        <v>#N/A</v>
      </c>
      <c r="AO139" s="17" t="e">
        <v>#N/A</v>
      </c>
      <c r="AP139" s="17" t="e">
        <v>#N/A</v>
      </c>
      <c r="AQ139" s="17" t="e">
        <v>#N/A</v>
      </c>
      <c r="AR139" s="17" t="e">
        <v>#N/A</v>
      </c>
      <c r="AS139" s="17" t="e">
        <v>#N/A</v>
      </c>
      <c r="AT139" s="17" t="e">
        <v>#N/A</v>
      </c>
      <c r="AU139" s="17" t="e">
        <v>#N/A</v>
      </c>
      <c r="AV139" s="17" t="e">
        <v>#N/A</v>
      </c>
      <c r="AW139" s="17" t="e">
        <v>#N/A</v>
      </c>
      <c r="AX139" s="17" t="e">
        <v>#N/A</v>
      </c>
      <c r="AY139" s="17" t="e">
        <v>#N/A</v>
      </c>
      <c r="AZ139" s="17" t="e">
        <v>#N/A</v>
      </c>
      <c r="BA139" s="17" t="e">
        <v>#N/A</v>
      </c>
      <c r="BB139" s="17" t="e">
        <v>#N/A</v>
      </c>
      <c r="BC139" s="17" t="e">
        <v>#N/A</v>
      </c>
      <c r="BD139" s="17" t="e">
        <v>#N/A</v>
      </c>
      <c r="BE139" s="17" t="e">
        <v>#N/A</v>
      </c>
      <c r="BF139" s="17" t="e">
        <v>#N/A</v>
      </c>
      <c r="BG139" s="17" t="e">
        <v>#N/A</v>
      </c>
      <c r="BH139" s="17" t="e">
        <v>#N/A</v>
      </c>
      <c r="BI139" s="17" t="e">
        <v>#N/A</v>
      </c>
      <c r="BJ139" s="17" t="e">
        <v>#N/A</v>
      </c>
      <c r="BK139" s="17" t="e">
        <v>#N/A</v>
      </c>
      <c r="BL139" s="17" t="e">
        <v>#N/A</v>
      </c>
      <c r="BM139" s="17" t="e">
        <v>#N/A</v>
      </c>
      <c r="BN139" s="17" t="e">
        <v>#N/A</v>
      </c>
      <c r="BO139" s="17" t="e">
        <v>#N/A</v>
      </c>
      <c r="BP139" s="17" t="e">
        <v>#N/A</v>
      </c>
      <c r="BQ139" s="17" t="e">
        <v>#N/A</v>
      </c>
      <c r="BR139" s="17" t="e">
        <v>#N/A</v>
      </c>
      <c r="BS139" s="17" t="e">
        <v>#N/A</v>
      </c>
      <c r="BT139" s="17" t="e">
        <v>#N/A</v>
      </c>
      <c r="BU139" s="17" t="e">
        <v>#N/A</v>
      </c>
      <c r="BV139" s="17" t="e">
        <v>#N/A</v>
      </c>
      <c r="BW139" s="17" t="e">
        <v>#N/A</v>
      </c>
      <c r="BX139" s="17" t="e">
        <v>#N/A</v>
      </c>
      <c r="BY139" s="17" t="e">
        <v>#N/A</v>
      </c>
      <c r="BZ139" s="17" t="e">
        <v>#N/A</v>
      </c>
      <c r="CA139" s="17" t="e">
        <v>#N/A</v>
      </c>
      <c r="CB139" s="17" t="e">
        <v>#N/A</v>
      </c>
      <c r="CC139" s="17" t="e">
        <v>#N/A</v>
      </c>
      <c r="CD139" s="17" t="e">
        <v>#N/A</v>
      </c>
      <c r="CE139" s="17" t="e">
        <v>#N/A</v>
      </c>
      <c r="CF139" s="17" t="e">
        <v>#N/A</v>
      </c>
      <c r="CG139" s="17" t="e">
        <v>#N/A</v>
      </c>
      <c r="CH139" s="17" t="e">
        <v>#N/A</v>
      </c>
      <c r="CI139" s="17" t="e">
        <v>#N/A</v>
      </c>
      <c r="CJ139" s="17" t="e">
        <v>#N/A</v>
      </c>
      <c r="CK139" s="17" t="e">
        <v>#N/A</v>
      </c>
      <c r="CL139" s="17" t="e">
        <v>#N/A</v>
      </c>
      <c r="CM139" s="17" t="e">
        <v>#N/A</v>
      </c>
      <c r="CN139" s="17" t="e">
        <v>#N/A</v>
      </c>
      <c r="CO139" s="17" t="e">
        <v>#N/A</v>
      </c>
      <c r="CP139" s="17" t="e">
        <v>#N/A</v>
      </c>
      <c r="CQ139" s="17" t="e">
        <v>#N/A</v>
      </c>
      <c r="CR139" s="17" t="e">
        <v>#N/A</v>
      </c>
      <c r="CS139" s="17" t="e">
        <v>#N/A</v>
      </c>
      <c r="CT139" s="17" t="e">
        <v>#N/A</v>
      </c>
      <c r="CU139" s="17" t="e">
        <v>#N/A</v>
      </c>
      <c r="CV139" s="17" t="e">
        <v>#N/A</v>
      </c>
      <c r="CW139" s="17" t="e">
        <v>#N/A</v>
      </c>
      <c r="CX139" s="17" t="e">
        <v>#N/A</v>
      </c>
      <c r="CY139" s="17" t="e">
        <v>#N/A</v>
      </c>
      <c r="CZ139" s="17" t="e">
        <v>#N/A</v>
      </c>
      <c r="DA139" s="17" t="e">
        <v>#N/A</v>
      </c>
      <c r="DB139" s="17" t="e">
        <v>#N/A</v>
      </c>
      <c r="DC139" s="17" t="e">
        <v>#N/A</v>
      </c>
      <c r="DD139" s="17" t="e">
        <v>#N/A</v>
      </c>
      <c r="DE139" s="17" t="e">
        <v>#N/A</v>
      </c>
      <c r="DF139" s="17" t="e">
        <v>#N/A</v>
      </c>
      <c r="DG139" s="17" t="e">
        <v>#N/A</v>
      </c>
      <c r="DH139" s="17" t="e">
        <v>#N/A</v>
      </c>
      <c r="DI139" s="17" t="e">
        <v>#N/A</v>
      </c>
      <c r="DJ139" s="17" t="e">
        <v>#N/A</v>
      </c>
      <c r="DK139" s="17" t="e">
        <v>#N/A</v>
      </c>
      <c r="DL139" s="17" t="e">
        <v>#N/A</v>
      </c>
      <c r="DM139" s="17" t="e">
        <v>#N/A</v>
      </c>
      <c r="DN139" s="17" t="e">
        <v>#N/A</v>
      </c>
      <c r="DO139" s="17" t="e">
        <v>#N/A</v>
      </c>
      <c r="DP139" s="17" t="e">
        <v>#N/A</v>
      </c>
      <c r="DQ139" s="17" t="e">
        <v>#N/A</v>
      </c>
      <c r="DR139" s="17" t="e">
        <v>#N/A</v>
      </c>
      <c r="DS139" s="17" t="e">
        <v>#N/A</v>
      </c>
      <c r="DT139" s="17" t="e">
        <v>#N/A</v>
      </c>
      <c r="DU139" s="17" t="e">
        <v>#N/A</v>
      </c>
      <c r="DV139" s="17" t="e">
        <v>#N/A</v>
      </c>
      <c r="DW139" s="17" t="e">
        <v>#N/A</v>
      </c>
      <c r="DX139" s="17" t="e">
        <v>#N/A</v>
      </c>
      <c r="DY139" s="17" t="e">
        <v>#N/A</v>
      </c>
      <c r="DZ139" s="17" t="e">
        <v>#N/A</v>
      </c>
      <c r="EA139" s="17" t="e">
        <v>#N/A</v>
      </c>
      <c r="EB139" s="17" t="e">
        <v>#N/A</v>
      </c>
      <c r="EC139" s="17" t="e">
        <v>#N/A</v>
      </c>
      <c r="ED139" s="17" t="e">
        <v>#N/A</v>
      </c>
      <c r="EE139" s="17" t="e">
        <v>#N/A</v>
      </c>
      <c r="EF139" s="17" t="e">
        <v>#N/A</v>
      </c>
      <c r="EG139" s="17" t="e">
        <v>#N/A</v>
      </c>
      <c r="EH139" s="17" t="e">
        <v>#N/A</v>
      </c>
      <c r="EI139" s="17" t="e">
        <v>#N/A</v>
      </c>
      <c r="EJ139" s="17" t="e">
        <v>#N/A</v>
      </c>
      <c r="EK139" s="17" t="e">
        <v>#N/A</v>
      </c>
      <c r="EL139" s="17" t="e">
        <v>#N/A</v>
      </c>
      <c r="EM139" s="17" t="e">
        <v>#N/A</v>
      </c>
      <c r="EN139" s="17" t="e">
        <v>#N/A</v>
      </c>
      <c r="EO139" s="17" t="e">
        <v>#N/A</v>
      </c>
      <c r="EP139" s="17" t="e">
        <v>#N/A</v>
      </c>
      <c r="EQ139" s="17" t="e">
        <v>#N/A</v>
      </c>
      <c r="ER139" s="17" t="e">
        <v>#N/A</v>
      </c>
      <c r="ES139" s="17" t="e">
        <v>#N/A</v>
      </c>
      <c r="ET139" s="17" t="e">
        <v>#N/A</v>
      </c>
      <c r="EU139" s="17" t="e">
        <v>#N/A</v>
      </c>
      <c r="EV139" s="17" t="e">
        <v>#N/A</v>
      </c>
      <c r="EW139" s="17" t="e">
        <v>#N/A</v>
      </c>
      <c r="EX139" s="17" t="e">
        <v>#N/A</v>
      </c>
      <c r="EY139" s="17" t="e">
        <v>#N/A</v>
      </c>
      <c r="EZ139" s="17" t="e">
        <v>#N/A</v>
      </c>
      <c r="FA139" s="17" t="e">
        <v>#N/A</v>
      </c>
      <c r="FB139" s="17" t="e">
        <v>#N/A</v>
      </c>
      <c r="FC139" s="17" t="e">
        <v>#N/A</v>
      </c>
      <c r="FD139" s="17" t="e">
        <v>#N/A</v>
      </c>
      <c r="FE139" s="17" t="e">
        <v>#N/A</v>
      </c>
      <c r="FF139" s="17" t="e">
        <v>#N/A</v>
      </c>
      <c r="FG139" s="17" t="e">
        <v>#N/A</v>
      </c>
      <c r="FH139" s="17" t="e">
        <v>#N/A</v>
      </c>
      <c r="FI139" s="17" t="e">
        <v>#N/A</v>
      </c>
      <c r="FJ139" s="17" t="e">
        <v>#N/A</v>
      </c>
      <c r="FK139" s="17" t="e">
        <v>#N/A</v>
      </c>
      <c r="FL139" s="17" t="e">
        <v>#N/A</v>
      </c>
      <c r="FM139" s="17" t="e">
        <v>#N/A</v>
      </c>
      <c r="FN139" s="17" t="e">
        <v>#N/A</v>
      </c>
      <c r="FO139" s="17" t="e">
        <v>#N/A</v>
      </c>
      <c r="FP139" s="17" t="e">
        <v>#N/A</v>
      </c>
      <c r="FQ139" s="17" t="e">
        <v>#N/A</v>
      </c>
      <c r="FR139" s="17" t="e">
        <v>#N/A</v>
      </c>
      <c r="FS139" s="17" t="e">
        <v>#N/A</v>
      </c>
      <c r="FT139" s="17" t="e">
        <v>#N/A</v>
      </c>
      <c r="FU139" s="17" t="e">
        <v>#N/A</v>
      </c>
      <c r="FV139" s="17" t="e">
        <v>#N/A</v>
      </c>
    </row>
    <row r="140" spans="2:178" ht="11.25" customHeight="1">
      <c r="B140" s="17" t="e">
        <v>#N/A</v>
      </c>
      <c r="C140" s="17" t="e">
        <v>#N/A</v>
      </c>
      <c r="D140" s="17" t="e">
        <v>#N/A</v>
      </c>
      <c r="E140" s="17" t="e">
        <v>#N/A</v>
      </c>
      <c r="F140" s="17" t="e">
        <v>#N/A</v>
      </c>
      <c r="G140" s="17" t="e">
        <v>#N/A</v>
      </c>
      <c r="H140" s="17" t="e">
        <v>#N/A</v>
      </c>
      <c r="I140" s="17" t="e">
        <v>#N/A</v>
      </c>
      <c r="J140" s="17" t="e">
        <v>#N/A</v>
      </c>
      <c r="K140" s="17" t="e">
        <v>#N/A</v>
      </c>
      <c r="L140" s="17" t="e">
        <v>#N/A</v>
      </c>
      <c r="M140" s="17" t="e">
        <v>#N/A</v>
      </c>
      <c r="N140" s="17" t="e">
        <v>#N/A</v>
      </c>
      <c r="O140" s="17" t="e">
        <v>#N/A</v>
      </c>
      <c r="P140" s="17" t="e">
        <v>#N/A</v>
      </c>
      <c r="Q140" s="17" t="e">
        <v>#N/A</v>
      </c>
      <c r="R140" s="17" t="e">
        <v>#N/A</v>
      </c>
      <c r="S140" s="17" t="e">
        <v>#N/A</v>
      </c>
      <c r="T140" s="17" t="e">
        <v>#N/A</v>
      </c>
      <c r="U140" s="17" t="e">
        <v>#N/A</v>
      </c>
      <c r="V140" s="17" t="e">
        <v>#N/A</v>
      </c>
      <c r="W140" s="17" t="e">
        <v>#N/A</v>
      </c>
      <c r="X140" s="17" t="e">
        <v>#N/A</v>
      </c>
      <c r="Y140" s="17" t="e">
        <v>#N/A</v>
      </c>
      <c r="Z140" s="17" t="e">
        <v>#N/A</v>
      </c>
      <c r="AA140" s="17" t="e">
        <v>#N/A</v>
      </c>
      <c r="AB140" s="17" t="e">
        <v>#N/A</v>
      </c>
      <c r="AC140" s="17" t="e">
        <v>#N/A</v>
      </c>
      <c r="AD140" s="17" t="e">
        <v>#N/A</v>
      </c>
      <c r="AE140" s="17" t="e">
        <v>#N/A</v>
      </c>
      <c r="AF140" s="17" t="e">
        <v>#N/A</v>
      </c>
      <c r="AG140" s="17" t="e">
        <v>#N/A</v>
      </c>
      <c r="AH140" s="17" t="e">
        <v>#N/A</v>
      </c>
      <c r="AI140" s="17" t="e">
        <v>#N/A</v>
      </c>
      <c r="AJ140" s="17" t="e">
        <v>#N/A</v>
      </c>
      <c r="AK140" s="17" t="e">
        <v>#N/A</v>
      </c>
      <c r="AL140" s="17" t="e">
        <v>#N/A</v>
      </c>
      <c r="AM140" s="17" t="e">
        <v>#N/A</v>
      </c>
      <c r="AN140" s="17" t="e">
        <v>#N/A</v>
      </c>
      <c r="AO140" s="17" t="e">
        <v>#N/A</v>
      </c>
      <c r="AP140" s="17" t="e">
        <v>#N/A</v>
      </c>
      <c r="AQ140" s="17" t="e">
        <v>#N/A</v>
      </c>
      <c r="AR140" s="17" t="e">
        <v>#N/A</v>
      </c>
      <c r="AS140" s="17" t="e">
        <v>#N/A</v>
      </c>
      <c r="AT140" s="17" t="e">
        <v>#N/A</v>
      </c>
      <c r="AU140" s="17" t="e">
        <v>#N/A</v>
      </c>
      <c r="AV140" s="17" t="e">
        <v>#N/A</v>
      </c>
      <c r="AW140" s="17" t="e">
        <v>#N/A</v>
      </c>
      <c r="AX140" s="17" t="e">
        <v>#N/A</v>
      </c>
      <c r="AY140" s="17" t="e">
        <v>#N/A</v>
      </c>
      <c r="AZ140" s="17" t="e">
        <v>#N/A</v>
      </c>
      <c r="BA140" s="17" t="e">
        <v>#N/A</v>
      </c>
      <c r="BB140" s="17" t="e">
        <v>#N/A</v>
      </c>
      <c r="BC140" s="17" t="e">
        <v>#N/A</v>
      </c>
      <c r="BD140" s="17" t="e">
        <v>#N/A</v>
      </c>
      <c r="BE140" s="17" t="e">
        <v>#N/A</v>
      </c>
      <c r="BF140" s="17" t="e">
        <v>#N/A</v>
      </c>
      <c r="BG140" s="17" t="e">
        <v>#N/A</v>
      </c>
      <c r="BH140" s="17" t="e">
        <v>#N/A</v>
      </c>
      <c r="BI140" s="17" t="e">
        <v>#N/A</v>
      </c>
      <c r="BJ140" s="17" t="e">
        <v>#N/A</v>
      </c>
      <c r="BK140" s="17" t="e">
        <v>#N/A</v>
      </c>
      <c r="BL140" s="17" t="e">
        <v>#N/A</v>
      </c>
      <c r="BM140" s="17" t="e">
        <v>#N/A</v>
      </c>
      <c r="BN140" s="17" t="e">
        <v>#N/A</v>
      </c>
      <c r="BO140" s="17" t="e">
        <v>#N/A</v>
      </c>
      <c r="BP140" s="17" t="e">
        <v>#N/A</v>
      </c>
      <c r="BQ140" s="17" t="e">
        <v>#N/A</v>
      </c>
      <c r="BR140" s="17" t="e">
        <v>#N/A</v>
      </c>
      <c r="BS140" s="17" t="e">
        <v>#N/A</v>
      </c>
      <c r="BT140" s="17" t="e">
        <v>#N/A</v>
      </c>
      <c r="BU140" s="17" t="e">
        <v>#N/A</v>
      </c>
      <c r="BV140" s="17" t="e">
        <v>#N/A</v>
      </c>
      <c r="BW140" s="17" t="e">
        <v>#N/A</v>
      </c>
      <c r="BX140" s="17" t="e">
        <v>#N/A</v>
      </c>
      <c r="BY140" s="17" t="e">
        <v>#N/A</v>
      </c>
      <c r="BZ140" s="17" t="e">
        <v>#N/A</v>
      </c>
      <c r="CA140" s="17" t="e">
        <v>#N/A</v>
      </c>
      <c r="CB140" s="17" t="e">
        <v>#N/A</v>
      </c>
      <c r="CC140" s="17" t="e">
        <v>#N/A</v>
      </c>
      <c r="CD140" s="17" t="e">
        <v>#N/A</v>
      </c>
      <c r="CE140" s="17" t="e">
        <v>#N/A</v>
      </c>
      <c r="CF140" s="17" t="e">
        <v>#N/A</v>
      </c>
      <c r="CG140" s="17" t="e">
        <v>#N/A</v>
      </c>
      <c r="CH140" s="17" t="e">
        <v>#N/A</v>
      </c>
      <c r="CI140" s="17" t="e">
        <v>#N/A</v>
      </c>
      <c r="CJ140" s="17" t="e">
        <v>#N/A</v>
      </c>
      <c r="CK140" s="17" t="e">
        <v>#N/A</v>
      </c>
      <c r="CL140" s="17" t="e">
        <v>#N/A</v>
      </c>
      <c r="CM140" s="17" t="e">
        <v>#N/A</v>
      </c>
      <c r="CN140" s="17" t="e">
        <v>#N/A</v>
      </c>
      <c r="CO140" s="17" t="e">
        <v>#N/A</v>
      </c>
      <c r="CP140" s="17" t="e">
        <v>#N/A</v>
      </c>
      <c r="CQ140" s="17" t="e">
        <v>#N/A</v>
      </c>
      <c r="CR140" s="17" t="e">
        <v>#N/A</v>
      </c>
      <c r="CS140" s="17" t="e">
        <v>#N/A</v>
      </c>
      <c r="CT140" s="17" t="e">
        <v>#N/A</v>
      </c>
      <c r="CU140" s="17" t="e">
        <v>#N/A</v>
      </c>
      <c r="CV140" s="17" t="e">
        <v>#N/A</v>
      </c>
      <c r="CW140" s="17" t="e">
        <v>#N/A</v>
      </c>
      <c r="CX140" s="17" t="e">
        <v>#N/A</v>
      </c>
      <c r="CY140" s="17" t="e">
        <v>#N/A</v>
      </c>
      <c r="CZ140" s="17" t="e">
        <v>#N/A</v>
      </c>
      <c r="DA140" s="17" t="e">
        <v>#N/A</v>
      </c>
      <c r="DB140" s="17" t="e">
        <v>#N/A</v>
      </c>
      <c r="DC140" s="17" t="e">
        <v>#N/A</v>
      </c>
      <c r="DD140" s="17" t="e">
        <v>#N/A</v>
      </c>
      <c r="DE140" s="17" t="e">
        <v>#N/A</v>
      </c>
      <c r="DF140" s="17" t="e">
        <v>#N/A</v>
      </c>
      <c r="DG140" s="17" t="e">
        <v>#N/A</v>
      </c>
      <c r="DH140" s="17" t="e">
        <v>#N/A</v>
      </c>
      <c r="DI140" s="17" t="e">
        <v>#N/A</v>
      </c>
      <c r="DJ140" s="17" t="e">
        <v>#N/A</v>
      </c>
      <c r="DK140" s="17" t="e">
        <v>#N/A</v>
      </c>
      <c r="DL140" s="17" t="e">
        <v>#N/A</v>
      </c>
      <c r="DM140" s="17" t="e">
        <v>#N/A</v>
      </c>
      <c r="DN140" s="17" t="e">
        <v>#N/A</v>
      </c>
      <c r="DO140" s="17" t="e">
        <v>#N/A</v>
      </c>
      <c r="DP140" s="17" t="e">
        <v>#N/A</v>
      </c>
      <c r="DQ140" s="17" t="e">
        <v>#N/A</v>
      </c>
      <c r="DR140" s="17" t="e">
        <v>#N/A</v>
      </c>
      <c r="DS140" s="17" t="e">
        <v>#N/A</v>
      </c>
      <c r="DT140" s="17" t="e">
        <v>#N/A</v>
      </c>
      <c r="DU140" s="17" t="e">
        <v>#N/A</v>
      </c>
      <c r="DV140" s="17" t="e">
        <v>#N/A</v>
      </c>
      <c r="DW140" s="17" t="e">
        <v>#N/A</v>
      </c>
      <c r="DX140" s="17" t="e">
        <v>#N/A</v>
      </c>
      <c r="DY140" s="17" t="e">
        <v>#N/A</v>
      </c>
      <c r="DZ140" s="17" t="e">
        <v>#N/A</v>
      </c>
      <c r="EA140" s="17" t="e">
        <v>#N/A</v>
      </c>
      <c r="EB140" s="17" t="e">
        <v>#N/A</v>
      </c>
      <c r="EC140" s="17" t="e">
        <v>#N/A</v>
      </c>
      <c r="ED140" s="17" t="e">
        <v>#N/A</v>
      </c>
      <c r="EE140" s="17" t="e">
        <v>#N/A</v>
      </c>
      <c r="EF140" s="17" t="e">
        <v>#N/A</v>
      </c>
      <c r="EG140" s="17" t="e">
        <v>#N/A</v>
      </c>
      <c r="EH140" s="17" t="e">
        <v>#N/A</v>
      </c>
      <c r="EI140" s="17" t="e">
        <v>#N/A</v>
      </c>
      <c r="EJ140" s="17" t="e">
        <v>#N/A</v>
      </c>
      <c r="EK140" s="17" t="e">
        <v>#N/A</v>
      </c>
      <c r="EL140" s="17" t="e">
        <v>#N/A</v>
      </c>
      <c r="EM140" s="17" t="e">
        <v>#N/A</v>
      </c>
      <c r="EN140" s="17" t="e">
        <v>#N/A</v>
      </c>
      <c r="EO140" s="17" t="e">
        <v>#N/A</v>
      </c>
      <c r="EP140" s="17" t="e">
        <v>#N/A</v>
      </c>
      <c r="EQ140" s="17" t="e">
        <v>#N/A</v>
      </c>
      <c r="ER140" s="17" t="e">
        <v>#N/A</v>
      </c>
      <c r="ES140" s="17" t="e">
        <v>#N/A</v>
      </c>
      <c r="ET140" s="17" t="e">
        <v>#N/A</v>
      </c>
      <c r="EU140" s="17" t="e">
        <v>#N/A</v>
      </c>
      <c r="EV140" s="17" t="e">
        <v>#N/A</v>
      </c>
      <c r="EW140" s="17" t="e">
        <v>#N/A</v>
      </c>
      <c r="EX140" s="17" t="e">
        <v>#N/A</v>
      </c>
      <c r="EY140" s="17" t="e">
        <v>#N/A</v>
      </c>
      <c r="EZ140" s="17" t="e">
        <v>#N/A</v>
      </c>
      <c r="FA140" s="17" t="e">
        <v>#N/A</v>
      </c>
      <c r="FB140" s="17" t="e">
        <v>#N/A</v>
      </c>
      <c r="FC140" s="17" t="e">
        <v>#N/A</v>
      </c>
      <c r="FD140" s="17" t="e">
        <v>#N/A</v>
      </c>
      <c r="FE140" s="17" t="e">
        <v>#N/A</v>
      </c>
      <c r="FF140" s="17" t="e">
        <v>#N/A</v>
      </c>
      <c r="FG140" s="17" t="e">
        <v>#N/A</v>
      </c>
      <c r="FH140" s="17" t="e">
        <v>#N/A</v>
      </c>
      <c r="FI140" s="17" t="e">
        <v>#N/A</v>
      </c>
      <c r="FJ140" s="17" t="e">
        <v>#N/A</v>
      </c>
      <c r="FK140" s="17" t="e">
        <v>#N/A</v>
      </c>
      <c r="FL140" s="17" t="e">
        <v>#N/A</v>
      </c>
      <c r="FM140" s="17" t="e">
        <v>#N/A</v>
      </c>
      <c r="FN140" s="17" t="e">
        <v>#N/A</v>
      </c>
      <c r="FO140" s="17" t="e">
        <v>#N/A</v>
      </c>
      <c r="FP140" s="17" t="e">
        <v>#N/A</v>
      </c>
      <c r="FQ140" s="17" t="e">
        <v>#N/A</v>
      </c>
      <c r="FR140" s="17" t="e">
        <v>#N/A</v>
      </c>
      <c r="FS140" s="17" t="e">
        <v>#N/A</v>
      </c>
      <c r="FT140" s="17" t="e">
        <v>#N/A</v>
      </c>
      <c r="FU140" s="17" t="e">
        <v>#N/A</v>
      </c>
      <c r="FV140" s="17" t="e">
        <v>#N/A</v>
      </c>
    </row>
    <row r="141" spans="2:178" ht="11.25" customHeight="1">
      <c r="B141" s="17" t="e">
        <v>#N/A</v>
      </c>
      <c r="C141" s="17" t="e">
        <v>#N/A</v>
      </c>
      <c r="D141" s="17" t="e">
        <v>#N/A</v>
      </c>
      <c r="E141" s="17" t="e">
        <v>#N/A</v>
      </c>
      <c r="F141" s="17" t="e">
        <v>#N/A</v>
      </c>
      <c r="G141" s="17" t="e">
        <v>#N/A</v>
      </c>
      <c r="H141" s="17" t="e">
        <v>#N/A</v>
      </c>
      <c r="I141" s="17" t="e">
        <v>#N/A</v>
      </c>
      <c r="J141" s="17" t="e">
        <v>#N/A</v>
      </c>
      <c r="K141" s="17" t="e">
        <v>#N/A</v>
      </c>
      <c r="L141" s="17" t="e">
        <v>#N/A</v>
      </c>
      <c r="M141" s="17" t="e">
        <v>#N/A</v>
      </c>
      <c r="N141" s="17" t="e">
        <v>#N/A</v>
      </c>
      <c r="O141" s="17" t="e">
        <v>#N/A</v>
      </c>
      <c r="P141" s="17" t="e">
        <v>#N/A</v>
      </c>
      <c r="Q141" s="17" t="e">
        <v>#N/A</v>
      </c>
      <c r="R141" s="17" t="e">
        <v>#N/A</v>
      </c>
      <c r="S141" s="17" t="e">
        <v>#N/A</v>
      </c>
      <c r="T141" s="17" t="e">
        <v>#N/A</v>
      </c>
      <c r="U141" s="17" t="e">
        <v>#N/A</v>
      </c>
      <c r="V141" s="17" t="e">
        <v>#N/A</v>
      </c>
      <c r="W141" s="17" t="e">
        <v>#N/A</v>
      </c>
      <c r="X141" s="17" t="e">
        <v>#N/A</v>
      </c>
      <c r="Y141" s="17" t="e">
        <v>#N/A</v>
      </c>
      <c r="Z141" s="17" t="e">
        <v>#N/A</v>
      </c>
      <c r="AA141" s="17" t="e">
        <v>#N/A</v>
      </c>
      <c r="AB141" s="17" t="e">
        <v>#N/A</v>
      </c>
      <c r="AC141" s="17" t="e">
        <v>#N/A</v>
      </c>
      <c r="AD141" s="17" t="e">
        <v>#N/A</v>
      </c>
      <c r="AE141" s="17" t="e">
        <v>#N/A</v>
      </c>
      <c r="AF141" s="17" t="e">
        <v>#N/A</v>
      </c>
      <c r="AG141" s="17" t="e">
        <v>#N/A</v>
      </c>
      <c r="AH141" s="17" t="e">
        <v>#N/A</v>
      </c>
      <c r="AI141" s="17" t="e">
        <v>#N/A</v>
      </c>
      <c r="AJ141" s="17" t="e">
        <v>#N/A</v>
      </c>
      <c r="AK141" s="17" t="e">
        <v>#N/A</v>
      </c>
      <c r="AL141" s="17" t="e">
        <v>#N/A</v>
      </c>
      <c r="AM141" s="17" t="e">
        <v>#N/A</v>
      </c>
      <c r="AN141" s="17" t="e">
        <v>#N/A</v>
      </c>
      <c r="AO141" s="17" t="e">
        <v>#N/A</v>
      </c>
      <c r="AP141" s="17" t="e">
        <v>#N/A</v>
      </c>
      <c r="AQ141" s="17" t="e">
        <v>#N/A</v>
      </c>
      <c r="AR141" s="17" t="e">
        <v>#N/A</v>
      </c>
      <c r="AS141" s="17" t="e">
        <v>#N/A</v>
      </c>
      <c r="AT141" s="17" t="e">
        <v>#N/A</v>
      </c>
      <c r="AU141" s="17" t="e">
        <v>#N/A</v>
      </c>
      <c r="AV141" s="17" t="e">
        <v>#N/A</v>
      </c>
      <c r="AW141" s="17" t="e">
        <v>#N/A</v>
      </c>
      <c r="AX141" s="17" t="e">
        <v>#N/A</v>
      </c>
      <c r="AY141" s="17" t="e">
        <v>#N/A</v>
      </c>
      <c r="AZ141" s="17" t="e">
        <v>#N/A</v>
      </c>
      <c r="BA141" s="17" t="e">
        <v>#N/A</v>
      </c>
      <c r="BB141" s="17" t="e">
        <v>#N/A</v>
      </c>
      <c r="BC141" s="17" t="e">
        <v>#N/A</v>
      </c>
      <c r="BD141" s="17" t="e">
        <v>#N/A</v>
      </c>
      <c r="BE141" s="17" t="e">
        <v>#N/A</v>
      </c>
      <c r="BF141" s="17" t="e">
        <v>#N/A</v>
      </c>
      <c r="BG141" s="17" t="e">
        <v>#N/A</v>
      </c>
      <c r="BH141" s="17" t="e">
        <v>#N/A</v>
      </c>
      <c r="BI141" s="17" t="e">
        <v>#N/A</v>
      </c>
      <c r="BJ141" s="17" t="e">
        <v>#N/A</v>
      </c>
      <c r="BK141" s="17" t="e">
        <v>#N/A</v>
      </c>
      <c r="BL141" s="17" t="e">
        <v>#N/A</v>
      </c>
      <c r="BM141" s="17" t="e">
        <v>#N/A</v>
      </c>
      <c r="BN141" s="17" t="e">
        <v>#N/A</v>
      </c>
      <c r="BO141" s="17" t="e">
        <v>#N/A</v>
      </c>
      <c r="BP141" s="17" t="e">
        <v>#N/A</v>
      </c>
      <c r="BQ141" s="17" t="e">
        <v>#N/A</v>
      </c>
      <c r="BR141" s="17" t="e">
        <v>#N/A</v>
      </c>
      <c r="BS141" s="17" t="e">
        <v>#N/A</v>
      </c>
      <c r="BT141" s="17" t="e">
        <v>#N/A</v>
      </c>
      <c r="BU141" s="17" t="e">
        <v>#N/A</v>
      </c>
      <c r="BV141" s="17" t="e">
        <v>#N/A</v>
      </c>
      <c r="BW141" s="17" t="e">
        <v>#N/A</v>
      </c>
      <c r="BX141" s="17" t="e">
        <v>#N/A</v>
      </c>
      <c r="BY141" s="17" t="e">
        <v>#N/A</v>
      </c>
      <c r="BZ141" s="17" t="e">
        <v>#N/A</v>
      </c>
      <c r="CA141" s="17" t="e">
        <v>#N/A</v>
      </c>
      <c r="CB141" s="17" t="e">
        <v>#N/A</v>
      </c>
      <c r="CC141" s="17" t="e">
        <v>#N/A</v>
      </c>
      <c r="CD141" s="17" t="e">
        <v>#N/A</v>
      </c>
      <c r="CE141" s="17" t="e">
        <v>#N/A</v>
      </c>
      <c r="CF141" s="17" t="e">
        <v>#N/A</v>
      </c>
      <c r="CG141" s="17" t="e">
        <v>#N/A</v>
      </c>
      <c r="CH141" s="17" t="e">
        <v>#N/A</v>
      </c>
      <c r="CI141" s="17" t="e">
        <v>#N/A</v>
      </c>
      <c r="CJ141" s="17" t="e">
        <v>#N/A</v>
      </c>
      <c r="CK141" s="17" t="e">
        <v>#N/A</v>
      </c>
      <c r="CL141" s="17" t="e">
        <v>#N/A</v>
      </c>
      <c r="CM141" s="17" t="e">
        <v>#N/A</v>
      </c>
      <c r="CN141" s="17" t="e">
        <v>#N/A</v>
      </c>
      <c r="CO141" s="17" t="e">
        <v>#N/A</v>
      </c>
      <c r="CP141" s="17" t="e">
        <v>#N/A</v>
      </c>
      <c r="CQ141" s="17" t="e">
        <v>#N/A</v>
      </c>
      <c r="CR141" s="17" t="e">
        <v>#N/A</v>
      </c>
      <c r="CS141" s="17" t="e">
        <v>#N/A</v>
      </c>
      <c r="CT141" s="17" t="e">
        <v>#N/A</v>
      </c>
      <c r="CU141" s="17" t="e">
        <v>#N/A</v>
      </c>
      <c r="CV141" s="17" t="e">
        <v>#N/A</v>
      </c>
      <c r="CW141" s="17" t="e">
        <v>#N/A</v>
      </c>
      <c r="CX141" s="17" t="e">
        <v>#N/A</v>
      </c>
      <c r="CY141" s="17" t="e">
        <v>#N/A</v>
      </c>
      <c r="CZ141" s="17" t="e">
        <v>#N/A</v>
      </c>
      <c r="DA141" s="17" t="e">
        <v>#N/A</v>
      </c>
      <c r="DB141" s="17" t="e">
        <v>#N/A</v>
      </c>
      <c r="DC141" s="17" t="e">
        <v>#N/A</v>
      </c>
      <c r="DD141" s="17" t="e">
        <v>#N/A</v>
      </c>
      <c r="DE141" s="17" t="e">
        <v>#N/A</v>
      </c>
      <c r="DF141" s="17" t="e">
        <v>#N/A</v>
      </c>
      <c r="DG141" s="17" t="e">
        <v>#N/A</v>
      </c>
      <c r="DH141" s="17" t="e">
        <v>#N/A</v>
      </c>
      <c r="DI141" s="17" t="e">
        <v>#N/A</v>
      </c>
      <c r="DJ141" s="17" t="e">
        <v>#N/A</v>
      </c>
      <c r="DK141" s="17" t="e">
        <v>#N/A</v>
      </c>
      <c r="DL141" s="17" t="e">
        <v>#N/A</v>
      </c>
      <c r="DM141" s="17" t="e">
        <v>#N/A</v>
      </c>
      <c r="DN141" s="17" t="e">
        <v>#N/A</v>
      </c>
      <c r="DO141" s="17" t="e">
        <v>#N/A</v>
      </c>
      <c r="DP141" s="17" t="e">
        <v>#N/A</v>
      </c>
      <c r="DQ141" s="17" t="e">
        <v>#N/A</v>
      </c>
      <c r="DR141" s="17" t="e">
        <v>#N/A</v>
      </c>
      <c r="DS141" s="17" t="e">
        <v>#N/A</v>
      </c>
      <c r="DT141" s="17" t="e">
        <v>#N/A</v>
      </c>
      <c r="DU141" s="17" t="e">
        <v>#N/A</v>
      </c>
      <c r="DV141" s="17" t="e">
        <v>#N/A</v>
      </c>
      <c r="DW141" s="17" t="e">
        <v>#N/A</v>
      </c>
      <c r="DX141" s="17" t="e">
        <v>#N/A</v>
      </c>
      <c r="DY141" s="17" t="e">
        <v>#N/A</v>
      </c>
      <c r="DZ141" s="17" t="e">
        <v>#N/A</v>
      </c>
      <c r="EA141" s="17" t="e">
        <v>#N/A</v>
      </c>
      <c r="EB141" s="17" t="e">
        <v>#N/A</v>
      </c>
      <c r="EC141" s="17" t="e">
        <v>#N/A</v>
      </c>
      <c r="ED141" s="17" t="e">
        <v>#N/A</v>
      </c>
      <c r="EE141" s="17" t="e">
        <v>#N/A</v>
      </c>
      <c r="EF141" s="17" t="e">
        <v>#N/A</v>
      </c>
      <c r="EG141" s="17" t="e">
        <v>#N/A</v>
      </c>
      <c r="EH141" s="17" t="e">
        <v>#N/A</v>
      </c>
      <c r="EI141" s="17" t="e">
        <v>#N/A</v>
      </c>
      <c r="EJ141" s="17" t="e">
        <v>#N/A</v>
      </c>
      <c r="EK141" s="17" t="e">
        <v>#N/A</v>
      </c>
      <c r="EL141" s="17" t="e">
        <v>#N/A</v>
      </c>
      <c r="EM141" s="17" t="e">
        <v>#N/A</v>
      </c>
      <c r="EN141" s="17" t="e">
        <v>#N/A</v>
      </c>
      <c r="EO141" s="17" t="e">
        <v>#N/A</v>
      </c>
      <c r="EP141" s="17" t="e">
        <v>#N/A</v>
      </c>
      <c r="EQ141" s="17" t="e">
        <v>#N/A</v>
      </c>
      <c r="ER141" s="17" t="e">
        <v>#N/A</v>
      </c>
      <c r="ES141" s="17" t="e">
        <v>#N/A</v>
      </c>
      <c r="ET141" s="17" t="e">
        <v>#N/A</v>
      </c>
      <c r="EU141" s="17" t="e">
        <v>#N/A</v>
      </c>
      <c r="EV141" s="17" t="e">
        <v>#N/A</v>
      </c>
      <c r="EW141" s="17" t="e">
        <v>#N/A</v>
      </c>
      <c r="EX141" s="17" t="e">
        <v>#N/A</v>
      </c>
      <c r="EY141" s="17" t="e">
        <v>#N/A</v>
      </c>
      <c r="EZ141" s="17" t="e">
        <v>#N/A</v>
      </c>
      <c r="FA141" s="17" t="e">
        <v>#N/A</v>
      </c>
      <c r="FB141" s="17" t="e">
        <v>#N/A</v>
      </c>
      <c r="FC141" s="17" t="e">
        <v>#N/A</v>
      </c>
      <c r="FD141" s="17" t="e">
        <v>#N/A</v>
      </c>
      <c r="FE141" s="17" t="e">
        <v>#N/A</v>
      </c>
      <c r="FF141" s="17" t="e">
        <v>#N/A</v>
      </c>
      <c r="FG141" s="17" t="e">
        <v>#N/A</v>
      </c>
      <c r="FH141" s="17" t="e">
        <v>#N/A</v>
      </c>
      <c r="FI141" s="17" t="e">
        <v>#N/A</v>
      </c>
      <c r="FJ141" s="17" t="e">
        <v>#N/A</v>
      </c>
      <c r="FK141" s="17" t="e">
        <v>#N/A</v>
      </c>
      <c r="FL141" s="17" t="e">
        <v>#N/A</v>
      </c>
      <c r="FM141" s="17" t="e">
        <v>#N/A</v>
      </c>
      <c r="FN141" s="17" t="e">
        <v>#N/A</v>
      </c>
      <c r="FO141" s="17" t="e">
        <v>#N/A</v>
      </c>
      <c r="FP141" s="17" t="e">
        <v>#N/A</v>
      </c>
      <c r="FQ141" s="17" t="e">
        <v>#N/A</v>
      </c>
      <c r="FR141" s="17" t="e">
        <v>#N/A</v>
      </c>
      <c r="FS141" s="17" t="e">
        <v>#N/A</v>
      </c>
      <c r="FT141" s="17" t="e">
        <v>#N/A</v>
      </c>
      <c r="FU141" s="17" t="e">
        <v>#N/A</v>
      </c>
      <c r="FV141" s="17" t="e">
        <v>#N/A</v>
      </c>
    </row>
    <row r="142" spans="2:178" ht="11.25" customHeight="1">
      <c r="B142" s="17" t="e">
        <v>#N/A</v>
      </c>
      <c r="C142" s="17" t="e">
        <v>#N/A</v>
      </c>
      <c r="D142" s="17" t="e">
        <v>#N/A</v>
      </c>
      <c r="E142" s="17" t="e">
        <v>#N/A</v>
      </c>
      <c r="F142" s="17" t="e">
        <v>#N/A</v>
      </c>
      <c r="G142" s="17" t="e">
        <v>#N/A</v>
      </c>
      <c r="H142" s="17" t="e">
        <v>#N/A</v>
      </c>
      <c r="I142" s="17" t="e">
        <v>#N/A</v>
      </c>
      <c r="J142" s="17" t="e">
        <v>#N/A</v>
      </c>
      <c r="K142" s="17" t="e">
        <v>#N/A</v>
      </c>
      <c r="L142" s="17" t="e">
        <v>#N/A</v>
      </c>
      <c r="M142" s="17" t="e">
        <v>#N/A</v>
      </c>
      <c r="N142" s="17" t="e">
        <v>#N/A</v>
      </c>
      <c r="O142" s="17" t="e">
        <v>#N/A</v>
      </c>
      <c r="P142" s="17" t="e">
        <v>#N/A</v>
      </c>
      <c r="Q142" s="17" t="e">
        <v>#N/A</v>
      </c>
      <c r="R142" s="17" t="e">
        <v>#N/A</v>
      </c>
      <c r="S142" s="17" t="e">
        <v>#N/A</v>
      </c>
      <c r="T142" s="17" t="e">
        <v>#N/A</v>
      </c>
      <c r="U142" s="17" t="e">
        <v>#N/A</v>
      </c>
      <c r="V142" s="17" t="e">
        <v>#N/A</v>
      </c>
      <c r="W142" s="17" t="e">
        <v>#N/A</v>
      </c>
      <c r="X142" s="17" t="e">
        <v>#N/A</v>
      </c>
      <c r="Y142" s="17" t="e">
        <v>#N/A</v>
      </c>
      <c r="Z142" s="17" t="e">
        <v>#N/A</v>
      </c>
      <c r="AA142" s="17" t="e">
        <v>#N/A</v>
      </c>
      <c r="AB142" s="17" t="e">
        <v>#N/A</v>
      </c>
      <c r="AC142" s="17" t="e">
        <v>#N/A</v>
      </c>
      <c r="AD142" s="17" t="e">
        <v>#N/A</v>
      </c>
      <c r="AE142" s="17" t="e">
        <v>#N/A</v>
      </c>
      <c r="AF142" s="17" t="e">
        <v>#N/A</v>
      </c>
      <c r="AG142" s="17" t="e">
        <v>#N/A</v>
      </c>
      <c r="AH142" s="17" t="e">
        <v>#N/A</v>
      </c>
      <c r="AI142" s="17" t="e">
        <v>#N/A</v>
      </c>
      <c r="AJ142" s="17" t="e">
        <v>#N/A</v>
      </c>
      <c r="AK142" s="17" t="e">
        <v>#N/A</v>
      </c>
      <c r="AL142" s="17" t="e">
        <v>#N/A</v>
      </c>
      <c r="AM142" s="17" t="e">
        <v>#N/A</v>
      </c>
      <c r="AN142" s="17" t="e">
        <v>#N/A</v>
      </c>
      <c r="AO142" s="17" t="e">
        <v>#N/A</v>
      </c>
      <c r="AP142" s="17" t="e">
        <v>#N/A</v>
      </c>
      <c r="AQ142" s="17" t="e">
        <v>#N/A</v>
      </c>
      <c r="AR142" s="17" t="e">
        <v>#N/A</v>
      </c>
      <c r="AS142" s="17" t="e">
        <v>#N/A</v>
      </c>
      <c r="AT142" s="17" t="e">
        <v>#N/A</v>
      </c>
      <c r="AU142" s="17" t="e">
        <v>#N/A</v>
      </c>
      <c r="AV142" s="17" t="e">
        <v>#N/A</v>
      </c>
      <c r="AW142" s="17" t="e">
        <v>#N/A</v>
      </c>
      <c r="AX142" s="17" t="e">
        <v>#N/A</v>
      </c>
      <c r="AY142" s="17" t="e">
        <v>#N/A</v>
      </c>
      <c r="AZ142" s="17" t="e">
        <v>#N/A</v>
      </c>
      <c r="BA142" s="17" t="e">
        <v>#N/A</v>
      </c>
      <c r="BB142" s="17" t="e">
        <v>#N/A</v>
      </c>
      <c r="BC142" s="17" t="e">
        <v>#N/A</v>
      </c>
      <c r="BD142" s="17" t="e">
        <v>#N/A</v>
      </c>
      <c r="BE142" s="17" t="e">
        <v>#N/A</v>
      </c>
      <c r="BF142" s="17" t="e">
        <v>#N/A</v>
      </c>
      <c r="BG142" s="17" t="e">
        <v>#N/A</v>
      </c>
      <c r="BH142" s="17" t="e">
        <v>#N/A</v>
      </c>
      <c r="BI142" s="17" t="e">
        <v>#N/A</v>
      </c>
      <c r="BJ142" s="17" t="e">
        <v>#N/A</v>
      </c>
      <c r="BK142" s="17" t="e">
        <v>#N/A</v>
      </c>
      <c r="BL142" s="17" t="e">
        <v>#N/A</v>
      </c>
      <c r="BM142" s="17" t="e">
        <v>#N/A</v>
      </c>
      <c r="BN142" s="17" t="e">
        <v>#N/A</v>
      </c>
      <c r="BO142" s="17" t="e">
        <v>#N/A</v>
      </c>
      <c r="BP142" s="17" t="e">
        <v>#N/A</v>
      </c>
      <c r="BQ142" s="17" t="e">
        <v>#N/A</v>
      </c>
      <c r="BR142" s="17" t="e">
        <v>#N/A</v>
      </c>
      <c r="BS142" s="17" t="e">
        <v>#N/A</v>
      </c>
      <c r="BT142" s="17" t="e">
        <v>#N/A</v>
      </c>
      <c r="BU142" s="17" t="e">
        <v>#N/A</v>
      </c>
      <c r="BV142" s="17" t="e">
        <v>#N/A</v>
      </c>
      <c r="BW142" s="17" t="e">
        <v>#N/A</v>
      </c>
      <c r="BX142" s="17" t="e">
        <v>#N/A</v>
      </c>
      <c r="BY142" s="17" t="e">
        <v>#N/A</v>
      </c>
      <c r="BZ142" s="17" t="e">
        <v>#N/A</v>
      </c>
      <c r="CA142" s="17" t="e">
        <v>#N/A</v>
      </c>
      <c r="CB142" s="17" t="e">
        <v>#N/A</v>
      </c>
      <c r="CC142" s="17" t="e">
        <v>#N/A</v>
      </c>
      <c r="CD142" s="17" t="e">
        <v>#N/A</v>
      </c>
      <c r="CE142" s="17" t="e">
        <v>#N/A</v>
      </c>
      <c r="CF142" s="17" t="e">
        <v>#N/A</v>
      </c>
      <c r="CG142" s="17" t="e">
        <v>#N/A</v>
      </c>
      <c r="CH142" s="17" t="e">
        <v>#N/A</v>
      </c>
      <c r="CI142" s="17" t="e">
        <v>#N/A</v>
      </c>
      <c r="CJ142" s="17" t="e">
        <v>#N/A</v>
      </c>
      <c r="CK142" s="17" t="e">
        <v>#N/A</v>
      </c>
      <c r="CL142" s="17" t="e">
        <v>#N/A</v>
      </c>
      <c r="CM142" s="17" t="e">
        <v>#N/A</v>
      </c>
      <c r="CN142" s="17" t="e">
        <v>#N/A</v>
      </c>
      <c r="CO142" s="17" t="e">
        <v>#N/A</v>
      </c>
      <c r="CP142" s="17" t="e">
        <v>#N/A</v>
      </c>
      <c r="CQ142" s="17" t="e">
        <v>#N/A</v>
      </c>
      <c r="CR142" s="17" t="e">
        <v>#N/A</v>
      </c>
      <c r="CS142" s="17" t="e">
        <v>#N/A</v>
      </c>
      <c r="CT142" s="17" t="e">
        <v>#N/A</v>
      </c>
      <c r="CU142" s="17" t="e">
        <v>#N/A</v>
      </c>
      <c r="CV142" s="17" t="e">
        <v>#N/A</v>
      </c>
      <c r="CW142" s="17" t="e">
        <v>#N/A</v>
      </c>
      <c r="CX142" s="17" t="e">
        <v>#N/A</v>
      </c>
      <c r="CY142" s="17" t="e">
        <v>#N/A</v>
      </c>
      <c r="CZ142" s="17" t="e">
        <v>#N/A</v>
      </c>
      <c r="DA142" s="17" t="e">
        <v>#N/A</v>
      </c>
      <c r="DB142" s="17" t="e">
        <v>#N/A</v>
      </c>
      <c r="DC142" s="17" t="e">
        <v>#N/A</v>
      </c>
      <c r="DD142" s="17" t="e">
        <v>#N/A</v>
      </c>
      <c r="DE142" s="17" t="e">
        <v>#N/A</v>
      </c>
      <c r="DF142" s="17" t="e">
        <v>#N/A</v>
      </c>
      <c r="DG142" s="17" t="e">
        <v>#N/A</v>
      </c>
      <c r="DH142" s="17" t="e">
        <v>#N/A</v>
      </c>
      <c r="DI142" s="17" t="e">
        <v>#N/A</v>
      </c>
      <c r="DJ142" s="17" t="e">
        <v>#N/A</v>
      </c>
      <c r="DK142" s="17" t="e">
        <v>#N/A</v>
      </c>
      <c r="DL142" s="17" t="e">
        <v>#N/A</v>
      </c>
      <c r="DM142" s="17" t="e">
        <v>#N/A</v>
      </c>
      <c r="DN142" s="17" t="e">
        <v>#N/A</v>
      </c>
      <c r="DO142" s="17" t="e">
        <v>#N/A</v>
      </c>
      <c r="DP142" s="17" t="e">
        <v>#N/A</v>
      </c>
      <c r="DQ142" s="17" t="e">
        <v>#N/A</v>
      </c>
      <c r="DR142" s="17" t="e">
        <v>#N/A</v>
      </c>
      <c r="DS142" s="17" t="e">
        <v>#N/A</v>
      </c>
      <c r="DT142" s="17" t="e">
        <v>#N/A</v>
      </c>
      <c r="DU142" s="17" t="e">
        <v>#N/A</v>
      </c>
      <c r="DV142" s="17" t="e">
        <v>#N/A</v>
      </c>
      <c r="DW142" s="17" t="e">
        <v>#N/A</v>
      </c>
      <c r="DX142" s="17" t="e">
        <v>#N/A</v>
      </c>
      <c r="DY142" s="17" t="e">
        <v>#N/A</v>
      </c>
      <c r="DZ142" s="17" t="e">
        <v>#N/A</v>
      </c>
      <c r="EA142" s="17" t="e">
        <v>#N/A</v>
      </c>
      <c r="EB142" s="17" t="e">
        <v>#N/A</v>
      </c>
      <c r="EC142" s="17" t="e">
        <v>#N/A</v>
      </c>
      <c r="ED142" s="17" t="e">
        <v>#N/A</v>
      </c>
      <c r="EE142" s="17" t="e">
        <v>#N/A</v>
      </c>
      <c r="EF142" s="17" t="e">
        <v>#N/A</v>
      </c>
      <c r="EG142" s="17" t="e">
        <v>#N/A</v>
      </c>
      <c r="EH142" s="17" t="e">
        <v>#N/A</v>
      </c>
      <c r="EI142" s="17" t="e">
        <v>#N/A</v>
      </c>
      <c r="EJ142" s="17" t="e">
        <v>#N/A</v>
      </c>
      <c r="EK142" s="17" t="e">
        <v>#N/A</v>
      </c>
      <c r="EL142" s="17" t="e">
        <v>#N/A</v>
      </c>
      <c r="EM142" s="17" t="e">
        <v>#N/A</v>
      </c>
      <c r="EN142" s="17" t="e">
        <v>#N/A</v>
      </c>
      <c r="EO142" s="17" t="e">
        <v>#N/A</v>
      </c>
      <c r="EP142" s="17" t="e">
        <v>#N/A</v>
      </c>
      <c r="EQ142" s="17" t="e">
        <v>#N/A</v>
      </c>
      <c r="ER142" s="17" t="e">
        <v>#N/A</v>
      </c>
      <c r="ES142" s="17" t="e">
        <v>#N/A</v>
      </c>
      <c r="ET142" s="17" t="e">
        <v>#N/A</v>
      </c>
      <c r="EU142" s="17" t="e">
        <v>#N/A</v>
      </c>
      <c r="EV142" s="17" t="e">
        <v>#N/A</v>
      </c>
      <c r="EW142" s="17" t="e">
        <v>#N/A</v>
      </c>
      <c r="EX142" s="17" t="e">
        <v>#N/A</v>
      </c>
      <c r="EY142" s="17" t="e">
        <v>#N/A</v>
      </c>
      <c r="EZ142" s="17" t="e">
        <v>#N/A</v>
      </c>
      <c r="FA142" s="17" t="e">
        <v>#N/A</v>
      </c>
      <c r="FB142" s="17" t="e">
        <v>#N/A</v>
      </c>
      <c r="FC142" s="17" t="e">
        <v>#N/A</v>
      </c>
      <c r="FD142" s="17" t="e">
        <v>#N/A</v>
      </c>
      <c r="FE142" s="17" t="e">
        <v>#N/A</v>
      </c>
      <c r="FF142" s="17" t="e">
        <v>#N/A</v>
      </c>
      <c r="FG142" s="17" t="e">
        <v>#N/A</v>
      </c>
      <c r="FH142" s="17" t="e">
        <v>#N/A</v>
      </c>
      <c r="FI142" s="17" t="e">
        <v>#N/A</v>
      </c>
      <c r="FJ142" s="17" t="e">
        <v>#N/A</v>
      </c>
      <c r="FK142" s="17" t="e">
        <v>#N/A</v>
      </c>
      <c r="FL142" s="17" t="e">
        <v>#N/A</v>
      </c>
      <c r="FM142" s="17" t="e">
        <v>#N/A</v>
      </c>
      <c r="FN142" s="17" t="e">
        <v>#N/A</v>
      </c>
      <c r="FO142" s="17" t="e">
        <v>#N/A</v>
      </c>
      <c r="FP142" s="17" t="e">
        <v>#N/A</v>
      </c>
      <c r="FQ142" s="17" t="e">
        <v>#N/A</v>
      </c>
      <c r="FR142" s="17" t="e">
        <v>#N/A</v>
      </c>
      <c r="FS142" s="17" t="e">
        <v>#N/A</v>
      </c>
      <c r="FT142" s="17" t="e">
        <v>#N/A</v>
      </c>
      <c r="FU142" s="17" t="e">
        <v>#N/A</v>
      </c>
      <c r="FV142" s="17" t="e">
        <v>#N/A</v>
      </c>
    </row>
    <row r="143" spans="2:178" ht="11.25" customHeight="1">
      <c r="B143" s="17" t="e">
        <v>#N/A</v>
      </c>
      <c r="C143" s="17" t="e">
        <v>#N/A</v>
      </c>
      <c r="D143" s="17" t="e">
        <v>#N/A</v>
      </c>
      <c r="E143" s="17" t="e">
        <v>#N/A</v>
      </c>
      <c r="F143" s="17" t="e">
        <v>#N/A</v>
      </c>
      <c r="G143" s="17" t="e">
        <v>#N/A</v>
      </c>
      <c r="H143" s="17" t="e">
        <v>#N/A</v>
      </c>
      <c r="I143" s="17" t="e">
        <v>#N/A</v>
      </c>
      <c r="J143" s="17" t="e">
        <v>#N/A</v>
      </c>
      <c r="K143" s="17" t="e">
        <v>#N/A</v>
      </c>
      <c r="L143" s="17" t="e">
        <v>#N/A</v>
      </c>
      <c r="M143" s="17" t="e">
        <v>#N/A</v>
      </c>
      <c r="N143" s="17" t="e">
        <v>#N/A</v>
      </c>
      <c r="O143" s="17" t="e">
        <v>#N/A</v>
      </c>
      <c r="P143" s="17" t="e">
        <v>#N/A</v>
      </c>
      <c r="Q143" s="17" t="e">
        <v>#N/A</v>
      </c>
      <c r="R143" s="17" t="e">
        <v>#N/A</v>
      </c>
      <c r="S143" s="17" t="e">
        <v>#N/A</v>
      </c>
      <c r="T143" s="17" t="e">
        <v>#N/A</v>
      </c>
      <c r="U143" s="17" t="e">
        <v>#N/A</v>
      </c>
      <c r="V143" s="17" t="e">
        <v>#N/A</v>
      </c>
      <c r="W143" s="17" t="e">
        <v>#N/A</v>
      </c>
      <c r="X143" s="17" t="e">
        <v>#N/A</v>
      </c>
      <c r="Y143" s="17" t="e">
        <v>#N/A</v>
      </c>
      <c r="Z143" s="17" t="e">
        <v>#N/A</v>
      </c>
      <c r="AA143" s="17" t="e">
        <v>#N/A</v>
      </c>
      <c r="AB143" s="17" t="e">
        <v>#N/A</v>
      </c>
      <c r="AC143" s="17" t="e">
        <v>#N/A</v>
      </c>
      <c r="AD143" s="17" t="e">
        <v>#N/A</v>
      </c>
      <c r="AE143" s="17" t="e">
        <v>#N/A</v>
      </c>
      <c r="AF143" s="17" t="e">
        <v>#N/A</v>
      </c>
      <c r="AG143" s="17" t="e">
        <v>#N/A</v>
      </c>
      <c r="AH143" s="17" t="e">
        <v>#N/A</v>
      </c>
      <c r="AI143" s="17" t="e">
        <v>#N/A</v>
      </c>
      <c r="AJ143" s="17" t="e">
        <v>#N/A</v>
      </c>
      <c r="AK143" s="17" t="e">
        <v>#N/A</v>
      </c>
      <c r="AL143" s="17" t="e">
        <v>#N/A</v>
      </c>
      <c r="AM143" s="17" t="e">
        <v>#N/A</v>
      </c>
      <c r="AN143" s="17" t="e">
        <v>#N/A</v>
      </c>
      <c r="AO143" s="17" t="e">
        <v>#N/A</v>
      </c>
      <c r="AP143" s="17" t="e">
        <v>#N/A</v>
      </c>
      <c r="AQ143" s="17" t="e">
        <v>#N/A</v>
      </c>
      <c r="AR143" s="17" t="e">
        <v>#N/A</v>
      </c>
      <c r="AS143" s="17" t="e">
        <v>#N/A</v>
      </c>
      <c r="AT143" s="17" t="e">
        <v>#N/A</v>
      </c>
      <c r="AU143" s="17" t="e">
        <v>#N/A</v>
      </c>
      <c r="AV143" s="17" t="e">
        <v>#N/A</v>
      </c>
      <c r="AW143" s="17" t="e">
        <v>#N/A</v>
      </c>
      <c r="AX143" s="17" t="e">
        <v>#N/A</v>
      </c>
      <c r="AY143" s="17" t="e">
        <v>#N/A</v>
      </c>
      <c r="AZ143" s="17" t="e">
        <v>#N/A</v>
      </c>
      <c r="BA143" s="17" t="e">
        <v>#N/A</v>
      </c>
      <c r="BB143" s="17" t="e">
        <v>#N/A</v>
      </c>
      <c r="BC143" s="17" t="e">
        <v>#N/A</v>
      </c>
      <c r="BD143" s="17" t="e">
        <v>#N/A</v>
      </c>
      <c r="BE143" s="17" t="e">
        <v>#N/A</v>
      </c>
      <c r="BF143" s="17" t="e">
        <v>#N/A</v>
      </c>
      <c r="BG143" s="17" t="e">
        <v>#N/A</v>
      </c>
      <c r="BH143" s="17" t="e">
        <v>#N/A</v>
      </c>
      <c r="BI143" s="17" t="e">
        <v>#N/A</v>
      </c>
      <c r="BJ143" s="17" t="e">
        <v>#N/A</v>
      </c>
      <c r="BK143" s="17" t="e">
        <v>#N/A</v>
      </c>
      <c r="BL143" s="17" t="e">
        <v>#N/A</v>
      </c>
      <c r="BM143" s="17" t="e">
        <v>#N/A</v>
      </c>
      <c r="BN143" s="17" t="e">
        <v>#N/A</v>
      </c>
      <c r="BO143" s="17" t="e">
        <v>#N/A</v>
      </c>
      <c r="BP143" s="17" t="e">
        <v>#N/A</v>
      </c>
      <c r="BQ143" s="17" t="e">
        <v>#N/A</v>
      </c>
      <c r="BR143" s="17" t="e">
        <v>#N/A</v>
      </c>
      <c r="BS143" s="17" t="e">
        <v>#N/A</v>
      </c>
      <c r="BT143" s="17" t="e">
        <v>#N/A</v>
      </c>
      <c r="BU143" s="17" t="e">
        <v>#N/A</v>
      </c>
      <c r="BV143" s="17" t="e">
        <v>#N/A</v>
      </c>
      <c r="BW143" s="17" t="e">
        <v>#N/A</v>
      </c>
      <c r="BX143" s="17" t="e">
        <v>#N/A</v>
      </c>
      <c r="BY143" s="17" t="e">
        <v>#N/A</v>
      </c>
      <c r="BZ143" s="17" t="e">
        <v>#N/A</v>
      </c>
      <c r="CA143" s="17" t="e">
        <v>#N/A</v>
      </c>
      <c r="CB143" s="17" t="e">
        <v>#N/A</v>
      </c>
      <c r="CC143" s="17" t="e">
        <v>#N/A</v>
      </c>
      <c r="CD143" s="17" t="e">
        <v>#N/A</v>
      </c>
      <c r="CE143" s="17" t="e">
        <v>#N/A</v>
      </c>
      <c r="CF143" s="17" t="e">
        <v>#N/A</v>
      </c>
      <c r="CG143" s="17" t="e">
        <v>#N/A</v>
      </c>
      <c r="CH143" s="17" t="e">
        <v>#N/A</v>
      </c>
      <c r="CI143" s="17" t="e">
        <v>#N/A</v>
      </c>
      <c r="CJ143" s="17" t="e">
        <v>#N/A</v>
      </c>
      <c r="CK143" s="17" t="e">
        <v>#N/A</v>
      </c>
      <c r="CL143" s="17" t="e">
        <v>#N/A</v>
      </c>
      <c r="CM143" s="17" t="e">
        <v>#N/A</v>
      </c>
      <c r="CN143" s="17" t="e">
        <v>#N/A</v>
      </c>
      <c r="CO143" s="17" t="e">
        <v>#N/A</v>
      </c>
      <c r="CP143" s="17" t="e">
        <v>#N/A</v>
      </c>
      <c r="CQ143" s="17" t="e">
        <v>#N/A</v>
      </c>
      <c r="CR143" s="17" t="e">
        <v>#N/A</v>
      </c>
      <c r="CS143" s="17" t="e">
        <v>#N/A</v>
      </c>
      <c r="CT143" s="17" t="e">
        <v>#N/A</v>
      </c>
      <c r="CU143" s="17" t="e">
        <v>#N/A</v>
      </c>
      <c r="CV143" s="17" t="e">
        <v>#N/A</v>
      </c>
      <c r="CW143" s="17" t="e">
        <v>#N/A</v>
      </c>
      <c r="CX143" s="17" t="e">
        <v>#N/A</v>
      </c>
      <c r="CY143" s="17" t="e">
        <v>#N/A</v>
      </c>
      <c r="CZ143" s="17" t="e">
        <v>#N/A</v>
      </c>
      <c r="DA143" s="17" t="e">
        <v>#N/A</v>
      </c>
      <c r="DB143" s="17" t="e">
        <v>#N/A</v>
      </c>
      <c r="DC143" s="17" t="e">
        <v>#N/A</v>
      </c>
      <c r="DD143" s="17" t="e">
        <v>#N/A</v>
      </c>
      <c r="DE143" s="17" t="e">
        <v>#N/A</v>
      </c>
      <c r="DF143" s="17" t="e">
        <v>#N/A</v>
      </c>
      <c r="DG143" s="17" t="e">
        <v>#N/A</v>
      </c>
      <c r="DH143" s="17" t="e">
        <v>#N/A</v>
      </c>
      <c r="DI143" s="17" t="e">
        <v>#N/A</v>
      </c>
      <c r="DJ143" s="17" t="e">
        <v>#N/A</v>
      </c>
      <c r="DK143" s="17" t="e">
        <v>#N/A</v>
      </c>
      <c r="DL143" s="17" t="e">
        <v>#N/A</v>
      </c>
      <c r="DM143" s="17" t="e">
        <v>#N/A</v>
      </c>
      <c r="DN143" s="17" t="e">
        <v>#N/A</v>
      </c>
      <c r="DO143" s="17" t="e">
        <v>#N/A</v>
      </c>
      <c r="DP143" s="17" t="e">
        <v>#N/A</v>
      </c>
      <c r="DQ143" s="17" t="e">
        <v>#N/A</v>
      </c>
      <c r="DR143" s="17" t="e">
        <v>#N/A</v>
      </c>
      <c r="DS143" s="17" t="e">
        <v>#N/A</v>
      </c>
      <c r="DT143" s="17" t="e">
        <v>#N/A</v>
      </c>
      <c r="DU143" s="17" t="e">
        <v>#N/A</v>
      </c>
      <c r="DV143" s="17" t="e">
        <v>#N/A</v>
      </c>
      <c r="DW143" s="17" t="e">
        <v>#N/A</v>
      </c>
      <c r="DX143" s="17" t="e">
        <v>#N/A</v>
      </c>
      <c r="DY143" s="17" t="e">
        <v>#N/A</v>
      </c>
      <c r="DZ143" s="17" t="e">
        <v>#N/A</v>
      </c>
      <c r="EA143" s="17" t="e">
        <v>#N/A</v>
      </c>
      <c r="EB143" s="17" t="e">
        <v>#N/A</v>
      </c>
      <c r="EC143" s="17" t="e">
        <v>#N/A</v>
      </c>
      <c r="ED143" s="17" t="e">
        <v>#N/A</v>
      </c>
      <c r="EE143" s="17" t="e">
        <v>#N/A</v>
      </c>
      <c r="EF143" s="17" t="e">
        <v>#N/A</v>
      </c>
      <c r="EG143" s="17" t="e">
        <v>#N/A</v>
      </c>
      <c r="EH143" s="17" t="e">
        <v>#N/A</v>
      </c>
      <c r="EI143" s="17" t="e">
        <v>#N/A</v>
      </c>
      <c r="EJ143" s="17" t="e">
        <v>#N/A</v>
      </c>
      <c r="EK143" s="17" t="e">
        <v>#N/A</v>
      </c>
      <c r="EL143" s="17" t="e">
        <v>#N/A</v>
      </c>
      <c r="EM143" s="17" t="e">
        <v>#N/A</v>
      </c>
      <c r="EN143" s="17" t="e">
        <v>#N/A</v>
      </c>
      <c r="EO143" s="17" t="e">
        <v>#N/A</v>
      </c>
      <c r="EP143" s="17" t="e">
        <v>#N/A</v>
      </c>
      <c r="EQ143" s="17" t="e">
        <v>#N/A</v>
      </c>
      <c r="ER143" s="17" t="e">
        <v>#N/A</v>
      </c>
      <c r="ES143" s="17" t="e">
        <v>#N/A</v>
      </c>
      <c r="ET143" s="17" t="e">
        <v>#N/A</v>
      </c>
      <c r="EU143" s="17" t="e">
        <v>#N/A</v>
      </c>
      <c r="EV143" s="17" t="e">
        <v>#N/A</v>
      </c>
      <c r="EW143" s="17" t="e">
        <v>#N/A</v>
      </c>
      <c r="EX143" s="17" t="e">
        <v>#N/A</v>
      </c>
      <c r="EY143" s="17" t="e">
        <v>#N/A</v>
      </c>
      <c r="EZ143" s="17" t="e">
        <v>#N/A</v>
      </c>
      <c r="FA143" s="17" t="e">
        <v>#N/A</v>
      </c>
      <c r="FB143" s="17" t="e">
        <v>#N/A</v>
      </c>
      <c r="FC143" s="17" t="e">
        <v>#N/A</v>
      </c>
      <c r="FD143" s="17" t="e">
        <v>#N/A</v>
      </c>
      <c r="FE143" s="17" t="e">
        <v>#N/A</v>
      </c>
      <c r="FF143" s="17" t="e">
        <v>#N/A</v>
      </c>
      <c r="FG143" s="17" t="e">
        <v>#N/A</v>
      </c>
      <c r="FH143" s="17" t="e">
        <v>#N/A</v>
      </c>
      <c r="FI143" s="17" t="e">
        <v>#N/A</v>
      </c>
      <c r="FJ143" s="17" t="e">
        <v>#N/A</v>
      </c>
      <c r="FK143" s="17" t="e">
        <v>#N/A</v>
      </c>
      <c r="FL143" s="17" t="e">
        <v>#N/A</v>
      </c>
      <c r="FM143" s="17" t="e">
        <v>#N/A</v>
      </c>
      <c r="FN143" s="17" t="e">
        <v>#N/A</v>
      </c>
      <c r="FO143" s="17" t="e">
        <v>#N/A</v>
      </c>
      <c r="FP143" s="17" t="e">
        <v>#N/A</v>
      </c>
      <c r="FQ143" s="17" t="e">
        <v>#N/A</v>
      </c>
      <c r="FR143" s="17" t="e">
        <v>#N/A</v>
      </c>
      <c r="FS143" s="17" t="e">
        <v>#N/A</v>
      </c>
      <c r="FT143" s="17" t="e">
        <v>#N/A</v>
      </c>
      <c r="FU143" s="17" t="e">
        <v>#N/A</v>
      </c>
      <c r="FV143" s="17" t="e">
        <v>#N/A</v>
      </c>
    </row>
    <row r="144" spans="2:178" ht="11.25" customHeight="1">
      <c r="B144" s="17" t="e">
        <v>#N/A</v>
      </c>
      <c r="C144" s="17" t="e">
        <v>#N/A</v>
      </c>
      <c r="D144" s="17" t="e">
        <v>#N/A</v>
      </c>
      <c r="E144" s="17" t="e">
        <v>#N/A</v>
      </c>
      <c r="F144" s="17" t="e">
        <v>#N/A</v>
      </c>
      <c r="G144" s="17" t="e">
        <v>#N/A</v>
      </c>
      <c r="H144" s="17" t="e">
        <v>#N/A</v>
      </c>
      <c r="I144" s="17" t="e">
        <v>#N/A</v>
      </c>
      <c r="J144" s="17" t="e">
        <v>#N/A</v>
      </c>
      <c r="K144" s="17" t="e">
        <v>#N/A</v>
      </c>
      <c r="L144" s="17" t="e">
        <v>#N/A</v>
      </c>
      <c r="M144" s="17" t="e">
        <v>#N/A</v>
      </c>
      <c r="N144" s="17" t="e">
        <v>#N/A</v>
      </c>
      <c r="O144" s="17" t="e">
        <v>#N/A</v>
      </c>
      <c r="P144" s="17" t="e">
        <v>#N/A</v>
      </c>
      <c r="Q144" s="17" t="e">
        <v>#N/A</v>
      </c>
      <c r="R144" s="17" t="e">
        <v>#N/A</v>
      </c>
      <c r="S144" s="17" t="e">
        <v>#N/A</v>
      </c>
      <c r="T144" s="17" t="e">
        <v>#N/A</v>
      </c>
      <c r="U144" s="17" t="e">
        <v>#N/A</v>
      </c>
      <c r="V144" s="17" t="e">
        <v>#N/A</v>
      </c>
      <c r="W144" s="17" t="e">
        <v>#N/A</v>
      </c>
      <c r="X144" s="17" t="e">
        <v>#N/A</v>
      </c>
      <c r="Y144" s="17" t="e">
        <v>#N/A</v>
      </c>
      <c r="Z144" s="17" t="e">
        <v>#N/A</v>
      </c>
      <c r="AA144" s="17" t="e">
        <v>#N/A</v>
      </c>
      <c r="AB144" s="17" t="e">
        <v>#N/A</v>
      </c>
      <c r="AC144" s="17" t="e">
        <v>#N/A</v>
      </c>
      <c r="AD144" s="17" t="e">
        <v>#N/A</v>
      </c>
      <c r="AE144" s="17" t="e">
        <v>#N/A</v>
      </c>
      <c r="AF144" s="17" t="e">
        <v>#N/A</v>
      </c>
      <c r="AG144" s="17" t="e">
        <v>#N/A</v>
      </c>
      <c r="AH144" s="17" t="e">
        <v>#N/A</v>
      </c>
      <c r="AI144" s="17" t="e">
        <v>#N/A</v>
      </c>
      <c r="AJ144" s="17" t="e">
        <v>#N/A</v>
      </c>
      <c r="AK144" s="17" t="e">
        <v>#N/A</v>
      </c>
      <c r="AL144" s="17" t="e">
        <v>#N/A</v>
      </c>
      <c r="AM144" s="17" t="e">
        <v>#N/A</v>
      </c>
      <c r="AN144" s="17" t="e">
        <v>#N/A</v>
      </c>
      <c r="AO144" s="17" t="e">
        <v>#N/A</v>
      </c>
      <c r="AP144" s="17" t="e">
        <v>#N/A</v>
      </c>
      <c r="AQ144" s="17" t="e">
        <v>#N/A</v>
      </c>
      <c r="AR144" s="17" t="e">
        <v>#N/A</v>
      </c>
      <c r="AS144" s="17" t="e">
        <v>#N/A</v>
      </c>
      <c r="AT144" s="17" t="e">
        <v>#N/A</v>
      </c>
      <c r="AU144" s="17" t="e">
        <v>#N/A</v>
      </c>
      <c r="AV144" s="17" t="e">
        <v>#N/A</v>
      </c>
      <c r="AW144" s="17" t="e">
        <v>#N/A</v>
      </c>
      <c r="AX144" s="17" t="e">
        <v>#N/A</v>
      </c>
      <c r="AY144" s="17" t="e">
        <v>#N/A</v>
      </c>
      <c r="AZ144" s="17" t="e">
        <v>#N/A</v>
      </c>
      <c r="BA144" s="17" t="e">
        <v>#N/A</v>
      </c>
      <c r="BB144" s="17" t="e">
        <v>#N/A</v>
      </c>
      <c r="BC144" s="17" t="e">
        <v>#N/A</v>
      </c>
      <c r="BD144" s="17" t="e">
        <v>#N/A</v>
      </c>
      <c r="BE144" s="17" t="e">
        <v>#N/A</v>
      </c>
      <c r="BF144" s="17" t="e">
        <v>#N/A</v>
      </c>
      <c r="BG144" s="17" t="e">
        <v>#N/A</v>
      </c>
      <c r="BH144" s="17" t="e">
        <v>#N/A</v>
      </c>
      <c r="BI144" s="17" t="e">
        <v>#N/A</v>
      </c>
      <c r="BJ144" s="17" t="e">
        <v>#N/A</v>
      </c>
      <c r="BK144" s="17" t="e">
        <v>#N/A</v>
      </c>
      <c r="BL144" s="17" t="e">
        <v>#N/A</v>
      </c>
      <c r="BM144" s="17" t="e">
        <v>#N/A</v>
      </c>
      <c r="BN144" s="17" t="e">
        <v>#N/A</v>
      </c>
      <c r="BO144" s="17" t="e">
        <v>#N/A</v>
      </c>
      <c r="BP144" s="17" t="e">
        <v>#N/A</v>
      </c>
      <c r="BQ144" s="17" t="e">
        <v>#N/A</v>
      </c>
      <c r="BR144" s="17" t="e">
        <v>#N/A</v>
      </c>
      <c r="BS144" s="17" t="e">
        <v>#N/A</v>
      </c>
      <c r="BT144" s="17" t="e">
        <v>#N/A</v>
      </c>
      <c r="BU144" s="17" t="e">
        <v>#N/A</v>
      </c>
      <c r="BV144" s="17" t="e">
        <v>#N/A</v>
      </c>
      <c r="BW144" s="17" t="e">
        <v>#N/A</v>
      </c>
      <c r="BX144" s="17" t="e">
        <v>#N/A</v>
      </c>
      <c r="BY144" s="17" t="e">
        <v>#N/A</v>
      </c>
      <c r="BZ144" s="17" t="e">
        <v>#N/A</v>
      </c>
      <c r="CA144" s="17" t="e">
        <v>#N/A</v>
      </c>
      <c r="CB144" s="17" t="e">
        <v>#N/A</v>
      </c>
      <c r="CC144" s="17" t="e">
        <v>#N/A</v>
      </c>
      <c r="CD144" s="17" t="e">
        <v>#N/A</v>
      </c>
      <c r="CE144" s="17" t="e">
        <v>#N/A</v>
      </c>
      <c r="CF144" s="17" t="e">
        <v>#N/A</v>
      </c>
      <c r="CG144" s="17" t="e">
        <v>#N/A</v>
      </c>
      <c r="CH144" s="17" t="e">
        <v>#N/A</v>
      </c>
      <c r="CI144" s="17" t="e">
        <v>#N/A</v>
      </c>
      <c r="CJ144" s="17" t="e">
        <v>#N/A</v>
      </c>
      <c r="CK144" s="17" t="e">
        <v>#N/A</v>
      </c>
      <c r="CL144" s="17" t="e">
        <v>#N/A</v>
      </c>
      <c r="CM144" s="17" t="e">
        <v>#N/A</v>
      </c>
      <c r="CN144" s="17" t="e">
        <v>#N/A</v>
      </c>
      <c r="CO144" s="17" t="e">
        <v>#N/A</v>
      </c>
      <c r="CP144" s="17" t="e">
        <v>#N/A</v>
      </c>
      <c r="CQ144" s="17" t="e">
        <v>#N/A</v>
      </c>
      <c r="CR144" s="17" t="e">
        <v>#N/A</v>
      </c>
      <c r="CS144" s="17" t="e">
        <v>#N/A</v>
      </c>
      <c r="CT144" s="17" t="e">
        <v>#N/A</v>
      </c>
      <c r="CU144" s="17" t="e">
        <v>#N/A</v>
      </c>
      <c r="CV144" s="17" t="e">
        <v>#N/A</v>
      </c>
      <c r="CW144" s="17" t="e">
        <v>#N/A</v>
      </c>
      <c r="CX144" s="17" t="e">
        <v>#N/A</v>
      </c>
      <c r="CY144" s="17" t="e">
        <v>#N/A</v>
      </c>
      <c r="CZ144" s="17" t="e">
        <v>#N/A</v>
      </c>
      <c r="DA144" s="17" t="e">
        <v>#N/A</v>
      </c>
      <c r="DB144" s="17" t="e">
        <v>#N/A</v>
      </c>
      <c r="DC144" s="17" t="e">
        <v>#N/A</v>
      </c>
      <c r="DD144" s="17" t="e">
        <v>#N/A</v>
      </c>
      <c r="DE144" s="17" t="e">
        <v>#N/A</v>
      </c>
      <c r="DF144" s="17" t="e">
        <v>#N/A</v>
      </c>
      <c r="DG144" s="17" t="e">
        <v>#N/A</v>
      </c>
      <c r="DH144" s="17" t="e">
        <v>#N/A</v>
      </c>
      <c r="DI144" s="17" t="e">
        <v>#N/A</v>
      </c>
      <c r="DJ144" s="17" t="e">
        <v>#N/A</v>
      </c>
      <c r="DK144" s="17" t="e">
        <v>#N/A</v>
      </c>
      <c r="DL144" s="17" t="e">
        <v>#N/A</v>
      </c>
      <c r="DM144" s="17" t="e">
        <v>#N/A</v>
      </c>
      <c r="DN144" s="17" t="e">
        <v>#N/A</v>
      </c>
      <c r="DO144" s="17" t="e">
        <v>#N/A</v>
      </c>
      <c r="DP144" s="17" t="e">
        <v>#N/A</v>
      </c>
      <c r="DQ144" s="17" t="e">
        <v>#N/A</v>
      </c>
      <c r="DR144" s="17" t="e">
        <v>#N/A</v>
      </c>
      <c r="DS144" s="17" t="e">
        <v>#N/A</v>
      </c>
      <c r="DT144" s="17" t="e">
        <v>#N/A</v>
      </c>
      <c r="DU144" s="17" t="e">
        <v>#N/A</v>
      </c>
      <c r="DV144" s="17" t="e">
        <v>#N/A</v>
      </c>
      <c r="DW144" s="17" t="e">
        <v>#N/A</v>
      </c>
      <c r="DX144" s="17" t="e">
        <v>#N/A</v>
      </c>
      <c r="DY144" s="17" t="e">
        <v>#N/A</v>
      </c>
      <c r="DZ144" s="17" t="e">
        <v>#N/A</v>
      </c>
      <c r="EA144" s="17" t="e">
        <v>#N/A</v>
      </c>
      <c r="EB144" s="17" t="e">
        <v>#N/A</v>
      </c>
      <c r="EC144" s="17" t="e">
        <v>#N/A</v>
      </c>
      <c r="ED144" s="17" t="e">
        <v>#N/A</v>
      </c>
      <c r="EE144" s="17" t="e">
        <v>#N/A</v>
      </c>
      <c r="EF144" s="17" t="e">
        <v>#N/A</v>
      </c>
      <c r="EG144" s="17" t="e">
        <v>#N/A</v>
      </c>
      <c r="EH144" s="17" t="e">
        <v>#N/A</v>
      </c>
      <c r="EI144" s="17" t="e">
        <v>#N/A</v>
      </c>
      <c r="EJ144" s="17" t="e">
        <v>#N/A</v>
      </c>
      <c r="EK144" s="17" t="e">
        <v>#N/A</v>
      </c>
      <c r="EL144" s="17" t="e">
        <v>#N/A</v>
      </c>
      <c r="EM144" s="17" t="e">
        <v>#N/A</v>
      </c>
      <c r="EN144" s="17" t="e">
        <v>#N/A</v>
      </c>
      <c r="EO144" s="17" t="e">
        <v>#N/A</v>
      </c>
      <c r="EP144" s="17" t="e">
        <v>#N/A</v>
      </c>
      <c r="EQ144" s="17" t="e">
        <v>#N/A</v>
      </c>
      <c r="ER144" s="17" t="e">
        <v>#N/A</v>
      </c>
      <c r="ES144" s="17" t="e">
        <v>#N/A</v>
      </c>
      <c r="ET144" s="17" t="e">
        <v>#N/A</v>
      </c>
      <c r="EU144" s="17" t="e">
        <v>#N/A</v>
      </c>
      <c r="EV144" s="17" t="e">
        <v>#N/A</v>
      </c>
      <c r="EW144" s="17" t="e">
        <v>#N/A</v>
      </c>
      <c r="EX144" s="17" t="e">
        <v>#N/A</v>
      </c>
      <c r="EY144" s="17" t="e">
        <v>#N/A</v>
      </c>
      <c r="EZ144" s="17" t="e">
        <v>#N/A</v>
      </c>
      <c r="FA144" s="17" t="e">
        <v>#N/A</v>
      </c>
      <c r="FB144" s="17" t="e">
        <v>#N/A</v>
      </c>
      <c r="FC144" s="17" t="e">
        <v>#N/A</v>
      </c>
      <c r="FD144" s="17" t="e">
        <v>#N/A</v>
      </c>
      <c r="FE144" s="17" t="e">
        <v>#N/A</v>
      </c>
      <c r="FF144" s="17" t="e">
        <v>#N/A</v>
      </c>
      <c r="FG144" s="17" t="e">
        <v>#N/A</v>
      </c>
      <c r="FH144" s="17" t="e">
        <v>#N/A</v>
      </c>
      <c r="FI144" s="17" t="e">
        <v>#N/A</v>
      </c>
      <c r="FJ144" s="17" t="e">
        <v>#N/A</v>
      </c>
      <c r="FK144" s="17" t="e">
        <v>#N/A</v>
      </c>
      <c r="FL144" s="17" t="e">
        <v>#N/A</v>
      </c>
      <c r="FM144" s="17" t="e">
        <v>#N/A</v>
      </c>
      <c r="FN144" s="17" t="e">
        <v>#N/A</v>
      </c>
      <c r="FO144" s="17" t="e">
        <v>#N/A</v>
      </c>
      <c r="FP144" s="17" t="e">
        <v>#N/A</v>
      </c>
      <c r="FQ144" s="17" t="e">
        <v>#N/A</v>
      </c>
      <c r="FR144" s="17" t="e">
        <v>#N/A</v>
      </c>
      <c r="FS144" s="17" t="e">
        <v>#N/A</v>
      </c>
      <c r="FT144" s="17" t="e">
        <v>#N/A</v>
      </c>
      <c r="FU144" s="17" t="e">
        <v>#N/A</v>
      </c>
      <c r="FV144" s="17" t="e">
        <v>#N/A</v>
      </c>
    </row>
    <row r="145" spans="2:178" ht="11.25" customHeight="1">
      <c r="B145" s="17" t="e">
        <v>#N/A</v>
      </c>
      <c r="C145" s="17" t="e">
        <v>#N/A</v>
      </c>
      <c r="D145" s="17" t="e">
        <v>#N/A</v>
      </c>
      <c r="E145" s="17" t="e">
        <v>#N/A</v>
      </c>
      <c r="F145" s="17" t="e">
        <v>#N/A</v>
      </c>
      <c r="G145" s="17" t="e">
        <v>#N/A</v>
      </c>
      <c r="H145" s="17" t="e">
        <v>#N/A</v>
      </c>
      <c r="I145" s="17" t="e">
        <v>#N/A</v>
      </c>
      <c r="J145" s="17" t="e">
        <v>#N/A</v>
      </c>
      <c r="K145" s="17" t="e">
        <v>#N/A</v>
      </c>
      <c r="L145" s="17" t="e">
        <v>#N/A</v>
      </c>
      <c r="M145" s="17" t="e">
        <v>#N/A</v>
      </c>
      <c r="N145" s="17" t="e">
        <v>#N/A</v>
      </c>
      <c r="O145" s="17" t="e">
        <v>#N/A</v>
      </c>
      <c r="P145" s="17" t="e">
        <v>#N/A</v>
      </c>
      <c r="Q145" s="17" t="e">
        <v>#N/A</v>
      </c>
      <c r="R145" s="17" t="e">
        <v>#N/A</v>
      </c>
      <c r="S145" s="17" t="e">
        <v>#N/A</v>
      </c>
      <c r="T145" s="17" t="e">
        <v>#N/A</v>
      </c>
      <c r="U145" s="17" t="e">
        <v>#N/A</v>
      </c>
      <c r="V145" s="17" t="e">
        <v>#N/A</v>
      </c>
      <c r="W145" s="17" t="e">
        <v>#N/A</v>
      </c>
      <c r="X145" s="17" t="e">
        <v>#N/A</v>
      </c>
      <c r="Y145" s="17" t="e">
        <v>#N/A</v>
      </c>
      <c r="Z145" s="17" t="e">
        <v>#N/A</v>
      </c>
      <c r="AA145" s="17" t="e">
        <v>#N/A</v>
      </c>
      <c r="AB145" s="17" t="e">
        <v>#N/A</v>
      </c>
      <c r="AC145" s="17" t="e">
        <v>#N/A</v>
      </c>
      <c r="AD145" s="17" t="e">
        <v>#N/A</v>
      </c>
      <c r="AE145" s="17" t="e">
        <v>#N/A</v>
      </c>
      <c r="AF145" s="17" t="e">
        <v>#N/A</v>
      </c>
      <c r="AG145" s="17" t="e">
        <v>#N/A</v>
      </c>
      <c r="AH145" s="17" t="e">
        <v>#N/A</v>
      </c>
      <c r="AI145" s="17" t="e">
        <v>#N/A</v>
      </c>
      <c r="AJ145" s="17" t="e">
        <v>#N/A</v>
      </c>
      <c r="AK145" s="17" t="e">
        <v>#N/A</v>
      </c>
      <c r="AL145" s="17" t="e">
        <v>#N/A</v>
      </c>
      <c r="AM145" s="17" t="e">
        <v>#N/A</v>
      </c>
      <c r="AN145" s="17" t="e">
        <v>#N/A</v>
      </c>
      <c r="AO145" s="17" t="e">
        <v>#N/A</v>
      </c>
      <c r="AP145" s="17" t="e">
        <v>#N/A</v>
      </c>
      <c r="AQ145" s="17" t="e">
        <v>#N/A</v>
      </c>
      <c r="AR145" s="17" t="e">
        <v>#N/A</v>
      </c>
      <c r="AS145" s="17" t="e">
        <v>#N/A</v>
      </c>
      <c r="AT145" s="17" t="e">
        <v>#N/A</v>
      </c>
      <c r="AU145" s="17" t="e">
        <v>#N/A</v>
      </c>
      <c r="AV145" s="17" t="e">
        <v>#N/A</v>
      </c>
      <c r="AW145" s="17" t="e">
        <v>#N/A</v>
      </c>
      <c r="AX145" s="17" t="e">
        <v>#N/A</v>
      </c>
      <c r="AY145" s="17" t="e">
        <v>#N/A</v>
      </c>
      <c r="AZ145" s="17" t="e">
        <v>#N/A</v>
      </c>
      <c r="BA145" s="17" t="e">
        <v>#N/A</v>
      </c>
      <c r="BB145" s="17" t="e">
        <v>#N/A</v>
      </c>
      <c r="BC145" s="17" t="e">
        <v>#N/A</v>
      </c>
      <c r="BD145" s="17" t="e">
        <v>#N/A</v>
      </c>
      <c r="BE145" s="17" t="e">
        <v>#N/A</v>
      </c>
      <c r="BF145" s="17" t="e">
        <v>#N/A</v>
      </c>
      <c r="BG145" s="17" t="e">
        <v>#N/A</v>
      </c>
      <c r="BH145" s="17" t="e">
        <v>#N/A</v>
      </c>
      <c r="BI145" s="17" t="e">
        <v>#N/A</v>
      </c>
      <c r="BJ145" s="17" t="e">
        <v>#N/A</v>
      </c>
      <c r="BK145" s="17" t="e">
        <v>#N/A</v>
      </c>
      <c r="BL145" s="17" t="e">
        <v>#N/A</v>
      </c>
      <c r="BM145" s="17" t="e">
        <v>#N/A</v>
      </c>
      <c r="BN145" s="17" t="e">
        <v>#N/A</v>
      </c>
      <c r="BO145" s="17" t="e">
        <v>#N/A</v>
      </c>
      <c r="BP145" s="17" t="e">
        <v>#N/A</v>
      </c>
      <c r="BQ145" s="17" t="e">
        <v>#N/A</v>
      </c>
      <c r="BR145" s="17" t="e">
        <v>#N/A</v>
      </c>
      <c r="BS145" s="17" t="e">
        <v>#N/A</v>
      </c>
      <c r="BT145" s="17" t="e">
        <v>#N/A</v>
      </c>
      <c r="BU145" s="17" t="e">
        <v>#N/A</v>
      </c>
      <c r="BV145" s="17" t="e">
        <v>#N/A</v>
      </c>
      <c r="BW145" s="17" t="e">
        <v>#N/A</v>
      </c>
      <c r="BX145" s="17" t="e">
        <v>#N/A</v>
      </c>
      <c r="BY145" s="17" t="e">
        <v>#N/A</v>
      </c>
      <c r="BZ145" s="17" t="e">
        <v>#N/A</v>
      </c>
      <c r="CA145" s="17" t="e">
        <v>#N/A</v>
      </c>
      <c r="CB145" s="17" t="e">
        <v>#N/A</v>
      </c>
      <c r="CC145" s="17" t="e">
        <v>#N/A</v>
      </c>
      <c r="CD145" s="17" t="e">
        <v>#N/A</v>
      </c>
      <c r="CE145" s="17" t="e">
        <v>#N/A</v>
      </c>
      <c r="CF145" s="17" t="e">
        <v>#N/A</v>
      </c>
      <c r="CG145" s="17" t="e">
        <v>#N/A</v>
      </c>
      <c r="CH145" s="17" t="e">
        <v>#N/A</v>
      </c>
      <c r="CI145" s="17" t="e">
        <v>#N/A</v>
      </c>
      <c r="CJ145" s="17" t="e">
        <v>#N/A</v>
      </c>
      <c r="CK145" s="17" t="e">
        <v>#N/A</v>
      </c>
      <c r="CL145" s="17" t="e">
        <v>#N/A</v>
      </c>
      <c r="CM145" s="17" t="e">
        <v>#N/A</v>
      </c>
      <c r="CN145" s="17" t="e">
        <v>#N/A</v>
      </c>
      <c r="CO145" s="17" t="e">
        <v>#N/A</v>
      </c>
      <c r="CP145" s="17" t="e">
        <v>#N/A</v>
      </c>
      <c r="CQ145" s="17" t="e">
        <v>#N/A</v>
      </c>
      <c r="CR145" s="17" t="e">
        <v>#N/A</v>
      </c>
      <c r="CS145" s="17" t="e">
        <v>#N/A</v>
      </c>
      <c r="CT145" s="17" t="e">
        <v>#N/A</v>
      </c>
      <c r="CU145" s="17" t="e">
        <v>#N/A</v>
      </c>
      <c r="CV145" s="17" t="e">
        <v>#N/A</v>
      </c>
      <c r="CW145" s="17" t="e">
        <v>#N/A</v>
      </c>
      <c r="CX145" s="17" t="e">
        <v>#N/A</v>
      </c>
      <c r="CY145" s="17" t="e">
        <v>#N/A</v>
      </c>
      <c r="CZ145" s="17" t="e">
        <v>#N/A</v>
      </c>
      <c r="DA145" s="17" t="e">
        <v>#N/A</v>
      </c>
      <c r="DB145" s="17" t="e">
        <v>#N/A</v>
      </c>
      <c r="DC145" s="17" t="e">
        <v>#N/A</v>
      </c>
      <c r="DD145" s="17" t="e">
        <v>#N/A</v>
      </c>
      <c r="DE145" s="17" t="e">
        <v>#N/A</v>
      </c>
      <c r="DF145" s="17" t="e">
        <v>#N/A</v>
      </c>
      <c r="DG145" s="17" t="e">
        <v>#N/A</v>
      </c>
      <c r="DH145" s="17" t="e">
        <v>#N/A</v>
      </c>
      <c r="DI145" s="17" t="e">
        <v>#N/A</v>
      </c>
      <c r="DJ145" s="17" t="e">
        <v>#N/A</v>
      </c>
      <c r="DK145" s="17" t="e">
        <v>#N/A</v>
      </c>
      <c r="DL145" s="17" t="e">
        <v>#N/A</v>
      </c>
      <c r="DM145" s="17" t="e">
        <v>#N/A</v>
      </c>
      <c r="DN145" s="17" t="e">
        <v>#N/A</v>
      </c>
      <c r="DO145" s="17" t="e">
        <v>#N/A</v>
      </c>
      <c r="DP145" s="17" t="e">
        <v>#N/A</v>
      </c>
      <c r="DQ145" s="17" t="e">
        <v>#N/A</v>
      </c>
      <c r="DR145" s="17" t="e">
        <v>#N/A</v>
      </c>
      <c r="DS145" s="17" t="e">
        <v>#N/A</v>
      </c>
      <c r="DT145" s="17" t="e">
        <v>#N/A</v>
      </c>
      <c r="DU145" s="17" t="e">
        <v>#N/A</v>
      </c>
      <c r="DV145" s="17" t="e">
        <v>#N/A</v>
      </c>
      <c r="DW145" s="17" t="e">
        <v>#N/A</v>
      </c>
      <c r="DX145" s="17" t="e">
        <v>#N/A</v>
      </c>
      <c r="DY145" s="17" t="e">
        <v>#N/A</v>
      </c>
      <c r="DZ145" s="17" t="e">
        <v>#N/A</v>
      </c>
      <c r="EA145" s="17" t="e">
        <v>#N/A</v>
      </c>
      <c r="EB145" s="17" t="e">
        <v>#N/A</v>
      </c>
      <c r="EC145" s="17" t="e">
        <v>#N/A</v>
      </c>
      <c r="ED145" s="17" t="e">
        <v>#N/A</v>
      </c>
      <c r="EE145" s="17" t="e">
        <v>#N/A</v>
      </c>
      <c r="EF145" s="17" t="e">
        <v>#N/A</v>
      </c>
      <c r="EG145" s="17" t="e">
        <v>#N/A</v>
      </c>
      <c r="EH145" s="17" t="e">
        <v>#N/A</v>
      </c>
      <c r="EI145" s="17" t="e">
        <v>#N/A</v>
      </c>
      <c r="EJ145" s="17" t="e">
        <v>#N/A</v>
      </c>
      <c r="EK145" s="17" t="e">
        <v>#N/A</v>
      </c>
      <c r="EL145" s="17" t="e">
        <v>#N/A</v>
      </c>
      <c r="EM145" s="17" t="e">
        <v>#N/A</v>
      </c>
      <c r="EN145" s="17" t="e">
        <v>#N/A</v>
      </c>
      <c r="EO145" s="17" t="e">
        <v>#N/A</v>
      </c>
      <c r="EP145" s="17" t="e">
        <v>#N/A</v>
      </c>
      <c r="EQ145" s="17" t="e">
        <v>#N/A</v>
      </c>
      <c r="ER145" s="17" t="e">
        <v>#N/A</v>
      </c>
      <c r="ES145" s="17" t="e">
        <v>#N/A</v>
      </c>
      <c r="ET145" s="17" t="e">
        <v>#N/A</v>
      </c>
      <c r="EU145" s="17" t="e">
        <v>#N/A</v>
      </c>
      <c r="EV145" s="17" t="e">
        <v>#N/A</v>
      </c>
      <c r="EW145" s="17" t="e">
        <v>#N/A</v>
      </c>
      <c r="EX145" s="17" t="e">
        <v>#N/A</v>
      </c>
      <c r="EY145" s="17" t="e">
        <v>#N/A</v>
      </c>
      <c r="EZ145" s="17" t="e">
        <v>#N/A</v>
      </c>
      <c r="FA145" s="17" t="e">
        <v>#N/A</v>
      </c>
      <c r="FB145" s="17" t="e">
        <v>#N/A</v>
      </c>
      <c r="FC145" s="17" t="e">
        <v>#N/A</v>
      </c>
      <c r="FD145" s="17" t="e">
        <v>#N/A</v>
      </c>
      <c r="FE145" s="17" t="e">
        <v>#N/A</v>
      </c>
      <c r="FF145" s="17" t="e">
        <v>#N/A</v>
      </c>
      <c r="FG145" s="17" t="e">
        <v>#N/A</v>
      </c>
      <c r="FH145" s="17" t="e">
        <v>#N/A</v>
      </c>
      <c r="FI145" s="17" t="e">
        <v>#N/A</v>
      </c>
      <c r="FJ145" s="17" t="e">
        <v>#N/A</v>
      </c>
      <c r="FK145" s="17" t="e">
        <v>#N/A</v>
      </c>
      <c r="FL145" s="17" t="e">
        <v>#N/A</v>
      </c>
      <c r="FM145" s="17" t="e">
        <v>#N/A</v>
      </c>
      <c r="FN145" s="17" t="e">
        <v>#N/A</v>
      </c>
      <c r="FO145" s="17" t="e">
        <v>#N/A</v>
      </c>
      <c r="FP145" s="17" t="e">
        <v>#N/A</v>
      </c>
      <c r="FQ145" s="17" t="e">
        <v>#N/A</v>
      </c>
      <c r="FR145" s="17" t="e">
        <v>#N/A</v>
      </c>
      <c r="FS145" s="17" t="e">
        <v>#N/A</v>
      </c>
      <c r="FT145" s="17" t="e">
        <v>#N/A</v>
      </c>
      <c r="FU145" s="17" t="e">
        <v>#N/A</v>
      </c>
      <c r="FV145" s="17" t="e">
        <v>#N/A</v>
      </c>
    </row>
    <row r="146" spans="2:178" ht="11.25" customHeight="1">
      <c r="B146" s="17" t="e">
        <v>#N/A</v>
      </c>
      <c r="C146" s="17" t="e">
        <v>#N/A</v>
      </c>
      <c r="D146" s="17" t="e">
        <v>#N/A</v>
      </c>
      <c r="E146" s="17" t="e">
        <v>#N/A</v>
      </c>
      <c r="F146" s="17" t="e">
        <v>#N/A</v>
      </c>
      <c r="G146" s="17" t="e">
        <v>#N/A</v>
      </c>
      <c r="H146" s="17" t="e">
        <v>#N/A</v>
      </c>
      <c r="I146" s="17" t="e">
        <v>#N/A</v>
      </c>
      <c r="J146" s="17" t="e">
        <v>#N/A</v>
      </c>
      <c r="K146" s="17" t="e">
        <v>#N/A</v>
      </c>
      <c r="L146" s="17" t="e">
        <v>#N/A</v>
      </c>
      <c r="M146" s="17" t="e">
        <v>#N/A</v>
      </c>
      <c r="N146" s="17" t="e">
        <v>#N/A</v>
      </c>
      <c r="O146" s="17" t="e">
        <v>#N/A</v>
      </c>
      <c r="P146" s="17" t="e">
        <v>#N/A</v>
      </c>
      <c r="Q146" s="17" t="e">
        <v>#N/A</v>
      </c>
      <c r="R146" s="17" t="e">
        <v>#N/A</v>
      </c>
      <c r="S146" s="17" t="e">
        <v>#N/A</v>
      </c>
      <c r="T146" s="17" t="e">
        <v>#N/A</v>
      </c>
      <c r="U146" s="17" t="e">
        <v>#N/A</v>
      </c>
      <c r="V146" s="17" t="e">
        <v>#N/A</v>
      </c>
      <c r="W146" s="17" t="e">
        <v>#N/A</v>
      </c>
      <c r="X146" s="17" t="e">
        <v>#N/A</v>
      </c>
      <c r="Y146" s="17" t="e">
        <v>#N/A</v>
      </c>
      <c r="Z146" s="17" t="e">
        <v>#N/A</v>
      </c>
      <c r="AA146" s="17" t="e">
        <v>#N/A</v>
      </c>
      <c r="AB146" s="17" t="e">
        <v>#N/A</v>
      </c>
      <c r="AC146" s="17" t="e">
        <v>#N/A</v>
      </c>
      <c r="AD146" s="17" t="e">
        <v>#N/A</v>
      </c>
      <c r="AE146" s="17" t="e">
        <v>#N/A</v>
      </c>
      <c r="AF146" s="17" t="e">
        <v>#N/A</v>
      </c>
      <c r="AG146" s="17" t="e">
        <v>#N/A</v>
      </c>
      <c r="AH146" s="17" t="e">
        <v>#N/A</v>
      </c>
      <c r="AI146" s="17" t="e">
        <v>#N/A</v>
      </c>
      <c r="AJ146" s="17" t="e">
        <v>#N/A</v>
      </c>
      <c r="AK146" s="17" t="e">
        <v>#N/A</v>
      </c>
      <c r="AL146" s="17" t="e">
        <v>#N/A</v>
      </c>
      <c r="AM146" s="17" t="e">
        <v>#N/A</v>
      </c>
      <c r="AN146" s="17" t="e">
        <v>#N/A</v>
      </c>
      <c r="AO146" s="17" t="e">
        <v>#N/A</v>
      </c>
      <c r="AP146" s="17" t="e">
        <v>#N/A</v>
      </c>
      <c r="AQ146" s="17" t="e">
        <v>#N/A</v>
      </c>
      <c r="AR146" s="17" t="e">
        <v>#N/A</v>
      </c>
      <c r="AS146" s="17" t="e">
        <v>#N/A</v>
      </c>
      <c r="AT146" s="17" t="e">
        <v>#N/A</v>
      </c>
      <c r="AU146" s="17" t="e">
        <v>#N/A</v>
      </c>
      <c r="AV146" s="17" t="e">
        <v>#N/A</v>
      </c>
      <c r="AW146" s="17" t="e">
        <v>#N/A</v>
      </c>
      <c r="AX146" s="17" t="e">
        <v>#N/A</v>
      </c>
      <c r="AY146" s="17" t="e">
        <v>#N/A</v>
      </c>
      <c r="AZ146" s="17" t="e">
        <v>#N/A</v>
      </c>
      <c r="BA146" s="17" t="e">
        <v>#N/A</v>
      </c>
      <c r="BB146" s="17" t="e">
        <v>#N/A</v>
      </c>
      <c r="BC146" s="17" t="e">
        <v>#N/A</v>
      </c>
      <c r="BD146" s="17" t="e">
        <v>#N/A</v>
      </c>
      <c r="BE146" s="17" t="e">
        <v>#N/A</v>
      </c>
      <c r="BF146" s="17" t="e">
        <v>#N/A</v>
      </c>
      <c r="BG146" s="17" t="e">
        <v>#N/A</v>
      </c>
      <c r="BH146" s="17" t="e">
        <v>#N/A</v>
      </c>
      <c r="BI146" s="17" t="e">
        <v>#N/A</v>
      </c>
      <c r="BJ146" s="17" t="e">
        <v>#N/A</v>
      </c>
      <c r="BK146" s="17" t="e">
        <v>#N/A</v>
      </c>
      <c r="BL146" s="17" t="e">
        <v>#N/A</v>
      </c>
      <c r="BM146" s="17" t="e">
        <v>#N/A</v>
      </c>
      <c r="BN146" s="17" t="e">
        <v>#N/A</v>
      </c>
      <c r="BO146" s="17" t="e">
        <v>#N/A</v>
      </c>
      <c r="BP146" s="17" t="e">
        <v>#N/A</v>
      </c>
      <c r="BQ146" s="17" t="e">
        <v>#N/A</v>
      </c>
      <c r="BR146" s="17" t="e">
        <v>#N/A</v>
      </c>
      <c r="BS146" s="17" t="e">
        <v>#N/A</v>
      </c>
      <c r="BT146" s="17" t="e">
        <v>#N/A</v>
      </c>
      <c r="BU146" s="17" t="e">
        <v>#N/A</v>
      </c>
      <c r="BV146" s="17" t="e">
        <v>#N/A</v>
      </c>
      <c r="BW146" s="17" t="e">
        <v>#N/A</v>
      </c>
      <c r="BX146" s="17" t="e">
        <v>#N/A</v>
      </c>
      <c r="BY146" s="17" t="e">
        <v>#N/A</v>
      </c>
      <c r="BZ146" s="17" t="e">
        <v>#N/A</v>
      </c>
      <c r="CA146" s="17" t="e">
        <v>#N/A</v>
      </c>
      <c r="CB146" s="17" t="e">
        <v>#N/A</v>
      </c>
      <c r="CC146" s="17" t="e">
        <v>#N/A</v>
      </c>
      <c r="CD146" s="17" t="e">
        <v>#N/A</v>
      </c>
      <c r="CE146" s="17" t="e">
        <v>#N/A</v>
      </c>
      <c r="CF146" s="17" t="e">
        <v>#N/A</v>
      </c>
      <c r="CG146" s="17" t="e">
        <v>#N/A</v>
      </c>
      <c r="CH146" s="17" t="e">
        <v>#N/A</v>
      </c>
      <c r="CI146" s="17" t="e">
        <v>#N/A</v>
      </c>
      <c r="CJ146" s="17" t="e">
        <v>#N/A</v>
      </c>
      <c r="CK146" s="17" t="e">
        <v>#N/A</v>
      </c>
      <c r="CL146" s="17" t="e">
        <v>#N/A</v>
      </c>
      <c r="CM146" s="17" t="e">
        <v>#N/A</v>
      </c>
      <c r="CN146" s="17" t="e">
        <v>#N/A</v>
      </c>
      <c r="CO146" s="17" t="e">
        <v>#N/A</v>
      </c>
      <c r="CP146" s="17" t="e">
        <v>#N/A</v>
      </c>
      <c r="CQ146" s="17" t="e">
        <v>#N/A</v>
      </c>
      <c r="CR146" s="17" t="e">
        <v>#N/A</v>
      </c>
      <c r="CS146" s="17" t="e">
        <v>#N/A</v>
      </c>
      <c r="CT146" s="17" t="e">
        <v>#N/A</v>
      </c>
      <c r="CU146" s="17" t="e">
        <v>#N/A</v>
      </c>
      <c r="CV146" s="17" t="e">
        <v>#N/A</v>
      </c>
      <c r="CW146" s="17" t="e">
        <v>#N/A</v>
      </c>
      <c r="CX146" s="17" t="e">
        <v>#N/A</v>
      </c>
      <c r="CY146" s="17" t="e">
        <v>#N/A</v>
      </c>
      <c r="CZ146" s="17" t="e">
        <v>#N/A</v>
      </c>
      <c r="DA146" s="17" t="e">
        <v>#N/A</v>
      </c>
      <c r="DB146" s="17" t="e">
        <v>#N/A</v>
      </c>
      <c r="DC146" s="17" t="e">
        <v>#N/A</v>
      </c>
      <c r="DD146" s="17" t="e">
        <v>#N/A</v>
      </c>
      <c r="DE146" s="17" t="e">
        <v>#N/A</v>
      </c>
      <c r="DF146" s="17" t="e">
        <v>#N/A</v>
      </c>
      <c r="DG146" s="17" t="e">
        <v>#N/A</v>
      </c>
      <c r="DH146" s="17" t="e">
        <v>#N/A</v>
      </c>
      <c r="DI146" s="17" t="e">
        <v>#N/A</v>
      </c>
      <c r="DJ146" s="17" t="e">
        <v>#N/A</v>
      </c>
      <c r="DK146" s="17" t="e">
        <v>#N/A</v>
      </c>
      <c r="DL146" s="17" t="e">
        <v>#N/A</v>
      </c>
      <c r="DM146" s="17" t="e">
        <v>#N/A</v>
      </c>
      <c r="DN146" s="17" t="e">
        <v>#N/A</v>
      </c>
      <c r="DO146" s="17" t="e">
        <v>#N/A</v>
      </c>
      <c r="DP146" s="17" t="e">
        <v>#N/A</v>
      </c>
      <c r="DQ146" s="17" t="e">
        <v>#N/A</v>
      </c>
      <c r="DR146" s="17" t="e">
        <v>#N/A</v>
      </c>
      <c r="DS146" s="17" t="e">
        <v>#N/A</v>
      </c>
      <c r="DT146" s="17" t="e">
        <v>#N/A</v>
      </c>
      <c r="DU146" s="17" t="e">
        <v>#N/A</v>
      </c>
      <c r="DV146" s="17" t="e">
        <v>#N/A</v>
      </c>
      <c r="DW146" s="17" t="e">
        <v>#N/A</v>
      </c>
      <c r="DX146" s="17" t="e">
        <v>#N/A</v>
      </c>
      <c r="DY146" s="17" t="e">
        <v>#N/A</v>
      </c>
      <c r="DZ146" s="17" t="e">
        <v>#N/A</v>
      </c>
      <c r="EA146" s="17" t="e">
        <v>#N/A</v>
      </c>
      <c r="EB146" s="17" t="e">
        <v>#N/A</v>
      </c>
      <c r="EC146" s="17" t="e">
        <v>#N/A</v>
      </c>
      <c r="ED146" s="17" t="e">
        <v>#N/A</v>
      </c>
      <c r="EE146" s="17" t="e">
        <v>#N/A</v>
      </c>
      <c r="EF146" s="17" t="e">
        <v>#N/A</v>
      </c>
      <c r="EG146" s="17" t="e">
        <v>#N/A</v>
      </c>
      <c r="EH146" s="17" t="e">
        <v>#N/A</v>
      </c>
      <c r="EI146" s="17" t="e">
        <v>#N/A</v>
      </c>
      <c r="EJ146" s="17" t="e">
        <v>#N/A</v>
      </c>
      <c r="EK146" s="17" t="e">
        <v>#N/A</v>
      </c>
      <c r="EL146" s="17" t="e">
        <v>#N/A</v>
      </c>
      <c r="EM146" s="17" t="e">
        <v>#N/A</v>
      </c>
      <c r="EN146" s="17" t="e">
        <v>#N/A</v>
      </c>
      <c r="EO146" s="17" t="e">
        <v>#N/A</v>
      </c>
      <c r="EP146" s="17" t="e">
        <v>#N/A</v>
      </c>
      <c r="EQ146" s="17" t="e">
        <v>#N/A</v>
      </c>
      <c r="ER146" s="17" t="e">
        <v>#N/A</v>
      </c>
      <c r="ES146" s="17" t="e">
        <v>#N/A</v>
      </c>
      <c r="ET146" s="17" t="e">
        <v>#N/A</v>
      </c>
      <c r="EU146" s="17" t="e">
        <v>#N/A</v>
      </c>
      <c r="EV146" s="17" t="e">
        <v>#N/A</v>
      </c>
      <c r="EW146" s="17" t="e">
        <v>#N/A</v>
      </c>
      <c r="EX146" s="17" t="e">
        <v>#N/A</v>
      </c>
      <c r="EY146" s="17" t="e">
        <v>#N/A</v>
      </c>
      <c r="EZ146" s="17" t="e">
        <v>#N/A</v>
      </c>
      <c r="FA146" s="17" t="e">
        <v>#N/A</v>
      </c>
      <c r="FB146" s="17" t="e">
        <v>#N/A</v>
      </c>
      <c r="FC146" s="17" t="e">
        <v>#N/A</v>
      </c>
      <c r="FD146" s="17" t="e">
        <v>#N/A</v>
      </c>
      <c r="FE146" s="17" t="e">
        <v>#N/A</v>
      </c>
      <c r="FF146" s="17" t="e">
        <v>#N/A</v>
      </c>
      <c r="FG146" s="17" t="e">
        <v>#N/A</v>
      </c>
      <c r="FH146" s="17" t="e">
        <v>#N/A</v>
      </c>
      <c r="FI146" s="17" t="e">
        <v>#N/A</v>
      </c>
      <c r="FJ146" s="17" t="e">
        <v>#N/A</v>
      </c>
      <c r="FK146" s="17" t="e">
        <v>#N/A</v>
      </c>
      <c r="FL146" s="17" t="e">
        <v>#N/A</v>
      </c>
      <c r="FM146" s="17" t="e">
        <v>#N/A</v>
      </c>
      <c r="FN146" s="17" t="e">
        <v>#N/A</v>
      </c>
      <c r="FO146" s="17" t="e">
        <v>#N/A</v>
      </c>
      <c r="FP146" s="17" t="e">
        <v>#N/A</v>
      </c>
      <c r="FQ146" s="17" t="e">
        <v>#N/A</v>
      </c>
      <c r="FR146" s="17" t="e">
        <v>#N/A</v>
      </c>
      <c r="FS146" s="17" t="e">
        <v>#N/A</v>
      </c>
      <c r="FT146" s="17" t="e">
        <v>#N/A</v>
      </c>
      <c r="FU146" s="17" t="e">
        <v>#N/A</v>
      </c>
      <c r="FV146" s="17" t="e">
        <v>#N/A</v>
      </c>
    </row>
    <row r="147" spans="2:178" ht="11.25" customHeight="1">
      <c r="B147" s="17" t="e">
        <v>#N/A</v>
      </c>
      <c r="C147" s="17" t="e">
        <v>#N/A</v>
      </c>
      <c r="D147" s="17" t="e">
        <v>#N/A</v>
      </c>
      <c r="E147" s="17" t="e">
        <v>#N/A</v>
      </c>
      <c r="F147" s="17" t="e">
        <v>#N/A</v>
      </c>
      <c r="G147" s="17" t="e">
        <v>#N/A</v>
      </c>
      <c r="H147" s="17" t="e">
        <v>#N/A</v>
      </c>
      <c r="I147" s="17" t="e">
        <v>#N/A</v>
      </c>
      <c r="J147" s="17" t="e">
        <v>#N/A</v>
      </c>
      <c r="K147" s="17" t="e">
        <v>#N/A</v>
      </c>
      <c r="L147" s="17" t="e">
        <v>#N/A</v>
      </c>
      <c r="M147" s="17" t="e">
        <v>#N/A</v>
      </c>
      <c r="N147" s="17" t="e">
        <v>#N/A</v>
      </c>
      <c r="O147" s="17" t="e">
        <v>#N/A</v>
      </c>
      <c r="P147" s="17" t="e">
        <v>#N/A</v>
      </c>
      <c r="Q147" s="17" t="e">
        <v>#N/A</v>
      </c>
      <c r="R147" s="17" t="e">
        <v>#N/A</v>
      </c>
      <c r="S147" s="17" t="e">
        <v>#N/A</v>
      </c>
      <c r="T147" s="17" t="e">
        <v>#N/A</v>
      </c>
      <c r="U147" s="17" t="e">
        <v>#N/A</v>
      </c>
      <c r="V147" s="17" t="e">
        <v>#N/A</v>
      </c>
      <c r="W147" s="17" t="e">
        <v>#N/A</v>
      </c>
      <c r="X147" s="17" t="e">
        <v>#N/A</v>
      </c>
      <c r="Y147" s="17" t="e">
        <v>#N/A</v>
      </c>
      <c r="Z147" s="17" t="e">
        <v>#N/A</v>
      </c>
      <c r="AA147" s="17" t="e">
        <v>#N/A</v>
      </c>
      <c r="AB147" s="17" t="e">
        <v>#N/A</v>
      </c>
      <c r="AC147" s="17" t="e">
        <v>#N/A</v>
      </c>
      <c r="AD147" s="17" t="e">
        <v>#N/A</v>
      </c>
      <c r="AE147" s="17" t="e">
        <v>#N/A</v>
      </c>
      <c r="AF147" s="17" t="e">
        <v>#N/A</v>
      </c>
      <c r="AG147" s="17" t="e">
        <v>#N/A</v>
      </c>
      <c r="AH147" s="17" t="e">
        <v>#N/A</v>
      </c>
      <c r="AI147" s="17" t="e">
        <v>#N/A</v>
      </c>
      <c r="AJ147" s="17" t="e">
        <v>#N/A</v>
      </c>
      <c r="AK147" s="17" t="e">
        <v>#N/A</v>
      </c>
      <c r="AL147" s="17" t="e">
        <v>#N/A</v>
      </c>
      <c r="AM147" s="17" t="e">
        <v>#N/A</v>
      </c>
      <c r="AN147" s="17" t="e">
        <v>#N/A</v>
      </c>
      <c r="AO147" s="17" t="e">
        <v>#N/A</v>
      </c>
      <c r="AP147" s="17" t="e">
        <v>#N/A</v>
      </c>
      <c r="AQ147" s="17" t="e">
        <v>#N/A</v>
      </c>
      <c r="AR147" s="17" t="e">
        <v>#N/A</v>
      </c>
      <c r="AS147" s="17" t="e">
        <v>#N/A</v>
      </c>
      <c r="AT147" s="17" t="e">
        <v>#N/A</v>
      </c>
      <c r="AU147" s="17" t="e">
        <v>#N/A</v>
      </c>
      <c r="AV147" s="17" t="e">
        <v>#N/A</v>
      </c>
      <c r="AW147" s="17" t="e">
        <v>#N/A</v>
      </c>
      <c r="AX147" s="17" t="e">
        <v>#N/A</v>
      </c>
      <c r="AY147" s="17" t="e">
        <v>#N/A</v>
      </c>
      <c r="AZ147" s="17" t="e">
        <v>#N/A</v>
      </c>
      <c r="BA147" s="17" t="e">
        <v>#N/A</v>
      </c>
      <c r="BB147" s="17" t="e">
        <v>#N/A</v>
      </c>
      <c r="BC147" s="17" t="e">
        <v>#N/A</v>
      </c>
      <c r="BD147" s="17" t="e">
        <v>#N/A</v>
      </c>
      <c r="BE147" s="17" t="e">
        <v>#N/A</v>
      </c>
      <c r="BF147" s="17" t="e">
        <v>#N/A</v>
      </c>
      <c r="BG147" s="17" t="e">
        <v>#N/A</v>
      </c>
      <c r="BH147" s="17" t="e">
        <v>#N/A</v>
      </c>
      <c r="BI147" s="17" t="e">
        <v>#N/A</v>
      </c>
      <c r="BJ147" s="17" t="e">
        <v>#N/A</v>
      </c>
      <c r="BK147" s="17" t="e">
        <v>#N/A</v>
      </c>
      <c r="BL147" s="17" t="e">
        <v>#N/A</v>
      </c>
      <c r="BM147" s="17" t="e">
        <v>#N/A</v>
      </c>
      <c r="BN147" s="17" t="e">
        <v>#N/A</v>
      </c>
      <c r="BO147" s="17" t="e">
        <v>#N/A</v>
      </c>
      <c r="BP147" s="17" t="e">
        <v>#N/A</v>
      </c>
      <c r="BQ147" s="17" t="e">
        <v>#N/A</v>
      </c>
      <c r="BR147" s="17" t="e">
        <v>#N/A</v>
      </c>
      <c r="BS147" s="17" t="e">
        <v>#N/A</v>
      </c>
      <c r="BT147" s="17" t="e">
        <v>#N/A</v>
      </c>
      <c r="BU147" s="17" t="e">
        <v>#N/A</v>
      </c>
      <c r="BV147" s="17" t="e">
        <v>#N/A</v>
      </c>
      <c r="BW147" s="17" t="e">
        <v>#N/A</v>
      </c>
      <c r="BX147" s="17" t="e">
        <v>#N/A</v>
      </c>
      <c r="BY147" s="17" t="e">
        <v>#N/A</v>
      </c>
      <c r="BZ147" s="17" t="e">
        <v>#N/A</v>
      </c>
      <c r="CA147" s="17" t="e">
        <v>#N/A</v>
      </c>
      <c r="CB147" s="17" t="e">
        <v>#N/A</v>
      </c>
      <c r="CC147" s="17" t="e">
        <v>#N/A</v>
      </c>
      <c r="CD147" s="17" t="e">
        <v>#N/A</v>
      </c>
      <c r="CE147" s="17" t="e">
        <v>#N/A</v>
      </c>
      <c r="CF147" s="17" t="e">
        <v>#N/A</v>
      </c>
      <c r="CG147" s="17" t="e">
        <v>#N/A</v>
      </c>
      <c r="CH147" s="17" t="e">
        <v>#N/A</v>
      </c>
      <c r="CI147" s="17" t="e">
        <v>#N/A</v>
      </c>
      <c r="CJ147" s="17" t="e">
        <v>#N/A</v>
      </c>
      <c r="CK147" s="17" t="e">
        <v>#N/A</v>
      </c>
      <c r="CL147" s="17" t="e">
        <v>#N/A</v>
      </c>
      <c r="CM147" s="17" t="e">
        <v>#N/A</v>
      </c>
      <c r="CN147" s="17" t="e">
        <v>#N/A</v>
      </c>
      <c r="CO147" s="17" t="e">
        <v>#N/A</v>
      </c>
      <c r="CP147" s="17" t="e">
        <v>#N/A</v>
      </c>
      <c r="CQ147" s="17" t="e">
        <v>#N/A</v>
      </c>
      <c r="CR147" s="17" t="e">
        <v>#N/A</v>
      </c>
      <c r="CS147" s="17" t="e">
        <v>#N/A</v>
      </c>
      <c r="CT147" s="17" t="e">
        <v>#N/A</v>
      </c>
      <c r="CU147" s="17" t="e">
        <v>#N/A</v>
      </c>
      <c r="CV147" s="17" t="e">
        <v>#N/A</v>
      </c>
      <c r="CW147" s="17" t="e">
        <v>#N/A</v>
      </c>
      <c r="CX147" s="17" t="e">
        <v>#N/A</v>
      </c>
      <c r="CY147" s="17" t="e">
        <v>#N/A</v>
      </c>
      <c r="CZ147" s="17" t="e">
        <v>#N/A</v>
      </c>
      <c r="DA147" s="17" t="e">
        <v>#N/A</v>
      </c>
      <c r="DB147" s="17" t="e">
        <v>#N/A</v>
      </c>
      <c r="DC147" s="17" t="e">
        <v>#N/A</v>
      </c>
      <c r="DD147" s="17" t="e">
        <v>#N/A</v>
      </c>
      <c r="DE147" s="17" t="e">
        <v>#N/A</v>
      </c>
      <c r="DF147" s="17" t="e">
        <v>#N/A</v>
      </c>
      <c r="DG147" s="17" t="e">
        <v>#N/A</v>
      </c>
      <c r="DH147" s="17" t="e">
        <v>#N/A</v>
      </c>
      <c r="DI147" s="17" t="e">
        <v>#N/A</v>
      </c>
      <c r="DJ147" s="17" t="e">
        <v>#N/A</v>
      </c>
      <c r="DK147" s="17" t="e">
        <v>#N/A</v>
      </c>
      <c r="DL147" s="17" t="e">
        <v>#N/A</v>
      </c>
      <c r="DM147" s="17" t="e">
        <v>#N/A</v>
      </c>
      <c r="DN147" s="17" t="e">
        <v>#N/A</v>
      </c>
      <c r="DO147" s="17" t="e">
        <v>#N/A</v>
      </c>
      <c r="DP147" s="17" t="e">
        <v>#N/A</v>
      </c>
      <c r="DQ147" s="17" t="e">
        <v>#N/A</v>
      </c>
      <c r="DR147" s="17" t="e">
        <v>#N/A</v>
      </c>
      <c r="DS147" s="17" t="e">
        <v>#N/A</v>
      </c>
      <c r="DT147" s="17" t="e">
        <v>#N/A</v>
      </c>
      <c r="DU147" s="17" t="e">
        <v>#N/A</v>
      </c>
      <c r="DV147" s="17" t="e">
        <v>#N/A</v>
      </c>
      <c r="DW147" s="17" t="e">
        <v>#N/A</v>
      </c>
      <c r="DX147" s="17" t="e">
        <v>#N/A</v>
      </c>
      <c r="DY147" s="17" t="e">
        <v>#N/A</v>
      </c>
      <c r="DZ147" s="17" t="e">
        <v>#N/A</v>
      </c>
      <c r="EA147" s="17" t="e">
        <v>#N/A</v>
      </c>
      <c r="EB147" s="17" t="e">
        <v>#N/A</v>
      </c>
      <c r="EC147" s="17" t="e">
        <v>#N/A</v>
      </c>
      <c r="ED147" s="17" t="e">
        <v>#N/A</v>
      </c>
      <c r="EE147" s="17" t="e">
        <v>#N/A</v>
      </c>
      <c r="EF147" s="17" t="e">
        <v>#N/A</v>
      </c>
      <c r="EG147" s="17" t="e">
        <v>#N/A</v>
      </c>
      <c r="EH147" s="17" t="e">
        <v>#N/A</v>
      </c>
      <c r="EI147" s="17" t="e">
        <v>#N/A</v>
      </c>
      <c r="EJ147" s="17" t="e">
        <v>#N/A</v>
      </c>
      <c r="EK147" s="17" t="e">
        <v>#N/A</v>
      </c>
      <c r="EL147" s="17" t="e">
        <v>#N/A</v>
      </c>
      <c r="EM147" s="17" t="e">
        <v>#N/A</v>
      </c>
      <c r="EN147" s="17" t="e">
        <v>#N/A</v>
      </c>
      <c r="EO147" s="17" t="e">
        <v>#N/A</v>
      </c>
      <c r="EP147" s="17" t="e">
        <v>#N/A</v>
      </c>
      <c r="EQ147" s="17" t="e">
        <v>#N/A</v>
      </c>
      <c r="ER147" s="17" t="e">
        <v>#N/A</v>
      </c>
      <c r="ES147" s="17" t="e">
        <v>#N/A</v>
      </c>
      <c r="ET147" s="17" t="e">
        <v>#N/A</v>
      </c>
      <c r="EU147" s="17" t="e">
        <v>#N/A</v>
      </c>
      <c r="EV147" s="17" t="e">
        <v>#N/A</v>
      </c>
      <c r="EW147" s="17" t="e">
        <v>#N/A</v>
      </c>
      <c r="EX147" s="17" t="e">
        <v>#N/A</v>
      </c>
      <c r="EY147" s="17" t="e">
        <v>#N/A</v>
      </c>
      <c r="EZ147" s="17" t="e">
        <v>#N/A</v>
      </c>
      <c r="FA147" s="17" t="e">
        <v>#N/A</v>
      </c>
      <c r="FB147" s="17" t="e">
        <v>#N/A</v>
      </c>
      <c r="FC147" s="17" t="e">
        <v>#N/A</v>
      </c>
      <c r="FD147" s="17" t="e">
        <v>#N/A</v>
      </c>
      <c r="FE147" s="17" t="e">
        <v>#N/A</v>
      </c>
      <c r="FF147" s="17" t="e">
        <v>#N/A</v>
      </c>
      <c r="FG147" s="17" t="e">
        <v>#N/A</v>
      </c>
      <c r="FH147" s="17" t="e">
        <v>#N/A</v>
      </c>
      <c r="FI147" s="17" t="e">
        <v>#N/A</v>
      </c>
      <c r="FJ147" s="17" t="e">
        <v>#N/A</v>
      </c>
      <c r="FK147" s="17" t="e">
        <v>#N/A</v>
      </c>
      <c r="FL147" s="17" t="e">
        <v>#N/A</v>
      </c>
      <c r="FM147" s="17" t="e">
        <v>#N/A</v>
      </c>
      <c r="FN147" s="17" t="e">
        <v>#N/A</v>
      </c>
      <c r="FO147" s="17" t="e">
        <v>#N/A</v>
      </c>
      <c r="FP147" s="17" t="e">
        <v>#N/A</v>
      </c>
      <c r="FQ147" s="17" t="e">
        <v>#N/A</v>
      </c>
      <c r="FR147" s="17" t="e">
        <v>#N/A</v>
      </c>
      <c r="FS147" s="17" t="e">
        <v>#N/A</v>
      </c>
      <c r="FT147" s="17" t="e">
        <v>#N/A</v>
      </c>
      <c r="FU147" s="17" t="e">
        <v>#N/A</v>
      </c>
      <c r="FV147" s="17" t="e">
        <v>#N/A</v>
      </c>
    </row>
    <row r="148" spans="2:178" ht="11.25" customHeight="1">
      <c r="B148" s="17" t="e">
        <v>#N/A</v>
      </c>
      <c r="C148" s="17" t="e">
        <v>#N/A</v>
      </c>
      <c r="D148" s="17" t="e">
        <v>#N/A</v>
      </c>
      <c r="E148" s="17" t="e">
        <v>#N/A</v>
      </c>
      <c r="F148" s="17" t="e">
        <v>#N/A</v>
      </c>
      <c r="G148" s="17" t="e">
        <v>#N/A</v>
      </c>
      <c r="H148" s="17" t="e">
        <v>#N/A</v>
      </c>
      <c r="I148" s="17" t="e">
        <v>#N/A</v>
      </c>
      <c r="J148" s="17" t="e">
        <v>#N/A</v>
      </c>
      <c r="K148" s="17" t="e">
        <v>#N/A</v>
      </c>
      <c r="L148" s="17" t="e">
        <v>#N/A</v>
      </c>
      <c r="M148" s="17" t="e">
        <v>#N/A</v>
      </c>
      <c r="N148" s="17" t="e">
        <v>#N/A</v>
      </c>
      <c r="O148" s="17" t="e">
        <v>#N/A</v>
      </c>
      <c r="P148" s="17" t="e">
        <v>#N/A</v>
      </c>
      <c r="Q148" s="17" t="e">
        <v>#N/A</v>
      </c>
      <c r="R148" s="17" t="e">
        <v>#N/A</v>
      </c>
      <c r="S148" s="17" t="e">
        <v>#N/A</v>
      </c>
      <c r="T148" s="17" t="e">
        <v>#N/A</v>
      </c>
      <c r="U148" s="17" t="e">
        <v>#N/A</v>
      </c>
      <c r="V148" s="17" t="e">
        <v>#N/A</v>
      </c>
      <c r="W148" s="17" t="e">
        <v>#N/A</v>
      </c>
      <c r="X148" s="17" t="e">
        <v>#N/A</v>
      </c>
      <c r="Y148" s="17" t="e">
        <v>#N/A</v>
      </c>
      <c r="Z148" s="17" t="e">
        <v>#N/A</v>
      </c>
      <c r="AA148" s="17" t="e">
        <v>#N/A</v>
      </c>
      <c r="AB148" s="17" t="e">
        <v>#N/A</v>
      </c>
      <c r="AC148" s="17" t="e">
        <v>#N/A</v>
      </c>
      <c r="AD148" s="17" t="e">
        <v>#N/A</v>
      </c>
      <c r="AE148" s="17" t="e">
        <v>#N/A</v>
      </c>
      <c r="AF148" s="17" t="e">
        <v>#N/A</v>
      </c>
      <c r="AG148" s="17" t="e">
        <v>#N/A</v>
      </c>
      <c r="AH148" s="17" t="e">
        <v>#N/A</v>
      </c>
      <c r="AI148" s="17" t="e">
        <v>#N/A</v>
      </c>
      <c r="AJ148" s="17" t="e">
        <v>#N/A</v>
      </c>
      <c r="AK148" s="17" t="e">
        <v>#N/A</v>
      </c>
      <c r="AL148" s="17" t="e">
        <v>#N/A</v>
      </c>
      <c r="AM148" s="17" t="e">
        <v>#N/A</v>
      </c>
      <c r="AN148" s="17" t="e">
        <v>#N/A</v>
      </c>
      <c r="AO148" s="17" t="e">
        <v>#N/A</v>
      </c>
      <c r="AP148" s="17" t="e">
        <v>#N/A</v>
      </c>
      <c r="AQ148" s="17" t="e">
        <v>#N/A</v>
      </c>
      <c r="AR148" s="17" t="e">
        <v>#N/A</v>
      </c>
      <c r="AS148" s="17" t="e">
        <v>#N/A</v>
      </c>
      <c r="AT148" s="17" t="e">
        <v>#N/A</v>
      </c>
      <c r="AU148" s="17" t="e">
        <v>#N/A</v>
      </c>
      <c r="AV148" s="17" t="e">
        <v>#N/A</v>
      </c>
      <c r="AW148" s="17" t="e">
        <v>#N/A</v>
      </c>
      <c r="AX148" s="17" t="e">
        <v>#N/A</v>
      </c>
      <c r="AY148" s="17" t="e">
        <v>#N/A</v>
      </c>
      <c r="AZ148" s="17" t="e">
        <v>#N/A</v>
      </c>
      <c r="BA148" s="17" t="e">
        <v>#N/A</v>
      </c>
      <c r="BB148" s="17" t="e">
        <v>#N/A</v>
      </c>
      <c r="BC148" s="17" t="e">
        <v>#N/A</v>
      </c>
      <c r="BD148" s="17" t="e">
        <v>#N/A</v>
      </c>
      <c r="BE148" s="17" t="e">
        <v>#N/A</v>
      </c>
      <c r="BF148" s="17" t="e">
        <v>#N/A</v>
      </c>
      <c r="BG148" s="17" t="e">
        <v>#N/A</v>
      </c>
      <c r="BH148" s="17" t="e">
        <v>#N/A</v>
      </c>
      <c r="BI148" s="17" t="e">
        <v>#N/A</v>
      </c>
      <c r="BJ148" s="17" t="e">
        <v>#N/A</v>
      </c>
      <c r="BK148" s="17" t="e">
        <v>#N/A</v>
      </c>
      <c r="BL148" s="17" t="e">
        <v>#N/A</v>
      </c>
      <c r="BM148" s="17" t="e">
        <v>#N/A</v>
      </c>
      <c r="BN148" s="17" t="e">
        <v>#N/A</v>
      </c>
      <c r="BO148" s="17" t="e">
        <v>#N/A</v>
      </c>
      <c r="BP148" s="17" t="e">
        <v>#N/A</v>
      </c>
      <c r="BQ148" s="17" t="e">
        <v>#N/A</v>
      </c>
      <c r="BR148" s="17" t="e">
        <v>#N/A</v>
      </c>
      <c r="BS148" s="17" t="e">
        <v>#N/A</v>
      </c>
      <c r="BT148" s="17" t="e">
        <v>#N/A</v>
      </c>
      <c r="BU148" s="17" t="e">
        <v>#N/A</v>
      </c>
      <c r="BV148" s="17" t="e">
        <v>#N/A</v>
      </c>
      <c r="BW148" s="17" t="e">
        <v>#N/A</v>
      </c>
      <c r="BX148" s="17" t="e">
        <v>#N/A</v>
      </c>
      <c r="BY148" s="17" t="e">
        <v>#N/A</v>
      </c>
      <c r="BZ148" s="17" t="e">
        <v>#N/A</v>
      </c>
      <c r="CA148" s="17" t="e">
        <v>#N/A</v>
      </c>
      <c r="CB148" s="17" t="e">
        <v>#N/A</v>
      </c>
      <c r="CC148" s="17" t="e">
        <v>#N/A</v>
      </c>
      <c r="CD148" s="17" t="e">
        <v>#N/A</v>
      </c>
      <c r="CE148" s="17" t="e">
        <v>#N/A</v>
      </c>
      <c r="CF148" s="17" t="e">
        <v>#N/A</v>
      </c>
      <c r="CG148" s="17" t="e">
        <v>#N/A</v>
      </c>
      <c r="CH148" s="17" t="e">
        <v>#N/A</v>
      </c>
      <c r="CI148" s="17" t="e">
        <v>#N/A</v>
      </c>
      <c r="CJ148" s="17" t="e">
        <v>#N/A</v>
      </c>
      <c r="CK148" s="17" t="e">
        <v>#N/A</v>
      </c>
      <c r="CL148" s="17" t="e">
        <v>#N/A</v>
      </c>
      <c r="CM148" s="17" t="e">
        <v>#N/A</v>
      </c>
      <c r="CN148" s="17" t="e">
        <v>#N/A</v>
      </c>
      <c r="CO148" s="17" t="e">
        <v>#N/A</v>
      </c>
      <c r="CP148" s="17" t="e">
        <v>#N/A</v>
      </c>
      <c r="CQ148" s="17" t="e">
        <v>#N/A</v>
      </c>
      <c r="CR148" s="17" t="e">
        <v>#N/A</v>
      </c>
      <c r="CS148" s="17" t="e">
        <v>#N/A</v>
      </c>
      <c r="CT148" s="17" t="e">
        <v>#N/A</v>
      </c>
      <c r="CU148" s="17" t="e">
        <v>#N/A</v>
      </c>
      <c r="CV148" s="17" t="e">
        <v>#N/A</v>
      </c>
      <c r="CW148" s="17" t="e">
        <v>#N/A</v>
      </c>
      <c r="CX148" s="17" t="e">
        <v>#N/A</v>
      </c>
      <c r="CY148" s="17" t="e">
        <v>#N/A</v>
      </c>
      <c r="CZ148" s="17" t="e">
        <v>#N/A</v>
      </c>
      <c r="DA148" s="17" t="e">
        <v>#N/A</v>
      </c>
      <c r="DB148" s="17" t="e">
        <v>#N/A</v>
      </c>
      <c r="DC148" s="17" t="e">
        <v>#N/A</v>
      </c>
      <c r="DD148" s="17" t="e">
        <v>#N/A</v>
      </c>
      <c r="DE148" s="17" t="e">
        <v>#N/A</v>
      </c>
      <c r="DF148" s="17" t="e">
        <v>#N/A</v>
      </c>
      <c r="DG148" s="17" t="e">
        <v>#N/A</v>
      </c>
      <c r="DH148" s="17" t="e">
        <v>#N/A</v>
      </c>
      <c r="DI148" s="17" t="e">
        <v>#N/A</v>
      </c>
      <c r="DJ148" s="17" t="e">
        <v>#N/A</v>
      </c>
      <c r="DK148" s="17" t="e">
        <v>#N/A</v>
      </c>
      <c r="DL148" s="17" t="e">
        <v>#N/A</v>
      </c>
      <c r="DM148" s="17" t="e">
        <v>#N/A</v>
      </c>
      <c r="DN148" s="17" t="e">
        <v>#N/A</v>
      </c>
      <c r="DO148" s="17" t="e">
        <v>#N/A</v>
      </c>
      <c r="DP148" s="17" t="e">
        <v>#N/A</v>
      </c>
      <c r="DQ148" s="17" t="e">
        <v>#N/A</v>
      </c>
      <c r="DR148" s="17" t="e">
        <v>#N/A</v>
      </c>
      <c r="DS148" s="17" t="e">
        <v>#N/A</v>
      </c>
      <c r="DT148" s="17" t="e">
        <v>#N/A</v>
      </c>
      <c r="DU148" s="17" t="e">
        <v>#N/A</v>
      </c>
      <c r="DV148" s="17" t="e">
        <v>#N/A</v>
      </c>
      <c r="DW148" s="17" t="e">
        <v>#N/A</v>
      </c>
      <c r="DX148" s="17" t="e">
        <v>#N/A</v>
      </c>
      <c r="DY148" s="17" t="e">
        <v>#N/A</v>
      </c>
      <c r="DZ148" s="17" t="e">
        <v>#N/A</v>
      </c>
      <c r="EA148" s="17" t="e">
        <v>#N/A</v>
      </c>
      <c r="EB148" s="17" t="e">
        <v>#N/A</v>
      </c>
      <c r="EC148" s="17" t="e">
        <v>#N/A</v>
      </c>
      <c r="ED148" s="17" t="e">
        <v>#N/A</v>
      </c>
      <c r="EE148" s="17" t="e">
        <v>#N/A</v>
      </c>
      <c r="EF148" s="17" t="e">
        <v>#N/A</v>
      </c>
      <c r="EG148" s="17" t="e">
        <v>#N/A</v>
      </c>
      <c r="EH148" s="17" t="e">
        <v>#N/A</v>
      </c>
      <c r="EI148" s="17" t="e">
        <v>#N/A</v>
      </c>
      <c r="EJ148" s="17" t="e">
        <v>#N/A</v>
      </c>
      <c r="EK148" s="17" t="e">
        <v>#N/A</v>
      </c>
      <c r="EL148" s="17" t="e">
        <v>#N/A</v>
      </c>
      <c r="EM148" s="17" t="e">
        <v>#N/A</v>
      </c>
      <c r="EN148" s="17" t="e">
        <v>#N/A</v>
      </c>
      <c r="EO148" s="17" t="e">
        <v>#N/A</v>
      </c>
      <c r="EP148" s="17" t="e">
        <v>#N/A</v>
      </c>
      <c r="EQ148" s="17" t="e">
        <v>#N/A</v>
      </c>
      <c r="ER148" s="17" t="e">
        <v>#N/A</v>
      </c>
      <c r="ES148" s="17" t="e">
        <v>#N/A</v>
      </c>
      <c r="ET148" s="17" t="e">
        <v>#N/A</v>
      </c>
      <c r="EU148" s="17" t="e">
        <v>#N/A</v>
      </c>
      <c r="EV148" s="17" t="e">
        <v>#N/A</v>
      </c>
      <c r="EW148" s="17" t="e">
        <v>#N/A</v>
      </c>
      <c r="EX148" s="17" t="e">
        <v>#N/A</v>
      </c>
      <c r="EY148" s="17" t="e">
        <v>#N/A</v>
      </c>
      <c r="EZ148" s="17" t="e">
        <v>#N/A</v>
      </c>
      <c r="FA148" s="17" t="e">
        <v>#N/A</v>
      </c>
      <c r="FB148" s="17" t="e">
        <v>#N/A</v>
      </c>
      <c r="FC148" s="17" t="e">
        <v>#N/A</v>
      </c>
      <c r="FD148" s="17" t="e">
        <v>#N/A</v>
      </c>
      <c r="FE148" s="17" t="e">
        <v>#N/A</v>
      </c>
      <c r="FF148" s="17" t="e">
        <v>#N/A</v>
      </c>
      <c r="FG148" s="17" t="e">
        <v>#N/A</v>
      </c>
      <c r="FH148" s="17" t="e">
        <v>#N/A</v>
      </c>
      <c r="FI148" s="17" t="e">
        <v>#N/A</v>
      </c>
      <c r="FJ148" s="17" t="e">
        <v>#N/A</v>
      </c>
      <c r="FK148" s="17" t="e">
        <v>#N/A</v>
      </c>
      <c r="FL148" s="17" t="e">
        <v>#N/A</v>
      </c>
      <c r="FM148" s="17" t="e">
        <v>#N/A</v>
      </c>
      <c r="FN148" s="17" t="e">
        <v>#N/A</v>
      </c>
      <c r="FO148" s="17" t="e">
        <v>#N/A</v>
      </c>
      <c r="FP148" s="17" t="e">
        <v>#N/A</v>
      </c>
      <c r="FQ148" s="17" t="e">
        <v>#N/A</v>
      </c>
      <c r="FR148" s="17" t="e">
        <v>#N/A</v>
      </c>
      <c r="FS148" s="17" t="e">
        <v>#N/A</v>
      </c>
      <c r="FT148" s="17" t="e">
        <v>#N/A</v>
      </c>
      <c r="FU148" s="17" t="e">
        <v>#N/A</v>
      </c>
      <c r="FV148" s="17" t="e">
        <v>#N/A</v>
      </c>
    </row>
    <row r="149" spans="2:178" ht="11.25" customHeight="1">
      <c r="B149" s="17" t="e">
        <v>#N/A</v>
      </c>
      <c r="C149" s="17" t="e">
        <v>#N/A</v>
      </c>
      <c r="D149" s="17" t="e">
        <v>#N/A</v>
      </c>
      <c r="E149" s="17" t="e">
        <v>#N/A</v>
      </c>
      <c r="F149" s="17" t="e">
        <v>#N/A</v>
      </c>
      <c r="G149" s="17" t="e">
        <v>#N/A</v>
      </c>
      <c r="H149" s="17" t="e">
        <v>#N/A</v>
      </c>
      <c r="I149" s="17" t="e">
        <v>#N/A</v>
      </c>
      <c r="J149" s="17" t="e">
        <v>#N/A</v>
      </c>
      <c r="K149" s="17" t="e">
        <v>#N/A</v>
      </c>
      <c r="L149" s="17" t="e">
        <v>#N/A</v>
      </c>
      <c r="M149" s="17" t="e">
        <v>#N/A</v>
      </c>
      <c r="N149" s="17" t="e">
        <v>#N/A</v>
      </c>
      <c r="O149" s="17" t="e">
        <v>#N/A</v>
      </c>
      <c r="P149" s="17" t="e">
        <v>#N/A</v>
      </c>
      <c r="Q149" s="17" t="e">
        <v>#N/A</v>
      </c>
      <c r="R149" s="17" t="e">
        <v>#N/A</v>
      </c>
      <c r="S149" s="17" t="e">
        <v>#N/A</v>
      </c>
      <c r="T149" s="17" t="e">
        <v>#N/A</v>
      </c>
      <c r="U149" s="17" t="e">
        <v>#N/A</v>
      </c>
      <c r="V149" s="17" t="e">
        <v>#N/A</v>
      </c>
      <c r="W149" s="17" t="e">
        <v>#N/A</v>
      </c>
      <c r="X149" s="17" t="e">
        <v>#N/A</v>
      </c>
      <c r="Y149" s="17" t="e">
        <v>#N/A</v>
      </c>
      <c r="Z149" s="17" t="e">
        <v>#N/A</v>
      </c>
      <c r="AA149" s="17" t="e">
        <v>#N/A</v>
      </c>
      <c r="AB149" s="17" t="e">
        <v>#N/A</v>
      </c>
      <c r="AC149" s="17" t="e">
        <v>#N/A</v>
      </c>
      <c r="AD149" s="17" t="e">
        <v>#N/A</v>
      </c>
      <c r="AE149" s="17" t="e">
        <v>#N/A</v>
      </c>
      <c r="AF149" s="17" t="e">
        <v>#N/A</v>
      </c>
      <c r="AG149" s="17" t="e">
        <v>#N/A</v>
      </c>
      <c r="AH149" s="17" t="e">
        <v>#N/A</v>
      </c>
      <c r="AI149" s="17" t="e">
        <v>#N/A</v>
      </c>
      <c r="AJ149" s="17" t="e">
        <v>#N/A</v>
      </c>
      <c r="AK149" s="17" t="e">
        <v>#N/A</v>
      </c>
      <c r="AL149" s="17" t="e">
        <v>#N/A</v>
      </c>
      <c r="AM149" s="17" t="e">
        <v>#N/A</v>
      </c>
      <c r="AN149" s="17" t="e">
        <v>#N/A</v>
      </c>
      <c r="AO149" s="17" t="e">
        <v>#N/A</v>
      </c>
      <c r="AP149" s="17" t="e">
        <v>#N/A</v>
      </c>
      <c r="AQ149" s="17" t="e">
        <v>#N/A</v>
      </c>
      <c r="AR149" s="17" t="e">
        <v>#N/A</v>
      </c>
      <c r="AS149" s="17" t="e">
        <v>#N/A</v>
      </c>
      <c r="AT149" s="17" t="e">
        <v>#N/A</v>
      </c>
      <c r="AU149" s="17" t="e">
        <v>#N/A</v>
      </c>
      <c r="AV149" s="17" t="e">
        <v>#N/A</v>
      </c>
      <c r="AW149" s="17" t="e">
        <v>#N/A</v>
      </c>
      <c r="AX149" s="17" t="e">
        <v>#N/A</v>
      </c>
      <c r="AY149" s="17" t="e">
        <v>#N/A</v>
      </c>
      <c r="AZ149" s="17" t="e">
        <v>#N/A</v>
      </c>
      <c r="BA149" s="17" t="e">
        <v>#N/A</v>
      </c>
      <c r="BB149" s="17" t="e">
        <v>#N/A</v>
      </c>
      <c r="BC149" s="17" t="e">
        <v>#N/A</v>
      </c>
      <c r="BD149" s="17" t="e">
        <v>#N/A</v>
      </c>
      <c r="BE149" s="17" t="e">
        <v>#N/A</v>
      </c>
      <c r="BF149" s="17" t="e">
        <v>#N/A</v>
      </c>
      <c r="BG149" s="17" t="e">
        <v>#N/A</v>
      </c>
      <c r="BH149" s="17" t="e">
        <v>#N/A</v>
      </c>
      <c r="BI149" s="17" t="e">
        <v>#N/A</v>
      </c>
      <c r="BJ149" s="17" t="e">
        <v>#N/A</v>
      </c>
      <c r="BK149" s="17" t="e">
        <v>#N/A</v>
      </c>
      <c r="BL149" s="17" t="e">
        <v>#N/A</v>
      </c>
      <c r="BM149" s="17" t="e">
        <v>#N/A</v>
      </c>
      <c r="BN149" s="17" t="e">
        <v>#N/A</v>
      </c>
      <c r="BO149" s="17" t="e">
        <v>#N/A</v>
      </c>
      <c r="BP149" s="17" t="e">
        <v>#N/A</v>
      </c>
      <c r="BQ149" s="17" t="e">
        <v>#N/A</v>
      </c>
      <c r="BR149" s="17" t="e">
        <v>#N/A</v>
      </c>
      <c r="BS149" s="17" t="e">
        <v>#N/A</v>
      </c>
      <c r="BT149" s="17" t="e">
        <v>#N/A</v>
      </c>
      <c r="BU149" s="17" t="e">
        <v>#N/A</v>
      </c>
      <c r="BV149" s="17" t="e">
        <v>#N/A</v>
      </c>
      <c r="BW149" s="17" t="e">
        <v>#N/A</v>
      </c>
      <c r="BX149" s="17" t="e">
        <v>#N/A</v>
      </c>
      <c r="BY149" s="17" t="e">
        <v>#N/A</v>
      </c>
      <c r="BZ149" s="17" t="e">
        <v>#N/A</v>
      </c>
      <c r="CA149" s="17" t="e">
        <v>#N/A</v>
      </c>
      <c r="CB149" s="17" t="e">
        <v>#N/A</v>
      </c>
      <c r="CC149" s="17" t="e">
        <v>#N/A</v>
      </c>
      <c r="CD149" s="17" t="e">
        <v>#N/A</v>
      </c>
      <c r="CE149" s="17" t="e">
        <v>#N/A</v>
      </c>
      <c r="CF149" s="17" t="e">
        <v>#N/A</v>
      </c>
      <c r="CG149" s="17" t="e">
        <v>#N/A</v>
      </c>
      <c r="CH149" s="17" t="e">
        <v>#N/A</v>
      </c>
      <c r="CI149" s="17" t="e">
        <v>#N/A</v>
      </c>
      <c r="CJ149" s="17" t="e">
        <v>#N/A</v>
      </c>
      <c r="CK149" s="17" t="e">
        <v>#N/A</v>
      </c>
      <c r="CL149" s="17" t="e">
        <v>#N/A</v>
      </c>
      <c r="CM149" s="17" t="e">
        <v>#N/A</v>
      </c>
      <c r="CN149" s="17" t="e">
        <v>#N/A</v>
      </c>
      <c r="CO149" s="17" t="e">
        <v>#N/A</v>
      </c>
      <c r="CP149" s="17" t="e">
        <v>#N/A</v>
      </c>
      <c r="CQ149" s="17" t="e">
        <v>#N/A</v>
      </c>
      <c r="CR149" s="17" t="e">
        <v>#N/A</v>
      </c>
      <c r="CS149" s="17" t="e">
        <v>#N/A</v>
      </c>
      <c r="CT149" s="17" t="e">
        <v>#N/A</v>
      </c>
      <c r="CU149" s="17" t="e">
        <v>#N/A</v>
      </c>
      <c r="CV149" s="17" t="e">
        <v>#N/A</v>
      </c>
      <c r="CW149" s="17" t="e">
        <v>#N/A</v>
      </c>
      <c r="CX149" s="17" t="e">
        <v>#N/A</v>
      </c>
      <c r="CY149" s="17" t="e">
        <v>#N/A</v>
      </c>
      <c r="CZ149" s="17" t="e">
        <v>#N/A</v>
      </c>
      <c r="DA149" s="17" t="e">
        <v>#N/A</v>
      </c>
      <c r="DB149" s="17" t="e">
        <v>#N/A</v>
      </c>
      <c r="DC149" s="17" t="e">
        <v>#N/A</v>
      </c>
      <c r="DD149" s="17" t="e">
        <v>#N/A</v>
      </c>
      <c r="DE149" s="17" t="e">
        <v>#N/A</v>
      </c>
      <c r="DF149" s="17" t="e">
        <v>#N/A</v>
      </c>
      <c r="DG149" s="17" t="e">
        <v>#N/A</v>
      </c>
      <c r="DH149" s="17" t="e">
        <v>#N/A</v>
      </c>
      <c r="DI149" s="17" t="e">
        <v>#N/A</v>
      </c>
      <c r="DJ149" s="17" t="e">
        <v>#N/A</v>
      </c>
      <c r="DK149" s="17" t="e">
        <v>#N/A</v>
      </c>
      <c r="DL149" s="17" t="e">
        <v>#N/A</v>
      </c>
      <c r="DM149" s="17" t="e">
        <v>#N/A</v>
      </c>
      <c r="DN149" s="17" t="e">
        <v>#N/A</v>
      </c>
      <c r="DO149" s="17" t="e">
        <v>#N/A</v>
      </c>
      <c r="DP149" s="17" t="e">
        <v>#N/A</v>
      </c>
      <c r="DQ149" s="17" t="e">
        <v>#N/A</v>
      </c>
      <c r="DR149" s="17" t="e">
        <v>#N/A</v>
      </c>
      <c r="DS149" s="17" t="e">
        <v>#N/A</v>
      </c>
      <c r="DT149" s="17" t="e">
        <v>#N/A</v>
      </c>
      <c r="DU149" s="17" t="e">
        <v>#N/A</v>
      </c>
      <c r="DV149" s="17" t="e">
        <v>#N/A</v>
      </c>
      <c r="DW149" s="17" t="e">
        <v>#N/A</v>
      </c>
      <c r="DX149" s="17" t="e">
        <v>#N/A</v>
      </c>
      <c r="DY149" s="17" t="e">
        <v>#N/A</v>
      </c>
      <c r="DZ149" s="17" t="e">
        <v>#N/A</v>
      </c>
      <c r="EA149" s="17" t="e">
        <v>#N/A</v>
      </c>
      <c r="EB149" s="17" t="e">
        <v>#N/A</v>
      </c>
      <c r="EC149" s="17" t="e">
        <v>#N/A</v>
      </c>
      <c r="ED149" s="17" t="e">
        <v>#N/A</v>
      </c>
      <c r="EE149" s="17" t="e">
        <v>#N/A</v>
      </c>
      <c r="EF149" s="17" t="e">
        <v>#N/A</v>
      </c>
      <c r="EG149" s="17" t="e">
        <v>#N/A</v>
      </c>
      <c r="EH149" s="17" t="e">
        <v>#N/A</v>
      </c>
      <c r="EI149" s="17" t="e">
        <v>#N/A</v>
      </c>
      <c r="EJ149" s="17" t="e">
        <v>#N/A</v>
      </c>
      <c r="EK149" s="17" t="e">
        <v>#N/A</v>
      </c>
      <c r="EL149" s="17" t="e">
        <v>#N/A</v>
      </c>
      <c r="EM149" s="17" t="e">
        <v>#N/A</v>
      </c>
      <c r="EN149" s="17" t="e">
        <v>#N/A</v>
      </c>
      <c r="EO149" s="17" t="e">
        <v>#N/A</v>
      </c>
      <c r="EP149" s="17" t="e">
        <v>#N/A</v>
      </c>
      <c r="EQ149" s="17" t="e">
        <v>#N/A</v>
      </c>
      <c r="ER149" s="17" t="e">
        <v>#N/A</v>
      </c>
      <c r="ES149" s="17" t="e">
        <v>#N/A</v>
      </c>
      <c r="ET149" s="17" t="e">
        <v>#N/A</v>
      </c>
      <c r="EU149" s="17" t="e">
        <v>#N/A</v>
      </c>
      <c r="EV149" s="17" t="e">
        <v>#N/A</v>
      </c>
      <c r="EW149" s="17" t="e">
        <v>#N/A</v>
      </c>
      <c r="EX149" s="17" t="e">
        <v>#N/A</v>
      </c>
      <c r="EY149" s="17" t="e">
        <v>#N/A</v>
      </c>
      <c r="EZ149" s="17" t="e">
        <v>#N/A</v>
      </c>
      <c r="FA149" s="17" t="e">
        <v>#N/A</v>
      </c>
      <c r="FB149" s="17" t="e">
        <v>#N/A</v>
      </c>
      <c r="FC149" s="17" t="e">
        <v>#N/A</v>
      </c>
      <c r="FD149" s="17" t="e">
        <v>#N/A</v>
      </c>
      <c r="FE149" s="17" t="e">
        <v>#N/A</v>
      </c>
      <c r="FF149" s="17" t="e">
        <v>#N/A</v>
      </c>
      <c r="FG149" s="17" t="e">
        <v>#N/A</v>
      </c>
      <c r="FH149" s="17" t="e">
        <v>#N/A</v>
      </c>
      <c r="FI149" s="17" t="e">
        <v>#N/A</v>
      </c>
      <c r="FJ149" s="17" t="e">
        <v>#N/A</v>
      </c>
      <c r="FK149" s="17" t="e">
        <v>#N/A</v>
      </c>
      <c r="FL149" s="17" t="e">
        <v>#N/A</v>
      </c>
      <c r="FM149" s="17" t="e">
        <v>#N/A</v>
      </c>
      <c r="FN149" s="17" t="e">
        <v>#N/A</v>
      </c>
      <c r="FO149" s="17" t="e">
        <v>#N/A</v>
      </c>
      <c r="FP149" s="17" t="e">
        <v>#N/A</v>
      </c>
      <c r="FQ149" s="17" t="e">
        <v>#N/A</v>
      </c>
      <c r="FR149" s="17" t="e">
        <v>#N/A</v>
      </c>
      <c r="FS149" s="17" t="e">
        <v>#N/A</v>
      </c>
      <c r="FT149" s="17" t="e">
        <v>#N/A</v>
      </c>
      <c r="FU149" s="17" t="e">
        <v>#N/A</v>
      </c>
      <c r="FV149" s="17" t="e">
        <v>#N/A</v>
      </c>
    </row>
    <row r="150" spans="2:178" ht="11.25" customHeight="1">
      <c r="B150" s="17" t="e">
        <v>#N/A</v>
      </c>
      <c r="C150" s="17" t="e">
        <v>#N/A</v>
      </c>
      <c r="D150" s="17" t="e">
        <v>#N/A</v>
      </c>
      <c r="E150" s="17" t="e">
        <v>#N/A</v>
      </c>
      <c r="F150" s="17" t="e">
        <v>#N/A</v>
      </c>
      <c r="G150" s="17" t="e">
        <v>#N/A</v>
      </c>
      <c r="H150" s="17" t="e">
        <v>#N/A</v>
      </c>
      <c r="I150" s="17" t="e">
        <v>#N/A</v>
      </c>
      <c r="J150" s="17" t="e">
        <v>#N/A</v>
      </c>
      <c r="K150" s="17" t="e">
        <v>#N/A</v>
      </c>
      <c r="L150" s="17" t="e">
        <v>#N/A</v>
      </c>
      <c r="M150" s="17" t="e">
        <v>#N/A</v>
      </c>
      <c r="N150" s="17" t="e">
        <v>#N/A</v>
      </c>
      <c r="O150" s="17" t="e">
        <v>#N/A</v>
      </c>
      <c r="P150" s="17" t="e">
        <v>#N/A</v>
      </c>
      <c r="Q150" s="17" t="e">
        <v>#N/A</v>
      </c>
      <c r="R150" s="17" t="e">
        <v>#N/A</v>
      </c>
      <c r="S150" s="17" t="e">
        <v>#N/A</v>
      </c>
      <c r="T150" s="17" t="e">
        <v>#N/A</v>
      </c>
      <c r="U150" s="17" t="e">
        <v>#N/A</v>
      </c>
      <c r="V150" s="17" t="e">
        <v>#N/A</v>
      </c>
      <c r="W150" s="17" t="e">
        <v>#N/A</v>
      </c>
      <c r="X150" s="17" t="e">
        <v>#N/A</v>
      </c>
      <c r="Y150" s="17" t="e">
        <v>#N/A</v>
      </c>
      <c r="Z150" s="17" t="e">
        <v>#N/A</v>
      </c>
      <c r="AA150" s="17" t="e">
        <v>#N/A</v>
      </c>
      <c r="AB150" s="17" t="e">
        <v>#N/A</v>
      </c>
      <c r="AC150" s="17" t="e">
        <v>#N/A</v>
      </c>
      <c r="AD150" s="17" t="e">
        <v>#N/A</v>
      </c>
      <c r="AE150" s="17" t="e">
        <v>#N/A</v>
      </c>
      <c r="AF150" s="17" t="e">
        <v>#N/A</v>
      </c>
      <c r="AG150" s="17" t="e">
        <v>#N/A</v>
      </c>
      <c r="AH150" s="17" t="e">
        <v>#N/A</v>
      </c>
      <c r="AI150" s="17" t="e">
        <v>#N/A</v>
      </c>
      <c r="AJ150" s="17" t="e">
        <v>#N/A</v>
      </c>
      <c r="AK150" s="17" t="e">
        <v>#N/A</v>
      </c>
      <c r="AL150" s="17" t="e">
        <v>#N/A</v>
      </c>
      <c r="AM150" s="17" t="e">
        <v>#N/A</v>
      </c>
      <c r="AN150" s="17" t="e">
        <v>#N/A</v>
      </c>
      <c r="AO150" s="17" t="e">
        <v>#N/A</v>
      </c>
      <c r="AP150" s="17" t="e">
        <v>#N/A</v>
      </c>
      <c r="AQ150" s="17" t="e">
        <v>#N/A</v>
      </c>
      <c r="AR150" s="17" t="e">
        <v>#N/A</v>
      </c>
      <c r="AS150" s="17" t="e">
        <v>#N/A</v>
      </c>
      <c r="AT150" s="17" t="e">
        <v>#N/A</v>
      </c>
      <c r="AU150" s="17" t="e">
        <v>#N/A</v>
      </c>
      <c r="AV150" s="17" t="e">
        <v>#N/A</v>
      </c>
      <c r="AW150" s="17" t="e">
        <v>#N/A</v>
      </c>
      <c r="AX150" s="17" t="e">
        <v>#N/A</v>
      </c>
      <c r="AY150" s="17" t="e">
        <v>#N/A</v>
      </c>
      <c r="AZ150" s="17" t="e">
        <v>#N/A</v>
      </c>
      <c r="BA150" s="17" t="e">
        <v>#N/A</v>
      </c>
      <c r="BB150" s="17" t="e">
        <v>#N/A</v>
      </c>
      <c r="BC150" s="17" t="e">
        <v>#N/A</v>
      </c>
      <c r="BD150" s="17" t="e">
        <v>#N/A</v>
      </c>
      <c r="BE150" s="17" t="e">
        <v>#N/A</v>
      </c>
      <c r="BF150" s="17" t="e">
        <v>#N/A</v>
      </c>
      <c r="BG150" s="17" t="e">
        <v>#N/A</v>
      </c>
      <c r="BH150" s="17" t="e">
        <v>#N/A</v>
      </c>
      <c r="BI150" s="17" t="e">
        <v>#N/A</v>
      </c>
      <c r="BJ150" s="17" t="e">
        <v>#N/A</v>
      </c>
      <c r="BK150" s="17" t="e">
        <v>#N/A</v>
      </c>
      <c r="BL150" s="17" t="e">
        <v>#N/A</v>
      </c>
      <c r="BM150" s="17" t="e">
        <v>#N/A</v>
      </c>
      <c r="BN150" s="17" t="e">
        <v>#N/A</v>
      </c>
      <c r="BO150" s="17" t="e">
        <v>#N/A</v>
      </c>
      <c r="BP150" s="17" t="e">
        <v>#N/A</v>
      </c>
      <c r="BQ150" s="17" t="e">
        <v>#N/A</v>
      </c>
      <c r="BR150" s="17" t="e">
        <v>#N/A</v>
      </c>
      <c r="BS150" s="17" t="e">
        <v>#N/A</v>
      </c>
      <c r="BT150" s="17" t="e">
        <v>#N/A</v>
      </c>
      <c r="BU150" s="17" t="e">
        <v>#N/A</v>
      </c>
      <c r="BV150" s="17" t="e">
        <v>#N/A</v>
      </c>
      <c r="BW150" s="17" t="e">
        <v>#N/A</v>
      </c>
      <c r="BX150" s="17" t="e">
        <v>#N/A</v>
      </c>
      <c r="BY150" s="17" t="e">
        <v>#N/A</v>
      </c>
      <c r="BZ150" s="17" t="e">
        <v>#N/A</v>
      </c>
      <c r="CA150" s="17" t="e">
        <v>#N/A</v>
      </c>
      <c r="CB150" s="17" t="e">
        <v>#N/A</v>
      </c>
      <c r="CC150" s="17" t="e">
        <v>#N/A</v>
      </c>
      <c r="CD150" s="17" t="e">
        <v>#N/A</v>
      </c>
      <c r="CE150" s="17" t="e">
        <v>#N/A</v>
      </c>
      <c r="CF150" s="17" t="e">
        <v>#N/A</v>
      </c>
      <c r="CG150" s="17" t="e">
        <v>#N/A</v>
      </c>
      <c r="CH150" s="17" t="e">
        <v>#N/A</v>
      </c>
      <c r="CI150" s="17" t="e">
        <v>#N/A</v>
      </c>
      <c r="CJ150" s="17" t="e">
        <v>#N/A</v>
      </c>
      <c r="CK150" s="17" t="e">
        <v>#N/A</v>
      </c>
      <c r="CL150" s="17" t="e">
        <v>#N/A</v>
      </c>
      <c r="CM150" s="17" t="e">
        <v>#N/A</v>
      </c>
      <c r="CN150" s="17" t="e">
        <v>#N/A</v>
      </c>
      <c r="CO150" s="17" t="e">
        <v>#N/A</v>
      </c>
      <c r="CP150" s="17" t="e">
        <v>#N/A</v>
      </c>
      <c r="CQ150" s="17" t="e">
        <v>#N/A</v>
      </c>
      <c r="CR150" s="17" t="e">
        <v>#N/A</v>
      </c>
      <c r="CS150" s="17" t="e">
        <v>#N/A</v>
      </c>
      <c r="CT150" s="17" t="e">
        <v>#N/A</v>
      </c>
      <c r="CU150" s="17" t="e">
        <v>#N/A</v>
      </c>
      <c r="CV150" s="17" t="e">
        <v>#N/A</v>
      </c>
      <c r="CW150" s="17" t="e">
        <v>#N/A</v>
      </c>
      <c r="CX150" s="17" t="e">
        <v>#N/A</v>
      </c>
      <c r="CY150" s="17" t="e">
        <v>#N/A</v>
      </c>
      <c r="CZ150" s="17" t="e">
        <v>#N/A</v>
      </c>
      <c r="DA150" s="17" t="e">
        <v>#N/A</v>
      </c>
      <c r="DB150" s="17" t="e">
        <v>#N/A</v>
      </c>
      <c r="DC150" s="17" t="e">
        <v>#N/A</v>
      </c>
      <c r="DD150" s="17" t="e">
        <v>#N/A</v>
      </c>
      <c r="DE150" s="17" t="e">
        <v>#N/A</v>
      </c>
      <c r="DF150" s="17" t="e">
        <v>#N/A</v>
      </c>
      <c r="DG150" s="17" t="e">
        <v>#N/A</v>
      </c>
      <c r="DH150" s="17" t="e">
        <v>#N/A</v>
      </c>
      <c r="DI150" s="17" t="e">
        <v>#N/A</v>
      </c>
      <c r="DJ150" s="17" t="e">
        <v>#N/A</v>
      </c>
      <c r="DK150" s="17" t="e">
        <v>#N/A</v>
      </c>
      <c r="DL150" s="17" t="e">
        <v>#N/A</v>
      </c>
      <c r="DM150" s="17" t="e">
        <v>#N/A</v>
      </c>
      <c r="DN150" s="17" t="e">
        <v>#N/A</v>
      </c>
      <c r="DO150" s="17" t="e">
        <v>#N/A</v>
      </c>
      <c r="DP150" s="17" t="e">
        <v>#N/A</v>
      </c>
      <c r="DQ150" s="17" t="e">
        <v>#N/A</v>
      </c>
      <c r="DR150" s="17" t="e">
        <v>#N/A</v>
      </c>
      <c r="DS150" s="17" t="e">
        <v>#N/A</v>
      </c>
      <c r="DT150" s="17" t="e">
        <v>#N/A</v>
      </c>
      <c r="DU150" s="17" t="e">
        <v>#N/A</v>
      </c>
      <c r="DV150" s="17" t="e">
        <v>#N/A</v>
      </c>
      <c r="DW150" s="17" t="e">
        <v>#N/A</v>
      </c>
      <c r="DX150" s="17" t="e">
        <v>#N/A</v>
      </c>
      <c r="DY150" s="17" t="e">
        <v>#N/A</v>
      </c>
      <c r="DZ150" s="17" t="e">
        <v>#N/A</v>
      </c>
      <c r="EA150" s="17" t="e">
        <v>#N/A</v>
      </c>
      <c r="EB150" s="17" t="e">
        <v>#N/A</v>
      </c>
      <c r="EC150" s="17" t="e">
        <v>#N/A</v>
      </c>
      <c r="ED150" s="17" t="e">
        <v>#N/A</v>
      </c>
      <c r="EE150" s="17" t="e">
        <v>#N/A</v>
      </c>
      <c r="EF150" s="17" t="e">
        <v>#N/A</v>
      </c>
      <c r="EG150" s="17" t="e">
        <v>#N/A</v>
      </c>
      <c r="EH150" s="17" t="e">
        <v>#N/A</v>
      </c>
      <c r="EI150" s="17" t="e">
        <v>#N/A</v>
      </c>
      <c r="EJ150" s="17" t="e">
        <v>#N/A</v>
      </c>
      <c r="EK150" s="17" t="e">
        <v>#N/A</v>
      </c>
      <c r="EL150" s="17" t="e">
        <v>#N/A</v>
      </c>
      <c r="EM150" s="17" t="e">
        <v>#N/A</v>
      </c>
      <c r="EN150" s="17" t="e">
        <v>#N/A</v>
      </c>
      <c r="EO150" s="17" t="e">
        <v>#N/A</v>
      </c>
      <c r="EP150" s="17" t="e">
        <v>#N/A</v>
      </c>
      <c r="EQ150" s="17" t="e">
        <v>#N/A</v>
      </c>
      <c r="ER150" s="17" t="e">
        <v>#N/A</v>
      </c>
      <c r="ES150" s="17" t="e">
        <v>#N/A</v>
      </c>
      <c r="ET150" s="17" t="e">
        <v>#N/A</v>
      </c>
      <c r="EU150" s="17" t="e">
        <v>#N/A</v>
      </c>
      <c r="EV150" s="17" t="e">
        <v>#N/A</v>
      </c>
      <c r="EW150" s="17" t="e">
        <v>#N/A</v>
      </c>
      <c r="EX150" s="17" t="e">
        <v>#N/A</v>
      </c>
      <c r="EY150" s="17" t="e">
        <v>#N/A</v>
      </c>
      <c r="EZ150" s="17" t="e">
        <v>#N/A</v>
      </c>
      <c r="FA150" s="17" t="e">
        <v>#N/A</v>
      </c>
      <c r="FB150" s="17" t="e">
        <v>#N/A</v>
      </c>
      <c r="FC150" s="17" t="e">
        <v>#N/A</v>
      </c>
      <c r="FD150" s="17" t="e">
        <v>#N/A</v>
      </c>
      <c r="FE150" s="17" t="e">
        <v>#N/A</v>
      </c>
      <c r="FF150" s="17" t="e">
        <v>#N/A</v>
      </c>
      <c r="FG150" s="17" t="e">
        <v>#N/A</v>
      </c>
      <c r="FH150" s="17" t="e">
        <v>#N/A</v>
      </c>
      <c r="FI150" s="17" t="e">
        <v>#N/A</v>
      </c>
      <c r="FJ150" s="17" t="e">
        <v>#N/A</v>
      </c>
      <c r="FK150" s="17" t="e">
        <v>#N/A</v>
      </c>
      <c r="FL150" s="17" t="e">
        <v>#N/A</v>
      </c>
      <c r="FM150" s="17" t="e">
        <v>#N/A</v>
      </c>
      <c r="FN150" s="17" t="e">
        <v>#N/A</v>
      </c>
      <c r="FO150" s="17" t="e">
        <v>#N/A</v>
      </c>
      <c r="FP150" s="17" t="e">
        <v>#N/A</v>
      </c>
      <c r="FQ150" s="17" t="e">
        <v>#N/A</v>
      </c>
      <c r="FR150" s="17" t="e">
        <v>#N/A</v>
      </c>
      <c r="FS150" s="17" t="e">
        <v>#N/A</v>
      </c>
      <c r="FT150" s="17" t="e">
        <v>#N/A</v>
      </c>
      <c r="FU150" s="17" t="e">
        <v>#N/A</v>
      </c>
      <c r="FV150" s="17" t="e">
        <v>#N/A</v>
      </c>
    </row>
    <row r="151" spans="2:178" ht="11.25" customHeight="1">
      <c r="B151" s="17" t="e">
        <v>#N/A</v>
      </c>
      <c r="C151" s="17" t="e">
        <v>#N/A</v>
      </c>
      <c r="D151" s="17" t="e">
        <v>#N/A</v>
      </c>
      <c r="E151" s="17" t="e">
        <v>#N/A</v>
      </c>
      <c r="F151" s="17" t="e">
        <v>#N/A</v>
      </c>
      <c r="G151" s="17" t="e">
        <v>#N/A</v>
      </c>
      <c r="H151" s="17" t="e">
        <v>#N/A</v>
      </c>
      <c r="I151" s="17" t="e">
        <v>#N/A</v>
      </c>
      <c r="J151" s="17" t="e">
        <v>#N/A</v>
      </c>
      <c r="K151" s="17" t="e">
        <v>#N/A</v>
      </c>
      <c r="L151" s="17" t="e">
        <v>#N/A</v>
      </c>
      <c r="M151" s="17" t="e">
        <v>#N/A</v>
      </c>
      <c r="N151" s="17" t="e">
        <v>#N/A</v>
      </c>
      <c r="O151" s="17" t="e">
        <v>#N/A</v>
      </c>
      <c r="P151" s="17" t="e">
        <v>#N/A</v>
      </c>
      <c r="Q151" s="17" t="e">
        <v>#N/A</v>
      </c>
      <c r="R151" s="17" t="e">
        <v>#N/A</v>
      </c>
      <c r="S151" s="17" t="e">
        <v>#N/A</v>
      </c>
      <c r="T151" s="17" t="e">
        <v>#N/A</v>
      </c>
      <c r="U151" s="17" t="e">
        <v>#N/A</v>
      </c>
      <c r="V151" s="17" t="e">
        <v>#N/A</v>
      </c>
      <c r="W151" s="17" t="e">
        <v>#N/A</v>
      </c>
      <c r="X151" s="17" t="e">
        <v>#N/A</v>
      </c>
      <c r="Y151" s="17" t="e">
        <v>#N/A</v>
      </c>
      <c r="Z151" s="17" t="e">
        <v>#N/A</v>
      </c>
      <c r="AA151" s="17" t="e">
        <v>#N/A</v>
      </c>
      <c r="AB151" s="17" t="e">
        <v>#N/A</v>
      </c>
      <c r="AC151" s="17" t="e">
        <v>#N/A</v>
      </c>
      <c r="AD151" s="17" t="e">
        <v>#N/A</v>
      </c>
      <c r="AE151" s="17" t="e">
        <v>#N/A</v>
      </c>
      <c r="AF151" s="17" t="e">
        <v>#N/A</v>
      </c>
      <c r="AG151" s="17" t="e">
        <v>#N/A</v>
      </c>
      <c r="AH151" s="17" t="e">
        <v>#N/A</v>
      </c>
      <c r="AI151" s="17" t="e">
        <v>#N/A</v>
      </c>
      <c r="AJ151" s="17" t="e">
        <v>#N/A</v>
      </c>
      <c r="AK151" s="17" t="e">
        <v>#N/A</v>
      </c>
      <c r="AL151" s="17" t="e">
        <v>#N/A</v>
      </c>
      <c r="AM151" s="17" t="e">
        <v>#N/A</v>
      </c>
      <c r="AN151" s="17" t="e">
        <v>#N/A</v>
      </c>
      <c r="AO151" s="17" t="e">
        <v>#N/A</v>
      </c>
      <c r="AP151" s="17" t="e">
        <v>#N/A</v>
      </c>
      <c r="AQ151" s="17" t="e">
        <v>#N/A</v>
      </c>
      <c r="AR151" s="17" t="e">
        <v>#N/A</v>
      </c>
      <c r="AS151" s="17" t="e">
        <v>#N/A</v>
      </c>
      <c r="AT151" s="17" t="e">
        <v>#N/A</v>
      </c>
      <c r="AU151" s="17" t="e">
        <v>#N/A</v>
      </c>
      <c r="AV151" s="17" t="e">
        <v>#N/A</v>
      </c>
      <c r="AW151" s="17" t="e">
        <v>#N/A</v>
      </c>
      <c r="AX151" s="17" t="e">
        <v>#N/A</v>
      </c>
      <c r="AY151" s="17" t="e">
        <v>#N/A</v>
      </c>
      <c r="AZ151" s="17" t="e">
        <v>#N/A</v>
      </c>
      <c r="BA151" s="17" t="e">
        <v>#N/A</v>
      </c>
      <c r="BB151" s="17" t="e">
        <v>#N/A</v>
      </c>
      <c r="BC151" s="17" t="e">
        <v>#N/A</v>
      </c>
      <c r="BD151" s="17" t="e">
        <v>#N/A</v>
      </c>
      <c r="BE151" s="17" t="e">
        <v>#N/A</v>
      </c>
      <c r="BF151" s="17" t="e">
        <v>#N/A</v>
      </c>
      <c r="BG151" s="17" t="e">
        <v>#N/A</v>
      </c>
      <c r="BH151" s="17" t="e">
        <v>#N/A</v>
      </c>
      <c r="BI151" s="17" t="e">
        <v>#N/A</v>
      </c>
      <c r="BJ151" s="17" t="e">
        <v>#N/A</v>
      </c>
      <c r="BK151" s="17" t="e">
        <v>#N/A</v>
      </c>
      <c r="BL151" s="17" t="e">
        <v>#N/A</v>
      </c>
      <c r="BM151" s="17" t="e">
        <v>#N/A</v>
      </c>
      <c r="BN151" s="17" t="e">
        <v>#N/A</v>
      </c>
      <c r="BO151" s="17" t="e">
        <v>#N/A</v>
      </c>
      <c r="BP151" s="17" t="e">
        <v>#N/A</v>
      </c>
      <c r="BQ151" s="17" t="e">
        <v>#N/A</v>
      </c>
      <c r="BR151" s="17" t="e">
        <v>#N/A</v>
      </c>
      <c r="BS151" s="17" t="e">
        <v>#N/A</v>
      </c>
      <c r="BT151" s="17" t="e">
        <v>#N/A</v>
      </c>
      <c r="BU151" s="17" t="e">
        <v>#N/A</v>
      </c>
      <c r="BV151" s="17" t="e">
        <v>#N/A</v>
      </c>
      <c r="BW151" s="17" t="e">
        <v>#N/A</v>
      </c>
      <c r="BX151" s="17" t="e">
        <v>#N/A</v>
      </c>
      <c r="BY151" s="17" t="e">
        <v>#N/A</v>
      </c>
      <c r="BZ151" s="17" t="e">
        <v>#N/A</v>
      </c>
      <c r="CA151" s="17" t="e">
        <v>#N/A</v>
      </c>
      <c r="CB151" s="17" t="e">
        <v>#N/A</v>
      </c>
      <c r="CC151" s="17" t="e">
        <v>#N/A</v>
      </c>
      <c r="CD151" s="17" t="e">
        <v>#N/A</v>
      </c>
      <c r="CE151" s="17" t="e">
        <v>#N/A</v>
      </c>
      <c r="CF151" s="17" t="e">
        <v>#N/A</v>
      </c>
      <c r="CG151" s="17" t="e">
        <v>#N/A</v>
      </c>
      <c r="CH151" s="17" t="e">
        <v>#N/A</v>
      </c>
      <c r="CI151" s="17" t="e">
        <v>#N/A</v>
      </c>
      <c r="CJ151" s="17" t="e">
        <v>#N/A</v>
      </c>
      <c r="CK151" s="17" t="e">
        <v>#N/A</v>
      </c>
      <c r="CL151" s="17" t="e">
        <v>#N/A</v>
      </c>
      <c r="CM151" s="17" t="e">
        <v>#N/A</v>
      </c>
      <c r="CN151" s="17" t="e">
        <v>#N/A</v>
      </c>
      <c r="CO151" s="17" t="e">
        <v>#N/A</v>
      </c>
      <c r="CP151" s="17" t="e">
        <v>#N/A</v>
      </c>
      <c r="CQ151" s="17" t="e">
        <v>#N/A</v>
      </c>
      <c r="CR151" s="17" t="e">
        <v>#N/A</v>
      </c>
      <c r="CS151" s="17" t="e">
        <v>#N/A</v>
      </c>
      <c r="CT151" s="17" t="e">
        <v>#N/A</v>
      </c>
      <c r="CU151" s="17" t="e">
        <v>#N/A</v>
      </c>
      <c r="CV151" s="17" t="e">
        <v>#N/A</v>
      </c>
      <c r="CW151" s="17" t="e">
        <v>#N/A</v>
      </c>
      <c r="CX151" s="17" t="e">
        <v>#N/A</v>
      </c>
      <c r="CY151" s="17" t="e">
        <v>#N/A</v>
      </c>
      <c r="CZ151" s="17" t="e">
        <v>#N/A</v>
      </c>
      <c r="DA151" s="17" t="e">
        <v>#N/A</v>
      </c>
      <c r="DB151" s="17" t="e">
        <v>#N/A</v>
      </c>
      <c r="DC151" s="17" t="e">
        <v>#N/A</v>
      </c>
      <c r="DD151" s="17" t="e">
        <v>#N/A</v>
      </c>
      <c r="DE151" s="17" t="e">
        <v>#N/A</v>
      </c>
      <c r="DF151" s="17" t="e">
        <v>#N/A</v>
      </c>
      <c r="DG151" s="17" t="e">
        <v>#N/A</v>
      </c>
      <c r="DH151" s="17" t="e">
        <v>#N/A</v>
      </c>
      <c r="DI151" s="17" t="e">
        <v>#N/A</v>
      </c>
      <c r="DJ151" s="17" t="e">
        <v>#N/A</v>
      </c>
      <c r="DK151" s="17" t="e">
        <v>#N/A</v>
      </c>
      <c r="DL151" s="17" t="e">
        <v>#N/A</v>
      </c>
      <c r="DM151" s="17" t="e">
        <v>#N/A</v>
      </c>
      <c r="DN151" s="17" t="e">
        <v>#N/A</v>
      </c>
      <c r="DO151" s="17" t="e">
        <v>#N/A</v>
      </c>
      <c r="DP151" s="17" t="e">
        <v>#N/A</v>
      </c>
      <c r="DQ151" s="17" t="e">
        <v>#N/A</v>
      </c>
      <c r="DR151" s="17" t="e">
        <v>#N/A</v>
      </c>
      <c r="DS151" s="17" t="e">
        <v>#N/A</v>
      </c>
      <c r="DT151" s="17" t="e">
        <v>#N/A</v>
      </c>
      <c r="DU151" s="17" t="e">
        <v>#N/A</v>
      </c>
      <c r="DV151" s="17" t="e">
        <v>#N/A</v>
      </c>
      <c r="DW151" s="17" t="e">
        <v>#N/A</v>
      </c>
      <c r="DX151" s="17" t="e">
        <v>#N/A</v>
      </c>
      <c r="DY151" s="17" t="e">
        <v>#N/A</v>
      </c>
      <c r="DZ151" s="17" t="e">
        <v>#N/A</v>
      </c>
      <c r="EA151" s="17" t="e">
        <v>#N/A</v>
      </c>
      <c r="EB151" s="17" t="e">
        <v>#N/A</v>
      </c>
      <c r="EC151" s="17" t="e">
        <v>#N/A</v>
      </c>
      <c r="ED151" s="17" t="e">
        <v>#N/A</v>
      </c>
      <c r="EE151" s="17" t="e">
        <v>#N/A</v>
      </c>
      <c r="EF151" s="17" t="e">
        <v>#N/A</v>
      </c>
      <c r="EG151" s="17" t="e">
        <v>#N/A</v>
      </c>
      <c r="EH151" s="17" t="e">
        <v>#N/A</v>
      </c>
      <c r="EI151" s="17" t="e">
        <v>#N/A</v>
      </c>
      <c r="EJ151" s="17" t="e">
        <v>#N/A</v>
      </c>
      <c r="EK151" s="17" t="e">
        <v>#N/A</v>
      </c>
      <c r="EL151" s="17" t="e">
        <v>#N/A</v>
      </c>
      <c r="EM151" s="17" t="e">
        <v>#N/A</v>
      </c>
      <c r="EN151" s="17" t="e">
        <v>#N/A</v>
      </c>
      <c r="EO151" s="17" t="e">
        <v>#N/A</v>
      </c>
      <c r="EP151" s="17" t="e">
        <v>#N/A</v>
      </c>
      <c r="EQ151" s="17" t="e">
        <v>#N/A</v>
      </c>
      <c r="ER151" s="17" t="e">
        <v>#N/A</v>
      </c>
      <c r="ES151" s="17" t="e">
        <v>#N/A</v>
      </c>
      <c r="ET151" s="17" t="e">
        <v>#N/A</v>
      </c>
      <c r="EU151" s="17" t="e">
        <v>#N/A</v>
      </c>
      <c r="EV151" s="17" t="e">
        <v>#N/A</v>
      </c>
      <c r="EW151" s="17" t="e">
        <v>#N/A</v>
      </c>
      <c r="EX151" s="17" t="e">
        <v>#N/A</v>
      </c>
      <c r="EY151" s="17" t="e">
        <v>#N/A</v>
      </c>
      <c r="EZ151" s="17" t="e">
        <v>#N/A</v>
      </c>
      <c r="FA151" s="17" t="e">
        <v>#N/A</v>
      </c>
      <c r="FB151" s="17" t="e">
        <v>#N/A</v>
      </c>
      <c r="FC151" s="17" t="e">
        <v>#N/A</v>
      </c>
      <c r="FD151" s="17" t="e">
        <v>#N/A</v>
      </c>
      <c r="FE151" s="17" t="e">
        <v>#N/A</v>
      </c>
      <c r="FF151" s="17" t="e">
        <v>#N/A</v>
      </c>
      <c r="FG151" s="17" t="e">
        <v>#N/A</v>
      </c>
      <c r="FH151" s="17" t="e">
        <v>#N/A</v>
      </c>
      <c r="FI151" s="17" t="e">
        <v>#N/A</v>
      </c>
      <c r="FJ151" s="17" t="e">
        <v>#N/A</v>
      </c>
      <c r="FK151" s="17" t="e">
        <v>#N/A</v>
      </c>
      <c r="FL151" s="17" t="e">
        <v>#N/A</v>
      </c>
      <c r="FM151" s="17" t="e">
        <v>#N/A</v>
      </c>
      <c r="FN151" s="17" t="e">
        <v>#N/A</v>
      </c>
      <c r="FO151" s="17" t="e">
        <v>#N/A</v>
      </c>
      <c r="FP151" s="17" t="e">
        <v>#N/A</v>
      </c>
      <c r="FQ151" s="17" t="e">
        <v>#N/A</v>
      </c>
      <c r="FR151" s="17" t="e">
        <v>#N/A</v>
      </c>
      <c r="FS151" s="17" t="e">
        <v>#N/A</v>
      </c>
      <c r="FT151" s="17" t="e">
        <v>#N/A</v>
      </c>
      <c r="FU151" s="17" t="e">
        <v>#N/A</v>
      </c>
      <c r="FV151" s="17" t="e">
        <v>#N/A</v>
      </c>
    </row>
    <row r="152" spans="2:178" ht="11.25" customHeight="1">
      <c r="B152" s="17" t="e">
        <v>#N/A</v>
      </c>
      <c r="C152" s="17" t="e">
        <v>#N/A</v>
      </c>
      <c r="D152" s="17" t="e">
        <v>#N/A</v>
      </c>
      <c r="E152" s="17" t="e">
        <v>#N/A</v>
      </c>
      <c r="F152" s="17" t="e">
        <v>#N/A</v>
      </c>
      <c r="G152" s="17" t="e">
        <v>#N/A</v>
      </c>
      <c r="H152" s="17" t="e">
        <v>#N/A</v>
      </c>
      <c r="I152" s="17" t="e">
        <v>#N/A</v>
      </c>
      <c r="J152" s="17" t="e">
        <v>#N/A</v>
      </c>
      <c r="K152" s="17" t="e">
        <v>#N/A</v>
      </c>
      <c r="L152" s="17" t="e">
        <v>#N/A</v>
      </c>
      <c r="M152" s="17" t="e">
        <v>#N/A</v>
      </c>
      <c r="N152" s="17" t="e">
        <v>#N/A</v>
      </c>
      <c r="O152" s="17" t="e">
        <v>#N/A</v>
      </c>
      <c r="P152" s="17" t="e">
        <v>#N/A</v>
      </c>
      <c r="Q152" s="17" t="e">
        <v>#N/A</v>
      </c>
      <c r="R152" s="17" t="e">
        <v>#N/A</v>
      </c>
      <c r="S152" s="17" t="e">
        <v>#N/A</v>
      </c>
      <c r="T152" s="17" t="e">
        <v>#N/A</v>
      </c>
      <c r="U152" s="17" t="e">
        <v>#N/A</v>
      </c>
      <c r="V152" s="17" t="e">
        <v>#N/A</v>
      </c>
      <c r="W152" s="17" t="e">
        <v>#N/A</v>
      </c>
      <c r="X152" s="17" t="e">
        <v>#N/A</v>
      </c>
      <c r="Y152" s="17" t="e">
        <v>#N/A</v>
      </c>
      <c r="Z152" s="17" t="e">
        <v>#N/A</v>
      </c>
      <c r="AA152" s="17" t="e">
        <v>#N/A</v>
      </c>
      <c r="AB152" s="17" t="e">
        <v>#N/A</v>
      </c>
      <c r="AC152" s="17" t="e">
        <v>#N/A</v>
      </c>
      <c r="AD152" s="17" t="e">
        <v>#N/A</v>
      </c>
      <c r="AE152" s="17" t="e">
        <v>#N/A</v>
      </c>
      <c r="AF152" s="17" t="e">
        <v>#N/A</v>
      </c>
      <c r="AG152" s="17" t="e">
        <v>#N/A</v>
      </c>
      <c r="AH152" s="17" t="e">
        <v>#N/A</v>
      </c>
      <c r="AI152" s="17" t="e">
        <v>#N/A</v>
      </c>
      <c r="AJ152" s="17" t="e">
        <v>#N/A</v>
      </c>
      <c r="AK152" s="17" t="e">
        <v>#N/A</v>
      </c>
      <c r="AL152" s="17" t="e">
        <v>#N/A</v>
      </c>
      <c r="AM152" s="17" t="e">
        <v>#N/A</v>
      </c>
      <c r="AN152" s="17" t="e">
        <v>#N/A</v>
      </c>
      <c r="AO152" s="17" t="e">
        <v>#N/A</v>
      </c>
      <c r="AP152" s="17" t="e">
        <v>#N/A</v>
      </c>
      <c r="AQ152" s="17" t="e">
        <v>#N/A</v>
      </c>
      <c r="AR152" s="17" t="e">
        <v>#N/A</v>
      </c>
      <c r="AS152" s="17" t="e">
        <v>#N/A</v>
      </c>
      <c r="AT152" s="17" t="e">
        <v>#N/A</v>
      </c>
      <c r="AU152" s="17" t="e">
        <v>#N/A</v>
      </c>
      <c r="AV152" s="17" t="e">
        <v>#N/A</v>
      </c>
      <c r="AW152" s="17" t="e">
        <v>#N/A</v>
      </c>
      <c r="AX152" s="17" t="e">
        <v>#N/A</v>
      </c>
      <c r="AY152" s="17" t="e">
        <v>#N/A</v>
      </c>
      <c r="AZ152" s="17" t="e">
        <v>#N/A</v>
      </c>
      <c r="BA152" s="17" t="e">
        <v>#N/A</v>
      </c>
      <c r="BB152" s="17" t="e">
        <v>#N/A</v>
      </c>
      <c r="BC152" s="17" t="e">
        <v>#N/A</v>
      </c>
      <c r="BD152" s="17" t="e">
        <v>#N/A</v>
      </c>
      <c r="BE152" s="17" t="e">
        <v>#N/A</v>
      </c>
      <c r="BF152" s="17" t="e">
        <v>#N/A</v>
      </c>
      <c r="BG152" s="17" t="e">
        <v>#N/A</v>
      </c>
      <c r="BH152" s="17" t="e">
        <v>#N/A</v>
      </c>
      <c r="BI152" s="17" t="e">
        <v>#N/A</v>
      </c>
      <c r="BJ152" s="17" t="e">
        <v>#N/A</v>
      </c>
      <c r="BK152" s="17" t="e">
        <v>#N/A</v>
      </c>
      <c r="BL152" s="17" t="e">
        <v>#N/A</v>
      </c>
      <c r="BM152" s="17" t="e">
        <v>#N/A</v>
      </c>
      <c r="BN152" s="17" t="e">
        <v>#N/A</v>
      </c>
      <c r="BO152" s="17" t="e">
        <v>#N/A</v>
      </c>
      <c r="BP152" s="17" t="e">
        <v>#N/A</v>
      </c>
      <c r="BQ152" s="17" t="e">
        <v>#N/A</v>
      </c>
      <c r="BR152" s="17" t="e">
        <v>#N/A</v>
      </c>
      <c r="BS152" s="17" t="e">
        <v>#N/A</v>
      </c>
      <c r="BT152" s="17" t="e">
        <v>#N/A</v>
      </c>
      <c r="BU152" s="17" t="e">
        <v>#N/A</v>
      </c>
      <c r="BV152" s="17" t="e">
        <v>#N/A</v>
      </c>
      <c r="BW152" s="17" t="e">
        <v>#N/A</v>
      </c>
      <c r="BX152" s="17" t="e">
        <v>#N/A</v>
      </c>
      <c r="BY152" s="17" t="e">
        <v>#N/A</v>
      </c>
      <c r="BZ152" s="17" t="e">
        <v>#N/A</v>
      </c>
      <c r="CA152" s="17" t="e">
        <v>#N/A</v>
      </c>
      <c r="CB152" s="17" t="e">
        <v>#N/A</v>
      </c>
      <c r="CC152" s="17" t="e">
        <v>#N/A</v>
      </c>
      <c r="CD152" s="17" t="e">
        <v>#N/A</v>
      </c>
      <c r="CE152" s="17" t="e">
        <v>#N/A</v>
      </c>
      <c r="CF152" s="17" t="e">
        <v>#N/A</v>
      </c>
      <c r="CG152" s="17" t="e">
        <v>#N/A</v>
      </c>
      <c r="CH152" s="17" t="e">
        <v>#N/A</v>
      </c>
      <c r="CI152" s="17" t="e">
        <v>#N/A</v>
      </c>
      <c r="CJ152" s="17" t="e">
        <v>#N/A</v>
      </c>
      <c r="CK152" s="17" t="e">
        <v>#N/A</v>
      </c>
      <c r="CL152" s="17" t="e">
        <v>#N/A</v>
      </c>
      <c r="CM152" s="17" t="e">
        <v>#N/A</v>
      </c>
      <c r="CN152" s="17" t="e">
        <v>#N/A</v>
      </c>
      <c r="CO152" s="17" t="e">
        <v>#N/A</v>
      </c>
      <c r="CP152" s="17" t="e">
        <v>#N/A</v>
      </c>
      <c r="CQ152" s="17" t="e">
        <v>#N/A</v>
      </c>
      <c r="CR152" s="17" t="e">
        <v>#N/A</v>
      </c>
      <c r="CS152" s="17" t="e">
        <v>#N/A</v>
      </c>
      <c r="CT152" s="17" t="e">
        <v>#N/A</v>
      </c>
      <c r="CU152" s="17" t="e">
        <v>#N/A</v>
      </c>
      <c r="CV152" s="17" t="e">
        <v>#N/A</v>
      </c>
      <c r="CW152" s="17" t="e">
        <v>#N/A</v>
      </c>
      <c r="CX152" s="17" t="e">
        <v>#N/A</v>
      </c>
      <c r="CY152" s="17" t="e">
        <v>#N/A</v>
      </c>
      <c r="CZ152" s="17" t="e">
        <v>#N/A</v>
      </c>
      <c r="DA152" s="17" t="e">
        <v>#N/A</v>
      </c>
      <c r="DB152" s="17" t="e">
        <v>#N/A</v>
      </c>
      <c r="DC152" s="17" t="e">
        <v>#N/A</v>
      </c>
      <c r="DD152" s="17" t="e">
        <v>#N/A</v>
      </c>
      <c r="DE152" s="17" t="e">
        <v>#N/A</v>
      </c>
      <c r="DF152" s="17" t="e">
        <v>#N/A</v>
      </c>
      <c r="DG152" s="17" t="e">
        <v>#N/A</v>
      </c>
      <c r="DH152" s="17" t="e">
        <v>#N/A</v>
      </c>
      <c r="DI152" s="17" t="e">
        <v>#N/A</v>
      </c>
      <c r="DJ152" s="17" t="e">
        <v>#N/A</v>
      </c>
      <c r="DK152" s="17" t="e">
        <v>#N/A</v>
      </c>
      <c r="DL152" s="17" t="e">
        <v>#N/A</v>
      </c>
      <c r="DM152" s="17" t="e">
        <v>#N/A</v>
      </c>
      <c r="DN152" s="17" t="e">
        <v>#N/A</v>
      </c>
      <c r="DO152" s="17" t="e">
        <v>#N/A</v>
      </c>
      <c r="DP152" s="17" t="e">
        <v>#N/A</v>
      </c>
      <c r="DQ152" s="17" t="e">
        <v>#N/A</v>
      </c>
      <c r="DR152" s="17" t="e">
        <v>#N/A</v>
      </c>
      <c r="DS152" s="17" t="e">
        <v>#N/A</v>
      </c>
      <c r="DT152" s="17" t="e">
        <v>#N/A</v>
      </c>
      <c r="DU152" s="17" t="e">
        <v>#N/A</v>
      </c>
      <c r="DV152" s="17" t="e">
        <v>#N/A</v>
      </c>
      <c r="DW152" s="17" t="e">
        <v>#N/A</v>
      </c>
      <c r="DX152" s="17" t="e">
        <v>#N/A</v>
      </c>
      <c r="DY152" s="17" t="e">
        <v>#N/A</v>
      </c>
      <c r="DZ152" s="17" t="e">
        <v>#N/A</v>
      </c>
      <c r="EA152" s="17" t="e">
        <v>#N/A</v>
      </c>
      <c r="EB152" s="17" t="e">
        <v>#N/A</v>
      </c>
      <c r="EC152" s="17" t="e">
        <v>#N/A</v>
      </c>
      <c r="ED152" s="17" t="e">
        <v>#N/A</v>
      </c>
      <c r="EE152" s="17" t="e">
        <v>#N/A</v>
      </c>
      <c r="EF152" s="17" t="e">
        <v>#N/A</v>
      </c>
      <c r="EG152" s="17" t="e">
        <v>#N/A</v>
      </c>
      <c r="EH152" s="17" t="e">
        <v>#N/A</v>
      </c>
      <c r="EI152" s="17" t="e">
        <v>#N/A</v>
      </c>
      <c r="EJ152" s="17" t="e">
        <v>#N/A</v>
      </c>
      <c r="EK152" s="17" t="e">
        <v>#N/A</v>
      </c>
      <c r="EL152" s="17" t="e">
        <v>#N/A</v>
      </c>
      <c r="EM152" s="17" t="e">
        <v>#N/A</v>
      </c>
      <c r="EN152" s="17" t="e">
        <v>#N/A</v>
      </c>
      <c r="EO152" s="17" t="e">
        <v>#N/A</v>
      </c>
      <c r="EP152" s="17" t="e">
        <v>#N/A</v>
      </c>
      <c r="EQ152" s="17" t="e">
        <v>#N/A</v>
      </c>
      <c r="ER152" s="17" t="e">
        <v>#N/A</v>
      </c>
      <c r="ES152" s="17" t="e">
        <v>#N/A</v>
      </c>
      <c r="ET152" s="17" t="e">
        <v>#N/A</v>
      </c>
      <c r="EU152" s="17" t="e">
        <v>#N/A</v>
      </c>
      <c r="EV152" s="17" t="e">
        <v>#N/A</v>
      </c>
      <c r="EW152" s="17" t="e">
        <v>#N/A</v>
      </c>
      <c r="EX152" s="17" t="e">
        <v>#N/A</v>
      </c>
      <c r="EY152" s="17" t="e">
        <v>#N/A</v>
      </c>
      <c r="EZ152" s="17" t="e">
        <v>#N/A</v>
      </c>
      <c r="FA152" s="17" t="e">
        <v>#N/A</v>
      </c>
      <c r="FB152" s="17" t="e">
        <v>#N/A</v>
      </c>
      <c r="FC152" s="17" t="e">
        <v>#N/A</v>
      </c>
      <c r="FD152" s="17" t="e">
        <v>#N/A</v>
      </c>
      <c r="FE152" s="17" t="e">
        <v>#N/A</v>
      </c>
      <c r="FF152" s="17" t="e">
        <v>#N/A</v>
      </c>
      <c r="FG152" s="17" t="e">
        <v>#N/A</v>
      </c>
      <c r="FH152" s="17" t="e">
        <v>#N/A</v>
      </c>
      <c r="FI152" s="17" t="e">
        <v>#N/A</v>
      </c>
      <c r="FJ152" s="17" t="e">
        <v>#N/A</v>
      </c>
      <c r="FK152" s="17" t="e">
        <v>#N/A</v>
      </c>
      <c r="FL152" s="17" t="e">
        <v>#N/A</v>
      </c>
      <c r="FM152" s="17" t="e">
        <v>#N/A</v>
      </c>
      <c r="FN152" s="17" t="e">
        <v>#N/A</v>
      </c>
      <c r="FO152" s="17" t="e">
        <v>#N/A</v>
      </c>
      <c r="FP152" s="17" t="e">
        <v>#N/A</v>
      </c>
      <c r="FQ152" s="17" t="e">
        <v>#N/A</v>
      </c>
      <c r="FR152" s="17" t="e">
        <v>#N/A</v>
      </c>
      <c r="FS152" s="17" t="e">
        <v>#N/A</v>
      </c>
      <c r="FT152" s="17" t="e">
        <v>#N/A</v>
      </c>
      <c r="FU152" s="17" t="e">
        <v>#N/A</v>
      </c>
      <c r="FV152" s="17" t="e">
        <v>#N/A</v>
      </c>
    </row>
    <row r="153" spans="2:178" ht="11.25" customHeight="1">
      <c r="B153" s="17" t="e">
        <v>#N/A</v>
      </c>
      <c r="C153" s="17" t="e">
        <v>#N/A</v>
      </c>
      <c r="D153" s="17" t="e">
        <v>#N/A</v>
      </c>
      <c r="E153" s="17" t="e">
        <v>#N/A</v>
      </c>
      <c r="F153" s="17" t="e">
        <v>#N/A</v>
      </c>
      <c r="G153" s="17" t="e">
        <v>#N/A</v>
      </c>
      <c r="H153" s="17" t="e">
        <v>#N/A</v>
      </c>
      <c r="I153" s="17" t="e">
        <v>#N/A</v>
      </c>
      <c r="J153" s="17" t="e">
        <v>#N/A</v>
      </c>
      <c r="K153" s="17" t="e">
        <v>#N/A</v>
      </c>
      <c r="L153" s="17" t="e">
        <v>#N/A</v>
      </c>
      <c r="M153" s="17" t="e">
        <v>#N/A</v>
      </c>
      <c r="N153" s="17" t="e">
        <v>#N/A</v>
      </c>
      <c r="O153" s="17" t="e">
        <v>#N/A</v>
      </c>
      <c r="P153" s="17" t="e">
        <v>#N/A</v>
      </c>
      <c r="Q153" s="17" t="e">
        <v>#N/A</v>
      </c>
      <c r="R153" s="17" t="e">
        <v>#N/A</v>
      </c>
      <c r="S153" s="17" t="e">
        <v>#N/A</v>
      </c>
      <c r="T153" s="17" t="e">
        <v>#N/A</v>
      </c>
      <c r="U153" s="17" t="e">
        <v>#N/A</v>
      </c>
      <c r="V153" s="17" t="e">
        <v>#N/A</v>
      </c>
      <c r="W153" s="17" t="e">
        <v>#N/A</v>
      </c>
      <c r="X153" s="17" t="e">
        <v>#N/A</v>
      </c>
      <c r="Y153" s="17" t="e">
        <v>#N/A</v>
      </c>
      <c r="Z153" s="17" t="e">
        <v>#N/A</v>
      </c>
      <c r="AA153" s="17" t="e">
        <v>#N/A</v>
      </c>
      <c r="AB153" s="17" t="e">
        <v>#N/A</v>
      </c>
      <c r="AC153" s="17" t="e">
        <v>#N/A</v>
      </c>
      <c r="AD153" s="17" t="e">
        <v>#N/A</v>
      </c>
      <c r="AE153" s="17" t="e">
        <v>#N/A</v>
      </c>
      <c r="AF153" s="17" t="e">
        <v>#N/A</v>
      </c>
      <c r="AG153" s="17" t="e">
        <v>#N/A</v>
      </c>
      <c r="AH153" s="17" t="e">
        <v>#N/A</v>
      </c>
      <c r="AI153" s="17" t="e">
        <v>#N/A</v>
      </c>
      <c r="AJ153" s="17" t="e">
        <v>#N/A</v>
      </c>
      <c r="AK153" s="17" t="e">
        <v>#N/A</v>
      </c>
      <c r="AL153" s="17" t="e">
        <v>#N/A</v>
      </c>
      <c r="AM153" s="17" t="e">
        <v>#N/A</v>
      </c>
      <c r="AN153" s="17" t="e">
        <v>#N/A</v>
      </c>
      <c r="AO153" s="17" t="e">
        <v>#N/A</v>
      </c>
      <c r="AP153" s="17" t="e">
        <v>#N/A</v>
      </c>
      <c r="AQ153" s="17" t="e">
        <v>#N/A</v>
      </c>
      <c r="AR153" s="17" t="e">
        <v>#N/A</v>
      </c>
      <c r="AS153" s="17" t="e">
        <v>#N/A</v>
      </c>
      <c r="AT153" s="17" t="e">
        <v>#N/A</v>
      </c>
      <c r="AU153" s="17" t="e">
        <v>#N/A</v>
      </c>
      <c r="AV153" s="17" t="e">
        <v>#N/A</v>
      </c>
      <c r="AW153" s="17" t="e">
        <v>#N/A</v>
      </c>
      <c r="AX153" s="17" t="e">
        <v>#N/A</v>
      </c>
      <c r="AY153" s="17" t="e">
        <v>#N/A</v>
      </c>
      <c r="AZ153" s="17" t="e">
        <v>#N/A</v>
      </c>
      <c r="BA153" s="17" t="e">
        <v>#N/A</v>
      </c>
      <c r="BB153" s="17" t="e">
        <v>#N/A</v>
      </c>
      <c r="BC153" s="17" t="e">
        <v>#N/A</v>
      </c>
      <c r="BD153" s="17" t="e">
        <v>#N/A</v>
      </c>
      <c r="BE153" s="17" t="e">
        <v>#N/A</v>
      </c>
      <c r="BF153" s="17" t="e">
        <v>#N/A</v>
      </c>
      <c r="BG153" s="17" t="e">
        <v>#N/A</v>
      </c>
      <c r="BH153" s="17" t="e">
        <v>#N/A</v>
      </c>
      <c r="BI153" s="17" t="e">
        <v>#N/A</v>
      </c>
      <c r="BJ153" s="17" t="e">
        <v>#N/A</v>
      </c>
      <c r="BK153" s="17" t="e">
        <v>#N/A</v>
      </c>
      <c r="BL153" s="17" t="e">
        <v>#N/A</v>
      </c>
      <c r="BM153" s="17" t="e">
        <v>#N/A</v>
      </c>
      <c r="BN153" s="17" t="e">
        <v>#N/A</v>
      </c>
      <c r="BO153" s="17" t="e">
        <v>#N/A</v>
      </c>
      <c r="BP153" s="17" t="e">
        <v>#N/A</v>
      </c>
      <c r="BQ153" s="17" t="e">
        <v>#N/A</v>
      </c>
      <c r="BR153" s="17" t="e">
        <v>#N/A</v>
      </c>
      <c r="BS153" s="17" t="e">
        <v>#N/A</v>
      </c>
      <c r="BT153" s="17" t="e">
        <v>#N/A</v>
      </c>
      <c r="BU153" s="17" t="e">
        <v>#N/A</v>
      </c>
      <c r="BV153" s="17" t="e">
        <v>#N/A</v>
      </c>
      <c r="BW153" s="17" t="e">
        <v>#N/A</v>
      </c>
      <c r="BX153" s="17" t="e">
        <v>#N/A</v>
      </c>
      <c r="BY153" s="17" t="e">
        <v>#N/A</v>
      </c>
      <c r="BZ153" s="17" t="e">
        <v>#N/A</v>
      </c>
      <c r="CA153" s="17" t="e">
        <v>#N/A</v>
      </c>
      <c r="CB153" s="17" t="e">
        <v>#N/A</v>
      </c>
      <c r="CC153" s="17" t="e">
        <v>#N/A</v>
      </c>
      <c r="CD153" s="17" t="e">
        <v>#N/A</v>
      </c>
      <c r="CE153" s="17" t="e">
        <v>#N/A</v>
      </c>
      <c r="CF153" s="17" t="e">
        <v>#N/A</v>
      </c>
      <c r="CG153" s="17" t="e">
        <v>#N/A</v>
      </c>
      <c r="CH153" s="17" t="e">
        <v>#N/A</v>
      </c>
      <c r="CI153" s="17" t="e">
        <v>#N/A</v>
      </c>
      <c r="CJ153" s="17" t="e">
        <v>#N/A</v>
      </c>
      <c r="CK153" s="17" t="e">
        <v>#N/A</v>
      </c>
      <c r="CL153" s="17" t="e">
        <v>#N/A</v>
      </c>
      <c r="CM153" s="17" t="e">
        <v>#N/A</v>
      </c>
      <c r="CN153" s="17" t="e">
        <v>#N/A</v>
      </c>
      <c r="CO153" s="17" t="e">
        <v>#N/A</v>
      </c>
      <c r="CP153" s="17" t="e">
        <v>#N/A</v>
      </c>
      <c r="CQ153" s="17" t="e">
        <v>#N/A</v>
      </c>
      <c r="CR153" s="17" t="e">
        <v>#N/A</v>
      </c>
      <c r="CS153" s="17" t="e">
        <v>#N/A</v>
      </c>
      <c r="CT153" s="17" t="e">
        <v>#N/A</v>
      </c>
      <c r="CU153" s="17" t="e">
        <v>#N/A</v>
      </c>
      <c r="CV153" s="17" t="e">
        <v>#N/A</v>
      </c>
      <c r="CW153" s="17" t="e">
        <v>#N/A</v>
      </c>
      <c r="CX153" s="17" t="e">
        <v>#N/A</v>
      </c>
      <c r="CY153" s="17" t="e">
        <v>#N/A</v>
      </c>
      <c r="CZ153" s="17" t="e">
        <v>#N/A</v>
      </c>
      <c r="DA153" s="17" t="e">
        <v>#N/A</v>
      </c>
      <c r="DB153" s="17" t="e">
        <v>#N/A</v>
      </c>
      <c r="DC153" s="17" t="e">
        <v>#N/A</v>
      </c>
      <c r="DD153" s="17" t="e">
        <v>#N/A</v>
      </c>
      <c r="DE153" s="17" t="e">
        <v>#N/A</v>
      </c>
      <c r="DF153" s="17" t="e">
        <v>#N/A</v>
      </c>
      <c r="DG153" s="17" t="e">
        <v>#N/A</v>
      </c>
      <c r="DH153" s="17" t="e">
        <v>#N/A</v>
      </c>
      <c r="DI153" s="17" t="e">
        <v>#N/A</v>
      </c>
      <c r="DJ153" s="17" t="e">
        <v>#N/A</v>
      </c>
      <c r="DK153" s="17" t="e">
        <v>#N/A</v>
      </c>
      <c r="DL153" s="17" t="e">
        <v>#N/A</v>
      </c>
      <c r="DM153" s="17" t="e">
        <v>#N/A</v>
      </c>
      <c r="DN153" s="17" t="e">
        <v>#N/A</v>
      </c>
      <c r="DO153" s="17" t="e">
        <v>#N/A</v>
      </c>
      <c r="DP153" s="17" t="e">
        <v>#N/A</v>
      </c>
      <c r="DQ153" s="17" t="e">
        <v>#N/A</v>
      </c>
      <c r="DR153" s="17" t="e">
        <v>#N/A</v>
      </c>
      <c r="DS153" s="17" t="e">
        <v>#N/A</v>
      </c>
      <c r="DT153" s="17" t="e">
        <v>#N/A</v>
      </c>
      <c r="DU153" s="17" t="e">
        <v>#N/A</v>
      </c>
      <c r="DV153" s="17" t="e">
        <v>#N/A</v>
      </c>
      <c r="DW153" s="17" t="e">
        <v>#N/A</v>
      </c>
      <c r="DX153" s="17" t="e">
        <v>#N/A</v>
      </c>
      <c r="DY153" s="17" t="e">
        <v>#N/A</v>
      </c>
      <c r="DZ153" s="17" t="e">
        <v>#N/A</v>
      </c>
      <c r="EA153" s="17" t="e">
        <v>#N/A</v>
      </c>
      <c r="EB153" s="17" t="e">
        <v>#N/A</v>
      </c>
      <c r="EC153" s="17" t="e">
        <v>#N/A</v>
      </c>
      <c r="ED153" s="17" t="e">
        <v>#N/A</v>
      </c>
      <c r="EE153" s="17" t="e">
        <v>#N/A</v>
      </c>
      <c r="EF153" s="17" t="e">
        <v>#N/A</v>
      </c>
      <c r="EG153" s="17" t="e">
        <v>#N/A</v>
      </c>
      <c r="EH153" s="17" t="e">
        <v>#N/A</v>
      </c>
      <c r="EI153" s="17" t="e">
        <v>#N/A</v>
      </c>
      <c r="EJ153" s="17" t="e">
        <v>#N/A</v>
      </c>
      <c r="EK153" s="17" t="e">
        <v>#N/A</v>
      </c>
      <c r="EL153" s="17" t="e">
        <v>#N/A</v>
      </c>
      <c r="EM153" s="17" t="e">
        <v>#N/A</v>
      </c>
      <c r="EN153" s="17" t="e">
        <v>#N/A</v>
      </c>
      <c r="EO153" s="17" t="e">
        <v>#N/A</v>
      </c>
      <c r="EP153" s="17" t="e">
        <v>#N/A</v>
      </c>
      <c r="EQ153" s="17" t="e">
        <v>#N/A</v>
      </c>
      <c r="ER153" s="17" t="e">
        <v>#N/A</v>
      </c>
      <c r="ES153" s="17" t="e">
        <v>#N/A</v>
      </c>
      <c r="ET153" s="17" t="e">
        <v>#N/A</v>
      </c>
      <c r="EU153" s="17" t="e">
        <v>#N/A</v>
      </c>
      <c r="EV153" s="17" t="e">
        <v>#N/A</v>
      </c>
      <c r="EW153" s="17" t="e">
        <v>#N/A</v>
      </c>
      <c r="EX153" s="17" t="e">
        <v>#N/A</v>
      </c>
      <c r="EY153" s="17" t="e">
        <v>#N/A</v>
      </c>
      <c r="EZ153" s="17" t="e">
        <v>#N/A</v>
      </c>
      <c r="FA153" s="17" t="e">
        <v>#N/A</v>
      </c>
      <c r="FB153" s="17" t="e">
        <v>#N/A</v>
      </c>
      <c r="FC153" s="17" t="e">
        <v>#N/A</v>
      </c>
      <c r="FD153" s="17" t="e">
        <v>#N/A</v>
      </c>
      <c r="FE153" s="17" t="e">
        <v>#N/A</v>
      </c>
      <c r="FF153" s="17" t="e">
        <v>#N/A</v>
      </c>
      <c r="FG153" s="17" t="e">
        <v>#N/A</v>
      </c>
      <c r="FH153" s="17" t="e">
        <v>#N/A</v>
      </c>
      <c r="FI153" s="17" t="e">
        <v>#N/A</v>
      </c>
      <c r="FJ153" s="17" t="e">
        <v>#N/A</v>
      </c>
      <c r="FK153" s="17" t="e">
        <v>#N/A</v>
      </c>
      <c r="FL153" s="17" t="e">
        <v>#N/A</v>
      </c>
      <c r="FM153" s="17" t="e">
        <v>#N/A</v>
      </c>
      <c r="FN153" s="17" t="e">
        <v>#N/A</v>
      </c>
      <c r="FO153" s="17" t="e">
        <v>#N/A</v>
      </c>
      <c r="FP153" s="17" t="e">
        <v>#N/A</v>
      </c>
      <c r="FQ153" s="17" t="e">
        <v>#N/A</v>
      </c>
      <c r="FR153" s="17" t="e">
        <v>#N/A</v>
      </c>
      <c r="FS153" s="17" t="e">
        <v>#N/A</v>
      </c>
      <c r="FT153" s="17" t="e">
        <v>#N/A</v>
      </c>
      <c r="FU153" s="17" t="e">
        <v>#N/A</v>
      </c>
      <c r="FV153" s="17" t="e">
        <v>#N/A</v>
      </c>
    </row>
    <row r="154" spans="2:178" ht="11.25" customHeight="1">
      <c r="B154" s="17" t="e">
        <v>#N/A</v>
      </c>
      <c r="C154" s="17" t="e">
        <v>#N/A</v>
      </c>
      <c r="D154" s="17" t="e">
        <v>#N/A</v>
      </c>
      <c r="E154" s="17" t="e">
        <v>#N/A</v>
      </c>
      <c r="F154" s="17" t="e">
        <v>#N/A</v>
      </c>
      <c r="G154" s="17" t="e">
        <v>#N/A</v>
      </c>
      <c r="H154" s="17" t="e">
        <v>#N/A</v>
      </c>
      <c r="I154" s="17" t="e">
        <v>#N/A</v>
      </c>
      <c r="J154" s="17" t="e">
        <v>#N/A</v>
      </c>
      <c r="K154" s="17" t="e">
        <v>#N/A</v>
      </c>
      <c r="L154" s="17" t="e">
        <v>#N/A</v>
      </c>
      <c r="M154" s="17" t="e">
        <v>#N/A</v>
      </c>
      <c r="N154" s="17" t="e">
        <v>#N/A</v>
      </c>
      <c r="O154" s="17" t="e">
        <v>#N/A</v>
      </c>
      <c r="P154" s="17" t="e">
        <v>#N/A</v>
      </c>
      <c r="Q154" s="17" t="e">
        <v>#N/A</v>
      </c>
      <c r="R154" s="17" t="e">
        <v>#N/A</v>
      </c>
      <c r="S154" s="17" t="e">
        <v>#N/A</v>
      </c>
      <c r="T154" s="17" t="e">
        <v>#N/A</v>
      </c>
      <c r="U154" s="17" t="e">
        <v>#N/A</v>
      </c>
      <c r="V154" s="17" t="e">
        <v>#N/A</v>
      </c>
      <c r="W154" s="17" t="e">
        <v>#N/A</v>
      </c>
      <c r="X154" s="17" t="e">
        <v>#N/A</v>
      </c>
      <c r="Y154" s="17" t="e">
        <v>#N/A</v>
      </c>
      <c r="Z154" s="17" t="e">
        <v>#N/A</v>
      </c>
      <c r="AA154" s="17" t="e">
        <v>#N/A</v>
      </c>
      <c r="AB154" s="17" t="e">
        <v>#N/A</v>
      </c>
      <c r="AC154" s="17" t="e">
        <v>#N/A</v>
      </c>
      <c r="AD154" s="17" t="e">
        <v>#N/A</v>
      </c>
      <c r="AE154" s="17" t="e">
        <v>#N/A</v>
      </c>
      <c r="AF154" s="17" t="e">
        <v>#N/A</v>
      </c>
      <c r="AG154" s="17" t="e">
        <v>#N/A</v>
      </c>
      <c r="AH154" s="17" t="e">
        <v>#N/A</v>
      </c>
      <c r="AI154" s="17" t="e">
        <v>#N/A</v>
      </c>
      <c r="AJ154" s="17" t="e">
        <v>#N/A</v>
      </c>
      <c r="AK154" s="17" t="e">
        <v>#N/A</v>
      </c>
      <c r="AL154" s="17" t="e">
        <v>#N/A</v>
      </c>
      <c r="AM154" s="17" t="e">
        <v>#N/A</v>
      </c>
      <c r="AN154" s="17" t="e">
        <v>#N/A</v>
      </c>
      <c r="AO154" s="17" t="e">
        <v>#N/A</v>
      </c>
      <c r="AP154" s="17" t="e">
        <v>#N/A</v>
      </c>
      <c r="AQ154" s="17" t="e">
        <v>#N/A</v>
      </c>
      <c r="AR154" s="17" t="e">
        <v>#N/A</v>
      </c>
      <c r="AS154" s="17" t="e">
        <v>#N/A</v>
      </c>
      <c r="AT154" s="17" t="e">
        <v>#N/A</v>
      </c>
      <c r="AU154" s="17" t="e">
        <v>#N/A</v>
      </c>
      <c r="AV154" s="17" t="e">
        <v>#N/A</v>
      </c>
      <c r="AW154" s="17" t="e">
        <v>#N/A</v>
      </c>
      <c r="AX154" s="17" t="e">
        <v>#N/A</v>
      </c>
      <c r="AY154" s="17" t="e">
        <v>#N/A</v>
      </c>
      <c r="AZ154" s="17" t="e">
        <v>#N/A</v>
      </c>
      <c r="BA154" s="17" t="e">
        <v>#N/A</v>
      </c>
      <c r="BB154" s="17" t="e">
        <v>#N/A</v>
      </c>
      <c r="BC154" s="17" t="e">
        <v>#N/A</v>
      </c>
      <c r="BD154" s="17" t="e">
        <v>#N/A</v>
      </c>
      <c r="BE154" s="17" t="e">
        <v>#N/A</v>
      </c>
      <c r="BF154" s="17" t="e">
        <v>#N/A</v>
      </c>
      <c r="BG154" s="17" t="e">
        <v>#N/A</v>
      </c>
      <c r="BH154" s="17" t="e">
        <v>#N/A</v>
      </c>
      <c r="BI154" s="17" t="e">
        <v>#N/A</v>
      </c>
      <c r="BJ154" s="17" t="e">
        <v>#N/A</v>
      </c>
      <c r="BK154" s="17" t="e">
        <v>#N/A</v>
      </c>
      <c r="BL154" s="17" t="e">
        <v>#N/A</v>
      </c>
      <c r="BM154" s="17" t="e">
        <v>#N/A</v>
      </c>
      <c r="BN154" s="17" t="e">
        <v>#N/A</v>
      </c>
      <c r="BO154" s="17" t="e">
        <v>#N/A</v>
      </c>
      <c r="BP154" s="17" t="e">
        <v>#N/A</v>
      </c>
      <c r="BQ154" s="17" t="e">
        <v>#N/A</v>
      </c>
      <c r="BR154" s="17" t="e">
        <v>#N/A</v>
      </c>
      <c r="BS154" s="17" t="e">
        <v>#N/A</v>
      </c>
      <c r="BT154" s="17" t="e">
        <v>#N/A</v>
      </c>
      <c r="BU154" s="17" t="e">
        <v>#N/A</v>
      </c>
      <c r="BV154" s="17" t="e">
        <v>#N/A</v>
      </c>
      <c r="BW154" s="17" t="e">
        <v>#N/A</v>
      </c>
      <c r="BX154" s="17" t="e">
        <v>#N/A</v>
      </c>
      <c r="BY154" s="17" t="e">
        <v>#N/A</v>
      </c>
      <c r="BZ154" s="17" t="e">
        <v>#N/A</v>
      </c>
      <c r="CA154" s="17" t="e">
        <v>#N/A</v>
      </c>
      <c r="CB154" s="17" t="e">
        <v>#N/A</v>
      </c>
      <c r="CC154" s="17" t="e">
        <v>#N/A</v>
      </c>
      <c r="CD154" s="17" t="e">
        <v>#N/A</v>
      </c>
      <c r="CE154" s="17" t="e">
        <v>#N/A</v>
      </c>
      <c r="CF154" s="17" t="e">
        <v>#N/A</v>
      </c>
      <c r="CG154" s="17" t="e">
        <v>#N/A</v>
      </c>
      <c r="CH154" s="17" t="e">
        <v>#N/A</v>
      </c>
      <c r="CI154" s="17" t="e">
        <v>#N/A</v>
      </c>
      <c r="CJ154" s="17" t="e">
        <v>#N/A</v>
      </c>
      <c r="CK154" s="17" t="e">
        <v>#N/A</v>
      </c>
      <c r="CL154" s="17" t="e">
        <v>#N/A</v>
      </c>
      <c r="CM154" s="17" t="e">
        <v>#N/A</v>
      </c>
      <c r="CN154" s="17" t="e">
        <v>#N/A</v>
      </c>
      <c r="CO154" s="17" t="e">
        <v>#N/A</v>
      </c>
      <c r="CP154" s="17" t="e">
        <v>#N/A</v>
      </c>
      <c r="CQ154" s="17" t="e">
        <v>#N/A</v>
      </c>
      <c r="CR154" s="17" t="e">
        <v>#N/A</v>
      </c>
      <c r="CS154" s="17" t="e">
        <v>#N/A</v>
      </c>
      <c r="CT154" s="17" t="e">
        <v>#N/A</v>
      </c>
      <c r="CU154" s="17" t="e">
        <v>#N/A</v>
      </c>
      <c r="CV154" s="17" t="e">
        <v>#N/A</v>
      </c>
      <c r="CW154" s="17" t="e">
        <v>#N/A</v>
      </c>
      <c r="CX154" s="17" t="e">
        <v>#N/A</v>
      </c>
      <c r="CY154" s="17" t="e">
        <v>#N/A</v>
      </c>
      <c r="CZ154" s="17" t="e">
        <v>#N/A</v>
      </c>
      <c r="DA154" s="17" t="e">
        <v>#N/A</v>
      </c>
      <c r="DB154" s="17" t="e">
        <v>#N/A</v>
      </c>
      <c r="DC154" s="17" t="e">
        <v>#N/A</v>
      </c>
      <c r="DD154" s="17" t="e">
        <v>#N/A</v>
      </c>
      <c r="DE154" s="17" t="e">
        <v>#N/A</v>
      </c>
      <c r="DF154" s="17" t="e">
        <v>#N/A</v>
      </c>
      <c r="DG154" s="17" t="e">
        <v>#N/A</v>
      </c>
      <c r="DH154" s="17" t="e">
        <v>#N/A</v>
      </c>
      <c r="DI154" s="17" t="e">
        <v>#N/A</v>
      </c>
      <c r="DJ154" s="17" t="e">
        <v>#N/A</v>
      </c>
      <c r="DK154" s="17" t="e">
        <v>#N/A</v>
      </c>
      <c r="DL154" s="17" t="e">
        <v>#N/A</v>
      </c>
      <c r="DM154" s="17" t="e">
        <v>#N/A</v>
      </c>
      <c r="DN154" s="17" t="e">
        <v>#N/A</v>
      </c>
      <c r="DO154" s="17" t="e">
        <v>#N/A</v>
      </c>
      <c r="DP154" s="17" t="e">
        <v>#N/A</v>
      </c>
      <c r="DQ154" s="17" t="e">
        <v>#N/A</v>
      </c>
      <c r="DR154" s="17" t="e">
        <v>#N/A</v>
      </c>
      <c r="DS154" s="17" t="e">
        <v>#N/A</v>
      </c>
      <c r="DT154" s="17" t="e">
        <v>#N/A</v>
      </c>
      <c r="DU154" s="17" t="e">
        <v>#N/A</v>
      </c>
      <c r="DV154" s="17" t="e">
        <v>#N/A</v>
      </c>
      <c r="DW154" s="17" t="e">
        <v>#N/A</v>
      </c>
      <c r="DX154" s="17" t="e">
        <v>#N/A</v>
      </c>
      <c r="DY154" s="17" t="e">
        <v>#N/A</v>
      </c>
      <c r="DZ154" s="17" t="e">
        <v>#N/A</v>
      </c>
      <c r="EA154" s="17" t="e">
        <v>#N/A</v>
      </c>
      <c r="EB154" s="17" t="e">
        <v>#N/A</v>
      </c>
      <c r="EC154" s="17" t="e">
        <v>#N/A</v>
      </c>
      <c r="ED154" s="17" t="e">
        <v>#N/A</v>
      </c>
      <c r="EE154" s="17" t="e">
        <v>#N/A</v>
      </c>
      <c r="EF154" s="17" t="e">
        <v>#N/A</v>
      </c>
      <c r="EG154" s="17" t="e">
        <v>#N/A</v>
      </c>
      <c r="EH154" s="17" t="e">
        <v>#N/A</v>
      </c>
      <c r="EI154" s="17" t="e">
        <v>#N/A</v>
      </c>
      <c r="EJ154" s="17" t="e">
        <v>#N/A</v>
      </c>
      <c r="EK154" s="17" t="e">
        <v>#N/A</v>
      </c>
      <c r="EL154" s="17" t="e">
        <v>#N/A</v>
      </c>
      <c r="EM154" s="17" t="e">
        <v>#N/A</v>
      </c>
      <c r="EN154" s="17" t="e">
        <v>#N/A</v>
      </c>
      <c r="EO154" s="17" t="e">
        <v>#N/A</v>
      </c>
      <c r="EP154" s="17" t="e">
        <v>#N/A</v>
      </c>
      <c r="EQ154" s="17" t="e">
        <v>#N/A</v>
      </c>
      <c r="ER154" s="17" t="e">
        <v>#N/A</v>
      </c>
      <c r="ES154" s="17" t="e">
        <v>#N/A</v>
      </c>
      <c r="ET154" s="17" t="e">
        <v>#N/A</v>
      </c>
      <c r="EU154" s="17" t="e">
        <v>#N/A</v>
      </c>
      <c r="EV154" s="17" t="e">
        <v>#N/A</v>
      </c>
      <c r="EW154" s="17" t="e">
        <v>#N/A</v>
      </c>
      <c r="EX154" s="17" t="e">
        <v>#N/A</v>
      </c>
      <c r="EY154" s="17" t="e">
        <v>#N/A</v>
      </c>
      <c r="EZ154" s="17" t="e">
        <v>#N/A</v>
      </c>
      <c r="FA154" s="17" t="e">
        <v>#N/A</v>
      </c>
      <c r="FB154" s="17" t="e">
        <v>#N/A</v>
      </c>
      <c r="FC154" s="17" t="e">
        <v>#N/A</v>
      </c>
      <c r="FD154" s="17" t="e">
        <v>#N/A</v>
      </c>
      <c r="FE154" s="17" t="e">
        <v>#N/A</v>
      </c>
      <c r="FF154" s="17" t="e">
        <v>#N/A</v>
      </c>
      <c r="FG154" s="17" t="e">
        <v>#N/A</v>
      </c>
      <c r="FH154" s="17" t="e">
        <v>#N/A</v>
      </c>
      <c r="FI154" s="17" t="e">
        <v>#N/A</v>
      </c>
      <c r="FJ154" s="17" t="e">
        <v>#N/A</v>
      </c>
      <c r="FK154" s="17" t="e">
        <v>#N/A</v>
      </c>
      <c r="FL154" s="17" t="e">
        <v>#N/A</v>
      </c>
      <c r="FM154" s="17" t="e">
        <v>#N/A</v>
      </c>
      <c r="FN154" s="17" t="e">
        <v>#N/A</v>
      </c>
      <c r="FO154" s="17" t="e">
        <v>#N/A</v>
      </c>
      <c r="FP154" s="17" t="e">
        <v>#N/A</v>
      </c>
      <c r="FQ154" s="17" t="e">
        <v>#N/A</v>
      </c>
      <c r="FR154" s="17" t="e">
        <v>#N/A</v>
      </c>
      <c r="FS154" s="17" t="e">
        <v>#N/A</v>
      </c>
      <c r="FT154" s="17" t="e">
        <v>#N/A</v>
      </c>
      <c r="FU154" s="17" t="e">
        <v>#N/A</v>
      </c>
      <c r="FV154" s="17" t="e">
        <v>#N/A</v>
      </c>
    </row>
    <row r="155" spans="2:178" ht="11.25" customHeight="1">
      <c r="B155" s="17" t="e">
        <v>#N/A</v>
      </c>
      <c r="C155" s="17" t="e">
        <v>#N/A</v>
      </c>
      <c r="D155" s="17" t="e">
        <v>#N/A</v>
      </c>
      <c r="E155" s="17" t="e">
        <v>#N/A</v>
      </c>
      <c r="F155" s="17" t="e">
        <v>#N/A</v>
      </c>
      <c r="G155" s="17" t="e">
        <v>#N/A</v>
      </c>
      <c r="H155" s="17" t="e">
        <v>#N/A</v>
      </c>
      <c r="I155" s="17" t="e">
        <v>#N/A</v>
      </c>
      <c r="J155" s="17" t="e">
        <v>#N/A</v>
      </c>
      <c r="K155" s="17" t="e">
        <v>#N/A</v>
      </c>
      <c r="L155" s="17" t="e">
        <v>#N/A</v>
      </c>
      <c r="M155" s="17" t="e">
        <v>#N/A</v>
      </c>
      <c r="N155" s="17" t="e">
        <v>#N/A</v>
      </c>
      <c r="O155" s="17" t="e">
        <v>#N/A</v>
      </c>
      <c r="P155" s="17" t="e">
        <v>#N/A</v>
      </c>
      <c r="Q155" s="17" t="e">
        <v>#N/A</v>
      </c>
      <c r="R155" s="17" t="e">
        <v>#N/A</v>
      </c>
      <c r="S155" s="17" t="e">
        <v>#N/A</v>
      </c>
      <c r="T155" s="17" t="e">
        <v>#N/A</v>
      </c>
      <c r="U155" s="17" t="e">
        <v>#N/A</v>
      </c>
      <c r="V155" s="17" t="e">
        <v>#N/A</v>
      </c>
      <c r="W155" s="17" t="e">
        <v>#N/A</v>
      </c>
      <c r="X155" s="17" t="e">
        <v>#N/A</v>
      </c>
      <c r="Y155" s="17" t="e">
        <v>#N/A</v>
      </c>
      <c r="Z155" s="17" t="e">
        <v>#N/A</v>
      </c>
      <c r="AA155" s="17" t="e">
        <v>#N/A</v>
      </c>
      <c r="AB155" s="17" t="e">
        <v>#N/A</v>
      </c>
      <c r="AC155" s="17" t="e">
        <v>#N/A</v>
      </c>
      <c r="AD155" s="17" t="e">
        <v>#N/A</v>
      </c>
      <c r="AE155" s="17" t="e">
        <v>#N/A</v>
      </c>
      <c r="AF155" s="17" t="e">
        <v>#N/A</v>
      </c>
      <c r="AG155" s="17" t="e">
        <v>#N/A</v>
      </c>
      <c r="AH155" s="17" t="e">
        <v>#N/A</v>
      </c>
      <c r="AI155" s="17" t="e">
        <v>#N/A</v>
      </c>
      <c r="AJ155" s="17" t="e">
        <v>#N/A</v>
      </c>
      <c r="AK155" s="17" t="e">
        <v>#N/A</v>
      </c>
      <c r="AL155" s="17" t="e">
        <v>#N/A</v>
      </c>
      <c r="AM155" s="17" t="e">
        <v>#N/A</v>
      </c>
      <c r="AN155" s="17" t="e">
        <v>#N/A</v>
      </c>
      <c r="AO155" s="17" t="e">
        <v>#N/A</v>
      </c>
      <c r="AP155" s="17" t="e">
        <v>#N/A</v>
      </c>
      <c r="AQ155" s="17" t="e">
        <v>#N/A</v>
      </c>
      <c r="AR155" s="17" t="e">
        <v>#N/A</v>
      </c>
      <c r="AS155" s="17" t="e">
        <v>#N/A</v>
      </c>
      <c r="AT155" s="17" t="e">
        <v>#N/A</v>
      </c>
      <c r="AU155" s="17" t="e">
        <v>#N/A</v>
      </c>
      <c r="AV155" s="17" t="e">
        <v>#N/A</v>
      </c>
      <c r="AW155" s="17" t="e">
        <v>#N/A</v>
      </c>
      <c r="AX155" s="17" t="e">
        <v>#N/A</v>
      </c>
      <c r="AY155" s="17" t="e">
        <v>#N/A</v>
      </c>
      <c r="AZ155" s="17" t="e">
        <v>#N/A</v>
      </c>
      <c r="BA155" s="17" t="e">
        <v>#N/A</v>
      </c>
      <c r="BB155" s="17" t="e">
        <v>#N/A</v>
      </c>
      <c r="BC155" s="17" t="e">
        <v>#N/A</v>
      </c>
      <c r="BD155" s="17" t="e">
        <v>#N/A</v>
      </c>
      <c r="BE155" s="17" t="e">
        <v>#N/A</v>
      </c>
      <c r="BF155" s="17" t="e">
        <v>#N/A</v>
      </c>
      <c r="BG155" s="17" t="e">
        <v>#N/A</v>
      </c>
      <c r="BH155" s="17" t="e">
        <v>#N/A</v>
      </c>
      <c r="BI155" s="17" t="e">
        <v>#N/A</v>
      </c>
      <c r="BJ155" s="17" t="e">
        <v>#N/A</v>
      </c>
      <c r="BK155" s="17" t="e">
        <v>#N/A</v>
      </c>
      <c r="BL155" s="17" t="e">
        <v>#N/A</v>
      </c>
      <c r="BM155" s="17" t="e">
        <v>#N/A</v>
      </c>
      <c r="BN155" s="17" t="e">
        <v>#N/A</v>
      </c>
      <c r="BO155" s="17" t="e">
        <v>#N/A</v>
      </c>
      <c r="BP155" s="17" t="e">
        <v>#N/A</v>
      </c>
      <c r="BQ155" s="17" t="e">
        <v>#N/A</v>
      </c>
      <c r="BR155" s="17" t="e">
        <v>#N/A</v>
      </c>
      <c r="BS155" s="17" t="e">
        <v>#N/A</v>
      </c>
      <c r="BT155" s="17" t="e">
        <v>#N/A</v>
      </c>
      <c r="BU155" s="17" t="e">
        <v>#N/A</v>
      </c>
      <c r="BV155" s="17" t="e">
        <v>#N/A</v>
      </c>
      <c r="BW155" s="17" t="e">
        <v>#N/A</v>
      </c>
      <c r="BX155" s="17" t="e">
        <v>#N/A</v>
      </c>
      <c r="BY155" s="17" t="e">
        <v>#N/A</v>
      </c>
      <c r="BZ155" s="17" t="e">
        <v>#N/A</v>
      </c>
      <c r="CA155" s="17" t="e">
        <v>#N/A</v>
      </c>
      <c r="CB155" s="17" t="e">
        <v>#N/A</v>
      </c>
      <c r="CC155" s="17" t="e">
        <v>#N/A</v>
      </c>
      <c r="CD155" s="17" t="e">
        <v>#N/A</v>
      </c>
      <c r="CE155" s="17" t="e">
        <v>#N/A</v>
      </c>
      <c r="CF155" s="17" t="e">
        <v>#N/A</v>
      </c>
      <c r="CG155" s="17" t="e">
        <v>#N/A</v>
      </c>
      <c r="CH155" s="17" t="e">
        <v>#N/A</v>
      </c>
      <c r="CI155" s="17" t="e">
        <v>#N/A</v>
      </c>
      <c r="CJ155" s="17" t="e">
        <v>#N/A</v>
      </c>
      <c r="CK155" s="17" t="e">
        <v>#N/A</v>
      </c>
      <c r="CL155" s="17" t="e">
        <v>#N/A</v>
      </c>
      <c r="CM155" s="17" t="e">
        <v>#N/A</v>
      </c>
      <c r="CN155" s="17" t="e">
        <v>#N/A</v>
      </c>
      <c r="CO155" s="17" t="e">
        <v>#N/A</v>
      </c>
      <c r="CP155" s="17" t="e">
        <v>#N/A</v>
      </c>
      <c r="CQ155" s="17" t="e">
        <v>#N/A</v>
      </c>
      <c r="CR155" s="17" t="e">
        <v>#N/A</v>
      </c>
      <c r="CS155" s="17" t="e">
        <v>#N/A</v>
      </c>
      <c r="CT155" s="17" t="e">
        <v>#N/A</v>
      </c>
      <c r="CU155" s="17" t="e">
        <v>#N/A</v>
      </c>
      <c r="CV155" s="17" t="e">
        <v>#N/A</v>
      </c>
      <c r="CW155" s="17" t="e">
        <v>#N/A</v>
      </c>
      <c r="CX155" s="17" t="e">
        <v>#N/A</v>
      </c>
      <c r="CY155" s="17" t="e">
        <v>#N/A</v>
      </c>
      <c r="CZ155" s="17" t="e">
        <v>#N/A</v>
      </c>
      <c r="DA155" s="17" t="e">
        <v>#N/A</v>
      </c>
      <c r="DB155" s="17" t="e">
        <v>#N/A</v>
      </c>
      <c r="DC155" s="17" t="e">
        <v>#N/A</v>
      </c>
      <c r="DD155" s="17" t="e">
        <v>#N/A</v>
      </c>
      <c r="DE155" s="17" t="e">
        <v>#N/A</v>
      </c>
      <c r="DF155" s="17" t="e">
        <v>#N/A</v>
      </c>
      <c r="DG155" s="17" t="e">
        <v>#N/A</v>
      </c>
      <c r="DH155" s="17" t="e">
        <v>#N/A</v>
      </c>
      <c r="DI155" s="17" t="e">
        <v>#N/A</v>
      </c>
      <c r="DJ155" s="17" t="e">
        <v>#N/A</v>
      </c>
      <c r="DK155" s="17" t="e">
        <v>#N/A</v>
      </c>
      <c r="DL155" s="17" t="e">
        <v>#N/A</v>
      </c>
      <c r="DM155" s="17" t="e">
        <v>#N/A</v>
      </c>
      <c r="DN155" s="17" t="e">
        <v>#N/A</v>
      </c>
      <c r="DO155" s="17" t="e">
        <v>#N/A</v>
      </c>
      <c r="DP155" s="17" t="e">
        <v>#N/A</v>
      </c>
      <c r="DQ155" s="17" t="e">
        <v>#N/A</v>
      </c>
      <c r="DR155" s="17" t="e">
        <v>#N/A</v>
      </c>
      <c r="DS155" s="17" t="e">
        <v>#N/A</v>
      </c>
      <c r="DT155" s="17" t="e">
        <v>#N/A</v>
      </c>
      <c r="DU155" s="17" t="e">
        <v>#N/A</v>
      </c>
      <c r="DV155" s="17" t="e">
        <v>#N/A</v>
      </c>
      <c r="DW155" s="17" t="e">
        <v>#N/A</v>
      </c>
      <c r="DX155" s="17" t="e">
        <v>#N/A</v>
      </c>
      <c r="DY155" s="17" t="e">
        <v>#N/A</v>
      </c>
      <c r="DZ155" s="17" t="e">
        <v>#N/A</v>
      </c>
      <c r="EA155" s="17" t="e">
        <v>#N/A</v>
      </c>
      <c r="EB155" s="17" t="e">
        <v>#N/A</v>
      </c>
      <c r="EC155" s="17" t="e">
        <v>#N/A</v>
      </c>
      <c r="ED155" s="17" t="e">
        <v>#N/A</v>
      </c>
      <c r="EE155" s="17" t="e">
        <v>#N/A</v>
      </c>
      <c r="EF155" s="17" t="e">
        <v>#N/A</v>
      </c>
      <c r="EG155" s="17" t="e">
        <v>#N/A</v>
      </c>
      <c r="EH155" s="17" t="e">
        <v>#N/A</v>
      </c>
      <c r="EI155" s="17" t="e">
        <v>#N/A</v>
      </c>
      <c r="EJ155" s="17" t="e">
        <v>#N/A</v>
      </c>
      <c r="EK155" s="17" t="e">
        <v>#N/A</v>
      </c>
      <c r="EL155" s="17" t="e">
        <v>#N/A</v>
      </c>
      <c r="EM155" s="17" t="e">
        <v>#N/A</v>
      </c>
      <c r="EN155" s="17" t="e">
        <v>#N/A</v>
      </c>
      <c r="EO155" s="17" t="e">
        <v>#N/A</v>
      </c>
      <c r="EP155" s="17" t="e">
        <v>#N/A</v>
      </c>
      <c r="EQ155" s="17" t="e">
        <v>#N/A</v>
      </c>
      <c r="ER155" s="17" t="e">
        <v>#N/A</v>
      </c>
      <c r="ES155" s="17" t="e">
        <v>#N/A</v>
      </c>
      <c r="ET155" s="17" t="e">
        <v>#N/A</v>
      </c>
      <c r="EU155" s="17" t="e">
        <v>#N/A</v>
      </c>
      <c r="EV155" s="17" t="e">
        <v>#N/A</v>
      </c>
      <c r="EW155" s="17" t="e">
        <v>#N/A</v>
      </c>
      <c r="EX155" s="17" t="e">
        <v>#N/A</v>
      </c>
      <c r="EY155" s="17" t="e">
        <v>#N/A</v>
      </c>
      <c r="EZ155" s="17" t="e">
        <v>#N/A</v>
      </c>
      <c r="FA155" s="17" t="e">
        <v>#N/A</v>
      </c>
      <c r="FB155" s="17" t="e">
        <v>#N/A</v>
      </c>
      <c r="FC155" s="17" t="e">
        <v>#N/A</v>
      </c>
      <c r="FD155" s="17" t="e">
        <v>#N/A</v>
      </c>
      <c r="FE155" s="17" t="e">
        <v>#N/A</v>
      </c>
      <c r="FF155" s="17" t="e">
        <v>#N/A</v>
      </c>
      <c r="FG155" s="17" t="e">
        <v>#N/A</v>
      </c>
      <c r="FH155" s="17" t="e">
        <v>#N/A</v>
      </c>
      <c r="FI155" s="17" t="e">
        <v>#N/A</v>
      </c>
      <c r="FJ155" s="17" t="e">
        <v>#N/A</v>
      </c>
      <c r="FK155" s="17" t="e">
        <v>#N/A</v>
      </c>
      <c r="FL155" s="17" t="e">
        <v>#N/A</v>
      </c>
      <c r="FM155" s="17" t="e">
        <v>#N/A</v>
      </c>
      <c r="FN155" s="17" t="e">
        <v>#N/A</v>
      </c>
      <c r="FO155" s="17" t="e">
        <v>#N/A</v>
      </c>
      <c r="FP155" s="17" t="e">
        <v>#N/A</v>
      </c>
      <c r="FQ155" s="17" t="e">
        <v>#N/A</v>
      </c>
      <c r="FR155" s="17" t="e">
        <v>#N/A</v>
      </c>
      <c r="FS155" s="17" t="e">
        <v>#N/A</v>
      </c>
      <c r="FT155" s="17" t="e">
        <v>#N/A</v>
      </c>
      <c r="FU155" s="17" t="e">
        <v>#N/A</v>
      </c>
      <c r="FV155" s="17" t="e">
        <v>#N/A</v>
      </c>
    </row>
    <row r="156" spans="2:178" ht="11.25" customHeight="1">
      <c r="B156" s="17" t="e">
        <v>#N/A</v>
      </c>
      <c r="C156" s="17" t="e">
        <v>#N/A</v>
      </c>
      <c r="D156" s="17" t="e">
        <v>#N/A</v>
      </c>
      <c r="E156" s="17" t="e">
        <v>#N/A</v>
      </c>
      <c r="F156" s="17" t="e">
        <v>#N/A</v>
      </c>
      <c r="G156" s="17" t="e">
        <v>#N/A</v>
      </c>
      <c r="H156" s="17" t="e">
        <v>#N/A</v>
      </c>
      <c r="I156" s="17" t="e">
        <v>#N/A</v>
      </c>
      <c r="J156" s="17" t="e">
        <v>#N/A</v>
      </c>
      <c r="K156" s="17" t="e">
        <v>#N/A</v>
      </c>
      <c r="L156" s="17" t="e">
        <v>#N/A</v>
      </c>
      <c r="M156" s="17" t="e">
        <v>#N/A</v>
      </c>
      <c r="N156" s="17" t="e">
        <v>#N/A</v>
      </c>
      <c r="O156" s="17" t="e">
        <v>#N/A</v>
      </c>
      <c r="P156" s="17" t="e">
        <v>#N/A</v>
      </c>
      <c r="Q156" s="17" t="e">
        <v>#N/A</v>
      </c>
      <c r="R156" s="17" t="e">
        <v>#N/A</v>
      </c>
      <c r="S156" s="17" t="e">
        <v>#N/A</v>
      </c>
      <c r="T156" s="17" t="e">
        <v>#N/A</v>
      </c>
      <c r="U156" s="17" t="e">
        <v>#N/A</v>
      </c>
      <c r="V156" s="17" t="e">
        <v>#N/A</v>
      </c>
      <c r="W156" s="17" t="e">
        <v>#N/A</v>
      </c>
      <c r="X156" s="17" t="e">
        <v>#N/A</v>
      </c>
      <c r="Y156" s="17" t="e">
        <v>#N/A</v>
      </c>
      <c r="Z156" s="17" t="e">
        <v>#N/A</v>
      </c>
      <c r="AA156" s="17" t="e">
        <v>#N/A</v>
      </c>
      <c r="AB156" s="17" t="e">
        <v>#N/A</v>
      </c>
      <c r="AC156" s="17" t="e">
        <v>#N/A</v>
      </c>
      <c r="AD156" s="17" t="e">
        <v>#N/A</v>
      </c>
      <c r="AE156" s="17" t="e">
        <v>#N/A</v>
      </c>
      <c r="AF156" s="17" t="e">
        <v>#N/A</v>
      </c>
      <c r="AG156" s="17" t="e">
        <v>#N/A</v>
      </c>
      <c r="AH156" s="17" t="e">
        <v>#N/A</v>
      </c>
      <c r="AI156" s="17" t="e">
        <v>#N/A</v>
      </c>
      <c r="AJ156" s="17" t="e">
        <v>#N/A</v>
      </c>
      <c r="AK156" s="17" t="e">
        <v>#N/A</v>
      </c>
      <c r="AL156" s="17" t="e">
        <v>#N/A</v>
      </c>
      <c r="AM156" s="17" t="e">
        <v>#N/A</v>
      </c>
      <c r="AN156" s="17" t="e">
        <v>#N/A</v>
      </c>
      <c r="AO156" s="17" t="e">
        <v>#N/A</v>
      </c>
      <c r="AP156" s="17" t="e">
        <v>#N/A</v>
      </c>
      <c r="AQ156" s="17" t="e">
        <v>#N/A</v>
      </c>
      <c r="AR156" s="17" t="e">
        <v>#N/A</v>
      </c>
      <c r="AS156" s="17" t="e">
        <v>#N/A</v>
      </c>
      <c r="AT156" s="17" t="e">
        <v>#N/A</v>
      </c>
      <c r="AU156" s="17" t="e">
        <v>#N/A</v>
      </c>
      <c r="AV156" s="17" t="e">
        <v>#N/A</v>
      </c>
      <c r="AW156" s="17" t="e">
        <v>#N/A</v>
      </c>
      <c r="AX156" s="17" t="e">
        <v>#N/A</v>
      </c>
      <c r="AY156" s="17" t="e">
        <v>#N/A</v>
      </c>
      <c r="AZ156" s="17" t="e">
        <v>#N/A</v>
      </c>
      <c r="BA156" s="17" t="e">
        <v>#N/A</v>
      </c>
      <c r="BB156" s="17" t="e">
        <v>#N/A</v>
      </c>
      <c r="BC156" s="17" t="e">
        <v>#N/A</v>
      </c>
      <c r="BD156" s="17" t="e">
        <v>#N/A</v>
      </c>
      <c r="BE156" s="17" t="e">
        <v>#N/A</v>
      </c>
      <c r="BF156" s="17" t="e">
        <v>#N/A</v>
      </c>
      <c r="BG156" s="17" t="e">
        <v>#N/A</v>
      </c>
      <c r="BH156" s="17" t="e">
        <v>#N/A</v>
      </c>
      <c r="BI156" s="17" t="e">
        <v>#N/A</v>
      </c>
      <c r="BJ156" s="17" t="e">
        <v>#N/A</v>
      </c>
      <c r="BK156" s="17" t="e">
        <v>#N/A</v>
      </c>
      <c r="BL156" s="17" t="e">
        <v>#N/A</v>
      </c>
      <c r="BM156" s="17" t="e">
        <v>#N/A</v>
      </c>
      <c r="BN156" s="17" t="e">
        <v>#N/A</v>
      </c>
      <c r="BO156" s="17" t="e">
        <v>#N/A</v>
      </c>
      <c r="BP156" s="17" t="e">
        <v>#N/A</v>
      </c>
      <c r="BQ156" s="17" t="e">
        <v>#N/A</v>
      </c>
      <c r="BR156" s="17" t="e">
        <v>#N/A</v>
      </c>
      <c r="BS156" s="17" t="e">
        <v>#N/A</v>
      </c>
      <c r="BT156" s="17" t="e">
        <v>#N/A</v>
      </c>
      <c r="BU156" s="17" t="e">
        <v>#N/A</v>
      </c>
      <c r="BV156" s="17" t="e">
        <v>#N/A</v>
      </c>
      <c r="BW156" s="17" t="e">
        <v>#N/A</v>
      </c>
      <c r="BX156" s="17" t="e">
        <v>#N/A</v>
      </c>
      <c r="BY156" s="17" t="e">
        <v>#N/A</v>
      </c>
      <c r="BZ156" s="17" t="e">
        <v>#N/A</v>
      </c>
      <c r="CA156" s="17" t="e">
        <v>#N/A</v>
      </c>
      <c r="CB156" s="17" t="e">
        <v>#N/A</v>
      </c>
      <c r="CC156" s="17" t="e">
        <v>#N/A</v>
      </c>
      <c r="CD156" s="17" t="e">
        <v>#N/A</v>
      </c>
      <c r="CE156" s="17" t="e">
        <v>#N/A</v>
      </c>
      <c r="CF156" s="17" t="e">
        <v>#N/A</v>
      </c>
      <c r="CG156" s="17" t="e">
        <v>#N/A</v>
      </c>
      <c r="CH156" s="17" t="e">
        <v>#N/A</v>
      </c>
      <c r="CI156" s="17" t="e">
        <v>#N/A</v>
      </c>
      <c r="CJ156" s="17" t="e">
        <v>#N/A</v>
      </c>
      <c r="CK156" s="17" t="e">
        <v>#N/A</v>
      </c>
      <c r="CL156" s="17" t="e">
        <v>#N/A</v>
      </c>
      <c r="CM156" s="17" t="e">
        <v>#N/A</v>
      </c>
      <c r="CN156" s="17" t="e">
        <v>#N/A</v>
      </c>
      <c r="CO156" s="17" t="e">
        <v>#N/A</v>
      </c>
      <c r="CP156" s="17" t="e">
        <v>#N/A</v>
      </c>
      <c r="CQ156" s="17" t="e">
        <v>#N/A</v>
      </c>
      <c r="CR156" s="17" t="e">
        <v>#N/A</v>
      </c>
      <c r="CS156" s="17" t="e">
        <v>#N/A</v>
      </c>
      <c r="CT156" s="17" t="e">
        <v>#N/A</v>
      </c>
      <c r="CU156" s="17" t="e">
        <v>#N/A</v>
      </c>
      <c r="CV156" s="17" t="e">
        <v>#N/A</v>
      </c>
      <c r="CW156" s="17" t="e">
        <v>#N/A</v>
      </c>
      <c r="CX156" s="17" t="e">
        <v>#N/A</v>
      </c>
      <c r="CY156" s="17" t="e">
        <v>#N/A</v>
      </c>
      <c r="CZ156" s="17" t="e">
        <v>#N/A</v>
      </c>
      <c r="DA156" s="17" t="e">
        <v>#N/A</v>
      </c>
      <c r="DB156" s="17" t="e">
        <v>#N/A</v>
      </c>
      <c r="DC156" s="17" t="e">
        <v>#N/A</v>
      </c>
      <c r="DD156" s="17" t="e">
        <v>#N/A</v>
      </c>
      <c r="DE156" s="17" t="e">
        <v>#N/A</v>
      </c>
      <c r="DF156" s="17" t="e">
        <v>#N/A</v>
      </c>
      <c r="DG156" s="17" t="e">
        <v>#N/A</v>
      </c>
      <c r="DH156" s="17" t="e">
        <v>#N/A</v>
      </c>
      <c r="DI156" s="17" t="e">
        <v>#N/A</v>
      </c>
      <c r="DJ156" s="17" t="e">
        <v>#N/A</v>
      </c>
      <c r="DK156" s="17" t="e">
        <v>#N/A</v>
      </c>
      <c r="DL156" s="17" t="e">
        <v>#N/A</v>
      </c>
      <c r="DM156" s="17" t="e">
        <v>#N/A</v>
      </c>
      <c r="DN156" s="17" t="e">
        <v>#N/A</v>
      </c>
      <c r="DO156" s="17" t="e">
        <v>#N/A</v>
      </c>
      <c r="DP156" s="17" t="e">
        <v>#N/A</v>
      </c>
      <c r="DQ156" s="17" t="e">
        <v>#N/A</v>
      </c>
      <c r="DR156" s="17" t="e">
        <v>#N/A</v>
      </c>
      <c r="DS156" s="17" t="e">
        <v>#N/A</v>
      </c>
      <c r="DT156" s="17" t="e">
        <v>#N/A</v>
      </c>
      <c r="DU156" s="17" t="e">
        <v>#N/A</v>
      </c>
      <c r="DV156" s="17" t="e">
        <v>#N/A</v>
      </c>
      <c r="DW156" s="17" t="e">
        <v>#N/A</v>
      </c>
      <c r="DX156" s="17" t="e">
        <v>#N/A</v>
      </c>
      <c r="DY156" s="17" t="e">
        <v>#N/A</v>
      </c>
      <c r="DZ156" s="17" t="e">
        <v>#N/A</v>
      </c>
      <c r="EA156" s="17" t="e">
        <v>#N/A</v>
      </c>
      <c r="EB156" s="17" t="e">
        <v>#N/A</v>
      </c>
      <c r="EC156" s="17" t="e">
        <v>#N/A</v>
      </c>
      <c r="ED156" s="17" t="e">
        <v>#N/A</v>
      </c>
      <c r="EE156" s="17" t="e">
        <v>#N/A</v>
      </c>
      <c r="EF156" s="17" t="e">
        <v>#N/A</v>
      </c>
      <c r="EG156" s="17" t="e">
        <v>#N/A</v>
      </c>
      <c r="EH156" s="17" t="e">
        <v>#N/A</v>
      </c>
      <c r="EI156" s="17" t="e">
        <v>#N/A</v>
      </c>
      <c r="EJ156" s="17" t="e">
        <v>#N/A</v>
      </c>
      <c r="EK156" s="17" t="e">
        <v>#N/A</v>
      </c>
      <c r="EL156" s="17" t="e">
        <v>#N/A</v>
      </c>
      <c r="EM156" s="17" t="e">
        <v>#N/A</v>
      </c>
      <c r="EN156" s="17" t="e">
        <v>#N/A</v>
      </c>
      <c r="EO156" s="17" t="e">
        <v>#N/A</v>
      </c>
      <c r="EP156" s="17" t="e">
        <v>#N/A</v>
      </c>
      <c r="EQ156" s="17" t="e">
        <v>#N/A</v>
      </c>
      <c r="ER156" s="17" t="e">
        <v>#N/A</v>
      </c>
      <c r="ES156" s="17" t="e">
        <v>#N/A</v>
      </c>
      <c r="ET156" s="17" t="e">
        <v>#N/A</v>
      </c>
      <c r="EU156" s="17" t="e">
        <v>#N/A</v>
      </c>
      <c r="EV156" s="17" t="e">
        <v>#N/A</v>
      </c>
      <c r="EW156" s="17" t="e">
        <v>#N/A</v>
      </c>
      <c r="EX156" s="17" t="e">
        <v>#N/A</v>
      </c>
      <c r="EY156" s="17" t="e">
        <v>#N/A</v>
      </c>
      <c r="EZ156" s="17" t="e">
        <v>#N/A</v>
      </c>
      <c r="FA156" s="17" t="e">
        <v>#N/A</v>
      </c>
      <c r="FB156" s="17" t="e">
        <v>#N/A</v>
      </c>
      <c r="FC156" s="17" t="e">
        <v>#N/A</v>
      </c>
      <c r="FD156" s="17" t="e">
        <v>#N/A</v>
      </c>
      <c r="FE156" s="17" t="e">
        <v>#N/A</v>
      </c>
      <c r="FF156" s="17" t="e">
        <v>#N/A</v>
      </c>
      <c r="FG156" s="17" t="e">
        <v>#N/A</v>
      </c>
      <c r="FH156" s="17" t="e">
        <v>#N/A</v>
      </c>
      <c r="FI156" s="17" t="e">
        <v>#N/A</v>
      </c>
      <c r="FJ156" s="17" t="e">
        <v>#N/A</v>
      </c>
      <c r="FK156" s="17" t="e">
        <v>#N/A</v>
      </c>
      <c r="FL156" s="17" t="e">
        <v>#N/A</v>
      </c>
      <c r="FM156" s="17" t="e">
        <v>#N/A</v>
      </c>
      <c r="FN156" s="17" t="e">
        <v>#N/A</v>
      </c>
      <c r="FO156" s="17" t="e">
        <v>#N/A</v>
      </c>
      <c r="FP156" s="17" t="e">
        <v>#N/A</v>
      </c>
      <c r="FQ156" s="17" t="e">
        <v>#N/A</v>
      </c>
      <c r="FR156" s="17" t="e">
        <v>#N/A</v>
      </c>
      <c r="FS156" s="17" t="e">
        <v>#N/A</v>
      </c>
      <c r="FT156" s="17" t="e">
        <v>#N/A</v>
      </c>
      <c r="FU156" s="17" t="e">
        <v>#N/A</v>
      </c>
      <c r="FV156" s="17" t="e">
        <v>#N/A</v>
      </c>
    </row>
    <row r="157" spans="2:178" ht="11.25" customHeight="1">
      <c r="B157" s="17" t="e">
        <v>#N/A</v>
      </c>
      <c r="C157" s="17" t="e">
        <v>#N/A</v>
      </c>
      <c r="D157" s="17" t="e">
        <v>#N/A</v>
      </c>
      <c r="E157" s="17" t="e">
        <v>#N/A</v>
      </c>
      <c r="F157" s="17" t="e">
        <v>#N/A</v>
      </c>
      <c r="G157" s="17" t="e">
        <v>#N/A</v>
      </c>
      <c r="H157" s="17" t="e">
        <v>#N/A</v>
      </c>
      <c r="I157" s="17" t="e">
        <v>#N/A</v>
      </c>
      <c r="J157" s="17" t="e">
        <v>#N/A</v>
      </c>
      <c r="K157" s="17" t="e">
        <v>#N/A</v>
      </c>
      <c r="L157" s="17" t="e">
        <v>#N/A</v>
      </c>
      <c r="M157" s="17" t="e">
        <v>#N/A</v>
      </c>
      <c r="N157" s="17" t="e">
        <v>#N/A</v>
      </c>
      <c r="O157" s="17" t="e">
        <v>#N/A</v>
      </c>
      <c r="P157" s="17" t="e">
        <v>#N/A</v>
      </c>
      <c r="Q157" s="17" t="e">
        <v>#N/A</v>
      </c>
      <c r="R157" s="17" t="e">
        <v>#N/A</v>
      </c>
      <c r="S157" s="17" t="e">
        <v>#N/A</v>
      </c>
      <c r="T157" s="17" t="e">
        <v>#N/A</v>
      </c>
      <c r="U157" s="17" t="e">
        <v>#N/A</v>
      </c>
      <c r="V157" s="17" t="e">
        <v>#N/A</v>
      </c>
      <c r="W157" s="17" t="e">
        <v>#N/A</v>
      </c>
      <c r="X157" s="17" t="e">
        <v>#N/A</v>
      </c>
      <c r="Y157" s="17" t="e">
        <v>#N/A</v>
      </c>
      <c r="Z157" s="17" t="e">
        <v>#N/A</v>
      </c>
      <c r="AA157" s="17" t="e">
        <v>#N/A</v>
      </c>
      <c r="AB157" s="17" t="e">
        <v>#N/A</v>
      </c>
      <c r="AC157" s="17" t="e">
        <v>#N/A</v>
      </c>
      <c r="AD157" s="17" t="e">
        <v>#N/A</v>
      </c>
      <c r="AE157" s="17" t="e">
        <v>#N/A</v>
      </c>
      <c r="AF157" s="17" t="e">
        <v>#N/A</v>
      </c>
      <c r="AG157" s="17" t="e">
        <v>#N/A</v>
      </c>
      <c r="AH157" s="17" t="e">
        <v>#N/A</v>
      </c>
      <c r="AI157" s="17" t="e">
        <v>#N/A</v>
      </c>
      <c r="AJ157" s="17" t="e">
        <v>#N/A</v>
      </c>
      <c r="AK157" s="17" t="e">
        <v>#N/A</v>
      </c>
      <c r="AL157" s="17" t="e">
        <v>#N/A</v>
      </c>
      <c r="AM157" s="17" t="e">
        <v>#N/A</v>
      </c>
      <c r="AN157" s="17" t="e">
        <v>#N/A</v>
      </c>
      <c r="AO157" s="17" t="e">
        <v>#N/A</v>
      </c>
      <c r="AP157" s="17" t="e">
        <v>#N/A</v>
      </c>
      <c r="AQ157" s="17" t="e">
        <v>#N/A</v>
      </c>
      <c r="AR157" s="17" t="e">
        <v>#N/A</v>
      </c>
      <c r="AS157" s="17" t="e">
        <v>#N/A</v>
      </c>
      <c r="AT157" s="17" t="e">
        <v>#N/A</v>
      </c>
      <c r="AU157" s="17" t="e">
        <v>#N/A</v>
      </c>
      <c r="AV157" s="17" t="e">
        <v>#N/A</v>
      </c>
      <c r="AW157" s="17" t="e">
        <v>#N/A</v>
      </c>
      <c r="AX157" s="17" t="e">
        <v>#N/A</v>
      </c>
      <c r="AY157" s="17" t="e">
        <v>#N/A</v>
      </c>
      <c r="AZ157" s="17" t="e">
        <v>#N/A</v>
      </c>
      <c r="BA157" s="17" t="e">
        <v>#N/A</v>
      </c>
      <c r="BB157" s="17" t="e">
        <v>#N/A</v>
      </c>
      <c r="BC157" s="17" t="e">
        <v>#N/A</v>
      </c>
      <c r="BD157" s="17" t="e">
        <v>#N/A</v>
      </c>
      <c r="BE157" s="17" t="e">
        <v>#N/A</v>
      </c>
      <c r="BF157" s="17" t="e">
        <v>#N/A</v>
      </c>
      <c r="BG157" s="17" t="e">
        <v>#N/A</v>
      </c>
      <c r="BH157" s="17" t="e">
        <v>#N/A</v>
      </c>
      <c r="BI157" s="17" t="e">
        <v>#N/A</v>
      </c>
      <c r="BJ157" s="17" t="e">
        <v>#N/A</v>
      </c>
      <c r="BK157" s="17" t="e">
        <v>#N/A</v>
      </c>
      <c r="BL157" s="17" t="e">
        <v>#N/A</v>
      </c>
      <c r="BM157" s="17" t="e">
        <v>#N/A</v>
      </c>
      <c r="BN157" s="17" t="e">
        <v>#N/A</v>
      </c>
      <c r="BO157" s="17" t="e">
        <v>#N/A</v>
      </c>
      <c r="BP157" s="17" t="e">
        <v>#N/A</v>
      </c>
      <c r="BQ157" s="17" t="e">
        <v>#N/A</v>
      </c>
      <c r="BR157" s="17" t="e">
        <v>#N/A</v>
      </c>
      <c r="BS157" s="17" t="e">
        <v>#N/A</v>
      </c>
      <c r="BT157" s="17" t="e">
        <v>#N/A</v>
      </c>
      <c r="BU157" s="17" t="e">
        <v>#N/A</v>
      </c>
      <c r="BV157" s="17" t="e">
        <v>#N/A</v>
      </c>
      <c r="BW157" s="17" t="e">
        <v>#N/A</v>
      </c>
      <c r="BX157" s="17" t="e">
        <v>#N/A</v>
      </c>
      <c r="BY157" s="17" t="e">
        <v>#N/A</v>
      </c>
      <c r="BZ157" s="17" t="e">
        <v>#N/A</v>
      </c>
      <c r="CA157" s="17" t="e">
        <v>#N/A</v>
      </c>
      <c r="CB157" s="17" t="e">
        <v>#N/A</v>
      </c>
      <c r="CC157" s="17" t="e">
        <v>#N/A</v>
      </c>
      <c r="CD157" s="17" t="e">
        <v>#N/A</v>
      </c>
      <c r="CE157" s="17" t="e">
        <v>#N/A</v>
      </c>
      <c r="CF157" s="17" t="e">
        <v>#N/A</v>
      </c>
      <c r="CG157" s="17" t="e">
        <v>#N/A</v>
      </c>
      <c r="CH157" s="17" t="e">
        <v>#N/A</v>
      </c>
      <c r="CI157" s="17" t="e">
        <v>#N/A</v>
      </c>
      <c r="CJ157" s="17" t="e">
        <v>#N/A</v>
      </c>
      <c r="CK157" s="17" t="e">
        <v>#N/A</v>
      </c>
      <c r="CL157" s="17" t="e">
        <v>#N/A</v>
      </c>
      <c r="CM157" s="17" t="e">
        <v>#N/A</v>
      </c>
      <c r="CN157" s="17" t="e">
        <v>#N/A</v>
      </c>
      <c r="CO157" s="17" t="e">
        <v>#N/A</v>
      </c>
      <c r="CP157" s="17" t="e">
        <v>#N/A</v>
      </c>
      <c r="CQ157" s="17" t="e">
        <v>#N/A</v>
      </c>
      <c r="CR157" s="17" t="e">
        <v>#N/A</v>
      </c>
      <c r="CS157" s="17" t="e">
        <v>#N/A</v>
      </c>
      <c r="CT157" s="17" t="e">
        <v>#N/A</v>
      </c>
      <c r="CU157" s="17" t="e">
        <v>#N/A</v>
      </c>
      <c r="CV157" s="17" t="e">
        <v>#N/A</v>
      </c>
      <c r="CW157" s="17" t="e">
        <v>#N/A</v>
      </c>
      <c r="CX157" s="17" t="e">
        <v>#N/A</v>
      </c>
      <c r="CY157" s="17" t="e">
        <v>#N/A</v>
      </c>
      <c r="CZ157" s="17" t="e">
        <v>#N/A</v>
      </c>
      <c r="DA157" s="17" t="e">
        <v>#N/A</v>
      </c>
      <c r="DB157" s="17" t="e">
        <v>#N/A</v>
      </c>
      <c r="DC157" s="17" t="e">
        <v>#N/A</v>
      </c>
      <c r="DD157" s="17" t="e">
        <v>#N/A</v>
      </c>
      <c r="DE157" s="17" t="e">
        <v>#N/A</v>
      </c>
      <c r="DF157" s="17" t="e">
        <v>#N/A</v>
      </c>
      <c r="DG157" s="17" t="e">
        <v>#N/A</v>
      </c>
      <c r="DH157" s="17" t="e">
        <v>#N/A</v>
      </c>
      <c r="DI157" s="17" t="e">
        <v>#N/A</v>
      </c>
      <c r="DJ157" s="17" t="e">
        <v>#N/A</v>
      </c>
      <c r="DK157" s="17" t="e">
        <v>#N/A</v>
      </c>
      <c r="DL157" s="17" t="e">
        <v>#N/A</v>
      </c>
      <c r="DM157" s="17" t="e">
        <v>#N/A</v>
      </c>
      <c r="DN157" s="17" t="e">
        <v>#N/A</v>
      </c>
      <c r="DO157" s="17" t="e">
        <v>#N/A</v>
      </c>
      <c r="DP157" s="17" t="e">
        <v>#N/A</v>
      </c>
      <c r="DQ157" s="17" t="e">
        <v>#N/A</v>
      </c>
      <c r="DR157" s="17" t="e">
        <v>#N/A</v>
      </c>
      <c r="DS157" s="17" t="e">
        <v>#N/A</v>
      </c>
      <c r="DT157" s="17" t="e">
        <v>#N/A</v>
      </c>
      <c r="DU157" s="17" t="e">
        <v>#N/A</v>
      </c>
      <c r="DV157" s="17" t="e">
        <v>#N/A</v>
      </c>
      <c r="DW157" s="17" t="e">
        <v>#N/A</v>
      </c>
      <c r="DX157" s="17" t="e">
        <v>#N/A</v>
      </c>
      <c r="DY157" s="17" t="e">
        <v>#N/A</v>
      </c>
      <c r="DZ157" s="17" t="e">
        <v>#N/A</v>
      </c>
      <c r="EA157" s="17" t="e">
        <v>#N/A</v>
      </c>
      <c r="EB157" s="17" t="e">
        <v>#N/A</v>
      </c>
      <c r="EC157" s="17" t="e">
        <v>#N/A</v>
      </c>
      <c r="ED157" s="17" t="e">
        <v>#N/A</v>
      </c>
      <c r="EE157" s="17" t="e">
        <v>#N/A</v>
      </c>
      <c r="EF157" s="17" t="e">
        <v>#N/A</v>
      </c>
      <c r="EG157" s="17" t="e">
        <v>#N/A</v>
      </c>
      <c r="EH157" s="17" t="e">
        <v>#N/A</v>
      </c>
      <c r="EI157" s="17" t="e">
        <v>#N/A</v>
      </c>
      <c r="EJ157" s="17" t="e">
        <v>#N/A</v>
      </c>
      <c r="EK157" s="17" t="e">
        <v>#N/A</v>
      </c>
      <c r="EL157" s="17" t="e">
        <v>#N/A</v>
      </c>
      <c r="EM157" s="17" t="e">
        <v>#N/A</v>
      </c>
      <c r="EN157" s="17" t="e">
        <v>#N/A</v>
      </c>
      <c r="EO157" s="17" t="e">
        <v>#N/A</v>
      </c>
      <c r="EP157" s="17" t="e">
        <v>#N/A</v>
      </c>
      <c r="EQ157" s="17" t="e">
        <v>#N/A</v>
      </c>
      <c r="ER157" s="17" t="e">
        <v>#N/A</v>
      </c>
      <c r="ES157" s="17" t="e">
        <v>#N/A</v>
      </c>
      <c r="ET157" s="17" t="e">
        <v>#N/A</v>
      </c>
      <c r="EU157" s="17" t="e">
        <v>#N/A</v>
      </c>
      <c r="EV157" s="17" t="e">
        <v>#N/A</v>
      </c>
      <c r="EW157" s="17" t="e">
        <v>#N/A</v>
      </c>
      <c r="EX157" s="17" t="e">
        <v>#N/A</v>
      </c>
      <c r="EY157" s="17" t="e">
        <v>#N/A</v>
      </c>
      <c r="EZ157" s="17" t="e">
        <v>#N/A</v>
      </c>
      <c r="FA157" s="17" t="e">
        <v>#N/A</v>
      </c>
      <c r="FB157" s="17" t="e">
        <v>#N/A</v>
      </c>
      <c r="FC157" s="17" t="e">
        <v>#N/A</v>
      </c>
      <c r="FD157" s="17" t="e">
        <v>#N/A</v>
      </c>
      <c r="FE157" s="17" t="e">
        <v>#N/A</v>
      </c>
      <c r="FF157" s="17" t="e">
        <v>#N/A</v>
      </c>
      <c r="FG157" s="17" t="e">
        <v>#N/A</v>
      </c>
      <c r="FH157" s="17" t="e">
        <v>#N/A</v>
      </c>
      <c r="FI157" s="17" t="e">
        <v>#N/A</v>
      </c>
      <c r="FJ157" s="17" t="e">
        <v>#N/A</v>
      </c>
      <c r="FK157" s="17" t="e">
        <v>#N/A</v>
      </c>
      <c r="FL157" s="17" t="e">
        <v>#N/A</v>
      </c>
      <c r="FM157" s="17" t="e">
        <v>#N/A</v>
      </c>
      <c r="FN157" s="17" t="e">
        <v>#N/A</v>
      </c>
      <c r="FO157" s="17" t="e">
        <v>#N/A</v>
      </c>
      <c r="FP157" s="17" t="e">
        <v>#N/A</v>
      </c>
      <c r="FQ157" s="17" t="e">
        <v>#N/A</v>
      </c>
      <c r="FR157" s="17" t="e">
        <v>#N/A</v>
      </c>
      <c r="FS157" s="17" t="e">
        <v>#N/A</v>
      </c>
      <c r="FT157" s="17" t="e">
        <v>#N/A</v>
      </c>
      <c r="FU157" s="17" t="e">
        <v>#N/A</v>
      </c>
      <c r="FV157" s="17" t="e">
        <v>#N/A</v>
      </c>
    </row>
    <row r="158" spans="2:178" ht="11.25" customHeight="1">
      <c r="B158" s="17" t="e">
        <v>#N/A</v>
      </c>
      <c r="C158" s="17" t="e">
        <v>#N/A</v>
      </c>
      <c r="D158" s="17" t="e">
        <v>#N/A</v>
      </c>
      <c r="E158" s="17" t="e">
        <v>#N/A</v>
      </c>
      <c r="F158" s="17" t="e">
        <v>#N/A</v>
      </c>
      <c r="G158" s="17" t="e">
        <v>#N/A</v>
      </c>
      <c r="H158" s="17" t="e">
        <v>#N/A</v>
      </c>
      <c r="I158" s="17" t="e">
        <v>#N/A</v>
      </c>
      <c r="J158" s="17" t="e">
        <v>#N/A</v>
      </c>
      <c r="K158" s="17" t="e">
        <v>#N/A</v>
      </c>
      <c r="L158" s="17" t="e">
        <v>#N/A</v>
      </c>
      <c r="M158" s="17" t="e">
        <v>#N/A</v>
      </c>
      <c r="N158" s="17" t="e">
        <v>#N/A</v>
      </c>
      <c r="O158" s="17" t="e">
        <v>#N/A</v>
      </c>
      <c r="P158" s="17" t="e">
        <v>#N/A</v>
      </c>
      <c r="Q158" s="17" t="e">
        <v>#N/A</v>
      </c>
      <c r="R158" s="17" t="e">
        <v>#N/A</v>
      </c>
      <c r="S158" s="17" t="e">
        <v>#N/A</v>
      </c>
      <c r="T158" s="17" t="e">
        <v>#N/A</v>
      </c>
      <c r="U158" s="17" t="e">
        <v>#N/A</v>
      </c>
      <c r="V158" s="17" t="e">
        <v>#N/A</v>
      </c>
      <c r="W158" s="17" t="e">
        <v>#N/A</v>
      </c>
      <c r="X158" s="17" t="e">
        <v>#N/A</v>
      </c>
      <c r="Y158" s="17" t="e">
        <v>#N/A</v>
      </c>
      <c r="Z158" s="17" t="e">
        <v>#N/A</v>
      </c>
      <c r="AA158" s="17" t="e">
        <v>#N/A</v>
      </c>
      <c r="AB158" s="17" t="e">
        <v>#N/A</v>
      </c>
      <c r="AC158" s="17" t="e">
        <v>#N/A</v>
      </c>
      <c r="AD158" s="17" t="e">
        <v>#N/A</v>
      </c>
      <c r="AE158" s="17" t="e">
        <v>#N/A</v>
      </c>
      <c r="AF158" s="17" t="e">
        <v>#N/A</v>
      </c>
      <c r="AG158" s="17" t="e">
        <v>#N/A</v>
      </c>
      <c r="AH158" s="17" t="e">
        <v>#N/A</v>
      </c>
      <c r="AI158" s="17" t="e">
        <v>#N/A</v>
      </c>
      <c r="AJ158" s="17" t="e">
        <v>#N/A</v>
      </c>
      <c r="AK158" s="17" t="e">
        <v>#N/A</v>
      </c>
      <c r="AL158" s="17" t="e">
        <v>#N/A</v>
      </c>
      <c r="AM158" s="17" t="e">
        <v>#N/A</v>
      </c>
      <c r="AN158" s="17" t="e">
        <v>#N/A</v>
      </c>
      <c r="AO158" s="17" t="e">
        <v>#N/A</v>
      </c>
      <c r="AP158" s="17" t="e">
        <v>#N/A</v>
      </c>
      <c r="AQ158" s="17" t="e">
        <v>#N/A</v>
      </c>
      <c r="AR158" s="17" t="e">
        <v>#N/A</v>
      </c>
      <c r="AS158" s="17" t="e">
        <v>#N/A</v>
      </c>
      <c r="AT158" s="17" t="e">
        <v>#N/A</v>
      </c>
      <c r="AU158" s="17" t="e">
        <v>#N/A</v>
      </c>
      <c r="AV158" s="17" t="e">
        <v>#N/A</v>
      </c>
      <c r="AW158" s="17" t="e">
        <v>#N/A</v>
      </c>
      <c r="AX158" s="17" t="e">
        <v>#N/A</v>
      </c>
      <c r="AY158" s="17" t="e">
        <v>#N/A</v>
      </c>
      <c r="AZ158" s="17" t="e">
        <v>#N/A</v>
      </c>
      <c r="BA158" s="17" t="e">
        <v>#N/A</v>
      </c>
      <c r="BB158" s="17" t="e">
        <v>#N/A</v>
      </c>
      <c r="BC158" s="17" t="e">
        <v>#N/A</v>
      </c>
      <c r="BD158" s="17" t="e">
        <v>#N/A</v>
      </c>
      <c r="BE158" s="17" t="e">
        <v>#N/A</v>
      </c>
      <c r="BF158" s="17" t="e">
        <v>#N/A</v>
      </c>
      <c r="BG158" s="17" t="e">
        <v>#N/A</v>
      </c>
      <c r="BH158" s="17" t="e">
        <v>#N/A</v>
      </c>
      <c r="BI158" s="17" t="e">
        <v>#N/A</v>
      </c>
      <c r="BJ158" s="17" t="e">
        <v>#N/A</v>
      </c>
      <c r="BK158" s="17" t="e">
        <v>#N/A</v>
      </c>
      <c r="BL158" s="17" t="e">
        <v>#N/A</v>
      </c>
      <c r="BM158" s="17" t="e">
        <v>#N/A</v>
      </c>
      <c r="BN158" s="17" t="e">
        <v>#N/A</v>
      </c>
      <c r="BO158" s="17" t="e">
        <v>#N/A</v>
      </c>
      <c r="BP158" s="17" t="e">
        <v>#N/A</v>
      </c>
      <c r="BQ158" s="17" t="e">
        <v>#N/A</v>
      </c>
      <c r="BR158" s="17" t="e">
        <v>#N/A</v>
      </c>
      <c r="BS158" s="17" t="e">
        <v>#N/A</v>
      </c>
      <c r="BT158" s="17" t="e">
        <v>#N/A</v>
      </c>
      <c r="BU158" s="17" t="e">
        <v>#N/A</v>
      </c>
      <c r="BV158" s="17" t="e">
        <v>#N/A</v>
      </c>
      <c r="BW158" s="17" t="e">
        <v>#N/A</v>
      </c>
      <c r="BX158" s="17" t="e">
        <v>#N/A</v>
      </c>
      <c r="BY158" s="17" t="e">
        <v>#N/A</v>
      </c>
      <c r="BZ158" s="17" t="e">
        <v>#N/A</v>
      </c>
      <c r="CA158" s="17" t="e">
        <v>#N/A</v>
      </c>
      <c r="CB158" s="17" t="e">
        <v>#N/A</v>
      </c>
      <c r="CC158" s="17" t="e">
        <v>#N/A</v>
      </c>
      <c r="CD158" s="17" t="e">
        <v>#N/A</v>
      </c>
      <c r="CE158" s="17" t="e">
        <v>#N/A</v>
      </c>
      <c r="CF158" s="17" t="e">
        <v>#N/A</v>
      </c>
      <c r="CG158" s="17" t="e">
        <v>#N/A</v>
      </c>
      <c r="CH158" s="17" t="e">
        <v>#N/A</v>
      </c>
      <c r="CI158" s="17" t="e">
        <v>#N/A</v>
      </c>
      <c r="CJ158" s="17" t="e">
        <v>#N/A</v>
      </c>
      <c r="CK158" s="17" t="e">
        <v>#N/A</v>
      </c>
      <c r="CL158" s="17" t="e">
        <v>#N/A</v>
      </c>
      <c r="CM158" s="17" t="e">
        <v>#N/A</v>
      </c>
      <c r="CN158" s="17" t="e">
        <v>#N/A</v>
      </c>
      <c r="CO158" s="17" t="e">
        <v>#N/A</v>
      </c>
      <c r="CP158" s="17" t="e">
        <v>#N/A</v>
      </c>
      <c r="CQ158" s="17" t="e">
        <v>#N/A</v>
      </c>
      <c r="CR158" s="17" t="e">
        <v>#N/A</v>
      </c>
      <c r="CS158" s="17" t="e">
        <v>#N/A</v>
      </c>
      <c r="CT158" s="17" t="e">
        <v>#N/A</v>
      </c>
      <c r="CU158" s="17" t="e">
        <v>#N/A</v>
      </c>
      <c r="CV158" s="17" t="e">
        <v>#N/A</v>
      </c>
      <c r="CW158" s="17" t="e">
        <v>#N/A</v>
      </c>
      <c r="CX158" s="17" t="e">
        <v>#N/A</v>
      </c>
      <c r="CY158" s="17" t="e">
        <v>#N/A</v>
      </c>
      <c r="CZ158" s="17" t="e">
        <v>#N/A</v>
      </c>
      <c r="DA158" s="17" t="e">
        <v>#N/A</v>
      </c>
      <c r="DB158" s="17" t="e">
        <v>#N/A</v>
      </c>
      <c r="DC158" s="17" t="e">
        <v>#N/A</v>
      </c>
      <c r="DD158" s="17" t="e">
        <v>#N/A</v>
      </c>
      <c r="DE158" s="17" t="e">
        <v>#N/A</v>
      </c>
      <c r="DF158" s="17" t="e">
        <v>#N/A</v>
      </c>
      <c r="DG158" s="17" t="e">
        <v>#N/A</v>
      </c>
      <c r="DH158" s="17" t="e">
        <v>#N/A</v>
      </c>
      <c r="DI158" s="17" t="e">
        <v>#N/A</v>
      </c>
      <c r="DJ158" s="17" t="e">
        <v>#N/A</v>
      </c>
      <c r="DK158" s="17" t="e">
        <v>#N/A</v>
      </c>
      <c r="DL158" s="17" t="e">
        <v>#N/A</v>
      </c>
      <c r="DM158" s="17" t="e">
        <v>#N/A</v>
      </c>
      <c r="DN158" s="17" t="e">
        <v>#N/A</v>
      </c>
      <c r="DO158" s="17" t="e">
        <v>#N/A</v>
      </c>
      <c r="DP158" s="17" t="e">
        <v>#N/A</v>
      </c>
      <c r="DQ158" s="17" t="e">
        <v>#N/A</v>
      </c>
      <c r="DR158" s="17" t="e">
        <v>#N/A</v>
      </c>
      <c r="DS158" s="17" t="e">
        <v>#N/A</v>
      </c>
      <c r="DT158" s="17" t="e">
        <v>#N/A</v>
      </c>
      <c r="DU158" s="17" t="e">
        <v>#N/A</v>
      </c>
      <c r="DV158" s="17" t="e">
        <v>#N/A</v>
      </c>
      <c r="DW158" s="17" t="e">
        <v>#N/A</v>
      </c>
      <c r="DX158" s="17" t="e">
        <v>#N/A</v>
      </c>
      <c r="DY158" s="17" t="e">
        <v>#N/A</v>
      </c>
      <c r="DZ158" s="17" t="e">
        <v>#N/A</v>
      </c>
      <c r="EA158" s="17" t="e">
        <v>#N/A</v>
      </c>
      <c r="EB158" s="17" t="e">
        <v>#N/A</v>
      </c>
      <c r="EC158" s="17" t="e">
        <v>#N/A</v>
      </c>
      <c r="ED158" s="17" t="e">
        <v>#N/A</v>
      </c>
      <c r="EE158" s="17" t="e">
        <v>#N/A</v>
      </c>
      <c r="EF158" s="17" t="e">
        <v>#N/A</v>
      </c>
      <c r="EG158" s="17" t="e">
        <v>#N/A</v>
      </c>
      <c r="EH158" s="17" t="e">
        <v>#N/A</v>
      </c>
      <c r="EI158" s="17" t="e">
        <v>#N/A</v>
      </c>
      <c r="EJ158" s="17" t="e">
        <v>#N/A</v>
      </c>
      <c r="EK158" s="17" t="e">
        <v>#N/A</v>
      </c>
      <c r="EL158" s="17" t="e">
        <v>#N/A</v>
      </c>
      <c r="EM158" s="17" t="e">
        <v>#N/A</v>
      </c>
      <c r="EN158" s="17" t="e">
        <v>#N/A</v>
      </c>
      <c r="EO158" s="17" t="e">
        <v>#N/A</v>
      </c>
      <c r="EP158" s="17" t="e">
        <v>#N/A</v>
      </c>
      <c r="EQ158" s="17" t="e">
        <v>#N/A</v>
      </c>
      <c r="ER158" s="17" t="e">
        <v>#N/A</v>
      </c>
      <c r="ES158" s="17" t="e">
        <v>#N/A</v>
      </c>
      <c r="ET158" s="17" t="e">
        <v>#N/A</v>
      </c>
      <c r="EU158" s="17" t="e">
        <v>#N/A</v>
      </c>
      <c r="EV158" s="17" t="e">
        <v>#N/A</v>
      </c>
      <c r="EW158" s="17" t="e">
        <v>#N/A</v>
      </c>
      <c r="EX158" s="17" t="e">
        <v>#N/A</v>
      </c>
      <c r="EY158" s="17" t="e">
        <v>#N/A</v>
      </c>
      <c r="EZ158" s="17" t="e">
        <v>#N/A</v>
      </c>
      <c r="FA158" s="17" t="e">
        <v>#N/A</v>
      </c>
      <c r="FB158" s="17" t="e">
        <v>#N/A</v>
      </c>
      <c r="FC158" s="17" t="e">
        <v>#N/A</v>
      </c>
      <c r="FD158" s="17" t="e">
        <v>#N/A</v>
      </c>
      <c r="FE158" s="17" t="e">
        <v>#N/A</v>
      </c>
      <c r="FF158" s="17" t="e">
        <v>#N/A</v>
      </c>
      <c r="FG158" s="17" t="e">
        <v>#N/A</v>
      </c>
      <c r="FH158" s="17" t="e">
        <v>#N/A</v>
      </c>
      <c r="FI158" s="17" t="e">
        <v>#N/A</v>
      </c>
      <c r="FJ158" s="17" t="e">
        <v>#N/A</v>
      </c>
      <c r="FK158" s="17" t="e">
        <v>#N/A</v>
      </c>
      <c r="FL158" s="17" t="e">
        <v>#N/A</v>
      </c>
      <c r="FM158" s="17" t="e">
        <v>#N/A</v>
      </c>
      <c r="FN158" s="17" t="e">
        <v>#N/A</v>
      </c>
      <c r="FO158" s="17" t="e">
        <v>#N/A</v>
      </c>
      <c r="FP158" s="17" t="e">
        <v>#N/A</v>
      </c>
      <c r="FQ158" s="17" t="e">
        <v>#N/A</v>
      </c>
      <c r="FR158" s="17" t="e">
        <v>#N/A</v>
      </c>
      <c r="FS158" s="17" t="e">
        <v>#N/A</v>
      </c>
      <c r="FT158" s="17" t="e">
        <v>#N/A</v>
      </c>
      <c r="FU158" s="17" t="e">
        <v>#N/A</v>
      </c>
      <c r="FV158" s="17" t="e">
        <v>#N/A</v>
      </c>
    </row>
    <row r="159" spans="2:178" ht="11.25" customHeight="1">
      <c r="B159" s="17" t="e">
        <v>#N/A</v>
      </c>
      <c r="C159" s="17" t="e">
        <v>#N/A</v>
      </c>
      <c r="D159" s="17" t="e">
        <v>#N/A</v>
      </c>
      <c r="E159" s="17" t="e">
        <v>#N/A</v>
      </c>
      <c r="F159" s="17" t="e">
        <v>#N/A</v>
      </c>
      <c r="G159" s="17" t="e">
        <v>#N/A</v>
      </c>
      <c r="H159" s="17" t="e">
        <v>#N/A</v>
      </c>
      <c r="I159" s="17" t="e">
        <v>#N/A</v>
      </c>
      <c r="J159" s="17" t="e">
        <v>#N/A</v>
      </c>
      <c r="K159" s="17" t="e">
        <v>#N/A</v>
      </c>
      <c r="L159" s="17" t="e">
        <v>#N/A</v>
      </c>
      <c r="M159" s="17" t="e">
        <v>#N/A</v>
      </c>
      <c r="N159" s="17" t="e">
        <v>#N/A</v>
      </c>
      <c r="O159" s="17" t="e">
        <v>#N/A</v>
      </c>
      <c r="P159" s="17" t="e">
        <v>#N/A</v>
      </c>
      <c r="Q159" s="17" t="e">
        <v>#N/A</v>
      </c>
      <c r="R159" s="17" t="e">
        <v>#N/A</v>
      </c>
      <c r="S159" s="17" t="e">
        <v>#N/A</v>
      </c>
      <c r="T159" s="17" t="e">
        <v>#N/A</v>
      </c>
      <c r="U159" s="17" t="e">
        <v>#N/A</v>
      </c>
      <c r="V159" s="17" t="e">
        <v>#N/A</v>
      </c>
      <c r="W159" s="17" t="e">
        <v>#N/A</v>
      </c>
      <c r="X159" s="17" t="e">
        <v>#N/A</v>
      </c>
      <c r="Y159" s="17" t="e">
        <v>#N/A</v>
      </c>
      <c r="Z159" s="17" t="e">
        <v>#N/A</v>
      </c>
      <c r="AA159" s="17" t="e">
        <v>#N/A</v>
      </c>
      <c r="AB159" s="17" t="e">
        <v>#N/A</v>
      </c>
      <c r="AC159" s="17" t="e">
        <v>#N/A</v>
      </c>
      <c r="AD159" s="17" t="e">
        <v>#N/A</v>
      </c>
      <c r="AE159" s="17" t="e">
        <v>#N/A</v>
      </c>
      <c r="AF159" s="17" t="e">
        <v>#N/A</v>
      </c>
      <c r="AG159" s="17" t="e">
        <v>#N/A</v>
      </c>
      <c r="AH159" s="17" t="e">
        <v>#N/A</v>
      </c>
      <c r="AI159" s="17" t="e">
        <v>#N/A</v>
      </c>
      <c r="AJ159" s="17" t="e">
        <v>#N/A</v>
      </c>
      <c r="AK159" s="17" t="e">
        <v>#N/A</v>
      </c>
      <c r="AL159" s="17" t="e">
        <v>#N/A</v>
      </c>
      <c r="AM159" s="17" t="e">
        <v>#N/A</v>
      </c>
      <c r="AN159" s="17" t="e">
        <v>#N/A</v>
      </c>
      <c r="AO159" s="17" t="e">
        <v>#N/A</v>
      </c>
      <c r="AP159" s="17" t="e">
        <v>#N/A</v>
      </c>
      <c r="AQ159" s="17" t="e">
        <v>#N/A</v>
      </c>
      <c r="AR159" s="17" t="e">
        <v>#N/A</v>
      </c>
      <c r="AS159" s="17" t="e">
        <v>#N/A</v>
      </c>
      <c r="AT159" s="17" t="e">
        <v>#N/A</v>
      </c>
      <c r="AU159" s="17" t="e">
        <v>#N/A</v>
      </c>
      <c r="AV159" s="17" t="e">
        <v>#N/A</v>
      </c>
      <c r="AW159" s="17" t="e">
        <v>#N/A</v>
      </c>
      <c r="AX159" s="17" t="e">
        <v>#N/A</v>
      </c>
      <c r="AY159" s="17" t="e">
        <v>#N/A</v>
      </c>
      <c r="AZ159" s="17" t="e">
        <v>#N/A</v>
      </c>
      <c r="BA159" s="17" t="e">
        <v>#N/A</v>
      </c>
      <c r="BB159" s="17" t="e">
        <v>#N/A</v>
      </c>
      <c r="BC159" s="17" t="e">
        <v>#N/A</v>
      </c>
      <c r="BD159" s="17" t="e">
        <v>#N/A</v>
      </c>
      <c r="BE159" s="17" t="e">
        <v>#N/A</v>
      </c>
      <c r="BF159" s="17" t="e">
        <v>#N/A</v>
      </c>
      <c r="BG159" s="17" t="e">
        <v>#N/A</v>
      </c>
      <c r="BH159" s="17" t="e">
        <v>#N/A</v>
      </c>
      <c r="BI159" s="17" t="e">
        <v>#N/A</v>
      </c>
      <c r="BJ159" s="17" t="e">
        <v>#N/A</v>
      </c>
      <c r="BK159" s="17" t="e">
        <v>#N/A</v>
      </c>
      <c r="BL159" s="17" t="e">
        <v>#N/A</v>
      </c>
      <c r="BM159" s="17" t="e">
        <v>#N/A</v>
      </c>
      <c r="BN159" s="17" t="e">
        <v>#N/A</v>
      </c>
      <c r="BO159" s="17" t="e">
        <v>#N/A</v>
      </c>
      <c r="BP159" s="17" t="e">
        <v>#N/A</v>
      </c>
      <c r="BQ159" s="17" t="e">
        <v>#N/A</v>
      </c>
      <c r="BR159" s="17" t="e">
        <v>#N/A</v>
      </c>
      <c r="BS159" s="17" t="e">
        <v>#N/A</v>
      </c>
      <c r="BT159" s="17" t="e">
        <v>#N/A</v>
      </c>
      <c r="BU159" s="17" t="e">
        <v>#N/A</v>
      </c>
      <c r="BV159" s="17" t="e">
        <v>#N/A</v>
      </c>
      <c r="BW159" s="17" t="e">
        <v>#N/A</v>
      </c>
      <c r="BX159" s="17" t="e">
        <v>#N/A</v>
      </c>
      <c r="BY159" s="17" t="e">
        <v>#N/A</v>
      </c>
      <c r="BZ159" s="17" t="e">
        <v>#N/A</v>
      </c>
      <c r="CA159" s="17" t="e">
        <v>#N/A</v>
      </c>
      <c r="CB159" s="17" t="e">
        <v>#N/A</v>
      </c>
      <c r="CC159" s="17" t="e">
        <v>#N/A</v>
      </c>
      <c r="CD159" s="17" t="e">
        <v>#N/A</v>
      </c>
      <c r="CE159" s="17" t="e">
        <v>#N/A</v>
      </c>
      <c r="CF159" s="17" t="e">
        <v>#N/A</v>
      </c>
      <c r="CG159" s="17" t="e">
        <v>#N/A</v>
      </c>
      <c r="CH159" s="17" t="e">
        <v>#N/A</v>
      </c>
      <c r="CI159" s="17" t="e">
        <v>#N/A</v>
      </c>
      <c r="CJ159" s="17" t="e">
        <v>#N/A</v>
      </c>
      <c r="CK159" s="17" t="e">
        <v>#N/A</v>
      </c>
      <c r="CL159" s="17" t="e">
        <v>#N/A</v>
      </c>
      <c r="CM159" s="17" t="e">
        <v>#N/A</v>
      </c>
      <c r="CN159" s="17" t="e">
        <v>#N/A</v>
      </c>
      <c r="CO159" s="17" t="e">
        <v>#N/A</v>
      </c>
      <c r="CP159" s="17" t="e">
        <v>#N/A</v>
      </c>
      <c r="CQ159" s="17" t="e">
        <v>#N/A</v>
      </c>
      <c r="CR159" s="17" t="e">
        <v>#N/A</v>
      </c>
      <c r="CS159" s="17" t="e">
        <v>#N/A</v>
      </c>
      <c r="CT159" s="17" t="e">
        <v>#N/A</v>
      </c>
      <c r="CU159" s="17" t="e">
        <v>#N/A</v>
      </c>
      <c r="CV159" s="17" t="e">
        <v>#N/A</v>
      </c>
      <c r="CW159" s="17" t="e">
        <v>#N/A</v>
      </c>
      <c r="CX159" s="17" t="e">
        <v>#N/A</v>
      </c>
      <c r="CY159" s="17" t="e">
        <v>#N/A</v>
      </c>
      <c r="CZ159" s="17" t="e">
        <v>#N/A</v>
      </c>
      <c r="DA159" s="17" t="e">
        <v>#N/A</v>
      </c>
      <c r="DB159" s="17" t="e">
        <v>#N/A</v>
      </c>
      <c r="DC159" s="17" t="e">
        <v>#N/A</v>
      </c>
      <c r="DD159" s="17" t="e">
        <v>#N/A</v>
      </c>
      <c r="DE159" s="17" t="e">
        <v>#N/A</v>
      </c>
      <c r="DF159" s="17" t="e">
        <v>#N/A</v>
      </c>
      <c r="DG159" s="17" t="e">
        <v>#N/A</v>
      </c>
      <c r="DH159" s="17" t="e">
        <v>#N/A</v>
      </c>
      <c r="DI159" s="17" t="e">
        <v>#N/A</v>
      </c>
      <c r="DJ159" s="17" t="e">
        <v>#N/A</v>
      </c>
      <c r="DK159" s="17" t="e">
        <v>#N/A</v>
      </c>
      <c r="DL159" s="17" t="e">
        <v>#N/A</v>
      </c>
      <c r="DM159" s="17" t="e">
        <v>#N/A</v>
      </c>
      <c r="DN159" s="17" t="e">
        <v>#N/A</v>
      </c>
      <c r="DO159" s="17" t="e">
        <v>#N/A</v>
      </c>
      <c r="DP159" s="17" t="e">
        <v>#N/A</v>
      </c>
      <c r="DQ159" s="17" t="e">
        <v>#N/A</v>
      </c>
      <c r="DR159" s="17" t="e">
        <v>#N/A</v>
      </c>
      <c r="DS159" s="17" t="e">
        <v>#N/A</v>
      </c>
      <c r="DT159" s="17" t="e">
        <v>#N/A</v>
      </c>
      <c r="DU159" s="17" t="e">
        <v>#N/A</v>
      </c>
      <c r="DV159" s="17" t="e">
        <v>#N/A</v>
      </c>
      <c r="DW159" s="17" t="e">
        <v>#N/A</v>
      </c>
      <c r="DX159" s="17" t="e">
        <v>#N/A</v>
      </c>
      <c r="DY159" s="17" t="e">
        <v>#N/A</v>
      </c>
      <c r="DZ159" s="17" t="e">
        <v>#N/A</v>
      </c>
      <c r="EA159" s="17" t="e">
        <v>#N/A</v>
      </c>
      <c r="EB159" s="17" t="e">
        <v>#N/A</v>
      </c>
      <c r="EC159" s="17" t="e">
        <v>#N/A</v>
      </c>
      <c r="ED159" s="17" t="e">
        <v>#N/A</v>
      </c>
      <c r="EE159" s="17" t="e">
        <v>#N/A</v>
      </c>
      <c r="EF159" s="17" t="e">
        <v>#N/A</v>
      </c>
      <c r="EG159" s="17" t="e">
        <v>#N/A</v>
      </c>
      <c r="EH159" s="17" t="e">
        <v>#N/A</v>
      </c>
      <c r="EI159" s="17" t="e">
        <v>#N/A</v>
      </c>
      <c r="EJ159" s="17" t="e">
        <v>#N/A</v>
      </c>
      <c r="EK159" s="17" t="e">
        <v>#N/A</v>
      </c>
      <c r="EL159" s="17" t="e">
        <v>#N/A</v>
      </c>
      <c r="EM159" s="17" t="e">
        <v>#N/A</v>
      </c>
      <c r="EN159" s="17" t="e">
        <v>#N/A</v>
      </c>
      <c r="EO159" s="17" t="e">
        <v>#N/A</v>
      </c>
      <c r="EP159" s="17" t="e">
        <v>#N/A</v>
      </c>
      <c r="EQ159" s="17" t="e">
        <v>#N/A</v>
      </c>
      <c r="ER159" s="17" t="e">
        <v>#N/A</v>
      </c>
      <c r="ES159" s="17" t="e">
        <v>#N/A</v>
      </c>
      <c r="ET159" s="17" t="e">
        <v>#N/A</v>
      </c>
      <c r="EU159" s="17" t="e">
        <v>#N/A</v>
      </c>
      <c r="EV159" s="17" t="e">
        <v>#N/A</v>
      </c>
      <c r="EW159" s="17" t="e">
        <v>#N/A</v>
      </c>
      <c r="EX159" s="17" t="e">
        <v>#N/A</v>
      </c>
      <c r="EY159" s="17" t="e">
        <v>#N/A</v>
      </c>
      <c r="EZ159" s="17" t="e">
        <v>#N/A</v>
      </c>
      <c r="FA159" s="17" t="e">
        <v>#N/A</v>
      </c>
      <c r="FB159" s="17" t="e">
        <v>#N/A</v>
      </c>
      <c r="FC159" s="17" t="e">
        <v>#N/A</v>
      </c>
      <c r="FD159" s="17" t="e">
        <v>#N/A</v>
      </c>
      <c r="FE159" s="17" t="e">
        <v>#N/A</v>
      </c>
      <c r="FF159" s="17" t="e">
        <v>#N/A</v>
      </c>
      <c r="FG159" s="17" t="e">
        <v>#N/A</v>
      </c>
      <c r="FH159" s="17" t="e">
        <v>#N/A</v>
      </c>
      <c r="FI159" s="17" t="e">
        <v>#N/A</v>
      </c>
      <c r="FJ159" s="17" t="e">
        <v>#N/A</v>
      </c>
      <c r="FK159" s="17" t="e">
        <v>#N/A</v>
      </c>
      <c r="FL159" s="17" t="e">
        <v>#N/A</v>
      </c>
      <c r="FM159" s="17" t="e">
        <v>#N/A</v>
      </c>
      <c r="FN159" s="17" t="e">
        <v>#N/A</v>
      </c>
      <c r="FO159" s="17" t="e">
        <v>#N/A</v>
      </c>
      <c r="FP159" s="17" t="e">
        <v>#N/A</v>
      </c>
      <c r="FQ159" s="17" t="e">
        <v>#N/A</v>
      </c>
      <c r="FR159" s="17" t="e">
        <v>#N/A</v>
      </c>
      <c r="FS159" s="17" t="e">
        <v>#N/A</v>
      </c>
      <c r="FT159" s="17" t="e">
        <v>#N/A</v>
      </c>
      <c r="FU159" s="17" t="e">
        <v>#N/A</v>
      </c>
      <c r="FV159" s="17" t="e">
        <v>#N/A</v>
      </c>
    </row>
    <row r="160" spans="2:178" ht="11.25" customHeight="1">
      <c r="B160" s="17" t="e">
        <v>#N/A</v>
      </c>
      <c r="C160" s="17" t="e">
        <v>#N/A</v>
      </c>
      <c r="D160" s="17" t="e">
        <v>#N/A</v>
      </c>
      <c r="E160" s="17" t="e">
        <v>#N/A</v>
      </c>
      <c r="F160" s="17" t="e">
        <v>#N/A</v>
      </c>
      <c r="G160" s="17" t="e">
        <v>#N/A</v>
      </c>
      <c r="H160" s="17" t="e">
        <v>#N/A</v>
      </c>
      <c r="I160" s="17" t="e">
        <v>#N/A</v>
      </c>
      <c r="J160" s="17" t="e">
        <v>#N/A</v>
      </c>
      <c r="K160" s="17" t="e">
        <v>#N/A</v>
      </c>
      <c r="L160" s="17" t="e">
        <v>#N/A</v>
      </c>
      <c r="M160" s="17" t="e">
        <v>#N/A</v>
      </c>
      <c r="N160" s="17" t="e">
        <v>#N/A</v>
      </c>
      <c r="O160" s="17" t="e">
        <v>#N/A</v>
      </c>
      <c r="P160" s="17" t="e">
        <v>#N/A</v>
      </c>
      <c r="Q160" s="17" t="e">
        <v>#N/A</v>
      </c>
      <c r="R160" s="17" t="e">
        <v>#N/A</v>
      </c>
      <c r="S160" s="17" t="e">
        <v>#N/A</v>
      </c>
      <c r="T160" s="17" t="e">
        <v>#N/A</v>
      </c>
      <c r="U160" s="17" t="e">
        <v>#N/A</v>
      </c>
      <c r="V160" s="17" t="e">
        <v>#N/A</v>
      </c>
      <c r="W160" s="17" t="e">
        <v>#N/A</v>
      </c>
      <c r="X160" s="17" t="e">
        <v>#N/A</v>
      </c>
      <c r="Y160" s="17" t="e">
        <v>#N/A</v>
      </c>
      <c r="Z160" s="17" t="e">
        <v>#N/A</v>
      </c>
      <c r="AA160" s="17" t="e">
        <v>#N/A</v>
      </c>
      <c r="AB160" s="17" t="e">
        <v>#N/A</v>
      </c>
      <c r="AC160" s="17" t="e">
        <v>#N/A</v>
      </c>
      <c r="AD160" s="17" t="e">
        <v>#N/A</v>
      </c>
      <c r="AE160" s="17" t="e">
        <v>#N/A</v>
      </c>
      <c r="AF160" s="17" t="e">
        <v>#N/A</v>
      </c>
      <c r="AG160" s="17" t="e">
        <v>#N/A</v>
      </c>
      <c r="AH160" s="17" t="e">
        <v>#N/A</v>
      </c>
      <c r="AI160" s="17" t="e">
        <v>#N/A</v>
      </c>
      <c r="AJ160" s="17" t="e">
        <v>#N/A</v>
      </c>
      <c r="AK160" s="17" t="e">
        <v>#N/A</v>
      </c>
      <c r="AL160" s="17" t="e">
        <v>#N/A</v>
      </c>
      <c r="AM160" s="17" t="e">
        <v>#N/A</v>
      </c>
      <c r="AN160" s="17" t="e">
        <v>#N/A</v>
      </c>
      <c r="AO160" s="17" t="e">
        <v>#N/A</v>
      </c>
      <c r="AP160" s="17" t="e">
        <v>#N/A</v>
      </c>
      <c r="AQ160" s="17" t="e">
        <v>#N/A</v>
      </c>
      <c r="AR160" s="17" t="e">
        <v>#N/A</v>
      </c>
      <c r="AS160" s="17" t="e">
        <v>#N/A</v>
      </c>
      <c r="AT160" s="17" t="e">
        <v>#N/A</v>
      </c>
      <c r="AU160" s="17" t="e">
        <v>#N/A</v>
      </c>
      <c r="AV160" s="17" t="e">
        <v>#N/A</v>
      </c>
      <c r="AW160" s="17" t="e">
        <v>#N/A</v>
      </c>
      <c r="AX160" s="17" t="e">
        <v>#N/A</v>
      </c>
      <c r="AY160" s="17" t="e">
        <v>#N/A</v>
      </c>
      <c r="AZ160" s="17" t="e">
        <v>#N/A</v>
      </c>
      <c r="BA160" s="17" t="e">
        <v>#N/A</v>
      </c>
      <c r="BB160" s="17" t="e">
        <v>#N/A</v>
      </c>
      <c r="BC160" s="17" t="e">
        <v>#N/A</v>
      </c>
      <c r="BD160" s="17" t="e">
        <v>#N/A</v>
      </c>
      <c r="BE160" s="17" t="e">
        <v>#N/A</v>
      </c>
      <c r="BF160" s="17" t="e">
        <v>#N/A</v>
      </c>
      <c r="BG160" s="17" t="e">
        <v>#N/A</v>
      </c>
      <c r="BH160" s="17" t="e">
        <v>#N/A</v>
      </c>
      <c r="BI160" s="17" t="e">
        <v>#N/A</v>
      </c>
      <c r="BJ160" s="17" t="e">
        <v>#N/A</v>
      </c>
      <c r="BK160" s="17" t="e">
        <v>#N/A</v>
      </c>
      <c r="BL160" s="17" t="e">
        <v>#N/A</v>
      </c>
      <c r="BM160" s="17" t="e">
        <v>#N/A</v>
      </c>
      <c r="BN160" s="17" t="e">
        <v>#N/A</v>
      </c>
      <c r="BO160" s="17" t="e">
        <v>#N/A</v>
      </c>
      <c r="BP160" s="17" t="e">
        <v>#N/A</v>
      </c>
      <c r="BQ160" s="17" t="e">
        <v>#N/A</v>
      </c>
      <c r="BR160" s="17" t="e">
        <v>#N/A</v>
      </c>
      <c r="BS160" s="17" t="e">
        <v>#N/A</v>
      </c>
      <c r="BT160" s="17" t="e">
        <v>#N/A</v>
      </c>
      <c r="BU160" s="17" t="e">
        <v>#N/A</v>
      </c>
      <c r="BV160" s="17" t="e">
        <v>#N/A</v>
      </c>
      <c r="BW160" s="17" t="e">
        <v>#N/A</v>
      </c>
      <c r="BX160" s="17" t="e">
        <v>#N/A</v>
      </c>
      <c r="BY160" s="17" t="e">
        <v>#N/A</v>
      </c>
      <c r="BZ160" s="17" t="e">
        <v>#N/A</v>
      </c>
      <c r="CA160" s="17" t="e">
        <v>#N/A</v>
      </c>
      <c r="CB160" s="17" t="e">
        <v>#N/A</v>
      </c>
      <c r="CC160" s="17" t="e">
        <v>#N/A</v>
      </c>
      <c r="CD160" s="17" t="e">
        <v>#N/A</v>
      </c>
      <c r="CE160" s="17" t="e">
        <v>#N/A</v>
      </c>
      <c r="CF160" s="17" t="e">
        <v>#N/A</v>
      </c>
      <c r="CG160" s="17" t="e">
        <v>#N/A</v>
      </c>
      <c r="CH160" s="17" t="e">
        <v>#N/A</v>
      </c>
      <c r="CI160" s="17" t="e">
        <v>#N/A</v>
      </c>
      <c r="CJ160" s="17" t="e">
        <v>#N/A</v>
      </c>
      <c r="CK160" s="17" t="e">
        <v>#N/A</v>
      </c>
      <c r="CL160" s="17" t="e">
        <v>#N/A</v>
      </c>
      <c r="CM160" s="17" t="e">
        <v>#N/A</v>
      </c>
      <c r="CN160" s="17" t="e">
        <v>#N/A</v>
      </c>
      <c r="CO160" s="17" t="e">
        <v>#N/A</v>
      </c>
      <c r="CP160" s="17" t="e">
        <v>#N/A</v>
      </c>
      <c r="CQ160" s="17" t="e">
        <v>#N/A</v>
      </c>
      <c r="CR160" s="17" t="e">
        <v>#N/A</v>
      </c>
      <c r="CS160" s="17" t="e">
        <v>#N/A</v>
      </c>
      <c r="CT160" s="17" t="e">
        <v>#N/A</v>
      </c>
      <c r="CU160" s="17" t="e">
        <v>#N/A</v>
      </c>
      <c r="CV160" s="17" t="e">
        <v>#N/A</v>
      </c>
      <c r="CW160" s="17" t="e">
        <v>#N/A</v>
      </c>
      <c r="CX160" s="17" t="e">
        <v>#N/A</v>
      </c>
      <c r="CY160" s="17" t="e">
        <v>#N/A</v>
      </c>
      <c r="CZ160" s="17" t="e">
        <v>#N/A</v>
      </c>
      <c r="DA160" s="17" t="e">
        <v>#N/A</v>
      </c>
      <c r="DB160" s="17" t="e">
        <v>#N/A</v>
      </c>
      <c r="DC160" s="17" t="e">
        <v>#N/A</v>
      </c>
      <c r="DD160" s="17" t="e">
        <v>#N/A</v>
      </c>
      <c r="DE160" s="17" t="e">
        <v>#N/A</v>
      </c>
      <c r="DF160" s="17" t="e">
        <v>#N/A</v>
      </c>
      <c r="DG160" s="17" t="e">
        <v>#N/A</v>
      </c>
      <c r="DH160" s="17" t="e">
        <v>#N/A</v>
      </c>
      <c r="DI160" s="17" t="e">
        <v>#N/A</v>
      </c>
      <c r="DJ160" s="17" t="e">
        <v>#N/A</v>
      </c>
      <c r="DK160" s="17" t="e">
        <v>#N/A</v>
      </c>
      <c r="DL160" s="17" t="e">
        <v>#N/A</v>
      </c>
      <c r="DM160" s="17" t="e">
        <v>#N/A</v>
      </c>
      <c r="DN160" s="17" t="e">
        <v>#N/A</v>
      </c>
      <c r="DO160" s="17" t="e">
        <v>#N/A</v>
      </c>
      <c r="DP160" s="17" t="e">
        <v>#N/A</v>
      </c>
      <c r="DQ160" s="17" t="e">
        <v>#N/A</v>
      </c>
      <c r="DR160" s="17" t="e">
        <v>#N/A</v>
      </c>
      <c r="DS160" s="17" t="e">
        <v>#N/A</v>
      </c>
      <c r="DT160" s="17" t="e">
        <v>#N/A</v>
      </c>
      <c r="DU160" s="17" t="e">
        <v>#N/A</v>
      </c>
      <c r="DV160" s="17" t="e">
        <v>#N/A</v>
      </c>
      <c r="DW160" s="17" t="e">
        <v>#N/A</v>
      </c>
      <c r="DX160" s="17" t="e">
        <v>#N/A</v>
      </c>
      <c r="DY160" s="17" t="e">
        <v>#N/A</v>
      </c>
      <c r="DZ160" s="17" t="e">
        <v>#N/A</v>
      </c>
      <c r="EA160" s="17" t="e">
        <v>#N/A</v>
      </c>
      <c r="EB160" s="17" t="e">
        <v>#N/A</v>
      </c>
      <c r="EC160" s="17" t="e">
        <v>#N/A</v>
      </c>
      <c r="ED160" s="17" t="e">
        <v>#N/A</v>
      </c>
      <c r="EE160" s="17" t="e">
        <v>#N/A</v>
      </c>
      <c r="EF160" s="17" t="e">
        <v>#N/A</v>
      </c>
      <c r="EG160" s="17" t="e">
        <v>#N/A</v>
      </c>
      <c r="EH160" s="17" t="e">
        <v>#N/A</v>
      </c>
      <c r="EI160" s="17" t="e">
        <v>#N/A</v>
      </c>
      <c r="EJ160" s="17" t="e">
        <v>#N/A</v>
      </c>
      <c r="EK160" s="17" t="e">
        <v>#N/A</v>
      </c>
      <c r="EL160" s="17" t="e">
        <v>#N/A</v>
      </c>
      <c r="EM160" s="17" t="e">
        <v>#N/A</v>
      </c>
      <c r="EN160" s="17" t="e">
        <v>#N/A</v>
      </c>
      <c r="EO160" s="17" t="e">
        <v>#N/A</v>
      </c>
      <c r="EP160" s="17" t="e">
        <v>#N/A</v>
      </c>
      <c r="EQ160" s="17" t="e">
        <v>#N/A</v>
      </c>
      <c r="ER160" s="17" t="e">
        <v>#N/A</v>
      </c>
      <c r="ES160" s="17" t="e">
        <v>#N/A</v>
      </c>
      <c r="ET160" s="17" t="e">
        <v>#N/A</v>
      </c>
      <c r="EU160" s="17" t="e">
        <v>#N/A</v>
      </c>
      <c r="EV160" s="17" t="e">
        <v>#N/A</v>
      </c>
      <c r="EW160" s="17" t="e">
        <v>#N/A</v>
      </c>
      <c r="EX160" s="17" t="e">
        <v>#N/A</v>
      </c>
      <c r="EY160" s="17" t="e">
        <v>#N/A</v>
      </c>
      <c r="EZ160" s="17" t="e">
        <v>#N/A</v>
      </c>
      <c r="FA160" s="17" t="e">
        <v>#N/A</v>
      </c>
      <c r="FB160" s="17" t="e">
        <v>#N/A</v>
      </c>
      <c r="FC160" s="17" t="e">
        <v>#N/A</v>
      </c>
      <c r="FD160" s="17" t="e">
        <v>#N/A</v>
      </c>
      <c r="FE160" s="17" t="e">
        <v>#N/A</v>
      </c>
      <c r="FF160" s="17" t="e">
        <v>#N/A</v>
      </c>
      <c r="FG160" s="17" t="e">
        <v>#N/A</v>
      </c>
      <c r="FH160" s="17" t="e">
        <v>#N/A</v>
      </c>
      <c r="FI160" s="17" t="e">
        <v>#N/A</v>
      </c>
      <c r="FJ160" s="17" t="e">
        <v>#N/A</v>
      </c>
      <c r="FK160" s="17" t="e">
        <v>#N/A</v>
      </c>
      <c r="FL160" s="17" t="e">
        <v>#N/A</v>
      </c>
      <c r="FM160" s="17" t="e">
        <v>#N/A</v>
      </c>
      <c r="FN160" s="17" t="e">
        <v>#N/A</v>
      </c>
      <c r="FO160" s="17" t="e">
        <v>#N/A</v>
      </c>
      <c r="FP160" s="17" t="e">
        <v>#N/A</v>
      </c>
      <c r="FQ160" s="17" t="e">
        <v>#N/A</v>
      </c>
      <c r="FR160" s="17" t="e">
        <v>#N/A</v>
      </c>
      <c r="FS160" s="17" t="e">
        <v>#N/A</v>
      </c>
      <c r="FT160" s="17" t="e">
        <v>#N/A</v>
      </c>
      <c r="FU160" s="17" t="e">
        <v>#N/A</v>
      </c>
      <c r="FV160" s="17" t="e">
        <v>#N/A</v>
      </c>
    </row>
    <row r="161" spans="2:178" ht="11.25" customHeight="1">
      <c r="B161" s="17" t="e">
        <v>#N/A</v>
      </c>
      <c r="C161" s="17" t="e">
        <v>#N/A</v>
      </c>
      <c r="D161" s="17" t="e">
        <v>#N/A</v>
      </c>
      <c r="E161" s="17" t="e">
        <v>#N/A</v>
      </c>
      <c r="F161" s="17" t="e">
        <v>#N/A</v>
      </c>
      <c r="G161" s="17" t="e">
        <v>#N/A</v>
      </c>
      <c r="H161" s="17" t="e">
        <v>#N/A</v>
      </c>
      <c r="I161" s="17" t="e">
        <v>#N/A</v>
      </c>
      <c r="J161" s="17" t="e">
        <v>#N/A</v>
      </c>
      <c r="K161" s="17" t="e">
        <v>#N/A</v>
      </c>
      <c r="L161" s="17" t="e">
        <v>#N/A</v>
      </c>
      <c r="M161" s="17" t="e">
        <v>#N/A</v>
      </c>
      <c r="N161" s="17" t="e">
        <v>#N/A</v>
      </c>
      <c r="O161" s="17" t="e">
        <v>#N/A</v>
      </c>
      <c r="P161" s="17" t="e">
        <v>#N/A</v>
      </c>
      <c r="Q161" s="17" t="e">
        <v>#N/A</v>
      </c>
      <c r="R161" s="17" t="e">
        <v>#N/A</v>
      </c>
      <c r="S161" s="17" t="e">
        <v>#N/A</v>
      </c>
      <c r="T161" s="17" t="e">
        <v>#N/A</v>
      </c>
      <c r="U161" s="17" t="e">
        <v>#N/A</v>
      </c>
      <c r="V161" s="17" t="e">
        <v>#N/A</v>
      </c>
      <c r="W161" s="17" t="e">
        <v>#N/A</v>
      </c>
      <c r="X161" s="17" t="e">
        <v>#N/A</v>
      </c>
      <c r="Y161" s="17" t="e">
        <v>#N/A</v>
      </c>
      <c r="Z161" s="17" t="e">
        <v>#N/A</v>
      </c>
      <c r="AA161" s="17" t="e">
        <v>#N/A</v>
      </c>
      <c r="AB161" s="17" t="e">
        <v>#N/A</v>
      </c>
      <c r="AC161" s="17" t="e">
        <v>#N/A</v>
      </c>
      <c r="AD161" s="17" t="e">
        <v>#N/A</v>
      </c>
      <c r="AE161" s="17" t="e">
        <v>#N/A</v>
      </c>
      <c r="AF161" s="17" t="e">
        <v>#N/A</v>
      </c>
      <c r="AG161" s="17" t="e">
        <v>#N/A</v>
      </c>
      <c r="AH161" s="17" t="e">
        <v>#N/A</v>
      </c>
      <c r="AI161" s="17" t="e">
        <v>#N/A</v>
      </c>
      <c r="AJ161" s="17" t="e">
        <v>#N/A</v>
      </c>
      <c r="AK161" s="17" t="e">
        <v>#N/A</v>
      </c>
      <c r="AL161" s="17" t="e">
        <v>#N/A</v>
      </c>
      <c r="AM161" s="17" t="e">
        <v>#N/A</v>
      </c>
      <c r="AN161" s="17" t="e">
        <v>#N/A</v>
      </c>
      <c r="AO161" s="17" t="e">
        <v>#N/A</v>
      </c>
      <c r="AP161" s="17" t="e">
        <v>#N/A</v>
      </c>
      <c r="AQ161" s="17" t="e">
        <v>#N/A</v>
      </c>
      <c r="AR161" s="17" t="e">
        <v>#N/A</v>
      </c>
      <c r="AS161" s="17" t="e">
        <v>#N/A</v>
      </c>
      <c r="AT161" s="17" t="e">
        <v>#N/A</v>
      </c>
      <c r="AU161" s="17" t="e">
        <v>#N/A</v>
      </c>
      <c r="AV161" s="17" t="e">
        <v>#N/A</v>
      </c>
      <c r="AW161" s="17" t="e">
        <v>#N/A</v>
      </c>
      <c r="AX161" s="17" t="e">
        <v>#N/A</v>
      </c>
      <c r="AY161" s="17" t="e">
        <v>#N/A</v>
      </c>
      <c r="AZ161" s="17" t="e">
        <v>#N/A</v>
      </c>
      <c r="BA161" s="17" t="e">
        <v>#N/A</v>
      </c>
      <c r="BB161" s="17" t="e">
        <v>#N/A</v>
      </c>
      <c r="BC161" s="17" t="e">
        <v>#N/A</v>
      </c>
      <c r="BD161" s="17" t="e">
        <v>#N/A</v>
      </c>
      <c r="BE161" s="17" t="e">
        <v>#N/A</v>
      </c>
      <c r="BF161" s="17" t="e">
        <v>#N/A</v>
      </c>
      <c r="BG161" s="17" t="e">
        <v>#N/A</v>
      </c>
      <c r="BH161" s="17" t="e">
        <v>#N/A</v>
      </c>
      <c r="BI161" s="17" t="e">
        <v>#N/A</v>
      </c>
      <c r="BJ161" s="17" t="e">
        <v>#N/A</v>
      </c>
      <c r="BK161" s="17" t="e">
        <v>#N/A</v>
      </c>
      <c r="BL161" s="17" t="e">
        <v>#N/A</v>
      </c>
      <c r="BM161" s="17" t="e">
        <v>#N/A</v>
      </c>
      <c r="BN161" s="17" t="e">
        <v>#N/A</v>
      </c>
      <c r="BO161" s="17" t="e">
        <v>#N/A</v>
      </c>
      <c r="BP161" s="17" t="e">
        <v>#N/A</v>
      </c>
      <c r="BQ161" s="17" t="e">
        <v>#N/A</v>
      </c>
      <c r="BR161" s="17" t="e">
        <v>#N/A</v>
      </c>
      <c r="BS161" s="17" t="e">
        <v>#N/A</v>
      </c>
      <c r="BT161" s="17" t="e">
        <v>#N/A</v>
      </c>
      <c r="BU161" s="17" t="e">
        <v>#N/A</v>
      </c>
      <c r="BV161" s="17" t="e">
        <v>#N/A</v>
      </c>
      <c r="BW161" s="17" t="e">
        <v>#N/A</v>
      </c>
      <c r="BX161" s="17" t="e">
        <v>#N/A</v>
      </c>
      <c r="BY161" s="17" t="e">
        <v>#N/A</v>
      </c>
      <c r="BZ161" s="17" t="e">
        <v>#N/A</v>
      </c>
      <c r="CA161" s="17" t="e">
        <v>#N/A</v>
      </c>
      <c r="CB161" s="17" t="e">
        <v>#N/A</v>
      </c>
      <c r="CC161" s="17" t="e">
        <v>#N/A</v>
      </c>
      <c r="CD161" s="17" t="e">
        <v>#N/A</v>
      </c>
      <c r="CE161" s="17" t="e">
        <v>#N/A</v>
      </c>
      <c r="CF161" s="17" t="e">
        <v>#N/A</v>
      </c>
      <c r="CG161" s="17" t="e">
        <v>#N/A</v>
      </c>
      <c r="CH161" s="17" t="e">
        <v>#N/A</v>
      </c>
      <c r="CI161" s="17" t="e">
        <v>#N/A</v>
      </c>
      <c r="CJ161" s="17" t="e">
        <v>#N/A</v>
      </c>
      <c r="CK161" s="17" t="e">
        <v>#N/A</v>
      </c>
      <c r="CL161" s="17" t="e">
        <v>#N/A</v>
      </c>
      <c r="CM161" s="17" t="e">
        <v>#N/A</v>
      </c>
      <c r="CN161" s="17" t="e">
        <v>#N/A</v>
      </c>
      <c r="CO161" s="17" t="e">
        <v>#N/A</v>
      </c>
      <c r="CP161" s="17" t="e">
        <v>#N/A</v>
      </c>
      <c r="CQ161" s="17" t="e">
        <v>#N/A</v>
      </c>
      <c r="CR161" s="17" t="e">
        <v>#N/A</v>
      </c>
      <c r="CS161" s="17" t="e">
        <v>#N/A</v>
      </c>
      <c r="CT161" s="17" t="e">
        <v>#N/A</v>
      </c>
      <c r="CU161" s="17" t="e">
        <v>#N/A</v>
      </c>
      <c r="CV161" s="17" t="e">
        <v>#N/A</v>
      </c>
      <c r="CW161" s="17" t="e">
        <v>#N/A</v>
      </c>
      <c r="CX161" s="17" t="e">
        <v>#N/A</v>
      </c>
      <c r="CY161" s="17" t="e">
        <v>#N/A</v>
      </c>
      <c r="CZ161" s="17" t="e">
        <v>#N/A</v>
      </c>
      <c r="DA161" s="17" t="e">
        <v>#N/A</v>
      </c>
      <c r="DB161" s="17" t="e">
        <v>#N/A</v>
      </c>
      <c r="DC161" s="17" t="e">
        <v>#N/A</v>
      </c>
      <c r="DD161" s="17" t="e">
        <v>#N/A</v>
      </c>
      <c r="DE161" s="17" t="e">
        <v>#N/A</v>
      </c>
      <c r="DF161" s="17" t="e">
        <v>#N/A</v>
      </c>
      <c r="DG161" s="17" t="e">
        <v>#N/A</v>
      </c>
      <c r="DH161" s="17" t="e">
        <v>#N/A</v>
      </c>
      <c r="DI161" s="17" t="e">
        <v>#N/A</v>
      </c>
      <c r="DJ161" s="17" t="e">
        <v>#N/A</v>
      </c>
      <c r="DK161" s="17" t="e">
        <v>#N/A</v>
      </c>
      <c r="DL161" s="17" t="e">
        <v>#N/A</v>
      </c>
      <c r="DM161" s="17" t="e">
        <v>#N/A</v>
      </c>
      <c r="DN161" s="17" t="e">
        <v>#N/A</v>
      </c>
      <c r="DO161" s="17" t="e">
        <v>#N/A</v>
      </c>
      <c r="DP161" s="17" t="e">
        <v>#N/A</v>
      </c>
      <c r="DQ161" s="17" t="e">
        <v>#N/A</v>
      </c>
      <c r="DR161" s="17" t="e">
        <v>#N/A</v>
      </c>
      <c r="DS161" s="17" t="e">
        <v>#N/A</v>
      </c>
      <c r="DT161" s="17" t="e">
        <v>#N/A</v>
      </c>
      <c r="DU161" s="17" t="e">
        <v>#N/A</v>
      </c>
      <c r="DV161" s="17" t="e">
        <v>#N/A</v>
      </c>
      <c r="DW161" s="17" t="e">
        <v>#N/A</v>
      </c>
      <c r="DX161" s="17" t="e">
        <v>#N/A</v>
      </c>
      <c r="DY161" s="17" t="e">
        <v>#N/A</v>
      </c>
      <c r="DZ161" s="17" t="e">
        <v>#N/A</v>
      </c>
      <c r="EA161" s="17" t="e">
        <v>#N/A</v>
      </c>
      <c r="EB161" s="17" t="e">
        <v>#N/A</v>
      </c>
      <c r="EC161" s="17" t="e">
        <v>#N/A</v>
      </c>
      <c r="ED161" s="17" t="e">
        <v>#N/A</v>
      </c>
      <c r="EE161" s="17" t="e">
        <v>#N/A</v>
      </c>
      <c r="EF161" s="17" t="e">
        <v>#N/A</v>
      </c>
      <c r="EG161" s="17" t="e">
        <v>#N/A</v>
      </c>
      <c r="EH161" s="17" t="e">
        <v>#N/A</v>
      </c>
      <c r="EI161" s="17" t="e">
        <v>#N/A</v>
      </c>
      <c r="EJ161" s="17" t="e">
        <v>#N/A</v>
      </c>
      <c r="EK161" s="17" t="e">
        <v>#N/A</v>
      </c>
      <c r="EL161" s="17" t="e">
        <v>#N/A</v>
      </c>
      <c r="EM161" s="17" t="e">
        <v>#N/A</v>
      </c>
      <c r="EN161" s="17" t="e">
        <v>#N/A</v>
      </c>
      <c r="EO161" s="17" t="e">
        <v>#N/A</v>
      </c>
      <c r="EP161" s="17" t="e">
        <v>#N/A</v>
      </c>
      <c r="EQ161" s="17" t="e">
        <v>#N/A</v>
      </c>
      <c r="ER161" s="17" t="e">
        <v>#N/A</v>
      </c>
      <c r="ES161" s="17" t="e">
        <v>#N/A</v>
      </c>
      <c r="ET161" s="17" t="e">
        <v>#N/A</v>
      </c>
      <c r="EU161" s="17" t="e">
        <v>#N/A</v>
      </c>
      <c r="EV161" s="17" t="e">
        <v>#N/A</v>
      </c>
      <c r="EW161" s="17" t="e">
        <v>#N/A</v>
      </c>
      <c r="EX161" s="17" t="e">
        <v>#N/A</v>
      </c>
      <c r="EY161" s="17" t="e">
        <v>#N/A</v>
      </c>
      <c r="EZ161" s="17" t="e">
        <v>#N/A</v>
      </c>
      <c r="FA161" s="17" t="e">
        <v>#N/A</v>
      </c>
      <c r="FB161" s="17" t="e">
        <v>#N/A</v>
      </c>
      <c r="FC161" s="17" t="e">
        <v>#N/A</v>
      </c>
      <c r="FD161" s="17" t="e">
        <v>#N/A</v>
      </c>
      <c r="FE161" s="17" t="e">
        <v>#N/A</v>
      </c>
      <c r="FF161" s="17" t="e">
        <v>#N/A</v>
      </c>
      <c r="FG161" s="17" t="e">
        <v>#N/A</v>
      </c>
      <c r="FH161" s="17" t="e">
        <v>#N/A</v>
      </c>
      <c r="FI161" s="17" t="e">
        <v>#N/A</v>
      </c>
      <c r="FJ161" s="17" t="e">
        <v>#N/A</v>
      </c>
      <c r="FK161" s="17" t="e">
        <v>#N/A</v>
      </c>
      <c r="FL161" s="17" t="e">
        <v>#N/A</v>
      </c>
      <c r="FM161" s="17" t="e">
        <v>#N/A</v>
      </c>
      <c r="FN161" s="17" t="e">
        <v>#N/A</v>
      </c>
      <c r="FO161" s="17" t="e">
        <v>#N/A</v>
      </c>
      <c r="FP161" s="17" t="e">
        <v>#N/A</v>
      </c>
      <c r="FQ161" s="17" t="e">
        <v>#N/A</v>
      </c>
      <c r="FR161" s="17" t="e">
        <v>#N/A</v>
      </c>
      <c r="FS161" s="17" t="e">
        <v>#N/A</v>
      </c>
      <c r="FT161" s="17" t="e">
        <v>#N/A</v>
      </c>
      <c r="FU161" s="17" t="e">
        <v>#N/A</v>
      </c>
      <c r="FV161" s="17" t="e">
        <v>#N/A</v>
      </c>
    </row>
    <row r="162" spans="2:178" ht="11.25" customHeight="1">
      <c r="B162" s="17" t="e">
        <v>#N/A</v>
      </c>
      <c r="C162" s="17" t="e">
        <v>#N/A</v>
      </c>
      <c r="D162" s="17" t="e">
        <v>#N/A</v>
      </c>
      <c r="E162" s="17" t="e">
        <v>#N/A</v>
      </c>
      <c r="F162" s="17" t="e">
        <v>#N/A</v>
      </c>
      <c r="G162" s="17" t="e">
        <v>#N/A</v>
      </c>
      <c r="H162" s="17" t="e">
        <v>#N/A</v>
      </c>
      <c r="I162" s="17" t="e">
        <v>#N/A</v>
      </c>
      <c r="J162" s="17" t="e">
        <v>#N/A</v>
      </c>
      <c r="K162" s="17" t="e">
        <v>#N/A</v>
      </c>
      <c r="L162" s="17" t="e">
        <v>#N/A</v>
      </c>
      <c r="M162" s="17" t="e">
        <v>#N/A</v>
      </c>
      <c r="N162" s="17" t="e">
        <v>#N/A</v>
      </c>
      <c r="O162" s="17" t="e">
        <v>#N/A</v>
      </c>
      <c r="P162" s="17" t="e">
        <v>#N/A</v>
      </c>
      <c r="Q162" s="17" t="e">
        <v>#N/A</v>
      </c>
      <c r="R162" s="17" t="e">
        <v>#N/A</v>
      </c>
      <c r="S162" s="17" t="e">
        <v>#N/A</v>
      </c>
      <c r="T162" s="17" t="e">
        <v>#N/A</v>
      </c>
      <c r="U162" s="17" t="e">
        <v>#N/A</v>
      </c>
      <c r="V162" s="17" t="e">
        <v>#N/A</v>
      </c>
      <c r="W162" s="17" t="e">
        <v>#N/A</v>
      </c>
      <c r="X162" s="17" t="e">
        <v>#N/A</v>
      </c>
      <c r="Y162" s="17" t="e">
        <v>#N/A</v>
      </c>
      <c r="Z162" s="17" t="e">
        <v>#N/A</v>
      </c>
      <c r="AA162" s="17" t="e">
        <v>#N/A</v>
      </c>
      <c r="AB162" s="17" t="e">
        <v>#N/A</v>
      </c>
      <c r="AC162" s="17" t="e">
        <v>#N/A</v>
      </c>
      <c r="AD162" s="17" t="e">
        <v>#N/A</v>
      </c>
      <c r="AE162" s="17" t="e">
        <v>#N/A</v>
      </c>
      <c r="AF162" s="17" t="e">
        <v>#N/A</v>
      </c>
      <c r="AG162" s="17" t="e">
        <v>#N/A</v>
      </c>
      <c r="AH162" s="17" t="e">
        <v>#N/A</v>
      </c>
      <c r="AI162" s="17" t="e">
        <v>#N/A</v>
      </c>
      <c r="AJ162" s="17" t="e">
        <v>#N/A</v>
      </c>
      <c r="AK162" s="17" t="e">
        <v>#N/A</v>
      </c>
      <c r="AL162" s="17" t="e">
        <v>#N/A</v>
      </c>
      <c r="AM162" s="17" t="e">
        <v>#N/A</v>
      </c>
      <c r="AN162" s="17" t="e">
        <v>#N/A</v>
      </c>
      <c r="AO162" s="17" t="e">
        <v>#N/A</v>
      </c>
      <c r="AP162" s="17" t="e">
        <v>#N/A</v>
      </c>
      <c r="AQ162" s="17" t="e">
        <v>#N/A</v>
      </c>
      <c r="AR162" s="17" t="e">
        <v>#N/A</v>
      </c>
      <c r="AS162" s="17" t="e">
        <v>#N/A</v>
      </c>
      <c r="AT162" s="17" t="e">
        <v>#N/A</v>
      </c>
      <c r="AU162" s="17" t="e">
        <v>#N/A</v>
      </c>
      <c r="AV162" s="17" t="e">
        <v>#N/A</v>
      </c>
      <c r="AW162" s="17" t="e">
        <v>#N/A</v>
      </c>
      <c r="AX162" s="17" t="e">
        <v>#N/A</v>
      </c>
      <c r="AY162" s="17" t="e">
        <v>#N/A</v>
      </c>
      <c r="AZ162" s="17" t="e">
        <v>#N/A</v>
      </c>
      <c r="BA162" s="17" t="e">
        <v>#N/A</v>
      </c>
      <c r="BB162" s="17" t="e">
        <v>#N/A</v>
      </c>
      <c r="BC162" s="17" t="e">
        <v>#N/A</v>
      </c>
      <c r="BD162" s="17" t="e">
        <v>#N/A</v>
      </c>
      <c r="BE162" s="17" t="e">
        <v>#N/A</v>
      </c>
      <c r="BF162" s="17" t="e">
        <v>#N/A</v>
      </c>
      <c r="BG162" s="17" t="e">
        <v>#N/A</v>
      </c>
      <c r="BH162" s="17" t="e">
        <v>#N/A</v>
      </c>
      <c r="BI162" s="17" t="e">
        <v>#N/A</v>
      </c>
      <c r="BJ162" s="17" t="e">
        <v>#N/A</v>
      </c>
      <c r="BK162" s="17" t="e">
        <v>#N/A</v>
      </c>
      <c r="BL162" s="17" t="e">
        <v>#N/A</v>
      </c>
      <c r="BM162" s="17" t="e">
        <v>#N/A</v>
      </c>
      <c r="BN162" s="17" t="e">
        <v>#N/A</v>
      </c>
      <c r="BO162" s="17" t="e">
        <v>#N/A</v>
      </c>
      <c r="BP162" s="17" t="e">
        <v>#N/A</v>
      </c>
      <c r="BQ162" s="17" t="e">
        <v>#N/A</v>
      </c>
      <c r="BR162" s="17" t="e">
        <v>#N/A</v>
      </c>
      <c r="BS162" s="17" t="e">
        <v>#N/A</v>
      </c>
      <c r="BT162" s="17" t="e">
        <v>#N/A</v>
      </c>
      <c r="BU162" s="17" t="e">
        <v>#N/A</v>
      </c>
      <c r="BV162" s="17" t="e">
        <v>#N/A</v>
      </c>
      <c r="BW162" s="17" t="e">
        <v>#N/A</v>
      </c>
      <c r="BX162" s="17" t="e">
        <v>#N/A</v>
      </c>
      <c r="BY162" s="17" t="e">
        <v>#N/A</v>
      </c>
      <c r="BZ162" s="17" t="e">
        <v>#N/A</v>
      </c>
      <c r="CA162" s="17" t="e">
        <v>#N/A</v>
      </c>
      <c r="CB162" s="17" t="e">
        <v>#N/A</v>
      </c>
      <c r="CC162" s="17" t="e">
        <v>#N/A</v>
      </c>
      <c r="CD162" s="17" t="e">
        <v>#N/A</v>
      </c>
      <c r="CE162" s="17" t="e">
        <v>#N/A</v>
      </c>
      <c r="CF162" s="17" t="e">
        <v>#N/A</v>
      </c>
      <c r="CG162" s="17" t="e">
        <v>#N/A</v>
      </c>
      <c r="CH162" s="17" t="e">
        <v>#N/A</v>
      </c>
      <c r="CI162" s="17" t="e">
        <v>#N/A</v>
      </c>
      <c r="CJ162" s="17" t="e">
        <v>#N/A</v>
      </c>
      <c r="CK162" s="17" t="e">
        <v>#N/A</v>
      </c>
      <c r="CL162" s="17" t="e">
        <v>#N/A</v>
      </c>
      <c r="CM162" s="17" t="e">
        <v>#N/A</v>
      </c>
      <c r="CN162" s="17" t="e">
        <v>#N/A</v>
      </c>
      <c r="CO162" s="17" t="e">
        <v>#N/A</v>
      </c>
      <c r="CP162" s="17" t="e">
        <v>#N/A</v>
      </c>
      <c r="CQ162" s="17" t="e">
        <v>#N/A</v>
      </c>
      <c r="CR162" s="17" t="e">
        <v>#N/A</v>
      </c>
      <c r="CS162" s="17" t="e">
        <v>#N/A</v>
      </c>
      <c r="CT162" s="17" t="e">
        <v>#N/A</v>
      </c>
      <c r="CU162" s="17" t="e">
        <v>#N/A</v>
      </c>
      <c r="CV162" s="17" t="e">
        <v>#N/A</v>
      </c>
      <c r="CW162" s="17" t="e">
        <v>#N/A</v>
      </c>
      <c r="CX162" s="17" t="e">
        <v>#N/A</v>
      </c>
      <c r="CY162" s="17" t="e">
        <v>#N/A</v>
      </c>
      <c r="CZ162" s="17" t="e">
        <v>#N/A</v>
      </c>
      <c r="DA162" s="17" t="e">
        <v>#N/A</v>
      </c>
      <c r="DB162" s="17" t="e">
        <v>#N/A</v>
      </c>
      <c r="DC162" s="17" t="e">
        <v>#N/A</v>
      </c>
      <c r="DD162" s="17" t="e">
        <v>#N/A</v>
      </c>
      <c r="DE162" s="17" t="e">
        <v>#N/A</v>
      </c>
      <c r="DF162" s="17" t="e">
        <v>#N/A</v>
      </c>
      <c r="DG162" s="17" t="e">
        <v>#N/A</v>
      </c>
      <c r="DH162" s="17" t="e">
        <v>#N/A</v>
      </c>
      <c r="DI162" s="17" t="e">
        <v>#N/A</v>
      </c>
      <c r="DJ162" s="17" t="e">
        <v>#N/A</v>
      </c>
      <c r="DK162" s="17" t="e">
        <v>#N/A</v>
      </c>
      <c r="DL162" s="17" t="e">
        <v>#N/A</v>
      </c>
      <c r="DM162" s="17" t="e">
        <v>#N/A</v>
      </c>
      <c r="DN162" s="17" t="e">
        <v>#N/A</v>
      </c>
      <c r="DO162" s="17" t="e">
        <v>#N/A</v>
      </c>
      <c r="DP162" s="17" t="e">
        <v>#N/A</v>
      </c>
      <c r="DQ162" s="17" t="e">
        <v>#N/A</v>
      </c>
      <c r="DR162" s="17" t="e">
        <v>#N/A</v>
      </c>
      <c r="DS162" s="17" t="e">
        <v>#N/A</v>
      </c>
      <c r="DT162" s="17" t="e">
        <v>#N/A</v>
      </c>
      <c r="DU162" s="17" t="e">
        <v>#N/A</v>
      </c>
      <c r="DV162" s="17" t="e">
        <v>#N/A</v>
      </c>
      <c r="DW162" s="17" t="e">
        <v>#N/A</v>
      </c>
      <c r="DX162" s="17" t="e">
        <v>#N/A</v>
      </c>
      <c r="DY162" s="17" t="e">
        <v>#N/A</v>
      </c>
      <c r="DZ162" s="17" t="e">
        <v>#N/A</v>
      </c>
      <c r="EA162" s="17" t="e">
        <v>#N/A</v>
      </c>
      <c r="EB162" s="17" t="e">
        <v>#N/A</v>
      </c>
      <c r="EC162" s="17" t="e">
        <v>#N/A</v>
      </c>
      <c r="ED162" s="17" t="e">
        <v>#N/A</v>
      </c>
      <c r="EE162" s="17" t="e">
        <v>#N/A</v>
      </c>
      <c r="EF162" s="17" t="e">
        <v>#N/A</v>
      </c>
      <c r="EG162" s="17" t="e">
        <v>#N/A</v>
      </c>
      <c r="EH162" s="17" t="e">
        <v>#N/A</v>
      </c>
      <c r="EI162" s="17" t="e">
        <v>#N/A</v>
      </c>
      <c r="EJ162" s="17" t="e">
        <v>#N/A</v>
      </c>
      <c r="EK162" s="17" t="e">
        <v>#N/A</v>
      </c>
      <c r="EL162" s="17" t="e">
        <v>#N/A</v>
      </c>
      <c r="EM162" s="17" t="e">
        <v>#N/A</v>
      </c>
      <c r="EN162" s="17" t="e">
        <v>#N/A</v>
      </c>
      <c r="EO162" s="17" t="e">
        <v>#N/A</v>
      </c>
      <c r="EP162" s="17" t="e">
        <v>#N/A</v>
      </c>
      <c r="EQ162" s="17" t="e">
        <v>#N/A</v>
      </c>
      <c r="ER162" s="17" t="e">
        <v>#N/A</v>
      </c>
      <c r="ES162" s="17" t="e">
        <v>#N/A</v>
      </c>
      <c r="ET162" s="17" t="e">
        <v>#N/A</v>
      </c>
      <c r="EU162" s="17" t="e">
        <v>#N/A</v>
      </c>
      <c r="EV162" s="17" t="e">
        <v>#N/A</v>
      </c>
      <c r="EW162" s="17" t="e">
        <v>#N/A</v>
      </c>
      <c r="EX162" s="17" t="e">
        <v>#N/A</v>
      </c>
      <c r="EY162" s="17" t="e">
        <v>#N/A</v>
      </c>
      <c r="EZ162" s="17" t="e">
        <v>#N/A</v>
      </c>
      <c r="FA162" s="17" t="e">
        <v>#N/A</v>
      </c>
      <c r="FB162" s="17" t="e">
        <v>#N/A</v>
      </c>
      <c r="FC162" s="17" t="e">
        <v>#N/A</v>
      </c>
      <c r="FD162" s="17" t="e">
        <v>#N/A</v>
      </c>
      <c r="FE162" s="17" t="e">
        <v>#N/A</v>
      </c>
      <c r="FF162" s="17" t="e">
        <v>#N/A</v>
      </c>
      <c r="FG162" s="17" t="e">
        <v>#N/A</v>
      </c>
      <c r="FH162" s="17" t="e">
        <v>#N/A</v>
      </c>
      <c r="FI162" s="17" t="e">
        <v>#N/A</v>
      </c>
      <c r="FJ162" s="17" t="e">
        <v>#N/A</v>
      </c>
      <c r="FK162" s="17" t="e">
        <v>#N/A</v>
      </c>
      <c r="FL162" s="17" t="e">
        <v>#N/A</v>
      </c>
      <c r="FM162" s="17" t="e">
        <v>#N/A</v>
      </c>
      <c r="FN162" s="17" t="e">
        <v>#N/A</v>
      </c>
      <c r="FO162" s="17" t="e">
        <v>#N/A</v>
      </c>
      <c r="FP162" s="17" t="e">
        <v>#N/A</v>
      </c>
      <c r="FQ162" s="17" t="e">
        <v>#N/A</v>
      </c>
      <c r="FR162" s="17" t="e">
        <v>#N/A</v>
      </c>
      <c r="FS162" s="17" t="e">
        <v>#N/A</v>
      </c>
      <c r="FT162" s="17" t="e">
        <v>#N/A</v>
      </c>
      <c r="FU162" s="17" t="e">
        <v>#N/A</v>
      </c>
      <c r="FV162" s="17" t="e">
        <v>#N/A</v>
      </c>
    </row>
    <row r="163" spans="2:178" ht="11.25" customHeight="1">
      <c r="B163" s="17" t="e">
        <v>#N/A</v>
      </c>
      <c r="C163" s="17" t="e">
        <v>#N/A</v>
      </c>
      <c r="D163" s="17" t="e">
        <v>#N/A</v>
      </c>
      <c r="E163" s="17" t="e">
        <v>#N/A</v>
      </c>
      <c r="F163" s="17" t="e">
        <v>#N/A</v>
      </c>
      <c r="G163" s="17" t="e">
        <v>#N/A</v>
      </c>
      <c r="H163" s="17" t="e">
        <v>#N/A</v>
      </c>
      <c r="I163" s="17" t="e">
        <v>#N/A</v>
      </c>
      <c r="J163" s="17" t="e">
        <v>#N/A</v>
      </c>
      <c r="K163" s="17" t="e">
        <v>#N/A</v>
      </c>
      <c r="L163" s="17" t="e">
        <v>#N/A</v>
      </c>
      <c r="M163" s="17" t="e">
        <v>#N/A</v>
      </c>
      <c r="N163" s="17" t="e">
        <v>#N/A</v>
      </c>
      <c r="O163" s="17" t="e">
        <v>#N/A</v>
      </c>
      <c r="P163" s="17" t="e">
        <v>#N/A</v>
      </c>
      <c r="Q163" s="17" t="e">
        <v>#N/A</v>
      </c>
      <c r="R163" s="17" t="e">
        <v>#N/A</v>
      </c>
      <c r="S163" s="17" t="e">
        <v>#N/A</v>
      </c>
      <c r="T163" s="17" t="e">
        <v>#N/A</v>
      </c>
      <c r="U163" s="17" t="e">
        <v>#N/A</v>
      </c>
      <c r="V163" s="17" t="e">
        <v>#N/A</v>
      </c>
      <c r="W163" s="17" t="e">
        <v>#N/A</v>
      </c>
      <c r="X163" s="17" t="e">
        <v>#N/A</v>
      </c>
      <c r="Y163" s="17" t="e">
        <v>#N/A</v>
      </c>
      <c r="Z163" s="17" t="e">
        <v>#N/A</v>
      </c>
      <c r="AA163" s="17" t="e">
        <v>#N/A</v>
      </c>
      <c r="AB163" s="17" t="e">
        <v>#N/A</v>
      </c>
      <c r="AC163" s="17" t="e">
        <v>#N/A</v>
      </c>
      <c r="AD163" s="17" t="e">
        <v>#N/A</v>
      </c>
      <c r="AE163" s="17" t="e">
        <v>#N/A</v>
      </c>
      <c r="AF163" s="17" t="e">
        <v>#N/A</v>
      </c>
      <c r="AG163" s="17" t="e">
        <v>#N/A</v>
      </c>
      <c r="AH163" s="17" t="e">
        <v>#N/A</v>
      </c>
      <c r="AI163" s="17" t="e">
        <v>#N/A</v>
      </c>
      <c r="AJ163" s="17" t="e">
        <v>#N/A</v>
      </c>
      <c r="AK163" s="17" t="e">
        <v>#N/A</v>
      </c>
      <c r="AL163" s="17" t="e">
        <v>#N/A</v>
      </c>
      <c r="AM163" s="17" t="e">
        <v>#N/A</v>
      </c>
      <c r="AN163" s="17" t="e">
        <v>#N/A</v>
      </c>
      <c r="AO163" s="17" t="e">
        <v>#N/A</v>
      </c>
      <c r="AP163" s="17" t="e">
        <v>#N/A</v>
      </c>
      <c r="AQ163" s="17" t="e">
        <v>#N/A</v>
      </c>
      <c r="AR163" s="17" t="e">
        <v>#N/A</v>
      </c>
      <c r="AS163" s="17" t="e">
        <v>#N/A</v>
      </c>
      <c r="AT163" s="17" t="e">
        <v>#N/A</v>
      </c>
      <c r="AU163" s="17" t="e">
        <v>#N/A</v>
      </c>
      <c r="AV163" s="17" t="e">
        <v>#N/A</v>
      </c>
      <c r="AW163" s="17" t="e">
        <v>#N/A</v>
      </c>
      <c r="AX163" s="17" t="e">
        <v>#N/A</v>
      </c>
      <c r="AY163" s="17" t="e">
        <v>#N/A</v>
      </c>
      <c r="AZ163" s="17" t="e">
        <v>#N/A</v>
      </c>
      <c r="BA163" s="17" t="e">
        <v>#N/A</v>
      </c>
      <c r="BB163" s="17" t="e">
        <v>#N/A</v>
      </c>
      <c r="BC163" s="17" t="e">
        <v>#N/A</v>
      </c>
      <c r="BD163" s="17" t="e">
        <v>#N/A</v>
      </c>
      <c r="BE163" s="17" t="e">
        <v>#N/A</v>
      </c>
      <c r="BF163" s="17" t="e">
        <v>#N/A</v>
      </c>
      <c r="BG163" s="17" t="e">
        <v>#N/A</v>
      </c>
      <c r="BH163" s="17" t="e">
        <v>#N/A</v>
      </c>
      <c r="BI163" s="17" t="e">
        <v>#N/A</v>
      </c>
      <c r="BJ163" s="17" t="e">
        <v>#N/A</v>
      </c>
      <c r="BK163" s="17" t="e">
        <v>#N/A</v>
      </c>
      <c r="BL163" s="17" t="e">
        <v>#N/A</v>
      </c>
      <c r="BM163" s="17" t="e">
        <v>#N/A</v>
      </c>
      <c r="BN163" s="17" t="e">
        <v>#N/A</v>
      </c>
      <c r="BO163" s="17" t="e">
        <v>#N/A</v>
      </c>
      <c r="BP163" s="17" t="e">
        <v>#N/A</v>
      </c>
      <c r="BQ163" s="17" t="e">
        <v>#N/A</v>
      </c>
      <c r="BR163" s="17" t="e">
        <v>#N/A</v>
      </c>
      <c r="BS163" s="17" t="e">
        <v>#N/A</v>
      </c>
      <c r="BT163" s="17" t="e">
        <v>#N/A</v>
      </c>
      <c r="BU163" s="17" t="e">
        <v>#N/A</v>
      </c>
      <c r="BV163" s="17" t="e">
        <v>#N/A</v>
      </c>
      <c r="BW163" s="17" t="e">
        <v>#N/A</v>
      </c>
      <c r="BX163" s="17" t="e">
        <v>#N/A</v>
      </c>
      <c r="BY163" s="17" t="e">
        <v>#N/A</v>
      </c>
      <c r="BZ163" s="17" t="e">
        <v>#N/A</v>
      </c>
      <c r="CA163" s="17" t="e">
        <v>#N/A</v>
      </c>
      <c r="CB163" s="17" t="e">
        <v>#N/A</v>
      </c>
      <c r="CC163" s="17" t="e">
        <v>#N/A</v>
      </c>
      <c r="CD163" s="17" t="e">
        <v>#N/A</v>
      </c>
      <c r="CE163" s="17" t="e">
        <v>#N/A</v>
      </c>
      <c r="CF163" s="17" t="e">
        <v>#N/A</v>
      </c>
      <c r="CG163" s="17" t="e">
        <v>#N/A</v>
      </c>
      <c r="CH163" s="17" t="e">
        <v>#N/A</v>
      </c>
      <c r="CI163" s="17" t="e">
        <v>#N/A</v>
      </c>
      <c r="CJ163" s="17" t="e">
        <v>#N/A</v>
      </c>
      <c r="CK163" s="17" t="e">
        <v>#N/A</v>
      </c>
      <c r="CL163" s="17" t="e">
        <v>#N/A</v>
      </c>
      <c r="CM163" s="17" t="e">
        <v>#N/A</v>
      </c>
      <c r="CN163" s="17" t="e">
        <v>#N/A</v>
      </c>
      <c r="CO163" s="17" t="e">
        <v>#N/A</v>
      </c>
      <c r="CP163" s="17" t="e">
        <v>#N/A</v>
      </c>
      <c r="CQ163" s="17" t="e">
        <v>#N/A</v>
      </c>
      <c r="CR163" s="17" t="e">
        <v>#N/A</v>
      </c>
      <c r="CS163" s="17" t="e">
        <v>#N/A</v>
      </c>
      <c r="CT163" s="17" t="e">
        <v>#N/A</v>
      </c>
      <c r="CU163" s="17" t="e">
        <v>#N/A</v>
      </c>
      <c r="CV163" s="17" t="e">
        <v>#N/A</v>
      </c>
      <c r="CW163" s="17" t="e">
        <v>#N/A</v>
      </c>
      <c r="CX163" s="17" t="e">
        <v>#N/A</v>
      </c>
      <c r="CY163" s="17" t="e">
        <v>#N/A</v>
      </c>
      <c r="CZ163" s="17" t="e">
        <v>#N/A</v>
      </c>
      <c r="DA163" s="17" t="e">
        <v>#N/A</v>
      </c>
      <c r="DB163" s="17" t="e">
        <v>#N/A</v>
      </c>
      <c r="DC163" s="17" t="e">
        <v>#N/A</v>
      </c>
      <c r="DD163" s="17" t="e">
        <v>#N/A</v>
      </c>
      <c r="DE163" s="17" t="e">
        <v>#N/A</v>
      </c>
      <c r="DF163" s="17" t="e">
        <v>#N/A</v>
      </c>
      <c r="DG163" s="17" t="e">
        <v>#N/A</v>
      </c>
      <c r="DH163" s="17" t="e">
        <v>#N/A</v>
      </c>
      <c r="DI163" s="17" t="e">
        <v>#N/A</v>
      </c>
      <c r="DJ163" s="17" t="e">
        <v>#N/A</v>
      </c>
      <c r="DK163" s="17" t="e">
        <v>#N/A</v>
      </c>
      <c r="DL163" s="17" t="e">
        <v>#N/A</v>
      </c>
      <c r="DM163" s="17" t="e">
        <v>#N/A</v>
      </c>
      <c r="DN163" s="17" t="e">
        <v>#N/A</v>
      </c>
      <c r="DO163" s="17" t="e">
        <v>#N/A</v>
      </c>
      <c r="DP163" s="17" t="e">
        <v>#N/A</v>
      </c>
      <c r="DQ163" s="17" t="e">
        <v>#N/A</v>
      </c>
      <c r="DR163" s="17" t="e">
        <v>#N/A</v>
      </c>
      <c r="DS163" s="17" t="e">
        <v>#N/A</v>
      </c>
      <c r="DT163" s="17" t="e">
        <v>#N/A</v>
      </c>
      <c r="DU163" s="17" t="e">
        <v>#N/A</v>
      </c>
      <c r="DV163" s="17" t="e">
        <v>#N/A</v>
      </c>
      <c r="DW163" s="17" t="e">
        <v>#N/A</v>
      </c>
      <c r="DX163" s="17" t="e">
        <v>#N/A</v>
      </c>
      <c r="DY163" s="17" t="e">
        <v>#N/A</v>
      </c>
      <c r="DZ163" s="17" t="e">
        <v>#N/A</v>
      </c>
      <c r="EA163" s="17" t="e">
        <v>#N/A</v>
      </c>
      <c r="EB163" s="17" t="e">
        <v>#N/A</v>
      </c>
      <c r="EC163" s="17" t="e">
        <v>#N/A</v>
      </c>
      <c r="ED163" s="17" t="e">
        <v>#N/A</v>
      </c>
      <c r="EE163" s="17" t="e">
        <v>#N/A</v>
      </c>
      <c r="EF163" s="17" t="e">
        <v>#N/A</v>
      </c>
      <c r="EG163" s="17" t="e">
        <v>#N/A</v>
      </c>
      <c r="EH163" s="17" t="e">
        <v>#N/A</v>
      </c>
      <c r="EI163" s="17" t="e">
        <v>#N/A</v>
      </c>
      <c r="EJ163" s="17" t="e">
        <v>#N/A</v>
      </c>
      <c r="EK163" s="17" t="e">
        <v>#N/A</v>
      </c>
      <c r="EL163" s="17" t="e">
        <v>#N/A</v>
      </c>
      <c r="EM163" s="17" t="e">
        <v>#N/A</v>
      </c>
      <c r="EN163" s="17" t="e">
        <v>#N/A</v>
      </c>
      <c r="EO163" s="17" t="e">
        <v>#N/A</v>
      </c>
      <c r="EP163" s="17" t="e">
        <v>#N/A</v>
      </c>
      <c r="EQ163" s="17" t="e">
        <v>#N/A</v>
      </c>
      <c r="ER163" s="17" t="e">
        <v>#N/A</v>
      </c>
      <c r="ES163" s="17" t="e">
        <v>#N/A</v>
      </c>
      <c r="ET163" s="17" t="e">
        <v>#N/A</v>
      </c>
      <c r="EU163" s="17" t="e">
        <v>#N/A</v>
      </c>
      <c r="EV163" s="17" t="e">
        <v>#N/A</v>
      </c>
      <c r="EW163" s="17" t="e">
        <v>#N/A</v>
      </c>
      <c r="EX163" s="17" t="e">
        <v>#N/A</v>
      </c>
      <c r="EY163" s="17" t="e">
        <v>#N/A</v>
      </c>
      <c r="EZ163" s="17" t="e">
        <v>#N/A</v>
      </c>
      <c r="FA163" s="17" t="e">
        <v>#N/A</v>
      </c>
      <c r="FB163" s="17" t="e">
        <v>#N/A</v>
      </c>
      <c r="FC163" s="17" t="e">
        <v>#N/A</v>
      </c>
      <c r="FD163" s="17" t="e">
        <v>#N/A</v>
      </c>
      <c r="FE163" s="17" t="e">
        <v>#N/A</v>
      </c>
      <c r="FF163" s="17" t="e">
        <v>#N/A</v>
      </c>
      <c r="FG163" s="17" t="e">
        <v>#N/A</v>
      </c>
      <c r="FH163" s="17" t="e">
        <v>#N/A</v>
      </c>
      <c r="FI163" s="17" t="e">
        <v>#N/A</v>
      </c>
      <c r="FJ163" s="17" t="e">
        <v>#N/A</v>
      </c>
      <c r="FK163" s="17" t="e">
        <v>#N/A</v>
      </c>
      <c r="FL163" s="17" t="e">
        <v>#N/A</v>
      </c>
      <c r="FM163" s="17" t="e">
        <v>#N/A</v>
      </c>
      <c r="FN163" s="17" t="e">
        <v>#N/A</v>
      </c>
      <c r="FO163" s="17" t="e">
        <v>#N/A</v>
      </c>
      <c r="FP163" s="17" t="e">
        <v>#N/A</v>
      </c>
      <c r="FQ163" s="17" t="e">
        <v>#N/A</v>
      </c>
      <c r="FR163" s="17" t="e">
        <v>#N/A</v>
      </c>
      <c r="FS163" s="17" t="e">
        <v>#N/A</v>
      </c>
      <c r="FT163" s="17" t="e">
        <v>#N/A</v>
      </c>
      <c r="FU163" s="17" t="e">
        <v>#N/A</v>
      </c>
      <c r="FV163" s="17" t="e">
        <v>#N/A</v>
      </c>
    </row>
    <row r="164" spans="2:178" ht="11.25" customHeight="1">
      <c r="B164" s="17" t="e">
        <v>#N/A</v>
      </c>
      <c r="C164" s="17" t="e">
        <v>#N/A</v>
      </c>
      <c r="D164" s="17" t="e">
        <v>#N/A</v>
      </c>
      <c r="E164" s="17" t="e">
        <v>#N/A</v>
      </c>
      <c r="F164" s="17" t="e">
        <v>#N/A</v>
      </c>
      <c r="G164" s="17" t="e">
        <v>#N/A</v>
      </c>
      <c r="H164" s="17" t="e">
        <v>#N/A</v>
      </c>
      <c r="I164" s="17" t="e">
        <v>#N/A</v>
      </c>
      <c r="J164" s="17" t="e">
        <v>#N/A</v>
      </c>
      <c r="K164" s="17" t="e">
        <v>#N/A</v>
      </c>
      <c r="L164" s="17" t="e">
        <v>#N/A</v>
      </c>
      <c r="M164" s="17" t="e">
        <v>#N/A</v>
      </c>
      <c r="N164" s="17" t="e">
        <v>#N/A</v>
      </c>
      <c r="O164" s="17" t="e">
        <v>#N/A</v>
      </c>
      <c r="P164" s="17" t="e">
        <v>#N/A</v>
      </c>
      <c r="Q164" s="17" t="e">
        <v>#N/A</v>
      </c>
      <c r="R164" s="17" t="e">
        <v>#N/A</v>
      </c>
      <c r="S164" s="17" t="e">
        <v>#N/A</v>
      </c>
      <c r="T164" s="17" t="e">
        <v>#N/A</v>
      </c>
      <c r="U164" s="17" t="e">
        <v>#N/A</v>
      </c>
      <c r="V164" s="17" t="e">
        <v>#N/A</v>
      </c>
      <c r="W164" s="17" t="e">
        <v>#N/A</v>
      </c>
      <c r="X164" s="17" t="e">
        <v>#N/A</v>
      </c>
      <c r="Y164" s="17" t="e">
        <v>#N/A</v>
      </c>
      <c r="Z164" s="17" t="e">
        <v>#N/A</v>
      </c>
      <c r="AA164" s="17" t="e">
        <v>#N/A</v>
      </c>
      <c r="AB164" s="17" t="e">
        <v>#N/A</v>
      </c>
      <c r="AC164" s="17" t="e">
        <v>#N/A</v>
      </c>
      <c r="AD164" s="17" t="e">
        <v>#N/A</v>
      </c>
      <c r="AE164" s="17" t="e">
        <v>#N/A</v>
      </c>
      <c r="AF164" s="17" t="e">
        <v>#N/A</v>
      </c>
      <c r="AG164" s="17" t="e">
        <v>#N/A</v>
      </c>
      <c r="AH164" s="17" t="e">
        <v>#N/A</v>
      </c>
      <c r="AI164" s="17" t="e">
        <v>#N/A</v>
      </c>
      <c r="AJ164" s="17" t="e">
        <v>#N/A</v>
      </c>
      <c r="AK164" s="17" t="e">
        <v>#N/A</v>
      </c>
      <c r="AL164" s="17" t="e">
        <v>#N/A</v>
      </c>
      <c r="AM164" s="17" t="e">
        <v>#N/A</v>
      </c>
      <c r="AN164" s="17" t="e">
        <v>#N/A</v>
      </c>
      <c r="AO164" s="17" t="e">
        <v>#N/A</v>
      </c>
      <c r="AP164" s="17" t="e">
        <v>#N/A</v>
      </c>
      <c r="AQ164" s="17" t="e">
        <v>#N/A</v>
      </c>
      <c r="AR164" s="17" t="e">
        <v>#N/A</v>
      </c>
      <c r="AS164" s="17" t="e">
        <v>#N/A</v>
      </c>
      <c r="AT164" s="17" t="e">
        <v>#N/A</v>
      </c>
      <c r="AU164" s="17" t="e">
        <v>#N/A</v>
      </c>
      <c r="AV164" s="17" t="e">
        <v>#N/A</v>
      </c>
      <c r="AW164" s="17" t="e">
        <v>#N/A</v>
      </c>
      <c r="AX164" s="17" t="e">
        <v>#N/A</v>
      </c>
      <c r="AY164" s="17" t="e">
        <v>#N/A</v>
      </c>
      <c r="AZ164" s="17" t="e">
        <v>#N/A</v>
      </c>
      <c r="BA164" s="17" t="e">
        <v>#N/A</v>
      </c>
      <c r="BB164" s="17" t="e">
        <v>#N/A</v>
      </c>
      <c r="BC164" s="17" t="e">
        <v>#N/A</v>
      </c>
      <c r="BD164" s="17" t="e">
        <v>#N/A</v>
      </c>
      <c r="BE164" s="17" t="e">
        <v>#N/A</v>
      </c>
      <c r="BF164" s="17" t="e">
        <v>#N/A</v>
      </c>
      <c r="BG164" s="17" t="e">
        <v>#N/A</v>
      </c>
      <c r="BH164" s="17" t="e">
        <v>#N/A</v>
      </c>
      <c r="BI164" s="17" t="e">
        <v>#N/A</v>
      </c>
      <c r="BJ164" s="17" t="e">
        <v>#N/A</v>
      </c>
      <c r="BK164" s="17" t="e">
        <v>#N/A</v>
      </c>
      <c r="BL164" s="17" t="e">
        <v>#N/A</v>
      </c>
      <c r="BM164" s="17" t="e">
        <v>#N/A</v>
      </c>
      <c r="BN164" s="17" t="e">
        <v>#N/A</v>
      </c>
      <c r="BO164" s="17" t="e">
        <v>#N/A</v>
      </c>
      <c r="BP164" s="17" t="e">
        <v>#N/A</v>
      </c>
      <c r="BQ164" s="17" t="e">
        <v>#N/A</v>
      </c>
      <c r="BR164" s="17" t="e">
        <v>#N/A</v>
      </c>
      <c r="BS164" s="17" t="e">
        <v>#N/A</v>
      </c>
      <c r="BT164" s="17" t="e">
        <v>#N/A</v>
      </c>
      <c r="BU164" s="17" t="e">
        <v>#N/A</v>
      </c>
      <c r="BV164" s="17" t="e">
        <v>#N/A</v>
      </c>
      <c r="BW164" s="17" t="e">
        <v>#N/A</v>
      </c>
      <c r="BX164" s="17" t="e">
        <v>#N/A</v>
      </c>
      <c r="BY164" s="17" t="e">
        <v>#N/A</v>
      </c>
      <c r="BZ164" s="17" t="e">
        <v>#N/A</v>
      </c>
      <c r="CA164" s="17" t="e">
        <v>#N/A</v>
      </c>
      <c r="CB164" s="17" t="e">
        <v>#N/A</v>
      </c>
      <c r="CC164" s="17" t="e">
        <v>#N/A</v>
      </c>
      <c r="CD164" s="17" t="e">
        <v>#N/A</v>
      </c>
      <c r="CE164" s="17" t="e">
        <v>#N/A</v>
      </c>
      <c r="CF164" s="17" t="e">
        <v>#N/A</v>
      </c>
      <c r="CG164" s="17" t="e">
        <v>#N/A</v>
      </c>
      <c r="CH164" s="17" t="e">
        <v>#N/A</v>
      </c>
      <c r="CI164" s="17" t="e">
        <v>#N/A</v>
      </c>
      <c r="CJ164" s="17" t="e">
        <v>#N/A</v>
      </c>
      <c r="CK164" s="17" t="e">
        <v>#N/A</v>
      </c>
      <c r="CL164" s="17" t="e">
        <v>#N/A</v>
      </c>
      <c r="CM164" s="17" t="e">
        <v>#N/A</v>
      </c>
      <c r="CN164" s="17" t="e">
        <v>#N/A</v>
      </c>
      <c r="CO164" s="17" t="e">
        <v>#N/A</v>
      </c>
      <c r="CP164" s="17" t="e">
        <v>#N/A</v>
      </c>
      <c r="CQ164" s="17" t="e">
        <v>#N/A</v>
      </c>
      <c r="CR164" s="17" t="e">
        <v>#N/A</v>
      </c>
      <c r="CS164" s="17" t="e">
        <v>#N/A</v>
      </c>
      <c r="CT164" s="17" t="e">
        <v>#N/A</v>
      </c>
      <c r="CU164" s="17" t="e">
        <v>#N/A</v>
      </c>
      <c r="CV164" s="17" t="e">
        <v>#N/A</v>
      </c>
      <c r="CW164" s="17" t="e">
        <v>#N/A</v>
      </c>
      <c r="CX164" s="17" t="e">
        <v>#N/A</v>
      </c>
      <c r="CY164" s="17" t="e">
        <v>#N/A</v>
      </c>
      <c r="CZ164" s="17" t="e">
        <v>#N/A</v>
      </c>
      <c r="DA164" s="17" t="e">
        <v>#N/A</v>
      </c>
      <c r="DB164" s="17" t="e">
        <v>#N/A</v>
      </c>
      <c r="DC164" s="17" t="e">
        <v>#N/A</v>
      </c>
      <c r="DD164" s="17" t="e">
        <v>#N/A</v>
      </c>
      <c r="DE164" s="17" t="e">
        <v>#N/A</v>
      </c>
      <c r="DF164" s="17" t="e">
        <v>#N/A</v>
      </c>
      <c r="DG164" s="17" t="e">
        <v>#N/A</v>
      </c>
      <c r="DH164" s="17" t="e">
        <v>#N/A</v>
      </c>
      <c r="DI164" s="17" t="e">
        <v>#N/A</v>
      </c>
      <c r="DJ164" s="17" t="e">
        <v>#N/A</v>
      </c>
      <c r="DK164" s="17" t="e">
        <v>#N/A</v>
      </c>
      <c r="DL164" s="17" t="e">
        <v>#N/A</v>
      </c>
      <c r="DM164" s="17" t="e">
        <v>#N/A</v>
      </c>
      <c r="DN164" s="17" t="e">
        <v>#N/A</v>
      </c>
      <c r="DO164" s="17" t="e">
        <v>#N/A</v>
      </c>
      <c r="DP164" s="17" t="e">
        <v>#N/A</v>
      </c>
      <c r="DQ164" s="17" t="e">
        <v>#N/A</v>
      </c>
      <c r="DR164" s="17" t="e">
        <v>#N/A</v>
      </c>
      <c r="DS164" s="17" t="e">
        <v>#N/A</v>
      </c>
      <c r="DT164" s="17" t="e">
        <v>#N/A</v>
      </c>
      <c r="DU164" s="17" t="e">
        <v>#N/A</v>
      </c>
      <c r="DV164" s="17" t="e">
        <v>#N/A</v>
      </c>
      <c r="DW164" s="17" t="e">
        <v>#N/A</v>
      </c>
      <c r="DX164" s="17" t="e">
        <v>#N/A</v>
      </c>
      <c r="DY164" s="17" t="e">
        <v>#N/A</v>
      </c>
      <c r="DZ164" s="17" t="e">
        <v>#N/A</v>
      </c>
      <c r="EA164" s="17" t="e">
        <v>#N/A</v>
      </c>
      <c r="EB164" s="17" t="e">
        <v>#N/A</v>
      </c>
      <c r="EC164" s="17" t="e">
        <v>#N/A</v>
      </c>
      <c r="ED164" s="17" t="e">
        <v>#N/A</v>
      </c>
      <c r="EE164" s="17" t="e">
        <v>#N/A</v>
      </c>
      <c r="EF164" s="17" t="e">
        <v>#N/A</v>
      </c>
      <c r="EG164" s="17" t="e">
        <v>#N/A</v>
      </c>
      <c r="EH164" s="17" t="e">
        <v>#N/A</v>
      </c>
      <c r="EI164" s="17" t="e">
        <v>#N/A</v>
      </c>
      <c r="EJ164" s="17" t="e">
        <v>#N/A</v>
      </c>
      <c r="EK164" s="17" t="e">
        <v>#N/A</v>
      </c>
      <c r="EL164" s="17" t="e">
        <v>#N/A</v>
      </c>
      <c r="EM164" s="17" t="e">
        <v>#N/A</v>
      </c>
      <c r="EN164" s="17" t="e">
        <v>#N/A</v>
      </c>
      <c r="EO164" s="17" t="e">
        <v>#N/A</v>
      </c>
      <c r="EP164" s="17" t="e">
        <v>#N/A</v>
      </c>
      <c r="EQ164" s="17" t="e">
        <v>#N/A</v>
      </c>
      <c r="ER164" s="17" t="e">
        <v>#N/A</v>
      </c>
      <c r="ES164" s="17" t="e">
        <v>#N/A</v>
      </c>
      <c r="ET164" s="17" t="e">
        <v>#N/A</v>
      </c>
      <c r="EU164" s="17" t="e">
        <v>#N/A</v>
      </c>
      <c r="EV164" s="17" t="e">
        <v>#N/A</v>
      </c>
      <c r="EW164" s="17" t="e">
        <v>#N/A</v>
      </c>
      <c r="EX164" s="17" t="e">
        <v>#N/A</v>
      </c>
      <c r="EY164" s="17" t="e">
        <v>#N/A</v>
      </c>
      <c r="EZ164" s="17" t="e">
        <v>#N/A</v>
      </c>
      <c r="FA164" s="17" t="e">
        <v>#N/A</v>
      </c>
      <c r="FB164" s="17" t="e">
        <v>#N/A</v>
      </c>
      <c r="FC164" s="17" t="e">
        <v>#N/A</v>
      </c>
      <c r="FD164" s="17" t="e">
        <v>#N/A</v>
      </c>
      <c r="FE164" s="17" t="e">
        <v>#N/A</v>
      </c>
      <c r="FF164" s="17" t="e">
        <v>#N/A</v>
      </c>
      <c r="FG164" s="17" t="e">
        <v>#N/A</v>
      </c>
      <c r="FH164" s="17" t="e">
        <v>#N/A</v>
      </c>
      <c r="FI164" s="17" t="e">
        <v>#N/A</v>
      </c>
      <c r="FJ164" s="17" t="e">
        <v>#N/A</v>
      </c>
      <c r="FK164" s="17" t="e">
        <v>#N/A</v>
      </c>
      <c r="FL164" s="17" t="e">
        <v>#N/A</v>
      </c>
      <c r="FM164" s="17" t="e">
        <v>#N/A</v>
      </c>
      <c r="FN164" s="17" t="e">
        <v>#N/A</v>
      </c>
      <c r="FO164" s="17" t="e">
        <v>#N/A</v>
      </c>
      <c r="FP164" s="17" t="e">
        <v>#N/A</v>
      </c>
      <c r="FQ164" s="17" t="e">
        <v>#N/A</v>
      </c>
      <c r="FR164" s="17" t="e">
        <v>#N/A</v>
      </c>
      <c r="FS164" s="17" t="e">
        <v>#N/A</v>
      </c>
      <c r="FT164" s="17" t="e">
        <v>#N/A</v>
      </c>
      <c r="FU164" s="17" t="e">
        <v>#N/A</v>
      </c>
      <c r="FV164" s="17" t="e">
        <v>#N/A</v>
      </c>
    </row>
    <row r="165" spans="2:178" ht="11.25" customHeight="1">
      <c r="B165" s="17" t="e">
        <v>#N/A</v>
      </c>
      <c r="C165" s="17" t="e">
        <v>#N/A</v>
      </c>
      <c r="D165" s="17" t="e">
        <v>#N/A</v>
      </c>
      <c r="E165" s="17" t="e">
        <v>#N/A</v>
      </c>
      <c r="F165" s="17" t="e">
        <v>#N/A</v>
      </c>
      <c r="G165" s="17" t="e">
        <v>#N/A</v>
      </c>
      <c r="H165" s="17" t="e">
        <v>#N/A</v>
      </c>
      <c r="I165" s="17" t="e">
        <v>#N/A</v>
      </c>
      <c r="J165" s="17" t="e">
        <v>#N/A</v>
      </c>
      <c r="K165" s="17" t="e">
        <v>#N/A</v>
      </c>
      <c r="L165" s="17" t="e">
        <v>#N/A</v>
      </c>
      <c r="M165" s="17" t="e">
        <v>#N/A</v>
      </c>
      <c r="N165" s="17" t="e">
        <v>#N/A</v>
      </c>
      <c r="O165" s="17" t="e">
        <v>#N/A</v>
      </c>
      <c r="P165" s="17" t="e">
        <v>#N/A</v>
      </c>
      <c r="Q165" s="17" t="e">
        <v>#N/A</v>
      </c>
      <c r="R165" s="17" t="e">
        <v>#N/A</v>
      </c>
      <c r="S165" s="17" t="e">
        <v>#N/A</v>
      </c>
      <c r="T165" s="17" t="e">
        <v>#N/A</v>
      </c>
      <c r="U165" s="17" t="e">
        <v>#N/A</v>
      </c>
      <c r="V165" s="17" t="e">
        <v>#N/A</v>
      </c>
      <c r="W165" s="17" t="e">
        <v>#N/A</v>
      </c>
      <c r="X165" s="17" t="e">
        <v>#N/A</v>
      </c>
      <c r="Y165" s="17" t="e">
        <v>#N/A</v>
      </c>
      <c r="Z165" s="17" t="e">
        <v>#N/A</v>
      </c>
      <c r="AA165" s="17" t="e">
        <v>#N/A</v>
      </c>
      <c r="AB165" s="17" t="e">
        <v>#N/A</v>
      </c>
      <c r="AC165" s="17" t="e">
        <v>#N/A</v>
      </c>
      <c r="AD165" s="17" t="e">
        <v>#N/A</v>
      </c>
      <c r="AE165" s="17" t="e">
        <v>#N/A</v>
      </c>
      <c r="AF165" s="17" t="e">
        <v>#N/A</v>
      </c>
      <c r="AG165" s="17" t="e">
        <v>#N/A</v>
      </c>
      <c r="AH165" s="17" t="e">
        <v>#N/A</v>
      </c>
      <c r="AI165" s="17" t="e">
        <v>#N/A</v>
      </c>
      <c r="AJ165" s="17" t="e">
        <v>#N/A</v>
      </c>
      <c r="AK165" s="17" t="e">
        <v>#N/A</v>
      </c>
      <c r="AL165" s="17" t="e">
        <v>#N/A</v>
      </c>
      <c r="AM165" s="17" t="e">
        <v>#N/A</v>
      </c>
      <c r="AN165" s="17" t="e">
        <v>#N/A</v>
      </c>
      <c r="AO165" s="17" t="e">
        <v>#N/A</v>
      </c>
      <c r="AP165" s="17" t="e">
        <v>#N/A</v>
      </c>
      <c r="AQ165" s="17" t="e">
        <v>#N/A</v>
      </c>
      <c r="AR165" s="17" t="e">
        <v>#N/A</v>
      </c>
      <c r="AS165" s="17" t="e">
        <v>#N/A</v>
      </c>
      <c r="AT165" s="17" t="e">
        <v>#N/A</v>
      </c>
      <c r="AU165" s="17" t="e">
        <v>#N/A</v>
      </c>
      <c r="AV165" s="17" t="e">
        <v>#N/A</v>
      </c>
      <c r="AW165" s="17" t="e">
        <v>#N/A</v>
      </c>
      <c r="AX165" s="17" t="e">
        <v>#N/A</v>
      </c>
      <c r="AY165" s="17" t="e">
        <v>#N/A</v>
      </c>
      <c r="AZ165" s="17" t="e">
        <v>#N/A</v>
      </c>
      <c r="BA165" s="17" t="e">
        <v>#N/A</v>
      </c>
      <c r="BB165" s="17" t="e">
        <v>#N/A</v>
      </c>
      <c r="BC165" s="17" t="e">
        <v>#N/A</v>
      </c>
      <c r="BD165" s="17" t="e">
        <v>#N/A</v>
      </c>
      <c r="BE165" s="17" t="e">
        <v>#N/A</v>
      </c>
      <c r="BF165" s="17" t="e">
        <v>#N/A</v>
      </c>
      <c r="BG165" s="17" t="e">
        <v>#N/A</v>
      </c>
      <c r="BH165" s="17" t="e">
        <v>#N/A</v>
      </c>
      <c r="BI165" s="17" t="e">
        <v>#N/A</v>
      </c>
      <c r="BJ165" s="17" t="e">
        <v>#N/A</v>
      </c>
      <c r="BK165" s="17" t="e">
        <v>#N/A</v>
      </c>
      <c r="BL165" s="17" t="e">
        <v>#N/A</v>
      </c>
      <c r="BM165" s="17" t="e">
        <v>#N/A</v>
      </c>
      <c r="BN165" s="17" t="e">
        <v>#N/A</v>
      </c>
      <c r="BO165" s="17" t="e">
        <v>#N/A</v>
      </c>
      <c r="BP165" s="17" t="e">
        <v>#N/A</v>
      </c>
      <c r="BQ165" s="17" t="e">
        <v>#N/A</v>
      </c>
      <c r="BR165" s="17" t="e">
        <v>#N/A</v>
      </c>
      <c r="BS165" s="17" t="e">
        <v>#N/A</v>
      </c>
      <c r="BT165" s="17" t="e">
        <v>#N/A</v>
      </c>
      <c r="BU165" s="17" t="e">
        <v>#N/A</v>
      </c>
      <c r="BV165" s="17" t="e">
        <v>#N/A</v>
      </c>
      <c r="BW165" s="17" t="e">
        <v>#N/A</v>
      </c>
      <c r="BX165" s="17" t="e">
        <v>#N/A</v>
      </c>
      <c r="BY165" s="17" t="e">
        <v>#N/A</v>
      </c>
      <c r="BZ165" s="17" t="e">
        <v>#N/A</v>
      </c>
      <c r="CA165" s="17" t="e">
        <v>#N/A</v>
      </c>
      <c r="CB165" s="17" t="e">
        <v>#N/A</v>
      </c>
      <c r="CC165" s="17" t="e">
        <v>#N/A</v>
      </c>
      <c r="CD165" s="17" t="e">
        <v>#N/A</v>
      </c>
      <c r="CE165" s="17" t="e">
        <v>#N/A</v>
      </c>
      <c r="CF165" s="17" t="e">
        <v>#N/A</v>
      </c>
      <c r="CG165" s="17" t="e">
        <v>#N/A</v>
      </c>
      <c r="CH165" s="17" t="e">
        <v>#N/A</v>
      </c>
      <c r="CI165" s="17" t="e">
        <v>#N/A</v>
      </c>
      <c r="CJ165" s="17" t="e">
        <v>#N/A</v>
      </c>
      <c r="CK165" s="17" t="e">
        <v>#N/A</v>
      </c>
      <c r="CL165" s="17" t="e">
        <v>#N/A</v>
      </c>
      <c r="CM165" s="17" t="e">
        <v>#N/A</v>
      </c>
      <c r="CN165" s="17" t="e">
        <v>#N/A</v>
      </c>
      <c r="CO165" s="17" t="e">
        <v>#N/A</v>
      </c>
      <c r="CP165" s="17" t="e">
        <v>#N/A</v>
      </c>
      <c r="CQ165" s="17" t="e">
        <v>#N/A</v>
      </c>
      <c r="CR165" s="17" t="e">
        <v>#N/A</v>
      </c>
      <c r="CS165" s="17" t="e">
        <v>#N/A</v>
      </c>
      <c r="CT165" s="17" t="e">
        <v>#N/A</v>
      </c>
      <c r="CU165" s="17" t="e">
        <v>#N/A</v>
      </c>
      <c r="CV165" s="17" t="e">
        <v>#N/A</v>
      </c>
      <c r="CW165" s="17" t="e">
        <v>#N/A</v>
      </c>
      <c r="CX165" s="17" t="e">
        <v>#N/A</v>
      </c>
      <c r="CY165" s="17" t="e">
        <v>#N/A</v>
      </c>
      <c r="CZ165" s="17" t="e">
        <v>#N/A</v>
      </c>
      <c r="DA165" s="17" t="e">
        <v>#N/A</v>
      </c>
      <c r="DB165" s="17" t="e">
        <v>#N/A</v>
      </c>
      <c r="DC165" s="17" t="e">
        <v>#N/A</v>
      </c>
      <c r="DD165" s="17" t="e">
        <v>#N/A</v>
      </c>
      <c r="DE165" s="17" t="e">
        <v>#N/A</v>
      </c>
      <c r="DF165" s="17" t="e">
        <v>#N/A</v>
      </c>
      <c r="DG165" s="17" t="e">
        <v>#N/A</v>
      </c>
      <c r="DH165" s="17" t="e">
        <v>#N/A</v>
      </c>
      <c r="DI165" s="17" t="e">
        <v>#N/A</v>
      </c>
      <c r="DJ165" s="17" t="e">
        <v>#N/A</v>
      </c>
      <c r="DK165" s="17" t="e">
        <v>#N/A</v>
      </c>
      <c r="DL165" s="17" t="e">
        <v>#N/A</v>
      </c>
      <c r="DM165" s="17" t="e">
        <v>#N/A</v>
      </c>
      <c r="DN165" s="17" t="e">
        <v>#N/A</v>
      </c>
      <c r="DO165" s="17" t="e">
        <v>#N/A</v>
      </c>
      <c r="DP165" s="17" t="e">
        <v>#N/A</v>
      </c>
      <c r="DQ165" s="17" t="e">
        <v>#N/A</v>
      </c>
      <c r="DR165" s="17" t="e">
        <v>#N/A</v>
      </c>
      <c r="DS165" s="17" t="e">
        <v>#N/A</v>
      </c>
      <c r="DT165" s="17" t="e">
        <v>#N/A</v>
      </c>
      <c r="DU165" s="17" t="e">
        <v>#N/A</v>
      </c>
      <c r="DV165" s="17" t="e">
        <v>#N/A</v>
      </c>
      <c r="DW165" s="17" t="e">
        <v>#N/A</v>
      </c>
      <c r="DX165" s="17" t="e">
        <v>#N/A</v>
      </c>
      <c r="DY165" s="17" t="e">
        <v>#N/A</v>
      </c>
      <c r="DZ165" s="17" t="e">
        <v>#N/A</v>
      </c>
      <c r="EA165" s="17" t="e">
        <v>#N/A</v>
      </c>
      <c r="EB165" s="17" t="e">
        <v>#N/A</v>
      </c>
      <c r="EC165" s="17" t="e">
        <v>#N/A</v>
      </c>
      <c r="ED165" s="17" t="e">
        <v>#N/A</v>
      </c>
      <c r="EE165" s="17" t="e">
        <v>#N/A</v>
      </c>
      <c r="EF165" s="17" t="e">
        <v>#N/A</v>
      </c>
      <c r="EG165" s="17" t="e">
        <v>#N/A</v>
      </c>
      <c r="EH165" s="17" t="e">
        <v>#N/A</v>
      </c>
      <c r="EI165" s="17" t="e">
        <v>#N/A</v>
      </c>
      <c r="EJ165" s="17" t="e">
        <v>#N/A</v>
      </c>
      <c r="EK165" s="17" t="e">
        <v>#N/A</v>
      </c>
      <c r="EL165" s="17" t="e">
        <v>#N/A</v>
      </c>
      <c r="EM165" s="17" t="e">
        <v>#N/A</v>
      </c>
      <c r="EN165" s="17" t="e">
        <v>#N/A</v>
      </c>
      <c r="EO165" s="17" t="e">
        <v>#N/A</v>
      </c>
      <c r="EP165" s="17" t="e">
        <v>#N/A</v>
      </c>
      <c r="EQ165" s="17" t="e">
        <v>#N/A</v>
      </c>
      <c r="ER165" s="17" t="e">
        <v>#N/A</v>
      </c>
      <c r="ES165" s="17" t="e">
        <v>#N/A</v>
      </c>
      <c r="ET165" s="17" t="e">
        <v>#N/A</v>
      </c>
      <c r="EU165" s="17" t="e">
        <v>#N/A</v>
      </c>
      <c r="EV165" s="17" t="e">
        <v>#N/A</v>
      </c>
      <c r="EW165" s="17" t="e">
        <v>#N/A</v>
      </c>
      <c r="EX165" s="17" t="e">
        <v>#N/A</v>
      </c>
      <c r="EY165" s="17" t="e">
        <v>#N/A</v>
      </c>
      <c r="EZ165" s="17" t="e">
        <v>#N/A</v>
      </c>
      <c r="FA165" s="17" t="e">
        <v>#N/A</v>
      </c>
      <c r="FB165" s="17" t="e">
        <v>#N/A</v>
      </c>
      <c r="FC165" s="17" t="e">
        <v>#N/A</v>
      </c>
      <c r="FD165" s="17" t="e">
        <v>#N/A</v>
      </c>
      <c r="FE165" s="17" t="e">
        <v>#N/A</v>
      </c>
      <c r="FF165" s="17" t="e">
        <v>#N/A</v>
      </c>
      <c r="FG165" s="17" t="e">
        <v>#N/A</v>
      </c>
      <c r="FH165" s="17" t="e">
        <v>#N/A</v>
      </c>
      <c r="FI165" s="17" t="e">
        <v>#N/A</v>
      </c>
      <c r="FJ165" s="17" t="e">
        <v>#N/A</v>
      </c>
      <c r="FK165" s="17" t="e">
        <v>#N/A</v>
      </c>
      <c r="FL165" s="17" t="e">
        <v>#N/A</v>
      </c>
      <c r="FM165" s="17" t="e">
        <v>#N/A</v>
      </c>
      <c r="FN165" s="17" t="e">
        <v>#N/A</v>
      </c>
      <c r="FO165" s="17" t="e">
        <v>#N/A</v>
      </c>
      <c r="FP165" s="17" t="e">
        <v>#N/A</v>
      </c>
      <c r="FQ165" s="17" t="e">
        <v>#N/A</v>
      </c>
      <c r="FR165" s="17" t="e">
        <v>#N/A</v>
      </c>
      <c r="FS165" s="17" t="e">
        <v>#N/A</v>
      </c>
      <c r="FT165" s="17" t="e">
        <v>#N/A</v>
      </c>
      <c r="FU165" s="17" t="e">
        <v>#N/A</v>
      </c>
      <c r="FV165" s="17" t="e">
        <v>#N/A</v>
      </c>
    </row>
    <row r="166" spans="2:178" ht="11.25" customHeight="1">
      <c r="B166" s="17" t="e">
        <v>#N/A</v>
      </c>
      <c r="C166" s="17" t="e">
        <v>#N/A</v>
      </c>
      <c r="D166" s="17" t="e">
        <v>#N/A</v>
      </c>
      <c r="E166" s="17" t="e">
        <v>#N/A</v>
      </c>
      <c r="F166" s="17" t="e">
        <v>#N/A</v>
      </c>
      <c r="G166" s="17" t="e">
        <v>#N/A</v>
      </c>
      <c r="H166" s="17" t="e">
        <v>#N/A</v>
      </c>
      <c r="I166" s="17" t="e">
        <v>#N/A</v>
      </c>
      <c r="J166" s="17" t="e">
        <v>#N/A</v>
      </c>
      <c r="K166" s="17" t="e">
        <v>#N/A</v>
      </c>
      <c r="L166" s="17" t="e">
        <v>#N/A</v>
      </c>
      <c r="M166" s="17" t="e">
        <v>#N/A</v>
      </c>
      <c r="N166" s="17" t="e">
        <v>#N/A</v>
      </c>
      <c r="O166" s="17" t="e">
        <v>#N/A</v>
      </c>
      <c r="P166" s="17" t="e">
        <v>#N/A</v>
      </c>
      <c r="Q166" s="17" t="e">
        <v>#N/A</v>
      </c>
      <c r="R166" s="17" t="e">
        <v>#N/A</v>
      </c>
      <c r="S166" s="17" t="e">
        <v>#N/A</v>
      </c>
      <c r="T166" s="17" t="e">
        <v>#N/A</v>
      </c>
      <c r="U166" s="17" t="e">
        <v>#N/A</v>
      </c>
      <c r="V166" s="17" t="e">
        <v>#N/A</v>
      </c>
      <c r="W166" s="17" t="e">
        <v>#N/A</v>
      </c>
      <c r="X166" s="17" t="e">
        <v>#N/A</v>
      </c>
      <c r="Y166" s="17" t="e">
        <v>#N/A</v>
      </c>
      <c r="Z166" s="17" t="e">
        <v>#N/A</v>
      </c>
      <c r="AA166" s="17" t="e">
        <v>#N/A</v>
      </c>
      <c r="AB166" s="17" t="e">
        <v>#N/A</v>
      </c>
      <c r="AC166" s="17" t="e">
        <v>#N/A</v>
      </c>
      <c r="AD166" s="17" t="e">
        <v>#N/A</v>
      </c>
      <c r="AE166" s="17" t="e">
        <v>#N/A</v>
      </c>
      <c r="AF166" s="17" t="e">
        <v>#N/A</v>
      </c>
      <c r="AG166" s="17" t="e">
        <v>#N/A</v>
      </c>
      <c r="AH166" s="17" t="e">
        <v>#N/A</v>
      </c>
      <c r="AI166" s="17" t="e">
        <v>#N/A</v>
      </c>
      <c r="AJ166" s="17" t="e">
        <v>#N/A</v>
      </c>
      <c r="AK166" s="17" t="e">
        <v>#N/A</v>
      </c>
      <c r="AL166" s="17" t="e">
        <v>#N/A</v>
      </c>
      <c r="AM166" s="17" t="e">
        <v>#N/A</v>
      </c>
      <c r="AN166" s="17" t="e">
        <v>#N/A</v>
      </c>
      <c r="AO166" s="17" t="e">
        <v>#N/A</v>
      </c>
      <c r="AP166" s="17" t="e">
        <v>#N/A</v>
      </c>
      <c r="AQ166" s="17" t="e">
        <v>#N/A</v>
      </c>
      <c r="AR166" s="17" t="e">
        <v>#N/A</v>
      </c>
      <c r="AS166" s="17" t="e">
        <v>#N/A</v>
      </c>
      <c r="AT166" s="17" t="e">
        <v>#N/A</v>
      </c>
      <c r="AU166" s="17" t="e">
        <v>#N/A</v>
      </c>
      <c r="AV166" s="17" t="e">
        <v>#N/A</v>
      </c>
      <c r="AW166" s="17" t="e">
        <v>#N/A</v>
      </c>
      <c r="AX166" s="17" t="e">
        <v>#N/A</v>
      </c>
      <c r="AY166" s="17" t="e">
        <v>#N/A</v>
      </c>
      <c r="AZ166" s="17" t="e">
        <v>#N/A</v>
      </c>
      <c r="BA166" s="17" t="e">
        <v>#N/A</v>
      </c>
      <c r="BB166" s="17" t="e">
        <v>#N/A</v>
      </c>
      <c r="BC166" s="17" t="e">
        <v>#N/A</v>
      </c>
      <c r="BD166" s="17" t="e">
        <v>#N/A</v>
      </c>
      <c r="BE166" s="17" t="e">
        <v>#N/A</v>
      </c>
      <c r="BF166" s="17" t="e">
        <v>#N/A</v>
      </c>
      <c r="BG166" s="17" t="e">
        <v>#N/A</v>
      </c>
      <c r="BH166" s="17" t="e">
        <v>#N/A</v>
      </c>
      <c r="BI166" s="17" t="e">
        <v>#N/A</v>
      </c>
      <c r="BJ166" s="17" t="e">
        <v>#N/A</v>
      </c>
      <c r="BK166" s="17" t="e">
        <v>#N/A</v>
      </c>
      <c r="BL166" s="17" t="e">
        <v>#N/A</v>
      </c>
      <c r="BM166" s="17" t="e">
        <v>#N/A</v>
      </c>
      <c r="BN166" s="17" t="e">
        <v>#N/A</v>
      </c>
      <c r="BO166" s="17" t="e">
        <v>#N/A</v>
      </c>
      <c r="BP166" s="17" t="e">
        <v>#N/A</v>
      </c>
      <c r="BQ166" s="17" t="e">
        <v>#N/A</v>
      </c>
      <c r="BR166" s="17" t="e">
        <v>#N/A</v>
      </c>
      <c r="BS166" s="17" t="e">
        <v>#N/A</v>
      </c>
      <c r="BT166" s="17" t="e">
        <v>#N/A</v>
      </c>
      <c r="BU166" s="17" t="e">
        <v>#N/A</v>
      </c>
      <c r="BV166" s="17" t="e">
        <v>#N/A</v>
      </c>
      <c r="BW166" s="17" t="e">
        <v>#N/A</v>
      </c>
      <c r="BX166" s="17" t="e">
        <v>#N/A</v>
      </c>
      <c r="BY166" s="17" t="e">
        <v>#N/A</v>
      </c>
      <c r="BZ166" s="17" t="e">
        <v>#N/A</v>
      </c>
      <c r="CA166" s="17" t="e">
        <v>#N/A</v>
      </c>
      <c r="CB166" s="17" t="e">
        <v>#N/A</v>
      </c>
      <c r="CC166" s="17" t="e">
        <v>#N/A</v>
      </c>
      <c r="CD166" s="17" t="e">
        <v>#N/A</v>
      </c>
      <c r="CE166" s="17" t="e">
        <v>#N/A</v>
      </c>
      <c r="CF166" s="17" t="e">
        <v>#N/A</v>
      </c>
      <c r="CG166" s="17" t="e">
        <v>#N/A</v>
      </c>
      <c r="CH166" s="17" t="e">
        <v>#N/A</v>
      </c>
      <c r="CI166" s="17" t="e">
        <v>#N/A</v>
      </c>
      <c r="CJ166" s="17" t="e">
        <v>#N/A</v>
      </c>
      <c r="CK166" s="17" t="e">
        <v>#N/A</v>
      </c>
      <c r="CL166" s="17" t="e">
        <v>#N/A</v>
      </c>
      <c r="CM166" s="17" t="e">
        <v>#N/A</v>
      </c>
      <c r="CN166" s="17" t="e">
        <v>#N/A</v>
      </c>
      <c r="CO166" s="17" t="e">
        <v>#N/A</v>
      </c>
      <c r="CP166" s="17" t="e">
        <v>#N/A</v>
      </c>
      <c r="CQ166" s="17" t="e">
        <v>#N/A</v>
      </c>
      <c r="CR166" s="17" t="e">
        <v>#N/A</v>
      </c>
      <c r="CS166" s="17" t="e">
        <v>#N/A</v>
      </c>
      <c r="CT166" s="17" t="e">
        <v>#N/A</v>
      </c>
      <c r="CU166" s="17" t="e">
        <v>#N/A</v>
      </c>
      <c r="CV166" s="17" t="e">
        <v>#N/A</v>
      </c>
      <c r="CW166" s="17" t="e">
        <v>#N/A</v>
      </c>
      <c r="CX166" s="17" t="e">
        <v>#N/A</v>
      </c>
      <c r="CY166" s="17" t="e">
        <v>#N/A</v>
      </c>
      <c r="CZ166" s="17" t="e">
        <v>#N/A</v>
      </c>
      <c r="DA166" s="17" t="e">
        <v>#N/A</v>
      </c>
      <c r="DB166" s="17" t="e">
        <v>#N/A</v>
      </c>
      <c r="DC166" s="17" t="e">
        <v>#N/A</v>
      </c>
      <c r="DD166" s="17" t="e">
        <v>#N/A</v>
      </c>
      <c r="DE166" s="17" t="e">
        <v>#N/A</v>
      </c>
      <c r="DF166" s="17" t="e">
        <v>#N/A</v>
      </c>
      <c r="DG166" s="17" t="e">
        <v>#N/A</v>
      </c>
      <c r="DH166" s="17" t="e">
        <v>#N/A</v>
      </c>
      <c r="DI166" s="17" t="e">
        <v>#N/A</v>
      </c>
      <c r="DJ166" s="17" t="e">
        <v>#N/A</v>
      </c>
      <c r="DK166" s="17" t="e">
        <v>#N/A</v>
      </c>
      <c r="DL166" s="17" t="e">
        <v>#N/A</v>
      </c>
      <c r="DM166" s="17" t="e">
        <v>#N/A</v>
      </c>
      <c r="DN166" s="17" t="e">
        <v>#N/A</v>
      </c>
      <c r="DO166" s="17" t="e">
        <v>#N/A</v>
      </c>
      <c r="DP166" s="17" t="e">
        <v>#N/A</v>
      </c>
      <c r="DQ166" s="17" t="e">
        <v>#N/A</v>
      </c>
      <c r="DR166" s="17" t="e">
        <v>#N/A</v>
      </c>
      <c r="DS166" s="17" t="e">
        <v>#N/A</v>
      </c>
      <c r="DT166" s="17" t="e">
        <v>#N/A</v>
      </c>
      <c r="DU166" s="17" t="e">
        <v>#N/A</v>
      </c>
      <c r="DV166" s="17" t="e">
        <v>#N/A</v>
      </c>
      <c r="DW166" s="17" t="e">
        <v>#N/A</v>
      </c>
      <c r="DX166" s="17" t="e">
        <v>#N/A</v>
      </c>
      <c r="DY166" s="17" t="e">
        <v>#N/A</v>
      </c>
      <c r="DZ166" s="17" t="e">
        <v>#N/A</v>
      </c>
      <c r="EA166" s="17" t="e">
        <v>#N/A</v>
      </c>
      <c r="EB166" s="17" t="e">
        <v>#N/A</v>
      </c>
      <c r="EC166" s="17" t="e">
        <v>#N/A</v>
      </c>
      <c r="ED166" s="17" t="e">
        <v>#N/A</v>
      </c>
      <c r="EE166" s="17" t="e">
        <v>#N/A</v>
      </c>
      <c r="EF166" s="17" t="e">
        <v>#N/A</v>
      </c>
      <c r="EG166" s="17" t="e">
        <v>#N/A</v>
      </c>
      <c r="EH166" s="17" t="e">
        <v>#N/A</v>
      </c>
      <c r="EI166" s="17" t="e">
        <v>#N/A</v>
      </c>
      <c r="EJ166" s="17" t="e">
        <v>#N/A</v>
      </c>
      <c r="EK166" s="17" t="e">
        <v>#N/A</v>
      </c>
      <c r="EL166" s="17" t="e">
        <v>#N/A</v>
      </c>
      <c r="EM166" s="17" t="e">
        <v>#N/A</v>
      </c>
      <c r="EN166" s="17" t="e">
        <v>#N/A</v>
      </c>
      <c r="EO166" s="17" t="e">
        <v>#N/A</v>
      </c>
      <c r="EP166" s="17" t="e">
        <v>#N/A</v>
      </c>
      <c r="EQ166" s="17" t="e">
        <v>#N/A</v>
      </c>
      <c r="ER166" s="17" t="e">
        <v>#N/A</v>
      </c>
      <c r="ES166" s="17" t="e">
        <v>#N/A</v>
      </c>
      <c r="ET166" s="17" t="e">
        <v>#N/A</v>
      </c>
      <c r="EU166" s="17" t="e">
        <v>#N/A</v>
      </c>
      <c r="EV166" s="17" t="e">
        <v>#N/A</v>
      </c>
      <c r="EW166" s="17" t="e">
        <v>#N/A</v>
      </c>
      <c r="EX166" s="17" t="e">
        <v>#N/A</v>
      </c>
      <c r="EY166" s="17" t="e">
        <v>#N/A</v>
      </c>
      <c r="EZ166" s="17" t="e">
        <v>#N/A</v>
      </c>
      <c r="FA166" s="17" t="e">
        <v>#N/A</v>
      </c>
      <c r="FB166" s="17" t="e">
        <v>#N/A</v>
      </c>
      <c r="FC166" s="17" t="e">
        <v>#N/A</v>
      </c>
      <c r="FD166" s="17" t="e">
        <v>#N/A</v>
      </c>
      <c r="FE166" s="17" t="e">
        <v>#N/A</v>
      </c>
      <c r="FF166" s="17" t="e">
        <v>#N/A</v>
      </c>
      <c r="FG166" s="17" t="e">
        <v>#N/A</v>
      </c>
      <c r="FH166" s="17" t="e">
        <v>#N/A</v>
      </c>
      <c r="FI166" s="17" t="e">
        <v>#N/A</v>
      </c>
      <c r="FJ166" s="17" t="e">
        <v>#N/A</v>
      </c>
      <c r="FK166" s="17" t="e">
        <v>#N/A</v>
      </c>
      <c r="FL166" s="17" t="e">
        <v>#N/A</v>
      </c>
      <c r="FM166" s="17" t="e">
        <v>#N/A</v>
      </c>
      <c r="FN166" s="17" t="e">
        <v>#N/A</v>
      </c>
      <c r="FO166" s="17" t="e">
        <v>#N/A</v>
      </c>
      <c r="FP166" s="17" t="e">
        <v>#N/A</v>
      </c>
      <c r="FQ166" s="17" t="e">
        <v>#N/A</v>
      </c>
      <c r="FR166" s="17" t="e">
        <v>#N/A</v>
      </c>
      <c r="FS166" s="17" t="e">
        <v>#N/A</v>
      </c>
      <c r="FT166" s="17" t="e">
        <v>#N/A</v>
      </c>
      <c r="FU166" s="17" t="e">
        <v>#N/A</v>
      </c>
      <c r="FV166" s="17" t="e">
        <v>#N/A</v>
      </c>
    </row>
    <row r="167" spans="2:178" ht="11.25" customHeight="1">
      <c r="B167" s="17" t="e">
        <v>#N/A</v>
      </c>
      <c r="C167" s="17" t="e">
        <v>#N/A</v>
      </c>
      <c r="D167" s="17" t="e">
        <v>#N/A</v>
      </c>
      <c r="E167" s="17" t="e">
        <v>#N/A</v>
      </c>
      <c r="F167" s="17" t="e">
        <v>#N/A</v>
      </c>
      <c r="G167" s="17" t="e">
        <v>#N/A</v>
      </c>
      <c r="H167" s="17" t="e">
        <v>#N/A</v>
      </c>
      <c r="I167" s="17" t="e">
        <v>#N/A</v>
      </c>
      <c r="J167" s="17" t="e">
        <v>#N/A</v>
      </c>
      <c r="K167" s="17" t="e">
        <v>#N/A</v>
      </c>
      <c r="L167" s="17" t="e">
        <v>#N/A</v>
      </c>
      <c r="M167" s="17" t="e">
        <v>#N/A</v>
      </c>
      <c r="N167" s="17" t="e">
        <v>#N/A</v>
      </c>
      <c r="O167" s="17" t="e">
        <v>#N/A</v>
      </c>
      <c r="P167" s="17" t="e">
        <v>#N/A</v>
      </c>
      <c r="Q167" s="17" t="e">
        <v>#N/A</v>
      </c>
      <c r="R167" s="17" t="e">
        <v>#N/A</v>
      </c>
      <c r="S167" s="17" t="e">
        <v>#N/A</v>
      </c>
      <c r="T167" s="17" t="e">
        <v>#N/A</v>
      </c>
      <c r="U167" s="17" t="e">
        <v>#N/A</v>
      </c>
      <c r="V167" s="17" t="e">
        <v>#N/A</v>
      </c>
      <c r="W167" s="17" t="e">
        <v>#N/A</v>
      </c>
      <c r="X167" s="17" t="e">
        <v>#N/A</v>
      </c>
      <c r="Y167" s="17" t="e">
        <v>#N/A</v>
      </c>
      <c r="Z167" s="17" t="e">
        <v>#N/A</v>
      </c>
      <c r="AA167" s="17" t="e">
        <v>#N/A</v>
      </c>
      <c r="AB167" s="17" t="e">
        <v>#N/A</v>
      </c>
      <c r="AC167" s="17" t="e">
        <v>#N/A</v>
      </c>
      <c r="AD167" s="17" t="e">
        <v>#N/A</v>
      </c>
      <c r="AE167" s="17" t="e">
        <v>#N/A</v>
      </c>
      <c r="AF167" s="17" t="e">
        <v>#N/A</v>
      </c>
      <c r="AG167" s="17" t="e">
        <v>#N/A</v>
      </c>
      <c r="AH167" s="17" t="e">
        <v>#N/A</v>
      </c>
      <c r="AI167" s="17" t="e">
        <v>#N/A</v>
      </c>
      <c r="AJ167" s="17" t="e">
        <v>#N/A</v>
      </c>
      <c r="AK167" s="17" t="e">
        <v>#N/A</v>
      </c>
      <c r="AL167" s="17" t="e">
        <v>#N/A</v>
      </c>
      <c r="AM167" s="17" t="e">
        <v>#N/A</v>
      </c>
      <c r="AN167" s="17" t="e">
        <v>#N/A</v>
      </c>
      <c r="AO167" s="17" t="e">
        <v>#N/A</v>
      </c>
      <c r="AP167" s="17" t="e">
        <v>#N/A</v>
      </c>
      <c r="AQ167" s="17" t="e">
        <v>#N/A</v>
      </c>
      <c r="AR167" s="17" t="e">
        <v>#N/A</v>
      </c>
      <c r="AS167" s="17" t="e">
        <v>#N/A</v>
      </c>
      <c r="AT167" s="17" t="e">
        <v>#N/A</v>
      </c>
      <c r="AU167" s="17" t="e">
        <v>#N/A</v>
      </c>
      <c r="AV167" s="17" t="e">
        <v>#N/A</v>
      </c>
      <c r="AW167" s="17" t="e">
        <v>#N/A</v>
      </c>
      <c r="AX167" s="17" t="e">
        <v>#N/A</v>
      </c>
      <c r="AY167" s="17" t="e">
        <v>#N/A</v>
      </c>
      <c r="AZ167" s="17" t="e">
        <v>#N/A</v>
      </c>
      <c r="BA167" s="17" t="e">
        <v>#N/A</v>
      </c>
      <c r="BB167" s="17" t="e">
        <v>#N/A</v>
      </c>
      <c r="BC167" s="17" t="e">
        <v>#N/A</v>
      </c>
      <c r="BD167" s="17" t="e">
        <v>#N/A</v>
      </c>
      <c r="BE167" s="17" t="e">
        <v>#N/A</v>
      </c>
      <c r="BF167" s="17" t="e">
        <v>#N/A</v>
      </c>
      <c r="BG167" s="17" t="e">
        <v>#N/A</v>
      </c>
      <c r="BH167" s="17" t="e">
        <v>#N/A</v>
      </c>
      <c r="BI167" s="17" t="e">
        <v>#N/A</v>
      </c>
      <c r="BJ167" s="17" t="e">
        <v>#N/A</v>
      </c>
      <c r="BK167" s="17" t="e">
        <v>#N/A</v>
      </c>
      <c r="BL167" s="17" t="e">
        <v>#N/A</v>
      </c>
      <c r="BM167" s="17" t="e">
        <v>#N/A</v>
      </c>
      <c r="BN167" s="17" t="e">
        <v>#N/A</v>
      </c>
      <c r="BO167" s="17" t="e">
        <v>#N/A</v>
      </c>
      <c r="BP167" s="17" t="e">
        <v>#N/A</v>
      </c>
      <c r="BQ167" s="17" t="e">
        <v>#N/A</v>
      </c>
      <c r="BR167" s="17" t="e">
        <v>#N/A</v>
      </c>
      <c r="BS167" s="17" t="e">
        <v>#N/A</v>
      </c>
      <c r="BT167" s="17" t="e">
        <v>#N/A</v>
      </c>
      <c r="BU167" s="17" t="e">
        <v>#N/A</v>
      </c>
      <c r="BV167" s="17" t="e">
        <v>#N/A</v>
      </c>
      <c r="BW167" s="17" t="e">
        <v>#N/A</v>
      </c>
      <c r="BX167" s="17" t="e">
        <v>#N/A</v>
      </c>
      <c r="BY167" s="17" t="e">
        <v>#N/A</v>
      </c>
      <c r="BZ167" s="17" t="e">
        <v>#N/A</v>
      </c>
      <c r="CA167" s="17" t="e">
        <v>#N/A</v>
      </c>
      <c r="CB167" s="17" t="e">
        <v>#N/A</v>
      </c>
      <c r="CC167" s="17" t="e">
        <v>#N/A</v>
      </c>
      <c r="CD167" s="17" t="e">
        <v>#N/A</v>
      </c>
      <c r="CE167" s="17" t="e">
        <v>#N/A</v>
      </c>
      <c r="CF167" s="17" t="e">
        <v>#N/A</v>
      </c>
      <c r="CG167" s="17" t="e">
        <v>#N/A</v>
      </c>
      <c r="CH167" s="17" t="e">
        <v>#N/A</v>
      </c>
      <c r="CI167" s="17" t="e">
        <v>#N/A</v>
      </c>
      <c r="CJ167" s="17" t="e">
        <v>#N/A</v>
      </c>
      <c r="CK167" s="17" t="e">
        <v>#N/A</v>
      </c>
      <c r="CL167" s="17" t="e">
        <v>#N/A</v>
      </c>
      <c r="CM167" s="17" t="e">
        <v>#N/A</v>
      </c>
      <c r="CN167" s="17" t="e">
        <v>#N/A</v>
      </c>
      <c r="CO167" s="17" t="e">
        <v>#N/A</v>
      </c>
      <c r="CP167" s="17" t="e">
        <v>#N/A</v>
      </c>
      <c r="CQ167" s="17" t="e">
        <v>#N/A</v>
      </c>
      <c r="CR167" s="17" t="e">
        <v>#N/A</v>
      </c>
      <c r="CS167" s="17" t="e">
        <v>#N/A</v>
      </c>
      <c r="CT167" s="17" t="e">
        <v>#N/A</v>
      </c>
      <c r="CU167" s="17" t="e">
        <v>#N/A</v>
      </c>
      <c r="CV167" s="17" t="e">
        <v>#N/A</v>
      </c>
      <c r="CW167" s="17" t="e">
        <v>#N/A</v>
      </c>
      <c r="CX167" s="17" t="e">
        <v>#N/A</v>
      </c>
      <c r="CY167" s="17" t="e">
        <v>#N/A</v>
      </c>
      <c r="CZ167" s="17" t="e">
        <v>#N/A</v>
      </c>
      <c r="DA167" s="17" t="e">
        <v>#N/A</v>
      </c>
      <c r="DB167" s="17" t="e">
        <v>#N/A</v>
      </c>
      <c r="DC167" s="17" t="e">
        <v>#N/A</v>
      </c>
      <c r="DD167" s="17" t="e">
        <v>#N/A</v>
      </c>
      <c r="DE167" s="17" t="e">
        <v>#N/A</v>
      </c>
      <c r="DF167" s="17" t="e">
        <v>#N/A</v>
      </c>
      <c r="DG167" s="17" t="e">
        <v>#N/A</v>
      </c>
      <c r="DH167" s="17" t="e">
        <v>#N/A</v>
      </c>
      <c r="DI167" s="17" t="e">
        <v>#N/A</v>
      </c>
      <c r="DJ167" s="17" t="e">
        <v>#N/A</v>
      </c>
      <c r="DK167" s="17" t="e">
        <v>#N/A</v>
      </c>
      <c r="DL167" s="17" t="e">
        <v>#N/A</v>
      </c>
      <c r="DM167" s="17" t="e">
        <v>#N/A</v>
      </c>
      <c r="DN167" s="17" t="e">
        <v>#N/A</v>
      </c>
      <c r="DO167" s="17" t="e">
        <v>#N/A</v>
      </c>
      <c r="DP167" s="17" t="e">
        <v>#N/A</v>
      </c>
      <c r="DQ167" s="17" t="e">
        <v>#N/A</v>
      </c>
      <c r="DR167" s="17" t="e">
        <v>#N/A</v>
      </c>
      <c r="DS167" s="17" t="e">
        <v>#N/A</v>
      </c>
      <c r="DT167" s="17" t="e">
        <v>#N/A</v>
      </c>
      <c r="DU167" s="17" t="e">
        <v>#N/A</v>
      </c>
      <c r="DV167" s="17" t="e">
        <v>#N/A</v>
      </c>
      <c r="DW167" s="17" t="e">
        <v>#N/A</v>
      </c>
      <c r="DX167" s="17" t="e">
        <v>#N/A</v>
      </c>
      <c r="DY167" s="17" t="e">
        <v>#N/A</v>
      </c>
      <c r="DZ167" s="17" t="e">
        <v>#N/A</v>
      </c>
      <c r="EA167" s="17" t="e">
        <v>#N/A</v>
      </c>
      <c r="EB167" s="17" t="e">
        <v>#N/A</v>
      </c>
      <c r="EC167" s="17" t="e">
        <v>#N/A</v>
      </c>
      <c r="ED167" s="17" t="e">
        <v>#N/A</v>
      </c>
      <c r="EE167" s="17" t="e">
        <v>#N/A</v>
      </c>
      <c r="EF167" s="17" t="e">
        <v>#N/A</v>
      </c>
      <c r="EG167" s="17" t="e">
        <v>#N/A</v>
      </c>
      <c r="EH167" s="17" t="e">
        <v>#N/A</v>
      </c>
      <c r="EI167" s="17" t="e">
        <v>#N/A</v>
      </c>
      <c r="EJ167" s="17" t="e">
        <v>#N/A</v>
      </c>
      <c r="EK167" s="17" t="e">
        <v>#N/A</v>
      </c>
      <c r="EL167" s="17" t="e">
        <v>#N/A</v>
      </c>
      <c r="EM167" s="17" t="e">
        <v>#N/A</v>
      </c>
      <c r="EN167" s="17" t="e">
        <v>#N/A</v>
      </c>
      <c r="EO167" s="17" t="e">
        <v>#N/A</v>
      </c>
      <c r="EP167" s="17" t="e">
        <v>#N/A</v>
      </c>
      <c r="EQ167" s="17" t="e">
        <v>#N/A</v>
      </c>
      <c r="ER167" s="17" t="e">
        <v>#N/A</v>
      </c>
      <c r="ES167" s="17" t="e">
        <v>#N/A</v>
      </c>
      <c r="ET167" s="17" t="e">
        <v>#N/A</v>
      </c>
      <c r="EU167" s="17" t="e">
        <v>#N/A</v>
      </c>
      <c r="EV167" s="17" t="e">
        <v>#N/A</v>
      </c>
      <c r="EW167" s="17" t="e">
        <v>#N/A</v>
      </c>
      <c r="EX167" s="17" t="e">
        <v>#N/A</v>
      </c>
      <c r="EY167" s="17" t="e">
        <v>#N/A</v>
      </c>
      <c r="EZ167" s="17" t="e">
        <v>#N/A</v>
      </c>
      <c r="FA167" s="17" t="e">
        <v>#N/A</v>
      </c>
      <c r="FB167" s="17" t="e">
        <v>#N/A</v>
      </c>
      <c r="FC167" s="17" t="e">
        <v>#N/A</v>
      </c>
      <c r="FD167" s="17" t="e">
        <v>#N/A</v>
      </c>
      <c r="FE167" s="17" t="e">
        <v>#N/A</v>
      </c>
      <c r="FF167" s="17" t="e">
        <v>#N/A</v>
      </c>
      <c r="FG167" s="17" t="e">
        <v>#N/A</v>
      </c>
      <c r="FH167" s="17" t="e">
        <v>#N/A</v>
      </c>
      <c r="FI167" s="17" t="e">
        <v>#N/A</v>
      </c>
      <c r="FJ167" s="17" t="e">
        <v>#N/A</v>
      </c>
      <c r="FK167" s="17" t="e">
        <v>#N/A</v>
      </c>
      <c r="FL167" s="17" t="e">
        <v>#N/A</v>
      </c>
      <c r="FM167" s="17" t="e">
        <v>#N/A</v>
      </c>
      <c r="FN167" s="17" t="e">
        <v>#N/A</v>
      </c>
      <c r="FO167" s="17" t="e">
        <v>#N/A</v>
      </c>
      <c r="FP167" s="17" t="e">
        <v>#N/A</v>
      </c>
      <c r="FQ167" s="17" t="e">
        <v>#N/A</v>
      </c>
      <c r="FR167" s="17" t="e">
        <v>#N/A</v>
      </c>
      <c r="FS167" s="17" t="e">
        <v>#N/A</v>
      </c>
      <c r="FT167" s="17" t="e">
        <v>#N/A</v>
      </c>
      <c r="FU167" s="17" t="e">
        <v>#N/A</v>
      </c>
      <c r="FV167" s="17" t="e">
        <v>#N/A</v>
      </c>
    </row>
    <row r="168" spans="2:178" ht="11.25" customHeight="1">
      <c r="B168" s="17" t="e">
        <v>#N/A</v>
      </c>
      <c r="C168" s="17" t="e">
        <v>#N/A</v>
      </c>
      <c r="D168" s="17" t="e">
        <v>#N/A</v>
      </c>
      <c r="E168" s="17" t="e">
        <v>#N/A</v>
      </c>
      <c r="F168" s="17" t="e">
        <v>#N/A</v>
      </c>
      <c r="G168" s="17" t="e">
        <v>#N/A</v>
      </c>
      <c r="H168" s="17" t="e">
        <v>#N/A</v>
      </c>
      <c r="I168" s="17" t="e">
        <v>#N/A</v>
      </c>
      <c r="J168" s="17" t="e">
        <v>#N/A</v>
      </c>
      <c r="K168" s="17" t="e">
        <v>#N/A</v>
      </c>
      <c r="L168" s="17" t="e">
        <v>#N/A</v>
      </c>
      <c r="M168" s="17" t="e">
        <v>#N/A</v>
      </c>
      <c r="N168" s="17" t="e">
        <v>#N/A</v>
      </c>
      <c r="O168" s="17" t="e">
        <v>#N/A</v>
      </c>
      <c r="P168" s="17" t="e">
        <v>#N/A</v>
      </c>
      <c r="Q168" s="17" t="e">
        <v>#N/A</v>
      </c>
      <c r="R168" s="17" t="e">
        <v>#N/A</v>
      </c>
      <c r="S168" s="17" t="e">
        <v>#N/A</v>
      </c>
      <c r="T168" s="17" t="e">
        <v>#N/A</v>
      </c>
      <c r="U168" s="17" t="e">
        <v>#N/A</v>
      </c>
      <c r="V168" s="17" t="e">
        <v>#N/A</v>
      </c>
      <c r="W168" s="17" t="e">
        <v>#N/A</v>
      </c>
      <c r="X168" s="17" t="e">
        <v>#N/A</v>
      </c>
      <c r="Y168" s="17" t="e">
        <v>#N/A</v>
      </c>
      <c r="Z168" s="17" t="e">
        <v>#N/A</v>
      </c>
      <c r="AA168" s="17" t="e">
        <v>#N/A</v>
      </c>
      <c r="AB168" s="17" t="e">
        <v>#N/A</v>
      </c>
      <c r="AC168" s="17" t="e">
        <v>#N/A</v>
      </c>
      <c r="AD168" s="17" t="e">
        <v>#N/A</v>
      </c>
      <c r="AE168" s="17" t="e">
        <v>#N/A</v>
      </c>
      <c r="AF168" s="17" t="e">
        <v>#N/A</v>
      </c>
      <c r="AG168" s="17" t="e">
        <v>#N/A</v>
      </c>
      <c r="AH168" s="17" t="e">
        <v>#N/A</v>
      </c>
      <c r="AI168" s="17" t="e">
        <v>#N/A</v>
      </c>
      <c r="AJ168" s="17" t="e">
        <v>#N/A</v>
      </c>
      <c r="AK168" s="17" t="e">
        <v>#N/A</v>
      </c>
      <c r="AL168" s="17" t="e">
        <v>#N/A</v>
      </c>
      <c r="AM168" s="17" t="e">
        <v>#N/A</v>
      </c>
      <c r="AN168" s="17" t="e">
        <v>#N/A</v>
      </c>
      <c r="AO168" s="17" t="e">
        <v>#N/A</v>
      </c>
      <c r="AP168" s="17" t="e">
        <v>#N/A</v>
      </c>
      <c r="AQ168" s="17" t="e">
        <v>#N/A</v>
      </c>
      <c r="AR168" s="17" t="e">
        <v>#N/A</v>
      </c>
      <c r="AS168" s="17" t="e">
        <v>#N/A</v>
      </c>
      <c r="AT168" s="17" t="e">
        <v>#N/A</v>
      </c>
      <c r="AU168" s="17" t="e">
        <v>#N/A</v>
      </c>
      <c r="AV168" s="17" t="e">
        <v>#N/A</v>
      </c>
      <c r="AW168" s="17" t="e">
        <v>#N/A</v>
      </c>
      <c r="AX168" s="17" t="e">
        <v>#N/A</v>
      </c>
      <c r="AY168" s="17" t="e">
        <v>#N/A</v>
      </c>
      <c r="AZ168" s="17" t="e">
        <v>#N/A</v>
      </c>
      <c r="BA168" s="17" t="e">
        <v>#N/A</v>
      </c>
      <c r="BB168" s="17" t="e">
        <v>#N/A</v>
      </c>
      <c r="BC168" s="17" t="e">
        <v>#N/A</v>
      </c>
      <c r="BD168" s="17" t="e">
        <v>#N/A</v>
      </c>
      <c r="BE168" s="17" t="e">
        <v>#N/A</v>
      </c>
      <c r="BF168" s="17" t="e">
        <v>#N/A</v>
      </c>
      <c r="BG168" s="17" t="e">
        <v>#N/A</v>
      </c>
      <c r="BH168" s="17" t="e">
        <v>#N/A</v>
      </c>
      <c r="BI168" s="17" t="e">
        <v>#N/A</v>
      </c>
      <c r="BJ168" s="17" t="e">
        <v>#N/A</v>
      </c>
      <c r="BK168" s="17" t="e">
        <v>#N/A</v>
      </c>
      <c r="BL168" s="17" t="e">
        <v>#N/A</v>
      </c>
      <c r="BM168" s="17" t="e">
        <v>#N/A</v>
      </c>
      <c r="BN168" s="17" t="e">
        <v>#N/A</v>
      </c>
      <c r="BO168" s="17" t="e">
        <v>#N/A</v>
      </c>
      <c r="BP168" s="17" t="e">
        <v>#N/A</v>
      </c>
      <c r="BQ168" s="17" t="e">
        <v>#N/A</v>
      </c>
      <c r="BR168" s="17" t="e">
        <v>#N/A</v>
      </c>
      <c r="BS168" s="17" t="e">
        <v>#N/A</v>
      </c>
      <c r="BT168" s="17" t="e">
        <v>#N/A</v>
      </c>
      <c r="BU168" s="17" t="e">
        <v>#N/A</v>
      </c>
      <c r="BV168" s="17" t="e">
        <v>#N/A</v>
      </c>
      <c r="BW168" s="17" t="e">
        <v>#N/A</v>
      </c>
      <c r="BX168" s="17" t="e">
        <v>#N/A</v>
      </c>
      <c r="BY168" s="17" t="e">
        <v>#N/A</v>
      </c>
      <c r="BZ168" s="17" t="e">
        <v>#N/A</v>
      </c>
      <c r="CA168" s="17" t="e">
        <v>#N/A</v>
      </c>
      <c r="CB168" s="17" t="e">
        <v>#N/A</v>
      </c>
      <c r="CC168" s="17" t="e">
        <v>#N/A</v>
      </c>
      <c r="CD168" s="17" t="e">
        <v>#N/A</v>
      </c>
      <c r="CE168" s="17" t="e">
        <v>#N/A</v>
      </c>
      <c r="CF168" s="17" t="e">
        <v>#N/A</v>
      </c>
      <c r="CG168" s="17" t="e">
        <v>#N/A</v>
      </c>
      <c r="CH168" s="17" t="e">
        <v>#N/A</v>
      </c>
      <c r="CI168" s="17" t="e">
        <v>#N/A</v>
      </c>
      <c r="CJ168" s="17" t="e">
        <v>#N/A</v>
      </c>
      <c r="CK168" s="17" t="e">
        <v>#N/A</v>
      </c>
      <c r="CL168" s="17" t="e">
        <v>#N/A</v>
      </c>
      <c r="CM168" s="17" t="e">
        <v>#N/A</v>
      </c>
      <c r="CN168" s="17" t="e">
        <v>#N/A</v>
      </c>
      <c r="CO168" s="17" t="e">
        <v>#N/A</v>
      </c>
      <c r="CP168" s="17" t="e">
        <v>#N/A</v>
      </c>
      <c r="CQ168" s="17" t="e">
        <v>#N/A</v>
      </c>
      <c r="CR168" s="17" t="e">
        <v>#N/A</v>
      </c>
      <c r="CS168" s="17" t="e">
        <v>#N/A</v>
      </c>
      <c r="CT168" s="17" t="e">
        <v>#N/A</v>
      </c>
      <c r="CU168" s="17" t="e">
        <v>#N/A</v>
      </c>
      <c r="CV168" s="17" t="e">
        <v>#N/A</v>
      </c>
      <c r="CW168" s="17" t="e">
        <v>#N/A</v>
      </c>
      <c r="CX168" s="17" t="e">
        <v>#N/A</v>
      </c>
      <c r="CY168" s="17" t="e">
        <v>#N/A</v>
      </c>
      <c r="CZ168" s="17" t="e">
        <v>#N/A</v>
      </c>
      <c r="DA168" s="17" t="e">
        <v>#N/A</v>
      </c>
      <c r="DB168" s="17" t="e">
        <v>#N/A</v>
      </c>
      <c r="DC168" s="17" t="e">
        <v>#N/A</v>
      </c>
      <c r="DD168" s="17" t="e">
        <v>#N/A</v>
      </c>
      <c r="DE168" s="17" t="e">
        <v>#N/A</v>
      </c>
      <c r="DF168" s="17" t="e">
        <v>#N/A</v>
      </c>
      <c r="DG168" s="17" t="e">
        <v>#N/A</v>
      </c>
      <c r="DH168" s="17" t="e">
        <v>#N/A</v>
      </c>
      <c r="DI168" s="17" t="e">
        <v>#N/A</v>
      </c>
      <c r="DJ168" s="17" t="e">
        <v>#N/A</v>
      </c>
      <c r="DK168" s="17" t="e">
        <v>#N/A</v>
      </c>
      <c r="DL168" s="17" t="e">
        <v>#N/A</v>
      </c>
      <c r="DM168" s="17" t="e">
        <v>#N/A</v>
      </c>
      <c r="DN168" s="17" t="e">
        <v>#N/A</v>
      </c>
      <c r="DO168" s="17" t="e">
        <v>#N/A</v>
      </c>
      <c r="DP168" s="17" t="e">
        <v>#N/A</v>
      </c>
      <c r="DQ168" s="17" t="e">
        <v>#N/A</v>
      </c>
      <c r="DR168" s="17" t="e">
        <v>#N/A</v>
      </c>
      <c r="DS168" s="17" t="e">
        <v>#N/A</v>
      </c>
      <c r="DT168" s="17" t="e">
        <v>#N/A</v>
      </c>
      <c r="DU168" s="17" t="e">
        <v>#N/A</v>
      </c>
      <c r="DV168" s="17" t="e">
        <v>#N/A</v>
      </c>
      <c r="DW168" s="17" t="e">
        <v>#N/A</v>
      </c>
      <c r="DX168" s="17" t="e">
        <v>#N/A</v>
      </c>
      <c r="DY168" s="17" t="e">
        <v>#N/A</v>
      </c>
      <c r="DZ168" s="17" t="e">
        <v>#N/A</v>
      </c>
      <c r="EA168" s="17" t="e">
        <v>#N/A</v>
      </c>
      <c r="EB168" s="17" t="e">
        <v>#N/A</v>
      </c>
      <c r="EC168" s="17" t="e">
        <v>#N/A</v>
      </c>
      <c r="ED168" s="17" t="e">
        <v>#N/A</v>
      </c>
      <c r="EE168" s="17" t="e">
        <v>#N/A</v>
      </c>
      <c r="EF168" s="17" t="e">
        <v>#N/A</v>
      </c>
      <c r="EG168" s="17" t="e">
        <v>#N/A</v>
      </c>
      <c r="EH168" s="17" t="e">
        <v>#N/A</v>
      </c>
      <c r="EI168" s="17" t="e">
        <v>#N/A</v>
      </c>
      <c r="EJ168" s="17" t="e">
        <v>#N/A</v>
      </c>
      <c r="EK168" s="17" t="e">
        <v>#N/A</v>
      </c>
      <c r="EL168" s="17" t="e">
        <v>#N/A</v>
      </c>
      <c r="EM168" s="17" t="e">
        <v>#N/A</v>
      </c>
      <c r="EN168" s="17" t="e">
        <v>#N/A</v>
      </c>
      <c r="EO168" s="17" t="e">
        <v>#N/A</v>
      </c>
      <c r="EP168" s="17" t="e">
        <v>#N/A</v>
      </c>
      <c r="EQ168" s="17" t="e">
        <v>#N/A</v>
      </c>
      <c r="ER168" s="17" t="e">
        <v>#N/A</v>
      </c>
      <c r="ES168" s="17" t="e">
        <v>#N/A</v>
      </c>
      <c r="ET168" s="17" t="e">
        <v>#N/A</v>
      </c>
      <c r="EU168" s="17" t="e">
        <v>#N/A</v>
      </c>
      <c r="EV168" s="17" t="e">
        <v>#N/A</v>
      </c>
      <c r="EW168" s="17" t="e">
        <v>#N/A</v>
      </c>
      <c r="EX168" s="17" t="e">
        <v>#N/A</v>
      </c>
      <c r="EY168" s="17" t="e">
        <v>#N/A</v>
      </c>
      <c r="EZ168" s="17" t="e">
        <v>#N/A</v>
      </c>
      <c r="FA168" s="17" t="e">
        <v>#N/A</v>
      </c>
      <c r="FB168" s="17" t="e">
        <v>#N/A</v>
      </c>
      <c r="FC168" s="17" t="e">
        <v>#N/A</v>
      </c>
      <c r="FD168" s="17" t="e">
        <v>#N/A</v>
      </c>
      <c r="FE168" s="17" t="e">
        <v>#N/A</v>
      </c>
      <c r="FF168" s="17" t="e">
        <v>#N/A</v>
      </c>
      <c r="FG168" s="17" t="e">
        <v>#N/A</v>
      </c>
      <c r="FH168" s="17" t="e">
        <v>#N/A</v>
      </c>
      <c r="FI168" s="17" t="e">
        <v>#N/A</v>
      </c>
      <c r="FJ168" s="17" t="e">
        <v>#N/A</v>
      </c>
      <c r="FK168" s="17" t="e">
        <v>#N/A</v>
      </c>
      <c r="FL168" s="17" t="e">
        <v>#N/A</v>
      </c>
      <c r="FM168" s="17" t="e">
        <v>#N/A</v>
      </c>
      <c r="FN168" s="17" t="e">
        <v>#N/A</v>
      </c>
      <c r="FO168" s="17" t="e">
        <v>#N/A</v>
      </c>
      <c r="FP168" s="17" t="e">
        <v>#N/A</v>
      </c>
      <c r="FQ168" s="17" t="e">
        <v>#N/A</v>
      </c>
      <c r="FR168" s="17" t="e">
        <v>#N/A</v>
      </c>
      <c r="FS168" s="17" t="e">
        <v>#N/A</v>
      </c>
      <c r="FT168" s="17" t="e">
        <v>#N/A</v>
      </c>
      <c r="FU168" s="17" t="e">
        <v>#N/A</v>
      </c>
      <c r="FV168" s="17" t="e">
        <v>#N/A</v>
      </c>
    </row>
    <row r="169" spans="2:178" ht="11.25" customHeight="1">
      <c r="B169" s="17" t="e">
        <v>#N/A</v>
      </c>
      <c r="C169" s="17" t="e">
        <v>#N/A</v>
      </c>
      <c r="D169" s="17" t="e">
        <v>#N/A</v>
      </c>
      <c r="E169" s="17" t="e">
        <v>#N/A</v>
      </c>
      <c r="F169" s="17" t="e">
        <v>#N/A</v>
      </c>
      <c r="G169" s="17" t="e">
        <v>#N/A</v>
      </c>
      <c r="H169" s="17" t="e">
        <v>#N/A</v>
      </c>
      <c r="I169" s="17" t="e">
        <v>#N/A</v>
      </c>
      <c r="J169" s="17" t="e">
        <v>#N/A</v>
      </c>
      <c r="K169" s="17" t="e">
        <v>#N/A</v>
      </c>
      <c r="L169" s="17" t="e">
        <v>#N/A</v>
      </c>
      <c r="M169" s="17" t="e">
        <v>#N/A</v>
      </c>
      <c r="N169" s="17" t="e">
        <v>#N/A</v>
      </c>
      <c r="O169" s="17" t="e">
        <v>#N/A</v>
      </c>
      <c r="P169" s="17" t="e">
        <v>#N/A</v>
      </c>
      <c r="Q169" s="17" t="e">
        <v>#N/A</v>
      </c>
      <c r="R169" s="17" t="e">
        <v>#N/A</v>
      </c>
      <c r="S169" s="17" t="e">
        <v>#N/A</v>
      </c>
      <c r="T169" s="17" t="e">
        <v>#N/A</v>
      </c>
      <c r="U169" s="17" t="e">
        <v>#N/A</v>
      </c>
      <c r="V169" s="17" t="e">
        <v>#N/A</v>
      </c>
      <c r="W169" s="17" t="e">
        <v>#N/A</v>
      </c>
      <c r="X169" s="17" t="e">
        <v>#N/A</v>
      </c>
      <c r="Y169" s="17" t="e">
        <v>#N/A</v>
      </c>
      <c r="Z169" s="17" t="e">
        <v>#N/A</v>
      </c>
      <c r="AA169" s="17" t="e">
        <v>#N/A</v>
      </c>
      <c r="AB169" s="17" t="e">
        <v>#N/A</v>
      </c>
      <c r="AC169" s="17" t="e">
        <v>#N/A</v>
      </c>
      <c r="AD169" s="17" t="e">
        <v>#N/A</v>
      </c>
      <c r="AE169" s="17" t="e">
        <v>#N/A</v>
      </c>
      <c r="AF169" s="17" t="e">
        <v>#N/A</v>
      </c>
      <c r="AG169" s="17" t="e">
        <v>#N/A</v>
      </c>
      <c r="AH169" s="17" t="e">
        <v>#N/A</v>
      </c>
      <c r="AI169" s="17" t="e">
        <v>#N/A</v>
      </c>
      <c r="AJ169" s="17" t="e">
        <v>#N/A</v>
      </c>
      <c r="AK169" s="17" t="e">
        <v>#N/A</v>
      </c>
      <c r="AL169" s="17" t="e">
        <v>#N/A</v>
      </c>
      <c r="AM169" s="17" t="e">
        <v>#N/A</v>
      </c>
      <c r="AN169" s="17" t="e">
        <v>#N/A</v>
      </c>
      <c r="AO169" s="17" t="e">
        <v>#N/A</v>
      </c>
      <c r="AP169" s="17" t="e">
        <v>#N/A</v>
      </c>
      <c r="AQ169" s="17" t="e">
        <v>#N/A</v>
      </c>
      <c r="AR169" s="17" t="e">
        <v>#N/A</v>
      </c>
      <c r="AS169" s="17" t="e">
        <v>#N/A</v>
      </c>
      <c r="AT169" s="17" t="e">
        <v>#N/A</v>
      </c>
      <c r="AU169" s="17" t="e">
        <v>#N/A</v>
      </c>
      <c r="AV169" s="17" t="e">
        <v>#N/A</v>
      </c>
      <c r="AW169" s="17" t="e">
        <v>#N/A</v>
      </c>
      <c r="AX169" s="17" t="e">
        <v>#N/A</v>
      </c>
      <c r="AY169" s="17" t="e">
        <v>#N/A</v>
      </c>
      <c r="AZ169" s="17" t="e">
        <v>#N/A</v>
      </c>
      <c r="BA169" s="17" t="e">
        <v>#N/A</v>
      </c>
      <c r="BB169" s="17" t="e">
        <v>#N/A</v>
      </c>
      <c r="BC169" s="17" t="e">
        <v>#N/A</v>
      </c>
      <c r="BD169" s="17" t="e">
        <v>#N/A</v>
      </c>
      <c r="BE169" s="17" t="e">
        <v>#N/A</v>
      </c>
      <c r="BF169" s="17" t="e">
        <v>#N/A</v>
      </c>
      <c r="BG169" s="17" t="e">
        <v>#N/A</v>
      </c>
      <c r="BH169" s="17" t="e">
        <v>#N/A</v>
      </c>
      <c r="BI169" s="17" t="e">
        <v>#N/A</v>
      </c>
      <c r="BJ169" s="17" t="e">
        <v>#N/A</v>
      </c>
      <c r="BK169" s="17" t="e">
        <v>#N/A</v>
      </c>
      <c r="BL169" s="17" t="e">
        <v>#N/A</v>
      </c>
      <c r="BM169" s="17" t="e">
        <v>#N/A</v>
      </c>
      <c r="BN169" s="17" t="e">
        <v>#N/A</v>
      </c>
      <c r="BO169" s="17" t="e">
        <v>#N/A</v>
      </c>
      <c r="BP169" s="17" t="e">
        <v>#N/A</v>
      </c>
      <c r="BQ169" s="17" t="e">
        <v>#N/A</v>
      </c>
      <c r="BR169" s="17" t="e">
        <v>#N/A</v>
      </c>
      <c r="BS169" s="17" t="e">
        <v>#N/A</v>
      </c>
      <c r="BT169" s="17" t="e">
        <v>#N/A</v>
      </c>
      <c r="BU169" s="17" t="e">
        <v>#N/A</v>
      </c>
      <c r="BV169" s="17" t="e">
        <v>#N/A</v>
      </c>
      <c r="BW169" s="17" t="e">
        <v>#N/A</v>
      </c>
      <c r="BX169" s="17" t="e">
        <v>#N/A</v>
      </c>
      <c r="BY169" s="17" t="e">
        <v>#N/A</v>
      </c>
      <c r="BZ169" s="17" t="e">
        <v>#N/A</v>
      </c>
      <c r="CA169" s="17" t="e">
        <v>#N/A</v>
      </c>
      <c r="CB169" s="17" t="e">
        <v>#N/A</v>
      </c>
      <c r="CC169" s="17" t="e">
        <v>#N/A</v>
      </c>
      <c r="CD169" s="17" t="e">
        <v>#N/A</v>
      </c>
      <c r="CE169" s="17" t="e">
        <v>#N/A</v>
      </c>
      <c r="CF169" s="17" t="e">
        <v>#N/A</v>
      </c>
      <c r="CG169" s="17" t="e">
        <v>#N/A</v>
      </c>
      <c r="CH169" s="17" t="e">
        <v>#N/A</v>
      </c>
      <c r="CI169" s="17" t="e">
        <v>#N/A</v>
      </c>
      <c r="CJ169" s="17" t="e">
        <v>#N/A</v>
      </c>
      <c r="CK169" s="17" t="e">
        <v>#N/A</v>
      </c>
      <c r="CL169" s="17" t="e">
        <v>#N/A</v>
      </c>
      <c r="CM169" s="17" t="e">
        <v>#N/A</v>
      </c>
      <c r="CN169" s="17" t="e">
        <v>#N/A</v>
      </c>
      <c r="CO169" s="17" t="e">
        <v>#N/A</v>
      </c>
      <c r="CP169" s="17" t="e">
        <v>#N/A</v>
      </c>
      <c r="CQ169" s="17" t="e">
        <v>#N/A</v>
      </c>
      <c r="CR169" s="17" t="e">
        <v>#N/A</v>
      </c>
      <c r="CS169" s="17" t="e">
        <v>#N/A</v>
      </c>
      <c r="CT169" s="17" t="e">
        <v>#N/A</v>
      </c>
      <c r="CU169" s="17" t="e">
        <v>#N/A</v>
      </c>
      <c r="CV169" s="17" t="e">
        <v>#N/A</v>
      </c>
      <c r="CW169" s="17" t="e">
        <v>#N/A</v>
      </c>
      <c r="CX169" s="17" t="e">
        <v>#N/A</v>
      </c>
      <c r="CY169" s="17" t="e">
        <v>#N/A</v>
      </c>
      <c r="CZ169" s="17" t="e">
        <v>#N/A</v>
      </c>
      <c r="DA169" s="17" t="e">
        <v>#N/A</v>
      </c>
      <c r="DB169" s="17" t="e">
        <v>#N/A</v>
      </c>
      <c r="DC169" s="17" t="e">
        <v>#N/A</v>
      </c>
      <c r="DD169" s="17" t="e">
        <v>#N/A</v>
      </c>
      <c r="DE169" s="17" t="e">
        <v>#N/A</v>
      </c>
      <c r="DF169" s="17" t="e">
        <v>#N/A</v>
      </c>
      <c r="DG169" s="17" t="e">
        <v>#N/A</v>
      </c>
      <c r="DH169" s="17" t="e">
        <v>#N/A</v>
      </c>
      <c r="DI169" s="17" t="e">
        <v>#N/A</v>
      </c>
      <c r="DJ169" s="17" t="e">
        <v>#N/A</v>
      </c>
      <c r="DK169" s="17" t="e">
        <v>#N/A</v>
      </c>
      <c r="DL169" s="17" t="e">
        <v>#N/A</v>
      </c>
      <c r="DM169" s="17" t="e">
        <v>#N/A</v>
      </c>
      <c r="DN169" s="17" t="e">
        <v>#N/A</v>
      </c>
      <c r="DO169" s="17" t="e">
        <v>#N/A</v>
      </c>
      <c r="DP169" s="17" t="e">
        <v>#N/A</v>
      </c>
      <c r="DQ169" s="17" t="e">
        <v>#N/A</v>
      </c>
      <c r="DR169" s="17" t="e">
        <v>#N/A</v>
      </c>
      <c r="DS169" s="17" t="e">
        <v>#N/A</v>
      </c>
      <c r="DT169" s="17" t="e">
        <v>#N/A</v>
      </c>
      <c r="DU169" s="17" t="e">
        <v>#N/A</v>
      </c>
      <c r="DV169" s="17" t="e">
        <v>#N/A</v>
      </c>
      <c r="DW169" s="17" t="e">
        <v>#N/A</v>
      </c>
      <c r="DX169" s="17" t="e">
        <v>#N/A</v>
      </c>
      <c r="DY169" s="17" t="e">
        <v>#N/A</v>
      </c>
      <c r="DZ169" s="17" t="e">
        <v>#N/A</v>
      </c>
      <c r="EA169" s="17" t="e">
        <v>#N/A</v>
      </c>
      <c r="EB169" s="17" t="e">
        <v>#N/A</v>
      </c>
      <c r="EC169" s="17" t="e">
        <v>#N/A</v>
      </c>
      <c r="ED169" s="17" t="e">
        <v>#N/A</v>
      </c>
      <c r="EE169" s="17" t="e">
        <v>#N/A</v>
      </c>
      <c r="EF169" s="17" t="e">
        <v>#N/A</v>
      </c>
      <c r="EG169" s="17" t="e">
        <v>#N/A</v>
      </c>
      <c r="EH169" s="17" t="e">
        <v>#N/A</v>
      </c>
      <c r="EI169" s="17" t="e">
        <v>#N/A</v>
      </c>
      <c r="EJ169" s="17" t="e">
        <v>#N/A</v>
      </c>
      <c r="EK169" s="17" t="e">
        <v>#N/A</v>
      </c>
      <c r="EL169" s="17" t="e">
        <v>#N/A</v>
      </c>
      <c r="EM169" s="17" t="e">
        <v>#N/A</v>
      </c>
      <c r="EN169" s="17" t="e">
        <v>#N/A</v>
      </c>
      <c r="EO169" s="17" t="e">
        <v>#N/A</v>
      </c>
      <c r="EP169" s="17" t="e">
        <v>#N/A</v>
      </c>
      <c r="EQ169" s="17" t="e">
        <v>#N/A</v>
      </c>
      <c r="ER169" s="17" t="e">
        <v>#N/A</v>
      </c>
      <c r="ES169" s="17" t="e">
        <v>#N/A</v>
      </c>
      <c r="ET169" s="17" t="e">
        <v>#N/A</v>
      </c>
      <c r="EU169" s="17" t="e">
        <v>#N/A</v>
      </c>
      <c r="EV169" s="17" t="e">
        <v>#N/A</v>
      </c>
      <c r="EW169" s="17" t="e">
        <v>#N/A</v>
      </c>
      <c r="EX169" s="17" t="e">
        <v>#N/A</v>
      </c>
      <c r="EY169" s="17" t="e">
        <v>#N/A</v>
      </c>
      <c r="EZ169" s="17" t="e">
        <v>#N/A</v>
      </c>
      <c r="FA169" s="17" t="e">
        <v>#N/A</v>
      </c>
      <c r="FB169" s="17" t="e">
        <v>#N/A</v>
      </c>
      <c r="FC169" s="17" t="e">
        <v>#N/A</v>
      </c>
      <c r="FD169" s="17" t="e">
        <v>#N/A</v>
      </c>
      <c r="FE169" s="17" t="e">
        <v>#N/A</v>
      </c>
      <c r="FF169" s="17" t="e">
        <v>#N/A</v>
      </c>
      <c r="FG169" s="17" t="e">
        <v>#N/A</v>
      </c>
      <c r="FH169" s="17" t="e">
        <v>#N/A</v>
      </c>
      <c r="FI169" s="17" t="e">
        <v>#N/A</v>
      </c>
      <c r="FJ169" s="17" t="e">
        <v>#N/A</v>
      </c>
      <c r="FK169" s="17" t="e">
        <v>#N/A</v>
      </c>
      <c r="FL169" s="17" t="e">
        <v>#N/A</v>
      </c>
      <c r="FM169" s="17" t="e">
        <v>#N/A</v>
      </c>
      <c r="FN169" s="17" t="e">
        <v>#N/A</v>
      </c>
      <c r="FO169" s="17" t="e">
        <v>#N/A</v>
      </c>
      <c r="FP169" s="17" t="e">
        <v>#N/A</v>
      </c>
      <c r="FQ169" s="17" t="e">
        <v>#N/A</v>
      </c>
      <c r="FR169" s="17" t="e">
        <v>#N/A</v>
      </c>
      <c r="FS169" s="17" t="e">
        <v>#N/A</v>
      </c>
      <c r="FT169" s="17" t="e">
        <v>#N/A</v>
      </c>
      <c r="FU169" s="17" t="e">
        <v>#N/A</v>
      </c>
      <c r="FV169" s="17" t="e">
        <v>#N/A</v>
      </c>
    </row>
    <row r="170" spans="2:178" ht="11.25" customHeight="1">
      <c r="B170" s="17" t="e">
        <v>#N/A</v>
      </c>
      <c r="C170" s="17" t="e">
        <v>#N/A</v>
      </c>
      <c r="D170" s="17" t="e">
        <v>#N/A</v>
      </c>
      <c r="E170" s="17" t="e">
        <v>#N/A</v>
      </c>
      <c r="F170" s="17" t="e">
        <v>#N/A</v>
      </c>
      <c r="G170" s="17" t="e">
        <v>#N/A</v>
      </c>
      <c r="H170" s="17" t="e">
        <v>#N/A</v>
      </c>
      <c r="I170" s="17" t="e">
        <v>#N/A</v>
      </c>
      <c r="J170" s="17" t="e">
        <v>#N/A</v>
      </c>
      <c r="K170" s="17" t="e">
        <v>#N/A</v>
      </c>
      <c r="L170" s="17" t="e">
        <v>#N/A</v>
      </c>
      <c r="M170" s="17" t="e">
        <v>#N/A</v>
      </c>
      <c r="N170" s="17" t="e">
        <v>#N/A</v>
      </c>
      <c r="O170" s="17" t="e">
        <v>#N/A</v>
      </c>
      <c r="P170" s="17" t="e">
        <v>#N/A</v>
      </c>
      <c r="Q170" s="17" t="e">
        <v>#N/A</v>
      </c>
      <c r="R170" s="17" t="e">
        <v>#N/A</v>
      </c>
      <c r="S170" s="17" t="e">
        <v>#N/A</v>
      </c>
      <c r="T170" s="17" t="e">
        <v>#N/A</v>
      </c>
      <c r="U170" s="17" t="e">
        <v>#N/A</v>
      </c>
      <c r="V170" s="17" t="e">
        <v>#N/A</v>
      </c>
      <c r="W170" s="17" t="e">
        <v>#N/A</v>
      </c>
      <c r="X170" s="17" t="e">
        <v>#N/A</v>
      </c>
      <c r="Y170" s="17" t="e">
        <v>#N/A</v>
      </c>
      <c r="Z170" s="17" t="e">
        <v>#N/A</v>
      </c>
      <c r="AA170" s="17" t="e">
        <v>#N/A</v>
      </c>
      <c r="AB170" s="17" t="e">
        <v>#N/A</v>
      </c>
      <c r="AC170" s="17" t="e">
        <v>#N/A</v>
      </c>
      <c r="AD170" s="17" t="e">
        <v>#N/A</v>
      </c>
      <c r="AE170" s="17" t="e">
        <v>#N/A</v>
      </c>
      <c r="AF170" s="17" t="e">
        <v>#N/A</v>
      </c>
      <c r="AG170" s="17" t="e">
        <v>#N/A</v>
      </c>
      <c r="AH170" s="17" t="e">
        <v>#N/A</v>
      </c>
      <c r="AI170" s="17" t="e">
        <v>#N/A</v>
      </c>
      <c r="AJ170" s="17" t="e">
        <v>#N/A</v>
      </c>
      <c r="AK170" s="17" t="e">
        <v>#N/A</v>
      </c>
      <c r="AL170" s="17" t="e">
        <v>#N/A</v>
      </c>
      <c r="AM170" s="17" t="e">
        <v>#N/A</v>
      </c>
      <c r="AN170" s="17" t="e">
        <v>#N/A</v>
      </c>
      <c r="AO170" s="17" t="e">
        <v>#N/A</v>
      </c>
      <c r="AP170" s="17" t="e">
        <v>#N/A</v>
      </c>
      <c r="AQ170" s="17" t="e">
        <v>#N/A</v>
      </c>
      <c r="AR170" s="17" t="e">
        <v>#N/A</v>
      </c>
      <c r="AS170" s="17" t="e">
        <v>#N/A</v>
      </c>
      <c r="AT170" s="17" t="e">
        <v>#N/A</v>
      </c>
      <c r="AU170" s="17" t="e">
        <v>#N/A</v>
      </c>
      <c r="AV170" s="17" t="e">
        <v>#N/A</v>
      </c>
      <c r="AW170" s="17" t="e">
        <v>#N/A</v>
      </c>
      <c r="AX170" s="17" t="e">
        <v>#N/A</v>
      </c>
      <c r="AY170" s="17" t="e">
        <v>#N/A</v>
      </c>
      <c r="AZ170" s="17" t="e">
        <v>#N/A</v>
      </c>
      <c r="BA170" s="17" t="e">
        <v>#N/A</v>
      </c>
      <c r="BB170" s="17" t="e">
        <v>#N/A</v>
      </c>
      <c r="BC170" s="17" t="e">
        <v>#N/A</v>
      </c>
      <c r="BD170" s="17" t="e">
        <v>#N/A</v>
      </c>
      <c r="BE170" s="17" t="e">
        <v>#N/A</v>
      </c>
      <c r="BF170" s="17" t="e">
        <v>#N/A</v>
      </c>
      <c r="BG170" s="17" t="e">
        <v>#N/A</v>
      </c>
      <c r="BH170" s="17" t="e">
        <v>#N/A</v>
      </c>
      <c r="BI170" s="17" t="e">
        <v>#N/A</v>
      </c>
      <c r="BJ170" s="17" t="e">
        <v>#N/A</v>
      </c>
      <c r="BK170" s="17" t="e">
        <v>#N/A</v>
      </c>
      <c r="BL170" s="17" t="e">
        <v>#N/A</v>
      </c>
      <c r="BM170" s="17" t="e">
        <v>#N/A</v>
      </c>
      <c r="BN170" s="17" t="e">
        <v>#N/A</v>
      </c>
      <c r="BO170" s="17" t="e">
        <v>#N/A</v>
      </c>
      <c r="BP170" s="17" t="e">
        <v>#N/A</v>
      </c>
      <c r="BQ170" s="17" t="e">
        <v>#N/A</v>
      </c>
      <c r="BR170" s="17" t="e">
        <v>#N/A</v>
      </c>
      <c r="BS170" s="17" t="e">
        <v>#N/A</v>
      </c>
      <c r="BT170" s="17" t="e">
        <v>#N/A</v>
      </c>
      <c r="BU170" s="17" t="e">
        <v>#N/A</v>
      </c>
      <c r="BV170" s="17" t="e">
        <v>#N/A</v>
      </c>
      <c r="BW170" s="17" t="e">
        <v>#N/A</v>
      </c>
      <c r="BX170" s="17" t="e">
        <v>#N/A</v>
      </c>
      <c r="BY170" s="17" t="e">
        <v>#N/A</v>
      </c>
      <c r="BZ170" s="17" t="e">
        <v>#N/A</v>
      </c>
      <c r="CA170" s="17" t="e">
        <v>#N/A</v>
      </c>
      <c r="CB170" s="17" t="e">
        <v>#N/A</v>
      </c>
      <c r="CC170" s="17" t="e">
        <v>#N/A</v>
      </c>
      <c r="CD170" s="17" t="e">
        <v>#N/A</v>
      </c>
      <c r="CE170" s="17" t="e">
        <v>#N/A</v>
      </c>
      <c r="CF170" s="17" t="e">
        <v>#N/A</v>
      </c>
      <c r="CG170" s="17" t="e">
        <v>#N/A</v>
      </c>
      <c r="CH170" s="17" t="e">
        <v>#N/A</v>
      </c>
      <c r="CI170" s="17" t="e">
        <v>#N/A</v>
      </c>
      <c r="CJ170" s="17" t="e">
        <v>#N/A</v>
      </c>
      <c r="CK170" s="17" t="e">
        <v>#N/A</v>
      </c>
      <c r="CL170" s="17" t="e">
        <v>#N/A</v>
      </c>
      <c r="CM170" s="17" t="e">
        <v>#N/A</v>
      </c>
      <c r="CN170" s="17" t="e">
        <v>#N/A</v>
      </c>
      <c r="CO170" s="17" t="e">
        <v>#N/A</v>
      </c>
      <c r="CP170" s="17" t="e">
        <v>#N/A</v>
      </c>
      <c r="CQ170" s="17" t="e">
        <v>#N/A</v>
      </c>
      <c r="CR170" s="17" t="e">
        <v>#N/A</v>
      </c>
      <c r="CS170" s="17" t="e">
        <v>#N/A</v>
      </c>
      <c r="CT170" s="17" t="e">
        <v>#N/A</v>
      </c>
      <c r="CU170" s="17" t="e">
        <v>#N/A</v>
      </c>
      <c r="CV170" s="17" t="e">
        <v>#N/A</v>
      </c>
      <c r="CW170" s="17" t="e">
        <v>#N/A</v>
      </c>
      <c r="CX170" s="17" t="e">
        <v>#N/A</v>
      </c>
      <c r="CY170" s="17" t="e">
        <v>#N/A</v>
      </c>
      <c r="CZ170" s="17" t="e">
        <v>#N/A</v>
      </c>
      <c r="DA170" s="17" t="e">
        <v>#N/A</v>
      </c>
      <c r="DB170" s="17" t="e">
        <v>#N/A</v>
      </c>
      <c r="DC170" s="17" t="e">
        <v>#N/A</v>
      </c>
      <c r="DD170" s="17" t="e">
        <v>#N/A</v>
      </c>
      <c r="DE170" s="17" t="e">
        <v>#N/A</v>
      </c>
      <c r="DF170" s="17" t="e">
        <v>#N/A</v>
      </c>
      <c r="DG170" s="17" t="e">
        <v>#N/A</v>
      </c>
      <c r="DH170" s="17" t="e">
        <v>#N/A</v>
      </c>
      <c r="DI170" s="17" t="e">
        <v>#N/A</v>
      </c>
      <c r="DJ170" s="17" t="e">
        <v>#N/A</v>
      </c>
      <c r="DK170" s="17" t="e">
        <v>#N/A</v>
      </c>
      <c r="DL170" s="17" t="e">
        <v>#N/A</v>
      </c>
      <c r="DM170" s="17" t="e">
        <v>#N/A</v>
      </c>
      <c r="DN170" s="17" t="e">
        <v>#N/A</v>
      </c>
      <c r="DO170" s="17" t="e">
        <v>#N/A</v>
      </c>
      <c r="DP170" s="17" t="e">
        <v>#N/A</v>
      </c>
      <c r="DQ170" s="17" t="e">
        <v>#N/A</v>
      </c>
      <c r="DR170" s="17" t="e">
        <v>#N/A</v>
      </c>
      <c r="DS170" s="17" t="e">
        <v>#N/A</v>
      </c>
      <c r="DT170" s="17" t="e">
        <v>#N/A</v>
      </c>
      <c r="DU170" s="17" t="e">
        <v>#N/A</v>
      </c>
      <c r="DV170" s="17" t="e">
        <v>#N/A</v>
      </c>
      <c r="DW170" s="17" t="e">
        <v>#N/A</v>
      </c>
      <c r="DX170" s="17" t="e">
        <v>#N/A</v>
      </c>
      <c r="DY170" s="17" t="e">
        <v>#N/A</v>
      </c>
      <c r="DZ170" s="17" t="e">
        <v>#N/A</v>
      </c>
      <c r="EA170" s="17" t="e">
        <v>#N/A</v>
      </c>
      <c r="EB170" s="17" t="e">
        <v>#N/A</v>
      </c>
      <c r="EC170" s="17" t="e">
        <v>#N/A</v>
      </c>
      <c r="ED170" s="17" t="e">
        <v>#N/A</v>
      </c>
      <c r="EE170" s="17" t="e">
        <v>#N/A</v>
      </c>
      <c r="EF170" s="17" t="e">
        <v>#N/A</v>
      </c>
      <c r="EG170" s="17" t="e">
        <v>#N/A</v>
      </c>
      <c r="EH170" s="17" t="e">
        <v>#N/A</v>
      </c>
      <c r="EI170" s="17" t="e">
        <v>#N/A</v>
      </c>
      <c r="EJ170" s="17" t="e">
        <v>#N/A</v>
      </c>
      <c r="EK170" s="17" t="e">
        <v>#N/A</v>
      </c>
      <c r="EL170" s="17" t="e">
        <v>#N/A</v>
      </c>
      <c r="EM170" s="17" t="e">
        <v>#N/A</v>
      </c>
      <c r="EN170" s="17" t="e">
        <v>#N/A</v>
      </c>
      <c r="EO170" s="17" t="e">
        <v>#N/A</v>
      </c>
      <c r="EP170" s="17" t="e">
        <v>#N/A</v>
      </c>
      <c r="EQ170" s="17" t="e">
        <v>#N/A</v>
      </c>
      <c r="ER170" s="17" t="e">
        <v>#N/A</v>
      </c>
      <c r="ES170" s="17" t="e">
        <v>#N/A</v>
      </c>
      <c r="ET170" s="17" t="e">
        <v>#N/A</v>
      </c>
      <c r="EU170" s="17" t="e">
        <v>#N/A</v>
      </c>
      <c r="EV170" s="17" t="e">
        <v>#N/A</v>
      </c>
      <c r="EW170" s="17" t="e">
        <v>#N/A</v>
      </c>
      <c r="EX170" s="17" t="e">
        <v>#N/A</v>
      </c>
      <c r="EY170" s="17" t="e">
        <v>#N/A</v>
      </c>
      <c r="EZ170" s="17" t="e">
        <v>#N/A</v>
      </c>
      <c r="FA170" s="17" t="e">
        <v>#N/A</v>
      </c>
      <c r="FB170" s="17" t="e">
        <v>#N/A</v>
      </c>
      <c r="FC170" s="17" t="e">
        <v>#N/A</v>
      </c>
      <c r="FD170" s="17" t="e">
        <v>#N/A</v>
      </c>
      <c r="FE170" s="17" t="e">
        <v>#N/A</v>
      </c>
      <c r="FF170" s="17" t="e">
        <v>#N/A</v>
      </c>
      <c r="FG170" s="17" t="e">
        <v>#N/A</v>
      </c>
      <c r="FH170" s="17" t="e">
        <v>#N/A</v>
      </c>
      <c r="FI170" s="17" t="e">
        <v>#N/A</v>
      </c>
      <c r="FJ170" s="17" t="e">
        <v>#N/A</v>
      </c>
      <c r="FK170" s="17" t="e">
        <v>#N/A</v>
      </c>
      <c r="FL170" s="17" t="e">
        <v>#N/A</v>
      </c>
      <c r="FM170" s="17" t="e">
        <v>#N/A</v>
      </c>
      <c r="FN170" s="17" t="e">
        <v>#N/A</v>
      </c>
      <c r="FO170" s="17" t="e">
        <v>#N/A</v>
      </c>
      <c r="FP170" s="17" t="e">
        <v>#N/A</v>
      </c>
      <c r="FQ170" s="17" t="e">
        <v>#N/A</v>
      </c>
      <c r="FR170" s="17" t="e">
        <v>#N/A</v>
      </c>
      <c r="FS170" s="17" t="e">
        <v>#N/A</v>
      </c>
      <c r="FT170" s="17" t="e">
        <v>#N/A</v>
      </c>
      <c r="FU170" s="17" t="e">
        <v>#N/A</v>
      </c>
      <c r="FV170" s="17" t="e">
        <v>#N/A</v>
      </c>
    </row>
    <row r="171" spans="2:178" ht="11.25" customHeight="1">
      <c r="B171" s="17" t="e">
        <v>#N/A</v>
      </c>
      <c r="C171" s="17" t="e">
        <v>#N/A</v>
      </c>
      <c r="D171" s="17" t="e">
        <v>#N/A</v>
      </c>
      <c r="E171" s="17" t="e">
        <v>#N/A</v>
      </c>
      <c r="F171" s="17" t="e">
        <v>#N/A</v>
      </c>
      <c r="G171" s="17" t="e">
        <v>#N/A</v>
      </c>
      <c r="H171" s="17" t="e">
        <v>#N/A</v>
      </c>
      <c r="I171" s="17" t="e">
        <v>#N/A</v>
      </c>
      <c r="J171" s="17" t="e">
        <v>#N/A</v>
      </c>
      <c r="K171" s="17" t="e">
        <v>#N/A</v>
      </c>
      <c r="L171" s="17" t="e">
        <v>#N/A</v>
      </c>
      <c r="M171" s="17" t="e">
        <v>#N/A</v>
      </c>
      <c r="N171" s="17" t="e">
        <v>#N/A</v>
      </c>
      <c r="O171" s="17" t="e">
        <v>#N/A</v>
      </c>
      <c r="P171" s="17" t="e">
        <v>#N/A</v>
      </c>
      <c r="Q171" s="17" t="e">
        <v>#N/A</v>
      </c>
      <c r="R171" s="17" t="e">
        <v>#N/A</v>
      </c>
      <c r="S171" s="17" t="e">
        <v>#N/A</v>
      </c>
      <c r="T171" s="17" t="e">
        <v>#N/A</v>
      </c>
      <c r="U171" s="17" t="e">
        <v>#N/A</v>
      </c>
      <c r="V171" s="17" t="e">
        <v>#N/A</v>
      </c>
      <c r="W171" s="17" t="e">
        <v>#N/A</v>
      </c>
      <c r="X171" s="17" t="e">
        <v>#N/A</v>
      </c>
      <c r="Y171" s="17" t="e">
        <v>#N/A</v>
      </c>
      <c r="Z171" s="17" t="e">
        <v>#N/A</v>
      </c>
      <c r="AA171" s="17" t="e">
        <v>#N/A</v>
      </c>
      <c r="AB171" s="17" t="e">
        <v>#N/A</v>
      </c>
      <c r="AC171" s="17" t="e">
        <v>#N/A</v>
      </c>
      <c r="AD171" s="17" t="e">
        <v>#N/A</v>
      </c>
      <c r="AE171" s="17" t="e">
        <v>#N/A</v>
      </c>
      <c r="AF171" s="17" t="e">
        <v>#N/A</v>
      </c>
      <c r="AG171" s="17" t="e">
        <v>#N/A</v>
      </c>
      <c r="AH171" s="17" t="e">
        <v>#N/A</v>
      </c>
      <c r="AI171" s="17" t="e">
        <v>#N/A</v>
      </c>
      <c r="AJ171" s="17" t="e">
        <v>#N/A</v>
      </c>
      <c r="AK171" s="17" t="e">
        <v>#N/A</v>
      </c>
      <c r="AL171" s="17" t="e">
        <v>#N/A</v>
      </c>
      <c r="AM171" s="17" t="e">
        <v>#N/A</v>
      </c>
      <c r="AN171" s="17" t="e">
        <v>#N/A</v>
      </c>
      <c r="AO171" s="17" t="e">
        <v>#N/A</v>
      </c>
      <c r="AP171" s="17" t="e">
        <v>#N/A</v>
      </c>
      <c r="AQ171" s="17" t="e">
        <v>#N/A</v>
      </c>
      <c r="AR171" s="17" t="e">
        <v>#N/A</v>
      </c>
      <c r="AS171" s="17" t="e">
        <v>#N/A</v>
      </c>
      <c r="AT171" s="17" t="e">
        <v>#N/A</v>
      </c>
      <c r="AU171" s="17" t="e">
        <v>#N/A</v>
      </c>
      <c r="AV171" s="17" t="e">
        <v>#N/A</v>
      </c>
      <c r="AW171" s="17" t="e">
        <v>#N/A</v>
      </c>
      <c r="AX171" s="17" t="e">
        <v>#N/A</v>
      </c>
      <c r="AY171" s="17" t="e">
        <v>#N/A</v>
      </c>
      <c r="AZ171" s="17" t="e">
        <v>#N/A</v>
      </c>
      <c r="BA171" s="17" t="e">
        <v>#N/A</v>
      </c>
      <c r="BB171" s="17" t="e">
        <v>#N/A</v>
      </c>
      <c r="BC171" s="17" t="e">
        <v>#N/A</v>
      </c>
      <c r="BD171" s="17" t="e">
        <v>#N/A</v>
      </c>
      <c r="BE171" s="17" t="e">
        <v>#N/A</v>
      </c>
      <c r="BF171" s="17" t="e">
        <v>#N/A</v>
      </c>
      <c r="BG171" s="17" t="e">
        <v>#N/A</v>
      </c>
      <c r="BH171" s="17" t="e">
        <v>#N/A</v>
      </c>
      <c r="BI171" s="17" t="e">
        <v>#N/A</v>
      </c>
      <c r="BJ171" s="17" t="e">
        <v>#N/A</v>
      </c>
      <c r="BK171" s="17" t="e">
        <v>#N/A</v>
      </c>
      <c r="BL171" s="17" t="e">
        <v>#N/A</v>
      </c>
      <c r="BM171" s="17" t="e">
        <v>#N/A</v>
      </c>
      <c r="BN171" s="17" t="e">
        <v>#N/A</v>
      </c>
      <c r="BO171" s="17" t="e">
        <v>#N/A</v>
      </c>
      <c r="BP171" s="17" t="e">
        <v>#N/A</v>
      </c>
      <c r="BQ171" s="17" t="e">
        <v>#N/A</v>
      </c>
      <c r="BR171" s="17" t="e">
        <v>#N/A</v>
      </c>
      <c r="BS171" s="17" t="e">
        <v>#N/A</v>
      </c>
      <c r="BT171" s="17" t="e">
        <v>#N/A</v>
      </c>
      <c r="BU171" s="17" t="e">
        <v>#N/A</v>
      </c>
      <c r="BV171" s="17" t="e">
        <v>#N/A</v>
      </c>
      <c r="BW171" s="17" t="e">
        <v>#N/A</v>
      </c>
      <c r="BX171" s="17" t="e">
        <v>#N/A</v>
      </c>
      <c r="BY171" s="17" t="e">
        <v>#N/A</v>
      </c>
      <c r="BZ171" s="17" t="e">
        <v>#N/A</v>
      </c>
      <c r="CA171" s="17" t="e">
        <v>#N/A</v>
      </c>
      <c r="CB171" s="17" t="e">
        <v>#N/A</v>
      </c>
      <c r="CC171" s="17" t="e">
        <v>#N/A</v>
      </c>
      <c r="CD171" s="17" t="e">
        <v>#N/A</v>
      </c>
      <c r="CE171" s="17" t="e">
        <v>#N/A</v>
      </c>
      <c r="CF171" s="17" t="e">
        <v>#N/A</v>
      </c>
      <c r="CG171" s="17" t="e">
        <v>#N/A</v>
      </c>
      <c r="CH171" s="17" t="e">
        <v>#N/A</v>
      </c>
      <c r="CI171" s="17" t="e">
        <v>#N/A</v>
      </c>
      <c r="CJ171" s="17" t="e">
        <v>#N/A</v>
      </c>
      <c r="CK171" s="17" t="e">
        <v>#N/A</v>
      </c>
      <c r="CL171" s="17" t="e">
        <v>#N/A</v>
      </c>
      <c r="CM171" s="17" t="e">
        <v>#N/A</v>
      </c>
      <c r="CN171" s="17" t="e">
        <v>#N/A</v>
      </c>
      <c r="CO171" s="17" t="e">
        <v>#N/A</v>
      </c>
      <c r="CP171" s="17" t="e">
        <v>#N/A</v>
      </c>
      <c r="CQ171" s="17" t="e">
        <v>#N/A</v>
      </c>
      <c r="CR171" s="17" t="e">
        <v>#N/A</v>
      </c>
      <c r="CS171" s="17" t="e">
        <v>#N/A</v>
      </c>
      <c r="CT171" s="17" t="e">
        <v>#N/A</v>
      </c>
      <c r="CU171" s="17" t="e">
        <v>#N/A</v>
      </c>
      <c r="CV171" s="17" t="e">
        <v>#N/A</v>
      </c>
      <c r="CW171" s="17" t="e">
        <v>#N/A</v>
      </c>
      <c r="CX171" s="17" t="e">
        <v>#N/A</v>
      </c>
      <c r="CY171" s="17" t="e">
        <v>#N/A</v>
      </c>
      <c r="CZ171" s="17" t="e">
        <v>#N/A</v>
      </c>
      <c r="DA171" s="17" t="e">
        <v>#N/A</v>
      </c>
      <c r="DB171" s="17" t="e">
        <v>#N/A</v>
      </c>
      <c r="DC171" s="17" t="e">
        <v>#N/A</v>
      </c>
      <c r="DD171" s="17" t="e">
        <v>#N/A</v>
      </c>
      <c r="DE171" s="17" t="e">
        <v>#N/A</v>
      </c>
      <c r="DF171" s="17" t="e">
        <v>#N/A</v>
      </c>
      <c r="DG171" s="17" t="e">
        <v>#N/A</v>
      </c>
      <c r="DH171" s="17" t="e">
        <v>#N/A</v>
      </c>
      <c r="DI171" s="17" t="e">
        <v>#N/A</v>
      </c>
      <c r="DJ171" s="17" t="e">
        <v>#N/A</v>
      </c>
      <c r="DK171" s="17" t="e">
        <v>#N/A</v>
      </c>
      <c r="DL171" s="17" t="e">
        <v>#N/A</v>
      </c>
      <c r="DM171" s="17" t="e">
        <v>#N/A</v>
      </c>
      <c r="DN171" s="17" t="e">
        <v>#N/A</v>
      </c>
      <c r="DO171" s="17" t="e">
        <v>#N/A</v>
      </c>
      <c r="DP171" s="17" t="e">
        <v>#N/A</v>
      </c>
      <c r="DQ171" s="17" t="e">
        <v>#N/A</v>
      </c>
      <c r="DR171" s="17" t="e">
        <v>#N/A</v>
      </c>
      <c r="DS171" s="17" t="e">
        <v>#N/A</v>
      </c>
      <c r="DT171" s="17" t="e">
        <v>#N/A</v>
      </c>
      <c r="DU171" s="17" t="e">
        <v>#N/A</v>
      </c>
      <c r="DV171" s="17" t="e">
        <v>#N/A</v>
      </c>
      <c r="DW171" s="17" t="e">
        <v>#N/A</v>
      </c>
      <c r="DX171" s="17" t="e">
        <v>#N/A</v>
      </c>
      <c r="DY171" s="17" t="e">
        <v>#N/A</v>
      </c>
      <c r="DZ171" s="17" t="e">
        <v>#N/A</v>
      </c>
      <c r="EA171" s="17" t="e">
        <v>#N/A</v>
      </c>
      <c r="EB171" s="17" t="e">
        <v>#N/A</v>
      </c>
      <c r="EC171" s="17" t="e">
        <v>#N/A</v>
      </c>
      <c r="ED171" s="17" t="e">
        <v>#N/A</v>
      </c>
      <c r="EE171" s="17" t="e">
        <v>#N/A</v>
      </c>
      <c r="EF171" s="17" t="e">
        <v>#N/A</v>
      </c>
      <c r="EG171" s="17" t="e">
        <v>#N/A</v>
      </c>
      <c r="EH171" s="17" t="e">
        <v>#N/A</v>
      </c>
      <c r="EI171" s="17" t="e">
        <v>#N/A</v>
      </c>
      <c r="EJ171" s="17" t="e">
        <v>#N/A</v>
      </c>
      <c r="EK171" s="17" t="e">
        <v>#N/A</v>
      </c>
      <c r="EL171" s="17" t="e">
        <v>#N/A</v>
      </c>
      <c r="EM171" s="17" t="e">
        <v>#N/A</v>
      </c>
      <c r="EN171" s="17" t="e">
        <v>#N/A</v>
      </c>
      <c r="EO171" s="17" t="e">
        <v>#N/A</v>
      </c>
      <c r="EP171" s="17" t="e">
        <v>#N/A</v>
      </c>
      <c r="EQ171" s="17" t="e">
        <v>#N/A</v>
      </c>
      <c r="ER171" s="17" t="e">
        <v>#N/A</v>
      </c>
      <c r="ES171" s="17" t="e">
        <v>#N/A</v>
      </c>
      <c r="ET171" s="17" t="e">
        <v>#N/A</v>
      </c>
      <c r="EU171" s="17" t="e">
        <v>#N/A</v>
      </c>
      <c r="EV171" s="17" t="e">
        <v>#N/A</v>
      </c>
      <c r="EW171" s="17" t="e">
        <v>#N/A</v>
      </c>
      <c r="EX171" s="17" t="e">
        <v>#N/A</v>
      </c>
      <c r="EY171" s="17" t="e">
        <v>#N/A</v>
      </c>
      <c r="EZ171" s="17" t="e">
        <v>#N/A</v>
      </c>
      <c r="FA171" s="17" t="e">
        <v>#N/A</v>
      </c>
      <c r="FB171" s="17" t="e">
        <v>#N/A</v>
      </c>
      <c r="FC171" s="17" t="e">
        <v>#N/A</v>
      </c>
      <c r="FD171" s="17" t="e">
        <v>#N/A</v>
      </c>
      <c r="FE171" s="17" t="e">
        <v>#N/A</v>
      </c>
      <c r="FF171" s="17" t="e">
        <v>#N/A</v>
      </c>
      <c r="FG171" s="17" t="e">
        <v>#N/A</v>
      </c>
      <c r="FH171" s="17" t="e">
        <v>#N/A</v>
      </c>
      <c r="FI171" s="17" t="e">
        <v>#N/A</v>
      </c>
      <c r="FJ171" s="17" t="e">
        <v>#N/A</v>
      </c>
      <c r="FK171" s="17" t="e">
        <v>#N/A</v>
      </c>
      <c r="FL171" s="17" t="e">
        <v>#N/A</v>
      </c>
      <c r="FM171" s="17" t="e">
        <v>#N/A</v>
      </c>
      <c r="FN171" s="17" t="e">
        <v>#N/A</v>
      </c>
      <c r="FO171" s="17" t="e">
        <v>#N/A</v>
      </c>
      <c r="FP171" s="17" t="e">
        <v>#N/A</v>
      </c>
      <c r="FQ171" s="17" t="e">
        <v>#N/A</v>
      </c>
      <c r="FR171" s="17" t="e">
        <v>#N/A</v>
      </c>
      <c r="FS171" s="17" t="e">
        <v>#N/A</v>
      </c>
      <c r="FT171" s="17" t="e">
        <v>#N/A</v>
      </c>
      <c r="FU171" s="17" t="e">
        <v>#N/A</v>
      </c>
      <c r="FV171" s="17" t="e">
        <v>#N/A</v>
      </c>
    </row>
    <row r="172" spans="2:178" ht="11.25" customHeight="1">
      <c r="B172" s="17" t="e">
        <v>#N/A</v>
      </c>
      <c r="C172" s="17" t="e">
        <v>#N/A</v>
      </c>
      <c r="D172" s="17" t="e">
        <v>#N/A</v>
      </c>
      <c r="E172" s="17" t="e">
        <v>#N/A</v>
      </c>
      <c r="F172" s="17" t="e">
        <v>#N/A</v>
      </c>
      <c r="G172" s="17" t="e">
        <v>#N/A</v>
      </c>
      <c r="H172" s="17" t="e">
        <v>#N/A</v>
      </c>
      <c r="I172" s="17" t="e">
        <v>#N/A</v>
      </c>
      <c r="J172" s="17" t="e">
        <v>#N/A</v>
      </c>
      <c r="K172" s="17" t="e">
        <v>#N/A</v>
      </c>
      <c r="L172" s="17" t="e">
        <v>#N/A</v>
      </c>
      <c r="M172" s="17" t="e">
        <v>#N/A</v>
      </c>
      <c r="N172" s="17" t="e">
        <v>#N/A</v>
      </c>
      <c r="O172" s="17" t="e">
        <v>#N/A</v>
      </c>
      <c r="P172" s="17" t="e">
        <v>#N/A</v>
      </c>
      <c r="Q172" s="17" t="e">
        <v>#N/A</v>
      </c>
      <c r="R172" s="17" t="e">
        <v>#N/A</v>
      </c>
      <c r="S172" s="17" t="e">
        <v>#N/A</v>
      </c>
      <c r="T172" s="17" t="e">
        <v>#N/A</v>
      </c>
      <c r="U172" s="17" t="e">
        <v>#N/A</v>
      </c>
      <c r="V172" s="17" t="e">
        <v>#N/A</v>
      </c>
      <c r="W172" s="17" t="e">
        <v>#N/A</v>
      </c>
      <c r="X172" s="17" t="e">
        <v>#N/A</v>
      </c>
      <c r="Y172" s="17" t="e">
        <v>#N/A</v>
      </c>
      <c r="Z172" s="17" t="e">
        <v>#N/A</v>
      </c>
      <c r="AA172" s="17" t="e">
        <v>#N/A</v>
      </c>
      <c r="AB172" s="17" t="e">
        <v>#N/A</v>
      </c>
      <c r="AC172" s="17" t="e">
        <v>#N/A</v>
      </c>
      <c r="AD172" s="17" t="e">
        <v>#N/A</v>
      </c>
      <c r="AE172" s="17" t="e">
        <v>#N/A</v>
      </c>
      <c r="AF172" s="17" t="e">
        <v>#N/A</v>
      </c>
      <c r="AG172" s="17" t="e">
        <v>#N/A</v>
      </c>
      <c r="AH172" s="17" t="e">
        <v>#N/A</v>
      </c>
      <c r="AI172" s="17" t="e">
        <v>#N/A</v>
      </c>
      <c r="AJ172" s="17" t="e">
        <v>#N/A</v>
      </c>
      <c r="AK172" s="17" t="e">
        <v>#N/A</v>
      </c>
      <c r="AL172" s="17" t="e">
        <v>#N/A</v>
      </c>
      <c r="AM172" s="17" t="e">
        <v>#N/A</v>
      </c>
      <c r="AN172" s="17" t="e">
        <v>#N/A</v>
      </c>
      <c r="AO172" s="17" t="e">
        <v>#N/A</v>
      </c>
      <c r="AP172" s="17" t="e">
        <v>#N/A</v>
      </c>
      <c r="AQ172" s="17" t="e">
        <v>#N/A</v>
      </c>
      <c r="AR172" s="17" t="e">
        <v>#N/A</v>
      </c>
      <c r="AS172" s="17" t="e">
        <v>#N/A</v>
      </c>
      <c r="AT172" s="17" t="e">
        <v>#N/A</v>
      </c>
      <c r="AU172" s="17" t="e">
        <v>#N/A</v>
      </c>
      <c r="AV172" s="17" t="e">
        <v>#N/A</v>
      </c>
      <c r="AW172" s="17" t="e">
        <v>#N/A</v>
      </c>
      <c r="AX172" s="17" t="e">
        <v>#N/A</v>
      </c>
      <c r="AY172" s="17" t="e">
        <v>#N/A</v>
      </c>
      <c r="AZ172" s="17" t="e">
        <v>#N/A</v>
      </c>
      <c r="BA172" s="17" t="e">
        <v>#N/A</v>
      </c>
      <c r="BB172" s="17" t="e">
        <v>#N/A</v>
      </c>
      <c r="BC172" s="17" t="e">
        <v>#N/A</v>
      </c>
      <c r="BD172" s="17" t="e">
        <v>#N/A</v>
      </c>
      <c r="BE172" s="17" t="e">
        <v>#N/A</v>
      </c>
      <c r="BF172" s="17" t="e">
        <v>#N/A</v>
      </c>
      <c r="BG172" s="17" t="e">
        <v>#N/A</v>
      </c>
      <c r="BH172" s="17" t="e">
        <v>#N/A</v>
      </c>
      <c r="BI172" s="17" t="e">
        <v>#N/A</v>
      </c>
      <c r="BJ172" s="17" t="e">
        <v>#N/A</v>
      </c>
      <c r="BK172" s="17" t="e">
        <v>#N/A</v>
      </c>
      <c r="BL172" s="17" t="e">
        <v>#N/A</v>
      </c>
      <c r="BM172" s="17" t="e">
        <v>#N/A</v>
      </c>
      <c r="BN172" s="17" t="e">
        <v>#N/A</v>
      </c>
      <c r="BO172" s="17" t="e">
        <v>#N/A</v>
      </c>
      <c r="BP172" s="17" t="e">
        <v>#N/A</v>
      </c>
      <c r="BQ172" s="17" t="e">
        <v>#N/A</v>
      </c>
      <c r="BR172" s="17" t="e">
        <v>#N/A</v>
      </c>
      <c r="BS172" s="17" t="e">
        <v>#N/A</v>
      </c>
      <c r="BT172" s="17" t="e">
        <v>#N/A</v>
      </c>
      <c r="BU172" s="17" t="e">
        <v>#N/A</v>
      </c>
      <c r="BV172" s="17" t="e">
        <v>#N/A</v>
      </c>
      <c r="BW172" s="17" t="e">
        <v>#N/A</v>
      </c>
      <c r="BX172" s="17" t="e">
        <v>#N/A</v>
      </c>
      <c r="BY172" s="17" t="e">
        <v>#N/A</v>
      </c>
      <c r="BZ172" s="17" t="e">
        <v>#N/A</v>
      </c>
      <c r="CA172" s="17" t="e">
        <v>#N/A</v>
      </c>
      <c r="CB172" s="17" t="e">
        <v>#N/A</v>
      </c>
      <c r="CC172" s="17" t="e">
        <v>#N/A</v>
      </c>
      <c r="CD172" s="17" t="e">
        <v>#N/A</v>
      </c>
      <c r="CE172" s="17" t="e">
        <v>#N/A</v>
      </c>
      <c r="CF172" s="17" t="e">
        <v>#N/A</v>
      </c>
      <c r="CG172" s="17" t="e">
        <v>#N/A</v>
      </c>
      <c r="CH172" s="17" t="e">
        <v>#N/A</v>
      </c>
      <c r="CI172" s="17" t="e">
        <v>#N/A</v>
      </c>
      <c r="CJ172" s="17" t="e">
        <v>#N/A</v>
      </c>
      <c r="CK172" s="17" t="e">
        <v>#N/A</v>
      </c>
      <c r="CL172" s="17" t="e">
        <v>#N/A</v>
      </c>
      <c r="CM172" s="17" t="e">
        <v>#N/A</v>
      </c>
      <c r="CN172" s="17" t="e">
        <v>#N/A</v>
      </c>
      <c r="CO172" s="17" t="e">
        <v>#N/A</v>
      </c>
      <c r="CP172" s="17" t="e">
        <v>#N/A</v>
      </c>
      <c r="CQ172" s="17" t="e">
        <v>#N/A</v>
      </c>
      <c r="CR172" s="17" t="e">
        <v>#N/A</v>
      </c>
      <c r="CS172" s="17" t="e">
        <v>#N/A</v>
      </c>
      <c r="CT172" s="17" t="e">
        <v>#N/A</v>
      </c>
      <c r="CU172" s="17" t="e">
        <v>#N/A</v>
      </c>
      <c r="CV172" s="17" t="e">
        <v>#N/A</v>
      </c>
      <c r="CW172" s="17" t="e">
        <v>#N/A</v>
      </c>
      <c r="CX172" s="17" t="e">
        <v>#N/A</v>
      </c>
      <c r="CY172" s="17" t="e">
        <v>#N/A</v>
      </c>
      <c r="CZ172" s="17" t="e">
        <v>#N/A</v>
      </c>
      <c r="DA172" s="17" t="e">
        <v>#N/A</v>
      </c>
      <c r="DB172" s="17" t="e">
        <v>#N/A</v>
      </c>
      <c r="DC172" s="17" t="e">
        <v>#N/A</v>
      </c>
      <c r="DD172" s="17" t="e">
        <v>#N/A</v>
      </c>
      <c r="DE172" s="17" t="e">
        <v>#N/A</v>
      </c>
      <c r="DF172" s="17" t="e">
        <v>#N/A</v>
      </c>
      <c r="DG172" s="17" t="e">
        <v>#N/A</v>
      </c>
      <c r="DH172" s="17" t="e">
        <v>#N/A</v>
      </c>
      <c r="DI172" s="17" t="e">
        <v>#N/A</v>
      </c>
      <c r="DJ172" s="17" t="e">
        <v>#N/A</v>
      </c>
      <c r="DK172" s="17" t="e">
        <v>#N/A</v>
      </c>
      <c r="DL172" s="17" t="e">
        <v>#N/A</v>
      </c>
      <c r="DM172" s="17" t="e">
        <v>#N/A</v>
      </c>
      <c r="DN172" s="17" t="e">
        <v>#N/A</v>
      </c>
      <c r="DO172" s="17" t="e">
        <v>#N/A</v>
      </c>
      <c r="DP172" s="17" t="e">
        <v>#N/A</v>
      </c>
      <c r="DQ172" s="17" t="e">
        <v>#N/A</v>
      </c>
      <c r="DR172" s="17" t="e">
        <v>#N/A</v>
      </c>
      <c r="DS172" s="17" t="e">
        <v>#N/A</v>
      </c>
      <c r="DT172" s="17" t="e">
        <v>#N/A</v>
      </c>
      <c r="DU172" s="17" t="e">
        <v>#N/A</v>
      </c>
      <c r="DV172" s="17" t="e">
        <v>#N/A</v>
      </c>
      <c r="DW172" s="17" t="e">
        <v>#N/A</v>
      </c>
      <c r="DX172" s="17" t="e">
        <v>#N/A</v>
      </c>
      <c r="DY172" s="17" t="e">
        <v>#N/A</v>
      </c>
      <c r="DZ172" s="17" t="e">
        <v>#N/A</v>
      </c>
      <c r="EA172" s="17" t="e">
        <v>#N/A</v>
      </c>
      <c r="EB172" s="17" t="e">
        <v>#N/A</v>
      </c>
      <c r="EC172" s="17" t="e">
        <v>#N/A</v>
      </c>
      <c r="ED172" s="17" t="e">
        <v>#N/A</v>
      </c>
      <c r="EE172" s="17" t="e">
        <v>#N/A</v>
      </c>
      <c r="EF172" s="17" t="e">
        <v>#N/A</v>
      </c>
      <c r="EG172" s="17" t="e">
        <v>#N/A</v>
      </c>
      <c r="EH172" s="17" t="e">
        <v>#N/A</v>
      </c>
      <c r="EI172" s="17" t="e">
        <v>#N/A</v>
      </c>
      <c r="EJ172" s="17" t="e">
        <v>#N/A</v>
      </c>
      <c r="EK172" s="17" t="e">
        <v>#N/A</v>
      </c>
      <c r="EL172" s="17" t="e">
        <v>#N/A</v>
      </c>
      <c r="EM172" s="17" t="e">
        <v>#N/A</v>
      </c>
      <c r="EN172" s="17" t="e">
        <v>#N/A</v>
      </c>
      <c r="EO172" s="17" t="e">
        <v>#N/A</v>
      </c>
      <c r="EP172" s="17" t="e">
        <v>#N/A</v>
      </c>
      <c r="EQ172" s="17" t="e">
        <v>#N/A</v>
      </c>
      <c r="ER172" s="17" t="e">
        <v>#N/A</v>
      </c>
      <c r="ES172" s="17" t="e">
        <v>#N/A</v>
      </c>
      <c r="ET172" s="17" t="e">
        <v>#N/A</v>
      </c>
      <c r="EU172" s="17" t="e">
        <v>#N/A</v>
      </c>
      <c r="EV172" s="17" t="e">
        <v>#N/A</v>
      </c>
      <c r="EW172" s="17" t="e">
        <v>#N/A</v>
      </c>
      <c r="EX172" s="17" t="e">
        <v>#N/A</v>
      </c>
      <c r="EY172" s="17" t="e">
        <v>#N/A</v>
      </c>
      <c r="EZ172" s="17" t="e">
        <v>#N/A</v>
      </c>
      <c r="FA172" s="17" t="e">
        <v>#N/A</v>
      </c>
      <c r="FB172" s="17" t="e">
        <v>#N/A</v>
      </c>
      <c r="FC172" s="17" t="e">
        <v>#N/A</v>
      </c>
      <c r="FD172" s="17" t="e">
        <v>#N/A</v>
      </c>
      <c r="FE172" s="17" t="e">
        <v>#N/A</v>
      </c>
      <c r="FF172" s="17" t="e">
        <v>#N/A</v>
      </c>
      <c r="FG172" s="17" t="e">
        <v>#N/A</v>
      </c>
      <c r="FH172" s="17" t="e">
        <v>#N/A</v>
      </c>
      <c r="FI172" s="17" t="e">
        <v>#N/A</v>
      </c>
      <c r="FJ172" s="17" t="e">
        <v>#N/A</v>
      </c>
      <c r="FK172" s="17" t="e">
        <v>#N/A</v>
      </c>
      <c r="FL172" s="17" t="e">
        <v>#N/A</v>
      </c>
      <c r="FM172" s="17" t="e">
        <v>#N/A</v>
      </c>
      <c r="FN172" s="17" t="e">
        <v>#N/A</v>
      </c>
      <c r="FO172" s="17" t="e">
        <v>#N/A</v>
      </c>
      <c r="FP172" s="17" t="e">
        <v>#N/A</v>
      </c>
      <c r="FQ172" s="17" t="e">
        <v>#N/A</v>
      </c>
      <c r="FR172" s="17" t="e">
        <v>#N/A</v>
      </c>
      <c r="FS172" s="17" t="e">
        <v>#N/A</v>
      </c>
      <c r="FT172" s="17" t="e">
        <v>#N/A</v>
      </c>
      <c r="FU172" s="17" t="e">
        <v>#N/A</v>
      </c>
      <c r="FV172" s="17" t="e">
        <v>#N/A</v>
      </c>
    </row>
    <row r="173" spans="2:178" ht="11.25" customHeight="1">
      <c r="B173" s="17" t="e">
        <v>#N/A</v>
      </c>
      <c r="C173" s="17" t="e">
        <v>#N/A</v>
      </c>
      <c r="D173" s="17" t="e">
        <v>#N/A</v>
      </c>
      <c r="E173" s="17" t="e">
        <v>#N/A</v>
      </c>
      <c r="F173" s="17" t="e">
        <v>#N/A</v>
      </c>
      <c r="G173" s="17" t="e">
        <v>#N/A</v>
      </c>
      <c r="H173" s="17" t="e">
        <v>#N/A</v>
      </c>
      <c r="I173" s="17" t="e">
        <v>#N/A</v>
      </c>
      <c r="J173" s="17" t="e">
        <v>#N/A</v>
      </c>
      <c r="K173" s="17" t="e">
        <v>#N/A</v>
      </c>
      <c r="L173" s="17" t="e">
        <v>#N/A</v>
      </c>
      <c r="M173" s="17" t="e">
        <v>#N/A</v>
      </c>
      <c r="N173" s="17" t="e">
        <v>#N/A</v>
      </c>
      <c r="O173" s="17" t="e">
        <v>#N/A</v>
      </c>
      <c r="P173" s="17" t="e">
        <v>#N/A</v>
      </c>
      <c r="Q173" s="17" t="e">
        <v>#N/A</v>
      </c>
      <c r="R173" s="17" t="e">
        <v>#N/A</v>
      </c>
      <c r="S173" s="17" t="e">
        <v>#N/A</v>
      </c>
      <c r="T173" s="17" t="e">
        <v>#N/A</v>
      </c>
      <c r="U173" s="17" t="e">
        <v>#N/A</v>
      </c>
      <c r="V173" s="17" t="e">
        <v>#N/A</v>
      </c>
      <c r="W173" s="17" t="e">
        <v>#N/A</v>
      </c>
      <c r="X173" s="17" t="e">
        <v>#N/A</v>
      </c>
      <c r="Y173" s="17" t="e">
        <v>#N/A</v>
      </c>
      <c r="Z173" s="17" t="e">
        <v>#N/A</v>
      </c>
      <c r="AA173" s="17" t="e">
        <v>#N/A</v>
      </c>
      <c r="AB173" s="17" t="e">
        <v>#N/A</v>
      </c>
      <c r="AC173" s="17" t="e">
        <v>#N/A</v>
      </c>
      <c r="AD173" s="17" t="e">
        <v>#N/A</v>
      </c>
      <c r="AE173" s="17" t="e">
        <v>#N/A</v>
      </c>
      <c r="AF173" s="17" t="e">
        <v>#N/A</v>
      </c>
      <c r="AG173" s="17" t="e">
        <v>#N/A</v>
      </c>
      <c r="AH173" s="17" t="e">
        <v>#N/A</v>
      </c>
      <c r="AI173" s="17" t="e">
        <v>#N/A</v>
      </c>
      <c r="AJ173" s="17" t="e">
        <v>#N/A</v>
      </c>
      <c r="AK173" s="17" t="e">
        <v>#N/A</v>
      </c>
      <c r="AL173" s="17" t="e">
        <v>#N/A</v>
      </c>
      <c r="AM173" s="17" t="e">
        <v>#N/A</v>
      </c>
      <c r="AN173" s="17" t="e">
        <v>#N/A</v>
      </c>
      <c r="AO173" s="17" t="e">
        <v>#N/A</v>
      </c>
      <c r="AP173" s="17" t="e">
        <v>#N/A</v>
      </c>
      <c r="AQ173" s="17" t="e">
        <v>#N/A</v>
      </c>
      <c r="AR173" s="17" t="e">
        <v>#N/A</v>
      </c>
      <c r="AS173" s="17" t="e">
        <v>#N/A</v>
      </c>
      <c r="AT173" s="17" t="e">
        <v>#N/A</v>
      </c>
      <c r="AU173" s="17" t="e">
        <v>#N/A</v>
      </c>
      <c r="AV173" s="17" t="e">
        <v>#N/A</v>
      </c>
      <c r="AW173" s="17" t="e">
        <v>#N/A</v>
      </c>
      <c r="AX173" s="17" t="e">
        <v>#N/A</v>
      </c>
      <c r="AY173" s="17" t="e">
        <v>#N/A</v>
      </c>
      <c r="AZ173" s="17" t="e">
        <v>#N/A</v>
      </c>
      <c r="BA173" s="17" t="e">
        <v>#N/A</v>
      </c>
      <c r="BB173" s="17" t="e">
        <v>#N/A</v>
      </c>
      <c r="BC173" s="17" t="e">
        <v>#N/A</v>
      </c>
      <c r="BD173" s="17" t="e">
        <v>#N/A</v>
      </c>
      <c r="BE173" s="17" t="e">
        <v>#N/A</v>
      </c>
      <c r="BF173" s="17" t="e">
        <v>#N/A</v>
      </c>
      <c r="BG173" s="17" t="e">
        <v>#N/A</v>
      </c>
      <c r="BH173" s="17" t="e">
        <v>#N/A</v>
      </c>
      <c r="BI173" s="17" t="e">
        <v>#N/A</v>
      </c>
      <c r="BJ173" s="17" t="e">
        <v>#N/A</v>
      </c>
      <c r="BK173" s="17" t="e">
        <v>#N/A</v>
      </c>
      <c r="BL173" s="17" t="e">
        <v>#N/A</v>
      </c>
      <c r="BM173" s="17" t="e">
        <v>#N/A</v>
      </c>
      <c r="BN173" s="17" t="e">
        <v>#N/A</v>
      </c>
      <c r="BO173" s="17" t="e">
        <v>#N/A</v>
      </c>
      <c r="BP173" s="17" t="e">
        <v>#N/A</v>
      </c>
      <c r="BQ173" s="17" t="e">
        <v>#N/A</v>
      </c>
      <c r="BR173" s="17" t="e">
        <v>#N/A</v>
      </c>
      <c r="BS173" s="17" t="e">
        <v>#N/A</v>
      </c>
      <c r="BT173" s="17" t="e">
        <v>#N/A</v>
      </c>
      <c r="BU173" s="17" t="e">
        <v>#N/A</v>
      </c>
      <c r="BV173" s="17" t="e">
        <v>#N/A</v>
      </c>
      <c r="BW173" s="17" t="e">
        <v>#N/A</v>
      </c>
      <c r="BX173" s="17" t="e">
        <v>#N/A</v>
      </c>
      <c r="BY173" s="17" t="e">
        <v>#N/A</v>
      </c>
      <c r="BZ173" s="17" t="e">
        <v>#N/A</v>
      </c>
      <c r="CA173" s="17" t="e">
        <v>#N/A</v>
      </c>
      <c r="CB173" s="17" t="e">
        <v>#N/A</v>
      </c>
      <c r="CC173" s="17" t="e">
        <v>#N/A</v>
      </c>
      <c r="CD173" s="17" t="e">
        <v>#N/A</v>
      </c>
      <c r="CE173" s="17" t="e">
        <v>#N/A</v>
      </c>
      <c r="CF173" s="17" t="e">
        <v>#N/A</v>
      </c>
      <c r="CG173" s="17" t="e">
        <v>#N/A</v>
      </c>
      <c r="CH173" s="17" t="e">
        <v>#N/A</v>
      </c>
      <c r="CI173" s="17" t="e">
        <v>#N/A</v>
      </c>
      <c r="CJ173" s="17" t="e">
        <v>#N/A</v>
      </c>
      <c r="CK173" s="17" t="e">
        <v>#N/A</v>
      </c>
      <c r="CL173" s="17" t="e">
        <v>#N/A</v>
      </c>
      <c r="CM173" s="17" t="e">
        <v>#N/A</v>
      </c>
      <c r="CN173" s="17" t="e">
        <v>#N/A</v>
      </c>
      <c r="CO173" s="17" t="e">
        <v>#N/A</v>
      </c>
      <c r="CP173" s="17" t="e">
        <v>#N/A</v>
      </c>
      <c r="CQ173" s="17" t="e">
        <v>#N/A</v>
      </c>
      <c r="CR173" s="17" t="e">
        <v>#N/A</v>
      </c>
      <c r="CS173" s="17" t="e">
        <v>#N/A</v>
      </c>
      <c r="CT173" s="17" t="e">
        <v>#N/A</v>
      </c>
      <c r="CU173" s="17" t="e">
        <v>#N/A</v>
      </c>
      <c r="CV173" s="17" t="e">
        <v>#N/A</v>
      </c>
      <c r="CW173" s="17" t="e">
        <v>#N/A</v>
      </c>
      <c r="CX173" s="17" t="e">
        <v>#N/A</v>
      </c>
      <c r="CY173" s="17" t="e">
        <v>#N/A</v>
      </c>
      <c r="CZ173" s="17" t="e">
        <v>#N/A</v>
      </c>
      <c r="DA173" s="17" t="e">
        <v>#N/A</v>
      </c>
      <c r="DB173" s="17" t="e">
        <v>#N/A</v>
      </c>
      <c r="DC173" s="17" t="e">
        <v>#N/A</v>
      </c>
      <c r="DD173" s="17" t="e">
        <v>#N/A</v>
      </c>
      <c r="DE173" s="17" t="e">
        <v>#N/A</v>
      </c>
      <c r="DF173" s="17" t="e">
        <v>#N/A</v>
      </c>
      <c r="DG173" s="17" t="e">
        <v>#N/A</v>
      </c>
      <c r="DH173" s="17" t="e">
        <v>#N/A</v>
      </c>
      <c r="DI173" s="17" t="e">
        <v>#N/A</v>
      </c>
      <c r="DJ173" s="17" t="e">
        <v>#N/A</v>
      </c>
      <c r="DK173" s="17" t="e">
        <v>#N/A</v>
      </c>
      <c r="DL173" s="17" t="e">
        <v>#N/A</v>
      </c>
      <c r="DM173" s="17" t="e">
        <v>#N/A</v>
      </c>
      <c r="DN173" s="17" t="e">
        <v>#N/A</v>
      </c>
      <c r="DO173" s="17" t="e">
        <v>#N/A</v>
      </c>
      <c r="DP173" s="17" t="e">
        <v>#N/A</v>
      </c>
      <c r="DQ173" s="17" t="e">
        <v>#N/A</v>
      </c>
      <c r="DR173" s="17" t="e">
        <v>#N/A</v>
      </c>
      <c r="DS173" s="17" t="e">
        <v>#N/A</v>
      </c>
      <c r="DT173" s="17" t="e">
        <v>#N/A</v>
      </c>
      <c r="DU173" s="17" t="e">
        <v>#N/A</v>
      </c>
      <c r="DV173" s="17" t="e">
        <v>#N/A</v>
      </c>
      <c r="DW173" s="17" t="e">
        <v>#N/A</v>
      </c>
      <c r="DX173" s="17" t="e">
        <v>#N/A</v>
      </c>
      <c r="DY173" s="17" t="e">
        <v>#N/A</v>
      </c>
      <c r="DZ173" s="17" t="e">
        <v>#N/A</v>
      </c>
      <c r="EA173" s="17" t="e">
        <v>#N/A</v>
      </c>
      <c r="EB173" s="17" t="e">
        <v>#N/A</v>
      </c>
      <c r="EC173" s="17" t="e">
        <v>#N/A</v>
      </c>
      <c r="ED173" s="17" t="e">
        <v>#N/A</v>
      </c>
      <c r="EE173" s="17" t="e">
        <v>#N/A</v>
      </c>
      <c r="EF173" s="17" t="e">
        <v>#N/A</v>
      </c>
      <c r="EG173" s="17" t="e">
        <v>#N/A</v>
      </c>
      <c r="EH173" s="17" t="e">
        <v>#N/A</v>
      </c>
      <c r="EI173" s="17" t="e">
        <v>#N/A</v>
      </c>
      <c r="EJ173" s="17" t="e">
        <v>#N/A</v>
      </c>
      <c r="EK173" s="17" t="e">
        <v>#N/A</v>
      </c>
      <c r="EL173" s="17" t="e">
        <v>#N/A</v>
      </c>
      <c r="EM173" s="17" t="e">
        <v>#N/A</v>
      </c>
      <c r="EN173" s="17" t="e">
        <v>#N/A</v>
      </c>
      <c r="EO173" s="17" t="e">
        <v>#N/A</v>
      </c>
      <c r="EP173" s="17" t="e">
        <v>#N/A</v>
      </c>
      <c r="EQ173" s="17" t="e">
        <v>#N/A</v>
      </c>
      <c r="ER173" s="17" t="e">
        <v>#N/A</v>
      </c>
      <c r="ES173" s="17" t="e">
        <v>#N/A</v>
      </c>
      <c r="ET173" s="17" t="e">
        <v>#N/A</v>
      </c>
      <c r="EU173" s="17" t="e">
        <v>#N/A</v>
      </c>
      <c r="EV173" s="17" t="e">
        <v>#N/A</v>
      </c>
      <c r="EW173" s="17" t="e">
        <v>#N/A</v>
      </c>
      <c r="EX173" s="17" t="e">
        <v>#N/A</v>
      </c>
      <c r="EY173" s="17" t="e">
        <v>#N/A</v>
      </c>
      <c r="EZ173" s="17" t="e">
        <v>#N/A</v>
      </c>
      <c r="FA173" s="17" t="e">
        <v>#N/A</v>
      </c>
      <c r="FB173" s="17" t="e">
        <v>#N/A</v>
      </c>
      <c r="FC173" s="17" t="e">
        <v>#N/A</v>
      </c>
      <c r="FD173" s="17" t="e">
        <v>#N/A</v>
      </c>
      <c r="FE173" s="17" t="e">
        <v>#N/A</v>
      </c>
      <c r="FF173" s="17" t="e">
        <v>#N/A</v>
      </c>
      <c r="FG173" s="17" t="e">
        <v>#N/A</v>
      </c>
      <c r="FH173" s="17" t="e">
        <v>#N/A</v>
      </c>
      <c r="FI173" s="17" t="e">
        <v>#N/A</v>
      </c>
      <c r="FJ173" s="17" t="e">
        <v>#N/A</v>
      </c>
      <c r="FK173" s="17" t="e">
        <v>#N/A</v>
      </c>
      <c r="FL173" s="17" t="e">
        <v>#N/A</v>
      </c>
      <c r="FM173" s="17" t="e">
        <v>#N/A</v>
      </c>
      <c r="FN173" s="17" t="e">
        <v>#N/A</v>
      </c>
      <c r="FO173" s="17" t="e">
        <v>#N/A</v>
      </c>
      <c r="FP173" s="17" t="e">
        <v>#N/A</v>
      </c>
      <c r="FQ173" s="17" t="e">
        <v>#N/A</v>
      </c>
      <c r="FR173" s="17" t="e">
        <v>#N/A</v>
      </c>
      <c r="FS173" s="17" t="e">
        <v>#N/A</v>
      </c>
      <c r="FT173" s="17" t="e">
        <v>#N/A</v>
      </c>
      <c r="FU173" s="17" t="e">
        <v>#N/A</v>
      </c>
      <c r="FV173" s="17" t="e">
        <v>#N/A</v>
      </c>
    </row>
    <row r="174" spans="2:178" ht="11.25" customHeight="1">
      <c r="B174" s="17" t="e">
        <v>#N/A</v>
      </c>
      <c r="C174" s="17" t="e">
        <v>#N/A</v>
      </c>
      <c r="D174" s="17" t="e">
        <v>#N/A</v>
      </c>
      <c r="E174" s="17" t="e">
        <v>#N/A</v>
      </c>
      <c r="F174" s="17" t="e">
        <v>#N/A</v>
      </c>
      <c r="G174" s="17" t="e">
        <v>#N/A</v>
      </c>
      <c r="H174" s="17" t="e">
        <v>#N/A</v>
      </c>
      <c r="I174" s="17" t="e">
        <v>#N/A</v>
      </c>
      <c r="J174" s="17" t="e">
        <v>#N/A</v>
      </c>
      <c r="K174" s="17" t="e">
        <v>#N/A</v>
      </c>
      <c r="L174" s="17" t="e">
        <v>#N/A</v>
      </c>
      <c r="M174" s="17" t="e">
        <v>#N/A</v>
      </c>
      <c r="N174" s="17" t="e">
        <v>#N/A</v>
      </c>
      <c r="O174" s="17" t="e">
        <v>#N/A</v>
      </c>
      <c r="P174" s="17" t="e">
        <v>#N/A</v>
      </c>
      <c r="Q174" s="17" t="e">
        <v>#N/A</v>
      </c>
      <c r="R174" s="17" t="e">
        <v>#N/A</v>
      </c>
      <c r="S174" s="17" t="e">
        <v>#N/A</v>
      </c>
      <c r="T174" s="17" t="e">
        <v>#N/A</v>
      </c>
      <c r="U174" s="17" t="e">
        <v>#N/A</v>
      </c>
      <c r="V174" s="17" t="e">
        <v>#N/A</v>
      </c>
      <c r="W174" s="17" t="e">
        <v>#N/A</v>
      </c>
      <c r="X174" s="17" t="e">
        <v>#N/A</v>
      </c>
      <c r="Y174" s="17" t="e">
        <v>#N/A</v>
      </c>
      <c r="Z174" s="17" t="e">
        <v>#N/A</v>
      </c>
      <c r="AA174" s="17" t="e">
        <v>#N/A</v>
      </c>
      <c r="AB174" s="17" t="e">
        <v>#N/A</v>
      </c>
      <c r="AC174" s="17" t="e">
        <v>#N/A</v>
      </c>
      <c r="AD174" s="17" t="e">
        <v>#N/A</v>
      </c>
      <c r="AE174" s="17" t="e">
        <v>#N/A</v>
      </c>
      <c r="AF174" s="17" t="e">
        <v>#N/A</v>
      </c>
      <c r="AG174" s="17" t="e">
        <v>#N/A</v>
      </c>
      <c r="AH174" s="17" t="e">
        <v>#N/A</v>
      </c>
      <c r="AI174" s="17" t="e">
        <v>#N/A</v>
      </c>
      <c r="AJ174" s="17" t="e">
        <v>#N/A</v>
      </c>
      <c r="AK174" s="17" t="e">
        <v>#N/A</v>
      </c>
      <c r="AL174" s="17" t="e">
        <v>#N/A</v>
      </c>
      <c r="AM174" s="17" t="e">
        <v>#N/A</v>
      </c>
      <c r="AN174" s="17" t="e">
        <v>#N/A</v>
      </c>
      <c r="AO174" s="17" t="e">
        <v>#N/A</v>
      </c>
      <c r="AP174" s="17" t="e">
        <v>#N/A</v>
      </c>
      <c r="AQ174" s="17" t="e">
        <v>#N/A</v>
      </c>
      <c r="AR174" s="17" t="e">
        <v>#N/A</v>
      </c>
      <c r="AS174" s="17" t="e">
        <v>#N/A</v>
      </c>
      <c r="AT174" s="17" t="e">
        <v>#N/A</v>
      </c>
      <c r="AU174" s="17" t="e">
        <v>#N/A</v>
      </c>
      <c r="AV174" s="17" t="e">
        <v>#N/A</v>
      </c>
      <c r="AW174" s="17" t="e">
        <v>#N/A</v>
      </c>
      <c r="AX174" s="17" t="e">
        <v>#N/A</v>
      </c>
      <c r="AY174" s="17" t="e">
        <v>#N/A</v>
      </c>
      <c r="AZ174" s="17" t="e">
        <v>#N/A</v>
      </c>
      <c r="BA174" s="17" t="e">
        <v>#N/A</v>
      </c>
      <c r="BB174" s="17" t="e">
        <v>#N/A</v>
      </c>
      <c r="BC174" s="17" t="e">
        <v>#N/A</v>
      </c>
      <c r="BD174" s="17" t="e">
        <v>#N/A</v>
      </c>
      <c r="BE174" s="17" t="e">
        <v>#N/A</v>
      </c>
      <c r="BF174" s="17" t="e">
        <v>#N/A</v>
      </c>
      <c r="BG174" s="17" t="e">
        <v>#N/A</v>
      </c>
      <c r="BH174" s="17" t="e">
        <v>#N/A</v>
      </c>
      <c r="BI174" s="17" t="e">
        <v>#N/A</v>
      </c>
      <c r="BJ174" s="17" t="e">
        <v>#N/A</v>
      </c>
      <c r="BK174" s="17" t="e">
        <v>#N/A</v>
      </c>
      <c r="BL174" s="17" t="e">
        <v>#N/A</v>
      </c>
      <c r="BM174" s="17" t="e">
        <v>#N/A</v>
      </c>
      <c r="BN174" s="17" t="e">
        <v>#N/A</v>
      </c>
      <c r="BO174" s="17" t="e">
        <v>#N/A</v>
      </c>
      <c r="BP174" s="17" t="e">
        <v>#N/A</v>
      </c>
      <c r="BQ174" s="17" t="e">
        <v>#N/A</v>
      </c>
      <c r="BR174" s="17" t="e">
        <v>#N/A</v>
      </c>
      <c r="BS174" s="17" t="e">
        <v>#N/A</v>
      </c>
      <c r="BT174" s="17" t="e">
        <v>#N/A</v>
      </c>
      <c r="BU174" s="17" t="e">
        <v>#N/A</v>
      </c>
      <c r="BV174" s="17" t="e">
        <v>#N/A</v>
      </c>
      <c r="BW174" s="17" t="e">
        <v>#N/A</v>
      </c>
      <c r="BX174" s="17" t="e">
        <v>#N/A</v>
      </c>
      <c r="BY174" s="17" t="e">
        <v>#N/A</v>
      </c>
      <c r="BZ174" s="17" t="e">
        <v>#N/A</v>
      </c>
      <c r="CA174" s="17" t="e">
        <v>#N/A</v>
      </c>
      <c r="CB174" s="17" t="e">
        <v>#N/A</v>
      </c>
      <c r="CC174" s="17" t="e">
        <v>#N/A</v>
      </c>
      <c r="CD174" s="17" t="e">
        <v>#N/A</v>
      </c>
      <c r="CE174" s="17" t="e">
        <v>#N/A</v>
      </c>
      <c r="CF174" s="17" t="e">
        <v>#N/A</v>
      </c>
      <c r="CG174" s="17" t="e">
        <v>#N/A</v>
      </c>
      <c r="CH174" s="17" t="e">
        <v>#N/A</v>
      </c>
      <c r="CI174" s="17" t="e">
        <v>#N/A</v>
      </c>
      <c r="CJ174" s="17" t="e">
        <v>#N/A</v>
      </c>
      <c r="CK174" s="17" t="e">
        <v>#N/A</v>
      </c>
      <c r="CL174" s="17" t="e">
        <v>#N/A</v>
      </c>
      <c r="CM174" s="17" t="e">
        <v>#N/A</v>
      </c>
      <c r="CN174" s="17" t="e">
        <v>#N/A</v>
      </c>
      <c r="CO174" s="17" t="e">
        <v>#N/A</v>
      </c>
      <c r="CP174" s="17" t="e">
        <v>#N/A</v>
      </c>
      <c r="CQ174" s="17" t="e">
        <v>#N/A</v>
      </c>
      <c r="CR174" s="17" t="e">
        <v>#N/A</v>
      </c>
      <c r="CS174" s="17" t="e">
        <v>#N/A</v>
      </c>
      <c r="CT174" s="17" t="e">
        <v>#N/A</v>
      </c>
      <c r="CU174" s="17" t="e">
        <v>#N/A</v>
      </c>
      <c r="CV174" s="17" t="e">
        <v>#N/A</v>
      </c>
      <c r="CW174" s="17" t="e">
        <v>#N/A</v>
      </c>
      <c r="CX174" s="17" t="e">
        <v>#N/A</v>
      </c>
      <c r="CY174" s="17" t="e">
        <v>#N/A</v>
      </c>
      <c r="CZ174" s="17" t="e">
        <v>#N/A</v>
      </c>
      <c r="DA174" s="17" t="e">
        <v>#N/A</v>
      </c>
      <c r="DB174" s="17" t="e">
        <v>#N/A</v>
      </c>
      <c r="DC174" s="17" t="e">
        <v>#N/A</v>
      </c>
      <c r="DD174" s="17" t="e">
        <v>#N/A</v>
      </c>
      <c r="DE174" s="17" t="e">
        <v>#N/A</v>
      </c>
      <c r="DF174" s="17" t="e">
        <v>#N/A</v>
      </c>
      <c r="DG174" s="17" t="e">
        <v>#N/A</v>
      </c>
      <c r="DH174" s="17" t="e">
        <v>#N/A</v>
      </c>
      <c r="DI174" s="17" t="e">
        <v>#N/A</v>
      </c>
      <c r="DJ174" s="17" t="e">
        <v>#N/A</v>
      </c>
      <c r="DK174" s="17" t="e">
        <v>#N/A</v>
      </c>
      <c r="DL174" s="17" t="e">
        <v>#N/A</v>
      </c>
      <c r="DM174" s="17" t="e">
        <v>#N/A</v>
      </c>
      <c r="DN174" s="17" t="e">
        <v>#N/A</v>
      </c>
      <c r="DO174" s="17" t="e">
        <v>#N/A</v>
      </c>
      <c r="DP174" s="17" t="e">
        <v>#N/A</v>
      </c>
      <c r="DQ174" s="17" t="e">
        <v>#N/A</v>
      </c>
      <c r="DR174" s="17" t="e">
        <v>#N/A</v>
      </c>
      <c r="DS174" s="17" t="e">
        <v>#N/A</v>
      </c>
      <c r="DT174" s="17" t="e">
        <v>#N/A</v>
      </c>
      <c r="DU174" s="17" t="e">
        <v>#N/A</v>
      </c>
      <c r="DV174" s="17" t="e">
        <v>#N/A</v>
      </c>
      <c r="DW174" s="17" t="e">
        <v>#N/A</v>
      </c>
      <c r="DX174" s="17" t="e">
        <v>#N/A</v>
      </c>
      <c r="DY174" s="17" t="e">
        <v>#N/A</v>
      </c>
      <c r="DZ174" s="17" t="e">
        <v>#N/A</v>
      </c>
      <c r="EA174" s="17" t="e">
        <v>#N/A</v>
      </c>
      <c r="EB174" s="17" t="e">
        <v>#N/A</v>
      </c>
      <c r="EC174" s="17" t="e">
        <v>#N/A</v>
      </c>
      <c r="ED174" s="17" t="e">
        <v>#N/A</v>
      </c>
      <c r="EE174" s="17" t="e">
        <v>#N/A</v>
      </c>
      <c r="EF174" s="17" t="e">
        <v>#N/A</v>
      </c>
      <c r="EG174" s="17" t="e">
        <v>#N/A</v>
      </c>
      <c r="EH174" s="17" t="e">
        <v>#N/A</v>
      </c>
      <c r="EI174" s="17" t="e">
        <v>#N/A</v>
      </c>
      <c r="EJ174" s="17" t="e">
        <v>#N/A</v>
      </c>
      <c r="EK174" s="17" t="e">
        <v>#N/A</v>
      </c>
      <c r="EL174" s="17" t="e">
        <v>#N/A</v>
      </c>
      <c r="EM174" s="17" t="e">
        <v>#N/A</v>
      </c>
      <c r="EN174" s="17" t="e">
        <v>#N/A</v>
      </c>
      <c r="EO174" s="17" t="e">
        <v>#N/A</v>
      </c>
      <c r="EP174" s="17" t="e">
        <v>#N/A</v>
      </c>
      <c r="EQ174" s="17" t="e">
        <v>#N/A</v>
      </c>
      <c r="ER174" s="17" t="e">
        <v>#N/A</v>
      </c>
      <c r="ES174" s="17" t="e">
        <v>#N/A</v>
      </c>
      <c r="ET174" s="17" t="e">
        <v>#N/A</v>
      </c>
      <c r="EU174" s="17" t="e">
        <v>#N/A</v>
      </c>
      <c r="EV174" s="17" t="e">
        <v>#N/A</v>
      </c>
      <c r="EW174" s="17" t="e">
        <v>#N/A</v>
      </c>
      <c r="EX174" s="17" t="e">
        <v>#N/A</v>
      </c>
      <c r="EY174" s="17" t="e">
        <v>#N/A</v>
      </c>
      <c r="EZ174" s="17" t="e">
        <v>#N/A</v>
      </c>
      <c r="FA174" s="17" t="e">
        <v>#N/A</v>
      </c>
      <c r="FB174" s="17" t="e">
        <v>#N/A</v>
      </c>
      <c r="FC174" s="17" t="e">
        <v>#N/A</v>
      </c>
      <c r="FD174" s="17" t="e">
        <v>#N/A</v>
      </c>
      <c r="FE174" s="17" t="e">
        <v>#N/A</v>
      </c>
      <c r="FF174" s="17" t="e">
        <v>#N/A</v>
      </c>
      <c r="FG174" s="17" t="e">
        <v>#N/A</v>
      </c>
      <c r="FH174" s="17" t="e">
        <v>#N/A</v>
      </c>
      <c r="FI174" s="17" t="e">
        <v>#N/A</v>
      </c>
      <c r="FJ174" s="17" t="e">
        <v>#N/A</v>
      </c>
      <c r="FK174" s="17" t="e">
        <v>#N/A</v>
      </c>
      <c r="FL174" s="17" t="e">
        <v>#N/A</v>
      </c>
      <c r="FM174" s="17" t="e">
        <v>#N/A</v>
      </c>
      <c r="FN174" s="17" t="e">
        <v>#N/A</v>
      </c>
      <c r="FO174" s="17" t="e">
        <v>#N/A</v>
      </c>
      <c r="FP174" s="17" t="e">
        <v>#N/A</v>
      </c>
      <c r="FQ174" s="17" t="e">
        <v>#N/A</v>
      </c>
      <c r="FR174" s="17" t="e">
        <v>#N/A</v>
      </c>
      <c r="FS174" s="17" t="e">
        <v>#N/A</v>
      </c>
      <c r="FT174" s="17" t="e">
        <v>#N/A</v>
      </c>
      <c r="FU174" s="17" t="e">
        <v>#N/A</v>
      </c>
      <c r="FV174" s="17" t="e">
        <v>#N/A</v>
      </c>
    </row>
    <row r="175" spans="2:178" ht="11.25" customHeight="1">
      <c r="B175" s="17" t="e">
        <v>#N/A</v>
      </c>
      <c r="C175" s="17" t="e">
        <v>#N/A</v>
      </c>
      <c r="D175" s="17" t="e">
        <v>#N/A</v>
      </c>
      <c r="E175" s="17" t="e">
        <v>#N/A</v>
      </c>
      <c r="F175" s="17" t="e">
        <v>#N/A</v>
      </c>
      <c r="G175" s="17" t="e">
        <v>#N/A</v>
      </c>
      <c r="H175" s="17" t="e">
        <v>#N/A</v>
      </c>
      <c r="I175" s="17" t="e">
        <v>#N/A</v>
      </c>
      <c r="J175" s="17" t="e">
        <v>#N/A</v>
      </c>
      <c r="K175" s="17" t="e">
        <v>#N/A</v>
      </c>
      <c r="L175" s="17" t="e">
        <v>#N/A</v>
      </c>
      <c r="M175" s="17" t="e">
        <v>#N/A</v>
      </c>
      <c r="N175" s="17" t="e">
        <v>#N/A</v>
      </c>
      <c r="O175" s="17" t="e">
        <v>#N/A</v>
      </c>
      <c r="P175" s="17" t="e">
        <v>#N/A</v>
      </c>
      <c r="Q175" s="17" t="e">
        <v>#N/A</v>
      </c>
      <c r="R175" s="17" t="e">
        <v>#N/A</v>
      </c>
      <c r="S175" s="17" t="e">
        <v>#N/A</v>
      </c>
      <c r="T175" s="17" t="e">
        <v>#N/A</v>
      </c>
      <c r="U175" s="17" t="e">
        <v>#N/A</v>
      </c>
      <c r="V175" s="17" t="e">
        <v>#N/A</v>
      </c>
      <c r="W175" s="17" t="e">
        <v>#N/A</v>
      </c>
      <c r="X175" s="17" t="e">
        <v>#N/A</v>
      </c>
      <c r="Y175" s="17" t="e">
        <v>#N/A</v>
      </c>
      <c r="Z175" s="17" t="e">
        <v>#N/A</v>
      </c>
      <c r="AA175" s="17" t="e">
        <v>#N/A</v>
      </c>
      <c r="AB175" s="17" t="e">
        <v>#N/A</v>
      </c>
      <c r="AC175" s="17" t="e">
        <v>#N/A</v>
      </c>
      <c r="AD175" s="17" t="e">
        <v>#N/A</v>
      </c>
      <c r="AE175" s="17" t="e">
        <v>#N/A</v>
      </c>
      <c r="AF175" s="17" t="e">
        <v>#N/A</v>
      </c>
      <c r="AG175" s="17" t="e">
        <v>#N/A</v>
      </c>
      <c r="AH175" s="17" t="e">
        <v>#N/A</v>
      </c>
      <c r="AI175" s="17" t="e">
        <v>#N/A</v>
      </c>
      <c r="AJ175" s="17" t="e">
        <v>#N/A</v>
      </c>
      <c r="AK175" s="17" t="e">
        <v>#N/A</v>
      </c>
      <c r="AL175" s="17" t="e">
        <v>#N/A</v>
      </c>
      <c r="AM175" s="17" t="e">
        <v>#N/A</v>
      </c>
      <c r="AN175" s="17" t="e">
        <v>#N/A</v>
      </c>
      <c r="AO175" s="17" t="e">
        <v>#N/A</v>
      </c>
      <c r="AP175" s="17" t="e">
        <v>#N/A</v>
      </c>
      <c r="AQ175" s="17" t="e">
        <v>#N/A</v>
      </c>
      <c r="AR175" s="17" t="e">
        <v>#N/A</v>
      </c>
      <c r="AS175" s="17" t="e">
        <v>#N/A</v>
      </c>
      <c r="AT175" s="17" t="e">
        <v>#N/A</v>
      </c>
      <c r="AU175" s="17" t="e">
        <v>#N/A</v>
      </c>
      <c r="AV175" s="17" t="e">
        <v>#N/A</v>
      </c>
      <c r="AW175" s="17" t="e">
        <v>#N/A</v>
      </c>
      <c r="AX175" s="17" t="e">
        <v>#N/A</v>
      </c>
      <c r="AY175" s="17" t="e">
        <v>#N/A</v>
      </c>
      <c r="AZ175" s="17" t="e">
        <v>#N/A</v>
      </c>
      <c r="BA175" s="17" t="e">
        <v>#N/A</v>
      </c>
      <c r="BB175" s="17" t="e">
        <v>#N/A</v>
      </c>
      <c r="BC175" s="17" t="e">
        <v>#N/A</v>
      </c>
      <c r="BD175" s="17" t="e">
        <v>#N/A</v>
      </c>
      <c r="BE175" s="17" t="e">
        <v>#N/A</v>
      </c>
      <c r="BF175" s="17" t="e">
        <v>#N/A</v>
      </c>
      <c r="BG175" s="17" t="e">
        <v>#N/A</v>
      </c>
      <c r="BH175" s="17" t="e">
        <v>#N/A</v>
      </c>
      <c r="BI175" s="17" t="e">
        <v>#N/A</v>
      </c>
      <c r="BJ175" s="17" t="e">
        <v>#N/A</v>
      </c>
      <c r="BK175" s="17" t="e">
        <v>#N/A</v>
      </c>
      <c r="BL175" s="17" t="e">
        <v>#N/A</v>
      </c>
      <c r="BM175" s="17" t="e">
        <v>#N/A</v>
      </c>
      <c r="BN175" s="17" t="e">
        <v>#N/A</v>
      </c>
      <c r="BO175" s="17" t="e">
        <v>#N/A</v>
      </c>
      <c r="BP175" s="17" t="e">
        <v>#N/A</v>
      </c>
      <c r="BQ175" s="17" t="e">
        <v>#N/A</v>
      </c>
      <c r="BR175" s="17" t="e">
        <v>#N/A</v>
      </c>
      <c r="BS175" s="17" t="e">
        <v>#N/A</v>
      </c>
      <c r="BT175" s="17" t="e">
        <v>#N/A</v>
      </c>
      <c r="BU175" s="17" t="e">
        <v>#N/A</v>
      </c>
      <c r="BV175" s="17" t="e">
        <v>#N/A</v>
      </c>
      <c r="BW175" s="17" t="e">
        <v>#N/A</v>
      </c>
      <c r="BX175" s="17" t="e">
        <v>#N/A</v>
      </c>
      <c r="BY175" s="17" t="e">
        <v>#N/A</v>
      </c>
      <c r="BZ175" s="17" t="e">
        <v>#N/A</v>
      </c>
      <c r="CA175" s="17" t="e">
        <v>#N/A</v>
      </c>
      <c r="CB175" s="17" t="e">
        <v>#N/A</v>
      </c>
      <c r="CC175" s="17" t="e">
        <v>#N/A</v>
      </c>
      <c r="CD175" s="17" t="e">
        <v>#N/A</v>
      </c>
      <c r="CE175" s="17" t="e">
        <v>#N/A</v>
      </c>
      <c r="CF175" s="17" t="e">
        <v>#N/A</v>
      </c>
      <c r="CG175" s="17" t="e">
        <v>#N/A</v>
      </c>
      <c r="CH175" s="17" t="e">
        <v>#N/A</v>
      </c>
      <c r="CI175" s="17" t="e">
        <v>#N/A</v>
      </c>
      <c r="CJ175" s="17" t="e">
        <v>#N/A</v>
      </c>
      <c r="CK175" s="17" t="e">
        <v>#N/A</v>
      </c>
      <c r="CL175" s="17" t="e">
        <v>#N/A</v>
      </c>
      <c r="CM175" s="17" t="e">
        <v>#N/A</v>
      </c>
      <c r="CN175" s="17" t="e">
        <v>#N/A</v>
      </c>
      <c r="CO175" s="17" t="e">
        <v>#N/A</v>
      </c>
      <c r="CP175" s="17" t="e">
        <v>#N/A</v>
      </c>
      <c r="CQ175" s="17" t="e">
        <v>#N/A</v>
      </c>
      <c r="CR175" s="17" t="e">
        <v>#N/A</v>
      </c>
      <c r="CS175" s="17" t="e">
        <v>#N/A</v>
      </c>
      <c r="CT175" s="17" t="e">
        <v>#N/A</v>
      </c>
      <c r="CU175" s="17" t="e">
        <v>#N/A</v>
      </c>
      <c r="CV175" s="17" t="e">
        <v>#N/A</v>
      </c>
      <c r="CW175" s="17" t="e">
        <v>#N/A</v>
      </c>
      <c r="CX175" s="17" t="e">
        <v>#N/A</v>
      </c>
      <c r="CY175" s="17" t="e">
        <v>#N/A</v>
      </c>
      <c r="CZ175" s="17" t="e">
        <v>#N/A</v>
      </c>
      <c r="DA175" s="17" t="e">
        <v>#N/A</v>
      </c>
      <c r="DB175" s="17" t="e">
        <v>#N/A</v>
      </c>
      <c r="DC175" s="17" t="e">
        <v>#N/A</v>
      </c>
      <c r="DD175" s="17" t="e">
        <v>#N/A</v>
      </c>
      <c r="DE175" s="17" t="e">
        <v>#N/A</v>
      </c>
      <c r="DF175" s="17" t="e">
        <v>#N/A</v>
      </c>
      <c r="DG175" s="17" t="e">
        <v>#N/A</v>
      </c>
      <c r="DH175" s="17" t="e">
        <v>#N/A</v>
      </c>
      <c r="DI175" s="17" t="e">
        <v>#N/A</v>
      </c>
      <c r="DJ175" s="17" t="e">
        <v>#N/A</v>
      </c>
      <c r="DK175" s="17" t="e">
        <v>#N/A</v>
      </c>
      <c r="DL175" s="17" t="e">
        <v>#N/A</v>
      </c>
      <c r="DM175" s="17" t="e">
        <v>#N/A</v>
      </c>
      <c r="DN175" s="17" t="e">
        <v>#N/A</v>
      </c>
      <c r="DO175" s="17" t="e">
        <v>#N/A</v>
      </c>
      <c r="DP175" s="17" t="e">
        <v>#N/A</v>
      </c>
      <c r="DQ175" s="17" t="e">
        <v>#N/A</v>
      </c>
      <c r="DR175" s="17" t="e">
        <v>#N/A</v>
      </c>
      <c r="DS175" s="17" t="e">
        <v>#N/A</v>
      </c>
      <c r="DT175" s="17" t="e">
        <v>#N/A</v>
      </c>
      <c r="DU175" s="17" t="e">
        <v>#N/A</v>
      </c>
      <c r="DV175" s="17" t="e">
        <v>#N/A</v>
      </c>
      <c r="DW175" s="17" t="e">
        <v>#N/A</v>
      </c>
      <c r="DX175" s="17" t="e">
        <v>#N/A</v>
      </c>
      <c r="DY175" s="17" t="e">
        <v>#N/A</v>
      </c>
      <c r="DZ175" s="17" t="e">
        <v>#N/A</v>
      </c>
      <c r="EA175" s="17" t="e">
        <v>#N/A</v>
      </c>
      <c r="EB175" s="17" t="e">
        <v>#N/A</v>
      </c>
      <c r="EC175" s="17" t="e">
        <v>#N/A</v>
      </c>
      <c r="ED175" s="17" t="e">
        <v>#N/A</v>
      </c>
      <c r="EE175" s="17" t="e">
        <v>#N/A</v>
      </c>
      <c r="EF175" s="17" t="e">
        <v>#N/A</v>
      </c>
      <c r="EG175" s="17" t="e">
        <v>#N/A</v>
      </c>
      <c r="EH175" s="17" t="e">
        <v>#N/A</v>
      </c>
      <c r="EI175" s="17" t="e">
        <v>#N/A</v>
      </c>
      <c r="EJ175" s="17" t="e">
        <v>#N/A</v>
      </c>
      <c r="EK175" s="17" t="e">
        <v>#N/A</v>
      </c>
      <c r="EL175" s="17" t="e">
        <v>#N/A</v>
      </c>
      <c r="EM175" s="17" t="e">
        <v>#N/A</v>
      </c>
      <c r="EN175" s="17" t="e">
        <v>#N/A</v>
      </c>
      <c r="EO175" s="17" t="e">
        <v>#N/A</v>
      </c>
      <c r="EP175" s="17" t="e">
        <v>#N/A</v>
      </c>
      <c r="EQ175" s="17" t="e">
        <v>#N/A</v>
      </c>
      <c r="ER175" s="17" t="e">
        <v>#N/A</v>
      </c>
      <c r="ES175" s="17" t="e">
        <v>#N/A</v>
      </c>
      <c r="ET175" s="17" t="e">
        <v>#N/A</v>
      </c>
      <c r="EU175" s="17" t="e">
        <v>#N/A</v>
      </c>
      <c r="EV175" s="17" t="e">
        <v>#N/A</v>
      </c>
      <c r="EW175" s="17" t="e">
        <v>#N/A</v>
      </c>
      <c r="EX175" s="17" t="e">
        <v>#N/A</v>
      </c>
      <c r="EY175" s="17" t="e">
        <v>#N/A</v>
      </c>
      <c r="EZ175" s="17" t="e">
        <v>#N/A</v>
      </c>
      <c r="FA175" s="17" t="e">
        <v>#N/A</v>
      </c>
      <c r="FB175" s="17" t="e">
        <v>#N/A</v>
      </c>
      <c r="FC175" s="17" t="e">
        <v>#N/A</v>
      </c>
      <c r="FD175" s="17" t="e">
        <v>#N/A</v>
      </c>
      <c r="FE175" s="17" t="e">
        <v>#N/A</v>
      </c>
      <c r="FF175" s="17" t="e">
        <v>#N/A</v>
      </c>
      <c r="FG175" s="17" t="e">
        <v>#N/A</v>
      </c>
      <c r="FH175" s="17" t="e">
        <v>#N/A</v>
      </c>
      <c r="FI175" s="17" t="e">
        <v>#N/A</v>
      </c>
      <c r="FJ175" s="17" t="e">
        <v>#N/A</v>
      </c>
      <c r="FK175" s="17" t="e">
        <v>#N/A</v>
      </c>
      <c r="FL175" s="17" t="e">
        <v>#N/A</v>
      </c>
      <c r="FM175" s="17" t="e">
        <v>#N/A</v>
      </c>
      <c r="FN175" s="17" t="e">
        <v>#N/A</v>
      </c>
      <c r="FO175" s="17" t="e">
        <v>#N/A</v>
      </c>
      <c r="FP175" s="17" t="e">
        <v>#N/A</v>
      </c>
      <c r="FQ175" s="17" t="e">
        <v>#N/A</v>
      </c>
      <c r="FR175" s="17" t="e">
        <v>#N/A</v>
      </c>
      <c r="FS175" s="17" t="e">
        <v>#N/A</v>
      </c>
      <c r="FT175" s="17" t="e">
        <v>#N/A</v>
      </c>
      <c r="FU175" s="17" t="e">
        <v>#N/A</v>
      </c>
      <c r="FV175" s="17" t="e">
        <v>#N/A</v>
      </c>
    </row>
    <row r="176" spans="2:178" ht="11.25" customHeight="1">
      <c r="B176" s="17" t="e">
        <v>#N/A</v>
      </c>
      <c r="C176" s="17" t="e">
        <v>#N/A</v>
      </c>
      <c r="D176" s="17" t="e">
        <v>#N/A</v>
      </c>
      <c r="E176" s="17" t="e">
        <v>#N/A</v>
      </c>
      <c r="F176" s="17" t="e">
        <v>#N/A</v>
      </c>
      <c r="G176" s="17" t="e">
        <v>#N/A</v>
      </c>
      <c r="H176" s="17" t="e">
        <v>#N/A</v>
      </c>
      <c r="I176" s="17" t="e">
        <v>#N/A</v>
      </c>
      <c r="J176" s="17" t="e">
        <v>#N/A</v>
      </c>
      <c r="K176" s="17" t="e">
        <v>#N/A</v>
      </c>
      <c r="L176" s="17" t="e">
        <v>#N/A</v>
      </c>
      <c r="M176" s="17" t="e">
        <v>#N/A</v>
      </c>
      <c r="N176" s="17" t="e">
        <v>#N/A</v>
      </c>
      <c r="O176" s="17" t="e">
        <v>#N/A</v>
      </c>
      <c r="P176" s="17" t="e">
        <v>#N/A</v>
      </c>
      <c r="Q176" s="17" t="e">
        <v>#N/A</v>
      </c>
      <c r="R176" s="17" t="e">
        <v>#N/A</v>
      </c>
      <c r="S176" s="17" t="e">
        <v>#N/A</v>
      </c>
      <c r="T176" s="17" t="e">
        <v>#N/A</v>
      </c>
      <c r="U176" s="17" t="e">
        <v>#N/A</v>
      </c>
      <c r="V176" s="17" t="e">
        <v>#N/A</v>
      </c>
      <c r="W176" s="17" t="e">
        <v>#N/A</v>
      </c>
      <c r="X176" s="17" t="e">
        <v>#N/A</v>
      </c>
      <c r="Y176" s="17" t="e">
        <v>#N/A</v>
      </c>
      <c r="Z176" s="17" t="e">
        <v>#N/A</v>
      </c>
      <c r="AA176" s="17" t="e">
        <v>#N/A</v>
      </c>
      <c r="AB176" s="17" t="e">
        <v>#N/A</v>
      </c>
      <c r="AC176" s="17" t="e">
        <v>#N/A</v>
      </c>
      <c r="AD176" s="17" t="e">
        <v>#N/A</v>
      </c>
      <c r="AE176" s="17" t="e">
        <v>#N/A</v>
      </c>
      <c r="AF176" s="17" t="e">
        <v>#N/A</v>
      </c>
      <c r="AG176" s="17" t="e">
        <v>#N/A</v>
      </c>
      <c r="AH176" s="17" t="e">
        <v>#N/A</v>
      </c>
      <c r="AI176" s="17" t="e">
        <v>#N/A</v>
      </c>
      <c r="AJ176" s="17" t="e">
        <v>#N/A</v>
      </c>
      <c r="AK176" s="17" t="e">
        <v>#N/A</v>
      </c>
      <c r="AL176" s="17" t="e">
        <v>#N/A</v>
      </c>
      <c r="AM176" s="17" t="e">
        <v>#N/A</v>
      </c>
      <c r="AN176" s="17" t="e">
        <v>#N/A</v>
      </c>
      <c r="AO176" s="17" t="e">
        <v>#N/A</v>
      </c>
      <c r="AP176" s="17" t="e">
        <v>#N/A</v>
      </c>
      <c r="AQ176" s="17" t="e">
        <v>#N/A</v>
      </c>
      <c r="AR176" s="17" t="e">
        <v>#N/A</v>
      </c>
      <c r="AS176" s="17" t="e">
        <v>#N/A</v>
      </c>
      <c r="AT176" s="17" t="e">
        <v>#N/A</v>
      </c>
      <c r="AU176" s="17" t="e">
        <v>#N/A</v>
      </c>
      <c r="AV176" s="17" t="e">
        <v>#N/A</v>
      </c>
      <c r="AW176" s="17" t="e">
        <v>#N/A</v>
      </c>
      <c r="AX176" s="17" t="e">
        <v>#N/A</v>
      </c>
      <c r="AY176" s="17" t="e">
        <v>#N/A</v>
      </c>
      <c r="AZ176" s="17" t="e">
        <v>#N/A</v>
      </c>
      <c r="BA176" s="17" t="e">
        <v>#N/A</v>
      </c>
      <c r="BB176" s="17" t="e">
        <v>#N/A</v>
      </c>
      <c r="BC176" s="17" t="e">
        <v>#N/A</v>
      </c>
      <c r="BD176" s="17" t="e">
        <v>#N/A</v>
      </c>
      <c r="BE176" s="17" t="e">
        <v>#N/A</v>
      </c>
      <c r="BF176" s="17" t="e">
        <v>#N/A</v>
      </c>
      <c r="BG176" s="17" t="e">
        <v>#N/A</v>
      </c>
      <c r="BH176" s="17" t="e">
        <v>#N/A</v>
      </c>
      <c r="BI176" s="17" t="e">
        <v>#N/A</v>
      </c>
      <c r="BJ176" s="17" t="e">
        <v>#N/A</v>
      </c>
      <c r="BK176" s="17" t="e">
        <v>#N/A</v>
      </c>
      <c r="BL176" s="17" t="e">
        <v>#N/A</v>
      </c>
      <c r="BM176" s="17" t="e">
        <v>#N/A</v>
      </c>
      <c r="BN176" s="17" t="e">
        <v>#N/A</v>
      </c>
      <c r="BO176" s="17" t="e">
        <v>#N/A</v>
      </c>
      <c r="BP176" s="17" t="e">
        <v>#N/A</v>
      </c>
      <c r="BQ176" s="17" t="e">
        <v>#N/A</v>
      </c>
      <c r="BR176" s="17" t="e">
        <v>#N/A</v>
      </c>
      <c r="BS176" s="17" t="e">
        <v>#N/A</v>
      </c>
      <c r="BT176" s="17" t="e">
        <v>#N/A</v>
      </c>
      <c r="BU176" s="17" t="e">
        <v>#N/A</v>
      </c>
      <c r="BV176" s="17" t="e">
        <v>#N/A</v>
      </c>
      <c r="BW176" s="17" t="e">
        <v>#N/A</v>
      </c>
      <c r="BX176" s="17" t="e">
        <v>#N/A</v>
      </c>
      <c r="BY176" s="17" t="e">
        <v>#N/A</v>
      </c>
      <c r="BZ176" s="17" t="e">
        <v>#N/A</v>
      </c>
      <c r="CA176" s="17" t="e">
        <v>#N/A</v>
      </c>
      <c r="CB176" s="17" t="e">
        <v>#N/A</v>
      </c>
      <c r="CC176" s="17" t="e">
        <v>#N/A</v>
      </c>
      <c r="CD176" s="17" t="e">
        <v>#N/A</v>
      </c>
      <c r="CE176" s="17" t="e">
        <v>#N/A</v>
      </c>
      <c r="CF176" s="17" t="e">
        <v>#N/A</v>
      </c>
      <c r="CG176" s="17" t="e">
        <v>#N/A</v>
      </c>
      <c r="CH176" s="17" t="e">
        <v>#N/A</v>
      </c>
      <c r="CI176" s="17" t="e">
        <v>#N/A</v>
      </c>
      <c r="CJ176" s="17" t="e">
        <v>#N/A</v>
      </c>
      <c r="CK176" s="17" t="e">
        <v>#N/A</v>
      </c>
      <c r="CL176" s="17" t="e">
        <v>#N/A</v>
      </c>
      <c r="CM176" s="17" t="e">
        <v>#N/A</v>
      </c>
      <c r="CN176" s="17" t="e">
        <v>#N/A</v>
      </c>
      <c r="CO176" s="17" t="e">
        <v>#N/A</v>
      </c>
      <c r="CP176" s="17" t="e">
        <v>#N/A</v>
      </c>
      <c r="CQ176" s="17" t="e">
        <v>#N/A</v>
      </c>
      <c r="CR176" s="17" t="e">
        <v>#N/A</v>
      </c>
      <c r="CS176" s="17" t="e">
        <v>#N/A</v>
      </c>
      <c r="CT176" s="17" t="e">
        <v>#N/A</v>
      </c>
      <c r="CU176" s="17" t="e">
        <v>#N/A</v>
      </c>
      <c r="CV176" s="17" t="e">
        <v>#N/A</v>
      </c>
      <c r="CW176" s="17" t="e">
        <v>#N/A</v>
      </c>
      <c r="CX176" s="17" t="e">
        <v>#N/A</v>
      </c>
      <c r="CY176" s="17" t="e">
        <v>#N/A</v>
      </c>
      <c r="CZ176" s="17" t="e">
        <v>#N/A</v>
      </c>
      <c r="DA176" s="17" t="e">
        <v>#N/A</v>
      </c>
      <c r="DB176" s="17" t="e">
        <v>#N/A</v>
      </c>
      <c r="DC176" s="17" t="e">
        <v>#N/A</v>
      </c>
      <c r="DD176" s="17" t="e">
        <v>#N/A</v>
      </c>
      <c r="DE176" s="17" t="e">
        <v>#N/A</v>
      </c>
      <c r="DF176" s="17" t="e">
        <v>#N/A</v>
      </c>
      <c r="DG176" s="17" t="e">
        <v>#N/A</v>
      </c>
      <c r="DH176" s="17" t="e">
        <v>#N/A</v>
      </c>
      <c r="DI176" s="17" t="e">
        <v>#N/A</v>
      </c>
      <c r="DJ176" s="17" t="e">
        <v>#N/A</v>
      </c>
      <c r="DK176" s="17" t="e">
        <v>#N/A</v>
      </c>
      <c r="DL176" s="17" t="e">
        <v>#N/A</v>
      </c>
      <c r="DM176" s="17" t="e">
        <v>#N/A</v>
      </c>
      <c r="DN176" s="17" t="e">
        <v>#N/A</v>
      </c>
      <c r="DO176" s="17" t="e">
        <v>#N/A</v>
      </c>
      <c r="DP176" s="17" t="e">
        <v>#N/A</v>
      </c>
      <c r="DQ176" s="17" t="e">
        <v>#N/A</v>
      </c>
      <c r="DR176" s="17" t="e">
        <v>#N/A</v>
      </c>
      <c r="DS176" s="17" t="e">
        <v>#N/A</v>
      </c>
      <c r="DT176" s="17" t="e">
        <v>#N/A</v>
      </c>
      <c r="DU176" s="17" t="e">
        <v>#N/A</v>
      </c>
      <c r="DV176" s="17" t="e">
        <v>#N/A</v>
      </c>
      <c r="DW176" s="17" t="e">
        <v>#N/A</v>
      </c>
      <c r="DX176" s="17" t="e">
        <v>#N/A</v>
      </c>
      <c r="DY176" s="17" t="e">
        <v>#N/A</v>
      </c>
      <c r="DZ176" s="17" t="e">
        <v>#N/A</v>
      </c>
      <c r="EA176" s="17" t="e">
        <v>#N/A</v>
      </c>
      <c r="EB176" s="17" t="e">
        <v>#N/A</v>
      </c>
      <c r="EC176" s="17" t="e">
        <v>#N/A</v>
      </c>
      <c r="ED176" s="17" t="e">
        <v>#N/A</v>
      </c>
      <c r="EE176" s="17" t="e">
        <v>#N/A</v>
      </c>
      <c r="EF176" s="17" t="e">
        <v>#N/A</v>
      </c>
      <c r="EG176" s="17" t="e">
        <v>#N/A</v>
      </c>
      <c r="EH176" s="17" t="e">
        <v>#N/A</v>
      </c>
      <c r="EI176" s="17" t="e">
        <v>#N/A</v>
      </c>
      <c r="EJ176" s="17" t="e">
        <v>#N/A</v>
      </c>
      <c r="EK176" s="17" t="e">
        <v>#N/A</v>
      </c>
      <c r="EL176" s="17" t="e">
        <v>#N/A</v>
      </c>
      <c r="EM176" s="17" t="e">
        <v>#N/A</v>
      </c>
      <c r="EN176" s="17" t="e">
        <v>#N/A</v>
      </c>
      <c r="EO176" s="17" t="e">
        <v>#N/A</v>
      </c>
      <c r="EP176" s="17" t="e">
        <v>#N/A</v>
      </c>
      <c r="EQ176" s="17" t="e">
        <v>#N/A</v>
      </c>
      <c r="ER176" s="17" t="e">
        <v>#N/A</v>
      </c>
      <c r="ES176" s="17" t="e">
        <v>#N/A</v>
      </c>
      <c r="ET176" s="17" t="e">
        <v>#N/A</v>
      </c>
      <c r="EU176" s="17" t="e">
        <v>#N/A</v>
      </c>
      <c r="EV176" s="17" t="e">
        <v>#N/A</v>
      </c>
      <c r="EW176" s="17" t="e">
        <v>#N/A</v>
      </c>
      <c r="EX176" s="17" t="e">
        <v>#N/A</v>
      </c>
      <c r="EY176" s="17" t="e">
        <v>#N/A</v>
      </c>
      <c r="EZ176" s="17" t="e">
        <v>#N/A</v>
      </c>
      <c r="FA176" s="17" t="e">
        <v>#N/A</v>
      </c>
      <c r="FB176" s="17" t="e">
        <v>#N/A</v>
      </c>
      <c r="FC176" s="17" t="e">
        <v>#N/A</v>
      </c>
      <c r="FD176" s="17" t="e">
        <v>#N/A</v>
      </c>
      <c r="FE176" s="17" t="e">
        <v>#N/A</v>
      </c>
      <c r="FF176" s="17" t="e">
        <v>#N/A</v>
      </c>
      <c r="FG176" s="17" t="e">
        <v>#N/A</v>
      </c>
      <c r="FH176" s="17" t="e">
        <v>#N/A</v>
      </c>
      <c r="FI176" s="17" t="e">
        <v>#N/A</v>
      </c>
      <c r="FJ176" s="17" t="e">
        <v>#N/A</v>
      </c>
      <c r="FK176" s="17" t="e">
        <v>#N/A</v>
      </c>
      <c r="FL176" s="17" t="e">
        <v>#N/A</v>
      </c>
      <c r="FM176" s="17" t="e">
        <v>#N/A</v>
      </c>
      <c r="FN176" s="17" t="e">
        <v>#N/A</v>
      </c>
      <c r="FO176" s="17" t="e">
        <v>#N/A</v>
      </c>
      <c r="FP176" s="17" t="e">
        <v>#N/A</v>
      </c>
      <c r="FQ176" s="17" t="e">
        <v>#N/A</v>
      </c>
      <c r="FR176" s="17" t="e">
        <v>#N/A</v>
      </c>
      <c r="FS176" s="17" t="e">
        <v>#N/A</v>
      </c>
      <c r="FT176" s="17" t="e">
        <v>#N/A</v>
      </c>
      <c r="FU176" s="17" t="e">
        <v>#N/A</v>
      </c>
      <c r="FV176" s="17" t="e">
        <v>#N/A</v>
      </c>
    </row>
    <row r="177" spans="2:178" ht="11.25" customHeight="1">
      <c r="B177" s="17" t="e">
        <v>#N/A</v>
      </c>
      <c r="C177" s="17" t="e">
        <v>#N/A</v>
      </c>
      <c r="D177" s="17" t="e">
        <v>#N/A</v>
      </c>
      <c r="E177" s="17" t="e">
        <v>#N/A</v>
      </c>
      <c r="F177" s="17" t="e">
        <v>#N/A</v>
      </c>
      <c r="G177" s="17" t="e">
        <v>#N/A</v>
      </c>
      <c r="H177" s="17" t="e">
        <v>#N/A</v>
      </c>
      <c r="I177" s="17" t="e">
        <v>#N/A</v>
      </c>
      <c r="J177" s="17" t="e">
        <v>#N/A</v>
      </c>
      <c r="K177" s="17" t="e">
        <v>#N/A</v>
      </c>
      <c r="L177" s="17" t="e">
        <v>#N/A</v>
      </c>
      <c r="M177" s="17" t="e">
        <v>#N/A</v>
      </c>
      <c r="N177" s="17" t="e">
        <v>#N/A</v>
      </c>
      <c r="O177" s="17" t="e">
        <v>#N/A</v>
      </c>
      <c r="P177" s="17" t="e">
        <v>#N/A</v>
      </c>
      <c r="Q177" s="17" t="e">
        <v>#N/A</v>
      </c>
      <c r="R177" s="17" t="e">
        <v>#N/A</v>
      </c>
      <c r="S177" s="17" t="e">
        <v>#N/A</v>
      </c>
      <c r="T177" s="17" t="e">
        <v>#N/A</v>
      </c>
      <c r="U177" s="17" t="e">
        <v>#N/A</v>
      </c>
      <c r="V177" s="17" t="e">
        <v>#N/A</v>
      </c>
      <c r="W177" s="17" t="e">
        <v>#N/A</v>
      </c>
      <c r="X177" s="17" t="e">
        <v>#N/A</v>
      </c>
      <c r="Y177" s="17" t="e">
        <v>#N/A</v>
      </c>
      <c r="Z177" s="17" t="e">
        <v>#N/A</v>
      </c>
      <c r="AA177" s="17" t="e">
        <v>#N/A</v>
      </c>
      <c r="AB177" s="17" t="e">
        <v>#N/A</v>
      </c>
      <c r="AC177" s="17" t="e">
        <v>#N/A</v>
      </c>
      <c r="AD177" s="17" t="e">
        <v>#N/A</v>
      </c>
      <c r="AE177" s="17" t="e">
        <v>#N/A</v>
      </c>
      <c r="AF177" s="17" t="e">
        <v>#N/A</v>
      </c>
      <c r="AG177" s="17" t="e">
        <v>#N/A</v>
      </c>
      <c r="AH177" s="17" t="e">
        <v>#N/A</v>
      </c>
      <c r="AI177" s="17" t="e">
        <v>#N/A</v>
      </c>
      <c r="AJ177" s="17" t="e">
        <v>#N/A</v>
      </c>
      <c r="AK177" s="17" t="e">
        <v>#N/A</v>
      </c>
      <c r="AL177" s="17" t="e">
        <v>#N/A</v>
      </c>
      <c r="AM177" s="17" t="e">
        <v>#N/A</v>
      </c>
      <c r="AN177" s="17" t="e">
        <v>#N/A</v>
      </c>
      <c r="AO177" s="17" t="e">
        <v>#N/A</v>
      </c>
      <c r="AP177" s="17" t="e">
        <v>#N/A</v>
      </c>
      <c r="AQ177" s="17" t="e">
        <v>#N/A</v>
      </c>
      <c r="AR177" s="17" t="e">
        <v>#N/A</v>
      </c>
      <c r="AS177" s="17" t="e">
        <v>#N/A</v>
      </c>
      <c r="AT177" s="17" t="e">
        <v>#N/A</v>
      </c>
      <c r="AU177" s="17" t="e">
        <v>#N/A</v>
      </c>
      <c r="AV177" s="17" t="e">
        <v>#N/A</v>
      </c>
      <c r="AW177" s="17" t="e">
        <v>#N/A</v>
      </c>
      <c r="AX177" s="17" t="e">
        <v>#N/A</v>
      </c>
      <c r="AY177" s="17" t="e">
        <v>#N/A</v>
      </c>
      <c r="AZ177" s="17" t="e">
        <v>#N/A</v>
      </c>
      <c r="BA177" s="17" t="e">
        <v>#N/A</v>
      </c>
      <c r="BB177" s="17" t="e">
        <v>#N/A</v>
      </c>
      <c r="BC177" s="17" t="e">
        <v>#N/A</v>
      </c>
      <c r="BD177" s="17" t="e">
        <v>#N/A</v>
      </c>
      <c r="BE177" s="17" t="e">
        <v>#N/A</v>
      </c>
      <c r="BF177" s="17" t="e">
        <v>#N/A</v>
      </c>
      <c r="BG177" s="17" t="e">
        <v>#N/A</v>
      </c>
      <c r="BH177" s="17" t="e">
        <v>#N/A</v>
      </c>
      <c r="BI177" s="17" t="e">
        <v>#N/A</v>
      </c>
      <c r="BJ177" s="17" t="e">
        <v>#N/A</v>
      </c>
      <c r="BK177" s="17" t="e">
        <v>#N/A</v>
      </c>
      <c r="BL177" s="17" t="e">
        <v>#N/A</v>
      </c>
      <c r="BM177" s="17" t="e">
        <v>#N/A</v>
      </c>
      <c r="BN177" s="17" t="e">
        <v>#N/A</v>
      </c>
      <c r="BO177" s="17" t="e">
        <v>#N/A</v>
      </c>
      <c r="BP177" s="17" t="e">
        <v>#N/A</v>
      </c>
      <c r="BQ177" s="17" t="e">
        <v>#N/A</v>
      </c>
      <c r="BR177" s="17" t="e">
        <v>#N/A</v>
      </c>
      <c r="BS177" s="17" t="e">
        <v>#N/A</v>
      </c>
      <c r="BT177" s="17" t="e">
        <v>#N/A</v>
      </c>
      <c r="BU177" s="17" t="e">
        <v>#N/A</v>
      </c>
      <c r="BV177" s="17" t="e">
        <v>#N/A</v>
      </c>
      <c r="BW177" s="17" t="e">
        <v>#N/A</v>
      </c>
      <c r="BX177" s="17" t="e">
        <v>#N/A</v>
      </c>
      <c r="BY177" s="17" t="e">
        <v>#N/A</v>
      </c>
      <c r="BZ177" s="17" t="e">
        <v>#N/A</v>
      </c>
      <c r="CA177" s="17" t="e">
        <v>#N/A</v>
      </c>
      <c r="CB177" s="17" t="e">
        <v>#N/A</v>
      </c>
      <c r="CC177" s="17" t="e">
        <v>#N/A</v>
      </c>
      <c r="CD177" s="17" t="e">
        <v>#N/A</v>
      </c>
      <c r="CE177" s="17" t="e">
        <v>#N/A</v>
      </c>
      <c r="CF177" s="17" t="e">
        <v>#N/A</v>
      </c>
      <c r="CG177" s="17" t="e">
        <v>#N/A</v>
      </c>
      <c r="CH177" s="17" t="e">
        <v>#N/A</v>
      </c>
      <c r="CI177" s="17" t="e">
        <v>#N/A</v>
      </c>
      <c r="CJ177" s="17" t="e">
        <v>#N/A</v>
      </c>
      <c r="CK177" s="17" t="e">
        <v>#N/A</v>
      </c>
      <c r="CL177" s="17" t="e">
        <v>#N/A</v>
      </c>
      <c r="CM177" s="17" t="e">
        <v>#N/A</v>
      </c>
      <c r="CN177" s="17" t="e">
        <v>#N/A</v>
      </c>
      <c r="CO177" s="17" t="e">
        <v>#N/A</v>
      </c>
      <c r="CP177" s="17" t="e">
        <v>#N/A</v>
      </c>
      <c r="CQ177" s="17" t="e">
        <v>#N/A</v>
      </c>
      <c r="CR177" s="17" t="e">
        <v>#N/A</v>
      </c>
      <c r="CS177" s="17" t="e">
        <v>#N/A</v>
      </c>
      <c r="CT177" s="17" t="e">
        <v>#N/A</v>
      </c>
      <c r="CU177" s="17" t="e">
        <v>#N/A</v>
      </c>
      <c r="CV177" s="17" t="e">
        <v>#N/A</v>
      </c>
      <c r="CW177" s="17" t="e">
        <v>#N/A</v>
      </c>
      <c r="CX177" s="17" t="e">
        <v>#N/A</v>
      </c>
      <c r="CY177" s="17" t="e">
        <v>#N/A</v>
      </c>
      <c r="CZ177" s="17" t="e">
        <v>#N/A</v>
      </c>
      <c r="DA177" s="17" t="e">
        <v>#N/A</v>
      </c>
      <c r="DB177" s="17" t="e">
        <v>#N/A</v>
      </c>
      <c r="DC177" s="17" t="e">
        <v>#N/A</v>
      </c>
      <c r="DD177" s="17" t="e">
        <v>#N/A</v>
      </c>
      <c r="DE177" s="17" t="e">
        <v>#N/A</v>
      </c>
      <c r="DF177" s="17" t="e">
        <v>#N/A</v>
      </c>
      <c r="DG177" s="17" t="e">
        <v>#N/A</v>
      </c>
      <c r="DH177" s="17" t="e">
        <v>#N/A</v>
      </c>
      <c r="DI177" s="17" t="e">
        <v>#N/A</v>
      </c>
      <c r="DJ177" s="17" t="e">
        <v>#N/A</v>
      </c>
      <c r="DK177" s="17" t="e">
        <v>#N/A</v>
      </c>
      <c r="DL177" s="17" t="e">
        <v>#N/A</v>
      </c>
      <c r="DM177" s="17" t="e">
        <v>#N/A</v>
      </c>
      <c r="DN177" s="17" t="e">
        <v>#N/A</v>
      </c>
      <c r="DO177" s="17" t="e">
        <v>#N/A</v>
      </c>
      <c r="DP177" s="17" t="e">
        <v>#N/A</v>
      </c>
      <c r="DQ177" s="17" t="e">
        <v>#N/A</v>
      </c>
      <c r="DR177" s="17" t="e">
        <v>#N/A</v>
      </c>
      <c r="DS177" s="17" t="e">
        <v>#N/A</v>
      </c>
      <c r="DT177" s="17" t="e">
        <v>#N/A</v>
      </c>
      <c r="DU177" s="17" t="e">
        <v>#N/A</v>
      </c>
      <c r="DV177" s="17" t="e">
        <v>#N/A</v>
      </c>
      <c r="DW177" s="17" t="e">
        <v>#N/A</v>
      </c>
      <c r="DX177" s="17" t="e">
        <v>#N/A</v>
      </c>
      <c r="DY177" s="17" t="e">
        <v>#N/A</v>
      </c>
      <c r="DZ177" s="17" t="e">
        <v>#N/A</v>
      </c>
      <c r="EA177" s="17" t="e">
        <v>#N/A</v>
      </c>
      <c r="EB177" s="17" t="e">
        <v>#N/A</v>
      </c>
      <c r="EC177" s="17" t="e">
        <v>#N/A</v>
      </c>
      <c r="ED177" s="17" t="e">
        <v>#N/A</v>
      </c>
      <c r="EE177" s="17" t="e">
        <v>#N/A</v>
      </c>
      <c r="EF177" s="17" t="e">
        <v>#N/A</v>
      </c>
      <c r="EG177" s="17" t="e">
        <v>#N/A</v>
      </c>
      <c r="EH177" s="17" t="e">
        <v>#N/A</v>
      </c>
      <c r="EI177" s="17" t="e">
        <v>#N/A</v>
      </c>
      <c r="EJ177" s="17" t="e">
        <v>#N/A</v>
      </c>
      <c r="EK177" s="17" t="e">
        <v>#N/A</v>
      </c>
      <c r="EL177" s="17" t="e">
        <v>#N/A</v>
      </c>
      <c r="EM177" s="17" t="e">
        <v>#N/A</v>
      </c>
      <c r="EN177" s="17" t="e">
        <v>#N/A</v>
      </c>
      <c r="EO177" s="17" t="e">
        <v>#N/A</v>
      </c>
      <c r="EP177" s="17" t="e">
        <v>#N/A</v>
      </c>
      <c r="EQ177" s="17" t="e">
        <v>#N/A</v>
      </c>
      <c r="ER177" s="17" t="e">
        <v>#N/A</v>
      </c>
      <c r="ES177" s="17" t="e">
        <v>#N/A</v>
      </c>
      <c r="ET177" s="17" t="e">
        <v>#N/A</v>
      </c>
      <c r="EU177" s="17" t="e">
        <v>#N/A</v>
      </c>
      <c r="EV177" s="17" t="e">
        <v>#N/A</v>
      </c>
      <c r="EW177" s="17" t="e">
        <v>#N/A</v>
      </c>
      <c r="EX177" s="17" t="e">
        <v>#N/A</v>
      </c>
      <c r="EY177" s="17" t="e">
        <v>#N/A</v>
      </c>
      <c r="EZ177" s="17" t="e">
        <v>#N/A</v>
      </c>
      <c r="FA177" s="17" t="e">
        <v>#N/A</v>
      </c>
      <c r="FB177" s="17" t="e">
        <v>#N/A</v>
      </c>
      <c r="FC177" s="17" t="e">
        <v>#N/A</v>
      </c>
      <c r="FD177" s="17" t="e">
        <v>#N/A</v>
      </c>
      <c r="FE177" s="17" t="e">
        <v>#N/A</v>
      </c>
      <c r="FF177" s="17" t="e">
        <v>#N/A</v>
      </c>
      <c r="FG177" s="17" t="e">
        <v>#N/A</v>
      </c>
      <c r="FH177" s="17" t="e">
        <v>#N/A</v>
      </c>
      <c r="FI177" s="17" t="e">
        <v>#N/A</v>
      </c>
      <c r="FJ177" s="17" t="e">
        <v>#N/A</v>
      </c>
      <c r="FK177" s="17" t="e">
        <v>#N/A</v>
      </c>
      <c r="FL177" s="17" t="e">
        <v>#N/A</v>
      </c>
      <c r="FM177" s="17" t="e">
        <v>#N/A</v>
      </c>
      <c r="FN177" s="17" t="e">
        <v>#N/A</v>
      </c>
      <c r="FO177" s="17" t="e">
        <v>#N/A</v>
      </c>
      <c r="FP177" s="17" t="e">
        <v>#N/A</v>
      </c>
      <c r="FQ177" s="17" t="e">
        <v>#N/A</v>
      </c>
      <c r="FR177" s="17" t="e">
        <v>#N/A</v>
      </c>
      <c r="FS177" s="17" t="e">
        <v>#N/A</v>
      </c>
      <c r="FT177" s="17" t="e">
        <v>#N/A</v>
      </c>
      <c r="FU177" s="17" t="e">
        <v>#N/A</v>
      </c>
      <c r="FV177" s="17" t="e">
        <v>#N/A</v>
      </c>
    </row>
    <row r="178" spans="2:178" ht="11.25" customHeight="1">
      <c r="B178" s="17" t="e">
        <v>#N/A</v>
      </c>
      <c r="C178" s="17" t="e">
        <v>#N/A</v>
      </c>
      <c r="D178" s="17" t="e">
        <v>#N/A</v>
      </c>
      <c r="E178" s="17" t="e">
        <v>#N/A</v>
      </c>
      <c r="F178" s="17" t="e">
        <v>#N/A</v>
      </c>
      <c r="G178" s="17" t="e">
        <v>#N/A</v>
      </c>
      <c r="H178" s="17" t="e">
        <v>#N/A</v>
      </c>
      <c r="I178" s="17" t="e">
        <v>#N/A</v>
      </c>
      <c r="J178" s="17" t="e">
        <v>#N/A</v>
      </c>
      <c r="K178" s="17" t="e">
        <v>#N/A</v>
      </c>
      <c r="L178" s="17" t="e">
        <v>#N/A</v>
      </c>
      <c r="M178" s="17" t="e">
        <v>#N/A</v>
      </c>
      <c r="N178" s="17" t="e">
        <v>#N/A</v>
      </c>
      <c r="O178" s="17" t="e">
        <v>#N/A</v>
      </c>
      <c r="P178" s="17" t="e">
        <v>#N/A</v>
      </c>
      <c r="Q178" s="17" t="e">
        <v>#N/A</v>
      </c>
      <c r="R178" s="17" t="e">
        <v>#N/A</v>
      </c>
      <c r="S178" s="17" t="e">
        <v>#N/A</v>
      </c>
      <c r="T178" s="17" t="e">
        <v>#N/A</v>
      </c>
      <c r="U178" s="17" t="e">
        <v>#N/A</v>
      </c>
      <c r="V178" s="17" t="e">
        <v>#N/A</v>
      </c>
      <c r="W178" s="17" t="e">
        <v>#N/A</v>
      </c>
      <c r="X178" s="17" t="e">
        <v>#N/A</v>
      </c>
      <c r="Y178" s="17" t="e">
        <v>#N/A</v>
      </c>
      <c r="Z178" s="17" t="e">
        <v>#N/A</v>
      </c>
      <c r="AA178" s="17" t="e">
        <v>#N/A</v>
      </c>
      <c r="AB178" s="17" t="e">
        <v>#N/A</v>
      </c>
      <c r="AC178" s="17" t="e">
        <v>#N/A</v>
      </c>
      <c r="AD178" s="17" t="e">
        <v>#N/A</v>
      </c>
      <c r="AE178" s="17" t="e">
        <v>#N/A</v>
      </c>
      <c r="AF178" s="17" t="e">
        <v>#N/A</v>
      </c>
      <c r="AG178" s="17" t="e">
        <v>#N/A</v>
      </c>
      <c r="AH178" s="17" t="e">
        <v>#N/A</v>
      </c>
      <c r="AI178" s="17" t="e">
        <v>#N/A</v>
      </c>
      <c r="AJ178" s="17" t="e">
        <v>#N/A</v>
      </c>
      <c r="AK178" s="17" t="e">
        <v>#N/A</v>
      </c>
      <c r="AL178" s="17" t="e">
        <v>#N/A</v>
      </c>
      <c r="AM178" s="17" t="e">
        <v>#N/A</v>
      </c>
      <c r="AN178" s="17" t="e">
        <v>#N/A</v>
      </c>
      <c r="AO178" s="17" t="e">
        <v>#N/A</v>
      </c>
      <c r="AP178" s="17" t="e">
        <v>#N/A</v>
      </c>
      <c r="AQ178" s="17" t="e">
        <v>#N/A</v>
      </c>
      <c r="AR178" s="17" t="e">
        <v>#N/A</v>
      </c>
      <c r="AS178" s="17" t="e">
        <v>#N/A</v>
      </c>
      <c r="AT178" s="17" t="e">
        <v>#N/A</v>
      </c>
      <c r="AU178" s="17" t="e">
        <v>#N/A</v>
      </c>
      <c r="AV178" s="17" t="e">
        <v>#N/A</v>
      </c>
      <c r="AW178" s="17" t="e">
        <v>#N/A</v>
      </c>
      <c r="AX178" s="17" t="e">
        <v>#N/A</v>
      </c>
      <c r="AY178" s="17" t="e">
        <v>#N/A</v>
      </c>
      <c r="AZ178" s="17" t="e">
        <v>#N/A</v>
      </c>
      <c r="BA178" s="17" t="e">
        <v>#N/A</v>
      </c>
      <c r="BB178" s="17" t="e">
        <v>#N/A</v>
      </c>
      <c r="BC178" s="17" t="e">
        <v>#N/A</v>
      </c>
      <c r="BD178" s="17" t="e">
        <v>#N/A</v>
      </c>
      <c r="BE178" s="17" t="e">
        <v>#N/A</v>
      </c>
      <c r="BF178" s="17" t="e">
        <v>#N/A</v>
      </c>
      <c r="BG178" s="17" t="e">
        <v>#N/A</v>
      </c>
      <c r="BH178" s="17" t="e">
        <v>#N/A</v>
      </c>
      <c r="BI178" s="17" t="e">
        <v>#N/A</v>
      </c>
      <c r="BJ178" s="17" t="e">
        <v>#N/A</v>
      </c>
      <c r="BK178" s="17" t="e">
        <v>#N/A</v>
      </c>
      <c r="BL178" s="17" t="e">
        <v>#N/A</v>
      </c>
      <c r="BM178" s="17" t="e">
        <v>#N/A</v>
      </c>
      <c r="BN178" s="17" t="e">
        <v>#N/A</v>
      </c>
      <c r="BO178" s="17" t="e">
        <v>#N/A</v>
      </c>
      <c r="BP178" s="17" t="e">
        <v>#N/A</v>
      </c>
      <c r="BQ178" s="17" t="e">
        <v>#N/A</v>
      </c>
      <c r="BR178" s="17" t="e">
        <v>#N/A</v>
      </c>
      <c r="BS178" s="17" t="e">
        <v>#N/A</v>
      </c>
      <c r="BT178" s="17" t="e">
        <v>#N/A</v>
      </c>
      <c r="BU178" s="17" t="e">
        <v>#N/A</v>
      </c>
      <c r="BV178" s="17" t="e">
        <v>#N/A</v>
      </c>
      <c r="BW178" s="17" t="e">
        <v>#N/A</v>
      </c>
      <c r="BX178" s="17" t="e">
        <v>#N/A</v>
      </c>
      <c r="BY178" s="17" t="e">
        <v>#N/A</v>
      </c>
      <c r="BZ178" s="17" t="e">
        <v>#N/A</v>
      </c>
      <c r="CA178" s="17" t="e">
        <v>#N/A</v>
      </c>
      <c r="CB178" s="17" t="e">
        <v>#N/A</v>
      </c>
      <c r="CC178" s="17" t="e">
        <v>#N/A</v>
      </c>
      <c r="CD178" s="17" t="e">
        <v>#N/A</v>
      </c>
      <c r="CE178" s="17" t="e">
        <v>#N/A</v>
      </c>
      <c r="CF178" s="17" t="e">
        <v>#N/A</v>
      </c>
      <c r="CG178" s="17" t="e">
        <v>#N/A</v>
      </c>
      <c r="CH178" s="17" t="e">
        <v>#N/A</v>
      </c>
      <c r="CI178" s="17" t="e">
        <v>#N/A</v>
      </c>
      <c r="CJ178" s="17" t="e">
        <v>#N/A</v>
      </c>
      <c r="CK178" s="17" t="e">
        <v>#N/A</v>
      </c>
      <c r="CL178" s="17" t="e">
        <v>#N/A</v>
      </c>
      <c r="CM178" s="17" t="e">
        <v>#N/A</v>
      </c>
      <c r="CN178" s="17" t="e">
        <v>#N/A</v>
      </c>
      <c r="CO178" s="17" t="e">
        <v>#N/A</v>
      </c>
      <c r="CP178" s="17" t="e">
        <v>#N/A</v>
      </c>
      <c r="CQ178" s="17" t="e">
        <v>#N/A</v>
      </c>
      <c r="CR178" s="17" t="e">
        <v>#N/A</v>
      </c>
      <c r="CS178" s="17" t="e">
        <v>#N/A</v>
      </c>
      <c r="CT178" s="17" t="e">
        <v>#N/A</v>
      </c>
      <c r="CU178" s="17" t="e">
        <v>#N/A</v>
      </c>
      <c r="CV178" s="17" t="e">
        <v>#N/A</v>
      </c>
      <c r="CW178" s="17" t="e">
        <v>#N/A</v>
      </c>
      <c r="CX178" s="17" t="e">
        <v>#N/A</v>
      </c>
      <c r="CY178" s="17" t="e">
        <v>#N/A</v>
      </c>
      <c r="CZ178" s="17" t="e">
        <v>#N/A</v>
      </c>
      <c r="DA178" s="17" t="e">
        <v>#N/A</v>
      </c>
      <c r="DB178" s="17" t="e">
        <v>#N/A</v>
      </c>
      <c r="DC178" s="17" t="e">
        <v>#N/A</v>
      </c>
      <c r="DD178" s="17" t="e">
        <v>#N/A</v>
      </c>
      <c r="DE178" s="17" t="e">
        <v>#N/A</v>
      </c>
      <c r="DF178" s="17" t="e">
        <v>#N/A</v>
      </c>
      <c r="DG178" s="17" t="e">
        <v>#N/A</v>
      </c>
      <c r="DH178" s="17" t="e">
        <v>#N/A</v>
      </c>
      <c r="DI178" s="17" t="e">
        <v>#N/A</v>
      </c>
      <c r="DJ178" s="17" t="e">
        <v>#N/A</v>
      </c>
      <c r="DK178" s="17" t="e">
        <v>#N/A</v>
      </c>
      <c r="DL178" s="17" t="e">
        <v>#N/A</v>
      </c>
      <c r="DM178" s="17" t="e">
        <v>#N/A</v>
      </c>
      <c r="DN178" s="17" t="e">
        <v>#N/A</v>
      </c>
      <c r="DO178" s="17" t="e">
        <v>#N/A</v>
      </c>
      <c r="DP178" s="17" t="e">
        <v>#N/A</v>
      </c>
      <c r="DQ178" s="17" t="e">
        <v>#N/A</v>
      </c>
      <c r="DR178" s="17" t="e">
        <v>#N/A</v>
      </c>
      <c r="DS178" s="17" t="e">
        <v>#N/A</v>
      </c>
      <c r="DT178" s="17" t="e">
        <v>#N/A</v>
      </c>
      <c r="DU178" s="17" t="e">
        <v>#N/A</v>
      </c>
      <c r="DV178" s="17" t="e">
        <v>#N/A</v>
      </c>
      <c r="DW178" s="17" t="e">
        <v>#N/A</v>
      </c>
      <c r="DX178" s="17" t="e">
        <v>#N/A</v>
      </c>
      <c r="DY178" s="17" t="e">
        <v>#N/A</v>
      </c>
      <c r="DZ178" s="17" t="e">
        <v>#N/A</v>
      </c>
      <c r="EA178" s="17" t="e">
        <v>#N/A</v>
      </c>
      <c r="EB178" s="17" t="e">
        <v>#N/A</v>
      </c>
      <c r="EC178" s="17" t="e">
        <v>#N/A</v>
      </c>
      <c r="ED178" s="17" t="e">
        <v>#N/A</v>
      </c>
      <c r="EE178" s="17" t="e">
        <v>#N/A</v>
      </c>
      <c r="EF178" s="17" t="e">
        <v>#N/A</v>
      </c>
      <c r="EG178" s="17" t="e">
        <v>#N/A</v>
      </c>
      <c r="EH178" s="17" t="e">
        <v>#N/A</v>
      </c>
      <c r="EI178" s="17" t="e">
        <v>#N/A</v>
      </c>
      <c r="EJ178" s="17" t="e">
        <v>#N/A</v>
      </c>
      <c r="EK178" s="17" t="e">
        <v>#N/A</v>
      </c>
      <c r="EL178" s="17" t="e">
        <v>#N/A</v>
      </c>
      <c r="EM178" s="17" t="e">
        <v>#N/A</v>
      </c>
      <c r="EN178" s="17" t="e">
        <v>#N/A</v>
      </c>
      <c r="EO178" s="17" t="e">
        <v>#N/A</v>
      </c>
      <c r="EP178" s="17" t="e">
        <v>#N/A</v>
      </c>
      <c r="EQ178" s="17" t="e">
        <v>#N/A</v>
      </c>
      <c r="ER178" s="17" t="e">
        <v>#N/A</v>
      </c>
      <c r="ES178" s="17" t="e">
        <v>#N/A</v>
      </c>
      <c r="ET178" s="17" t="e">
        <v>#N/A</v>
      </c>
      <c r="EU178" s="17" t="e">
        <v>#N/A</v>
      </c>
      <c r="EV178" s="17" t="e">
        <v>#N/A</v>
      </c>
      <c r="EW178" s="17" t="e">
        <v>#N/A</v>
      </c>
      <c r="EX178" s="17" t="e">
        <v>#N/A</v>
      </c>
      <c r="EY178" s="17" t="e">
        <v>#N/A</v>
      </c>
      <c r="EZ178" s="17" t="e">
        <v>#N/A</v>
      </c>
      <c r="FA178" s="17" t="e">
        <v>#N/A</v>
      </c>
      <c r="FB178" s="17" t="e">
        <v>#N/A</v>
      </c>
      <c r="FC178" s="17" t="e">
        <v>#N/A</v>
      </c>
      <c r="FD178" s="17" t="e">
        <v>#N/A</v>
      </c>
      <c r="FE178" s="17" t="e">
        <v>#N/A</v>
      </c>
      <c r="FF178" s="17" t="e">
        <v>#N/A</v>
      </c>
      <c r="FG178" s="17" t="e">
        <v>#N/A</v>
      </c>
      <c r="FH178" s="17" t="e">
        <v>#N/A</v>
      </c>
      <c r="FI178" s="17" t="e">
        <v>#N/A</v>
      </c>
      <c r="FJ178" s="17" t="e">
        <v>#N/A</v>
      </c>
      <c r="FK178" s="17" t="e">
        <v>#N/A</v>
      </c>
      <c r="FL178" s="17" t="e">
        <v>#N/A</v>
      </c>
      <c r="FM178" s="17" t="e">
        <v>#N/A</v>
      </c>
      <c r="FN178" s="17" t="e">
        <v>#N/A</v>
      </c>
      <c r="FO178" s="17" t="e">
        <v>#N/A</v>
      </c>
      <c r="FP178" s="17" t="e">
        <v>#N/A</v>
      </c>
      <c r="FQ178" s="17" t="e">
        <v>#N/A</v>
      </c>
      <c r="FR178" s="17" t="e">
        <v>#N/A</v>
      </c>
      <c r="FS178" s="17" t="e">
        <v>#N/A</v>
      </c>
      <c r="FT178" s="17" t="e">
        <v>#N/A</v>
      </c>
      <c r="FU178" s="17" t="e">
        <v>#N/A</v>
      </c>
      <c r="FV178" s="17" t="e">
        <v>#N/A</v>
      </c>
    </row>
  </sheetData>
  <conditionalFormatting sqref="B2:FV178">
    <cfRule type="cellIs" dxfId="2" priority="2" operator="equal">
      <formula>0</formula>
    </cfRule>
    <cfRule type="cellIs" dxfId="1" priority="3" operator="equal">
      <formula>1</formula>
    </cfRule>
    <cfRule type="cellIs" dxfId="0" priority="1" operator="equal">
      <formula>NA()</formula>
    </cfRule>
  </conditionalFormatting>
  <pageMargins left="0.7" right="0.7" top="0.75" bottom="0.75" header="0.3" footer="0.3"/>
  <pageSetup paperSize="9" scale="2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Input</vt:lpstr>
      <vt:lpstr>Code Structure</vt:lpstr>
      <vt:lpstr>RS Calc</vt:lpstr>
      <vt:lpstr>Basic Info</vt:lpstr>
      <vt:lpstr>QR Output</vt:lpstr>
      <vt:lpstr>'QR Output'!Print_Area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cp:lastPrinted>2017-09-21T09:22:13Z</cp:lastPrinted>
  <dcterms:created xsi:type="dcterms:W3CDTF">2017-09-04T12:43:10Z</dcterms:created>
  <dcterms:modified xsi:type="dcterms:W3CDTF">2017-10-18T08:06:49Z</dcterms:modified>
</cp:coreProperties>
</file>