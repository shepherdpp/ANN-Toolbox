
<file path=[Content_Types].xml><?xml version="1.0" encoding="utf-8"?>
<Types xmlns="http://schemas.openxmlformats.org/package/2006/content-types">
  <Default Extension="xml" ContentType="application/xml"/>
  <Default Extension="rels" ContentType="application/vnd.openxmlformats-package.relationships+xml"/>
  <Default Extension="bin" ContentType="application/vnd.openxmlformats-officedocument.spreadsheetml.printerSettings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4" Type="http://schemas.openxmlformats.org/officeDocument/2006/relationships/custom-properties" Target="docProps/custom.xml"/><Relationship Id="Rd7a7c5ae649743e7" Type="http://schemas.microsoft.com/office/2006/relationships/ui/extensibility" Target="customUI/customUI.xml"/><Relationship Id="rId1" Type="http://schemas.openxmlformats.org/officeDocument/2006/relationships/officeDocument" Target="xl/workbook.xml"/><Relationship Id="rId2" Type="http://schemas.openxmlformats.org/package/2006/relationships/metadata/core-properties" Target="docProps/core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4" rupBuild="28908" codeName="{B7FE6334-C1A2-E50D-BD3D-5F4D41BBC2E3}"/>
  <workbookPr codeName="ThisWorkbook"/>
  <mc:AlternateContent xmlns:mc="http://schemas.openxmlformats.org/markup-compatibility/2006">
    <mc:Choice Requires="x15">
      <x15ac:absPath xmlns:x15ac="http://schemas.microsoft.com/office/spreadsheetml/2010/11/ac" url="https://d.docs.live.net/2ea520cfc4575715/Projects/ExcelProjects/01^J ANN/00^J ANN Toolbox/"/>
    </mc:Choice>
  </mc:AlternateContent>
  <bookViews>
    <workbookView xWindow="0" yWindow="460" windowWidth="28800" windowHeight="16280" activeTab="1"/>
  </bookViews>
  <sheets>
    <sheet name="Sheet1" sheetId="2" r:id="rId1"/>
    <sheet name="Sheet2" sheetId="3" r:id="rId2"/>
  </sheets>
  <calcPr calcId="150001" concurrentCalc="0"/>
  <extLst>
    <ext xmlns:x14="http://schemas.microsoft.com/office/spreadsheetml/2009/9/main" uri="{79F54976-1DA5-4618-B147-4CDE4B953A38}">
      <x14:workbookPr defaultImageDpi="32767"/>
    </ext>
    <ext xmlns:mx="http://schemas.microsoft.com/office/mac/excel/2008/main" uri="{7523E5D3-25F3-A5E0-1632-64F254C22452}">
      <mx:ArchID Flags="2"/>
    </ext>
  </extLst>
</workbook>
</file>

<file path=xl/calcChain.xml><?xml version="1.0" encoding="utf-8"?>
<calcChain xmlns="http://schemas.openxmlformats.org/spreadsheetml/2006/main">
  <c r="L3" i="3" l="1"/>
  <c r="M3" i="3"/>
  <c r="L4" i="3"/>
  <c r="M4" i="3"/>
  <c r="L5" i="3"/>
  <c r="M5" i="3"/>
  <c r="L6" i="3"/>
  <c r="M6" i="3"/>
  <c r="L7" i="3"/>
  <c r="M7" i="3"/>
  <c r="L8" i="3"/>
  <c r="M8" i="3"/>
  <c r="L9" i="3"/>
  <c r="M9" i="3"/>
  <c r="L10" i="3"/>
  <c r="M10" i="3"/>
  <c r="L11" i="3"/>
  <c r="M11" i="3"/>
  <c r="L12" i="3"/>
  <c r="M12" i="3"/>
  <c r="L13" i="3"/>
  <c r="M13" i="3"/>
  <c r="L14" i="3"/>
  <c r="M14" i="3"/>
  <c r="L15" i="3"/>
  <c r="M15" i="3"/>
  <c r="L16" i="3"/>
  <c r="M16" i="3"/>
  <c r="L17" i="3"/>
  <c r="M17" i="3"/>
  <c r="L18" i="3"/>
  <c r="M18" i="3"/>
  <c r="L19" i="3"/>
  <c r="M19" i="3"/>
  <c r="L20" i="3"/>
  <c r="M20" i="3"/>
  <c r="L21" i="3"/>
  <c r="M21" i="3"/>
  <c r="L22" i="3"/>
  <c r="M22" i="3"/>
  <c r="L23" i="3"/>
  <c r="M23" i="3"/>
  <c r="L24" i="3"/>
  <c r="M24" i="3"/>
  <c r="L25" i="3"/>
  <c r="M25" i="3"/>
  <c r="L26" i="3"/>
  <c r="M26" i="3"/>
  <c r="L27" i="3"/>
  <c r="M27" i="3"/>
  <c r="L28" i="3"/>
  <c r="M28" i="3"/>
  <c r="L29" i="3"/>
  <c r="M29" i="3"/>
  <c r="L30" i="3"/>
  <c r="M30" i="3"/>
  <c r="L31" i="3"/>
  <c r="M31" i="3"/>
  <c r="L32" i="3"/>
  <c r="M32" i="3"/>
  <c r="L33" i="3"/>
  <c r="M33" i="3"/>
  <c r="L34" i="3"/>
  <c r="M34" i="3"/>
  <c r="L35" i="3"/>
  <c r="M35" i="3"/>
  <c r="M2" i="3"/>
  <c r="L2" i="3"/>
  <c r="K3" i="3"/>
  <c r="N3" i="3"/>
  <c r="K4" i="3"/>
  <c r="N4" i="3"/>
  <c r="K5" i="3"/>
  <c r="N5" i="3"/>
  <c r="K6" i="3"/>
  <c r="N6" i="3"/>
  <c r="K7" i="3"/>
  <c r="N7" i="3"/>
  <c r="K8" i="3"/>
  <c r="N8" i="3"/>
  <c r="K9" i="3"/>
  <c r="N9" i="3"/>
  <c r="K10" i="3"/>
  <c r="N10" i="3"/>
  <c r="K11" i="3"/>
  <c r="N11" i="3"/>
  <c r="K12" i="3"/>
  <c r="N12" i="3"/>
  <c r="K13" i="3"/>
  <c r="N13" i="3"/>
  <c r="K14" i="3"/>
  <c r="N14" i="3"/>
  <c r="K15" i="3"/>
  <c r="N15" i="3"/>
  <c r="K16" i="3"/>
  <c r="N16" i="3"/>
  <c r="K17" i="3"/>
  <c r="N17" i="3"/>
  <c r="K18" i="3"/>
  <c r="N18" i="3"/>
  <c r="K19" i="3"/>
  <c r="N19" i="3"/>
  <c r="K20" i="3"/>
  <c r="N20" i="3"/>
  <c r="K21" i="3"/>
  <c r="N21" i="3"/>
  <c r="K22" i="3"/>
  <c r="N22" i="3"/>
  <c r="K23" i="3"/>
  <c r="N23" i="3"/>
  <c r="K24" i="3"/>
  <c r="N24" i="3"/>
  <c r="K25" i="3"/>
  <c r="N25" i="3"/>
  <c r="K26" i="3"/>
  <c r="N26" i="3"/>
  <c r="K27" i="3"/>
  <c r="N27" i="3"/>
  <c r="K28" i="3"/>
  <c r="N28" i="3"/>
  <c r="K29" i="3"/>
  <c r="N29" i="3"/>
  <c r="K30" i="3"/>
  <c r="N30" i="3"/>
  <c r="K31" i="3"/>
  <c r="N31" i="3"/>
  <c r="K32" i="3"/>
  <c r="N32" i="3"/>
  <c r="K33" i="3"/>
  <c r="N33" i="3"/>
  <c r="K34" i="3"/>
  <c r="N34" i="3"/>
  <c r="K35" i="3"/>
  <c r="N35" i="3"/>
  <c r="K2" i="3"/>
  <c r="N2" i="3"/>
</calcChain>
</file>

<file path=xl/sharedStrings.xml><?xml version="1.0" encoding="utf-8"?>
<sst xmlns="http://schemas.openxmlformats.org/spreadsheetml/2006/main" count="34" uniqueCount="15">
  <si>
    <t xml:space="preserve">A Neuron Network that has 3 Layers. </t>
  </si>
  <si>
    <t>Layer 1 : LOG</t>
  </si>
  <si>
    <t>bias:</t>
  </si>
  <si>
    <t>w1</t>
  </si>
  <si>
    <t>w2</t>
  </si>
  <si>
    <t>w3</t>
  </si>
  <si>
    <t>w4</t>
  </si>
  <si>
    <t>Unit1</t>
  </si>
  <si>
    <t>Unit2</t>
  </si>
  <si>
    <t>Unit3</t>
  </si>
  <si>
    <t>Layer 2 : LOG</t>
  </si>
  <si>
    <t>Out: LOG</t>
  </si>
  <si>
    <t>No.</t>
  </si>
  <si>
    <t>target1</t>
  </si>
  <si>
    <t>output1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</si>
</sst>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fonts count="1" x14ac:knownFonts="1">
    <font>
      <sz val="11"/>
      <color theme="1"/>
      <name val="Calibri"/>
      <family val="2"/>
      <charset val="134"/>
      <scheme val="minor"/>
    </font>
  </fonts>
  <fills count="2">
    <fill>
      <patternFill patternType="none"/>
    </fill>
    <fill>
      <patternFill patternType="gray125"/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1">
    <xf numFmtId="0" fontId="0" fillId="0" borderId="0" xfId="0"/>
  </cellXfs>
  <cellStyles count="1">
    <cellStyle name="Normal" xfId="0" builtinId="0"/>
  </cellStyles>
  <dxfs count="0"/>
  <tableStyles count="0" defaultTableStyle="TableStyleMedium9" defaultPivotStyle="PivotStyleLight16"/>
  <extLst>
    <ext xmlns:x14="http://schemas.microsoft.com/office/spreadsheetml/2009/9/main" uri="{EB79DEF2-80B8-43e5-95BD-54CBDDF9020C}">
      <x14:slicerStyles defaultSlicerStyle="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theme" Target="theme/theme1.xml"/><Relationship Id="rId4" Type="http://schemas.openxmlformats.org/officeDocument/2006/relationships/styles" Target="styles.xml"/><Relationship Id="rId5" Type="http://schemas.openxmlformats.org/officeDocument/2006/relationships/sharedStrings" Target="sharedStrings.xml"/><Relationship Id="rId6" Type="http://schemas.openxmlformats.org/officeDocument/2006/relationships/calcChain" Target="calcChain.xml"/><Relationship Id="rId7" Type="http://schemas.microsoft.com/office/2006/relationships/vbaProject" Target="vbaProject.bin"/><Relationship Id="rId1" Type="http://schemas.openxmlformats.org/officeDocument/2006/relationships/worksheet" Target="worksheets/sheet1.xml"/><Relationship Id="rId2" Type="http://schemas.openxmlformats.org/officeDocument/2006/relationships/worksheet" Target="worksheets/sheet2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Yu Gothic Light"/>
        <a:font script="Hang" typeface="맑은 고딕"/>
        <a:font script="Hans" typeface="DengXian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Yu Gothic"/>
        <a:font script="Hang" typeface="맑은 고딕"/>
        <a:font script="Hans" typeface="DengXian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 enableFormatConditionsCalculation="0"/>
  <dimension ref="A1"/>
  <sheetViews>
    <sheetView workbookViewId="0">
      <selection activeCell="L15" sqref="L15"/>
    </sheetView>
  </sheetViews>
  <sheetFormatPr baseColWidth="10" defaultColWidth="8.83203125" defaultRowHeight="15" x14ac:dyDescent="0.2"/>
  <sheetData/>
  <conditionalFormatting sqref="B2:U1429">
    <cfRule type="colorScale" priority="1">
      <colorScale>
        <cfvo type="min"/>
        <cfvo type="percentile" val="50"/>
        <cfvo type="max"/>
        <color rgb="FFF8696B"/>
        <color rgb="FFFFEB84"/>
        <color rgb="FF63BE7B"/>
      </colorScale>
    </cfRule>
  </conditionalFormatting>
  <pageMargins left="0.7" right="0.7" top="0.75" bottom="0.75" header="0.3" footer="0.3"/>
  <pageSetup orientation="portrait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 enableFormatConditionsCalculation="0"/>
  <dimension ref="A1:Z47"/>
  <sheetViews>
    <sheetView tabSelected="1" topLeftCell="O1" workbookViewId="0">
      <selection activeCell="AD5" sqref="AD5"/>
    </sheetView>
  </sheetViews>
  <sheetFormatPr baseColWidth="10" defaultColWidth="8.83203125" defaultRowHeight="15" x14ac:dyDescent="0.2"/>
  <cols>
    <col min="9" max="9" width="9" customWidth="1"/>
    <col min="26" max="26" width="13.83203125" customWidth="1"/>
  </cols>
  <sheetData>
    <row r="1" spans="1:26" x14ac:dyDescent="0.2">
      <c r="A1" t="s">
        <v>0</v>
      </c>
      <c r="T1" t="s">
        <v>12</v>
      </c>
      <c r="U1" t="s">
        <v>13</v>
      </c>
      <c r="V1" t="s">
        <v>14</v>
      </c>
      <c r="X1" t="s">
        <v>12</v>
      </c>
      <c r="Y1" t="s">
        <v>13</v>
      </c>
      <c r="Z1" t="s">
        <v>14</v>
      </c>
    </row>
    <row r="2" spans="1:26" x14ac:dyDescent="0.2">
      <c r="A2" t="s">
        <v>1</v>
      </c>
      <c r="B2" t="s">
        <v>2</v>
      </c>
      <c r="C2" t="s">
        <v>3</v>
      </c>
      <c r="D2" t="s">
        <v>4</v>
      </c>
      <c r="E2" t="s">
        <v>5</v>
      </c>
      <c r="F2" t="s">
        <v>6</v>
      </c>
      <c r="I2">
        <v>-5</v>
      </c>
      <c r="J2">
        <v>-3</v>
      </c>
      <c r="K2">
        <f>25*J2^4-12*J2^2+2*J2-15+11*I2^5-9*I2^3-34*I2^2-34*I2</f>
        <v>-32034</v>
      </c>
      <c r="L2">
        <f>I2/5</f>
        <v>-1</v>
      </c>
      <c r="M2">
        <f>J2/5</f>
        <v>-0.6</v>
      </c>
      <c r="N2">
        <f>K2/32000</f>
        <v>-1.0010625</v>
      </c>
      <c r="T2">
        <v>1</v>
      </c>
      <c r="U2">
        <v>-1.0010625</v>
      </c>
      <c r="V2">
        <v>1.1106941991768012E-2</v>
      </c>
      <c r="X2">
        <v>1</v>
      </c>
      <c r="Y2">
        <v>-1.0010625</v>
      </c>
      <c r="Z2">
        <v>-0.99281841938671711</v>
      </c>
    </row>
    <row r="3" spans="1:26" x14ac:dyDescent="0.2">
      <c r="A3" t="s">
        <v>7</v>
      </c>
      <c r="B3">
        <v>-4.8429608345031738E-2</v>
      </c>
      <c r="C3">
        <v>7.518380880355835E-3</v>
      </c>
      <c r="D3">
        <v>-3.9994776248931885E-2</v>
      </c>
      <c r="E3">
        <v>-3.9697736501693726E-2</v>
      </c>
      <c r="F3">
        <v>2.98884391784668E-2</v>
      </c>
      <c r="I3">
        <v>-4.7</v>
      </c>
      <c r="J3">
        <v>-2.8</v>
      </c>
      <c r="K3">
        <f t="shared" ref="K3:K35" si="0">25*J3^4-12*J3^2+2*J3-15+11*I3^5-9*I3^3-34*I3^2-34*I3</f>
        <v>-23462.843770000014</v>
      </c>
      <c r="L3">
        <f t="shared" ref="L3:L35" si="1">I3/5</f>
        <v>-0.94000000000000006</v>
      </c>
      <c r="M3">
        <f t="shared" ref="M3:M35" si="2">J3/5</f>
        <v>-0.55999999999999994</v>
      </c>
      <c r="N3">
        <f t="shared" ref="N3:N35" si="3">K3/32000</f>
        <v>-0.73321386781250042</v>
      </c>
      <c r="T3">
        <v>2</v>
      </c>
      <c r="U3">
        <v>-0.73321386781250042</v>
      </c>
      <c r="V3">
        <v>1.1106942346108086E-2</v>
      </c>
      <c r="X3">
        <v>2</v>
      </c>
      <c r="Y3">
        <v>-0.73321386781250042</v>
      </c>
      <c r="Z3">
        <v>-0.99281842484936589</v>
      </c>
    </row>
    <row r="4" spans="1:26" x14ac:dyDescent="0.2">
      <c r="A4" t="s">
        <v>8</v>
      </c>
      <c r="B4">
        <v>-2.1551972627639773E-2</v>
      </c>
      <c r="C4">
        <v>-4.5435082912445073E-2</v>
      </c>
      <c r="D4">
        <v>-2.0422714948654178E-2</v>
      </c>
      <c r="E4">
        <v>-1.1798930168151856E-2</v>
      </c>
      <c r="F4">
        <v>-1.9902950525283816E-2</v>
      </c>
      <c r="I4">
        <v>-4.4000000000000004</v>
      </c>
      <c r="J4">
        <v>-2.6</v>
      </c>
      <c r="K4">
        <f t="shared" si="0"/>
        <v>-16841.648640000007</v>
      </c>
      <c r="L4">
        <f t="shared" si="1"/>
        <v>-0.88000000000000012</v>
      </c>
      <c r="M4">
        <f t="shared" si="2"/>
        <v>-0.52</v>
      </c>
      <c r="N4">
        <f t="shared" si="3"/>
        <v>-0.52630152000000019</v>
      </c>
      <c r="T4">
        <v>3</v>
      </c>
      <c r="U4">
        <v>-0.52630152000000019</v>
      </c>
      <c r="V4">
        <v>1.1106942700435109E-2</v>
      </c>
      <c r="X4">
        <v>3</v>
      </c>
      <c r="Y4">
        <v>-0.52630152000000019</v>
      </c>
      <c r="Z4">
        <v>-0.99281843031207462</v>
      </c>
    </row>
    <row r="5" spans="1:26" x14ac:dyDescent="0.2">
      <c r="A5" t="s">
        <v>9</v>
      </c>
      <c r="B5">
        <v>4.4857108592987062E-2</v>
      </c>
      <c r="C5">
        <v>4.7982937097549444E-2</v>
      </c>
      <c r="D5">
        <v>-9.8625659942626967E-3</v>
      </c>
      <c r="E5">
        <v>-2.2172003984451294E-2</v>
      </c>
      <c r="F5">
        <v>-3.3955848217010497E-2</v>
      </c>
      <c r="I5">
        <v>-4.0999999999999996</v>
      </c>
      <c r="J5">
        <v>-2.4</v>
      </c>
      <c r="K5">
        <f t="shared" si="0"/>
        <v>-11815.513109999994</v>
      </c>
      <c r="L5">
        <f t="shared" si="1"/>
        <v>-0.82</v>
      </c>
      <c r="M5">
        <f t="shared" si="2"/>
        <v>-0.48</v>
      </c>
      <c r="N5">
        <f t="shared" si="3"/>
        <v>-0.36923478468749982</v>
      </c>
      <c r="T5">
        <v>4</v>
      </c>
      <c r="U5">
        <v>-0.36923478468749982</v>
      </c>
      <c r="V5">
        <v>1.1106943054746694E-2</v>
      </c>
      <c r="X5">
        <v>4</v>
      </c>
      <c r="Y5">
        <v>-0.36923478468749982</v>
      </c>
      <c r="Z5">
        <v>-0.99281843577482543</v>
      </c>
    </row>
    <row r="6" spans="1:26" x14ac:dyDescent="0.2">
      <c r="I6">
        <v>-3.8</v>
      </c>
      <c r="J6">
        <v>-2.2000000000000002</v>
      </c>
      <c r="K6">
        <f t="shared" si="0"/>
        <v>-8075.6204799999987</v>
      </c>
      <c r="L6">
        <f t="shared" si="1"/>
        <v>-0.76</v>
      </c>
      <c r="M6">
        <f t="shared" si="2"/>
        <v>-0.44000000000000006</v>
      </c>
      <c r="N6">
        <f t="shared" si="3"/>
        <v>-0.25236313999999999</v>
      </c>
      <c r="T6">
        <v>5</v>
      </c>
      <c r="U6">
        <v>-0.25236313999999999</v>
      </c>
      <c r="V6">
        <v>1.1106943409040688E-2</v>
      </c>
      <c r="X6">
        <v>5</v>
      </c>
      <c r="Y6">
        <v>-0.25236313999999999</v>
      </c>
      <c r="Z6">
        <v>-0.99281844123760066</v>
      </c>
    </row>
    <row r="7" spans="1:26" x14ac:dyDescent="0.2">
      <c r="A7" t="s">
        <v>10</v>
      </c>
      <c r="B7" t="s">
        <v>2</v>
      </c>
      <c r="C7" t="s">
        <v>3</v>
      </c>
      <c r="D7" t="s">
        <v>4</v>
      </c>
      <c r="E7" t="s">
        <v>5</v>
      </c>
      <c r="I7">
        <v>-3.5</v>
      </c>
      <c r="J7">
        <v>-2</v>
      </c>
      <c r="K7">
        <f t="shared" si="0"/>
        <v>-5356.03125</v>
      </c>
      <c r="L7">
        <f t="shared" si="1"/>
        <v>-0.7</v>
      </c>
      <c r="M7">
        <f t="shared" si="2"/>
        <v>-0.4</v>
      </c>
      <c r="N7">
        <f t="shared" si="3"/>
        <v>-0.1673759765625</v>
      </c>
      <c r="T7">
        <v>6</v>
      </c>
      <c r="U7">
        <v>-0.1673759765625</v>
      </c>
      <c r="V7">
        <v>1.1106943763314761E-2</v>
      </c>
      <c r="X7">
        <v>6</v>
      </c>
      <c r="Y7">
        <v>-0.1673759765625</v>
      </c>
      <c r="Z7">
        <v>-0.99281844670038211</v>
      </c>
    </row>
    <row r="8" spans="1:26" x14ac:dyDescent="0.2">
      <c r="A8" t="s">
        <v>7</v>
      </c>
      <c r="B8">
        <v>-3.3717840909957886E-2</v>
      </c>
      <c r="C8">
        <v>1.4658713340759279E-2</v>
      </c>
      <c r="D8">
        <v>-8.9926779270172123E-3</v>
      </c>
      <c r="E8">
        <v>-8.7233185768127441E-3</v>
      </c>
      <c r="I8">
        <v>-3.2</v>
      </c>
      <c r="J8">
        <v>-1.8</v>
      </c>
      <c r="K8">
        <f t="shared" si="0"/>
        <v>-3430.4755200000018</v>
      </c>
      <c r="L8">
        <f t="shared" si="1"/>
        <v>-0.64</v>
      </c>
      <c r="M8">
        <f t="shared" si="2"/>
        <v>-0.36</v>
      </c>
      <c r="N8">
        <f t="shared" si="3"/>
        <v>-0.10720236000000005</v>
      </c>
      <c r="T8">
        <v>7</v>
      </c>
      <c r="U8">
        <v>-0.10720236000000005</v>
      </c>
      <c r="V8">
        <v>1.1106944117566532E-2</v>
      </c>
      <c r="X8">
        <v>7</v>
      </c>
      <c r="Y8">
        <v>-0.10720236000000005</v>
      </c>
      <c r="Z8">
        <v>-0.99281845216315212</v>
      </c>
    </row>
    <row r="9" spans="1:26" x14ac:dyDescent="0.2">
      <c r="A9" t="s">
        <v>8</v>
      </c>
      <c r="B9">
        <v>2.1273046731948853E-2</v>
      </c>
      <c r="C9">
        <v>-1.737937927246094E-2</v>
      </c>
      <c r="D9">
        <v>1.3317888975143433E-2</v>
      </c>
      <c r="E9">
        <v>-2.9243886470794678E-2</v>
      </c>
      <c r="I9">
        <v>-2.9</v>
      </c>
      <c r="J9">
        <v>-1.6</v>
      </c>
      <c r="K9">
        <f t="shared" si="0"/>
        <v>-2109.1453899999997</v>
      </c>
      <c r="L9">
        <f t="shared" si="1"/>
        <v>-0.57999999999999996</v>
      </c>
      <c r="M9">
        <f t="shared" si="2"/>
        <v>-0.32</v>
      </c>
      <c r="N9">
        <f t="shared" si="3"/>
        <v>-6.591079343749999E-2</v>
      </c>
      <c r="T9">
        <v>8</v>
      </c>
      <c r="U9">
        <v>-6.591079343749999E-2</v>
      </c>
      <c r="V9">
        <v>1.1106944471793842E-2</v>
      </c>
      <c r="X9">
        <v>8</v>
      </c>
      <c r="Y9">
        <v>-6.591079343749999E-2</v>
      </c>
      <c r="Z9">
        <v>-0.99281845762589271</v>
      </c>
    </row>
    <row r="10" spans="1:26" x14ac:dyDescent="0.2">
      <c r="A10" t="s">
        <v>9</v>
      </c>
      <c r="B10">
        <v>-3.1398648023605348E-2</v>
      </c>
      <c r="C10">
        <v>8.3359003067016609E-3</v>
      </c>
      <c r="D10">
        <v>-4.1928535699844366E-2</v>
      </c>
      <c r="E10">
        <v>-4.2028546333312987E-3</v>
      </c>
      <c r="I10">
        <v>-2.6</v>
      </c>
      <c r="J10">
        <v>-1.4</v>
      </c>
      <c r="K10">
        <f t="shared" si="0"/>
        <v>-1235.4873600000001</v>
      </c>
      <c r="L10">
        <f t="shared" si="1"/>
        <v>-0.52</v>
      </c>
      <c r="M10">
        <f t="shared" si="2"/>
        <v>-0.27999999999999997</v>
      </c>
      <c r="N10">
        <f t="shared" si="3"/>
        <v>-3.8608980000000001E-2</v>
      </c>
      <c r="T10">
        <v>9</v>
      </c>
      <c r="U10">
        <v>-3.8608980000000001E-2</v>
      </c>
      <c r="V10">
        <v>1.1106944825994369E-2</v>
      </c>
      <c r="X10">
        <v>9</v>
      </c>
      <c r="Y10">
        <v>-3.8608980000000001E-2</v>
      </c>
      <c r="Z10">
        <v>-0.99281846308858601</v>
      </c>
    </row>
    <row r="11" spans="1:26" x14ac:dyDescent="0.2">
      <c r="I11">
        <v>-2.2999999999999998</v>
      </c>
      <c r="J11">
        <v>-1.2</v>
      </c>
      <c r="K11">
        <f t="shared" si="0"/>
        <v>-682.99472999999989</v>
      </c>
      <c r="L11">
        <f t="shared" si="1"/>
        <v>-0.45999999999999996</v>
      </c>
      <c r="M11">
        <f t="shared" si="2"/>
        <v>-0.24</v>
      </c>
      <c r="N11">
        <f t="shared" si="3"/>
        <v>-2.1343585312499996E-2</v>
      </c>
      <c r="T11">
        <v>10</v>
      </c>
      <c r="U11">
        <v>-2.1343585312499996E-2</v>
      </c>
      <c r="V11">
        <v>1.1106945180165837E-2</v>
      </c>
      <c r="X11">
        <v>10</v>
      </c>
      <c r="Y11">
        <v>-2.1343585312499996E-2</v>
      </c>
      <c r="Z11">
        <v>-0.99281846855121425</v>
      </c>
    </row>
    <row r="12" spans="1:26" x14ac:dyDescent="0.2">
      <c r="A12" t="s">
        <v>11</v>
      </c>
      <c r="B12" t="s">
        <v>2</v>
      </c>
      <c r="C12" t="s">
        <v>3</v>
      </c>
      <c r="D12" t="s">
        <v>4</v>
      </c>
      <c r="E12" t="s">
        <v>5</v>
      </c>
      <c r="I12">
        <v>-2</v>
      </c>
      <c r="J12">
        <v>-1</v>
      </c>
      <c r="K12">
        <f t="shared" si="0"/>
        <v>-352</v>
      </c>
      <c r="L12">
        <f t="shared" si="1"/>
        <v>-0.4</v>
      </c>
      <c r="M12">
        <f t="shared" si="2"/>
        <v>-0.2</v>
      </c>
      <c r="N12">
        <f t="shared" si="3"/>
        <v>-1.0999999999999999E-2</v>
      </c>
      <c r="T12">
        <v>11</v>
      </c>
      <c r="U12">
        <v>-1.0999999999999999E-2</v>
      </c>
      <c r="V12">
        <v>1.1106945534305922E-2</v>
      </c>
      <c r="X12">
        <v>11</v>
      </c>
      <c r="Y12">
        <v>-1.0999999999999999E-2</v>
      </c>
      <c r="Z12">
        <v>-0.99281847401375944</v>
      </c>
    </row>
    <row r="13" spans="1:26" x14ac:dyDescent="0.2">
      <c r="A13" t="s">
        <v>7</v>
      </c>
      <c r="B13">
        <v>-2.7313399314880374E-2</v>
      </c>
      <c r="C13">
        <v>1.9511550664901733E-2</v>
      </c>
      <c r="D13">
        <v>4.8000323772430423E-2</v>
      </c>
      <c r="E13">
        <v>-2.5606864690780641E-2</v>
      </c>
      <c r="I13">
        <v>-1.7</v>
      </c>
      <c r="J13">
        <v>-0.8</v>
      </c>
      <c r="K13">
        <f t="shared" si="0"/>
        <v>-166.46726999999998</v>
      </c>
      <c r="L13">
        <f t="shared" si="1"/>
        <v>-0.33999999999999997</v>
      </c>
      <c r="M13">
        <f t="shared" si="2"/>
        <v>-0.16</v>
      </c>
      <c r="N13">
        <f t="shared" si="3"/>
        <v>-5.2021021874999991E-3</v>
      </c>
      <c r="T13">
        <v>12</v>
      </c>
      <c r="U13">
        <v>-5.2021021874999991E-3</v>
      </c>
      <c r="V13">
        <v>1.1106945888412411E-2</v>
      </c>
      <c r="X13">
        <v>12</v>
      </c>
      <c r="Y13">
        <v>-5.2021021874999991E-3</v>
      </c>
      <c r="Z13">
        <v>-0.99281847947620383</v>
      </c>
    </row>
    <row r="14" spans="1:26" x14ac:dyDescent="0.2">
      <c r="A14" t="s">
        <v>8</v>
      </c>
      <c r="B14">
        <v>3.3873081207275394E-3</v>
      </c>
      <c r="C14">
        <v>-3.9363032579422003E-2</v>
      </c>
      <c r="D14">
        <v>4.9941456317901617E-2</v>
      </c>
      <c r="E14">
        <v>1.7617589235305788E-2</v>
      </c>
      <c r="I14">
        <v>-1.4</v>
      </c>
      <c r="J14">
        <v>-0.6</v>
      </c>
      <c r="K14">
        <f t="shared" si="0"/>
        <v>-70.784639999999968</v>
      </c>
      <c r="L14">
        <f t="shared" si="1"/>
        <v>-0.27999999999999997</v>
      </c>
      <c r="M14">
        <f t="shared" si="2"/>
        <v>-0.12</v>
      </c>
      <c r="N14">
        <f t="shared" si="3"/>
        <v>-2.212019999999999E-3</v>
      </c>
      <c r="T14">
        <v>13</v>
      </c>
      <c r="U14">
        <v>-2.212019999999999E-3</v>
      </c>
      <c r="V14">
        <v>1.110694624248292E-2</v>
      </c>
      <c r="X14">
        <v>13</v>
      </c>
      <c r="Y14">
        <v>-2.212019999999999E-3</v>
      </c>
      <c r="Z14">
        <v>-0.99281848493852942</v>
      </c>
    </row>
    <row r="15" spans="1:26" x14ac:dyDescent="0.2">
      <c r="I15">
        <v>-1.1000000000000001</v>
      </c>
      <c r="J15">
        <v>-0.4</v>
      </c>
      <c r="K15">
        <f t="shared" si="0"/>
        <v>-26.556610000000006</v>
      </c>
      <c r="L15">
        <f t="shared" si="1"/>
        <v>-0.22000000000000003</v>
      </c>
      <c r="M15">
        <f t="shared" si="2"/>
        <v>-0.08</v>
      </c>
      <c r="N15">
        <f t="shared" si="3"/>
        <v>-8.2989406250000015E-4</v>
      </c>
      <c r="T15">
        <v>14</v>
      </c>
      <c r="U15">
        <v>-8.2989406250000015E-4</v>
      </c>
      <c r="V15">
        <v>1.1106946596515293E-2</v>
      </c>
      <c r="X15">
        <v>14</v>
      </c>
      <c r="Y15">
        <v>-8.2989406250000015E-4</v>
      </c>
      <c r="Z15">
        <v>-0.99281849040071835</v>
      </c>
    </row>
    <row r="16" spans="1:26" x14ac:dyDescent="0.2">
      <c r="B16" t="s">
        <v>12</v>
      </c>
      <c r="C16" t="s">
        <v>13</v>
      </c>
      <c r="D16" t="s">
        <v>14</v>
      </c>
      <c r="I16">
        <v>-0.8</v>
      </c>
      <c r="J16">
        <v>-0.2</v>
      </c>
      <c r="K16">
        <f t="shared" si="0"/>
        <v>-9.3964800000000039</v>
      </c>
      <c r="L16">
        <f t="shared" si="1"/>
        <v>-0.16</v>
      </c>
      <c r="M16">
        <f t="shared" si="2"/>
        <v>-0.04</v>
      </c>
      <c r="N16">
        <f t="shared" si="3"/>
        <v>-2.9364000000000012E-4</v>
      </c>
      <c r="T16">
        <v>15</v>
      </c>
      <c r="U16">
        <v>-2.9364000000000012E-4</v>
      </c>
      <c r="V16">
        <v>1.1106946950507146E-2</v>
      </c>
      <c r="X16">
        <v>15</v>
      </c>
      <c r="Y16">
        <v>-2.9364000000000012E-4</v>
      </c>
      <c r="Z16">
        <v>-0.99281849586275284</v>
      </c>
    </row>
    <row r="17" spans="2:26" x14ac:dyDescent="0.2">
      <c r="B17">
        <v>1</v>
      </c>
      <c r="C17">
        <v>-32034</v>
      </c>
      <c r="D17">
        <v>6.6745264067193193E+154</v>
      </c>
      <c r="I17">
        <v>-0.5</v>
      </c>
      <c r="J17">
        <v>0</v>
      </c>
      <c r="K17">
        <f t="shared" si="0"/>
        <v>-5.71875</v>
      </c>
      <c r="L17">
        <f t="shared" si="1"/>
        <v>-0.1</v>
      </c>
      <c r="M17">
        <f t="shared" si="2"/>
        <v>0</v>
      </c>
      <c r="N17">
        <f t="shared" si="3"/>
        <v>-1.787109375E-4</v>
      </c>
      <c r="T17">
        <v>16</v>
      </c>
      <c r="U17">
        <v>-1.787109375E-4</v>
      </c>
      <c r="V17">
        <v>1.1106947304456266E-2</v>
      </c>
      <c r="X17">
        <v>16</v>
      </c>
      <c r="Y17">
        <v>-1.787109375E-4</v>
      </c>
      <c r="Z17">
        <v>-0.99281850132461502</v>
      </c>
    </row>
    <row r="18" spans="2:26" x14ac:dyDescent="0.2">
      <c r="B18">
        <v>2</v>
      </c>
      <c r="C18">
        <v>-23462.843770000014</v>
      </c>
      <c r="D18">
        <v>6.6745264067193193E+154</v>
      </c>
      <c r="I18">
        <v>-0.2</v>
      </c>
      <c r="J18">
        <v>0.2</v>
      </c>
      <c r="K18">
        <f t="shared" si="0"/>
        <v>-9.5315200000000004</v>
      </c>
      <c r="L18">
        <f t="shared" si="1"/>
        <v>-0.04</v>
      </c>
      <c r="M18">
        <f t="shared" si="2"/>
        <v>0.04</v>
      </c>
      <c r="N18">
        <f t="shared" si="3"/>
        <v>-2.9786E-4</v>
      </c>
      <c r="T18">
        <v>17</v>
      </c>
      <c r="U18">
        <v>-2.9786E-4</v>
      </c>
      <c r="V18">
        <v>1.1106947658360325E-2</v>
      </c>
      <c r="X18">
        <v>17</v>
      </c>
      <c r="Y18">
        <v>-2.9786E-4</v>
      </c>
      <c r="Z18">
        <v>-0.99281850678628691</v>
      </c>
    </row>
    <row r="19" spans="2:26" x14ac:dyDescent="0.2">
      <c r="B19">
        <v>3</v>
      </c>
      <c r="C19">
        <v>-16841.648640000007</v>
      </c>
      <c r="D19">
        <v>6.6745264067193193E+154</v>
      </c>
      <c r="I19">
        <v>9.9999999999999603E-2</v>
      </c>
      <c r="J19">
        <v>0.4</v>
      </c>
      <c r="K19">
        <f t="shared" si="0"/>
        <v>-19.228889999999986</v>
      </c>
      <c r="L19">
        <f t="shared" si="1"/>
        <v>1.9999999999999921E-2</v>
      </c>
      <c r="M19">
        <f t="shared" si="2"/>
        <v>0.08</v>
      </c>
      <c r="N19">
        <f t="shared" si="3"/>
        <v>-6.0090281249999952E-4</v>
      </c>
      <c r="T19">
        <v>18</v>
      </c>
      <c r="U19">
        <v>-6.0090281249999952E-4</v>
      </c>
      <c r="V19">
        <v>1.1106948012217054E-2</v>
      </c>
      <c r="X19">
        <v>18</v>
      </c>
      <c r="Y19">
        <v>-6.0090281249999952E-4</v>
      </c>
      <c r="Z19">
        <v>-0.99281851224775075</v>
      </c>
    </row>
    <row r="20" spans="2:26" x14ac:dyDescent="0.2">
      <c r="B20">
        <v>4</v>
      </c>
      <c r="C20">
        <v>-11815.513109999994</v>
      </c>
      <c r="D20">
        <v>6.6745264067193193E+154</v>
      </c>
      <c r="I20">
        <v>0.4</v>
      </c>
      <c r="J20">
        <v>0.6</v>
      </c>
      <c r="K20">
        <f t="shared" si="0"/>
        <v>-34.383360000000003</v>
      </c>
      <c r="L20">
        <f t="shared" si="1"/>
        <v>0.08</v>
      </c>
      <c r="M20">
        <f t="shared" si="2"/>
        <v>0.12</v>
      </c>
      <c r="N20">
        <f t="shared" si="3"/>
        <v>-1.0744800000000001E-3</v>
      </c>
      <c r="T20">
        <v>19</v>
      </c>
      <c r="U20">
        <v>-1.0744800000000001E-3</v>
      </c>
      <c r="V20">
        <v>1.1106948366024241E-2</v>
      </c>
      <c r="X20">
        <v>19</v>
      </c>
      <c r="Y20">
        <v>-1.0744800000000001E-3</v>
      </c>
      <c r="Z20">
        <v>-0.99281851770898877</v>
      </c>
    </row>
    <row r="21" spans="2:26" x14ac:dyDescent="0.2">
      <c r="B21">
        <v>5</v>
      </c>
      <c r="C21">
        <v>-8075.6204799999987</v>
      </c>
      <c r="D21">
        <v>6.6745264067193193E+154</v>
      </c>
      <c r="I21">
        <v>0.7</v>
      </c>
      <c r="J21">
        <v>0.8</v>
      </c>
      <c r="K21">
        <f t="shared" si="0"/>
        <v>-52.538229999999992</v>
      </c>
      <c r="L21">
        <f t="shared" si="1"/>
        <v>0.13999999999999999</v>
      </c>
      <c r="M21">
        <f t="shared" si="2"/>
        <v>0.16</v>
      </c>
      <c r="N21">
        <f t="shared" si="3"/>
        <v>-1.6418196874999997E-3</v>
      </c>
      <c r="T21">
        <v>20</v>
      </c>
      <c r="U21">
        <v>-1.6418196874999997E-3</v>
      </c>
      <c r="V21">
        <v>1.1106948719779498E-2</v>
      </c>
      <c r="X21">
        <v>20</v>
      </c>
      <c r="Y21">
        <v>-1.6418196874999997E-3</v>
      </c>
      <c r="Z21">
        <v>-0.99281852316998287</v>
      </c>
    </row>
    <row r="22" spans="2:26" x14ac:dyDescent="0.2">
      <c r="B22">
        <v>6</v>
      </c>
      <c r="C22">
        <v>-5356.03125</v>
      </c>
      <c r="D22">
        <v>6.6745264067193193E+154</v>
      </c>
      <c r="I22">
        <v>1</v>
      </c>
      <c r="J22">
        <v>1</v>
      </c>
      <c r="K22">
        <f t="shared" si="0"/>
        <v>-66</v>
      </c>
      <c r="L22">
        <f t="shared" si="1"/>
        <v>0.2</v>
      </c>
      <c r="M22">
        <f t="shared" si="2"/>
        <v>0.2</v>
      </c>
      <c r="N22">
        <f t="shared" si="3"/>
        <v>-2.0625000000000001E-3</v>
      </c>
      <c r="T22">
        <v>21</v>
      </c>
      <c r="U22">
        <v>-2.0625000000000001E-3</v>
      </c>
      <c r="V22">
        <v>1.1106949073480617E-2</v>
      </c>
      <c r="X22">
        <v>21</v>
      </c>
      <c r="Y22">
        <v>-2.0625000000000001E-3</v>
      </c>
      <c r="Z22">
        <v>-0.9928185286307154</v>
      </c>
    </row>
    <row r="23" spans="2:26" x14ac:dyDescent="0.2">
      <c r="B23">
        <v>7</v>
      </c>
      <c r="C23">
        <v>-3430.4755200000018</v>
      </c>
      <c r="D23">
        <v>6.6745264067193193E+154</v>
      </c>
      <c r="I23">
        <v>1.3</v>
      </c>
      <c r="J23">
        <v>1.2</v>
      </c>
      <c r="K23">
        <f t="shared" si="0"/>
        <v>-58.630770000000012</v>
      </c>
      <c r="L23">
        <f t="shared" si="1"/>
        <v>0.26</v>
      </c>
      <c r="M23">
        <f t="shared" si="2"/>
        <v>0.24</v>
      </c>
      <c r="N23">
        <f t="shared" si="3"/>
        <v>-1.8322115625000004E-3</v>
      </c>
      <c r="T23">
        <v>22</v>
      </c>
      <c r="U23">
        <v>-1.8322115625000004E-3</v>
      </c>
      <c r="V23">
        <v>1.1106949427125382E-2</v>
      </c>
      <c r="X23">
        <v>22</v>
      </c>
      <c r="Y23">
        <v>-1.8322115625000004E-3</v>
      </c>
      <c r="Z23">
        <v>-0.99281853409116838</v>
      </c>
    </row>
    <row r="24" spans="2:26" x14ac:dyDescent="0.2">
      <c r="B24">
        <v>8</v>
      </c>
      <c r="C24">
        <v>-2109.1453899999997</v>
      </c>
      <c r="D24">
        <v>6.6745264067193193E+154</v>
      </c>
      <c r="I24">
        <v>1.6</v>
      </c>
      <c r="J24">
        <v>1.4</v>
      </c>
      <c r="K24">
        <f t="shared" si="0"/>
        <v>-2.6406399999999906</v>
      </c>
      <c r="L24">
        <f t="shared" si="1"/>
        <v>0.32</v>
      </c>
      <c r="M24">
        <f t="shared" si="2"/>
        <v>0.27999999999999997</v>
      </c>
      <c r="N24">
        <f t="shared" si="3"/>
        <v>-8.2519999999999705E-5</v>
      </c>
      <c r="T24">
        <v>23</v>
      </c>
      <c r="U24">
        <v>-8.2519999999999705E-5</v>
      </c>
      <c r="V24">
        <v>1.1106949780711351E-2</v>
      </c>
      <c r="X24">
        <v>23</v>
      </c>
      <c r="Y24">
        <v>-8.2519999999999705E-5</v>
      </c>
      <c r="Z24">
        <v>-0.99281853955132404</v>
      </c>
    </row>
    <row r="25" spans="2:26" x14ac:dyDescent="0.2">
      <c r="B25">
        <v>9</v>
      </c>
      <c r="C25">
        <v>-1235.4873600000001</v>
      </c>
      <c r="D25">
        <v>6.6745264067193193E+154</v>
      </c>
      <c r="I25">
        <v>1.9</v>
      </c>
      <c r="J25">
        <v>1.6</v>
      </c>
      <c r="K25">
        <f t="shared" si="0"/>
        <v>144.61989000000008</v>
      </c>
      <c r="L25">
        <f t="shared" si="1"/>
        <v>0.38</v>
      </c>
      <c r="M25">
        <f t="shared" si="2"/>
        <v>0.32</v>
      </c>
      <c r="N25">
        <f t="shared" si="3"/>
        <v>4.5193715625000026E-3</v>
      </c>
      <c r="T25">
        <v>24</v>
      </c>
      <c r="U25">
        <v>4.5193715625000026E-3</v>
      </c>
      <c r="V25">
        <v>1.1106950134236428E-2</v>
      </c>
      <c r="X25">
        <v>24</v>
      </c>
      <c r="Y25">
        <v>4.5193715625000026E-3</v>
      </c>
      <c r="Z25">
        <v>-0.99281854501116451</v>
      </c>
    </row>
    <row r="26" spans="2:26" x14ac:dyDescent="0.2">
      <c r="B26">
        <v>10</v>
      </c>
      <c r="C26">
        <v>-682.99472999999989</v>
      </c>
      <c r="D26">
        <v>6.6745264067193193E+154</v>
      </c>
      <c r="I26">
        <v>2.2000000000000002</v>
      </c>
      <c r="J26">
        <v>1.8</v>
      </c>
      <c r="K26">
        <f t="shared" si="0"/>
        <v>443.86752000000018</v>
      </c>
      <c r="L26">
        <f t="shared" si="1"/>
        <v>0.44000000000000006</v>
      </c>
      <c r="M26">
        <f t="shared" si="2"/>
        <v>0.36</v>
      </c>
      <c r="N26">
        <f t="shared" si="3"/>
        <v>1.3870860000000006E-2</v>
      </c>
      <c r="T26">
        <v>25</v>
      </c>
      <c r="U26">
        <v>1.3870860000000006E-2</v>
      </c>
      <c r="V26">
        <v>1.1106950487698228E-2</v>
      </c>
      <c r="X26">
        <v>25</v>
      </c>
      <c r="Y26">
        <v>1.3870860000000006E-2</v>
      </c>
      <c r="Z26">
        <v>-0.99281855047067202</v>
      </c>
    </row>
    <row r="27" spans="2:26" x14ac:dyDescent="0.2">
      <c r="B27">
        <v>11</v>
      </c>
      <c r="C27">
        <v>-352</v>
      </c>
      <c r="D27">
        <v>6.6745264067193193E+154</v>
      </c>
      <c r="I27">
        <v>2.5</v>
      </c>
      <c r="J27">
        <v>2</v>
      </c>
      <c r="K27">
        <f t="shared" si="0"/>
        <v>977.09375</v>
      </c>
      <c r="L27">
        <f t="shared" si="1"/>
        <v>0.5</v>
      </c>
      <c r="M27">
        <f t="shared" si="2"/>
        <v>0.4</v>
      </c>
      <c r="N27">
        <f t="shared" si="3"/>
        <v>3.0534179687499999E-2</v>
      </c>
      <c r="T27">
        <v>26</v>
      </c>
      <c r="U27">
        <v>3.0534179687499999E-2</v>
      </c>
      <c r="V27">
        <v>1.1106950841094481E-2</v>
      </c>
      <c r="X27">
        <v>26</v>
      </c>
      <c r="Y27">
        <v>3.0534179687499999E-2</v>
      </c>
      <c r="Z27">
        <v>-0.99281855592982871</v>
      </c>
    </row>
    <row r="28" spans="2:26" x14ac:dyDescent="0.2">
      <c r="B28">
        <v>12</v>
      </c>
      <c r="C28">
        <v>-166.46726999999998</v>
      </c>
      <c r="D28">
        <v>6.6745264067193193E+154</v>
      </c>
      <c r="I28">
        <v>2.8</v>
      </c>
      <c r="J28">
        <v>2.2000000000000002</v>
      </c>
      <c r="K28">
        <f t="shared" si="0"/>
        <v>1850.7724799999999</v>
      </c>
      <c r="L28">
        <f t="shared" si="1"/>
        <v>0.55999999999999994</v>
      </c>
      <c r="M28">
        <f t="shared" si="2"/>
        <v>0.44000000000000006</v>
      </c>
      <c r="N28">
        <f t="shared" si="3"/>
        <v>5.7836639999999995E-2</v>
      </c>
      <c r="T28">
        <v>27</v>
      </c>
      <c r="U28">
        <v>5.7836639999999995E-2</v>
      </c>
      <c r="V28">
        <v>1.110695119442303E-2</v>
      </c>
      <c r="X28">
        <v>27</v>
      </c>
      <c r="Y28">
        <v>5.7836639999999995E-2</v>
      </c>
      <c r="Z28">
        <v>-0.99281856138861668</v>
      </c>
    </row>
    <row r="29" spans="2:26" x14ac:dyDescent="0.2">
      <c r="B29">
        <v>13</v>
      </c>
      <c r="C29">
        <v>-70.784639999999968</v>
      </c>
      <c r="D29">
        <v>6.6745264067193193E+154</v>
      </c>
      <c r="I29">
        <v>3.0999999999999899</v>
      </c>
      <c r="J29">
        <v>2.4</v>
      </c>
      <c r="K29">
        <f t="shared" si="0"/>
        <v>3199.0676099999537</v>
      </c>
      <c r="L29">
        <f t="shared" si="1"/>
        <v>0.619999999999998</v>
      </c>
      <c r="M29">
        <f t="shared" si="2"/>
        <v>0.48</v>
      </c>
      <c r="N29">
        <f t="shared" si="3"/>
        <v>9.9970862812498548E-2</v>
      </c>
      <c r="T29">
        <v>28</v>
      </c>
      <c r="U29">
        <v>9.9970862812498548E-2</v>
      </c>
      <c r="V29">
        <v>1.1106951547681491E-2</v>
      </c>
      <c r="X29">
        <v>28</v>
      </c>
      <c r="Y29">
        <v>9.9970862812498548E-2</v>
      </c>
      <c r="Z29">
        <v>-0.99281856684701808</v>
      </c>
    </row>
    <row r="30" spans="2:26" x14ac:dyDescent="0.2">
      <c r="B30">
        <v>14</v>
      </c>
      <c r="C30">
        <v>-26.556610000000006</v>
      </c>
      <c r="D30">
        <v>6.6745264067193193E+154</v>
      </c>
      <c r="I30">
        <v>3.4</v>
      </c>
      <c r="J30">
        <v>2.6</v>
      </c>
      <c r="K30">
        <f t="shared" si="0"/>
        <v>5187.0406399999993</v>
      </c>
      <c r="L30">
        <f t="shared" si="1"/>
        <v>0.67999999999999994</v>
      </c>
      <c r="M30">
        <f t="shared" si="2"/>
        <v>0.52</v>
      </c>
      <c r="N30">
        <f t="shared" si="3"/>
        <v>0.16209501999999998</v>
      </c>
      <c r="T30">
        <v>29</v>
      </c>
      <c r="U30">
        <v>0.16209501999999998</v>
      </c>
      <c r="V30">
        <v>1.1106951900867594E-2</v>
      </c>
      <c r="X30">
        <v>29</v>
      </c>
      <c r="Y30">
        <v>0.16209501999999998</v>
      </c>
      <c r="Z30">
        <v>-0.99281857230501525</v>
      </c>
    </row>
    <row r="31" spans="2:26" x14ac:dyDescent="0.2">
      <c r="B31">
        <v>15</v>
      </c>
      <c r="C31">
        <v>-9.3964800000000039</v>
      </c>
      <c r="D31">
        <v>6.6745264067193193E+154</v>
      </c>
      <c r="I31">
        <v>3.7</v>
      </c>
      <c r="J31">
        <v>2.80000000000001</v>
      </c>
      <c r="K31">
        <f t="shared" si="0"/>
        <v>8013.8582700000225</v>
      </c>
      <c r="L31">
        <f t="shared" si="1"/>
        <v>0.74</v>
      </c>
      <c r="M31">
        <f t="shared" si="2"/>
        <v>0.56000000000000205</v>
      </c>
      <c r="N31">
        <f t="shared" si="3"/>
        <v>0.25043307093750072</v>
      </c>
      <c r="T31">
        <v>30</v>
      </c>
      <c r="U31">
        <v>0.25043307093750072</v>
      </c>
      <c r="V31">
        <v>1.1106952253979127E-2</v>
      </c>
      <c r="X31">
        <v>30</v>
      </c>
      <c r="Y31">
        <v>0.25043307093750072</v>
      </c>
      <c r="Z31">
        <v>-0.9928185777625903</v>
      </c>
    </row>
    <row r="32" spans="2:26" x14ac:dyDescent="0.2">
      <c r="B32">
        <v>16</v>
      </c>
      <c r="C32">
        <v>-5.71875</v>
      </c>
      <c r="D32">
        <v>6.6745264067193193E+154</v>
      </c>
      <c r="I32">
        <v>3.9999999999999898</v>
      </c>
      <c r="J32">
        <v>3.0000000000000102</v>
      </c>
      <c r="K32">
        <f t="shared" si="0"/>
        <v>11915.999999999891</v>
      </c>
      <c r="L32">
        <f t="shared" si="1"/>
        <v>0.79999999999999793</v>
      </c>
      <c r="M32">
        <f t="shared" si="2"/>
        <v>0.60000000000000209</v>
      </c>
      <c r="N32">
        <f t="shared" si="3"/>
        <v>0.37237499999999657</v>
      </c>
      <c r="T32">
        <v>31</v>
      </c>
      <c r="U32">
        <v>0.37237499999999657</v>
      </c>
      <c r="V32">
        <v>1.1106952607013819E-2</v>
      </c>
      <c r="X32">
        <v>31</v>
      </c>
      <c r="Y32">
        <v>0.37237499999999657</v>
      </c>
      <c r="Z32">
        <v>-0.99281858321972549</v>
      </c>
    </row>
    <row r="33" spans="2:26" x14ac:dyDescent="0.2">
      <c r="B33">
        <v>17</v>
      </c>
      <c r="C33">
        <v>-9.5315200000000004</v>
      </c>
      <c r="D33">
        <v>6.6745264067193193E+154</v>
      </c>
      <c r="I33">
        <v>4.2999999999999803</v>
      </c>
      <c r="J33">
        <v>3.2000000000000099</v>
      </c>
      <c r="K33">
        <f t="shared" si="0"/>
        <v>17170.46572999968</v>
      </c>
      <c r="L33">
        <f t="shared" si="1"/>
        <v>0.8599999999999961</v>
      </c>
      <c r="M33">
        <f t="shared" si="2"/>
        <v>0.64000000000000201</v>
      </c>
      <c r="N33">
        <f t="shared" si="3"/>
        <v>0.53657705406249001</v>
      </c>
      <c r="T33">
        <v>32</v>
      </c>
      <c r="U33">
        <v>0.53657705406249001</v>
      </c>
      <c r="V33">
        <v>1.1106952959969401E-2</v>
      </c>
      <c r="X33">
        <v>32</v>
      </c>
      <c r="Y33">
        <v>0.53657705406249001</v>
      </c>
      <c r="Z33">
        <v>-0.99281858867640282</v>
      </c>
    </row>
    <row r="34" spans="2:26" x14ac:dyDescent="0.2">
      <c r="B34">
        <v>18</v>
      </c>
      <c r="C34">
        <v>-19.228889999999986</v>
      </c>
      <c r="D34">
        <v>-6.2381113529955067E+154</v>
      </c>
      <c r="I34">
        <v>4.5999999999999703</v>
      </c>
      <c r="J34">
        <v>3.4000000000000101</v>
      </c>
      <c r="K34">
        <f t="shared" si="0"/>
        <v>24097.983359999333</v>
      </c>
      <c r="L34">
        <f t="shared" si="1"/>
        <v>0.91999999999999404</v>
      </c>
      <c r="M34">
        <f t="shared" si="2"/>
        <v>0.68000000000000205</v>
      </c>
      <c r="N34">
        <f t="shared" si="3"/>
        <v>0.75306197999997915</v>
      </c>
      <c r="T34">
        <v>33</v>
      </c>
      <c r="U34">
        <v>0.75306197999997915</v>
      </c>
      <c r="V34">
        <v>1.1106953312843603E-2</v>
      </c>
      <c r="X34">
        <v>33</v>
      </c>
      <c r="Y34">
        <v>0.75306197999997915</v>
      </c>
      <c r="Z34">
        <v>-0.99281859413260476</v>
      </c>
    </row>
    <row r="35" spans="2:26" x14ac:dyDescent="0.2">
      <c r="B35">
        <v>19</v>
      </c>
      <c r="C35">
        <v>-34.383360000000003</v>
      </c>
      <c r="D35">
        <v>-6.2381113529955067E+154</v>
      </c>
      <c r="I35">
        <v>4.8999999999999604</v>
      </c>
      <c r="J35">
        <v>3.6000000000000099</v>
      </c>
      <c r="K35">
        <f t="shared" si="0"/>
        <v>33066.21638999883</v>
      </c>
      <c r="L35">
        <f t="shared" si="1"/>
        <v>0.9799999999999921</v>
      </c>
      <c r="M35">
        <f t="shared" si="2"/>
        <v>0.72000000000000197</v>
      </c>
      <c r="N35">
        <f t="shared" si="3"/>
        <v>1.0333192621874634</v>
      </c>
      <c r="T35">
        <v>34</v>
      </c>
      <c r="U35">
        <v>1.0333192621874634</v>
      </c>
      <c r="V35">
        <v>1.1106953665634208E-2</v>
      </c>
      <c r="X35">
        <v>34</v>
      </c>
      <c r="Y35">
        <v>1.0333192621874634</v>
      </c>
      <c r="Z35">
        <v>-0.99281859958831331</v>
      </c>
    </row>
    <row r="36" spans="2:26" x14ac:dyDescent="0.2">
      <c r="B36">
        <v>20</v>
      </c>
      <c r="C36">
        <v>-52.538229999999992</v>
      </c>
      <c r="D36">
        <v>-6.2381113529955067E+154</v>
      </c>
    </row>
    <row r="37" spans="2:26" x14ac:dyDescent="0.2">
      <c r="B37">
        <v>21</v>
      </c>
      <c r="C37">
        <v>-66</v>
      </c>
      <c r="D37">
        <v>-6.2381113529955067E+154</v>
      </c>
    </row>
    <row r="38" spans="2:26" x14ac:dyDescent="0.2">
      <c r="B38">
        <v>22</v>
      </c>
      <c r="C38">
        <v>-58.630770000000012</v>
      </c>
      <c r="D38">
        <v>-6.2381113529955067E+154</v>
      </c>
    </row>
    <row r="39" spans="2:26" x14ac:dyDescent="0.2">
      <c r="B39">
        <v>23</v>
      </c>
      <c r="C39">
        <v>-2.6406399999999906</v>
      </c>
      <c r="D39">
        <v>-6.2381113529955067E+154</v>
      </c>
    </row>
    <row r="40" spans="2:26" x14ac:dyDescent="0.2">
      <c r="B40">
        <v>24</v>
      </c>
      <c r="C40">
        <v>144.61989000000008</v>
      </c>
      <c r="D40">
        <v>-6.2381113529955067E+154</v>
      </c>
    </row>
    <row r="41" spans="2:26" x14ac:dyDescent="0.2">
      <c r="B41">
        <v>25</v>
      </c>
      <c r="C41">
        <v>443.86752000000018</v>
      </c>
      <c r="D41">
        <v>-6.2381113529955067E+154</v>
      </c>
    </row>
    <row r="42" spans="2:26" x14ac:dyDescent="0.2">
      <c r="B42">
        <v>26</v>
      </c>
      <c r="C42">
        <v>977.09375</v>
      </c>
      <c r="D42">
        <v>-6.2381113529955067E+154</v>
      </c>
    </row>
    <row r="43" spans="2:26" x14ac:dyDescent="0.2">
      <c r="B43">
        <v>27</v>
      </c>
      <c r="C43">
        <v>1850.7724799999999</v>
      </c>
      <c r="D43">
        <v>-6.2381113529955067E+154</v>
      </c>
    </row>
    <row r="44" spans="2:26" x14ac:dyDescent="0.2">
      <c r="B44">
        <v>28</v>
      </c>
      <c r="C44">
        <v>3199.0676099999537</v>
      </c>
      <c r="D44">
        <v>-6.2381113529955067E+154</v>
      </c>
    </row>
    <row r="45" spans="2:26" x14ac:dyDescent="0.2">
      <c r="B45">
        <v>29</v>
      </c>
      <c r="C45">
        <v>5187.0406399999993</v>
      </c>
      <c r="D45">
        <v>-6.2381113529955067E+154</v>
      </c>
    </row>
    <row r="46" spans="2:26" x14ac:dyDescent="0.2">
      <c r="B46">
        <v>30</v>
      </c>
      <c r="C46">
        <v>8013.8582700000225</v>
      </c>
      <c r="D46">
        <v>-6.2381113529955067E+154</v>
      </c>
    </row>
    <row r="47" spans="2:26" x14ac:dyDescent="0.2">
      <c r="B47">
        <v>31</v>
      </c>
      <c r="C47">
        <v>11915.999999999891</v>
      </c>
      <c r="D47">
        <v>-6.2381113529955067E+154</v>
      </c>
    </row>
  </sheetData>
  <conditionalFormatting sqref="L1:AE1048576">
    <cfRule type="colorScale" priority="1">
      <colorScale>
        <cfvo type="min"/>
        <cfvo type="percentile" val="50"/>
        <cfvo type="max"/>
        <color rgb="FFF8696B"/>
        <color rgb="FFFFEB84"/>
        <color rgb="FF63BE7B"/>
      </colorScale>
    </cfRule>
  </conditionalFormatting>
  <pageMargins left="0.7" right="0.7" top="0.75" bottom="0.75" header="0.3" footer="0.3"/>
</worksheet>
</file>

<file path=customUI/customUI.xml><?xml version="1.0" encoding="utf-8"?>
<customUI xmlns="http://schemas.microsoft.com/office/2006/01/customui" onLoad="rxIRibbonUI_onLoad">
  <ribbon>
    <tabs>
      <tab id="ANNTab" label="ANN Toolbox">
        <group id="ANNgroup1" label="ANN File">
          <button id="Button1" label="Open" size="large" onAction="LoadANN_Click" getEnabled="LoadANN_GetEnabled" imageMso="FileOpen" keytip="O" screentip="Open ANN" supertip="Opens a saved artifitial neural network file from disc. Add-in by Jackie PENG"/>
          <button id="Button2" label="Save" size="large" onAction="SaveANN_Click" getEnabled="SaveANN_GetEnabled" imageMso="FileSaveAs" keytip="S" screentip="Save ANN" supertip="Saves the active artifitial neural network as .ann file. Add-in by Jackie PENG"/>
          <button id="Button3" label="Close" size="large" onAction="CloseANN_Click" getEnabled="CloseANN_GetEnabled" imageMso="ReviewDeleteComment" keytip="C" screentip="Close ANN" supertip="Close the active artifitial neural network and prepare for loading or creating next one. Add-in by Jackie PENG"/>
          <separator id="sep1"/>
          <labelControl id="label2" getLabel="getLblANNName"/>
          <labelControl id="label3" getLabel="getLblANNType"/>
          <labelControl id="label4" getLabel="getLblANNLevels"/>
        </group>
        <group id="ANNgroup2" label="Create ANN">
          <button id="ButtonMLP" label="MLP" size="large" onAction="MLP_Click" getEnabled="MLP_GetEnabled" imageMso="SmartArtAddShapeBelow" keytip="ML" screentip="Multi-Level Perceptron" supertip="Create a classical multi level perceptron net work to solve function fitting and mode recognition problems. Add-in by Jackie PENG"/>
          <button id="ButtonCNN" label="CNN" size="large" onAction="CNN_Click" getEnabled="CNN_GetEnabled" imageMso="SmartArtAddShapeBefore" keytip="CN" screentip="Convoluted Neural Network" supertip="Create a multi level perceptron net work with shared inter level connections to solve large scale mode recognition problems such as image recognition. Add-in by Jackie PENG"/>
          <button id="ButtonSOM" label="SOM" size="large" onAction="SOM_Click" getEnabled="SOM_GetEnabled" imageMso="SmartArtChangeColorsGallery" keytip="SO" screentip="Self-Organizing Map" supertip="Create a Self-Organizing Map with competitive layer arranged in a 2D topology to classify a dataset of vectors into as many classes as the layer has neurons. Add-in by Jackie PENG"/>
          <button id="ButtonRNN" label="RNN" size="large" onAction="RNN_Click" getEnabled="RNN_GetEnabled" imageMso="SmartArtAddBullet" keytip="RN" screentip="Recurrent Neural Network" supertip="Create a Recurrent Neural Network to solve time series data prediction problems such as predicting stock price from historical economical data. Add-in by Jackie PENG"/>
          <button id="ButtonRBF" label="RBF" size="large" onAction="RBF_Click" getEnabled="RBF_GetEnabled" imageMso="SmartArtOrganizationChartBoth" keytip="RB" screentip="Radial-Basis Function Network" supertip="Create a network with one hidden layers that converts dataset of vectors into a linear multi-dimentional space to solve classification problems with out supervision or label data. Add-in by Jackie PENG"/>
        </group>
        <group id="ANNgroup3" label="Training">
          <button id="Button8" label="Parameters" size="large" onAction="TrainingParam_Click" getEnabled="TrainingParam_GetEnabled" imageMso="ControlsGallery" keytip="P" screentip="View Active ANN Parameters" supertip="View and change parameters of active ANN as well as training algorithms and parameters. Add-in by Jackie PENG"/>
          <button id="Button6" label="Training Data" size="large" onAction="LoadData_Click" imageMso="FileSaveToDocumentManagementServer" keytip="D" screentip="Load and Save Training Data" supertip="Load training and labeling data from Excel Ranges or saved file, process the data for training, and save data as binary files for exchange purposes. Add-in by Jackie PENG"/>
          <button id="Button7" label="Log Parameters" size="large" onAction="LogData_Click" imageMso="ReviewTrackChangesMenu" keytip="L" screentip="View and set up training Logs" supertip="View and change training log settings, and save training log data as binary files. Add-in by Jackie PENG"/>
          <separator id="sep2"/>
          <labelControl id="label1" getLabel="getLabel1"/>
          <labelControl id="label5" getLabel="getLblLS"/>
          <labelControl id="label6" getLabel="getLblAlgorithms"/>
          <button id="Button5" label="Start Training" size="large" onAction="TStart_Click" getEnabled="TStart_GetEnabled" imageMso="MacroPlay" keytip="T" screentip="Start Training" supertip="Start training of active ANN with loaded training data, display training progress and generate training logs. Add-in by Jackie PENG"/>
        </group>
        <group id="ANNgroup4" label="Visualization">
          <button id="Button11" label="Display ANN" size="large" onAction="ShowANN_Click" getEnabled="ShowANN_GetEnabled" imageMso="ConvertTextToTable" keytip="V" screentip="Display ANN Details" supertip="Display detailed structure data including weight and bias of every layer of the open ANN. Add-in by Jackie PENG"/>
          <button id="Button12" label="Display Data" size="large" onAction="ShowData_Click" getEnabled="ShowData_GetEnabled" imageMso="ChartEditDataSource" keytip="D" screentip="Display Training Data" supertip="The whole training data set will be displayed, including input data set and target data set. Add-in by Jackie PENG"/>
          <button id="Button9" label="ANN Performance" size="large" onAction="ShowPFRM_Click" getEnabled="ShowPFRM_GetEnabled" imageMso="ChartLines" keytip="PF" screentip="Plot ANN Performance" supertip="Output result of current open ANN for all sample data in a range. Add-in by Jackie PENG"/>
          <button id="Button10" label="Training Log" size="large" onAction="Error_Click" getEnabled="Error_GetEnabled" imageMso="ChartTrendline" keytip="E" screentip="Plot Training Log" supertip="Output training log data including error value, correct rate and training time for each epoch in a range. Add-in by Jackie PENG"/>
        </group>
      </tab>
    </tabs>
  </ribbon>
</customUI>
</file>

<file path=docProps/app.xml><?xml version="1.0" encoding="utf-8"?>
<Properties xmlns="http://schemas.openxmlformats.org/officeDocument/2006/extended-properties" xmlns:vt="http://schemas.openxmlformats.org/officeDocument/2006/docPropsVTypes">
  <Application>Microsoft Macintosh Excel</Application>
  <DocSecurity>0</DocSecurity>
  <ScaleCrop>false</ScaleCrop>
  <HeadingPairs>
    <vt:vector size="2" baseType="variant">
      <vt:variant>
        <vt:lpstr>Worksheets</vt:lpstr>
      </vt:variant>
      <vt:variant>
        <vt:i4>2</vt:i4>
      </vt:variant>
    </vt:vector>
  </HeadingPairs>
  <TitlesOfParts>
    <vt:vector size="2" baseType="lpstr">
      <vt:lpstr>Sheet1</vt:lpstr>
      <vt:lpstr>Sheet2</vt:lpstr>
    </vt:vector>
  </TitlesOfParts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Jackie</dc:creator>
  <cp:lastModifiedBy>Microsoft Office User</cp:lastModifiedBy>
  <dcterms:created xsi:type="dcterms:W3CDTF">2017-11-07T12:00:35Z</dcterms:created>
  <dcterms:modified xsi:type="dcterms:W3CDTF">2017-12-18T17:00:27Z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Click" linkTarget="Prop_Click">
    <vt:r8>1.00845112591253E-307</vt:r8>
  </property>
</Properties>
</file>